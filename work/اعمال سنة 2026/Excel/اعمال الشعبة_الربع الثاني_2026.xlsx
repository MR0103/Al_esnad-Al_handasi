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المشاركة\العرض\"/>
    </mc:Choice>
  </mc:AlternateContent>
  <xr:revisionPtr revIDLastSave="0" documentId="13_ncr:1_{66D9570C-B1BE-4440-96C5-126535EB1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عملجي الربع الثاني" sheetId="13" r:id="rId1"/>
    <sheet name="حر الربع الثاني" sheetId="14" r:id="rId2"/>
    <sheet name="الإعدادات" sheetId="7" state="hidden" r:id="rId3"/>
  </sheets>
  <definedNames>
    <definedName name="_xlnm._FilterDatabase" localSheetId="1" hidden="1">'حر الربع الثاني'!$A$2:$A$590</definedName>
    <definedName name="_xlnm._FilterDatabase" localSheetId="0" hidden="1">'معملجي الربع الثاني'!$A$2:$A$590</definedName>
    <definedName name="_xlnm.Print_Titles" localSheetId="1">'حر الربع الثاني'!$1:$2</definedName>
    <definedName name="_xlnm.Print_Titles" localSheetId="0">'معملجي الربع الثاني'!$1:$2</definedName>
    <definedName name="Z_230B7950_A2D8_4702_A7AE_58086CEB2B82_.wvu.FilterData" localSheetId="1" hidden="1">'حر الربع الثاني'!$B$2:$N$1092</definedName>
    <definedName name="Z_230B7950_A2D8_4702_A7AE_58086CEB2B82_.wvu.FilterData" localSheetId="0" hidden="1">'معملجي الربع الثاني'!$B$2:$N$1092</definedName>
    <definedName name="Z_9CD84C83_20A6_43E9_845B_58E81C83F28A_.wvu.FilterData" localSheetId="1" hidden="1">'حر الربع الثاني'!$B$2:$N$1092</definedName>
    <definedName name="Z_9CD84C83_20A6_43E9_845B_58E81C83F28A_.wvu.FilterData" localSheetId="0" hidden="1">'معملجي الربع الثاني'!$B$2:$N$1092</definedName>
    <definedName name="Z_DEFAECCF_EBBD_406D_BCDE_E68D508B403D_.wvu.FilterData" localSheetId="1" hidden="1">'حر الربع الثاني'!$B$2:$N$1092</definedName>
    <definedName name="Z_DEFAECCF_EBBD_406D_BCDE_E68D508B403D_.wvu.FilterData" localSheetId="0" hidden="1">'معملجي الربع الثاني'!$B$2:$N$1092</definedName>
  </definedNames>
  <calcPr calcId="191029"/>
  <customWorkbookViews>
    <customWorkbookView name="الفلتر 1" guid="{9CD84C83-20A6-43E9-845B-58E81C83F28A}" maximized="1" windowWidth="0" windowHeight="0" activeSheetId="0"/>
    <customWorkbookView name="الفلتر 2" guid="{DEFAECCF-EBBD-406D-BCDE-E68D508B403D}" maximized="1" windowWidth="0" windowHeight="0" activeSheetId="0"/>
    <customWorkbookView name="الفلتر 3" guid="{230B7950-A2D8-4702-A7AE-58086CEB2B82}" maximized="1" windowWidth="0" windowHeight="0" activeSheetId="0"/>
  </customWorkbookViews>
</workbook>
</file>

<file path=xl/calcChain.xml><?xml version="1.0" encoding="utf-8"?>
<calcChain xmlns="http://schemas.openxmlformats.org/spreadsheetml/2006/main">
  <c r="H1092" i="13" l="1"/>
  <c r="G1092" i="13"/>
  <c r="F1092" i="13"/>
  <c r="E1092" i="13"/>
  <c r="D1092" i="13"/>
  <c r="C1092" i="13"/>
  <c r="B1092" i="13"/>
  <c r="H1091" i="13"/>
  <c r="G1091" i="13"/>
  <c r="F1091" i="13"/>
  <c r="E1091" i="13"/>
  <c r="D1091" i="13"/>
  <c r="C1091" i="13"/>
  <c r="B1091" i="13"/>
  <c r="H1090" i="13"/>
  <c r="G1090" i="13"/>
  <c r="F1090" i="13"/>
  <c r="E1090" i="13"/>
  <c r="D1090" i="13"/>
  <c r="C1090" i="13"/>
  <c r="B1090" i="13"/>
  <c r="H1089" i="13"/>
  <c r="F1089" i="13"/>
  <c r="E1089" i="13"/>
  <c r="D1089" i="13"/>
  <c r="C1089" i="13"/>
  <c r="B1089" i="13"/>
  <c r="H1088" i="13"/>
  <c r="G1088" i="13"/>
  <c r="F1088" i="13"/>
  <c r="E1088" i="13"/>
  <c r="D1088" i="13"/>
  <c r="C1088" i="13"/>
  <c r="B1088" i="13"/>
  <c r="H1087" i="13"/>
  <c r="F1087" i="13"/>
  <c r="E1087" i="13"/>
  <c r="D1087" i="13"/>
  <c r="C1087" i="13"/>
  <c r="B1087" i="13"/>
  <c r="H1086" i="13"/>
  <c r="G1086" i="13"/>
  <c r="F1086" i="13"/>
  <c r="E1086" i="13"/>
  <c r="D1086" i="13"/>
  <c r="C1086" i="13"/>
  <c r="B1086" i="13"/>
  <c r="H1085" i="13"/>
  <c r="G1085" i="13"/>
  <c r="F1085" i="13"/>
  <c r="E1085" i="13"/>
  <c r="D1085" i="13"/>
  <c r="C1085" i="13"/>
  <c r="B1085" i="13"/>
  <c r="H1084" i="13"/>
  <c r="G1084" i="13"/>
  <c r="F1084" i="13"/>
  <c r="E1084" i="13"/>
  <c r="D1084" i="13"/>
  <c r="C1084" i="13"/>
  <c r="B1084" i="13"/>
  <c r="H1083" i="13"/>
  <c r="G1083" i="13"/>
  <c r="F1083" i="13"/>
  <c r="E1083" i="13"/>
  <c r="D1083" i="13"/>
  <c r="C1083" i="13"/>
  <c r="B1083" i="13"/>
  <c r="H1082" i="13"/>
  <c r="G1082" i="13"/>
  <c r="F1082" i="13"/>
  <c r="E1082" i="13"/>
  <c r="D1082" i="13"/>
  <c r="C1082" i="13"/>
  <c r="B1082" i="13"/>
  <c r="H1081" i="13"/>
  <c r="G1081" i="13"/>
  <c r="F1081" i="13"/>
  <c r="E1081" i="13"/>
  <c r="D1081" i="13"/>
  <c r="C1081" i="13"/>
  <c r="B1081" i="13"/>
  <c r="H1080" i="13"/>
  <c r="G1080" i="13"/>
  <c r="F1080" i="13"/>
  <c r="E1080" i="13"/>
  <c r="D1080" i="13"/>
  <c r="C1080" i="13"/>
  <c r="B1080" i="13"/>
  <c r="H1079" i="13"/>
  <c r="G1079" i="13"/>
  <c r="F1079" i="13"/>
  <c r="E1079" i="13"/>
  <c r="D1079" i="13"/>
  <c r="C1079" i="13"/>
  <c r="B1079" i="13"/>
  <c r="H1078" i="13"/>
  <c r="G1078" i="13"/>
  <c r="F1078" i="13"/>
  <c r="E1078" i="13"/>
  <c r="D1078" i="13"/>
  <c r="C1078" i="13"/>
  <c r="B1078" i="13"/>
  <c r="H1077" i="13"/>
  <c r="G1077" i="13"/>
  <c r="F1077" i="13"/>
  <c r="E1077" i="13"/>
  <c r="D1077" i="13"/>
  <c r="C1077" i="13"/>
  <c r="B1077" i="13"/>
  <c r="H1076" i="13"/>
  <c r="G1076" i="13"/>
  <c r="F1076" i="13"/>
  <c r="E1076" i="13"/>
  <c r="D1076" i="13"/>
  <c r="C1076" i="13"/>
  <c r="B1076" i="13"/>
  <c r="H1075" i="13"/>
  <c r="G1075" i="13"/>
  <c r="F1075" i="13"/>
  <c r="E1075" i="13"/>
  <c r="D1075" i="13"/>
  <c r="C1075" i="13"/>
  <c r="B1075" i="13"/>
  <c r="H1074" i="13"/>
  <c r="G1074" i="13"/>
  <c r="F1074" i="13"/>
  <c r="E1074" i="13"/>
  <c r="D1074" i="13"/>
  <c r="C1074" i="13"/>
  <c r="B1074" i="13"/>
  <c r="H1073" i="13"/>
  <c r="G1073" i="13"/>
  <c r="F1073" i="13"/>
  <c r="E1073" i="13"/>
  <c r="D1073" i="13"/>
  <c r="C1073" i="13"/>
  <c r="B1073" i="13"/>
  <c r="H1072" i="13"/>
  <c r="G1072" i="13"/>
  <c r="F1072" i="13"/>
  <c r="E1072" i="13"/>
  <c r="D1072" i="13"/>
  <c r="C1072" i="13"/>
  <c r="B1072" i="13"/>
  <c r="H1071" i="13"/>
  <c r="G1071" i="13"/>
  <c r="F1071" i="13"/>
  <c r="E1071" i="13"/>
  <c r="D1071" i="13"/>
  <c r="C1071" i="13"/>
  <c r="B1071" i="13"/>
  <c r="H1070" i="13"/>
  <c r="G1070" i="13"/>
  <c r="F1070" i="13"/>
  <c r="E1070" i="13"/>
  <c r="D1070" i="13"/>
  <c r="C1070" i="13"/>
  <c r="B1070" i="13"/>
  <c r="H1069" i="13"/>
  <c r="G1069" i="13"/>
  <c r="F1069" i="13"/>
  <c r="E1069" i="13"/>
  <c r="D1069" i="13"/>
  <c r="C1069" i="13"/>
  <c r="B1069" i="13"/>
  <c r="H1068" i="13"/>
  <c r="G1068" i="13"/>
  <c r="F1068" i="13"/>
  <c r="E1068" i="13"/>
  <c r="D1068" i="13"/>
  <c r="C1068" i="13"/>
  <c r="B1068" i="13"/>
  <c r="H1067" i="13"/>
  <c r="G1067" i="13"/>
  <c r="F1067" i="13"/>
  <c r="E1067" i="13"/>
  <c r="D1067" i="13"/>
  <c r="C1067" i="13"/>
  <c r="B1067" i="13"/>
  <c r="H1066" i="13"/>
  <c r="G1066" i="13"/>
  <c r="F1066" i="13"/>
  <c r="E1066" i="13"/>
  <c r="D1066" i="13"/>
  <c r="C1066" i="13"/>
  <c r="B1066" i="13"/>
  <c r="H1065" i="13"/>
  <c r="G1065" i="13"/>
  <c r="F1065" i="13"/>
  <c r="E1065" i="13"/>
  <c r="D1065" i="13"/>
  <c r="C1065" i="13"/>
  <c r="B1065" i="13"/>
  <c r="H1064" i="13"/>
  <c r="G1064" i="13"/>
  <c r="F1064" i="13"/>
  <c r="E1064" i="13"/>
  <c r="D1064" i="13"/>
  <c r="C1064" i="13"/>
  <c r="B1064" i="13"/>
  <c r="H1063" i="13"/>
  <c r="G1063" i="13"/>
  <c r="F1063" i="13"/>
  <c r="E1063" i="13"/>
  <c r="D1063" i="13"/>
  <c r="C1063" i="13"/>
  <c r="B1063" i="13"/>
  <c r="H1062" i="13"/>
  <c r="G1062" i="13"/>
  <c r="F1062" i="13"/>
  <c r="E1062" i="13"/>
  <c r="D1062" i="13"/>
  <c r="C1062" i="13"/>
  <c r="B1062" i="13"/>
  <c r="H1061" i="13"/>
  <c r="G1061" i="13"/>
  <c r="F1061" i="13"/>
  <c r="E1061" i="13"/>
  <c r="D1061" i="13"/>
  <c r="C1061" i="13"/>
  <c r="B1061" i="13"/>
  <c r="H1060" i="13"/>
  <c r="G1060" i="13"/>
  <c r="F1060" i="13"/>
  <c r="E1060" i="13"/>
  <c r="D1060" i="13"/>
  <c r="C1060" i="13"/>
  <c r="B1060" i="13"/>
  <c r="H1059" i="13"/>
  <c r="G1059" i="13"/>
  <c r="F1059" i="13"/>
  <c r="E1059" i="13"/>
  <c r="D1059" i="13"/>
  <c r="C1059" i="13"/>
  <c r="B1059" i="13"/>
  <c r="H1058" i="13"/>
  <c r="G1058" i="13"/>
  <c r="F1058" i="13"/>
  <c r="E1058" i="13"/>
  <c r="D1058" i="13"/>
  <c r="C1058" i="13"/>
  <c r="B1058" i="13"/>
  <c r="H1057" i="13"/>
  <c r="G1057" i="13"/>
  <c r="F1057" i="13"/>
  <c r="E1057" i="13"/>
  <c r="D1057" i="13"/>
  <c r="C1057" i="13"/>
  <c r="B1057" i="13"/>
  <c r="H1056" i="13"/>
  <c r="G1056" i="13"/>
  <c r="F1056" i="13"/>
  <c r="E1056" i="13"/>
  <c r="D1056" i="13"/>
  <c r="C1056" i="13"/>
  <c r="B1056" i="13"/>
  <c r="H1055" i="13"/>
  <c r="G1055" i="13"/>
  <c r="F1055" i="13"/>
  <c r="E1055" i="13"/>
  <c r="D1055" i="13"/>
  <c r="C1055" i="13"/>
  <c r="B1055" i="13"/>
  <c r="H1054" i="13"/>
  <c r="G1054" i="13"/>
  <c r="F1054" i="13"/>
  <c r="E1054" i="13"/>
  <c r="D1054" i="13"/>
  <c r="C1054" i="13"/>
  <c r="B1054" i="13"/>
  <c r="H1053" i="13"/>
  <c r="G1053" i="13"/>
  <c r="F1053" i="13"/>
  <c r="E1053" i="13"/>
  <c r="D1053" i="13"/>
  <c r="C1053" i="13"/>
  <c r="B1053" i="13"/>
  <c r="H1052" i="13"/>
  <c r="G1052" i="13"/>
  <c r="F1052" i="13"/>
  <c r="E1052" i="13"/>
  <c r="D1052" i="13"/>
  <c r="C1052" i="13"/>
  <c r="B1052" i="13"/>
  <c r="H1051" i="13"/>
  <c r="G1051" i="13"/>
  <c r="F1051" i="13"/>
  <c r="E1051" i="13"/>
  <c r="D1051" i="13"/>
  <c r="C1051" i="13"/>
  <c r="B1051" i="13"/>
  <c r="H1050" i="13"/>
  <c r="G1050" i="13"/>
  <c r="F1050" i="13"/>
  <c r="E1050" i="13"/>
  <c r="D1050" i="13"/>
  <c r="C1050" i="13"/>
  <c r="B1050" i="13"/>
  <c r="H1049" i="13"/>
  <c r="G1049" i="13"/>
  <c r="F1049" i="13"/>
  <c r="E1049" i="13"/>
  <c r="D1049" i="13"/>
  <c r="C1049" i="13"/>
  <c r="B1049" i="13"/>
  <c r="H1048" i="13"/>
  <c r="G1048" i="13"/>
  <c r="F1048" i="13"/>
  <c r="E1048" i="13"/>
  <c r="D1048" i="13"/>
  <c r="C1048" i="13"/>
  <c r="B1048" i="13"/>
  <c r="H1047" i="13"/>
  <c r="G1047" i="13"/>
  <c r="F1047" i="13"/>
  <c r="E1047" i="13"/>
  <c r="D1047" i="13"/>
  <c r="C1047" i="13"/>
  <c r="B1047" i="13"/>
  <c r="H1046" i="13"/>
  <c r="G1046" i="13"/>
  <c r="F1046" i="13"/>
  <c r="E1046" i="13"/>
  <c r="D1046" i="13"/>
  <c r="C1046" i="13"/>
  <c r="B1046" i="13"/>
  <c r="H1045" i="13"/>
  <c r="G1045" i="13"/>
  <c r="F1045" i="13"/>
  <c r="E1045" i="13"/>
  <c r="D1045" i="13"/>
  <c r="C1045" i="13"/>
  <c r="B1045" i="13"/>
  <c r="H1044" i="13"/>
  <c r="G1044" i="13"/>
  <c r="F1044" i="13"/>
  <c r="E1044" i="13"/>
  <c r="D1044" i="13"/>
  <c r="C1044" i="13"/>
  <c r="B1044" i="13"/>
  <c r="H1043" i="13"/>
  <c r="G1043" i="13"/>
  <c r="F1043" i="13"/>
  <c r="E1043" i="13"/>
  <c r="D1043" i="13"/>
  <c r="C1043" i="13"/>
  <c r="B1043" i="13"/>
  <c r="H1042" i="13"/>
  <c r="G1042" i="13"/>
  <c r="F1042" i="13"/>
  <c r="E1042" i="13"/>
  <c r="D1042" i="13"/>
  <c r="C1042" i="13"/>
  <c r="B1042" i="13"/>
  <c r="H1041" i="13"/>
  <c r="G1041" i="13"/>
  <c r="F1041" i="13"/>
  <c r="E1041" i="13"/>
  <c r="D1041" i="13"/>
  <c r="C1041" i="13"/>
  <c r="B1041" i="13"/>
  <c r="H1040" i="13"/>
  <c r="G1040" i="13"/>
  <c r="F1040" i="13"/>
  <c r="E1040" i="13"/>
  <c r="D1040" i="13"/>
  <c r="C1040" i="13"/>
  <c r="B1040" i="13"/>
  <c r="H1039" i="13"/>
  <c r="G1039" i="13"/>
  <c r="F1039" i="13"/>
  <c r="E1039" i="13"/>
  <c r="D1039" i="13"/>
  <c r="C1039" i="13"/>
  <c r="B1039" i="13"/>
  <c r="H1038" i="13"/>
  <c r="G1038" i="13"/>
  <c r="F1038" i="13"/>
  <c r="E1038" i="13"/>
  <c r="D1038" i="13"/>
  <c r="C1038" i="13"/>
  <c r="B1038" i="13"/>
  <c r="H1037" i="13"/>
  <c r="G1037" i="13"/>
  <c r="F1037" i="13"/>
  <c r="E1037" i="13"/>
  <c r="D1037" i="13"/>
  <c r="C1037" i="13"/>
  <c r="B1037" i="13"/>
  <c r="H1036" i="13"/>
  <c r="G1036" i="13"/>
  <c r="F1036" i="13"/>
  <c r="E1036" i="13"/>
  <c r="D1036" i="13"/>
  <c r="C1036" i="13"/>
  <c r="B1036" i="13"/>
  <c r="H1035" i="13"/>
  <c r="G1035" i="13"/>
  <c r="F1035" i="13"/>
  <c r="E1035" i="13"/>
  <c r="D1035" i="13"/>
  <c r="C1035" i="13"/>
  <c r="B1035" i="13"/>
  <c r="H1034" i="13"/>
  <c r="G1034" i="13"/>
  <c r="F1034" i="13"/>
  <c r="E1034" i="13"/>
  <c r="D1034" i="13"/>
  <c r="C1034" i="13"/>
  <c r="B1034" i="13"/>
  <c r="H1033" i="13"/>
  <c r="G1033" i="13"/>
  <c r="F1033" i="13"/>
  <c r="E1033" i="13"/>
  <c r="D1033" i="13"/>
  <c r="C1033" i="13"/>
  <c r="B1033" i="13"/>
  <c r="H1032" i="13"/>
  <c r="G1032" i="13"/>
  <c r="F1032" i="13"/>
  <c r="E1032" i="13"/>
  <c r="D1032" i="13"/>
  <c r="C1032" i="13"/>
  <c r="B1032" i="13"/>
  <c r="H1031" i="13"/>
  <c r="G1031" i="13"/>
  <c r="F1031" i="13"/>
  <c r="E1031" i="13"/>
  <c r="D1031" i="13"/>
  <c r="C1031" i="13"/>
  <c r="B1031" i="13"/>
  <c r="H1030" i="13"/>
  <c r="G1030" i="13"/>
  <c r="F1030" i="13"/>
  <c r="E1030" i="13"/>
  <c r="D1030" i="13"/>
  <c r="C1030" i="13"/>
  <c r="B1030" i="13"/>
  <c r="H1029" i="13"/>
  <c r="G1029" i="13"/>
  <c r="F1029" i="13"/>
  <c r="E1029" i="13"/>
  <c r="D1029" i="13"/>
  <c r="C1029" i="13"/>
  <c r="B1029" i="13"/>
  <c r="H1028" i="13"/>
  <c r="G1028" i="13"/>
  <c r="F1028" i="13"/>
  <c r="E1028" i="13"/>
  <c r="D1028" i="13"/>
  <c r="C1028" i="13"/>
  <c r="B1028" i="13"/>
  <c r="H1027" i="13"/>
  <c r="G1027" i="13"/>
  <c r="F1027" i="13"/>
  <c r="E1027" i="13"/>
  <c r="D1027" i="13"/>
  <c r="C1027" i="13"/>
  <c r="B1027" i="13"/>
  <c r="H1026" i="13"/>
  <c r="G1026" i="13"/>
  <c r="F1026" i="13"/>
  <c r="E1026" i="13"/>
  <c r="D1026" i="13"/>
  <c r="C1026" i="13"/>
  <c r="B1026" i="13"/>
  <c r="H1025" i="13"/>
  <c r="G1025" i="13"/>
  <c r="F1025" i="13"/>
  <c r="E1025" i="13"/>
  <c r="D1025" i="13"/>
  <c r="C1025" i="13"/>
  <c r="B1025" i="13"/>
  <c r="H1024" i="13"/>
  <c r="G1024" i="13"/>
  <c r="F1024" i="13"/>
  <c r="E1024" i="13"/>
  <c r="D1024" i="13"/>
  <c r="C1024" i="13"/>
  <c r="B1024" i="13"/>
  <c r="H1023" i="13"/>
  <c r="G1023" i="13"/>
  <c r="F1023" i="13"/>
  <c r="E1023" i="13"/>
  <c r="D1023" i="13"/>
  <c r="C1023" i="13"/>
  <c r="B1023" i="13"/>
  <c r="H1022" i="13"/>
  <c r="G1022" i="13"/>
  <c r="F1022" i="13"/>
  <c r="E1022" i="13"/>
  <c r="D1022" i="13"/>
  <c r="C1022" i="13"/>
  <c r="B1022" i="13"/>
  <c r="H1021" i="13"/>
  <c r="G1021" i="13"/>
  <c r="F1021" i="13"/>
  <c r="E1021" i="13"/>
  <c r="D1021" i="13"/>
  <c r="C1021" i="13"/>
  <c r="B1021" i="13"/>
  <c r="H1020" i="13"/>
  <c r="G1020" i="13"/>
  <c r="F1020" i="13"/>
  <c r="E1020" i="13"/>
  <c r="D1020" i="13"/>
  <c r="C1020" i="13"/>
  <c r="B1020" i="13"/>
  <c r="H1019" i="13"/>
  <c r="G1019" i="13"/>
  <c r="F1019" i="13"/>
  <c r="E1019" i="13"/>
  <c r="D1019" i="13"/>
  <c r="C1019" i="13"/>
  <c r="B1019" i="13"/>
  <c r="H1018" i="13"/>
  <c r="G1018" i="13"/>
  <c r="F1018" i="13"/>
  <c r="E1018" i="13"/>
  <c r="D1018" i="13"/>
  <c r="C1018" i="13"/>
  <c r="B1018" i="13"/>
  <c r="H1017" i="13"/>
  <c r="G1017" i="13"/>
  <c r="F1017" i="13"/>
  <c r="E1017" i="13"/>
  <c r="D1017" i="13"/>
  <c r="C1017" i="13"/>
  <c r="B1017" i="13"/>
  <c r="H1016" i="13"/>
  <c r="G1016" i="13"/>
  <c r="F1016" i="13"/>
  <c r="E1016" i="13"/>
  <c r="D1016" i="13"/>
  <c r="C1016" i="13"/>
  <c r="B1016" i="13"/>
  <c r="H1015" i="13"/>
  <c r="F1015" i="13"/>
  <c r="E1015" i="13"/>
  <c r="D1015" i="13"/>
  <c r="C1015" i="13"/>
  <c r="B1015" i="13"/>
  <c r="H1014" i="13"/>
  <c r="G1014" i="13"/>
  <c r="F1014" i="13"/>
  <c r="E1014" i="13"/>
  <c r="D1014" i="13"/>
  <c r="C1014" i="13"/>
  <c r="B1014" i="13"/>
  <c r="H1013" i="13"/>
  <c r="G1013" i="13"/>
  <c r="F1013" i="13"/>
  <c r="E1013" i="13"/>
  <c r="D1013" i="13"/>
  <c r="C1013" i="13"/>
  <c r="B1013" i="13"/>
  <c r="H1012" i="13"/>
  <c r="G1012" i="13"/>
  <c r="F1012" i="13"/>
  <c r="E1012" i="13"/>
  <c r="D1012" i="13"/>
  <c r="C1012" i="13"/>
  <c r="B1012" i="13"/>
  <c r="H1011" i="13"/>
  <c r="G1011" i="13"/>
  <c r="F1011" i="13"/>
  <c r="E1011" i="13"/>
  <c r="D1011" i="13"/>
  <c r="C1011" i="13"/>
  <c r="B1011" i="13"/>
  <c r="H1010" i="13"/>
  <c r="G1010" i="13"/>
  <c r="F1010" i="13"/>
  <c r="E1010" i="13"/>
  <c r="D1010" i="13"/>
  <c r="C1010" i="13"/>
  <c r="B1010" i="13"/>
  <c r="H1009" i="13"/>
  <c r="G1009" i="13"/>
  <c r="F1009" i="13"/>
  <c r="E1009" i="13"/>
  <c r="D1009" i="13"/>
  <c r="C1009" i="13"/>
  <c r="B1009" i="13"/>
  <c r="H1008" i="13"/>
  <c r="G1008" i="13"/>
  <c r="F1008" i="13"/>
  <c r="E1008" i="13"/>
  <c r="D1008" i="13"/>
  <c r="C1008" i="13"/>
  <c r="B1008" i="13"/>
  <c r="H1007" i="13"/>
  <c r="G1007" i="13"/>
  <c r="F1007" i="13"/>
  <c r="E1007" i="13"/>
  <c r="D1007" i="13"/>
  <c r="C1007" i="13"/>
  <c r="B1007" i="13"/>
  <c r="H1006" i="13"/>
  <c r="G1006" i="13"/>
  <c r="F1006" i="13"/>
  <c r="E1006" i="13"/>
  <c r="D1006" i="13"/>
  <c r="C1006" i="13"/>
  <c r="B1006" i="13"/>
  <c r="H1005" i="13"/>
  <c r="G1005" i="13"/>
  <c r="F1005" i="13"/>
  <c r="E1005" i="13"/>
  <c r="D1005" i="13"/>
  <c r="C1005" i="13"/>
  <c r="B1005" i="13"/>
  <c r="H1004" i="13"/>
  <c r="G1004" i="13"/>
  <c r="F1004" i="13"/>
  <c r="E1004" i="13"/>
  <c r="D1004" i="13"/>
  <c r="C1004" i="13"/>
  <c r="B1004" i="13"/>
  <c r="H1003" i="13"/>
  <c r="G1003" i="13"/>
  <c r="F1003" i="13"/>
  <c r="E1003" i="13"/>
  <c r="D1003" i="13"/>
  <c r="C1003" i="13"/>
  <c r="B1003" i="13"/>
  <c r="H1002" i="13"/>
  <c r="G1002" i="13"/>
  <c r="F1002" i="13"/>
  <c r="E1002" i="13"/>
  <c r="D1002" i="13"/>
  <c r="C1002" i="13"/>
  <c r="B1002" i="13"/>
  <c r="H1001" i="13"/>
  <c r="G1001" i="13"/>
  <c r="F1001" i="13"/>
  <c r="E1001" i="13"/>
  <c r="D1001" i="13"/>
  <c r="C1001" i="13"/>
  <c r="B1001" i="13"/>
  <c r="H1000" i="13"/>
  <c r="G1000" i="13"/>
  <c r="F1000" i="13"/>
  <c r="E1000" i="13"/>
  <c r="D1000" i="13"/>
  <c r="C1000" i="13"/>
  <c r="B1000" i="13"/>
  <c r="H999" i="13"/>
  <c r="G999" i="13"/>
  <c r="F999" i="13"/>
  <c r="E999" i="13"/>
  <c r="D999" i="13"/>
  <c r="C999" i="13"/>
  <c r="B999" i="13"/>
  <c r="H998" i="13"/>
  <c r="G998" i="13"/>
  <c r="F998" i="13"/>
  <c r="E998" i="13"/>
  <c r="D998" i="13"/>
  <c r="C998" i="13"/>
  <c r="B998" i="13"/>
  <c r="H997" i="13"/>
  <c r="G997" i="13"/>
  <c r="F997" i="13"/>
  <c r="E997" i="13"/>
  <c r="D997" i="13"/>
  <c r="C997" i="13"/>
  <c r="B997" i="13"/>
  <c r="H996" i="13"/>
  <c r="G996" i="13"/>
  <c r="F996" i="13"/>
  <c r="E996" i="13"/>
  <c r="D996" i="13"/>
  <c r="C996" i="13"/>
  <c r="B996" i="13"/>
  <c r="H995" i="13"/>
  <c r="G995" i="13"/>
  <c r="F995" i="13"/>
  <c r="E995" i="13"/>
  <c r="D995" i="13"/>
  <c r="C995" i="13"/>
  <c r="B995" i="13"/>
  <c r="H994" i="13"/>
  <c r="F994" i="13"/>
  <c r="E994" i="13"/>
  <c r="D994" i="13"/>
  <c r="C994" i="13"/>
  <c r="B994" i="13"/>
  <c r="H993" i="13"/>
  <c r="G993" i="13"/>
  <c r="F993" i="13"/>
  <c r="E993" i="13"/>
  <c r="D993" i="13"/>
  <c r="C993" i="13"/>
  <c r="B993" i="13"/>
  <c r="H992" i="13"/>
  <c r="G992" i="13"/>
  <c r="F992" i="13"/>
  <c r="E992" i="13"/>
  <c r="D992" i="13"/>
  <c r="C992" i="13"/>
  <c r="B992" i="13"/>
  <c r="H991" i="13"/>
  <c r="G991" i="13"/>
  <c r="F991" i="13"/>
  <c r="E991" i="13"/>
  <c r="D991" i="13"/>
  <c r="C991" i="13"/>
  <c r="B991" i="13"/>
  <c r="H990" i="13"/>
  <c r="G990" i="13"/>
  <c r="F990" i="13"/>
  <c r="E990" i="13"/>
  <c r="D990" i="13"/>
  <c r="C990" i="13"/>
  <c r="B990" i="13"/>
  <c r="H989" i="13"/>
  <c r="G989" i="13"/>
  <c r="F989" i="13"/>
  <c r="E989" i="13"/>
  <c r="D989" i="13"/>
  <c r="C989" i="13"/>
  <c r="B989" i="13"/>
  <c r="H988" i="13"/>
  <c r="G988" i="13"/>
  <c r="F988" i="13"/>
  <c r="E988" i="13"/>
  <c r="D988" i="13"/>
  <c r="C988" i="13"/>
  <c r="B988" i="13"/>
  <c r="H987" i="13"/>
  <c r="G987" i="13"/>
  <c r="F987" i="13"/>
  <c r="E987" i="13"/>
  <c r="D987" i="13"/>
  <c r="C987" i="13"/>
  <c r="B987" i="13"/>
  <c r="H986" i="13"/>
  <c r="G986" i="13"/>
  <c r="F986" i="13"/>
  <c r="E986" i="13"/>
  <c r="D986" i="13"/>
  <c r="C986" i="13"/>
  <c r="B986" i="13"/>
  <c r="H985" i="13"/>
  <c r="G985" i="13"/>
  <c r="F985" i="13"/>
  <c r="E985" i="13"/>
  <c r="D985" i="13"/>
  <c r="C985" i="13"/>
  <c r="B985" i="13"/>
  <c r="H984" i="13"/>
  <c r="G984" i="13"/>
  <c r="F984" i="13"/>
  <c r="E984" i="13"/>
  <c r="D984" i="13"/>
  <c r="C984" i="13"/>
  <c r="B984" i="13"/>
  <c r="H983" i="13"/>
  <c r="G983" i="13"/>
  <c r="F983" i="13"/>
  <c r="E983" i="13"/>
  <c r="D983" i="13"/>
  <c r="C983" i="13"/>
  <c r="B983" i="13"/>
  <c r="H982" i="13"/>
  <c r="G982" i="13"/>
  <c r="F982" i="13"/>
  <c r="E982" i="13"/>
  <c r="D982" i="13"/>
  <c r="C982" i="13"/>
  <c r="B982" i="13"/>
  <c r="H981" i="13"/>
  <c r="G981" i="13"/>
  <c r="F981" i="13"/>
  <c r="E981" i="13"/>
  <c r="D981" i="13"/>
  <c r="C981" i="13"/>
  <c r="B981" i="13"/>
  <c r="H980" i="13"/>
  <c r="G980" i="13"/>
  <c r="F980" i="13"/>
  <c r="E980" i="13"/>
  <c r="D980" i="13"/>
  <c r="C980" i="13"/>
  <c r="B980" i="13"/>
  <c r="H979" i="13"/>
  <c r="G979" i="13"/>
  <c r="F979" i="13"/>
  <c r="E979" i="13"/>
  <c r="D979" i="13"/>
  <c r="C979" i="13"/>
  <c r="B979" i="13"/>
  <c r="H978" i="13"/>
  <c r="G978" i="13"/>
  <c r="F978" i="13"/>
  <c r="E978" i="13"/>
  <c r="D978" i="13"/>
  <c r="C978" i="13"/>
  <c r="B978" i="13"/>
  <c r="H977" i="13"/>
  <c r="G977" i="13"/>
  <c r="F977" i="13"/>
  <c r="E977" i="13"/>
  <c r="D977" i="13"/>
  <c r="C977" i="13"/>
  <c r="B977" i="13"/>
  <c r="H976" i="13"/>
  <c r="G976" i="13"/>
  <c r="F976" i="13"/>
  <c r="E976" i="13"/>
  <c r="D976" i="13"/>
  <c r="C976" i="13"/>
  <c r="B976" i="13"/>
  <c r="H975" i="13"/>
  <c r="G975" i="13"/>
  <c r="F975" i="13"/>
  <c r="E975" i="13"/>
  <c r="D975" i="13"/>
  <c r="C975" i="13"/>
  <c r="B975" i="13"/>
  <c r="H974" i="13"/>
  <c r="G974" i="13"/>
  <c r="F974" i="13"/>
  <c r="E974" i="13"/>
  <c r="D974" i="13"/>
  <c r="C974" i="13"/>
  <c r="B974" i="13"/>
  <c r="H973" i="13"/>
  <c r="G973" i="13"/>
  <c r="F973" i="13"/>
  <c r="E973" i="13"/>
  <c r="D973" i="13"/>
  <c r="C973" i="13"/>
  <c r="B973" i="13"/>
  <c r="H972" i="13"/>
  <c r="G972" i="13"/>
  <c r="F972" i="13"/>
  <c r="E972" i="13"/>
  <c r="D972" i="13"/>
  <c r="C972" i="13"/>
  <c r="B972" i="13"/>
  <c r="H971" i="13"/>
  <c r="G971" i="13"/>
  <c r="F971" i="13"/>
  <c r="E971" i="13"/>
  <c r="D971" i="13"/>
  <c r="C971" i="13"/>
  <c r="B971" i="13"/>
  <c r="H970" i="13"/>
  <c r="G970" i="13"/>
  <c r="F970" i="13"/>
  <c r="E970" i="13"/>
  <c r="D970" i="13"/>
  <c r="C970" i="13"/>
  <c r="B970" i="13"/>
  <c r="H969" i="13"/>
  <c r="G969" i="13"/>
  <c r="F969" i="13"/>
  <c r="E969" i="13"/>
  <c r="D969" i="13"/>
  <c r="C969" i="13"/>
  <c r="B969" i="13"/>
  <c r="H968" i="13"/>
  <c r="G968" i="13"/>
  <c r="F968" i="13"/>
  <c r="E968" i="13"/>
  <c r="D968" i="13"/>
  <c r="C968" i="13"/>
  <c r="B968" i="13"/>
  <c r="H967" i="13"/>
  <c r="G967" i="13"/>
  <c r="F967" i="13"/>
  <c r="E967" i="13"/>
  <c r="D967" i="13"/>
  <c r="C967" i="13"/>
  <c r="B967" i="13"/>
  <c r="H966" i="13"/>
  <c r="G966" i="13"/>
  <c r="F966" i="13"/>
  <c r="E966" i="13"/>
  <c r="D966" i="13"/>
  <c r="C966" i="13"/>
  <c r="B966" i="13"/>
  <c r="H965" i="13"/>
  <c r="G965" i="13"/>
  <c r="F965" i="13"/>
  <c r="E965" i="13"/>
  <c r="D965" i="13"/>
  <c r="C965" i="13"/>
  <c r="B965" i="13"/>
  <c r="H964" i="13"/>
  <c r="G964" i="13"/>
  <c r="F964" i="13"/>
  <c r="E964" i="13"/>
  <c r="D964" i="13"/>
  <c r="C964" i="13"/>
  <c r="B964" i="13"/>
  <c r="H963" i="13"/>
  <c r="G963" i="13"/>
  <c r="F963" i="13"/>
  <c r="E963" i="13"/>
  <c r="D963" i="13"/>
  <c r="C963" i="13"/>
  <c r="B963" i="13"/>
  <c r="H962" i="13"/>
  <c r="G962" i="13"/>
  <c r="F962" i="13"/>
  <c r="E962" i="13"/>
  <c r="D962" i="13"/>
  <c r="C962" i="13"/>
  <c r="B962" i="13"/>
  <c r="H961" i="13"/>
  <c r="G961" i="13"/>
  <c r="F961" i="13"/>
  <c r="E961" i="13"/>
  <c r="D961" i="13"/>
  <c r="C961" i="13"/>
  <c r="B961" i="13"/>
  <c r="H960" i="13"/>
  <c r="G960" i="13"/>
  <c r="F960" i="13"/>
  <c r="E960" i="13"/>
  <c r="D960" i="13"/>
  <c r="C960" i="13"/>
  <c r="B960" i="13"/>
  <c r="H959" i="13"/>
  <c r="G959" i="13"/>
  <c r="F959" i="13"/>
  <c r="E959" i="13"/>
  <c r="D959" i="13"/>
  <c r="C959" i="13"/>
  <c r="B959" i="13"/>
  <c r="H958" i="13"/>
  <c r="G958" i="13"/>
  <c r="F958" i="13"/>
  <c r="E958" i="13"/>
  <c r="D958" i="13"/>
  <c r="C958" i="13"/>
  <c r="B958" i="13"/>
  <c r="H957" i="13"/>
  <c r="G957" i="13"/>
  <c r="F957" i="13"/>
  <c r="E957" i="13"/>
  <c r="D957" i="13"/>
  <c r="C957" i="13"/>
  <c r="B957" i="13"/>
  <c r="H956" i="13"/>
  <c r="G956" i="13"/>
  <c r="F956" i="13"/>
  <c r="E956" i="13"/>
  <c r="D956" i="13"/>
  <c r="C956" i="13"/>
  <c r="B956" i="13"/>
  <c r="H955" i="13"/>
  <c r="G955" i="13"/>
  <c r="F955" i="13"/>
  <c r="E955" i="13"/>
  <c r="D955" i="13"/>
  <c r="C955" i="13"/>
  <c r="B955" i="13"/>
  <c r="H954" i="13"/>
  <c r="G954" i="13"/>
  <c r="F954" i="13"/>
  <c r="E954" i="13"/>
  <c r="D954" i="13"/>
  <c r="C954" i="13"/>
  <c r="B954" i="13"/>
  <c r="H953" i="13"/>
  <c r="G953" i="13"/>
  <c r="F953" i="13"/>
  <c r="E953" i="13"/>
  <c r="D953" i="13"/>
  <c r="C953" i="13"/>
  <c r="B953" i="13"/>
  <c r="H952" i="13"/>
  <c r="G952" i="13"/>
  <c r="F952" i="13"/>
  <c r="E952" i="13"/>
  <c r="D952" i="13"/>
  <c r="C952" i="13"/>
  <c r="B952" i="13"/>
  <c r="H951" i="13"/>
  <c r="G951" i="13"/>
  <c r="F951" i="13"/>
  <c r="E951" i="13"/>
  <c r="D951" i="13"/>
  <c r="C951" i="13"/>
  <c r="B951" i="13"/>
  <c r="H950" i="13"/>
  <c r="G950" i="13"/>
  <c r="F950" i="13"/>
  <c r="E950" i="13"/>
  <c r="D950" i="13"/>
  <c r="C950" i="13"/>
  <c r="B950" i="13"/>
  <c r="H949" i="13"/>
  <c r="G949" i="13"/>
  <c r="F949" i="13"/>
  <c r="E949" i="13"/>
  <c r="D949" i="13"/>
  <c r="C949" i="13"/>
  <c r="B949" i="13"/>
  <c r="H948" i="13"/>
  <c r="G948" i="13"/>
  <c r="F948" i="13"/>
  <c r="E948" i="13"/>
  <c r="D948" i="13"/>
  <c r="C948" i="13"/>
  <c r="B948" i="13"/>
  <c r="H947" i="13"/>
  <c r="G947" i="13"/>
  <c r="F947" i="13"/>
  <c r="E947" i="13"/>
  <c r="D947" i="13"/>
  <c r="C947" i="13"/>
  <c r="B947" i="13"/>
  <c r="H946" i="13"/>
  <c r="G946" i="13"/>
  <c r="F946" i="13"/>
  <c r="E946" i="13"/>
  <c r="D946" i="13"/>
  <c r="C946" i="13"/>
  <c r="B946" i="13"/>
  <c r="H945" i="13"/>
  <c r="G945" i="13"/>
  <c r="F945" i="13"/>
  <c r="E945" i="13"/>
  <c r="D945" i="13"/>
  <c r="C945" i="13"/>
  <c r="B945" i="13"/>
  <c r="H944" i="13"/>
  <c r="G944" i="13"/>
  <c r="F944" i="13"/>
  <c r="E944" i="13"/>
  <c r="D944" i="13"/>
  <c r="C944" i="13"/>
  <c r="B944" i="13"/>
  <c r="H943" i="13"/>
  <c r="G943" i="13"/>
  <c r="F943" i="13"/>
  <c r="E943" i="13"/>
  <c r="D943" i="13"/>
  <c r="C943" i="13"/>
  <c r="B943" i="13"/>
  <c r="H942" i="13"/>
  <c r="G942" i="13"/>
  <c r="F942" i="13"/>
  <c r="E942" i="13"/>
  <c r="D942" i="13"/>
  <c r="C942" i="13"/>
  <c r="B942" i="13"/>
  <c r="H941" i="13"/>
  <c r="G941" i="13"/>
  <c r="F941" i="13"/>
  <c r="E941" i="13"/>
  <c r="D941" i="13"/>
  <c r="C941" i="13"/>
  <c r="B941" i="13"/>
  <c r="H940" i="13"/>
  <c r="G940" i="13"/>
  <c r="F940" i="13"/>
  <c r="E940" i="13"/>
  <c r="D940" i="13"/>
  <c r="C940" i="13"/>
  <c r="B940" i="13"/>
  <c r="H939" i="13"/>
  <c r="G939" i="13"/>
  <c r="F939" i="13"/>
  <c r="E939" i="13"/>
  <c r="D939" i="13"/>
  <c r="C939" i="13"/>
  <c r="B939" i="13"/>
  <c r="H938" i="13"/>
  <c r="F938" i="13"/>
  <c r="E938" i="13"/>
  <c r="D938" i="13"/>
  <c r="C938" i="13"/>
  <c r="B938" i="13"/>
  <c r="H937" i="13"/>
  <c r="G937" i="13"/>
  <c r="F937" i="13"/>
  <c r="E937" i="13"/>
  <c r="D937" i="13"/>
  <c r="C937" i="13"/>
  <c r="B937" i="13"/>
  <c r="H936" i="13"/>
  <c r="G936" i="13"/>
  <c r="F936" i="13"/>
  <c r="E936" i="13"/>
  <c r="D936" i="13"/>
  <c r="C936" i="13"/>
  <c r="B936" i="13"/>
  <c r="H935" i="13"/>
  <c r="G935" i="13"/>
  <c r="F935" i="13"/>
  <c r="E935" i="13"/>
  <c r="D935" i="13"/>
  <c r="C935" i="13"/>
  <c r="B935" i="13"/>
  <c r="H934" i="13"/>
  <c r="G934" i="13"/>
  <c r="F934" i="13"/>
  <c r="E934" i="13"/>
  <c r="D934" i="13"/>
  <c r="C934" i="13"/>
  <c r="B934" i="13"/>
  <c r="H933" i="13"/>
  <c r="G933" i="13"/>
  <c r="F933" i="13"/>
  <c r="E933" i="13"/>
  <c r="D933" i="13"/>
  <c r="C933" i="13"/>
  <c r="B933" i="13"/>
  <c r="H932" i="13"/>
  <c r="G932" i="13"/>
  <c r="F932" i="13"/>
  <c r="E932" i="13"/>
  <c r="D932" i="13"/>
  <c r="C932" i="13"/>
  <c r="B932" i="13"/>
  <c r="H931" i="13"/>
  <c r="G931" i="13"/>
  <c r="F931" i="13"/>
  <c r="E931" i="13"/>
  <c r="D931" i="13"/>
  <c r="C931" i="13"/>
  <c r="B931" i="13"/>
  <c r="H930" i="13"/>
  <c r="G930" i="13"/>
  <c r="F930" i="13"/>
  <c r="E930" i="13"/>
  <c r="D930" i="13"/>
  <c r="C930" i="13"/>
  <c r="B930" i="13"/>
  <c r="H929" i="13"/>
  <c r="G929" i="13"/>
  <c r="F929" i="13"/>
  <c r="E929" i="13"/>
  <c r="D929" i="13"/>
  <c r="C929" i="13"/>
  <c r="B929" i="13"/>
  <c r="H928" i="13"/>
  <c r="G928" i="13"/>
  <c r="F928" i="13"/>
  <c r="E928" i="13"/>
  <c r="D928" i="13"/>
  <c r="C928" i="13"/>
  <c r="B928" i="13"/>
  <c r="H927" i="13"/>
  <c r="G927" i="13"/>
  <c r="F927" i="13"/>
  <c r="E927" i="13"/>
  <c r="D927" i="13"/>
  <c r="C927" i="13"/>
  <c r="B927" i="13"/>
  <c r="H926" i="13"/>
  <c r="G926" i="13"/>
  <c r="F926" i="13"/>
  <c r="E926" i="13"/>
  <c r="D926" i="13"/>
  <c r="C926" i="13"/>
  <c r="B926" i="13"/>
  <c r="H925" i="13"/>
  <c r="G925" i="13"/>
  <c r="F925" i="13"/>
  <c r="E925" i="13"/>
  <c r="D925" i="13"/>
  <c r="C925" i="13"/>
  <c r="B925" i="13"/>
  <c r="H924" i="13"/>
  <c r="G924" i="13"/>
  <c r="F924" i="13"/>
  <c r="E924" i="13"/>
  <c r="D924" i="13"/>
  <c r="C924" i="13"/>
  <c r="B924" i="13"/>
  <c r="H923" i="13"/>
  <c r="G923" i="13"/>
  <c r="F923" i="13"/>
  <c r="E923" i="13"/>
  <c r="D923" i="13"/>
  <c r="C923" i="13"/>
  <c r="B923" i="13"/>
  <c r="H922" i="13"/>
  <c r="G922" i="13"/>
  <c r="F922" i="13"/>
  <c r="E922" i="13"/>
  <c r="D922" i="13"/>
  <c r="C922" i="13"/>
  <c r="B922" i="13"/>
  <c r="H921" i="13"/>
  <c r="G921" i="13"/>
  <c r="F921" i="13"/>
  <c r="E921" i="13"/>
  <c r="D921" i="13"/>
  <c r="C921" i="13"/>
  <c r="B921" i="13"/>
  <c r="H920" i="13"/>
  <c r="G920" i="13"/>
  <c r="F920" i="13"/>
  <c r="E920" i="13"/>
  <c r="D920" i="13"/>
  <c r="C920" i="13"/>
  <c r="B920" i="13"/>
  <c r="H919" i="13"/>
  <c r="G919" i="13"/>
  <c r="F919" i="13"/>
  <c r="E919" i="13"/>
  <c r="D919" i="13"/>
  <c r="C919" i="13"/>
  <c r="B919" i="13"/>
  <c r="H918" i="13"/>
  <c r="G918" i="13"/>
  <c r="F918" i="13"/>
  <c r="E918" i="13"/>
  <c r="D918" i="13"/>
  <c r="C918" i="13"/>
  <c r="B918" i="13"/>
  <c r="H917" i="13"/>
  <c r="G917" i="13"/>
  <c r="F917" i="13"/>
  <c r="E917" i="13"/>
  <c r="D917" i="13"/>
  <c r="C917" i="13"/>
  <c r="B917" i="13"/>
  <c r="H916" i="13"/>
  <c r="G916" i="13"/>
  <c r="F916" i="13"/>
  <c r="E916" i="13"/>
  <c r="D916" i="13"/>
  <c r="C916" i="13"/>
  <c r="B916" i="13"/>
  <c r="H915" i="13"/>
  <c r="G915" i="13"/>
  <c r="F915" i="13"/>
  <c r="E915" i="13"/>
  <c r="D915" i="13"/>
  <c r="C915" i="13"/>
  <c r="B915" i="13"/>
  <c r="H914" i="13"/>
  <c r="G914" i="13"/>
  <c r="F914" i="13"/>
  <c r="E914" i="13"/>
  <c r="D914" i="13"/>
  <c r="C914" i="13"/>
  <c r="B914" i="13"/>
  <c r="H913" i="13"/>
  <c r="G913" i="13"/>
  <c r="F913" i="13"/>
  <c r="E913" i="13"/>
  <c r="D913" i="13"/>
  <c r="C913" i="13"/>
  <c r="B913" i="13"/>
  <c r="H912" i="13"/>
  <c r="G912" i="13"/>
  <c r="F912" i="13"/>
  <c r="E912" i="13"/>
  <c r="D912" i="13"/>
  <c r="C912" i="13"/>
  <c r="B912" i="13"/>
  <c r="H911" i="13"/>
  <c r="G911" i="13"/>
  <c r="F911" i="13"/>
  <c r="E911" i="13"/>
  <c r="D911" i="13"/>
  <c r="C911" i="13"/>
  <c r="B911" i="13"/>
  <c r="H910" i="13"/>
  <c r="G910" i="13"/>
  <c r="F910" i="13"/>
  <c r="E910" i="13"/>
  <c r="D910" i="13"/>
  <c r="C910" i="13"/>
  <c r="B910" i="13"/>
  <c r="H909" i="13"/>
  <c r="G909" i="13"/>
  <c r="F909" i="13"/>
  <c r="E909" i="13"/>
  <c r="D909" i="13"/>
  <c r="C909" i="13"/>
  <c r="B909" i="13"/>
  <c r="H908" i="13"/>
  <c r="G908" i="13"/>
  <c r="F908" i="13"/>
  <c r="E908" i="13"/>
  <c r="D908" i="13"/>
  <c r="C908" i="13"/>
  <c r="B908" i="13"/>
  <c r="H907" i="13"/>
  <c r="G907" i="13"/>
  <c r="F907" i="13"/>
  <c r="E907" i="13"/>
  <c r="D907" i="13"/>
  <c r="C907" i="13"/>
  <c r="B907" i="13"/>
  <c r="H906" i="13"/>
  <c r="G906" i="13"/>
  <c r="F906" i="13"/>
  <c r="E906" i="13"/>
  <c r="D906" i="13"/>
  <c r="C906" i="13"/>
  <c r="B906" i="13"/>
  <c r="H905" i="13"/>
  <c r="G905" i="13"/>
  <c r="F905" i="13"/>
  <c r="E905" i="13"/>
  <c r="D905" i="13"/>
  <c r="C905" i="13"/>
  <c r="B905" i="13"/>
  <c r="H904" i="13"/>
  <c r="G904" i="13"/>
  <c r="F904" i="13"/>
  <c r="E904" i="13"/>
  <c r="D904" i="13"/>
  <c r="C904" i="13"/>
  <c r="B904" i="13"/>
  <c r="H903" i="13"/>
  <c r="G903" i="13"/>
  <c r="F903" i="13"/>
  <c r="E903" i="13"/>
  <c r="D903" i="13"/>
  <c r="C903" i="13"/>
  <c r="B903" i="13"/>
  <c r="H902" i="13"/>
  <c r="G902" i="13"/>
  <c r="F902" i="13"/>
  <c r="E902" i="13"/>
  <c r="D902" i="13"/>
  <c r="C902" i="13"/>
  <c r="B902" i="13"/>
  <c r="H901" i="13"/>
  <c r="G901" i="13"/>
  <c r="F901" i="13"/>
  <c r="E901" i="13"/>
  <c r="D901" i="13"/>
  <c r="C901" i="13"/>
  <c r="B901" i="13"/>
  <c r="H900" i="13"/>
  <c r="G900" i="13"/>
  <c r="F900" i="13"/>
  <c r="E900" i="13"/>
  <c r="D900" i="13"/>
  <c r="C900" i="13"/>
  <c r="B900" i="13"/>
  <c r="H899" i="13"/>
  <c r="F899" i="13"/>
  <c r="E899" i="13"/>
  <c r="D899" i="13"/>
  <c r="C899" i="13"/>
  <c r="B899" i="13"/>
  <c r="H898" i="13"/>
  <c r="G898" i="13"/>
  <c r="F898" i="13"/>
  <c r="E898" i="13"/>
  <c r="D898" i="13"/>
  <c r="C898" i="13"/>
  <c r="B898" i="13"/>
  <c r="H897" i="13"/>
  <c r="G897" i="13"/>
  <c r="F897" i="13"/>
  <c r="E897" i="13"/>
  <c r="D897" i="13"/>
  <c r="C897" i="13"/>
  <c r="B897" i="13"/>
  <c r="H896" i="13"/>
  <c r="G896" i="13"/>
  <c r="F896" i="13"/>
  <c r="E896" i="13"/>
  <c r="D896" i="13"/>
  <c r="C896" i="13"/>
  <c r="B896" i="13"/>
  <c r="H895" i="13"/>
  <c r="G895" i="13"/>
  <c r="F895" i="13"/>
  <c r="E895" i="13"/>
  <c r="D895" i="13"/>
  <c r="C895" i="13"/>
  <c r="B895" i="13"/>
  <c r="H894" i="13"/>
  <c r="G894" i="13"/>
  <c r="F894" i="13"/>
  <c r="E894" i="13"/>
  <c r="D894" i="13"/>
  <c r="C894" i="13"/>
  <c r="B894" i="13"/>
  <c r="H893" i="13"/>
  <c r="G893" i="13"/>
  <c r="F893" i="13"/>
  <c r="E893" i="13"/>
  <c r="D893" i="13"/>
  <c r="C893" i="13"/>
  <c r="B893" i="13"/>
  <c r="H892" i="13"/>
  <c r="G892" i="13"/>
  <c r="F892" i="13"/>
  <c r="E892" i="13"/>
  <c r="D892" i="13"/>
  <c r="C892" i="13"/>
  <c r="B892" i="13"/>
  <c r="H891" i="13"/>
  <c r="G891" i="13"/>
  <c r="F891" i="13"/>
  <c r="E891" i="13"/>
  <c r="D891" i="13"/>
  <c r="C891" i="13"/>
  <c r="B891" i="13"/>
  <c r="H890" i="13"/>
  <c r="G890" i="13"/>
  <c r="F890" i="13"/>
  <c r="E890" i="13"/>
  <c r="D890" i="13"/>
  <c r="C890" i="13"/>
  <c r="B890" i="13"/>
  <c r="H889" i="13"/>
  <c r="G889" i="13"/>
  <c r="F889" i="13"/>
  <c r="E889" i="13"/>
  <c r="D889" i="13"/>
  <c r="C889" i="13"/>
  <c r="B889" i="13"/>
  <c r="H888" i="13"/>
  <c r="G888" i="13"/>
  <c r="F888" i="13"/>
  <c r="E888" i="13"/>
  <c r="D888" i="13"/>
  <c r="C888" i="13"/>
  <c r="B888" i="13"/>
  <c r="H887" i="13"/>
  <c r="G887" i="13"/>
  <c r="F887" i="13"/>
  <c r="E887" i="13"/>
  <c r="D887" i="13"/>
  <c r="C887" i="13"/>
  <c r="B887" i="13"/>
  <c r="H886" i="13"/>
  <c r="G886" i="13"/>
  <c r="F886" i="13"/>
  <c r="E886" i="13"/>
  <c r="D886" i="13"/>
  <c r="C886" i="13"/>
  <c r="B886" i="13"/>
  <c r="H885" i="13"/>
  <c r="G885" i="13"/>
  <c r="F885" i="13"/>
  <c r="E885" i="13"/>
  <c r="D885" i="13"/>
  <c r="C885" i="13"/>
  <c r="B885" i="13"/>
  <c r="H884" i="13"/>
  <c r="G884" i="13"/>
  <c r="F884" i="13"/>
  <c r="E884" i="13"/>
  <c r="D884" i="13"/>
  <c r="C884" i="13"/>
  <c r="B884" i="13"/>
  <c r="H883" i="13"/>
  <c r="G883" i="13"/>
  <c r="F883" i="13"/>
  <c r="E883" i="13"/>
  <c r="D883" i="13"/>
  <c r="C883" i="13"/>
  <c r="B883" i="13"/>
  <c r="H882" i="13"/>
  <c r="G882" i="13"/>
  <c r="F882" i="13"/>
  <c r="E882" i="13"/>
  <c r="D882" i="13"/>
  <c r="C882" i="13"/>
  <c r="B882" i="13"/>
  <c r="H881" i="13"/>
  <c r="G881" i="13"/>
  <c r="F881" i="13"/>
  <c r="E881" i="13"/>
  <c r="D881" i="13"/>
  <c r="C881" i="13"/>
  <c r="B881" i="13"/>
  <c r="H880" i="13"/>
  <c r="F880" i="13"/>
  <c r="E880" i="13"/>
  <c r="D880" i="13"/>
  <c r="C880" i="13"/>
  <c r="B880" i="13"/>
  <c r="H879" i="13"/>
  <c r="F879" i="13"/>
  <c r="E879" i="13"/>
  <c r="D879" i="13"/>
  <c r="C879" i="13"/>
  <c r="B879" i="13"/>
  <c r="H878" i="13"/>
  <c r="G878" i="13"/>
  <c r="F878" i="13"/>
  <c r="E878" i="13"/>
  <c r="D878" i="13"/>
  <c r="C878" i="13"/>
  <c r="B878" i="13"/>
  <c r="H877" i="13"/>
  <c r="G877" i="13"/>
  <c r="F877" i="13"/>
  <c r="E877" i="13"/>
  <c r="D877" i="13"/>
  <c r="C877" i="13"/>
  <c r="B877" i="13"/>
  <c r="H876" i="13"/>
  <c r="G876" i="13"/>
  <c r="F876" i="13"/>
  <c r="E876" i="13"/>
  <c r="D876" i="13"/>
  <c r="C876" i="13"/>
  <c r="B876" i="13"/>
  <c r="H875" i="13"/>
  <c r="G875" i="13"/>
  <c r="F875" i="13"/>
  <c r="E875" i="13"/>
  <c r="D875" i="13"/>
  <c r="C875" i="13"/>
  <c r="B875" i="13"/>
  <c r="H874" i="13"/>
  <c r="G874" i="13"/>
  <c r="F874" i="13"/>
  <c r="E874" i="13"/>
  <c r="D874" i="13"/>
  <c r="C874" i="13"/>
  <c r="B874" i="13"/>
  <c r="H873" i="13"/>
  <c r="G873" i="13"/>
  <c r="F873" i="13"/>
  <c r="E873" i="13"/>
  <c r="D873" i="13"/>
  <c r="C873" i="13"/>
  <c r="B873" i="13"/>
  <c r="H872" i="13"/>
  <c r="G872" i="13"/>
  <c r="F872" i="13"/>
  <c r="E872" i="13"/>
  <c r="D872" i="13"/>
  <c r="C872" i="13"/>
  <c r="B872" i="13"/>
  <c r="H871" i="13"/>
  <c r="G871" i="13"/>
  <c r="F871" i="13"/>
  <c r="E871" i="13"/>
  <c r="D871" i="13"/>
  <c r="C871" i="13"/>
  <c r="B871" i="13"/>
  <c r="H870" i="13"/>
  <c r="G870" i="13"/>
  <c r="F870" i="13"/>
  <c r="E870" i="13"/>
  <c r="D870" i="13"/>
  <c r="C870" i="13"/>
  <c r="B870" i="13"/>
  <c r="H869" i="13"/>
  <c r="G869" i="13"/>
  <c r="F869" i="13"/>
  <c r="E869" i="13"/>
  <c r="D869" i="13"/>
  <c r="C869" i="13"/>
  <c r="B869" i="13"/>
  <c r="H868" i="13"/>
  <c r="F868" i="13"/>
  <c r="E868" i="13"/>
  <c r="D868" i="13"/>
  <c r="C868" i="13"/>
  <c r="B868" i="13"/>
  <c r="H867" i="13"/>
  <c r="G867" i="13"/>
  <c r="F867" i="13"/>
  <c r="E867" i="13"/>
  <c r="D867" i="13"/>
  <c r="C867" i="13"/>
  <c r="B867" i="13"/>
  <c r="H866" i="13"/>
  <c r="G866" i="13"/>
  <c r="F866" i="13"/>
  <c r="E866" i="13"/>
  <c r="D866" i="13"/>
  <c r="C866" i="13"/>
  <c r="B866" i="13"/>
  <c r="H865" i="13"/>
  <c r="G865" i="13"/>
  <c r="F865" i="13"/>
  <c r="E865" i="13"/>
  <c r="D865" i="13"/>
  <c r="C865" i="13"/>
  <c r="B865" i="13"/>
  <c r="H864" i="13"/>
  <c r="G864" i="13"/>
  <c r="F864" i="13"/>
  <c r="E864" i="13"/>
  <c r="D864" i="13"/>
  <c r="C864" i="13"/>
  <c r="B864" i="13"/>
  <c r="H863" i="13"/>
  <c r="F863" i="13"/>
  <c r="E863" i="13"/>
  <c r="D863" i="13"/>
  <c r="C863" i="13"/>
  <c r="B863" i="13"/>
  <c r="H862" i="13"/>
  <c r="G862" i="13"/>
  <c r="F862" i="13"/>
  <c r="E862" i="13"/>
  <c r="D862" i="13"/>
  <c r="C862" i="13"/>
  <c r="B862" i="13"/>
  <c r="H861" i="13"/>
  <c r="G861" i="13"/>
  <c r="F861" i="13"/>
  <c r="E861" i="13"/>
  <c r="D861" i="13"/>
  <c r="C861" i="13"/>
  <c r="B861" i="13"/>
  <c r="H860" i="13"/>
  <c r="F860" i="13"/>
  <c r="E860" i="13"/>
  <c r="D860" i="13"/>
  <c r="C860" i="13"/>
  <c r="B860" i="13"/>
  <c r="H859" i="13"/>
  <c r="F859" i="13"/>
  <c r="E859" i="13"/>
  <c r="D859" i="13"/>
  <c r="C859" i="13"/>
  <c r="B859" i="13"/>
  <c r="H858" i="13"/>
  <c r="G858" i="13"/>
  <c r="F858" i="13"/>
  <c r="E858" i="13"/>
  <c r="D858" i="13"/>
  <c r="C858" i="13"/>
  <c r="B858" i="13"/>
  <c r="H857" i="13"/>
  <c r="G857" i="13"/>
  <c r="F857" i="13"/>
  <c r="E857" i="13"/>
  <c r="D857" i="13"/>
  <c r="C857" i="13"/>
  <c r="B857" i="13"/>
  <c r="H856" i="13"/>
  <c r="G856" i="13"/>
  <c r="F856" i="13"/>
  <c r="E856" i="13"/>
  <c r="D856" i="13"/>
  <c r="C856" i="13"/>
  <c r="B856" i="13"/>
  <c r="H855" i="13"/>
  <c r="F855" i="13"/>
  <c r="E855" i="13"/>
  <c r="D855" i="13"/>
  <c r="C855" i="13"/>
  <c r="B855" i="13"/>
  <c r="H854" i="13"/>
  <c r="F854" i="13"/>
  <c r="E854" i="13"/>
  <c r="D854" i="13"/>
  <c r="C854" i="13"/>
  <c r="B854" i="13"/>
  <c r="H853" i="13"/>
  <c r="G853" i="13"/>
  <c r="F853" i="13"/>
  <c r="E853" i="13"/>
  <c r="D853" i="13"/>
  <c r="C853" i="13"/>
  <c r="B853" i="13"/>
  <c r="H852" i="13"/>
  <c r="G852" i="13"/>
  <c r="F852" i="13"/>
  <c r="E852" i="13"/>
  <c r="D852" i="13"/>
  <c r="C852" i="13"/>
  <c r="B852" i="13"/>
  <c r="H851" i="13"/>
  <c r="G851" i="13"/>
  <c r="F851" i="13"/>
  <c r="E851" i="13"/>
  <c r="D851" i="13"/>
  <c r="C851" i="13"/>
  <c r="B851" i="13"/>
  <c r="H850" i="13"/>
  <c r="G850" i="13"/>
  <c r="F850" i="13"/>
  <c r="E850" i="13"/>
  <c r="D850" i="13"/>
  <c r="C850" i="13"/>
  <c r="B850" i="13"/>
  <c r="H849" i="13"/>
  <c r="F849" i="13"/>
  <c r="E849" i="13"/>
  <c r="D849" i="13"/>
  <c r="C849" i="13"/>
  <c r="B849" i="13"/>
  <c r="H848" i="13"/>
  <c r="F848" i="13"/>
  <c r="E848" i="13"/>
  <c r="D848" i="13"/>
  <c r="C848" i="13"/>
  <c r="B848" i="13"/>
  <c r="H847" i="13"/>
  <c r="G847" i="13"/>
  <c r="F847" i="13"/>
  <c r="E847" i="13"/>
  <c r="D847" i="13"/>
  <c r="C847" i="13"/>
  <c r="B847" i="13"/>
  <c r="H846" i="13"/>
  <c r="G846" i="13"/>
  <c r="F846" i="13"/>
  <c r="E846" i="13"/>
  <c r="D846" i="13"/>
  <c r="C846" i="13"/>
  <c r="B846" i="13"/>
  <c r="H845" i="13"/>
  <c r="F845" i="13"/>
  <c r="E845" i="13"/>
  <c r="D845" i="13"/>
  <c r="C845" i="13"/>
  <c r="B845" i="13"/>
  <c r="H844" i="13"/>
  <c r="F844" i="13"/>
  <c r="E844" i="13"/>
  <c r="D844" i="13"/>
  <c r="C844" i="13"/>
  <c r="B844" i="13"/>
  <c r="H843" i="13"/>
  <c r="G843" i="13"/>
  <c r="F843" i="13"/>
  <c r="E843" i="13"/>
  <c r="D843" i="13"/>
  <c r="C843" i="13"/>
  <c r="B843" i="13"/>
  <c r="H842" i="13"/>
  <c r="G842" i="13"/>
  <c r="F842" i="13"/>
  <c r="E842" i="13"/>
  <c r="D842" i="13"/>
  <c r="C842" i="13"/>
  <c r="B842" i="13"/>
  <c r="H841" i="13"/>
  <c r="G841" i="13"/>
  <c r="F841" i="13"/>
  <c r="E841" i="13"/>
  <c r="D841" i="13"/>
  <c r="C841" i="13"/>
  <c r="B841" i="13"/>
  <c r="H840" i="13"/>
  <c r="G840" i="13"/>
  <c r="F840" i="13"/>
  <c r="E840" i="13"/>
  <c r="D840" i="13"/>
  <c r="C840" i="13"/>
  <c r="B840" i="13"/>
  <c r="H839" i="13"/>
  <c r="G839" i="13"/>
  <c r="F839" i="13"/>
  <c r="E839" i="13"/>
  <c r="D839" i="13"/>
  <c r="C839" i="13"/>
  <c r="B839" i="13"/>
  <c r="H838" i="13"/>
  <c r="G838" i="13"/>
  <c r="F838" i="13"/>
  <c r="E838" i="13"/>
  <c r="D838" i="13"/>
  <c r="C838" i="13"/>
  <c r="B838" i="13"/>
  <c r="H837" i="13"/>
  <c r="G837" i="13"/>
  <c r="F837" i="13"/>
  <c r="E837" i="13"/>
  <c r="D837" i="13"/>
  <c r="C837" i="13"/>
  <c r="B837" i="13"/>
  <c r="H836" i="13"/>
  <c r="G836" i="13"/>
  <c r="F836" i="13"/>
  <c r="E836" i="13"/>
  <c r="D836" i="13"/>
  <c r="C836" i="13"/>
  <c r="B836" i="13"/>
  <c r="H835" i="13"/>
  <c r="G835" i="13"/>
  <c r="F835" i="13"/>
  <c r="E835" i="13"/>
  <c r="D835" i="13"/>
  <c r="C835" i="13"/>
  <c r="B835" i="13"/>
  <c r="H834" i="13"/>
  <c r="G834" i="13"/>
  <c r="F834" i="13"/>
  <c r="E834" i="13"/>
  <c r="D834" i="13"/>
  <c r="C834" i="13"/>
  <c r="B834" i="13"/>
  <c r="H833" i="13"/>
  <c r="G833" i="13"/>
  <c r="F833" i="13"/>
  <c r="E833" i="13"/>
  <c r="D833" i="13"/>
  <c r="C833" i="13"/>
  <c r="B833" i="13"/>
  <c r="H832" i="13"/>
  <c r="G832" i="13"/>
  <c r="F832" i="13"/>
  <c r="E832" i="13"/>
  <c r="D832" i="13"/>
  <c r="C832" i="13"/>
  <c r="B832" i="13"/>
  <c r="H831" i="13"/>
  <c r="G831" i="13"/>
  <c r="F831" i="13"/>
  <c r="E831" i="13"/>
  <c r="D831" i="13"/>
  <c r="C831" i="13"/>
  <c r="B831" i="13"/>
  <c r="H830" i="13"/>
  <c r="G830" i="13"/>
  <c r="F830" i="13"/>
  <c r="E830" i="13"/>
  <c r="D830" i="13"/>
  <c r="C830" i="13"/>
  <c r="B830" i="13"/>
  <c r="H829" i="13"/>
  <c r="G829" i="13"/>
  <c r="F829" i="13"/>
  <c r="E829" i="13"/>
  <c r="D829" i="13"/>
  <c r="C829" i="13"/>
  <c r="B829" i="13"/>
  <c r="H828" i="13"/>
  <c r="G828" i="13"/>
  <c r="F828" i="13"/>
  <c r="E828" i="13"/>
  <c r="D828" i="13"/>
  <c r="C828" i="13"/>
  <c r="B828" i="13"/>
  <c r="H827" i="13"/>
  <c r="G827" i="13"/>
  <c r="F827" i="13"/>
  <c r="E827" i="13"/>
  <c r="D827" i="13"/>
  <c r="C827" i="13"/>
  <c r="B827" i="13"/>
  <c r="H826" i="13"/>
  <c r="G826" i="13"/>
  <c r="F826" i="13"/>
  <c r="E826" i="13"/>
  <c r="D826" i="13"/>
  <c r="C826" i="13"/>
  <c r="B826" i="13"/>
  <c r="H825" i="13"/>
  <c r="G825" i="13"/>
  <c r="F825" i="13"/>
  <c r="E825" i="13"/>
  <c r="D825" i="13"/>
  <c r="C825" i="13"/>
  <c r="B825" i="13"/>
  <c r="H824" i="13"/>
  <c r="G824" i="13"/>
  <c r="F824" i="13"/>
  <c r="E824" i="13"/>
  <c r="D824" i="13"/>
  <c r="C824" i="13"/>
  <c r="B824" i="13"/>
  <c r="H823" i="13"/>
  <c r="G823" i="13"/>
  <c r="F823" i="13"/>
  <c r="E823" i="13"/>
  <c r="D823" i="13"/>
  <c r="C823" i="13"/>
  <c r="B823" i="13"/>
  <c r="H822" i="13"/>
  <c r="G822" i="13"/>
  <c r="F822" i="13"/>
  <c r="E822" i="13"/>
  <c r="D822" i="13"/>
  <c r="C822" i="13"/>
  <c r="B822" i="13"/>
  <c r="H821" i="13"/>
  <c r="G821" i="13"/>
  <c r="F821" i="13"/>
  <c r="E821" i="13"/>
  <c r="D821" i="13"/>
  <c r="C821" i="13"/>
  <c r="B821" i="13"/>
  <c r="H820" i="13"/>
  <c r="G820" i="13"/>
  <c r="F820" i="13"/>
  <c r="E820" i="13"/>
  <c r="D820" i="13"/>
  <c r="C820" i="13"/>
  <c r="B820" i="13"/>
  <c r="H819" i="13"/>
  <c r="G819" i="13"/>
  <c r="F819" i="13"/>
  <c r="E819" i="13"/>
  <c r="D819" i="13"/>
  <c r="C819" i="13"/>
  <c r="B819" i="13"/>
  <c r="H818" i="13"/>
  <c r="G818" i="13"/>
  <c r="F818" i="13"/>
  <c r="E818" i="13"/>
  <c r="D818" i="13"/>
  <c r="C818" i="13"/>
  <c r="B818" i="13"/>
  <c r="H817" i="13"/>
  <c r="G817" i="13"/>
  <c r="F817" i="13"/>
  <c r="E817" i="13"/>
  <c r="D817" i="13"/>
  <c r="C817" i="13"/>
  <c r="B817" i="13"/>
  <c r="H816" i="13"/>
  <c r="G816" i="13"/>
  <c r="F816" i="13"/>
  <c r="E816" i="13"/>
  <c r="D816" i="13"/>
  <c r="C816" i="13"/>
  <c r="B816" i="13"/>
  <c r="H815" i="13"/>
  <c r="G815" i="13"/>
  <c r="F815" i="13"/>
  <c r="E815" i="13"/>
  <c r="D815" i="13"/>
  <c r="C815" i="13"/>
  <c r="B815" i="13"/>
  <c r="H814" i="13"/>
  <c r="G814" i="13"/>
  <c r="F814" i="13"/>
  <c r="E814" i="13"/>
  <c r="D814" i="13"/>
  <c r="C814" i="13"/>
  <c r="B814" i="13"/>
  <c r="H813" i="13"/>
  <c r="G813" i="13"/>
  <c r="F813" i="13"/>
  <c r="E813" i="13"/>
  <c r="D813" i="13"/>
  <c r="C813" i="13"/>
  <c r="B813" i="13"/>
  <c r="H812" i="13"/>
  <c r="G812" i="13"/>
  <c r="F812" i="13"/>
  <c r="E812" i="13"/>
  <c r="D812" i="13"/>
  <c r="C812" i="13"/>
  <c r="B812" i="13"/>
  <c r="H811" i="13"/>
  <c r="G811" i="13"/>
  <c r="F811" i="13"/>
  <c r="E811" i="13"/>
  <c r="D811" i="13"/>
  <c r="C811" i="13"/>
  <c r="B811" i="13"/>
  <c r="H810" i="13"/>
  <c r="G810" i="13"/>
  <c r="F810" i="13"/>
  <c r="E810" i="13"/>
  <c r="D810" i="13"/>
  <c r="C810" i="13"/>
  <c r="B810" i="13"/>
  <c r="H809" i="13"/>
  <c r="G809" i="13"/>
  <c r="F809" i="13"/>
  <c r="E809" i="13"/>
  <c r="D809" i="13"/>
  <c r="C809" i="13"/>
  <c r="B809" i="13"/>
  <c r="H808" i="13"/>
  <c r="G808" i="13"/>
  <c r="F808" i="13"/>
  <c r="E808" i="13"/>
  <c r="D808" i="13"/>
  <c r="C808" i="13"/>
  <c r="B808" i="13"/>
  <c r="H807" i="13"/>
  <c r="G807" i="13"/>
  <c r="F807" i="13"/>
  <c r="E807" i="13"/>
  <c r="D807" i="13"/>
  <c r="C807" i="13"/>
  <c r="B807" i="13"/>
  <c r="H806" i="13"/>
  <c r="G806" i="13"/>
  <c r="F806" i="13"/>
  <c r="E806" i="13"/>
  <c r="D806" i="13"/>
  <c r="C806" i="13"/>
  <c r="B806" i="13"/>
  <c r="H805" i="13"/>
  <c r="G805" i="13"/>
  <c r="F805" i="13"/>
  <c r="E805" i="13"/>
  <c r="D805" i="13"/>
  <c r="C805" i="13"/>
  <c r="B805" i="13"/>
  <c r="H804" i="13"/>
  <c r="G804" i="13"/>
  <c r="F804" i="13"/>
  <c r="E804" i="13"/>
  <c r="D804" i="13"/>
  <c r="C804" i="13"/>
  <c r="B804" i="13"/>
  <c r="H803" i="13"/>
  <c r="G803" i="13"/>
  <c r="F803" i="13"/>
  <c r="E803" i="13"/>
  <c r="D803" i="13"/>
  <c r="C803" i="13"/>
  <c r="B803" i="13"/>
  <c r="H802" i="13"/>
  <c r="G802" i="13"/>
  <c r="F802" i="13"/>
  <c r="E802" i="13"/>
  <c r="D802" i="13"/>
  <c r="C802" i="13"/>
  <c r="B802" i="13"/>
  <c r="H801" i="13"/>
  <c r="G801" i="13"/>
  <c r="F801" i="13"/>
  <c r="E801" i="13"/>
  <c r="D801" i="13"/>
  <c r="C801" i="13"/>
  <c r="B801" i="13"/>
  <c r="H800" i="13"/>
  <c r="G800" i="13"/>
  <c r="F800" i="13"/>
  <c r="E800" i="13"/>
  <c r="D800" i="13"/>
  <c r="C800" i="13"/>
  <c r="B800" i="13"/>
  <c r="H799" i="13"/>
  <c r="G799" i="13"/>
  <c r="F799" i="13"/>
  <c r="E799" i="13"/>
  <c r="D799" i="13"/>
  <c r="C799" i="13"/>
  <c r="B799" i="13"/>
  <c r="H798" i="13"/>
  <c r="G798" i="13"/>
  <c r="F798" i="13"/>
  <c r="E798" i="13"/>
  <c r="D798" i="13"/>
  <c r="C798" i="13"/>
  <c r="B798" i="13"/>
  <c r="H797" i="13"/>
  <c r="G797" i="13"/>
  <c r="F797" i="13"/>
  <c r="E797" i="13"/>
  <c r="D797" i="13"/>
  <c r="C797" i="13"/>
  <c r="B797" i="13"/>
  <c r="H796" i="13"/>
  <c r="G796" i="13"/>
  <c r="F796" i="13"/>
  <c r="E796" i="13"/>
  <c r="D796" i="13"/>
  <c r="C796" i="13"/>
  <c r="B796" i="13"/>
  <c r="H795" i="13"/>
  <c r="G795" i="13"/>
  <c r="F795" i="13"/>
  <c r="E795" i="13"/>
  <c r="D795" i="13"/>
  <c r="C795" i="13"/>
  <c r="B795" i="13"/>
  <c r="H794" i="13"/>
  <c r="G794" i="13"/>
  <c r="F794" i="13"/>
  <c r="E794" i="13"/>
  <c r="D794" i="13"/>
  <c r="C794" i="13"/>
  <c r="B794" i="13"/>
  <c r="H793" i="13"/>
  <c r="G793" i="13"/>
  <c r="F793" i="13"/>
  <c r="E793" i="13"/>
  <c r="D793" i="13"/>
  <c r="C793" i="13"/>
  <c r="B793" i="13"/>
  <c r="H792" i="13"/>
  <c r="G792" i="13"/>
  <c r="F792" i="13"/>
  <c r="E792" i="13"/>
  <c r="D792" i="13"/>
  <c r="C792" i="13"/>
  <c r="B792" i="13"/>
  <c r="H791" i="13"/>
  <c r="G791" i="13"/>
  <c r="F791" i="13"/>
  <c r="E791" i="13"/>
  <c r="D791" i="13"/>
  <c r="C791" i="13"/>
  <c r="B791" i="13"/>
  <c r="H790" i="13"/>
  <c r="G790" i="13"/>
  <c r="F790" i="13"/>
  <c r="E790" i="13"/>
  <c r="D790" i="13"/>
  <c r="C790" i="13"/>
  <c r="B790" i="13"/>
  <c r="H789" i="13"/>
  <c r="G789" i="13"/>
  <c r="F789" i="13"/>
  <c r="E789" i="13"/>
  <c r="D789" i="13"/>
  <c r="C789" i="13"/>
  <c r="B789" i="13"/>
  <c r="H788" i="13"/>
  <c r="G788" i="13"/>
  <c r="F788" i="13"/>
  <c r="E788" i="13"/>
  <c r="D788" i="13"/>
  <c r="C788" i="13"/>
  <c r="B788" i="13"/>
  <c r="H787" i="13"/>
  <c r="G787" i="13"/>
  <c r="F787" i="13"/>
  <c r="E787" i="13"/>
  <c r="D787" i="13"/>
  <c r="C787" i="13"/>
  <c r="B787" i="13"/>
  <c r="H786" i="13"/>
  <c r="G786" i="13"/>
  <c r="F786" i="13"/>
  <c r="E786" i="13"/>
  <c r="D786" i="13"/>
  <c r="C786" i="13"/>
  <c r="B786" i="13"/>
  <c r="H785" i="13"/>
  <c r="G785" i="13"/>
  <c r="F785" i="13"/>
  <c r="E785" i="13"/>
  <c r="D785" i="13"/>
  <c r="C785" i="13"/>
  <c r="B785" i="13"/>
  <c r="H784" i="13"/>
  <c r="G784" i="13"/>
  <c r="F784" i="13"/>
  <c r="E784" i="13"/>
  <c r="D784" i="13"/>
  <c r="C784" i="13"/>
  <c r="B784" i="13"/>
  <c r="H783" i="13"/>
  <c r="G783" i="13"/>
  <c r="F783" i="13"/>
  <c r="E783" i="13"/>
  <c r="D783" i="13"/>
  <c r="C783" i="13"/>
  <c r="B783" i="13"/>
  <c r="H782" i="13"/>
  <c r="G782" i="13"/>
  <c r="F782" i="13"/>
  <c r="E782" i="13"/>
  <c r="D782" i="13"/>
  <c r="C782" i="13"/>
  <c r="B782" i="13"/>
  <c r="H781" i="13"/>
  <c r="G781" i="13"/>
  <c r="F781" i="13"/>
  <c r="E781" i="13"/>
  <c r="D781" i="13"/>
  <c r="C781" i="13"/>
  <c r="B781" i="13"/>
  <c r="H780" i="13"/>
  <c r="G780" i="13"/>
  <c r="F780" i="13"/>
  <c r="E780" i="13"/>
  <c r="D780" i="13"/>
  <c r="C780" i="13"/>
  <c r="B780" i="13"/>
  <c r="H779" i="13"/>
  <c r="G779" i="13"/>
  <c r="F779" i="13"/>
  <c r="E779" i="13"/>
  <c r="D779" i="13"/>
  <c r="C779" i="13"/>
  <c r="B779" i="13"/>
  <c r="H778" i="13"/>
  <c r="G778" i="13"/>
  <c r="F778" i="13"/>
  <c r="E778" i="13"/>
  <c r="D778" i="13"/>
  <c r="C778" i="13"/>
  <c r="B778" i="13"/>
  <c r="H777" i="13"/>
  <c r="G777" i="13"/>
  <c r="F777" i="13"/>
  <c r="E777" i="13"/>
  <c r="D777" i="13"/>
  <c r="C777" i="13"/>
  <c r="B777" i="13"/>
  <c r="H776" i="13"/>
  <c r="G776" i="13"/>
  <c r="F776" i="13"/>
  <c r="E776" i="13"/>
  <c r="D776" i="13"/>
  <c r="C776" i="13"/>
  <c r="B776" i="13"/>
  <c r="H775" i="13"/>
  <c r="G775" i="13"/>
  <c r="F775" i="13"/>
  <c r="E775" i="13"/>
  <c r="D775" i="13"/>
  <c r="C775" i="13"/>
  <c r="B775" i="13"/>
  <c r="H774" i="13"/>
  <c r="G774" i="13"/>
  <c r="F774" i="13"/>
  <c r="E774" i="13"/>
  <c r="D774" i="13"/>
  <c r="C774" i="13"/>
  <c r="B774" i="13"/>
  <c r="H773" i="13"/>
  <c r="G773" i="13"/>
  <c r="F773" i="13"/>
  <c r="E773" i="13"/>
  <c r="D773" i="13"/>
  <c r="C773" i="13"/>
  <c r="B773" i="13"/>
  <c r="H772" i="13"/>
  <c r="G772" i="13"/>
  <c r="F772" i="13"/>
  <c r="E772" i="13"/>
  <c r="D772" i="13"/>
  <c r="C772" i="13"/>
  <c r="B772" i="13"/>
  <c r="H771" i="13"/>
  <c r="G771" i="13"/>
  <c r="F771" i="13"/>
  <c r="E771" i="13"/>
  <c r="D771" i="13"/>
  <c r="C771" i="13"/>
  <c r="B771" i="13"/>
  <c r="H770" i="13"/>
  <c r="G770" i="13"/>
  <c r="F770" i="13"/>
  <c r="E770" i="13"/>
  <c r="D770" i="13"/>
  <c r="C770" i="13"/>
  <c r="B770" i="13"/>
  <c r="H769" i="13"/>
  <c r="G769" i="13"/>
  <c r="F769" i="13"/>
  <c r="E769" i="13"/>
  <c r="D769" i="13"/>
  <c r="C769" i="13"/>
  <c r="B769" i="13"/>
  <c r="H768" i="13"/>
  <c r="G768" i="13"/>
  <c r="F768" i="13"/>
  <c r="E768" i="13"/>
  <c r="D768" i="13"/>
  <c r="C768" i="13"/>
  <c r="B768" i="13"/>
  <c r="H767" i="13"/>
  <c r="G767" i="13"/>
  <c r="F767" i="13"/>
  <c r="E767" i="13"/>
  <c r="D767" i="13"/>
  <c r="C767" i="13"/>
  <c r="B767" i="13"/>
  <c r="H766" i="13"/>
  <c r="G766" i="13"/>
  <c r="F766" i="13"/>
  <c r="E766" i="13"/>
  <c r="D766" i="13"/>
  <c r="C766" i="13"/>
  <c r="B766" i="13"/>
  <c r="H765" i="13"/>
  <c r="G765" i="13"/>
  <c r="F765" i="13"/>
  <c r="E765" i="13"/>
  <c r="D765" i="13"/>
  <c r="C765" i="13"/>
  <c r="B765" i="13"/>
  <c r="H764" i="13"/>
  <c r="G764" i="13"/>
  <c r="F764" i="13"/>
  <c r="E764" i="13"/>
  <c r="D764" i="13"/>
  <c r="C764" i="13"/>
  <c r="B764" i="13"/>
  <c r="H763" i="13"/>
  <c r="G763" i="13"/>
  <c r="F763" i="13"/>
  <c r="E763" i="13"/>
  <c r="D763" i="13"/>
  <c r="C763" i="13"/>
  <c r="B763" i="13"/>
  <c r="H762" i="13"/>
  <c r="G762" i="13"/>
  <c r="F762" i="13"/>
  <c r="E762" i="13"/>
  <c r="D762" i="13"/>
  <c r="C762" i="13"/>
  <c r="B762" i="13"/>
  <c r="H761" i="13"/>
  <c r="G761" i="13"/>
  <c r="F761" i="13"/>
  <c r="E761" i="13"/>
  <c r="D761" i="13"/>
  <c r="C761" i="13"/>
  <c r="B761" i="13"/>
  <c r="H760" i="13"/>
  <c r="G760" i="13"/>
  <c r="F760" i="13"/>
  <c r="E760" i="13"/>
  <c r="D760" i="13"/>
  <c r="C760" i="13"/>
  <c r="B760" i="13"/>
  <c r="H759" i="13"/>
  <c r="G759" i="13"/>
  <c r="F759" i="13"/>
  <c r="E759" i="13"/>
  <c r="D759" i="13"/>
  <c r="C759" i="13"/>
  <c r="B759" i="13"/>
  <c r="H758" i="13"/>
  <c r="G758" i="13"/>
  <c r="F758" i="13"/>
  <c r="E758" i="13"/>
  <c r="D758" i="13"/>
  <c r="C758" i="13"/>
  <c r="B758" i="13"/>
  <c r="H757" i="13"/>
  <c r="G757" i="13"/>
  <c r="F757" i="13"/>
  <c r="E757" i="13"/>
  <c r="D757" i="13"/>
  <c r="C757" i="13"/>
  <c r="B757" i="13"/>
  <c r="H756" i="13"/>
  <c r="G756" i="13"/>
  <c r="F756" i="13"/>
  <c r="E756" i="13"/>
  <c r="D756" i="13"/>
  <c r="C756" i="13"/>
  <c r="B756" i="13"/>
  <c r="H755" i="13"/>
  <c r="G755" i="13"/>
  <c r="F755" i="13"/>
  <c r="E755" i="13"/>
  <c r="D755" i="13"/>
  <c r="C755" i="13"/>
  <c r="B755" i="13"/>
  <c r="H754" i="13"/>
  <c r="G754" i="13"/>
  <c r="F754" i="13"/>
  <c r="E754" i="13"/>
  <c r="D754" i="13"/>
  <c r="C754" i="13"/>
  <c r="B754" i="13"/>
  <c r="H753" i="13"/>
  <c r="G753" i="13"/>
  <c r="F753" i="13"/>
  <c r="E753" i="13"/>
  <c r="D753" i="13"/>
  <c r="C753" i="13"/>
  <c r="B753" i="13"/>
  <c r="H752" i="13"/>
  <c r="G752" i="13"/>
  <c r="F752" i="13"/>
  <c r="E752" i="13"/>
  <c r="D752" i="13"/>
  <c r="C752" i="13"/>
  <c r="B752" i="13"/>
  <c r="H751" i="13"/>
  <c r="G751" i="13"/>
  <c r="F751" i="13"/>
  <c r="E751" i="13"/>
  <c r="D751" i="13"/>
  <c r="C751" i="13"/>
  <c r="B751" i="13"/>
  <c r="H750" i="13"/>
  <c r="G750" i="13"/>
  <c r="F750" i="13"/>
  <c r="E750" i="13"/>
  <c r="D750" i="13"/>
  <c r="C750" i="13"/>
  <c r="B750" i="13"/>
  <c r="H749" i="13"/>
  <c r="F749" i="13"/>
  <c r="E749" i="13"/>
  <c r="D749" i="13"/>
  <c r="C749" i="13"/>
  <c r="B749" i="13"/>
  <c r="H748" i="13"/>
  <c r="G748" i="13"/>
  <c r="F748" i="13"/>
  <c r="E748" i="13"/>
  <c r="D748" i="13"/>
  <c r="C748" i="13"/>
  <c r="B748" i="13"/>
  <c r="H747" i="13"/>
  <c r="G747" i="13"/>
  <c r="F747" i="13"/>
  <c r="E747" i="13"/>
  <c r="D747" i="13"/>
  <c r="C747" i="13"/>
  <c r="B747" i="13"/>
  <c r="H746" i="13"/>
  <c r="G746" i="13"/>
  <c r="F746" i="13"/>
  <c r="E746" i="13"/>
  <c r="D746" i="13"/>
  <c r="C746" i="13"/>
  <c r="B746" i="13"/>
  <c r="H745" i="13"/>
  <c r="G745" i="13"/>
  <c r="F745" i="13"/>
  <c r="E745" i="13"/>
  <c r="D745" i="13"/>
  <c r="C745" i="13"/>
  <c r="B745" i="13"/>
  <c r="H744" i="13"/>
  <c r="G744" i="13"/>
  <c r="F744" i="13"/>
  <c r="E744" i="13"/>
  <c r="D744" i="13"/>
  <c r="C744" i="13"/>
  <c r="B744" i="13"/>
  <c r="H743" i="13"/>
  <c r="G743" i="13"/>
  <c r="F743" i="13"/>
  <c r="E743" i="13"/>
  <c r="D743" i="13"/>
  <c r="C743" i="13"/>
  <c r="B743" i="13"/>
  <c r="H742" i="13"/>
  <c r="G742" i="13"/>
  <c r="F742" i="13"/>
  <c r="E742" i="13"/>
  <c r="D742" i="13"/>
  <c r="C742" i="13"/>
  <c r="B742" i="13"/>
  <c r="H741" i="13"/>
  <c r="G741" i="13"/>
  <c r="F741" i="13"/>
  <c r="E741" i="13"/>
  <c r="D741" i="13"/>
  <c r="C741" i="13"/>
  <c r="B741" i="13"/>
  <c r="H740" i="13"/>
  <c r="G740" i="13"/>
  <c r="F740" i="13"/>
  <c r="E740" i="13"/>
  <c r="D740" i="13"/>
  <c r="C740" i="13"/>
  <c r="B740" i="13"/>
  <c r="H739" i="13"/>
  <c r="G739" i="13"/>
  <c r="F739" i="13"/>
  <c r="E739" i="13"/>
  <c r="D739" i="13"/>
  <c r="C739" i="13"/>
  <c r="B739" i="13"/>
  <c r="H738" i="13"/>
  <c r="G738" i="13"/>
  <c r="F738" i="13"/>
  <c r="E738" i="13"/>
  <c r="D738" i="13"/>
  <c r="C738" i="13"/>
  <c r="B738" i="13"/>
  <c r="H737" i="13"/>
  <c r="G737" i="13"/>
  <c r="F737" i="13"/>
  <c r="E737" i="13"/>
  <c r="D737" i="13"/>
  <c r="C737" i="13"/>
  <c r="B737" i="13"/>
  <c r="H736" i="13"/>
  <c r="G736" i="13"/>
  <c r="F736" i="13"/>
  <c r="E736" i="13"/>
  <c r="D736" i="13"/>
  <c r="C736" i="13"/>
  <c r="B736" i="13"/>
  <c r="H735" i="13"/>
  <c r="G735" i="13"/>
  <c r="F735" i="13"/>
  <c r="E735" i="13"/>
  <c r="D735" i="13"/>
  <c r="C735" i="13"/>
  <c r="B735" i="13"/>
  <c r="H734" i="13"/>
  <c r="G734" i="13"/>
  <c r="F734" i="13"/>
  <c r="E734" i="13"/>
  <c r="D734" i="13"/>
  <c r="C734" i="13"/>
  <c r="B734" i="13"/>
  <c r="H733" i="13"/>
  <c r="G733" i="13"/>
  <c r="F733" i="13"/>
  <c r="E733" i="13"/>
  <c r="D733" i="13"/>
  <c r="C733" i="13"/>
  <c r="B733" i="13"/>
  <c r="H732" i="13"/>
  <c r="G732" i="13"/>
  <c r="F732" i="13"/>
  <c r="E732" i="13"/>
  <c r="D732" i="13"/>
  <c r="C732" i="13"/>
  <c r="B732" i="13"/>
  <c r="H731" i="13"/>
  <c r="G731" i="13"/>
  <c r="F731" i="13"/>
  <c r="E731" i="13"/>
  <c r="D731" i="13"/>
  <c r="C731" i="13"/>
  <c r="B731" i="13"/>
  <c r="H730" i="13"/>
  <c r="G730" i="13"/>
  <c r="F730" i="13"/>
  <c r="E730" i="13"/>
  <c r="D730" i="13"/>
  <c r="C730" i="13"/>
  <c r="B730" i="13"/>
  <c r="H729" i="13"/>
  <c r="G729" i="13"/>
  <c r="F729" i="13"/>
  <c r="E729" i="13"/>
  <c r="D729" i="13"/>
  <c r="C729" i="13"/>
  <c r="B729" i="13"/>
  <c r="H728" i="13"/>
  <c r="G728" i="13"/>
  <c r="F728" i="13"/>
  <c r="E728" i="13"/>
  <c r="D728" i="13"/>
  <c r="C728" i="13"/>
  <c r="B728" i="13"/>
  <c r="H727" i="13"/>
  <c r="G727" i="13"/>
  <c r="F727" i="13"/>
  <c r="E727" i="13"/>
  <c r="D727" i="13"/>
  <c r="C727" i="13"/>
  <c r="B727" i="13"/>
  <c r="H726" i="13"/>
  <c r="G726" i="13"/>
  <c r="F726" i="13"/>
  <c r="E726" i="13"/>
  <c r="D726" i="13"/>
  <c r="C726" i="13"/>
  <c r="B726" i="13"/>
  <c r="H725" i="13"/>
  <c r="G725" i="13"/>
  <c r="F725" i="13"/>
  <c r="E725" i="13"/>
  <c r="D725" i="13"/>
  <c r="C725" i="13"/>
  <c r="B725" i="13"/>
  <c r="H724" i="13"/>
  <c r="G724" i="13"/>
  <c r="F724" i="13"/>
  <c r="E724" i="13"/>
  <c r="D724" i="13"/>
  <c r="C724" i="13"/>
  <c r="B724" i="13"/>
  <c r="H723" i="13"/>
  <c r="G723" i="13"/>
  <c r="F723" i="13"/>
  <c r="E723" i="13"/>
  <c r="D723" i="13"/>
  <c r="C723" i="13"/>
  <c r="B723" i="13"/>
  <c r="H722" i="13"/>
  <c r="G722" i="13"/>
  <c r="F722" i="13"/>
  <c r="E722" i="13"/>
  <c r="D722" i="13"/>
  <c r="C722" i="13"/>
  <c r="B722" i="13"/>
  <c r="H721" i="13"/>
  <c r="G721" i="13"/>
  <c r="F721" i="13"/>
  <c r="E721" i="13"/>
  <c r="D721" i="13"/>
  <c r="C721" i="13"/>
  <c r="B721" i="13"/>
  <c r="H720" i="13"/>
  <c r="G720" i="13"/>
  <c r="F720" i="13"/>
  <c r="E720" i="13"/>
  <c r="D720" i="13"/>
  <c r="C720" i="13"/>
  <c r="B720" i="13"/>
  <c r="H719" i="13"/>
  <c r="G719" i="13"/>
  <c r="F719" i="13"/>
  <c r="E719" i="13"/>
  <c r="D719" i="13"/>
  <c r="C719" i="13"/>
  <c r="B719" i="13"/>
  <c r="H718" i="13"/>
  <c r="G718" i="13"/>
  <c r="F718" i="13"/>
  <c r="E718" i="13"/>
  <c r="D718" i="13"/>
  <c r="C718" i="13"/>
  <c r="B718" i="13"/>
  <c r="H717" i="13"/>
  <c r="G717" i="13"/>
  <c r="F717" i="13"/>
  <c r="E717" i="13"/>
  <c r="D717" i="13"/>
  <c r="C717" i="13"/>
  <c r="B717" i="13"/>
  <c r="H716" i="13"/>
  <c r="G716" i="13"/>
  <c r="F716" i="13"/>
  <c r="E716" i="13"/>
  <c r="D716" i="13"/>
  <c r="C716" i="13"/>
  <c r="B716" i="13"/>
  <c r="H715" i="13"/>
  <c r="G715" i="13"/>
  <c r="F715" i="13"/>
  <c r="E715" i="13"/>
  <c r="D715" i="13"/>
  <c r="C715" i="13"/>
  <c r="B715" i="13"/>
  <c r="H714" i="13"/>
  <c r="G714" i="13"/>
  <c r="F714" i="13"/>
  <c r="E714" i="13"/>
  <c r="D714" i="13"/>
  <c r="C714" i="13"/>
  <c r="B714" i="13"/>
  <c r="H713" i="13"/>
  <c r="G713" i="13"/>
  <c r="F713" i="13"/>
  <c r="E713" i="13"/>
  <c r="D713" i="13"/>
  <c r="C713" i="13"/>
  <c r="B713" i="13"/>
  <c r="H712" i="13"/>
  <c r="G712" i="13"/>
  <c r="F712" i="13"/>
  <c r="E712" i="13"/>
  <c r="D712" i="13"/>
  <c r="C712" i="13"/>
  <c r="B712" i="13"/>
  <c r="H711" i="13"/>
  <c r="G711" i="13"/>
  <c r="F711" i="13"/>
  <c r="E711" i="13"/>
  <c r="D711" i="13"/>
  <c r="C711" i="13"/>
  <c r="B711" i="13"/>
  <c r="H710" i="13"/>
  <c r="G710" i="13"/>
  <c r="F710" i="13"/>
  <c r="E710" i="13"/>
  <c r="D710" i="13"/>
  <c r="C710" i="13"/>
  <c r="B710" i="13"/>
  <c r="H709" i="13"/>
  <c r="G709" i="13"/>
  <c r="F709" i="13"/>
  <c r="E709" i="13"/>
  <c r="D709" i="13"/>
  <c r="C709" i="13"/>
  <c r="B709" i="13"/>
  <c r="H708" i="13"/>
  <c r="G708" i="13"/>
  <c r="F708" i="13"/>
  <c r="E708" i="13"/>
  <c r="D708" i="13"/>
  <c r="C708" i="13"/>
  <c r="B708" i="13"/>
  <c r="H707" i="13"/>
  <c r="G707" i="13"/>
  <c r="F707" i="13"/>
  <c r="E707" i="13"/>
  <c r="D707" i="13"/>
  <c r="C707" i="13"/>
  <c r="B707" i="13"/>
  <c r="H706" i="13"/>
  <c r="G706" i="13"/>
  <c r="F706" i="13"/>
  <c r="E706" i="13"/>
  <c r="D706" i="13"/>
  <c r="C706" i="13"/>
  <c r="B706" i="13"/>
  <c r="H705" i="13"/>
  <c r="G705" i="13"/>
  <c r="F705" i="13"/>
  <c r="E705" i="13"/>
  <c r="D705" i="13"/>
  <c r="C705" i="13"/>
  <c r="B705" i="13"/>
  <c r="H704" i="13"/>
  <c r="G704" i="13"/>
  <c r="F704" i="13"/>
  <c r="E704" i="13"/>
  <c r="D704" i="13"/>
  <c r="C704" i="13"/>
  <c r="B704" i="13"/>
  <c r="H703" i="13"/>
  <c r="G703" i="13"/>
  <c r="F703" i="13"/>
  <c r="E703" i="13"/>
  <c r="D703" i="13"/>
  <c r="C703" i="13"/>
  <c r="B703" i="13"/>
  <c r="H702" i="13"/>
  <c r="G702" i="13"/>
  <c r="F702" i="13"/>
  <c r="E702" i="13"/>
  <c r="D702" i="13"/>
  <c r="C702" i="13"/>
  <c r="B702" i="13"/>
  <c r="H701" i="13"/>
  <c r="G701" i="13"/>
  <c r="F701" i="13"/>
  <c r="E701" i="13"/>
  <c r="D701" i="13"/>
  <c r="C701" i="13"/>
  <c r="B701" i="13"/>
  <c r="H700" i="13"/>
  <c r="G700" i="13"/>
  <c r="F700" i="13"/>
  <c r="E700" i="13"/>
  <c r="D700" i="13"/>
  <c r="C700" i="13"/>
  <c r="B700" i="13"/>
  <c r="H699" i="13"/>
  <c r="G699" i="13"/>
  <c r="F699" i="13"/>
  <c r="E699" i="13"/>
  <c r="D699" i="13"/>
  <c r="C699" i="13"/>
  <c r="B699" i="13"/>
  <c r="H698" i="13"/>
  <c r="G698" i="13"/>
  <c r="F698" i="13"/>
  <c r="E698" i="13"/>
  <c r="D698" i="13"/>
  <c r="C698" i="13"/>
  <c r="B698" i="13"/>
  <c r="H697" i="13"/>
  <c r="G697" i="13"/>
  <c r="F697" i="13"/>
  <c r="E697" i="13"/>
  <c r="D697" i="13"/>
  <c r="C697" i="13"/>
  <c r="B697" i="13"/>
  <c r="H696" i="13"/>
  <c r="G696" i="13"/>
  <c r="F696" i="13"/>
  <c r="E696" i="13"/>
  <c r="D696" i="13"/>
  <c r="C696" i="13"/>
  <c r="B696" i="13"/>
  <c r="H695" i="13"/>
  <c r="G695" i="13"/>
  <c r="F695" i="13"/>
  <c r="E695" i="13"/>
  <c r="D695" i="13"/>
  <c r="C695" i="13"/>
  <c r="B695" i="13"/>
  <c r="H694" i="13"/>
  <c r="G694" i="13"/>
  <c r="F694" i="13"/>
  <c r="E694" i="13"/>
  <c r="D694" i="13"/>
  <c r="C694" i="13"/>
  <c r="B694" i="13"/>
  <c r="H693" i="13"/>
  <c r="G693" i="13"/>
  <c r="F693" i="13"/>
  <c r="E693" i="13"/>
  <c r="D693" i="13"/>
  <c r="C693" i="13"/>
  <c r="B693" i="13"/>
  <c r="H692" i="13"/>
  <c r="G692" i="13"/>
  <c r="F692" i="13"/>
  <c r="E692" i="13"/>
  <c r="D692" i="13"/>
  <c r="C692" i="13"/>
  <c r="B692" i="13"/>
  <c r="H691" i="13"/>
  <c r="G691" i="13"/>
  <c r="F691" i="13"/>
  <c r="E691" i="13"/>
  <c r="D691" i="13"/>
  <c r="C691" i="13"/>
  <c r="B691" i="13"/>
  <c r="H690" i="13"/>
  <c r="G690" i="13"/>
  <c r="F690" i="13"/>
  <c r="E690" i="13"/>
  <c r="D690" i="13"/>
  <c r="C690" i="13"/>
  <c r="B690" i="13"/>
  <c r="H689" i="13"/>
  <c r="G689" i="13"/>
  <c r="F689" i="13"/>
  <c r="E689" i="13"/>
  <c r="D689" i="13"/>
  <c r="C689" i="13"/>
  <c r="B689" i="13"/>
  <c r="H688" i="13"/>
  <c r="G688" i="13"/>
  <c r="F688" i="13"/>
  <c r="E688" i="13"/>
  <c r="D688" i="13"/>
  <c r="C688" i="13"/>
  <c r="B688" i="13"/>
  <c r="H687" i="13"/>
  <c r="G687" i="13"/>
  <c r="F687" i="13"/>
  <c r="E687" i="13"/>
  <c r="D687" i="13"/>
  <c r="C687" i="13"/>
  <c r="B687" i="13"/>
  <c r="H686" i="13"/>
  <c r="G686" i="13"/>
  <c r="F686" i="13"/>
  <c r="E686" i="13"/>
  <c r="D686" i="13"/>
  <c r="C686" i="13"/>
  <c r="B686" i="13"/>
  <c r="H685" i="13"/>
  <c r="G685" i="13"/>
  <c r="F685" i="13"/>
  <c r="E685" i="13"/>
  <c r="D685" i="13"/>
  <c r="C685" i="13"/>
  <c r="B685" i="13"/>
  <c r="H684" i="13"/>
  <c r="G684" i="13"/>
  <c r="F684" i="13"/>
  <c r="E684" i="13"/>
  <c r="D684" i="13"/>
  <c r="C684" i="13"/>
  <c r="B684" i="13"/>
  <c r="H683" i="13"/>
  <c r="G683" i="13"/>
  <c r="F683" i="13"/>
  <c r="E683" i="13"/>
  <c r="D683" i="13"/>
  <c r="C683" i="13"/>
  <c r="B683" i="13"/>
  <c r="H682" i="13"/>
  <c r="G682" i="13"/>
  <c r="F682" i="13"/>
  <c r="E682" i="13"/>
  <c r="D682" i="13"/>
  <c r="C682" i="13"/>
  <c r="B682" i="13"/>
  <c r="H681" i="13"/>
  <c r="G681" i="13"/>
  <c r="F681" i="13"/>
  <c r="E681" i="13"/>
  <c r="D681" i="13"/>
  <c r="C681" i="13"/>
  <c r="B681" i="13"/>
  <c r="H680" i="13"/>
  <c r="G680" i="13"/>
  <c r="F680" i="13"/>
  <c r="E680" i="13"/>
  <c r="D680" i="13"/>
  <c r="C680" i="13"/>
  <c r="B680" i="13"/>
  <c r="H679" i="13"/>
  <c r="G679" i="13"/>
  <c r="F679" i="13"/>
  <c r="E679" i="13"/>
  <c r="D679" i="13"/>
  <c r="C679" i="13"/>
  <c r="B679" i="13"/>
  <c r="H678" i="13"/>
  <c r="G678" i="13"/>
  <c r="F678" i="13"/>
  <c r="E678" i="13"/>
  <c r="D678" i="13"/>
  <c r="C678" i="13"/>
  <c r="B678" i="13"/>
  <c r="H677" i="13"/>
  <c r="G677" i="13"/>
  <c r="F677" i="13"/>
  <c r="E677" i="13"/>
  <c r="D677" i="13"/>
  <c r="C677" i="13"/>
  <c r="B677" i="13"/>
  <c r="H676" i="13"/>
  <c r="G676" i="13"/>
  <c r="F676" i="13"/>
  <c r="E676" i="13"/>
  <c r="D676" i="13"/>
  <c r="C676" i="13"/>
  <c r="B676" i="13"/>
  <c r="H675" i="13"/>
  <c r="G675" i="13"/>
  <c r="F675" i="13"/>
  <c r="E675" i="13"/>
  <c r="D675" i="13"/>
  <c r="C675" i="13"/>
  <c r="B675" i="13"/>
  <c r="H674" i="13"/>
  <c r="G674" i="13"/>
  <c r="F674" i="13"/>
  <c r="E674" i="13"/>
  <c r="D674" i="13"/>
  <c r="C674" i="13"/>
  <c r="B674" i="13"/>
  <c r="H673" i="13"/>
  <c r="G673" i="13"/>
  <c r="F673" i="13"/>
  <c r="E673" i="13"/>
  <c r="D673" i="13"/>
  <c r="C673" i="13"/>
  <c r="B673" i="13"/>
  <c r="H672" i="13"/>
  <c r="G672" i="13"/>
  <c r="F672" i="13"/>
  <c r="E672" i="13"/>
  <c r="D672" i="13"/>
  <c r="C672" i="13"/>
  <c r="B672" i="13"/>
  <c r="H671" i="13"/>
  <c r="G671" i="13"/>
  <c r="F671" i="13"/>
  <c r="E671" i="13"/>
  <c r="D671" i="13"/>
  <c r="C671" i="13"/>
  <c r="B671" i="13"/>
  <c r="H670" i="13"/>
  <c r="G670" i="13"/>
  <c r="F670" i="13"/>
  <c r="E670" i="13"/>
  <c r="D670" i="13"/>
  <c r="C670" i="13"/>
  <c r="B670" i="13"/>
  <c r="H669" i="13"/>
  <c r="G669" i="13"/>
  <c r="F669" i="13"/>
  <c r="E669" i="13"/>
  <c r="D669" i="13"/>
  <c r="C669" i="13"/>
  <c r="B669" i="13"/>
  <c r="H668" i="13"/>
  <c r="G668" i="13"/>
  <c r="F668" i="13"/>
  <c r="E668" i="13"/>
  <c r="D668" i="13"/>
  <c r="C668" i="13"/>
  <c r="B668" i="13"/>
  <c r="H667" i="13"/>
  <c r="G667" i="13"/>
  <c r="F667" i="13"/>
  <c r="E667" i="13"/>
  <c r="D667" i="13"/>
  <c r="C667" i="13"/>
  <c r="B667" i="13"/>
  <c r="H666" i="13"/>
  <c r="G666" i="13"/>
  <c r="F666" i="13"/>
  <c r="E666" i="13"/>
  <c r="D666" i="13"/>
  <c r="C666" i="13"/>
  <c r="B666" i="13"/>
  <c r="H665" i="13"/>
  <c r="G665" i="13"/>
  <c r="F665" i="13"/>
  <c r="E665" i="13"/>
  <c r="D665" i="13"/>
  <c r="C665" i="13"/>
  <c r="B665" i="13"/>
  <c r="H664" i="13"/>
  <c r="G664" i="13"/>
  <c r="F664" i="13"/>
  <c r="E664" i="13"/>
  <c r="D664" i="13"/>
  <c r="C664" i="13"/>
  <c r="B664" i="13"/>
  <c r="H663" i="13"/>
  <c r="G663" i="13"/>
  <c r="F663" i="13"/>
  <c r="E663" i="13"/>
  <c r="D663" i="13"/>
  <c r="C663" i="13"/>
  <c r="B663" i="13"/>
  <c r="H662" i="13"/>
  <c r="G662" i="13"/>
  <c r="F662" i="13"/>
  <c r="E662" i="13"/>
  <c r="D662" i="13"/>
  <c r="C662" i="13"/>
  <c r="B662" i="13"/>
  <c r="H661" i="13"/>
  <c r="G661" i="13"/>
  <c r="F661" i="13"/>
  <c r="E661" i="13"/>
  <c r="D661" i="13"/>
  <c r="C661" i="13"/>
  <c r="B661" i="13"/>
  <c r="H660" i="13"/>
  <c r="G660" i="13"/>
  <c r="F660" i="13"/>
  <c r="E660" i="13"/>
  <c r="D660" i="13"/>
  <c r="C660" i="13"/>
  <c r="B660" i="13"/>
  <c r="H659" i="13"/>
  <c r="G659" i="13"/>
  <c r="F659" i="13"/>
  <c r="E659" i="13"/>
  <c r="D659" i="13"/>
  <c r="C659" i="13"/>
  <c r="B659" i="13"/>
  <c r="H658" i="13"/>
  <c r="G658" i="13"/>
  <c r="F658" i="13"/>
  <c r="E658" i="13"/>
  <c r="D658" i="13"/>
  <c r="C658" i="13"/>
  <c r="B658" i="13"/>
  <c r="H657" i="13"/>
  <c r="G657" i="13"/>
  <c r="F657" i="13"/>
  <c r="E657" i="13"/>
  <c r="D657" i="13"/>
  <c r="C657" i="13"/>
  <c r="B657" i="13"/>
  <c r="H656" i="13"/>
  <c r="G656" i="13"/>
  <c r="F656" i="13"/>
  <c r="E656" i="13"/>
  <c r="D656" i="13"/>
  <c r="C656" i="13"/>
  <c r="B656" i="13"/>
  <c r="H655" i="13"/>
  <c r="G655" i="13"/>
  <c r="F655" i="13"/>
  <c r="E655" i="13"/>
  <c r="D655" i="13"/>
  <c r="C655" i="13"/>
  <c r="B655" i="13"/>
  <c r="H654" i="13"/>
  <c r="G654" i="13"/>
  <c r="F654" i="13"/>
  <c r="E654" i="13"/>
  <c r="D654" i="13"/>
  <c r="C654" i="13"/>
  <c r="B654" i="13"/>
  <c r="H653" i="13"/>
  <c r="G653" i="13"/>
  <c r="F653" i="13"/>
  <c r="E653" i="13"/>
  <c r="D653" i="13"/>
  <c r="C653" i="13"/>
  <c r="B653" i="13"/>
  <c r="H652" i="13"/>
  <c r="G652" i="13"/>
  <c r="F652" i="13"/>
  <c r="E652" i="13"/>
  <c r="D652" i="13"/>
  <c r="C652" i="13"/>
  <c r="B652" i="13"/>
  <c r="H651" i="13"/>
  <c r="G651" i="13"/>
  <c r="F651" i="13"/>
  <c r="E651" i="13"/>
  <c r="D651" i="13"/>
  <c r="C651" i="13"/>
  <c r="B651" i="13"/>
  <c r="H650" i="13"/>
  <c r="G650" i="13"/>
  <c r="F650" i="13"/>
  <c r="E650" i="13"/>
  <c r="D650" i="13"/>
  <c r="C650" i="13"/>
  <c r="B650" i="13"/>
  <c r="H649" i="13"/>
  <c r="G649" i="13"/>
  <c r="F649" i="13"/>
  <c r="E649" i="13"/>
  <c r="D649" i="13"/>
  <c r="C649" i="13"/>
  <c r="B649" i="13"/>
  <c r="H648" i="13"/>
  <c r="G648" i="13"/>
  <c r="F648" i="13"/>
  <c r="E648" i="13"/>
  <c r="D648" i="13"/>
  <c r="C648" i="13"/>
  <c r="B648" i="13"/>
  <c r="H647" i="13"/>
  <c r="G647" i="13"/>
  <c r="F647" i="13"/>
  <c r="E647" i="13"/>
  <c r="D647" i="13"/>
  <c r="C647" i="13"/>
  <c r="B647" i="13"/>
  <c r="H646" i="13"/>
  <c r="G646" i="13"/>
  <c r="F646" i="13"/>
  <c r="E646" i="13"/>
  <c r="D646" i="13"/>
  <c r="C646" i="13"/>
  <c r="B646" i="13"/>
  <c r="H645" i="13"/>
  <c r="G645" i="13"/>
  <c r="F645" i="13"/>
  <c r="E645" i="13"/>
  <c r="D645" i="13"/>
  <c r="C645" i="13"/>
  <c r="B645" i="13"/>
  <c r="H644" i="13"/>
  <c r="G644" i="13"/>
  <c r="F644" i="13"/>
  <c r="E644" i="13"/>
  <c r="D644" i="13"/>
  <c r="C644" i="13"/>
  <c r="B644" i="13"/>
  <c r="H643" i="13"/>
  <c r="G643" i="13"/>
  <c r="F643" i="13"/>
  <c r="E643" i="13"/>
  <c r="D643" i="13"/>
  <c r="C643" i="13"/>
  <c r="B643" i="13"/>
  <c r="H642" i="13"/>
  <c r="G642" i="13"/>
  <c r="F642" i="13"/>
  <c r="E642" i="13"/>
  <c r="D642" i="13"/>
  <c r="C642" i="13"/>
  <c r="B642" i="13"/>
  <c r="H641" i="13"/>
  <c r="G641" i="13"/>
  <c r="F641" i="13"/>
  <c r="E641" i="13"/>
  <c r="D641" i="13"/>
  <c r="C641" i="13"/>
  <c r="B641" i="13"/>
  <c r="H640" i="13"/>
  <c r="G640" i="13"/>
  <c r="F640" i="13"/>
  <c r="E640" i="13"/>
  <c r="D640" i="13"/>
  <c r="C640" i="13"/>
  <c r="B640" i="13"/>
  <c r="H639" i="13"/>
  <c r="G639" i="13"/>
  <c r="F639" i="13"/>
  <c r="E639" i="13"/>
  <c r="D639" i="13"/>
  <c r="C639" i="13"/>
  <c r="B639" i="13"/>
  <c r="H638" i="13"/>
  <c r="G638" i="13"/>
  <c r="F638" i="13"/>
  <c r="E638" i="13"/>
  <c r="D638" i="13"/>
  <c r="C638" i="13"/>
  <c r="B638" i="13"/>
  <c r="H637" i="13"/>
  <c r="G637" i="13"/>
  <c r="F637" i="13"/>
  <c r="E637" i="13"/>
  <c r="D637" i="13"/>
  <c r="C637" i="13"/>
  <c r="B637" i="13"/>
  <c r="H636" i="13"/>
  <c r="G636" i="13"/>
  <c r="F636" i="13"/>
  <c r="E636" i="13"/>
  <c r="D636" i="13"/>
  <c r="C636" i="13"/>
  <c r="B636" i="13"/>
  <c r="H635" i="13"/>
  <c r="G635" i="13"/>
  <c r="F635" i="13"/>
  <c r="E635" i="13"/>
  <c r="D635" i="13"/>
  <c r="C635" i="13"/>
  <c r="B635" i="13"/>
  <c r="H634" i="13"/>
  <c r="G634" i="13"/>
  <c r="F634" i="13"/>
  <c r="E634" i="13"/>
  <c r="D634" i="13"/>
  <c r="C634" i="13"/>
  <c r="B634" i="13"/>
  <c r="H633" i="13"/>
  <c r="G633" i="13"/>
  <c r="F633" i="13"/>
  <c r="E633" i="13"/>
  <c r="D633" i="13"/>
  <c r="C633" i="13"/>
  <c r="B633" i="13"/>
  <c r="H632" i="13"/>
  <c r="G632" i="13"/>
  <c r="F632" i="13"/>
  <c r="E632" i="13"/>
  <c r="D632" i="13"/>
  <c r="C632" i="13"/>
  <c r="B632" i="13"/>
  <c r="H631" i="13"/>
  <c r="G631" i="13"/>
  <c r="F631" i="13"/>
  <c r="E631" i="13"/>
  <c r="D631" i="13"/>
  <c r="C631" i="13"/>
  <c r="B631" i="13"/>
  <c r="H630" i="13"/>
  <c r="G630" i="13"/>
  <c r="F630" i="13"/>
  <c r="E630" i="13"/>
  <c r="D630" i="13"/>
  <c r="C630" i="13"/>
  <c r="B630" i="13"/>
  <c r="H629" i="13"/>
  <c r="G629" i="13"/>
  <c r="F629" i="13"/>
  <c r="E629" i="13"/>
  <c r="D629" i="13"/>
  <c r="C629" i="13"/>
  <c r="B629" i="13"/>
  <c r="H628" i="13"/>
  <c r="G628" i="13"/>
  <c r="F628" i="13"/>
  <c r="E628" i="13"/>
  <c r="D628" i="13"/>
  <c r="C628" i="13"/>
  <c r="B628" i="13"/>
  <c r="H627" i="13"/>
  <c r="G627" i="13"/>
  <c r="F627" i="13"/>
  <c r="E627" i="13"/>
  <c r="D627" i="13"/>
  <c r="C627" i="13"/>
  <c r="B627" i="13"/>
  <c r="H626" i="13"/>
  <c r="G626" i="13"/>
  <c r="F626" i="13"/>
  <c r="E626" i="13"/>
  <c r="D626" i="13"/>
  <c r="C626" i="13"/>
  <c r="B626" i="13"/>
  <c r="H625" i="13"/>
  <c r="G625" i="13"/>
  <c r="F625" i="13"/>
  <c r="E625" i="13"/>
  <c r="D625" i="13"/>
  <c r="C625" i="13"/>
  <c r="B625" i="13"/>
  <c r="H624" i="13"/>
  <c r="G624" i="13"/>
  <c r="F624" i="13"/>
  <c r="E624" i="13"/>
  <c r="D624" i="13"/>
  <c r="C624" i="13"/>
  <c r="B624" i="13"/>
  <c r="H623" i="13"/>
  <c r="G623" i="13"/>
  <c r="F623" i="13"/>
  <c r="E623" i="13"/>
  <c r="D623" i="13"/>
  <c r="C623" i="13"/>
  <c r="B623" i="13"/>
  <c r="H622" i="13"/>
  <c r="G622" i="13"/>
  <c r="F622" i="13"/>
  <c r="E622" i="13"/>
  <c r="D622" i="13"/>
  <c r="C622" i="13"/>
  <c r="B622" i="13"/>
  <c r="H621" i="13"/>
  <c r="G621" i="13"/>
  <c r="F621" i="13"/>
  <c r="E621" i="13"/>
  <c r="D621" i="13"/>
  <c r="C621" i="13"/>
  <c r="B621" i="13"/>
  <c r="H620" i="13"/>
  <c r="G620" i="13"/>
  <c r="F620" i="13"/>
  <c r="E620" i="13"/>
  <c r="D620" i="13"/>
  <c r="C620" i="13"/>
  <c r="B620" i="13"/>
  <c r="H619" i="13"/>
  <c r="G619" i="13"/>
  <c r="F619" i="13"/>
  <c r="E619" i="13"/>
  <c r="D619" i="13"/>
  <c r="C619" i="13"/>
  <c r="B619" i="13"/>
  <c r="H618" i="13"/>
  <c r="G618" i="13"/>
  <c r="F618" i="13"/>
  <c r="E618" i="13"/>
  <c r="D618" i="13"/>
  <c r="C618" i="13"/>
  <c r="B618" i="13"/>
  <c r="H617" i="13"/>
  <c r="G617" i="13"/>
  <c r="F617" i="13"/>
  <c r="E617" i="13"/>
  <c r="D617" i="13"/>
  <c r="C617" i="13"/>
  <c r="B617" i="13"/>
  <c r="H616" i="13"/>
  <c r="G616" i="13"/>
  <c r="F616" i="13"/>
  <c r="E616" i="13"/>
  <c r="D616" i="13"/>
  <c r="C616" i="13"/>
  <c r="B616" i="13"/>
  <c r="H615" i="13"/>
  <c r="G615" i="13"/>
  <c r="F615" i="13"/>
  <c r="E615" i="13"/>
  <c r="D615" i="13"/>
  <c r="C615" i="13"/>
  <c r="B615" i="13"/>
  <c r="H614" i="13"/>
  <c r="G614" i="13"/>
  <c r="F614" i="13"/>
  <c r="E614" i="13"/>
  <c r="D614" i="13"/>
  <c r="C614" i="13"/>
  <c r="B614" i="13"/>
  <c r="H613" i="13"/>
  <c r="G613" i="13"/>
  <c r="F613" i="13"/>
  <c r="E613" i="13"/>
  <c r="D613" i="13"/>
  <c r="C613" i="13"/>
  <c r="B613" i="13"/>
  <c r="H612" i="13"/>
  <c r="G612" i="13"/>
  <c r="F612" i="13"/>
  <c r="E612" i="13"/>
  <c r="D612" i="13"/>
  <c r="C612" i="13"/>
  <c r="B612" i="13"/>
  <c r="H611" i="13"/>
  <c r="G611" i="13"/>
  <c r="F611" i="13"/>
  <c r="E611" i="13"/>
  <c r="D611" i="13"/>
  <c r="C611" i="13"/>
  <c r="B611" i="13"/>
  <c r="H610" i="13"/>
  <c r="G610" i="13"/>
  <c r="F610" i="13"/>
  <c r="E610" i="13"/>
  <c r="D610" i="13"/>
  <c r="C610" i="13"/>
  <c r="B610" i="13"/>
  <c r="H609" i="13"/>
  <c r="G609" i="13"/>
  <c r="F609" i="13"/>
  <c r="E609" i="13"/>
  <c r="D609" i="13"/>
  <c r="C609" i="13"/>
  <c r="B609" i="13"/>
  <c r="H608" i="13"/>
  <c r="G608" i="13"/>
  <c r="F608" i="13"/>
  <c r="E608" i="13"/>
  <c r="D608" i="13"/>
  <c r="C608" i="13"/>
  <c r="B608" i="13"/>
  <c r="H607" i="13"/>
  <c r="G607" i="13"/>
  <c r="F607" i="13"/>
  <c r="E607" i="13"/>
  <c r="D607" i="13"/>
  <c r="C607" i="13"/>
  <c r="B607" i="13"/>
  <c r="H606" i="13"/>
  <c r="G606" i="13"/>
  <c r="F606" i="13"/>
  <c r="E606" i="13"/>
  <c r="D606" i="13"/>
  <c r="C606" i="13"/>
  <c r="B606" i="13"/>
  <c r="H605" i="13"/>
  <c r="G605" i="13"/>
  <c r="F605" i="13"/>
  <c r="E605" i="13"/>
  <c r="D605" i="13"/>
  <c r="C605" i="13"/>
  <c r="B605" i="13"/>
  <c r="H604" i="13"/>
  <c r="G604" i="13"/>
  <c r="F604" i="13"/>
  <c r="E604" i="13"/>
  <c r="D604" i="13"/>
  <c r="C604" i="13"/>
  <c r="B604" i="13"/>
  <c r="H603" i="13"/>
  <c r="G603" i="13"/>
  <c r="F603" i="13"/>
  <c r="E603" i="13"/>
  <c r="D603" i="13"/>
  <c r="C603" i="13"/>
  <c r="B603" i="13"/>
  <c r="H602" i="13"/>
  <c r="G602" i="13"/>
  <c r="F602" i="13"/>
  <c r="E602" i="13"/>
  <c r="D602" i="13"/>
  <c r="C602" i="13"/>
  <c r="B602" i="13"/>
  <c r="H601" i="13"/>
  <c r="G601" i="13"/>
  <c r="F601" i="13"/>
  <c r="E601" i="13"/>
  <c r="D601" i="13"/>
  <c r="C601" i="13"/>
  <c r="B601" i="13"/>
  <c r="H600" i="13"/>
  <c r="G600" i="13"/>
  <c r="F600" i="13"/>
  <c r="E600" i="13"/>
  <c r="D600" i="13"/>
  <c r="C600" i="13"/>
  <c r="B600" i="13"/>
  <c r="H599" i="13"/>
  <c r="G599" i="13"/>
  <c r="F599" i="13"/>
  <c r="E599" i="13"/>
  <c r="D599" i="13"/>
  <c r="C599" i="13"/>
  <c r="B599" i="13"/>
  <c r="H598" i="13"/>
  <c r="G598" i="13"/>
  <c r="F598" i="13"/>
  <c r="E598" i="13"/>
  <c r="D598" i="13"/>
  <c r="C598" i="13"/>
  <c r="B598" i="13"/>
  <c r="H597" i="13"/>
  <c r="G597" i="13"/>
  <c r="F597" i="13"/>
  <c r="E597" i="13"/>
  <c r="D597" i="13"/>
  <c r="C597" i="13"/>
  <c r="B597" i="13"/>
  <c r="H596" i="13"/>
  <c r="G596" i="13"/>
  <c r="F596" i="13"/>
  <c r="E596" i="13"/>
  <c r="D596" i="13"/>
  <c r="C596" i="13"/>
  <c r="B596" i="13"/>
  <c r="H595" i="13"/>
  <c r="G595" i="13"/>
  <c r="F595" i="13"/>
  <c r="E595" i="13"/>
  <c r="D595" i="13"/>
  <c r="C595" i="13"/>
  <c r="B595" i="13"/>
  <c r="H594" i="13"/>
  <c r="G594" i="13"/>
  <c r="F594" i="13"/>
  <c r="E594" i="13"/>
  <c r="D594" i="13"/>
  <c r="C594" i="13"/>
  <c r="B594" i="13"/>
  <c r="H593" i="13"/>
  <c r="G593" i="13"/>
  <c r="F593" i="13"/>
  <c r="E593" i="13"/>
  <c r="D593" i="13"/>
  <c r="C593" i="13"/>
  <c r="B593" i="13"/>
  <c r="H592" i="13"/>
  <c r="G592" i="13"/>
  <c r="F592" i="13"/>
  <c r="E592" i="13"/>
  <c r="D592" i="13"/>
  <c r="C592" i="13"/>
  <c r="B592" i="13"/>
  <c r="H591" i="13"/>
  <c r="G591" i="13"/>
  <c r="F591" i="13"/>
  <c r="E591" i="13"/>
  <c r="D591" i="13"/>
  <c r="C591" i="13"/>
  <c r="B591" i="13"/>
  <c r="H590" i="13"/>
  <c r="G590" i="13"/>
  <c r="F590" i="13"/>
  <c r="E590" i="13"/>
  <c r="D590" i="13"/>
  <c r="C590" i="13"/>
  <c r="B590" i="13"/>
  <c r="H589" i="13"/>
  <c r="G589" i="13"/>
  <c r="F589" i="13"/>
  <c r="E589" i="13"/>
  <c r="D589" i="13"/>
  <c r="C589" i="13"/>
  <c r="B589" i="13"/>
  <c r="H588" i="13"/>
  <c r="G588" i="13"/>
  <c r="F588" i="13"/>
  <c r="E588" i="13"/>
  <c r="D588" i="13"/>
  <c r="C588" i="13"/>
  <c r="B588" i="13"/>
  <c r="H587" i="13"/>
  <c r="G587" i="13"/>
  <c r="F587" i="13"/>
  <c r="E587" i="13"/>
  <c r="D587" i="13"/>
  <c r="C587" i="13"/>
  <c r="B587" i="13"/>
  <c r="H586" i="13"/>
  <c r="G586" i="13"/>
  <c r="F586" i="13"/>
  <c r="E586" i="13"/>
  <c r="D586" i="13"/>
  <c r="C586" i="13"/>
  <c r="B586" i="13"/>
  <c r="H585" i="13"/>
  <c r="G585" i="13"/>
  <c r="F585" i="13"/>
  <c r="E585" i="13"/>
  <c r="D585" i="13"/>
  <c r="C585" i="13"/>
  <c r="B585" i="13"/>
  <c r="H584" i="13"/>
  <c r="G584" i="13"/>
  <c r="F584" i="13"/>
  <c r="E584" i="13"/>
  <c r="D584" i="13"/>
  <c r="C584" i="13"/>
  <c r="B584" i="13"/>
  <c r="H583" i="13"/>
  <c r="G583" i="13"/>
  <c r="F583" i="13"/>
  <c r="E583" i="13"/>
  <c r="D583" i="13"/>
  <c r="C583" i="13"/>
  <c r="B583" i="13"/>
  <c r="H582" i="13"/>
  <c r="G582" i="13"/>
  <c r="F582" i="13"/>
  <c r="E582" i="13"/>
  <c r="D582" i="13"/>
  <c r="C582" i="13"/>
  <c r="B582" i="13"/>
  <c r="H581" i="13"/>
  <c r="G581" i="13"/>
  <c r="F581" i="13"/>
  <c r="E581" i="13"/>
  <c r="D581" i="13"/>
  <c r="C581" i="13"/>
  <c r="B581" i="13"/>
  <c r="H580" i="13"/>
  <c r="G580" i="13"/>
  <c r="F580" i="13"/>
  <c r="E580" i="13"/>
  <c r="D580" i="13"/>
  <c r="C580" i="13"/>
  <c r="B580" i="13"/>
  <c r="H579" i="13"/>
  <c r="G579" i="13"/>
  <c r="F579" i="13"/>
  <c r="E579" i="13"/>
  <c r="D579" i="13"/>
  <c r="C579" i="13"/>
  <c r="B579" i="13"/>
  <c r="H578" i="13"/>
  <c r="G578" i="13"/>
  <c r="F578" i="13"/>
  <c r="E578" i="13"/>
  <c r="D578" i="13"/>
  <c r="C578" i="13"/>
  <c r="B578" i="13"/>
  <c r="H577" i="13"/>
  <c r="G577" i="13"/>
  <c r="F577" i="13"/>
  <c r="E577" i="13"/>
  <c r="D577" i="13"/>
  <c r="C577" i="13"/>
  <c r="B577" i="13"/>
  <c r="H576" i="13"/>
  <c r="G576" i="13"/>
  <c r="F576" i="13"/>
  <c r="E576" i="13"/>
  <c r="D576" i="13"/>
  <c r="C576" i="13"/>
  <c r="B576" i="13"/>
  <c r="H575" i="13"/>
  <c r="G575" i="13"/>
  <c r="F575" i="13"/>
  <c r="E575" i="13"/>
  <c r="D575" i="13"/>
  <c r="C575" i="13"/>
  <c r="B575" i="13"/>
  <c r="H574" i="13"/>
  <c r="G574" i="13"/>
  <c r="F574" i="13"/>
  <c r="E574" i="13"/>
  <c r="D574" i="13"/>
  <c r="C574" i="13"/>
  <c r="B574" i="13"/>
  <c r="H573" i="13"/>
  <c r="G573" i="13"/>
  <c r="F573" i="13"/>
  <c r="E573" i="13"/>
  <c r="D573" i="13"/>
  <c r="C573" i="13"/>
  <c r="B573" i="13"/>
  <c r="H572" i="13"/>
  <c r="G572" i="13"/>
  <c r="F572" i="13"/>
  <c r="E572" i="13"/>
  <c r="D572" i="13"/>
  <c r="C572" i="13"/>
  <c r="B572" i="13"/>
  <c r="H571" i="13"/>
  <c r="F571" i="13"/>
  <c r="E571" i="13"/>
  <c r="D571" i="13"/>
  <c r="C571" i="13"/>
  <c r="B571" i="13"/>
  <c r="H570" i="13"/>
  <c r="G570" i="13"/>
  <c r="F570" i="13"/>
  <c r="E570" i="13"/>
  <c r="D570" i="13"/>
  <c r="C570" i="13"/>
  <c r="B570" i="13"/>
  <c r="H569" i="13"/>
  <c r="G569" i="13"/>
  <c r="F569" i="13"/>
  <c r="E569" i="13"/>
  <c r="D569" i="13"/>
  <c r="C569" i="13"/>
  <c r="B569" i="13"/>
  <c r="H568" i="13"/>
  <c r="G568" i="13"/>
  <c r="F568" i="13"/>
  <c r="E568" i="13"/>
  <c r="D568" i="13"/>
  <c r="C568" i="13"/>
  <c r="B568" i="13"/>
  <c r="H567" i="13"/>
  <c r="G567" i="13"/>
  <c r="F567" i="13"/>
  <c r="E567" i="13"/>
  <c r="D567" i="13"/>
  <c r="C567" i="13"/>
  <c r="B567" i="13"/>
  <c r="H566" i="13"/>
  <c r="G566" i="13"/>
  <c r="F566" i="13"/>
  <c r="E566" i="13"/>
  <c r="D566" i="13"/>
  <c r="C566" i="13"/>
  <c r="B566" i="13"/>
  <c r="H565" i="13"/>
  <c r="G565" i="13"/>
  <c r="F565" i="13"/>
  <c r="E565" i="13"/>
  <c r="D565" i="13"/>
  <c r="C565" i="13"/>
  <c r="B565" i="13"/>
  <c r="H564" i="13"/>
  <c r="G564" i="13"/>
  <c r="F564" i="13"/>
  <c r="E564" i="13"/>
  <c r="D564" i="13"/>
  <c r="C564" i="13"/>
  <c r="B564" i="13"/>
  <c r="H563" i="13"/>
  <c r="G563" i="13"/>
  <c r="F563" i="13"/>
  <c r="E563" i="13"/>
  <c r="D563" i="13"/>
  <c r="C563" i="13"/>
  <c r="B563" i="13"/>
  <c r="H562" i="13"/>
  <c r="G562" i="13"/>
  <c r="F562" i="13"/>
  <c r="E562" i="13"/>
  <c r="D562" i="13"/>
  <c r="C562" i="13"/>
  <c r="B562" i="13"/>
  <c r="H561" i="13"/>
  <c r="G561" i="13"/>
  <c r="F561" i="13"/>
  <c r="E561" i="13"/>
  <c r="D561" i="13"/>
  <c r="C561" i="13"/>
  <c r="B561" i="13"/>
  <c r="H560" i="13"/>
  <c r="G560" i="13"/>
  <c r="F560" i="13"/>
  <c r="E560" i="13"/>
  <c r="D560" i="13"/>
  <c r="C560" i="13"/>
  <c r="B560" i="13"/>
  <c r="H559" i="13"/>
  <c r="G559" i="13"/>
  <c r="F559" i="13"/>
  <c r="E559" i="13"/>
  <c r="D559" i="13"/>
  <c r="C559" i="13"/>
  <c r="B559" i="13"/>
  <c r="H558" i="13"/>
  <c r="G558" i="13"/>
  <c r="F558" i="13"/>
  <c r="E558" i="13"/>
  <c r="D558" i="13"/>
  <c r="C558" i="13"/>
  <c r="B558" i="13"/>
  <c r="H557" i="13"/>
  <c r="G557" i="13"/>
  <c r="F557" i="13"/>
  <c r="E557" i="13"/>
  <c r="D557" i="13"/>
  <c r="C557" i="13"/>
  <c r="B557" i="13"/>
  <c r="H556" i="13"/>
  <c r="G556" i="13"/>
  <c r="F556" i="13"/>
  <c r="E556" i="13"/>
  <c r="D556" i="13"/>
  <c r="C556" i="13"/>
  <c r="B556" i="13"/>
  <c r="H555" i="13"/>
  <c r="G555" i="13"/>
  <c r="F555" i="13"/>
  <c r="E555" i="13"/>
  <c r="D555" i="13"/>
  <c r="C555" i="13"/>
  <c r="B555" i="13"/>
  <c r="H554" i="13"/>
  <c r="G554" i="13"/>
  <c r="F554" i="13"/>
  <c r="E554" i="13"/>
  <c r="D554" i="13"/>
  <c r="C554" i="13"/>
  <c r="B554" i="13"/>
  <c r="H553" i="13"/>
  <c r="G553" i="13"/>
  <c r="F553" i="13"/>
  <c r="E553" i="13"/>
  <c r="D553" i="13"/>
  <c r="C553" i="13"/>
  <c r="B553" i="13"/>
  <c r="H552" i="13"/>
  <c r="G552" i="13"/>
  <c r="F552" i="13"/>
  <c r="E552" i="13"/>
  <c r="D552" i="13"/>
  <c r="C552" i="13"/>
  <c r="B552" i="13"/>
  <c r="H551" i="13"/>
  <c r="G551" i="13"/>
  <c r="F551" i="13"/>
  <c r="E551" i="13"/>
  <c r="D551" i="13"/>
  <c r="C551" i="13"/>
  <c r="B551" i="13"/>
  <c r="H550" i="13"/>
  <c r="G550" i="13"/>
  <c r="F550" i="13"/>
  <c r="E550" i="13"/>
  <c r="D550" i="13"/>
  <c r="C550" i="13"/>
  <c r="B550" i="13"/>
  <c r="H549" i="13"/>
  <c r="G549" i="13"/>
  <c r="F549" i="13"/>
  <c r="E549" i="13"/>
  <c r="D549" i="13"/>
  <c r="C549" i="13"/>
  <c r="B549" i="13"/>
  <c r="H548" i="13"/>
  <c r="G548" i="13"/>
  <c r="F548" i="13"/>
  <c r="E548" i="13"/>
  <c r="D548" i="13"/>
  <c r="C548" i="13"/>
  <c r="B548" i="13"/>
  <c r="H547" i="13"/>
  <c r="G547" i="13"/>
  <c r="F547" i="13"/>
  <c r="E547" i="13"/>
  <c r="D547" i="13"/>
  <c r="C547" i="13"/>
  <c r="B547" i="13"/>
  <c r="H546" i="13"/>
  <c r="G546" i="13"/>
  <c r="F546" i="13"/>
  <c r="E546" i="13"/>
  <c r="D546" i="13"/>
  <c r="C546" i="13"/>
  <c r="B546" i="13"/>
  <c r="H545" i="13"/>
  <c r="G545" i="13"/>
  <c r="F545" i="13"/>
  <c r="E545" i="13"/>
  <c r="D545" i="13"/>
  <c r="C545" i="13"/>
  <c r="B545" i="13"/>
  <c r="H544" i="13"/>
  <c r="G544" i="13"/>
  <c r="F544" i="13"/>
  <c r="E544" i="13"/>
  <c r="D544" i="13"/>
  <c r="C544" i="13"/>
  <c r="B544" i="13"/>
  <c r="H543" i="13"/>
  <c r="G543" i="13"/>
  <c r="F543" i="13"/>
  <c r="E543" i="13"/>
  <c r="D543" i="13"/>
  <c r="C543" i="13"/>
  <c r="B543" i="13"/>
  <c r="H542" i="13"/>
  <c r="G542" i="13"/>
  <c r="F542" i="13"/>
  <c r="E542" i="13"/>
  <c r="D542" i="13"/>
  <c r="C542" i="13"/>
  <c r="B542" i="13"/>
  <c r="H541" i="13"/>
  <c r="G541" i="13"/>
  <c r="F541" i="13"/>
  <c r="E541" i="13"/>
  <c r="D541" i="13"/>
  <c r="C541" i="13"/>
  <c r="B541" i="13"/>
  <c r="H540" i="13"/>
  <c r="G540" i="13"/>
  <c r="F540" i="13"/>
  <c r="E540" i="13"/>
  <c r="D540" i="13"/>
  <c r="C540" i="13"/>
  <c r="B540" i="13"/>
  <c r="H539" i="13"/>
  <c r="G539" i="13"/>
  <c r="F539" i="13"/>
  <c r="E539" i="13"/>
  <c r="D539" i="13"/>
  <c r="C539" i="13"/>
  <c r="B539" i="13"/>
  <c r="H538" i="13"/>
  <c r="G538" i="13"/>
  <c r="F538" i="13"/>
  <c r="E538" i="13"/>
  <c r="D538" i="13"/>
  <c r="C538" i="13"/>
  <c r="B538" i="13"/>
  <c r="H537" i="13"/>
  <c r="G537" i="13"/>
  <c r="F537" i="13"/>
  <c r="E537" i="13"/>
  <c r="D537" i="13"/>
  <c r="C537" i="13"/>
  <c r="B537" i="13"/>
  <c r="H536" i="13"/>
  <c r="G536" i="13"/>
  <c r="F536" i="13"/>
  <c r="E536" i="13"/>
  <c r="D536" i="13"/>
  <c r="C536" i="13"/>
  <c r="B536" i="13"/>
  <c r="H535" i="13"/>
  <c r="G535" i="13"/>
  <c r="F535" i="13"/>
  <c r="E535" i="13"/>
  <c r="D535" i="13"/>
  <c r="C535" i="13"/>
  <c r="B535" i="13"/>
  <c r="H534" i="13"/>
  <c r="G534" i="13"/>
  <c r="F534" i="13"/>
  <c r="E534" i="13"/>
  <c r="D534" i="13"/>
  <c r="C534" i="13"/>
  <c r="B534" i="13"/>
  <c r="H533" i="13"/>
  <c r="G533" i="13"/>
  <c r="F533" i="13"/>
  <c r="E533" i="13"/>
  <c r="D533" i="13"/>
  <c r="C533" i="13"/>
  <c r="B533" i="13"/>
  <c r="H532" i="13"/>
  <c r="G532" i="13"/>
  <c r="F532" i="13"/>
  <c r="E532" i="13"/>
  <c r="D532" i="13"/>
  <c r="C532" i="13"/>
  <c r="B532" i="13"/>
  <c r="H531" i="13"/>
  <c r="G531" i="13"/>
  <c r="F531" i="13"/>
  <c r="E531" i="13"/>
  <c r="D531" i="13"/>
  <c r="C531" i="13"/>
  <c r="B531" i="13"/>
  <c r="H530" i="13"/>
  <c r="G530" i="13"/>
  <c r="F530" i="13"/>
  <c r="E530" i="13"/>
  <c r="D530" i="13"/>
  <c r="C530" i="13"/>
  <c r="B530" i="13"/>
  <c r="H529" i="13"/>
  <c r="G529" i="13"/>
  <c r="F529" i="13"/>
  <c r="E529" i="13"/>
  <c r="D529" i="13"/>
  <c r="C529" i="13"/>
  <c r="B529" i="13"/>
  <c r="H528" i="13"/>
  <c r="G528" i="13"/>
  <c r="F528" i="13"/>
  <c r="E528" i="13"/>
  <c r="D528" i="13"/>
  <c r="C528" i="13"/>
  <c r="B528" i="13"/>
  <c r="H527" i="13"/>
  <c r="G527" i="13"/>
  <c r="F527" i="13"/>
  <c r="E527" i="13"/>
  <c r="D527" i="13"/>
  <c r="C527" i="13"/>
  <c r="B527" i="13"/>
  <c r="H526" i="13"/>
  <c r="G526" i="13"/>
  <c r="F526" i="13"/>
  <c r="E526" i="13"/>
  <c r="D526" i="13"/>
  <c r="C526" i="13"/>
  <c r="B526" i="13"/>
  <c r="H525" i="13"/>
  <c r="G525" i="13"/>
  <c r="F525" i="13"/>
  <c r="E525" i="13"/>
  <c r="D525" i="13"/>
  <c r="C525" i="13"/>
  <c r="B525" i="13"/>
  <c r="H524" i="13"/>
  <c r="G524" i="13"/>
  <c r="F524" i="13"/>
  <c r="E524" i="13"/>
  <c r="D524" i="13"/>
  <c r="C524" i="13"/>
  <c r="B524" i="13"/>
  <c r="H523" i="13"/>
  <c r="G523" i="13"/>
  <c r="F523" i="13"/>
  <c r="E523" i="13"/>
  <c r="D523" i="13"/>
  <c r="C523" i="13"/>
  <c r="B523" i="13"/>
  <c r="H522" i="13"/>
  <c r="G522" i="13"/>
  <c r="F522" i="13"/>
  <c r="E522" i="13"/>
  <c r="D522" i="13"/>
  <c r="C522" i="13"/>
  <c r="B522" i="13"/>
  <c r="H521" i="13"/>
  <c r="G521" i="13"/>
  <c r="F521" i="13"/>
  <c r="E521" i="13"/>
  <c r="D521" i="13"/>
  <c r="C521" i="13"/>
  <c r="B521" i="13"/>
  <c r="H520" i="13"/>
  <c r="G520" i="13"/>
  <c r="F520" i="13"/>
  <c r="E520" i="13"/>
  <c r="D520" i="13"/>
  <c r="C520" i="13"/>
  <c r="B520" i="13"/>
  <c r="H519" i="13"/>
  <c r="G519" i="13"/>
  <c r="F519" i="13"/>
  <c r="E519" i="13"/>
  <c r="D519" i="13"/>
  <c r="C519" i="13"/>
  <c r="B519" i="13"/>
  <c r="H518" i="13"/>
  <c r="G518" i="13"/>
  <c r="F518" i="13"/>
  <c r="E518" i="13"/>
  <c r="D518" i="13"/>
  <c r="C518" i="13"/>
  <c r="B518" i="13"/>
  <c r="H517" i="13"/>
  <c r="G517" i="13"/>
  <c r="F517" i="13"/>
  <c r="E517" i="13"/>
  <c r="D517" i="13"/>
  <c r="C517" i="13"/>
  <c r="B517" i="13"/>
  <c r="H516" i="13"/>
  <c r="G516" i="13"/>
  <c r="F516" i="13"/>
  <c r="E516" i="13"/>
  <c r="D516" i="13"/>
  <c r="C516" i="13"/>
  <c r="B516" i="13"/>
  <c r="H515" i="13"/>
  <c r="G515" i="13"/>
  <c r="F515" i="13"/>
  <c r="E515" i="13"/>
  <c r="D515" i="13"/>
  <c r="C515" i="13"/>
  <c r="B515" i="13"/>
  <c r="H514" i="13"/>
  <c r="G514" i="13"/>
  <c r="F514" i="13"/>
  <c r="E514" i="13"/>
  <c r="D514" i="13"/>
  <c r="C514" i="13"/>
  <c r="B514" i="13"/>
  <c r="H513" i="13"/>
  <c r="G513" i="13"/>
  <c r="F513" i="13"/>
  <c r="E513" i="13"/>
  <c r="D513" i="13"/>
  <c r="C513" i="13"/>
  <c r="B513" i="13"/>
  <c r="H512" i="13"/>
  <c r="G512" i="13"/>
  <c r="F512" i="13"/>
  <c r="E512" i="13"/>
  <c r="D512" i="13"/>
  <c r="C512" i="13"/>
  <c r="B512" i="13"/>
  <c r="H511" i="13"/>
  <c r="G511" i="13"/>
  <c r="F511" i="13"/>
  <c r="E511" i="13"/>
  <c r="D511" i="13"/>
  <c r="C511" i="13"/>
  <c r="B511" i="13"/>
  <c r="H510" i="13"/>
  <c r="G510" i="13"/>
  <c r="F510" i="13"/>
  <c r="E510" i="13"/>
  <c r="D510" i="13"/>
  <c r="C510" i="13"/>
  <c r="B510" i="13"/>
  <c r="H509" i="13"/>
  <c r="G509" i="13"/>
  <c r="F509" i="13"/>
  <c r="E509" i="13"/>
  <c r="D509" i="13"/>
  <c r="C509" i="13"/>
  <c r="B509" i="13"/>
  <c r="H508" i="13"/>
  <c r="G508" i="13"/>
  <c r="F508" i="13"/>
  <c r="E508" i="13"/>
  <c r="D508" i="13"/>
  <c r="C508" i="13"/>
  <c r="B508" i="13"/>
  <c r="H507" i="13"/>
  <c r="G507" i="13"/>
  <c r="F507" i="13"/>
  <c r="E507" i="13"/>
  <c r="D507" i="13"/>
  <c r="C507" i="13"/>
  <c r="B507" i="13"/>
  <c r="H506" i="13"/>
  <c r="G506" i="13"/>
  <c r="F506" i="13"/>
  <c r="E506" i="13"/>
  <c r="D506" i="13"/>
  <c r="C506" i="13"/>
  <c r="B506" i="13"/>
  <c r="H505" i="13"/>
  <c r="G505" i="13"/>
  <c r="F505" i="13"/>
  <c r="E505" i="13"/>
  <c r="D505" i="13"/>
  <c r="C505" i="13"/>
  <c r="B505" i="13"/>
  <c r="H504" i="13"/>
  <c r="G504" i="13"/>
  <c r="F504" i="13"/>
  <c r="E504" i="13"/>
  <c r="D504" i="13"/>
  <c r="C504" i="13"/>
  <c r="B504" i="13"/>
  <c r="H503" i="13"/>
  <c r="F503" i="13"/>
  <c r="E503" i="13"/>
  <c r="D503" i="13"/>
  <c r="C503" i="13"/>
  <c r="B503" i="13"/>
  <c r="H502" i="13"/>
  <c r="G502" i="13"/>
  <c r="F502" i="13"/>
  <c r="E502" i="13"/>
  <c r="D502" i="13"/>
  <c r="C502" i="13"/>
  <c r="B502" i="13"/>
  <c r="H501" i="13"/>
  <c r="G501" i="13"/>
  <c r="F501" i="13"/>
  <c r="E501" i="13"/>
  <c r="D501" i="13"/>
  <c r="C501" i="13"/>
  <c r="B501" i="13"/>
  <c r="H500" i="13"/>
  <c r="G500" i="13"/>
  <c r="F500" i="13"/>
  <c r="E500" i="13"/>
  <c r="D500" i="13"/>
  <c r="C500" i="13"/>
  <c r="B500" i="13"/>
  <c r="H499" i="13"/>
  <c r="G499" i="13"/>
  <c r="F499" i="13"/>
  <c r="E499" i="13"/>
  <c r="D499" i="13"/>
  <c r="C499" i="13"/>
  <c r="B499" i="13"/>
  <c r="H498" i="13"/>
  <c r="G498" i="13"/>
  <c r="F498" i="13"/>
  <c r="E498" i="13"/>
  <c r="D498" i="13"/>
  <c r="C498" i="13"/>
  <c r="B498" i="13"/>
  <c r="H497" i="13"/>
  <c r="G497" i="13"/>
  <c r="F497" i="13"/>
  <c r="E497" i="13"/>
  <c r="D497" i="13"/>
  <c r="C497" i="13"/>
  <c r="B497" i="13"/>
  <c r="H496" i="13"/>
  <c r="G496" i="13"/>
  <c r="F496" i="13"/>
  <c r="E496" i="13"/>
  <c r="D496" i="13"/>
  <c r="C496" i="13"/>
  <c r="B496" i="13"/>
  <c r="H495" i="13"/>
  <c r="F495" i="13"/>
  <c r="E495" i="13"/>
  <c r="D495" i="13"/>
  <c r="C495" i="13"/>
  <c r="B495" i="13"/>
  <c r="H494" i="13"/>
  <c r="G494" i="13"/>
  <c r="F494" i="13"/>
  <c r="E494" i="13"/>
  <c r="D494" i="13"/>
  <c r="C494" i="13"/>
  <c r="B494" i="13"/>
  <c r="H493" i="13"/>
  <c r="F493" i="13"/>
  <c r="E493" i="13"/>
  <c r="D493" i="13"/>
  <c r="C493" i="13"/>
  <c r="B493" i="13"/>
  <c r="H492" i="13"/>
  <c r="G492" i="13"/>
  <c r="F492" i="13"/>
  <c r="E492" i="13"/>
  <c r="D492" i="13"/>
  <c r="C492" i="13"/>
  <c r="B492" i="13"/>
  <c r="H491" i="13"/>
  <c r="G491" i="13"/>
  <c r="F491" i="13"/>
  <c r="E491" i="13"/>
  <c r="D491" i="13"/>
  <c r="C491" i="13"/>
  <c r="B491" i="13"/>
  <c r="H490" i="13"/>
  <c r="G490" i="13"/>
  <c r="F490" i="13"/>
  <c r="E490" i="13"/>
  <c r="D490" i="13"/>
  <c r="C490" i="13"/>
  <c r="B490" i="13"/>
  <c r="H489" i="13"/>
  <c r="G489" i="13"/>
  <c r="F489" i="13"/>
  <c r="E489" i="13"/>
  <c r="D489" i="13"/>
  <c r="C489" i="13"/>
  <c r="B489" i="13"/>
  <c r="H488" i="13"/>
  <c r="G488" i="13"/>
  <c r="F488" i="13"/>
  <c r="E488" i="13"/>
  <c r="D488" i="13"/>
  <c r="C488" i="13"/>
  <c r="B488" i="13"/>
  <c r="H487" i="13"/>
  <c r="G487" i="13"/>
  <c r="F487" i="13"/>
  <c r="E487" i="13"/>
  <c r="D487" i="13"/>
  <c r="C487" i="13"/>
  <c r="B487" i="13"/>
  <c r="H486" i="13"/>
  <c r="G486" i="13"/>
  <c r="F486" i="13"/>
  <c r="E486" i="13"/>
  <c r="D486" i="13"/>
  <c r="C486" i="13"/>
  <c r="B486" i="13"/>
  <c r="H485" i="13"/>
  <c r="G485" i="13"/>
  <c r="F485" i="13"/>
  <c r="E485" i="13"/>
  <c r="D485" i="13"/>
  <c r="C485" i="13"/>
  <c r="B485" i="13"/>
  <c r="H484" i="13"/>
  <c r="G484" i="13"/>
  <c r="F484" i="13"/>
  <c r="E484" i="13"/>
  <c r="D484" i="13"/>
  <c r="C484" i="13"/>
  <c r="B484" i="13"/>
  <c r="H483" i="13"/>
  <c r="G483" i="13"/>
  <c r="F483" i="13"/>
  <c r="E483" i="13"/>
  <c r="D483" i="13"/>
  <c r="C483" i="13"/>
  <c r="B483" i="13"/>
  <c r="H482" i="13"/>
  <c r="G482" i="13"/>
  <c r="F482" i="13"/>
  <c r="E482" i="13"/>
  <c r="D482" i="13"/>
  <c r="C482" i="13"/>
  <c r="B482" i="13"/>
  <c r="H481" i="13"/>
  <c r="G481" i="13"/>
  <c r="F481" i="13"/>
  <c r="E481" i="13"/>
  <c r="D481" i="13"/>
  <c r="C481" i="13"/>
  <c r="B481" i="13"/>
  <c r="H480" i="13"/>
  <c r="G480" i="13"/>
  <c r="F480" i="13"/>
  <c r="E480" i="13"/>
  <c r="D480" i="13"/>
  <c r="C480" i="13"/>
  <c r="B480" i="13"/>
  <c r="H479" i="13"/>
  <c r="G479" i="13"/>
  <c r="F479" i="13"/>
  <c r="E479" i="13"/>
  <c r="D479" i="13"/>
  <c r="C479" i="13"/>
  <c r="B479" i="13"/>
  <c r="H478" i="13"/>
  <c r="G478" i="13"/>
  <c r="F478" i="13"/>
  <c r="E478" i="13"/>
  <c r="D478" i="13"/>
  <c r="C478" i="13"/>
  <c r="B478" i="13"/>
  <c r="H477" i="13"/>
  <c r="G477" i="13"/>
  <c r="F477" i="13"/>
  <c r="E477" i="13"/>
  <c r="D477" i="13"/>
  <c r="C477" i="13"/>
  <c r="B477" i="13"/>
  <c r="H476" i="13"/>
  <c r="G476" i="13"/>
  <c r="F476" i="13"/>
  <c r="E476" i="13"/>
  <c r="D476" i="13"/>
  <c r="C476" i="13"/>
  <c r="B476" i="13"/>
  <c r="H475" i="13"/>
  <c r="G475" i="13"/>
  <c r="F475" i="13"/>
  <c r="E475" i="13"/>
  <c r="D475" i="13"/>
  <c r="C475" i="13"/>
  <c r="B475" i="13"/>
  <c r="H474" i="13"/>
  <c r="G474" i="13"/>
  <c r="F474" i="13"/>
  <c r="E474" i="13"/>
  <c r="D474" i="13"/>
  <c r="C474" i="13"/>
  <c r="B474" i="13"/>
  <c r="H473" i="13"/>
  <c r="G473" i="13"/>
  <c r="F473" i="13"/>
  <c r="E473" i="13"/>
  <c r="D473" i="13"/>
  <c r="C473" i="13"/>
  <c r="B473" i="13"/>
  <c r="H472" i="13"/>
  <c r="G472" i="13"/>
  <c r="F472" i="13"/>
  <c r="E472" i="13"/>
  <c r="D472" i="13"/>
  <c r="C472" i="13"/>
  <c r="B472" i="13"/>
  <c r="H471" i="13"/>
  <c r="G471" i="13"/>
  <c r="F471" i="13"/>
  <c r="E471" i="13"/>
  <c r="D471" i="13"/>
  <c r="C471" i="13"/>
  <c r="B471" i="13"/>
  <c r="H470" i="13"/>
  <c r="G470" i="13"/>
  <c r="F470" i="13"/>
  <c r="E470" i="13"/>
  <c r="D470" i="13"/>
  <c r="C470" i="13"/>
  <c r="B470" i="13"/>
  <c r="H469" i="13"/>
  <c r="G469" i="13"/>
  <c r="F469" i="13"/>
  <c r="E469" i="13"/>
  <c r="D469" i="13"/>
  <c r="C469" i="13"/>
  <c r="B469" i="13"/>
  <c r="H468" i="13"/>
  <c r="G468" i="13"/>
  <c r="F468" i="13"/>
  <c r="E468" i="13"/>
  <c r="D468" i="13"/>
  <c r="C468" i="13"/>
  <c r="B468" i="13"/>
  <c r="H467" i="13"/>
  <c r="G467" i="13"/>
  <c r="F467" i="13"/>
  <c r="E467" i="13"/>
  <c r="D467" i="13"/>
  <c r="C467" i="13"/>
  <c r="B467" i="13"/>
  <c r="H466" i="13"/>
  <c r="G466" i="13"/>
  <c r="F466" i="13"/>
  <c r="E466" i="13"/>
  <c r="D466" i="13"/>
  <c r="C466" i="13"/>
  <c r="B466" i="13"/>
  <c r="H465" i="13"/>
  <c r="G465" i="13"/>
  <c r="F465" i="13"/>
  <c r="E465" i="13"/>
  <c r="D465" i="13"/>
  <c r="C465" i="13"/>
  <c r="B465" i="13"/>
  <c r="H464" i="13"/>
  <c r="G464" i="13"/>
  <c r="F464" i="13"/>
  <c r="E464" i="13"/>
  <c r="D464" i="13"/>
  <c r="C464" i="13"/>
  <c r="B464" i="13"/>
  <c r="H463" i="13"/>
  <c r="G463" i="13"/>
  <c r="F463" i="13"/>
  <c r="E463" i="13"/>
  <c r="D463" i="13"/>
  <c r="C463" i="13"/>
  <c r="B463" i="13"/>
  <c r="H462" i="13"/>
  <c r="G462" i="13"/>
  <c r="F462" i="13"/>
  <c r="E462" i="13"/>
  <c r="D462" i="13"/>
  <c r="C462" i="13"/>
  <c r="B462" i="13"/>
  <c r="H461" i="13"/>
  <c r="G461" i="13"/>
  <c r="F461" i="13"/>
  <c r="E461" i="13"/>
  <c r="D461" i="13"/>
  <c r="C461" i="13"/>
  <c r="B461" i="13"/>
  <c r="H460" i="13"/>
  <c r="G460" i="13"/>
  <c r="F460" i="13"/>
  <c r="E460" i="13"/>
  <c r="D460" i="13"/>
  <c r="C460" i="13"/>
  <c r="B460" i="13"/>
  <c r="H459" i="13"/>
  <c r="G459" i="13"/>
  <c r="F459" i="13"/>
  <c r="E459" i="13"/>
  <c r="D459" i="13"/>
  <c r="C459" i="13"/>
  <c r="B459" i="13"/>
  <c r="H458" i="13"/>
  <c r="G458" i="13"/>
  <c r="F458" i="13"/>
  <c r="E458" i="13"/>
  <c r="D458" i="13"/>
  <c r="C458" i="13"/>
  <c r="B458" i="13"/>
  <c r="H457" i="13"/>
  <c r="G457" i="13"/>
  <c r="F457" i="13"/>
  <c r="E457" i="13"/>
  <c r="D457" i="13"/>
  <c r="C457" i="13"/>
  <c r="B457" i="13"/>
  <c r="H456" i="13"/>
  <c r="G456" i="13"/>
  <c r="F456" i="13"/>
  <c r="E456" i="13"/>
  <c r="D456" i="13"/>
  <c r="C456" i="13"/>
  <c r="B456" i="13"/>
  <c r="H455" i="13"/>
  <c r="G455" i="13"/>
  <c r="F455" i="13"/>
  <c r="E455" i="13"/>
  <c r="D455" i="13"/>
  <c r="C455" i="13"/>
  <c r="B455" i="13"/>
  <c r="H454" i="13"/>
  <c r="G454" i="13"/>
  <c r="F454" i="13"/>
  <c r="E454" i="13"/>
  <c r="D454" i="13"/>
  <c r="C454" i="13"/>
  <c r="B454" i="13"/>
  <c r="H453" i="13"/>
  <c r="G453" i="13"/>
  <c r="F453" i="13"/>
  <c r="E453" i="13"/>
  <c r="D453" i="13"/>
  <c r="C453" i="13"/>
  <c r="B453" i="13"/>
  <c r="H452" i="13"/>
  <c r="G452" i="13"/>
  <c r="F452" i="13"/>
  <c r="E452" i="13"/>
  <c r="D452" i="13"/>
  <c r="C452" i="13"/>
  <c r="B452" i="13"/>
  <c r="H451" i="13"/>
  <c r="G451" i="13"/>
  <c r="F451" i="13"/>
  <c r="E451" i="13"/>
  <c r="D451" i="13"/>
  <c r="C451" i="13"/>
  <c r="B451" i="13"/>
  <c r="H450" i="13"/>
  <c r="G450" i="13"/>
  <c r="F450" i="13"/>
  <c r="E450" i="13"/>
  <c r="D450" i="13"/>
  <c r="C450" i="13"/>
  <c r="B450" i="13"/>
  <c r="H449" i="13"/>
  <c r="G449" i="13"/>
  <c r="F449" i="13"/>
  <c r="E449" i="13"/>
  <c r="D449" i="13"/>
  <c r="C449" i="13"/>
  <c r="B449" i="13"/>
  <c r="H448" i="13"/>
  <c r="G448" i="13"/>
  <c r="F448" i="13"/>
  <c r="E448" i="13"/>
  <c r="D448" i="13"/>
  <c r="C448" i="13"/>
  <c r="B448" i="13"/>
  <c r="H447" i="13"/>
  <c r="G447" i="13"/>
  <c r="F447" i="13"/>
  <c r="E447" i="13"/>
  <c r="D447" i="13"/>
  <c r="C447" i="13"/>
  <c r="B447" i="13"/>
  <c r="H446" i="13"/>
  <c r="G446" i="13"/>
  <c r="F446" i="13"/>
  <c r="E446" i="13"/>
  <c r="D446" i="13"/>
  <c r="C446" i="13"/>
  <c r="B446" i="13"/>
  <c r="H445" i="13"/>
  <c r="G445" i="13"/>
  <c r="F445" i="13"/>
  <c r="E445" i="13"/>
  <c r="D445" i="13"/>
  <c r="C445" i="13"/>
  <c r="B445" i="13"/>
  <c r="H444" i="13"/>
  <c r="G444" i="13"/>
  <c r="F444" i="13"/>
  <c r="E444" i="13"/>
  <c r="D444" i="13"/>
  <c r="C444" i="13"/>
  <c r="B444" i="13"/>
  <c r="H443" i="13"/>
  <c r="G443" i="13"/>
  <c r="F443" i="13"/>
  <c r="E443" i="13"/>
  <c r="D443" i="13"/>
  <c r="C443" i="13"/>
  <c r="B443" i="13"/>
  <c r="H442" i="13"/>
  <c r="G442" i="13"/>
  <c r="F442" i="13"/>
  <c r="E442" i="13"/>
  <c r="D442" i="13"/>
  <c r="C442" i="13"/>
  <c r="B442" i="13"/>
  <c r="H441" i="13"/>
  <c r="G441" i="13"/>
  <c r="F441" i="13"/>
  <c r="E441" i="13"/>
  <c r="D441" i="13"/>
  <c r="C441" i="13"/>
  <c r="B441" i="13"/>
  <c r="H440" i="13"/>
  <c r="G440" i="13"/>
  <c r="F440" i="13"/>
  <c r="E440" i="13"/>
  <c r="D440" i="13"/>
  <c r="C440" i="13"/>
  <c r="B440" i="13"/>
  <c r="H439" i="13"/>
  <c r="G439" i="13"/>
  <c r="F439" i="13"/>
  <c r="E439" i="13"/>
  <c r="D439" i="13"/>
  <c r="C439" i="13"/>
  <c r="B439" i="13"/>
  <c r="H438" i="13"/>
  <c r="G438" i="13"/>
  <c r="F438" i="13"/>
  <c r="E438" i="13"/>
  <c r="D438" i="13"/>
  <c r="C438" i="13"/>
  <c r="B438" i="13"/>
  <c r="H437" i="13"/>
  <c r="G437" i="13"/>
  <c r="F437" i="13"/>
  <c r="E437" i="13"/>
  <c r="D437" i="13"/>
  <c r="C437" i="13"/>
  <c r="B437" i="13"/>
  <c r="H436" i="13"/>
  <c r="G436" i="13"/>
  <c r="F436" i="13"/>
  <c r="E436" i="13"/>
  <c r="D436" i="13"/>
  <c r="C436" i="13"/>
  <c r="B436" i="13"/>
  <c r="H435" i="13"/>
  <c r="G435" i="13"/>
  <c r="F435" i="13"/>
  <c r="E435" i="13"/>
  <c r="D435" i="13"/>
  <c r="C435" i="13"/>
  <c r="B435" i="13"/>
  <c r="H434" i="13"/>
  <c r="G434" i="13"/>
  <c r="F434" i="13"/>
  <c r="E434" i="13"/>
  <c r="D434" i="13"/>
  <c r="C434" i="13"/>
  <c r="B434" i="13"/>
  <c r="H433" i="13"/>
  <c r="F433" i="13"/>
  <c r="E433" i="13"/>
  <c r="D433" i="13"/>
  <c r="C433" i="13"/>
  <c r="B433" i="13"/>
  <c r="H432" i="13"/>
  <c r="F432" i="13"/>
  <c r="E432" i="13"/>
  <c r="D432" i="13"/>
  <c r="C432" i="13"/>
  <c r="B432" i="13"/>
  <c r="H431" i="13"/>
  <c r="G431" i="13"/>
  <c r="F431" i="13"/>
  <c r="E431" i="13"/>
  <c r="D431" i="13"/>
  <c r="C431" i="13"/>
  <c r="B431" i="13"/>
  <c r="H430" i="13"/>
  <c r="G430" i="13"/>
  <c r="F430" i="13"/>
  <c r="E430" i="13"/>
  <c r="D430" i="13"/>
  <c r="C430" i="13"/>
  <c r="B430" i="13"/>
  <c r="H429" i="13"/>
  <c r="G429" i="13"/>
  <c r="F429" i="13"/>
  <c r="E429" i="13"/>
  <c r="D429" i="13"/>
  <c r="C429" i="13"/>
  <c r="B429" i="13"/>
  <c r="H428" i="13"/>
  <c r="G428" i="13"/>
  <c r="F428" i="13"/>
  <c r="E428" i="13"/>
  <c r="D428" i="13"/>
  <c r="C428" i="13"/>
  <c r="B428" i="13"/>
  <c r="H427" i="13"/>
  <c r="G427" i="13"/>
  <c r="F427" i="13"/>
  <c r="E427" i="13"/>
  <c r="D427" i="13"/>
  <c r="C427" i="13"/>
  <c r="B427" i="13"/>
  <c r="H426" i="13"/>
  <c r="G426" i="13"/>
  <c r="F426" i="13"/>
  <c r="E426" i="13"/>
  <c r="D426" i="13"/>
  <c r="C426" i="13"/>
  <c r="B426" i="13"/>
  <c r="H425" i="13"/>
  <c r="G425" i="13"/>
  <c r="F425" i="13"/>
  <c r="E425" i="13"/>
  <c r="D425" i="13"/>
  <c r="C425" i="13"/>
  <c r="B425" i="13"/>
  <c r="H424" i="13"/>
  <c r="G424" i="13"/>
  <c r="F424" i="13"/>
  <c r="E424" i="13"/>
  <c r="D424" i="13"/>
  <c r="C424" i="13"/>
  <c r="B424" i="13"/>
  <c r="H423" i="13"/>
  <c r="G423" i="13"/>
  <c r="F423" i="13"/>
  <c r="E423" i="13"/>
  <c r="D423" i="13"/>
  <c r="C423" i="13"/>
  <c r="B423" i="13"/>
  <c r="H422" i="13"/>
  <c r="G422" i="13"/>
  <c r="F422" i="13"/>
  <c r="E422" i="13"/>
  <c r="D422" i="13"/>
  <c r="C422" i="13"/>
  <c r="B422" i="13"/>
  <c r="H421" i="13"/>
  <c r="F421" i="13"/>
  <c r="E421" i="13"/>
  <c r="D421" i="13"/>
  <c r="C421" i="13"/>
  <c r="B421" i="13"/>
  <c r="H420" i="13"/>
  <c r="G420" i="13"/>
  <c r="F420" i="13"/>
  <c r="E420" i="13"/>
  <c r="D420" i="13"/>
  <c r="C420" i="13"/>
  <c r="B420" i="13"/>
  <c r="H419" i="13"/>
  <c r="G419" i="13"/>
  <c r="F419" i="13"/>
  <c r="E419" i="13"/>
  <c r="D419" i="13"/>
  <c r="C419" i="13"/>
  <c r="B419" i="13"/>
  <c r="H418" i="13"/>
  <c r="G418" i="13"/>
  <c r="F418" i="13"/>
  <c r="E418" i="13"/>
  <c r="D418" i="13"/>
  <c r="C418" i="13"/>
  <c r="B418" i="13"/>
  <c r="H417" i="13"/>
  <c r="G417" i="13"/>
  <c r="F417" i="13"/>
  <c r="E417" i="13"/>
  <c r="D417" i="13"/>
  <c r="C417" i="13"/>
  <c r="B417" i="13"/>
  <c r="H416" i="13"/>
  <c r="G416" i="13"/>
  <c r="F416" i="13"/>
  <c r="E416" i="13"/>
  <c r="D416" i="13"/>
  <c r="C416" i="13"/>
  <c r="B416" i="13"/>
  <c r="H415" i="13"/>
  <c r="G415" i="13"/>
  <c r="F415" i="13"/>
  <c r="E415" i="13"/>
  <c r="D415" i="13"/>
  <c r="C415" i="13"/>
  <c r="B415" i="13"/>
  <c r="H414" i="13"/>
  <c r="G414" i="13"/>
  <c r="F414" i="13"/>
  <c r="E414" i="13"/>
  <c r="D414" i="13"/>
  <c r="C414" i="13"/>
  <c r="B414" i="13"/>
  <c r="H413" i="13"/>
  <c r="G413" i="13"/>
  <c r="F413" i="13"/>
  <c r="E413" i="13"/>
  <c r="D413" i="13"/>
  <c r="C413" i="13"/>
  <c r="B413" i="13"/>
  <c r="H412" i="13"/>
  <c r="G412" i="13"/>
  <c r="F412" i="13"/>
  <c r="E412" i="13"/>
  <c r="D412" i="13"/>
  <c r="C412" i="13"/>
  <c r="B412" i="13"/>
  <c r="H411" i="13"/>
  <c r="G411" i="13"/>
  <c r="F411" i="13"/>
  <c r="E411" i="13"/>
  <c r="D411" i="13"/>
  <c r="C411" i="13"/>
  <c r="B411" i="13"/>
  <c r="H410" i="13"/>
  <c r="G410" i="13"/>
  <c r="F410" i="13"/>
  <c r="E410" i="13"/>
  <c r="D410" i="13"/>
  <c r="C410" i="13"/>
  <c r="B410" i="13"/>
  <c r="H409" i="13"/>
  <c r="G409" i="13"/>
  <c r="F409" i="13"/>
  <c r="E409" i="13"/>
  <c r="D409" i="13"/>
  <c r="C409" i="13"/>
  <c r="B409" i="13"/>
  <c r="H408" i="13"/>
  <c r="G408" i="13"/>
  <c r="F408" i="13"/>
  <c r="E408" i="13"/>
  <c r="D408" i="13"/>
  <c r="C408" i="13"/>
  <c r="B408" i="13"/>
  <c r="H407" i="13"/>
  <c r="G407" i="13"/>
  <c r="F407" i="13"/>
  <c r="E407" i="13"/>
  <c r="D407" i="13"/>
  <c r="C407" i="13"/>
  <c r="B407" i="13"/>
  <c r="H406" i="13"/>
  <c r="F406" i="13"/>
  <c r="E406" i="13"/>
  <c r="D406" i="13"/>
  <c r="C406" i="13"/>
  <c r="B406" i="13"/>
  <c r="H405" i="13"/>
  <c r="G405" i="13"/>
  <c r="F405" i="13"/>
  <c r="E405" i="13"/>
  <c r="D405" i="13"/>
  <c r="C405" i="13"/>
  <c r="B405" i="13"/>
  <c r="H404" i="13"/>
  <c r="G404" i="13"/>
  <c r="F404" i="13"/>
  <c r="E404" i="13"/>
  <c r="D404" i="13"/>
  <c r="C404" i="13"/>
  <c r="B404" i="13"/>
  <c r="H403" i="13"/>
  <c r="G403" i="13"/>
  <c r="F403" i="13"/>
  <c r="E403" i="13"/>
  <c r="D403" i="13"/>
  <c r="C403" i="13"/>
  <c r="B403" i="13"/>
  <c r="H402" i="13"/>
  <c r="G402" i="13"/>
  <c r="F402" i="13"/>
  <c r="E402" i="13"/>
  <c r="D402" i="13"/>
  <c r="C402" i="13"/>
  <c r="B402" i="13"/>
  <c r="H401" i="13"/>
  <c r="G401" i="13"/>
  <c r="F401" i="13"/>
  <c r="E401" i="13"/>
  <c r="D401" i="13"/>
  <c r="C401" i="13"/>
  <c r="B401" i="13"/>
  <c r="H400" i="13"/>
  <c r="G400" i="13"/>
  <c r="F400" i="13"/>
  <c r="E400" i="13"/>
  <c r="D400" i="13"/>
  <c r="C400" i="13"/>
  <c r="B400" i="13"/>
  <c r="H399" i="13"/>
  <c r="G399" i="13"/>
  <c r="F399" i="13"/>
  <c r="E399" i="13"/>
  <c r="D399" i="13"/>
  <c r="C399" i="13"/>
  <c r="B399" i="13"/>
  <c r="H398" i="13"/>
  <c r="G398" i="13"/>
  <c r="F398" i="13"/>
  <c r="E398" i="13"/>
  <c r="D398" i="13"/>
  <c r="C398" i="13"/>
  <c r="B398" i="13"/>
  <c r="H397" i="13"/>
  <c r="G397" i="13"/>
  <c r="F397" i="13"/>
  <c r="E397" i="13"/>
  <c r="D397" i="13"/>
  <c r="C397" i="13"/>
  <c r="B397" i="13"/>
  <c r="H396" i="13"/>
  <c r="G396" i="13"/>
  <c r="F396" i="13"/>
  <c r="E396" i="13"/>
  <c r="D396" i="13"/>
  <c r="C396" i="13"/>
  <c r="B396" i="13"/>
  <c r="H395" i="13"/>
  <c r="G395" i="13"/>
  <c r="F395" i="13"/>
  <c r="E395" i="13"/>
  <c r="D395" i="13"/>
  <c r="C395" i="13"/>
  <c r="B395" i="13"/>
  <c r="H394" i="13"/>
  <c r="G394" i="13"/>
  <c r="F394" i="13"/>
  <c r="E394" i="13"/>
  <c r="D394" i="13"/>
  <c r="C394" i="13"/>
  <c r="B394" i="13"/>
  <c r="H393" i="13"/>
  <c r="G393" i="13"/>
  <c r="F393" i="13"/>
  <c r="E393" i="13"/>
  <c r="D393" i="13"/>
  <c r="C393" i="13"/>
  <c r="B393" i="13"/>
  <c r="H392" i="13"/>
  <c r="G392" i="13"/>
  <c r="F392" i="13"/>
  <c r="E392" i="13"/>
  <c r="D392" i="13"/>
  <c r="C392" i="13"/>
  <c r="B392" i="13"/>
  <c r="H391" i="13"/>
  <c r="G391" i="13"/>
  <c r="F391" i="13"/>
  <c r="E391" i="13"/>
  <c r="D391" i="13"/>
  <c r="C391" i="13"/>
  <c r="B391" i="13"/>
  <c r="H390" i="13"/>
  <c r="G390" i="13"/>
  <c r="F390" i="13"/>
  <c r="E390" i="13"/>
  <c r="D390" i="13"/>
  <c r="C390" i="13"/>
  <c r="B390" i="13"/>
  <c r="H389" i="13"/>
  <c r="G389" i="13"/>
  <c r="F389" i="13"/>
  <c r="E389" i="13"/>
  <c r="D389" i="13"/>
  <c r="C389" i="13"/>
  <c r="B389" i="13"/>
  <c r="H388" i="13"/>
  <c r="G388" i="13"/>
  <c r="F388" i="13"/>
  <c r="E388" i="13"/>
  <c r="D388" i="13"/>
  <c r="C388" i="13"/>
  <c r="B388" i="13"/>
  <c r="H387" i="13"/>
  <c r="G387" i="13"/>
  <c r="F387" i="13"/>
  <c r="E387" i="13"/>
  <c r="D387" i="13"/>
  <c r="C387" i="13"/>
  <c r="B387" i="13"/>
  <c r="H386" i="13"/>
  <c r="G386" i="13"/>
  <c r="F386" i="13"/>
  <c r="E386" i="13"/>
  <c r="D386" i="13"/>
  <c r="C386" i="13"/>
  <c r="B386" i="13"/>
  <c r="H385" i="13"/>
  <c r="G385" i="13"/>
  <c r="F385" i="13"/>
  <c r="E385" i="13"/>
  <c r="D385" i="13"/>
  <c r="C385" i="13"/>
  <c r="B385" i="13"/>
  <c r="H384" i="13"/>
  <c r="G384" i="13"/>
  <c r="F384" i="13"/>
  <c r="E384" i="13"/>
  <c r="D384" i="13"/>
  <c r="C384" i="13"/>
  <c r="B384" i="13"/>
  <c r="H383" i="13"/>
  <c r="G383" i="13"/>
  <c r="F383" i="13"/>
  <c r="E383" i="13"/>
  <c r="D383" i="13"/>
  <c r="C383" i="13"/>
  <c r="B383" i="13"/>
  <c r="H382" i="13"/>
  <c r="G382" i="13"/>
  <c r="F382" i="13"/>
  <c r="E382" i="13"/>
  <c r="D382" i="13"/>
  <c r="C382" i="13"/>
  <c r="B382" i="13"/>
  <c r="H381" i="13"/>
  <c r="G381" i="13"/>
  <c r="F381" i="13"/>
  <c r="E381" i="13"/>
  <c r="D381" i="13"/>
  <c r="C381" i="13"/>
  <c r="B381" i="13"/>
  <c r="H380" i="13"/>
  <c r="G380" i="13"/>
  <c r="F380" i="13"/>
  <c r="E380" i="13"/>
  <c r="D380" i="13"/>
  <c r="C380" i="13"/>
  <c r="B380" i="13"/>
  <c r="H379" i="13"/>
  <c r="G379" i="13"/>
  <c r="F379" i="13"/>
  <c r="E379" i="13"/>
  <c r="D379" i="13"/>
  <c r="C379" i="13"/>
  <c r="B379" i="13"/>
  <c r="H378" i="13"/>
  <c r="G378" i="13"/>
  <c r="F378" i="13"/>
  <c r="E378" i="13"/>
  <c r="D378" i="13"/>
  <c r="C378" i="13"/>
  <c r="B378" i="13"/>
  <c r="H377" i="13"/>
  <c r="G377" i="13"/>
  <c r="F377" i="13"/>
  <c r="E377" i="13"/>
  <c r="D377" i="13"/>
  <c r="C377" i="13"/>
  <c r="B377" i="13"/>
  <c r="H376" i="13"/>
  <c r="G376" i="13"/>
  <c r="F376" i="13"/>
  <c r="E376" i="13"/>
  <c r="D376" i="13"/>
  <c r="C376" i="13"/>
  <c r="B376" i="13"/>
  <c r="H375" i="13"/>
  <c r="G375" i="13"/>
  <c r="F375" i="13"/>
  <c r="E375" i="13"/>
  <c r="D375" i="13"/>
  <c r="C375" i="13"/>
  <c r="B375" i="13"/>
  <c r="H374" i="13"/>
  <c r="G374" i="13"/>
  <c r="F374" i="13"/>
  <c r="E374" i="13"/>
  <c r="D374" i="13"/>
  <c r="C374" i="13"/>
  <c r="B374" i="13"/>
  <c r="H373" i="13"/>
  <c r="G373" i="13"/>
  <c r="F373" i="13"/>
  <c r="E373" i="13"/>
  <c r="D373" i="13"/>
  <c r="C373" i="13"/>
  <c r="B373" i="13"/>
  <c r="H372" i="13"/>
  <c r="G372" i="13"/>
  <c r="F372" i="13"/>
  <c r="E372" i="13"/>
  <c r="D372" i="13"/>
  <c r="C372" i="13"/>
  <c r="B372" i="13"/>
  <c r="H371" i="13"/>
  <c r="G371" i="13"/>
  <c r="F371" i="13"/>
  <c r="E371" i="13"/>
  <c r="D371" i="13"/>
  <c r="C371" i="13"/>
  <c r="B371" i="13"/>
  <c r="H370" i="13"/>
  <c r="G370" i="13"/>
  <c r="F370" i="13"/>
  <c r="E370" i="13"/>
  <c r="D370" i="13"/>
  <c r="C370" i="13"/>
  <c r="B370" i="13"/>
  <c r="H369" i="13"/>
  <c r="G369" i="13"/>
  <c r="F369" i="13"/>
  <c r="E369" i="13"/>
  <c r="D369" i="13"/>
  <c r="C369" i="13"/>
  <c r="B369" i="13"/>
  <c r="H368" i="13"/>
  <c r="G368" i="13"/>
  <c r="F368" i="13"/>
  <c r="E368" i="13"/>
  <c r="D368" i="13"/>
  <c r="C368" i="13"/>
  <c r="B368" i="13"/>
  <c r="H367" i="13"/>
  <c r="G367" i="13"/>
  <c r="F367" i="13"/>
  <c r="E367" i="13"/>
  <c r="D367" i="13"/>
  <c r="C367" i="13"/>
  <c r="B367" i="13"/>
  <c r="H366" i="13"/>
  <c r="G366" i="13"/>
  <c r="F366" i="13"/>
  <c r="E366" i="13"/>
  <c r="D366" i="13"/>
  <c r="C366" i="13"/>
  <c r="B366" i="13"/>
  <c r="H365" i="13"/>
  <c r="G365" i="13"/>
  <c r="F365" i="13"/>
  <c r="E365" i="13"/>
  <c r="D365" i="13"/>
  <c r="C365" i="13"/>
  <c r="B365" i="13"/>
  <c r="H364" i="13"/>
  <c r="G364" i="13"/>
  <c r="F364" i="13"/>
  <c r="E364" i="13"/>
  <c r="D364" i="13"/>
  <c r="C364" i="13"/>
  <c r="B364" i="13"/>
  <c r="H363" i="13"/>
  <c r="G363" i="13"/>
  <c r="F363" i="13"/>
  <c r="E363" i="13"/>
  <c r="D363" i="13"/>
  <c r="C363" i="13"/>
  <c r="B363" i="13"/>
  <c r="H362" i="13"/>
  <c r="G362" i="13"/>
  <c r="F362" i="13"/>
  <c r="E362" i="13"/>
  <c r="D362" i="13"/>
  <c r="C362" i="13"/>
  <c r="B362" i="13"/>
  <c r="H361" i="13"/>
  <c r="G361" i="13"/>
  <c r="F361" i="13"/>
  <c r="E361" i="13"/>
  <c r="D361" i="13"/>
  <c r="C361" i="13"/>
  <c r="B361" i="13"/>
  <c r="H360" i="13"/>
  <c r="G360" i="13"/>
  <c r="F360" i="13"/>
  <c r="E360" i="13"/>
  <c r="D360" i="13"/>
  <c r="C360" i="13"/>
  <c r="B360" i="13"/>
  <c r="H359" i="13"/>
  <c r="G359" i="13"/>
  <c r="F359" i="13"/>
  <c r="E359" i="13"/>
  <c r="D359" i="13"/>
  <c r="C359" i="13"/>
  <c r="B359" i="13"/>
  <c r="H358" i="13"/>
  <c r="G358" i="13"/>
  <c r="F358" i="13"/>
  <c r="E358" i="13"/>
  <c r="D358" i="13"/>
  <c r="C358" i="13"/>
  <c r="B358" i="13"/>
  <c r="H357" i="13"/>
  <c r="G357" i="13"/>
  <c r="F357" i="13"/>
  <c r="E357" i="13"/>
  <c r="D357" i="13"/>
  <c r="C357" i="13"/>
  <c r="B357" i="13"/>
  <c r="H356" i="13"/>
  <c r="G356" i="13"/>
  <c r="F356" i="13"/>
  <c r="E356" i="13"/>
  <c r="D356" i="13"/>
  <c r="C356" i="13"/>
  <c r="B356" i="13"/>
  <c r="H355" i="13"/>
  <c r="G355" i="13"/>
  <c r="F355" i="13"/>
  <c r="E355" i="13"/>
  <c r="D355" i="13"/>
  <c r="C355" i="13"/>
  <c r="B355" i="13"/>
  <c r="H354" i="13"/>
  <c r="G354" i="13"/>
  <c r="F354" i="13"/>
  <c r="E354" i="13"/>
  <c r="D354" i="13"/>
  <c r="C354" i="13"/>
  <c r="B354" i="13"/>
  <c r="H353" i="13"/>
  <c r="G353" i="13"/>
  <c r="F353" i="13"/>
  <c r="E353" i="13"/>
  <c r="D353" i="13"/>
  <c r="C353" i="13"/>
  <c r="B353" i="13"/>
  <c r="H352" i="13"/>
  <c r="G352" i="13"/>
  <c r="F352" i="13"/>
  <c r="E352" i="13"/>
  <c r="D352" i="13"/>
  <c r="C352" i="13"/>
  <c r="B352" i="13"/>
  <c r="H351" i="13"/>
  <c r="G351" i="13"/>
  <c r="F351" i="13"/>
  <c r="E351" i="13"/>
  <c r="D351" i="13"/>
  <c r="C351" i="13"/>
  <c r="B351" i="13"/>
  <c r="H350" i="13"/>
  <c r="G350" i="13"/>
  <c r="F350" i="13"/>
  <c r="E350" i="13"/>
  <c r="D350" i="13"/>
  <c r="C350" i="13"/>
  <c r="B350" i="13"/>
  <c r="H349" i="13"/>
  <c r="F349" i="13"/>
  <c r="E349" i="13"/>
  <c r="D349" i="13"/>
  <c r="C349" i="13"/>
  <c r="B349" i="13"/>
  <c r="H348" i="13"/>
  <c r="F348" i="13"/>
  <c r="E348" i="13"/>
  <c r="D348" i="13"/>
  <c r="C348" i="13"/>
  <c r="B348" i="13"/>
  <c r="H347" i="13"/>
  <c r="G347" i="13"/>
  <c r="F347" i="13"/>
  <c r="E347" i="13"/>
  <c r="D347" i="13"/>
  <c r="C347" i="13"/>
  <c r="B347" i="13"/>
  <c r="H346" i="13"/>
  <c r="G346" i="13"/>
  <c r="F346" i="13"/>
  <c r="E346" i="13"/>
  <c r="D346" i="13"/>
  <c r="C346" i="13"/>
  <c r="B346" i="13"/>
  <c r="H345" i="13"/>
  <c r="G345" i="13"/>
  <c r="F345" i="13"/>
  <c r="E345" i="13"/>
  <c r="D345" i="13"/>
  <c r="C345" i="13"/>
  <c r="B345" i="13"/>
  <c r="H344" i="13"/>
  <c r="G344" i="13"/>
  <c r="F344" i="13"/>
  <c r="E344" i="13"/>
  <c r="D344" i="13"/>
  <c r="C344" i="13"/>
  <c r="B344" i="13"/>
  <c r="H343" i="13"/>
  <c r="G343" i="13"/>
  <c r="F343" i="13"/>
  <c r="E343" i="13"/>
  <c r="D343" i="13"/>
  <c r="C343" i="13"/>
  <c r="B343" i="13"/>
  <c r="H342" i="13"/>
  <c r="G342" i="13"/>
  <c r="F342" i="13"/>
  <c r="E342" i="13"/>
  <c r="D342" i="13"/>
  <c r="C342" i="13"/>
  <c r="B342" i="13"/>
  <c r="H341" i="13"/>
  <c r="G341" i="13"/>
  <c r="F341" i="13"/>
  <c r="E341" i="13"/>
  <c r="D341" i="13"/>
  <c r="C341" i="13"/>
  <c r="B341" i="13"/>
  <c r="H340" i="13"/>
  <c r="F340" i="13"/>
  <c r="E340" i="13"/>
  <c r="D340" i="13"/>
  <c r="C340" i="13"/>
  <c r="B340" i="13"/>
  <c r="H339" i="13"/>
  <c r="G339" i="13"/>
  <c r="F339" i="13"/>
  <c r="E339" i="13"/>
  <c r="D339" i="13"/>
  <c r="C339" i="13"/>
  <c r="B339" i="13"/>
  <c r="H338" i="13"/>
  <c r="F338" i="13"/>
  <c r="E338" i="13"/>
  <c r="D338" i="13"/>
  <c r="C338" i="13"/>
  <c r="B338" i="13"/>
  <c r="H337" i="13"/>
  <c r="F337" i="13"/>
  <c r="E337" i="13"/>
  <c r="D337" i="13"/>
  <c r="C337" i="13"/>
  <c r="B337" i="13"/>
  <c r="H336" i="13"/>
  <c r="G336" i="13"/>
  <c r="F336" i="13"/>
  <c r="E336" i="13"/>
  <c r="D336" i="13"/>
  <c r="C336" i="13"/>
  <c r="B336" i="13"/>
  <c r="H335" i="13"/>
  <c r="G335" i="13"/>
  <c r="F335" i="13"/>
  <c r="E335" i="13"/>
  <c r="D335" i="13"/>
  <c r="C335" i="13"/>
  <c r="B335" i="13"/>
  <c r="H334" i="13"/>
  <c r="F334" i="13"/>
  <c r="E334" i="13"/>
  <c r="D334" i="13"/>
  <c r="C334" i="13"/>
  <c r="B334" i="13"/>
  <c r="H333" i="13"/>
  <c r="F333" i="13"/>
  <c r="E333" i="13"/>
  <c r="D333" i="13"/>
  <c r="C333" i="13"/>
  <c r="B333" i="13"/>
  <c r="H332" i="13"/>
  <c r="F332" i="13"/>
  <c r="E332" i="13"/>
  <c r="D332" i="13"/>
  <c r="C332" i="13"/>
  <c r="B332" i="13"/>
  <c r="H331" i="13"/>
  <c r="G331" i="13"/>
  <c r="F331" i="13"/>
  <c r="E331" i="13"/>
  <c r="D331" i="13"/>
  <c r="C331" i="13"/>
  <c r="B331" i="13"/>
  <c r="H330" i="13"/>
  <c r="F330" i="13"/>
  <c r="E330" i="13"/>
  <c r="D330" i="13"/>
  <c r="C330" i="13"/>
  <c r="B330" i="13"/>
  <c r="H329" i="13"/>
  <c r="F329" i="13"/>
  <c r="E329" i="13"/>
  <c r="D329" i="13"/>
  <c r="C329" i="13"/>
  <c r="B329" i="13"/>
  <c r="H328" i="13"/>
  <c r="F328" i="13"/>
  <c r="E328" i="13"/>
  <c r="D328" i="13"/>
  <c r="C328" i="13"/>
  <c r="B328" i="13"/>
  <c r="H327" i="13"/>
  <c r="F327" i="13"/>
  <c r="E327" i="13"/>
  <c r="D327" i="13"/>
  <c r="C327" i="13"/>
  <c r="B327" i="13"/>
  <c r="H326" i="13"/>
  <c r="F326" i="13"/>
  <c r="E326" i="13"/>
  <c r="D326" i="13"/>
  <c r="C326" i="13"/>
  <c r="B326" i="13"/>
  <c r="H325" i="13"/>
  <c r="G325" i="13"/>
  <c r="F325" i="13"/>
  <c r="E325" i="13"/>
  <c r="D325" i="13"/>
  <c r="C325" i="13"/>
  <c r="B325" i="13"/>
  <c r="H324" i="13"/>
  <c r="G324" i="13"/>
  <c r="F324" i="13"/>
  <c r="E324" i="13"/>
  <c r="D324" i="13"/>
  <c r="C324" i="13"/>
  <c r="B324" i="13"/>
  <c r="H323" i="13"/>
  <c r="F323" i="13"/>
  <c r="E323" i="13"/>
  <c r="D323" i="13"/>
  <c r="C323" i="13"/>
  <c r="B323" i="13"/>
  <c r="H322" i="13"/>
  <c r="G322" i="13"/>
  <c r="F322" i="13"/>
  <c r="E322" i="13"/>
  <c r="D322" i="13"/>
  <c r="C322" i="13"/>
  <c r="B322" i="13"/>
  <c r="H321" i="13"/>
  <c r="G321" i="13"/>
  <c r="F321" i="13"/>
  <c r="E321" i="13"/>
  <c r="D321" i="13"/>
  <c r="C321" i="13"/>
  <c r="B321" i="13"/>
  <c r="H320" i="13"/>
  <c r="G320" i="13"/>
  <c r="F320" i="13"/>
  <c r="E320" i="13"/>
  <c r="D320" i="13"/>
  <c r="C320" i="13"/>
  <c r="B320" i="13"/>
  <c r="H319" i="13"/>
  <c r="F319" i="13"/>
  <c r="E319" i="13"/>
  <c r="D319" i="13"/>
  <c r="C319" i="13"/>
  <c r="B319" i="13"/>
  <c r="H318" i="13"/>
  <c r="F318" i="13"/>
  <c r="E318" i="13"/>
  <c r="D318" i="13"/>
  <c r="C318" i="13"/>
  <c r="B318" i="13"/>
  <c r="H317" i="13"/>
  <c r="G317" i="13"/>
  <c r="F317" i="13"/>
  <c r="E317" i="13"/>
  <c r="D317" i="13"/>
  <c r="C317" i="13"/>
  <c r="B317" i="13"/>
  <c r="H316" i="13"/>
  <c r="G316" i="13"/>
  <c r="F316" i="13"/>
  <c r="E316" i="13"/>
  <c r="D316" i="13"/>
  <c r="C316" i="13"/>
  <c r="B316" i="13"/>
  <c r="H315" i="13"/>
  <c r="F315" i="13"/>
  <c r="E315" i="13"/>
  <c r="D315" i="13"/>
  <c r="C315" i="13"/>
  <c r="B315" i="13"/>
  <c r="H314" i="13"/>
  <c r="F314" i="13"/>
  <c r="E314" i="13"/>
  <c r="D314" i="13"/>
  <c r="C314" i="13"/>
  <c r="B314" i="13"/>
  <c r="H313" i="13"/>
  <c r="G313" i="13"/>
  <c r="F313" i="13"/>
  <c r="E313" i="13"/>
  <c r="D313" i="13"/>
  <c r="C313" i="13"/>
  <c r="B313" i="13"/>
  <c r="H312" i="13"/>
  <c r="F312" i="13"/>
  <c r="E312" i="13"/>
  <c r="D312" i="13"/>
  <c r="C312" i="13"/>
  <c r="B312" i="13"/>
  <c r="H311" i="13"/>
  <c r="G311" i="13"/>
  <c r="F311" i="13"/>
  <c r="E311" i="13"/>
  <c r="D311" i="13"/>
  <c r="C311" i="13"/>
  <c r="B311" i="13"/>
  <c r="H310" i="13"/>
  <c r="G310" i="13"/>
  <c r="F310" i="13"/>
  <c r="E310" i="13"/>
  <c r="D310" i="13"/>
  <c r="C310" i="13"/>
  <c r="B310" i="13"/>
  <c r="H309" i="13"/>
  <c r="G309" i="13"/>
  <c r="F309" i="13"/>
  <c r="E309" i="13"/>
  <c r="D309" i="13"/>
  <c r="C309" i="13"/>
  <c r="B309" i="13"/>
  <c r="H308" i="13"/>
  <c r="G308" i="13"/>
  <c r="F308" i="13"/>
  <c r="E308" i="13"/>
  <c r="D308" i="13"/>
  <c r="C308" i="13"/>
  <c r="B308" i="13"/>
  <c r="H307" i="13"/>
  <c r="G307" i="13"/>
  <c r="F307" i="13"/>
  <c r="E307" i="13"/>
  <c r="D307" i="13"/>
  <c r="C307" i="13"/>
  <c r="B307" i="13"/>
  <c r="H306" i="13"/>
  <c r="G306" i="13"/>
  <c r="F306" i="13"/>
  <c r="E306" i="13"/>
  <c r="D306" i="13"/>
  <c r="C306" i="13"/>
  <c r="B306" i="13"/>
  <c r="H305" i="13"/>
  <c r="G305" i="13"/>
  <c r="F305" i="13"/>
  <c r="E305" i="13"/>
  <c r="D305" i="13"/>
  <c r="C305" i="13"/>
  <c r="B305" i="13"/>
  <c r="H304" i="13"/>
  <c r="F304" i="13"/>
  <c r="E304" i="13"/>
  <c r="D304" i="13"/>
  <c r="C304" i="13"/>
  <c r="B304" i="13"/>
  <c r="H303" i="13"/>
  <c r="F303" i="13"/>
  <c r="E303" i="13"/>
  <c r="D303" i="13"/>
  <c r="C303" i="13"/>
  <c r="B303" i="13"/>
  <c r="H302" i="13"/>
  <c r="F302" i="13"/>
  <c r="E302" i="13"/>
  <c r="D302" i="13"/>
  <c r="C302" i="13"/>
  <c r="B302" i="13"/>
  <c r="H301" i="13"/>
  <c r="F301" i="13"/>
  <c r="E301" i="13"/>
  <c r="D301" i="13"/>
  <c r="C301" i="13"/>
  <c r="B301" i="13"/>
  <c r="H300" i="13"/>
  <c r="G300" i="13"/>
  <c r="F300" i="13"/>
  <c r="E300" i="13"/>
  <c r="D300" i="13"/>
  <c r="C300" i="13"/>
  <c r="B300" i="13"/>
  <c r="H299" i="13"/>
  <c r="G299" i="13"/>
  <c r="F299" i="13"/>
  <c r="E299" i="13"/>
  <c r="D299" i="13"/>
  <c r="C299" i="13"/>
  <c r="B299" i="13"/>
  <c r="H298" i="13"/>
  <c r="G298" i="13"/>
  <c r="F298" i="13"/>
  <c r="E298" i="13"/>
  <c r="D298" i="13"/>
  <c r="C298" i="13"/>
  <c r="B298" i="13"/>
  <c r="H297" i="13"/>
  <c r="G297" i="13"/>
  <c r="F297" i="13"/>
  <c r="E297" i="13"/>
  <c r="D297" i="13"/>
  <c r="C297" i="13"/>
  <c r="B297" i="13"/>
  <c r="H296" i="13"/>
  <c r="G296" i="13"/>
  <c r="F296" i="13"/>
  <c r="E296" i="13"/>
  <c r="D296" i="13"/>
  <c r="C296" i="13"/>
  <c r="B296" i="13"/>
  <c r="H295" i="13"/>
  <c r="G295" i="13"/>
  <c r="F295" i="13"/>
  <c r="E295" i="13"/>
  <c r="D295" i="13"/>
  <c r="C295" i="13"/>
  <c r="B295" i="13"/>
  <c r="H294" i="13"/>
  <c r="G294" i="13"/>
  <c r="F294" i="13"/>
  <c r="E294" i="13"/>
  <c r="D294" i="13"/>
  <c r="C294" i="13"/>
  <c r="B294" i="13"/>
  <c r="H293" i="13"/>
  <c r="G293" i="13"/>
  <c r="F293" i="13"/>
  <c r="E293" i="13"/>
  <c r="D293" i="13"/>
  <c r="C293" i="13"/>
  <c r="B293" i="13"/>
  <c r="H292" i="13"/>
  <c r="F292" i="13"/>
  <c r="E292" i="13"/>
  <c r="D292" i="13"/>
  <c r="C292" i="13"/>
  <c r="B292" i="13"/>
  <c r="H291" i="13"/>
  <c r="G291" i="13"/>
  <c r="F291" i="13"/>
  <c r="E291" i="13"/>
  <c r="D291" i="13"/>
  <c r="C291" i="13"/>
  <c r="B291" i="13"/>
  <c r="H290" i="13"/>
  <c r="G290" i="13"/>
  <c r="F290" i="13"/>
  <c r="E290" i="13"/>
  <c r="D290" i="13"/>
  <c r="C290" i="13"/>
  <c r="B290" i="13"/>
  <c r="H289" i="13"/>
  <c r="G289" i="13"/>
  <c r="F289" i="13"/>
  <c r="E289" i="13"/>
  <c r="D289" i="13"/>
  <c r="C289" i="13"/>
  <c r="B289" i="13"/>
  <c r="H288" i="13"/>
  <c r="G288" i="13"/>
  <c r="F288" i="13"/>
  <c r="E288" i="13"/>
  <c r="D288" i="13"/>
  <c r="C288" i="13"/>
  <c r="B288" i="13"/>
  <c r="H287" i="13"/>
  <c r="G287" i="13"/>
  <c r="F287" i="13"/>
  <c r="E287" i="13"/>
  <c r="D287" i="13"/>
  <c r="C287" i="13"/>
  <c r="B287" i="13"/>
  <c r="H286" i="13"/>
  <c r="G286" i="13"/>
  <c r="F286" i="13"/>
  <c r="E286" i="13"/>
  <c r="D286" i="13"/>
  <c r="C286" i="13"/>
  <c r="B286" i="13"/>
  <c r="H285" i="13"/>
  <c r="F285" i="13"/>
  <c r="E285" i="13"/>
  <c r="D285" i="13"/>
  <c r="C285" i="13"/>
  <c r="B285" i="13"/>
  <c r="H284" i="13"/>
  <c r="G284" i="13"/>
  <c r="F284" i="13"/>
  <c r="E284" i="13"/>
  <c r="D284" i="13"/>
  <c r="C284" i="13"/>
  <c r="B284" i="13"/>
  <c r="H283" i="13"/>
  <c r="F283" i="13"/>
  <c r="E283" i="13"/>
  <c r="D283" i="13"/>
  <c r="C283" i="13"/>
  <c r="B283" i="13"/>
  <c r="H282" i="13"/>
  <c r="F282" i="13"/>
  <c r="E282" i="13"/>
  <c r="D282" i="13"/>
  <c r="C282" i="13"/>
  <c r="B282" i="13"/>
  <c r="H281" i="13"/>
  <c r="G281" i="13"/>
  <c r="F281" i="13"/>
  <c r="E281" i="13"/>
  <c r="D281" i="13"/>
  <c r="C281" i="13"/>
  <c r="B281" i="13"/>
  <c r="H280" i="13"/>
  <c r="G280" i="13"/>
  <c r="F280" i="13"/>
  <c r="E280" i="13"/>
  <c r="D280" i="13"/>
  <c r="C280" i="13"/>
  <c r="B280" i="13"/>
  <c r="H279" i="13"/>
  <c r="G279" i="13"/>
  <c r="F279" i="13"/>
  <c r="E279" i="13"/>
  <c r="D279" i="13"/>
  <c r="C279" i="13"/>
  <c r="B279" i="13"/>
  <c r="H278" i="13"/>
  <c r="G278" i="13"/>
  <c r="F278" i="13"/>
  <c r="E278" i="13"/>
  <c r="D278" i="13"/>
  <c r="C278" i="13"/>
  <c r="B278" i="13"/>
  <c r="H277" i="13"/>
  <c r="G277" i="13"/>
  <c r="F277" i="13"/>
  <c r="E277" i="13"/>
  <c r="D277" i="13"/>
  <c r="C277" i="13"/>
  <c r="B277" i="13"/>
  <c r="H276" i="13"/>
  <c r="G276" i="13"/>
  <c r="F276" i="13"/>
  <c r="E276" i="13"/>
  <c r="D276" i="13"/>
  <c r="C276" i="13"/>
  <c r="B276" i="13"/>
  <c r="H275" i="13"/>
  <c r="F275" i="13"/>
  <c r="E275" i="13"/>
  <c r="D275" i="13"/>
  <c r="C275" i="13"/>
  <c r="B275" i="13"/>
  <c r="H274" i="13"/>
  <c r="F274" i="13"/>
  <c r="E274" i="13"/>
  <c r="D274" i="13"/>
  <c r="C274" i="13"/>
  <c r="B274" i="13"/>
  <c r="H273" i="13"/>
  <c r="G273" i="13"/>
  <c r="F273" i="13"/>
  <c r="E273" i="13"/>
  <c r="D273" i="13"/>
  <c r="C273" i="13"/>
  <c r="B273" i="13"/>
  <c r="H272" i="13"/>
  <c r="G272" i="13"/>
  <c r="F272" i="13"/>
  <c r="E272" i="13"/>
  <c r="D272" i="13"/>
  <c r="C272" i="13"/>
  <c r="B272" i="13"/>
  <c r="H271" i="13"/>
  <c r="F271" i="13"/>
  <c r="E271" i="13"/>
  <c r="D271" i="13"/>
  <c r="C271" i="13"/>
  <c r="B271" i="13"/>
  <c r="H270" i="13"/>
  <c r="G270" i="13"/>
  <c r="F270" i="13"/>
  <c r="E270" i="13"/>
  <c r="D270" i="13"/>
  <c r="C270" i="13"/>
  <c r="B270" i="13"/>
  <c r="H269" i="13"/>
  <c r="G269" i="13"/>
  <c r="F269" i="13"/>
  <c r="E269" i="13"/>
  <c r="D269" i="13"/>
  <c r="C269" i="13"/>
  <c r="B269" i="13"/>
  <c r="H268" i="13"/>
  <c r="G268" i="13"/>
  <c r="F268" i="13"/>
  <c r="E268" i="13"/>
  <c r="D268" i="13"/>
  <c r="C268" i="13"/>
  <c r="B268" i="13"/>
  <c r="H267" i="13"/>
  <c r="F267" i="13"/>
  <c r="E267" i="13"/>
  <c r="D267" i="13"/>
  <c r="C267" i="13"/>
  <c r="B267" i="13"/>
  <c r="H266" i="13"/>
  <c r="G266" i="13"/>
  <c r="F266" i="13"/>
  <c r="E266" i="13"/>
  <c r="D266" i="13"/>
  <c r="C266" i="13"/>
  <c r="B266" i="13"/>
  <c r="H265" i="13"/>
  <c r="G265" i="13"/>
  <c r="F265" i="13"/>
  <c r="E265" i="13"/>
  <c r="D265" i="13"/>
  <c r="C265" i="13"/>
  <c r="B265" i="13"/>
  <c r="H264" i="13"/>
  <c r="G264" i="13"/>
  <c r="F264" i="13"/>
  <c r="E264" i="13"/>
  <c r="D264" i="13"/>
  <c r="C264" i="13"/>
  <c r="B264" i="13"/>
  <c r="H263" i="13"/>
  <c r="G263" i="13"/>
  <c r="F263" i="13"/>
  <c r="E263" i="13"/>
  <c r="D263" i="13"/>
  <c r="C263" i="13"/>
  <c r="B263" i="13"/>
  <c r="H262" i="13"/>
  <c r="G262" i="13"/>
  <c r="F262" i="13"/>
  <c r="E262" i="13"/>
  <c r="D262" i="13"/>
  <c r="C262" i="13"/>
  <c r="B262" i="13"/>
  <c r="H261" i="13"/>
  <c r="G261" i="13"/>
  <c r="F261" i="13"/>
  <c r="E261" i="13"/>
  <c r="D261" i="13"/>
  <c r="C261" i="13"/>
  <c r="B261" i="13"/>
  <c r="H260" i="13"/>
  <c r="F260" i="13"/>
  <c r="E260" i="13"/>
  <c r="D260" i="13"/>
  <c r="C260" i="13"/>
  <c r="B260" i="13"/>
  <c r="H259" i="13"/>
  <c r="G259" i="13"/>
  <c r="F259" i="13"/>
  <c r="E259" i="13"/>
  <c r="D259" i="13"/>
  <c r="C259" i="13"/>
  <c r="B259" i="13"/>
  <c r="H258" i="13"/>
  <c r="G258" i="13"/>
  <c r="F258" i="13"/>
  <c r="E258" i="13"/>
  <c r="D258" i="13"/>
  <c r="C258" i="13"/>
  <c r="B258" i="13"/>
  <c r="H257" i="13"/>
  <c r="G257" i="13"/>
  <c r="F257" i="13"/>
  <c r="E257" i="13"/>
  <c r="D257" i="13"/>
  <c r="C257" i="13"/>
  <c r="B257" i="13"/>
  <c r="H256" i="13"/>
  <c r="F256" i="13"/>
  <c r="E256" i="13"/>
  <c r="D256" i="13"/>
  <c r="C256" i="13"/>
  <c r="B256" i="13"/>
  <c r="H255" i="13"/>
  <c r="G255" i="13"/>
  <c r="F255" i="13"/>
  <c r="E255" i="13"/>
  <c r="D255" i="13"/>
  <c r="C255" i="13"/>
  <c r="B255" i="13"/>
  <c r="H254" i="13"/>
  <c r="F254" i="13"/>
  <c r="E254" i="13"/>
  <c r="D254" i="13"/>
  <c r="C254" i="13"/>
  <c r="B254" i="13"/>
  <c r="H253" i="13"/>
  <c r="F253" i="13"/>
  <c r="E253" i="13"/>
  <c r="D253" i="13"/>
  <c r="C253" i="13"/>
  <c r="B253" i="13"/>
  <c r="H252" i="13"/>
  <c r="G252" i="13"/>
  <c r="F252" i="13"/>
  <c r="E252" i="13"/>
  <c r="D252" i="13"/>
  <c r="C252" i="13"/>
  <c r="B252" i="13"/>
  <c r="H251" i="13"/>
  <c r="F251" i="13"/>
  <c r="E251" i="13"/>
  <c r="D251" i="13"/>
  <c r="C251" i="13"/>
  <c r="B251" i="13"/>
  <c r="H250" i="13"/>
  <c r="F250" i="13"/>
  <c r="E250" i="13"/>
  <c r="D250" i="13"/>
  <c r="C250" i="13"/>
  <c r="B250" i="13"/>
  <c r="H249" i="13"/>
  <c r="F249" i="13"/>
  <c r="E249" i="13"/>
  <c r="D249" i="13"/>
  <c r="C249" i="13"/>
  <c r="B249" i="13"/>
  <c r="H248" i="13"/>
  <c r="F248" i="13"/>
  <c r="E248" i="13"/>
  <c r="D248" i="13"/>
  <c r="C248" i="13"/>
  <c r="B248" i="13"/>
  <c r="H247" i="13"/>
  <c r="F247" i="13"/>
  <c r="E247" i="13"/>
  <c r="D247" i="13"/>
  <c r="C247" i="13"/>
  <c r="B247" i="13"/>
  <c r="H246" i="13"/>
  <c r="F246" i="13"/>
  <c r="E246" i="13"/>
  <c r="D246" i="13"/>
  <c r="C246" i="13"/>
  <c r="B246" i="13"/>
  <c r="H245" i="13"/>
  <c r="F245" i="13"/>
  <c r="E245" i="13"/>
  <c r="D245" i="13"/>
  <c r="C245" i="13"/>
  <c r="B245" i="13"/>
  <c r="H244" i="13"/>
  <c r="F244" i="13"/>
  <c r="E244" i="13"/>
  <c r="D244" i="13"/>
  <c r="C244" i="13"/>
  <c r="B244" i="13"/>
  <c r="H243" i="13"/>
  <c r="F243" i="13"/>
  <c r="E243" i="13"/>
  <c r="D243" i="13"/>
  <c r="C243" i="13"/>
  <c r="B243" i="13"/>
  <c r="H242" i="13"/>
  <c r="F242" i="13"/>
  <c r="E242" i="13"/>
  <c r="D242" i="13"/>
  <c r="C242" i="13"/>
  <c r="B242" i="13"/>
  <c r="H241" i="13"/>
  <c r="F241" i="13"/>
  <c r="E241" i="13"/>
  <c r="D241" i="13"/>
  <c r="C241" i="13"/>
  <c r="B241" i="13"/>
  <c r="H240" i="13"/>
  <c r="F240" i="13"/>
  <c r="E240" i="13"/>
  <c r="D240" i="13"/>
  <c r="C240" i="13"/>
  <c r="B240" i="13"/>
  <c r="H239" i="13"/>
  <c r="F239" i="13"/>
  <c r="E239" i="13"/>
  <c r="D239" i="13"/>
  <c r="C239" i="13"/>
  <c r="B239" i="13"/>
  <c r="H238" i="13"/>
  <c r="F238" i="13"/>
  <c r="E238" i="13"/>
  <c r="D238" i="13"/>
  <c r="C238" i="13"/>
  <c r="B238" i="13"/>
  <c r="H237" i="13"/>
  <c r="F237" i="13"/>
  <c r="E237" i="13"/>
  <c r="D237" i="13"/>
  <c r="C237" i="13"/>
  <c r="B237" i="13"/>
  <c r="H236" i="13"/>
  <c r="G236" i="13"/>
  <c r="F236" i="13"/>
  <c r="E236" i="13"/>
  <c r="D236" i="13"/>
  <c r="C236" i="13"/>
  <c r="B236" i="13"/>
  <c r="H235" i="13"/>
  <c r="G235" i="13"/>
  <c r="F235" i="13"/>
  <c r="E235" i="13"/>
  <c r="D235" i="13"/>
  <c r="C235" i="13"/>
  <c r="B235" i="13"/>
  <c r="H234" i="13"/>
  <c r="F234" i="13"/>
  <c r="E234" i="13"/>
  <c r="D234" i="13"/>
  <c r="C234" i="13"/>
  <c r="B234" i="13"/>
  <c r="H233" i="13"/>
  <c r="F233" i="13"/>
  <c r="E233" i="13"/>
  <c r="D233" i="13"/>
  <c r="C233" i="13"/>
  <c r="B233" i="13"/>
  <c r="H232" i="13"/>
  <c r="F232" i="13"/>
  <c r="E232" i="13"/>
  <c r="D232" i="13"/>
  <c r="C232" i="13"/>
  <c r="B232" i="13"/>
  <c r="H231" i="13"/>
  <c r="F231" i="13"/>
  <c r="E231" i="13"/>
  <c r="D231" i="13"/>
  <c r="C231" i="13"/>
  <c r="B231" i="13"/>
  <c r="H230" i="13"/>
  <c r="F230" i="13"/>
  <c r="E230" i="13"/>
  <c r="D230" i="13"/>
  <c r="C230" i="13"/>
  <c r="B230" i="13"/>
  <c r="H229" i="13"/>
  <c r="F229" i="13"/>
  <c r="E229" i="13"/>
  <c r="D229" i="13"/>
  <c r="C229" i="13"/>
  <c r="B229" i="13"/>
  <c r="H228" i="13"/>
  <c r="F228" i="13"/>
  <c r="E228" i="13"/>
  <c r="D228" i="13"/>
  <c r="C228" i="13"/>
  <c r="B228" i="13"/>
  <c r="H227" i="13"/>
  <c r="F227" i="13"/>
  <c r="E227" i="13"/>
  <c r="D227" i="13"/>
  <c r="C227" i="13"/>
  <c r="B227" i="13"/>
  <c r="H226" i="13"/>
  <c r="G226" i="13"/>
  <c r="F226" i="13"/>
  <c r="E226" i="13"/>
  <c r="D226" i="13"/>
  <c r="C226" i="13"/>
  <c r="B226" i="13"/>
  <c r="H225" i="13"/>
  <c r="F225" i="13"/>
  <c r="E225" i="13"/>
  <c r="D225" i="13"/>
  <c r="C225" i="13"/>
  <c r="B225" i="13"/>
  <c r="H224" i="13"/>
  <c r="F224" i="13"/>
  <c r="E224" i="13"/>
  <c r="D224" i="13"/>
  <c r="C224" i="13"/>
  <c r="B224" i="13"/>
  <c r="H223" i="13"/>
  <c r="F223" i="13"/>
  <c r="E223" i="13"/>
  <c r="D223" i="13"/>
  <c r="C223" i="13"/>
  <c r="B223" i="13"/>
  <c r="H222" i="13"/>
  <c r="F222" i="13"/>
  <c r="E222" i="13"/>
  <c r="D222" i="13"/>
  <c r="C222" i="13"/>
  <c r="B222" i="13"/>
  <c r="H221" i="13"/>
  <c r="G221" i="13"/>
  <c r="F221" i="13"/>
  <c r="E221" i="13"/>
  <c r="D221" i="13"/>
  <c r="C221" i="13"/>
  <c r="B221" i="13"/>
  <c r="H220" i="13"/>
  <c r="G220" i="13"/>
  <c r="F220" i="13"/>
  <c r="E220" i="13"/>
  <c r="D220" i="13"/>
  <c r="C220" i="13"/>
  <c r="B220" i="13"/>
  <c r="H219" i="13"/>
  <c r="F219" i="13"/>
  <c r="E219" i="13"/>
  <c r="D219" i="13"/>
  <c r="C219" i="13"/>
  <c r="B219" i="13"/>
  <c r="H218" i="13"/>
  <c r="F218" i="13"/>
  <c r="E218" i="13"/>
  <c r="D218" i="13"/>
  <c r="C218" i="13"/>
  <c r="B218" i="13"/>
  <c r="H217" i="13"/>
  <c r="F217" i="13"/>
  <c r="E217" i="13"/>
  <c r="D217" i="13"/>
  <c r="C217" i="13"/>
  <c r="B217" i="13"/>
  <c r="H216" i="13"/>
  <c r="G216" i="13"/>
  <c r="F216" i="13"/>
  <c r="E216" i="13"/>
  <c r="D216" i="13"/>
  <c r="C216" i="13"/>
  <c r="B216" i="13"/>
  <c r="H215" i="13"/>
  <c r="G215" i="13"/>
  <c r="F215" i="13"/>
  <c r="E215" i="13"/>
  <c r="D215" i="13"/>
  <c r="C215" i="13"/>
  <c r="B215" i="13"/>
  <c r="H214" i="13"/>
  <c r="G214" i="13"/>
  <c r="F214" i="13"/>
  <c r="E214" i="13"/>
  <c r="D214" i="13"/>
  <c r="C214" i="13"/>
  <c r="B214" i="13"/>
  <c r="H213" i="13"/>
  <c r="G213" i="13"/>
  <c r="F213" i="13"/>
  <c r="E213" i="13"/>
  <c r="D213" i="13"/>
  <c r="C213" i="13"/>
  <c r="B213" i="13"/>
  <c r="H212" i="13"/>
  <c r="G212" i="13"/>
  <c r="F212" i="13"/>
  <c r="E212" i="13"/>
  <c r="D212" i="13"/>
  <c r="C212" i="13"/>
  <c r="B212" i="13"/>
  <c r="H211" i="13"/>
  <c r="G211" i="13"/>
  <c r="F211" i="13"/>
  <c r="E211" i="13"/>
  <c r="D211" i="13"/>
  <c r="C211" i="13"/>
  <c r="B211" i="13"/>
  <c r="H210" i="13"/>
  <c r="F210" i="13"/>
  <c r="E210" i="13"/>
  <c r="D210" i="13"/>
  <c r="C210" i="13"/>
  <c r="B210" i="13"/>
  <c r="H209" i="13"/>
  <c r="G209" i="13"/>
  <c r="F209" i="13"/>
  <c r="E209" i="13"/>
  <c r="D209" i="13"/>
  <c r="C209" i="13"/>
  <c r="B209" i="13"/>
  <c r="H208" i="13"/>
  <c r="F208" i="13"/>
  <c r="E208" i="13"/>
  <c r="D208" i="13"/>
  <c r="C208" i="13"/>
  <c r="B208" i="13"/>
  <c r="H207" i="13"/>
  <c r="F207" i="13"/>
  <c r="E207" i="13"/>
  <c r="D207" i="13"/>
  <c r="C207" i="13"/>
  <c r="B207" i="13"/>
  <c r="H206" i="13"/>
  <c r="F206" i="13"/>
  <c r="E206" i="13"/>
  <c r="D206" i="13"/>
  <c r="C206" i="13"/>
  <c r="B206" i="13"/>
  <c r="H205" i="13"/>
  <c r="F205" i="13"/>
  <c r="E205" i="13"/>
  <c r="D205" i="13"/>
  <c r="C205" i="13"/>
  <c r="B205" i="13"/>
  <c r="H204" i="13"/>
  <c r="F204" i="13"/>
  <c r="E204" i="13"/>
  <c r="D204" i="13"/>
  <c r="C204" i="13"/>
  <c r="B204" i="13"/>
  <c r="H203" i="13"/>
  <c r="F203" i="13"/>
  <c r="E203" i="13"/>
  <c r="D203" i="13"/>
  <c r="C203" i="13"/>
  <c r="B203" i="13"/>
  <c r="H202" i="13"/>
  <c r="G202" i="13"/>
  <c r="F202" i="13"/>
  <c r="E202" i="13"/>
  <c r="D202" i="13"/>
  <c r="C202" i="13"/>
  <c r="B202" i="13"/>
  <c r="H201" i="13"/>
  <c r="G201" i="13"/>
  <c r="F201" i="13"/>
  <c r="E201" i="13"/>
  <c r="D201" i="13"/>
  <c r="C201" i="13"/>
  <c r="B201" i="13"/>
  <c r="H200" i="13"/>
  <c r="G200" i="13"/>
  <c r="F200" i="13"/>
  <c r="E200" i="13"/>
  <c r="D200" i="13"/>
  <c r="C200" i="13"/>
  <c r="B200" i="13"/>
  <c r="H199" i="13"/>
  <c r="G199" i="13"/>
  <c r="F199" i="13"/>
  <c r="E199" i="13"/>
  <c r="D199" i="13"/>
  <c r="C199" i="13"/>
  <c r="B199" i="13"/>
  <c r="H198" i="13"/>
  <c r="F198" i="13"/>
  <c r="E198" i="13"/>
  <c r="D198" i="13"/>
  <c r="C198" i="13"/>
  <c r="B198" i="13"/>
  <c r="H197" i="13"/>
  <c r="F197" i="13"/>
  <c r="E197" i="13"/>
  <c r="D197" i="13"/>
  <c r="C197" i="13"/>
  <c r="B197" i="13"/>
  <c r="H196" i="13"/>
  <c r="F196" i="13"/>
  <c r="E196" i="13"/>
  <c r="D196" i="13"/>
  <c r="C196" i="13"/>
  <c r="B196" i="13"/>
  <c r="H195" i="13"/>
  <c r="G195" i="13"/>
  <c r="F195" i="13"/>
  <c r="E195" i="13"/>
  <c r="D195" i="13"/>
  <c r="C195" i="13"/>
  <c r="B195" i="13"/>
  <c r="H194" i="13"/>
  <c r="F194" i="13"/>
  <c r="E194" i="13"/>
  <c r="D194" i="13"/>
  <c r="C194" i="13"/>
  <c r="B194" i="13"/>
  <c r="H193" i="13"/>
  <c r="F193" i="13"/>
  <c r="E193" i="13"/>
  <c r="D193" i="13"/>
  <c r="C193" i="13"/>
  <c r="B193" i="13"/>
  <c r="H192" i="13"/>
  <c r="F192" i="13"/>
  <c r="E192" i="13"/>
  <c r="D192" i="13"/>
  <c r="C192" i="13"/>
  <c r="B192" i="13"/>
  <c r="H191" i="13"/>
  <c r="G191" i="13"/>
  <c r="F191" i="13"/>
  <c r="E191" i="13"/>
  <c r="D191" i="13"/>
  <c r="C191" i="13"/>
  <c r="B191" i="13"/>
  <c r="H190" i="13"/>
  <c r="F190" i="13"/>
  <c r="E190" i="13"/>
  <c r="D190" i="13"/>
  <c r="C190" i="13"/>
  <c r="B190" i="13"/>
  <c r="H189" i="13"/>
  <c r="F189" i="13"/>
  <c r="E189" i="13"/>
  <c r="D189" i="13"/>
  <c r="C189" i="13"/>
  <c r="B189" i="13"/>
  <c r="H188" i="13"/>
  <c r="F188" i="13"/>
  <c r="E188" i="13"/>
  <c r="D188" i="13"/>
  <c r="C188" i="13"/>
  <c r="B188" i="13"/>
  <c r="H187" i="13"/>
  <c r="G187" i="13"/>
  <c r="F187" i="13"/>
  <c r="E187" i="13"/>
  <c r="D187" i="13"/>
  <c r="C187" i="13"/>
  <c r="B187" i="13"/>
  <c r="H186" i="13"/>
  <c r="G186" i="13"/>
  <c r="F186" i="13"/>
  <c r="E186" i="13"/>
  <c r="D186" i="13"/>
  <c r="C186" i="13"/>
  <c r="B186" i="13"/>
  <c r="H185" i="13"/>
  <c r="G185" i="13"/>
  <c r="F185" i="13"/>
  <c r="E185" i="13"/>
  <c r="D185" i="13"/>
  <c r="C185" i="13"/>
  <c r="B185" i="13"/>
  <c r="H184" i="13"/>
  <c r="G184" i="13"/>
  <c r="F184" i="13"/>
  <c r="E184" i="13"/>
  <c r="D184" i="13"/>
  <c r="C184" i="13"/>
  <c r="B184" i="13"/>
  <c r="H183" i="13"/>
  <c r="G183" i="13"/>
  <c r="F183" i="13"/>
  <c r="E183" i="13"/>
  <c r="D183" i="13"/>
  <c r="C183" i="13"/>
  <c r="B183" i="13"/>
  <c r="H182" i="13"/>
  <c r="F182" i="13"/>
  <c r="E182" i="13"/>
  <c r="D182" i="13"/>
  <c r="C182" i="13"/>
  <c r="B182" i="13"/>
  <c r="H181" i="13"/>
  <c r="F181" i="13"/>
  <c r="E181" i="13"/>
  <c r="D181" i="13"/>
  <c r="C181" i="13"/>
  <c r="B181" i="13"/>
  <c r="H180" i="13"/>
  <c r="G180" i="13"/>
  <c r="F180" i="13"/>
  <c r="E180" i="13"/>
  <c r="D180" i="13"/>
  <c r="C180" i="13"/>
  <c r="B180" i="13"/>
  <c r="H179" i="13"/>
  <c r="G179" i="13"/>
  <c r="F179" i="13"/>
  <c r="E179" i="13"/>
  <c r="D179" i="13"/>
  <c r="C179" i="13"/>
  <c r="B179" i="13"/>
  <c r="H178" i="13"/>
  <c r="G178" i="13"/>
  <c r="F178" i="13"/>
  <c r="E178" i="13"/>
  <c r="D178" i="13"/>
  <c r="C178" i="13"/>
  <c r="B178" i="13"/>
  <c r="H177" i="13"/>
  <c r="F177" i="13"/>
  <c r="E177" i="13"/>
  <c r="D177" i="13"/>
  <c r="C177" i="13"/>
  <c r="B177" i="13"/>
  <c r="H176" i="13"/>
  <c r="F176" i="13"/>
  <c r="E176" i="13"/>
  <c r="D176" i="13"/>
  <c r="C176" i="13"/>
  <c r="B176" i="13"/>
  <c r="H175" i="13"/>
  <c r="G175" i="13"/>
  <c r="F175" i="13"/>
  <c r="E175" i="13"/>
  <c r="D175" i="13"/>
  <c r="C175" i="13"/>
  <c r="B175" i="13"/>
  <c r="H174" i="13"/>
  <c r="G174" i="13"/>
  <c r="F174" i="13"/>
  <c r="E174" i="13"/>
  <c r="D174" i="13"/>
  <c r="C174" i="13"/>
  <c r="B174" i="13"/>
  <c r="H173" i="13"/>
  <c r="F173" i="13"/>
  <c r="E173" i="13"/>
  <c r="D173" i="13"/>
  <c r="C173" i="13"/>
  <c r="B173" i="13"/>
  <c r="H172" i="13"/>
  <c r="F172" i="13"/>
  <c r="E172" i="13"/>
  <c r="D172" i="13"/>
  <c r="C172" i="13"/>
  <c r="B172" i="13"/>
  <c r="H171" i="13"/>
  <c r="F171" i="13"/>
  <c r="E171" i="13"/>
  <c r="D171" i="13"/>
  <c r="C171" i="13"/>
  <c r="B171" i="13"/>
  <c r="H170" i="13"/>
  <c r="F170" i="13"/>
  <c r="E170" i="13"/>
  <c r="D170" i="13"/>
  <c r="C170" i="13"/>
  <c r="B170" i="13"/>
  <c r="H169" i="13"/>
  <c r="F169" i="13"/>
  <c r="E169" i="13"/>
  <c r="D169" i="13"/>
  <c r="C169" i="13"/>
  <c r="B169" i="13"/>
  <c r="H168" i="13"/>
  <c r="F168" i="13"/>
  <c r="E168" i="13"/>
  <c r="D168" i="13"/>
  <c r="C168" i="13"/>
  <c r="B168" i="13"/>
  <c r="H167" i="13"/>
  <c r="F167" i="13"/>
  <c r="E167" i="13"/>
  <c r="D167" i="13"/>
  <c r="C167" i="13"/>
  <c r="B167" i="13"/>
  <c r="H166" i="13"/>
  <c r="F166" i="13"/>
  <c r="E166" i="13"/>
  <c r="D166" i="13"/>
  <c r="C166" i="13"/>
  <c r="B166" i="13"/>
  <c r="H165" i="13"/>
  <c r="F165" i="13"/>
  <c r="E165" i="13"/>
  <c r="D165" i="13"/>
  <c r="C165" i="13"/>
  <c r="B165" i="13"/>
  <c r="H164" i="13"/>
  <c r="F164" i="13"/>
  <c r="E164" i="13"/>
  <c r="D164" i="13"/>
  <c r="C164" i="13"/>
  <c r="B164" i="13"/>
  <c r="H163" i="13"/>
  <c r="F163" i="13"/>
  <c r="E163" i="13"/>
  <c r="D163" i="13"/>
  <c r="C163" i="13"/>
  <c r="B163" i="13"/>
  <c r="H162" i="13"/>
  <c r="G162" i="13"/>
  <c r="F162" i="13"/>
  <c r="E162" i="13"/>
  <c r="D162" i="13"/>
  <c r="C162" i="13"/>
  <c r="B162" i="13"/>
  <c r="H161" i="13"/>
  <c r="F161" i="13"/>
  <c r="E161" i="13"/>
  <c r="D161" i="13"/>
  <c r="C161" i="13"/>
  <c r="B161" i="13"/>
  <c r="H160" i="13"/>
  <c r="F160" i="13"/>
  <c r="E160" i="13"/>
  <c r="D160" i="13"/>
  <c r="C160" i="13"/>
  <c r="B160" i="13"/>
  <c r="H159" i="13"/>
  <c r="F159" i="13"/>
  <c r="E159" i="13"/>
  <c r="D159" i="13"/>
  <c r="C159" i="13"/>
  <c r="B159" i="13"/>
  <c r="H158" i="13"/>
  <c r="F158" i="13"/>
  <c r="E158" i="13"/>
  <c r="D158" i="13"/>
  <c r="C158" i="13"/>
  <c r="B158" i="13"/>
  <c r="H157" i="13"/>
  <c r="F157" i="13"/>
  <c r="E157" i="13"/>
  <c r="D157" i="13"/>
  <c r="C157" i="13"/>
  <c r="B157" i="13"/>
  <c r="H156" i="13"/>
  <c r="F156" i="13"/>
  <c r="E156" i="13"/>
  <c r="D156" i="13"/>
  <c r="C156" i="13"/>
  <c r="B156" i="13"/>
  <c r="H155" i="13"/>
  <c r="G155" i="13"/>
  <c r="F155" i="13"/>
  <c r="E155" i="13"/>
  <c r="D155" i="13"/>
  <c r="C155" i="13"/>
  <c r="B155" i="13"/>
  <c r="H154" i="13"/>
  <c r="F154" i="13"/>
  <c r="E154" i="13"/>
  <c r="D154" i="13"/>
  <c r="C154" i="13"/>
  <c r="B154" i="13"/>
  <c r="H153" i="13"/>
  <c r="G153" i="13"/>
  <c r="F153" i="13"/>
  <c r="E153" i="13"/>
  <c r="D153" i="13"/>
  <c r="C153" i="13"/>
  <c r="B153" i="13"/>
  <c r="H152" i="13"/>
  <c r="F152" i="13"/>
  <c r="E152" i="13"/>
  <c r="D152" i="13"/>
  <c r="C152" i="13"/>
  <c r="B152" i="13"/>
  <c r="H151" i="13"/>
  <c r="F151" i="13"/>
  <c r="E151" i="13"/>
  <c r="D151" i="13"/>
  <c r="C151" i="13"/>
  <c r="B151" i="13"/>
  <c r="H150" i="13"/>
  <c r="F150" i="13"/>
  <c r="E150" i="13"/>
  <c r="D150" i="13"/>
  <c r="C150" i="13"/>
  <c r="B150" i="13"/>
  <c r="H149" i="13"/>
  <c r="F149" i="13"/>
  <c r="E149" i="13"/>
  <c r="D149" i="13"/>
  <c r="C149" i="13"/>
  <c r="B149" i="13"/>
  <c r="H148" i="13"/>
  <c r="F148" i="13"/>
  <c r="E148" i="13"/>
  <c r="D148" i="13"/>
  <c r="C148" i="13"/>
  <c r="B148" i="13"/>
  <c r="H147" i="13"/>
  <c r="F147" i="13"/>
  <c r="E147" i="13"/>
  <c r="D147" i="13"/>
  <c r="C147" i="13"/>
  <c r="B147" i="13"/>
  <c r="H146" i="13"/>
  <c r="F146" i="13"/>
  <c r="E146" i="13"/>
  <c r="D146" i="13"/>
  <c r="C146" i="13"/>
  <c r="B146" i="13"/>
  <c r="H145" i="13"/>
  <c r="G145" i="13"/>
  <c r="F145" i="13"/>
  <c r="E145" i="13"/>
  <c r="D145" i="13"/>
  <c r="C145" i="13"/>
  <c r="B145" i="13"/>
  <c r="H144" i="13"/>
  <c r="G144" i="13"/>
  <c r="F144" i="13"/>
  <c r="E144" i="13"/>
  <c r="D144" i="13"/>
  <c r="C144" i="13"/>
  <c r="B144" i="13"/>
  <c r="H143" i="13"/>
  <c r="F143" i="13"/>
  <c r="E143" i="13"/>
  <c r="D143" i="13"/>
  <c r="C143" i="13"/>
  <c r="B143" i="13"/>
  <c r="H142" i="13"/>
  <c r="F142" i="13"/>
  <c r="E142" i="13"/>
  <c r="D142" i="13"/>
  <c r="C142" i="13"/>
  <c r="B142" i="13"/>
  <c r="H141" i="13"/>
  <c r="G141" i="13"/>
  <c r="F141" i="13"/>
  <c r="E141" i="13"/>
  <c r="D141" i="13"/>
  <c r="C141" i="13"/>
  <c r="B141" i="13"/>
  <c r="H140" i="13"/>
  <c r="F140" i="13"/>
  <c r="E140" i="13"/>
  <c r="D140" i="13"/>
  <c r="C140" i="13"/>
  <c r="B140" i="13"/>
  <c r="H139" i="13"/>
  <c r="F139" i="13"/>
  <c r="E139" i="13"/>
  <c r="D139" i="13"/>
  <c r="C139" i="13"/>
  <c r="B139" i="13"/>
  <c r="H138" i="13"/>
  <c r="F138" i="13"/>
  <c r="E138" i="13"/>
  <c r="D138" i="13"/>
  <c r="C138" i="13"/>
  <c r="B138" i="13"/>
  <c r="H137" i="13"/>
  <c r="G137" i="13"/>
  <c r="F137" i="13"/>
  <c r="E137" i="13"/>
  <c r="D137" i="13"/>
  <c r="C137" i="13"/>
  <c r="B137" i="13"/>
  <c r="H136" i="13"/>
  <c r="F136" i="13"/>
  <c r="E136" i="13"/>
  <c r="D136" i="13"/>
  <c r="C136" i="13"/>
  <c r="B136" i="13"/>
  <c r="H135" i="13"/>
  <c r="F135" i="13"/>
  <c r="E135" i="13"/>
  <c r="D135" i="13"/>
  <c r="C135" i="13"/>
  <c r="B135" i="13"/>
  <c r="H134" i="13"/>
  <c r="G134" i="13"/>
  <c r="F134" i="13"/>
  <c r="E134" i="13"/>
  <c r="D134" i="13"/>
  <c r="C134" i="13"/>
  <c r="B134" i="13"/>
  <c r="H133" i="13"/>
  <c r="F133" i="13"/>
  <c r="E133" i="13"/>
  <c r="D133" i="13"/>
  <c r="C133" i="13"/>
  <c r="B133" i="13"/>
  <c r="H132" i="13"/>
  <c r="F132" i="13"/>
  <c r="E132" i="13"/>
  <c r="D132" i="13"/>
  <c r="C132" i="13"/>
  <c r="B132" i="13"/>
  <c r="H131" i="13"/>
  <c r="F131" i="13"/>
  <c r="E131" i="13"/>
  <c r="D131" i="13"/>
  <c r="C131" i="13"/>
  <c r="B131" i="13"/>
  <c r="H130" i="13"/>
  <c r="G130" i="13"/>
  <c r="F130" i="13"/>
  <c r="E130" i="13"/>
  <c r="D130" i="13"/>
  <c r="C130" i="13"/>
  <c r="B130" i="13"/>
  <c r="H129" i="13"/>
  <c r="G129" i="13"/>
  <c r="F129" i="13"/>
  <c r="E129" i="13"/>
  <c r="D129" i="13"/>
  <c r="C129" i="13"/>
  <c r="B129" i="13"/>
  <c r="H128" i="13"/>
  <c r="G128" i="13"/>
  <c r="F128" i="13"/>
  <c r="E128" i="13"/>
  <c r="D128" i="13"/>
  <c r="C128" i="13"/>
  <c r="B128" i="13"/>
  <c r="H127" i="13"/>
  <c r="G127" i="13"/>
  <c r="F127" i="13"/>
  <c r="E127" i="13"/>
  <c r="D127" i="13"/>
  <c r="C127" i="13"/>
  <c r="B127" i="13"/>
  <c r="H126" i="13"/>
  <c r="F126" i="13"/>
  <c r="E126" i="13"/>
  <c r="D126" i="13"/>
  <c r="C126" i="13"/>
  <c r="B126" i="13"/>
  <c r="H125" i="13"/>
  <c r="G125" i="13"/>
  <c r="F125" i="13"/>
  <c r="E125" i="13"/>
  <c r="D125" i="13"/>
  <c r="C125" i="13"/>
  <c r="B125" i="13"/>
  <c r="H124" i="13"/>
  <c r="G124" i="13"/>
  <c r="F124" i="13"/>
  <c r="E124" i="13"/>
  <c r="D124" i="13"/>
  <c r="C124" i="13"/>
  <c r="B124" i="13"/>
  <c r="H123" i="13"/>
  <c r="G123" i="13"/>
  <c r="F123" i="13"/>
  <c r="E123" i="13"/>
  <c r="D123" i="13"/>
  <c r="C123" i="13"/>
  <c r="B123" i="13"/>
  <c r="H122" i="13"/>
  <c r="G122" i="13"/>
  <c r="F122" i="13"/>
  <c r="E122" i="13"/>
  <c r="D122" i="13"/>
  <c r="C122" i="13"/>
  <c r="B122" i="13"/>
  <c r="H121" i="13"/>
  <c r="F121" i="13"/>
  <c r="E121" i="13"/>
  <c r="D121" i="13"/>
  <c r="C121" i="13"/>
  <c r="B121" i="13"/>
  <c r="H120" i="13"/>
  <c r="G120" i="13"/>
  <c r="F120" i="13"/>
  <c r="E120" i="13"/>
  <c r="D120" i="13"/>
  <c r="C120" i="13"/>
  <c r="B120" i="13"/>
  <c r="H119" i="13"/>
  <c r="G119" i="13"/>
  <c r="F119" i="13"/>
  <c r="E119" i="13"/>
  <c r="D119" i="13"/>
  <c r="C119" i="13"/>
  <c r="B119" i="13"/>
  <c r="H118" i="13"/>
  <c r="G118" i="13"/>
  <c r="F118" i="13"/>
  <c r="E118" i="13"/>
  <c r="D118" i="13"/>
  <c r="C118" i="13"/>
  <c r="B118" i="13"/>
  <c r="H117" i="13"/>
  <c r="G117" i="13"/>
  <c r="F117" i="13"/>
  <c r="E117" i="13"/>
  <c r="D117" i="13"/>
  <c r="C117" i="13"/>
  <c r="B117" i="13"/>
  <c r="H116" i="13"/>
  <c r="G116" i="13"/>
  <c r="F116" i="13"/>
  <c r="E116" i="13"/>
  <c r="D116" i="13"/>
  <c r="C116" i="13"/>
  <c r="B116" i="13"/>
  <c r="H115" i="13"/>
  <c r="G115" i="13"/>
  <c r="F115" i="13"/>
  <c r="E115" i="13"/>
  <c r="D115" i="13"/>
  <c r="C115" i="13"/>
  <c r="B115" i="13"/>
  <c r="H114" i="13"/>
  <c r="G114" i="13"/>
  <c r="F114" i="13"/>
  <c r="E114" i="13"/>
  <c r="D114" i="13"/>
  <c r="C114" i="13"/>
  <c r="B114" i="13"/>
  <c r="H113" i="13"/>
  <c r="G113" i="13"/>
  <c r="F113" i="13"/>
  <c r="E113" i="13"/>
  <c r="D113" i="13"/>
  <c r="C113" i="13"/>
  <c r="B113" i="13"/>
  <c r="H112" i="13"/>
  <c r="G112" i="13"/>
  <c r="F112" i="13"/>
  <c r="E112" i="13"/>
  <c r="D112" i="13"/>
  <c r="C112" i="13"/>
  <c r="B112" i="13"/>
  <c r="H111" i="13"/>
  <c r="G111" i="13"/>
  <c r="F111" i="13"/>
  <c r="E111" i="13"/>
  <c r="D111" i="13"/>
  <c r="C111" i="13"/>
  <c r="B111" i="13"/>
  <c r="H110" i="13"/>
  <c r="G110" i="13"/>
  <c r="F110" i="13"/>
  <c r="E110" i="13"/>
  <c r="D110" i="13"/>
  <c r="C110" i="13"/>
  <c r="B110" i="13"/>
  <c r="H109" i="13"/>
  <c r="G109" i="13"/>
  <c r="F109" i="13"/>
  <c r="E109" i="13"/>
  <c r="D109" i="13"/>
  <c r="C109" i="13"/>
  <c r="B109" i="13"/>
  <c r="H108" i="13"/>
  <c r="F108" i="13"/>
  <c r="E108" i="13"/>
  <c r="D108" i="13"/>
  <c r="C108" i="13"/>
  <c r="B108" i="13"/>
  <c r="H107" i="13"/>
  <c r="G107" i="13"/>
  <c r="F107" i="13"/>
  <c r="E107" i="13"/>
  <c r="D107" i="13"/>
  <c r="C107" i="13"/>
  <c r="B107" i="13"/>
  <c r="H106" i="13"/>
  <c r="F106" i="13"/>
  <c r="E106" i="13"/>
  <c r="D106" i="13"/>
  <c r="C106" i="13"/>
  <c r="B106" i="13"/>
  <c r="H105" i="13"/>
  <c r="F105" i="13"/>
  <c r="E105" i="13"/>
  <c r="D105" i="13"/>
  <c r="C105" i="13"/>
  <c r="B105" i="13"/>
  <c r="H104" i="13"/>
  <c r="F104" i="13"/>
  <c r="E104" i="13"/>
  <c r="D104" i="13"/>
  <c r="C104" i="13"/>
  <c r="B104" i="13"/>
  <c r="H103" i="13"/>
  <c r="F103" i="13"/>
  <c r="E103" i="13"/>
  <c r="D103" i="13"/>
  <c r="C103" i="13"/>
  <c r="B103" i="13"/>
  <c r="H102" i="13"/>
  <c r="F102" i="13"/>
  <c r="E102" i="13"/>
  <c r="D102" i="13"/>
  <c r="C102" i="13"/>
  <c r="B102" i="13"/>
  <c r="H101" i="13"/>
  <c r="F101" i="13"/>
  <c r="E101" i="13"/>
  <c r="D101" i="13"/>
  <c r="C101" i="13"/>
  <c r="B101" i="13"/>
  <c r="H100" i="13"/>
  <c r="F100" i="13"/>
  <c r="E100" i="13"/>
  <c r="D100" i="13"/>
  <c r="C100" i="13"/>
  <c r="B100" i="13"/>
  <c r="H99" i="13"/>
  <c r="F99" i="13"/>
  <c r="E99" i="13"/>
  <c r="D99" i="13"/>
  <c r="C99" i="13"/>
  <c r="B99" i="13"/>
  <c r="H98" i="13"/>
  <c r="F98" i="13"/>
  <c r="E98" i="13"/>
  <c r="D98" i="13"/>
  <c r="C98" i="13"/>
  <c r="B98" i="13"/>
  <c r="H97" i="13"/>
  <c r="F97" i="13"/>
  <c r="E97" i="13"/>
  <c r="D97" i="13"/>
  <c r="C97" i="13"/>
  <c r="B97" i="13"/>
  <c r="H96" i="13"/>
  <c r="F96" i="13"/>
  <c r="E96" i="13"/>
  <c r="D96" i="13"/>
  <c r="C96" i="13"/>
  <c r="B96" i="13"/>
  <c r="H95" i="13"/>
  <c r="G95" i="13"/>
  <c r="F95" i="13"/>
  <c r="E95" i="13"/>
  <c r="D95" i="13"/>
  <c r="C95" i="13"/>
  <c r="B95" i="13"/>
  <c r="H94" i="13"/>
  <c r="G94" i="13"/>
  <c r="F94" i="13"/>
  <c r="E94" i="13"/>
  <c r="D94" i="13"/>
  <c r="C94" i="13"/>
  <c r="B94" i="13"/>
  <c r="H93" i="13"/>
  <c r="G93" i="13"/>
  <c r="F93" i="13"/>
  <c r="E93" i="13"/>
  <c r="D93" i="13"/>
  <c r="C93" i="13"/>
  <c r="B93" i="13"/>
  <c r="H92" i="13"/>
  <c r="F92" i="13"/>
  <c r="E92" i="13"/>
  <c r="D92" i="13"/>
  <c r="C92" i="13"/>
  <c r="B92" i="13"/>
  <c r="H91" i="13"/>
  <c r="G91" i="13"/>
  <c r="F91" i="13"/>
  <c r="E91" i="13"/>
  <c r="D91" i="13"/>
  <c r="C91" i="13"/>
  <c r="B91" i="13"/>
  <c r="H90" i="13"/>
  <c r="G90" i="13"/>
  <c r="F90" i="13"/>
  <c r="E90" i="13"/>
  <c r="D90" i="13"/>
  <c r="C90" i="13"/>
  <c r="B90" i="13"/>
  <c r="H89" i="13"/>
  <c r="G89" i="13"/>
  <c r="F89" i="13"/>
  <c r="E89" i="13"/>
  <c r="D89" i="13"/>
  <c r="C89" i="13"/>
  <c r="B89" i="13"/>
  <c r="H88" i="13"/>
  <c r="G88" i="13"/>
  <c r="F88" i="13"/>
  <c r="E88" i="13"/>
  <c r="D88" i="13"/>
  <c r="C88" i="13"/>
  <c r="B88" i="13"/>
  <c r="H87" i="13"/>
  <c r="G87" i="13"/>
  <c r="F87" i="13"/>
  <c r="E87" i="13"/>
  <c r="D87" i="13"/>
  <c r="C87" i="13"/>
  <c r="B87" i="13"/>
  <c r="H86" i="13"/>
  <c r="G86" i="13"/>
  <c r="F86" i="13"/>
  <c r="E86" i="13"/>
  <c r="D86" i="13"/>
  <c r="C86" i="13"/>
  <c r="B86" i="13"/>
  <c r="H85" i="13"/>
  <c r="F85" i="13"/>
  <c r="E85" i="13"/>
  <c r="D85" i="13"/>
  <c r="C85" i="13"/>
  <c r="B85" i="13"/>
  <c r="H84" i="13"/>
  <c r="F84" i="13"/>
  <c r="E84" i="13"/>
  <c r="D84" i="13"/>
  <c r="C84" i="13"/>
  <c r="B84" i="13"/>
  <c r="H83" i="13"/>
  <c r="F83" i="13"/>
  <c r="E83" i="13"/>
  <c r="D83" i="13"/>
  <c r="C83" i="13"/>
  <c r="B83" i="13"/>
  <c r="H82" i="13"/>
  <c r="F82" i="13"/>
  <c r="E82" i="13"/>
  <c r="D82" i="13"/>
  <c r="C82" i="13"/>
  <c r="B82" i="13"/>
  <c r="H81" i="13"/>
  <c r="G81" i="13"/>
  <c r="F81" i="13"/>
  <c r="E81" i="13"/>
  <c r="D81" i="13"/>
  <c r="C81" i="13"/>
  <c r="B81" i="13"/>
  <c r="H80" i="13"/>
  <c r="G80" i="13"/>
  <c r="F80" i="13"/>
  <c r="E80" i="13"/>
  <c r="D80" i="13"/>
  <c r="C80" i="13"/>
  <c r="B80" i="13"/>
  <c r="H79" i="13"/>
  <c r="F79" i="13"/>
  <c r="E79" i="13"/>
  <c r="D79" i="13"/>
  <c r="C79" i="13"/>
  <c r="B79" i="13"/>
  <c r="H78" i="13"/>
  <c r="F78" i="13"/>
  <c r="E78" i="13"/>
  <c r="D78" i="13"/>
  <c r="C78" i="13"/>
  <c r="B78" i="13"/>
  <c r="H77" i="13"/>
  <c r="G77" i="13"/>
  <c r="F77" i="13"/>
  <c r="E77" i="13"/>
  <c r="D77" i="13"/>
  <c r="C77" i="13"/>
  <c r="B77" i="13"/>
  <c r="H76" i="13"/>
  <c r="G76" i="13"/>
  <c r="F76" i="13"/>
  <c r="E76" i="13"/>
  <c r="D76" i="13"/>
  <c r="C76" i="13"/>
  <c r="B76" i="13"/>
  <c r="H75" i="13"/>
  <c r="G75" i="13"/>
  <c r="F75" i="13"/>
  <c r="E75" i="13"/>
  <c r="D75" i="13"/>
  <c r="C75" i="13"/>
  <c r="B75" i="13"/>
  <c r="H74" i="13"/>
  <c r="G74" i="13"/>
  <c r="F74" i="13"/>
  <c r="E74" i="13"/>
  <c r="D74" i="13"/>
  <c r="C74" i="13"/>
  <c r="B74" i="13"/>
  <c r="H73" i="13"/>
  <c r="G73" i="13"/>
  <c r="F73" i="13"/>
  <c r="E73" i="13"/>
  <c r="D73" i="13"/>
  <c r="C73" i="13"/>
  <c r="B73" i="13"/>
  <c r="H72" i="13"/>
  <c r="G72" i="13"/>
  <c r="F72" i="13"/>
  <c r="E72" i="13"/>
  <c r="D72" i="13"/>
  <c r="C72" i="13"/>
  <c r="B72" i="13"/>
  <c r="H71" i="13"/>
  <c r="G71" i="13"/>
  <c r="F71" i="13"/>
  <c r="E71" i="13"/>
  <c r="D71" i="13"/>
  <c r="C71" i="13"/>
  <c r="B71" i="13"/>
  <c r="H70" i="13"/>
  <c r="G70" i="13"/>
  <c r="F70" i="13"/>
  <c r="E70" i="13"/>
  <c r="D70" i="13"/>
  <c r="C70" i="13"/>
  <c r="B70" i="13"/>
  <c r="H69" i="13"/>
  <c r="G69" i="13"/>
  <c r="F69" i="13"/>
  <c r="E69" i="13"/>
  <c r="D69" i="13"/>
  <c r="C69" i="13"/>
  <c r="B69" i="13"/>
  <c r="H68" i="13"/>
  <c r="G68" i="13"/>
  <c r="F68" i="13"/>
  <c r="E68" i="13"/>
  <c r="D68" i="13"/>
  <c r="C68" i="13"/>
  <c r="B68" i="13"/>
  <c r="H67" i="13"/>
  <c r="G67" i="13"/>
  <c r="F67" i="13"/>
  <c r="E67" i="13"/>
  <c r="D67" i="13"/>
  <c r="C67" i="13"/>
  <c r="B67" i="13"/>
  <c r="H66" i="13"/>
  <c r="G66" i="13"/>
  <c r="F66" i="13"/>
  <c r="E66" i="13"/>
  <c r="D66" i="13"/>
  <c r="C66" i="13"/>
  <c r="B66" i="13"/>
  <c r="H65" i="13"/>
  <c r="G65" i="13"/>
  <c r="F65" i="13"/>
  <c r="E65" i="13"/>
  <c r="D65" i="13"/>
  <c r="C65" i="13"/>
  <c r="B65" i="13"/>
  <c r="H64" i="13"/>
  <c r="G64" i="13"/>
  <c r="F64" i="13"/>
  <c r="E64" i="13"/>
  <c r="D64" i="13"/>
  <c r="C64" i="13"/>
  <c r="B64" i="13"/>
  <c r="H63" i="13"/>
  <c r="G63" i="13"/>
  <c r="F63" i="13"/>
  <c r="E63" i="13"/>
  <c r="D63" i="13"/>
  <c r="C63" i="13"/>
  <c r="B63" i="13"/>
  <c r="H62" i="13"/>
  <c r="G62" i="13"/>
  <c r="F62" i="13"/>
  <c r="E62" i="13"/>
  <c r="D62" i="13"/>
  <c r="C62" i="13"/>
  <c r="B62" i="13"/>
  <c r="H61" i="13"/>
  <c r="G61" i="13"/>
  <c r="F61" i="13"/>
  <c r="E61" i="13"/>
  <c r="D61" i="13"/>
  <c r="C61" i="13"/>
  <c r="B61" i="13"/>
  <c r="H60" i="13"/>
  <c r="G60" i="13"/>
  <c r="F60" i="13"/>
  <c r="E60" i="13"/>
  <c r="D60" i="13"/>
  <c r="C60" i="13"/>
  <c r="B60" i="13"/>
  <c r="H59" i="13"/>
  <c r="G59" i="13"/>
  <c r="F59" i="13"/>
  <c r="E59" i="13"/>
  <c r="D59" i="13"/>
  <c r="C59" i="13"/>
  <c r="B59" i="13"/>
  <c r="H58" i="13"/>
  <c r="G58" i="13"/>
  <c r="F58" i="13"/>
  <c r="E58" i="13"/>
  <c r="D58" i="13"/>
  <c r="C58" i="13"/>
  <c r="B58" i="13"/>
  <c r="H57" i="13"/>
  <c r="G57" i="13"/>
  <c r="F57" i="13"/>
  <c r="E57" i="13"/>
  <c r="D57" i="13"/>
  <c r="C57" i="13"/>
  <c r="B57" i="13"/>
  <c r="H56" i="13"/>
  <c r="G56" i="13"/>
  <c r="F56" i="13"/>
  <c r="E56" i="13"/>
  <c r="D56" i="13"/>
  <c r="C56" i="13"/>
  <c r="B56" i="13"/>
  <c r="H55" i="13"/>
  <c r="G55" i="13"/>
  <c r="F55" i="13"/>
  <c r="E55" i="13"/>
  <c r="D55" i="13"/>
  <c r="C55" i="13"/>
  <c r="B55" i="13"/>
  <c r="H54" i="13"/>
  <c r="G54" i="13"/>
  <c r="F54" i="13"/>
  <c r="E54" i="13"/>
  <c r="D54" i="13"/>
  <c r="C54" i="13"/>
  <c r="B54" i="13"/>
  <c r="H53" i="13"/>
  <c r="G53" i="13"/>
  <c r="F53" i="13"/>
  <c r="E53" i="13"/>
  <c r="D53" i="13"/>
  <c r="C53" i="13"/>
  <c r="B53" i="13"/>
  <c r="H52" i="13"/>
  <c r="G52" i="13"/>
  <c r="F52" i="13"/>
  <c r="E52" i="13"/>
  <c r="D52" i="13"/>
  <c r="C52" i="13"/>
  <c r="B52" i="13"/>
  <c r="H51" i="13"/>
  <c r="G51" i="13"/>
  <c r="F51" i="13"/>
  <c r="E51" i="13"/>
  <c r="D51" i="13"/>
  <c r="C51" i="13"/>
  <c r="B51" i="13"/>
  <c r="H50" i="13"/>
  <c r="G50" i="13"/>
  <c r="F50" i="13"/>
  <c r="E50" i="13"/>
  <c r="D50" i="13"/>
  <c r="C50" i="13"/>
  <c r="B50" i="13"/>
  <c r="H49" i="13"/>
  <c r="G49" i="13"/>
  <c r="F49" i="13"/>
  <c r="E49" i="13"/>
  <c r="D49" i="13"/>
  <c r="C49" i="13"/>
  <c r="B49" i="13"/>
  <c r="H48" i="13"/>
  <c r="G48" i="13"/>
  <c r="F48" i="13"/>
  <c r="E48" i="13"/>
  <c r="D48" i="13"/>
  <c r="C48" i="13"/>
  <c r="B48" i="13"/>
  <c r="H47" i="13"/>
  <c r="G47" i="13"/>
  <c r="F47" i="13"/>
  <c r="E47" i="13"/>
  <c r="D47" i="13"/>
  <c r="C47" i="13"/>
  <c r="B47" i="13"/>
  <c r="H46" i="13"/>
  <c r="G46" i="13"/>
  <c r="F46" i="13"/>
  <c r="E46" i="13"/>
  <c r="D46" i="13"/>
  <c r="C46" i="13"/>
  <c r="B46" i="13"/>
  <c r="H45" i="13"/>
  <c r="G45" i="13"/>
  <c r="F45" i="13"/>
  <c r="E45" i="13"/>
  <c r="D45" i="13"/>
  <c r="C45" i="13"/>
  <c r="B45" i="13"/>
  <c r="H44" i="13"/>
  <c r="G44" i="13"/>
  <c r="F44" i="13"/>
  <c r="E44" i="13"/>
  <c r="D44" i="13"/>
  <c r="C44" i="13"/>
  <c r="B44" i="13"/>
  <c r="H43" i="13"/>
  <c r="G43" i="13"/>
  <c r="F43" i="13"/>
  <c r="E43" i="13"/>
  <c r="D43" i="13"/>
  <c r="C43" i="13"/>
  <c r="B43" i="13"/>
  <c r="H42" i="13"/>
  <c r="G42" i="13"/>
  <c r="F42" i="13"/>
  <c r="E42" i="13"/>
  <c r="D42" i="13"/>
  <c r="C42" i="13"/>
  <c r="B42" i="13"/>
  <c r="H41" i="13"/>
  <c r="G41" i="13"/>
  <c r="F41" i="13"/>
  <c r="E41" i="13"/>
  <c r="D41" i="13"/>
  <c r="C41" i="13"/>
  <c r="B41" i="13"/>
  <c r="H40" i="13"/>
  <c r="G40" i="13"/>
  <c r="F40" i="13"/>
  <c r="E40" i="13"/>
  <c r="D40" i="13"/>
  <c r="C40" i="13"/>
  <c r="B40" i="13"/>
  <c r="H39" i="13"/>
  <c r="G39" i="13"/>
  <c r="F39" i="13"/>
  <c r="E39" i="13"/>
  <c r="D39" i="13"/>
  <c r="C39" i="13"/>
  <c r="B39" i="13"/>
  <c r="H38" i="13"/>
  <c r="G38" i="13"/>
  <c r="F38" i="13"/>
  <c r="E38" i="13"/>
  <c r="D38" i="13"/>
  <c r="C38" i="13"/>
  <c r="B38" i="13"/>
  <c r="H37" i="13"/>
  <c r="G37" i="13"/>
  <c r="F37" i="13"/>
  <c r="E37" i="13"/>
  <c r="D37" i="13"/>
  <c r="C37" i="13"/>
  <c r="B37" i="13"/>
  <c r="H36" i="13"/>
  <c r="G36" i="13"/>
  <c r="F36" i="13"/>
  <c r="E36" i="13"/>
  <c r="D36" i="13"/>
  <c r="C36" i="13"/>
  <c r="B36" i="13"/>
  <c r="H35" i="13"/>
  <c r="G35" i="13"/>
  <c r="F35" i="13"/>
  <c r="E35" i="13"/>
  <c r="D35" i="13"/>
  <c r="C35" i="13"/>
  <c r="B35" i="13"/>
  <c r="H34" i="13"/>
  <c r="G34" i="13"/>
  <c r="F34" i="13"/>
  <c r="E34" i="13"/>
  <c r="D34" i="13"/>
  <c r="C34" i="13"/>
  <c r="B34" i="13"/>
  <c r="H33" i="13"/>
  <c r="G33" i="13"/>
  <c r="F33" i="13"/>
  <c r="E33" i="13"/>
  <c r="D33" i="13"/>
  <c r="C33" i="13"/>
  <c r="B33" i="13"/>
  <c r="H32" i="13"/>
  <c r="G32" i="13"/>
  <c r="F32" i="13"/>
  <c r="E32" i="13"/>
  <c r="D32" i="13"/>
  <c r="C32" i="13"/>
  <c r="B32" i="13"/>
  <c r="H31" i="13"/>
  <c r="G31" i="13"/>
  <c r="F31" i="13"/>
  <c r="E31" i="13"/>
  <c r="D31" i="13"/>
  <c r="C31" i="13"/>
  <c r="B31" i="13"/>
  <c r="H30" i="13"/>
  <c r="G30" i="13"/>
  <c r="F30" i="13"/>
  <c r="E30" i="13"/>
  <c r="D30" i="13"/>
  <c r="C30" i="13"/>
  <c r="B30" i="13"/>
  <c r="H29" i="13"/>
  <c r="G29" i="13"/>
  <c r="F29" i="13"/>
  <c r="E29" i="13"/>
  <c r="D29" i="13"/>
  <c r="C29" i="13"/>
  <c r="B29" i="13"/>
  <c r="H28" i="13"/>
  <c r="G28" i="13"/>
  <c r="F28" i="13"/>
  <c r="E28" i="13"/>
  <c r="D28" i="13"/>
  <c r="C28" i="13"/>
  <c r="B28" i="13"/>
  <c r="H27" i="13"/>
  <c r="G27" i="13"/>
  <c r="F27" i="13"/>
  <c r="E27" i="13"/>
  <c r="D27" i="13"/>
  <c r="C27" i="13"/>
  <c r="B27" i="13"/>
  <c r="H26" i="13"/>
  <c r="F26" i="13"/>
  <c r="E26" i="13"/>
  <c r="D26" i="13"/>
  <c r="C26" i="13"/>
  <c r="B26" i="13"/>
  <c r="H25" i="13"/>
  <c r="G25" i="13"/>
  <c r="F25" i="13"/>
  <c r="E25" i="13"/>
  <c r="D25" i="13"/>
  <c r="C25" i="13"/>
  <c r="B25" i="13"/>
  <c r="H24" i="13"/>
  <c r="G24" i="13"/>
  <c r="F24" i="13"/>
  <c r="E24" i="13"/>
  <c r="D24" i="13"/>
  <c r="C24" i="13"/>
  <c r="B24" i="13"/>
  <c r="H23" i="13"/>
  <c r="G23" i="13"/>
  <c r="F23" i="13"/>
  <c r="E23" i="13"/>
  <c r="D23" i="13"/>
  <c r="C23" i="13"/>
  <c r="B23" i="13"/>
  <c r="H22" i="13"/>
  <c r="G22" i="13"/>
  <c r="F22" i="13"/>
  <c r="E22" i="13"/>
  <c r="D22" i="13"/>
  <c r="C22" i="13"/>
  <c r="B22" i="13"/>
  <c r="H21" i="13"/>
  <c r="G21" i="13"/>
  <c r="F21" i="13"/>
  <c r="E21" i="13"/>
  <c r="D21" i="13"/>
  <c r="C21" i="13"/>
  <c r="B21" i="13"/>
  <c r="H20" i="13"/>
  <c r="G20" i="13"/>
  <c r="F20" i="13"/>
  <c r="E20" i="13"/>
  <c r="D20" i="13"/>
  <c r="C20" i="13"/>
  <c r="B20" i="13"/>
  <c r="H19" i="13"/>
  <c r="G19" i="13"/>
  <c r="F19" i="13"/>
  <c r="E19" i="13"/>
  <c r="D19" i="13"/>
  <c r="C19" i="13"/>
  <c r="B19" i="13"/>
  <c r="H18" i="13"/>
  <c r="G18" i="13"/>
  <c r="F18" i="13"/>
  <c r="E18" i="13"/>
  <c r="D18" i="13"/>
  <c r="C18" i="13"/>
  <c r="B18" i="13"/>
  <c r="H17" i="13"/>
  <c r="G17" i="13"/>
  <c r="F17" i="13"/>
  <c r="E17" i="13"/>
  <c r="D17" i="13"/>
  <c r="C17" i="13"/>
  <c r="B17" i="13"/>
  <c r="H16" i="13"/>
  <c r="G16" i="13"/>
  <c r="F16" i="13"/>
  <c r="E16" i="13"/>
  <c r="D16" i="13"/>
  <c r="C16" i="13"/>
  <c r="B16" i="13"/>
  <c r="H15" i="13"/>
  <c r="G15" i="13"/>
  <c r="F15" i="13"/>
  <c r="E15" i="13"/>
  <c r="D15" i="13"/>
  <c r="C15" i="13"/>
  <c r="B15" i="13"/>
  <c r="H14" i="13"/>
  <c r="G14" i="13"/>
  <c r="F14" i="13"/>
  <c r="E14" i="13"/>
  <c r="D14" i="13"/>
  <c r="C14" i="13"/>
  <c r="B14" i="13"/>
  <c r="H13" i="13"/>
  <c r="G13" i="13"/>
  <c r="F13" i="13"/>
  <c r="E13" i="13"/>
  <c r="D13" i="13"/>
  <c r="C13" i="13"/>
  <c r="B13" i="13"/>
  <c r="H12" i="13"/>
  <c r="G12" i="13"/>
  <c r="F12" i="13"/>
  <c r="E12" i="13"/>
  <c r="D12" i="13"/>
  <c r="C12" i="13"/>
  <c r="B12" i="13"/>
  <c r="H11" i="13"/>
  <c r="G11" i="13"/>
  <c r="F11" i="13"/>
  <c r="E11" i="13"/>
  <c r="D11" i="13"/>
  <c r="C11" i="13"/>
  <c r="B11" i="13"/>
  <c r="H10" i="13"/>
  <c r="G10" i="13"/>
  <c r="F10" i="13"/>
  <c r="E10" i="13"/>
  <c r="D10" i="13"/>
  <c r="C10" i="13"/>
  <c r="B10" i="13"/>
  <c r="H9" i="13"/>
  <c r="G9" i="13"/>
  <c r="F9" i="13"/>
  <c r="E9" i="13"/>
  <c r="D9" i="13"/>
  <c r="C9" i="13"/>
  <c r="B9" i="13"/>
  <c r="H8" i="13"/>
  <c r="G8" i="13"/>
  <c r="F8" i="13"/>
  <c r="E8" i="13"/>
  <c r="D8" i="13"/>
  <c r="C8" i="13"/>
  <c r="B8" i="13"/>
  <c r="H7" i="13"/>
  <c r="G7" i="13"/>
  <c r="F7" i="13"/>
  <c r="E7" i="13"/>
  <c r="D7" i="13"/>
  <c r="C7" i="13"/>
  <c r="B7" i="13"/>
  <c r="H6" i="13"/>
  <c r="G6" i="13"/>
  <c r="F6" i="13"/>
  <c r="E6" i="13"/>
  <c r="D6" i="13"/>
  <c r="C6" i="13"/>
  <c r="B6" i="13"/>
  <c r="H5" i="13"/>
  <c r="G5" i="13"/>
  <c r="F5" i="13"/>
  <c r="E5" i="13"/>
  <c r="D5" i="13"/>
  <c r="C5" i="13"/>
  <c r="B5" i="13"/>
  <c r="H4" i="13"/>
  <c r="G4" i="13"/>
  <c r="F4" i="13"/>
  <c r="E4" i="13"/>
  <c r="D4" i="13"/>
  <c r="C4" i="13"/>
  <c r="B4" i="13"/>
  <c r="H3" i="13"/>
  <c r="G3" i="13"/>
  <c r="F3" i="13"/>
  <c r="E3" i="13"/>
  <c r="D3" i="13"/>
  <c r="C3" i="13"/>
  <c r="B3" i="13"/>
</calcChain>
</file>

<file path=xl/sharedStrings.xml><?xml version="1.0" encoding="utf-8"?>
<sst xmlns="http://schemas.openxmlformats.org/spreadsheetml/2006/main" count="10957" uniqueCount="1176">
  <si>
    <t>وقت رفع الطلب</t>
  </si>
  <si>
    <t>المجمع</t>
  </si>
  <si>
    <t xml:space="preserve"> مقدم الطلب </t>
  </si>
  <si>
    <t>القسم</t>
  </si>
  <si>
    <t>البناية</t>
  </si>
  <si>
    <t>العمل</t>
  </si>
  <si>
    <t>ملاحظات المدخل</t>
  </si>
  <si>
    <t xml:space="preserve">الوحدة </t>
  </si>
  <si>
    <t>حالة العمل</t>
  </si>
  <si>
    <t>وقت الانجاز</t>
  </si>
  <si>
    <t>ملاحظات الشعبة</t>
  </si>
  <si>
    <t>الإرسال اليدوي</t>
  </si>
  <si>
    <t>كهرباء</t>
  </si>
  <si>
    <t>منجز</t>
  </si>
  <si>
    <t>ميكانيك</t>
  </si>
  <si>
    <t>تبريد</t>
  </si>
  <si>
    <t>مدني</t>
  </si>
  <si>
    <t>موقع الصيانة</t>
  </si>
  <si>
    <t>ملاحظات</t>
  </si>
  <si>
    <t>school.maintenance.division@gmail.com</t>
  </si>
  <si>
    <t>aettfiyyrtr@gmail.com</t>
  </si>
  <si>
    <t>fhjuj02@gmail.com</t>
  </si>
  <si>
    <t>abodfitt@gmail.com</t>
  </si>
  <si>
    <t>تربية</t>
  </si>
  <si>
    <t>mohamedareem@gmail.com</t>
  </si>
  <si>
    <t>شعبة الصيانة</t>
  </si>
  <si>
    <t>الاسم</t>
  </si>
  <si>
    <t>الإيميل</t>
  </si>
  <si>
    <t>النوع</t>
  </si>
  <si>
    <t>الحالة</t>
  </si>
  <si>
    <t>رقم واتساب</t>
  </si>
  <si>
    <t>الوحدة</t>
  </si>
  <si>
    <t>telegram</t>
  </si>
  <si>
    <t>نطاق اسماء الوحدات</t>
  </si>
  <si>
    <t>سامر مقداد</t>
  </si>
  <si>
    <t>test1234@gmail.com</t>
  </si>
  <si>
    <t>فرعي</t>
  </si>
  <si>
    <t>نشط</t>
  </si>
  <si>
    <t>مولدات</t>
  </si>
  <si>
    <t>م حمزة</t>
  </si>
  <si>
    <t>alansarihamza56@gmail.com</t>
  </si>
  <si>
    <t>م مرتضى عباس</t>
  </si>
  <si>
    <t>mrtathaabbassps44@gmail.com</t>
  </si>
  <si>
    <t>علي عبدعلي</t>
  </si>
  <si>
    <t>عباس حسين</t>
  </si>
  <si>
    <t>م كريم</t>
  </si>
  <si>
    <t>امين كاظم</t>
  </si>
  <si>
    <t>مؤمل نصير</t>
  </si>
  <si>
    <t>اخرى</t>
  </si>
  <si>
    <t>م علي مطلق</t>
  </si>
  <si>
    <t>alimoutlaq@gmail.com</t>
  </si>
  <si>
    <t>م علي يسري</t>
  </si>
  <si>
    <t>alisonic999999@gmail.com</t>
  </si>
  <si>
    <t>مرتضى الكاظم</t>
  </si>
  <si>
    <t>عبدالله علوان</t>
  </si>
  <si>
    <t>حسين عباس</t>
  </si>
  <si>
    <t>جهاد جواد</t>
  </si>
  <si>
    <t>ادارية</t>
  </si>
  <si>
    <t>رئيسي</t>
  </si>
  <si>
    <t>مدير</t>
  </si>
  <si>
    <t>9647760055149</t>
  </si>
  <si>
    <t>فني متخصص</t>
  </si>
  <si>
    <t>م علي سعد</t>
  </si>
  <si>
    <t>ali12345alisaad@gmail.com</t>
  </si>
  <si>
    <t xml:space="preserve">منتظر ميثم </t>
  </si>
  <si>
    <t>محمد شهيد</t>
  </si>
  <si>
    <t>alfaraunm@gmail.com</t>
  </si>
  <si>
    <t>بهاء ادارية</t>
  </si>
  <si>
    <t>bahaaaloosh1989@gmail.com</t>
  </si>
  <si>
    <t>شعبة الخدمات</t>
  </si>
  <si>
    <t>عبدالله جابر</t>
  </si>
  <si>
    <t xml:space="preserve">رعد ابو نرجس </t>
  </si>
  <si>
    <t>raad63942@gmail.com</t>
  </si>
  <si>
    <t>م سجاد حميد</t>
  </si>
  <si>
    <t>علي محمد</t>
  </si>
  <si>
    <t>مصطفى عبدالرضا</t>
  </si>
  <si>
    <t>رقم العمل</t>
  </si>
  <si>
    <t>✅ تم تلقائي (1)</t>
  </si>
  <si>
    <t>✅ تم يدوي (واتساب): عبدالله علوان (1 صف)</t>
  </si>
  <si>
    <t>✅ تم يدوي (واتساب): مرتضى الكاظم (1 صف)</t>
  </si>
  <si>
    <t>✅ تم يدوي (واتساب): ادارية (2 صف)</t>
  </si>
  <si>
    <t>✅ تم يدوي (واتساب): م كريم (4 صف)</t>
  </si>
  <si>
    <t>✅ تم يدوي (واتساب): امين كاظم (5 صف)</t>
  </si>
  <si>
    <t>✅ تم يدوي (واتساب): امين كاظم (1 صف)</t>
  </si>
  <si>
    <t>✅ تم يدوي (واتساب): م كريم (1 صف)</t>
  </si>
  <si>
    <t>✅ تم يدوي (واتساب): امين كاظم (2 صف)</t>
  </si>
  <si>
    <t>✅ تم يدوي (واتساب): علي عبدعلي (2 صف)</t>
  </si>
  <si>
    <t>مؤجل</t>
  </si>
  <si>
    <t>انسداد في الصحيات</t>
  </si>
  <si>
    <t>الكهرباء والاتصالات</t>
  </si>
  <si>
    <t>الى التربية</t>
  </si>
  <si>
    <t>مؤجل لحين جلب اللعبة من قبل قسم التربية</t>
  </si>
  <si>
    <t>قيد الانجاز</t>
  </si>
  <si>
    <t>مؤجل لحين جلب المقاعد الغربي من قبل قسم التربية</t>
  </si>
  <si>
    <t>لا يوجد شي</t>
  </si>
  <si>
    <t>باب السطح للقاعات الرياضية</t>
  </si>
  <si>
    <t xml:space="preserve">لوحظ انه تم التحويل الى تدفئه من قبل الاساتذة </t>
  </si>
  <si>
    <t>الحر</t>
  </si>
  <si>
    <t xml:space="preserve">عيسى صالح </t>
  </si>
  <si>
    <t>قسم المشاريع الهندسية</t>
  </si>
  <si>
    <t>D- الاعدادية (البناية 4)</t>
  </si>
  <si>
    <t>الكراج</t>
  </si>
  <si>
    <t>C- المتوسطة (البناية 3)</t>
  </si>
  <si>
    <t>ZONE B - الطابق الثاني</t>
  </si>
  <si>
    <t>ZONE B - الطابق الاول</t>
  </si>
  <si>
    <t xml:space="preserve">جميع الطوابق </t>
  </si>
  <si>
    <t>ZONE A - الطابق الارضي</t>
  </si>
  <si>
    <t>تم استبدال كاك زاويه في البنايه الرابعة</t>
  </si>
  <si>
    <t>ZONE B - الطابق الارضي</t>
  </si>
  <si>
    <t>عزل المنور في غرفه السيطره ( الساحبات)  بماده العزل  الاسمنتية waterproof forsrock</t>
  </si>
  <si>
    <t>السطح</t>
  </si>
  <si>
    <t>أعمال معالجه التسريب الحاصل في كليات التصريف السطحيه ( المرازيب)  مع تبديلها  في سطح البنايه الثالثه</t>
  </si>
  <si>
    <t>أعمال معالجه التسريب الحاصل في كليات التصريف السطحيه ( المرازيب)  مع تبديلها  في سطح البنايه الرابعه</t>
  </si>
  <si>
    <t>أعاده قطع السقف الثانوي صحيات البنايه الرابعه الطابق الأول zone b عدد 3</t>
  </si>
  <si>
    <t>صيانه وارجاع بيم نرماده باب الصحيات البنايه الرابعه الطابق الثاني zone b</t>
  </si>
  <si>
    <t>تبديل يده باب ألمنيوم صحيات البنايه الرابعه الطابق الأرضي zone b</t>
  </si>
  <si>
    <t>A- الابتدائية (البناية 1)</t>
  </si>
  <si>
    <t>تم حفر وتأسيس  بوري ppr قياس انج في منطقه المنهوله وايصال الppr الى الحديقه مع وضع كب لاغي.</t>
  </si>
  <si>
    <t>تم اضافه باندج الى بايبات القطعه الخارجيه لغرفه السنكرو</t>
  </si>
  <si>
    <t>ZONE A - الطابق الاول, ZONE B - الطابق الاول</t>
  </si>
  <si>
    <t xml:space="preserve">استبدال إنارة نوع (60×60) + صيانة براكيت درج </t>
  </si>
  <si>
    <t>ادارة المجمع</t>
  </si>
  <si>
    <t>قسم التربية والتعليم العالي</t>
  </si>
  <si>
    <t>صيانة بردة  (صف الاول متوصط أ)</t>
  </si>
  <si>
    <t>ZONE B - الطابق الارضي, ZONE B - الطابق الاول, ZONE B - الطابق الثاني</t>
  </si>
  <si>
    <t>صيانة الهزارة الخشبية و التاكد من سلامتها لكل الصفوف</t>
  </si>
  <si>
    <t>B- الابتدائية (البناية 2)</t>
  </si>
  <si>
    <t>القاعة الرياضية جهة المتوسطة</t>
  </si>
  <si>
    <t xml:space="preserve">صيانة كيلون الباب الخاص بالقاعة
</t>
  </si>
  <si>
    <t xml:space="preserve">تبديل قفل المخزن
</t>
  </si>
  <si>
    <t>المصعد</t>
  </si>
  <si>
    <t>سقوط المصعد من الطابق الثاني الى الاول  بسرعة كبيرة جدا</t>
  </si>
  <si>
    <t>أعمال تثبيت المناهيل والبايبات لاغراض التسليك</t>
  </si>
  <si>
    <t>أعمال تكسير الصب لغرض مد بايبات التسليك</t>
  </si>
  <si>
    <t xml:space="preserve">
تم استبدال كاك الخاص بي  ماطور الماء 
</t>
  </si>
  <si>
    <t xml:space="preserve">تم تسليك كيبل فلكس90 متر من غرفة الكهرباء (المحولات) إلى البورد الخاص بتغذية أعمدة الإنارة  </t>
  </si>
  <si>
    <t>تم تسليك كيبل فلكس90 متر من غرفة الكهرباء (المحولات) إلى البورد الخاص بتغذية أعمدة الإنارة</t>
  </si>
  <si>
    <t xml:space="preserve">
وتم تسليك كيبل 80 متر من غرفة الكهرباء (المحولات)  إلى غرفة السنكرو(المولدات) 
</t>
  </si>
  <si>
    <t xml:space="preserve">ZONE B - الطابق الارضي, برادات ماء الطلاب </t>
  </si>
  <si>
    <t xml:space="preserve">نضوح برادات ماء الطلاب بالساحة الداخلية   والامر الاخر صحيات النلاميذ الطابق الارضي بحاجة الى صيانة
</t>
  </si>
  <si>
    <t xml:space="preserve">ZONE B - الطابق الارضي, الصف الاول  أ </t>
  </si>
  <si>
    <t xml:space="preserve">نافذة الشباك تحتاج الى مقبض  يوجد كسر في اليدة النافذة لاتغلق </t>
  </si>
  <si>
    <t>صيانة باب القاعة الرياضية (يدة الباب)</t>
  </si>
  <si>
    <t xml:space="preserve">جميع البنايات </t>
  </si>
  <si>
    <t>تم تغيير توصالة صوندة سقي لجميع البنايات.</t>
  </si>
  <si>
    <t xml:space="preserve">
تم معالجة تسريب ماء في برادات البناية الاولى الطابق الارضي.  
</t>
  </si>
  <si>
    <t xml:space="preserve">
تم فتح انسداد في صحيات البنايه الاولى ZB الطابق الارضي. 
</t>
  </si>
  <si>
    <t xml:space="preserve">خلف البناية الثانية </t>
  </si>
  <si>
    <t>إكمال أعمال تثبيت المناهيل والبايبات للممر الخارجي والحديقه</t>
  </si>
  <si>
    <t xml:space="preserve">تبديل معجون جام شبابيك عدد ١٠ </t>
  </si>
  <si>
    <t>A- الابتدائية (البناية 1), B- الابتدائية (البناية 2)</t>
  </si>
  <si>
    <t>تم معالجة نقط الكهرباء العدد ٢٣</t>
  </si>
  <si>
    <t>ZONE A - الطابق الاول</t>
  </si>
  <si>
    <t>تم تبديل  كيلون  ولبه الباب</t>
  </si>
  <si>
    <t>تم تثبيت منهولات كهرباء  عدد 3</t>
  </si>
  <si>
    <t xml:space="preserve">تم معالجه اطراف نقاط الكهرباء بماده البورك عدد ١٩ نقطه </t>
  </si>
  <si>
    <t>القاعة الرياضية جهة الابتدائية</t>
  </si>
  <si>
    <t>C- المتوسطة (البناية 3), D- الاعدادية (البناية 4)</t>
  </si>
  <si>
    <t>إضافه ماده الماستك للسطح لانابيب التصريف ( المرازيب)</t>
  </si>
  <si>
    <t>B- الابتدائية (البناية 2), C- المتوسطة (البناية 3)</t>
  </si>
  <si>
    <t>تثبيت السياج العشبي المحيط بالمولدات بين البنايه الثالثه والثانيه</t>
  </si>
  <si>
    <t>فتح وتفريغ صندوق المقترحات</t>
  </si>
  <si>
    <t>استكمال اما تبقى من الأسلاك الكهربائية المغذية إلى البورد الخارجي المغذي لإنارة الحدائق</t>
  </si>
  <si>
    <t>نرمادة شباك الحانوت  نحتاج الى معالجة</t>
  </si>
  <si>
    <t xml:space="preserve">ZONE B - الطابق الاول, شعبة الاول  أ </t>
  </si>
  <si>
    <t>ملعب خلف البناية الرابعة  صيانة مسطبة (دكة الانتظار) مكسورة من جانب تحتاج الى لحام</t>
  </si>
  <si>
    <t>توقف السبلت في الصف الثالث  أ</t>
  </si>
  <si>
    <t>تثبيت قطع مرد الماء عدد 3 صحيات البناية</t>
  </si>
  <si>
    <t>ZONE A - الطابق الثاني</t>
  </si>
  <si>
    <t xml:space="preserve">وضع معجون شبابيك عدد ٦ </t>
  </si>
  <si>
    <t xml:space="preserve">أعاده قطع سقف الثانوي عدد ١٠ </t>
  </si>
  <si>
    <t>تم غلق المنهولات عدد ٢ في ماده السليكون في الكراج</t>
  </si>
  <si>
    <t xml:space="preserve">تنفيذ لوحة توزيع كهربائية رئيسية
</t>
  </si>
  <si>
    <t>القاعة الرياضية جهة الابتدائية, القاعة الرياضية جهة المتوسطة</t>
  </si>
  <si>
    <t xml:space="preserve">تغيير مفاتيح ابواب </t>
  </si>
  <si>
    <t>عطل يدة باب غرفة الضيافة</t>
  </si>
  <si>
    <t>أعمال وضع معجون الشبابيك</t>
  </si>
  <si>
    <t>تثبيت قطعة (أليكوبوند) في الباب الجانبي للبناية</t>
  </si>
  <si>
    <t>إنجاز أعمال تغذية البورد الجديد الخاص بالمنطقة الخارجية</t>
  </si>
  <si>
    <t xml:space="preserve">صيانة انارة منشورية غرفة المرشد التربوي 
</t>
  </si>
  <si>
    <t>ZONE A - الطابق الارضي, ZONE B - الطابق الارضي</t>
  </si>
  <si>
    <t>استبدال كيلون الباب الوسطي الجناح الاداري + سقف حمامات الطلاب</t>
  </si>
  <si>
    <t xml:space="preserve">صيانة سياج الدرج الخاص بالطلاب </t>
  </si>
  <si>
    <t>تم تثبيت بردة</t>
  </si>
  <si>
    <t xml:space="preserve">بين البناية الثالثة والثانية </t>
  </si>
  <si>
    <t>عمل فتحة تصريف للماء داخل المولدة</t>
  </si>
  <si>
    <t>تثبيت مرد ماء صحيات</t>
  </si>
  <si>
    <t>تم سد فتحات دكت التبريد</t>
  </si>
  <si>
    <t>تم تبديل قفل باب القاعه الرياضية</t>
  </si>
  <si>
    <t>اعمال غلق فتحات الدكت في الصحيات-عدد 7</t>
  </si>
  <si>
    <t>تحويل خط الإنارة والتغذية الخاصة بغرفة السنكرو لتتم تغذيتها من منظومة الطاقة الشمسية</t>
  </si>
  <si>
    <t>تنفيذ أعمال صيانة على عتلة باب المصعد</t>
  </si>
  <si>
    <t>تم اصلاح مشكله في منظومة التبريد VRF في (واتر بام )</t>
  </si>
  <si>
    <t>تم تبديل فلاتر مضخه ماء الRo</t>
  </si>
  <si>
    <t>تبديل قطع سقف ثانوي عدد 2</t>
  </si>
  <si>
    <t>حمامات الطلاب تحتاج الى صيانة</t>
  </si>
  <si>
    <t>ZONE B - الطابق الاول, ZONE B - الطابق الثاني</t>
  </si>
  <si>
    <t>صيانة رحلات عدد ٦ في المدرسة الثانية</t>
  </si>
  <si>
    <t>ZONE A - الطابق الارضي, ZONE A - الطابق الاول, ZONE A - الطابق الثاني</t>
  </si>
  <si>
    <t>اعادة سقوف ثانوية في المدرسة الاولى عدد ٦ الزون A</t>
  </si>
  <si>
    <t>صيانة بيم باب خشب في المدرسة الاولى الزون A طابق الاول</t>
  </si>
  <si>
    <t>صيانة يدة شباك عدد ١ في المدرسة الاولى الزون A طابق المصلى</t>
  </si>
  <si>
    <t>صيانة رحلات عدد ٣ في المدرسة الاولى طابق الثاني زون B</t>
  </si>
  <si>
    <t>صيانة تور شباك عدد ٢ في المدرسة الاولى زون B</t>
  </si>
  <si>
    <t>تم تبديل يده شباك في البنايه الاولى الطابق الارضي الزون B الرابع أ</t>
  </si>
  <si>
    <t>تم صيانه تور شباك في البنايه الاولى الطابق الارضي الزون B الرابع و</t>
  </si>
  <si>
    <t>ZONE B - الطابق الارضي, ZONE B - الطابق الاول</t>
  </si>
  <si>
    <t>تم صيانه رحلات عدد ٩ في البنايه الاولى الطابق الارضي والاول عدد ٩ مختلف الصفوف الزون B</t>
  </si>
  <si>
    <t>تم صيانه كراسي عدد ٤ في البنايه الاولى الطابق الاول الزون A مختبر الحاسوب</t>
  </si>
  <si>
    <t>تبديل قطع سقف ثانوي عدد٢ البنايه الثالثه الطابق الأرضي zone b</t>
  </si>
  <si>
    <t xml:space="preserve">
صيانه رحلات عدد 15
البنايه الرابعه الطابق الاول zone b</t>
  </si>
  <si>
    <t>صيانه رحلات البنايه الثالثه الطابق الثاني zone b عدد 15</t>
  </si>
  <si>
    <t>لحيم (راسطة) لقفل باب المضخات في البناية الاولى</t>
  </si>
  <si>
    <t>فتح صندوق المقترحات (لنستمع إليك ) البنايه الثالثه الطابق الأرضي zone b</t>
  </si>
  <si>
    <t xml:space="preserve">علي حسين عليوي </t>
  </si>
  <si>
    <t xml:space="preserve">سبورة خلعت من مكانها </t>
  </si>
  <si>
    <t>ZONE A - الطابق الارضي, مخل البناية</t>
  </si>
  <si>
    <t xml:space="preserve">خلع الباية الرئيسية للمدرج </t>
  </si>
  <si>
    <t xml:space="preserve">ZONE A - الطابق الارضي, الباب الحديد الرئيسي  لمدخل البناية </t>
  </si>
  <si>
    <t xml:space="preserve">خروج الباب من مكانه مما يشكل خطر على المتعلميين  لطفا المعلاجة باسرع وقت
</t>
  </si>
  <si>
    <t>خلع باية الحمامات</t>
  </si>
  <si>
    <t>صيانه باب خشب مع مصد باب البنايه الثانيه</t>
  </si>
  <si>
    <t>تزيت باب المضخة الحديد في المدرسة الاولى</t>
  </si>
  <si>
    <t>تثبيت سبورة عدد ١ في المدرسة الثانية طابق الارضي</t>
  </si>
  <si>
    <t xml:space="preserve">مختلف الطوابق </t>
  </si>
  <si>
    <t>صيانة تور شباك عدد ٩ في البناية الثالثة مختلف الطوابق</t>
  </si>
  <si>
    <t>اعادة سقف ثانوي في المدرسة الثالثه عدد ٦</t>
  </si>
  <si>
    <t>صيانة ابواب خشبية عدد ٣ في المدرسة الثالثة</t>
  </si>
  <si>
    <t>تبديل يدات شباك عدد ٢ في المدرسة الثالثة</t>
  </si>
  <si>
    <t>تثبيت مصد ابواب عدد ١ في المدرسة الثالثة</t>
  </si>
  <si>
    <t xml:space="preserve">ZONE A - الطابق الاول, </t>
  </si>
  <si>
    <t>صيانة شباك قلاب عدد ٢ في المدرسة الثالثة</t>
  </si>
  <si>
    <t>تثبيت ساقية ماء في ساحة المدرسة الثالثة</t>
  </si>
  <si>
    <t>تركيب قطعه مرمر البنايه الثانيه صحيات القاعه الرياضيه</t>
  </si>
  <si>
    <t>تركيب قطعه مرمر مع هزاره درج البنايه الاولى zone A</t>
  </si>
  <si>
    <t>تركيب كوبون الباب الرئيسي البنايه الثانيه</t>
  </si>
  <si>
    <t>لحيم مصد الباب الرئيسي البنايه الثانيه</t>
  </si>
  <si>
    <t>تضليل شبابيك البنايه الرابعه zone b الطابق الاول عدد 7</t>
  </si>
  <si>
    <t>تضليل شبابيك البنايه الرابعه الطابق الثاني عدد 14</t>
  </si>
  <si>
    <t>صيانة رحلات في المدرسة الثانية عدد ٩ مختلف الصفوف</t>
  </si>
  <si>
    <t>صيانة يدات شباك عدد ٣ في المدرسة الثانية</t>
  </si>
  <si>
    <t>تزيت شبابيك المصلى في المدرسة الثانية</t>
  </si>
  <si>
    <t>صيانة مصدات ابواب عدد ٥ في المدرسة الثانية</t>
  </si>
  <si>
    <t>صيانة بيم باب خشب عدد ٢ في المدرسة الثانية</t>
  </si>
  <si>
    <t>أعمال صيانه رحلات عدد 15 البنايه الثالثه الطابق الأرضي zone b</t>
  </si>
  <si>
    <t>أعمال صيانه رحلات عدد 8 البنايه الثالثه الطابق الاول zone b</t>
  </si>
  <si>
    <t>أعمال صيانه مصد باب البنايه الثالثه الطابق الاول zone b</t>
  </si>
  <si>
    <t>صيانه رحلات عدد 6 البنايه الثالثه 
الطابق الثاني zone b</t>
  </si>
  <si>
    <t>تثبيت برده مصلى البنايه الثالثه الطابق الثاني zone A</t>
  </si>
  <si>
    <t>ZONE A - الطابق الارضي, قاعة المعلمين</t>
  </si>
  <si>
    <t>عدم تحويل جهاز السبلت الى حالة التبريد</t>
  </si>
  <si>
    <t>صيانة عربة نقل المواد</t>
  </si>
  <si>
    <t xml:space="preserve">الساخة الخارجية موقع كرفان الشركة الامنية </t>
  </si>
  <si>
    <t>غرفة احراس امام البناية الثانية</t>
  </si>
  <si>
    <t xml:space="preserve">تثبيت لوحة مفاتيح وسبورة  في الغرفة </t>
  </si>
  <si>
    <t>سقوط لوح من السقف الثانوي</t>
  </si>
  <si>
    <t xml:space="preserve">تصليح كيلون باب الحمام الثالث المجموعة الاولى للحمامات مع تثبيت وتصليح صوندة شطاف
</t>
  </si>
  <si>
    <t>تثبيت بردة زيبرا  في الصف الرابع (ب)</t>
  </si>
  <si>
    <t xml:space="preserve">تم فحص مضخة الإطفاء الثانويه في البنايه  الاولى
</t>
  </si>
  <si>
    <t>ممر البناية الاولى</t>
  </si>
  <si>
    <t>الممر</t>
  </si>
  <si>
    <t xml:space="preserve">تم متابعة مضخه المياه الرئيسيه ومستوى الخزان ولوحض عدم وجود ماء من البوري الرئيسي
</t>
  </si>
  <si>
    <t>المولدات</t>
  </si>
  <si>
    <t xml:space="preserve">تم اضافه باندج الى بايبات القطعه الخارجيه لغرفه السنكرو
</t>
  </si>
  <si>
    <t>تم حفر وتأسيس  بوري ppr قياس انج في منطقه المنهوله وايصال الppr الى الحديقه مع وضع كب لاغي</t>
  </si>
  <si>
    <t>غرفة المضخات</t>
  </si>
  <si>
    <t xml:space="preserve">تم متابعة المضخات الطفاء الرئيسيه 
تم متابعة المضخات الماء الرئيسيه 
</t>
  </si>
  <si>
    <t xml:space="preserve">تم تحويل السبلت الvrf من تدفئه إلى تبريد   في المدرسه الاول. طابق اول 
</t>
  </si>
  <si>
    <t>تشغيل المضخه الماء Ro واظفاء بعد اكمال النضوح</t>
  </si>
  <si>
    <t>ZONE A - الطابق الارضي, ZONE A - الطابق الاول, ZONE A - الطابق الثاني, ZONE B - الطابق الارضي, ZONE B - الطابق الاول, ZONE B - الطابق الثاني</t>
  </si>
  <si>
    <t xml:space="preserve"> تم طفاء ال DX في البنايه الثالثه</t>
  </si>
  <si>
    <t xml:space="preserve">*تم متابعة مضخات المياة الرئيسية وضغط الخزان
*تم متابعة مستوى ماء الخزان الرئيسي 
</t>
  </si>
  <si>
    <t>وحدة الميكانيك والتبريد</t>
  </si>
  <si>
    <t xml:space="preserve">*تم متابعه وفحص مضخه الإطفاء الثآنوية في البنايه الثالثة 
</t>
  </si>
  <si>
    <t>*تم جرد المجاميع الصحية في البناية الثانية والثالثة بالكامل</t>
  </si>
  <si>
    <t xml:space="preserve">تم تنظيف ال vrfفي البنايه الولى والبنايه الثانيه الطابق الارضي 
</t>
  </si>
  <si>
    <t>في الممر الخارجي قرب غرفة الامنيه</t>
  </si>
  <si>
    <t xml:space="preserve">تم استبدال كاك الخاص بي  ماطور الماء 
</t>
  </si>
  <si>
    <t xml:space="preserve">تم متابعه  والتحويل الى التبريد الvrf في البنايه الثالثه والبنايه الرابعه 
</t>
  </si>
  <si>
    <t xml:space="preserve">تم تعبئة خزانات الكاز الخاص في مضخه الاطفاء الحريق البنايه الثالثه والبنايه الرابعه 
</t>
  </si>
  <si>
    <t>*تم جرد المجاميع الصحية في البناية الاولى بالكامل</t>
  </si>
  <si>
    <t>تم متابعه الVRF في البنايه الثالثه. الطابق الأرضي ZB و  البنايه الربعه طابق الأرضي ZB</t>
  </si>
  <si>
    <t>صحيات القاعات الرياضية</t>
  </si>
  <si>
    <t xml:space="preserve">تم متابعة صحيات الروضة مقابل البناية الاولى 
</t>
  </si>
  <si>
    <t xml:space="preserve">تم فتح انسداد في صحيات البنايه الاولى ZB الطابق الارضي 
</t>
  </si>
  <si>
    <t xml:space="preserve">تم معالجة تسريب ماء في برادات البناية الاولى الطابق الارضي ZB
</t>
  </si>
  <si>
    <t>A- الابتدائية (البناية 1), B- الابتدائية (البناية 2), C- المتوسطة (البناية 3), D- الاعدادية (البناية 4)</t>
  </si>
  <si>
    <t>تم تغيير توصالة صوندة سقي لجميع البنايات</t>
  </si>
  <si>
    <t xml:space="preserve">تم متابعة تبريد ZB البناية الرابعة الطابق الارضي
</t>
  </si>
  <si>
    <t xml:space="preserve">تم متابعة تبريد ZB البناية الثالثة الطابق الارضي + الاول
</t>
  </si>
  <si>
    <t>تم متابعة VRF في البناية الرابعةZA الغرفة المجاوره لغرفة الدكتور سابقاً</t>
  </si>
  <si>
    <t xml:space="preserve">تم أصلاح مشكله في منظومة التبريد VRF  في القطع الداخليه في البنايه الثالثه والرابعه (عدد القطع 3) 
</t>
  </si>
  <si>
    <t xml:space="preserve">تم متابعة تبريد ZA البناية الرابعه الطابق الارضي
</t>
  </si>
  <si>
    <t>تم متابعة VRF في البناية الثالثه ZB
الطابق الاول</t>
  </si>
  <si>
    <t xml:space="preserve">تم متابعة تبريد المصلى في البنايه الثانيه 
</t>
  </si>
  <si>
    <t>تم تشغيل DX في البنايه الثانيه</t>
  </si>
  <si>
    <t>*تم متابعه وفحص مضخه الإطفاء الثآنوية في البنايه الرابعه</t>
  </si>
  <si>
    <t xml:space="preserve">*تم متابعة منظومة التبريد الVRF في البنايه الثانيه بالكامل 
</t>
  </si>
  <si>
    <t>تم غسل فلاتر السبلت الاعتياديه في البنايه الاولى بالكامل</t>
  </si>
  <si>
    <t xml:space="preserve">*تم متابعة تبريد ZB البناية الرابعة الطابق الارضي
</t>
  </si>
  <si>
    <t xml:space="preserve">*تم متابعة تبريد ZA البناية الرابعه الطابق الارضي
</t>
  </si>
  <si>
    <t>تزييت الباب الفاصل بين zone A-B</t>
  </si>
  <si>
    <t>تم متابعة VRF في البناية الرابعة ZB
الطابق الاول والثاني</t>
  </si>
  <si>
    <t xml:space="preserve">*تم متابعة تبريد المصلى في البنايه الثانيه 
</t>
  </si>
  <si>
    <t xml:space="preserve">*تم ضبط درجة التبريد 16c لغرفه المحولات في البنايه الثانيه 
</t>
  </si>
  <si>
    <t xml:space="preserve">*تم ضبط درجه التبريد 16c لفرفه منظومه الطاقه الشمسيه 
</t>
  </si>
  <si>
    <t>*تم متابعة احدى قطع الداخلية لمنظومة الVRFفي البنايه الاولى الطابق الارضي ZA</t>
  </si>
  <si>
    <t xml:space="preserve">*تم متابعة منظومة التبريد الVRF في البنايه الثانيه وتم فتح قفل شاشه التحكم  
</t>
  </si>
  <si>
    <t xml:space="preserve">تم تشغيل البكج في القاعه الرياضيه 
</t>
  </si>
  <si>
    <t xml:space="preserve">تم أطفاء البكج في القاعه الرياضيه 
</t>
  </si>
  <si>
    <t>تم ضبط درجة التبريد 16c ال vrf في البنايه الثالثه بالكامل</t>
  </si>
  <si>
    <t>نقل العدة من البناية الرابعة إلى المخزن</t>
  </si>
  <si>
    <t xml:space="preserve">تم اصلاح مشكله في منظومة التبريد VRF في (واتر بام ) في البنايه الاولى طابق إلا رضي 
</t>
  </si>
  <si>
    <t>جرد وصيانة صحيات البناية الأولى بالكامل</t>
  </si>
  <si>
    <t xml:space="preserve">تم تبديل فلاتر مضخه ماء الRo
</t>
  </si>
  <si>
    <t xml:space="preserve">*تم تشغيل مضخة انتاج ماء الROوكذلك تم اخذ عينة من خزان انتاج ماء الROللتاكد من نسبه الكلور
</t>
  </si>
  <si>
    <t>تم صيانه براد ماء في البنايه الاولى</t>
  </si>
  <si>
    <t>• استبدل قاعدة شطاف في صحيات البناية الرابعة الطابق الأرضي.</t>
  </si>
  <si>
    <t xml:space="preserve">*تم اطفاء مضخة انتاج الRo
</t>
  </si>
  <si>
    <t xml:space="preserve">*تم اطفاء مضخة دفع ماء الRoللبنايات 
</t>
  </si>
  <si>
    <t xml:space="preserve">*تم صيانة سخان في احدى مجاميع الصحيه في البناية الرابعة الطابق الارضي ZA
</t>
  </si>
  <si>
    <t>• غسل وتنظيف فلاتر الـ VRF في البناية الأولى الطابق الأرضي ZA,B بالكامل.</t>
  </si>
  <si>
    <t>*تم ملاحظة خلع احدى اذرع صندوق ماطور ماء البنايه الثالثة خلف غرفة السواق وتم اجراء اللازم بهذا الخصوص</t>
  </si>
  <si>
    <t>تم تثبيت السيفونات في البنايه الاولى والبنايه الثانيه
للتخلص من الانسدادات</t>
  </si>
  <si>
    <t>تم جرد صحيات البنايه الاولى واستبدال قاعده شطاف</t>
  </si>
  <si>
    <t>C- المتوسطة (البناية 3), ممر البناية الاولى</t>
  </si>
  <si>
    <t>السطح, غرفة المضخات</t>
  </si>
  <si>
    <t>ZONE A - الطابق الارضي, ZONE B - الطابق الثاني</t>
  </si>
  <si>
    <t>• غسل وتنظيف فلاتر الـ VRF في البناية الثانية الطابق الأرضي.
• غسل وتنظيف فلاتر الـ VRF في البناية الأولى الطابق الثاني ZA,B بالكامل.</t>
  </si>
  <si>
    <t>الخزان الرىيسي</t>
  </si>
  <si>
    <t xml:space="preserve">تم تعبئة الخزان الرئيسي بالماء عبر تنكر سعة 22 ألف لتر مكعب 
</t>
  </si>
  <si>
    <t xml:space="preserve">تم تثبيت سيفونات التصريف بلبناية الثالثه  
</t>
  </si>
  <si>
    <t xml:space="preserve">تم تبديل كيج الافلتر الرملي المضخه الماء Ro عدد 2 
</t>
  </si>
  <si>
    <t xml:space="preserve">متابعة دورية </t>
  </si>
  <si>
    <t xml:space="preserve">تم خلط مواد منظومة ماء RO
</t>
  </si>
  <si>
    <t xml:space="preserve">تم فتح انسداد في صحيات البناية الاولى ZB الطابق الارضي
</t>
  </si>
  <si>
    <t>غرفة المضخات الرىيسية</t>
  </si>
  <si>
    <t xml:space="preserve">من خلال المتابعة تم تغيير pressure switch لمضخات ماء دفع البنايات 
</t>
  </si>
  <si>
    <t xml:space="preserve">تم غسل غرفة منظومة ماء RO
</t>
  </si>
  <si>
    <t>• استبدال صوندة شطاف في إحدى المجاميع الصحية في البناية الرابعة الطابق الأرضي ZA.</t>
  </si>
  <si>
    <t>تم متابعة سبلت غرفة المطبخ في الطابق الثاني للبناية الثانيه</t>
  </si>
  <si>
    <t xml:space="preserve">*تم اطفاء مضخة دفه ماء الRoللبنايات 
</t>
  </si>
  <si>
    <t xml:space="preserve">*تم تشغيل مضخة انتاج ماء الRo وضبط نسبه الكلور والاملاح 
</t>
  </si>
  <si>
    <t>*تم اطفاء مضخة انتاج ماء الRo</t>
  </si>
  <si>
    <t>• إطفاء منظومة إنتاج ماء الـ RO وكذلك مضخة الدفع للبنايات.</t>
  </si>
  <si>
    <t>الكراج, غرفة المضخات</t>
  </si>
  <si>
    <t xml:space="preserve">*تم متابعة مضخات المياه وضبط pressure switch
</t>
  </si>
  <si>
    <t xml:space="preserve">*تم تشغيل مضخة انتاج مياه الRo
</t>
  </si>
  <si>
    <t xml:space="preserve">*تم مساعدة وحدة المولدات 
</t>
  </si>
  <si>
    <t xml:space="preserve">خارج البنايات </t>
  </si>
  <si>
    <t>خارج البنايات</t>
  </si>
  <si>
    <t>متابعة الهادرينت في أنابيب إطفاء الحريق</t>
  </si>
  <si>
    <t xml:space="preserve">عمل دوري شهري </t>
  </si>
  <si>
    <t xml:space="preserve">*تم صيانه براد ماء في البنايه الاولى الطابق الارضي ZA
</t>
  </si>
  <si>
    <t>*تم متابعة خزان مياه الRo في البناية الرابعة</t>
  </si>
  <si>
    <t>• استبدال كاك خاص في ماطور الماء مقابل البناية الثانية.
• تشغيل الـ Dx في البناية الأولى.</t>
  </si>
  <si>
    <t xml:space="preserve">تم أصلاح مشكله في مضخة ماء الدفع RO
</t>
  </si>
  <si>
    <t xml:space="preserve">تم اطفاء منظومة التبريد DX في البنايه الثالثه 
</t>
  </si>
  <si>
    <t xml:space="preserve">تم فحص صحيات في البناية الاولى والثانيه وإصلاح المشاكل هناك 
</t>
  </si>
  <si>
    <t xml:space="preserve">غسل وتنظيف فلاتر الـ VRF الداخلية والخارجية </t>
  </si>
  <si>
    <t xml:space="preserve">عمل دوري أسبوعيا فلاتر داخلية وشهريا الفلاتر الخارجية </t>
  </si>
  <si>
    <t xml:space="preserve">تم اطفاء تحويل dx في البنايه الثانيه من الاتماتيك الى اليدوي
</t>
  </si>
  <si>
    <t>• استبدال فان القطعة الداخلية الـ VRF</t>
  </si>
  <si>
    <t>تم استبدال كاك زاويه في احدى صحياات البنايه الاولى الطابق الارضي Za</t>
  </si>
  <si>
    <t xml:space="preserve">تم صيانة تبريد غرفة الكهرباء نوع inverter 
</t>
  </si>
  <si>
    <t>ZONE A - الطابق الارضي, ZONE A - الطابق الاول</t>
  </si>
  <si>
    <t xml:space="preserve">تم غسل سبالت عدد 2 في البناية الاولى في الطابق الارضي والأول 
</t>
  </si>
  <si>
    <t>A- الابتدائية (البناية 1), غرفة المصخات</t>
  </si>
  <si>
    <t>تم متابعة مضخات المياه ومستوى الخزان الرئيسي</t>
  </si>
  <si>
    <t xml:space="preserve">* تم غسل القطع الداخلية لمنظومة تبريد VRF في البنايه الأولى طابق الاول زون A
</t>
  </si>
  <si>
    <t xml:space="preserve"> تم تسليم 680 لتر زيت محترك</t>
  </si>
  <si>
    <t xml:space="preserve">* تم متابعة صحيات البناية الأولى طابق الاول زون A
</t>
  </si>
  <si>
    <t xml:space="preserve">* تم متابعة وتثبيت بعض المغاسل في البناية الأولى
</t>
  </si>
  <si>
    <t>الكراج, الصحيات الخارجية</t>
  </si>
  <si>
    <t>* تم متابعة صحيات الخارجية في البناية الثانية
* وتثبيت بعض المغاسل</t>
  </si>
  <si>
    <t xml:space="preserve">تم متابعة برادات ماء في البناية الأولى زون B
</t>
  </si>
  <si>
    <t>حديقة الكراج</t>
  </si>
  <si>
    <t xml:space="preserve">تم تسيس بوري ماء السقي وشد حنفيه 
</t>
  </si>
  <si>
    <t xml:space="preserve">تم غسل سبالت الاعتياديه عدد 2 في البنايه الأولى Z,B الطابق الثاني 
</t>
  </si>
  <si>
    <t>تم تثبيت بوري ماء الخاص بل السقي</t>
  </si>
  <si>
    <t>غرفة المصخات</t>
  </si>
  <si>
    <t xml:space="preserve">*بعد فحص مضخة مياه الرئيسية تبين ان  Check Valve لكل مضخة يسرب ماء ممايسبب في نزول الضغط 
تم فتح Check Valve واستبداله بأخر جديد
</t>
  </si>
  <si>
    <t>• تفريغ برادات الماء في جميع البنايات.</t>
  </si>
  <si>
    <t>• متابعة سبلت الأمنية التابع إلى الكراج.</t>
  </si>
  <si>
    <t>الكراج, غرفة المصخات</t>
  </si>
  <si>
    <t xml:space="preserve">*تم ربط Check Valve عدد 2 في مضخة مياه الRo
</t>
  </si>
  <si>
    <t>*تم قص أنبوب مياه لمضخة السقي وإضافة Check Valve للمضخه</t>
  </si>
  <si>
    <t>• تحديد مكان ومعالجة الرطوبة في منور البناية الثانية الطابق الأرضي.</t>
  </si>
  <si>
    <t>الممر الخارجي</t>
  </si>
  <si>
    <t xml:space="preserve">تم غسل سبلت الخاص بغرفة المصعد في البنايه الأولى 
</t>
  </si>
  <si>
    <t>تم معالجة فتحات نقاط الكهرباء(بالك السويج) في جميع الطوابق المدرسة الأولى زون A-B</t>
  </si>
  <si>
    <t>• متابعة وغسل السبالت الاعتيادية في القاعات الرياضية.</t>
  </si>
  <si>
    <t>تم غسل سبلت الطابق الثاني  زون A البنايه الولى</t>
  </si>
  <si>
    <t xml:space="preserve">تم غسل سبلت في غرفة المحولات في البنايه الأولى الطابق الارضي 
</t>
  </si>
  <si>
    <t>• غسل جميع القطع الخارجية للـ Dx</t>
  </si>
  <si>
    <t>وحدة المدني</t>
  </si>
  <si>
    <t>تم تبديل يده باب المنيوم في صحيات البنايه الثالثه الطابق الاول الزون A</t>
  </si>
  <si>
    <t>علي الرضا رشاد</t>
  </si>
  <si>
    <t xml:space="preserve">موقع المولدات </t>
  </si>
  <si>
    <t>موقع المولدات</t>
  </si>
  <si>
    <t>تنظيف فلاتر هواء مولدة 450KVA</t>
  </si>
  <si>
    <t xml:space="preserve">تم استبدال طفايه حريقفي البنايه الاولى الطابق الاول Za
</t>
  </si>
  <si>
    <t xml:space="preserve">تم متابعه قطعه VRF وايجاد المشكله وحلها على اكمل وجه في البنايه الثالثه الطابق الارضي Za
</t>
  </si>
  <si>
    <t>تم تنظيف فلاتر سبلت غرفه المحولات في البنايه الثالثه الطابق الارضي Za</t>
  </si>
  <si>
    <t>تم تثبيت خشبه محجر في البنايه الاولى الطابق الاول الزون A</t>
  </si>
  <si>
    <t>غسل جميع القطع الخارجية للسبالت الاعتيادية</t>
  </si>
  <si>
    <t>تم تركيب قفل لوكر في البنايه الاولى الطابق الارضي الزون B غرفه المعاون التعليمي</t>
  </si>
  <si>
    <t xml:space="preserve">وحدة المولدات </t>
  </si>
  <si>
    <t>غسل وتنظيف غلاف وهيكل المولدة 450KVA</t>
  </si>
  <si>
    <t xml:space="preserve">تم جراد صحيات البنايه الثانيه
</t>
  </si>
  <si>
    <t>تم تبديل يده باب القاعة الرياضية البنايه الثانيه قرب المولدات</t>
  </si>
  <si>
    <t>• فحص نسبة الكلور في كافة البنايات وتم ملاحظة عدم وجود كلور في البناية الثالثة وتم تفريغ الخزان من الماء.</t>
  </si>
  <si>
    <t>عمل دوري اسبوعي</t>
  </si>
  <si>
    <t xml:space="preserve">تم صيانة تبريد vrf في البناية الاولى الطابق الارضي ZA بسبب اسريب ماء منه
</t>
  </si>
  <si>
    <t>تنظيف فلاتر الهواء مولدةً 1M</t>
  </si>
  <si>
    <t>تم متابعة غرفة مضخات RO وتنظيف الغرفة</t>
  </si>
  <si>
    <t>أعمال الحفر جانب الرصيف الحديقة الخارجيه لغرض تثبيت المناهل المستخدمه لأغراض التسليك</t>
  </si>
  <si>
    <t>أعمال تثبيت المناهل والبايبات لاغراض التسليك</t>
  </si>
  <si>
    <t>استبدال زيت المحرك مولدةً 1M</t>
  </si>
  <si>
    <t>متابعة تسريب ماء في البناية الثانية.</t>
  </si>
  <si>
    <t xml:space="preserve">لا يوجد اي ترسب ماء </t>
  </si>
  <si>
    <t xml:space="preserve">تم تحويل ال VRFمن تدفأه الى تبريد في البنايه الرابعه zA
</t>
  </si>
  <si>
    <t>أعمال التحشية بماده fosrock مادة الفوم للبايبات</t>
  </si>
  <si>
    <t xml:space="preserve">تم متابعه  تبريد vrf في البنايه الولى 
</t>
  </si>
  <si>
    <t xml:space="preserve">المتابعةً الدورية لتجهيز الوقود </t>
  </si>
  <si>
    <t>تفريغ برادات الماء</t>
  </si>
  <si>
    <t xml:space="preserve">عمل دوري اسبوعي </t>
  </si>
  <si>
    <t xml:space="preserve">تم غسل السبلت الاعتيادي في البنايه الثانيه 
</t>
  </si>
  <si>
    <t>تم اطفاء البكج في البنايه الثانيه</t>
  </si>
  <si>
    <t>A- الابتدائية (البناية 1), B- الابتدائية (البناية 2), C- المتوسطة (البناية 3)</t>
  </si>
  <si>
    <t>تم فحص نسبة الكلور والاملاح في جميع البنايات</t>
  </si>
  <si>
    <t>غسل المولدة من الداخلً والخارج مولد 1M</t>
  </si>
  <si>
    <t xml:space="preserve">الأولى </t>
  </si>
  <si>
    <t>A- الابتدائية (البناية 1), غرفة المضخات</t>
  </si>
  <si>
    <t xml:space="preserve">تم تغيير حساس ضغط pressure  flow للمضخات الثانويه 
</t>
  </si>
  <si>
    <t xml:space="preserve">تم تغيير حساس ضغط pressure  flow لمضخات ماء RO
</t>
  </si>
  <si>
    <t>تم تبديل  كيلون  ولبه الباب البنايه الأولى طابق اول زون A</t>
  </si>
  <si>
    <t xml:space="preserve">• استبدال فان الـ VRF </t>
  </si>
  <si>
    <t xml:space="preserve">بسبب نزول نسبة الكلور في معظم برادات ZB في جميع البنايات تم تفريغ البرادات وملئهن مره اخرى
</t>
  </si>
  <si>
    <t xml:space="preserve">تم فتح صمام check valve في غرفة ماء RO بسبب وجود تسريب في الصمام
</t>
  </si>
  <si>
    <t>تم معالجة النقط كهرباء البنايه اولئ زون B
البنايه الثانيه بل كامل العدد ٢٣</t>
  </si>
  <si>
    <t>غسل وتنظيف غرفة المضخات</t>
  </si>
  <si>
    <t>ZONE A - الطابق الاول, ZONE A - الطابق الثاني</t>
  </si>
  <si>
    <t>تم غسل السبلت الاعتيادي في البنايه الثانيه  الطابق الاول والطابق الثاني</t>
  </si>
  <si>
    <t>تبديل معجون جام شبابيك عدد ١٠ 
البنايه الثالثه zoneA</t>
  </si>
  <si>
    <t xml:space="preserve">تشغيل وإطفاء مضخات الماء الـ RO </t>
  </si>
  <si>
    <t xml:space="preserve">عمل دوري كل ٣ ايام </t>
  </si>
  <si>
    <t xml:space="preserve">تم  تشغل واطفاء  لمضخات ماء RO في البنايه الثالثه وتم استبدال check valve
</t>
  </si>
  <si>
    <t xml:space="preserve">استبدال زيت المولدة 1M الأولى وفلاتر كاز وفلاتر دهن </t>
  </si>
  <si>
    <t>الشركة الامنية</t>
  </si>
  <si>
    <t xml:space="preserve">تم نقل القطعه الخارجه وغسل السبلت الاعتيادي العدد 2 الشركه الامنيه 
</t>
  </si>
  <si>
    <t>تنظيف فلتر المروحة البورد في غرفة المضخات</t>
  </si>
  <si>
    <t xml:space="preserve">تم استبدال غطاء ضغط الراديتر في البنايه الثانيه 
</t>
  </si>
  <si>
    <t>صيانة ليك (جوين)في حشوة ربط في مولدً 450KVA</t>
  </si>
  <si>
    <t>كرفان الامنية</t>
  </si>
  <si>
    <t xml:space="preserve">*تم ملاحظة القطعه الخارجية لكرفان الامنيه لايوجد فيها مصد لفان تم قص قاعده حديد وتم تثبيتها على القطعه الخارجيه 
</t>
  </si>
  <si>
    <t xml:space="preserve">الخزان الرئيسي قرب غرفة المضخات </t>
  </si>
  <si>
    <t xml:space="preserve">غرفة المضخات </t>
  </si>
  <si>
    <t>• ملئ خزان الرئيسي بالكامل.</t>
  </si>
  <si>
    <t xml:space="preserve">*تم ملاحظة خلاط احدى المغاسل في المجاميع الصحيه في البنايه الثانيه الطابق الارضي (راخي)نتيجة الاستعمال وتم اجراء اللازم بهذا الخصوص 
</t>
  </si>
  <si>
    <t>إضافه ماء مقطر مولد 450KVA</t>
  </si>
  <si>
    <t>A- الابتدائية (البناية 1), C- المتوسطة (البناية 3), D- الاعدادية (البناية 4)</t>
  </si>
  <si>
    <t>*تم ملاحظة جميع حنفيات البرادات في البنايه الاولى والثالثه والرابعه</t>
  </si>
  <si>
    <t>الممرات</t>
  </si>
  <si>
    <t>• غسل سبالت عدد 2 في غرف الأمنية قطع داخلية وخارجية.</t>
  </si>
  <si>
    <t xml:space="preserve">غرف الأمنية </t>
  </si>
  <si>
    <t>تم غسل السبلت الاعتيادي في البنايه الثالثه الطابق الارضي والطابق الاول زون B</t>
  </si>
  <si>
    <t>تبديل يده باب كامله القاعه الرياضيه البنايه الثانيه</t>
  </si>
  <si>
    <t>تنظيف الأنقاض في منور البناية الثانية</t>
  </si>
  <si>
    <t xml:space="preserve">*تم تشغيل وإنتاج منظومة ماء الRo كذلك تم تبديل فلتر الأملاح وضبط نسبه الكلور والاملاح
</t>
  </si>
  <si>
    <t xml:space="preserve">*تم تشغيل مضخة دفع ماء الRo للبنايات 
</t>
  </si>
  <si>
    <t>*تم اطفاء مضخة دفع ماء الRoللبنايات</t>
  </si>
  <si>
    <t>مساعدة وحدة الكهرباء</t>
  </si>
  <si>
    <t>تبديل خلاط سنك في مطبخ الأمنية</t>
  </si>
  <si>
    <t>تم اضافة عازل لانبوب سبلت في البنايه الرابعه ZA</t>
  </si>
  <si>
    <t>• غسل القطعة الداخلية والخارجية لسبلت الغرفة الأمنية الأولى مقابل البناية الرابعة.</t>
  </si>
  <si>
    <t>فتح وتفريغ صندوق المقترحات (لنستمع إليك)البناية الرابعة – الطابق الأول – الزون (A)</t>
  </si>
  <si>
    <t>م غسل وتنظيف السبالت الاعتياديه في البنايه الرابعة 
.الطابق الارضي ZA(2)
.الطابق الاول ZA</t>
  </si>
  <si>
    <t>• غسل القطعة الخارجية فقط للغرفة الأمنية الثانية المقابلة للبناية الرابعة لعدم وجود مفتاح الغرفة.</t>
  </si>
  <si>
    <t xml:space="preserve">تم صيانة براد ماء في البنايه الاولى ZB
</t>
  </si>
  <si>
    <t xml:space="preserve">تم متابعة تبريد VRF في البنايه الثالثة الطابق الارضي  ZB
</t>
  </si>
  <si>
    <t>تم معالجه نقاط الكهرباء بماده البورك 
في البنايه الرابعه مختلف الطوابق والصفوف عدد ٣٨ نقطه</t>
  </si>
  <si>
    <t xml:space="preserve">تم متابعة مضخة ماء RO
</t>
  </si>
  <si>
    <t xml:space="preserve">تم التأكد من صحة تشغيل VRF البنايه الثالثة الطابق الارضي من خلال قراءة البيانات للوحدات الخاريجة بقطعه LG MV5
</t>
  </si>
  <si>
    <t>تم متابعة تبريد نوع سبلت في غرفة الشركة الامنيه</t>
  </si>
  <si>
    <t xml:space="preserve">تم تنضيف فلاتر السبلت الاعتيادي في البنايه الرابعه الطابق الثاني  Z'A
</t>
  </si>
  <si>
    <t>اعمال معالجه الشبابيك في معجون الجام في مختلف الطوابق والصفوف 
    البنايه الرابعه</t>
  </si>
  <si>
    <t>تم تنضيف فلاتر السبلت الاعتيادي في البنايه الرابعه الطابق الثاني  zb</t>
  </si>
  <si>
    <t xml:space="preserve">تم استبدال مضخة (VRF ) بطابق الأرضي بوحدة اخرى من الطابق الثاني في المدرسة الاولى 
</t>
  </si>
  <si>
    <t xml:space="preserve">تم صيانة يونيت داخل الشفت في المدرسة الاولى 
</t>
  </si>
  <si>
    <t>تم تبديل كاك براص في ماطور بناية الثانية</t>
  </si>
  <si>
    <t xml:space="preserve">*تم متابعه وكشف  احدئ الصفوف البنايه الولى زون B الطابق الاول 
</t>
  </si>
  <si>
    <t>*تم متابعه ال vrfفي البنايه الولى الطابق الارضي</t>
  </si>
  <si>
    <t>تثبيت قطعه هزاره البنايه الثالثه الطابق الثاني zone b</t>
  </si>
  <si>
    <t xml:space="preserve">تم متابعه ال vrf في البنايه الولى زون A وتشغيل القطعه الداخليه في الطابق الارضي 
</t>
  </si>
  <si>
    <t>• جرد الصحيات البناية الأولى بالكامل.</t>
  </si>
  <si>
    <t xml:space="preserve">تم متابعه كاك الماء في صحيات البنايه الولى 
</t>
  </si>
  <si>
    <t xml:space="preserve">تم فتح انسداد سفونه في صطح البنايه الثالثه 
</t>
  </si>
  <si>
    <t xml:space="preserve">استبدال زيت محرك مولدة 450KVA مع فلاتر كاز وفلاتر دهن </t>
  </si>
  <si>
    <t xml:space="preserve">تم اطفاء ال Dxفي البنايه الثالثه
</t>
  </si>
  <si>
    <t>• تبديل ماسكة شطافة في البناية الثانية الطابق الأرضي.
• تركيب قاعدة ماسكة شطافة في الصحيات الخارجية للبناية الثانية.
تركيب حاملة صابون في صحيات البناية الثانية الطابق الأول</t>
  </si>
  <si>
    <t>تم استبدال كارت في القطعة الداخلية ال vrf البنايه الولى</t>
  </si>
  <si>
    <t>• جولة ميدانية في كافة بنايات المجمع للتأكد من الماء الـ RO (تفريغ خزان غرفة إنتاج ماء الـ RO، خزان البناية الثالثة، خزان البناية الرابعة، خزان البناية الثانية، خزان البناية الأولى).</t>
  </si>
  <si>
    <t>ربط خزانات الثانوية لماء أرو في جميع بنايات المجمع</t>
  </si>
  <si>
    <t>• تفريغ جميع برادات الماء في زون B جميع البنايات.</t>
  </si>
  <si>
    <t>استبدال خرطوم الراديتر ( صوندة ) مولد 450KVA</t>
  </si>
  <si>
    <t>• إنتاج ماء آرو وتشغيل مضخة الدفع الماء.</t>
  </si>
  <si>
    <t>• غسل غرفة المضخات ماء آرو.</t>
  </si>
  <si>
    <t>• تشغيل مضخة الماء الرئيسية الدفع للبنايات.</t>
  </si>
  <si>
    <t>• فصل التيار الكهربائي عن برادات ماء لا يوجد فيها ماء (البناية الأولى، الثالثة، الرابعة).</t>
  </si>
  <si>
    <t>حديقة الم</t>
  </si>
  <si>
    <t xml:space="preserve">تم تأسيس أنبوب ماء لغرض السقي في الحديقة الخارجية
</t>
  </si>
  <si>
    <t>• إطفاء قطع كاسيت تعمل بعد الدوام في البناية الأولى.
• إطفاء صبورات إلكترونية تعمل بعد الدوام في البناية الثانية.
• إطفاء شاشة سمارت يعمل بعد الدوام في البناية الأولى.</t>
  </si>
  <si>
    <t xml:space="preserve">تم اضافة برادات ماء في البناية الرابعة طابق الاول زون A
</t>
  </si>
  <si>
    <t xml:space="preserve">غسل المولدةً من الداخل والخارج مولد 1M الثانيه </t>
  </si>
  <si>
    <t>تم متابعة سبلت المحولات في البنايه الرابعه الطابق الارضي</t>
  </si>
  <si>
    <t>عمل دوري</t>
  </si>
  <si>
    <t xml:space="preserve">تم تشغيل مضخة انتاج ماء الRoواطفائها
</t>
  </si>
  <si>
    <t>تغيير فلتر قطني لمحطة التصفية</t>
  </si>
  <si>
    <t>غرفة الشركة الامنية</t>
  </si>
  <si>
    <t>تم صيانه براد ماء للغرفه الامنيه قرب الكراج</t>
  </si>
  <si>
    <t xml:space="preserve">تم مساعده وحده لكهرباء في البنايه الاولى
</t>
  </si>
  <si>
    <t>تنظيف مضخة الإطفاء في البناية الثانية</t>
  </si>
  <si>
    <t>إضافة حنفية ماء للسقي في حديقة الكراج</t>
  </si>
  <si>
    <t xml:space="preserve">صيانة انارة منشوريةً واناره براكيت درج بالاضافه إلى إطفاء السخانات </t>
  </si>
  <si>
    <t>الصحيات الخارجية</t>
  </si>
  <si>
    <t>ZONE A - الطابق الاول, ZONE B - الطابق الارضي</t>
  </si>
  <si>
    <t>A- الابتدائية (البناية 1), D- الاعدادية (البناية 4)</t>
  </si>
  <si>
    <t xml:space="preserve">تنظيف جميع الكامرات في غرف السيطرة </t>
  </si>
  <si>
    <t xml:space="preserve">صيانة دورية </t>
  </si>
  <si>
    <t xml:space="preserve">تم فحص نسبة الكلور والاملاح في البناية الثالثة 
</t>
  </si>
  <si>
    <t>تم تفريغ خزان الماء أرو في البناية الثالثة بسبب عدم وجود نسبة صفر من الكلور</t>
  </si>
  <si>
    <t>تم مساعدة وحدة المدني في عمل صبغ البنايات</t>
  </si>
  <si>
    <t>B- الابتدائية (البناية 2), الحدائق</t>
  </si>
  <si>
    <t>ZONE A - الطابق الارضي, الكراج</t>
  </si>
  <si>
    <t xml:space="preserve">تسليك فلكس 4*10 لتغذية البورد الخارجي في الكراج </t>
  </si>
  <si>
    <t xml:space="preserve">تم اضافه توصاله وزبانه الى صونده الرش في الحديقه قرب الملعب بجانب البنايه الرابعه
</t>
  </si>
  <si>
    <t>تم ملاحضه رخاوه في الجك فالف الخاص بماطورات الدفع ماء Ro وتم اجراء لازم</t>
  </si>
  <si>
    <t xml:space="preserve">تسليك فلكس 2*4 لتغذية الأعمدة الموجودة في الحديقة </t>
  </si>
  <si>
    <t xml:space="preserve">ZONE A - الطابق الارضي, غرفة المولدات </t>
  </si>
  <si>
    <t xml:space="preserve">تسليك فلكس 2*2.5 لتغذية انارة غرفة المولدات بالألواح الشمسية </t>
  </si>
  <si>
    <t xml:space="preserve">تم فتح انابيب الكاز في المولدة 
</t>
  </si>
  <si>
    <t xml:space="preserve">تم مساعدة وحدة الكهرباء 
</t>
  </si>
  <si>
    <t xml:space="preserve">الكراج </t>
  </si>
  <si>
    <t xml:space="preserve">تثبيت بور بلاستك ٥٠*٧٠ </t>
  </si>
  <si>
    <t>تم صيانه سبلات عتيادي في الكرفان الامنية</t>
  </si>
  <si>
    <t>وحدة الكهرباء</t>
  </si>
  <si>
    <t xml:space="preserve">ZONE A - الطابق الارضي, </t>
  </si>
  <si>
    <t xml:space="preserve">صيانة بلك سويج  وإعادة تنظيم ربط السخانات </t>
  </si>
  <si>
    <t>غرفة السواق</t>
  </si>
  <si>
    <t xml:space="preserve">تم متابعة سبلت اعتيادي في غرفة السواق
</t>
  </si>
  <si>
    <t>تم استبدال السبلت الاعتيادي من 2 طن الى 5•1طن في البنايه الرابعه الطابق الارضي</t>
  </si>
  <si>
    <t xml:space="preserve">تم متابعة VRF البنايه الرابعه الطابق الاول ZA
</t>
  </si>
  <si>
    <t xml:space="preserve">تم متابعة VRF البنايه الرابعه الطابق الارضي ZA
</t>
  </si>
  <si>
    <t xml:space="preserve">إكمال بور توزيع يتكون من خطين لتغذية الكراج الخارجي </t>
  </si>
  <si>
    <t xml:space="preserve">تم متابعة تسريب في البنايه الرابعه الطابق الارضي ZA
</t>
  </si>
  <si>
    <t xml:space="preserve">صيانة انارة منشورية </t>
  </si>
  <si>
    <t>تم اطفاء DX في جميع بنايات المجمع</t>
  </si>
  <si>
    <t xml:space="preserve">غرفة المولدات </t>
  </si>
  <si>
    <t xml:space="preserve">تحويل تغذية بلك سويج واناره وربطها من منظومه الألواح الشمسيه </t>
  </si>
  <si>
    <t xml:space="preserve">*تم تشغيل مضخه دفع الماء للبنايات بعد ما تبين وجود نقص في احدى البنايات
</t>
  </si>
  <si>
    <t xml:space="preserve">صيانةً عتله الباب الداخليه </t>
  </si>
  <si>
    <t>تم تبديل قفل باب السطح عدد (2) ط الثاني المدرسه الثانية</t>
  </si>
  <si>
    <t xml:space="preserve">غسل الألواح الشمسية </t>
  </si>
  <si>
    <t xml:space="preserve">بشكل دوري </t>
  </si>
  <si>
    <t>تم تبديل قفل باب القاعه الرياضية من جهة المدرسه الأولى</t>
  </si>
  <si>
    <t xml:space="preserve">استبدال سبورت لايت </t>
  </si>
  <si>
    <t>ZONE A - الطابق الثاني, ZONE B - الطابق الثاني</t>
  </si>
  <si>
    <t>تم تبديل قفل باب القاعه الرياضية من جهة المدرسه الثالثة</t>
  </si>
  <si>
    <t>تثبيت قطعة خشب درج البنايه الثالثه الطابق الأرضي zone b</t>
  </si>
  <si>
    <t xml:space="preserve">*تم تنزيل قطعه خارجيه للسبلت اعتيادي وزن 2طن من سطح البنايه الرابعه الى الطابق الثاني
</t>
  </si>
  <si>
    <t>تثبيت مرد ماء صحيات البنايه الثالثه الطابق الاول zone b</t>
  </si>
  <si>
    <t>المخزن</t>
  </si>
  <si>
    <t>تم تثبيت برده في البنايه الاولى الطابق الثاني الزون A (المصلى)</t>
  </si>
  <si>
    <t>استبدال انارةً منشورية ٦٠*٦٠</t>
  </si>
  <si>
    <t xml:space="preserve">المولدات </t>
  </si>
  <si>
    <t>عمل فتحه تصريف للماء داخل المولده بنايه الثالثه</t>
  </si>
  <si>
    <t xml:space="preserve">تغذية الأعمدة الخارجية من منظومه الألواح الشمسية </t>
  </si>
  <si>
    <t xml:space="preserve">تنظيف المصاعد الكهربائية </t>
  </si>
  <si>
    <t>تبديل يده باب حمام البنايه الرابعه الطابق الأرضي zone A</t>
  </si>
  <si>
    <t>*تم فحص جوده التبريد في البنايه الرابعة ZBالارضي-الاول -الثاني  وكانت الجوده ممتازه</t>
  </si>
  <si>
    <t xml:space="preserve">استبدال انارة 50w وتغذية حساس ضغط </t>
  </si>
  <si>
    <t xml:space="preserve">تم متابعة تبريد VRF في البنايه الأولى
</t>
  </si>
  <si>
    <t>صيانه جهاز ATS استبدال فيوز 2A</t>
  </si>
  <si>
    <t xml:space="preserve">تم متابعة صحيات البناية الأولى زون B
</t>
  </si>
  <si>
    <t>تم تبديل الواتر بم في منظومة تبريد VRF في البنايه الرابعة
*الواتر بم لايوجد لدينا وتم فتح الواتر بم من قطعة اخرئ واستخدامها. في البناية الرابعة طابق الاول زون A</t>
  </si>
  <si>
    <t xml:space="preserve">صيانة انارةً داخل الكابينة </t>
  </si>
  <si>
    <t xml:space="preserve">تم صيانة مضخة ماء  (واتربم )  الخاص بمنضومة التبريد القطعه الداخليه VRF  وإعادته إلى الخدمه 
</t>
  </si>
  <si>
    <t xml:space="preserve">اعادةً تثبيت تري حديد </t>
  </si>
  <si>
    <t xml:space="preserve">تم ترسيت السبلت الاعتيادي في غرفه الكهرباء في البنايه الرابعه
</t>
  </si>
  <si>
    <t xml:space="preserve">تم صيانه ثرموستات في البنايه الثالثه في الطابق الاول ZB
</t>
  </si>
  <si>
    <t xml:space="preserve">تثبيت تري حديد وصيانة احدى البلاجكتورات الخارجية </t>
  </si>
  <si>
    <t xml:space="preserve">تم متابعة VRF البنايه الثالثه والرابعه ZB بالكامل في جميع الطوابق
</t>
  </si>
  <si>
    <t xml:space="preserve">تم تشغيل قطع داخليه في مصلى البنايه الرابعة الطابق الثاني ZA
</t>
  </si>
  <si>
    <t xml:space="preserve">تنظيف جميع غرف السيطرة </t>
  </si>
  <si>
    <t xml:space="preserve">تم متابعة VRF البنايه الاولى الطابق الاول ZB
</t>
  </si>
  <si>
    <t xml:space="preserve">استبدال سلكتر 012 الخاص بالإنارة الخارجية </t>
  </si>
  <si>
    <t>تسريب ماء داخل الشفت</t>
  </si>
  <si>
    <t>تم متابعة تسريب قرب مخزن التربيه في ممر البنايه الثالثه والرابعه</t>
  </si>
  <si>
    <t>الشفت</t>
  </si>
  <si>
    <t xml:space="preserve">*تم صيانه تسريب ماء لأنبوب تصريف مياه منظومه الVRF في البنايه الرابعة الطابق الاول ZA
</t>
  </si>
  <si>
    <t xml:space="preserve">اعادة تثبيت تري حديد </t>
  </si>
  <si>
    <t xml:space="preserve">*تم غسل فلاتر منظومة الVRF في البنايه الثانيه
كذلك تنظيف بوابات القطع الداخلية </t>
  </si>
  <si>
    <t xml:space="preserve">*تم صيانه خلاط ماء في البنايه الثانية الطابق الارضي
</t>
  </si>
  <si>
    <t>إضافه مصابيح إشاره خاصه بمنظومه ATS</t>
  </si>
  <si>
    <t xml:space="preserve">صيانةً مجهر خاص بالمختبرات </t>
  </si>
  <si>
    <t>ZONE A - الطابق الثاني, ZONE B - الطابق الارضي</t>
  </si>
  <si>
    <t>تم غسل فلاتر منظومة الVRF في البنايه الثانيه
علماً تم اكتمال غسل فلاتر البنايه بالكامل</t>
  </si>
  <si>
    <t>*تم متابعة الVRF في البنايه الرابعة الطابق الاول ZA</t>
  </si>
  <si>
    <t>ZONE A - الطابق الاول, ZONE B - الطابق الثاني</t>
  </si>
  <si>
    <t>تم فحص ال vrf في البنايه الرابعه وتم تشخيص كود خطأ ووجود عطل في الڤان في ZA وتم اجراء الازم</t>
  </si>
  <si>
    <t>تم متابعه VRFفي لبنايه ثالثه</t>
  </si>
  <si>
    <t xml:space="preserve">موقع مولدات </t>
  </si>
  <si>
    <t>تزيت  باب المضخة الحديد في المدرسة الاولى</t>
  </si>
  <si>
    <t xml:space="preserve">صيانةً مجموعةً انارة منشورية ٦٠*٦٠ والتأكد من سلامتها </t>
  </si>
  <si>
    <t xml:space="preserve">اعادة تثبيت سبورت لايت داخل الصحيات </t>
  </si>
  <si>
    <t xml:space="preserve">مساعدة شعبة المصاعد في إضافه جهاز الكارت الإلكتروني الذي ينظم صعود ونزول المصعد </t>
  </si>
  <si>
    <t>تم متابعه ال vrf في البنايه الولى الطابق الاول والثاني زون B</t>
  </si>
  <si>
    <t>B- الابتدائية (البناية 2), C- المتوسطة (البناية 3), D- الاعدادية (البناية 4)</t>
  </si>
  <si>
    <t xml:space="preserve">تم متابعة تبريد VRF في البنايه الثانية والثالثة والرابعة 
</t>
  </si>
  <si>
    <t xml:space="preserve">رفع جهاز ATS وربط المصدر بشكل مباشر بالمولدات لغرض صيانةً الجهاز </t>
  </si>
  <si>
    <t>تم غسل فلاتر VRF في البنايه الثالثة طابق الأرضي زون A</t>
  </si>
  <si>
    <t xml:space="preserve">تم غسل الفلاتر الخاصة بمنضومة التبريد VRF في البنايه  الثالثه الطابق الاول والثاني Z,A 
</t>
  </si>
  <si>
    <t xml:space="preserve">تم تشغيل  واطفاء مضخات الدفع للبنايات  الخاصه بلماء RO
</t>
  </si>
  <si>
    <t>ZONE A - الطابق الارضي, ZONE B - الطابق الارضي, ZONE B - الطابق الاول</t>
  </si>
  <si>
    <t xml:space="preserve">تم تفريغ خزانات ماء RO في جيمع البنايات بعد ان لوحض نسبة الكلور صفر 
</t>
  </si>
  <si>
    <t xml:space="preserve">تم تشغيل وإطفاء مضخة مياه الRoالدفع للبنايات
</t>
  </si>
  <si>
    <t>اعادة صيانة مجموعة بلك سويج 13A</t>
  </si>
  <si>
    <t>تم فتح وغسل قطعه الداخلية لمنظومة الVRF في البنايه الاولى الطابق الارضي ZB</t>
  </si>
  <si>
    <t>تم فحص نسبة ماء الRo في جميع البنايات وكانت نسبة الكلور ضئيلة وتم الإيعاز بتفريغ جميع الخزانات</t>
  </si>
  <si>
    <t xml:space="preserve">تم اطفاء بكج القاعة الرياضية
</t>
  </si>
  <si>
    <t xml:space="preserve">*تم تبديل جليكان الذي يحوي ماده الانتي سكيل بعد ما تبين وجود ثقب فيه
</t>
  </si>
  <si>
    <t xml:space="preserve">تم تشغيل مضخه الماء Roوتم ضبط نسبه الكلور 
</t>
  </si>
  <si>
    <t>B- الابتدائية (البناية 2), D- الاعدادية (البناية 4)</t>
  </si>
  <si>
    <t>قطع بوري حديد لغرض استخدامة لقسم الزراعة
الساحة الخارجية - خلف البناية الرابعة</t>
  </si>
  <si>
    <t xml:space="preserve">تم غسل قطعة داخليه VRF في البنايه الاولى الطابق الارضي زون B
</t>
  </si>
  <si>
    <t xml:space="preserve">تم تشغيل واطفاء مضخات دفع ماء RO للبنايات
</t>
  </si>
  <si>
    <t>صيانة مرمر الجدار الخارجي في البناية الرابعة مع تنظيفه</t>
  </si>
  <si>
    <t>تم متابعه ال vrf في البنايه الرابعه الطابق الثاني زون A</t>
  </si>
  <si>
    <t>صيانة مع تبديل تور شباك عدد ١١ في المدرسة الاولى</t>
  </si>
  <si>
    <t xml:space="preserve">*بمساعده وحده الكهرباء تم فحص غرفة مياة الRo لاتوجد مشكلة كهربائية 
</t>
  </si>
  <si>
    <t>تزيت وصيانه بيبان الخشب</t>
  </si>
  <si>
    <t>تم اعاده سقف ثانوي متحرك عدد ١٧ في البنايه الرابعه الطابق الثاني الزون B</t>
  </si>
  <si>
    <t>تم متابعه وجرد الصحيات في البنايه الولى بالكامل</t>
  </si>
  <si>
    <t>تم صيانه سبوره في البنايه الرابعه الطابق الارضي الزون B</t>
  </si>
  <si>
    <t xml:space="preserve">تثبيت ازاره خشب الصف الخامس </t>
  </si>
  <si>
    <t>تم صيانه رحلات عدد ٢٣ رحله في مختلف الطوابق والصفوف البنايه الثالثه الزون B</t>
  </si>
  <si>
    <t>صيانه وتزييت جميع الابواب</t>
  </si>
  <si>
    <t xml:space="preserve">تم متابعه وجرد الصحيات في البنايه الثانيه بالكامل
</t>
  </si>
  <si>
    <t>تم غسل فلاتر البنايه الرابعه الطابق الاول za-b</t>
  </si>
  <si>
    <t>تم اعاده سقف ثانوي متحرك عدد ١٣ في البنايه الثالثه الطابق الثاني الزون B</t>
  </si>
  <si>
    <t xml:space="preserve">استبدال ضفدع شباك الصف الخامس </t>
  </si>
  <si>
    <t>تم تبديل صفدع شباك قلاب في البنايه الثالثه الطابق الثاني الزون B الاول ي</t>
  </si>
  <si>
    <t>تثبيت برده شباك الخامس الابتداىي</t>
  </si>
  <si>
    <t xml:space="preserve">*تم تشغيل مضخة المياه ولايوجد ماء اساله 
</t>
  </si>
  <si>
    <t>تم صيانه تور شباك قلاب في البنايه الثالثه الطابق الاول الزون Bالاول ح</t>
  </si>
  <si>
    <t>*تم جرد صحيات البنايه الثالثه</t>
  </si>
  <si>
    <t xml:space="preserve">تثبيت ازاره الخشب الصف الخامس </t>
  </si>
  <si>
    <t xml:space="preserve">تم فتح انسداد عدد 2 في صحيات لبنايه الاولى الطابق الارضي Zb
</t>
  </si>
  <si>
    <t xml:space="preserve">صيانه يده باب صحيات المنيوم </t>
  </si>
  <si>
    <t>تم رفع المقرنص القديم و استبداله بامقرنص جديد قرب الباب الرئيسيه للمدرسة الثانيه مع تنضيف المكان</t>
  </si>
  <si>
    <t xml:space="preserve">تم متابعه مستوى الكلور ونسبه الاملاح في البنايه الرابعه الطابق الاول وغرف الكهرباء
</t>
  </si>
  <si>
    <t xml:space="preserve">صيانه باب خشب صحيات </t>
  </si>
  <si>
    <t>تم صيانه باب خشب في البنايه الاولى الطابق الارضي الزون B الرابع و</t>
  </si>
  <si>
    <t xml:space="preserve">تم تفريغ براد ماء بعد ما تبين وجود ركود في الماء وتم غسل الغطاء الخاص بحوض ماء لبراد
</t>
  </si>
  <si>
    <t>تزيتت باب الصحيات</t>
  </si>
  <si>
    <t xml:space="preserve">تم تشغيل مضخه دفع ماء ل Roللبنايات 
</t>
  </si>
  <si>
    <t>تم صيانه رحلات عدد ٨ في البنايه الاولى الطابق الاول والثاني مختلف الصفوف</t>
  </si>
  <si>
    <t>تم متابعه VRFالخاصه بلبنايه الرابعه بعد ما تبين وجود مشكله في الطابق الثاني والاول واعادتها للوضع لطبيعي</t>
  </si>
  <si>
    <t>صيانه مصد باب الصف الخامس</t>
  </si>
  <si>
    <t>• صيانة لوكرات في البناية الأولى، الطابق الأرضي، الزون A، غرفة المعلمين.</t>
  </si>
  <si>
    <t>صيانه تور شباك</t>
  </si>
  <si>
    <t>تم تبديل يده شباك في البنايه الاولى الطابق الارضي الزون B الرابع ب</t>
  </si>
  <si>
    <t>• صيانة كرسي هايدرليك في البناية الأولى، الطابق الأول، الزون A، المختبر.</t>
  </si>
  <si>
    <t>*تم مساعدة وحدة المدني</t>
  </si>
  <si>
    <t>• تبديل يدة باب ألمنيوم في صحيات البناية الأولى، الطابق الأرضي، الزون A.</t>
  </si>
  <si>
    <t>تم صيانه نرمايد باب خشب في البنايه الاولى الطابق الاول الزون B الخامس ب</t>
  </si>
  <si>
    <t xml:space="preserve">تم متابعة تبريد VRF في البنايه الثالثة طابق الاول
</t>
  </si>
  <si>
    <t xml:space="preserve">صيانه الباب الحديد الفاصل بين الزونين </t>
  </si>
  <si>
    <t>تم فتح مضخة المياة الرئيسية دفع البنايات لغرض الصيانة بسبب وجود خلل في الجبنه</t>
  </si>
  <si>
    <t>تم نقل المضخه الى ورشه العتبه لغرض الصيانة</t>
  </si>
  <si>
    <t>تم غسل قطع VRF داخليه عدد 3 في البنايه الثالثه طابق الأول za</t>
  </si>
  <si>
    <t>صيانه  الباب الحديد لحام كهرباىي واصلاح الباب الحديد</t>
  </si>
  <si>
    <t>أعمال تثبيت قطعه المرمر درج البنايه الثالثه</t>
  </si>
  <si>
    <t>صيانه واستبدال عجلات عربانه عدد 1 
البنايه الرابعه</t>
  </si>
  <si>
    <t>صيانه بردات عدد 2 الصف الثالث</t>
  </si>
  <si>
    <t>تم غسل قطع VRF داخليه عدد 3 في البنايه الرابعه  طابق الأول za</t>
  </si>
  <si>
    <t>ارجاع سقف ثانوي في المدرسة الاولى عدد ٥ في الطابق الارضي</t>
  </si>
  <si>
    <t>تم تشغيل واطفاء مضخات دفع للبناياتRO</t>
  </si>
  <si>
    <t>ارجاع قطع السقف الثانوي عدد 30</t>
  </si>
  <si>
    <t>تبديل لبه باب قفل عدد 2 غرف الصوتيات البنايه الاولى الطابق الثاني</t>
  </si>
  <si>
    <t>اعده قطع السقف الثانوي عدد 38</t>
  </si>
  <si>
    <t>عمل فتحه مفرغه هواء كرفان الشركه الامنيه  الكراج الخارجي</t>
  </si>
  <si>
    <t xml:space="preserve">تثبيت قطعه هزاره ممر الصفوف </t>
  </si>
  <si>
    <t xml:space="preserve">اعاده سقف ثانوي عدد 43 </t>
  </si>
  <si>
    <t xml:space="preserve">تم تبديل مواد (انتي سكيل)و (انتي كلور) الخاصه بمضخه الRO
</t>
  </si>
  <si>
    <t>تم اعاده سقف ثانوي متحرك في البنايه الثالثه الطابق الثاني الزون B عدد ١٣</t>
  </si>
  <si>
    <t xml:space="preserve">تم ضبط نسبه الاملاح والكلور الخاص بمضخه Ro
</t>
  </si>
  <si>
    <t>• صبغ غرف الإدارة (عدد 2) في البناية الثالثة والرابعة، الطابق الأرضي، الزون A.</t>
  </si>
  <si>
    <t xml:space="preserve">تم تشغيل مضخه دفع ماء Ro للبنايات
</t>
  </si>
  <si>
    <t>تم نقل المقرنص من سياج الخارجي قرب البناية الثانية الى الكراج</t>
  </si>
  <si>
    <t xml:space="preserve">تثبيت هزاره ممر الصفوف </t>
  </si>
  <si>
    <t>تم تشغيل مضخات الانتاج الماء  RO في البنايه الثالثه</t>
  </si>
  <si>
    <t>تم تبديل لبه باب BBC في البنايه الرابعه الطابق الارضي الزون A غرفه الضيافه</t>
  </si>
  <si>
    <t>تم اعاده سقف ثانوي عدد ٢١ البنايه الثالثه الطابق الثاني زون B</t>
  </si>
  <si>
    <t xml:space="preserve">*تم تشغيل مضخة مياه الرئيسية ولايوجد ماء في خط الاساله
</t>
  </si>
  <si>
    <t xml:space="preserve">*تم اطفاء مضخة ماء الRo
</t>
  </si>
  <si>
    <t>تم تبديل يدات باب الاستعلامات الرئيسيه البنايه الرابعه</t>
  </si>
  <si>
    <t>• تركيب تيب لصق مع تصليح الجدار وسنفرته وتنظيفه لتهيئة الصبغ في غرفة إدارة المجمع القديمة، الطابق الأرضي، الزون A، المدرسة الرابعة.</t>
  </si>
  <si>
    <t>رفع كميات الحصو (البحص) المتواجدة
أمام باب الخروج - قرب البناية الأولى (بجانب الكراج)</t>
  </si>
  <si>
    <t>• إزالة مخلفات الصبغ مع إرجاع العدة إلى مكانها في المدرسة الرابعة، غرفة المعاون.</t>
  </si>
  <si>
    <t>أعمال التنظيف والترتيب (الكراج الخارجي) شملت فرز وتجميع المقرنص (I-Section) الملقاة بشكل عشوائي، ونقلها وترتيبها على سكيبات خشبية (Pallets)</t>
  </si>
  <si>
    <t>• تحديد نقاط الصفر (Benchmark) وضبط المناسيب الترابية والخرسانية للهيكل الخارجي.</t>
  </si>
  <si>
    <t xml:space="preserve">تثبيت ازاره خشب الصف الرابع </t>
  </si>
  <si>
    <t>صيانة الباب الرئيسي للبناية الثالثة</t>
  </si>
  <si>
    <t>صيانة كيلون باب خشب الصف الرابع الاعدادي (أ) الطابق الاول البناية الرابعة (Zone B)</t>
  </si>
  <si>
    <t xml:space="preserve">تم تشغيل واطفاء مضخات دفع ماء RO للبنايات 
</t>
  </si>
  <si>
    <t>• صيانة تور شباك في البناية الثالثة، الطابق الأول، الزون B.</t>
  </si>
  <si>
    <t xml:space="preserve">تم تشغيل واطفاء مضخات اسالة للخزان الرئيسي
</t>
  </si>
  <si>
    <t>تم تبديل يدة شباك في الصف الرابع الاعدادي (ج) المدرسة الرابعة الزون B الطابق الاول</t>
  </si>
  <si>
    <t xml:space="preserve">صيانه بتب خشب الصف الرابع </t>
  </si>
  <si>
    <t>• صيانة "طبله" في البناية الثالثة، الطابق الأرضي، الزون A، غرفة المعاون التعليمي.</t>
  </si>
  <si>
    <t>تم تبديل يدة شباك في الصف الرابع الاعدادي (د) المدرسة الرابعة (zone b) الطابق الاول</t>
  </si>
  <si>
    <t>تثبيت مصد باب  الصف الرابع</t>
  </si>
  <si>
    <t>• غلق فتحات بواري الكهرباء بمادة الفوم والسفنج في البناية الثانية، الطابق الأرضي.</t>
  </si>
  <si>
    <t>*تم اخذ قياسات ورسم مسار خط انبوب تصريف المياه لمكتبه الخارجيه</t>
  </si>
  <si>
    <t>تثبيت مصد باب خشب الصف الرابع الاعدادي(ج) الطابق الاول zone b البناية الرابعة</t>
  </si>
  <si>
    <t>• تركيب مصد باب في البناية الثانية، الطابق الأول.</t>
  </si>
  <si>
    <t>تم تبديل لبه باب في البنايه الثالثه الطابق الارضي الزون B غرفه السيطره</t>
  </si>
  <si>
    <t>• تركيب تاير إلى عربة الطعام في البناية الثالثة، الطابق الأرضي، الزون A.</t>
  </si>
  <si>
    <t xml:space="preserve">تزيت ابواب الخشب </t>
  </si>
  <si>
    <t>تم تبديل لبه باب في البنايه الثالثه الطابق الاول الزون B غرفه السيطره</t>
  </si>
  <si>
    <t>• أعمال حفر وتعميق في التربة لتتبع مسار الرطوبة ومصدر النضوح الرئيسي بين البناية الثالثة والبناية الثانية.</t>
  </si>
  <si>
    <t xml:space="preserve">*تم تشغيل وايقاف مضخات تعبئة الخزانات الرئيسيه(لايوجد ماء اساله)
</t>
  </si>
  <si>
    <t>• تبديل لبة باب السطح للبناية الثانية، الطابق الثاني.</t>
  </si>
  <si>
    <t xml:space="preserve">تم إنتاج ماء RO بعد ضبط المقادير اللازمه 
</t>
  </si>
  <si>
    <t>تم اعاده سقف ثانوي متحرك في البنايه الثالثه الطابق الارضي الزون B عدد ٦</t>
  </si>
  <si>
    <t>• أعمال صبغ لغرفة الإرشاد، الطابق الأرضي، الزون A، المدرسة الرابعة (تصليح + تركيب تيب).</t>
  </si>
  <si>
    <t xml:space="preserve">صيانه الرحلات المتضرره </t>
  </si>
  <si>
    <t xml:space="preserve">تم تشغيل مضخه الماء الدفع للبنايات  وتم تشغيل مضخه الماء الرئيسية ولا يوجد ماء في الخط الرئيسي 
</t>
  </si>
  <si>
    <t>تم تبديل لبه باب في البنايه الثانيه الطابق الارضي غرفه السيطره</t>
  </si>
  <si>
    <t>تم صيانه تور شباك عدد (١٤) في جميع طوابق المدرسة الثالثه زون B</t>
  </si>
  <si>
    <t xml:space="preserve">صيانه كيلون باب خشب الصف الثالث </t>
  </si>
  <si>
    <t>تم تبديل يده شباك الالمنيوم صحيات ط اول زون B المدرسة الثالثه</t>
  </si>
  <si>
    <t>صيانه تور شباك الصف الثالث</t>
  </si>
  <si>
    <t>تم حفر خط الماء والمجاري 
المكتبه الخارجيه</t>
  </si>
  <si>
    <t>تم تبديل كام زاوية في البنايه الرابعه z/a طابق الارضي 
مشتريات</t>
  </si>
  <si>
    <t>تنظيف البلاجكتورات الشمسية الخاصة بالسطح</t>
  </si>
  <si>
    <t>تنظيف جميع البلاجكتورات الشمسية الخاصة بالسطح</t>
  </si>
  <si>
    <t>صيانة في غرفة الكهرباء</t>
  </si>
  <si>
    <t>صيانة انارة منشورية 60*60 عدد 7</t>
  </si>
  <si>
    <t>اضافة مأخذ قدرة لتغذية حاسبات غرفة الاعلام بعدد 3</t>
  </si>
  <si>
    <t>استبدال تري لاصق بعد تضرره في غرفة الكادر التربوي</t>
  </si>
  <si>
    <t>اعادة ترتيب اسلاك الحاسبات في غرفة الاعلام</t>
  </si>
  <si>
    <t>اضافة ماخذ قدرة عدد 2 في احدى غرف الكادر التربوي</t>
  </si>
  <si>
    <t>تغذية غرفة الاعلام من منظومة UPS وكذلك تم اضافة تري ارضي لترتيب الاسلاك الارضية</t>
  </si>
  <si>
    <t>تغذية غرفة السكرتارية من منظومة الالواح الشمسية بأنارة عدد1 و مروحة سقفية عدد 1</t>
  </si>
  <si>
    <t>تم تغذية الشاشات في غرفة مدير المجمع مع صيانة انارة عدد 2</t>
  </si>
  <si>
    <t>ملئ خزانات الكاز الخاصة بالمولدات بالكامل</t>
  </si>
  <si>
    <t xml:space="preserve">غسل و تنظيف الالواح الشمسية </t>
  </si>
  <si>
    <t>تغذية غرفة مدير المجمع من منظومة UPS مع اضافة مأخذ قدرة عدد 4</t>
  </si>
  <si>
    <t>تسليك كيبل CAT5 لتغذية الطابعة في احدى غرف التربية بطول 10 متر</t>
  </si>
  <si>
    <t xml:space="preserve">فصل تغذية غرفة مدير المجمع سابقا من منظومة الالواح الشمسية واعادتها الى النظام الطبيعي </t>
  </si>
  <si>
    <t>تنظيف جميع غرف الكهرباء والاتصالات</t>
  </si>
  <si>
    <t>فحص وصيانة البناية الرابعة بالكامل واستبدال انارة منشورية عدد 2</t>
  </si>
  <si>
    <t>استبدال شمعة مطرية 100W عدد 4 في سطح البناية الاولى</t>
  </si>
  <si>
    <t>تغذية غرفة مدير المدرسة من الطاقة الشمسية بأستخدام انارة عدد 2 و مروحة سقفية</t>
  </si>
  <si>
    <t>تغذية غرفة مدير المدرسة من الالواح الشمسية بأستخدام انارة عدد 2 و مروحة سقفية 1</t>
  </si>
  <si>
    <t xml:space="preserve">تغيير تغذية ماطور الماء الخاص بسطح البناية الثانية الى الالواح الشمسية </t>
  </si>
  <si>
    <t xml:space="preserve">تنظيف جميع غرف الكهرباء والاتصالات </t>
  </si>
  <si>
    <t>تنظيف جميع سكك المصاعد والتاكد من عملها</t>
  </si>
  <si>
    <t>تم تبديل يده شباك صف الأول (ب) ط الثاني زون B المدرسة الثالثه</t>
  </si>
  <si>
    <t>تنظيف جميع البلاجكتورات الشمسية في السطح</t>
  </si>
  <si>
    <t>تغذية غرفة المعاون الاداري من منظومة الطاقة الشمسية بـاستخدام انارة عدد 2 و مروحة سقفية</t>
  </si>
  <si>
    <t xml:space="preserve">تغذية غرفة المعاون الاداري من منظومة الطاقة الشمسية بأستخدام انارة عدد 2 و مروحة سقفية </t>
  </si>
  <si>
    <t>A- الابتدائية (البناية 1), B- الابتدائية (البناية 2), D- الاعدادية (البناية 4)</t>
  </si>
  <si>
    <t>صيانة بلاجكتورات عدد 3 في السطح واعادتها للعمل</t>
  </si>
  <si>
    <t>تغذية غرفة المعاون الاداري من منظومة الطاقة الشمسية بأستخدام انارة عدد 2 و مروحة سقفية</t>
  </si>
  <si>
    <t xml:space="preserve">تنتظيف جميع المصاعد و التأكد من عملها </t>
  </si>
  <si>
    <t>الخارجية</t>
  </si>
  <si>
    <t>تنظيف جميع الكاميرات الخارجية والسياج الخاصة بالمجمع</t>
  </si>
  <si>
    <t>فصل تغذية الباور و السيطرة الخاصة بالمولدة الثانية  1 ميغا لغرض رفعها للصيانة</t>
  </si>
  <si>
    <t>تبديل شمعة 100W  عدد 3 في سطح البناية الرابعة و الثانية</t>
  </si>
  <si>
    <t xml:space="preserve">تغذية الانارة عدد 3 الخاصة بغرفة الاعلام من منظومة الالواح الشمسية </t>
  </si>
  <si>
    <t>تسليك وتغذية السبلت الخاص بغرفة الكهرباء</t>
  </si>
  <si>
    <t>فحص وصيانة البناية الثالثة والرابعة استعدادا للامتحانات وتم استبدال انارة منشورية عدد 1</t>
  </si>
  <si>
    <t>فحص وصيانة البناية الاولى والثانية استعدادا للامتحانات وتم استبدال انارة منشورية عدد 2</t>
  </si>
  <si>
    <t>تسليك وربط ماخذ قدرة عدد 1 في غرفة الارشاد</t>
  </si>
  <si>
    <t>تنظيف غرفة التزامن</t>
  </si>
  <si>
    <t>تنظيف الالواح الشمسية</t>
  </si>
  <si>
    <t>صيانة انارة نشورية بأستبدال المحولة الخاصة بها</t>
  </si>
  <si>
    <t>استبدال بوكس احادي في غرفة المحولات</t>
  </si>
  <si>
    <t>فحص بورد احدى المضخات والتاكد من عمله</t>
  </si>
  <si>
    <t xml:space="preserve">استبدال انارة المصعد عدد 2 </t>
  </si>
  <si>
    <t xml:space="preserve">اعادة تثبيت تري ارضي بعد عملية صبغ الغرفة </t>
  </si>
  <si>
    <t xml:space="preserve">المضخات </t>
  </si>
  <si>
    <t>فصل تغذية احدى المضخات لغرض رفعها لاجراء الصيانة اللازمة</t>
  </si>
  <si>
    <t>تنظيف جميع المصاعد الخاصة بالمجمع</t>
  </si>
  <si>
    <t>تغيير ربط الشاشات الموجودة في غرفة مدير المجمع لتصبح من منظومة الطاقة الشمسية</t>
  </si>
  <si>
    <t>• أعمال صبغ ومعالجة جدران البناية الرابعة، الطابق الأول، الزون A.</t>
  </si>
  <si>
    <t>• مباشرة أعمال الصبغ والتصليح للجدران الداخلية للممر الرئيسي (Zone A)، الطابق الأول، البناية الرابعة.</t>
  </si>
  <si>
    <t>• أعمال الصبغ والتصليح وتركيب تيب لاصق للجدران وغرفة المرسم والمكتبة وغرفة الإرشاد (Zone A)، الطابق الأول، البناية الرابعة.</t>
  </si>
  <si>
    <t>• أعمال الصبغ والتصليح وسنفرة وإزالة التيب في البناية الرابعة، الطابق الأول، غرفة المكتبة، الزون A.</t>
  </si>
  <si>
    <t>• أعمال الصبغ للدرج (طابق أرضي وأول) مع غرفة الإرشاد (طابق أول)، الزون A، المدرسة الرابعة.</t>
  </si>
  <si>
    <t>• معالجة وصبغ جدران البناية الرابعة، الطابق الأرضي، الزون A.</t>
  </si>
  <si>
    <t>• أعمال الصبغ والتصليح وتركيب تيب لاصق للجدران (Zone A)، الطابق الأرضي، البناية الرابعة.</t>
  </si>
  <si>
    <t>• معالجة وسنفرة وصبغ البناية الرابعة، الطابق الأرضي، الزون A (غرفة المرقاب الإلكتروني، غرفة السكرتارية، غرفة المدرسين).</t>
  </si>
  <si>
    <t>• تثبيت لوحات (عدد 3) في غرفة الأمنية أمام البناية الثالثة.</t>
  </si>
  <si>
    <t>• أعمال في البناية الرابعة، الطابق الأرضي، الزون A، غرفة المعاون التعليمي (لصق تيب + معالجة + سنفرة + صبغ).</t>
  </si>
  <si>
    <t>• صبغ جدران البناية الثالثة، الطابق الأول، الزون A.</t>
  </si>
  <si>
    <t>• أعمال الصبغ لممر الطابق الأول، الزون A، المدرسة الثالثة.</t>
  </si>
  <si>
    <t>• أعمال الصبغ والتصليح للجدران ومعالجة التشققات وصبغ المكتبة وإزالة التيب للطابق بالكامل (Zone A)، الطابق الأول، البناية الثالثة.</t>
  </si>
  <si>
    <t>صبغ "داير" الزون A، البناية الثالثة، الطابق الأرضي</t>
  </si>
  <si>
    <t>• أعمال صبغ الدرج (طابق ثاني وأول وأرضي)، الزون A، المدرسة الثالثة.</t>
  </si>
  <si>
    <t>• تبديل لبة باب الألمنيوم لصديات الطابق الأرضي، المجمع الأول، المدرسة الثانية.</t>
  </si>
  <si>
    <t>إرجاع بردة صف الخامس الابتدائي (هـ)، الطابق الثاني، الزون B، المدرسة الأولى</t>
  </si>
  <si>
    <t xml:space="preserve">واجهه البناية </t>
  </si>
  <si>
    <t>• تثبيت القماش الأسود على واجهة البناية الأولى والثانية لتغطية المقاطع الطولية.</t>
  </si>
  <si>
    <t>• وضع شريط لاصق مانع للصبغ.
• تصليح الجدران بمادة الستن.
• صبغ غرفة اللجنة الامتحانية وغرفة الإدارة.</t>
  </si>
  <si>
    <t>الدرج</t>
  </si>
  <si>
    <t>احدى القاعات</t>
  </si>
  <si>
    <t>• إكمال النقص في أعمال لصق التيب وتصليح الجدران في قاعة الطابق الأول، المدرسة الثانية.</t>
  </si>
  <si>
    <t>• صبغ القاعة بالكامل في المدرسة الثانية، الطابق الأول.</t>
  </si>
  <si>
    <t>• معالجة القاعة ووضع لاصق الصبغ وسنفرتها بالكامل وتجهيزها للصبغ.</t>
  </si>
  <si>
    <t>• صبغ القاعة بالكامل في الطابق الثاني، البناية الثانية.</t>
  </si>
  <si>
    <t>تم ارجاع خشبيه جدار صف الثاني (ز) ط اول زون B المدرسة الثالثه</t>
  </si>
  <si>
    <t>تثبيت خشبه إزاره للصف الثالث متوسط و البنايه الرابعه الطابق الأرضي B</t>
  </si>
  <si>
    <t xml:space="preserve"> صيانه كابون الباب الحديد الممر الفاصل بين المدرسة الثانيه والثالثه</t>
  </si>
  <si>
    <t>تبديل لبه باب الفاصل بين zone A-B 
البنايه الاولى الطابق الاول</t>
  </si>
  <si>
    <t>تم صيانه سقف ثانوي ط ارضي زون B المدرسة الثالثه</t>
  </si>
  <si>
    <t>تم ارجاع قطع خشب جدار صف الرابع (د) ط اول زون B المدرسة الأولى</t>
  </si>
  <si>
    <t>تم تركيب سيراميكه انبوب اطفاء الممر قرب المدرسة الرابعه</t>
  </si>
  <si>
    <t>تم ارجاع برده في المطعم ط الثاني زون A المدرسة الأولى</t>
  </si>
  <si>
    <t>تم تثبيت خشبة جدار في البنايه الثالثه الطابق الارضي الزون B الثاني ب</t>
  </si>
  <si>
    <t>تم صيانه سركي باب الحديد قرب المظخات في جهه الكراج</t>
  </si>
  <si>
    <t>تمً تبديل يده باب المنيوم في صحيات البنايه الثالثه الطابق الارضي الزون B</t>
  </si>
  <si>
    <t>صيانه برده شباك البنايه الرابعه الطابق الاول A
السادس الإعدادي</t>
  </si>
  <si>
    <t>صيانة وإعادة تثبيت مرمر عتبات المصاعد
البناية الثالثه - جميع طوابق زون A</t>
  </si>
  <si>
    <t>تم تبديل يده باب الصحيات في البنايه الرابعه الطابق الارضي الزون B</t>
  </si>
  <si>
    <t>تم صيانه تور شباك عدد ٢ في البنايه الرابعه الطابق الثاني الزون B</t>
  </si>
  <si>
    <t>تنظيف جدران الغرفة بالكامل وإزالة الأتربة والشوائب لضمان تماسك الطلاء.</t>
  </si>
  <si>
    <t>تم صيانه رحلات عدد ٦ في البنايه الرابعه الطابق الاول الزون B مختلف الصفوف</t>
  </si>
  <si>
    <t>صيانه برده شباك البنايه الرابعه الطابق الاول b الرابع الإعدادي ب</t>
  </si>
  <si>
    <t>تم ثقب ميز حاسبه عدد ٣ في البنايه الاولى الطابق الاول الزون A 
 مجاور الحانوت غرفه بدون اسم</t>
  </si>
  <si>
    <t>صيانه مصد باب الصحيات البنايه الرابعه الطابق الاول b</t>
  </si>
  <si>
    <t>صيانه بردات شباك عدد ٢ البنايه الرابعه الطابق الثاني b 
الرابع الإعدادي (ه)</t>
  </si>
  <si>
    <t>تثبيت لوحه تعريفيه لغرفه المرقاب الجديده البنايه الاولى الطابق الارضي A</t>
  </si>
  <si>
    <t>صيانه وإصلاح برده شباك البنايه الرابعه الطابق الثاني b الرابع الإعدادي (و)</t>
  </si>
  <si>
    <t>الرصيف الخارجي</t>
  </si>
  <si>
    <t>أعمال أزاله قطعه حديد التسليح من جانب رصيف البنايه الثالثه لضمان السلامه</t>
  </si>
  <si>
    <t>تثبيت قطع إزاره البنايه الرابعه الطابق الثاني b الرابع الإعدادي (و)</t>
  </si>
  <si>
    <t>إرجاع بيم باب البنايه الرابعه الطابق الثاني b الخامس الإعدادي ب</t>
  </si>
  <si>
    <t>تبديل لبه قفل البنايه الاولى الطابق الأرضي A غرفه المرقاب الالي الجديده</t>
  </si>
  <si>
    <t>صيانه مصد باب البنايه الرابعه الطابق الثاني b الخامس الإعدادي (د)</t>
  </si>
  <si>
    <t>أعاده قطع سقف ثانوي صحيات وممر البنايه الرابعه الطابق الثاني b</t>
  </si>
  <si>
    <t>تبديل يده باب ألمنيوم صحيات البنايه الرابعه الطابق الثاني</t>
  </si>
  <si>
    <t>صيانه مصد باب الصحيات البنايه الرابعه الطابق الثاني</t>
  </si>
  <si>
    <t>إرجاع قطع السقف الثانوي عدد ٤ البنايه الرابعه الطابق الأرضي b</t>
  </si>
  <si>
    <t>تبديل قفل شباك البنايه الثالثه الطابق الأرضي b الثاني متوسط (أ)</t>
  </si>
  <si>
    <t>صيانه برده شباك الصف الثاني ب
البنايه الثالثه الطابق الأرضي  b</t>
  </si>
  <si>
    <t>صيانه بيم باب البنايه الثالثه الطابق الاول b الاول متوسط (و)</t>
  </si>
  <si>
    <t>صيانه برده شباك البنايه الثالثه الطابق الاول b الاول متوسط (و)</t>
  </si>
  <si>
    <t>صيانه بيم باب البنايه الثالثه الطابق الثاني bالثاني  متوسط ح</t>
  </si>
  <si>
    <t>صيانه برده شباك البنايه الثالثه الطابق الثاني  b الاول متوسط ح</t>
  </si>
  <si>
    <t>صيانه برده شباك البنايه الثالثه الطابق الثاني  b الاول متوسط ط</t>
  </si>
  <si>
    <t>صيانه تور شباك عدد ٢ البنايه الثالثه الطابق الاول b الثاني متوسط ز</t>
  </si>
  <si>
    <t>تم صيانه رحلاات عدد ٥ البنايه الثانيه طابق اول</t>
  </si>
  <si>
    <t>تم صيانه مصد باب البنايه الثانيه الطابق الأول</t>
  </si>
  <si>
    <t>تم صيانه باب خشب البنايه الثانيه الطابق الثاني</t>
  </si>
  <si>
    <t>تم صيانه محجر درج البنايه الثانيه الطابق الثاني</t>
  </si>
  <si>
    <t>إجراء معالجات وتصليحات للمناطق المتضررة في الجدران وحول الفتحات (الشبابيك)</t>
  </si>
  <si>
    <t xml:space="preserve">تم ثقب ميز حاسبه عدد ٣ في البنايه الاولى الطابق الاول الزون A 
 مجاور الحانوت </t>
  </si>
  <si>
    <t xml:space="preserve">تمً تبديل لبه باب خشب 
في البنايه الاولى الطابق الاول 
الزون A 
</t>
  </si>
  <si>
    <t>تثبيت بورد خشب مفاتيح البنايه الاولى الطابق الأرضي A غرفه المرقاب الجديده</t>
  </si>
  <si>
    <t>تثبيت برده شباك عدد ٢ غرفه المرقاب الالي البنايه الاولى الطابق الأرضي A</t>
  </si>
  <si>
    <t>تم تثبيت داير غرفه الامنيه بقطع الهزاره بالكمال مع تنضيف المكان 
مقابل البنايه الرابعه</t>
  </si>
  <si>
    <t>تم صيانه برده في البنايه الثالثه الطابق الاول الزون A</t>
  </si>
  <si>
    <t>اعاده سقف ثانوي متحرك في البنايه الاولى الطابق الاول والثاني عدد ٩</t>
  </si>
  <si>
    <t>تم تبديل يده باب المنيوم في صحيات البنايه الثالثه الطابق الارضي الزون A</t>
  </si>
  <si>
    <t>تم صيانه تور شباك صف الثالث (ه‍) ط ارضي زون B المدرسة الرابعه</t>
  </si>
  <si>
    <t>تم صيانه تور شباك صف الثالث (أ) ط ارضي زون B المدرسة الرابعه</t>
  </si>
  <si>
    <t>تم صيانه مصطبه جلوس ط ارضي زون A قرب غرف السيطرة المدرسة الرابعه</t>
  </si>
  <si>
    <t>تم صيانه تور شباك عدد (8) المدرسة الأولى في جميع طوابق زون B</t>
  </si>
  <si>
    <t>تم ارجاع قطع سقف ثانوي عدد (٢)ط اول زون B المدرسة الأولى</t>
  </si>
  <si>
    <t>تم ارجاع قطعه سقف ثانوي ط الثاني زون B المدرسة الأولى</t>
  </si>
  <si>
    <t>تم تبديل يدات باب. خشب في البنايه الاولى الطابق الاول الزون A غرفه الميكانيك</t>
  </si>
  <si>
    <t>تم صيانه تور شباك عدد ٧ في البنايه الثالثه الطابق الاول والثاني الزون B مختلف الصفوف</t>
  </si>
  <si>
    <t>تم صيانه باب خشب في البنايه الثالثه الطابق الاول الزون B الرابع أ</t>
  </si>
  <si>
    <t>تم تزيت الابواب الخشب في جميع صفوف الزون B عدد ١٨</t>
  </si>
  <si>
    <t>تم صيانه ميز خشب ط ارضي المدرسة الثانيه</t>
  </si>
  <si>
    <t>تم صيانه كرسي ط ارضي المدرسة الثانيه</t>
  </si>
  <si>
    <t>تم صيانه امحجر الدرج ط ارضي المدرسة الثانيه</t>
  </si>
  <si>
    <t>تم صيانه طبله غرفة الإرشاد التربوي ط ارضي المدرسة الثانيه</t>
  </si>
  <si>
    <t>تم صيانه مصد باب قرب صف السادس (أ) ط ارضي المدرسة الثانيه</t>
  </si>
  <si>
    <t>تم ارجاع ماسكات باب الألومنيوم صف السادس (أ) ط ارضي المدرسة الثانيه</t>
  </si>
  <si>
    <t>أعمال تصليح الجدران لغرفه اداره المجمع الجديده البنايه الثانيه</t>
  </si>
  <si>
    <t>أعمال وضع الشريط الورقي لغرض أعمال الصبغ لغرفه أداره المجمع الجديده البنايه الثانيه</t>
  </si>
  <si>
    <t>أعمال سنفره تصليحات الجدران غرفه أداره المجمع الجديده البنايه الثانيه</t>
  </si>
  <si>
    <t>أعمال التنضيف لغرض اعمال الصبغ لغرفه أداره المجمع الجديده البنايه الثانيه</t>
  </si>
  <si>
    <t>أعمال صبغ الجدران لغرفة أداره المجمع الجديده البنايه الثانيه</t>
  </si>
  <si>
    <t>أعمال فك وتركيب برد شباك الغرفه الجديده لاداره المجمع البنايه الثانيه</t>
  </si>
  <si>
    <t>صيانة وتثبيت لوح الكابون
البناية الثالثة - الباب الحديدي المطل البناية الثانية على منطقة المولدات</t>
  </si>
  <si>
    <t>صيانة وإصلاح باب الألمنيوم بالمدرسة الثانية 
المدخل المطل على المدرسة الأولى</t>
  </si>
  <si>
    <t>صيانة وإصلاح كرسي مكتب هيدروليك (مكتب مدير المدرسة)
المدرسة الأولى - الطابق الأرضي - زون A</t>
  </si>
  <si>
    <t>استبدال مصد باب (Door Stopper) تالف(غرفة مدير المدرسة)المدرسة الأولى - زون A - الطابق الأرضي</t>
  </si>
  <si>
    <t>صيانة وإصلاح خزانة خشبية (لوكر)
المدرسة الرابعة - الطابق الأرضي - زون A (بالقرب من غرفة السكرتارية)</t>
  </si>
  <si>
    <t>تم اضافه مصد باب في البنايه الثالثه الطابق الارضي الزون B</t>
  </si>
  <si>
    <t>تم صيانه تور شباك في البنايه الثالثه الطابق الاول الزون Bالخامس ب</t>
  </si>
  <si>
    <t>تم صيانه نرمايد باب المنيوم في صحيات البنايه الثالثه الطابق الاول الزون B</t>
  </si>
  <si>
    <t>صيانة الرف وتثبيت العشب الاصطناعي في قاعة المكتبة الدراسية (الطابق الأول - زون A) للمدرسة الأولى</t>
  </si>
  <si>
    <t>تثبيت ساعة جدارية غرفة إدارة المجمع الجديدة المدرسة الثانية - الطابق الأرضي</t>
  </si>
  <si>
    <t>فتح بورد المفاتيح في غرفة إدارة المجمع (المدرسة الرابعة - الطابق الأرضي - الزون A)</t>
  </si>
  <si>
    <t>تثبيت بورد المفاتيح في غرفة إدارة المجمع  الجديدة(المدرسة الثانية - الطابق الأرضي</t>
  </si>
  <si>
    <t>تم تبديل شباب تور عدد ١ البنايه رابعه طابق اول زون B</t>
  </si>
  <si>
    <t>تم عاد صيانه مصد البنايه الرابعه الطابق الارضي الزون B</t>
  </si>
  <si>
    <t>تم صيانه بيم باب خشب طابق ثاني البناية الرابعه زون B</t>
  </si>
  <si>
    <t>تم عاد سقف ثانوي متحرك عدد ٩ الطابق الثاني البناية رابعه زون B</t>
  </si>
  <si>
    <t>صيانة وإدامة تور شبابيك
جميع صفوف البناية الأولى – Zone B</t>
  </si>
  <si>
    <t>صيانه برده شباك البنايه الاولى الطابق الاول B الخامس الابتدائي ز</t>
  </si>
  <si>
    <t>صيانة تور شباك عدد ٣ في المدرسة الثالثة</t>
  </si>
  <si>
    <t>صيانة عربانه نقل طعام في المدرسة الثالثه</t>
  </si>
  <si>
    <t>صيانة كرسي دوار عدد ٢ في المدرسة الثالثة</t>
  </si>
  <si>
    <t>صيانة باب خشب في المدرسة الثالثه مع تزيتها</t>
  </si>
  <si>
    <t>تم صيانه كرسي عدد (٢) مختبر الكيمياء و الفيزياء ط اول زون A المدرسة الثالثه</t>
  </si>
  <si>
    <t>تم صيانه لوكر خشب عدد (٢)صف مختبر الكيمياء و الفيزياء ط اول زون A المدرسة الثالثه</t>
  </si>
  <si>
    <t>تم صيانه جك باب الحديد ط ارضي الفاصل بين الزونين المدرسة الأولى</t>
  </si>
  <si>
    <t>تم تزيت باب الحديد ط ارضي الفاصل بين الزونين المدرسة الأولى</t>
  </si>
  <si>
    <t>تم صيانه تعلاكة ملابس غرفه المكتبه ط ارضي زون A المدرسة الأولى</t>
  </si>
  <si>
    <t>تم تبديل قطع كابون الأبواب رئيسة
البنايه اولئ البنايه ثاني البنايه الثالثه البنايه الرابعه</t>
  </si>
  <si>
    <t>تم صيانه كرسي عدد (١) غرفه مدير المدرسة ط ارضي زون A المدرسة الرابعه</t>
  </si>
  <si>
    <t>تم صيانه يده شباك قلاب عدد (١) غرفه الإرشاد التربوي ط ارضي زون A المدرسة الثالثه</t>
  </si>
  <si>
    <t>تم صيانه لوكر خشب عدد (٤) غرفه الإرشاد  ط ارضي زون A المدرسة الثالثه</t>
  </si>
  <si>
    <t>تم صيانه جك باب الحديد الفاصل بين الزونين ط ارضي زون A المدرسة الثالثه</t>
  </si>
  <si>
    <t>تم صيانه لوكر خشب عدد (٥) مختبر الاحياء ط أول زون A المدرسة الثالثه</t>
  </si>
  <si>
    <t>تم تثبيت كابون باب مدخل المولدات</t>
  </si>
  <si>
    <t>تم تبديل وتقسيم جك هايدروليك باب الاستعلامات الرئيسيه البنايه الاولى</t>
  </si>
  <si>
    <t>تم ارجاع قطع سقف ثانوي عدد (١٨) ط الثاني زون B المدرسة الأولى</t>
  </si>
  <si>
    <t>تم صيانه كرسي مكتب المعلمين ط اول زون A المدرسة الأولى</t>
  </si>
  <si>
    <t>تم صيانه تور شباك ط الثاني زون B المدرسة الأولى</t>
  </si>
  <si>
    <t>تم تبديل لبه باب في مخزن الزراعه جانب البنايه الرابعه</t>
  </si>
  <si>
    <t>تمً تبديل يده شباكً في البنايه الثالثه الطابق الارضي الزون B</t>
  </si>
  <si>
    <t>تم ارجاع قطعه مرمر هزاره غرفه الإرشاد ط اول زون A المدرسة الرابعه</t>
  </si>
  <si>
    <t>تم معالجة تشققات في مرمر الباب الرئيسيه للمدرسة الثالثه بالماده اللاصقة</t>
  </si>
  <si>
    <t>تم صيانه تور شباك عدد (3) ط اول زون B المدرسة الرابعه</t>
  </si>
  <si>
    <t>ZONE A - الطابق الثاني, السطح</t>
  </si>
  <si>
    <t>تم ثقب حائط تابع الى غرفه الكهرباء قرب الالواح في البنايه الثانيه سطح الطابق الثاني</t>
  </si>
  <si>
    <t>تم صيانه مصد باب خشب صحيات ط ارضي زون B المدرسة الأولى</t>
  </si>
  <si>
    <t>تم ارجاع برده قاعه المكتبه ط اول زون A المدرسة الأولى</t>
  </si>
  <si>
    <t>تم ارجاع شريط ميز خشب صف مختبر العلوم ط اول زون A المدرسة الأولى</t>
  </si>
  <si>
    <t>تم ارجاع قطعه مرمر ممر المدرسة الأولى من جهة المدرسة الثانيه</t>
  </si>
  <si>
    <t>تم صيانه باب pvc ط اول المدرسة الثانيه</t>
  </si>
  <si>
    <t>تم صيانه برده صف السادس (ه‍) ط اول المدرسة الثانيه</t>
  </si>
  <si>
    <t>تم صيانه محجر درج ط ارضي المدرسة الثانيه</t>
  </si>
  <si>
    <t>تم صيانه تور شباك عدد ١ البنايه الرابعه الطابق الاول الزون B</t>
  </si>
  <si>
    <t>تم صيانه بيم باب خشب البنايه الرابعه الطابق الثاني الزون B</t>
  </si>
  <si>
    <t>تم صيانه كرسي متحرك غرفه السكرتاريه البنايه الرابعه الطابق الأرضي زون A</t>
  </si>
  <si>
    <t>تم تبديل يده بإب المنيوم في صحيات البنايه الرابعه الطابق الاول الزون A</t>
  </si>
  <si>
    <t>تم تثبيت مصد باب في صحيات البنايه الرابعه الطابق الاول الزون A</t>
  </si>
  <si>
    <t>تم صيانه مسطبه جلوس في البنايه الرابعه الطابق الارضي الزون A</t>
  </si>
  <si>
    <t>اعاده سقف ثانوي متحرك في البنايه الرابعه الطابق الارضي الزون B</t>
  </si>
  <si>
    <t>تم تركيب قطعه كابون الباب الرئيسيه قرب كرفان الأمنية جهه الكراج</t>
  </si>
  <si>
    <t>تم تبديل قفل يده شباك غرفه مدير المدرسة ط ارضي زون A المدرسة الأولى</t>
  </si>
  <si>
    <t>تم تثبيت برده في البنايه الرابعه الطابق الثاني الزون A</t>
  </si>
  <si>
    <t>تم صيانه ميز طعام في البنايه الرابعه الطابق الثاني الزون A</t>
  </si>
  <si>
    <t>تم تثبيت مصد باب في البنايه الرابعه الطابق الثاني الزون A الحانوت</t>
  </si>
  <si>
    <t>تم صيانه كشوانيه في البنايه الرابعه الطابق الثاني الزون A</t>
  </si>
  <si>
    <t>صيانة وإعادة تركيب السقف الثانوي في البناية الثالثة – الطابق الثاني (الزون A والزون B)</t>
  </si>
  <si>
    <t>تم تبديل يده شباك مع قفل يده غرفه مدير المدرسة ط ارضي زون A المدرسة الأولى</t>
  </si>
  <si>
    <t>تم تبديل قفل باب الحديد الساحه المستديرة ط ارضي زون A المدرسة الأولى</t>
  </si>
  <si>
    <t>تم تبديل كيلون باب الحديد ط ارضي زون A المدرسة الأولى</t>
  </si>
  <si>
    <t>تم صيانه مصطبه جلوس ط ارضي زون A المدرسة الثالثه</t>
  </si>
  <si>
    <t>تم ارجاع قطعه مرمر المدرسة الأولى قرب المدرسة الثانيه</t>
  </si>
  <si>
    <t>صيانه برده شباك الصف الثاني أ البنايه الثالثه الطابق الأرضي b</t>
  </si>
  <si>
    <t>تثبيت إزاره خشب البنايه الثالثه الطابق الاول b  الصف الاول المتوسط ج</t>
  </si>
  <si>
    <t>صيانه تور شباك غرفه المكتبه البنايه الثالثه الطابق الاول A</t>
  </si>
  <si>
    <t>صيانه برده شباك البنايه الرابعه bالرابع الإعدادي د</t>
  </si>
  <si>
    <t>صيانة مصد باب صحيات البنايه الرابعه A الطابق الثاني</t>
  </si>
  <si>
    <t>تم ارجاع قطع سقف ثانوي عدد (٦) ط الثاني  زون b البنايه الرابعه</t>
  </si>
  <si>
    <t>صيانة يده باب حديد الفاصل بين الزونين ط الثاني زون A-b البنايه الرابعه</t>
  </si>
  <si>
    <t>تم تثبيت مرد ماء في صحيات البنايه الثالثه الطابق الاول الزون B</t>
  </si>
  <si>
    <t>تم تثبيت حامله اكواب الماء في البنايه الثالثه الطابق الارضي الزون B</t>
  </si>
  <si>
    <t>كل الطوابق</t>
  </si>
  <si>
    <t>-</t>
  </si>
  <si>
    <t>ربط وتغذية انارة أعمدة الحديقة الخارجية في الكراج  
وتم التغذية من الألواح الطاقة الشمسية</t>
  </si>
  <si>
    <t xml:space="preserve">​  استبدال سبوت لايت في الصحيات
​ </t>
  </si>
  <si>
    <t xml:space="preserve"> تحويل كهرباء جهاز السبلت الى الطاقة الشمسية  لكرفان الحراس في الشركة الامنية</t>
  </si>
  <si>
    <t>تم اعادة ربط أغراض قطع تبريد VRF بعد الغسل</t>
  </si>
  <si>
    <t xml:space="preserve">تم فتح ماطور الFan الخاص بVRF 
</t>
  </si>
  <si>
    <t>تم متابعة قطع VRF لغرض الغسل</t>
  </si>
  <si>
    <t xml:space="preserve">تم ربط قطع داخليه VRF عدد 3
</t>
  </si>
  <si>
    <t>تم متابعة VRF البناية وتحديد عطل في فان الداخليه</t>
  </si>
  <si>
    <t xml:space="preserve">تم استبدال fan القطعة الداخلية  VRF </t>
  </si>
  <si>
    <t>بعد فحص براد الماء تبين ان الكمبريسر تالف</t>
  </si>
  <si>
    <t xml:space="preserve">تم متابعة VRF 
</t>
  </si>
  <si>
    <t>تم متابعة VRF</t>
  </si>
  <si>
    <t xml:space="preserve">تم متابعة VRF </t>
  </si>
  <si>
    <t>تم ترسيت line vrf بسبب ضهور كود خطأ</t>
  </si>
  <si>
    <t>إنجاز أعمال تغذية إنارة الحديقة الجديدة وربطها على منظومة الطاقة الشمسية</t>
  </si>
  <si>
    <t>الأرضي + الاول</t>
  </si>
  <si>
    <t>تثبيت مجموعة منهولات وربطها مع بوري حجم ٤ملم</t>
  </si>
  <si>
    <t>استبدال مجموعة انارة منشورية وسبورت لايت داخل الصحيات</t>
  </si>
  <si>
    <t xml:space="preserve">مساعدة وحدة المولدات في تنظيف الموقع الخاص </t>
  </si>
  <si>
    <t xml:space="preserve">صيانه انارة منشورية 60*60 عدد ٤ ايضاً تم تثبيت سبورت لايت عدد ٣ </t>
  </si>
  <si>
    <t xml:space="preserve">فحص وصيانة جهاز التحويل الالكتروني ATS  </t>
  </si>
  <si>
    <t xml:space="preserve">استبدال سلك مكنسة كهربائية بواحد اطول بطول تقريبي 7 متر </t>
  </si>
  <si>
    <t xml:space="preserve">تغير تغذية الشاشة الذكية في غرفة ادارة المجمع لتصبح التغذية بشكل مباشر من </t>
  </si>
  <si>
    <t>سنفرة + صبغ في غرفة الارشاد</t>
  </si>
  <si>
    <t xml:space="preserve">تم صيانه تور شباك عدد (١) </t>
  </si>
  <si>
    <t>تم تبديل يدة شباك قلاب</t>
  </si>
  <si>
    <t xml:space="preserve">تم صيانه رحلات عدد (5) </t>
  </si>
  <si>
    <t xml:space="preserve">تزييت الباب الفاصل بين zone A-B </t>
  </si>
  <si>
    <t>أعاده قطع السقف الثانوي للصحيات</t>
  </si>
  <si>
    <t xml:space="preserve">صيانة وارجاع بيم نرمادة باب الصحيات </t>
  </si>
  <si>
    <t xml:space="preserve">تبديل يدة باب ألمنيوم صحيات </t>
  </si>
  <si>
    <t xml:space="preserve">تبديل قفل جرار
</t>
  </si>
  <si>
    <t>تم معالجة فتحات نقاط الكهرباء(ابلك السويج)</t>
  </si>
  <si>
    <t xml:space="preserve">أعمال الحفر جانب الرصيف والحديقة الخارجية لغرض تثبيت المناهيل </t>
  </si>
  <si>
    <t>أعمال التحشيه بماده fosrock ومادة الفوم للبايبات</t>
  </si>
  <si>
    <t>إكمال أعمال تثبيت المناهيل والبايبات للممر الخارجي والحديقة</t>
  </si>
  <si>
    <t>تم معالجه اطراف نقاط الكهرباء بماده البورك عدد ١٩ نقطة</t>
  </si>
  <si>
    <t>تبديل يدة باب عدد 3</t>
  </si>
  <si>
    <t>تبديل يدة باب كاملة القاعة</t>
  </si>
  <si>
    <t>أعمال مادة القير لمنور غرفه السيطره ( الساحبات)</t>
  </si>
  <si>
    <t xml:space="preserve">تثبت البردة  لكونها تأثر على الشاشة  في الصف والطلب الثاني عدم وجود تبريد بالصف </t>
  </si>
  <si>
    <t xml:space="preserve">تثبت شعار بغرفة معاون شؤون الطلبة مع عدم وجود تبريد بغرفة المدرسين
</t>
  </si>
  <si>
    <t>تمً تبديل يدة باب المنيوم - الصحيات</t>
  </si>
  <si>
    <t>تم تثبيت شعار في البناية الرابعة - غرفة المعاون</t>
  </si>
  <si>
    <t>إصلاح خشبه عارضة الإعلانات</t>
  </si>
  <si>
    <t>تثبيت قطعة هزارة</t>
  </si>
  <si>
    <t>اعمال معالجة الشبابيك في معجون الجام في مختلف الطوابق</t>
  </si>
  <si>
    <t>تم معالجة نقاط الكهرباء بمادة البورك_عدد ٣٨ نقطه</t>
  </si>
  <si>
    <t>أعمال غلق الفتحات المحيطة بدكت التبريد في منور الصحيات</t>
  </si>
  <si>
    <t>تم تبديل قفل باب القاعة الرياضية</t>
  </si>
  <si>
    <t>تم صيانة يده باب pvc  غرفه الضيافة</t>
  </si>
  <si>
    <t xml:space="preserve">أعمال غلق الفتحات  المحيطة بدكت التبريد في منور الصحيات </t>
  </si>
  <si>
    <t xml:space="preserve">تم إرجاع السقف الثانوي </t>
  </si>
  <si>
    <t>تركيب صيانة تاير حاوية نفايات</t>
  </si>
  <si>
    <t>أعادة تركيب قطعة المرمر المتضررة في درج البناية</t>
  </si>
  <si>
    <t>أعاده تركيب السقف الثانوي للبناية  عدد 100 قطعة</t>
  </si>
  <si>
    <t>إعادة تثبيت وتركيب شريط الميز الخشبي المتضرر الخاص (بمرسم)</t>
  </si>
  <si>
    <t>1_تبديل مقابض (يدات) شبابيك حديد تالفة عدد 
2_تركيب قفل شباك قلاب جديد عدد</t>
  </si>
  <si>
    <t>صيانة وإصلاح خشبة جدارية</t>
  </si>
  <si>
    <t xml:space="preserve">إعادة تركيب الأجزاء المنفصلة (مساند الذراعين والقواعد) للكراسي (الهيدروليك)
</t>
  </si>
  <si>
    <t>إجراء أعمال الصيانة الدورية لجرجوبة (إطار) الباب الخشبي</t>
  </si>
  <si>
    <t xml:space="preserve">صيانة رحلات عدد ٦ </t>
  </si>
  <si>
    <t>اعادة سقوف ثانوية عدد ٦</t>
  </si>
  <si>
    <t>تم تبديل يده شباك في البنايه الأولى</t>
  </si>
  <si>
    <t>تم صيانه تور شباك</t>
  </si>
  <si>
    <t xml:space="preserve">تم صيانه رحلات عدد ٩ </t>
  </si>
  <si>
    <t xml:space="preserve">تم صيانه كراسي عدد </t>
  </si>
  <si>
    <t xml:space="preserve">تبديل يده باب الفاصل بين الجناح الادراي وzone b </t>
  </si>
  <si>
    <t xml:space="preserve">تم تبديل يدة شباك عدد(1) في الحانوت </t>
  </si>
  <si>
    <t>اعاده قطع السقف الثانوي عدد 10</t>
  </si>
  <si>
    <t>صيانة رحلات البنايه الثالثه الطابق الثاني zone b عدد 15</t>
  </si>
  <si>
    <t xml:space="preserve">إرجاع قطع سقف ثانوي عدد 9 صيانة رحله عدد 1 </t>
  </si>
  <si>
    <t>تبديل تور شبابك</t>
  </si>
  <si>
    <t xml:space="preserve">تم صيانه كيلون باب الخشب مع تزيت </t>
  </si>
  <si>
    <t>تم ارجاع قطع سقف ثانوي عدد 4</t>
  </si>
  <si>
    <t>تم صيانه رحلات عدد (٢٨)</t>
  </si>
  <si>
    <t xml:space="preserve">تم ارجاع قطع سقف ثانوي عدد (٣) </t>
  </si>
  <si>
    <t xml:space="preserve">تم ارجاع مصد باب </t>
  </si>
  <si>
    <t xml:space="preserve">تم ارجاع شريط ميز خشب </t>
  </si>
  <si>
    <t xml:space="preserve">تبديل يده باب عدد ٢ + تبديل يده باب عدد ١ </t>
  </si>
  <si>
    <t>أعمال ماده القير لمنور البناية</t>
  </si>
  <si>
    <t>إضافه مادة الماسك السطوح البنايه الثالثه والرابعه الانابيب التصريف ( المرازيب)</t>
  </si>
  <si>
    <t xml:space="preserve">تمً تبديل يده باب المنيوم </t>
  </si>
  <si>
    <t xml:space="preserve">تثبيت قطع مرد الماء عدد 3 صحيات </t>
  </si>
  <si>
    <t>تم صيانه يده باب pvc  غرفه الضيافه</t>
  </si>
  <si>
    <t>تبديل يده باب الفاصل بين الجناح الادراي و zone b</t>
  </si>
  <si>
    <t xml:space="preserve">تم صيانه رحلات عدد (٢٨) </t>
  </si>
  <si>
    <t>أعمال إرجاع سقف الثانوي مع الكاميرا</t>
  </si>
  <si>
    <t xml:space="preserve"> أعمال تقشير وتصليح المعجون التالف للجام في البناية الرابعة</t>
  </si>
  <si>
    <t>تبديل قطعة سقف ثانوي تالفة</t>
  </si>
  <si>
    <t xml:space="preserve"> تقشير المعجون التالف وإعادة عمله </t>
  </si>
  <si>
    <t xml:space="preserve"> تنظيف وإزالة المعجون القديم وتطبيق معجون جام جديد للنوافذ </t>
  </si>
  <si>
    <t xml:space="preserve"> معالجة شبابيك بمادة المعجون </t>
  </si>
  <si>
    <t xml:space="preserve">أعمال تقشير وتصليح المعجون التالف للجام </t>
  </si>
  <si>
    <t xml:space="preserve"> صيانة باب خشب </t>
  </si>
  <si>
    <t xml:space="preserve">تبديل لبه باب قفل غرفه الصوتيات </t>
  </si>
  <si>
    <t>صيانه بردات عدد 2</t>
  </si>
  <si>
    <t xml:space="preserve"> صيانة تور شباك</t>
  </si>
  <si>
    <t>تبديل لبه باب قفل غرفة</t>
  </si>
  <si>
    <t xml:space="preserve"> إرجاع قطع سقف ثانوي في المدرسة الثالثة (عدد 5) </t>
  </si>
  <si>
    <t>جولة ميدانيه للكشف عن تغير غرفة المختبر بصفوف اخرى في نفس الطابق</t>
  </si>
  <si>
    <t xml:space="preserve"> إعادة سقف ثانوي متحرك في البناية الأولى، الطابق الأول والثاني</t>
  </si>
  <si>
    <t>وضع شريط لاصق مانع للصبغ في غرف الإدارة لإكمال مراحل الصبغ</t>
  </si>
  <si>
    <t xml:space="preserve">تم صيانه رحلات عدد ٣ </t>
  </si>
  <si>
    <t xml:space="preserve"> تصليح أماكن الضرر المتواجدة في الحائط</t>
  </si>
  <si>
    <t xml:space="preserve"> تثبيت خشبة جدارة </t>
  </si>
  <si>
    <t>تثبيت مصد باب</t>
  </si>
  <si>
    <t xml:space="preserve">تثبيت برده شباك الصف الخامس </t>
  </si>
  <si>
    <t xml:space="preserve">تم فحص صحيات البنايه الأولى بالكامل 
</t>
  </si>
  <si>
    <t>اكمال صبغ البناية بالكامل وتسليمها</t>
  </si>
  <si>
    <t xml:space="preserve"> لصق تيب + معالجة + سنفرة + صبغ</t>
  </si>
  <si>
    <t xml:space="preserve"> تثبيت بردات (عدد 3)  (السكرتارية 2، المرقاب الإلكتروني 1)</t>
  </si>
  <si>
    <t xml:space="preserve"> أعمال لصق تيب + معالجة بالستن والبورك + سنفرة + تجهيز للصبغ</t>
  </si>
  <si>
    <t>تصليح جدران ومعالجة تشققات، صبغ الجدار الداخلي والدائري، تهيئة جدران الدرج</t>
  </si>
  <si>
    <t>تركيب شريط لاصق (تيب) وقشط الجدران وتصليحها وتنعيمها بالستن</t>
  </si>
  <si>
    <t xml:space="preserve"> إبعاد الأثاث عن الجدران المستحقة للصبغ</t>
  </si>
  <si>
    <t>أعمال صبغ مختبر الأحياء</t>
  </si>
  <si>
    <t xml:space="preserve"> أعمال التصليح وتركيب تيب لاصق للجدران وتهيئة لغرض الصبغ</t>
  </si>
  <si>
    <t xml:space="preserve"> سنفرة وصبغ جدران</t>
  </si>
  <si>
    <t xml:space="preserve"> تنظيف وسنفرة "دنك" و"داير" ما تحت الدرج وصبغها بالكامل </t>
  </si>
  <si>
    <t xml:space="preserve"> لصق تيب ومعالجة وسنفرة</t>
  </si>
  <si>
    <t xml:space="preserve"> معالجة وسنفرة وصبغ صفوف عدد 2</t>
  </si>
  <si>
    <t xml:space="preserve"> تجهيز قاعة وصبغها بالكامل تجهيز قاعة ثانية </t>
  </si>
  <si>
    <t>• رفع التيب في البناية الثانية، ممر الطابق الأول و3 قاعات</t>
  </si>
  <si>
    <t xml:space="preserve"> إكمال تصليح ممر وسنفرة الجدار وتنظيف المكان مع الصبغ</t>
  </si>
  <si>
    <t>الأرضي</t>
  </si>
  <si>
    <t>الأول</t>
  </si>
  <si>
    <t>الثاني</t>
  </si>
  <si>
    <t>تزيت بيبان الخشب عدد ١٨ + تم صيانه وادامه بيبان الخشب عدد ١٨</t>
  </si>
  <si>
    <t>تركيب الشريط اللاصق (Masking Tape) على حواف الأبواب</t>
  </si>
  <si>
    <t xml:space="preserve">صيانه برده شباك الصف </t>
  </si>
  <si>
    <t>المباشرة بطلاء الوجه الأول والوجه النهائي باستخدام أصباغ بلاستيكية عالية الجودة باللون الأبيض</t>
  </si>
  <si>
    <t xml:space="preserve">صيانه برده شباك </t>
  </si>
  <si>
    <t xml:space="preserve">تمً تبديل لبه باب خشب </t>
  </si>
  <si>
    <t>تم تزيت ابواب خشب</t>
  </si>
  <si>
    <t>تثبيت سبورة في غرفة الإدارة الجديدة البناية الثانية - الطابق الأرضي</t>
  </si>
  <si>
    <t>تركيب الأجزاء السفلية (قضيب الوزن) لستارة النافذة الجانبية</t>
  </si>
  <si>
    <t>تمً تبديل لبه باب خشب</t>
  </si>
  <si>
    <t xml:space="preserve">صيانه تور شباك عدد ٣ , تبديل تور شباك عدد ٢ </t>
  </si>
  <si>
    <t xml:space="preserve">
تم صيانه براد ماء
</t>
  </si>
  <si>
    <t xml:space="preserve">تم متابعة مضخات الاطفاء الرئيسية + مضخات الماء الرئيسية
</t>
  </si>
  <si>
    <t xml:space="preserve"> تم تشغيل مضخة دفع مياه Ro للبنايات 
</t>
  </si>
  <si>
    <t xml:space="preserve">تم متابعة منظومة التبريد  VRF 
</t>
  </si>
  <si>
    <t>تنظيف فلاتر التبريد المركزي</t>
  </si>
  <si>
    <t xml:space="preserve"> متابعة مضخات المياه الرئيسية وضغط الخزان</t>
  </si>
  <si>
    <t xml:space="preserve">تم فحص نسبة الكلور والاملاح في جميع البنايات
</t>
  </si>
  <si>
    <t xml:space="preserve">تم تثبيت سيفونات تصريف المياه  </t>
  </si>
  <si>
    <t xml:space="preserve">• إضافة مواد (كلور - انتي كلور - انتي سكيل) لمنظومة تحلية مياه </t>
  </si>
  <si>
    <t>تم تشغيل مضخة دفع مياه الRo</t>
  </si>
  <si>
    <t>كل البنايات</t>
  </si>
  <si>
    <t xml:space="preserve">بعد فحص مضخة مياه الRo تبين ان خزان الضغط لا يحكم الضغط بسبب عدم وجود ضغط </t>
  </si>
  <si>
    <t>تم جرد المجاميع الصحية</t>
  </si>
  <si>
    <t>غسل وتنظيف السبالت الاعتيادية</t>
  </si>
  <si>
    <t>تفريغ برادات ماء</t>
  </si>
  <si>
    <t>تم غسل القطعه الخارجية  dx+vrf</t>
  </si>
  <si>
    <t xml:space="preserve">تم تنضيف فلاتر 
</t>
  </si>
  <si>
    <t>غسل القطعة الخارجية للسبالت الاعتيادية والvrf  والdx</t>
  </si>
  <si>
    <t xml:space="preserve"> مساعدة وحدة الكهرباء في تنظيف بوردات الكهرباء </t>
  </si>
  <si>
    <t xml:space="preserve"> صيانة وجرد صحيات</t>
  </si>
  <si>
    <t xml:space="preserve">تم تصليح presher swich
لمضخه الديزل وتركيبه من جديد 
في مضخه الاطفاء الثانوية </t>
  </si>
  <si>
    <t xml:space="preserve"> صيانة فلتر ماء في حديقة الكراج</t>
  </si>
  <si>
    <t>تم استبدال تحويلة كاك الخاص في الحديقة</t>
  </si>
  <si>
    <t>تم متابعه وجرد صحيات البنايه الاولى بالكامل</t>
  </si>
  <si>
    <t xml:space="preserve">تم فتح انسداد في الصحيات الخارجية </t>
  </si>
  <si>
    <t xml:space="preserve"> متابعة تبريد غرفة الإدارة </t>
  </si>
  <si>
    <t xml:space="preserve">تم تنظيف وغسل فلاتر الvrf
</t>
  </si>
  <si>
    <t xml:space="preserve">تم تصيانة براد ماء  
</t>
  </si>
  <si>
    <t xml:space="preserve">تم تصيانة براد ماء
</t>
  </si>
  <si>
    <t xml:space="preserve">فحص منظومة  RO
</t>
  </si>
  <si>
    <t>تم فتح الثرموستات في لغرض نقل اثاث المختبر واعادتها للعمل</t>
  </si>
  <si>
    <t xml:space="preserve">تم تبديل حساس ضغط منظومة اطفاء سويج    
</t>
  </si>
  <si>
    <t xml:space="preserve">تم إطفاء تبريد الصفوف في  ZoneB
</t>
  </si>
  <si>
    <t>تم ربط كهربائيات سبلت بمساعدة وحدة الكهرباء</t>
  </si>
  <si>
    <t xml:space="preserve">تم نقل قطعة داخلية لسبلت اعتيادي     </t>
  </si>
  <si>
    <t xml:space="preserve">تم متابعة VRF    </t>
  </si>
  <si>
    <t xml:space="preserve">تم متابعه السبلت الاعتيادي  
</t>
  </si>
  <si>
    <t xml:space="preserve">فتح قطعة داخلية لمنظومة vrf
</t>
  </si>
  <si>
    <t xml:space="preserve">تم فتح fan 
</t>
  </si>
  <si>
    <t xml:space="preserve">تم فتح الـfan العاطل
</t>
  </si>
  <si>
    <t xml:space="preserve">تم فحص ال vrf
</t>
  </si>
  <si>
    <t>تم غسل وتنظيف فلاتر vrf</t>
  </si>
  <si>
    <t>تم مساعدة وحدة المدني</t>
  </si>
  <si>
    <t>غسل القطع الداخلية لمنظومة vrf</t>
  </si>
  <si>
    <t xml:space="preserve">تم نقل قطعه داخليه و قطعه خارجيه لسبلت وزن 2طن  
</t>
  </si>
  <si>
    <t xml:space="preserve">تم تنصيب السبلت المنقول من البنايه الثانيه </t>
  </si>
  <si>
    <t>تم تشغيل مضخة مياه الرئيسية ولايوجد ماء في خط الاساله</t>
  </si>
  <si>
    <t>بسبب عدم توفر ماء في خط الاساله وعدم كفاية الماء في الخزان الرئيسي والخزان الثانوي في البناية الثالثة لم يتم انتاج ماء الRo</t>
  </si>
  <si>
    <t xml:space="preserve">تم اضافة  22,000 لتر ماء الى الخزان الرئيسي للبنايات بواسطة تنكر من التربيه
</t>
  </si>
  <si>
    <t>تم اضافة تنگر ماء حجم 12,000 لتر الى الخزان الرئيسي</t>
  </si>
  <si>
    <t xml:space="preserve">تم متابعة المضخات الماء الرئيسية لا يوجد ماء اساله
</t>
  </si>
  <si>
    <t>صيانة وفتح باب حديد مقفل - مخزن المولدات</t>
  </si>
  <si>
    <t xml:space="preserve">تم سحب الهواء داخل البيبات السبلت الاعتيادي في جهاز الفاكيوم  
</t>
  </si>
  <si>
    <t xml:space="preserve">تم استبدال check valve لمضخة المياه الرئيسية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</si>
</sst>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\ \-\ hh:mm\ AM/PM"/>
  </numFmts>
  <fonts count="15">
    <font>
      <sz val="10"/>
      <color rgb="FF000000"/>
      <name val="Arial"/>
      <scheme val="minor"/>
    </font>
    <font>
      <b/>
      <sz val="14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theme="1"/>
      <name val="Quote-cjk-patch"/>
    </font>
    <font>
      <b/>
      <sz val="12"/>
      <color theme="1"/>
      <name val="Arial"/>
      <family val="2"/>
    </font>
    <font>
      <b/>
      <sz val="13"/>
      <color rgb="FF1B1C1D"/>
      <name val="Google Sans Text"/>
    </font>
    <font>
      <b/>
      <sz val="13"/>
      <color rgb="FF444746"/>
      <name val="Google Sans Text"/>
    </font>
    <font>
      <b/>
      <sz val="13"/>
      <color rgb="FF444746"/>
      <name val="&quot;Google Sans Text&quot;"/>
    </font>
    <font>
      <b/>
      <sz val="13"/>
      <color theme="1"/>
      <name val="Arial"/>
      <family val="2"/>
      <scheme val="minor"/>
    </font>
    <font>
      <b/>
      <sz val="13"/>
      <color rgb="FF1B1C1D"/>
      <name val="&quot;Google Sans Text&quot;"/>
    </font>
    <font>
      <b/>
      <u/>
      <sz val="13"/>
      <color rgb="FF444746"/>
      <name val="&quot;Google Sans Text&quot;"/>
    </font>
    <font>
      <b/>
      <u/>
      <sz val="13"/>
      <color rgb="FF444746"/>
      <name val="Google Sans Text"/>
    </font>
    <font>
      <b/>
      <u/>
      <sz val="13"/>
      <color rgb="FF444746"/>
      <name val="Google Sans Text"/>
    </font>
    <font>
      <b/>
      <sz val="14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0000"/>
      </patternFill>
    </fill>
  </fills>
  <borders count="6">
    <border>
      <left/>
      <right/>
      <top/>
      <bottom/>
      <diagonal/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999999"/>
      </left>
      <right style="thick">
        <color rgb="FF999999"/>
      </right>
      <top/>
      <bottom style="thick">
        <color rgb="FF999999"/>
      </bottom>
      <diagonal/>
    </border>
    <border>
      <left style="thick">
        <color theme="0" tint="-0.249977111117893"/>
      </left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 style="thick">
        <color rgb="FF999999"/>
      </left>
      <right style="thick">
        <color rgb="FF999999"/>
      </right>
      <top style="thick">
        <color rgb="FF999999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textRotation="180" wrapText="1"/>
    </xf>
    <xf numFmtId="0" fontId="14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180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180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</cellXfs>
  <cellStyles count="1">
    <cellStyle name="عادي" xfId="0" builtinId="0"/>
  </cellStyles>
  <dxfs count="62">
    <dxf>
      <font>
        <b/>
        <i val="0"/>
        <color theme="7"/>
      </font>
    </dxf>
    <dxf>
      <font>
        <b/>
        <i val="0"/>
        <color theme="0"/>
      </font>
      <fill>
        <patternFill>
          <bgColor theme="7"/>
        </patternFill>
      </fill>
    </dxf>
    <dxf>
      <font>
        <b/>
        <color rgb="FF0000FF"/>
      </font>
      <fill>
        <patternFill patternType="solid">
          <fgColor rgb="FFB7E1CD"/>
          <bgColor rgb="FFB7E1CD"/>
        </patternFill>
      </fill>
    </dxf>
    <dxf>
      <font>
        <b/>
        <u/>
        <color rgb="FFFF0000"/>
      </font>
      <fill>
        <patternFill patternType="none"/>
      </fill>
    </dxf>
    <dxf>
      <font>
        <b/>
        <color rgb="FF000000"/>
      </font>
      <fill>
        <patternFill patternType="solid">
          <fgColor rgb="FFF4CCCC"/>
          <bgColor rgb="FFF4CCCC"/>
        </patternFill>
      </fill>
    </dxf>
    <dxf>
      <font>
        <b/>
        <i val="0"/>
        <color theme="7"/>
      </font>
    </dxf>
    <dxf>
      <font>
        <b/>
        <i val="0"/>
        <color theme="0"/>
      </font>
      <fill>
        <patternFill>
          <bgColor theme="7"/>
        </patternFill>
      </fill>
    </dxf>
    <dxf>
      <font>
        <b/>
        <color rgb="FF0000FF"/>
      </font>
      <fill>
        <patternFill patternType="solid">
          <fgColor rgb="FFB7E1CD"/>
          <bgColor rgb="FFB7E1CD"/>
        </patternFill>
      </fill>
    </dxf>
    <dxf>
      <font>
        <b/>
        <u/>
        <color rgb="FFFF0000"/>
      </font>
      <fill>
        <patternFill patternType="none"/>
      </fill>
    </dxf>
    <dxf>
      <font>
        <b/>
        <color rgb="FF000000"/>
      </font>
      <fill>
        <patternFill patternType="solid">
          <fgColor rgb="FFF4CCCC"/>
          <bgColor rgb="FFF4CCCC"/>
        </patternFill>
      </fill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numFmt numFmtId="164" formatCode="yyyy/mm/dd\ \-\ hh:mm\ AM/PM"/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18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numFmt numFmtId="0" formatCode="General"/>
      <alignment horizontal="center" vertical="center" textRotation="18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numFmt numFmtId="164" formatCode="yyyy/mm/dd\ \-\ hh:mm\ AM/PM"/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numFmt numFmtId="164" formatCode="yyyy/mm/dd\ \-\ hh:mm\ AM/PM"/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18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alignment horizontal="center" vertical="center" textRotation="18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000000"/>
        <name val="Arial"/>
        <family val="2"/>
        <scheme val="minor"/>
      </font>
      <numFmt numFmtId="164" formatCode="yyyy/mm/dd\ \-\ hh:mm\ AM/PM"/>
      <alignment horizontal="center" vertical="center" textRotation="0" wrapText="1" indent="0" justifyLastLine="0" shrinkToFit="0" readingOrder="0"/>
      <border diagonalUp="0" diagonalDown="0">
        <left style="thick">
          <color rgb="FF999999"/>
        </left>
        <right style="thick">
          <color rgb="FF999999"/>
        </right>
        <top style="thick">
          <color rgb="FF999999"/>
        </top>
        <bottom style="thick">
          <color rgb="FF999999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  <vertical style="thin">
          <color rgb="FFD4D4D4"/>
        </vertical>
        <horizontal style="thin">
          <color rgb="FFD4D4D4"/>
        </horizontal>
      </border>
    </dxf>
  </dxfs>
  <tableStyles count="7">
    <tableStyle name="البيانات-style" pivot="0" count="4" xr9:uid="{00000000-0011-0000-FFFF-FFFF00000000}">
      <tableStyleElement type="wholeTable" size="0" dxfId="61"/>
      <tableStyleElement type="headerRow" dxfId="60"/>
      <tableStyleElement type="firstRowStripe" dxfId="59"/>
      <tableStyleElement type="secondRowStripe" dxfId="58"/>
    </tableStyle>
    <tableStyle name="الكهرباء-style" pivot="0" count="4" xr9:uid="{00000000-0011-0000-FFFF-FFFF01000000}">
      <tableStyleElement type="wholeTable" size="0" dxfId="57"/>
      <tableStyleElement type="headerRow" dxfId="56"/>
      <tableStyleElement type="firstRowStripe" dxfId="55"/>
      <tableStyleElement type="secondRowStripe" dxfId="54"/>
    </tableStyle>
    <tableStyle name="المدني-style" pivot="0" count="4" xr9:uid="{00000000-0011-0000-FFFF-FFFF02000000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الميكانيك-style" pivot="0" count="4" xr9:uid="{00000000-0011-0000-FFFF-FFFF03000000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التبريد-style" pivot="0" count="4" xr9:uid="{00000000-0011-0000-FFFF-FFFF04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الطلبات-style" pivot="0" count="4" xr9:uid="{00000000-0011-0000-FFFF-FFFF05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الإعدادات-style" pivot="0" count="4" xr9:uid="{00000000-0011-0000-FFFF-FFFF06000000}">
      <tableStyleElement type="wholeTable" size="0" dxfId="37"/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299358</xdr:colOff>
      <xdr:row>0</xdr:row>
      <xdr:rowOff>118110</xdr:rowOff>
    </xdr:from>
    <xdr:to>
      <xdr:col>10</xdr:col>
      <xdr:colOff>408214</xdr:colOff>
      <xdr:row>0</xdr:row>
      <xdr:rowOff>1139190</xdr:rowOff>
    </xdr:to>
    <xdr:sp macro="" textlink="">
      <xdr:nvSpPr>
        <xdr:cNvPr id="2" name="مستطيل: زوايا مستديرة 1">
          <a:extLst>
            <a:ext uri="{FF2B5EF4-FFF2-40B4-BE49-F238E27FC236}">
              <a16:creationId xmlns:a16="http://schemas.microsoft.com/office/drawing/2014/main" id="{07432428-DF35-406A-A235-1508FF465D98}"/>
            </a:ext>
          </a:extLst>
        </xdr:cNvPr>
        <xdr:cNvSpPr/>
      </xdr:nvSpPr>
      <xdr:spPr>
        <a:xfrm flipH="1">
          <a:off x="13813985036" y="118110"/>
          <a:ext cx="12477749" cy="102108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IQ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اعمال شعبة الصيانة المرفوعة</a:t>
          </a:r>
          <a:r>
            <a:rPr lang="ar-IQ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من قسم التربية والمنجزة من قبل الشعبة مباشرة , الربع الثاني سنة 2026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1366917</xdr:colOff>
      <xdr:row>0</xdr:row>
      <xdr:rowOff>57150</xdr:rowOff>
    </xdr:from>
    <xdr:to>
      <xdr:col>3</xdr:col>
      <xdr:colOff>252685</xdr:colOff>
      <xdr:row>0</xdr:row>
      <xdr:rowOff>1253490</xdr:rowOff>
    </xdr:to>
    <xdr:pic>
      <xdr:nvPicPr>
        <xdr:cNvPr id="3" name="صورة 3">
          <a:extLst>
            <a:ext uri="{FF2B5EF4-FFF2-40B4-BE49-F238E27FC236}">
              <a16:creationId xmlns:a16="http://schemas.microsoft.com/office/drawing/2014/main" id="{20BAE7BA-8656-434E-BBCA-FD9418B56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042" y="57150"/>
          <a:ext cx="1324168" cy="1196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528714</xdr:colOff>
      <xdr:row>0</xdr:row>
      <xdr:rowOff>42292</xdr:rowOff>
    </xdr:from>
    <xdr:to>
      <xdr:col>11</xdr:col>
      <xdr:colOff>994410</xdr:colOff>
      <xdr:row>0</xdr:row>
      <xdr:rowOff>1223010</xdr:rowOff>
    </xdr:to>
    <xdr:pic>
      <xdr:nvPicPr>
        <xdr:cNvPr id="4" name="صورة 5">
          <a:extLst>
            <a:ext uri="{FF2B5EF4-FFF2-40B4-BE49-F238E27FC236}">
              <a16:creationId xmlns:a16="http://schemas.microsoft.com/office/drawing/2014/main" id="{DAA39A87-DE4F-4028-B7D2-4C5E76CD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54439" y="42292"/>
          <a:ext cx="1132446" cy="1180718"/>
        </a:xfrm>
        <a:prstGeom prst="rect">
          <a:avLst/>
        </a:prstGeom>
      </xdr:spPr>
    </xdr:pic>
    <xdr:clientData/>
  </xdr:twoCellAnchor>
  <xdr:oneCellAnchor>
    <xdr:from>
      <xdr:col>7</xdr:col>
      <xdr:colOff>1918607</xdr:colOff>
      <xdr:row>0</xdr:row>
      <xdr:rowOff>762000</xdr:rowOff>
    </xdr:from>
    <xdr:ext cx="184731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9B454D-DAE1-4F26-94C9-19AA3873F6C0}"/>
            </a:ext>
          </a:extLst>
        </xdr:cNvPr>
        <xdr:cNvSpPr txBox="1"/>
      </xdr:nvSpPr>
      <xdr:spPr>
        <a:xfrm flipH="1">
          <a:off x="13818603626" y="762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ar-IQ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204700</xdr:rowOff>
    </xdr:from>
    <xdr:to>
      <xdr:col>10</xdr:col>
      <xdr:colOff>438150</xdr:colOff>
      <xdr:row>0</xdr:row>
      <xdr:rowOff>1225780</xdr:rowOff>
    </xdr:to>
    <xdr:sp macro="" textlink="">
      <xdr:nvSpPr>
        <xdr:cNvPr id="2" name="مستطيل: زوايا مستديرة 1">
          <a:extLst>
            <a:ext uri="{FF2B5EF4-FFF2-40B4-BE49-F238E27FC236}">
              <a16:creationId xmlns:a16="http://schemas.microsoft.com/office/drawing/2014/main" id="{43D7AC08-C090-40E6-8E1B-47A1ECB0C05C}"/>
            </a:ext>
          </a:extLst>
        </xdr:cNvPr>
        <xdr:cNvSpPr/>
      </xdr:nvSpPr>
      <xdr:spPr>
        <a:xfrm flipH="1">
          <a:off x="13611479577" y="204700"/>
          <a:ext cx="13444971" cy="1021080"/>
        </a:xfrm>
        <a:prstGeom prst="round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ar-IQ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اعمال شعبة الصيانة المرفوعة</a:t>
          </a:r>
          <a:r>
            <a:rPr lang="ar-IQ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من قسم التربية والمنجزة من قبل الشعبة مباشرة , الربع الثاني 2026 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293190</xdr:colOff>
      <xdr:row>0</xdr:row>
      <xdr:rowOff>109103</xdr:rowOff>
    </xdr:from>
    <xdr:to>
      <xdr:col>1</xdr:col>
      <xdr:colOff>1620821</xdr:colOff>
      <xdr:row>0</xdr:row>
      <xdr:rowOff>1305443</xdr:rowOff>
    </xdr:to>
    <xdr:pic>
      <xdr:nvPicPr>
        <xdr:cNvPr id="3" name="صورة 3">
          <a:extLst>
            <a:ext uri="{FF2B5EF4-FFF2-40B4-BE49-F238E27FC236}">
              <a16:creationId xmlns:a16="http://schemas.microsoft.com/office/drawing/2014/main" id="{BB7A17E6-67F5-4613-9325-1C8AEA77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645" y="109103"/>
          <a:ext cx="1327631" cy="1196340"/>
        </a:xfrm>
        <a:prstGeom prst="rect">
          <a:avLst/>
        </a:prstGeom>
      </xdr:spPr>
    </xdr:pic>
    <xdr:clientData/>
  </xdr:twoCellAnchor>
  <xdr:twoCellAnchor editAs="oneCell">
    <xdr:from>
      <xdr:col>11</xdr:col>
      <xdr:colOff>805805</xdr:colOff>
      <xdr:row>0</xdr:row>
      <xdr:rowOff>111563</xdr:rowOff>
    </xdr:from>
    <xdr:to>
      <xdr:col>11</xdr:col>
      <xdr:colOff>1946910</xdr:colOff>
      <xdr:row>0</xdr:row>
      <xdr:rowOff>1292281</xdr:rowOff>
    </xdr:to>
    <xdr:pic>
      <xdr:nvPicPr>
        <xdr:cNvPr id="4" name="صورة 5">
          <a:extLst>
            <a:ext uri="{FF2B5EF4-FFF2-40B4-BE49-F238E27FC236}">
              <a16:creationId xmlns:a16="http://schemas.microsoft.com/office/drawing/2014/main" id="{0884C46B-16BD-4E0A-AD81-4D8B07AA7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1714" y="111563"/>
          <a:ext cx="1141105" cy="1180718"/>
        </a:xfrm>
        <a:prstGeom prst="rect">
          <a:avLst/>
        </a:prstGeom>
      </xdr:spPr>
    </xdr:pic>
    <xdr:clientData/>
  </xdr:twoCellAnchor>
  <xdr:oneCellAnchor>
    <xdr:from>
      <xdr:col>7</xdr:col>
      <xdr:colOff>1918607</xdr:colOff>
      <xdr:row>0</xdr:row>
      <xdr:rowOff>762000</xdr:rowOff>
    </xdr:from>
    <xdr:ext cx="184731" cy="2545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FEAA1A-7A7E-4AAB-9D3A-3220FD2262C6}"/>
            </a:ext>
          </a:extLst>
        </xdr:cNvPr>
        <xdr:cNvSpPr txBox="1"/>
      </xdr:nvSpPr>
      <xdr:spPr>
        <a:xfrm flipH="1">
          <a:off x="13616118208" y="762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r" rtl="1"/>
          <a:endParaRPr lang="ar-IQ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62EA4-72AA-43E1-8CA0-80A486FB440A}" name="المعملجي326" displayName="المعملجي326" ref="B2:N1092">
  <autoFilter ref="B2:N1092" xr:uid="{00000000-0009-0000-0100-000002000000}"/>
  <sortState xmlns:xlrd2="http://schemas.microsoft.com/office/spreadsheetml/2017/richdata2" ref="B3:N590">
    <sortCondition ref="J2:J590"/>
  </sortState>
  <tableColumns count="13">
    <tableColumn id="1" xr3:uid="{36F9A3B1-BB0E-4983-8868-CD23B340D786}" name="وقت رفع الطلب" dataDxfId="33"/>
    <tableColumn id="2" xr3:uid="{71D5EC80-D62B-46BB-A21F-EF59675207F9}" name="المجمع" dataDxfId="32">
      <calculatedColumnFormula>IFERROR(__xludf.DUMMYFUNCTION("""COMPUTED_VALUE"""),"المعملجي")</calculatedColumnFormula>
    </tableColumn>
    <tableColumn id="3" xr3:uid="{8C140B23-0A21-4DBF-957F-97CBFB6708E6}" name=" مقدم الطلب " dataDxfId="31"/>
    <tableColumn id="4" xr3:uid="{186B769B-7362-4F43-BB94-CC785C30F66E}" name="القسم" dataDxfId="30"/>
    <tableColumn id="5" xr3:uid="{0FE00586-5B73-4368-B218-78F03B861431}" name="البناية" dataDxfId="29"/>
    <tableColumn id="6" xr3:uid="{BE8FE52D-AC05-4CFD-BC5E-565D64AE4F90}" name="موقع الصيانة" dataDxfId="28"/>
    <tableColumn id="7" xr3:uid="{CF3EF16F-7307-4C65-9582-F4AC043DB17E}" name="العمل" dataDxfId="27"/>
    <tableColumn id="8" xr3:uid="{58C4B1F2-80B0-43A6-A9A2-225B1415CDC0}" name="ملاحظات المدخل" dataDxfId="26"/>
    <tableColumn id="9" xr3:uid="{7F6EE927-BAA0-4DD8-BCE9-5F108BFD00F0}" name="الوحدة " dataDxfId="25"/>
    <tableColumn id="10" xr3:uid="{76E49D31-D682-4081-897C-29F2F5E8FEC4}" name="حالة العمل" dataDxfId="24"/>
    <tableColumn id="11" xr3:uid="{317EBD90-D04C-4352-B681-07CAC4EA7E32}" name="وقت الانجاز" dataDxfId="23"/>
    <tableColumn id="12" xr3:uid="{42D517AE-73B2-4E06-B55F-E66A76909D38}" name="ملاحظات الشعبة" dataDxfId="22"/>
    <tableColumn id="13" xr3:uid="{BEF0D536-B91D-4B60-BC0D-17D7EEFDE5E0}" name="الإرسال اليدوي"/>
  </tableColumns>
  <tableStyleInfo name="البيانات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432F9-3CAC-4A10-BE45-1DD1188702F9}" name="المعملجي3262" displayName="المعملجي3262" ref="B2:N1092">
  <autoFilter ref="B2:N1092" xr:uid="{00000000-0009-0000-0100-000002000000}"/>
  <sortState xmlns:xlrd2="http://schemas.microsoft.com/office/spreadsheetml/2017/richdata2" ref="B3:N1092">
    <sortCondition ref="B2:B1092"/>
  </sortState>
  <tableColumns count="13">
    <tableColumn id="1" xr3:uid="{18E89319-6C65-4AAA-8D69-2614B5A6F735}" name="وقت رفع الطلب" dataDxfId="21"/>
    <tableColumn id="2" xr3:uid="{49AE9661-BDA3-40A5-AC5A-307B21DB34BA}" name="المجمع" dataDxfId="20"/>
    <tableColumn id="3" xr3:uid="{EBB7D196-BBB4-438B-9DA9-6DE06D9AE76B}" name=" مقدم الطلب " dataDxfId="19"/>
    <tableColumn id="4" xr3:uid="{424A4BC7-D82A-4906-BC8D-B5D5D8406251}" name="القسم" dataDxfId="18"/>
    <tableColumn id="5" xr3:uid="{E25819C1-22B3-429A-8CC1-D636BC319355}" name="البناية" dataDxfId="17"/>
    <tableColumn id="6" xr3:uid="{1D730AFF-27F7-4172-A72D-5BFC4F85CC70}" name="موقع الصيانة" dataDxfId="16"/>
    <tableColumn id="7" xr3:uid="{4ABB2DFC-C516-47FA-B625-2FF21FC8FC44}" name="العمل" dataDxfId="15"/>
    <tableColumn id="8" xr3:uid="{CD76F9B3-1051-4766-82EF-4091DEAD2A45}" name="ملاحظات المدخل" dataDxfId="14"/>
    <tableColumn id="9" xr3:uid="{0B654226-66F9-49FA-8315-63EC750D6EF6}" name="الوحدة " dataDxfId="13"/>
    <tableColumn id="10" xr3:uid="{CC0CBFB3-C95C-476D-90C9-0971F6F41836}" name="حالة العمل" dataDxfId="12"/>
    <tableColumn id="11" xr3:uid="{B81F2278-CEAF-406E-8BD3-94E17AE29D05}" name="وقت الانجاز" dataDxfId="11"/>
    <tableColumn id="12" xr3:uid="{85292D1C-0C42-46C0-A7FA-1DA6F2998292}" name="ملاحظات الشعبة" dataDxfId="10"/>
    <tableColumn id="13" xr3:uid="{D99C6228-FE87-46CB-BC16-B31DFB1AF696}" name="الإرسال اليدوي"/>
  </tableColumns>
  <tableStyleInfo name="البيانات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جدول_1" displayName="جدول_1" ref="A1:I999">
  <tableColumns count="9">
    <tableColumn id="1" xr3:uid="{00000000-0010-0000-0300-000001000000}" name="الاسم"/>
    <tableColumn id="2" xr3:uid="{00000000-0010-0000-0300-000002000000}" name="الإيميل"/>
    <tableColumn id="3" xr3:uid="{00000000-0010-0000-0300-000003000000}" name="النوع"/>
    <tableColumn id="4" xr3:uid="{00000000-0010-0000-0300-000004000000}" name="الحالة"/>
    <tableColumn id="5" xr3:uid="{00000000-0010-0000-0300-000005000000}" name="ملاحظات"/>
    <tableColumn id="6" xr3:uid="{00000000-0010-0000-0300-000006000000}" name="رقم واتساب"/>
    <tableColumn id="7" xr3:uid="{00000000-0010-0000-0300-000007000000}" name="الوحدة"/>
    <tableColumn id="8" xr3:uid="{00000000-0010-0000-0300-000008000000}" name="telegram"/>
    <tableColumn id="9" xr3:uid="{00000000-0010-0000-0300-000009000000}" name="نطاق اسماء الوحدات"/>
  </tableColumns>
  <tableStyleInfo name="الإعدادات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chool.maintenance.division@gmail.com" TargetMode="External"/><Relationship Id="rId2" Type="http://schemas.openxmlformats.org/officeDocument/2006/relationships/hyperlink" Target="mailto:school.maintenance.division@gmail.com" TargetMode="External"/><Relationship Id="rId1" Type="http://schemas.openxmlformats.org/officeDocument/2006/relationships/hyperlink" Target="mailto:fhjuj02@gmail.com" TargetMode="External"/><Relationship Id="rId6" Type="http://schemas.openxmlformats.org/officeDocument/2006/relationships/table" Target="../tables/table3.xml"/><Relationship Id="rId5" Type="http://schemas.openxmlformats.org/officeDocument/2006/relationships/hyperlink" Target="mailto:fhjuj02@gmail.com" TargetMode="External"/><Relationship Id="rId4" Type="http://schemas.openxmlformats.org/officeDocument/2006/relationships/hyperlink" Target="mailto:fhjuj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5AA2-8673-4016-A016-1721BE903C20}">
  <sheetPr>
    <tabColor rgb="FF2ECC71"/>
    <outlinePr summaryBelow="0" summaryRight="0"/>
    <pageSetUpPr fitToPage="1"/>
  </sheetPr>
  <dimension ref="A1:N1093"/>
  <sheetViews>
    <sheetView showGridLines="0" rightToLeft="1" tabSelected="1" zoomScale="70" zoomScaleNormal="70" zoomScalePageLayoutView="85" workbookViewId="0">
      <selection activeCell="P1" sqref="P1"/>
    </sheetView>
  </sheetViews>
  <sheetFormatPr defaultColWidth="12.5703125" defaultRowHeight="75" customHeight="1"/>
  <cols>
    <col min="1" max="1" width="9.28515625" style="36" customWidth="1"/>
    <col min="2" max="2" width="30.5703125" style="37" bestFit="1" customWidth="1"/>
    <col min="3" max="4" width="6" style="37" customWidth="1"/>
    <col min="5" max="5" width="14.42578125" style="36" bestFit="1" customWidth="1"/>
    <col min="6" max="6" width="45.28515625" style="36" bestFit="1" customWidth="1"/>
    <col min="7" max="7" width="25.140625" style="36" customWidth="1"/>
    <col min="8" max="8" width="65" style="38" customWidth="1"/>
    <col min="9" max="9" width="18.85546875" style="36" customWidth="1"/>
    <col min="10" max="10" width="10.7109375" style="36" customWidth="1"/>
    <col min="11" max="11" width="10" style="36" customWidth="1"/>
    <col min="12" max="12" width="30.5703125" style="36" bestFit="1" customWidth="1"/>
    <col min="13" max="13" width="18.85546875" style="36" customWidth="1"/>
    <col min="14" max="14" width="15.140625" hidden="1" customWidth="1"/>
  </cols>
  <sheetData>
    <row r="1" spans="1:14" ht="99.95" customHeight="1" thickBot="1"/>
    <row r="2" spans="1:14" ht="50.1" customHeight="1" thickTop="1" thickBot="1">
      <c r="A2" s="26" t="s">
        <v>76</v>
      </c>
      <c r="B2" s="26" t="s">
        <v>0</v>
      </c>
      <c r="C2" s="27" t="s">
        <v>1</v>
      </c>
      <c r="D2" s="27" t="s">
        <v>2</v>
      </c>
      <c r="E2" s="26" t="s">
        <v>3</v>
      </c>
      <c r="F2" s="26" t="s">
        <v>4</v>
      </c>
      <c r="G2" s="26" t="s">
        <v>17</v>
      </c>
      <c r="H2" s="26" t="s">
        <v>5</v>
      </c>
      <c r="I2" s="26" t="s">
        <v>6</v>
      </c>
      <c r="J2" s="28" t="s">
        <v>7</v>
      </c>
      <c r="K2" s="28" t="s">
        <v>8</v>
      </c>
      <c r="L2" s="28" t="s">
        <v>9</v>
      </c>
      <c r="M2" s="28" t="s">
        <v>10</v>
      </c>
      <c r="N2" s="1" t="s">
        <v>11</v>
      </c>
    </row>
    <row r="3" spans="1:14" ht="75" customHeight="1" thickTop="1" thickBot="1">
      <c r="A3" s="25">
        <v>1</v>
      </c>
      <c r="B3" s="30">
        <f ca="1">IFERROR(__xludf.DUMMYFUNCTION("""COMPUTED_VALUE"""),46113.3212761111)</f>
        <v>46113.321276111099</v>
      </c>
      <c r="C3" s="31" t="str">
        <f ca="1">IFERROR(__xludf.DUMMYFUNCTION("""COMPUTED_VALUE"""),"المعملجي")</f>
        <v>المعملجي</v>
      </c>
      <c r="D3" s="31" t="str">
        <f ca="1">IFERROR(__xludf.DUMMYFUNCTION("""COMPUTED_VALUE"""),"سجاد تربية")</f>
        <v>سجاد تربية</v>
      </c>
      <c r="E3" s="25" t="str">
        <f ca="1">IFERROR(__xludf.DUMMYFUNCTION("""COMPUTED_VALUE"""),"قسم التربية والتعليم العالي")</f>
        <v>قسم التربية والتعليم العالي</v>
      </c>
      <c r="F3" s="25" t="str">
        <f ca="1">IFERROR(__xludf.DUMMYFUNCTION("""COMPUTED_VALUE"""),"A- المركز الثقافي")</f>
        <v>A- المركز الثقافي</v>
      </c>
      <c r="G3" s="25" t="str">
        <f ca="1">IFERROR(__xludf.DUMMYFUNCTION("""COMPUTED_VALUE"""),"كل طوابق")</f>
        <v>كل طوابق</v>
      </c>
      <c r="H3" s="39" t="str">
        <f ca="1">IFERROR(__xludf.DUMMYFUNCTION("""COMPUTED_VALUE"""),"لاتوجد كهرباء في المصاعد")</f>
        <v>لاتوجد كهرباء في المصاعد</v>
      </c>
      <c r="I3" s="25"/>
      <c r="J3" s="25" t="s">
        <v>89</v>
      </c>
      <c r="K3" s="25" t="s">
        <v>13</v>
      </c>
      <c r="L3" s="30">
        <v>46113.379879247688</v>
      </c>
      <c r="M3" s="25"/>
      <c r="N3" s="2" t="s">
        <v>77</v>
      </c>
    </row>
    <row r="4" spans="1:14" ht="75" customHeight="1" thickTop="1" thickBot="1">
      <c r="A4" s="23">
        <v>2</v>
      </c>
      <c r="B4" s="32">
        <f ca="1">IFERROR(__xludf.DUMMYFUNCTION("""COMPUTED_VALUE"""),46114.3707895023)</f>
        <v>46114.370789502304</v>
      </c>
      <c r="C4" s="33" t="str">
        <f ca="1">IFERROR(__xludf.DUMMYFUNCTION("""COMPUTED_VALUE"""),"المعملجي")</f>
        <v>المعملجي</v>
      </c>
      <c r="D4" s="33" t="str">
        <f ca="1">IFERROR(__xludf.DUMMYFUNCTION("""COMPUTED_VALUE"""),"سجاد تربية")</f>
        <v>سجاد تربية</v>
      </c>
      <c r="E4" s="23" t="str">
        <f ca="1">IFERROR(__xludf.DUMMYFUNCTION("""COMPUTED_VALUE"""),"قسم التربية والتعليم العالي")</f>
        <v>قسم التربية والتعليم العالي</v>
      </c>
      <c r="F4" s="23" t="str">
        <f ca="1">IFERROR(__xludf.DUMMYFUNCTION("""COMPUTED_VALUE"""),"H- ابتدائية القمر للبنات (الخامسة)")</f>
        <v>H- ابتدائية القمر للبنات (الخامسة)</v>
      </c>
      <c r="G4" s="23" t="str">
        <f ca="1">IFERROR(__xludf.DUMMYFUNCTION("""COMPUTED_VALUE"""),"الطابق الارضي")</f>
        <v>الطابق الارضي</v>
      </c>
      <c r="H4" s="23" t="str">
        <f ca="1">IFERROR(__xludf.DUMMYFUNCTION("""COMPUTED_VALUE"""),"صيانة انارة قرب الساحة المستطيلة ")</f>
        <v xml:space="preserve">صيانة انارة قرب الساحة المستطيلة </v>
      </c>
      <c r="I4" s="23"/>
      <c r="J4" s="23" t="s">
        <v>89</v>
      </c>
      <c r="K4" s="23" t="s">
        <v>13</v>
      </c>
      <c r="L4" s="32">
        <v>46114.499509837959</v>
      </c>
      <c r="M4" s="23"/>
      <c r="N4" s="2" t="s">
        <v>77</v>
      </c>
    </row>
    <row r="5" spans="1:14" ht="75" customHeight="1" thickTop="1" thickBot="1">
      <c r="A5" s="25">
        <v>3</v>
      </c>
      <c r="B5" s="32">
        <f ca="1">IFERROR(__xludf.DUMMYFUNCTION("""COMPUTED_VALUE"""),46114.4494537268)</f>
        <v>46114.449453726796</v>
      </c>
      <c r="C5" s="33" t="str">
        <f ca="1">IFERROR(__xludf.DUMMYFUNCTION("""COMPUTED_VALUE"""),"المعملجي")</f>
        <v>المعملجي</v>
      </c>
      <c r="D5" s="33" t="str">
        <f ca="1">IFERROR(__xludf.DUMMYFUNCTION("""COMPUTED_VALUE"""),"سجاد تربية")</f>
        <v>سجاد تربية</v>
      </c>
      <c r="E5" s="23" t="str">
        <f ca="1">IFERROR(__xludf.DUMMYFUNCTION("""COMPUTED_VALUE"""),"قسم التربية والتعليم العالي")</f>
        <v>قسم التربية والتعليم العالي</v>
      </c>
      <c r="F5" s="23" t="str">
        <f ca="1">IFERROR(__xludf.DUMMYFUNCTION("""COMPUTED_VALUE"""),"A- المركز الثقافي")</f>
        <v>A- المركز الثقافي</v>
      </c>
      <c r="G5" s="23" t="str">
        <f ca="1">IFERROR(__xludf.DUMMYFUNCTION("""COMPUTED_VALUE"""),"الطابق الارضي")</f>
        <v>الطابق الارضي</v>
      </c>
      <c r="H5" s="23" t="str">
        <f ca="1">IFERROR(__xludf.DUMMYFUNCTION("""COMPUTED_VALUE"""),"لا يوجد كهرباء في المصعد والطابق الثاني والثالث")</f>
        <v>لا يوجد كهرباء في المصعد والطابق الثاني والثالث</v>
      </c>
      <c r="I5" s="23"/>
      <c r="J5" s="23" t="s">
        <v>89</v>
      </c>
      <c r="K5" s="23" t="s">
        <v>13</v>
      </c>
      <c r="L5" s="32">
        <v>46114.449942453706</v>
      </c>
      <c r="M5" s="23"/>
      <c r="N5" s="2" t="s">
        <v>77</v>
      </c>
    </row>
    <row r="6" spans="1:14" ht="75" customHeight="1" thickTop="1" thickBot="1">
      <c r="A6" s="23">
        <v>4</v>
      </c>
      <c r="B6" s="32">
        <f ca="1">IFERROR(__xludf.DUMMYFUNCTION("""COMPUTED_VALUE"""),46119.5304418518)</f>
        <v>46119.530441851799</v>
      </c>
      <c r="C6" s="33" t="str">
        <f ca="1">IFERROR(__xludf.DUMMYFUNCTION("""COMPUTED_VALUE"""),"المعملجي")</f>
        <v>المعملجي</v>
      </c>
      <c r="D6" s="33" t="str">
        <f ca="1">IFERROR(__xludf.DUMMYFUNCTION("""COMPUTED_VALUE"""),"سجاد تربية")</f>
        <v>سجاد تربية</v>
      </c>
      <c r="E6" s="23" t="str">
        <f ca="1">IFERROR(__xludf.DUMMYFUNCTION("""COMPUTED_VALUE"""),"قسم التربية والتعليم العالي")</f>
        <v>قسم التربية والتعليم العالي</v>
      </c>
      <c r="F6" s="23" t="str">
        <f ca="1">IFERROR(__xludf.DUMMYFUNCTION("""COMPUTED_VALUE"""),"H- ابتدائية القمر للبنات (الخامسة)")</f>
        <v>H- ابتدائية القمر للبنات (الخامسة)</v>
      </c>
      <c r="G6" s="23" t="str">
        <f ca="1">IFERROR(__xludf.DUMMYFUNCTION("""COMPUTED_VALUE"""),"غرفة معلمات ")</f>
        <v xml:space="preserve">غرفة معلمات </v>
      </c>
      <c r="H6" s="23" t="str">
        <f ca="1">IFERROR(__xludf.DUMMYFUNCTION("""COMPUTED_VALUE"""),"صيانة بلك ")</f>
        <v xml:space="preserve">صيانة بلك </v>
      </c>
      <c r="I6" s="23"/>
      <c r="J6" s="23" t="s">
        <v>89</v>
      </c>
      <c r="K6" s="23" t="s">
        <v>13</v>
      </c>
      <c r="L6" s="32">
        <v>46119.569738518519</v>
      </c>
      <c r="M6" s="23"/>
      <c r="N6" s="2" t="s">
        <v>77</v>
      </c>
    </row>
    <row r="7" spans="1:14" ht="75" customHeight="1" thickTop="1" thickBot="1">
      <c r="A7" s="25">
        <v>5</v>
      </c>
      <c r="B7" s="32">
        <f ca="1">IFERROR(__xludf.DUMMYFUNCTION("""COMPUTED_VALUE"""),46120.4189191435)</f>
        <v>46120.4189191435</v>
      </c>
      <c r="C7" s="33" t="str">
        <f ca="1">IFERROR(__xludf.DUMMYFUNCTION("""COMPUTED_VALUE"""),"المعملجي")</f>
        <v>المعملجي</v>
      </c>
      <c r="D7" s="33" t="str">
        <f ca="1">IFERROR(__xludf.DUMMYFUNCTION("""COMPUTED_VALUE"""),"سجاد تربية")</f>
        <v>سجاد تربية</v>
      </c>
      <c r="E7" s="23" t="str">
        <f ca="1">IFERROR(__xludf.DUMMYFUNCTION("""COMPUTED_VALUE"""),"قسم التربية والتعليم العالي")</f>
        <v>قسم التربية والتعليم العالي</v>
      </c>
      <c r="F7" s="23" t="str">
        <f ca="1">IFERROR(__xludf.DUMMYFUNCTION("""COMPUTED_VALUE"""),"A- المركز الثقافي")</f>
        <v>A- المركز الثقافي</v>
      </c>
      <c r="G7" s="23" t="str">
        <f ca="1">IFERROR(__xludf.DUMMYFUNCTION("""COMPUTED_VALUE"""),"استفسر من الاستعلامات عن الموقع")</f>
        <v>استفسر من الاستعلامات عن الموقع</v>
      </c>
      <c r="H7" s="23" t="str">
        <f ca="1">IFERROR(__xludf.DUMMYFUNCTION("""COMPUTED_VALUE"""),"صيانة نقاط كهربائية")</f>
        <v>صيانة نقاط كهربائية</v>
      </c>
      <c r="I7" s="23"/>
      <c r="J7" s="23" t="s">
        <v>89</v>
      </c>
      <c r="K7" s="23" t="s">
        <v>13</v>
      </c>
      <c r="L7" s="32">
        <v>46120.534866226852</v>
      </c>
      <c r="M7" s="23"/>
      <c r="N7" s="2" t="s">
        <v>77</v>
      </c>
    </row>
    <row r="8" spans="1:14" ht="75" customHeight="1" thickTop="1" thickBot="1">
      <c r="A8" s="23">
        <v>6</v>
      </c>
      <c r="B8" s="32">
        <f ca="1">IFERROR(__xludf.DUMMYFUNCTION("""COMPUTED_VALUE"""),46120.53069228)</f>
        <v>46120.530692280001</v>
      </c>
      <c r="C8" s="33" t="str">
        <f ca="1">IFERROR(__xludf.DUMMYFUNCTION("""COMPUTED_VALUE"""),"المعملجي")</f>
        <v>المعملجي</v>
      </c>
      <c r="D8" s="33" t="str">
        <f ca="1">IFERROR(__xludf.DUMMYFUNCTION("""COMPUTED_VALUE"""),"سجاد تربية")</f>
        <v>سجاد تربية</v>
      </c>
      <c r="E8" s="23" t="str">
        <f ca="1">IFERROR(__xludf.DUMMYFUNCTION("""COMPUTED_VALUE"""),"قسم التربية والتعليم العالي")</f>
        <v>قسم التربية والتعليم العالي</v>
      </c>
      <c r="F8" s="23" t="str">
        <f ca="1">IFERROR(__xludf.DUMMYFUNCTION("""COMPUTED_VALUE"""),"الاستعلامات الرئيسية")</f>
        <v>الاستعلامات الرئيسية</v>
      </c>
      <c r="G8" s="23" t="str">
        <f ca="1">IFERROR(__xludf.DUMMYFUNCTION("""COMPUTED_VALUE"""),"الطابق الارضي")</f>
        <v>الطابق الارضي</v>
      </c>
      <c r="H8" s="23" t="str">
        <f ca="1">IFERROR(__xludf.DUMMYFUNCTION("""COMPUTED_VALUE"""),"شد مروحة سقفية ")</f>
        <v xml:space="preserve">شد مروحة سقفية </v>
      </c>
      <c r="I8" s="23"/>
      <c r="J8" s="23" t="s">
        <v>89</v>
      </c>
      <c r="K8" s="23" t="s">
        <v>13</v>
      </c>
      <c r="L8" s="32">
        <v>46120.776257708334</v>
      </c>
      <c r="M8" s="23"/>
      <c r="N8" s="2" t="s">
        <v>77</v>
      </c>
    </row>
    <row r="9" spans="1:14" ht="75" customHeight="1" thickTop="1" thickBot="1">
      <c r="A9" s="25">
        <v>7</v>
      </c>
      <c r="B9" s="32">
        <f ca="1">IFERROR(__xludf.DUMMYFUNCTION("""COMPUTED_VALUE"""),46120.588670868)</f>
        <v>46120.588670867997</v>
      </c>
      <c r="C9" s="33" t="str">
        <f ca="1">IFERROR(__xludf.DUMMYFUNCTION("""COMPUTED_VALUE"""),"المعملجي")</f>
        <v>المعملجي</v>
      </c>
      <c r="D9" s="33" t="str">
        <f ca="1">IFERROR(__xludf.DUMMYFUNCTION("""COMPUTED_VALUE"""),"سجاد تربية")</f>
        <v>سجاد تربية</v>
      </c>
      <c r="E9" s="23" t="str">
        <f ca="1">IFERROR(__xludf.DUMMYFUNCTION("""COMPUTED_VALUE"""),"قسم التربية والتعليم العالي")</f>
        <v>قسم التربية والتعليم العالي</v>
      </c>
      <c r="F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9" s="23" t="str">
        <f ca="1">IFERROR(__xludf.DUMMYFUNCTION("""COMPUTED_VALUE"""),"الطابق الارضي")</f>
        <v>الطابق الارضي</v>
      </c>
      <c r="H9" s="23" t="str">
        <f ca="1">IFERROR(__xludf.DUMMYFUNCTION("""COMPUTED_VALUE"""),"صيانة سويج للكامرات لايطفى")</f>
        <v>صيانة سويج للكامرات لايطفى</v>
      </c>
      <c r="I9" s="23"/>
      <c r="J9" s="23" t="s">
        <v>89</v>
      </c>
      <c r="K9" s="23" t="s">
        <v>13</v>
      </c>
      <c r="L9" s="32">
        <v>46121.36741363426</v>
      </c>
      <c r="M9" s="23"/>
      <c r="N9" s="2" t="s">
        <v>77</v>
      </c>
    </row>
    <row r="10" spans="1:14" ht="75" customHeight="1" thickTop="1" thickBot="1">
      <c r="A10" s="23">
        <v>8</v>
      </c>
      <c r="B10" s="32">
        <f ca="1">IFERROR(__xludf.DUMMYFUNCTION("""COMPUTED_VALUE"""),46121.3726308564)</f>
        <v>46121.3726308564</v>
      </c>
      <c r="C10" s="33" t="str">
        <f ca="1">IFERROR(__xludf.DUMMYFUNCTION("""COMPUTED_VALUE"""),"المعملجي")</f>
        <v>المعملجي</v>
      </c>
      <c r="D10" s="33" t="str">
        <f ca="1">IFERROR(__xludf.DUMMYFUNCTION("""COMPUTED_VALUE"""),"سجاد تربية")</f>
        <v>سجاد تربية</v>
      </c>
      <c r="E10" s="23" t="str">
        <f ca="1">IFERROR(__xludf.DUMMYFUNCTION("""COMPUTED_VALUE"""),"قسم التربية والتعليم العالي")</f>
        <v>قسم التربية والتعليم العالي</v>
      </c>
      <c r="F10" s="23" t="str">
        <f ca="1">IFERROR(__xludf.DUMMYFUNCTION("""COMPUTED_VALUE"""),"G- روضة الجود")</f>
        <v>G- روضة الجود</v>
      </c>
      <c r="G10" s="23" t="str">
        <f ca="1">IFERROR(__xludf.DUMMYFUNCTION("""COMPUTED_VALUE"""),"الطابق الارضي, المخزن")</f>
        <v>الطابق الارضي, المخزن</v>
      </c>
      <c r="H10" s="23" t="str">
        <f ca="1">IFERROR(__xludf.DUMMYFUNCTION("""COMPUTED_VALUE""")," اضافة مصباح كهربائي ")</f>
        <v xml:space="preserve"> اضافة مصباح كهربائي </v>
      </c>
      <c r="I10" s="23"/>
      <c r="J10" s="23" t="s">
        <v>89</v>
      </c>
      <c r="K10" s="23" t="s">
        <v>13</v>
      </c>
      <c r="L10" s="32">
        <v>46121.428939305551</v>
      </c>
      <c r="M10" s="23"/>
      <c r="N10" s="2" t="s">
        <v>77</v>
      </c>
    </row>
    <row r="11" spans="1:14" ht="75" customHeight="1" thickTop="1" thickBot="1">
      <c r="A11" s="25">
        <v>9</v>
      </c>
      <c r="B11" s="32">
        <f ca="1">IFERROR(__xludf.DUMMYFUNCTION("""COMPUTED_VALUE"""),46123.4321734375)</f>
        <v>46123.432173437497</v>
      </c>
      <c r="C11" s="33" t="str">
        <f ca="1">IFERROR(__xludf.DUMMYFUNCTION("""COMPUTED_VALUE"""),"المعملجي")</f>
        <v>المعملجي</v>
      </c>
      <c r="D11" s="33" t="str">
        <f ca="1">IFERROR(__xludf.DUMMYFUNCTION("""COMPUTED_VALUE"""),"سجاد تربية")</f>
        <v>سجاد تربية</v>
      </c>
      <c r="E11" s="23" t="str">
        <f ca="1">IFERROR(__xludf.DUMMYFUNCTION("""COMPUTED_VALUE"""),"قسم التربية والتعليم العالي")</f>
        <v>قسم التربية والتعليم العالي</v>
      </c>
      <c r="F11" s="23" t="str">
        <f ca="1">IFERROR(__xludf.DUMMYFUNCTION("""COMPUTED_VALUE"""),"A- المركز الثقافي")</f>
        <v>A- المركز الثقافي</v>
      </c>
      <c r="G11" s="23" t="str">
        <f ca="1">IFERROR(__xludf.DUMMYFUNCTION("""COMPUTED_VALUE"""),"الطابق الثالث")</f>
        <v>الطابق الثالث</v>
      </c>
      <c r="H11" s="23" t="str">
        <f ca="1">IFERROR(__xludf.DUMMYFUNCTION("""COMPUTED_VALUE"""),"احتياج كهربائي صيانة سويج ")</f>
        <v xml:space="preserve">احتياج كهربائي صيانة سويج </v>
      </c>
      <c r="I11" s="23"/>
      <c r="J11" s="23" t="s">
        <v>89</v>
      </c>
      <c r="K11" s="23" t="s">
        <v>13</v>
      </c>
      <c r="L11" s="32">
        <v>46123.47494803241</v>
      </c>
      <c r="M11" s="23"/>
      <c r="N11" s="2" t="s">
        <v>77</v>
      </c>
    </row>
    <row r="12" spans="1:14" ht="75" customHeight="1" thickTop="1" thickBot="1">
      <c r="A12" s="23">
        <v>10</v>
      </c>
      <c r="B12" s="32">
        <f ca="1">IFERROR(__xludf.DUMMYFUNCTION("""COMPUTED_VALUE"""),46124.5795700347)</f>
        <v>46124.579570034701</v>
      </c>
      <c r="C12" s="33" t="str">
        <f ca="1">IFERROR(__xludf.DUMMYFUNCTION("""COMPUTED_VALUE"""),"المعملجي")</f>
        <v>المعملجي</v>
      </c>
      <c r="D12" s="33" t="str">
        <f ca="1">IFERROR(__xludf.DUMMYFUNCTION("""COMPUTED_VALUE"""),"سجاد تربية")</f>
        <v>سجاد تربية</v>
      </c>
      <c r="E12" s="23" t="str">
        <f ca="1">IFERROR(__xludf.DUMMYFUNCTION("""COMPUTED_VALUE"""),"قسم التربية والتعليم العالي")</f>
        <v>قسم التربية والتعليم العالي</v>
      </c>
      <c r="F12" s="23" t="str">
        <f ca="1">IFERROR(__xludf.DUMMYFUNCTION("""COMPUTED_VALUE"""),"B- روضة القمر")</f>
        <v>B- روضة القمر</v>
      </c>
      <c r="G12" s="23" t="str">
        <f ca="1">IFERROR(__xludf.DUMMYFUNCTION("""COMPUTED_VALUE"""),"الطابق الارضي")</f>
        <v>الطابق الارضي</v>
      </c>
      <c r="H12" s="23" t="str">
        <f ca="1">IFERROR(__xludf.DUMMYFUNCTION("""COMPUTED_VALUE"""),"صيانة كهرباء ")</f>
        <v xml:space="preserve">صيانة كهرباء </v>
      </c>
      <c r="I12" s="23"/>
      <c r="J12" s="23" t="s">
        <v>89</v>
      </c>
      <c r="K12" s="23" t="s">
        <v>13</v>
      </c>
      <c r="L12" s="32">
        <v>46124.783427951392</v>
      </c>
      <c r="M12" s="23"/>
      <c r="N12" s="2" t="s">
        <v>77</v>
      </c>
    </row>
    <row r="13" spans="1:14" ht="75" customHeight="1" thickTop="1" thickBot="1">
      <c r="A13" s="25">
        <v>11</v>
      </c>
      <c r="B13" s="32">
        <f ca="1">IFERROR(__xludf.DUMMYFUNCTION("""COMPUTED_VALUE"""),46126.4299426388)</f>
        <v>46126.429942638802</v>
      </c>
      <c r="C13" s="33" t="str">
        <f ca="1">IFERROR(__xludf.DUMMYFUNCTION("""COMPUTED_VALUE"""),"المعملجي")</f>
        <v>المعملجي</v>
      </c>
      <c r="D13" s="33" t="str">
        <f ca="1">IFERROR(__xludf.DUMMYFUNCTION("""COMPUTED_VALUE"""),"سجاد تربية")</f>
        <v>سجاد تربية</v>
      </c>
      <c r="E13" s="23" t="str">
        <f ca="1">IFERROR(__xludf.DUMMYFUNCTION("""COMPUTED_VALUE"""),"قسم التربية والتعليم العالي")</f>
        <v>قسم التربية والتعليم العالي</v>
      </c>
      <c r="F13" s="23" t="str">
        <f ca="1">IFERROR(__xludf.DUMMYFUNCTION("""COMPUTED_VALUE"""),"G- روضة الجود")</f>
        <v>G- روضة الجود</v>
      </c>
      <c r="G13" s="23" t="str">
        <f ca="1">IFERROR(__xludf.DUMMYFUNCTION("""COMPUTED_VALUE"""),"/")</f>
        <v>/</v>
      </c>
      <c r="H13" s="23" t="str">
        <f ca="1">IFERROR(__xludf.DUMMYFUNCTION("""COMPUTED_VALUE"""),"اطفاء ساحبات الهواء ")</f>
        <v xml:space="preserve">اطفاء ساحبات الهواء </v>
      </c>
      <c r="I13" s="23"/>
      <c r="J13" s="23" t="s">
        <v>89</v>
      </c>
      <c r="K13" s="23" t="s">
        <v>13</v>
      </c>
      <c r="L13" s="32">
        <v>46126.43123425926</v>
      </c>
      <c r="M13" s="23"/>
      <c r="N13" s="2" t="s">
        <v>77</v>
      </c>
    </row>
    <row r="14" spans="1:14" ht="75" customHeight="1" thickTop="1" thickBot="1">
      <c r="A14" s="23">
        <v>12</v>
      </c>
      <c r="B14" s="32">
        <f ca="1">IFERROR(__xludf.DUMMYFUNCTION("""COMPUTED_VALUE"""),46127.3756549652)</f>
        <v>46127.375654965203</v>
      </c>
      <c r="C14" s="33" t="str">
        <f ca="1">IFERROR(__xludf.DUMMYFUNCTION("""COMPUTED_VALUE"""),"المعملجي")</f>
        <v>المعملجي</v>
      </c>
      <c r="D14" s="33" t="str">
        <f ca="1">IFERROR(__xludf.DUMMYFUNCTION("""COMPUTED_VALUE"""),"وحدة الكهرباء")</f>
        <v>وحدة الكهرباء</v>
      </c>
      <c r="E14" s="23" t="str">
        <f ca="1">IFERROR(__xludf.DUMMYFUNCTION("""COMPUTED_VALUE"""),"قسم المشاريع الهندسية")</f>
        <v>قسم المشاريع الهندسية</v>
      </c>
      <c r="F14" s="23" t="str">
        <f ca="1">IFERROR(__xludf.DUMMYFUNCTION("""COMPUTED_VALUE"""),"F-  ابتدائية جود العميد للبنات (الرابعة)")</f>
        <v>F-  ابتدائية جود العميد للبنات (الرابعة)</v>
      </c>
      <c r="G14" s="23" t="str">
        <f ca="1">IFERROR(__xludf.DUMMYFUNCTION("""COMPUTED_VALUE"""),"الادائرة ZONE A, غرفة الكهرباء")</f>
        <v>الادائرة ZONE A, غرفة الكهرباء</v>
      </c>
      <c r="H14" s="23" t="str">
        <f ca="1">IFERROR(__xludf.DUMMYFUNCTION("""COMPUTED_VALUE"""),"إكمال دائرة ال power للمنظومة الجديدة ( تشغيل المدراس الأربعة من مولدات محطة الرفع)")</f>
        <v>إكمال دائرة ال power للمنظومة الجديدة ( تشغيل المدراس الأربعة من مولدات محطة الرفع)</v>
      </c>
      <c r="I14" s="23"/>
      <c r="J14" s="23" t="s">
        <v>89</v>
      </c>
      <c r="K14" s="23" t="s">
        <v>13</v>
      </c>
      <c r="L14" s="32">
        <v>46128.296402233798</v>
      </c>
      <c r="M14" s="23"/>
      <c r="N14" s="2" t="s">
        <v>77</v>
      </c>
    </row>
    <row r="15" spans="1:14" ht="75" customHeight="1" thickTop="1" thickBot="1">
      <c r="A15" s="25">
        <v>13</v>
      </c>
      <c r="B15" s="32">
        <f ca="1">IFERROR(__xludf.DUMMYFUNCTION("""COMPUTED_VALUE"""),46127.3876040046)</f>
        <v>46127.387604004602</v>
      </c>
      <c r="C15" s="33" t="str">
        <f ca="1">IFERROR(__xludf.DUMMYFUNCTION("""COMPUTED_VALUE"""),"المعملجي")</f>
        <v>المعملجي</v>
      </c>
      <c r="D15" s="33" t="str">
        <f ca="1">IFERROR(__xludf.DUMMYFUNCTION("""COMPUTED_VALUE"""),"وحدة الكهرباء")</f>
        <v>وحدة الكهرباء</v>
      </c>
      <c r="E15" s="23" t="str">
        <f ca="1">IFERROR(__xludf.DUMMYFUNCTION("""COMPUTED_VALUE"""),"قسم المشاريع الهندسية")</f>
        <v>قسم المشاريع الهندسية</v>
      </c>
      <c r="F15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15" s="23" t="str">
        <f ca="1">IFERROR(__xludf.DUMMYFUNCTION("""COMPUTED_VALUE"""),"المصعد")</f>
        <v>المصعد</v>
      </c>
      <c r="H15" s="23" t="str">
        <f ca="1">IFERROR(__xludf.DUMMYFUNCTION("""COMPUTED_VALUE"""),"تنظيف جميع البوابات")</f>
        <v>تنظيف جميع البوابات</v>
      </c>
      <c r="I15" s="23"/>
      <c r="J15" s="23" t="s">
        <v>89</v>
      </c>
      <c r="K15" s="23" t="s">
        <v>13</v>
      </c>
      <c r="L15" s="32">
        <v>46128.296417245372</v>
      </c>
      <c r="M15" s="23"/>
      <c r="N15" s="2" t="s">
        <v>77</v>
      </c>
    </row>
    <row r="16" spans="1:14" ht="75" customHeight="1" thickTop="1" thickBot="1">
      <c r="A16" s="23">
        <v>14</v>
      </c>
      <c r="B16" s="32">
        <f ca="1">IFERROR(__xludf.DUMMYFUNCTION("""COMPUTED_VALUE"""),46127.3885437962)</f>
        <v>46127.388543796202</v>
      </c>
      <c r="C16" s="33" t="str">
        <f ca="1">IFERROR(__xludf.DUMMYFUNCTION("""COMPUTED_VALUE"""),"المعملجي")</f>
        <v>المعملجي</v>
      </c>
      <c r="D16" s="33" t="str">
        <f ca="1">IFERROR(__xludf.DUMMYFUNCTION("""COMPUTED_VALUE"""),"وحدة الكهرباء")</f>
        <v>وحدة الكهرباء</v>
      </c>
      <c r="E16" s="23" t="str">
        <f ca="1">IFERROR(__xludf.DUMMYFUNCTION("""COMPUTED_VALUE"""),"قسم المشاريع الهندسية")</f>
        <v>قسم المشاريع الهندسية</v>
      </c>
      <c r="F1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16" s="23" t="str">
        <f ca="1">IFERROR(__xludf.DUMMYFUNCTION("""COMPUTED_VALUE"""),"كل البناية")</f>
        <v>كل البناية</v>
      </c>
      <c r="H16" s="23" t="str">
        <f ca="1">IFERROR(__xludf.DUMMYFUNCTION("""COMPUTED_VALUE"""),"تنظيف بوردات الكهرباء")</f>
        <v>تنظيف بوردات الكهرباء</v>
      </c>
      <c r="I16" s="23"/>
      <c r="J16" s="23" t="s">
        <v>89</v>
      </c>
      <c r="K16" s="23" t="s">
        <v>13</v>
      </c>
      <c r="L16" s="32">
        <v>46128.296421053237</v>
      </c>
      <c r="M16" s="23"/>
      <c r="N16" s="2" t="s">
        <v>77</v>
      </c>
    </row>
    <row r="17" spans="1:14" ht="75" customHeight="1" thickTop="1" thickBot="1">
      <c r="A17" s="25">
        <v>15</v>
      </c>
      <c r="B17" s="32">
        <f ca="1">IFERROR(__xludf.DUMMYFUNCTION("""COMPUTED_VALUE"""),46127.3889491088)</f>
        <v>46127.388949108798</v>
      </c>
      <c r="C17" s="33" t="str">
        <f ca="1">IFERROR(__xludf.DUMMYFUNCTION("""COMPUTED_VALUE"""),"المعملجي")</f>
        <v>المعملجي</v>
      </c>
      <c r="D17" s="33" t="str">
        <f ca="1">IFERROR(__xludf.DUMMYFUNCTION("""COMPUTED_VALUE"""),"وحدة الكهرباء")</f>
        <v>وحدة الكهرباء</v>
      </c>
      <c r="E17" s="23" t="str">
        <f ca="1">IFERROR(__xludf.DUMMYFUNCTION("""COMPUTED_VALUE"""),"قسم المشاريع الهندسية")</f>
        <v>قسم المشاريع الهندسية</v>
      </c>
      <c r="F17" s="23" t="str">
        <f ca="1">IFERROR(__xludf.DUMMYFUNCTION("""COMPUTED_VALUE"""),"F-  ابتدائية جود العميد للبنات (الرابعة)")</f>
        <v>F-  ابتدائية جود العميد للبنات (الرابعة)</v>
      </c>
      <c r="G17" s="23" t="str">
        <f ca="1">IFERROR(__xludf.DUMMYFUNCTION("""COMPUTED_VALUE"""),"الساحة ZONE B, غرفة الكهرباء")</f>
        <v>الساحة ZONE B, غرفة الكهرباء</v>
      </c>
      <c r="H17" s="23" t="str">
        <f ca="1">IFERROR(__xludf.DUMMYFUNCTION("""COMPUTED_VALUE"""),"فحص  كفاءة بطاريات UPS المدرسة (أثناء تشغيل الشاشات) بعد إطفاء الكهرباء عنهُ.")</f>
        <v>فحص  كفاءة بطاريات UPS المدرسة (أثناء تشغيل الشاشات) بعد إطفاء الكهرباء عنهُ.</v>
      </c>
      <c r="I17" s="23"/>
      <c r="J17" s="23" t="s">
        <v>89</v>
      </c>
      <c r="K17" s="23" t="s">
        <v>13</v>
      </c>
      <c r="L17" s="32">
        <v>46128.296428842594</v>
      </c>
      <c r="M17" s="23"/>
      <c r="N17" s="2" t="s">
        <v>77</v>
      </c>
    </row>
    <row r="18" spans="1:14" ht="75" customHeight="1" thickTop="1" thickBot="1">
      <c r="A18" s="23">
        <v>16</v>
      </c>
      <c r="B18" s="32">
        <f ca="1">IFERROR(__xludf.DUMMYFUNCTION("""COMPUTED_VALUE"""),46127.3896086111)</f>
        <v>46127.389608611098</v>
      </c>
      <c r="C18" s="33" t="str">
        <f ca="1">IFERROR(__xludf.DUMMYFUNCTION("""COMPUTED_VALUE"""),"المعملجي")</f>
        <v>المعملجي</v>
      </c>
      <c r="D18" s="33" t="str">
        <f ca="1">IFERROR(__xludf.DUMMYFUNCTION("""COMPUTED_VALUE"""),"وحدة الكهرباء")</f>
        <v>وحدة الكهرباء</v>
      </c>
      <c r="E18" s="23" t="str">
        <f ca="1">IFERROR(__xludf.DUMMYFUNCTION("""COMPUTED_VALUE"""),"قسم المشاريع الهندسية")</f>
        <v>قسم المشاريع الهندسية</v>
      </c>
      <c r="F18" s="23" t="str">
        <f ca="1">IFERROR(__xludf.DUMMYFUNCTION("""COMPUTED_VALUE"""),"شعبة الصيانة")</f>
        <v>شعبة الصيانة</v>
      </c>
      <c r="G18" s="23" t="str">
        <f ca="1">IFERROR(__xludf.DUMMYFUNCTION("""COMPUTED_VALUE"""),"وحدة المدني")</f>
        <v>وحدة المدني</v>
      </c>
      <c r="H18" s="23" t="str">
        <f ca="1">IFERROR(__xludf.DUMMYFUNCTION("""COMPUTED_VALUE"""),"إصلاح الخلل في كيبل الكاميرا واستبدال قطعة COUPLER الواصلة بين السلكين")</f>
        <v>إصلاح الخلل في كيبل الكاميرا واستبدال قطعة COUPLER الواصلة بين السلكين</v>
      </c>
      <c r="I18" s="23"/>
      <c r="J18" s="23" t="s">
        <v>89</v>
      </c>
      <c r="K18" s="23" t="s">
        <v>13</v>
      </c>
      <c r="L18" s="32">
        <v>46128.296440358798</v>
      </c>
      <c r="M18" s="23"/>
      <c r="N18" s="2" t="s">
        <v>77</v>
      </c>
    </row>
    <row r="19" spans="1:14" ht="75" customHeight="1" thickTop="1" thickBot="1">
      <c r="A19" s="25">
        <v>17</v>
      </c>
      <c r="B19" s="32">
        <f ca="1">IFERROR(__xludf.DUMMYFUNCTION("""COMPUTED_VALUE"""),46127.3903932754)</f>
        <v>46127.390393275396</v>
      </c>
      <c r="C19" s="33" t="str">
        <f ca="1">IFERROR(__xludf.DUMMYFUNCTION("""COMPUTED_VALUE"""),"المعملجي")</f>
        <v>المعملجي</v>
      </c>
      <c r="D19" s="33" t="str">
        <f ca="1">IFERROR(__xludf.DUMMYFUNCTION("""COMPUTED_VALUE"""),"وحدة الكهرباء")</f>
        <v>وحدة الكهرباء</v>
      </c>
      <c r="E19" s="23" t="str">
        <f ca="1">IFERROR(__xludf.DUMMYFUNCTION("""COMPUTED_VALUE"""),"قسم المشاريع الهندسية")</f>
        <v>قسم المشاريع الهندسية</v>
      </c>
      <c r="F19" s="23" t="str">
        <f ca="1">IFERROR(__xludf.DUMMYFUNCTION("""COMPUTED_VALUE"""),"A- المركز الثقافي")</f>
        <v>A- المركز الثقافي</v>
      </c>
      <c r="G19" s="23" t="str">
        <f ca="1">IFERROR(__xludf.DUMMYFUNCTION("""COMPUTED_VALUE"""),"الطابق الاول, غرفة الكهرباء")</f>
        <v>الطابق الاول, غرفة الكهرباء</v>
      </c>
      <c r="H19" s="23" t="str">
        <f ca="1">IFERROR(__xludf.DUMMYFUNCTION("""COMPUTED_VALUE"""),"عمل تأريض الى UPS كحل اولي تجريبي بسبب الانفصال المتكرر وتحوله الى وضع bypass ")</f>
        <v xml:space="preserve">عمل تأريض الى UPS كحل اولي تجريبي بسبب الانفصال المتكرر وتحوله الى وضع bypass </v>
      </c>
      <c r="I19" s="23"/>
      <c r="J19" s="23" t="s">
        <v>89</v>
      </c>
      <c r="K19" s="23" t="s">
        <v>13</v>
      </c>
      <c r="L19" s="32">
        <v>46128.296447673609</v>
      </c>
      <c r="M19" s="23"/>
      <c r="N19" s="2" t="s">
        <v>77</v>
      </c>
    </row>
    <row r="20" spans="1:14" ht="75" customHeight="1" thickTop="1" thickBot="1">
      <c r="A20" s="23">
        <v>18</v>
      </c>
      <c r="B20" s="32">
        <f ca="1">IFERROR(__xludf.DUMMYFUNCTION("""COMPUTED_VALUE"""),46127.3920273611)</f>
        <v>46127.3920273611</v>
      </c>
      <c r="C20" s="33" t="str">
        <f ca="1">IFERROR(__xludf.DUMMYFUNCTION("""COMPUTED_VALUE"""),"المعملجي")</f>
        <v>المعملجي</v>
      </c>
      <c r="D20" s="33" t="str">
        <f ca="1">IFERROR(__xludf.DUMMYFUNCTION("""COMPUTED_VALUE"""),"وحدة الكهرباء")</f>
        <v>وحدة الكهرباء</v>
      </c>
      <c r="E20" s="23" t="str">
        <f ca="1">IFERROR(__xludf.DUMMYFUNCTION("""COMPUTED_VALUE"""),"قسم المشاريع الهندسية")</f>
        <v>قسم المشاريع الهندسية</v>
      </c>
      <c r="F20" s="23" t="str">
        <f ca="1">IFERROR(__xludf.DUMMYFUNCTION("""COMPUTED_VALUE"""),"المختبرات")</f>
        <v>المختبرات</v>
      </c>
      <c r="G20" s="23" t="str">
        <f ca="1">IFERROR(__xludf.DUMMYFUNCTION("""COMPUTED_VALUE"""),"غرفة المولدات")</f>
        <v>غرفة المولدات</v>
      </c>
      <c r="H20" s="23" t="str">
        <f ca="1">IFERROR(__xludf.DUMMYFUNCTION("""COMPUTED_VALUE"""),"تسليك كيبل من غرفة كهرباء المحطة إلى غرفة تزامن المختبرات لغرض تغذيتها بالطاقة الشمسية.")</f>
        <v>تسليك كيبل من غرفة كهرباء المحطة إلى غرفة تزامن المختبرات لغرض تغذيتها بالطاقة الشمسية.</v>
      </c>
      <c r="I20" s="23"/>
      <c r="J20" s="23" t="s">
        <v>89</v>
      </c>
      <c r="K20" s="23" t="s">
        <v>13</v>
      </c>
      <c r="L20" s="32">
        <v>46128.296457048607</v>
      </c>
      <c r="M20" s="23"/>
      <c r="N20" s="2" t="s">
        <v>77</v>
      </c>
    </row>
    <row r="21" spans="1:14" ht="75" customHeight="1" thickTop="1" thickBot="1">
      <c r="A21" s="25">
        <v>19</v>
      </c>
      <c r="B21" s="32">
        <f ca="1">IFERROR(__xludf.DUMMYFUNCTION("""COMPUTED_VALUE"""),46127.3928667708)</f>
        <v>46127.392866770802</v>
      </c>
      <c r="C21" s="33" t="str">
        <f ca="1">IFERROR(__xludf.DUMMYFUNCTION("""COMPUTED_VALUE"""),"المعملجي")</f>
        <v>المعملجي</v>
      </c>
      <c r="D21" s="33" t="str">
        <f ca="1">IFERROR(__xludf.DUMMYFUNCTION("""COMPUTED_VALUE"""),"وحدة الكهرباء")</f>
        <v>وحدة الكهرباء</v>
      </c>
      <c r="E21" s="23" t="str">
        <f ca="1">IFERROR(__xludf.DUMMYFUNCTION("""COMPUTED_VALUE"""),"قسم المشاريع الهندسية")</f>
        <v>قسم المشاريع الهندسية</v>
      </c>
      <c r="F21" s="23" t="str">
        <f ca="1">IFERROR(__xludf.DUMMYFUNCTION("""COMPUTED_VALUE"""),"متنقل")</f>
        <v>متنقل</v>
      </c>
      <c r="G21" s="23" t="str">
        <f ca="1">IFERROR(__xludf.DUMMYFUNCTION("""COMPUTED_VALUE"""),".")</f>
        <v>.</v>
      </c>
      <c r="H21" s="23" t="str">
        <f ca="1">IFERROR(__xludf.DUMMYFUNCTION("""COMPUTED_VALUE"""),"عمل سيار كهرباء بنقطة واحد طول 5 متر تقريباً تلبية لطلب احد الأخوة من قسم التربية")</f>
        <v>عمل سيار كهرباء بنقطة واحد طول 5 متر تقريباً تلبية لطلب احد الأخوة من قسم التربية</v>
      </c>
      <c r="I21" s="23"/>
      <c r="J21" s="23" t="s">
        <v>89</v>
      </c>
      <c r="K21" s="23" t="s">
        <v>13</v>
      </c>
      <c r="L21" s="32">
        <v>46128.296461284721</v>
      </c>
      <c r="M21" s="23"/>
      <c r="N21" s="2" t="s">
        <v>77</v>
      </c>
    </row>
    <row r="22" spans="1:14" ht="75" customHeight="1" thickTop="1" thickBot="1">
      <c r="A22" s="23">
        <v>20</v>
      </c>
      <c r="B22" s="32">
        <f ca="1">IFERROR(__xludf.DUMMYFUNCTION("""COMPUTED_VALUE"""),46127.3939121296)</f>
        <v>46127.393912129599</v>
      </c>
      <c r="C22" s="33" t="str">
        <f ca="1">IFERROR(__xludf.DUMMYFUNCTION("""COMPUTED_VALUE"""),"المعملجي")</f>
        <v>المعملجي</v>
      </c>
      <c r="D22" s="33" t="str">
        <f ca="1">IFERROR(__xludf.DUMMYFUNCTION("""COMPUTED_VALUE"""),"وحدة الكهرباء")</f>
        <v>وحدة الكهرباء</v>
      </c>
      <c r="E22" s="23" t="str">
        <f ca="1">IFERROR(__xludf.DUMMYFUNCTION("""COMPUTED_VALUE"""),"قسم المشاريع الهندسية")</f>
        <v>قسم المشاريع الهندسية</v>
      </c>
      <c r="F22" s="23" t="str">
        <f ca="1">IFERROR(__xludf.DUMMYFUNCTION("""COMPUTED_VALUE"""),"H- ابتدائية القمر للبنات (الخامسة)")</f>
        <v>H- ابتدائية القمر للبنات (الخامسة)</v>
      </c>
      <c r="G22" s="23" t="str">
        <f ca="1">IFERROR(__xludf.DUMMYFUNCTION("""COMPUTED_VALUE"""),"الساحة ZONE B, غرفة الكهرباء")</f>
        <v>الساحة ZONE B, غرفة الكهرباء</v>
      </c>
      <c r="H22" s="23" t="str">
        <f ca="1">IFERROR(__xludf.DUMMYFUNCTION("""COMPUTED_VALUE"""),"فحص كفاءة بطاريات UPS المدرسة (أثناء تشغيل الشاشات) بعد إطفاء الكهرباء عنهُ.
")</f>
        <v xml:space="preserve">فحص كفاءة بطاريات UPS المدرسة (أثناء تشغيل الشاشات) بعد إطفاء الكهرباء عنهُ.
</v>
      </c>
      <c r="I22" s="23"/>
      <c r="J22" s="23" t="s">
        <v>89</v>
      </c>
      <c r="K22" s="23" t="s">
        <v>13</v>
      </c>
      <c r="L22" s="32">
        <v>46128.296472523143</v>
      </c>
      <c r="M22" s="23"/>
      <c r="N22" s="2" t="s">
        <v>77</v>
      </c>
    </row>
    <row r="23" spans="1:14" ht="75" customHeight="1" thickTop="1" thickBot="1">
      <c r="A23" s="25">
        <v>21</v>
      </c>
      <c r="B23" s="32">
        <f ca="1">IFERROR(__xludf.DUMMYFUNCTION("""COMPUTED_VALUE"""),46127.3943282986)</f>
        <v>46127.3943282986</v>
      </c>
      <c r="C23" s="33" t="str">
        <f ca="1">IFERROR(__xludf.DUMMYFUNCTION("""COMPUTED_VALUE"""),"المعملجي")</f>
        <v>المعملجي</v>
      </c>
      <c r="D23" s="33" t="str">
        <f ca="1">IFERROR(__xludf.DUMMYFUNCTION("""COMPUTED_VALUE"""),"وحدة الكهرباء")</f>
        <v>وحدة الكهرباء</v>
      </c>
      <c r="E23" s="23" t="str">
        <f ca="1">IFERROR(__xludf.DUMMYFUNCTION("""COMPUTED_VALUE"""),"قسم المشاريع الهندسية")</f>
        <v>قسم المشاريع الهندسية</v>
      </c>
      <c r="F23" s="23" t="str">
        <f ca="1">IFERROR(__xludf.DUMMYFUNCTION("""COMPUTED_VALUE"""),"H- ابتدائية القمر للبنات (الخامسة)")</f>
        <v>H- ابتدائية القمر للبنات (الخامسة)</v>
      </c>
      <c r="G23" s="23" t="str">
        <f ca="1">IFERROR(__xludf.DUMMYFUNCTION("""COMPUTED_VALUE"""),"الساحة ZONE B, غرفة الكهرباء")</f>
        <v>الساحة ZONE B, غرفة الكهرباء</v>
      </c>
      <c r="H23" s="23" t="str">
        <f ca="1">IFERROR(__xludf.DUMMYFUNCTION("""COMPUTED_VALUE"""),"التفعيل لــScheduling تجريبي لغرض الفحص (الإطفاء فقط) في منظومة التبريد VRF")</f>
        <v>التفعيل لــScheduling تجريبي لغرض الفحص (الإطفاء فقط) في منظومة التبريد VRF</v>
      </c>
      <c r="I23" s="23"/>
      <c r="J23" s="23" t="s">
        <v>89</v>
      </c>
      <c r="K23" s="23" t="s">
        <v>13</v>
      </c>
      <c r="L23" s="32">
        <v>46128.296477939817</v>
      </c>
      <c r="M23" s="23"/>
      <c r="N23" s="2" t="s">
        <v>77</v>
      </c>
    </row>
    <row r="24" spans="1:14" ht="75" customHeight="1" thickTop="1" thickBot="1">
      <c r="A24" s="23">
        <v>22</v>
      </c>
      <c r="B24" s="32">
        <f ca="1">IFERROR(__xludf.DUMMYFUNCTION("""COMPUTED_VALUE"""),46127.4003222106)</f>
        <v>46127.400322210597</v>
      </c>
      <c r="C24" s="33" t="str">
        <f ca="1">IFERROR(__xludf.DUMMYFUNCTION("""COMPUTED_VALUE"""),"المعملجي")</f>
        <v>المعملجي</v>
      </c>
      <c r="D24" s="33" t="str">
        <f ca="1">IFERROR(__xludf.DUMMYFUNCTION("""COMPUTED_VALUE"""),"وحدة الكهرباء")</f>
        <v>وحدة الكهرباء</v>
      </c>
      <c r="E24" s="23" t="str">
        <f ca="1">IFERROR(__xludf.DUMMYFUNCTION("""COMPUTED_VALUE"""),"قسم المشاريع الهندسية")</f>
        <v>قسم المشاريع الهندسية</v>
      </c>
      <c r="F24" s="23" t="str">
        <f ca="1">IFERROR(__xludf.DUMMYFUNCTION("""COMPUTED_VALUE"""),"J- جامعة العميد (السابعة)")</f>
        <v>J- جامعة العميد (السابعة)</v>
      </c>
      <c r="G24" s="23" t="str">
        <f ca="1">IFERROR(__xludf.DUMMYFUNCTION("""COMPUTED_VALUE"""),"الساحة ZONE B, غرفة الكهرباء")</f>
        <v>الساحة ZONE B, غرفة الكهرباء</v>
      </c>
      <c r="H24" s="23" t="str">
        <f ca="1">IFERROR(__xludf.DUMMYFUNCTION("""COMPUTED_VALUE"""),"تشخيص الوحدات الداخلية للتبريد المركزي VRV الخاصة بغرف الكهرباء ")</f>
        <v xml:space="preserve">تشخيص الوحدات الداخلية للتبريد المركزي VRV الخاصة بغرف الكهرباء </v>
      </c>
      <c r="I24" s="23"/>
      <c r="J24" s="23" t="s">
        <v>89</v>
      </c>
      <c r="K24" s="23" t="s">
        <v>13</v>
      </c>
      <c r="L24" s="32">
        <v>46128.296486203704</v>
      </c>
      <c r="M24" s="23"/>
      <c r="N24" s="2"/>
    </row>
    <row r="25" spans="1:14" ht="75" customHeight="1" thickTop="1" thickBot="1">
      <c r="A25" s="25">
        <v>23</v>
      </c>
      <c r="B25" s="32">
        <f ca="1">IFERROR(__xludf.DUMMYFUNCTION("""COMPUTED_VALUE"""),46127.4014145486)</f>
        <v>46127.4014145486</v>
      </c>
      <c r="C25" s="33" t="str">
        <f ca="1">IFERROR(__xludf.DUMMYFUNCTION("""COMPUTED_VALUE"""),"المعملجي")</f>
        <v>المعملجي</v>
      </c>
      <c r="D25" s="33" t="str">
        <f ca="1">IFERROR(__xludf.DUMMYFUNCTION("""COMPUTED_VALUE"""),"وحدة الكهرباء")</f>
        <v>وحدة الكهرباء</v>
      </c>
      <c r="E25" s="23" t="str">
        <f ca="1">IFERROR(__xludf.DUMMYFUNCTION("""COMPUTED_VALUE"""),"قسم المشاريع الهندسية")</f>
        <v>قسم المشاريع الهندسية</v>
      </c>
      <c r="F25" s="23" t="str">
        <f ca="1">IFERROR(__xludf.DUMMYFUNCTION("""COMPUTED_VALUE"""),"E- ابتدائية العميد للبنات (الثالثة)")</f>
        <v>E- ابتدائية العميد للبنات (الثالثة)</v>
      </c>
      <c r="G25" s="23" t="str">
        <f ca="1">IFERROR(__xludf.DUMMYFUNCTION("""COMPUTED_VALUE"""),"الادائرة ZONE A, غرفة الكهرباء")</f>
        <v>الادائرة ZONE A, غرفة الكهرباء</v>
      </c>
      <c r="H25" s="23" t="str">
        <f ca="1">IFERROR(__xludf.DUMMYFUNCTION("""COMPUTED_VALUE"""),"انجاز 70% من دائرة السيطرة ( ربط مولدات محطة الرفع مع المدارس الاربعة) في المدرسة ")</f>
        <v xml:space="preserve">انجاز 70% من دائرة السيطرة ( ربط مولدات محطة الرفع مع المدارس الاربعة) في المدرسة </v>
      </c>
      <c r="I25" s="23"/>
      <c r="J25" s="23" t="s">
        <v>89</v>
      </c>
      <c r="K25" s="23" t="s">
        <v>13</v>
      </c>
      <c r="L25" s="32">
        <v>46128.296502870369</v>
      </c>
      <c r="M25" s="23"/>
      <c r="N25" s="2"/>
    </row>
    <row r="26" spans="1:14" ht="75" customHeight="1" thickTop="1" thickBot="1">
      <c r="A26" s="23">
        <v>24</v>
      </c>
      <c r="B26" s="32">
        <f ca="1">IFERROR(__xludf.DUMMYFUNCTION("""COMPUTED_VALUE"""),46127.4029686805)</f>
        <v>46127.402968680501</v>
      </c>
      <c r="C26" s="33" t="str">
        <f ca="1">IFERROR(__xludf.DUMMYFUNCTION("""COMPUTED_VALUE"""),"المعملجي")</f>
        <v>المعملجي</v>
      </c>
      <c r="D26" s="33" t="str">
        <f ca="1">IFERROR(__xludf.DUMMYFUNCTION("""COMPUTED_VALUE"""),"وحدة الكهرباء")</f>
        <v>وحدة الكهرباء</v>
      </c>
      <c r="E26" s="23" t="str">
        <f ca="1">IFERROR(__xludf.DUMMYFUNCTION("""COMPUTED_VALUE"""),"قسم المشاريع الهندسية")</f>
        <v>قسم المشاريع الهندسية</v>
      </c>
      <c r="F26" s="23" t="str">
        <f ca="1">IFERROR(__xludf.DUMMYFUNCTION("""COMPUTED_VALUE"""),"E- ابتدائية العميد للبنات (الثالثة), F-  ابتدائية جود العميد للبنات (الرابعة)")</f>
        <v>E- ابتدائية العميد للبنات (الثالثة), F-  ابتدائية جود العميد للبنات (الرابعة)</v>
      </c>
      <c r="G26" s="23"/>
      <c r="H26" s="23" t="str">
        <f ca="1">IFERROR(__xludf.DUMMYFUNCTION("""COMPUTED_VALUE"""),"تم تسليك أسلاك إشارة داخل مزامنة مولدات المدرسة بسبب قطع")</f>
        <v>تم تسليك أسلاك إشارة داخل مزامنة مولدات المدرسة بسبب قطع</v>
      </c>
      <c r="I26" s="23"/>
      <c r="J26" s="23" t="s">
        <v>89</v>
      </c>
      <c r="K26" s="23" t="s">
        <v>13</v>
      </c>
      <c r="L26" s="32">
        <v>46128.296502974539</v>
      </c>
      <c r="M26" s="23"/>
      <c r="N26" s="2"/>
    </row>
    <row r="27" spans="1:14" ht="75" customHeight="1" thickTop="1" thickBot="1">
      <c r="A27" s="25">
        <v>25</v>
      </c>
      <c r="B27" s="32">
        <f ca="1">IFERROR(__xludf.DUMMYFUNCTION("""COMPUTED_VALUE"""),46127.4037817013)</f>
        <v>46127.403781701301</v>
      </c>
      <c r="C27" s="33" t="str">
        <f ca="1">IFERROR(__xludf.DUMMYFUNCTION("""COMPUTED_VALUE"""),"المعملجي")</f>
        <v>المعملجي</v>
      </c>
      <c r="D27" s="33" t="str">
        <f ca="1">IFERROR(__xludf.DUMMYFUNCTION("""COMPUTED_VALUE"""),"وحدة الكهرباء")</f>
        <v>وحدة الكهرباء</v>
      </c>
      <c r="E27" s="23" t="str">
        <f ca="1">IFERROR(__xludf.DUMMYFUNCTION("""COMPUTED_VALUE"""),"قسم المشاريع الهندسية")</f>
        <v>قسم المشاريع الهندسية</v>
      </c>
      <c r="F27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7" s="23" t="str">
        <f ca="1">IFERROR(__xludf.DUMMYFUNCTION("""COMPUTED_VALUE"""),"الادائرة ZONE A, غرفة الكهرباء")</f>
        <v>الادائرة ZONE A, غرفة الكهرباء</v>
      </c>
      <c r="H27" s="23" t="str">
        <f ca="1">IFERROR(__xludf.DUMMYFUNCTION("""COMPUTED_VALUE"""),"ربط دائرة السيطرة في لوحة التزامن بحيث يتم تشغيل مولدات الـ 1M عند تجاوز الأحمال 100A")</f>
        <v>ربط دائرة السيطرة في لوحة التزامن بحيث يتم تشغيل مولدات الـ 1M عند تجاوز الأحمال 100A</v>
      </c>
      <c r="I27" s="23"/>
      <c r="J27" s="23" t="s">
        <v>89</v>
      </c>
      <c r="K27" s="23" t="s">
        <v>13</v>
      </c>
      <c r="L27" s="32">
        <v>46128.296513391208</v>
      </c>
      <c r="M27" s="23"/>
      <c r="N27" s="2"/>
    </row>
    <row r="28" spans="1:14" ht="75" customHeight="1" thickTop="1" thickBot="1">
      <c r="A28" s="23">
        <v>26</v>
      </c>
      <c r="B28" s="32">
        <f ca="1">IFERROR(__xludf.DUMMYFUNCTION("""COMPUTED_VALUE"""),46127.4040343055)</f>
        <v>46127.404034305502</v>
      </c>
      <c r="C28" s="33" t="str">
        <f ca="1">IFERROR(__xludf.DUMMYFUNCTION("""COMPUTED_VALUE"""),"المعملجي")</f>
        <v>المعملجي</v>
      </c>
      <c r="D28" s="33" t="str">
        <f ca="1">IFERROR(__xludf.DUMMYFUNCTION("""COMPUTED_VALUE"""),"وحدة الكهرباء")</f>
        <v>وحدة الكهرباء</v>
      </c>
      <c r="E28" s="23" t="str">
        <f ca="1">IFERROR(__xludf.DUMMYFUNCTION("""COMPUTED_VALUE"""),"قسم المشاريع الهندسية")</f>
        <v>قسم المشاريع الهندسية</v>
      </c>
      <c r="F2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28" s="23" t="str">
        <f ca="1">IFERROR(__xludf.DUMMYFUNCTION("""COMPUTED_VALUE"""),"الادائرة ZONE A, غرفة الكهرباء")</f>
        <v>الادائرة ZONE A, غرفة الكهرباء</v>
      </c>
      <c r="H28" s="23" t="str">
        <f ca="1">IFERROR(__xludf.DUMMYFUNCTION("""COMPUTED_VALUE"""),"ربط دائرة السيطرة في لوحة التزامن بحيث يتم تشغيل مولدات الـ 1M عند تجاوز الأحمال 100A ")</f>
        <v xml:space="preserve">ربط دائرة السيطرة في لوحة التزامن بحيث يتم تشغيل مولدات الـ 1M عند تجاوز الأحمال 100A </v>
      </c>
      <c r="I28" s="23"/>
      <c r="J28" s="23" t="s">
        <v>89</v>
      </c>
      <c r="K28" s="23" t="s">
        <v>13</v>
      </c>
      <c r="L28" s="32">
        <v>46128.296519201387</v>
      </c>
      <c r="M28" s="23"/>
      <c r="N28" s="2"/>
    </row>
    <row r="29" spans="1:14" ht="75" customHeight="1" thickTop="1" thickBot="1">
      <c r="A29" s="25">
        <v>27</v>
      </c>
      <c r="B29" s="32">
        <f ca="1">IFERROR(__xludf.DUMMYFUNCTION("""COMPUTED_VALUE"""),46127.4046727662)</f>
        <v>46127.404672766199</v>
      </c>
      <c r="C29" s="33" t="str">
        <f ca="1">IFERROR(__xludf.DUMMYFUNCTION("""COMPUTED_VALUE"""),"المعملجي")</f>
        <v>المعملجي</v>
      </c>
      <c r="D29" s="33" t="str">
        <f ca="1">IFERROR(__xludf.DUMMYFUNCTION("""COMPUTED_VALUE"""),"وحدة الكهرباء")</f>
        <v>وحدة الكهرباء</v>
      </c>
      <c r="E29" s="23" t="str">
        <f ca="1">IFERROR(__xludf.DUMMYFUNCTION("""COMPUTED_VALUE"""),"قسم المشاريع الهندسية")</f>
        <v>قسم المشاريع الهندسية</v>
      </c>
      <c r="F29" s="23" t="str">
        <f ca="1">IFERROR(__xludf.DUMMYFUNCTION("""COMPUTED_VALUE"""),"I- ابتدائية الساقي للبنين (السادسة)")</f>
        <v>I- ابتدائية الساقي للبنين (السادسة)</v>
      </c>
      <c r="G29" s="23" t="str">
        <f ca="1">IFERROR(__xludf.DUMMYFUNCTION("""COMPUTED_VALUE"""),"الساحة ZONE B, غرفة الكهرباء")</f>
        <v>الساحة ZONE B, غرفة الكهرباء</v>
      </c>
      <c r="H29" s="23" t="str">
        <f ca="1">IFERROR(__xludf.DUMMYFUNCTION("""COMPUTED_VALUE"""),"فحص  UPS الخاص بالشاشات فقط للمدرسة بعد إطفاء الكهرباء عنه")</f>
        <v>فحص  UPS الخاص بالشاشات فقط للمدرسة بعد إطفاء الكهرباء عنه</v>
      </c>
      <c r="I29" s="23"/>
      <c r="J29" s="23" t="s">
        <v>89</v>
      </c>
      <c r="K29" s="23" t="s">
        <v>13</v>
      </c>
      <c r="L29" s="32">
        <v>46128.296524502315</v>
      </c>
      <c r="M29" s="23"/>
      <c r="N29" s="2"/>
    </row>
    <row r="30" spans="1:14" ht="75" customHeight="1" thickTop="1" thickBot="1">
      <c r="A30" s="23">
        <v>28</v>
      </c>
      <c r="B30" s="32">
        <f ca="1">IFERROR(__xludf.DUMMYFUNCTION("""COMPUTED_VALUE"""),46127.4201298148)</f>
        <v>46127.420129814796</v>
      </c>
      <c r="C30" s="33" t="str">
        <f ca="1">IFERROR(__xludf.DUMMYFUNCTION("""COMPUTED_VALUE"""),"المعملجي")</f>
        <v>المعملجي</v>
      </c>
      <c r="D30" s="33" t="str">
        <f ca="1">IFERROR(__xludf.DUMMYFUNCTION("""COMPUTED_VALUE"""),"وحدة الكهرباء")</f>
        <v>وحدة الكهرباء</v>
      </c>
      <c r="E30" s="23" t="str">
        <f ca="1">IFERROR(__xludf.DUMMYFUNCTION("""COMPUTED_VALUE"""),"قسم المشاريع الهندسية")</f>
        <v>قسم المشاريع الهندسية</v>
      </c>
      <c r="F30" s="23" t="str">
        <f ca="1">IFERROR(__xludf.DUMMYFUNCTION("""COMPUTED_VALUE"""),"J- جامعة العميد (السابعة)")</f>
        <v>J- جامعة العميد (السابعة)</v>
      </c>
      <c r="G30" s="23" t="str">
        <f ca="1">IFERROR(__xludf.DUMMYFUNCTION("""COMPUTED_VALUE"""),"الساحة ZONE B, غرفة الكهرباء")</f>
        <v>الساحة ZONE B, غرفة الكهرباء</v>
      </c>
      <c r="H30" s="23" t="str">
        <f ca="1">IFERROR(__xludf.DUMMYFUNCTION("""COMPUTED_VALUE"""),"عمل جدولتين Schedule لإيقاف تشغيل  التبريد VRV 
")</f>
        <v xml:space="preserve">عمل جدولتين Schedule لإيقاف تشغيل  التبريد VRV 
</v>
      </c>
      <c r="I30" s="23"/>
      <c r="J30" s="23" t="s">
        <v>89</v>
      </c>
      <c r="K30" s="23" t="s">
        <v>13</v>
      </c>
      <c r="L30" s="32">
        <v>46128.296538900468</v>
      </c>
      <c r="M30" s="23"/>
      <c r="N30" s="2"/>
    </row>
    <row r="31" spans="1:14" ht="75" customHeight="1" thickTop="1" thickBot="1">
      <c r="A31" s="25">
        <v>29</v>
      </c>
      <c r="B31" s="32">
        <f ca="1">IFERROR(__xludf.DUMMYFUNCTION("""COMPUTED_VALUE"""),46127.4207719676)</f>
        <v>46127.420771967598</v>
      </c>
      <c r="C31" s="33" t="str">
        <f ca="1">IFERROR(__xludf.DUMMYFUNCTION("""COMPUTED_VALUE"""),"المعملجي")</f>
        <v>المعملجي</v>
      </c>
      <c r="D31" s="33" t="str">
        <f ca="1">IFERROR(__xludf.DUMMYFUNCTION("""COMPUTED_VALUE"""),"وحدة الكهرباء")</f>
        <v>وحدة الكهرباء</v>
      </c>
      <c r="E31" s="23" t="str">
        <f ca="1">IFERROR(__xludf.DUMMYFUNCTION("""COMPUTED_VALUE"""),"قسم المشاريع الهندسية")</f>
        <v>قسم المشاريع الهندسية</v>
      </c>
      <c r="F31" s="23" t="str">
        <f ca="1">IFERROR(__xludf.DUMMYFUNCTION("""COMPUTED_VALUE"""),"A- المركز الثقافي")</f>
        <v>A- المركز الثقافي</v>
      </c>
      <c r="G31" s="23" t="str">
        <f ca="1">IFERROR(__xludf.DUMMYFUNCTION("""COMPUTED_VALUE"""),"الطابق الاول, غرفة الكهرباء")</f>
        <v>الطابق الاول, غرفة الكهرباء</v>
      </c>
      <c r="H31" s="23" t="str">
        <f ca="1">IFERROR(__xludf.DUMMYFUNCTION("""COMPUTED_VALUE""")," UPS 10K  3-phase بآخر  6 K  Single phase استبدال")</f>
        <v xml:space="preserve"> UPS 10K  3-phase بآخر  6 K  Single phase استبدال</v>
      </c>
      <c r="I31" s="23"/>
      <c r="J31" s="23" t="s">
        <v>89</v>
      </c>
      <c r="K31" s="23" t="s">
        <v>13</v>
      </c>
      <c r="L31" s="32">
        <v>46128.296550972227</v>
      </c>
      <c r="M31" s="23"/>
      <c r="N31" s="2"/>
    </row>
    <row r="32" spans="1:14" ht="75" customHeight="1" thickTop="1" thickBot="1">
      <c r="A32" s="23">
        <v>30</v>
      </c>
      <c r="B32" s="32">
        <f ca="1">IFERROR(__xludf.DUMMYFUNCTION("""COMPUTED_VALUE"""),46127.421825243)</f>
        <v>46127.421825243</v>
      </c>
      <c r="C32" s="33" t="str">
        <f ca="1">IFERROR(__xludf.DUMMYFUNCTION("""COMPUTED_VALUE"""),"المعملجي")</f>
        <v>المعملجي</v>
      </c>
      <c r="D32" s="33" t="str">
        <f ca="1">IFERROR(__xludf.DUMMYFUNCTION("""COMPUTED_VALUE"""),"وحدة الكهرباء")</f>
        <v>وحدة الكهرباء</v>
      </c>
      <c r="E32" s="23" t="str">
        <f ca="1">IFERROR(__xludf.DUMMYFUNCTION("""COMPUTED_VALUE"""),"قسم المشاريع الهندسية")</f>
        <v>قسم المشاريع الهندسية</v>
      </c>
      <c r="F32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2" s="23" t="str">
        <f ca="1">IFERROR(__xludf.DUMMYFUNCTION("""COMPUTED_VALUE"""),"الطابق الارضي, غرفة الكهرباء")</f>
        <v>الطابق الارضي, غرفة الكهرباء</v>
      </c>
      <c r="H32" s="23" t="str">
        <f ca="1">IFERROR(__xludf.DUMMYFUNCTION("""COMPUTED_VALUE"""),"تنظيف البنل الرئيسي وذلك بعد إتمام الأعمال المرتبطة بالمنظومة الجديدة")</f>
        <v>تنظيف البنل الرئيسي وذلك بعد إتمام الأعمال المرتبطة بالمنظومة الجديدة</v>
      </c>
      <c r="I32" s="23"/>
      <c r="J32" s="23" t="s">
        <v>89</v>
      </c>
      <c r="K32" s="23" t="s">
        <v>13</v>
      </c>
      <c r="L32" s="32">
        <v>46128.296555578709</v>
      </c>
      <c r="M32" s="23"/>
      <c r="N32" s="2"/>
    </row>
    <row r="33" spans="1:14" ht="75" customHeight="1" thickTop="1" thickBot="1">
      <c r="A33" s="25">
        <v>31</v>
      </c>
      <c r="B33" s="32">
        <f ca="1">IFERROR(__xludf.DUMMYFUNCTION("""COMPUTED_VALUE"""),46127.4219989236)</f>
        <v>46127.421998923601</v>
      </c>
      <c r="C33" s="33" t="str">
        <f ca="1">IFERROR(__xludf.DUMMYFUNCTION("""COMPUTED_VALUE"""),"المعملجي")</f>
        <v>المعملجي</v>
      </c>
      <c r="D33" s="33" t="str">
        <f ca="1">IFERROR(__xludf.DUMMYFUNCTION("""COMPUTED_VALUE"""),"وحدة الكهرباء")</f>
        <v>وحدة الكهرباء</v>
      </c>
      <c r="E33" s="23" t="str">
        <f ca="1">IFERROR(__xludf.DUMMYFUNCTION("""COMPUTED_VALUE"""),"قسم المشاريع الهندسية")</f>
        <v>قسم المشاريع الهندسية</v>
      </c>
      <c r="F33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33" s="23" t="str">
        <f ca="1">IFERROR(__xludf.DUMMYFUNCTION("""COMPUTED_VALUE"""),"الطابق الارضي, غرفة الكهرباء")</f>
        <v>الطابق الارضي, غرفة الكهرباء</v>
      </c>
      <c r="H33" s="23" t="str">
        <f ca="1">IFERROR(__xludf.DUMMYFUNCTION("""COMPUTED_VALUE"""),"تنظيف البنل الرئيسي وذلك بعد إتمام الأعمال المرتبطة بالمنظومة الجديدة")</f>
        <v>تنظيف البنل الرئيسي وذلك بعد إتمام الأعمال المرتبطة بالمنظومة الجديدة</v>
      </c>
      <c r="I33" s="23"/>
      <c r="J33" s="23" t="s">
        <v>89</v>
      </c>
      <c r="K33" s="23" t="s">
        <v>13</v>
      </c>
      <c r="L33" s="32">
        <v>46128.296572870371</v>
      </c>
      <c r="M33" s="23"/>
      <c r="N33" s="2"/>
    </row>
    <row r="34" spans="1:14" ht="75" customHeight="1" thickTop="1" thickBot="1">
      <c r="A34" s="23">
        <v>32</v>
      </c>
      <c r="B34" s="32">
        <f ca="1">IFERROR(__xludf.DUMMYFUNCTION("""COMPUTED_VALUE"""),46127.4221762847)</f>
        <v>46127.422176284701</v>
      </c>
      <c r="C34" s="33" t="str">
        <f ca="1">IFERROR(__xludf.DUMMYFUNCTION("""COMPUTED_VALUE"""),"المعملجي")</f>
        <v>المعملجي</v>
      </c>
      <c r="D34" s="33" t="str">
        <f ca="1">IFERROR(__xludf.DUMMYFUNCTION("""COMPUTED_VALUE"""),"وحدة الكهرباء")</f>
        <v>وحدة الكهرباء</v>
      </c>
      <c r="E34" s="23" t="str">
        <f ca="1">IFERROR(__xludf.DUMMYFUNCTION("""COMPUTED_VALUE"""),"قسم المشاريع الهندسية")</f>
        <v>قسم المشاريع الهندسية</v>
      </c>
      <c r="F34" s="23" t="str">
        <f ca="1">IFERROR(__xludf.DUMMYFUNCTION("""COMPUTED_VALUE"""),"E- ابتدائية العميد للبنات (الثالثة)")</f>
        <v>E- ابتدائية العميد للبنات (الثالثة)</v>
      </c>
      <c r="G34" s="23" t="str">
        <f ca="1">IFERROR(__xludf.DUMMYFUNCTION("""COMPUTED_VALUE"""),"الطابق الارضي, غرفة الكهرباء")</f>
        <v>الطابق الارضي, غرفة الكهرباء</v>
      </c>
      <c r="H34" s="23" t="str">
        <f ca="1">IFERROR(__xludf.DUMMYFUNCTION("""COMPUTED_VALUE"""),"تنظيف البنل الرئيسي وذلك بعد إتمام الأعمال المرتبطة بالمنظومة الجديدة")</f>
        <v>تنظيف البنل الرئيسي وذلك بعد إتمام الأعمال المرتبطة بالمنظومة الجديدة</v>
      </c>
      <c r="I34" s="23"/>
      <c r="J34" s="23" t="s">
        <v>89</v>
      </c>
      <c r="K34" s="23" t="s">
        <v>13</v>
      </c>
      <c r="L34" s="32">
        <v>46128.296581678238</v>
      </c>
      <c r="M34" s="23"/>
      <c r="N34" s="2"/>
    </row>
    <row r="35" spans="1:14" ht="75" customHeight="1" thickTop="1" thickBot="1">
      <c r="A35" s="25">
        <v>33</v>
      </c>
      <c r="B35" s="32">
        <f ca="1">IFERROR(__xludf.DUMMYFUNCTION("""COMPUTED_VALUE"""),46127.422353993)</f>
        <v>46127.422353993003</v>
      </c>
      <c r="C35" s="33" t="str">
        <f ca="1">IFERROR(__xludf.DUMMYFUNCTION("""COMPUTED_VALUE"""),"المعملجي")</f>
        <v>المعملجي</v>
      </c>
      <c r="D35" s="33" t="str">
        <f ca="1">IFERROR(__xludf.DUMMYFUNCTION("""COMPUTED_VALUE"""),"وحدة الكهرباء")</f>
        <v>وحدة الكهرباء</v>
      </c>
      <c r="E35" s="23" t="str">
        <f ca="1">IFERROR(__xludf.DUMMYFUNCTION("""COMPUTED_VALUE"""),"قسم المشاريع الهندسية")</f>
        <v>قسم المشاريع الهندسية</v>
      </c>
      <c r="F35" s="23" t="str">
        <f ca="1">IFERROR(__xludf.DUMMYFUNCTION("""COMPUTED_VALUE"""),"F-  ابتدائية جود العميد للبنات (الرابعة)")</f>
        <v>F-  ابتدائية جود العميد للبنات (الرابعة)</v>
      </c>
      <c r="G35" s="23" t="str">
        <f ca="1">IFERROR(__xludf.DUMMYFUNCTION("""COMPUTED_VALUE"""),"الطابق الارضي, غرفة الكهرباء")</f>
        <v>الطابق الارضي, غرفة الكهرباء</v>
      </c>
      <c r="H35" s="23" t="str">
        <f ca="1">IFERROR(__xludf.DUMMYFUNCTION("""COMPUTED_VALUE"""),"تنظيف البنل الرئيسي وذلك بعد إتمام الأعمال المرتبطة بالمنظومة الجديدة")</f>
        <v>تنظيف البنل الرئيسي وذلك بعد إتمام الأعمال المرتبطة بالمنظومة الجديدة</v>
      </c>
      <c r="I35" s="23"/>
      <c r="J35" s="23" t="s">
        <v>89</v>
      </c>
      <c r="K35" s="23" t="s">
        <v>13</v>
      </c>
      <c r="L35" s="32">
        <v>46128.296596134256</v>
      </c>
      <c r="M35" s="23"/>
      <c r="N35" s="2"/>
    </row>
    <row r="36" spans="1:14" ht="75" customHeight="1" thickTop="1" thickBot="1">
      <c r="A36" s="23">
        <v>34</v>
      </c>
      <c r="B36" s="32">
        <f ca="1">IFERROR(__xludf.DUMMYFUNCTION("""COMPUTED_VALUE"""),46127.4428104166)</f>
        <v>46127.4428104166</v>
      </c>
      <c r="C36" s="33" t="str">
        <f ca="1">IFERROR(__xludf.DUMMYFUNCTION("""COMPUTED_VALUE"""),"المعملجي")</f>
        <v>المعملجي</v>
      </c>
      <c r="D36" s="33" t="str">
        <f ca="1">IFERROR(__xludf.DUMMYFUNCTION("""COMPUTED_VALUE"""),"سجاد تربية")</f>
        <v>سجاد تربية</v>
      </c>
      <c r="E36" s="23" t="str">
        <f ca="1">IFERROR(__xludf.DUMMYFUNCTION("""COMPUTED_VALUE"""),"قسم التربية والتعليم العالي")</f>
        <v>قسم التربية والتعليم العالي</v>
      </c>
      <c r="F36" s="23" t="str">
        <f ca="1">IFERROR(__xludf.DUMMYFUNCTION("""COMPUTED_VALUE"""),"B- روضة القمر")</f>
        <v>B- روضة القمر</v>
      </c>
      <c r="G36" s="23" t="str">
        <f ca="1">IFERROR(__xludf.DUMMYFUNCTION("""COMPUTED_VALUE"""),"الطابق الارضي")</f>
        <v>الطابق الارضي</v>
      </c>
      <c r="H36" s="23" t="str">
        <f ca="1">IFERROR(__xludf.DUMMYFUNCTION("""COMPUTED_VALUE"""),"لاتوجد كهرباء ")</f>
        <v xml:space="preserve">لاتوجد كهرباء </v>
      </c>
      <c r="I36" s="23"/>
      <c r="J36" s="23" t="s">
        <v>89</v>
      </c>
      <c r="K36" s="23" t="s">
        <v>13</v>
      </c>
      <c r="L36" s="32">
        <v>46127.450854039351</v>
      </c>
      <c r="M36" s="23"/>
      <c r="N36" s="2"/>
    </row>
    <row r="37" spans="1:14" ht="75" customHeight="1" thickTop="1" thickBot="1">
      <c r="A37" s="25">
        <v>35</v>
      </c>
      <c r="B37" s="32">
        <f ca="1">IFERROR(__xludf.DUMMYFUNCTION("""COMPUTED_VALUE"""),46127.4445286111)</f>
        <v>46127.4445286111</v>
      </c>
      <c r="C37" s="33" t="str">
        <f ca="1">IFERROR(__xludf.DUMMYFUNCTION("""COMPUTED_VALUE"""),"المعملجي")</f>
        <v>المعملجي</v>
      </c>
      <c r="D37" s="33" t="str">
        <f ca="1">IFERROR(__xludf.DUMMYFUNCTION("""COMPUTED_VALUE"""),"سجاد تربية")</f>
        <v>سجاد تربية</v>
      </c>
      <c r="E37" s="23" t="str">
        <f ca="1">IFERROR(__xludf.DUMMYFUNCTION("""COMPUTED_VALUE"""),"قسم التربية والتعليم العالي")</f>
        <v>قسم التربية والتعليم العالي</v>
      </c>
      <c r="F37" s="23" t="str">
        <f ca="1">IFERROR(__xludf.DUMMYFUNCTION("""COMPUTED_VALUE"""),"صحيات مقابيل المولدات ")</f>
        <v xml:space="preserve">صحيات مقابيل المولدات </v>
      </c>
      <c r="G37" s="23" t="str">
        <f ca="1">IFERROR(__xludf.DUMMYFUNCTION("""COMPUTED_VALUE"""),"الطابق الارضي")</f>
        <v>الطابق الارضي</v>
      </c>
      <c r="H37" s="23" t="str">
        <f ca="1">IFERROR(__xludf.DUMMYFUNCTION("""COMPUTED_VALUE"""),"لاتوجد كهرباء ")</f>
        <v xml:space="preserve">لاتوجد كهرباء </v>
      </c>
      <c r="I37" s="23"/>
      <c r="J37" s="23" t="s">
        <v>89</v>
      </c>
      <c r="K37" s="23" t="s">
        <v>13</v>
      </c>
      <c r="L37" s="32">
        <v>46127.479804641203</v>
      </c>
      <c r="M37" s="23"/>
      <c r="N37" s="2"/>
    </row>
    <row r="38" spans="1:14" ht="75" customHeight="1" thickTop="1" thickBot="1">
      <c r="A38" s="23">
        <v>36</v>
      </c>
      <c r="B38" s="32">
        <f ca="1">IFERROR(__xludf.DUMMYFUNCTION("""COMPUTED_VALUE"""),46127.4516877546)</f>
        <v>46127.451687754598</v>
      </c>
      <c r="C38" s="33" t="str">
        <f ca="1">IFERROR(__xludf.DUMMYFUNCTION("""COMPUTED_VALUE"""),"المعملجي")</f>
        <v>المعملجي</v>
      </c>
      <c r="D38" s="33" t="str">
        <f ca="1">IFERROR(__xludf.DUMMYFUNCTION("""COMPUTED_VALUE"""),"سجاد تربية")</f>
        <v>سجاد تربية</v>
      </c>
      <c r="E38" s="23" t="str">
        <f ca="1">IFERROR(__xludf.DUMMYFUNCTION("""COMPUTED_VALUE"""),"قسم التربية والتعليم العالي")</f>
        <v>قسم التربية والتعليم العالي</v>
      </c>
      <c r="F38" s="23" t="str">
        <f ca="1">IFERROR(__xludf.DUMMYFUNCTION("""COMPUTED_VALUE"""),"G- روضة الجود")</f>
        <v>G- روضة الجود</v>
      </c>
      <c r="G38" s="23" t="str">
        <f ca="1">IFERROR(__xludf.DUMMYFUNCTION("""COMPUTED_VALUE"""),"الطابق الارضي")</f>
        <v>الطابق الارضي</v>
      </c>
      <c r="H38" s="23" t="str">
        <f ca="1">IFERROR(__xludf.DUMMYFUNCTION("""COMPUTED_VALUE"""),"لاتوجد كهرباء واطفاء المفرغات ")</f>
        <v xml:space="preserve">لاتوجد كهرباء واطفاء المفرغات </v>
      </c>
      <c r="I38" s="23"/>
      <c r="J38" s="23" t="s">
        <v>89</v>
      </c>
      <c r="K38" s="23" t="s">
        <v>13</v>
      </c>
      <c r="L38" s="32">
        <v>46127.479818321764</v>
      </c>
      <c r="M38" s="23"/>
      <c r="N38" s="2"/>
    </row>
    <row r="39" spans="1:14" ht="75" customHeight="1" thickTop="1" thickBot="1">
      <c r="A39" s="25">
        <v>37</v>
      </c>
      <c r="B39" s="32">
        <f ca="1">IFERROR(__xludf.DUMMYFUNCTION("""COMPUTED_VALUE"""),46127.5600345833)</f>
        <v>46127.560034583301</v>
      </c>
      <c r="C39" s="33" t="str">
        <f ca="1">IFERROR(__xludf.DUMMYFUNCTION("""COMPUTED_VALUE"""),"المعملجي")</f>
        <v>المعملجي</v>
      </c>
      <c r="D39" s="33" t="str">
        <f ca="1">IFERROR(__xludf.DUMMYFUNCTION("""COMPUTED_VALUE"""),"سجاد تربية")</f>
        <v>سجاد تربية</v>
      </c>
      <c r="E39" s="23" t="str">
        <f ca="1">IFERROR(__xludf.DUMMYFUNCTION("""COMPUTED_VALUE"""),"قسم التربية والتعليم العالي")</f>
        <v>قسم التربية والتعليم العالي</v>
      </c>
      <c r="F39" s="23" t="str">
        <f ca="1">IFERROR(__xludf.DUMMYFUNCTION("""COMPUTED_VALUE"""),"النافورة")</f>
        <v>النافورة</v>
      </c>
      <c r="G39" s="23" t="str">
        <f ca="1">IFERROR(__xludf.DUMMYFUNCTION("""COMPUTED_VALUE"""),"الطابق الارضي")</f>
        <v>الطابق الارضي</v>
      </c>
      <c r="H39" s="23" t="str">
        <f ca="1">IFERROR(__xludf.DUMMYFUNCTION("""COMPUTED_VALUE"""),"تشغيل نافورة لمستوى واحد ")</f>
        <v xml:space="preserve">تشغيل نافورة لمستوى واحد </v>
      </c>
      <c r="I39" s="23"/>
      <c r="J39" s="23" t="s">
        <v>89</v>
      </c>
      <c r="K39" s="23" t="s">
        <v>13</v>
      </c>
      <c r="L39" s="32">
        <v>46127.625732442131</v>
      </c>
      <c r="M39" s="23"/>
      <c r="N39" s="2"/>
    </row>
    <row r="40" spans="1:14" ht="75" customHeight="1" thickTop="1" thickBot="1">
      <c r="A40" s="23">
        <v>38</v>
      </c>
      <c r="B40" s="32">
        <f ca="1">IFERROR(__xludf.DUMMYFUNCTION("""COMPUTED_VALUE"""),46128.299884456)</f>
        <v>46128.299884455999</v>
      </c>
      <c r="C40" s="33" t="str">
        <f ca="1">IFERROR(__xludf.DUMMYFUNCTION("""COMPUTED_VALUE"""),"المعملجي")</f>
        <v>المعملجي</v>
      </c>
      <c r="D40" s="33" t="str">
        <f ca="1">IFERROR(__xludf.DUMMYFUNCTION("""COMPUTED_VALUE"""),"وحدة الكهرباء")</f>
        <v>وحدة الكهرباء</v>
      </c>
      <c r="E40" s="23" t="str">
        <f ca="1">IFERROR(__xludf.DUMMYFUNCTION("""COMPUTED_VALUE"""),"قسم المشاريع الهندسية")</f>
        <v>قسم المشاريع الهندسية</v>
      </c>
      <c r="F40" s="23" t="str">
        <f ca="1">IFERROR(__xludf.DUMMYFUNCTION("""COMPUTED_VALUE"""),"F-  ابتدائية جود العميد للبنات (الرابعة)")</f>
        <v>F-  ابتدائية جود العميد للبنات (الرابعة)</v>
      </c>
      <c r="G40" s="23" t="str">
        <f ca="1">IFERROR(__xludf.DUMMYFUNCTION("""COMPUTED_VALUE"""),"الطابق الارضي, غرفة الكهرباء")</f>
        <v>الطابق الارضي, غرفة الكهرباء</v>
      </c>
      <c r="H40" s="23" t="str">
        <f ca="1">IFERROR(__xludf.DUMMYFUNCTION("""COMPUTED_VALUE"""),"نقل بارد انارة غرفة الكهرباء الخارجية للبناية من البورد الرئيسي إلى بورد الخدمات")</f>
        <v>نقل بارد انارة غرفة الكهرباء الخارجية للبناية من البورد الرئيسي إلى بورد الخدمات</v>
      </c>
      <c r="I40" s="23"/>
      <c r="J40" s="23" t="s">
        <v>89</v>
      </c>
      <c r="K40" s="23" t="s">
        <v>13</v>
      </c>
      <c r="L40" s="32">
        <v>46128.317309421298</v>
      </c>
      <c r="M40" s="23"/>
      <c r="N40" s="2"/>
    </row>
    <row r="41" spans="1:14" ht="75" customHeight="1" thickTop="1" thickBot="1">
      <c r="A41" s="25">
        <v>39</v>
      </c>
      <c r="B41" s="32">
        <f ca="1">IFERROR(__xludf.DUMMYFUNCTION("""COMPUTED_VALUE"""),46128.30044375)</f>
        <v>46128.300443749999</v>
      </c>
      <c r="C41" s="33" t="str">
        <f ca="1">IFERROR(__xludf.DUMMYFUNCTION("""COMPUTED_VALUE"""),"المعملجي")</f>
        <v>المعملجي</v>
      </c>
      <c r="D41" s="33" t="str">
        <f ca="1">IFERROR(__xludf.DUMMYFUNCTION("""COMPUTED_VALUE"""),"وحدة الكهرباء")</f>
        <v>وحدة الكهرباء</v>
      </c>
      <c r="E41" s="23" t="str">
        <f ca="1">IFERROR(__xludf.DUMMYFUNCTION("""COMPUTED_VALUE"""),"قسم المشاريع الهندسية")</f>
        <v>قسم المشاريع الهندسية</v>
      </c>
      <c r="F41" s="23" t="str">
        <f ca="1">IFERROR(__xludf.DUMMYFUNCTION("""COMPUTED_VALUE"""),"E- ابتدائية العميد للبنات (الثالثة)")</f>
        <v>E- ابتدائية العميد للبنات (الثالثة)</v>
      </c>
      <c r="G41" s="23" t="str">
        <f ca="1">IFERROR(__xludf.DUMMYFUNCTION("""COMPUTED_VALUE"""),"الطابق الارضي, غرفة الكهرباء")</f>
        <v>الطابق الارضي, غرفة الكهرباء</v>
      </c>
      <c r="H41" s="23" t="str">
        <f ca="1">IFERROR(__xludf.DUMMYFUNCTION("""COMPUTED_VALUE"""),"اكمال دائرة السيطرة ( ربط مولدات محطة الرفع مع المدارس الاربعة)")</f>
        <v>اكمال دائرة السيطرة ( ربط مولدات محطة الرفع مع المدارس الاربعة)</v>
      </c>
      <c r="I41" s="23"/>
      <c r="J41" s="23" t="s">
        <v>89</v>
      </c>
      <c r="K41" s="23" t="s">
        <v>13</v>
      </c>
      <c r="L41" s="32">
        <v>46128.317806840278</v>
      </c>
      <c r="M41" s="23"/>
      <c r="N41" s="2"/>
    </row>
    <row r="42" spans="1:14" ht="75" customHeight="1" thickTop="1" thickBot="1">
      <c r="A42" s="23">
        <v>40</v>
      </c>
      <c r="B42" s="32">
        <f ca="1">IFERROR(__xludf.DUMMYFUNCTION("""COMPUTED_VALUE"""),46128.3014914699)</f>
        <v>46128.301491469902</v>
      </c>
      <c r="C42" s="33" t="str">
        <f ca="1">IFERROR(__xludf.DUMMYFUNCTION("""COMPUTED_VALUE"""),"المعملجي")</f>
        <v>المعملجي</v>
      </c>
      <c r="D42" s="33" t="str">
        <f ca="1">IFERROR(__xludf.DUMMYFUNCTION("""COMPUTED_VALUE"""),"وحدة الكهرباء")</f>
        <v>وحدة الكهرباء</v>
      </c>
      <c r="E42" s="23" t="str">
        <f ca="1">IFERROR(__xludf.DUMMYFUNCTION("""COMPUTED_VALUE"""),"قسم المشاريع الهندسية")</f>
        <v>قسم المشاريع الهندسية</v>
      </c>
      <c r="F42" s="23" t="str">
        <f ca="1">IFERROR(__xludf.DUMMYFUNCTION("""COMPUTED_VALUE"""),"F-  ابتدائية جود العميد للبنات (الرابعة)")</f>
        <v>F-  ابتدائية جود العميد للبنات (الرابعة)</v>
      </c>
      <c r="G42" s="23" t="str">
        <f ca="1">IFERROR(__xludf.DUMMYFUNCTION("""COMPUTED_VALUE"""),"الطابق الارضي, غرفة الكهرباء")</f>
        <v>الطابق الارضي, غرفة الكهرباء</v>
      </c>
      <c r="H42" s="23" t="str">
        <f ca="1">IFERROR(__xludf.DUMMYFUNCTION("""COMPUTED_VALUE"""),"اكمال دائرة السيطرة ( ربط مولدات محطة الرفع مع المدارس الاربعة)")</f>
        <v>اكمال دائرة السيطرة ( ربط مولدات محطة الرفع مع المدارس الاربعة)</v>
      </c>
      <c r="I42" s="23"/>
      <c r="J42" s="23" t="s">
        <v>89</v>
      </c>
      <c r="K42" s="23" t="s">
        <v>13</v>
      </c>
      <c r="L42" s="32">
        <v>46128.317821006945</v>
      </c>
      <c r="M42" s="23"/>
      <c r="N42" s="2"/>
    </row>
    <row r="43" spans="1:14" ht="75" customHeight="1" thickTop="1" thickBot="1">
      <c r="A43" s="25">
        <v>41</v>
      </c>
      <c r="B43" s="32">
        <f ca="1">IFERROR(__xludf.DUMMYFUNCTION("""COMPUTED_VALUE"""),46128.3026285995)</f>
        <v>46128.3026285995</v>
      </c>
      <c r="C43" s="33" t="str">
        <f ca="1">IFERROR(__xludf.DUMMYFUNCTION("""COMPUTED_VALUE"""),"المعملجي")</f>
        <v>المعملجي</v>
      </c>
      <c r="D43" s="33" t="str">
        <f ca="1">IFERROR(__xludf.DUMMYFUNCTION("""COMPUTED_VALUE"""),"وحدة الكهرباء")</f>
        <v>وحدة الكهرباء</v>
      </c>
      <c r="E43" s="23" t="str">
        <f ca="1">IFERROR(__xludf.DUMMYFUNCTION("""COMPUTED_VALUE"""),"قسم المشاريع الهندسية")</f>
        <v>قسم المشاريع الهندسية</v>
      </c>
      <c r="F43" s="23" t="str">
        <f ca="1">IFERROR(__xludf.DUMMYFUNCTION("""COMPUTED_VALUE"""),"F-  ابتدائية جود العميد للبنات (الرابعة)")</f>
        <v>F-  ابتدائية جود العميد للبنات (الرابعة)</v>
      </c>
      <c r="G43" s="23" t="str">
        <f ca="1">IFERROR(__xludf.DUMMYFUNCTION("""COMPUTED_VALUE"""),"الطابق الارضي, غرفة الكهرباء")</f>
        <v>الطابق الارضي, غرفة الكهرباء</v>
      </c>
      <c r="H43" s="23" t="str">
        <f ca="1">IFERROR(__xludf.DUMMYFUNCTION("""COMPUTED_VALUE"""),"استبدال قاطع المنظومة الجديدة حيث تبين وجود خلل مصنعي")</f>
        <v>استبدال قاطع المنظومة الجديدة حيث تبين وجود خلل مصنعي</v>
      </c>
      <c r="I43" s="23"/>
      <c r="J43" s="23" t="s">
        <v>89</v>
      </c>
      <c r="K43" s="23" t="s">
        <v>13</v>
      </c>
      <c r="L43" s="32">
        <v>46128.317830162036</v>
      </c>
      <c r="M43" s="23"/>
      <c r="N43" s="2"/>
    </row>
    <row r="44" spans="1:14" ht="75" customHeight="1" thickTop="1" thickBot="1">
      <c r="A44" s="23">
        <v>42</v>
      </c>
      <c r="B44" s="32">
        <f ca="1">IFERROR(__xludf.DUMMYFUNCTION("""COMPUTED_VALUE"""),46128.3028955208)</f>
        <v>46128.302895520799</v>
      </c>
      <c r="C44" s="33" t="str">
        <f ca="1">IFERROR(__xludf.DUMMYFUNCTION("""COMPUTED_VALUE"""),"المعملجي")</f>
        <v>المعملجي</v>
      </c>
      <c r="D44" s="33" t="str">
        <f ca="1">IFERROR(__xludf.DUMMYFUNCTION("""COMPUTED_VALUE"""),"وحدة الكهرباء")</f>
        <v>وحدة الكهرباء</v>
      </c>
      <c r="E44" s="23" t="str">
        <f ca="1">IFERROR(__xludf.DUMMYFUNCTION("""COMPUTED_VALUE"""),"قسم المشاريع الهندسية")</f>
        <v>قسم المشاريع الهندسية</v>
      </c>
      <c r="F44" s="23" t="str">
        <f ca="1">IFERROR(__xludf.DUMMYFUNCTION("""COMPUTED_VALUE"""),"A- المركز الثقافي")</f>
        <v>A- المركز الثقافي</v>
      </c>
      <c r="G44" s="23" t="str">
        <f ca="1">IFERROR(__xludf.DUMMYFUNCTION("""COMPUTED_VALUE"""),"الطابق الثالث")</f>
        <v>الطابق الثالث</v>
      </c>
      <c r="H44" s="23" t="str">
        <f ca="1">IFERROR(__xludf.DUMMYFUNCTION("""COMPUTED_VALUE"""),"ستبدال نقطة كهرباء تالفة 13A.")</f>
        <v>ستبدال نقطة كهرباء تالفة 13A.</v>
      </c>
      <c r="I44" s="23"/>
      <c r="J44" s="23" t="s">
        <v>89</v>
      </c>
      <c r="K44" s="23" t="s">
        <v>13</v>
      </c>
      <c r="L44" s="32">
        <v>46128.317314282409</v>
      </c>
      <c r="M44" s="23"/>
      <c r="N44" s="2"/>
    </row>
    <row r="45" spans="1:14" ht="75" customHeight="1" thickTop="1" thickBot="1">
      <c r="A45" s="25">
        <v>43</v>
      </c>
      <c r="B45" s="32">
        <f ca="1">IFERROR(__xludf.DUMMYFUNCTION("""COMPUTED_VALUE"""),46128.3033363194)</f>
        <v>46128.303336319397</v>
      </c>
      <c r="C45" s="33" t="str">
        <f ca="1">IFERROR(__xludf.DUMMYFUNCTION("""COMPUTED_VALUE"""),"المعملجي")</f>
        <v>المعملجي</v>
      </c>
      <c r="D45" s="33" t="str">
        <f ca="1">IFERROR(__xludf.DUMMYFUNCTION("""COMPUTED_VALUE"""),"وحدة الكهرباء")</f>
        <v>وحدة الكهرباء</v>
      </c>
      <c r="E45" s="23" t="str">
        <f ca="1">IFERROR(__xludf.DUMMYFUNCTION("""COMPUTED_VALUE"""),"قسم المشاريع الهندسية")</f>
        <v>قسم المشاريع الهندسية</v>
      </c>
      <c r="F45" s="23" t="str">
        <f ca="1">IFERROR(__xludf.DUMMYFUNCTION("""COMPUTED_VALUE"""),"J- جامعة العميد (السابعة)")</f>
        <v>J- جامعة العميد (السابعة)</v>
      </c>
      <c r="G45" s="23" t="str">
        <f ca="1">IFERROR(__xludf.DUMMYFUNCTION("""COMPUTED_VALUE"""),"الطابق الارضي, غرفة الكهرباء")</f>
        <v>الطابق الارضي, غرفة الكهرباء</v>
      </c>
      <c r="H45" s="23" t="str">
        <f ca="1">IFERROR(__xludf.DUMMYFUNCTION("""COMPUTED_VALUE"""),"فحص  UPS الخاص بالشاشات فقط بعد إطفاء الكهرباء عنهُ.")</f>
        <v>فحص  UPS الخاص بالشاشات فقط بعد إطفاء الكهرباء عنهُ.</v>
      </c>
      <c r="I45" s="23"/>
      <c r="J45" s="23" t="s">
        <v>89</v>
      </c>
      <c r="K45" s="23" t="s">
        <v>13</v>
      </c>
      <c r="L45" s="32">
        <v>46128.317321550931</v>
      </c>
      <c r="M45" s="23"/>
      <c r="N45" s="2"/>
    </row>
    <row r="46" spans="1:14" ht="75" customHeight="1" thickTop="1" thickBot="1">
      <c r="A46" s="23">
        <v>44</v>
      </c>
      <c r="B46" s="32">
        <f ca="1">IFERROR(__xludf.DUMMYFUNCTION("""COMPUTED_VALUE"""),46128.3043906713)</f>
        <v>46128.304390671299</v>
      </c>
      <c r="C46" s="33" t="str">
        <f ca="1">IFERROR(__xludf.DUMMYFUNCTION("""COMPUTED_VALUE"""),"المعملجي")</f>
        <v>المعملجي</v>
      </c>
      <c r="D46" s="33" t="str">
        <f ca="1">IFERROR(__xludf.DUMMYFUNCTION("""COMPUTED_VALUE"""),"وحدة الكهرباء")</f>
        <v>وحدة الكهرباء</v>
      </c>
      <c r="E46" s="23" t="str">
        <f ca="1">IFERROR(__xludf.DUMMYFUNCTION("""COMPUTED_VALUE"""),"قسم المشاريع الهندسية")</f>
        <v>قسم المشاريع الهندسية</v>
      </c>
      <c r="F46" s="23" t="str">
        <f ca="1">IFERROR(__xludf.DUMMYFUNCTION("""COMPUTED_VALUE"""),"A- المركز الثقافي")</f>
        <v>A- المركز الثقافي</v>
      </c>
      <c r="G46" s="23" t="str">
        <f ca="1">IFERROR(__xludf.DUMMYFUNCTION("""COMPUTED_VALUE"""),"المصعد_كل الطوابق")</f>
        <v>المصعد_كل الطوابق</v>
      </c>
      <c r="H46" s="23" t="str">
        <f ca="1">IFERROR(__xludf.DUMMYFUNCTION("""COMPUTED_VALUE"""),"تنظيف  البوابات")</f>
        <v>تنظيف  البوابات</v>
      </c>
      <c r="I46" s="23"/>
      <c r="J46" s="23" t="s">
        <v>89</v>
      </c>
      <c r="K46" s="23" t="s">
        <v>13</v>
      </c>
      <c r="L46" s="32">
        <v>46128.31734061343</v>
      </c>
      <c r="M46" s="23"/>
      <c r="N46" s="2"/>
    </row>
    <row r="47" spans="1:14" ht="75" customHeight="1" thickTop="1" thickBot="1">
      <c r="A47" s="25">
        <v>45</v>
      </c>
      <c r="B47" s="32">
        <f ca="1">IFERROR(__xludf.DUMMYFUNCTION("""COMPUTED_VALUE"""),46128.305347662)</f>
        <v>46128.305347661997</v>
      </c>
      <c r="C47" s="33" t="str">
        <f ca="1">IFERROR(__xludf.DUMMYFUNCTION("""COMPUTED_VALUE"""),"المعملجي")</f>
        <v>المعملجي</v>
      </c>
      <c r="D47" s="33" t="str">
        <f ca="1">IFERROR(__xludf.DUMMYFUNCTION("""COMPUTED_VALUE"""),"وحدة الكهرباء")</f>
        <v>وحدة الكهرباء</v>
      </c>
      <c r="E47" s="23" t="str">
        <f ca="1">IFERROR(__xludf.DUMMYFUNCTION("""COMPUTED_VALUE"""),"قسم المشاريع الهندسية")</f>
        <v>قسم المشاريع الهندسية</v>
      </c>
      <c r="F4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7" s="23" t="str">
        <f ca="1">IFERROR(__xludf.DUMMYFUNCTION("""COMPUTED_VALUE"""),"الطابق الارضي, غرفة الكهرباء")</f>
        <v>الطابق الارضي, غرفة الكهرباء</v>
      </c>
      <c r="H47" s="23" t="str">
        <f ca="1">IFERROR(__xludf.DUMMYFUNCTION("""COMPUTED_VALUE"""),"صيانة ATS المدرسة الخاص بالتحويل بين المولدة وخط محطة الرفع")</f>
        <v>صيانة ATS المدرسة الخاص بالتحويل بين المولدة وخط محطة الرفع</v>
      </c>
      <c r="I47" s="23"/>
      <c r="J47" s="23" t="s">
        <v>89</v>
      </c>
      <c r="K47" s="23" t="s">
        <v>13</v>
      </c>
      <c r="L47" s="32">
        <v>46128.317340555557</v>
      </c>
      <c r="M47" s="23"/>
      <c r="N47" s="2"/>
    </row>
    <row r="48" spans="1:14" ht="75" customHeight="1" thickTop="1" thickBot="1">
      <c r="A48" s="23">
        <v>46</v>
      </c>
      <c r="B48" s="32">
        <f ca="1">IFERROR(__xludf.DUMMYFUNCTION("""COMPUTED_VALUE"""),46128.3055337037)</f>
        <v>46128.3055337037</v>
      </c>
      <c r="C48" s="33" t="str">
        <f ca="1">IFERROR(__xludf.DUMMYFUNCTION("""COMPUTED_VALUE"""),"المعملجي")</f>
        <v>المعملجي</v>
      </c>
      <c r="D48" s="33" t="str">
        <f ca="1">IFERROR(__xludf.DUMMYFUNCTION("""COMPUTED_VALUE"""),"وحدة الكهرباء")</f>
        <v>وحدة الكهرباء</v>
      </c>
      <c r="E48" s="23" t="str">
        <f ca="1">IFERROR(__xludf.DUMMYFUNCTION("""COMPUTED_VALUE"""),"قسم المشاريع الهندسية")</f>
        <v>قسم المشاريع الهندسية</v>
      </c>
      <c r="F48" s="23" t="str">
        <f ca="1">IFERROR(__xludf.DUMMYFUNCTION("""COMPUTED_VALUE"""),"E- ابتدائية العميد للبنات (الثالثة)")</f>
        <v>E- ابتدائية العميد للبنات (الثالثة)</v>
      </c>
      <c r="G48" s="23" t="str">
        <f ca="1">IFERROR(__xludf.DUMMYFUNCTION("""COMPUTED_VALUE"""),"الطابق الارضي, غرفة الكهرباء")</f>
        <v>الطابق الارضي, غرفة الكهرباء</v>
      </c>
      <c r="H48" s="23" t="str">
        <f ca="1">IFERROR(__xludf.DUMMYFUNCTION("""COMPUTED_VALUE"""),"صيانة ATS المدرسة الخاص بالتحويل بين المولدة وخط محطة الرفع")</f>
        <v>صيانة ATS المدرسة الخاص بالتحويل بين المولدة وخط محطة الرفع</v>
      </c>
      <c r="I48" s="23"/>
      <c r="J48" s="23" t="s">
        <v>89</v>
      </c>
      <c r="K48" s="23" t="s">
        <v>13</v>
      </c>
      <c r="L48" s="32">
        <v>46128.317353946761</v>
      </c>
      <c r="M48" s="23"/>
      <c r="N48" s="2"/>
    </row>
    <row r="49" spans="1:14" ht="75" customHeight="1" thickTop="1" thickBot="1">
      <c r="A49" s="25">
        <v>47</v>
      </c>
      <c r="B49" s="32">
        <f ca="1">IFERROR(__xludf.DUMMYFUNCTION("""COMPUTED_VALUE"""),46128.3057059953)</f>
        <v>46128.305705995299</v>
      </c>
      <c r="C49" s="33" t="str">
        <f ca="1">IFERROR(__xludf.DUMMYFUNCTION("""COMPUTED_VALUE"""),"المعملجي")</f>
        <v>المعملجي</v>
      </c>
      <c r="D49" s="33" t="str">
        <f ca="1">IFERROR(__xludf.DUMMYFUNCTION("""COMPUTED_VALUE"""),"وحدة الكهرباء")</f>
        <v>وحدة الكهرباء</v>
      </c>
      <c r="E49" s="23" t="str">
        <f ca="1">IFERROR(__xludf.DUMMYFUNCTION("""COMPUTED_VALUE"""),"قسم المشاريع الهندسية")</f>
        <v>قسم المشاريع الهندسية</v>
      </c>
      <c r="F49" s="23" t="str">
        <f ca="1">IFERROR(__xludf.DUMMYFUNCTION("""COMPUTED_VALUE"""),"F-  ابتدائية جود العميد للبنات (الرابعة)")</f>
        <v>F-  ابتدائية جود العميد للبنات (الرابعة)</v>
      </c>
      <c r="G49" s="23" t="str">
        <f ca="1">IFERROR(__xludf.DUMMYFUNCTION("""COMPUTED_VALUE"""),"الطابق الارضي, غرفة الكهرباء")</f>
        <v>الطابق الارضي, غرفة الكهرباء</v>
      </c>
      <c r="H49" s="23" t="str">
        <f ca="1">IFERROR(__xludf.DUMMYFUNCTION("""COMPUTED_VALUE"""),"صيانة ATS المدرسة الخاص بالتحويل بين المولدة وخط محطة الرفع")</f>
        <v>صيانة ATS المدرسة الخاص بالتحويل بين المولدة وخط محطة الرفع</v>
      </c>
      <c r="I49" s="23"/>
      <c r="J49" s="23" t="s">
        <v>89</v>
      </c>
      <c r="K49" s="23" t="s">
        <v>13</v>
      </c>
      <c r="L49" s="32">
        <v>46128.317356747684</v>
      </c>
      <c r="M49" s="23"/>
      <c r="N49" s="2"/>
    </row>
    <row r="50" spans="1:14" ht="75" customHeight="1" thickTop="1" thickBot="1">
      <c r="A50" s="23">
        <v>48</v>
      </c>
      <c r="B50" s="32">
        <f ca="1">IFERROR(__xludf.DUMMYFUNCTION("""COMPUTED_VALUE"""),46128.3071462963)</f>
        <v>46128.307146296298</v>
      </c>
      <c r="C50" s="33" t="str">
        <f ca="1">IFERROR(__xludf.DUMMYFUNCTION("""COMPUTED_VALUE"""),"المعملجي")</f>
        <v>المعملجي</v>
      </c>
      <c r="D50" s="33" t="str">
        <f ca="1">IFERROR(__xludf.DUMMYFUNCTION("""COMPUTED_VALUE"""),"وحدة الكهرباء")</f>
        <v>وحدة الكهرباء</v>
      </c>
      <c r="E50" s="23" t="str">
        <f ca="1">IFERROR(__xludf.DUMMYFUNCTION("""COMPUTED_VALUE"""),"قسم المشاريع الهندسية")</f>
        <v>قسم المشاريع الهندسية</v>
      </c>
      <c r="F50" s="23" t="str">
        <f ca="1">IFERROR(__xludf.DUMMYFUNCTION("""COMPUTED_VALUE"""),"شعبة الصيانة")</f>
        <v>شعبة الصيانة</v>
      </c>
      <c r="G50" s="23" t="str">
        <f ca="1">IFERROR(__xludf.DUMMYFUNCTION("""COMPUTED_VALUE"""),"محطة الرفع")</f>
        <v>محطة الرفع</v>
      </c>
      <c r="H50" s="23" t="str">
        <f ca="1">IFERROR(__xludf.DUMMYFUNCTION("""COMPUTED_VALUE"""),"ربط كيبل مسلح الى احد قواطع بورد محطة الرفع الخاص بتغذية غرفة مزامنة المختبرات")</f>
        <v>ربط كيبل مسلح الى احد قواطع بورد محطة الرفع الخاص بتغذية غرفة مزامنة المختبرات</v>
      </c>
      <c r="I50" s="23"/>
      <c r="J50" s="23" t="s">
        <v>89</v>
      </c>
      <c r="K50" s="23" t="s">
        <v>13</v>
      </c>
      <c r="L50" s="32">
        <v>46128.317369039352</v>
      </c>
      <c r="M50" s="23"/>
      <c r="N50" s="2"/>
    </row>
    <row r="51" spans="1:14" ht="75" customHeight="1" thickTop="1" thickBot="1">
      <c r="A51" s="25">
        <v>49</v>
      </c>
      <c r="B51" s="32">
        <f ca="1">IFERROR(__xludf.DUMMYFUNCTION("""COMPUTED_VALUE"""),46128.3076565162)</f>
        <v>46128.307656516197</v>
      </c>
      <c r="C51" s="33" t="str">
        <f ca="1">IFERROR(__xludf.DUMMYFUNCTION("""COMPUTED_VALUE"""),"المعملجي")</f>
        <v>المعملجي</v>
      </c>
      <c r="D51" s="33" t="str">
        <f ca="1">IFERROR(__xludf.DUMMYFUNCTION("""COMPUTED_VALUE"""),"وحدة الكهرباء")</f>
        <v>وحدة الكهرباء</v>
      </c>
      <c r="E51" s="23" t="str">
        <f ca="1">IFERROR(__xludf.DUMMYFUNCTION("""COMPUTED_VALUE"""),"قسم المشاريع الهندسية")</f>
        <v>قسم المشاريع الهندسية</v>
      </c>
      <c r="F51" s="23" t="str">
        <f ca="1">IFERROR(__xludf.DUMMYFUNCTION("""COMPUTED_VALUE"""),"الاستعلامات الرئيسية")</f>
        <v>الاستعلامات الرئيسية</v>
      </c>
      <c r="G51" s="23" t="str">
        <f ca="1">IFERROR(__xludf.DUMMYFUNCTION("""COMPUTED_VALUE"""),"كرفان الامنية")</f>
        <v>كرفان الامنية</v>
      </c>
      <c r="H51" s="23" t="str">
        <f ca="1">IFERROR(__xludf.DUMMYFUNCTION("""COMPUTED_VALUE"""),"استبدال تري بلاستك قديم متهالك بآخر جديد")</f>
        <v>استبدال تري بلاستك قديم متهالك بآخر جديد</v>
      </c>
      <c r="I51" s="23"/>
      <c r="J51" s="23" t="s">
        <v>89</v>
      </c>
      <c r="K51" s="23" t="s">
        <v>13</v>
      </c>
      <c r="L51" s="32">
        <v>46128.317370092591</v>
      </c>
      <c r="M51" s="23"/>
      <c r="N51" s="2"/>
    </row>
    <row r="52" spans="1:14" ht="75" customHeight="1" thickTop="1" thickBot="1">
      <c r="A52" s="23">
        <v>50</v>
      </c>
      <c r="B52" s="32">
        <f ca="1">IFERROR(__xludf.DUMMYFUNCTION("""COMPUTED_VALUE"""),46128.3081286111)</f>
        <v>46128.308128611097</v>
      </c>
      <c r="C52" s="33" t="str">
        <f ca="1">IFERROR(__xludf.DUMMYFUNCTION("""COMPUTED_VALUE"""),"المعملجي")</f>
        <v>المعملجي</v>
      </c>
      <c r="D52" s="33" t="str">
        <f ca="1">IFERROR(__xludf.DUMMYFUNCTION("""COMPUTED_VALUE"""),"وحدة الكهرباء")</f>
        <v>وحدة الكهرباء</v>
      </c>
      <c r="E52" s="23" t="str">
        <f ca="1">IFERROR(__xludf.DUMMYFUNCTION("""COMPUTED_VALUE"""),"قسم المشاريع الهندسية")</f>
        <v>قسم المشاريع الهندسية</v>
      </c>
      <c r="F52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2" s="23" t="str">
        <f ca="1">IFERROR(__xludf.DUMMYFUNCTION("""COMPUTED_VALUE"""),"الطابق الارضي, غرفة الكهرباء")</f>
        <v>الطابق الارضي, غرفة الكهرباء</v>
      </c>
      <c r="H52" s="23" t="str">
        <f ca="1">IFERROR(__xludf.DUMMYFUNCTION("""COMPUTED_VALUE"""),"تم تغيير الوان مصابيح الإشارة  في بوردات الats الرئيسية")</f>
        <v>تم تغيير الوان مصابيح الإشارة  في بوردات الats الرئيسية</v>
      </c>
      <c r="I52" s="23"/>
      <c r="J52" s="23" t="s">
        <v>89</v>
      </c>
      <c r="K52" s="23" t="s">
        <v>13</v>
      </c>
      <c r="L52" s="32">
        <v>46128.317389687501</v>
      </c>
      <c r="M52" s="23"/>
      <c r="N52" s="2"/>
    </row>
    <row r="53" spans="1:14" ht="75" customHeight="1" thickTop="1" thickBot="1">
      <c r="A53" s="25">
        <v>51</v>
      </c>
      <c r="B53" s="32">
        <f ca="1">IFERROR(__xludf.DUMMYFUNCTION("""COMPUTED_VALUE"""),46128.3083438426)</f>
        <v>46128.308343842597</v>
      </c>
      <c r="C53" s="33" t="str">
        <f ca="1">IFERROR(__xludf.DUMMYFUNCTION("""COMPUTED_VALUE"""),"المعملجي")</f>
        <v>المعملجي</v>
      </c>
      <c r="D53" s="33" t="str">
        <f ca="1">IFERROR(__xludf.DUMMYFUNCTION("""COMPUTED_VALUE"""),"وحدة الكهرباء")</f>
        <v>وحدة الكهرباء</v>
      </c>
      <c r="E53" s="23" t="str">
        <f ca="1">IFERROR(__xludf.DUMMYFUNCTION("""COMPUTED_VALUE"""),"قسم المشاريع الهندسية")</f>
        <v>قسم المشاريع الهندسية</v>
      </c>
      <c r="F53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3" s="23" t="str">
        <f ca="1">IFERROR(__xludf.DUMMYFUNCTION("""COMPUTED_VALUE"""),"الطابق الارضي, غرفة الكهرباء")</f>
        <v>الطابق الارضي, غرفة الكهرباء</v>
      </c>
      <c r="H53" s="23" t="str">
        <f ca="1">IFERROR(__xludf.DUMMYFUNCTION("""COMPUTED_VALUE"""),"تم تغيير الوان مصابيح الإشارة  في بوردات الats الرئيسية")</f>
        <v>تم تغيير الوان مصابيح الإشارة  في بوردات الats الرئيسية</v>
      </c>
      <c r="I53" s="23"/>
      <c r="J53" s="23" t="s">
        <v>89</v>
      </c>
      <c r="K53" s="23" t="s">
        <v>13</v>
      </c>
      <c r="L53" s="32"/>
      <c r="M53" s="23"/>
      <c r="N53" s="2" t="s">
        <v>77</v>
      </c>
    </row>
    <row r="54" spans="1:14" ht="75" customHeight="1" thickTop="1" thickBot="1">
      <c r="A54" s="23">
        <v>52</v>
      </c>
      <c r="B54" s="32">
        <f ca="1">IFERROR(__xludf.DUMMYFUNCTION("""COMPUTED_VALUE"""),46128.3085249189)</f>
        <v>46128.308524918903</v>
      </c>
      <c r="C54" s="33" t="str">
        <f ca="1">IFERROR(__xludf.DUMMYFUNCTION("""COMPUTED_VALUE"""),"المعملجي")</f>
        <v>المعملجي</v>
      </c>
      <c r="D54" s="33" t="str">
        <f ca="1">IFERROR(__xludf.DUMMYFUNCTION("""COMPUTED_VALUE"""),"وحدة الكهرباء")</f>
        <v>وحدة الكهرباء</v>
      </c>
      <c r="E54" s="23" t="str">
        <f ca="1">IFERROR(__xludf.DUMMYFUNCTION("""COMPUTED_VALUE"""),"قسم المشاريع الهندسية")</f>
        <v>قسم المشاريع الهندسية</v>
      </c>
      <c r="F54" s="23" t="str">
        <f ca="1">IFERROR(__xludf.DUMMYFUNCTION("""COMPUTED_VALUE"""),"E- ابتدائية العميد للبنات (الثالثة)")</f>
        <v>E- ابتدائية العميد للبنات (الثالثة)</v>
      </c>
      <c r="G54" s="23" t="str">
        <f ca="1">IFERROR(__xludf.DUMMYFUNCTION("""COMPUTED_VALUE"""),"الطابق الارضي, غرفة الكهرباء")</f>
        <v>الطابق الارضي, غرفة الكهرباء</v>
      </c>
      <c r="H54" s="23" t="str">
        <f ca="1">IFERROR(__xludf.DUMMYFUNCTION("""COMPUTED_VALUE"""),"تم تغيير الوان مصابيح الإشارة  في بوردات الats الرئيسية")</f>
        <v>تم تغيير الوان مصابيح الإشارة  في بوردات الats الرئيسية</v>
      </c>
      <c r="I54" s="23"/>
      <c r="J54" s="23" t="s">
        <v>89</v>
      </c>
      <c r="K54" s="23" t="s">
        <v>13</v>
      </c>
      <c r="L54" s="32">
        <v>46128.317395162041</v>
      </c>
      <c r="M54" s="23"/>
      <c r="N54" s="2" t="s">
        <v>77</v>
      </c>
    </row>
    <row r="55" spans="1:14" ht="75" customHeight="1" thickTop="1" thickBot="1">
      <c r="A55" s="25">
        <v>53</v>
      </c>
      <c r="B55" s="32">
        <f ca="1">IFERROR(__xludf.DUMMYFUNCTION("""COMPUTED_VALUE"""),46128.3087242824)</f>
        <v>46128.308724282397</v>
      </c>
      <c r="C55" s="33" t="str">
        <f ca="1">IFERROR(__xludf.DUMMYFUNCTION("""COMPUTED_VALUE"""),"المعملجي")</f>
        <v>المعملجي</v>
      </c>
      <c r="D55" s="33" t="str">
        <f ca="1">IFERROR(__xludf.DUMMYFUNCTION("""COMPUTED_VALUE"""),"وحدة الكهرباء")</f>
        <v>وحدة الكهرباء</v>
      </c>
      <c r="E55" s="23" t="str">
        <f ca="1">IFERROR(__xludf.DUMMYFUNCTION("""COMPUTED_VALUE"""),"قسم المشاريع الهندسية")</f>
        <v>قسم المشاريع الهندسية</v>
      </c>
      <c r="F55" s="23" t="str">
        <f ca="1">IFERROR(__xludf.DUMMYFUNCTION("""COMPUTED_VALUE"""),"F-  ابتدائية جود العميد للبنات (الرابعة)")</f>
        <v>F-  ابتدائية جود العميد للبنات (الرابعة)</v>
      </c>
      <c r="G55" s="23" t="str">
        <f ca="1">IFERROR(__xludf.DUMMYFUNCTION("""COMPUTED_VALUE"""),"الطابق الارضي, غرفة الكهرباء")</f>
        <v>الطابق الارضي, غرفة الكهرباء</v>
      </c>
      <c r="H55" s="23" t="str">
        <f ca="1">IFERROR(__xludf.DUMMYFUNCTION("""COMPUTED_VALUE"""),"تم تغيير الوان مصابيح الإشارة  في بوردات الats الرئيسية")</f>
        <v>تم تغيير الوان مصابيح الإشارة  في بوردات الats الرئيسية</v>
      </c>
      <c r="I55" s="23"/>
      <c r="J55" s="23" t="s">
        <v>89</v>
      </c>
      <c r="K55" s="23" t="s">
        <v>13</v>
      </c>
      <c r="L55" s="32">
        <v>46128.317403935187</v>
      </c>
      <c r="M55" s="23"/>
      <c r="N55" s="2" t="s">
        <v>77</v>
      </c>
    </row>
    <row r="56" spans="1:14" ht="75" customHeight="1" thickTop="1" thickBot="1">
      <c r="A56" s="23">
        <v>54</v>
      </c>
      <c r="B56" s="32">
        <f ca="1">IFERROR(__xludf.DUMMYFUNCTION("""COMPUTED_VALUE"""),46128.3098130555)</f>
        <v>46128.309813055501</v>
      </c>
      <c r="C56" s="33" t="str">
        <f ca="1">IFERROR(__xludf.DUMMYFUNCTION("""COMPUTED_VALUE"""),"المعملجي")</f>
        <v>المعملجي</v>
      </c>
      <c r="D56" s="33" t="str">
        <f ca="1">IFERROR(__xludf.DUMMYFUNCTION("""COMPUTED_VALUE"""),"وحدة الكهرباء")</f>
        <v>وحدة الكهرباء</v>
      </c>
      <c r="E56" s="23" t="str">
        <f ca="1">IFERROR(__xludf.DUMMYFUNCTION("""COMPUTED_VALUE"""),"قسم المشاريع الهندسية")</f>
        <v>قسم المشاريع الهندسية</v>
      </c>
      <c r="F56" s="23" t="str">
        <f ca="1">IFERROR(__xludf.DUMMYFUNCTION("""COMPUTED_VALUE"""),"A- المركز الثقافي")</f>
        <v>A- المركز الثقافي</v>
      </c>
      <c r="G56" s="23" t="str">
        <f ca="1">IFERROR(__xludf.DUMMYFUNCTION("""COMPUTED_VALUE"""),"الطابق الارضي, data center")</f>
        <v>الطابق الارضي, data center</v>
      </c>
      <c r="H56" s="23" t="str">
        <f ca="1">IFERROR(__xludf.DUMMYFUNCTION("""COMPUTED_VALUE"""),"فحص (UPS 1 + UPS 2) 
بعد إطفاء الكهرباء لمدة 60 دقيقة .")</f>
        <v>فحص (UPS 1 + UPS 2) 
بعد إطفاء الكهرباء لمدة 60 دقيقة .</v>
      </c>
      <c r="I56" s="23"/>
      <c r="J56" s="23" t="s">
        <v>89</v>
      </c>
      <c r="K56" s="23" t="s">
        <v>13</v>
      </c>
      <c r="L56" s="32">
        <v>46128.317413206023</v>
      </c>
      <c r="M56" s="23"/>
      <c r="N56" s="2" t="s">
        <v>77</v>
      </c>
    </row>
    <row r="57" spans="1:14" ht="75" customHeight="1" thickTop="1" thickBot="1">
      <c r="A57" s="25">
        <v>55</v>
      </c>
      <c r="B57" s="32">
        <f ca="1">IFERROR(__xludf.DUMMYFUNCTION("""COMPUTED_VALUE"""),46128.3110033333)</f>
        <v>46128.3110033333</v>
      </c>
      <c r="C57" s="33" t="str">
        <f ca="1">IFERROR(__xludf.DUMMYFUNCTION("""COMPUTED_VALUE"""),"المعملجي")</f>
        <v>المعملجي</v>
      </c>
      <c r="D57" s="33" t="str">
        <f ca="1">IFERROR(__xludf.DUMMYFUNCTION("""COMPUTED_VALUE"""),"وحدة الكهرباء")</f>
        <v>وحدة الكهرباء</v>
      </c>
      <c r="E57" s="23" t="str">
        <f ca="1">IFERROR(__xludf.DUMMYFUNCTION("""COMPUTED_VALUE"""),"قسم المشاريع الهندسية")</f>
        <v>قسم المشاريع الهندسية</v>
      </c>
      <c r="F57" s="23" t="str">
        <f ca="1">IFERROR(__xludf.DUMMYFUNCTION("""COMPUTED_VALUE"""),"E- ابتدائية العميد للبنات (الثالثة)")</f>
        <v>E- ابتدائية العميد للبنات (الثالثة)</v>
      </c>
      <c r="G57" s="23" t="str">
        <f ca="1">IFERROR(__xludf.DUMMYFUNCTION("""COMPUTED_VALUE"""),"الطابق الارضي, الساحة ZONE B, غرفة الكهرباء")</f>
        <v>الطابق الارضي, الساحة ZONE B, غرفة الكهرباء</v>
      </c>
      <c r="H57" s="23" t="str">
        <f ca="1">IFERROR(__xludf.DUMMYFUNCTION("""COMPUTED_VALUE"""),"بعد البحث والمتابعة وجد ان القاطع  الرئيسي المغذي للطابق حصل به شورت سيركت.")</f>
        <v>بعد البحث والمتابعة وجد ان القاطع  الرئيسي المغذي للطابق حصل به شورت سيركت.</v>
      </c>
      <c r="I57" s="23"/>
      <c r="J57" s="23" t="s">
        <v>89</v>
      </c>
      <c r="K57" s="23" t="s">
        <v>13</v>
      </c>
      <c r="L57" s="32">
        <v>46128.317418946761</v>
      </c>
      <c r="M57" s="23"/>
      <c r="N57" s="2" t="s">
        <v>77</v>
      </c>
    </row>
    <row r="58" spans="1:14" ht="75" customHeight="1" thickTop="1" thickBot="1">
      <c r="A58" s="23">
        <v>56</v>
      </c>
      <c r="B58" s="32">
        <f ca="1">IFERROR(__xludf.DUMMYFUNCTION("""COMPUTED_VALUE"""),46128.3125598495)</f>
        <v>46128.312559849503</v>
      </c>
      <c r="C58" s="33" t="str">
        <f ca="1">IFERROR(__xludf.DUMMYFUNCTION("""COMPUTED_VALUE"""),"المعملجي")</f>
        <v>المعملجي</v>
      </c>
      <c r="D58" s="33" t="str">
        <f ca="1">IFERROR(__xludf.DUMMYFUNCTION("""COMPUTED_VALUE"""),"وحدة الكهرباء")</f>
        <v>وحدة الكهرباء</v>
      </c>
      <c r="E58" s="23" t="str">
        <f ca="1">IFERROR(__xludf.DUMMYFUNCTION("""COMPUTED_VALUE"""),"قسم المشاريع الهندسية")</f>
        <v>قسم المشاريع الهندسية</v>
      </c>
      <c r="F58" s="23" t="str">
        <f ca="1">IFERROR(__xludf.DUMMYFUNCTION("""COMPUTED_VALUE"""),"E- ابتدائية العميد للبنات (الثالثة)")</f>
        <v>E- ابتدائية العميد للبنات (الثالثة)</v>
      </c>
      <c r="G58" s="23" t="str">
        <f ca="1">IFERROR(__xludf.DUMMYFUNCTION("""COMPUTED_VALUE"""),"الطابق الارضي, ZONE B, غرفة الكهرباء")</f>
        <v>الطابق الارضي, ZONE B, غرفة الكهرباء</v>
      </c>
      <c r="H58" s="23" t="str">
        <f ca="1">IFERROR(__xludf.DUMMYFUNCTION("""COMPUTED_VALUE"""),"تغذية بورد التوزيع الثانوي من بورد التوزيع الرئيسي لحين استبدال الكيبل")</f>
        <v>تغذية بورد التوزيع الثانوي من بورد التوزيع الرئيسي لحين استبدال الكيبل</v>
      </c>
      <c r="I58" s="23"/>
      <c r="J58" s="23" t="s">
        <v>89</v>
      </c>
      <c r="K58" s="23" t="s">
        <v>13</v>
      </c>
      <c r="L58" s="32">
        <v>46128.317423564818</v>
      </c>
      <c r="M58" s="23"/>
      <c r="N58" s="2" t="s">
        <v>77</v>
      </c>
    </row>
    <row r="59" spans="1:14" ht="75" customHeight="1" thickTop="1" thickBot="1">
      <c r="A59" s="25">
        <v>57</v>
      </c>
      <c r="B59" s="32">
        <f ca="1">IFERROR(__xludf.DUMMYFUNCTION("""COMPUTED_VALUE"""),46128.3145790046)</f>
        <v>46128.314579004596</v>
      </c>
      <c r="C59" s="33" t="str">
        <f ca="1">IFERROR(__xludf.DUMMYFUNCTION("""COMPUTED_VALUE"""),"المعملجي")</f>
        <v>المعملجي</v>
      </c>
      <c r="D59" s="33" t="str">
        <f ca="1">IFERROR(__xludf.DUMMYFUNCTION("""COMPUTED_VALUE"""),"وحدة الكهرباء")</f>
        <v>وحدة الكهرباء</v>
      </c>
      <c r="E59" s="23" t="str">
        <f ca="1">IFERROR(__xludf.DUMMYFUNCTION("""COMPUTED_VALUE"""),"قسم المشاريع الهندسية")</f>
        <v>قسم المشاريع الهندسية</v>
      </c>
      <c r="F59" s="23" t="str">
        <f ca="1">IFERROR(__xludf.DUMMYFUNCTION("""COMPUTED_VALUE"""),"شعبة الصيانة")</f>
        <v>شعبة الصيانة</v>
      </c>
      <c r="G59" s="23" t="str">
        <f ca="1">IFERROR(__xludf.DUMMYFUNCTION("""COMPUTED_VALUE"""),"محطة الرفع")</f>
        <v>محطة الرفع</v>
      </c>
      <c r="H59" s="23" t="str">
        <f ca="1">IFERROR(__xludf.DUMMYFUNCTION("""COMPUTED_VALUE"""),"ربط تغذية الونج الجديد 2,000 كيلوا الذي نصب حديثاً")</f>
        <v>ربط تغذية الونج الجديد 2,000 كيلوا الذي نصب حديثاً</v>
      </c>
      <c r="I59" s="23"/>
      <c r="J59" s="23" t="s">
        <v>89</v>
      </c>
      <c r="K59" s="23" t="s">
        <v>13</v>
      </c>
      <c r="L59" s="32">
        <v>46128.317434155091</v>
      </c>
      <c r="M59" s="23"/>
      <c r="N59" s="2" t="s">
        <v>77</v>
      </c>
    </row>
    <row r="60" spans="1:14" ht="75" customHeight="1" thickTop="1" thickBot="1">
      <c r="A60" s="23">
        <v>58</v>
      </c>
      <c r="B60" s="32">
        <f ca="1">IFERROR(__xludf.DUMMYFUNCTION("""COMPUTED_VALUE"""),46128.3154875)</f>
        <v>46128.315487499996</v>
      </c>
      <c r="C60" s="33" t="str">
        <f ca="1">IFERROR(__xludf.DUMMYFUNCTION("""COMPUTED_VALUE"""),"المعملجي")</f>
        <v>المعملجي</v>
      </c>
      <c r="D60" s="33" t="str">
        <f ca="1">IFERROR(__xludf.DUMMYFUNCTION("""COMPUTED_VALUE"""),"وحدة الكهرباء")</f>
        <v>وحدة الكهرباء</v>
      </c>
      <c r="E60" s="23" t="str">
        <f ca="1">IFERROR(__xludf.DUMMYFUNCTION("""COMPUTED_VALUE"""),"قسم المشاريع الهندسية")</f>
        <v>قسم المشاريع الهندسية</v>
      </c>
      <c r="F60" s="23" t="str">
        <f ca="1">IFERROR(__xludf.DUMMYFUNCTION("""COMPUTED_VALUE"""),"شعبة الصيانة")</f>
        <v>شعبة الصيانة</v>
      </c>
      <c r="G60" s="23" t="str">
        <f ca="1">IFERROR(__xludf.DUMMYFUNCTION("""COMPUTED_VALUE"""),"محطة الرفع")</f>
        <v>محطة الرفع</v>
      </c>
      <c r="H60" s="23" t="str">
        <f ca="1">IFERROR(__xludf.DUMMYFUNCTION("""COMPUTED_VALUE"""),"استبدال جوزة أحادية 25A بدل 16A")</f>
        <v>استبدال جوزة أحادية 25A بدل 16A</v>
      </c>
      <c r="I60" s="23"/>
      <c r="J60" s="23" t="s">
        <v>89</v>
      </c>
      <c r="K60" s="23" t="s">
        <v>13</v>
      </c>
      <c r="L60" s="32">
        <v>46128.317447986112</v>
      </c>
      <c r="M60" s="23"/>
      <c r="N60" s="2" t="s">
        <v>77</v>
      </c>
    </row>
    <row r="61" spans="1:14" ht="75" customHeight="1" thickTop="1" thickBot="1">
      <c r="A61" s="25">
        <v>59</v>
      </c>
      <c r="B61" s="32">
        <f ca="1">IFERROR(__xludf.DUMMYFUNCTION("""COMPUTED_VALUE"""),46128.3160444444)</f>
        <v>46128.3160444444</v>
      </c>
      <c r="C61" s="33" t="str">
        <f ca="1">IFERROR(__xludf.DUMMYFUNCTION("""COMPUTED_VALUE"""),"المعملجي")</f>
        <v>المعملجي</v>
      </c>
      <c r="D61" s="33" t="str">
        <f ca="1">IFERROR(__xludf.DUMMYFUNCTION("""COMPUTED_VALUE"""),"وحدة الكهرباء")</f>
        <v>وحدة الكهرباء</v>
      </c>
      <c r="E61" s="23" t="str">
        <f ca="1">IFERROR(__xludf.DUMMYFUNCTION("""COMPUTED_VALUE"""),"قسم المشاريع الهندسية")</f>
        <v>قسم المشاريع الهندسية</v>
      </c>
      <c r="F61" s="23" t="str">
        <f ca="1">IFERROR(__xludf.DUMMYFUNCTION("""COMPUTED_VALUE"""),"المالية")</f>
        <v>المالية</v>
      </c>
      <c r="G61" s="23" t="str">
        <f ca="1">IFERROR(__xludf.DUMMYFUNCTION("""COMPUTED_VALUE""")," ")</f>
        <v xml:space="preserve"> </v>
      </c>
      <c r="H61" s="23" t="str">
        <f ca="1">IFERROR(__xludf.DUMMYFUNCTION("""COMPUTED_VALUE"""),"استبدال محولة سبوت لايت تالفة")</f>
        <v>استبدال محولة سبوت لايت تالفة</v>
      </c>
      <c r="I61" s="23"/>
      <c r="J61" s="23" t="s">
        <v>89</v>
      </c>
      <c r="K61" s="23" t="s">
        <v>13</v>
      </c>
      <c r="L61" s="32">
        <v>46128.317451944444</v>
      </c>
      <c r="M61" s="23"/>
      <c r="N61" s="2" t="s">
        <v>77</v>
      </c>
    </row>
    <row r="62" spans="1:14" ht="75" customHeight="1" thickTop="1" thickBot="1">
      <c r="A62" s="23">
        <v>60</v>
      </c>
      <c r="B62" s="32">
        <f ca="1">IFERROR(__xludf.DUMMYFUNCTION("""COMPUTED_VALUE"""),46128.3167967592)</f>
        <v>46128.316796759202</v>
      </c>
      <c r="C62" s="33" t="str">
        <f ca="1">IFERROR(__xludf.DUMMYFUNCTION("""COMPUTED_VALUE"""),"المعملجي")</f>
        <v>المعملجي</v>
      </c>
      <c r="D62" s="33" t="str">
        <f ca="1">IFERROR(__xludf.DUMMYFUNCTION("""COMPUTED_VALUE"""),"وحدة الكهرباء")</f>
        <v>وحدة الكهرباء</v>
      </c>
      <c r="E62" s="23" t="str">
        <f ca="1">IFERROR(__xludf.DUMMYFUNCTION("""COMPUTED_VALUE"""),"قسم المشاريع الهندسية")</f>
        <v>قسم المشاريع الهندسية</v>
      </c>
      <c r="F62" s="23" t="str">
        <f ca="1">IFERROR(__xludf.DUMMYFUNCTION("""COMPUTED_VALUE"""),"I- ابتدائية الساقي للبنين (السادسة)")</f>
        <v>I- ابتدائية الساقي للبنين (السادسة)</v>
      </c>
      <c r="G62" s="23" t="str">
        <f ca="1">IFERROR(__xludf.DUMMYFUNCTION("""COMPUTED_VALUE"""),"الطابق الارضي, ZONE B, غرفة الكهرباء")</f>
        <v>الطابق الارضي, ZONE B, غرفة الكهرباء</v>
      </c>
      <c r="H62" s="23" t="str">
        <f ca="1">IFERROR(__xludf.DUMMYFUNCTION("""COMPUTED_VALUE"""),"تحويل تشغيل انارة الساحة الى خارج غرفة الكهرباء")</f>
        <v>تحويل تشغيل انارة الساحة الى خارج غرفة الكهرباء</v>
      </c>
      <c r="I62" s="23"/>
      <c r="J62" s="23" t="s">
        <v>89</v>
      </c>
      <c r="K62" s="23" t="s">
        <v>13</v>
      </c>
      <c r="L62" s="32">
        <v>46128.317459675927</v>
      </c>
      <c r="M62" s="23"/>
      <c r="N62" s="2" t="s">
        <v>77</v>
      </c>
    </row>
    <row r="63" spans="1:14" ht="75" customHeight="1" thickTop="1" thickBot="1">
      <c r="A63" s="25">
        <v>61</v>
      </c>
      <c r="B63" s="32">
        <f ca="1">IFERROR(__xludf.DUMMYFUNCTION("""COMPUTED_VALUE"""),46130.3293085763)</f>
        <v>46130.3293085763</v>
      </c>
      <c r="C63" s="33" t="str">
        <f ca="1">IFERROR(__xludf.DUMMYFUNCTION("""COMPUTED_VALUE"""),"المعملجي")</f>
        <v>المعملجي</v>
      </c>
      <c r="D63" s="33" t="str">
        <f ca="1">IFERROR(__xludf.DUMMYFUNCTION("""COMPUTED_VALUE"""),"سجاد تربية")</f>
        <v>سجاد تربية</v>
      </c>
      <c r="E63" s="23" t="str">
        <f ca="1">IFERROR(__xludf.DUMMYFUNCTION("""COMPUTED_VALUE"""),"قسم التربية والتعليم العالي")</f>
        <v>قسم التربية والتعليم العالي</v>
      </c>
      <c r="F63" s="23" t="str">
        <f ca="1">IFERROR(__xludf.DUMMYFUNCTION("""COMPUTED_VALUE"""),"رئاسة القسم")</f>
        <v>رئاسة القسم</v>
      </c>
      <c r="G63" s="23" t="str">
        <f ca="1">IFERROR(__xludf.DUMMYFUNCTION("""COMPUTED_VALUE"""),"الطابق الاول")</f>
        <v>الطابق الاول</v>
      </c>
      <c r="H63" s="23" t="str">
        <f ca="1">IFERROR(__xludf.DUMMYFUNCTION("""COMPUTED_VALUE"""),"صيانة سبوت لايت قرب غرفة الدكتور")</f>
        <v>صيانة سبوت لايت قرب غرفة الدكتور</v>
      </c>
      <c r="I63" s="23"/>
      <c r="J63" s="23" t="s">
        <v>89</v>
      </c>
      <c r="K63" s="23" t="s">
        <v>13</v>
      </c>
      <c r="L63" s="32">
        <v>46130.573326238431</v>
      </c>
      <c r="M63" s="23"/>
      <c r="N63" s="2" t="s">
        <v>77</v>
      </c>
    </row>
    <row r="64" spans="1:14" ht="75" customHeight="1" thickTop="1" thickBot="1">
      <c r="A64" s="23">
        <v>62</v>
      </c>
      <c r="B64" s="32">
        <f ca="1">IFERROR(__xludf.DUMMYFUNCTION("""COMPUTED_VALUE"""),46131.5505287384)</f>
        <v>46131.5505287384</v>
      </c>
      <c r="C64" s="33" t="str">
        <f ca="1">IFERROR(__xludf.DUMMYFUNCTION("""COMPUTED_VALUE"""),"المعملجي")</f>
        <v>المعملجي</v>
      </c>
      <c r="D64" s="33" t="str">
        <f ca="1">IFERROR(__xludf.DUMMYFUNCTION("""COMPUTED_VALUE"""),"سجاد تربية")</f>
        <v>سجاد تربية</v>
      </c>
      <c r="E64" s="23" t="str">
        <f ca="1">IFERROR(__xludf.DUMMYFUNCTION("""COMPUTED_VALUE"""),"قسم التربية والتعليم العالي")</f>
        <v>قسم التربية والتعليم العالي</v>
      </c>
      <c r="F64" s="23" t="str">
        <f ca="1">IFERROR(__xludf.DUMMYFUNCTION("""COMPUTED_VALUE"""),"G- روضة الجود")</f>
        <v>G- روضة الجود</v>
      </c>
      <c r="G64" s="23" t="str">
        <f ca="1">IFERROR(__xludf.DUMMYFUNCTION("""COMPUTED_VALUE"""),"الطابق الارضي")</f>
        <v>الطابق الارضي</v>
      </c>
      <c r="H64" s="23" t="str">
        <f ca="1">IFERROR(__xludf.DUMMYFUNCTION("""COMPUTED_VALUE"""),"لاتوجد كهرباء ")</f>
        <v xml:space="preserve">لاتوجد كهرباء </v>
      </c>
      <c r="I64" s="23"/>
      <c r="J64" s="23" t="s">
        <v>89</v>
      </c>
      <c r="K64" s="23" t="s">
        <v>13</v>
      </c>
      <c r="L64" s="32">
        <v>46131.557284328708</v>
      </c>
      <c r="M64" s="23"/>
      <c r="N64" s="2" t="s">
        <v>77</v>
      </c>
    </row>
    <row r="65" spans="1:14" ht="75" customHeight="1" thickTop="1" thickBot="1">
      <c r="A65" s="25">
        <v>63</v>
      </c>
      <c r="B65" s="32">
        <f ca="1">IFERROR(__xludf.DUMMYFUNCTION("""COMPUTED_VALUE"""),46132.4629206597)</f>
        <v>46132.462920659702</v>
      </c>
      <c r="C65" s="33" t="str">
        <f ca="1">IFERROR(__xludf.DUMMYFUNCTION("""COMPUTED_VALUE"""),"المعملجي")</f>
        <v>المعملجي</v>
      </c>
      <c r="D65" s="33" t="str">
        <f ca="1">IFERROR(__xludf.DUMMYFUNCTION("""COMPUTED_VALUE"""),"سجاد تربية")</f>
        <v>سجاد تربية</v>
      </c>
      <c r="E65" s="23" t="str">
        <f ca="1">IFERROR(__xludf.DUMMYFUNCTION("""COMPUTED_VALUE"""),"قسم التربية والتعليم العالي")</f>
        <v>قسم التربية والتعليم العالي</v>
      </c>
      <c r="F65" s="23" t="str">
        <f ca="1">IFERROR(__xludf.DUMMYFUNCTION("""COMPUTED_VALUE"""),"G- روضة الجود")</f>
        <v>G- روضة الجود</v>
      </c>
      <c r="G65" s="23" t="str">
        <f ca="1">IFERROR(__xludf.DUMMYFUNCTION("""COMPUTED_VALUE"""),"الطابق الارضي")</f>
        <v>الطابق الارضي</v>
      </c>
      <c r="H65" s="23" t="str">
        <f ca="1">IFERROR(__xludf.DUMMYFUNCTION("""COMPUTED_VALUE"""),"لاتوجد كهرباء ")</f>
        <v xml:space="preserve">لاتوجد كهرباء </v>
      </c>
      <c r="I65" s="23"/>
      <c r="J65" s="23" t="s">
        <v>89</v>
      </c>
      <c r="K65" s="23" t="s">
        <v>13</v>
      </c>
      <c r="L65" s="32">
        <v>46132.489557152774</v>
      </c>
      <c r="M65" s="23"/>
      <c r="N65" s="2" t="s">
        <v>77</v>
      </c>
    </row>
    <row r="66" spans="1:14" ht="75" customHeight="1" thickTop="1" thickBot="1">
      <c r="A66" s="23">
        <v>64</v>
      </c>
      <c r="B66" s="32">
        <f ca="1">IFERROR(__xludf.DUMMYFUNCTION("""COMPUTED_VALUE"""),46133.3767780555)</f>
        <v>46133.376778055499</v>
      </c>
      <c r="C66" s="33" t="str">
        <f ca="1">IFERROR(__xludf.DUMMYFUNCTION("""COMPUTED_VALUE"""),"المعملجي")</f>
        <v>المعملجي</v>
      </c>
      <c r="D66" s="33" t="str">
        <f ca="1">IFERROR(__xludf.DUMMYFUNCTION("""COMPUTED_VALUE"""),"سجاد تربية")</f>
        <v>سجاد تربية</v>
      </c>
      <c r="E66" s="23" t="str">
        <f ca="1">IFERROR(__xludf.DUMMYFUNCTION("""COMPUTED_VALUE"""),"قسم التربية والتعليم العالي")</f>
        <v>قسم التربية والتعليم العالي</v>
      </c>
      <c r="F66" s="23" t="str">
        <f ca="1">IFERROR(__xludf.DUMMYFUNCTION("""COMPUTED_VALUE"""),"النافورة")</f>
        <v>النافورة</v>
      </c>
      <c r="G66" s="23" t="str">
        <f ca="1">IFERROR(__xludf.DUMMYFUNCTION("""COMPUTED_VALUE"""),"الطابق الارضي")</f>
        <v>الطابق الارضي</v>
      </c>
      <c r="H66" s="23" t="str">
        <f ca="1">IFERROR(__xludf.DUMMYFUNCTION("""COMPUTED_VALUE"""),"تشغيل نافوره مستوى واحد")</f>
        <v>تشغيل نافوره مستوى واحد</v>
      </c>
      <c r="I66" s="23"/>
      <c r="J66" s="23" t="s">
        <v>89</v>
      </c>
      <c r="K66" s="23" t="s">
        <v>13</v>
      </c>
      <c r="L66" s="32">
        <v>46133.546857511574</v>
      </c>
      <c r="M66" s="23"/>
      <c r="N66" s="2" t="s">
        <v>77</v>
      </c>
    </row>
    <row r="67" spans="1:14" ht="75" customHeight="1" thickTop="1" thickBot="1">
      <c r="A67" s="25">
        <v>65</v>
      </c>
      <c r="B67" s="32">
        <f ca="1">IFERROR(__xludf.DUMMYFUNCTION("""COMPUTED_VALUE"""),46134.5538930208)</f>
        <v>46134.553893020799</v>
      </c>
      <c r="C67" s="33" t="str">
        <f ca="1">IFERROR(__xludf.DUMMYFUNCTION("""COMPUTED_VALUE"""),"المعملجي")</f>
        <v>المعملجي</v>
      </c>
      <c r="D67" s="33" t="str">
        <f ca="1">IFERROR(__xludf.DUMMYFUNCTION("""COMPUTED_VALUE"""),"سجاد تربية")</f>
        <v>سجاد تربية</v>
      </c>
      <c r="E67" s="23" t="str">
        <f ca="1">IFERROR(__xludf.DUMMYFUNCTION("""COMPUTED_VALUE"""),"قسم التربية والتعليم العالي")</f>
        <v>قسم التربية والتعليم العالي</v>
      </c>
      <c r="F67" s="23" t="str">
        <f ca="1">IFERROR(__xludf.DUMMYFUNCTION("""COMPUTED_VALUE"""),"H- ابتدائية القمر للبنات (الخامسة)")</f>
        <v>H- ابتدائية القمر للبنات (الخامسة)</v>
      </c>
      <c r="G67" s="23" t="str">
        <f ca="1">IFERROR(__xludf.DUMMYFUNCTION("""COMPUTED_VALUE"""),"الطابق الارضي")</f>
        <v>الطابق الارضي</v>
      </c>
      <c r="H67" s="23" t="str">
        <f ca="1">IFERROR(__xludf.DUMMYFUNCTION("""COMPUTED_VALUE"""),"صيانة مصعد ")</f>
        <v xml:space="preserve">صيانة مصعد </v>
      </c>
      <c r="I67" s="23"/>
      <c r="J67" s="23" t="s">
        <v>89</v>
      </c>
      <c r="K67" s="23" t="s">
        <v>13</v>
      </c>
      <c r="L67" s="32">
        <v>46137.325201030093</v>
      </c>
      <c r="M67" s="23"/>
      <c r="N67" s="2" t="s">
        <v>77</v>
      </c>
    </row>
    <row r="68" spans="1:14" ht="75" customHeight="1" thickTop="1" thickBot="1">
      <c r="A68" s="23">
        <v>66</v>
      </c>
      <c r="B68" s="32">
        <f ca="1">IFERROR(__xludf.DUMMYFUNCTION("""COMPUTED_VALUE"""),46138.5438696759)</f>
        <v>46138.543869675901</v>
      </c>
      <c r="C68" s="33" t="str">
        <f ca="1">IFERROR(__xludf.DUMMYFUNCTION("""COMPUTED_VALUE"""),"المعملجي")</f>
        <v>المعملجي</v>
      </c>
      <c r="D68" s="33" t="str">
        <f ca="1">IFERROR(__xludf.DUMMYFUNCTION("""COMPUTED_VALUE"""),"سجاد تربية")</f>
        <v>سجاد تربية</v>
      </c>
      <c r="E68" s="23" t="str">
        <f ca="1">IFERROR(__xludf.DUMMYFUNCTION("""COMPUTED_VALUE"""),"قسم التربية والتعليم العالي")</f>
        <v>قسم التربية والتعليم العالي</v>
      </c>
      <c r="F68" s="23" t="str">
        <f ca="1">IFERROR(__xludf.DUMMYFUNCTION("""COMPUTED_VALUE"""),"B- روضة القمر")</f>
        <v>B- روضة القمر</v>
      </c>
      <c r="G68" s="23" t="str">
        <f ca="1">IFERROR(__xludf.DUMMYFUNCTION("""COMPUTED_VALUE"""),"الطابق الارضي")</f>
        <v>الطابق الارضي</v>
      </c>
      <c r="H68" s="23" t="str">
        <f ca="1">IFERROR(__xludf.DUMMYFUNCTION("""COMPUTED_VALUE"""),"صيانة سويج البصمة ")</f>
        <v xml:space="preserve">صيانة سويج البصمة </v>
      </c>
      <c r="I68" s="23"/>
      <c r="J68" s="23" t="s">
        <v>89</v>
      </c>
      <c r="K68" s="23" t="s">
        <v>13</v>
      </c>
      <c r="L68" s="32">
        <v>46138.557518773145</v>
      </c>
      <c r="M68" s="23"/>
      <c r="N68" s="2" t="s">
        <v>77</v>
      </c>
    </row>
    <row r="69" spans="1:14" ht="75" customHeight="1" thickTop="1" thickBot="1">
      <c r="A69" s="25">
        <v>67</v>
      </c>
      <c r="B69" s="32">
        <f ca="1">IFERROR(__xludf.DUMMYFUNCTION("""COMPUTED_VALUE"""),46139.4107396759)</f>
        <v>46139.410739675899</v>
      </c>
      <c r="C69" s="33" t="str">
        <f ca="1">IFERROR(__xludf.DUMMYFUNCTION("""COMPUTED_VALUE"""),"المعملجي")</f>
        <v>المعملجي</v>
      </c>
      <c r="D69" s="33" t="str">
        <f ca="1">IFERROR(__xludf.DUMMYFUNCTION("""COMPUTED_VALUE"""),"سجاد تربية")</f>
        <v>سجاد تربية</v>
      </c>
      <c r="E69" s="23" t="str">
        <f ca="1">IFERROR(__xludf.DUMMYFUNCTION("""COMPUTED_VALUE"""),"قسم التربية والتعليم العالي")</f>
        <v>قسم التربية والتعليم العالي</v>
      </c>
      <c r="F69" s="23" t="str">
        <f ca="1">IFERROR(__xludf.DUMMYFUNCTION("""COMPUTED_VALUE"""),"B- روضة القمر")</f>
        <v>B- روضة القمر</v>
      </c>
      <c r="G69" s="23" t="str">
        <f ca="1">IFERROR(__xludf.DUMMYFUNCTION("""COMPUTED_VALUE"""),"الطابق الارضي")</f>
        <v>الطابق الارضي</v>
      </c>
      <c r="H69" s="23" t="str">
        <f ca="1">IFERROR(__xludf.DUMMYFUNCTION("""COMPUTED_VALUE"""),"عمل بلك لسيليكون ")</f>
        <v xml:space="preserve">عمل بلك لسيليكون </v>
      </c>
      <c r="I69" s="23"/>
      <c r="J69" s="23" t="s">
        <v>89</v>
      </c>
      <c r="K69" s="23" t="s">
        <v>13</v>
      </c>
      <c r="L69" s="32">
        <v>46139.499594490742</v>
      </c>
      <c r="M69" s="23"/>
      <c r="N69" s="2" t="s">
        <v>77</v>
      </c>
    </row>
    <row r="70" spans="1:14" ht="75" customHeight="1" thickTop="1" thickBot="1">
      <c r="A70" s="23">
        <v>68</v>
      </c>
      <c r="B70" s="32">
        <f ca="1">IFERROR(__xludf.DUMMYFUNCTION("""COMPUTED_VALUE"""),46140.3582601388)</f>
        <v>46140.358260138797</v>
      </c>
      <c r="C70" s="33" t="str">
        <f ca="1">IFERROR(__xludf.DUMMYFUNCTION("""COMPUTED_VALUE"""),"المعملجي")</f>
        <v>المعملجي</v>
      </c>
      <c r="D70" s="33" t="str">
        <f ca="1">IFERROR(__xludf.DUMMYFUNCTION("""COMPUTED_VALUE"""),"سجاد تربية")</f>
        <v>سجاد تربية</v>
      </c>
      <c r="E70" s="23" t="str">
        <f ca="1">IFERROR(__xludf.DUMMYFUNCTION("""COMPUTED_VALUE"""),"قسم التربية والتعليم العالي")</f>
        <v>قسم التربية والتعليم العالي</v>
      </c>
      <c r="F70" s="23" t="str">
        <f ca="1">IFERROR(__xludf.DUMMYFUNCTION("""COMPUTED_VALUE"""),"I- ابتدائية الساقي للبنين (السادسة)")</f>
        <v>I- ابتدائية الساقي للبنين (السادسة)</v>
      </c>
      <c r="G70" s="23" t="str">
        <f ca="1">IFERROR(__xludf.DUMMYFUNCTION("""COMPUTED_VALUE"""),"الطابق الارضي")</f>
        <v>الطابق الارضي</v>
      </c>
      <c r="H70" s="23" t="str">
        <f ca="1">IFERROR(__xludf.DUMMYFUNCTION("""COMPUTED_VALUE"""),"صيانة مصعد")</f>
        <v>صيانة مصعد</v>
      </c>
      <c r="I70" s="23"/>
      <c r="J70" s="23" t="s">
        <v>89</v>
      </c>
      <c r="K70" s="23" t="s">
        <v>13</v>
      </c>
      <c r="L70" s="32">
        <v>46144.395873287038</v>
      </c>
      <c r="M70" s="23"/>
      <c r="N70" s="2" t="s">
        <v>77</v>
      </c>
    </row>
    <row r="71" spans="1:14" ht="75" customHeight="1" thickTop="1" thickBot="1">
      <c r="A71" s="25">
        <v>69</v>
      </c>
      <c r="B71" s="32">
        <f ca="1">IFERROR(__xludf.DUMMYFUNCTION("""COMPUTED_VALUE"""),46140.4873223263)</f>
        <v>46140.487322326298</v>
      </c>
      <c r="C71" s="33" t="str">
        <f ca="1">IFERROR(__xludf.DUMMYFUNCTION("""COMPUTED_VALUE"""),"المعملجي")</f>
        <v>المعملجي</v>
      </c>
      <c r="D71" s="33" t="str">
        <f ca="1">IFERROR(__xludf.DUMMYFUNCTION("""COMPUTED_VALUE"""),"سجاد تربية")</f>
        <v>سجاد تربية</v>
      </c>
      <c r="E71" s="23" t="str">
        <f ca="1">IFERROR(__xludf.DUMMYFUNCTION("""COMPUTED_VALUE"""),"قسم التربية والتعليم العالي")</f>
        <v>قسم التربية والتعليم العالي</v>
      </c>
      <c r="F71" s="23" t="str">
        <f ca="1">IFERROR(__xludf.DUMMYFUNCTION("""COMPUTED_VALUE"""),"A- المركز الثقافي")</f>
        <v>A- المركز الثقافي</v>
      </c>
      <c r="G71" s="23" t="str">
        <f ca="1">IFERROR(__xludf.DUMMYFUNCTION("""COMPUTED_VALUE"""),"وحدة المراقبة ")</f>
        <v xml:space="preserve">وحدة المراقبة </v>
      </c>
      <c r="H71" s="23" t="str">
        <f ca="1">IFERROR(__xludf.DUMMYFUNCTION("""COMPUTED_VALUE"""),"صيانة سبوت لايت")</f>
        <v>صيانة سبوت لايت</v>
      </c>
      <c r="I71" s="23"/>
      <c r="J71" s="23" t="s">
        <v>89</v>
      </c>
      <c r="K71" s="23" t="s">
        <v>13</v>
      </c>
      <c r="L71" s="32">
        <v>46141.308896365736</v>
      </c>
      <c r="M71" s="23"/>
      <c r="N71" s="2" t="s">
        <v>77</v>
      </c>
    </row>
    <row r="72" spans="1:14" ht="75" customHeight="1" thickTop="1" thickBot="1">
      <c r="A72" s="23">
        <v>70</v>
      </c>
      <c r="B72" s="32">
        <f ca="1">IFERROR(__xludf.DUMMYFUNCTION("""COMPUTED_VALUE"""),46142.3497335879)</f>
        <v>46142.3497335879</v>
      </c>
      <c r="C72" s="33" t="str">
        <f ca="1">IFERROR(__xludf.DUMMYFUNCTION("""COMPUTED_VALUE"""),"المعملجي")</f>
        <v>المعملجي</v>
      </c>
      <c r="D72" s="33" t="str">
        <f ca="1">IFERROR(__xludf.DUMMYFUNCTION("""COMPUTED_VALUE"""),"وحدة الكهرباء")</f>
        <v>وحدة الكهرباء</v>
      </c>
      <c r="E72" s="23" t="str">
        <f ca="1">IFERROR(__xludf.DUMMYFUNCTION("""COMPUTED_VALUE"""),"قسم المشاريع الهندسية")</f>
        <v>قسم المشاريع الهندسية</v>
      </c>
      <c r="F72" s="23" t="str">
        <f ca="1">IFERROR(__xludf.DUMMYFUNCTION("""COMPUTED_VALUE"""),"A- المركز الثقافي")</f>
        <v>A- المركز الثقافي</v>
      </c>
      <c r="G72" s="23" t="str">
        <f ca="1">IFERROR(__xludf.DUMMYFUNCTION("""COMPUTED_VALUE"""),"الطابق الارضي")</f>
        <v>الطابق الارضي</v>
      </c>
      <c r="H72" s="23" t="str">
        <f ca="1">IFERROR(__xludf.DUMMYFUNCTION("""COMPUTED_VALUE"""),"أضافة بوش لمضخة (Emergency Diesel Run)  ")</f>
        <v xml:space="preserve">أضافة بوش لمضخة (Emergency Diesel Run)  </v>
      </c>
      <c r="I72" s="23"/>
      <c r="J72" s="23" t="s">
        <v>89</v>
      </c>
      <c r="K72" s="23" t="s">
        <v>13</v>
      </c>
      <c r="L72" s="32">
        <v>46142.392420011573</v>
      </c>
      <c r="M72" s="23"/>
      <c r="N72" s="2" t="s">
        <v>77</v>
      </c>
    </row>
    <row r="73" spans="1:14" ht="75" customHeight="1" thickTop="1" thickBot="1">
      <c r="A73" s="25">
        <v>71</v>
      </c>
      <c r="B73" s="32">
        <f ca="1">IFERROR(__xludf.DUMMYFUNCTION("""COMPUTED_VALUE"""),46142.3553119328)</f>
        <v>46142.355311932799</v>
      </c>
      <c r="C73" s="33" t="str">
        <f ca="1">IFERROR(__xludf.DUMMYFUNCTION("""COMPUTED_VALUE"""),"المعملجي")</f>
        <v>المعملجي</v>
      </c>
      <c r="D73" s="33" t="str">
        <f ca="1">IFERROR(__xludf.DUMMYFUNCTION("""COMPUTED_VALUE"""),"وحدة الكهرباء")</f>
        <v>وحدة الكهرباء</v>
      </c>
      <c r="E73" s="23" t="str">
        <f ca="1">IFERROR(__xludf.DUMMYFUNCTION("""COMPUTED_VALUE"""),"قسم المشاريع الهندسية")</f>
        <v>قسم المشاريع الهندسية</v>
      </c>
      <c r="F73" s="23" t="str">
        <f ca="1">IFERROR(__xludf.DUMMYFUNCTION("""COMPUTED_VALUE"""),"I- ابتدائية الساقي للبنين (السادسة)")</f>
        <v>I- ابتدائية الساقي للبنين (السادسة)</v>
      </c>
      <c r="G73" s="23" t="str">
        <f ca="1">IFERROR(__xludf.DUMMYFUNCTION("""COMPUTED_VALUE"""),"الطابق الارضي, ZONE B")</f>
        <v>الطابق الارضي, ZONE B</v>
      </c>
      <c r="H73" s="23" t="str">
        <f ca="1">IFERROR(__xludf.DUMMYFUNCTION("""COMPUTED_VALUE"""),"فحص  UPS  السادسة بعد إطفاء الكهرباء عنهُ.")</f>
        <v>فحص  UPS  السادسة بعد إطفاء الكهرباء عنهُ.</v>
      </c>
      <c r="I73" s="23"/>
      <c r="J73" s="23" t="s">
        <v>89</v>
      </c>
      <c r="K73" s="23" t="s">
        <v>13</v>
      </c>
      <c r="L73" s="32">
        <v>46142.392431365741</v>
      </c>
      <c r="M73" s="23"/>
      <c r="N73" s="2" t="s">
        <v>77</v>
      </c>
    </row>
    <row r="74" spans="1:14" ht="75" customHeight="1" thickTop="1" thickBot="1">
      <c r="A74" s="23">
        <v>72</v>
      </c>
      <c r="B74" s="32">
        <f ca="1">IFERROR(__xludf.DUMMYFUNCTION("""COMPUTED_VALUE"""),46142.3566002083)</f>
        <v>46142.356600208303</v>
      </c>
      <c r="C74" s="33" t="str">
        <f ca="1">IFERROR(__xludf.DUMMYFUNCTION("""COMPUTED_VALUE"""),"المعملجي")</f>
        <v>المعملجي</v>
      </c>
      <c r="D74" s="33" t="str">
        <f ca="1">IFERROR(__xludf.DUMMYFUNCTION("""COMPUTED_VALUE"""),"وحدة الكهرباء")</f>
        <v>وحدة الكهرباء</v>
      </c>
      <c r="E74" s="23" t="str">
        <f ca="1">IFERROR(__xludf.DUMMYFUNCTION("""COMPUTED_VALUE"""),"قسم المشاريع الهندسية")</f>
        <v>قسم المشاريع الهندسية</v>
      </c>
      <c r="F74" s="23" t="str">
        <f ca="1">IFERROR(__xludf.DUMMYFUNCTION("""COMPUTED_VALUE"""),"E- ابتدائية العميد للبنات (الثالثة)")</f>
        <v>E- ابتدائية العميد للبنات (الثالثة)</v>
      </c>
      <c r="G74" s="23" t="str">
        <f ca="1">IFERROR(__xludf.DUMMYFUNCTION("""COMPUTED_VALUE"""),"الطابق الارضي, ZONE A, ZONE B")</f>
        <v>الطابق الارضي, ZONE A, ZONE B</v>
      </c>
      <c r="H74" s="23" t="str">
        <f ca="1">IFERROR(__xludf.DUMMYFUNCTION("""COMPUTED_VALUE"""),"مد كيبل 6*4 ملم  بدل من الكيبل التالف")</f>
        <v>مد كيبل 6*4 ملم  بدل من الكيبل التالف</v>
      </c>
      <c r="I74" s="23"/>
      <c r="J74" s="23" t="s">
        <v>89</v>
      </c>
      <c r="K74" s="23" t="s">
        <v>13</v>
      </c>
      <c r="L74" s="32">
        <v>46142.392440115742</v>
      </c>
      <c r="M74" s="23"/>
      <c r="N74" s="2" t="s">
        <v>77</v>
      </c>
    </row>
    <row r="75" spans="1:14" ht="75" customHeight="1" thickTop="1" thickBot="1">
      <c r="A75" s="25">
        <v>73</v>
      </c>
      <c r="B75" s="32">
        <f ca="1">IFERROR(__xludf.DUMMYFUNCTION("""COMPUTED_VALUE"""),46142.3574301967)</f>
        <v>46142.357430196702</v>
      </c>
      <c r="C75" s="33" t="str">
        <f ca="1">IFERROR(__xludf.DUMMYFUNCTION("""COMPUTED_VALUE"""),"المعملجي")</f>
        <v>المعملجي</v>
      </c>
      <c r="D75" s="33" t="str">
        <f ca="1">IFERROR(__xludf.DUMMYFUNCTION("""COMPUTED_VALUE"""),"وحدة الكهرباء")</f>
        <v>وحدة الكهرباء</v>
      </c>
      <c r="E75" s="23" t="str">
        <f ca="1">IFERROR(__xludf.DUMMYFUNCTION("""COMPUTED_VALUE"""),"قسم المشاريع الهندسية")</f>
        <v>قسم المشاريع الهندسية</v>
      </c>
      <c r="F75" s="23" t="str">
        <f ca="1">IFERROR(__xludf.DUMMYFUNCTION("""COMPUTED_VALUE"""),"J- جامعة العميد (السابعة)")</f>
        <v>J- جامعة العميد (السابعة)</v>
      </c>
      <c r="G75" s="23" t="str">
        <f ca="1">IFERROR(__xludf.DUMMYFUNCTION("""COMPUTED_VALUE"""),"الطابق الارضي, ZONE B")</f>
        <v>الطابق الارضي, ZONE B</v>
      </c>
      <c r="H75" s="23" t="str">
        <f ca="1">IFERROR(__xludf.DUMMYFUNCTION("""COMPUTED_VALUE"""),"فحص  UPS  المدرسة بعد إطفاء الكهرباء عنهُ.")</f>
        <v>فحص  UPS  المدرسة بعد إطفاء الكهرباء عنهُ.</v>
      </c>
      <c r="I75" s="23"/>
      <c r="J75" s="23" t="s">
        <v>89</v>
      </c>
      <c r="K75" s="23" t="s">
        <v>13</v>
      </c>
      <c r="L75" s="32">
        <v>46142.392446365746</v>
      </c>
      <c r="M75" s="23"/>
      <c r="N75" s="2" t="s">
        <v>77</v>
      </c>
    </row>
    <row r="76" spans="1:14" ht="75" customHeight="1" thickTop="1" thickBot="1">
      <c r="A76" s="23">
        <v>74</v>
      </c>
      <c r="B76" s="32">
        <f ca="1">IFERROR(__xludf.DUMMYFUNCTION("""COMPUTED_VALUE"""),46142.3584137615)</f>
        <v>46142.358413761503</v>
      </c>
      <c r="C76" s="33" t="str">
        <f ca="1">IFERROR(__xludf.DUMMYFUNCTION("""COMPUTED_VALUE"""),"المعملجي")</f>
        <v>المعملجي</v>
      </c>
      <c r="D76" s="33" t="str">
        <f ca="1">IFERROR(__xludf.DUMMYFUNCTION("""COMPUTED_VALUE"""),"وحدة الكهرباء")</f>
        <v>وحدة الكهرباء</v>
      </c>
      <c r="E76" s="23" t="str">
        <f ca="1">IFERROR(__xludf.DUMMYFUNCTION("""COMPUTED_VALUE"""),"قسم المشاريع الهندسية")</f>
        <v>قسم المشاريع الهندسية</v>
      </c>
      <c r="F76" s="23" t="str">
        <f ca="1">IFERROR(__xludf.DUMMYFUNCTION("""COMPUTED_VALUE"""),"A- المركز الثقافي")</f>
        <v>A- المركز الثقافي</v>
      </c>
      <c r="G76" s="23" t="str">
        <f ca="1">IFERROR(__xludf.DUMMYFUNCTION("""COMPUTED_VALUE"""),"رئاسة القسم")</f>
        <v>رئاسة القسم</v>
      </c>
      <c r="H76" s="23" t="str">
        <f ca="1">IFERROR(__xludf.DUMMYFUNCTION("""COMPUTED_VALUE"""),"تم أضافة بلك سويچ عدد 2 لتغذية جهاز مجفف أيدي في الحمامات")</f>
        <v>تم أضافة بلك سويچ عدد 2 لتغذية جهاز مجفف أيدي في الحمامات</v>
      </c>
      <c r="I76" s="23"/>
      <c r="J76" s="23" t="s">
        <v>89</v>
      </c>
      <c r="K76" s="23" t="s">
        <v>13</v>
      </c>
      <c r="L76" s="32">
        <v>46142.392453298613</v>
      </c>
      <c r="M76" s="23"/>
      <c r="N76" s="2" t="s">
        <v>77</v>
      </c>
    </row>
    <row r="77" spans="1:14" ht="75" customHeight="1" thickTop="1" thickBot="1">
      <c r="A77" s="25">
        <v>75</v>
      </c>
      <c r="B77" s="32">
        <f ca="1">IFERROR(__xludf.DUMMYFUNCTION("""COMPUTED_VALUE"""),46142.3595982523)</f>
        <v>46142.359598252297</v>
      </c>
      <c r="C77" s="33" t="str">
        <f ca="1">IFERROR(__xludf.DUMMYFUNCTION("""COMPUTED_VALUE"""),"المعملجي")</f>
        <v>المعملجي</v>
      </c>
      <c r="D77" s="33" t="str">
        <f ca="1">IFERROR(__xludf.DUMMYFUNCTION("""COMPUTED_VALUE"""),"وحدة الكهرباء")</f>
        <v>وحدة الكهرباء</v>
      </c>
      <c r="E77" s="23" t="str">
        <f ca="1">IFERROR(__xludf.DUMMYFUNCTION("""COMPUTED_VALUE"""),"قسم المشاريع الهندسية")</f>
        <v>قسم المشاريع الهندسية</v>
      </c>
      <c r="F77" s="23" t="str">
        <f ca="1">IFERROR(__xludf.DUMMYFUNCTION("""COMPUTED_VALUE"""),"J- جامعة العميد (السابعة)")</f>
        <v>J- جامعة العميد (السابعة)</v>
      </c>
      <c r="G77" s="23" t="str">
        <f ca="1">IFERROR(__xludf.DUMMYFUNCTION("""COMPUTED_VALUE"""),"الطابق الارضي, ZONE B")</f>
        <v>الطابق الارضي, ZONE B</v>
      </c>
      <c r="H77" s="23" t="str">
        <f ca="1">IFERROR(__xludf.DUMMYFUNCTION("""COMPUTED_VALUE"""),"تحويل تشغيل الانارة للطابق الأرضي في المدرسة الى خارج غرفة الكهرباء")</f>
        <v>تحويل تشغيل الانارة للطابق الأرضي في المدرسة الى خارج غرفة الكهرباء</v>
      </c>
      <c r="I77" s="23"/>
      <c r="J77" s="23" t="s">
        <v>89</v>
      </c>
      <c r="K77" s="23" t="s">
        <v>13</v>
      </c>
      <c r="L77" s="32">
        <v>46142.39247637731</v>
      </c>
      <c r="M77" s="23"/>
      <c r="N77" s="2" t="s">
        <v>77</v>
      </c>
    </row>
    <row r="78" spans="1:14" ht="75" customHeight="1" thickTop="1" thickBot="1">
      <c r="A78" s="23">
        <v>76</v>
      </c>
      <c r="B78" s="32">
        <f ca="1">IFERROR(__xludf.DUMMYFUNCTION("""COMPUTED_VALUE"""),46142.3604701041)</f>
        <v>46142.360470104097</v>
      </c>
      <c r="C78" s="33" t="str">
        <f ca="1">IFERROR(__xludf.DUMMYFUNCTION("""COMPUTED_VALUE"""),"المعملجي")</f>
        <v>المعملجي</v>
      </c>
      <c r="D78" s="33" t="str">
        <f ca="1">IFERROR(__xludf.DUMMYFUNCTION("""COMPUTED_VALUE"""),"وحدة الكهرباء")</f>
        <v>وحدة الكهرباء</v>
      </c>
      <c r="E78" s="23" t="str">
        <f ca="1">IFERROR(__xludf.DUMMYFUNCTION("""COMPUTED_VALUE"""),"قسم المشاريع الهندسية")</f>
        <v>قسم المشاريع الهندسية</v>
      </c>
      <c r="F7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8" s="23"/>
      <c r="H78" s="23" t="str">
        <f ca="1">IFERROR(__xludf.DUMMYFUNCTION("""COMPUTED_VALUE"""),"بعد جرد انارة البناية تم العثور على منشورية عاطلة وتم صيانتها")</f>
        <v>بعد جرد انارة البناية تم العثور على منشورية عاطلة وتم صيانتها</v>
      </c>
      <c r="I78" s="23"/>
      <c r="J78" s="23" t="s">
        <v>89</v>
      </c>
      <c r="K78" s="23" t="s">
        <v>13</v>
      </c>
      <c r="L78" s="32">
        <v>46142.392475439818</v>
      </c>
      <c r="M78" s="23"/>
      <c r="N78" s="2" t="s">
        <v>77</v>
      </c>
    </row>
    <row r="79" spans="1:14" ht="75" customHeight="1" thickTop="1" thickBot="1">
      <c r="A79" s="25">
        <v>77</v>
      </c>
      <c r="B79" s="32">
        <f ca="1">IFERROR(__xludf.DUMMYFUNCTION("""COMPUTED_VALUE"""),46142.3610139583)</f>
        <v>46142.361013958303</v>
      </c>
      <c r="C79" s="33" t="str">
        <f ca="1">IFERROR(__xludf.DUMMYFUNCTION("""COMPUTED_VALUE"""),"المعملجي")</f>
        <v>المعملجي</v>
      </c>
      <c r="D79" s="33" t="str">
        <f ca="1">IFERROR(__xludf.DUMMYFUNCTION("""COMPUTED_VALUE"""),"وحدة الكهرباء")</f>
        <v>وحدة الكهرباء</v>
      </c>
      <c r="E79" s="23" t="str">
        <f ca="1">IFERROR(__xludf.DUMMYFUNCTION("""COMPUTED_VALUE"""),"قسم المشاريع الهندسية")</f>
        <v>قسم المشاريع الهندسية</v>
      </c>
      <c r="F79" s="23" t="str">
        <f ca="1">IFERROR(__xludf.DUMMYFUNCTION("""COMPUTED_VALUE"""),".")</f>
        <v>.</v>
      </c>
      <c r="G79" s="23"/>
      <c r="H79" s="23" t="str">
        <f ca="1">IFERROR(__xludf.DUMMYFUNCTION("""COMPUTED_VALUE"""),"تم صيانة انارة منشورية بلحالم الاجزاء المتضررة")</f>
        <v>تم صيانة انارة منشورية بلحالم الاجزاء المتضررة</v>
      </c>
      <c r="I79" s="23"/>
      <c r="J79" s="23" t="s">
        <v>89</v>
      </c>
      <c r="K79" s="23" t="s">
        <v>13</v>
      </c>
      <c r="L79" s="32">
        <v>46142.392491979168</v>
      </c>
      <c r="M79" s="23"/>
      <c r="N79" s="2" t="s">
        <v>77</v>
      </c>
    </row>
    <row r="80" spans="1:14" ht="75" customHeight="1" thickTop="1" thickBot="1">
      <c r="A80" s="23">
        <v>78</v>
      </c>
      <c r="B80" s="32">
        <f ca="1">IFERROR(__xludf.DUMMYFUNCTION("""COMPUTED_VALUE"""),46142.3619448032)</f>
        <v>46142.361944803197</v>
      </c>
      <c r="C80" s="33" t="str">
        <f ca="1">IFERROR(__xludf.DUMMYFUNCTION("""COMPUTED_VALUE"""),"المعملجي")</f>
        <v>المعملجي</v>
      </c>
      <c r="D80" s="33" t="str">
        <f ca="1">IFERROR(__xludf.DUMMYFUNCTION("""COMPUTED_VALUE"""),"وحدة الكهرباء")</f>
        <v>وحدة الكهرباء</v>
      </c>
      <c r="E80" s="23" t="str">
        <f ca="1">IFERROR(__xludf.DUMMYFUNCTION("""COMPUTED_VALUE"""),"قسم المشاريع الهندسية")</f>
        <v>قسم المشاريع الهندسية</v>
      </c>
      <c r="F80" s="23" t="str">
        <f ca="1">IFERROR(__xludf.DUMMYFUNCTION("""COMPUTED_VALUE"""),"شعبة الصيانة")</f>
        <v>شعبة الصيانة</v>
      </c>
      <c r="G80" s="23" t="str">
        <f ca="1">IFERROR(__xludf.DUMMYFUNCTION("""COMPUTED_VALUE"""),"وحدة المولدات")</f>
        <v>وحدة المولدات</v>
      </c>
      <c r="H80" s="23" t="str">
        <f ca="1">IFERROR(__xludf.DUMMYFUNCTION("""COMPUTED_VALUE"""),"استبدال ماشة للسيار ")</f>
        <v xml:space="preserve">استبدال ماشة للسيار </v>
      </c>
      <c r="I80" s="23"/>
      <c r="J80" s="23" t="s">
        <v>89</v>
      </c>
      <c r="K80" s="23" t="s">
        <v>13</v>
      </c>
      <c r="L80" s="32">
        <v>46142.392497303241</v>
      </c>
      <c r="M80" s="23"/>
      <c r="N80" s="2" t="s">
        <v>77</v>
      </c>
    </row>
    <row r="81" spans="1:14" ht="75" customHeight="1" thickTop="1" thickBot="1">
      <c r="A81" s="25">
        <v>79</v>
      </c>
      <c r="B81" s="32">
        <f ca="1">IFERROR(__xludf.DUMMYFUNCTION("""COMPUTED_VALUE"""),46142.3648938425)</f>
        <v>46142.364893842503</v>
      </c>
      <c r="C81" s="33" t="str">
        <f ca="1">IFERROR(__xludf.DUMMYFUNCTION("""COMPUTED_VALUE"""),"المعملجي")</f>
        <v>المعملجي</v>
      </c>
      <c r="D81" s="33" t="str">
        <f ca="1">IFERROR(__xludf.DUMMYFUNCTION("""COMPUTED_VALUE"""),"وحدة الكهرباء")</f>
        <v>وحدة الكهرباء</v>
      </c>
      <c r="E81" s="23" t="str">
        <f ca="1">IFERROR(__xludf.DUMMYFUNCTION("""COMPUTED_VALUE"""),"قسم المشاريع الهندسية")</f>
        <v>قسم المشاريع الهندسية</v>
      </c>
      <c r="F81" s="23" t="str">
        <f ca="1">IFERROR(__xludf.DUMMYFUNCTION("""COMPUTED_VALUE"""),"B- روضة القمر")</f>
        <v>B- روضة القمر</v>
      </c>
      <c r="G81" s="23" t="str">
        <f ca="1">IFERROR(__xludf.DUMMYFUNCTION("""COMPUTED_VALUE"""),"الصحيات الخارجية ")</f>
        <v xml:space="preserve">الصحيات الخارجية </v>
      </c>
      <c r="H81" s="23" t="str">
        <f ca="1">IFERROR(__xludf.DUMMYFUNCTION("""COMPUTED_VALUE"""),"صيانة انارة سبوت لايت")</f>
        <v>صيانة انارة سبوت لايت</v>
      </c>
      <c r="I81" s="23"/>
      <c r="J81" s="23" t="s">
        <v>89</v>
      </c>
      <c r="K81" s="23" t="s">
        <v>13</v>
      </c>
      <c r="L81" s="32">
        <v>46142.392503182869</v>
      </c>
      <c r="M81" s="23"/>
      <c r="N81" s="2" t="s">
        <v>77</v>
      </c>
    </row>
    <row r="82" spans="1:14" ht="75" customHeight="1" thickTop="1" thickBot="1">
      <c r="A82" s="23">
        <v>80</v>
      </c>
      <c r="B82" s="32">
        <f ca="1">IFERROR(__xludf.DUMMYFUNCTION("""COMPUTED_VALUE"""),46142.3673101157)</f>
        <v>46142.367310115696</v>
      </c>
      <c r="C82" s="33" t="str">
        <f ca="1">IFERROR(__xludf.DUMMYFUNCTION("""COMPUTED_VALUE"""),"المعملجي")</f>
        <v>المعملجي</v>
      </c>
      <c r="D82" s="33" t="str">
        <f ca="1">IFERROR(__xludf.DUMMYFUNCTION("""COMPUTED_VALUE"""),"وحدة الكهرباء")</f>
        <v>وحدة الكهرباء</v>
      </c>
      <c r="E82" s="23" t="str">
        <f ca="1">IFERROR(__xludf.DUMMYFUNCTION("""COMPUTED_VALUE"""),"قسم المشاريع الهندسية")</f>
        <v>قسم المشاريع الهندسية</v>
      </c>
      <c r="F82" s="23" t="str">
        <f ca="1">IFERROR(__xludf.DUMMYFUNCTION("""COMPUTED_VALUE"""),"E- ابتدائية العميد للبنات (الثالثة), F-  ابتدائية جود العميد للبنات (الرابعة)")</f>
        <v>E- ابتدائية العميد للبنات (الثالثة), F-  ابتدائية جود العميد للبنات (الرابعة)</v>
      </c>
      <c r="G82" s="23"/>
      <c r="H82" s="23" t="str">
        <f ca="1">IFERROR(__xludf.DUMMYFUNCTION("""COMPUTED_VALUE"""),"صيانة منشورية عد ٣ وسبوت لايت عدد ١ ")</f>
        <v xml:space="preserve">صيانة منشورية عد ٣ وسبوت لايت عدد ١ </v>
      </c>
      <c r="I82" s="23"/>
      <c r="J82" s="23" t="s">
        <v>89</v>
      </c>
      <c r="K82" s="23" t="s">
        <v>13</v>
      </c>
      <c r="L82" s="32">
        <v>46142.392515057873</v>
      </c>
      <c r="M82" s="23"/>
      <c r="N82" s="2" t="s">
        <v>77</v>
      </c>
    </row>
    <row r="83" spans="1:14" ht="75" customHeight="1" thickTop="1" thickBot="1">
      <c r="A83" s="25">
        <v>81</v>
      </c>
      <c r="B83" s="32">
        <f ca="1">IFERROR(__xludf.DUMMYFUNCTION("""COMPUTED_VALUE"""),46142.3679953588)</f>
        <v>46142.3679953588</v>
      </c>
      <c r="C83" s="33" t="str">
        <f ca="1">IFERROR(__xludf.DUMMYFUNCTION("""COMPUTED_VALUE"""),"المعملجي")</f>
        <v>المعملجي</v>
      </c>
      <c r="D83" s="33" t="str">
        <f ca="1">IFERROR(__xludf.DUMMYFUNCTION("""COMPUTED_VALUE"""),"وحدة الكهرباء")</f>
        <v>وحدة الكهرباء</v>
      </c>
      <c r="E83" s="23" t="str">
        <f ca="1">IFERROR(__xludf.DUMMYFUNCTION("""COMPUTED_VALUE"""),"قسم المشاريع الهندسية")</f>
        <v>قسم المشاريع الهندسية</v>
      </c>
      <c r="F83" s="23" t="str">
        <f ca="1">IFERROR(__xludf.DUMMYFUNCTION("""COMPUTED_VALUE"""),"A- المركز الثقافي")</f>
        <v>A- المركز الثقافي</v>
      </c>
      <c r="G83" s="23"/>
      <c r="H83" s="23" t="str">
        <f ca="1">IFERROR(__xludf.DUMMYFUNCTION("""COMPUTED_VALUE"""),"تثبيت قانصة حشرات")</f>
        <v>تثبيت قانصة حشرات</v>
      </c>
      <c r="I83" s="23"/>
      <c r="J83" s="23" t="s">
        <v>89</v>
      </c>
      <c r="K83" s="23" t="s">
        <v>13</v>
      </c>
      <c r="L83" s="32">
        <v>46142.392524085648</v>
      </c>
      <c r="M83" s="23"/>
      <c r="N83" s="2" t="s">
        <v>77</v>
      </c>
    </row>
    <row r="84" spans="1:14" ht="75" customHeight="1" thickTop="1" thickBot="1">
      <c r="A84" s="23">
        <v>82</v>
      </c>
      <c r="B84" s="32">
        <f ca="1">IFERROR(__xludf.DUMMYFUNCTION("""COMPUTED_VALUE"""),46142.3696427314)</f>
        <v>46142.369642731399</v>
      </c>
      <c r="C84" s="33" t="str">
        <f ca="1">IFERROR(__xludf.DUMMYFUNCTION("""COMPUTED_VALUE"""),"المعملجي")</f>
        <v>المعملجي</v>
      </c>
      <c r="D84" s="33" t="str">
        <f ca="1">IFERROR(__xludf.DUMMYFUNCTION("""COMPUTED_VALUE"""),"وحدة الكهرباء")</f>
        <v>وحدة الكهرباء</v>
      </c>
      <c r="E84" s="23" t="str">
        <f ca="1">IFERROR(__xludf.DUMMYFUNCTION("""COMPUTED_VALUE"""),"قسم التربية والتعليم العالي")</f>
        <v>قسم التربية والتعليم العالي</v>
      </c>
      <c r="F84" s="23" t="str">
        <f ca="1">IFERROR(__xludf.DUMMYFUNCTION("""COMPUTED_VALUE"""),"B- روضة القمر, G- روضة الجود")</f>
        <v>B- روضة القمر, G- روضة الجود</v>
      </c>
      <c r="G84" s="23"/>
      <c r="H84" s="23" t="str">
        <f ca="1">IFERROR(__xludf.DUMMYFUNCTION("""COMPUTED_VALUE"""),"صيانة منشورية عدد 3 ")</f>
        <v xml:space="preserve">صيانة منشورية عدد 3 </v>
      </c>
      <c r="I84" s="23"/>
      <c r="J84" s="23" t="s">
        <v>89</v>
      </c>
      <c r="K84" s="23" t="s">
        <v>13</v>
      </c>
      <c r="L84" s="32">
        <v>46142.392527685181</v>
      </c>
      <c r="M84" s="23"/>
      <c r="N84" s="2" t="s">
        <v>77</v>
      </c>
    </row>
    <row r="85" spans="1:14" ht="75" customHeight="1" thickTop="1" thickBot="1">
      <c r="A85" s="25">
        <v>83</v>
      </c>
      <c r="B85" s="32">
        <f ca="1">IFERROR(__xludf.DUMMYFUNCTION("""COMPUTED_VALUE"""),46142.3703665509)</f>
        <v>46142.370366550902</v>
      </c>
      <c r="C85" s="33" t="str">
        <f ca="1">IFERROR(__xludf.DUMMYFUNCTION("""COMPUTED_VALUE"""),"المعملجي")</f>
        <v>المعملجي</v>
      </c>
      <c r="D85" s="33" t="str">
        <f ca="1">IFERROR(__xludf.DUMMYFUNCTION("""COMPUTED_VALUE"""),"وحدة الكهرباء")</f>
        <v>وحدة الكهرباء</v>
      </c>
      <c r="E85" s="23" t="str">
        <f ca="1">IFERROR(__xludf.DUMMYFUNCTION("""COMPUTED_VALUE"""),"قسم المشاريع الهندسية")</f>
        <v>قسم المشاريع الهندسية</v>
      </c>
      <c r="F85" s="23" t="str">
        <f ca="1">IFERROR(__xludf.DUMMYFUNCTION("""COMPUTED_VALUE"""),"H- ابتدائية القمر للبنات (الخامسة)")</f>
        <v>H- ابتدائية القمر للبنات (الخامسة)</v>
      </c>
      <c r="G85" s="23"/>
      <c r="H85" s="23" t="str">
        <f ca="1">IFERROR(__xludf.DUMMYFUNCTION("""COMPUTED_VALUE"""),"استبدال محولة عدد 3")</f>
        <v>استبدال محولة عدد 3</v>
      </c>
      <c r="I85" s="23"/>
      <c r="J85" s="23" t="s">
        <v>89</v>
      </c>
      <c r="K85" s="23" t="s">
        <v>13</v>
      </c>
      <c r="L85" s="32">
        <v>46142.392537118052</v>
      </c>
      <c r="M85" s="23"/>
      <c r="N85" s="2" t="s">
        <v>77</v>
      </c>
    </row>
    <row r="86" spans="1:14" ht="75" customHeight="1" thickTop="1" thickBot="1">
      <c r="A86" s="23">
        <v>84</v>
      </c>
      <c r="B86" s="32">
        <f ca="1">IFERROR(__xludf.DUMMYFUNCTION("""COMPUTED_VALUE"""),46142.371775405)</f>
        <v>46142.371775405001</v>
      </c>
      <c r="C86" s="33" t="str">
        <f ca="1">IFERROR(__xludf.DUMMYFUNCTION("""COMPUTED_VALUE"""),"المعملجي")</f>
        <v>المعملجي</v>
      </c>
      <c r="D86" s="33" t="str">
        <f ca="1">IFERROR(__xludf.DUMMYFUNCTION("""COMPUTED_VALUE"""),"وحدة الكهرباء")</f>
        <v>وحدة الكهرباء</v>
      </c>
      <c r="E86" s="23" t="str">
        <f ca="1">IFERROR(__xludf.DUMMYFUNCTION("""COMPUTED_VALUE"""),"قسم المشاريع الهندسية")</f>
        <v>قسم المشاريع الهندسية</v>
      </c>
      <c r="F86" s="23" t="str">
        <f ca="1">IFERROR(__xludf.DUMMYFUNCTION("""COMPUTED_VALUE"""),"شعبة الصيانة")</f>
        <v>شعبة الصيانة</v>
      </c>
      <c r="G86" s="23" t="str">
        <f ca="1">IFERROR(__xludf.DUMMYFUNCTION("""COMPUTED_VALUE"""),"وحدة الميكانيك")</f>
        <v>وحدة الميكانيك</v>
      </c>
      <c r="H86" s="23" t="str">
        <f ca="1">IFERROR(__xludf.DUMMYFUNCTION("""COMPUTED_VALUE"""),"توصيل تغذية لمفرغة هواء جديدة واستبدال البلك سويج")</f>
        <v>توصيل تغذية لمفرغة هواء جديدة واستبدال البلك سويج</v>
      </c>
      <c r="I86" s="23"/>
      <c r="J86" s="23" t="s">
        <v>89</v>
      </c>
      <c r="K86" s="23" t="s">
        <v>13</v>
      </c>
      <c r="L86" s="32">
        <v>46142.39254079861</v>
      </c>
      <c r="M86" s="23"/>
      <c r="N86" s="2" t="s">
        <v>77</v>
      </c>
    </row>
    <row r="87" spans="1:14" ht="75" customHeight="1" thickTop="1" thickBot="1">
      <c r="A87" s="25">
        <v>85</v>
      </c>
      <c r="B87" s="32">
        <f ca="1">IFERROR(__xludf.DUMMYFUNCTION("""COMPUTED_VALUE"""),46142.3730237037)</f>
        <v>46142.373023703702</v>
      </c>
      <c r="C87" s="33" t="str">
        <f ca="1">IFERROR(__xludf.DUMMYFUNCTION("""COMPUTED_VALUE"""),"المعملجي")</f>
        <v>المعملجي</v>
      </c>
      <c r="D87" s="33" t="str">
        <f ca="1">IFERROR(__xludf.DUMMYFUNCTION("""COMPUTED_VALUE"""),"وحدة الكهرباء")</f>
        <v>وحدة الكهرباء</v>
      </c>
      <c r="E87" s="23" t="str">
        <f ca="1">IFERROR(__xludf.DUMMYFUNCTION("""COMPUTED_VALUE"""),"قسم المشاريع الهندسية")</f>
        <v>قسم المشاريع الهندسية</v>
      </c>
      <c r="F87" s="23" t="str">
        <f ca="1">IFERROR(__xludf.DUMMYFUNCTION("""COMPUTED_VALUE"""),"شعبة الصيانة")</f>
        <v>شعبة الصيانة</v>
      </c>
      <c r="G87" s="23" t="str">
        <f ca="1">IFERROR(__xludf.DUMMYFUNCTION("""COMPUTED_VALUE"""),"مضخة الحريق")</f>
        <v>مضخة الحريق</v>
      </c>
      <c r="H87" s="23" t="str">
        <f ca="1">IFERROR(__xludf.DUMMYFUNCTION("""COMPUTED_VALUE"""),"اعادة ربط ماطور المضخة واعادته الى الخدمة بعد توقفه ")</f>
        <v xml:space="preserve">اعادة ربط ماطور المضخة واعادته الى الخدمة بعد توقفه </v>
      </c>
      <c r="I87" s="23"/>
      <c r="J87" s="23" t="s">
        <v>89</v>
      </c>
      <c r="K87" s="23" t="s">
        <v>13</v>
      </c>
      <c r="L87" s="32">
        <v>46142.392545879629</v>
      </c>
      <c r="M87" s="23"/>
      <c r="N87" s="2" t="s">
        <v>77</v>
      </c>
    </row>
    <row r="88" spans="1:14" ht="75" customHeight="1" thickTop="1" thickBot="1">
      <c r="A88" s="23">
        <v>86</v>
      </c>
      <c r="B88" s="32">
        <f ca="1">IFERROR(__xludf.DUMMYFUNCTION("""COMPUTED_VALUE"""),46142.3748496296)</f>
        <v>46142.374849629603</v>
      </c>
      <c r="C88" s="33" t="str">
        <f ca="1">IFERROR(__xludf.DUMMYFUNCTION("""COMPUTED_VALUE"""),"المعملجي")</f>
        <v>المعملجي</v>
      </c>
      <c r="D88" s="33" t="str">
        <f ca="1">IFERROR(__xludf.DUMMYFUNCTION("""COMPUTED_VALUE"""),"وحدة الكهرباء")</f>
        <v>وحدة الكهرباء</v>
      </c>
      <c r="E88" s="23" t="str">
        <f ca="1">IFERROR(__xludf.DUMMYFUNCTION("""COMPUTED_VALUE"""),"قسم المشاريع الهندسية")</f>
        <v>قسم المشاريع الهندسية</v>
      </c>
      <c r="F8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8" s="23" t="str">
        <f ca="1">IFERROR(__xludf.DUMMYFUNCTION("""COMPUTED_VALUE"""),"الطابق الارضي, ZONE B, غرفة الكهرباء")</f>
        <v>الطابق الارضي, ZONE B, غرفة الكهرباء</v>
      </c>
      <c r="H88" s="23" t="str">
        <f ca="1">IFERROR(__xludf.DUMMYFUNCTION("""COMPUTED_VALUE"""),"فحص كفاءة بطاريات ups اثناء  تشغيل الشاشات")</f>
        <v>فحص كفاءة بطاريات ups اثناء  تشغيل الشاشات</v>
      </c>
      <c r="I88" s="23"/>
      <c r="J88" s="23" t="s">
        <v>89</v>
      </c>
      <c r="K88" s="23" t="s">
        <v>13</v>
      </c>
      <c r="L88" s="32">
        <v>46142.392549236116</v>
      </c>
      <c r="M88" s="23"/>
      <c r="N88" s="2" t="s">
        <v>77</v>
      </c>
    </row>
    <row r="89" spans="1:14" ht="75" customHeight="1" thickTop="1" thickBot="1">
      <c r="A89" s="25">
        <v>87</v>
      </c>
      <c r="B89" s="32">
        <f ca="1">IFERROR(__xludf.DUMMYFUNCTION("""COMPUTED_VALUE"""),46142.378483368)</f>
        <v>46142.378483367997</v>
      </c>
      <c r="C89" s="33" t="str">
        <f ca="1">IFERROR(__xludf.DUMMYFUNCTION("""COMPUTED_VALUE"""),"المعملجي")</f>
        <v>المعملجي</v>
      </c>
      <c r="D89" s="33" t="str">
        <f ca="1">IFERROR(__xludf.DUMMYFUNCTION("""COMPUTED_VALUE"""),"وحدة الكهرباء")</f>
        <v>وحدة الكهرباء</v>
      </c>
      <c r="E89" s="23" t="str">
        <f ca="1">IFERROR(__xludf.DUMMYFUNCTION("""COMPUTED_VALUE"""),"قسم المشاريع الهندسية")</f>
        <v>قسم المشاريع الهندسية</v>
      </c>
      <c r="F8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89" s="23" t="str">
        <f ca="1">IFERROR(__xludf.DUMMYFUNCTION("""COMPUTED_VALUE"""),"الطابق الارضي, ZONE B, غرفة الكهرباء")</f>
        <v>الطابق الارضي, ZONE B, غرفة الكهرباء</v>
      </c>
      <c r="H89" s="23" t="str">
        <f ca="1">IFERROR(__xludf.DUMMYFUNCTION("""COMPUTED_VALUE"""),"فحصه اثناء تشغلي الشاشات  ups")</f>
        <v>فحصه اثناء تشغلي الشاشات  ups</v>
      </c>
      <c r="I89" s="23"/>
      <c r="J89" s="23" t="s">
        <v>89</v>
      </c>
      <c r="K89" s="23" t="s">
        <v>13</v>
      </c>
      <c r="L89" s="32">
        <v>46142.392567071758</v>
      </c>
      <c r="M89" s="23"/>
      <c r="N89" s="2" t="s">
        <v>77</v>
      </c>
    </row>
    <row r="90" spans="1:14" ht="75" customHeight="1" thickTop="1" thickBot="1">
      <c r="A90" s="23">
        <v>88</v>
      </c>
      <c r="B90" s="32">
        <f ca="1">IFERROR(__xludf.DUMMYFUNCTION("""COMPUTED_VALUE"""),46142.3792275231)</f>
        <v>46142.379227523103</v>
      </c>
      <c r="C90" s="33" t="str">
        <f ca="1">IFERROR(__xludf.DUMMYFUNCTION("""COMPUTED_VALUE"""),"المعملجي")</f>
        <v>المعملجي</v>
      </c>
      <c r="D90" s="33" t="str">
        <f ca="1">IFERROR(__xludf.DUMMYFUNCTION("""COMPUTED_VALUE"""),"وحدة الكهرباء")</f>
        <v>وحدة الكهرباء</v>
      </c>
      <c r="E90" s="23" t="str">
        <f ca="1">IFERROR(__xludf.DUMMYFUNCTION("""COMPUTED_VALUE"""),"قسم المشاريع الهندسية")</f>
        <v>قسم المشاريع الهندسية</v>
      </c>
      <c r="F90" s="23" t="str">
        <f ca="1">IFERROR(__xludf.DUMMYFUNCTION("""COMPUTED_VALUE"""),"A- المركز الثقافي")</f>
        <v>A- المركز الثقافي</v>
      </c>
      <c r="G90" s="23" t="str">
        <f ca="1">IFERROR(__xludf.DUMMYFUNCTION("""COMPUTED_VALUE"""),"قاطع برج الاتصالات")</f>
        <v>قاطع برج الاتصالات</v>
      </c>
      <c r="H90" s="23" t="str">
        <f ca="1">IFERROR(__xludf.DUMMYFUNCTION("""COMPUTED_VALUE"""),"إعادة تشغيل القاطع الخاص ببرج الإتصالات بعد الانطفاء نتيجة صعقة")</f>
        <v>إعادة تشغيل القاطع الخاص ببرج الإتصالات بعد الانطفاء نتيجة صعقة</v>
      </c>
      <c r="I90" s="23"/>
      <c r="J90" s="23" t="s">
        <v>89</v>
      </c>
      <c r="K90" s="23" t="s">
        <v>13</v>
      </c>
      <c r="L90" s="32">
        <v>46142.392562615743</v>
      </c>
      <c r="M90" s="23"/>
      <c r="N90" s="2" t="s">
        <v>77</v>
      </c>
    </row>
    <row r="91" spans="1:14" ht="75" customHeight="1" thickTop="1" thickBot="1">
      <c r="A91" s="25">
        <v>89</v>
      </c>
      <c r="B91" s="32">
        <f ca="1">IFERROR(__xludf.DUMMYFUNCTION("""COMPUTED_VALUE"""),46142.3795410185)</f>
        <v>46142.379541018498</v>
      </c>
      <c r="C91" s="33" t="str">
        <f ca="1">IFERROR(__xludf.DUMMYFUNCTION("""COMPUTED_VALUE"""),"المعملجي")</f>
        <v>المعملجي</v>
      </c>
      <c r="D91" s="33" t="str">
        <f ca="1">IFERROR(__xludf.DUMMYFUNCTION("""COMPUTED_VALUE"""),"وحدة الكهرباء")</f>
        <v>وحدة الكهرباء</v>
      </c>
      <c r="E91" s="23" t="str">
        <f ca="1">IFERROR(__xludf.DUMMYFUNCTION("""COMPUTED_VALUE"""),"قسم المشاريع الهندسية")</f>
        <v>قسم المشاريع الهندسية</v>
      </c>
      <c r="F91" s="23" t="str">
        <f ca="1">IFERROR(__xludf.DUMMYFUNCTION("""COMPUTED_VALUE"""),"H- ابتدائية القمر للبنات (الخامسة)")</f>
        <v>H- ابتدائية القمر للبنات (الخامسة)</v>
      </c>
      <c r="G91" s="23" t="str">
        <f ca="1">IFERROR(__xludf.DUMMYFUNCTION("""COMPUTED_VALUE"""),"الطابق الثاني, ZONE A")</f>
        <v>الطابق الثاني, ZONE A</v>
      </c>
      <c r="H91" s="23" t="str">
        <f ca="1">IFERROR(__xludf.DUMMYFUNCTION("""COMPUTED_VALUE"""),"تم إستبدال كبسة مصعد المدرسة الخامسة من قِبلْ الشركة")</f>
        <v>تم إستبدال كبسة مصعد المدرسة الخامسة من قِبلْ الشركة</v>
      </c>
      <c r="I91" s="23"/>
      <c r="J91" s="23" t="s">
        <v>89</v>
      </c>
      <c r="K91" s="23" t="s">
        <v>13</v>
      </c>
      <c r="L91" s="32">
        <v>46142.392567905088</v>
      </c>
      <c r="M91" s="23"/>
      <c r="N91" s="2" t="s">
        <v>77</v>
      </c>
    </row>
    <row r="92" spans="1:14" ht="75" customHeight="1" thickTop="1" thickBot="1">
      <c r="A92" s="23">
        <v>90</v>
      </c>
      <c r="B92" s="32">
        <f ca="1">IFERROR(__xludf.DUMMYFUNCTION("""COMPUTED_VALUE"""),46142.380229375)</f>
        <v>46142.380229374998</v>
      </c>
      <c r="C92" s="33" t="str">
        <f ca="1">IFERROR(__xludf.DUMMYFUNCTION("""COMPUTED_VALUE"""),"المعملجي")</f>
        <v>المعملجي</v>
      </c>
      <c r="D92" s="33" t="str">
        <f ca="1">IFERROR(__xludf.DUMMYFUNCTION("""COMPUTED_VALUE"""),"وحدة الكهرباء")</f>
        <v>وحدة الكهرباء</v>
      </c>
      <c r="E92" s="23" t="str">
        <f ca="1">IFERROR(__xludf.DUMMYFUNCTION("""COMPUTED_VALUE"""),"قسم المشاريع الهندسية")</f>
        <v>قسم المشاريع الهندسية</v>
      </c>
      <c r="F92" s="23" t="str">
        <f ca="1">IFERROR(__xludf.DUMMYFUNCTION("""COMPUTED_VALUE"""),"J- جامعة العميد (السابعة)")</f>
        <v>J- جامعة العميد (السابعة)</v>
      </c>
      <c r="G92" s="23"/>
      <c r="H92" s="23" t="str">
        <f ca="1">IFERROR(__xludf.DUMMYFUNCTION("""COMPUTED_VALUE"""),"استبدال محولة انارة منشورية عدد 5")</f>
        <v>استبدال محولة انارة منشورية عدد 5</v>
      </c>
      <c r="I92" s="23"/>
      <c r="J92" s="23" t="s">
        <v>89</v>
      </c>
      <c r="K92" s="23" t="s">
        <v>13</v>
      </c>
      <c r="L92" s="32">
        <v>46142.392576539351</v>
      </c>
      <c r="M92" s="23"/>
      <c r="N92" s="2" t="s">
        <v>77</v>
      </c>
    </row>
    <row r="93" spans="1:14" ht="75" customHeight="1" thickTop="1" thickBot="1">
      <c r="A93" s="25">
        <v>91</v>
      </c>
      <c r="B93" s="32">
        <f ca="1">IFERROR(__xludf.DUMMYFUNCTION("""COMPUTED_VALUE"""),46142.3814682638)</f>
        <v>46142.381468263797</v>
      </c>
      <c r="C93" s="33" t="str">
        <f ca="1">IFERROR(__xludf.DUMMYFUNCTION("""COMPUTED_VALUE"""),"المعملجي")</f>
        <v>المعملجي</v>
      </c>
      <c r="D93" s="33" t="str">
        <f ca="1">IFERROR(__xludf.DUMMYFUNCTION("""COMPUTED_VALUE"""),"وحدة الكهرباء")</f>
        <v>وحدة الكهرباء</v>
      </c>
      <c r="E93" s="23" t="str">
        <f ca="1">IFERROR(__xludf.DUMMYFUNCTION("""COMPUTED_VALUE"""),"قسم المشاريع الهندسية")</f>
        <v>قسم المشاريع الهندسية</v>
      </c>
      <c r="F93" s="23" t="str">
        <f ca="1">IFERROR(__xludf.DUMMYFUNCTION("""COMPUTED_VALUE"""),"E- ابتدائية العميد للبنات (الثالثة)")</f>
        <v>E- ابتدائية العميد للبنات (الثالثة)</v>
      </c>
      <c r="G93" s="23" t="str">
        <f ca="1">IFERROR(__xludf.DUMMYFUNCTION("""COMPUTED_VALUE"""),"الطابق الارضي, ZONE B, غرفة الكهرباء")</f>
        <v>الطابق الارضي, ZONE B, غرفة الكهرباء</v>
      </c>
      <c r="H93" s="23" t="str">
        <f ca="1">IFERROR(__xludf.DUMMYFUNCTION("""COMPUTED_VALUE"""),"UPS فحصه اثناء تشغيل الشاشات")</f>
        <v>UPS فحصه اثناء تشغيل الشاشات</v>
      </c>
      <c r="I93" s="23"/>
      <c r="J93" s="23" t="s">
        <v>89</v>
      </c>
      <c r="K93" s="23" t="s">
        <v>13</v>
      </c>
      <c r="L93" s="32">
        <v>46142.392602025458</v>
      </c>
      <c r="M93" s="23"/>
      <c r="N93" s="2" t="s">
        <v>77</v>
      </c>
    </row>
    <row r="94" spans="1:14" ht="75" customHeight="1" thickTop="1" thickBot="1">
      <c r="A94" s="23">
        <v>92</v>
      </c>
      <c r="B94" s="32">
        <f ca="1">IFERROR(__xludf.DUMMYFUNCTION("""COMPUTED_VALUE"""),46142.3832592129)</f>
        <v>46142.383259212897</v>
      </c>
      <c r="C94" s="33" t="str">
        <f ca="1">IFERROR(__xludf.DUMMYFUNCTION("""COMPUTED_VALUE"""),"المعملجي")</f>
        <v>المعملجي</v>
      </c>
      <c r="D94" s="33" t="str">
        <f ca="1">IFERROR(__xludf.DUMMYFUNCTION("""COMPUTED_VALUE"""),"وحدة الكهرباء")</f>
        <v>وحدة الكهرباء</v>
      </c>
      <c r="E94" s="23" t="str">
        <f ca="1">IFERROR(__xludf.DUMMYFUNCTION("""COMPUTED_VALUE"""),"قسم المشاريع الهندسية")</f>
        <v>قسم المشاريع الهندسية</v>
      </c>
      <c r="F94" s="23" t="str">
        <f ca="1">IFERROR(__xludf.DUMMYFUNCTION("""COMPUTED_VALUE"""),"A- المركز الثقافي")</f>
        <v>A- المركز الثقافي</v>
      </c>
      <c r="G94" s="23" t="str">
        <f ca="1">IFERROR(__xludf.DUMMYFUNCTION("""COMPUTED_VALUE"""),"الطابق الارضي, DATA CENTER")</f>
        <v>الطابق الارضي, DATA CENTER</v>
      </c>
      <c r="H94" s="23" t="str">
        <f ca="1">IFERROR(__xludf.DUMMYFUNCTION("""COMPUTED_VALUE"""),"اعادة خدمة Fiber Optic
 الى برج الإتصالات")</f>
        <v>اعادة خدمة Fiber Optic
 الى برج الإتصالات</v>
      </c>
      <c r="I94" s="23"/>
      <c r="J94" s="23" t="s">
        <v>89</v>
      </c>
      <c r="K94" s="23" t="s">
        <v>13</v>
      </c>
      <c r="L94" s="32">
        <v>46142.392644918982</v>
      </c>
      <c r="M94" s="23"/>
      <c r="N94" s="2" t="s">
        <v>77</v>
      </c>
    </row>
    <row r="95" spans="1:14" ht="75" customHeight="1" thickTop="1" thickBot="1">
      <c r="A95" s="25">
        <v>93</v>
      </c>
      <c r="B95" s="32">
        <f ca="1">IFERROR(__xludf.DUMMYFUNCTION("""COMPUTED_VALUE"""),46142.3839867708)</f>
        <v>46142.383986770801</v>
      </c>
      <c r="C95" s="33" t="str">
        <f ca="1">IFERROR(__xludf.DUMMYFUNCTION("""COMPUTED_VALUE"""),"المعملجي")</f>
        <v>المعملجي</v>
      </c>
      <c r="D95" s="33" t="str">
        <f ca="1">IFERROR(__xludf.DUMMYFUNCTION("""COMPUTED_VALUE"""),"وحدة الكهرباء")</f>
        <v>وحدة الكهرباء</v>
      </c>
      <c r="E95" s="23" t="str">
        <f ca="1">IFERROR(__xludf.DUMMYFUNCTION("""COMPUTED_VALUE"""),"قسم المشاريع الهندسية")</f>
        <v>قسم المشاريع الهندسية</v>
      </c>
      <c r="F95" s="23" t="str">
        <f ca="1">IFERROR(__xludf.DUMMYFUNCTION("""COMPUTED_VALUE"""),"B- روضة القمر")</f>
        <v>B- روضة القمر</v>
      </c>
      <c r="G95" s="23" t="str">
        <f ca="1">IFERROR(__xludf.DUMMYFUNCTION("""COMPUTED_VALUE"""),"الاستعلامات")</f>
        <v>الاستعلامات</v>
      </c>
      <c r="H95" s="23" t="str">
        <f ca="1">IFERROR(__xludf.DUMMYFUNCTION("""COMPUTED_VALUE"""),"صيانة بلك سوج 13 امبير")</f>
        <v>صيانة بلك سوج 13 امبير</v>
      </c>
      <c r="I95" s="23"/>
      <c r="J95" s="23" t="s">
        <v>89</v>
      </c>
      <c r="K95" s="23" t="s">
        <v>13</v>
      </c>
      <c r="L95" s="32">
        <v>46142.392622939813</v>
      </c>
      <c r="M95" s="23"/>
      <c r="N95" s="2" t="s">
        <v>77</v>
      </c>
    </row>
    <row r="96" spans="1:14" ht="75" customHeight="1" thickTop="1" thickBot="1">
      <c r="A96" s="23">
        <v>94</v>
      </c>
      <c r="B96" s="32">
        <f ca="1">IFERROR(__xludf.DUMMYFUNCTION("""COMPUTED_VALUE"""),46142.3849448263)</f>
        <v>46142.384944826299</v>
      </c>
      <c r="C96" s="33" t="str">
        <f ca="1">IFERROR(__xludf.DUMMYFUNCTION("""COMPUTED_VALUE"""),"المعملجي")</f>
        <v>المعملجي</v>
      </c>
      <c r="D96" s="33" t="str">
        <f ca="1">IFERROR(__xludf.DUMMYFUNCTION("""COMPUTED_VALUE"""),"وحدة الكهرباء")</f>
        <v>وحدة الكهرباء</v>
      </c>
      <c r="E96" s="23" t="str">
        <f ca="1">IFERROR(__xludf.DUMMYFUNCTION("""COMPUTED_VALUE"""),"قسم المشاريع الهندسية")</f>
        <v>قسم المشاريع الهندسية</v>
      </c>
      <c r="F96" s="23" t="str">
        <f ca="1">IFERROR(__xludf.DUMMYFUNCTION("""COMPUTED_VALUE"""),"شعبة الصيانة")</f>
        <v>شعبة الصيانة</v>
      </c>
      <c r="G96" s="23"/>
      <c r="H96" s="23" t="str">
        <f ca="1">IFERROR(__xludf.DUMMYFUNCTION("""COMPUTED_VALUE"""),"تجهيز سيار الى الشركة ")</f>
        <v xml:space="preserve">تجهيز سيار الى الشركة </v>
      </c>
      <c r="I96" s="23"/>
      <c r="J96" s="23" t="s">
        <v>89</v>
      </c>
      <c r="K96" s="23" t="s">
        <v>13</v>
      </c>
      <c r="L96" s="32">
        <v>46142.392631759256</v>
      </c>
      <c r="M96" s="23"/>
      <c r="N96" s="2" t="s">
        <v>77</v>
      </c>
    </row>
    <row r="97" spans="1:14" ht="75" customHeight="1" thickTop="1" thickBot="1">
      <c r="A97" s="25">
        <v>95</v>
      </c>
      <c r="B97" s="32">
        <f ca="1">IFERROR(__xludf.DUMMYFUNCTION("""COMPUTED_VALUE"""),46142.3854012152)</f>
        <v>46142.385401215201</v>
      </c>
      <c r="C97" s="33" t="str">
        <f ca="1">IFERROR(__xludf.DUMMYFUNCTION("""COMPUTED_VALUE"""),"المعملجي")</f>
        <v>المعملجي</v>
      </c>
      <c r="D97" s="33" t="str">
        <f ca="1">IFERROR(__xludf.DUMMYFUNCTION("""COMPUTED_VALUE"""),"وحدة الكهرباء")</f>
        <v>وحدة الكهرباء</v>
      </c>
      <c r="E97" s="23" t="str">
        <f ca="1">IFERROR(__xludf.DUMMYFUNCTION("""COMPUTED_VALUE"""),"قسم المشاريع الهندسية")</f>
        <v>قسم المشاريع الهندسية</v>
      </c>
      <c r="F97" s="23" t="str">
        <f ca="1">IFERROR(__xludf.DUMMYFUNCTION("""COMPUTED_VALUE"""),"B- روضة القمر")</f>
        <v>B- روضة القمر</v>
      </c>
      <c r="G97" s="23"/>
      <c r="H97" s="23" t="str">
        <f ca="1">IFERROR(__xludf.DUMMYFUNCTION("""COMPUTED_VALUE"""),"عمل ماشة لمسدس السلكون")</f>
        <v>عمل ماشة لمسدس السلكون</v>
      </c>
      <c r="I97" s="23"/>
      <c r="J97" s="23" t="s">
        <v>89</v>
      </c>
      <c r="K97" s="23" t="s">
        <v>13</v>
      </c>
      <c r="L97" s="32">
        <v>46142.392665671301</v>
      </c>
      <c r="M97" s="23"/>
      <c r="N97" s="2" t="s">
        <v>77</v>
      </c>
    </row>
    <row r="98" spans="1:14" ht="75" customHeight="1" thickTop="1" thickBot="1">
      <c r="A98" s="23">
        <v>96</v>
      </c>
      <c r="B98" s="32">
        <f ca="1">IFERROR(__xludf.DUMMYFUNCTION("""COMPUTED_VALUE"""),46142.3861088888)</f>
        <v>46142.386108888801</v>
      </c>
      <c r="C98" s="33" t="str">
        <f ca="1">IFERROR(__xludf.DUMMYFUNCTION("""COMPUTED_VALUE"""),"المعملجي")</f>
        <v>المعملجي</v>
      </c>
      <c r="D98" s="33" t="str">
        <f ca="1">IFERROR(__xludf.DUMMYFUNCTION("""COMPUTED_VALUE"""),"وحدة الكهرباء")</f>
        <v>وحدة الكهرباء</v>
      </c>
      <c r="E98" s="23" t="str">
        <f ca="1">IFERROR(__xludf.DUMMYFUNCTION("""COMPUTED_VALUE"""),"قسم المشاريع الهندسية")</f>
        <v>قسم المشاريع الهندسية</v>
      </c>
      <c r="F98" s="23" t="str">
        <f ca="1">IFERROR(__xludf.DUMMYFUNCTION("""COMPUTED_VALUE"""),"الاستعلامات الرئيسية")</f>
        <v>الاستعلامات الرئيسية</v>
      </c>
      <c r="G98" s="23"/>
      <c r="H98" s="23" t="str">
        <f ca="1">IFERROR(__xludf.DUMMYFUNCTION("""COMPUTED_VALUE"""),"تحويل خط التغذية الخاص بـ سبلت الشركة الأمنية الى خط الطاقة الشمسية")</f>
        <v>تحويل خط التغذية الخاص بـ سبلت الشركة الأمنية الى خط الطاقة الشمسية</v>
      </c>
      <c r="I98" s="23"/>
      <c r="J98" s="23" t="s">
        <v>89</v>
      </c>
      <c r="K98" s="23" t="s">
        <v>13</v>
      </c>
      <c r="L98" s="32">
        <v>46142.392680370365</v>
      </c>
      <c r="M98" s="23"/>
      <c r="N98" s="2" t="s">
        <v>77</v>
      </c>
    </row>
    <row r="99" spans="1:14" ht="75" customHeight="1" thickTop="1" thickBot="1">
      <c r="A99" s="25">
        <v>97</v>
      </c>
      <c r="B99" s="32">
        <f ca="1">IFERROR(__xludf.DUMMYFUNCTION("""COMPUTED_VALUE"""),46142.3870745486)</f>
        <v>46142.387074548598</v>
      </c>
      <c r="C99" s="33" t="str">
        <f ca="1">IFERROR(__xludf.DUMMYFUNCTION("""COMPUTED_VALUE"""),"المعملجي")</f>
        <v>المعملجي</v>
      </c>
      <c r="D99" s="33" t="str">
        <f ca="1">IFERROR(__xludf.DUMMYFUNCTION("""COMPUTED_VALUE"""),"وحدة الكهرباء")</f>
        <v>وحدة الكهرباء</v>
      </c>
      <c r="E99" s="23" t="str">
        <f ca="1">IFERROR(__xludf.DUMMYFUNCTION("""COMPUTED_VALUE"""),"قسم المشاريع الهندسية")</f>
        <v>قسم المشاريع الهندسية</v>
      </c>
      <c r="F9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9" s="23"/>
      <c r="H99" s="23" t="str">
        <f ca="1">IFERROR(__xludf.DUMMYFUNCTION("""COMPUTED_VALUE"""),"تفعيل الجدولة في التبريد المركزي بعد الاختبار
")</f>
        <v xml:space="preserve">تفعيل الجدولة في التبريد المركزي بعد الاختبار
</v>
      </c>
      <c r="I99" s="23"/>
      <c r="J99" s="23" t="s">
        <v>89</v>
      </c>
      <c r="K99" s="23" t="s">
        <v>13</v>
      </c>
      <c r="L99" s="32">
        <v>46142.392689398148</v>
      </c>
      <c r="M99" s="23"/>
      <c r="N99" s="2" t="s">
        <v>77</v>
      </c>
    </row>
    <row r="100" spans="1:14" ht="75" customHeight="1" thickTop="1" thickBot="1">
      <c r="A100" s="23">
        <v>98</v>
      </c>
      <c r="B100" s="32">
        <f ca="1">IFERROR(__xludf.DUMMYFUNCTION("""COMPUTED_VALUE"""),46142.3872816898)</f>
        <v>46142.3872816898</v>
      </c>
      <c r="C100" s="33" t="str">
        <f ca="1">IFERROR(__xludf.DUMMYFUNCTION("""COMPUTED_VALUE"""),"المعملجي")</f>
        <v>المعملجي</v>
      </c>
      <c r="D100" s="33" t="str">
        <f ca="1">IFERROR(__xludf.DUMMYFUNCTION("""COMPUTED_VALUE"""),"وحدة الكهرباء")</f>
        <v>وحدة الكهرباء</v>
      </c>
      <c r="E100" s="23" t="str">
        <f ca="1">IFERROR(__xludf.DUMMYFUNCTION("""COMPUTED_VALUE"""),"قسم المشاريع الهندسية")</f>
        <v>قسم المشاريع الهندسية</v>
      </c>
      <c r="F100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100" s="23"/>
      <c r="H100" s="23" t="str">
        <f ca="1">IFERROR(__xludf.DUMMYFUNCTION("""COMPUTED_VALUE"""),"تفعيل الجدولة في التبريد المركزي بعد الاختبار
")</f>
        <v xml:space="preserve">تفعيل الجدولة في التبريد المركزي بعد الاختبار
</v>
      </c>
      <c r="I100" s="23"/>
      <c r="J100" s="23" t="s">
        <v>89</v>
      </c>
      <c r="K100" s="23" t="s">
        <v>13</v>
      </c>
      <c r="L100" s="32">
        <v>46142.392698275464</v>
      </c>
      <c r="M100" s="23"/>
      <c r="N100" s="2" t="s">
        <v>77</v>
      </c>
    </row>
    <row r="101" spans="1:14" ht="75" customHeight="1" thickTop="1" thickBot="1">
      <c r="A101" s="25">
        <v>99</v>
      </c>
      <c r="B101" s="32">
        <f ca="1">IFERROR(__xludf.DUMMYFUNCTION("""COMPUTED_VALUE"""),46142.387448206)</f>
        <v>46142.387448205998</v>
      </c>
      <c r="C101" s="33" t="str">
        <f ca="1">IFERROR(__xludf.DUMMYFUNCTION("""COMPUTED_VALUE"""),"المعملجي")</f>
        <v>المعملجي</v>
      </c>
      <c r="D101" s="33" t="str">
        <f ca="1">IFERROR(__xludf.DUMMYFUNCTION("""COMPUTED_VALUE"""),"وحدة الكهرباء")</f>
        <v>وحدة الكهرباء</v>
      </c>
      <c r="E101" s="23" t="str">
        <f ca="1">IFERROR(__xludf.DUMMYFUNCTION("""COMPUTED_VALUE"""),"قسم المشاريع الهندسية")</f>
        <v>قسم المشاريع الهندسية</v>
      </c>
      <c r="F101" s="23" t="str">
        <f ca="1">IFERROR(__xludf.DUMMYFUNCTION("""COMPUTED_VALUE"""),"E- ابتدائية العميد للبنات (الثالثة)")</f>
        <v>E- ابتدائية العميد للبنات (الثالثة)</v>
      </c>
      <c r="G101" s="23"/>
      <c r="H101" s="23" t="str">
        <f ca="1">IFERROR(__xludf.DUMMYFUNCTION("""COMPUTED_VALUE"""),"تفعيل الجدولة في التبريد المركزي بعد الاختبار
")</f>
        <v xml:space="preserve">تفعيل الجدولة في التبريد المركزي بعد الاختبار
</v>
      </c>
      <c r="I101" s="23"/>
      <c r="J101" s="23" t="s">
        <v>89</v>
      </c>
      <c r="K101" s="23" t="s">
        <v>13</v>
      </c>
      <c r="L101" s="32">
        <v>46142.392706562503</v>
      </c>
      <c r="M101" s="23"/>
      <c r="N101" s="2" t="s">
        <v>77</v>
      </c>
    </row>
    <row r="102" spans="1:14" ht="75" customHeight="1" thickTop="1" thickBot="1">
      <c r="A102" s="23">
        <v>100</v>
      </c>
      <c r="B102" s="32">
        <f ca="1">IFERROR(__xludf.DUMMYFUNCTION("""COMPUTED_VALUE"""),46142.3876383101)</f>
        <v>46142.387638310101</v>
      </c>
      <c r="C102" s="33" t="str">
        <f ca="1">IFERROR(__xludf.DUMMYFUNCTION("""COMPUTED_VALUE"""),"المعملجي")</f>
        <v>المعملجي</v>
      </c>
      <c r="D102" s="33" t="str">
        <f ca="1">IFERROR(__xludf.DUMMYFUNCTION("""COMPUTED_VALUE"""),"وحدة الكهرباء")</f>
        <v>وحدة الكهرباء</v>
      </c>
      <c r="E102" s="23" t="str">
        <f ca="1">IFERROR(__xludf.DUMMYFUNCTION("""COMPUTED_VALUE"""),"قسم المشاريع الهندسية")</f>
        <v>قسم المشاريع الهندسية</v>
      </c>
      <c r="F102" s="23" t="str">
        <f ca="1">IFERROR(__xludf.DUMMYFUNCTION("""COMPUTED_VALUE"""),"F-  ابتدائية جود العميد للبنات (الرابعة)")</f>
        <v>F-  ابتدائية جود العميد للبنات (الرابعة)</v>
      </c>
      <c r="G102" s="23"/>
      <c r="H102" s="23" t="str">
        <f ca="1">IFERROR(__xludf.DUMMYFUNCTION("""COMPUTED_VALUE"""),"تفعيل الجدولة في التبريد المركزي بعد الاختبار
 ")</f>
        <v xml:space="preserve">تفعيل الجدولة في التبريد المركزي بعد الاختبار
 </v>
      </c>
      <c r="I102" s="23"/>
      <c r="J102" s="23" t="s">
        <v>89</v>
      </c>
      <c r="K102" s="23" t="s">
        <v>13</v>
      </c>
      <c r="L102" s="32">
        <v>46142.392724421297</v>
      </c>
      <c r="M102" s="23"/>
      <c r="N102" s="2" t="s">
        <v>77</v>
      </c>
    </row>
    <row r="103" spans="1:14" ht="75" customHeight="1" thickTop="1" thickBot="1">
      <c r="A103" s="25">
        <v>101</v>
      </c>
      <c r="B103" s="32">
        <f ca="1">IFERROR(__xludf.DUMMYFUNCTION("""COMPUTED_VALUE"""),46142.3878628009)</f>
        <v>46142.387862800897</v>
      </c>
      <c r="C103" s="33" t="str">
        <f ca="1">IFERROR(__xludf.DUMMYFUNCTION("""COMPUTED_VALUE"""),"المعملجي")</f>
        <v>المعملجي</v>
      </c>
      <c r="D103" s="33" t="str">
        <f ca="1">IFERROR(__xludf.DUMMYFUNCTION("""COMPUTED_VALUE"""),"وحدة الكهرباء")</f>
        <v>وحدة الكهرباء</v>
      </c>
      <c r="E103" s="23" t="str">
        <f ca="1">IFERROR(__xludf.DUMMYFUNCTION("""COMPUTED_VALUE"""),"قسم المشاريع الهندسية")</f>
        <v>قسم المشاريع الهندسية</v>
      </c>
      <c r="F103" s="23" t="str">
        <f ca="1">IFERROR(__xludf.DUMMYFUNCTION("""COMPUTED_VALUE"""),"H- ابتدائية القمر للبنات (الخامسة)")</f>
        <v>H- ابتدائية القمر للبنات (الخامسة)</v>
      </c>
      <c r="G103" s="23"/>
      <c r="H103" s="23" t="str">
        <f ca="1">IFERROR(__xludf.DUMMYFUNCTION("""COMPUTED_VALUE"""),"تفعيل الجدولة في التبريد المركزي بعد الاختبار
 ")</f>
        <v xml:space="preserve">تفعيل الجدولة في التبريد المركزي بعد الاختبار
 </v>
      </c>
      <c r="I103" s="23"/>
      <c r="J103" s="23" t="s">
        <v>89</v>
      </c>
      <c r="K103" s="23" t="s">
        <v>13</v>
      </c>
      <c r="L103" s="32">
        <v>46142.392726238424</v>
      </c>
      <c r="M103" s="23"/>
      <c r="N103" s="2" t="s">
        <v>77</v>
      </c>
    </row>
    <row r="104" spans="1:14" ht="75" customHeight="1" thickTop="1" thickBot="1">
      <c r="A104" s="23">
        <v>102</v>
      </c>
      <c r="B104" s="32">
        <f ca="1">IFERROR(__xludf.DUMMYFUNCTION("""COMPUTED_VALUE"""),46142.3898656597)</f>
        <v>46142.389865659701</v>
      </c>
      <c r="C104" s="33" t="str">
        <f ca="1">IFERROR(__xludf.DUMMYFUNCTION("""COMPUTED_VALUE"""),"المعملجي")</f>
        <v>المعملجي</v>
      </c>
      <c r="D104" s="33" t="str">
        <f ca="1">IFERROR(__xludf.DUMMYFUNCTION("""COMPUTED_VALUE"""),"وحدة الكهرباء")</f>
        <v>وحدة الكهرباء</v>
      </c>
      <c r="E104" s="23" t="str">
        <f ca="1">IFERROR(__xludf.DUMMYFUNCTION("""COMPUTED_VALUE"""),"قسم المشاريع الهندسية")</f>
        <v>قسم المشاريع الهندسية</v>
      </c>
      <c r="F104" s="23" t="str">
        <f ca="1">IFERROR(__xludf.DUMMYFUNCTION("""COMPUTED_VALUE"""),"I- ابتدائية الساقي للبنين (السادسة)")</f>
        <v>I- ابتدائية الساقي للبنين (السادسة)</v>
      </c>
      <c r="G104" s="23"/>
      <c r="H104" s="23" t="str">
        <f ca="1">IFERROR(__xludf.DUMMYFUNCTION("""COMPUTED_VALUE"""),"تبديل محولات عدد 5  لمنشوريات وصيانة 6 اخريات")</f>
        <v>تبديل محولات عدد 5  لمنشوريات وصيانة 6 اخريات</v>
      </c>
      <c r="I104" s="23"/>
      <c r="J104" s="23" t="s">
        <v>89</v>
      </c>
      <c r="K104" s="23" t="s">
        <v>13</v>
      </c>
      <c r="L104" s="32">
        <v>46142.392735879628</v>
      </c>
      <c r="M104" s="23"/>
      <c r="N104" s="2" t="s">
        <v>77</v>
      </c>
    </row>
    <row r="105" spans="1:14" ht="75" customHeight="1" thickTop="1" thickBot="1">
      <c r="A105" s="25">
        <v>103</v>
      </c>
      <c r="B105" s="32">
        <f ca="1">IFERROR(__xludf.DUMMYFUNCTION("""COMPUTED_VALUE"""),46142.3902726273)</f>
        <v>46142.390272627301</v>
      </c>
      <c r="C105" s="33" t="str">
        <f ca="1">IFERROR(__xludf.DUMMYFUNCTION("""COMPUTED_VALUE"""),"المعملجي")</f>
        <v>المعملجي</v>
      </c>
      <c r="D105" s="33" t="str">
        <f ca="1">IFERROR(__xludf.DUMMYFUNCTION("""COMPUTED_VALUE"""),"وحدة الكهرباء")</f>
        <v>وحدة الكهرباء</v>
      </c>
      <c r="E105" s="23" t="str">
        <f ca="1">IFERROR(__xludf.DUMMYFUNCTION("""COMPUTED_VALUE"""),"قسم المشاريع الهندسية")</f>
        <v>قسم المشاريع الهندسية</v>
      </c>
      <c r="F105" s="23" t="str">
        <f ca="1">IFERROR(__xludf.DUMMYFUNCTION("""COMPUTED_VALUE"""),"A- المركز الثقافي")</f>
        <v>A- المركز الثقافي</v>
      </c>
      <c r="G105" s="23"/>
      <c r="H105" s="23" t="str">
        <f ca="1">IFERROR(__xludf.DUMMYFUNCTION("""COMPUTED_VALUE"""),"اعادة تشبيت كيبل البلاجكتور")</f>
        <v>اعادة تشبيت كيبل البلاجكتور</v>
      </c>
      <c r="I105" s="23"/>
      <c r="J105" s="23" t="s">
        <v>89</v>
      </c>
      <c r="K105" s="23" t="s">
        <v>13</v>
      </c>
      <c r="L105" s="32">
        <v>46142.392742928241</v>
      </c>
      <c r="M105" s="23"/>
      <c r="N105" s="2" t="s">
        <v>77</v>
      </c>
    </row>
    <row r="106" spans="1:14" ht="75" customHeight="1" thickTop="1" thickBot="1">
      <c r="A106" s="23">
        <v>104</v>
      </c>
      <c r="B106" s="32">
        <f ca="1">IFERROR(__xludf.DUMMYFUNCTION("""COMPUTED_VALUE"""),46142.390815162)</f>
        <v>46142.390815161998</v>
      </c>
      <c r="C106" s="33" t="str">
        <f ca="1">IFERROR(__xludf.DUMMYFUNCTION("""COMPUTED_VALUE"""),"المعملجي")</f>
        <v>المعملجي</v>
      </c>
      <c r="D106" s="33" t="str">
        <f ca="1">IFERROR(__xludf.DUMMYFUNCTION("""COMPUTED_VALUE"""),"وحدة الكهرباء")</f>
        <v>وحدة الكهرباء</v>
      </c>
      <c r="E106" s="23" t="str">
        <f ca="1">IFERROR(__xludf.DUMMYFUNCTION("""COMPUTED_VALUE"""),"قسم المشاريع الهندسية")</f>
        <v>قسم المشاريع الهندسية</v>
      </c>
      <c r="F106" s="23" t="str">
        <f ca="1">IFERROR(__xludf.DUMMYFUNCTION("""COMPUTED_VALUE"""),"كل المجمع")</f>
        <v>كل المجمع</v>
      </c>
      <c r="G106" s="23"/>
      <c r="H106" s="23" t="str">
        <f ca="1">IFERROR(__xludf.DUMMYFUNCTION("""COMPUTED_VALUE"""),"تسجيل قراءات المحولات من ضمن الخطة الشهرية لاحتساب استهلاك المجمع من الكهرباء الوطني.")</f>
        <v>تسجيل قراءات المحولات من ضمن الخطة الشهرية لاحتساب استهلاك المجمع من الكهرباء الوطني.</v>
      </c>
      <c r="I106" s="23"/>
      <c r="J106" s="23" t="s">
        <v>89</v>
      </c>
      <c r="K106" s="23" t="s">
        <v>13</v>
      </c>
      <c r="L106" s="32">
        <v>46142.392753275461</v>
      </c>
      <c r="M106" s="23"/>
      <c r="N106" s="2" t="s">
        <v>77</v>
      </c>
    </row>
    <row r="107" spans="1:14" ht="75" customHeight="1" thickTop="1" thickBot="1">
      <c r="A107" s="25">
        <v>105</v>
      </c>
      <c r="B107" s="32">
        <f ca="1">IFERROR(__xludf.DUMMYFUNCTION("""COMPUTED_VALUE"""),46142.3915018518)</f>
        <v>46142.391501851802</v>
      </c>
      <c r="C107" s="33" t="str">
        <f ca="1">IFERROR(__xludf.DUMMYFUNCTION("""COMPUTED_VALUE"""),"المعملجي")</f>
        <v>المعملجي</v>
      </c>
      <c r="D107" s="33" t="str">
        <f ca="1">IFERROR(__xludf.DUMMYFUNCTION("""COMPUTED_VALUE"""),"وحدة الكهرباء")</f>
        <v>وحدة الكهرباء</v>
      </c>
      <c r="E107" s="23" t="str">
        <f ca="1">IFERROR(__xludf.DUMMYFUNCTION("""COMPUTED_VALUE"""),"قسم المشاريع الهندسية")</f>
        <v>قسم المشاريع الهندسية</v>
      </c>
      <c r="F107" s="23" t="str">
        <f ca="1">IFERROR(__xludf.DUMMYFUNCTION("""COMPUTED_VALUE"""),"البيوت الخارجية")</f>
        <v>البيوت الخارجية</v>
      </c>
      <c r="G107" s="23" t="str">
        <f ca="1">IFERROR(__xludf.DUMMYFUNCTION("""COMPUTED_VALUE"""),"كرفان الامنية")</f>
        <v>كرفان الامنية</v>
      </c>
      <c r="H107" s="23" t="str">
        <f ca="1">IFERROR(__xludf.DUMMYFUNCTION("""COMPUTED_VALUE"""),"استبدال بلك سويج")</f>
        <v>استبدال بلك سويج</v>
      </c>
      <c r="I107" s="23"/>
      <c r="J107" s="23" t="s">
        <v>89</v>
      </c>
      <c r="K107" s="23" t="s">
        <v>13</v>
      </c>
      <c r="L107" s="32">
        <v>46142.392764131946</v>
      </c>
      <c r="M107" s="23"/>
      <c r="N107" s="2" t="s">
        <v>77</v>
      </c>
    </row>
    <row r="108" spans="1:14" ht="75" customHeight="1" thickTop="1" thickBot="1">
      <c r="A108" s="23">
        <v>106</v>
      </c>
      <c r="B108" s="32">
        <f ca="1">IFERROR(__xludf.DUMMYFUNCTION("""COMPUTED_VALUE"""),46142.3921600115)</f>
        <v>46142.392160011499</v>
      </c>
      <c r="C108" s="33" t="str">
        <f ca="1">IFERROR(__xludf.DUMMYFUNCTION("""COMPUTED_VALUE"""),"المعملجي")</f>
        <v>المعملجي</v>
      </c>
      <c r="D108" s="33" t="str">
        <f ca="1">IFERROR(__xludf.DUMMYFUNCTION("""COMPUTED_VALUE"""),"وحدة الكهرباء")</f>
        <v>وحدة الكهرباء</v>
      </c>
      <c r="E108" s="23" t="str">
        <f ca="1">IFERROR(__xludf.DUMMYFUNCTION("""COMPUTED_VALUE"""),"قسم المشاريع الهندسية")</f>
        <v>قسم المشاريع الهندسية</v>
      </c>
      <c r="F108" s="23" t="str">
        <f ca="1">IFERROR(__xludf.DUMMYFUNCTION("""COMPUTED_VALUE"""),"A- المركز الثقافي")</f>
        <v>A- المركز الثقافي</v>
      </c>
      <c r="G108" s="23"/>
      <c r="H108" s="23" t="str">
        <f ca="1">IFERROR(__xludf.DUMMYFUNCTION("""COMPUTED_VALUE"""),"إصلاح المكنسة الكهربائية التابعة لشعبتنا")</f>
        <v>إصلاح المكنسة الكهربائية التابعة لشعبتنا</v>
      </c>
      <c r="I108" s="23"/>
      <c r="J108" s="23" t="s">
        <v>89</v>
      </c>
      <c r="K108" s="23" t="s">
        <v>13</v>
      </c>
      <c r="L108" s="32">
        <v>46142.392773194442</v>
      </c>
      <c r="M108" s="23"/>
      <c r="N108" s="2" t="s">
        <v>77</v>
      </c>
    </row>
    <row r="109" spans="1:14" ht="75" customHeight="1" thickTop="1" thickBot="1">
      <c r="A109" s="25">
        <v>107</v>
      </c>
      <c r="B109" s="32">
        <f ca="1">IFERROR(__xludf.DUMMYFUNCTION("""COMPUTED_VALUE"""),46146.4021946296)</f>
        <v>46146.402194629598</v>
      </c>
      <c r="C109" s="33" t="str">
        <f ca="1">IFERROR(__xludf.DUMMYFUNCTION("""COMPUTED_VALUE"""),"المعملجي")</f>
        <v>المعملجي</v>
      </c>
      <c r="D109" s="33" t="str">
        <f ca="1">IFERROR(__xludf.DUMMYFUNCTION("""COMPUTED_VALUE"""),"سجاد تربية")</f>
        <v>سجاد تربية</v>
      </c>
      <c r="E109" s="23" t="str">
        <f ca="1">IFERROR(__xludf.DUMMYFUNCTION("""COMPUTED_VALUE"""),"قسم التربية والتعليم العالي")</f>
        <v>قسم التربية والتعليم العالي</v>
      </c>
      <c r="F109" s="23" t="str">
        <f ca="1">IFERROR(__xludf.DUMMYFUNCTION("""COMPUTED_VALUE"""),"الاستعلامات الرئيسية")</f>
        <v>الاستعلامات الرئيسية</v>
      </c>
      <c r="G109" s="23" t="str">
        <f ca="1">IFERROR(__xludf.DUMMYFUNCTION("""COMPUTED_VALUE"""),"الباب الرئيسية ")</f>
        <v xml:space="preserve">الباب الرئيسية </v>
      </c>
      <c r="H109" s="23" t="str">
        <f ca="1">IFERROR(__xludf.DUMMYFUNCTION("""COMPUTED_VALUE"""),"صيانة الباب الرئيسية ")</f>
        <v xml:space="preserve">صيانة الباب الرئيسية </v>
      </c>
      <c r="I109" s="23"/>
      <c r="J109" s="23" t="s">
        <v>89</v>
      </c>
      <c r="K109" s="23" t="s">
        <v>13</v>
      </c>
      <c r="L109" s="32">
        <v>46149.538600567132</v>
      </c>
      <c r="M109" s="23"/>
      <c r="N109" s="2" t="s">
        <v>77</v>
      </c>
    </row>
    <row r="110" spans="1:14" ht="75" customHeight="1" thickTop="1" thickBot="1">
      <c r="A110" s="23">
        <v>108</v>
      </c>
      <c r="B110" s="32">
        <f ca="1">IFERROR(__xludf.DUMMYFUNCTION("""COMPUTED_VALUE"""),46146.515113287)</f>
        <v>46146.515113287001</v>
      </c>
      <c r="C110" s="33" t="str">
        <f ca="1">IFERROR(__xludf.DUMMYFUNCTION("""COMPUTED_VALUE"""),"المعملجي")</f>
        <v>المعملجي</v>
      </c>
      <c r="D110" s="33" t="str">
        <f ca="1">IFERROR(__xludf.DUMMYFUNCTION("""COMPUTED_VALUE"""),"سجاد تربية")</f>
        <v>سجاد تربية</v>
      </c>
      <c r="E110" s="23" t="str">
        <f ca="1">IFERROR(__xludf.DUMMYFUNCTION("""COMPUTED_VALUE"""),"قسم التربية والتعليم العالي")</f>
        <v>قسم التربية والتعليم العالي</v>
      </c>
      <c r="F110" s="23" t="str">
        <f ca="1">IFERROR(__xludf.DUMMYFUNCTION("""COMPUTED_VALUE"""),"G- روضة الجود")</f>
        <v>G- روضة الجود</v>
      </c>
      <c r="G110" s="23" t="str">
        <f ca="1">IFERROR(__xludf.DUMMYFUNCTION("""COMPUTED_VALUE"""),"صف الزهور ")</f>
        <v xml:space="preserve">صف الزهور </v>
      </c>
      <c r="H110" s="23" t="str">
        <f ca="1">IFERROR(__xludf.DUMMYFUNCTION("""COMPUTED_VALUE"""),"صيانة نقطة كهرباء ")</f>
        <v xml:space="preserve">صيانة نقطة كهرباء </v>
      </c>
      <c r="I110" s="23"/>
      <c r="J110" s="23" t="s">
        <v>89</v>
      </c>
      <c r="K110" s="23" t="s">
        <v>13</v>
      </c>
      <c r="L110" s="32">
        <v>46147.458988842598</v>
      </c>
      <c r="M110" s="23"/>
      <c r="N110" s="2" t="s">
        <v>77</v>
      </c>
    </row>
    <row r="111" spans="1:14" ht="75" customHeight="1" thickTop="1" thickBot="1">
      <c r="A111" s="25">
        <v>109</v>
      </c>
      <c r="B111" s="32">
        <f ca="1">IFERROR(__xludf.DUMMYFUNCTION("""COMPUTED_VALUE"""),46147.5473356944)</f>
        <v>46147.547335694398</v>
      </c>
      <c r="C111" s="33" t="str">
        <f ca="1">IFERROR(__xludf.DUMMYFUNCTION("""COMPUTED_VALUE"""),"المعملجي")</f>
        <v>المعملجي</v>
      </c>
      <c r="D111" s="33" t="str">
        <f ca="1">IFERROR(__xludf.DUMMYFUNCTION("""COMPUTED_VALUE"""),"سجاد تربية")</f>
        <v>سجاد تربية</v>
      </c>
      <c r="E111" s="23" t="str">
        <f ca="1">IFERROR(__xludf.DUMMYFUNCTION("""COMPUTED_VALUE"""),"قسم التربية والتعليم العالي")</f>
        <v>قسم التربية والتعليم العالي</v>
      </c>
      <c r="F111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111" s="23" t="str">
        <f ca="1">IFERROR(__xludf.DUMMYFUNCTION("""COMPUTED_VALUE"""),"الطابق الثاني")</f>
        <v>الطابق الثاني</v>
      </c>
      <c r="H111" s="23" t="str">
        <f ca="1">IFERROR(__xludf.DUMMYFUNCTION("""COMPUTED_VALUE"""),"صيانة قاطع كهرباء ")</f>
        <v xml:space="preserve">صيانة قاطع كهرباء </v>
      </c>
      <c r="I111" s="23"/>
      <c r="J111" s="23" t="s">
        <v>89</v>
      </c>
      <c r="K111" s="23" t="s">
        <v>13</v>
      </c>
      <c r="L111" s="32">
        <v>46147.576668703703</v>
      </c>
      <c r="M111" s="23"/>
      <c r="N111" s="2" t="s">
        <v>77</v>
      </c>
    </row>
    <row r="112" spans="1:14" ht="75" customHeight="1" thickTop="1" thickBot="1">
      <c r="A112" s="23">
        <v>110</v>
      </c>
      <c r="B112" s="32">
        <f ca="1">IFERROR(__xludf.DUMMYFUNCTION("""COMPUTED_VALUE"""),46148.3794387731)</f>
        <v>46148.379438773103</v>
      </c>
      <c r="C112" s="33" t="str">
        <f ca="1">IFERROR(__xludf.DUMMYFUNCTION("""COMPUTED_VALUE"""),"المعملجي")</f>
        <v>المعملجي</v>
      </c>
      <c r="D112" s="33" t="str">
        <f ca="1">IFERROR(__xludf.DUMMYFUNCTION("""COMPUTED_VALUE"""),"سجاد تربية")</f>
        <v>سجاد تربية</v>
      </c>
      <c r="E112" s="23" t="str">
        <f ca="1">IFERROR(__xludf.DUMMYFUNCTION("""COMPUTED_VALUE"""),"قسم التربية والتعليم العالي")</f>
        <v>قسم التربية والتعليم العالي</v>
      </c>
      <c r="F112" s="23" t="str">
        <f ca="1">IFERROR(__xludf.DUMMYFUNCTION("""COMPUTED_VALUE"""),"B- روضة القمر")</f>
        <v>B- روضة القمر</v>
      </c>
      <c r="G112" s="23" t="str">
        <f ca="1">IFERROR(__xludf.DUMMYFUNCTION("""COMPUTED_VALUE"""),"الطابق الاول")</f>
        <v>الطابق الاول</v>
      </c>
      <c r="H112" s="23" t="str">
        <f ca="1">IFERROR(__xludf.DUMMYFUNCTION("""COMPUTED_VALUE"""),"لا يوجد كهرباء صف الزهور ")</f>
        <v xml:space="preserve">لا يوجد كهرباء صف الزهور </v>
      </c>
      <c r="I112" s="23"/>
      <c r="J112" s="23" t="s">
        <v>89</v>
      </c>
      <c r="K112" s="23" t="s">
        <v>13</v>
      </c>
      <c r="L112" s="32">
        <v>46148.462091493057</v>
      </c>
      <c r="M112" s="23"/>
      <c r="N112" s="2" t="s">
        <v>77</v>
      </c>
    </row>
    <row r="113" spans="1:14" ht="75" customHeight="1" thickTop="1" thickBot="1">
      <c r="A113" s="25">
        <v>111</v>
      </c>
      <c r="B113" s="32">
        <f ca="1">IFERROR(__xludf.DUMMYFUNCTION("""COMPUTED_VALUE"""),46148.4650380439)</f>
        <v>46148.465038043898</v>
      </c>
      <c r="C113" s="33" t="str">
        <f ca="1">IFERROR(__xludf.DUMMYFUNCTION("""COMPUTED_VALUE"""),"المعملجي")</f>
        <v>المعملجي</v>
      </c>
      <c r="D113" s="33" t="str">
        <f ca="1">IFERROR(__xludf.DUMMYFUNCTION("""COMPUTED_VALUE"""),"سجاد تربية")</f>
        <v>سجاد تربية</v>
      </c>
      <c r="E113" s="23" t="str">
        <f ca="1">IFERROR(__xludf.DUMMYFUNCTION("""COMPUTED_VALUE"""),"قسم التربية والتعليم العالي")</f>
        <v>قسم التربية والتعليم العالي</v>
      </c>
      <c r="F113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113" s="23" t="str">
        <f ca="1">IFERROR(__xludf.DUMMYFUNCTION("""COMPUTED_VALUE"""),"الطابق الثاني")</f>
        <v>الطابق الثاني</v>
      </c>
      <c r="H113" s="23" t="str">
        <f ca="1">IFERROR(__xludf.DUMMYFUNCTION("""COMPUTED_VALUE"""),"صيانة إنارة الحمامات")</f>
        <v>صيانة إنارة الحمامات</v>
      </c>
      <c r="I113" s="23"/>
      <c r="J113" s="23" t="s">
        <v>89</v>
      </c>
      <c r="K113" s="23" t="s">
        <v>13</v>
      </c>
      <c r="L113" s="32">
        <v>46148.488851898146</v>
      </c>
      <c r="M113" s="23"/>
      <c r="N113" s="2" t="s">
        <v>77</v>
      </c>
    </row>
    <row r="114" spans="1:14" ht="75" customHeight="1" thickTop="1" thickBot="1">
      <c r="A114" s="23">
        <v>112</v>
      </c>
      <c r="B114" s="32">
        <f ca="1">IFERROR(__xludf.DUMMYFUNCTION("""COMPUTED_VALUE"""),46149.3469716782)</f>
        <v>46149.346971678198</v>
      </c>
      <c r="C114" s="33" t="str">
        <f ca="1">IFERROR(__xludf.DUMMYFUNCTION("""COMPUTED_VALUE"""),"المعملجي")</f>
        <v>المعملجي</v>
      </c>
      <c r="D114" s="33" t="str">
        <f ca="1">IFERROR(__xludf.DUMMYFUNCTION("""COMPUTED_VALUE"""),"سجاد تربية")</f>
        <v>سجاد تربية</v>
      </c>
      <c r="E114" s="23" t="str">
        <f ca="1">IFERROR(__xludf.DUMMYFUNCTION("""COMPUTED_VALUE"""),"قسم التربية والتعليم العالي")</f>
        <v>قسم التربية والتعليم العالي</v>
      </c>
      <c r="F114" s="23" t="str">
        <f ca="1">IFERROR(__xludf.DUMMYFUNCTION("""COMPUTED_VALUE"""),"A- المركز الثقافي")</f>
        <v>A- المركز الثقافي</v>
      </c>
      <c r="G114" s="23" t="str">
        <f ca="1">IFERROR(__xludf.DUMMYFUNCTION("""COMPUTED_VALUE"""),"الطابق الارضي")</f>
        <v>الطابق الارضي</v>
      </c>
      <c r="H114" s="23" t="str">
        <f ca="1">IFERROR(__xludf.DUMMYFUNCTION("""COMPUTED_VALUE"""),"لا يوجد كهرباء ")</f>
        <v xml:space="preserve">لا يوجد كهرباء </v>
      </c>
      <c r="I114" s="23"/>
      <c r="J114" s="23" t="s">
        <v>89</v>
      </c>
      <c r="K114" s="23" t="s">
        <v>13</v>
      </c>
      <c r="L114" s="32">
        <v>46149.53707633102</v>
      </c>
      <c r="M114" s="23"/>
      <c r="N114" s="2" t="s">
        <v>77</v>
      </c>
    </row>
    <row r="115" spans="1:14" ht="75" customHeight="1" thickTop="1" thickBot="1">
      <c r="A115" s="25">
        <v>113</v>
      </c>
      <c r="B115" s="32">
        <f ca="1">IFERROR(__xludf.DUMMYFUNCTION("""COMPUTED_VALUE"""),46153.3431551967)</f>
        <v>46153.343155196701</v>
      </c>
      <c r="C115" s="33" t="str">
        <f ca="1">IFERROR(__xludf.DUMMYFUNCTION("""COMPUTED_VALUE"""),"المعملجي")</f>
        <v>المعملجي</v>
      </c>
      <c r="D115" s="33" t="str">
        <f ca="1">IFERROR(__xludf.DUMMYFUNCTION("""COMPUTED_VALUE"""),"سجاد تربية")</f>
        <v>سجاد تربية</v>
      </c>
      <c r="E115" s="23" t="str">
        <f ca="1">IFERROR(__xludf.DUMMYFUNCTION("""COMPUTED_VALUE"""),"قسم التربية والتعليم العالي")</f>
        <v>قسم التربية والتعليم العالي</v>
      </c>
      <c r="F115" s="23" t="str">
        <f ca="1">IFERROR(__xludf.DUMMYFUNCTION("""COMPUTED_VALUE"""),"الصحيات مقابل المدرسة الاولى ")</f>
        <v xml:space="preserve">الصحيات مقابل المدرسة الاولى </v>
      </c>
      <c r="G115" s="23" t="str">
        <f ca="1">IFERROR(__xludf.DUMMYFUNCTION("""COMPUTED_VALUE"""),"الطابق الارضي")</f>
        <v>الطابق الارضي</v>
      </c>
      <c r="H115" s="23" t="str">
        <f ca="1">IFERROR(__xludf.DUMMYFUNCTION("""COMPUTED_VALUE"""),"صيانة انارة")</f>
        <v>صيانة انارة</v>
      </c>
      <c r="I115" s="23"/>
      <c r="J115" s="23" t="s">
        <v>89</v>
      </c>
      <c r="K115" s="23" t="s">
        <v>13</v>
      </c>
      <c r="L115" s="32">
        <v>46153.418177500003</v>
      </c>
      <c r="M115" s="23"/>
      <c r="N115" s="2" t="s">
        <v>77</v>
      </c>
    </row>
    <row r="116" spans="1:14" ht="75" customHeight="1" thickTop="1" thickBot="1">
      <c r="A116" s="23">
        <v>114</v>
      </c>
      <c r="B116" s="32">
        <f ca="1">IFERROR(__xludf.DUMMYFUNCTION("""COMPUTED_VALUE"""),46154.338434456)</f>
        <v>46154.338434456004</v>
      </c>
      <c r="C116" s="33" t="str">
        <f ca="1">IFERROR(__xludf.DUMMYFUNCTION("""COMPUTED_VALUE"""),"المعملجي")</f>
        <v>المعملجي</v>
      </c>
      <c r="D116" s="33" t="str">
        <f ca="1">IFERROR(__xludf.DUMMYFUNCTION("""COMPUTED_VALUE"""),"سجاد تربية")</f>
        <v>سجاد تربية</v>
      </c>
      <c r="E116" s="23" t="str">
        <f ca="1">IFERROR(__xludf.DUMMYFUNCTION("""COMPUTED_VALUE"""),"قسم التربية والتعليم العالي")</f>
        <v>قسم التربية والتعليم العالي</v>
      </c>
      <c r="F116" s="23" t="str">
        <f ca="1">IFERROR(__xludf.DUMMYFUNCTION("""COMPUTED_VALUE"""),"A- المركز الثقافي")</f>
        <v>A- المركز الثقافي</v>
      </c>
      <c r="G116" s="23" t="str">
        <f ca="1">IFERROR(__xludf.DUMMYFUNCTION("""COMPUTED_VALUE"""),"الطابق الارضي")</f>
        <v>الطابق الارضي</v>
      </c>
      <c r="H116" s="23" t="str">
        <f ca="1">IFERROR(__xludf.DUMMYFUNCTION("""COMPUTED_VALUE"""),"صيانة إنارة ")</f>
        <v xml:space="preserve">صيانة إنارة </v>
      </c>
      <c r="I116" s="23"/>
      <c r="J116" s="23" t="s">
        <v>89</v>
      </c>
      <c r="K116" s="23" t="s">
        <v>13</v>
      </c>
      <c r="L116" s="32">
        <v>46154.385801481483</v>
      </c>
      <c r="M116" s="23"/>
      <c r="N116" s="2" t="s">
        <v>77</v>
      </c>
    </row>
    <row r="117" spans="1:14" ht="75" customHeight="1" thickTop="1" thickBot="1">
      <c r="A117" s="25">
        <v>115</v>
      </c>
      <c r="B117" s="32">
        <f ca="1">IFERROR(__xludf.DUMMYFUNCTION("""COMPUTED_VALUE"""),46158.544011412)</f>
        <v>46158.544011411999</v>
      </c>
      <c r="C117" s="33" t="str">
        <f ca="1">IFERROR(__xludf.DUMMYFUNCTION("""COMPUTED_VALUE"""),"المعملجي")</f>
        <v>المعملجي</v>
      </c>
      <c r="D117" s="33" t="str">
        <f ca="1">IFERROR(__xludf.DUMMYFUNCTION("""COMPUTED_VALUE"""),"سجاد تربية")</f>
        <v>سجاد تربية</v>
      </c>
      <c r="E117" s="23" t="str">
        <f ca="1">IFERROR(__xludf.DUMMYFUNCTION("""COMPUTED_VALUE"""),"قسم التربية والتعليم العالي")</f>
        <v>قسم التربية والتعليم العالي</v>
      </c>
      <c r="F117" s="23" t="str">
        <f ca="1">IFERROR(__xludf.DUMMYFUNCTION("""COMPUTED_VALUE"""),"E- ابتدائية العميد للبنات (الثالثة)")</f>
        <v>E- ابتدائية العميد للبنات (الثالثة)</v>
      </c>
      <c r="G117" s="23" t="str">
        <f ca="1">IFERROR(__xludf.DUMMYFUNCTION("""COMPUTED_VALUE"""),"الطابق الارضي")</f>
        <v>الطابق الارضي</v>
      </c>
      <c r="H117" s="23" t="str">
        <f ca="1">IFERROR(__xludf.DUMMYFUNCTION("""COMPUTED_VALUE"""),"صيانة انارة")</f>
        <v>صيانة انارة</v>
      </c>
      <c r="I117" s="23"/>
      <c r="J117" s="23" t="s">
        <v>89</v>
      </c>
      <c r="K117" s="23" t="s">
        <v>13</v>
      </c>
      <c r="L117" s="32">
        <v>46159.37263081019</v>
      </c>
      <c r="M117" s="23"/>
      <c r="N117" s="2" t="s">
        <v>77</v>
      </c>
    </row>
    <row r="118" spans="1:14" ht="75" customHeight="1" thickTop="1" thickBot="1">
      <c r="A118" s="23">
        <v>116</v>
      </c>
      <c r="B118" s="32">
        <f ca="1">IFERROR(__xludf.DUMMYFUNCTION("""COMPUTED_VALUE"""),46160.4719826389)</f>
        <v>46160.471982638897</v>
      </c>
      <c r="C118" s="33" t="str">
        <f ca="1">IFERROR(__xludf.DUMMYFUNCTION("""COMPUTED_VALUE"""),"المعملجي")</f>
        <v>المعملجي</v>
      </c>
      <c r="D118" s="33" t="str">
        <f ca="1">IFERROR(__xludf.DUMMYFUNCTION("""COMPUTED_VALUE"""),"سجاد تربية")</f>
        <v>سجاد تربية</v>
      </c>
      <c r="E118" s="23" t="str">
        <f ca="1">IFERROR(__xludf.DUMMYFUNCTION("""COMPUTED_VALUE"""),"قسم التربية والتعليم العالي")</f>
        <v>قسم التربية والتعليم العالي</v>
      </c>
      <c r="F118" s="23" t="str">
        <f ca="1">IFERROR(__xludf.DUMMYFUNCTION("""COMPUTED_VALUE"""),"A- المركز الثقافي")</f>
        <v>A- المركز الثقافي</v>
      </c>
      <c r="G118" s="23" t="str">
        <f ca="1">IFERROR(__xludf.DUMMYFUNCTION("""COMPUTED_VALUE"""),"الطابق الثالث")</f>
        <v>الطابق الثالث</v>
      </c>
      <c r="H118" s="23" t="str">
        <f ca="1">IFERROR(__xludf.DUMMYFUNCTION("""COMPUTED_VALUE"""),"صيانة بلك سويج")</f>
        <v>صيانة بلك سويج</v>
      </c>
      <c r="I118" s="23"/>
      <c r="J118" s="23" t="s">
        <v>89</v>
      </c>
      <c r="K118" s="23" t="s">
        <v>13</v>
      </c>
      <c r="L118" s="32">
        <v>46160.472604791663</v>
      </c>
      <c r="M118" s="23"/>
      <c r="N118" s="2" t="s">
        <v>77</v>
      </c>
    </row>
    <row r="119" spans="1:14" ht="75" customHeight="1" thickTop="1" thickBot="1">
      <c r="A119" s="25">
        <v>117</v>
      </c>
      <c r="B119" s="32">
        <f ca="1">IFERROR(__xludf.DUMMYFUNCTION("""COMPUTED_VALUE"""),46161.4761965625)</f>
        <v>46161.4761965625</v>
      </c>
      <c r="C119" s="33" t="str">
        <f ca="1">IFERROR(__xludf.DUMMYFUNCTION("""COMPUTED_VALUE"""),"المعملجي")</f>
        <v>المعملجي</v>
      </c>
      <c r="D119" s="33" t="str">
        <f ca="1">IFERROR(__xludf.DUMMYFUNCTION("""COMPUTED_VALUE"""),"سجاد تربية")</f>
        <v>سجاد تربية</v>
      </c>
      <c r="E119" s="23" t="str">
        <f ca="1">IFERROR(__xludf.DUMMYFUNCTION("""COMPUTED_VALUE"""),"قسم التربية والتعليم العالي")</f>
        <v>قسم التربية والتعليم العالي</v>
      </c>
      <c r="F119" s="23" t="str">
        <f ca="1">IFERROR(__xludf.DUMMYFUNCTION("""COMPUTED_VALUE"""),"H- ابتدائية القمر للبنات (الخامسة)")</f>
        <v>H- ابتدائية القمر للبنات (الخامسة)</v>
      </c>
      <c r="G119" s="23" t="str">
        <f ca="1">IFERROR(__xludf.DUMMYFUNCTION("""COMPUTED_VALUE"""),"الطابق الارضي")</f>
        <v>الطابق الارضي</v>
      </c>
      <c r="H119" s="23" t="str">
        <f ca="1">IFERROR(__xludf.DUMMYFUNCTION("""COMPUTED_VALUE"""),"صيانة إنارة جهة الثالث أ")</f>
        <v>صيانة إنارة جهة الثالث أ</v>
      </c>
      <c r="I119" s="23"/>
      <c r="J119" s="23" t="s">
        <v>89</v>
      </c>
      <c r="K119" s="23" t="s">
        <v>13</v>
      </c>
      <c r="L119" s="32">
        <v>46161.531722534724</v>
      </c>
      <c r="M119" s="23"/>
      <c r="N119" s="2" t="s">
        <v>77</v>
      </c>
    </row>
    <row r="120" spans="1:14" ht="75" customHeight="1" thickTop="1" thickBot="1">
      <c r="A120" s="23">
        <v>118</v>
      </c>
      <c r="B120" s="32">
        <f ca="1">IFERROR(__xludf.DUMMYFUNCTION("""COMPUTED_VALUE"""),46161.5324462152)</f>
        <v>46161.532446215198</v>
      </c>
      <c r="C120" s="33" t="str">
        <f ca="1">IFERROR(__xludf.DUMMYFUNCTION("""COMPUTED_VALUE"""),"المعملجي")</f>
        <v>المعملجي</v>
      </c>
      <c r="D120" s="33" t="str">
        <f ca="1">IFERROR(__xludf.DUMMYFUNCTION("""COMPUTED_VALUE"""),"سجاد تربية")</f>
        <v>سجاد تربية</v>
      </c>
      <c r="E120" s="23" t="str">
        <f ca="1">IFERROR(__xludf.DUMMYFUNCTION("""COMPUTED_VALUE"""),"قسم التربية والتعليم العالي")</f>
        <v>قسم التربية والتعليم العالي</v>
      </c>
      <c r="F120" s="23" t="str">
        <f ca="1">IFERROR(__xludf.DUMMYFUNCTION("""COMPUTED_VALUE"""),"H- ابتدائية القمر للبنات (الخامسة)")</f>
        <v>H- ابتدائية القمر للبنات (الخامسة)</v>
      </c>
      <c r="G120" s="23" t="str">
        <f ca="1">IFERROR(__xludf.DUMMYFUNCTION("""COMPUTED_VALUE"""),"الطابق الارضي")</f>
        <v>الطابق الارضي</v>
      </c>
      <c r="H120" s="23" t="str">
        <f ca="1">IFERROR(__xludf.DUMMYFUNCTION("""COMPUTED_VALUE"""),"المصعد لا يعمل")</f>
        <v>المصعد لا يعمل</v>
      </c>
      <c r="I120" s="23"/>
      <c r="J120" s="23" t="s">
        <v>89</v>
      </c>
      <c r="K120" s="23" t="s">
        <v>13</v>
      </c>
      <c r="L120" s="32">
        <v>46161.53260056713</v>
      </c>
      <c r="M120" s="23"/>
      <c r="N120" s="2" t="s">
        <v>77</v>
      </c>
    </row>
    <row r="121" spans="1:14" ht="75" customHeight="1" thickTop="1" thickBot="1">
      <c r="A121" s="25">
        <v>119</v>
      </c>
      <c r="B121" s="32">
        <f ca="1">IFERROR(__xludf.DUMMYFUNCTION("""COMPUTED_VALUE"""),46161.6744529166)</f>
        <v>46161.674452916603</v>
      </c>
      <c r="C121" s="33" t="str">
        <f ca="1">IFERROR(__xludf.DUMMYFUNCTION("""COMPUTED_VALUE"""),"المعملجي")</f>
        <v>المعملجي</v>
      </c>
      <c r="D121" s="33" t="str">
        <f ca="1">IFERROR(__xludf.DUMMYFUNCTION("""COMPUTED_VALUE"""),"ابراهيم الخطابي")</f>
        <v>ابراهيم الخطابي</v>
      </c>
      <c r="E121" s="23" t="str">
        <f ca="1">IFERROR(__xludf.DUMMYFUNCTION("""COMPUTED_VALUE"""),"مجموعة العميد التربوية")</f>
        <v>مجموعة العميد التربوية</v>
      </c>
      <c r="F121" s="23" t="str">
        <f ca="1">IFERROR(__xludf.DUMMYFUNCTION("""COMPUTED_VALUE"""),"B- روضة القمر")</f>
        <v>B- روضة القمر</v>
      </c>
      <c r="G121" s="23"/>
      <c r="H121" s="23" t="str">
        <f ca="1">IFERROR(__xludf.DUMMYFUNCTION("""COMPUTED_VALUE"""),"يرجى تشغيل المفرغات في الصحيات ")</f>
        <v xml:space="preserve">يرجى تشغيل المفرغات في الصحيات </v>
      </c>
      <c r="I121" s="23"/>
      <c r="J121" s="23" t="s">
        <v>89</v>
      </c>
      <c r="K121" s="23" t="s">
        <v>13</v>
      </c>
      <c r="L121" s="32">
        <v>46161.69875358796</v>
      </c>
      <c r="M121" s="23"/>
      <c r="N121" s="2" t="s">
        <v>77</v>
      </c>
    </row>
    <row r="122" spans="1:14" ht="75" customHeight="1" thickTop="1" thickBot="1">
      <c r="A122" s="23">
        <v>120</v>
      </c>
      <c r="B122" s="32">
        <f ca="1">IFERROR(__xludf.DUMMYFUNCTION("""COMPUTED_VALUE"""),46162.4499781597)</f>
        <v>46162.449978159697</v>
      </c>
      <c r="C122" s="33" t="str">
        <f ca="1">IFERROR(__xludf.DUMMYFUNCTION("""COMPUTED_VALUE"""),"المعملجي")</f>
        <v>المعملجي</v>
      </c>
      <c r="D122" s="33" t="str">
        <f ca="1">IFERROR(__xludf.DUMMYFUNCTION("""COMPUTED_VALUE"""),"ابو سجاد ")</f>
        <v xml:space="preserve">ابو سجاد </v>
      </c>
      <c r="E122" s="23" t="str">
        <f ca="1">IFERROR(__xludf.DUMMYFUNCTION("""COMPUTED_VALUE"""),"مجموعة العميد التربوية")</f>
        <v>مجموعة العميد التربوية</v>
      </c>
      <c r="F122" s="23" t="str">
        <f ca="1">IFERROR(__xludf.DUMMYFUNCTION("""COMPUTED_VALUE"""),"A- المركز الثقافي")</f>
        <v>A- المركز الثقافي</v>
      </c>
      <c r="G122" s="23" t="str">
        <f ca="1">IFERROR(__xludf.DUMMYFUNCTION("""COMPUTED_VALUE"""),"الطابق الاول")</f>
        <v>الطابق الاول</v>
      </c>
      <c r="H122" s="23" t="str">
        <f ca="1">IFERROR(__xludf.DUMMYFUNCTION("""COMPUTED_VALUE"""),"لا يوجد كهرباء في بعض النقاط")</f>
        <v>لا يوجد كهرباء في بعض النقاط</v>
      </c>
      <c r="I122" s="23"/>
      <c r="J122" s="23" t="s">
        <v>89</v>
      </c>
      <c r="K122" s="23" t="s">
        <v>13</v>
      </c>
      <c r="L122" s="32">
        <v>46162.724510439817</v>
      </c>
      <c r="M122" s="23"/>
      <c r="N122" s="2" t="s">
        <v>77</v>
      </c>
    </row>
    <row r="123" spans="1:14" ht="75" customHeight="1" thickTop="1" thickBot="1">
      <c r="A123" s="25">
        <v>121</v>
      </c>
      <c r="B123" s="32">
        <f ca="1">IFERROR(__xludf.DUMMYFUNCTION("""COMPUTED_VALUE"""),46162.5015006365)</f>
        <v>46162.501500636499</v>
      </c>
      <c r="C123" s="33" t="str">
        <f ca="1">IFERROR(__xludf.DUMMYFUNCTION("""COMPUTED_VALUE"""),"المعملجي")</f>
        <v>المعملجي</v>
      </c>
      <c r="D123" s="33" t="str">
        <f ca="1">IFERROR(__xludf.DUMMYFUNCTION("""COMPUTED_VALUE"""),"ابو سجاد")</f>
        <v>ابو سجاد</v>
      </c>
      <c r="E123" s="23" t="str">
        <f ca="1">IFERROR(__xludf.DUMMYFUNCTION("""COMPUTED_VALUE"""),"مجموعة العميد التربوية")</f>
        <v>مجموعة العميد التربوية</v>
      </c>
      <c r="F123" s="23" t="str">
        <f ca="1">IFERROR(__xludf.DUMMYFUNCTION("""COMPUTED_VALUE"""),"A- المركز الثقافي")</f>
        <v>A- المركز الثقافي</v>
      </c>
      <c r="G123" s="23" t="str">
        <f ca="1">IFERROR(__xludf.DUMMYFUNCTION("""COMPUTED_VALUE"""),"الطابق الاول")</f>
        <v>الطابق الاول</v>
      </c>
      <c r="H123" s="23" t="str">
        <f ca="1">IFERROR(__xludf.DUMMYFUNCTION("""COMPUTED_VALUE"""),"تبديل بلك سويج")</f>
        <v>تبديل بلك سويج</v>
      </c>
      <c r="I123" s="23"/>
      <c r="J123" s="23" t="s">
        <v>89</v>
      </c>
      <c r="K123" s="23" t="s">
        <v>13</v>
      </c>
      <c r="L123" s="32">
        <v>46162.724490000001</v>
      </c>
      <c r="M123" s="23"/>
      <c r="N123" s="2" t="s">
        <v>77</v>
      </c>
    </row>
    <row r="124" spans="1:14" ht="75" customHeight="1" thickTop="1" thickBot="1">
      <c r="A124" s="23">
        <v>122</v>
      </c>
      <c r="B124" s="32">
        <f ca="1">IFERROR(__xludf.DUMMYFUNCTION("""COMPUTED_VALUE"""),46162.7360195023)</f>
        <v>46162.736019502299</v>
      </c>
      <c r="C124" s="33" t="str">
        <f ca="1">IFERROR(__xludf.DUMMYFUNCTION("""COMPUTED_VALUE"""),"المعملجي")</f>
        <v>المعملجي</v>
      </c>
      <c r="D124" s="33" t="str">
        <f ca="1">IFERROR(__xludf.DUMMYFUNCTION("""COMPUTED_VALUE"""),"ابو سجاد ")</f>
        <v xml:space="preserve">ابو سجاد </v>
      </c>
      <c r="E124" s="23" t="str">
        <f ca="1">IFERROR(__xludf.DUMMYFUNCTION("""COMPUTED_VALUE"""),"مجموعة العميد التربوية")</f>
        <v>مجموعة العميد التربوية</v>
      </c>
      <c r="F124" s="23" t="str">
        <f ca="1">IFERROR(__xludf.DUMMYFUNCTION("""COMPUTED_VALUE"""),"الاستعلامات الرئيسية")</f>
        <v>الاستعلامات الرئيسية</v>
      </c>
      <c r="G124" s="23" t="str">
        <f ca="1">IFERROR(__xludf.DUMMYFUNCTION("""COMPUTED_VALUE"""),"الطابق الارضي")</f>
        <v>الطابق الارضي</v>
      </c>
      <c r="H124" s="23" t="str">
        <f ca="1">IFERROR(__xludf.DUMMYFUNCTION("""COMPUTED_VALUE"""),"لا يوجد كهرباء ")</f>
        <v xml:space="preserve">لا يوجد كهرباء </v>
      </c>
      <c r="I124" s="23"/>
      <c r="J124" s="23" t="s">
        <v>89</v>
      </c>
      <c r="K124" s="23" t="s">
        <v>13</v>
      </c>
      <c r="L124" s="32">
        <v>46162.736197303238</v>
      </c>
      <c r="M124" s="23"/>
      <c r="N124" s="2" t="s">
        <v>77</v>
      </c>
    </row>
    <row r="125" spans="1:14" ht="75" customHeight="1" thickTop="1" thickBot="1">
      <c r="A125" s="25">
        <v>123</v>
      </c>
      <c r="B125" s="32">
        <f ca="1">IFERROR(__xludf.DUMMYFUNCTION("""COMPUTED_VALUE"""),46165.4156678819)</f>
        <v>46165.415667881898</v>
      </c>
      <c r="C125" s="33" t="str">
        <f ca="1">IFERROR(__xludf.DUMMYFUNCTION("""COMPUTED_VALUE"""),"المعملجي")</f>
        <v>المعملجي</v>
      </c>
      <c r="D125" s="33" t="str">
        <f ca="1">IFERROR(__xludf.DUMMYFUNCTION("""COMPUTED_VALUE"""),"وحدة الكهرباء")</f>
        <v>وحدة الكهرباء</v>
      </c>
      <c r="E125" s="23" t="str">
        <f ca="1">IFERROR(__xludf.DUMMYFUNCTION("""COMPUTED_VALUE"""),"قسم المشاريع الهندسية")</f>
        <v>قسم المشاريع الهندسية</v>
      </c>
      <c r="F125" s="23" t="str">
        <f ca="1">IFERROR(__xludf.DUMMYFUNCTION("""COMPUTED_VALUE"""),"G- روضة الجود")</f>
        <v>G- روضة الجود</v>
      </c>
      <c r="G125" s="23" t="str">
        <f ca="1">IFERROR(__xludf.DUMMYFUNCTION("""COMPUTED_VALUE"""),"غرفة الكهرباء, ")</f>
        <v xml:space="preserve">غرفة الكهرباء, </v>
      </c>
      <c r="H125" s="23" t="str">
        <f ca="1">IFERROR(__xludf.DUMMYFUNCTION("""COMPUTED_VALUE"""),"استبدال ATS الروضة G الخاص بالتحويل بين المولدة والوطني")</f>
        <v>استبدال ATS الروضة G الخاص بالتحويل بين المولدة والوطني</v>
      </c>
      <c r="I125" s="23"/>
      <c r="J125" s="23" t="s">
        <v>89</v>
      </c>
      <c r="K125" s="23" t="s">
        <v>13</v>
      </c>
      <c r="L125" s="32">
        <v>46165.465901053241</v>
      </c>
      <c r="M125" s="23"/>
      <c r="N125" s="2" t="s">
        <v>77</v>
      </c>
    </row>
    <row r="126" spans="1:14" ht="75" customHeight="1" thickTop="1" thickBot="1">
      <c r="A126" s="23">
        <v>124</v>
      </c>
      <c r="B126" s="32">
        <f ca="1">IFERROR(__xludf.DUMMYFUNCTION("""COMPUTED_VALUE"""),46165.4175975231)</f>
        <v>46165.417597523097</v>
      </c>
      <c r="C126" s="33" t="str">
        <f ca="1">IFERROR(__xludf.DUMMYFUNCTION("""COMPUTED_VALUE"""),"المعملجي")</f>
        <v>المعملجي</v>
      </c>
      <c r="D126" s="33" t="str">
        <f ca="1">IFERROR(__xludf.DUMMYFUNCTION("""COMPUTED_VALUE"""),"وحدة الكهرباء")</f>
        <v>وحدة الكهرباء</v>
      </c>
      <c r="E126" s="23" t="str">
        <f ca="1">IFERROR(__xludf.DUMMYFUNCTION("""COMPUTED_VALUE"""),"قسم المشاريع الهندسية")</f>
        <v>قسم المشاريع الهندسية</v>
      </c>
      <c r="F126" s="23" t="str">
        <f ca="1">IFERROR(__xludf.DUMMYFUNCTION("""COMPUTED_VALUE"""),"A- المركز الثقافي")</f>
        <v>A- المركز الثقافي</v>
      </c>
      <c r="G126" s="23"/>
      <c r="H126" s="23" t="str">
        <f ca="1">IFERROR(__xludf.DUMMYFUNCTION("""COMPUTED_VALUE"""),"استبدال براكيت جانبي")</f>
        <v>استبدال براكيت جانبي</v>
      </c>
      <c r="I126" s="23"/>
      <c r="J126" s="23" t="s">
        <v>89</v>
      </c>
      <c r="K126" s="23" t="s">
        <v>13</v>
      </c>
      <c r="L126" s="32">
        <v>46165.465908402781</v>
      </c>
      <c r="M126" s="23"/>
      <c r="N126" s="2" t="s">
        <v>77</v>
      </c>
    </row>
    <row r="127" spans="1:14" ht="75" customHeight="1" thickTop="1" thickBot="1">
      <c r="A127" s="25">
        <v>125</v>
      </c>
      <c r="B127" s="32">
        <f ca="1">IFERROR(__xludf.DUMMYFUNCTION("""COMPUTED_VALUE"""),46165.4185836342)</f>
        <v>46165.4185836342</v>
      </c>
      <c r="C127" s="33" t="str">
        <f ca="1">IFERROR(__xludf.DUMMYFUNCTION("""COMPUTED_VALUE"""),"المعملجي")</f>
        <v>المعملجي</v>
      </c>
      <c r="D127" s="33" t="str">
        <f ca="1">IFERROR(__xludf.DUMMYFUNCTION("""COMPUTED_VALUE"""),"وحدة الكهرباء")</f>
        <v>وحدة الكهرباء</v>
      </c>
      <c r="E127" s="23" t="str">
        <f ca="1">IFERROR(__xludf.DUMMYFUNCTION("""COMPUTED_VALUE"""),"قسم المشاريع الهندسية")</f>
        <v>قسم المشاريع الهندسية</v>
      </c>
      <c r="F127" s="23" t="str">
        <f ca="1">IFERROR(__xludf.DUMMYFUNCTION("""COMPUTED_VALUE"""),"A- المركز الثقافي")</f>
        <v>A- المركز الثقافي</v>
      </c>
      <c r="G127" s="23" t="str">
        <f ca="1">IFERROR(__xludf.DUMMYFUNCTION("""COMPUTED_VALUE"""),"data center")</f>
        <v>data center</v>
      </c>
      <c r="H127" s="23" t="str">
        <f ca="1">IFERROR(__xludf.DUMMYFUNCTION("""COMPUTED_VALUE"""),"اضافة ups  جديد 3 كيلوا بدل من ups التالف الخاص بالبرج")</f>
        <v>اضافة ups  جديد 3 كيلوا بدل من ups التالف الخاص بالبرج</v>
      </c>
      <c r="I127" s="23"/>
      <c r="J127" s="23" t="s">
        <v>89</v>
      </c>
      <c r="K127" s="23" t="s">
        <v>13</v>
      </c>
      <c r="L127" s="32">
        <v>46165.465967974538</v>
      </c>
      <c r="M127" s="23"/>
      <c r="N127" s="2" t="s">
        <v>77</v>
      </c>
    </row>
    <row r="128" spans="1:14" ht="75" customHeight="1" thickTop="1" thickBot="1">
      <c r="A128" s="23">
        <v>126</v>
      </c>
      <c r="B128" s="32">
        <f ca="1">IFERROR(__xludf.DUMMYFUNCTION("""COMPUTED_VALUE"""),46165.4194765393)</f>
        <v>46165.419476539297</v>
      </c>
      <c r="C128" s="33" t="str">
        <f ca="1">IFERROR(__xludf.DUMMYFUNCTION("""COMPUTED_VALUE"""),"المعملجي")</f>
        <v>المعملجي</v>
      </c>
      <c r="D128" s="33" t="str">
        <f ca="1">IFERROR(__xludf.DUMMYFUNCTION("""COMPUTED_VALUE"""),"وحدة الكهرباء")</f>
        <v>وحدة الكهرباء</v>
      </c>
      <c r="E128" s="23" t="str">
        <f ca="1">IFERROR(__xludf.DUMMYFUNCTION("""COMPUTED_VALUE"""),"قسم المشاريع الهندسية")</f>
        <v>قسم المشاريع الهندسية</v>
      </c>
      <c r="F128" s="23" t="str">
        <f ca="1">IFERROR(__xludf.DUMMYFUNCTION("""COMPUTED_VALUE"""),"I- ابتدائية الساقي للبنين (السادسة)")</f>
        <v>I- ابتدائية الساقي للبنين (السادسة)</v>
      </c>
      <c r="G128" s="23" t="str">
        <f ca="1">IFERROR(__xludf.DUMMYFUNCTION("""COMPUTED_VALUE"""),"السطح, غرفة المصعد")</f>
        <v>السطح, غرفة المصعد</v>
      </c>
      <c r="H128" s="23" t="str">
        <f ca="1">IFERROR(__xludf.DUMMYFUNCTION("""COMPUTED_VALUE"""),"تنشيف الغرفة وبورد الكهرباء من مياه الامطار")</f>
        <v>تنشيف الغرفة وبورد الكهرباء من مياه الامطار</v>
      </c>
      <c r="I128" s="23"/>
      <c r="J128" s="23" t="s">
        <v>89</v>
      </c>
      <c r="K128" s="23" t="s">
        <v>13</v>
      </c>
      <c r="L128" s="32">
        <v>46165.46592599537</v>
      </c>
      <c r="M128" s="23"/>
      <c r="N128" s="2" t="s">
        <v>77</v>
      </c>
    </row>
    <row r="129" spans="1:14" ht="75" customHeight="1" thickTop="1" thickBot="1">
      <c r="A129" s="25">
        <v>127</v>
      </c>
      <c r="B129" s="32">
        <f ca="1">IFERROR(__xludf.DUMMYFUNCTION("""COMPUTED_VALUE"""),46165.4361290277)</f>
        <v>46165.436129027701</v>
      </c>
      <c r="C129" s="33" t="str">
        <f ca="1">IFERROR(__xludf.DUMMYFUNCTION("""COMPUTED_VALUE"""),"المعملجي")</f>
        <v>المعملجي</v>
      </c>
      <c r="D129" s="33" t="str">
        <f ca="1">IFERROR(__xludf.DUMMYFUNCTION("""COMPUTED_VALUE"""),"وحدة الكهرباء")</f>
        <v>وحدة الكهرباء</v>
      </c>
      <c r="E129" s="23" t="str">
        <f ca="1">IFERROR(__xludf.DUMMYFUNCTION("""COMPUTED_VALUE"""),"قسم المشاريع الهندسية")</f>
        <v>قسم المشاريع الهندسية</v>
      </c>
      <c r="F129" s="23" t="str">
        <f ca="1">IFERROR(__xludf.DUMMYFUNCTION("""COMPUTED_VALUE"""),"A- المركز الثقافي")</f>
        <v>A- المركز الثقافي</v>
      </c>
      <c r="G129" s="23" t="str">
        <f ca="1">IFERROR(__xludf.DUMMYFUNCTION("""COMPUTED_VALUE"""),"data center")</f>
        <v>data center</v>
      </c>
      <c r="H129" s="23" t="str">
        <f ca="1">IFERROR(__xludf.DUMMYFUNCTION("""COMPUTED_VALUE"""),"اعادة تغذية مكيف الغرفة من بورد ups")</f>
        <v>اعادة تغذية مكيف الغرفة من بورد ups</v>
      </c>
      <c r="I129" s="23"/>
      <c r="J129" s="23" t="s">
        <v>89</v>
      </c>
      <c r="K129" s="23" t="s">
        <v>13</v>
      </c>
      <c r="L129" s="32">
        <v>46165.46592938657</v>
      </c>
      <c r="M129" s="23"/>
      <c r="N129" s="2" t="s">
        <v>77</v>
      </c>
    </row>
    <row r="130" spans="1:14" ht="75" customHeight="1" thickTop="1" thickBot="1">
      <c r="A130" s="23">
        <v>128</v>
      </c>
      <c r="B130" s="32">
        <f ca="1">IFERROR(__xludf.DUMMYFUNCTION("""COMPUTED_VALUE"""),46165.4371509722)</f>
        <v>46165.437150972197</v>
      </c>
      <c r="C130" s="33" t="str">
        <f ca="1">IFERROR(__xludf.DUMMYFUNCTION("""COMPUTED_VALUE"""),"المعملجي")</f>
        <v>المعملجي</v>
      </c>
      <c r="D130" s="33" t="str">
        <f ca="1">IFERROR(__xludf.DUMMYFUNCTION("""COMPUTED_VALUE"""),"وحدة الكهرباء")</f>
        <v>وحدة الكهرباء</v>
      </c>
      <c r="E130" s="23" t="str">
        <f ca="1">IFERROR(__xludf.DUMMYFUNCTION("""COMPUTED_VALUE"""),"قسم المشاريع الهندسية")</f>
        <v>قسم المشاريع الهندسية</v>
      </c>
      <c r="F130" s="23" t="str">
        <f ca="1">IFERROR(__xludf.DUMMYFUNCTION("""COMPUTED_VALUE"""),"A- المركز الثقافي")</f>
        <v>A- المركز الثقافي</v>
      </c>
      <c r="G130" s="23" t="str">
        <f ca="1">IFERROR(__xludf.DUMMYFUNCTION("""COMPUTED_VALUE"""),"الطابق الرابع,  شعبة المراقبة")</f>
        <v>الطابق الرابع,  شعبة المراقبة</v>
      </c>
      <c r="H130" s="23" t="str">
        <f ca="1">IFERROR(__xludf.DUMMYFUNCTION("""COMPUTED_VALUE"""),"تبديل 7 محولات سبوت لايت تالفة")</f>
        <v>تبديل 7 محولات سبوت لايت تالفة</v>
      </c>
      <c r="I130" s="23"/>
      <c r="J130" s="23" t="s">
        <v>89</v>
      </c>
      <c r="K130" s="23" t="s">
        <v>13</v>
      </c>
      <c r="L130" s="32">
        <v>46165.465988229167</v>
      </c>
      <c r="M130" s="23"/>
      <c r="N130" s="2" t="s">
        <v>77</v>
      </c>
    </row>
    <row r="131" spans="1:14" ht="75" customHeight="1" thickTop="1" thickBot="1">
      <c r="A131" s="25">
        <v>129</v>
      </c>
      <c r="B131" s="32">
        <f ca="1">IFERROR(__xludf.DUMMYFUNCTION("""COMPUTED_VALUE"""),46165.4378698263)</f>
        <v>46165.437869826303</v>
      </c>
      <c r="C131" s="33" t="str">
        <f ca="1">IFERROR(__xludf.DUMMYFUNCTION("""COMPUTED_VALUE"""),"المعملجي")</f>
        <v>المعملجي</v>
      </c>
      <c r="D131" s="33" t="str">
        <f ca="1">IFERROR(__xludf.DUMMYFUNCTION("""COMPUTED_VALUE"""),"وحدة الكهرباء")</f>
        <v>وحدة الكهرباء</v>
      </c>
      <c r="E131" s="23" t="str">
        <f ca="1">IFERROR(__xludf.DUMMYFUNCTION("""COMPUTED_VALUE"""),"قسم المشاريع الهندسية")</f>
        <v>قسم المشاريع الهندسية</v>
      </c>
      <c r="F131" s="23" t="str">
        <f ca="1">IFERROR(__xludf.DUMMYFUNCTION("""COMPUTED_VALUE"""),"الاستعلامات الرئيسية")</f>
        <v>الاستعلامات الرئيسية</v>
      </c>
      <c r="G131" s="23"/>
      <c r="H131" s="23" t="str">
        <f ca="1">IFERROR(__xludf.DUMMYFUNCTION("""COMPUTED_VALUE"""),"تثبيت سبوت لايت واضافة اخر جديد جهة الشارع العام")</f>
        <v>تثبيت سبوت لايت واضافة اخر جديد جهة الشارع العام</v>
      </c>
      <c r="I131" s="23"/>
      <c r="J131" s="23" t="s">
        <v>89</v>
      </c>
      <c r="K131" s="23" t="s">
        <v>13</v>
      </c>
      <c r="L131" s="32">
        <v>46165.465998356478</v>
      </c>
      <c r="M131" s="23"/>
      <c r="N131" s="2" t="s">
        <v>77</v>
      </c>
    </row>
    <row r="132" spans="1:14" ht="75" customHeight="1" thickTop="1" thickBot="1">
      <c r="A132" s="23">
        <v>130</v>
      </c>
      <c r="B132" s="32">
        <f ca="1">IFERROR(__xludf.DUMMYFUNCTION("""COMPUTED_VALUE"""),46165.4439068634)</f>
        <v>46165.443906863402</v>
      </c>
      <c r="C132" s="33" t="str">
        <f ca="1">IFERROR(__xludf.DUMMYFUNCTION("""COMPUTED_VALUE"""),"المعملجي")</f>
        <v>المعملجي</v>
      </c>
      <c r="D132" s="33" t="str">
        <f ca="1">IFERROR(__xludf.DUMMYFUNCTION("""COMPUTED_VALUE"""),"وحدة الكهرباء")</f>
        <v>وحدة الكهرباء</v>
      </c>
      <c r="E132" s="23" t="str">
        <f ca="1">IFERROR(__xludf.DUMMYFUNCTION("""COMPUTED_VALUE"""),"قسم المشاريع الهندسية")</f>
        <v>قسم المشاريع الهندسية</v>
      </c>
      <c r="F132" s="23" t="str">
        <f ca="1">IFERROR(__xludf.DUMMYFUNCTION("""COMPUTED_VALUE"""),"النافورة")</f>
        <v>النافورة</v>
      </c>
      <c r="G132" s="23"/>
      <c r="H132" s="23" t="str">
        <f ca="1">IFERROR(__xludf.DUMMYFUNCTION("""COMPUTED_VALUE"""),"ربط سيار كهرباء")</f>
        <v>ربط سيار كهرباء</v>
      </c>
      <c r="I132" s="23"/>
      <c r="J132" s="23" t="s">
        <v>89</v>
      </c>
      <c r="K132" s="23" t="s">
        <v>13</v>
      </c>
      <c r="L132" s="32">
        <v>46165.466013182871</v>
      </c>
      <c r="M132" s="23"/>
      <c r="N132" s="2" t="s">
        <v>77</v>
      </c>
    </row>
    <row r="133" spans="1:14" ht="75" customHeight="1" thickTop="1" thickBot="1">
      <c r="A133" s="25">
        <v>131</v>
      </c>
      <c r="B133" s="32">
        <f ca="1">IFERROR(__xludf.DUMMYFUNCTION("""COMPUTED_VALUE"""),46165.4542321875)</f>
        <v>46165.454232187498</v>
      </c>
      <c r="C133" s="33" t="str">
        <f ca="1">IFERROR(__xludf.DUMMYFUNCTION("""COMPUTED_VALUE"""),"المعملجي")</f>
        <v>المعملجي</v>
      </c>
      <c r="D133" s="33" t="str">
        <f ca="1">IFERROR(__xludf.DUMMYFUNCTION("""COMPUTED_VALUE"""),"وحدة الكهرباء")</f>
        <v>وحدة الكهرباء</v>
      </c>
      <c r="E133" s="23" t="str">
        <f ca="1">IFERROR(__xludf.DUMMYFUNCTION("""COMPUTED_VALUE"""),"قسم المشاريع الهندسية")</f>
        <v>قسم المشاريع الهندسية</v>
      </c>
      <c r="F133" s="23" t="str">
        <f ca="1">IFERROR(__xludf.DUMMYFUNCTION("""COMPUTED_VALUE"""),"النافورة")</f>
        <v>النافورة</v>
      </c>
      <c r="G133" s="23"/>
      <c r="H133" s="23" t="str">
        <f ca="1">IFERROR(__xludf.DUMMYFUNCTION("""COMPUTED_VALUE"""),"ربط سيار ثاني مؤقت قرب النافورة")</f>
        <v>ربط سيار ثاني مؤقت قرب النافورة</v>
      </c>
      <c r="I133" s="23"/>
      <c r="J133" s="23" t="s">
        <v>89</v>
      </c>
      <c r="K133" s="23" t="s">
        <v>13</v>
      </c>
      <c r="L133" s="32">
        <v>46165.466018506944</v>
      </c>
      <c r="M133" s="23"/>
      <c r="N133" s="2" t="s">
        <v>77</v>
      </c>
    </row>
    <row r="134" spans="1:14" ht="75" customHeight="1" thickTop="1" thickBot="1">
      <c r="A134" s="23">
        <v>132</v>
      </c>
      <c r="B134" s="32">
        <f ca="1">IFERROR(__xludf.DUMMYFUNCTION("""COMPUTED_VALUE"""),46165.4547836458)</f>
        <v>46165.4547836458</v>
      </c>
      <c r="C134" s="33" t="str">
        <f ca="1">IFERROR(__xludf.DUMMYFUNCTION("""COMPUTED_VALUE"""),"المعملجي")</f>
        <v>المعملجي</v>
      </c>
      <c r="D134" s="33" t="str">
        <f ca="1">IFERROR(__xludf.DUMMYFUNCTION("""COMPUTED_VALUE"""),"وحدة الكهرباء")</f>
        <v>وحدة الكهرباء</v>
      </c>
      <c r="E134" s="23" t="str">
        <f ca="1">IFERROR(__xludf.DUMMYFUNCTION("""COMPUTED_VALUE"""),"قسم المشاريع الهندسية")</f>
        <v>قسم المشاريع الهندسية</v>
      </c>
      <c r="F134" s="23" t="str">
        <f ca="1">IFERROR(__xludf.DUMMYFUNCTION("""COMPUTED_VALUE"""),"J- جامعة العميد (السابعة)")</f>
        <v>J- جامعة العميد (السابعة)</v>
      </c>
      <c r="G134" s="23" t="str">
        <f ca="1">IFERROR(__xludf.DUMMYFUNCTION("""COMPUTED_VALUE"""),"المصعد")</f>
        <v>المصعد</v>
      </c>
      <c r="H134" s="23" t="str">
        <f ca="1">IFERROR(__xludf.DUMMYFUNCTION("""COMPUTED_VALUE"""),"ربط الهاتف مباشر مع المصعد لفرض فحصه")</f>
        <v>ربط الهاتف مباشر مع المصعد لفرض فحصه</v>
      </c>
      <c r="I134" s="23"/>
      <c r="J134" s="23" t="s">
        <v>89</v>
      </c>
      <c r="K134" s="23" t="s">
        <v>13</v>
      </c>
      <c r="L134" s="32">
        <v>46165.466025254631</v>
      </c>
      <c r="M134" s="23"/>
      <c r="N134" s="2" t="s">
        <v>77</v>
      </c>
    </row>
    <row r="135" spans="1:14" ht="75" customHeight="1" thickTop="1" thickBot="1">
      <c r="A135" s="25">
        <v>133</v>
      </c>
      <c r="B135" s="32">
        <f ca="1">IFERROR(__xludf.DUMMYFUNCTION("""COMPUTED_VALUE"""),46165.4552679745)</f>
        <v>46165.455267974503</v>
      </c>
      <c r="C135" s="33" t="str">
        <f ca="1">IFERROR(__xludf.DUMMYFUNCTION("""COMPUTED_VALUE"""),"المعملجي")</f>
        <v>المعملجي</v>
      </c>
      <c r="D135" s="33" t="str">
        <f ca="1">IFERROR(__xludf.DUMMYFUNCTION("""COMPUTED_VALUE"""),"وحدة الكهرباء")</f>
        <v>وحدة الكهرباء</v>
      </c>
      <c r="E135" s="23" t="str">
        <f ca="1">IFERROR(__xludf.DUMMYFUNCTION("""COMPUTED_VALUE"""),"قسم المشاريع الهندسية")</f>
        <v>قسم المشاريع الهندسية</v>
      </c>
      <c r="F135" s="23" t="str">
        <f ca="1">IFERROR(__xludf.DUMMYFUNCTION("""COMPUTED_VALUE"""),"النافورة")</f>
        <v>النافورة</v>
      </c>
      <c r="G135" s="23"/>
      <c r="H135" s="23" t="str">
        <f ca="1">IFERROR(__xludf.DUMMYFUNCTION("""COMPUTED_VALUE"""),"فصل السياران الكهربائيان قرب النافورة")</f>
        <v>فصل السياران الكهربائيان قرب النافورة</v>
      </c>
      <c r="I135" s="23"/>
      <c r="J135" s="23" t="s">
        <v>89</v>
      </c>
      <c r="K135" s="23" t="s">
        <v>13</v>
      </c>
      <c r="L135" s="32">
        <v>46165.466032800927</v>
      </c>
      <c r="M135" s="23"/>
      <c r="N135" s="2" t="s">
        <v>77</v>
      </c>
    </row>
    <row r="136" spans="1:14" ht="75" customHeight="1" thickTop="1" thickBot="1">
      <c r="A136" s="23">
        <v>134</v>
      </c>
      <c r="B136" s="32">
        <f ca="1">IFERROR(__xludf.DUMMYFUNCTION("""COMPUTED_VALUE"""),46165.4557654282)</f>
        <v>46165.455765428203</v>
      </c>
      <c r="C136" s="33" t="str">
        <f ca="1">IFERROR(__xludf.DUMMYFUNCTION("""COMPUTED_VALUE"""),"المعملجي")</f>
        <v>المعملجي</v>
      </c>
      <c r="D136" s="33" t="str">
        <f ca="1">IFERROR(__xludf.DUMMYFUNCTION("""COMPUTED_VALUE"""),"وحدة الكهرباء")</f>
        <v>وحدة الكهرباء</v>
      </c>
      <c r="E136" s="23" t="str">
        <f ca="1">IFERROR(__xludf.DUMMYFUNCTION("""COMPUTED_VALUE"""),"قسم المشاريع الهندسية")</f>
        <v>قسم المشاريع الهندسية</v>
      </c>
      <c r="F136" s="23" t="str">
        <f ca="1">IFERROR(__xludf.DUMMYFUNCTION("""COMPUTED_VALUE"""),"A- المركز الثقافي")</f>
        <v>A- المركز الثقافي</v>
      </c>
      <c r="G136" s="23"/>
      <c r="H136" s="23" t="str">
        <f ca="1">IFERROR(__xludf.DUMMYFUNCTION("""COMPUTED_VALUE"""),"استبدال محولات سبوت لايت تالفة عدد 5")</f>
        <v>استبدال محولات سبوت لايت تالفة عدد 5</v>
      </c>
      <c r="I136" s="23"/>
      <c r="J136" s="23" t="s">
        <v>89</v>
      </c>
      <c r="K136" s="23" t="s">
        <v>13</v>
      </c>
      <c r="L136" s="32">
        <v>46165.466040520834</v>
      </c>
      <c r="M136" s="23"/>
      <c r="N136" s="2" t="s">
        <v>77</v>
      </c>
    </row>
    <row r="137" spans="1:14" ht="75" customHeight="1" thickTop="1" thickBot="1">
      <c r="A137" s="25">
        <v>135</v>
      </c>
      <c r="B137" s="32">
        <f ca="1">IFERROR(__xludf.DUMMYFUNCTION("""COMPUTED_VALUE"""),46165.4562922106)</f>
        <v>46165.456292210598</v>
      </c>
      <c r="C137" s="33" t="str">
        <f ca="1">IFERROR(__xludf.DUMMYFUNCTION("""COMPUTED_VALUE"""),"المعملجي")</f>
        <v>المعملجي</v>
      </c>
      <c r="D137" s="33" t="str">
        <f ca="1">IFERROR(__xludf.DUMMYFUNCTION("""COMPUTED_VALUE"""),"وحدة الكهرباء")</f>
        <v>وحدة الكهرباء</v>
      </c>
      <c r="E137" s="23" t="str">
        <f ca="1">IFERROR(__xludf.DUMMYFUNCTION("""COMPUTED_VALUE"""),"قسم المشاريع الهندسية")</f>
        <v>قسم المشاريع الهندسية</v>
      </c>
      <c r="F137" s="23" t="str">
        <f ca="1">IFERROR(__xludf.DUMMYFUNCTION("""COMPUTED_VALUE"""),"شعبة الصيانة")</f>
        <v>شعبة الصيانة</v>
      </c>
      <c r="G137" s="23" t="str">
        <f ca="1">IFERROR(__xludf.DUMMYFUNCTION("""COMPUTED_VALUE"""),"غرفة مسؤول الشعبة ")</f>
        <v xml:space="preserve">غرفة مسؤول الشعبة </v>
      </c>
      <c r="H137" s="23" t="str">
        <f ca="1">IFERROR(__xludf.DUMMYFUNCTION("""COMPUTED_VALUE"""),"اصلاح رخاوة في كهربائيات الغرفة")</f>
        <v>اصلاح رخاوة في كهربائيات الغرفة</v>
      </c>
      <c r="I137" s="23"/>
      <c r="J137" s="23" t="s">
        <v>89</v>
      </c>
      <c r="K137" s="23" t="s">
        <v>13</v>
      </c>
      <c r="L137" s="32">
        <v>46165.466055752317</v>
      </c>
      <c r="M137" s="23"/>
      <c r="N137" s="2" t="s">
        <v>77</v>
      </c>
    </row>
    <row r="138" spans="1:14" ht="75" customHeight="1" thickTop="1" thickBot="1">
      <c r="A138" s="23">
        <v>136</v>
      </c>
      <c r="B138" s="32">
        <f ca="1">IFERROR(__xludf.DUMMYFUNCTION("""COMPUTED_VALUE"""),46165.4570891898)</f>
        <v>46165.457089189797</v>
      </c>
      <c r="C138" s="33" t="str">
        <f ca="1">IFERROR(__xludf.DUMMYFUNCTION("""COMPUTED_VALUE"""),"المعملجي")</f>
        <v>المعملجي</v>
      </c>
      <c r="D138" s="33" t="str">
        <f ca="1">IFERROR(__xludf.DUMMYFUNCTION("""COMPUTED_VALUE"""),"وحدة الكهرباء")</f>
        <v>وحدة الكهرباء</v>
      </c>
      <c r="E138" s="23" t="str">
        <f ca="1">IFERROR(__xludf.DUMMYFUNCTION("""COMPUTED_VALUE"""),"قسم المشاريع الهندسية")</f>
        <v>قسم المشاريع الهندسية</v>
      </c>
      <c r="F138" s="23" t="str">
        <f ca="1">IFERROR(__xludf.DUMMYFUNCTION("""COMPUTED_VALUE"""),"محطة الرفع")</f>
        <v>محطة الرفع</v>
      </c>
      <c r="G138" s="23"/>
      <c r="H138" s="23" t="str">
        <f ca="1">IFERROR(__xludf.DUMMYFUNCTION("""COMPUTED_VALUE"""),"اجراء صيانة لـATS المحطة لغرض تشغيله بشكل مؤقت")</f>
        <v>اجراء صيانة لـATS المحطة لغرض تشغيله بشكل مؤقت</v>
      </c>
      <c r="I138" s="23"/>
      <c r="J138" s="23" t="s">
        <v>89</v>
      </c>
      <c r="K138" s="23" t="s">
        <v>13</v>
      </c>
      <c r="L138" s="32"/>
      <c r="M138" s="23"/>
      <c r="N138" s="2" t="s">
        <v>77</v>
      </c>
    </row>
    <row r="139" spans="1:14" ht="75" customHeight="1" thickTop="1" thickBot="1">
      <c r="A139" s="25">
        <v>137</v>
      </c>
      <c r="B139" s="32">
        <f ca="1">IFERROR(__xludf.DUMMYFUNCTION("""COMPUTED_VALUE"""),46165.4574622222)</f>
        <v>46165.457462222199</v>
      </c>
      <c r="C139" s="33" t="str">
        <f ca="1">IFERROR(__xludf.DUMMYFUNCTION("""COMPUTED_VALUE"""),"المعملجي")</f>
        <v>المعملجي</v>
      </c>
      <c r="D139" s="33" t="str">
        <f ca="1">IFERROR(__xludf.DUMMYFUNCTION("""COMPUTED_VALUE"""),"وحدة الكهرباء")</f>
        <v>وحدة الكهرباء</v>
      </c>
      <c r="E139" s="23" t="str">
        <f ca="1">IFERROR(__xludf.DUMMYFUNCTION("""COMPUTED_VALUE"""),"قسم المشاريع الهندسية")</f>
        <v>قسم المشاريع الهندسية</v>
      </c>
      <c r="F139" s="23" t="str">
        <f ca="1">IFERROR(__xludf.DUMMYFUNCTION("""COMPUTED_VALUE"""),"A- المركز الثقافي")</f>
        <v>A- المركز الثقافي</v>
      </c>
      <c r="G139" s="23"/>
      <c r="H139" s="23" t="str">
        <f ca="1">IFERROR(__xludf.DUMMYFUNCTION("""COMPUTED_VALUE"""),"اسبدال 4 محولات سبوت لايت تالفة ")</f>
        <v xml:space="preserve">اسبدال 4 محولات سبوت لايت تالفة </v>
      </c>
      <c r="I139" s="23"/>
      <c r="J139" s="23" t="s">
        <v>89</v>
      </c>
      <c r="K139" s="23" t="s">
        <v>13</v>
      </c>
      <c r="L139" s="32">
        <v>46165.466059513885</v>
      </c>
      <c r="M139" s="23"/>
      <c r="N139" s="2" t="s">
        <v>77</v>
      </c>
    </row>
    <row r="140" spans="1:14" ht="75" customHeight="1" thickTop="1" thickBot="1">
      <c r="A140" s="23">
        <v>138</v>
      </c>
      <c r="B140" s="32">
        <f ca="1">IFERROR(__xludf.DUMMYFUNCTION("""COMPUTED_VALUE"""),46165.4580065856)</f>
        <v>46165.458006585599</v>
      </c>
      <c r="C140" s="33" t="str">
        <f ca="1">IFERROR(__xludf.DUMMYFUNCTION("""COMPUTED_VALUE"""),"المعملجي")</f>
        <v>المعملجي</v>
      </c>
      <c r="D140" s="33" t="str">
        <f ca="1">IFERROR(__xludf.DUMMYFUNCTION("""COMPUTED_VALUE"""),"وحدة الكهرباء")</f>
        <v>وحدة الكهرباء</v>
      </c>
      <c r="E140" s="23" t="str">
        <f ca="1">IFERROR(__xludf.DUMMYFUNCTION("""COMPUTED_VALUE"""),"قسم المشاريع الهندسية")</f>
        <v>قسم المشاريع الهندسية</v>
      </c>
      <c r="F140" s="23" t="str">
        <f ca="1">IFERROR(__xludf.DUMMYFUNCTION("""COMPUTED_VALUE"""),"كل المجمع")</f>
        <v>كل المجمع</v>
      </c>
      <c r="G140" s="23"/>
      <c r="H140" s="23" t="str">
        <f ca="1">IFERROR(__xludf.DUMMYFUNCTION("""COMPUTED_VALUE"""),"اجراء متابعة لاحمال ups  ليلا")</f>
        <v>اجراء متابعة لاحمال ups  ليلا</v>
      </c>
      <c r="I140" s="23"/>
      <c r="J140" s="23" t="s">
        <v>89</v>
      </c>
      <c r="K140" s="23" t="s">
        <v>13</v>
      </c>
      <c r="L140" s="32">
        <v>46165.466075706019</v>
      </c>
      <c r="M140" s="23"/>
      <c r="N140" s="2" t="s">
        <v>77</v>
      </c>
    </row>
    <row r="141" spans="1:14" ht="75" customHeight="1" thickTop="1" thickBot="1">
      <c r="A141" s="25">
        <v>139</v>
      </c>
      <c r="B141" s="32">
        <f ca="1">IFERROR(__xludf.DUMMYFUNCTION("""COMPUTED_VALUE"""),46165.4584029976)</f>
        <v>46165.458402997603</v>
      </c>
      <c r="C141" s="33" t="str">
        <f ca="1">IFERROR(__xludf.DUMMYFUNCTION("""COMPUTED_VALUE"""),"المعملجي")</f>
        <v>المعملجي</v>
      </c>
      <c r="D141" s="33" t="str">
        <f ca="1">IFERROR(__xludf.DUMMYFUNCTION("""COMPUTED_VALUE"""),"وحدة الكهرباء")</f>
        <v>وحدة الكهرباء</v>
      </c>
      <c r="E141" s="23" t="str">
        <f ca="1">IFERROR(__xludf.DUMMYFUNCTION("""COMPUTED_VALUE"""),"قسم المشاريع الهندسية")</f>
        <v>قسم المشاريع الهندسية</v>
      </c>
      <c r="F141" s="23" t="str">
        <f ca="1">IFERROR(__xludf.DUMMYFUNCTION("""COMPUTED_VALUE"""),"A- المركز الثقافي")</f>
        <v>A- المركز الثقافي</v>
      </c>
      <c r="G141" s="23" t="str">
        <f ca="1">IFERROR(__xludf.DUMMYFUNCTION("""COMPUTED_VALUE"""),"الطابق الرابع, شعبة المراقبة ")</f>
        <v xml:space="preserve">الطابق الرابع, شعبة المراقبة </v>
      </c>
      <c r="H141" s="23" t="str">
        <f ca="1">IFERROR(__xludf.DUMMYFUNCTION("""COMPUTED_VALUE""")," إعادة ربط سبوت لايت كان متوقف , إعادة تنظيم أماكن بعض السبوت لايتات حسب الطلب.")</f>
        <v xml:space="preserve"> إعادة ربط سبوت لايت كان متوقف , إعادة تنظيم أماكن بعض السبوت لايتات حسب الطلب.</v>
      </c>
      <c r="I141" s="23"/>
      <c r="J141" s="23" t="s">
        <v>89</v>
      </c>
      <c r="K141" s="23" t="s">
        <v>13</v>
      </c>
      <c r="L141" s="32">
        <v>46165.466079421298</v>
      </c>
      <c r="M141" s="23"/>
      <c r="N141" s="2" t="s">
        <v>77</v>
      </c>
    </row>
    <row r="142" spans="1:14" ht="75" customHeight="1" thickTop="1" thickBot="1">
      <c r="A142" s="23">
        <v>140</v>
      </c>
      <c r="B142" s="32">
        <f ca="1">IFERROR(__xludf.DUMMYFUNCTION("""COMPUTED_VALUE"""),46165.4593527314)</f>
        <v>46165.459352731399</v>
      </c>
      <c r="C142" s="33" t="str">
        <f ca="1">IFERROR(__xludf.DUMMYFUNCTION("""COMPUTED_VALUE"""),"المعملجي")</f>
        <v>المعملجي</v>
      </c>
      <c r="D142" s="33" t="str">
        <f ca="1">IFERROR(__xludf.DUMMYFUNCTION("""COMPUTED_VALUE"""),"وحدة الكهرباء")</f>
        <v>وحدة الكهرباء</v>
      </c>
      <c r="E142" s="23" t="str">
        <f ca="1">IFERROR(__xludf.DUMMYFUNCTION("""COMPUTED_VALUE"""),"قسم المشاريع الهندسية")</f>
        <v>قسم المشاريع الهندسية</v>
      </c>
      <c r="F142" s="23" t="str">
        <f ca="1">IFERROR(__xludf.DUMMYFUNCTION("""COMPUTED_VALUE"""),"B- روضة القمر")</f>
        <v>B- روضة القمر</v>
      </c>
      <c r="G142" s="23"/>
      <c r="H142" s="23" t="str">
        <f ca="1">IFERROR(__xludf.DUMMYFUNCTION("""COMPUTED_VALUE"""),"اصلاح شورت سيركت واستبدال محول 24 واط لانارة سقفية
")</f>
        <v xml:space="preserve">اصلاح شورت سيركت واستبدال محول 24 واط لانارة سقفية
</v>
      </c>
      <c r="I142" s="23"/>
      <c r="J142" s="23" t="s">
        <v>89</v>
      </c>
      <c r="K142" s="23" t="s">
        <v>13</v>
      </c>
      <c r="L142" s="32">
        <v>46165.466089224537</v>
      </c>
      <c r="M142" s="23"/>
      <c r="N142" s="2" t="s">
        <v>77</v>
      </c>
    </row>
    <row r="143" spans="1:14" ht="75" customHeight="1" thickTop="1" thickBot="1">
      <c r="A143" s="25">
        <v>141</v>
      </c>
      <c r="B143" s="32">
        <f ca="1">IFERROR(__xludf.DUMMYFUNCTION("""COMPUTED_VALUE"""),46165.4599848379)</f>
        <v>46165.4599848379</v>
      </c>
      <c r="C143" s="33" t="str">
        <f ca="1">IFERROR(__xludf.DUMMYFUNCTION("""COMPUTED_VALUE"""),"المعملجي")</f>
        <v>المعملجي</v>
      </c>
      <c r="D143" s="33" t="str">
        <f ca="1">IFERROR(__xludf.DUMMYFUNCTION("""COMPUTED_VALUE"""),"وحدة الكهرباء")</f>
        <v>وحدة الكهرباء</v>
      </c>
      <c r="E143" s="23" t="str">
        <f ca="1">IFERROR(__xludf.DUMMYFUNCTION("""COMPUTED_VALUE"""),"قسم المشاريع الهندسية")</f>
        <v>قسم المشاريع الهندسية</v>
      </c>
      <c r="F143" s="23" t="str">
        <f ca="1">IFERROR(__xludf.DUMMYFUNCTION("""COMPUTED_VALUE"""),"شعبة الصيانة")</f>
        <v>شعبة الصيانة</v>
      </c>
      <c r="G143" s="23"/>
      <c r="H143" s="23" t="str">
        <f ca="1">IFERROR(__xludf.DUMMYFUNCTION("""COMPUTED_VALUE"""),"تعديل دائرة سيطرة مضخة المياه الخاص بملئ خزانات محطة الرفع")</f>
        <v>تعديل دائرة سيطرة مضخة المياه الخاص بملئ خزانات محطة الرفع</v>
      </c>
      <c r="I143" s="23"/>
      <c r="J143" s="23" t="s">
        <v>89</v>
      </c>
      <c r="K143" s="23" t="s">
        <v>13</v>
      </c>
      <c r="L143" s="32">
        <v>46165.466132268513</v>
      </c>
      <c r="M143" s="23"/>
      <c r="N143" s="2" t="s">
        <v>77</v>
      </c>
    </row>
    <row r="144" spans="1:14" ht="75" customHeight="1" thickTop="1" thickBot="1">
      <c r="A144" s="23">
        <v>142</v>
      </c>
      <c r="B144" s="32">
        <f ca="1">IFERROR(__xludf.DUMMYFUNCTION("""COMPUTED_VALUE"""),46165.4604013541)</f>
        <v>46165.460401354103</v>
      </c>
      <c r="C144" s="33" t="str">
        <f ca="1">IFERROR(__xludf.DUMMYFUNCTION("""COMPUTED_VALUE"""),"المعملجي")</f>
        <v>المعملجي</v>
      </c>
      <c r="D144" s="33" t="str">
        <f ca="1">IFERROR(__xludf.DUMMYFUNCTION("""COMPUTED_VALUE"""),"وحدة الكهرباء")</f>
        <v>وحدة الكهرباء</v>
      </c>
      <c r="E144" s="23" t="str">
        <f ca="1">IFERROR(__xludf.DUMMYFUNCTION("""COMPUTED_VALUE"""),"قسم المشاريع الهندسية")</f>
        <v>قسم المشاريع الهندسية</v>
      </c>
      <c r="F144" s="23" t="str">
        <f ca="1">IFERROR(__xludf.DUMMYFUNCTION("""COMPUTED_VALUE"""),"A- المركز الثقافي")</f>
        <v>A- المركز الثقافي</v>
      </c>
      <c r="G144" s="23" t="str">
        <f ca="1">IFERROR(__xludf.DUMMYFUNCTION("""COMPUTED_VALUE"""),"الطابق الاول, سراج العميد")</f>
        <v>الطابق الاول, سراج العميد</v>
      </c>
      <c r="H144" s="23" t="str">
        <f ca="1">IFERROR(__xludf.DUMMYFUNCTION("""COMPUTED_VALUE"""),"تم استبدال بطاريات UPS صوتيات قاعة سراج العميد بطلب من قبل شعبة تقنية المعلومات.")</f>
        <v>تم استبدال بطاريات UPS صوتيات قاعة سراج العميد بطلب من قبل شعبة تقنية المعلومات.</v>
      </c>
      <c r="I144" s="23"/>
      <c r="J144" s="23" t="s">
        <v>89</v>
      </c>
      <c r="K144" s="23" t="s">
        <v>13</v>
      </c>
      <c r="L144" s="32">
        <v>46165.466141006946</v>
      </c>
      <c r="M144" s="23"/>
      <c r="N144" s="2" t="s">
        <v>77</v>
      </c>
    </row>
    <row r="145" spans="1:14" ht="75" customHeight="1" thickTop="1" thickBot="1">
      <c r="A145" s="25">
        <v>143</v>
      </c>
      <c r="B145" s="32">
        <f ca="1">IFERROR(__xludf.DUMMYFUNCTION("""COMPUTED_VALUE"""),46165.4617139004)</f>
        <v>46165.461713900397</v>
      </c>
      <c r="C145" s="33" t="str">
        <f ca="1">IFERROR(__xludf.DUMMYFUNCTION("""COMPUTED_VALUE"""),"المعملجي")</f>
        <v>المعملجي</v>
      </c>
      <c r="D145" s="33" t="str">
        <f ca="1">IFERROR(__xludf.DUMMYFUNCTION("""COMPUTED_VALUE"""),"وحدة الكهرباء")</f>
        <v>وحدة الكهرباء</v>
      </c>
      <c r="E145" s="23" t="str">
        <f ca="1">IFERROR(__xludf.DUMMYFUNCTION("""COMPUTED_VALUE"""),"قسم المشاريع الهندسية")</f>
        <v>قسم المشاريع الهندسية</v>
      </c>
      <c r="F145" s="23" t="str">
        <f ca="1">IFERROR(__xludf.DUMMYFUNCTION("""COMPUTED_VALUE"""),"A- المركز الثقافي")</f>
        <v>A- المركز الثقافي</v>
      </c>
      <c r="G145" s="23" t="str">
        <f ca="1">IFERROR(__xludf.DUMMYFUNCTION("""COMPUTED_VALUE"""),"data center   برج الاتصالات")</f>
        <v>data center   برج الاتصالات</v>
      </c>
      <c r="H145" s="23" t="str">
        <f ca="1">IFERROR(__xludf.DUMMYFUNCTION("""COMPUTED_VALUE"""),"اعادة البرج الى الخدمة بعد الانقطاع المفاجئ  بسبب الكهرباء")</f>
        <v>اعادة البرج الى الخدمة بعد الانقطاع المفاجئ  بسبب الكهرباء</v>
      </c>
      <c r="I145" s="23"/>
      <c r="J145" s="23" t="s">
        <v>89</v>
      </c>
      <c r="K145" s="23" t="s">
        <v>13</v>
      </c>
      <c r="L145" s="32">
        <v>46165.46610524306</v>
      </c>
      <c r="M145" s="23"/>
      <c r="N145" s="2" t="s">
        <v>77</v>
      </c>
    </row>
    <row r="146" spans="1:14" ht="75" customHeight="1" thickTop="1" thickBot="1">
      <c r="A146" s="23">
        <v>144</v>
      </c>
      <c r="B146" s="32">
        <f ca="1">IFERROR(__xludf.DUMMYFUNCTION("""COMPUTED_VALUE"""),46165.4620404976)</f>
        <v>46165.462040497601</v>
      </c>
      <c r="C146" s="33" t="str">
        <f ca="1">IFERROR(__xludf.DUMMYFUNCTION("""COMPUTED_VALUE"""),"المعملجي")</f>
        <v>المعملجي</v>
      </c>
      <c r="D146" s="33" t="str">
        <f ca="1">IFERROR(__xludf.DUMMYFUNCTION("""COMPUTED_VALUE"""),"وحدة الكهرباء")</f>
        <v>وحدة الكهرباء</v>
      </c>
      <c r="E146" s="23" t="str">
        <f ca="1">IFERROR(__xludf.DUMMYFUNCTION("""COMPUTED_VALUE"""),"قسم المشاريع الهندسية")</f>
        <v>قسم المشاريع الهندسية</v>
      </c>
      <c r="F146" s="23" t="str">
        <f ca="1">IFERROR(__xludf.DUMMYFUNCTION("""COMPUTED_VALUE"""),"A- المركز الثقافي")</f>
        <v>A- المركز الثقافي</v>
      </c>
      <c r="G146" s="23"/>
      <c r="H146" s="23" t="str">
        <f ca="1">IFERROR(__xludf.DUMMYFUNCTION("""COMPUTED_VALUE"""),"ربط البطاريات الجديدة لـUPS المركز , إعادة ربط UPS 6KV من جديد")</f>
        <v>ربط البطاريات الجديدة لـUPS المركز , إعادة ربط UPS 6KV من جديد</v>
      </c>
      <c r="I146" s="23"/>
      <c r="J146" s="23" t="s">
        <v>89</v>
      </c>
      <c r="K146" s="23" t="s">
        <v>13</v>
      </c>
      <c r="L146" s="32">
        <v>46165.466157858798</v>
      </c>
      <c r="M146" s="23"/>
      <c r="N146" s="2" t="s">
        <v>78</v>
      </c>
    </row>
    <row r="147" spans="1:14" ht="75" customHeight="1" thickTop="1" thickBot="1">
      <c r="A147" s="25">
        <v>145</v>
      </c>
      <c r="B147" s="32">
        <f ca="1">IFERROR(__xludf.DUMMYFUNCTION("""COMPUTED_VALUE"""),46165.462894537)</f>
        <v>46165.462894536999</v>
      </c>
      <c r="C147" s="33" t="str">
        <f ca="1">IFERROR(__xludf.DUMMYFUNCTION("""COMPUTED_VALUE"""),"المعملجي")</f>
        <v>المعملجي</v>
      </c>
      <c r="D147" s="33" t="str">
        <f ca="1">IFERROR(__xludf.DUMMYFUNCTION("""COMPUTED_VALUE"""),"وحدة الكهرباء")</f>
        <v>وحدة الكهرباء</v>
      </c>
      <c r="E147" s="23" t="str">
        <f ca="1">IFERROR(__xludf.DUMMYFUNCTION("""COMPUTED_VALUE"""),"قسم المشاريع الهندسية")</f>
        <v>قسم المشاريع الهندسية</v>
      </c>
      <c r="F147" s="23" t="str">
        <f ca="1">IFERROR(__xludf.DUMMYFUNCTION("""COMPUTED_VALUE"""),"G- روضة الجود")</f>
        <v>G- روضة الجود</v>
      </c>
      <c r="G147" s="23"/>
      <c r="H147" s="23" t="str">
        <f ca="1">IFERROR(__xludf.DUMMYFUNCTION("""COMPUTED_VALUE"""),"استبدال محولات انارة  منشورية عدد 3 ")</f>
        <v xml:space="preserve">استبدال محولات انارة  منشورية عدد 3 </v>
      </c>
      <c r="I147" s="23"/>
      <c r="J147" s="23" t="s">
        <v>89</v>
      </c>
      <c r="K147" s="23" t="s">
        <v>13</v>
      </c>
      <c r="L147" s="32">
        <v>46165.466167013888</v>
      </c>
      <c r="M147" s="23"/>
      <c r="N147" s="2" t="s">
        <v>77</v>
      </c>
    </row>
    <row r="148" spans="1:14" ht="75" customHeight="1" thickTop="1" thickBot="1">
      <c r="A148" s="23">
        <v>146</v>
      </c>
      <c r="B148" s="32">
        <f ca="1">IFERROR(__xludf.DUMMYFUNCTION("""COMPUTED_VALUE"""),46165.4634027199)</f>
        <v>46165.463402719899</v>
      </c>
      <c r="C148" s="33" t="str">
        <f ca="1">IFERROR(__xludf.DUMMYFUNCTION("""COMPUTED_VALUE"""),"المعملجي")</f>
        <v>المعملجي</v>
      </c>
      <c r="D148" s="33" t="str">
        <f ca="1">IFERROR(__xludf.DUMMYFUNCTION("""COMPUTED_VALUE"""),"وحدة الكهرباء")</f>
        <v>وحدة الكهرباء</v>
      </c>
      <c r="E148" s="23" t="str">
        <f ca="1">IFERROR(__xludf.DUMMYFUNCTION("""COMPUTED_VALUE"""),"قسم المشاريع الهندسية")</f>
        <v>قسم المشاريع الهندسية</v>
      </c>
      <c r="F148" s="23" t="str">
        <f ca="1">IFERROR(__xludf.DUMMYFUNCTION("""COMPUTED_VALUE"""),"H- ابتدائية القمر للبنات (الخامسة)")</f>
        <v>H- ابتدائية القمر للبنات (الخامسة)</v>
      </c>
      <c r="G148" s="23"/>
      <c r="H148" s="23" t="str">
        <f ca="1">IFERROR(__xludf.DUMMYFUNCTION("""COMPUTED_VALUE"""),"استبدال 4 محولات انارة  سبوت لايت تالفة ")</f>
        <v xml:space="preserve">استبدال 4 محولات انارة  سبوت لايت تالفة </v>
      </c>
      <c r="I148" s="23"/>
      <c r="J148" s="23" t="s">
        <v>89</v>
      </c>
      <c r="K148" s="23" t="s">
        <v>13</v>
      </c>
      <c r="L148" s="32">
        <v>46165.46617748843</v>
      </c>
      <c r="M148" s="23"/>
      <c r="N148" s="2" t="s">
        <v>77</v>
      </c>
    </row>
    <row r="149" spans="1:14" ht="75" customHeight="1" thickTop="1" thickBot="1">
      <c r="A149" s="25">
        <v>147</v>
      </c>
      <c r="B149" s="32">
        <f ca="1">IFERROR(__xludf.DUMMYFUNCTION("""COMPUTED_VALUE"""),46165.4639985185)</f>
        <v>46165.463998518499</v>
      </c>
      <c r="C149" s="33" t="str">
        <f ca="1">IFERROR(__xludf.DUMMYFUNCTION("""COMPUTED_VALUE"""),"المعملجي")</f>
        <v>المعملجي</v>
      </c>
      <c r="D149" s="33" t="str">
        <f ca="1">IFERROR(__xludf.DUMMYFUNCTION("""COMPUTED_VALUE"""),"وحدة الكهرباء")</f>
        <v>وحدة الكهرباء</v>
      </c>
      <c r="E149" s="23" t="str">
        <f ca="1">IFERROR(__xludf.DUMMYFUNCTION("""COMPUTED_VALUE"""),"قسم المشاريع الهندسية")</f>
        <v>قسم المشاريع الهندسية</v>
      </c>
      <c r="F149" s="23" t="str">
        <f ca="1">IFERROR(__xludf.DUMMYFUNCTION("""COMPUTED_VALUE"""),"شعبة الصيانة")</f>
        <v>شعبة الصيانة</v>
      </c>
      <c r="G149" s="23"/>
      <c r="H149" s="23" t="str">
        <f ca="1">IFERROR(__xludf.DUMMYFUNCTION("""COMPUTED_VALUE"""),"تحويل الانارة الخارجية للشعبة على الفوتوسيل")</f>
        <v>تحويل الانارة الخارجية للشعبة على الفوتوسيل</v>
      </c>
      <c r="I149" s="23"/>
      <c r="J149" s="23" t="s">
        <v>89</v>
      </c>
      <c r="K149" s="23" t="s">
        <v>13</v>
      </c>
      <c r="L149" s="32">
        <v>46165.466186863428</v>
      </c>
      <c r="M149" s="23"/>
      <c r="N149" s="2" t="s">
        <v>77</v>
      </c>
    </row>
    <row r="150" spans="1:14" ht="75" customHeight="1" thickTop="1" thickBot="1">
      <c r="A150" s="23">
        <v>148</v>
      </c>
      <c r="B150" s="32">
        <f ca="1">IFERROR(__xludf.DUMMYFUNCTION("""COMPUTED_VALUE"""),46165.4648521527)</f>
        <v>46165.464852152698</v>
      </c>
      <c r="C150" s="33" t="str">
        <f ca="1">IFERROR(__xludf.DUMMYFUNCTION("""COMPUTED_VALUE"""),"المعملجي")</f>
        <v>المعملجي</v>
      </c>
      <c r="D150" s="33" t="str">
        <f ca="1">IFERROR(__xludf.DUMMYFUNCTION("""COMPUTED_VALUE"""),"وحدة الكهرباء")</f>
        <v>وحدة الكهرباء</v>
      </c>
      <c r="E150" s="23" t="str">
        <f ca="1">IFERROR(__xludf.DUMMYFUNCTION("""COMPUTED_VALUE"""),"قسم المشاريع الهندسية")</f>
        <v>قسم المشاريع الهندسية</v>
      </c>
      <c r="F150" s="23" t="str">
        <f ca="1">IFERROR(__xludf.DUMMYFUNCTION("""COMPUTED_VALUE"""),"J- جامعة العميد (السابعة)")</f>
        <v>J- جامعة العميد (السابعة)</v>
      </c>
      <c r="G150" s="23"/>
      <c r="H150" s="23" t="str">
        <f ca="1">IFERROR(__xludf.DUMMYFUNCTION("""COMPUTED_VALUE"""),"مد كيبل من غرفة المصعد الى الطابق الارضي_الاستعلامات لغرض ربط الهاتف")</f>
        <v>مد كيبل من غرفة المصعد الى الطابق الارضي_الاستعلامات لغرض ربط الهاتف</v>
      </c>
      <c r="I150" s="23"/>
      <c r="J150" s="23" t="s">
        <v>89</v>
      </c>
      <c r="K150" s="23" t="s">
        <v>13</v>
      </c>
      <c r="L150" s="32">
        <v>46165.466200162038</v>
      </c>
      <c r="M150" s="23"/>
      <c r="N150" s="2" t="s">
        <v>77</v>
      </c>
    </row>
    <row r="151" spans="1:14" ht="75" customHeight="1" thickTop="1" thickBot="1">
      <c r="A151" s="25">
        <v>149</v>
      </c>
      <c r="B151" s="32">
        <f ca="1">IFERROR(__xludf.DUMMYFUNCTION("""COMPUTED_VALUE"""),46165.4654290046)</f>
        <v>46165.465429004602</v>
      </c>
      <c r="C151" s="33" t="str">
        <f ca="1">IFERROR(__xludf.DUMMYFUNCTION("""COMPUTED_VALUE"""),"المعملجي")</f>
        <v>المعملجي</v>
      </c>
      <c r="D151" s="33" t="str">
        <f ca="1">IFERROR(__xludf.DUMMYFUNCTION("""COMPUTED_VALUE"""),"وحدة الكهرباء")</f>
        <v>وحدة الكهرباء</v>
      </c>
      <c r="E151" s="23" t="str">
        <f ca="1">IFERROR(__xludf.DUMMYFUNCTION("""COMPUTED_VALUE"""),"قسم المشاريع الهندسية")</f>
        <v>قسم المشاريع الهندسية</v>
      </c>
      <c r="F151" s="23" t="str">
        <f ca="1">IFERROR(__xludf.DUMMYFUNCTION("""COMPUTED_VALUE"""),"A- المركز الثقافي")</f>
        <v>A- المركز الثقافي</v>
      </c>
      <c r="G151" s="23"/>
      <c r="H151" s="23" t="str">
        <f ca="1">IFERROR(__xludf.DUMMYFUNCTION("""COMPUTED_VALUE"""),"اصلاح مزامنة المولدة 1 ميغا واعادتها الى وضعها الطبيعي")</f>
        <v>اصلاح مزامنة المولدة 1 ميغا واعادتها الى وضعها الطبيعي</v>
      </c>
      <c r="I151" s="23"/>
      <c r="J151" s="23" t="s">
        <v>89</v>
      </c>
      <c r="K151" s="23" t="s">
        <v>13</v>
      </c>
      <c r="L151" s="32">
        <v>46173.417559363428</v>
      </c>
      <c r="M151" s="23"/>
      <c r="N151" s="2" t="s">
        <v>77</v>
      </c>
    </row>
    <row r="152" spans="1:14" ht="75" customHeight="1" thickTop="1" thickBot="1">
      <c r="A152" s="23">
        <v>150</v>
      </c>
      <c r="B152" s="32">
        <f ca="1">IFERROR(__xludf.DUMMYFUNCTION("""COMPUTED_VALUE"""),46165.5849456134)</f>
        <v>46165.584945613402</v>
      </c>
      <c r="C152" s="33" t="str">
        <f ca="1">IFERROR(__xludf.DUMMYFUNCTION("""COMPUTED_VALUE"""),"المعملجي")</f>
        <v>المعملجي</v>
      </c>
      <c r="D152" s="33" t="str">
        <f ca="1">IFERROR(__xludf.DUMMYFUNCTION("""COMPUTED_VALUE"""),"وحدة الكهرباء")</f>
        <v>وحدة الكهرباء</v>
      </c>
      <c r="E152" s="23" t="str">
        <f ca="1">IFERROR(__xludf.DUMMYFUNCTION("""COMPUTED_VALUE"""),"قسم المشاريع الهندسية")</f>
        <v>قسم المشاريع الهندسية</v>
      </c>
      <c r="F152" s="23" t="str">
        <f ca="1">IFERROR(__xludf.DUMMYFUNCTION("""COMPUTED_VALUE"""),"B- روضة القمر")</f>
        <v>B- روضة القمر</v>
      </c>
      <c r="G152" s="23"/>
      <c r="H152" s="23" t="str">
        <f ca="1">IFERROR(__xludf.DUMMYFUNCTION("""COMPUTED_VALUE"""),"اصلاح مستشعر انارة الصحيات الخارجية")</f>
        <v>اصلاح مستشعر انارة الصحيات الخارجية</v>
      </c>
      <c r="I152" s="23"/>
      <c r="J152" s="23" t="s">
        <v>89</v>
      </c>
      <c r="K152" s="23" t="s">
        <v>13</v>
      </c>
      <c r="L152" s="32"/>
      <c r="M152" s="23"/>
      <c r="N152" s="2" t="s">
        <v>77</v>
      </c>
    </row>
    <row r="153" spans="1:14" ht="75" customHeight="1" thickTop="1" thickBot="1">
      <c r="A153" s="25">
        <v>151</v>
      </c>
      <c r="B153" s="32">
        <f ca="1">IFERROR(__xludf.DUMMYFUNCTION("""COMPUTED_VALUE"""),46165.58554978)</f>
        <v>46165.58554978</v>
      </c>
      <c r="C153" s="33" t="str">
        <f ca="1">IFERROR(__xludf.DUMMYFUNCTION("""COMPUTED_VALUE"""),"المعملجي")</f>
        <v>المعملجي</v>
      </c>
      <c r="D153" s="33" t="str">
        <f ca="1">IFERROR(__xludf.DUMMYFUNCTION("""COMPUTED_VALUE"""),"وحدة الكهرباء")</f>
        <v>وحدة الكهرباء</v>
      </c>
      <c r="E153" s="23" t="str">
        <f ca="1">IFERROR(__xludf.DUMMYFUNCTION("""COMPUTED_VALUE"""),"قسم المشاريع الهندسية")</f>
        <v>قسم المشاريع الهندسية</v>
      </c>
      <c r="F153" s="23" t="str">
        <f ca="1">IFERROR(__xludf.DUMMYFUNCTION("""COMPUTED_VALUE"""),"J- جامعة العميد (السابعة)")</f>
        <v>J- جامعة العميد (السابعة)</v>
      </c>
      <c r="G153" s="23" t="str">
        <f ca="1">IFERROR(__xludf.DUMMYFUNCTION("""COMPUTED_VALUE"""),"الاستعلامات")</f>
        <v>الاستعلامات</v>
      </c>
      <c r="H153" s="23" t="str">
        <f ca="1">IFERROR(__xludf.DUMMYFUNCTION("""COMPUTED_VALUE"""),"تركيب هاتف طوارئ المصعد في استعلامات البناية.")</f>
        <v>تركيب هاتف طوارئ المصعد في استعلامات البناية.</v>
      </c>
      <c r="I153" s="23"/>
      <c r="J153" s="23" t="s">
        <v>89</v>
      </c>
      <c r="K153" s="23" t="s">
        <v>13</v>
      </c>
      <c r="L153" s="32"/>
      <c r="M153" s="23"/>
      <c r="N153" s="2" t="s">
        <v>77</v>
      </c>
    </row>
    <row r="154" spans="1:14" ht="75" customHeight="1" thickTop="1" thickBot="1">
      <c r="A154" s="23">
        <v>152</v>
      </c>
      <c r="B154" s="32">
        <f ca="1">IFERROR(__xludf.DUMMYFUNCTION("""COMPUTED_VALUE"""),46165.5869645833)</f>
        <v>46165.586964583301</v>
      </c>
      <c r="C154" s="33" t="str">
        <f ca="1">IFERROR(__xludf.DUMMYFUNCTION("""COMPUTED_VALUE"""),"المعملجي")</f>
        <v>المعملجي</v>
      </c>
      <c r="D154" s="33" t="str">
        <f ca="1">IFERROR(__xludf.DUMMYFUNCTION("""COMPUTED_VALUE"""),"وحدة الكهرباء")</f>
        <v>وحدة الكهرباء</v>
      </c>
      <c r="E154" s="23" t="str">
        <f ca="1">IFERROR(__xludf.DUMMYFUNCTION("""COMPUTED_VALUE"""),"قسم المشاريع الهندسية")</f>
        <v>قسم المشاريع الهندسية</v>
      </c>
      <c r="F154" s="23" t="str">
        <f ca="1">IFERROR(__xludf.DUMMYFUNCTION("""COMPUTED_VALUE"""),"B- روضة القمر")</f>
        <v>B- روضة القمر</v>
      </c>
      <c r="G154" s="23"/>
      <c r="H154" s="23" t="str">
        <f ca="1">IFERROR(__xludf.DUMMYFUNCTION("""COMPUTED_VALUE"""),"استبدال محولة سبوت لايت في الصحيات مقابل الاولى ")</f>
        <v xml:space="preserve">استبدال محولة سبوت لايت في الصحيات مقابل الاولى </v>
      </c>
      <c r="I154" s="23"/>
      <c r="J154" s="23" t="s">
        <v>89</v>
      </c>
      <c r="K154" s="23" t="s">
        <v>13</v>
      </c>
      <c r="L154" s="32"/>
      <c r="M154" s="23"/>
      <c r="N154" s="2"/>
    </row>
    <row r="155" spans="1:14" ht="75" customHeight="1" thickTop="1" thickBot="1">
      <c r="A155" s="25">
        <v>153</v>
      </c>
      <c r="B155" s="32">
        <f ca="1">IFERROR(__xludf.DUMMYFUNCTION("""COMPUTED_VALUE"""),46165.58766875)</f>
        <v>46165.587668749999</v>
      </c>
      <c r="C155" s="33" t="str">
        <f ca="1">IFERROR(__xludf.DUMMYFUNCTION("""COMPUTED_VALUE"""),"المعملجي")</f>
        <v>المعملجي</v>
      </c>
      <c r="D155" s="33" t="str">
        <f ca="1">IFERROR(__xludf.DUMMYFUNCTION("""COMPUTED_VALUE"""),"وحدة الكهرباء")</f>
        <v>وحدة الكهرباء</v>
      </c>
      <c r="E155" s="23" t="str">
        <f ca="1">IFERROR(__xludf.DUMMYFUNCTION("""COMPUTED_VALUE"""),"قسم المشاريع الهندسية")</f>
        <v>قسم المشاريع الهندسية</v>
      </c>
      <c r="F155" s="23" t="str">
        <f ca="1">IFERROR(__xludf.DUMMYFUNCTION("""COMPUTED_VALUE"""),"مولدات قرب برج الاتصالات")</f>
        <v>مولدات قرب برج الاتصالات</v>
      </c>
      <c r="G155" s="23" t="str">
        <f ca="1">IFERROR(__xludf.DUMMYFUNCTION("""COMPUTED_VALUE"""),"غرفة مزامنة المولدات")</f>
        <v>غرفة مزامنة المولدات</v>
      </c>
      <c r="H155" s="23" t="str">
        <f ca="1">IFERROR(__xludf.DUMMYFUNCTION("""COMPUTED_VALUE"""),"اعادة تثبيت الكامبرا بعد استبدالها نتيجة تلفها بسبب صعقة ")</f>
        <v xml:space="preserve">اعادة تثبيت الكامبرا بعد استبدالها نتيجة تلفها بسبب صعقة </v>
      </c>
      <c r="I155" s="23"/>
      <c r="J155" s="23" t="s">
        <v>89</v>
      </c>
      <c r="K155" s="23" t="s">
        <v>13</v>
      </c>
      <c r="L155" s="32"/>
      <c r="M155" s="23"/>
      <c r="N155" s="2"/>
    </row>
    <row r="156" spans="1:14" ht="75" customHeight="1" thickTop="1" thickBot="1">
      <c r="A156" s="23">
        <v>154</v>
      </c>
      <c r="B156" s="32">
        <f ca="1">IFERROR(__xludf.DUMMYFUNCTION("""COMPUTED_VALUE"""),46165.5890919791)</f>
        <v>46165.589091979098</v>
      </c>
      <c r="C156" s="33" t="str">
        <f ca="1">IFERROR(__xludf.DUMMYFUNCTION("""COMPUTED_VALUE"""),"المعملجي")</f>
        <v>المعملجي</v>
      </c>
      <c r="D156" s="33" t="str">
        <f ca="1">IFERROR(__xludf.DUMMYFUNCTION("""COMPUTED_VALUE"""),"وحدة الكهرباء")</f>
        <v>وحدة الكهرباء</v>
      </c>
      <c r="E156" s="23" t="str">
        <f ca="1">IFERROR(__xludf.DUMMYFUNCTION("""COMPUTED_VALUE"""),"قسم المشاريع الهندسية")</f>
        <v>قسم المشاريع الهندسية</v>
      </c>
      <c r="F156" s="23" t="str">
        <f ca="1">IFERROR(__xludf.DUMMYFUNCTION("""COMPUTED_VALUE"""),"F-  ابتدائية جود العميد للبنات (الرابعة)")</f>
        <v>F-  ابتدائية جود العميد للبنات (الرابعة)</v>
      </c>
      <c r="G156" s="23"/>
      <c r="H156" s="23" t="str">
        <f ca="1">IFERROR(__xludf.DUMMYFUNCTION("""COMPUTED_VALUE"""),"اضافة نقاط تغذية جديدة عدد 3 في احد غرف الادارة")</f>
        <v>اضافة نقاط تغذية جديدة عدد 3 في احد غرف الادارة</v>
      </c>
      <c r="I156" s="23"/>
      <c r="J156" s="23" t="s">
        <v>89</v>
      </c>
      <c r="K156" s="23" t="s">
        <v>13</v>
      </c>
      <c r="L156" s="32"/>
      <c r="M156" s="23"/>
      <c r="N156" s="2"/>
    </row>
    <row r="157" spans="1:14" ht="75" customHeight="1" thickTop="1" thickBot="1">
      <c r="A157" s="25">
        <v>155</v>
      </c>
      <c r="B157" s="32">
        <f ca="1">IFERROR(__xludf.DUMMYFUNCTION("""COMPUTED_VALUE"""),46165.5901273032)</f>
        <v>46165.5901273032</v>
      </c>
      <c r="C157" s="33" t="str">
        <f ca="1">IFERROR(__xludf.DUMMYFUNCTION("""COMPUTED_VALUE"""),"المعملجي")</f>
        <v>المعملجي</v>
      </c>
      <c r="D157" s="33" t="str">
        <f ca="1">IFERROR(__xludf.DUMMYFUNCTION("""COMPUTED_VALUE"""),"وحدة الكهرباء")</f>
        <v>وحدة الكهرباء</v>
      </c>
      <c r="E157" s="23" t="str">
        <f ca="1">IFERROR(__xludf.DUMMYFUNCTION("""COMPUTED_VALUE"""),"قسم المشاريع الهندسية")</f>
        <v>قسم المشاريع الهندسية</v>
      </c>
      <c r="F157" s="23" t="str">
        <f ca="1">IFERROR(__xludf.DUMMYFUNCTION("""COMPUTED_VALUE"""),"F-  ابتدائية جود العميد للبنات (الرابعة)")</f>
        <v>F-  ابتدائية جود العميد للبنات (الرابعة)</v>
      </c>
      <c r="G157" s="23"/>
      <c r="H157" s="23" t="str">
        <f ca="1">IFERROR(__xludf.DUMMYFUNCTION("""COMPUTED_VALUE"""),"اضافة نقاط تغذية جديدة عدد 3 في احد غرف الادارة حيث تم  مد كيبل بطول 12 متر")</f>
        <v>اضافة نقاط تغذية جديدة عدد 3 في احد غرف الادارة حيث تم  مد كيبل بطول 12 متر</v>
      </c>
      <c r="I157" s="23"/>
      <c r="J157" s="23" t="s">
        <v>89</v>
      </c>
      <c r="K157" s="23" t="s">
        <v>13</v>
      </c>
      <c r="L157" s="32"/>
      <c r="M157" s="23"/>
      <c r="N157" s="2"/>
    </row>
    <row r="158" spans="1:14" ht="75" customHeight="1" thickTop="1" thickBot="1">
      <c r="A158" s="23">
        <v>156</v>
      </c>
      <c r="B158" s="32">
        <f ca="1">IFERROR(__xludf.DUMMYFUNCTION("""COMPUTED_VALUE"""),46165.5909184375)</f>
        <v>46165.590918437498</v>
      </c>
      <c r="C158" s="33" t="str">
        <f ca="1">IFERROR(__xludf.DUMMYFUNCTION("""COMPUTED_VALUE"""),"المعملجي")</f>
        <v>المعملجي</v>
      </c>
      <c r="D158" s="33" t="str">
        <f ca="1">IFERROR(__xludf.DUMMYFUNCTION("""COMPUTED_VALUE"""),"وحدة الكهرباء")</f>
        <v>وحدة الكهرباء</v>
      </c>
      <c r="E158" s="23" t="str">
        <f ca="1">IFERROR(__xludf.DUMMYFUNCTION("""COMPUTED_VALUE"""),"قسم المشاريع الهندسية")</f>
        <v>قسم المشاريع الهندسية</v>
      </c>
      <c r="F158" s="23" t="str">
        <f ca="1">IFERROR(__xludf.DUMMYFUNCTION("""COMPUTED_VALUE"""),"E- ابتدائية العميد للبنات (الثالثة)")</f>
        <v>E- ابتدائية العميد للبنات (الثالثة)</v>
      </c>
      <c r="G158" s="23"/>
      <c r="H158" s="23" t="str">
        <f ca="1">IFERROR(__xludf.DUMMYFUNCTION("""COMPUTED_VALUE"""),"استبدال بلك سويج 13 امبير تالف")</f>
        <v>استبدال بلك سويج 13 امبير تالف</v>
      </c>
      <c r="I158" s="23"/>
      <c r="J158" s="23" t="s">
        <v>89</v>
      </c>
      <c r="K158" s="23" t="s">
        <v>13</v>
      </c>
      <c r="L158" s="32"/>
      <c r="M158" s="23"/>
      <c r="N158" s="2"/>
    </row>
    <row r="159" spans="1:14" ht="75" customHeight="1" thickTop="1" thickBot="1">
      <c r="A159" s="25">
        <v>157</v>
      </c>
      <c r="B159" s="32">
        <f ca="1">IFERROR(__xludf.DUMMYFUNCTION("""COMPUTED_VALUE"""),46165.5918986921)</f>
        <v>46165.591898692102</v>
      </c>
      <c r="C159" s="33" t="str">
        <f ca="1">IFERROR(__xludf.DUMMYFUNCTION("""COMPUTED_VALUE"""),"المعملجي")</f>
        <v>المعملجي</v>
      </c>
      <c r="D159" s="33" t="str">
        <f ca="1">IFERROR(__xludf.DUMMYFUNCTION("""COMPUTED_VALUE"""),"وحدة الكهرباء")</f>
        <v>وحدة الكهرباء</v>
      </c>
      <c r="E159" s="23" t="str">
        <f ca="1">IFERROR(__xludf.DUMMYFUNCTION("""COMPUTED_VALUE"""),"قسم المشاريع الهندسية")</f>
        <v>قسم المشاريع الهندسية</v>
      </c>
      <c r="F159" s="23" t="str">
        <f ca="1">IFERROR(__xludf.DUMMYFUNCTION("""COMPUTED_VALUE"""),"قسم التربية")</f>
        <v>قسم التربية</v>
      </c>
      <c r="G159" s="23"/>
      <c r="H159" s="23" t="str">
        <f ca="1">IFERROR(__xludf.DUMMYFUNCTION("""COMPUTED_VALUE"""),"استبدال بلك سويج حراري 16 امبير ليسار متنقل  باخر 13 امبير")</f>
        <v>استبدال بلك سويج حراري 16 امبير ليسار متنقل  باخر 13 امبير</v>
      </c>
      <c r="I159" s="23"/>
      <c r="J159" s="23" t="s">
        <v>89</v>
      </c>
      <c r="K159" s="23" t="s">
        <v>13</v>
      </c>
      <c r="L159" s="32"/>
      <c r="M159" s="23"/>
      <c r="N159" s="2"/>
    </row>
    <row r="160" spans="1:14" ht="75" customHeight="1" thickTop="1" thickBot="1">
      <c r="A160" s="23">
        <v>158</v>
      </c>
      <c r="B160" s="32">
        <f ca="1">IFERROR(__xludf.DUMMYFUNCTION("""COMPUTED_VALUE"""),46165.5936992013)</f>
        <v>46165.593699201301</v>
      </c>
      <c r="C160" s="33" t="str">
        <f ca="1">IFERROR(__xludf.DUMMYFUNCTION("""COMPUTED_VALUE"""),"المعملجي")</f>
        <v>المعملجي</v>
      </c>
      <c r="D160" s="33" t="str">
        <f ca="1">IFERROR(__xludf.DUMMYFUNCTION("""COMPUTED_VALUE"""),"وحدة الكهرباء")</f>
        <v>وحدة الكهرباء</v>
      </c>
      <c r="E160" s="23" t="str">
        <f ca="1">IFERROR(__xludf.DUMMYFUNCTION("""COMPUTED_VALUE"""),"قسم المشاريع الهندسية")</f>
        <v>قسم المشاريع الهندسية</v>
      </c>
      <c r="F160" s="23" t="str">
        <f ca="1">IFERROR(__xludf.DUMMYFUNCTION("""COMPUTED_VALUE"""),"A- المركز الثقافي")</f>
        <v>A- المركز الثقافي</v>
      </c>
      <c r="G160" s="23"/>
      <c r="H160" s="23" t="str">
        <f ca="1">IFERROR(__xludf.DUMMYFUNCTION("""COMPUTED_VALUE"""),"تسليك كيبل من  بورد الطاقة الشمسية في الطابق الارضي الى الطابق الثاني لغرض تغذية النقاط المطلوبة
")</f>
        <v xml:space="preserve">تسليك كيبل من  بورد الطاقة الشمسية في الطابق الارضي الى الطابق الثاني لغرض تغذية النقاط المطلوبة
</v>
      </c>
      <c r="I160" s="23"/>
      <c r="J160" s="23" t="s">
        <v>89</v>
      </c>
      <c r="K160" s="23" t="s">
        <v>13</v>
      </c>
      <c r="L160" s="32"/>
      <c r="M160" s="23"/>
      <c r="N160" s="2"/>
    </row>
    <row r="161" spans="1:14" ht="75" customHeight="1" thickTop="1" thickBot="1">
      <c r="A161" s="25">
        <v>159</v>
      </c>
      <c r="B161" s="32">
        <f ca="1">IFERROR(__xludf.DUMMYFUNCTION("""COMPUTED_VALUE"""),46165.5942754629)</f>
        <v>46165.5942754629</v>
      </c>
      <c r="C161" s="33" t="str">
        <f ca="1">IFERROR(__xludf.DUMMYFUNCTION("""COMPUTED_VALUE"""),"المعملجي")</f>
        <v>المعملجي</v>
      </c>
      <c r="D161" s="33" t="str">
        <f ca="1">IFERROR(__xludf.DUMMYFUNCTION("""COMPUTED_VALUE"""),"وحدة الكهرباء")</f>
        <v>وحدة الكهرباء</v>
      </c>
      <c r="E161" s="23" t="str">
        <f ca="1">IFERROR(__xludf.DUMMYFUNCTION("""COMPUTED_VALUE"""),"قسم المشاريع الهندسية")</f>
        <v>قسم المشاريع الهندسية</v>
      </c>
      <c r="F161" s="23" t="str">
        <f ca="1">IFERROR(__xludf.DUMMYFUNCTION("""COMPUTED_VALUE"""),"A- المركز الثقافي")</f>
        <v>A- المركز الثقافي</v>
      </c>
      <c r="G161" s="23"/>
      <c r="H161" s="23" t="str">
        <f ca="1">IFERROR(__xludf.DUMMYFUNCTION("""COMPUTED_VALUE"""),"صيانة محولة منشورة 60 واط دون استبدالها عن طريق لحام الاجزاء المتضررة")</f>
        <v>صيانة محولة منشورة 60 واط دون استبدالها عن طريق لحام الاجزاء المتضررة</v>
      </c>
      <c r="I161" s="23"/>
      <c r="J161" s="23" t="s">
        <v>89</v>
      </c>
      <c r="K161" s="23" t="s">
        <v>13</v>
      </c>
      <c r="L161" s="32"/>
      <c r="M161" s="23"/>
      <c r="N161" s="2"/>
    </row>
    <row r="162" spans="1:14" ht="75" customHeight="1" thickTop="1" thickBot="1">
      <c r="A162" s="23">
        <v>160</v>
      </c>
      <c r="B162" s="32">
        <f ca="1">IFERROR(__xludf.DUMMYFUNCTION("""COMPUTED_VALUE"""),46165.5951913425)</f>
        <v>46165.595191342501</v>
      </c>
      <c r="C162" s="33" t="str">
        <f ca="1">IFERROR(__xludf.DUMMYFUNCTION("""COMPUTED_VALUE"""),"المعملجي")</f>
        <v>المعملجي</v>
      </c>
      <c r="D162" s="33" t="str">
        <f ca="1">IFERROR(__xludf.DUMMYFUNCTION("""COMPUTED_VALUE"""),"وحدة الكهرباء")</f>
        <v>وحدة الكهرباء</v>
      </c>
      <c r="E162" s="23" t="str">
        <f ca="1">IFERROR(__xludf.DUMMYFUNCTION("""COMPUTED_VALUE"""),"قسم المشاريع الهندسية")</f>
        <v>قسم المشاريع الهندسية</v>
      </c>
      <c r="F162" s="23" t="str">
        <f ca="1">IFERROR(__xludf.DUMMYFUNCTION("""COMPUTED_VALUE"""),"A- المركز الثقافي")</f>
        <v>A- المركز الثقافي</v>
      </c>
      <c r="G162" s="23" t="str">
        <f ca="1">IFERROR(__xludf.DUMMYFUNCTION("""COMPUTED_VALUE"""),"الطابق الثاني, السطح")</f>
        <v>الطابق الثاني, السطح</v>
      </c>
      <c r="H162" s="23" t="str">
        <f ca="1">IFERROR(__xludf.DUMMYFUNCTION("""COMPUTED_VALUE"""),"ربط مروحة لأحد خزانات الماء")</f>
        <v>ربط مروحة لأحد خزانات الماء</v>
      </c>
      <c r="I162" s="23"/>
      <c r="J162" s="23" t="s">
        <v>89</v>
      </c>
      <c r="K162" s="23" t="s">
        <v>13</v>
      </c>
      <c r="L162" s="32"/>
      <c r="M162" s="23"/>
      <c r="N162" s="2"/>
    </row>
    <row r="163" spans="1:14" ht="75" customHeight="1" thickTop="1" thickBot="1">
      <c r="A163" s="25">
        <v>161</v>
      </c>
      <c r="B163" s="32">
        <f ca="1">IFERROR(__xludf.DUMMYFUNCTION("""COMPUTED_VALUE"""),46165.5956026041)</f>
        <v>46165.595602604102</v>
      </c>
      <c r="C163" s="33" t="str">
        <f ca="1">IFERROR(__xludf.DUMMYFUNCTION("""COMPUTED_VALUE"""),"المعملجي")</f>
        <v>المعملجي</v>
      </c>
      <c r="D163" s="33" t="str">
        <f ca="1">IFERROR(__xludf.DUMMYFUNCTION("""COMPUTED_VALUE"""),"وحدة الكهرباء")</f>
        <v>وحدة الكهرباء</v>
      </c>
      <c r="E163" s="23" t="str">
        <f ca="1">IFERROR(__xludf.DUMMYFUNCTION("""COMPUTED_VALUE"""),"قسم المشاريع الهندسية")</f>
        <v>قسم المشاريع الهندسية</v>
      </c>
      <c r="F163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163" s="23"/>
      <c r="H163" s="23" t="str">
        <f ca="1">IFERROR(__xludf.DUMMYFUNCTION("""COMPUTED_VALUE"""),"تزيت المصعد")</f>
        <v>تزيت المصعد</v>
      </c>
      <c r="I163" s="23"/>
      <c r="J163" s="23" t="s">
        <v>89</v>
      </c>
      <c r="K163" s="23" t="s">
        <v>13</v>
      </c>
      <c r="L163" s="32"/>
      <c r="M163" s="23"/>
      <c r="N163" s="2"/>
    </row>
    <row r="164" spans="1:14" ht="75" customHeight="1" thickTop="1" thickBot="1">
      <c r="A164" s="23">
        <v>162</v>
      </c>
      <c r="B164" s="32">
        <f ca="1">IFERROR(__xludf.DUMMYFUNCTION("""COMPUTED_VALUE"""),46165.5959620717)</f>
        <v>46165.595962071697</v>
      </c>
      <c r="C164" s="33" t="str">
        <f ca="1">IFERROR(__xludf.DUMMYFUNCTION("""COMPUTED_VALUE"""),"المعملجي")</f>
        <v>المعملجي</v>
      </c>
      <c r="D164" s="33" t="str">
        <f ca="1">IFERROR(__xludf.DUMMYFUNCTION("""COMPUTED_VALUE"""),"وحدة الكهرباء")</f>
        <v>وحدة الكهرباء</v>
      </c>
      <c r="E164" s="23" t="str">
        <f ca="1">IFERROR(__xludf.DUMMYFUNCTION("""COMPUTED_VALUE"""),"قسم المشاريع الهندسية")</f>
        <v>قسم المشاريع الهندسية</v>
      </c>
      <c r="F164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164" s="23"/>
      <c r="H164" s="23" t="str">
        <f ca="1">IFERROR(__xludf.DUMMYFUNCTION("""COMPUTED_VALUE"""),"تزيت المصعد")</f>
        <v>تزيت المصعد</v>
      </c>
      <c r="I164" s="23"/>
      <c r="J164" s="23" t="s">
        <v>89</v>
      </c>
      <c r="K164" s="23" t="s">
        <v>13</v>
      </c>
      <c r="L164" s="32"/>
      <c r="M164" s="23"/>
      <c r="N164" s="2"/>
    </row>
    <row r="165" spans="1:14" ht="75" customHeight="1" thickTop="1" thickBot="1">
      <c r="A165" s="25">
        <v>163</v>
      </c>
      <c r="B165" s="32">
        <f ca="1">IFERROR(__xludf.DUMMYFUNCTION("""COMPUTED_VALUE"""),46165.5961594791)</f>
        <v>46165.596159479101</v>
      </c>
      <c r="C165" s="33" t="str">
        <f ca="1">IFERROR(__xludf.DUMMYFUNCTION("""COMPUTED_VALUE"""),"المعملجي")</f>
        <v>المعملجي</v>
      </c>
      <c r="D165" s="33" t="str">
        <f ca="1">IFERROR(__xludf.DUMMYFUNCTION("""COMPUTED_VALUE"""),"وحدة الكهرباء")</f>
        <v>وحدة الكهرباء</v>
      </c>
      <c r="E165" s="23" t="str">
        <f ca="1">IFERROR(__xludf.DUMMYFUNCTION("""COMPUTED_VALUE"""),"قسم المشاريع الهندسية")</f>
        <v>قسم المشاريع الهندسية</v>
      </c>
      <c r="F165" s="23" t="str">
        <f ca="1">IFERROR(__xludf.DUMMYFUNCTION("""COMPUTED_VALUE"""),"E- ابتدائية العميد للبنات (الثالثة)")</f>
        <v>E- ابتدائية العميد للبنات (الثالثة)</v>
      </c>
      <c r="G165" s="23"/>
      <c r="H165" s="23" t="str">
        <f ca="1">IFERROR(__xludf.DUMMYFUNCTION("""COMPUTED_VALUE"""),"تزيت المصعد")</f>
        <v>تزيت المصعد</v>
      </c>
      <c r="I165" s="23"/>
      <c r="J165" s="23" t="s">
        <v>89</v>
      </c>
      <c r="K165" s="23" t="s">
        <v>13</v>
      </c>
      <c r="L165" s="32"/>
      <c r="M165" s="23"/>
      <c r="N165" s="2"/>
    </row>
    <row r="166" spans="1:14" ht="75" customHeight="1" thickTop="1" thickBot="1">
      <c r="A166" s="23">
        <v>164</v>
      </c>
      <c r="B166" s="32">
        <f ca="1">IFERROR(__xludf.DUMMYFUNCTION("""COMPUTED_VALUE"""),46165.5969712962)</f>
        <v>46165.596971296203</v>
      </c>
      <c r="C166" s="33" t="str">
        <f ca="1">IFERROR(__xludf.DUMMYFUNCTION("""COMPUTED_VALUE"""),"المعملجي")</f>
        <v>المعملجي</v>
      </c>
      <c r="D166" s="33" t="str">
        <f ca="1">IFERROR(__xludf.DUMMYFUNCTION("""COMPUTED_VALUE"""),"وحدة الكهرباء")</f>
        <v>وحدة الكهرباء</v>
      </c>
      <c r="E166" s="23" t="str">
        <f ca="1">IFERROR(__xludf.DUMMYFUNCTION("""COMPUTED_VALUE"""),"قسم المشاريع الهندسية")</f>
        <v>قسم المشاريع الهندسية</v>
      </c>
      <c r="F16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166" s="23"/>
      <c r="H166" s="23" t="str">
        <f ca="1">IFERROR(__xludf.DUMMYFUNCTION("""COMPUTED_VALUE"""),"مد سيار كهرباء لتغذية ماطور كاز المولدات")</f>
        <v>مد سيار كهرباء لتغذية ماطور كاز المولدات</v>
      </c>
      <c r="I166" s="23"/>
      <c r="J166" s="23" t="s">
        <v>89</v>
      </c>
      <c r="K166" s="23" t="s">
        <v>13</v>
      </c>
      <c r="L166" s="32"/>
      <c r="M166" s="23"/>
      <c r="N166" s="2"/>
    </row>
    <row r="167" spans="1:14" ht="75" customHeight="1" thickTop="1" thickBot="1">
      <c r="A167" s="25">
        <v>165</v>
      </c>
      <c r="B167" s="32">
        <f ca="1">IFERROR(__xludf.DUMMYFUNCTION("""COMPUTED_VALUE"""),46165.5971471064)</f>
        <v>46165.597147106397</v>
      </c>
      <c r="C167" s="33" t="str">
        <f ca="1">IFERROR(__xludf.DUMMYFUNCTION("""COMPUTED_VALUE"""),"المعملجي")</f>
        <v>المعملجي</v>
      </c>
      <c r="D167" s="33" t="str">
        <f ca="1">IFERROR(__xludf.DUMMYFUNCTION("""COMPUTED_VALUE"""),"وحدة الكهرباء")</f>
        <v>وحدة الكهرباء</v>
      </c>
      <c r="E167" s="23" t="str">
        <f ca="1">IFERROR(__xludf.DUMMYFUNCTION("""COMPUTED_VALUE"""),"قسم المشاريع الهندسية")</f>
        <v>قسم المشاريع الهندسية</v>
      </c>
      <c r="F167" s="23" t="str">
        <f ca="1">IFERROR(__xludf.DUMMYFUNCTION("""COMPUTED_VALUE"""),"F-  ابتدائية جود العميد للبنات (الرابعة)")</f>
        <v>F-  ابتدائية جود العميد للبنات (الرابعة)</v>
      </c>
      <c r="G167" s="23"/>
      <c r="H167" s="23" t="str">
        <f ca="1">IFERROR(__xludf.DUMMYFUNCTION("""COMPUTED_VALUE"""),"مد سيار كهرباء لتغذية ماطور كاز المولدات")</f>
        <v>مد سيار كهرباء لتغذية ماطور كاز المولدات</v>
      </c>
      <c r="I167" s="23"/>
      <c r="J167" s="23" t="s">
        <v>89</v>
      </c>
      <c r="K167" s="23" t="s">
        <v>13</v>
      </c>
      <c r="L167" s="32"/>
      <c r="M167" s="23"/>
      <c r="N167" s="2"/>
    </row>
    <row r="168" spans="1:14" ht="75" customHeight="1" thickTop="1" thickBot="1">
      <c r="A168" s="23">
        <v>166</v>
      </c>
      <c r="B168" s="32">
        <f ca="1">IFERROR(__xludf.DUMMYFUNCTION("""COMPUTED_VALUE"""),46165.5977028125)</f>
        <v>46165.597702812498</v>
      </c>
      <c r="C168" s="33" t="str">
        <f ca="1">IFERROR(__xludf.DUMMYFUNCTION("""COMPUTED_VALUE"""),"المعملجي")</f>
        <v>المعملجي</v>
      </c>
      <c r="D168" s="33" t="str">
        <f ca="1">IFERROR(__xludf.DUMMYFUNCTION("""COMPUTED_VALUE"""),"وحدة الكهرباء")</f>
        <v>وحدة الكهرباء</v>
      </c>
      <c r="E168" s="23" t="str">
        <f ca="1">IFERROR(__xludf.DUMMYFUNCTION("""COMPUTED_VALUE"""),"قسم المشاريع الهندسية")</f>
        <v>قسم المشاريع الهندسية</v>
      </c>
      <c r="F168" s="23" t="str">
        <f ca="1">IFERROR(__xludf.DUMMYFUNCTION("""COMPUTED_VALUE"""),"G- روضة الجود")</f>
        <v>G- روضة الجود</v>
      </c>
      <c r="G168" s="23"/>
      <c r="H168" s="23" t="str">
        <f ca="1">IFERROR(__xludf.DUMMYFUNCTION("""COMPUTED_VALUE"""),"استبدال بلك سويج 13 امبير تالف في غرفة المعاونات")</f>
        <v>استبدال بلك سويج 13 امبير تالف في غرفة المعاونات</v>
      </c>
      <c r="I168" s="23"/>
      <c r="J168" s="23" t="s">
        <v>89</v>
      </c>
      <c r="K168" s="23" t="s">
        <v>13</v>
      </c>
      <c r="L168" s="32"/>
      <c r="M168" s="23"/>
      <c r="N168" s="2"/>
    </row>
    <row r="169" spans="1:14" ht="75" customHeight="1" thickTop="1" thickBot="1">
      <c r="A169" s="25">
        <v>167</v>
      </c>
      <c r="B169" s="32">
        <f ca="1">IFERROR(__xludf.DUMMYFUNCTION("""COMPUTED_VALUE"""),46165.5980302893)</f>
        <v>46165.5980302893</v>
      </c>
      <c r="C169" s="33" t="str">
        <f ca="1">IFERROR(__xludf.DUMMYFUNCTION("""COMPUTED_VALUE"""),"المعملجي")</f>
        <v>المعملجي</v>
      </c>
      <c r="D169" s="33" t="str">
        <f ca="1">IFERROR(__xludf.DUMMYFUNCTION("""COMPUTED_VALUE"""),"وحدة الكهرباء")</f>
        <v>وحدة الكهرباء</v>
      </c>
      <c r="E169" s="23" t="str">
        <f ca="1">IFERROR(__xludf.DUMMYFUNCTION("""COMPUTED_VALUE"""),"قسم المشاريع الهندسية")</f>
        <v>قسم المشاريع الهندسية</v>
      </c>
      <c r="F169" s="23" t="str">
        <f ca="1">IFERROR(__xludf.DUMMYFUNCTION("""COMPUTED_VALUE"""),"H- ابتدائية القمر للبنات (الخامسة)")</f>
        <v>H- ابتدائية القمر للبنات (الخامسة)</v>
      </c>
      <c r="G169" s="23"/>
      <c r="H169" s="23" t="str">
        <f ca="1">IFERROR(__xludf.DUMMYFUNCTION("""COMPUTED_VALUE"""),"تزيت المصعد")</f>
        <v>تزيت المصعد</v>
      </c>
      <c r="I169" s="23"/>
      <c r="J169" s="23" t="s">
        <v>89</v>
      </c>
      <c r="K169" s="23" t="s">
        <v>13</v>
      </c>
      <c r="L169" s="32"/>
      <c r="M169" s="23"/>
      <c r="N169" s="2"/>
    </row>
    <row r="170" spans="1:14" ht="75" customHeight="1" thickTop="1" thickBot="1">
      <c r="A170" s="23">
        <v>168</v>
      </c>
      <c r="B170" s="32">
        <f ca="1">IFERROR(__xludf.DUMMYFUNCTION("""COMPUTED_VALUE"""),46165.5982169444)</f>
        <v>46165.598216944403</v>
      </c>
      <c r="C170" s="33" t="str">
        <f ca="1">IFERROR(__xludf.DUMMYFUNCTION("""COMPUTED_VALUE"""),"المعملجي")</f>
        <v>المعملجي</v>
      </c>
      <c r="D170" s="33" t="str">
        <f ca="1">IFERROR(__xludf.DUMMYFUNCTION("""COMPUTED_VALUE"""),"وحدة الكهرباء")</f>
        <v>وحدة الكهرباء</v>
      </c>
      <c r="E170" s="23" t="str">
        <f ca="1">IFERROR(__xludf.DUMMYFUNCTION("""COMPUTED_VALUE"""),"قسم المشاريع الهندسية")</f>
        <v>قسم المشاريع الهندسية</v>
      </c>
      <c r="F170" s="23" t="str">
        <f ca="1">IFERROR(__xludf.DUMMYFUNCTION("""COMPUTED_VALUE"""),"I- ابتدائية الساقي للبنين (السادسة)")</f>
        <v>I- ابتدائية الساقي للبنين (السادسة)</v>
      </c>
      <c r="G170" s="23"/>
      <c r="H170" s="23" t="str">
        <f ca="1">IFERROR(__xludf.DUMMYFUNCTION("""COMPUTED_VALUE"""),"تزيت المصعد")</f>
        <v>تزيت المصعد</v>
      </c>
      <c r="I170" s="23"/>
      <c r="J170" s="23" t="s">
        <v>89</v>
      </c>
      <c r="K170" s="23" t="s">
        <v>13</v>
      </c>
      <c r="L170" s="32"/>
      <c r="M170" s="23"/>
      <c r="N170" s="2"/>
    </row>
    <row r="171" spans="1:14" ht="75" customHeight="1" thickTop="1" thickBot="1">
      <c r="A171" s="25">
        <v>169</v>
      </c>
      <c r="B171" s="32">
        <f ca="1">IFERROR(__xludf.DUMMYFUNCTION("""COMPUTED_VALUE"""),46165.59841478)</f>
        <v>46165.598414779997</v>
      </c>
      <c r="C171" s="33" t="str">
        <f ca="1">IFERROR(__xludf.DUMMYFUNCTION("""COMPUTED_VALUE"""),"المعملجي")</f>
        <v>المعملجي</v>
      </c>
      <c r="D171" s="33" t="str">
        <f ca="1">IFERROR(__xludf.DUMMYFUNCTION("""COMPUTED_VALUE"""),"وحدة الكهرباء")</f>
        <v>وحدة الكهرباء</v>
      </c>
      <c r="E171" s="23" t="str">
        <f ca="1">IFERROR(__xludf.DUMMYFUNCTION("""COMPUTED_VALUE"""),"قسم المشاريع الهندسية")</f>
        <v>قسم المشاريع الهندسية</v>
      </c>
      <c r="F171" s="23" t="str">
        <f ca="1">IFERROR(__xludf.DUMMYFUNCTION("""COMPUTED_VALUE"""),"J- جامعة العميد (السابعة)")</f>
        <v>J- جامعة العميد (السابعة)</v>
      </c>
      <c r="G171" s="23"/>
      <c r="H171" s="23" t="str">
        <f ca="1">IFERROR(__xludf.DUMMYFUNCTION("""COMPUTED_VALUE"""),"تزيت المصعد")</f>
        <v>تزيت المصعد</v>
      </c>
      <c r="I171" s="23"/>
      <c r="J171" s="23" t="s">
        <v>89</v>
      </c>
      <c r="K171" s="23" t="s">
        <v>13</v>
      </c>
      <c r="L171" s="32"/>
      <c r="M171" s="23"/>
      <c r="N171" s="2"/>
    </row>
    <row r="172" spans="1:14" ht="75" customHeight="1" thickTop="1" thickBot="1">
      <c r="A172" s="23">
        <v>170</v>
      </c>
      <c r="B172" s="32">
        <f ca="1">IFERROR(__xludf.DUMMYFUNCTION("""COMPUTED_VALUE"""),46165.598987905)</f>
        <v>46165.598987905003</v>
      </c>
      <c r="C172" s="33" t="str">
        <f ca="1">IFERROR(__xludf.DUMMYFUNCTION("""COMPUTED_VALUE"""),"المعملجي")</f>
        <v>المعملجي</v>
      </c>
      <c r="D172" s="33" t="str">
        <f ca="1">IFERROR(__xludf.DUMMYFUNCTION("""COMPUTED_VALUE"""),"وحدة الكهرباء")</f>
        <v>وحدة الكهرباء</v>
      </c>
      <c r="E172" s="23" t="str">
        <f ca="1">IFERROR(__xludf.DUMMYFUNCTION("""COMPUTED_VALUE"""),"قسم المشاريع الهندسية")</f>
        <v>قسم المشاريع الهندسية</v>
      </c>
      <c r="F172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172" s="23"/>
      <c r="H172" s="23" t="str">
        <f ca="1">IFERROR(__xludf.DUMMYFUNCTION("""COMPUTED_VALUE"""),"تنظيف بوابات مصعد البناية الاولى ")</f>
        <v xml:space="preserve">تنظيف بوابات مصعد البناية الاولى </v>
      </c>
      <c r="I172" s="23"/>
      <c r="J172" s="23" t="s">
        <v>89</v>
      </c>
      <c r="K172" s="23" t="s">
        <v>13</v>
      </c>
      <c r="L172" s="32"/>
      <c r="M172" s="23"/>
      <c r="N172" s="2"/>
    </row>
    <row r="173" spans="1:14" ht="75" customHeight="1" thickTop="1" thickBot="1">
      <c r="A173" s="25">
        <v>171</v>
      </c>
      <c r="B173" s="32">
        <f ca="1">IFERROR(__xludf.DUMMYFUNCTION("""COMPUTED_VALUE"""),46165.5994518402)</f>
        <v>46165.5994518402</v>
      </c>
      <c r="C173" s="33" t="str">
        <f ca="1">IFERROR(__xludf.DUMMYFUNCTION("""COMPUTED_VALUE"""),"المعملجي")</f>
        <v>المعملجي</v>
      </c>
      <c r="D173" s="33" t="str">
        <f ca="1">IFERROR(__xludf.DUMMYFUNCTION("""COMPUTED_VALUE"""),"وحدة الكهرباء")</f>
        <v>وحدة الكهرباء</v>
      </c>
      <c r="E173" s="23" t="str">
        <f ca="1">IFERROR(__xludf.DUMMYFUNCTION("""COMPUTED_VALUE"""),"قسم المشاريع الهندسية")</f>
        <v>قسم المشاريع الهندسية</v>
      </c>
      <c r="F173" s="23" t="str">
        <f ca="1">IFERROR(__xludf.DUMMYFUNCTION("""COMPUTED_VALUE"""),"الاستعلامات الرئيسية")</f>
        <v>الاستعلامات الرئيسية</v>
      </c>
      <c r="G173" s="23"/>
      <c r="H173" s="23" t="str">
        <f ca="1">IFERROR(__xludf.DUMMYFUNCTION("""COMPUTED_VALUE"""),"صيانة غلاية ماء ")</f>
        <v xml:space="preserve">صيانة غلاية ماء </v>
      </c>
      <c r="I173" s="23"/>
      <c r="J173" s="23" t="s">
        <v>89</v>
      </c>
      <c r="K173" s="23" t="s">
        <v>13</v>
      </c>
      <c r="L173" s="32"/>
      <c r="M173" s="23"/>
      <c r="N173" s="2"/>
    </row>
    <row r="174" spans="1:14" ht="75" customHeight="1" thickTop="1" thickBot="1">
      <c r="A174" s="23">
        <v>172</v>
      </c>
      <c r="B174" s="32">
        <f ca="1">IFERROR(__xludf.DUMMYFUNCTION("""COMPUTED_VALUE"""),46165.6000301388)</f>
        <v>46165.600030138798</v>
      </c>
      <c r="C174" s="33" t="str">
        <f ca="1">IFERROR(__xludf.DUMMYFUNCTION("""COMPUTED_VALUE"""),"المعملجي")</f>
        <v>المعملجي</v>
      </c>
      <c r="D174" s="33" t="str">
        <f ca="1">IFERROR(__xludf.DUMMYFUNCTION("""COMPUTED_VALUE"""),"وحدة الكهرباء")</f>
        <v>وحدة الكهرباء</v>
      </c>
      <c r="E174" s="23" t="str">
        <f ca="1">IFERROR(__xludf.DUMMYFUNCTION("""COMPUTED_VALUE"""),"قسم المشاريع الهندسية")</f>
        <v>قسم المشاريع الهندسية</v>
      </c>
      <c r="F174" s="23" t="str">
        <f ca="1">IFERROR(__xludf.DUMMYFUNCTION("""COMPUTED_VALUE"""),"A- المركز الثقافي")</f>
        <v>A- المركز الثقافي</v>
      </c>
      <c r="G174" s="23" t="str">
        <f ca="1">IFERROR(__xludf.DUMMYFUNCTION("""COMPUTED_VALUE"""),"الطابق الرابع")</f>
        <v>الطابق الرابع</v>
      </c>
      <c r="H174" s="23" t="str">
        <f ca="1">IFERROR(__xludf.DUMMYFUNCTION("""COMPUTED_VALUE"""),"اعادة ups  الى الخدمة بعد توقفه عن اخراج التيار")</f>
        <v>اعادة ups  الى الخدمة بعد توقفه عن اخراج التيار</v>
      </c>
      <c r="I174" s="23"/>
      <c r="J174" s="23" t="s">
        <v>89</v>
      </c>
      <c r="K174" s="23" t="s">
        <v>13</v>
      </c>
      <c r="L174" s="32"/>
      <c r="M174" s="23"/>
      <c r="N174" s="2"/>
    </row>
    <row r="175" spans="1:14" ht="75" customHeight="1" thickTop="1" thickBot="1">
      <c r="A175" s="25">
        <v>173</v>
      </c>
      <c r="B175" s="32">
        <f ca="1">IFERROR(__xludf.DUMMYFUNCTION("""COMPUTED_VALUE"""),46165.6007076388)</f>
        <v>46165.600707638798</v>
      </c>
      <c r="C175" s="33" t="str">
        <f ca="1">IFERROR(__xludf.DUMMYFUNCTION("""COMPUTED_VALUE"""),"المعملجي")</f>
        <v>المعملجي</v>
      </c>
      <c r="D175" s="33" t="str">
        <f ca="1">IFERROR(__xludf.DUMMYFUNCTION("""COMPUTED_VALUE"""),"وحدة الكهرباء")</f>
        <v>وحدة الكهرباء</v>
      </c>
      <c r="E175" s="23" t="str">
        <f ca="1">IFERROR(__xludf.DUMMYFUNCTION("""COMPUTED_VALUE"""),"قسم المشاريع الهندسية")</f>
        <v>قسم المشاريع الهندسية</v>
      </c>
      <c r="F175" s="23" t="str">
        <f ca="1">IFERROR(__xludf.DUMMYFUNCTION("""COMPUTED_VALUE"""),"G- روضة الجود")</f>
        <v>G- روضة الجود</v>
      </c>
      <c r="G175" s="23" t="str">
        <f ca="1">IFERROR(__xludf.DUMMYFUNCTION("""COMPUTED_VALUE"""),"السطح")</f>
        <v>السطح</v>
      </c>
      <c r="H175" s="23" t="str">
        <f ca="1">IFERROR(__xludf.DUMMYFUNCTION("""COMPUTED_VALUE"""),"غسل جميع الالواح الشمسية والبالغ عددها 135")</f>
        <v>غسل جميع الالواح الشمسية والبالغ عددها 135</v>
      </c>
      <c r="I175" s="23"/>
      <c r="J175" s="23" t="s">
        <v>89</v>
      </c>
      <c r="K175" s="23" t="s">
        <v>13</v>
      </c>
      <c r="L175" s="32"/>
      <c r="M175" s="23"/>
      <c r="N175" s="2"/>
    </row>
    <row r="176" spans="1:14" ht="75" customHeight="1" thickTop="1" thickBot="1">
      <c r="A176" s="23">
        <v>174</v>
      </c>
      <c r="B176" s="32">
        <f ca="1">IFERROR(__xludf.DUMMYFUNCTION("""COMPUTED_VALUE"""),46165.6031143634)</f>
        <v>46165.603114363403</v>
      </c>
      <c r="C176" s="33" t="str">
        <f ca="1">IFERROR(__xludf.DUMMYFUNCTION("""COMPUTED_VALUE"""),"المعملجي")</f>
        <v>المعملجي</v>
      </c>
      <c r="D176" s="33" t="str">
        <f ca="1">IFERROR(__xludf.DUMMYFUNCTION("""COMPUTED_VALUE"""),"وحدة الكهرباء")</f>
        <v>وحدة الكهرباء</v>
      </c>
      <c r="E176" s="23" t="str">
        <f ca="1">IFERROR(__xludf.DUMMYFUNCTION("""COMPUTED_VALUE"""),"قسم المشاريع الهندسية")</f>
        <v>قسم المشاريع الهندسية</v>
      </c>
      <c r="F176" s="23" t="str">
        <f ca="1">IFERROR(__xludf.DUMMYFUNCTION("""COMPUTED_VALUE"""),"الاستعلامات الرئيسية")</f>
        <v>الاستعلامات الرئيسية</v>
      </c>
      <c r="G176" s="23"/>
      <c r="H176" s="23" t="str">
        <f ca="1">IFERROR(__xludf.DUMMYFUNCTION("""COMPUTED_VALUE"""),"معالجة رخاوة في السلك البارد في البورد الرئيسي")</f>
        <v>معالجة رخاوة في السلك البارد في البورد الرئيسي</v>
      </c>
      <c r="I176" s="23"/>
      <c r="J176" s="23" t="s">
        <v>89</v>
      </c>
      <c r="K176" s="23" t="s">
        <v>13</v>
      </c>
      <c r="L176" s="32"/>
      <c r="M176" s="23"/>
      <c r="N176" s="2"/>
    </row>
    <row r="177" spans="1:14" ht="75" customHeight="1" thickTop="1" thickBot="1">
      <c r="A177" s="25">
        <v>175</v>
      </c>
      <c r="B177" s="32">
        <f ca="1">IFERROR(__xludf.DUMMYFUNCTION("""COMPUTED_VALUE"""),46165.6037730902)</f>
        <v>46165.603773090203</v>
      </c>
      <c r="C177" s="33" t="str">
        <f ca="1">IFERROR(__xludf.DUMMYFUNCTION("""COMPUTED_VALUE"""),"المعملجي")</f>
        <v>المعملجي</v>
      </c>
      <c r="D177" s="33" t="str">
        <f ca="1">IFERROR(__xludf.DUMMYFUNCTION("""COMPUTED_VALUE"""),"وحدة الكهرباء")</f>
        <v>وحدة الكهرباء</v>
      </c>
      <c r="E177" s="23" t="str">
        <f ca="1">IFERROR(__xludf.DUMMYFUNCTION("""COMPUTED_VALUE"""),"قسم المشاريع الهندسية")</f>
        <v>قسم المشاريع الهندسية</v>
      </c>
      <c r="F177" s="23" t="str">
        <f ca="1">IFERROR(__xludf.DUMMYFUNCTION("""COMPUTED_VALUE"""),"A- المركز الثقافي")</f>
        <v>A- المركز الثقافي</v>
      </c>
      <c r="G177" s="23"/>
      <c r="H177" s="23" t="str">
        <f ca="1">IFERROR(__xludf.DUMMYFUNCTION("""COMPUTED_VALUE"""),"فصل كيبل 16*4 ملم المغذي لبورد السخانات في سطح الطابق الثاني وسحبه واعادة تسليكه إلى الطابق الأول جهة رئاسة القسم")</f>
        <v>فصل كيبل 16*4 ملم المغذي لبورد السخانات في سطح الطابق الثاني وسحبه واعادة تسليكه إلى الطابق الأول جهة رئاسة القسم</v>
      </c>
      <c r="I177" s="23"/>
      <c r="J177" s="23" t="s">
        <v>89</v>
      </c>
      <c r="K177" s="23" t="s">
        <v>13</v>
      </c>
      <c r="L177" s="32"/>
      <c r="M177" s="23"/>
      <c r="N177" s="2"/>
    </row>
    <row r="178" spans="1:14" ht="75" customHeight="1" thickTop="1" thickBot="1">
      <c r="A178" s="23">
        <v>176</v>
      </c>
      <c r="B178" s="32">
        <f ca="1">IFERROR(__xludf.DUMMYFUNCTION("""COMPUTED_VALUE"""),46165.6060405208)</f>
        <v>46165.606040520797</v>
      </c>
      <c r="C178" s="33" t="str">
        <f ca="1">IFERROR(__xludf.DUMMYFUNCTION("""COMPUTED_VALUE"""),"المعملجي")</f>
        <v>المعملجي</v>
      </c>
      <c r="D178" s="33" t="str">
        <f ca="1">IFERROR(__xludf.DUMMYFUNCTION("""COMPUTED_VALUE"""),"وحدة الكهرباء")</f>
        <v>وحدة الكهرباء</v>
      </c>
      <c r="E178" s="23" t="str">
        <f ca="1">IFERROR(__xludf.DUMMYFUNCTION("""COMPUTED_VALUE"""),"قسم المشاريع الهندسية")</f>
        <v>قسم المشاريع الهندسية</v>
      </c>
      <c r="F178" s="23" t="str">
        <f ca="1">IFERROR(__xludf.DUMMYFUNCTION("""COMPUTED_VALUE"""),"A- المركز الثقافي")</f>
        <v>A- المركز الثقافي</v>
      </c>
      <c r="G178" s="23" t="str">
        <f ca="1">IFERROR(__xludf.DUMMYFUNCTION("""COMPUTED_VALUE"""),"الطابق الاول")</f>
        <v>الطابق الاول</v>
      </c>
      <c r="H178" s="23" t="str">
        <f ca="1">IFERROR(__xludf.DUMMYFUNCTION("""COMPUTED_VALUE"""),"إضافة مأخذ قدرة 13A مع بوكس بلاستك احادي وكيبل فلكس 2.5*2 ملم مسافة ربع متر لتغذية بوستر")</f>
        <v>إضافة مأخذ قدرة 13A مع بوكس بلاستك احادي وكيبل فلكس 2.5*2 ملم مسافة ربع متر لتغذية بوستر</v>
      </c>
      <c r="I178" s="23"/>
      <c r="J178" s="23" t="s">
        <v>89</v>
      </c>
      <c r="K178" s="23" t="s">
        <v>13</v>
      </c>
      <c r="L178" s="32"/>
      <c r="M178" s="23"/>
      <c r="N178" s="2"/>
    </row>
    <row r="179" spans="1:14" ht="75" customHeight="1" thickTop="1" thickBot="1">
      <c r="A179" s="25">
        <v>177</v>
      </c>
      <c r="B179" s="32">
        <f ca="1">IFERROR(__xludf.DUMMYFUNCTION("""COMPUTED_VALUE"""),46165.6064709953)</f>
        <v>46165.606470995299</v>
      </c>
      <c r="C179" s="33" t="str">
        <f ca="1">IFERROR(__xludf.DUMMYFUNCTION("""COMPUTED_VALUE"""),"المعملجي")</f>
        <v>المعملجي</v>
      </c>
      <c r="D179" s="33" t="str">
        <f ca="1">IFERROR(__xludf.DUMMYFUNCTION("""COMPUTED_VALUE"""),"وحدة الكهرباء")</f>
        <v>وحدة الكهرباء</v>
      </c>
      <c r="E179" s="23" t="str">
        <f ca="1">IFERROR(__xludf.DUMMYFUNCTION("""COMPUTED_VALUE"""),"قسم المشاريع الهندسية")</f>
        <v>قسم المشاريع الهندسية</v>
      </c>
      <c r="F179" s="23" t="str">
        <f ca="1">IFERROR(__xludf.DUMMYFUNCTION("""COMPUTED_VALUE"""),"E- ابتدائية العميد للبنات (الثالثة)")</f>
        <v>E- ابتدائية العميد للبنات (الثالثة)</v>
      </c>
      <c r="G179" s="23" t="str">
        <f ca="1">IFERROR(__xludf.DUMMYFUNCTION("""COMPUTED_VALUE"""),"صحيات المدرسة")</f>
        <v>صحيات المدرسة</v>
      </c>
      <c r="H179" s="23" t="str">
        <f ca="1">IFERROR(__xludf.DUMMYFUNCTION("""COMPUTED_VALUE"""),"تبديل محولة سبوت لايت 20w  تالفة")</f>
        <v>تبديل محولة سبوت لايت 20w  تالفة</v>
      </c>
      <c r="I179" s="23"/>
      <c r="J179" s="23" t="s">
        <v>89</v>
      </c>
      <c r="K179" s="23" t="s">
        <v>13</v>
      </c>
      <c r="L179" s="32"/>
      <c r="M179" s="23"/>
      <c r="N179" s="2" t="s">
        <v>77</v>
      </c>
    </row>
    <row r="180" spans="1:14" ht="75" customHeight="1" thickTop="1" thickBot="1">
      <c r="A180" s="23">
        <v>178</v>
      </c>
      <c r="B180" s="32">
        <f ca="1">IFERROR(__xludf.DUMMYFUNCTION("""COMPUTED_VALUE"""),46165.6070373726)</f>
        <v>46165.607037372603</v>
      </c>
      <c r="C180" s="33" t="str">
        <f ca="1">IFERROR(__xludf.DUMMYFUNCTION("""COMPUTED_VALUE"""),"المعملجي")</f>
        <v>المعملجي</v>
      </c>
      <c r="D180" s="33" t="str">
        <f ca="1">IFERROR(__xludf.DUMMYFUNCTION("""COMPUTED_VALUE"""),"وحدة الكهرباء")</f>
        <v>وحدة الكهرباء</v>
      </c>
      <c r="E180" s="23" t="str">
        <f ca="1">IFERROR(__xludf.DUMMYFUNCTION("""COMPUTED_VALUE"""),"قسم المشاريع الهندسية")</f>
        <v>قسم المشاريع الهندسية</v>
      </c>
      <c r="F180" s="23" t="str">
        <f ca="1">IFERROR(__xludf.DUMMYFUNCTION("""COMPUTED_VALUE"""),"B- روضة القمر")</f>
        <v>B- روضة القمر</v>
      </c>
      <c r="G180" s="23" t="str">
        <f ca="1">IFERROR(__xludf.DUMMYFUNCTION("""COMPUTED_VALUE"""),"صحيات مقابل الاولى")</f>
        <v>صحيات مقابل الاولى</v>
      </c>
      <c r="H180" s="23" t="str">
        <f ca="1">IFERROR(__xludf.DUMMYFUNCTION("""COMPUTED_VALUE"""),"تبديل محولة سبوت لايت 20w  تالفة")</f>
        <v>تبديل محولة سبوت لايت 20w  تالفة</v>
      </c>
      <c r="I180" s="23"/>
      <c r="J180" s="23" t="s">
        <v>89</v>
      </c>
      <c r="K180" s="23" t="s">
        <v>13</v>
      </c>
      <c r="L180" s="32"/>
      <c r="M180" s="23"/>
      <c r="N180" s="2" t="s">
        <v>79</v>
      </c>
    </row>
    <row r="181" spans="1:14" ht="75" customHeight="1" thickTop="1" thickBot="1">
      <c r="A181" s="25">
        <v>179</v>
      </c>
      <c r="B181" s="32">
        <f ca="1">IFERROR(__xludf.DUMMYFUNCTION("""COMPUTED_VALUE"""),46165.6078861921)</f>
        <v>46165.607886192098</v>
      </c>
      <c r="C181" s="33" t="str">
        <f ca="1">IFERROR(__xludf.DUMMYFUNCTION("""COMPUTED_VALUE"""),"المعملجي")</f>
        <v>المعملجي</v>
      </c>
      <c r="D181" s="33" t="str">
        <f ca="1">IFERROR(__xludf.DUMMYFUNCTION("""COMPUTED_VALUE"""),"وحدة الكهرباء")</f>
        <v>وحدة الكهرباء</v>
      </c>
      <c r="E181" s="23" t="str">
        <f ca="1">IFERROR(__xludf.DUMMYFUNCTION("""COMPUTED_VALUE"""),"قسم المشاريع الهندسية")</f>
        <v>قسم المشاريع الهندسية</v>
      </c>
      <c r="F181" s="23" t="str">
        <f ca="1">IFERROR(__xludf.DUMMYFUNCTION("""COMPUTED_VALUE"""),"F-  ابتدائية جود العميد للبنات (الرابعة)")</f>
        <v>F-  ابتدائية جود العميد للبنات (الرابعة)</v>
      </c>
      <c r="G181" s="23"/>
      <c r="H181" s="23" t="str">
        <f ca="1">IFERROR(__xludf.DUMMYFUNCTION("""COMPUTED_VALUE"""),"تزيت المصعد")</f>
        <v>تزيت المصعد</v>
      </c>
      <c r="I181" s="23"/>
      <c r="J181" s="23" t="s">
        <v>89</v>
      </c>
      <c r="K181" s="23" t="s">
        <v>13</v>
      </c>
      <c r="L181" s="32"/>
      <c r="M181" s="23"/>
      <c r="N181" s="2" t="s">
        <v>77</v>
      </c>
    </row>
    <row r="182" spans="1:14" ht="75" customHeight="1" thickTop="1" thickBot="1">
      <c r="A182" s="23">
        <v>180</v>
      </c>
      <c r="B182" s="32">
        <f ca="1">IFERROR(__xludf.DUMMYFUNCTION("""COMPUTED_VALUE"""),46165.6083490393)</f>
        <v>46165.608349039299</v>
      </c>
      <c r="C182" s="33" t="str">
        <f ca="1">IFERROR(__xludf.DUMMYFUNCTION("""COMPUTED_VALUE"""),"المعملجي")</f>
        <v>المعملجي</v>
      </c>
      <c r="D182" s="33" t="str">
        <f ca="1">IFERROR(__xludf.DUMMYFUNCTION("""COMPUTED_VALUE"""),"وحدة الكهرباء")</f>
        <v>وحدة الكهرباء</v>
      </c>
      <c r="E182" s="23" t="str">
        <f ca="1">IFERROR(__xludf.DUMMYFUNCTION("""COMPUTED_VALUE"""),"قسم المشاريع الهندسية")</f>
        <v>قسم المشاريع الهندسية</v>
      </c>
      <c r="F182" s="23" t="str">
        <f ca="1">IFERROR(__xludf.DUMMYFUNCTION("""COMPUTED_VALUE"""),"G- روضة الجود")</f>
        <v>G- روضة الجود</v>
      </c>
      <c r="G182" s="23"/>
      <c r="H182" s="23" t="str">
        <f ca="1">IFERROR(__xludf.DUMMYFUNCTION("""COMPUTED_VALUE"""),"إعادة ربط حاسبة النافورة الى الشبكة بعد انقطاع دام لشهر تقريبا بسبب خلل في SWITCH")</f>
        <v>إعادة ربط حاسبة النافورة الى الشبكة بعد انقطاع دام لشهر تقريبا بسبب خلل في SWITCH</v>
      </c>
      <c r="I182" s="23"/>
      <c r="J182" s="23" t="s">
        <v>89</v>
      </c>
      <c r="K182" s="23" t="s">
        <v>13</v>
      </c>
      <c r="L182" s="32"/>
      <c r="M182" s="23"/>
      <c r="N182" s="2" t="s">
        <v>77</v>
      </c>
    </row>
    <row r="183" spans="1:14" ht="75" customHeight="1" thickTop="1" thickBot="1">
      <c r="A183" s="25">
        <v>181</v>
      </c>
      <c r="B183" s="32">
        <f ca="1">IFERROR(__xludf.DUMMYFUNCTION("""COMPUTED_VALUE"""),46165.6087420138)</f>
        <v>46165.608742013799</v>
      </c>
      <c r="C183" s="33" t="str">
        <f ca="1">IFERROR(__xludf.DUMMYFUNCTION("""COMPUTED_VALUE"""),"المعملجي")</f>
        <v>المعملجي</v>
      </c>
      <c r="D183" s="33" t="str">
        <f ca="1">IFERROR(__xludf.DUMMYFUNCTION("""COMPUTED_VALUE"""),"وحدة الكهرباء")</f>
        <v>وحدة الكهرباء</v>
      </c>
      <c r="E183" s="23" t="str">
        <f ca="1">IFERROR(__xludf.DUMMYFUNCTION("""COMPUTED_VALUE"""),"قسم المشاريع الهندسية")</f>
        <v>قسم المشاريع الهندسية</v>
      </c>
      <c r="F183" s="23" t="str">
        <f ca="1">IFERROR(__xludf.DUMMYFUNCTION("""COMPUTED_VALUE"""),"A- المركز الثقافي")</f>
        <v>A- المركز الثقافي</v>
      </c>
      <c r="G183" s="23" t="str">
        <f ca="1">IFERROR(__xludf.DUMMYFUNCTION("""COMPUTED_VALUE"""),"الطابق الرابع, غرفة المراقبة ")</f>
        <v xml:space="preserve">الطابق الرابع, غرفة المراقبة </v>
      </c>
      <c r="H183" s="23" t="str">
        <f ca="1">IFERROR(__xludf.DUMMYFUNCTION("""COMPUTED_VALUE"""),"لصق لوحات بلاستك شفافة جديدة لحفظ ورقة قراءات الــUPS وكذلك سهولة استبدالها دون تغير الحافظة.")</f>
        <v>لصق لوحات بلاستك شفافة جديدة لحفظ ورقة قراءات الــUPS وكذلك سهولة استبدالها دون تغير الحافظة.</v>
      </c>
      <c r="I183" s="23"/>
      <c r="J183" s="23" t="s">
        <v>89</v>
      </c>
      <c r="K183" s="23" t="s">
        <v>13</v>
      </c>
      <c r="L183" s="32"/>
      <c r="M183" s="23"/>
      <c r="N183" s="2" t="s">
        <v>77</v>
      </c>
    </row>
    <row r="184" spans="1:14" ht="75" customHeight="1" thickTop="1" thickBot="1">
      <c r="A184" s="23">
        <v>182</v>
      </c>
      <c r="B184" s="32">
        <f ca="1">IFERROR(__xludf.DUMMYFUNCTION("""COMPUTED_VALUE"""),46165.609710081)</f>
        <v>46165.609710081</v>
      </c>
      <c r="C184" s="33" t="str">
        <f ca="1">IFERROR(__xludf.DUMMYFUNCTION("""COMPUTED_VALUE"""),"المعملجي")</f>
        <v>المعملجي</v>
      </c>
      <c r="D184" s="33" t="str">
        <f ca="1">IFERROR(__xludf.DUMMYFUNCTION("""COMPUTED_VALUE"""),"وحدة الكهرباء")</f>
        <v>وحدة الكهرباء</v>
      </c>
      <c r="E184" s="23" t="str">
        <f ca="1">IFERROR(__xludf.DUMMYFUNCTION("""COMPUTED_VALUE"""),"قسم المشاريع الهندسية")</f>
        <v>قسم المشاريع الهندسية</v>
      </c>
      <c r="F184" s="23" t="str">
        <f ca="1">IFERROR(__xludf.DUMMYFUNCTION("""COMPUTED_VALUE"""),"A- المركز الثقافي")</f>
        <v>A- المركز الثقافي</v>
      </c>
      <c r="G184" s="23" t="str">
        <f ca="1">IFERROR(__xludf.DUMMYFUNCTION("""COMPUTED_VALUE"""),"الطابق الرابع, شعبة المراقبة")</f>
        <v>الطابق الرابع, شعبة المراقبة</v>
      </c>
      <c r="H184" s="23" t="str">
        <f ca="1">IFERROR(__xludf.DUMMYFUNCTION("""COMPUTED_VALUE"""),"إدخال جهازي الـUPS الى خطة الفحص الدورية لاجهزة UPS")</f>
        <v>إدخال جهازي الـUPS الى خطة الفحص الدورية لاجهزة UPS</v>
      </c>
      <c r="I184" s="23"/>
      <c r="J184" s="23" t="s">
        <v>89</v>
      </c>
      <c r="K184" s="23" t="s">
        <v>13</v>
      </c>
      <c r="L184" s="32"/>
      <c r="M184" s="23"/>
      <c r="N184" s="2" t="s">
        <v>77</v>
      </c>
    </row>
    <row r="185" spans="1:14" ht="75" customHeight="1" thickTop="1" thickBot="1">
      <c r="A185" s="25">
        <v>183</v>
      </c>
      <c r="B185" s="32">
        <f ca="1">IFERROR(__xludf.DUMMYFUNCTION("""COMPUTED_VALUE"""),46165.610132662)</f>
        <v>46165.610132661997</v>
      </c>
      <c r="C185" s="33" t="str">
        <f ca="1">IFERROR(__xludf.DUMMYFUNCTION("""COMPUTED_VALUE"""),"المعملجي")</f>
        <v>المعملجي</v>
      </c>
      <c r="D185" s="33" t="str">
        <f ca="1">IFERROR(__xludf.DUMMYFUNCTION("""COMPUTED_VALUE"""),"وحدة الكهرباء")</f>
        <v>وحدة الكهرباء</v>
      </c>
      <c r="E185" s="23" t="str">
        <f ca="1">IFERROR(__xludf.DUMMYFUNCTION("""COMPUTED_VALUE"""),"قسم المشاريع الهندسية")</f>
        <v>قسم المشاريع الهندسية</v>
      </c>
      <c r="F185" s="23" t="str">
        <f ca="1">IFERROR(__xludf.DUMMYFUNCTION("""COMPUTED_VALUE"""),"A- المركز الثقافي")</f>
        <v>A- المركز الثقافي</v>
      </c>
      <c r="G185" s="23" t="str">
        <f ca="1">IFERROR(__xludf.DUMMYFUNCTION("""COMPUTED_VALUE"""),"الطابق الرابع, شعبة المراقبة")</f>
        <v>الطابق الرابع, شعبة المراقبة</v>
      </c>
      <c r="H185" s="23" t="str">
        <f ca="1">IFERROR(__xludf.DUMMYFUNCTION("""COMPUTED_VALUE"""),"ستبدال محولة انارة سقفية بقدرة 38W بأخرى من نفس القدرة.")</f>
        <v>ستبدال محولة انارة سقفية بقدرة 38W بأخرى من نفس القدرة.</v>
      </c>
      <c r="I185" s="23"/>
      <c r="J185" s="23" t="s">
        <v>89</v>
      </c>
      <c r="K185" s="23" t="s">
        <v>13</v>
      </c>
      <c r="L185" s="32"/>
      <c r="M185" s="23"/>
      <c r="N185" s="2" t="s">
        <v>77</v>
      </c>
    </row>
    <row r="186" spans="1:14" ht="75" customHeight="1" thickTop="1" thickBot="1">
      <c r="A186" s="23">
        <v>184</v>
      </c>
      <c r="B186" s="32">
        <f ca="1">IFERROR(__xludf.DUMMYFUNCTION("""COMPUTED_VALUE"""),46165.6105685879)</f>
        <v>46165.610568587901</v>
      </c>
      <c r="C186" s="33" t="str">
        <f ca="1">IFERROR(__xludf.DUMMYFUNCTION("""COMPUTED_VALUE"""),"المعملجي")</f>
        <v>المعملجي</v>
      </c>
      <c r="D186" s="33" t="str">
        <f ca="1">IFERROR(__xludf.DUMMYFUNCTION("""COMPUTED_VALUE"""),"وحدة الكهرباء")</f>
        <v>وحدة الكهرباء</v>
      </c>
      <c r="E186" s="23" t="str">
        <f ca="1">IFERROR(__xludf.DUMMYFUNCTION("""COMPUTED_VALUE"""),"قسم المشاريع الهندسية")</f>
        <v>قسم المشاريع الهندسية</v>
      </c>
      <c r="F186" s="23" t="str">
        <f ca="1">IFERROR(__xludf.DUMMYFUNCTION("""COMPUTED_VALUE"""),"A- المركز الثقافي")</f>
        <v>A- المركز الثقافي</v>
      </c>
      <c r="G186" s="23" t="str">
        <f ca="1">IFERROR(__xludf.DUMMYFUNCTION("""COMPUTED_VALUE"""),"الطابق الثالث")</f>
        <v>الطابق الثالث</v>
      </c>
      <c r="H186" s="23" t="str">
        <f ca="1">IFERROR(__xludf.DUMMYFUNCTION("""COMPUTED_VALUE"""),"بسبب تكرار عملية دخول السويج به بسبب كبر حجمه  تم استبداله ببوكس اخر متوافق مع حجم السويج.")</f>
        <v>بسبب تكرار عملية دخول السويج به بسبب كبر حجمه  تم استبداله ببوكس اخر متوافق مع حجم السويج.</v>
      </c>
      <c r="I186" s="23"/>
      <c r="J186" s="23" t="s">
        <v>89</v>
      </c>
      <c r="K186" s="23" t="s">
        <v>13</v>
      </c>
      <c r="L186" s="32"/>
      <c r="M186" s="23"/>
      <c r="N186" s="2" t="s">
        <v>77</v>
      </c>
    </row>
    <row r="187" spans="1:14" ht="75" customHeight="1" thickTop="1" thickBot="1">
      <c r="A187" s="25">
        <v>185</v>
      </c>
      <c r="B187" s="32">
        <f ca="1">IFERROR(__xludf.DUMMYFUNCTION("""COMPUTED_VALUE"""),46165.6108660763)</f>
        <v>46165.610866076298</v>
      </c>
      <c r="C187" s="33" t="str">
        <f ca="1">IFERROR(__xludf.DUMMYFUNCTION("""COMPUTED_VALUE"""),"المعملجي")</f>
        <v>المعملجي</v>
      </c>
      <c r="D187" s="33" t="str">
        <f ca="1">IFERROR(__xludf.DUMMYFUNCTION("""COMPUTED_VALUE"""),"وحدة الكهرباء")</f>
        <v>وحدة الكهرباء</v>
      </c>
      <c r="E187" s="23" t="str">
        <f ca="1">IFERROR(__xludf.DUMMYFUNCTION("""COMPUTED_VALUE"""),"قسم المشاريع الهندسية")</f>
        <v>قسم المشاريع الهندسية</v>
      </c>
      <c r="F187" s="23" t="str">
        <f ca="1">IFERROR(__xludf.DUMMYFUNCTION("""COMPUTED_VALUE"""),"المختبرات")</f>
        <v>المختبرات</v>
      </c>
      <c r="G187" s="23" t="str">
        <f ca="1">IFERROR(__xludf.DUMMYFUNCTION("""COMPUTED_VALUE"""),"الطابق الارضي")</f>
        <v>الطابق الارضي</v>
      </c>
      <c r="H187" s="23" t="str">
        <f ca="1">IFERROR(__xludf.DUMMYFUNCTION("""COMPUTED_VALUE"""),"إدخال منظومة تبريد بناية المختبرات الجديدة الى منظومة الإتصالات الموحدة الخاصة بالمجمع.")</f>
        <v>إدخال منظومة تبريد بناية المختبرات الجديدة الى منظومة الإتصالات الموحدة الخاصة بالمجمع.</v>
      </c>
      <c r="I187" s="23"/>
      <c r="J187" s="23" t="s">
        <v>89</v>
      </c>
      <c r="K187" s="23" t="s">
        <v>13</v>
      </c>
      <c r="L187" s="32"/>
      <c r="M187" s="23"/>
      <c r="N187" s="2" t="s">
        <v>77</v>
      </c>
    </row>
    <row r="188" spans="1:14" ht="75" customHeight="1" thickTop="1" thickBot="1">
      <c r="A188" s="23">
        <v>186</v>
      </c>
      <c r="B188" s="32">
        <f ca="1">IFERROR(__xludf.DUMMYFUNCTION("""COMPUTED_VALUE"""),46165.611262662)</f>
        <v>46165.611262662002</v>
      </c>
      <c r="C188" s="33" t="str">
        <f ca="1">IFERROR(__xludf.DUMMYFUNCTION("""COMPUTED_VALUE"""),"المعملجي")</f>
        <v>المعملجي</v>
      </c>
      <c r="D188" s="33" t="str">
        <f ca="1">IFERROR(__xludf.DUMMYFUNCTION("""COMPUTED_VALUE"""),"وحدة الكهرباء")</f>
        <v>وحدة الكهرباء</v>
      </c>
      <c r="E188" s="23" t="str">
        <f ca="1">IFERROR(__xludf.DUMMYFUNCTION("""COMPUTED_VALUE"""),"قسم المشاريع الهندسية")</f>
        <v>قسم المشاريع الهندسية</v>
      </c>
      <c r="F188" s="23" t="str">
        <f ca="1">IFERROR(__xludf.DUMMYFUNCTION("""COMPUTED_VALUE"""),"A- المركز الثقافي")</f>
        <v>A- المركز الثقافي</v>
      </c>
      <c r="G188" s="23"/>
      <c r="H188" s="23" t="str">
        <f ca="1">IFERROR(__xludf.DUMMYFUNCTION("""COMPUTED_VALUE"""),"انشاء بورد قياس 30*40 فرعي مخصص للطابق الأرضي في رئاسة القسم لغرض تغيير تغذية السبالت المضافة البالغ عددها 4 والتي حاليا مغذاة من بورد البكجات .")</f>
        <v>انشاء بورد قياس 30*40 فرعي مخصص للطابق الأرضي في رئاسة القسم لغرض تغيير تغذية السبالت المضافة البالغ عددها 4 والتي حاليا مغذاة من بورد البكجات .</v>
      </c>
      <c r="I188" s="23"/>
      <c r="J188" s="23" t="s">
        <v>89</v>
      </c>
      <c r="K188" s="23" t="s">
        <v>13</v>
      </c>
      <c r="L188" s="32"/>
      <c r="M188" s="23"/>
      <c r="N188" s="2" t="s">
        <v>77</v>
      </c>
    </row>
    <row r="189" spans="1:14" ht="75" customHeight="1" thickTop="1" thickBot="1">
      <c r="A189" s="25">
        <v>187</v>
      </c>
      <c r="B189" s="32">
        <f ca="1">IFERROR(__xludf.DUMMYFUNCTION("""COMPUTED_VALUE"""),46165.611681655)</f>
        <v>46165.611681654998</v>
      </c>
      <c r="C189" s="33" t="str">
        <f ca="1">IFERROR(__xludf.DUMMYFUNCTION("""COMPUTED_VALUE"""),"المعملجي")</f>
        <v>المعملجي</v>
      </c>
      <c r="D189" s="33" t="str">
        <f ca="1">IFERROR(__xludf.DUMMYFUNCTION("""COMPUTED_VALUE"""),"وحدة الكهرباء")</f>
        <v>وحدة الكهرباء</v>
      </c>
      <c r="E189" s="23" t="str">
        <f ca="1">IFERROR(__xludf.DUMMYFUNCTION("""COMPUTED_VALUE"""),"قسم المشاريع الهندسية")</f>
        <v>قسم المشاريع الهندسية</v>
      </c>
      <c r="F189" s="23" t="str">
        <f ca="1">IFERROR(__xludf.DUMMYFUNCTION("""COMPUTED_VALUE"""),"A- المركز الثقافي")</f>
        <v>A- المركز الثقافي</v>
      </c>
      <c r="G189" s="23"/>
      <c r="H189" s="23" t="str">
        <f ca="1">IFERROR(__xludf.DUMMYFUNCTION("""COMPUTED_VALUE"""),"انشاء بورد قياس 40*50 سم رئيسي  مخصص للطابق الأول في رئاسة القسم لغرض تغيير تغذية السبالت المضافة البالغ عددها 5 والتي حاليا مغذاة من بورد البكجات .")</f>
        <v>انشاء بورد قياس 40*50 سم رئيسي  مخصص للطابق الأول في رئاسة القسم لغرض تغيير تغذية السبالت المضافة البالغ عددها 5 والتي حاليا مغذاة من بورد البكجات .</v>
      </c>
      <c r="I189" s="23"/>
      <c r="J189" s="23" t="s">
        <v>89</v>
      </c>
      <c r="K189" s="23" t="s">
        <v>13</v>
      </c>
      <c r="L189" s="32"/>
      <c r="M189" s="23"/>
      <c r="N189" s="2" t="s">
        <v>80</v>
      </c>
    </row>
    <row r="190" spans="1:14" ht="75" customHeight="1" thickTop="1" thickBot="1">
      <c r="A190" s="23">
        <v>188</v>
      </c>
      <c r="B190" s="32">
        <f ca="1">IFERROR(__xludf.DUMMYFUNCTION("""COMPUTED_VALUE"""),46165.6129184259)</f>
        <v>46165.612918425897</v>
      </c>
      <c r="C190" s="33" t="str">
        <f ca="1">IFERROR(__xludf.DUMMYFUNCTION("""COMPUTED_VALUE"""),"المعملجي")</f>
        <v>المعملجي</v>
      </c>
      <c r="D190" s="33" t="str">
        <f ca="1">IFERROR(__xludf.DUMMYFUNCTION("""COMPUTED_VALUE"""),"وحدة الكهرباء")</f>
        <v>وحدة الكهرباء</v>
      </c>
      <c r="E190" s="23" t="str">
        <f ca="1">IFERROR(__xludf.DUMMYFUNCTION("""COMPUTED_VALUE"""),"قسم المشاريع الهندسية")</f>
        <v>قسم المشاريع الهندسية</v>
      </c>
      <c r="F190" s="23" t="str">
        <f ca="1">IFERROR(__xludf.DUMMYFUNCTION("""COMPUTED_VALUE"""),"البيوت الخارجية")</f>
        <v>البيوت الخارجية</v>
      </c>
      <c r="G190" s="23"/>
      <c r="H190" s="23" t="str">
        <f ca="1">IFERROR(__xludf.DUMMYFUNCTION("""COMPUTED_VALUE"""),"تم اعادة الخدمة الى ups  البيوت الخارجية بعد انطفاء بسبب التحميل الزائد على منظومة الطاقة الشسمية من قبل شعبة التغذية")</f>
        <v>تم اعادة الخدمة الى ups  البيوت الخارجية بعد انطفاء بسبب التحميل الزائد على منظومة الطاقة الشسمية من قبل شعبة التغذية</v>
      </c>
      <c r="I190" s="23"/>
      <c r="J190" s="23" t="s">
        <v>89</v>
      </c>
      <c r="K190" s="23" t="s">
        <v>13</v>
      </c>
      <c r="L190" s="32"/>
      <c r="M190" s="23"/>
      <c r="N190" s="2" t="s">
        <v>77</v>
      </c>
    </row>
    <row r="191" spans="1:14" ht="75" customHeight="1" thickTop="1" thickBot="1">
      <c r="A191" s="25">
        <v>189</v>
      </c>
      <c r="B191" s="32">
        <f ca="1">IFERROR(__xludf.DUMMYFUNCTION("""COMPUTED_VALUE"""),46165.6132920486)</f>
        <v>46165.613292048598</v>
      </c>
      <c r="C191" s="33" t="str">
        <f ca="1">IFERROR(__xludf.DUMMYFUNCTION("""COMPUTED_VALUE"""),"المعملجي")</f>
        <v>المعملجي</v>
      </c>
      <c r="D191" s="33" t="str">
        <f ca="1">IFERROR(__xludf.DUMMYFUNCTION("""COMPUTED_VALUE"""),"وحدة الكهرباء")</f>
        <v>وحدة الكهرباء</v>
      </c>
      <c r="E191" s="23" t="str">
        <f ca="1">IFERROR(__xludf.DUMMYFUNCTION("""COMPUTED_VALUE"""),"قسم المشاريع الهندسية")</f>
        <v>قسم المشاريع الهندسية</v>
      </c>
      <c r="F191" s="23" t="str">
        <f ca="1">IFERROR(__xludf.DUMMYFUNCTION("""COMPUTED_VALUE"""),"A- المركز الثقافي")</f>
        <v>A- المركز الثقافي</v>
      </c>
      <c r="G191" s="23" t="str">
        <f ca="1">IFERROR(__xludf.DUMMYFUNCTION("""COMPUTED_VALUE"""),"الطابق الارضي, غرفة الكهرباء")</f>
        <v>الطابق الارضي, غرفة الكهرباء</v>
      </c>
      <c r="H191" s="23" t="str">
        <f ca="1">IFERROR(__xludf.DUMMYFUNCTION("""COMPUTED_VALUE"""),"صيانة ATS المركز الثقافي وذلك بعد فحصة وتشخيص عدة اعطال منها الكارت الداخلي لجزء الموتورايز واعادة تركيبه")</f>
        <v>صيانة ATS المركز الثقافي وذلك بعد فحصة وتشخيص عدة اعطال منها الكارت الداخلي لجزء الموتورايز واعادة تركيبه</v>
      </c>
      <c r="I191" s="23"/>
      <c r="J191" s="23" t="s">
        <v>89</v>
      </c>
      <c r="K191" s="23" t="s">
        <v>13</v>
      </c>
      <c r="L191" s="32"/>
      <c r="M191" s="23"/>
      <c r="N191" s="2" t="s">
        <v>77</v>
      </c>
    </row>
    <row r="192" spans="1:14" ht="75" customHeight="1" thickTop="1" thickBot="1">
      <c r="A192" s="23">
        <v>190</v>
      </c>
      <c r="B192" s="32">
        <f ca="1">IFERROR(__xludf.DUMMYFUNCTION("""COMPUTED_VALUE"""),46165.6136605555)</f>
        <v>46165.6136605555</v>
      </c>
      <c r="C192" s="33" t="str">
        <f ca="1">IFERROR(__xludf.DUMMYFUNCTION("""COMPUTED_VALUE"""),"المعملجي")</f>
        <v>المعملجي</v>
      </c>
      <c r="D192" s="33" t="str">
        <f ca="1">IFERROR(__xludf.DUMMYFUNCTION("""COMPUTED_VALUE"""),"وحدة الكهرباء")</f>
        <v>وحدة الكهرباء</v>
      </c>
      <c r="E192" s="23" t="str">
        <f ca="1">IFERROR(__xludf.DUMMYFUNCTION("""COMPUTED_VALUE"""),"قسم المشاريع الهندسية")</f>
        <v>قسم المشاريع الهندسية</v>
      </c>
      <c r="F192" s="23" t="str">
        <f ca="1">IFERROR(__xludf.DUMMYFUNCTION("""COMPUTED_VALUE"""),"النافورة")</f>
        <v>النافورة</v>
      </c>
      <c r="G192" s="23"/>
      <c r="H192" s="23" t="str">
        <f ca="1">IFERROR(__xludf.DUMMYFUNCTION("""COMPUTED_VALUE"""),"تغذية سيار كهرباء بناءً على طلب من شعبة المراقبة المدرسية عبر لوحة توزيع الكهرباء الخاصة بالمهرجان")</f>
        <v>تغذية سيار كهرباء بناءً على طلب من شعبة المراقبة المدرسية عبر لوحة توزيع الكهرباء الخاصة بالمهرجان</v>
      </c>
      <c r="I192" s="23"/>
      <c r="J192" s="23" t="s">
        <v>89</v>
      </c>
      <c r="K192" s="23" t="s">
        <v>13</v>
      </c>
      <c r="L192" s="32"/>
      <c r="M192" s="23"/>
      <c r="N192" s="2" t="s">
        <v>77</v>
      </c>
    </row>
    <row r="193" spans="1:14" ht="75" customHeight="1" thickTop="1" thickBot="1">
      <c r="A193" s="25">
        <v>191</v>
      </c>
      <c r="B193" s="32">
        <f ca="1">IFERROR(__xludf.DUMMYFUNCTION("""COMPUTED_VALUE"""),46165.6139352546)</f>
        <v>46165.613935254602</v>
      </c>
      <c r="C193" s="33" t="str">
        <f ca="1">IFERROR(__xludf.DUMMYFUNCTION("""COMPUTED_VALUE"""),"المعملجي")</f>
        <v>المعملجي</v>
      </c>
      <c r="D193" s="33" t="str">
        <f ca="1">IFERROR(__xludf.DUMMYFUNCTION("""COMPUTED_VALUE"""),"وحدة الكهرباء")</f>
        <v>وحدة الكهرباء</v>
      </c>
      <c r="E193" s="23" t="str">
        <f ca="1">IFERROR(__xludf.DUMMYFUNCTION("""COMPUTED_VALUE"""),"قسم المشاريع الهندسية")</f>
        <v>قسم المشاريع الهندسية</v>
      </c>
      <c r="F193" s="23" t="str">
        <f ca="1">IFERROR(__xludf.DUMMYFUNCTION("""COMPUTED_VALUE"""),"A- المركز الثقافي")</f>
        <v>A- المركز الثقافي</v>
      </c>
      <c r="G193" s="23"/>
      <c r="H193" s="23" t="str">
        <f ca="1">IFERROR(__xludf.DUMMYFUNCTION("""COMPUTED_VALUE"""),"تثبيت البورد الرئيسي (40*50) سم لغرض تغذية السبالت فوق السقف الثانوي للطابق الأول في رئاسة القسم.")</f>
        <v>تثبيت البورد الرئيسي (40*50) سم لغرض تغذية السبالت فوق السقف الثانوي للطابق الأول في رئاسة القسم.</v>
      </c>
      <c r="I193" s="23"/>
      <c r="J193" s="23" t="s">
        <v>89</v>
      </c>
      <c r="K193" s="23" t="s">
        <v>13</v>
      </c>
      <c r="L193" s="32"/>
      <c r="M193" s="23"/>
      <c r="N193" s="2" t="s">
        <v>77</v>
      </c>
    </row>
    <row r="194" spans="1:14" ht="75" customHeight="1" thickTop="1" thickBot="1">
      <c r="A194" s="23">
        <v>192</v>
      </c>
      <c r="B194" s="32">
        <f ca="1">IFERROR(__xludf.DUMMYFUNCTION("""COMPUTED_VALUE"""),46165.6140911574)</f>
        <v>46165.614091157397</v>
      </c>
      <c r="C194" s="33" t="str">
        <f ca="1">IFERROR(__xludf.DUMMYFUNCTION("""COMPUTED_VALUE"""),"المعملجي")</f>
        <v>المعملجي</v>
      </c>
      <c r="D194" s="33" t="str">
        <f ca="1">IFERROR(__xludf.DUMMYFUNCTION("""COMPUTED_VALUE"""),"وحدة الكهرباء")</f>
        <v>وحدة الكهرباء</v>
      </c>
      <c r="E194" s="23" t="str">
        <f ca="1">IFERROR(__xludf.DUMMYFUNCTION("""COMPUTED_VALUE"""),"قسم المشاريع الهندسية")</f>
        <v>قسم المشاريع الهندسية</v>
      </c>
      <c r="F194" s="23" t="str">
        <f ca="1">IFERROR(__xludf.DUMMYFUNCTION("""COMPUTED_VALUE"""),"A- المركز الثقافي")</f>
        <v>A- المركز الثقافي</v>
      </c>
      <c r="G194" s="23"/>
      <c r="H194" s="23" t="str">
        <f ca="1">IFERROR(__xludf.DUMMYFUNCTION("""COMPUTED_VALUE"""),"تثبيت البورد الثانوي (30*40) سم فوق السقف الثانوي للطابق الأرضي في نفس المبنى.")</f>
        <v>تثبيت البورد الثانوي (30*40) سم فوق السقف الثانوي للطابق الأرضي في نفس المبنى.</v>
      </c>
      <c r="I194" s="23"/>
      <c r="J194" s="23" t="s">
        <v>89</v>
      </c>
      <c r="K194" s="23" t="s">
        <v>13</v>
      </c>
      <c r="L194" s="32"/>
      <c r="M194" s="23"/>
      <c r="N194" s="2" t="s">
        <v>77</v>
      </c>
    </row>
    <row r="195" spans="1:14" ht="75" customHeight="1" thickTop="1" thickBot="1">
      <c r="A195" s="25">
        <v>193</v>
      </c>
      <c r="B195" s="32">
        <f ca="1">IFERROR(__xludf.DUMMYFUNCTION("""COMPUTED_VALUE"""),46165.6145967592)</f>
        <v>46165.614596759202</v>
      </c>
      <c r="C195" s="33" t="str">
        <f ca="1">IFERROR(__xludf.DUMMYFUNCTION("""COMPUTED_VALUE"""),"المعملجي")</f>
        <v>المعملجي</v>
      </c>
      <c r="D195" s="33" t="str">
        <f ca="1">IFERROR(__xludf.DUMMYFUNCTION("""COMPUTED_VALUE"""),"وحدة الكهرباء")</f>
        <v>وحدة الكهرباء</v>
      </c>
      <c r="E195" s="23" t="str">
        <f ca="1">IFERROR(__xludf.DUMMYFUNCTION("""COMPUTED_VALUE"""),"قسم المشاريع الهندسية")</f>
        <v>قسم المشاريع الهندسية</v>
      </c>
      <c r="F195" s="23" t="str">
        <f ca="1">IFERROR(__xludf.DUMMYFUNCTION("""COMPUTED_VALUE"""),"A- المركز الثقافي")</f>
        <v>A- المركز الثقافي</v>
      </c>
      <c r="G195" s="23" t="str">
        <f ca="1">IFERROR(__xludf.DUMMYFUNCTION("""COMPUTED_VALUE"""),"رئاسة القسم")</f>
        <v>رئاسة القسم</v>
      </c>
      <c r="H195" s="23" t="str">
        <f ca="1">IFERROR(__xludf.DUMMYFUNCTION("""COMPUTED_VALUE"""),"زيادة طول قابلو حجم 4x16 ملم بمقدار 12 متر تقريباً بأستخدام جوين ثمبل وعزله جيداً باستخدام الشرنكات وأيصاله للبورد الجديد الخاص بتغذية السبالت")</f>
        <v>زيادة طول قابلو حجم 4x16 ملم بمقدار 12 متر تقريباً بأستخدام جوين ثمبل وعزله جيداً باستخدام الشرنكات وأيصاله للبورد الجديد الخاص بتغذية السبالت</v>
      </c>
      <c r="I195" s="23"/>
      <c r="J195" s="23" t="s">
        <v>89</v>
      </c>
      <c r="K195" s="23" t="s">
        <v>13</v>
      </c>
      <c r="L195" s="32"/>
      <c r="M195" s="23"/>
      <c r="N195" s="2" t="s">
        <v>77</v>
      </c>
    </row>
    <row r="196" spans="1:14" ht="75" customHeight="1" thickTop="1" thickBot="1">
      <c r="A196" s="23">
        <v>194</v>
      </c>
      <c r="B196" s="32">
        <f ca="1">IFERROR(__xludf.DUMMYFUNCTION("""COMPUTED_VALUE"""),46165.614935081)</f>
        <v>46165.614935081001</v>
      </c>
      <c r="C196" s="33" t="str">
        <f ca="1">IFERROR(__xludf.DUMMYFUNCTION("""COMPUTED_VALUE"""),"المعملجي")</f>
        <v>المعملجي</v>
      </c>
      <c r="D196" s="33" t="str">
        <f ca="1">IFERROR(__xludf.DUMMYFUNCTION("""COMPUTED_VALUE"""),"وحدة الكهرباء")</f>
        <v>وحدة الكهرباء</v>
      </c>
      <c r="E196" s="23" t="str">
        <f ca="1">IFERROR(__xludf.DUMMYFUNCTION("""COMPUTED_VALUE"""),"قسم المشاريع الهندسية")</f>
        <v>قسم المشاريع الهندسية</v>
      </c>
      <c r="F196" s="23" t="str">
        <f ca="1">IFERROR(__xludf.DUMMYFUNCTION("""COMPUTED_VALUE"""),"A- المركز الثقافي")</f>
        <v>A- المركز الثقافي</v>
      </c>
      <c r="G196" s="23"/>
      <c r="H196" s="23" t="str">
        <f ca="1">IFERROR(__xludf.DUMMYFUNCTION("""COMPUTED_VALUE"""),"مد قابلو بحجم 4x10 ملم من البورد الجديد الخاص بسبالت رئاسة القسم الموجود في الطابق الأول الى بورد آخر خاص بتغذية سبالت الطابق الأرضي")</f>
        <v>مد قابلو بحجم 4x10 ملم من البورد الجديد الخاص بسبالت رئاسة القسم الموجود في الطابق الأول الى بورد آخر خاص بتغذية سبالت الطابق الأرضي</v>
      </c>
      <c r="I196" s="23"/>
      <c r="J196" s="23" t="s">
        <v>89</v>
      </c>
      <c r="K196" s="23" t="s">
        <v>13</v>
      </c>
      <c r="L196" s="32"/>
      <c r="M196" s="23"/>
      <c r="N196" s="2" t="s">
        <v>77</v>
      </c>
    </row>
    <row r="197" spans="1:14" ht="75" customHeight="1" thickTop="1" thickBot="1">
      <c r="A197" s="25">
        <v>195</v>
      </c>
      <c r="B197" s="32">
        <f ca="1">IFERROR(__xludf.DUMMYFUNCTION("""COMPUTED_VALUE"""),46165.6152801504)</f>
        <v>46165.615280150399</v>
      </c>
      <c r="C197" s="33" t="str">
        <f ca="1">IFERROR(__xludf.DUMMYFUNCTION("""COMPUTED_VALUE"""),"المعملجي")</f>
        <v>المعملجي</v>
      </c>
      <c r="D197" s="33" t="str">
        <f ca="1">IFERROR(__xludf.DUMMYFUNCTION("""COMPUTED_VALUE"""),"وحدة الكهرباء")</f>
        <v>وحدة الكهرباء</v>
      </c>
      <c r="E197" s="23" t="str">
        <f ca="1">IFERROR(__xludf.DUMMYFUNCTION("""COMPUTED_VALUE"""),"قسم المشاريع الهندسية")</f>
        <v>قسم المشاريع الهندسية</v>
      </c>
      <c r="F197" s="23" t="str">
        <f ca="1">IFERROR(__xludf.DUMMYFUNCTION("""COMPUTED_VALUE"""),"A- المركز الثقافي")</f>
        <v>A- المركز الثقافي</v>
      </c>
      <c r="G197" s="23"/>
      <c r="H197" s="23" t="str">
        <f ca="1">IFERROR(__xludf.DUMMYFUNCTION("""COMPUTED_VALUE"""),"تغيير موضع تغذية القابلو الذي تم استخدامه لتغذية جميع سبالت رئاسة القسم من بورد التبريد في الطابق الأول الى بورد التوزيع ")</f>
        <v xml:space="preserve">تغيير موضع تغذية القابلو الذي تم استخدامه لتغذية جميع سبالت رئاسة القسم من بورد التبريد في الطابق الأول الى بورد التوزيع </v>
      </c>
      <c r="I197" s="23"/>
      <c r="J197" s="23" t="s">
        <v>89</v>
      </c>
      <c r="K197" s="23" t="s">
        <v>13</v>
      </c>
      <c r="L197" s="32"/>
      <c r="M197" s="23"/>
      <c r="N197" s="2" t="s">
        <v>77</v>
      </c>
    </row>
    <row r="198" spans="1:14" ht="75" customHeight="1" thickTop="1" thickBot="1">
      <c r="A198" s="23">
        <v>196</v>
      </c>
      <c r="B198" s="32">
        <f ca="1">IFERROR(__xludf.DUMMYFUNCTION("""COMPUTED_VALUE"""),46165.6163917361)</f>
        <v>46165.616391736097</v>
      </c>
      <c r="C198" s="33" t="str">
        <f ca="1">IFERROR(__xludf.DUMMYFUNCTION("""COMPUTED_VALUE"""),"المعملجي")</f>
        <v>المعملجي</v>
      </c>
      <c r="D198" s="33" t="str">
        <f ca="1">IFERROR(__xludf.DUMMYFUNCTION("""COMPUTED_VALUE"""),"وحدة الكهرباء")</f>
        <v>وحدة الكهرباء</v>
      </c>
      <c r="E198" s="23" t="str">
        <f ca="1">IFERROR(__xludf.DUMMYFUNCTION("""COMPUTED_VALUE"""),"قسم المشاريع الهندسية")</f>
        <v>قسم المشاريع الهندسية</v>
      </c>
      <c r="F198" s="23" t="str">
        <f ca="1">IFERROR(__xludf.DUMMYFUNCTION("""COMPUTED_VALUE"""),"A- المركز الثقافي")</f>
        <v>A- المركز الثقافي</v>
      </c>
      <c r="G198" s="23"/>
      <c r="H198" s="23" t="str">
        <f ca="1">IFERROR(__xludf.DUMMYFUNCTION("""COMPUTED_VALUE"""),"نقل الاسلاك من الطابق الارضي  اللى الطابق الاول لغرض تغذية السبالت ")</f>
        <v xml:space="preserve">نقل الاسلاك من الطابق الارضي  اللى الطابق الاول لغرض تغذية السبالت </v>
      </c>
      <c r="I198" s="23"/>
      <c r="J198" s="23" t="s">
        <v>89</v>
      </c>
      <c r="K198" s="23" t="s">
        <v>13</v>
      </c>
      <c r="L198" s="32"/>
      <c r="M198" s="23"/>
      <c r="N198" s="2" t="s">
        <v>77</v>
      </c>
    </row>
    <row r="199" spans="1:14" ht="75" customHeight="1" thickTop="1" thickBot="1">
      <c r="A199" s="25">
        <v>197</v>
      </c>
      <c r="B199" s="32">
        <f ca="1">IFERROR(__xludf.DUMMYFUNCTION("""COMPUTED_VALUE"""),46165.6169428703)</f>
        <v>46165.6169428703</v>
      </c>
      <c r="C199" s="33" t="str">
        <f ca="1">IFERROR(__xludf.DUMMYFUNCTION("""COMPUTED_VALUE"""),"المعملجي")</f>
        <v>المعملجي</v>
      </c>
      <c r="D199" s="33" t="str">
        <f ca="1">IFERROR(__xludf.DUMMYFUNCTION("""COMPUTED_VALUE"""),"وحدة الكهرباء")</f>
        <v>وحدة الكهرباء</v>
      </c>
      <c r="E199" s="23" t="str">
        <f ca="1">IFERROR(__xludf.DUMMYFUNCTION("""COMPUTED_VALUE"""),"قسم المشاريع الهندسية")</f>
        <v>قسم المشاريع الهندسية</v>
      </c>
      <c r="F199" s="23" t="str">
        <f ca="1">IFERROR(__xludf.DUMMYFUNCTION("""COMPUTED_VALUE"""),"B- روضة القمر")</f>
        <v>B- روضة القمر</v>
      </c>
      <c r="G199" s="23" t="str">
        <f ca="1">IFERROR(__xludf.DUMMYFUNCTION("""COMPUTED_VALUE"""),"الصحيات الخارجية")</f>
        <v>الصحيات الخارجية</v>
      </c>
      <c r="H199" s="23" t="str">
        <f ca="1">IFERROR(__xludf.DUMMYFUNCTION("""COMPUTED_VALUE"""),"استبدال محولة سبوت لايت")</f>
        <v>استبدال محولة سبوت لايت</v>
      </c>
      <c r="I199" s="23"/>
      <c r="J199" s="23" t="s">
        <v>89</v>
      </c>
      <c r="K199" s="23" t="s">
        <v>13</v>
      </c>
      <c r="L199" s="32"/>
      <c r="M199" s="23"/>
      <c r="N199" s="2" t="s">
        <v>77</v>
      </c>
    </row>
    <row r="200" spans="1:14" ht="75" customHeight="1" thickTop="1" thickBot="1">
      <c r="A200" s="23">
        <v>198</v>
      </c>
      <c r="B200" s="32">
        <f ca="1">IFERROR(__xludf.DUMMYFUNCTION("""COMPUTED_VALUE"""),46165.617379155)</f>
        <v>46165.617379155003</v>
      </c>
      <c r="C200" s="33" t="str">
        <f ca="1">IFERROR(__xludf.DUMMYFUNCTION("""COMPUTED_VALUE"""),"المعملجي")</f>
        <v>المعملجي</v>
      </c>
      <c r="D200" s="33" t="str">
        <f ca="1">IFERROR(__xludf.DUMMYFUNCTION("""COMPUTED_VALUE"""),"وحدة الكهرباء")</f>
        <v>وحدة الكهرباء</v>
      </c>
      <c r="E200" s="23" t="str">
        <f ca="1">IFERROR(__xludf.DUMMYFUNCTION("""COMPUTED_VALUE"""),"قسم المشاريع الهندسية")</f>
        <v>قسم المشاريع الهندسية</v>
      </c>
      <c r="F200" s="23" t="str">
        <f ca="1">IFERROR(__xludf.DUMMYFUNCTION("""COMPUTED_VALUE"""),"A- المركز الثقافي")</f>
        <v>A- المركز الثقافي</v>
      </c>
      <c r="G200" s="23" t="str">
        <f ca="1">IFERROR(__xludf.DUMMYFUNCTION("""COMPUTED_VALUE"""),"الطابق الثاني")</f>
        <v>الطابق الثاني</v>
      </c>
      <c r="H200" s="23" t="str">
        <f ca="1">IFERROR(__xludf.DUMMYFUNCTION("""COMPUTED_VALUE"""),"تم فتح وصيانة وإعادة ربط عدد (2) كارت خاص بجهاز منظومة التبريد نوع VRF")</f>
        <v>تم فتح وصيانة وإعادة ربط عدد (2) كارت خاص بجهاز منظومة التبريد نوع VRF</v>
      </c>
      <c r="I200" s="23"/>
      <c r="J200" s="23" t="s">
        <v>89</v>
      </c>
      <c r="K200" s="23" t="s">
        <v>13</v>
      </c>
      <c r="L200" s="32"/>
      <c r="M200" s="23"/>
      <c r="N200" s="2" t="s">
        <v>77</v>
      </c>
    </row>
    <row r="201" spans="1:14" ht="75" customHeight="1" thickTop="1" thickBot="1">
      <c r="A201" s="25">
        <v>199</v>
      </c>
      <c r="B201" s="32">
        <f ca="1">IFERROR(__xludf.DUMMYFUNCTION("""COMPUTED_VALUE"""),46165.6176864467)</f>
        <v>46165.617686446698</v>
      </c>
      <c r="C201" s="33" t="str">
        <f ca="1">IFERROR(__xludf.DUMMYFUNCTION("""COMPUTED_VALUE"""),"المعملجي")</f>
        <v>المعملجي</v>
      </c>
      <c r="D201" s="33" t="str">
        <f ca="1">IFERROR(__xludf.DUMMYFUNCTION("""COMPUTED_VALUE"""),"وحدة الكهرباء")</f>
        <v>وحدة الكهرباء</v>
      </c>
      <c r="E201" s="23" t="str">
        <f ca="1">IFERROR(__xludf.DUMMYFUNCTION("""COMPUTED_VALUE"""),"قسم المشاريع الهندسية")</f>
        <v>قسم المشاريع الهندسية</v>
      </c>
      <c r="F201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01" s="23" t="str">
        <f ca="1">IFERROR(__xludf.DUMMYFUNCTION("""COMPUTED_VALUE"""),"السطح")</f>
        <v>السطح</v>
      </c>
      <c r="H201" s="23" t="str">
        <f ca="1">IFERROR(__xludf.DUMMYFUNCTION("""COMPUTED_VALUE"""),"صيانة مضخة اطفاء الحريق (الديزل)")</f>
        <v>صيانة مضخة اطفاء الحريق (الديزل)</v>
      </c>
      <c r="I201" s="23"/>
      <c r="J201" s="23" t="s">
        <v>89</v>
      </c>
      <c r="K201" s="23" t="s">
        <v>13</v>
      </c>
      <c r="L201" s="32"/>
      <c r="M201" s="23"/>
      <c r="N201" s="2" t="s">
        <v>77</v>
      </c>
    </row>
    <row r="202" spans="1:14" ht="75" customHeight="1" thickTop="1" thickBot="1">
      <c r="A202" s="23">
        <v>200</v>
      </c>
      <c r="B202" s="32">
        <f ca="1">IFERROR(__xludf.DUMMYFUNCTION("""COMPUTED_VALUE"""),46165.6179903819)</f>
        <v>46165.617990381899</v>
      </c>
      <c r="C202" s="33" t="str">
        <f ca="1">IFERROR(__xludf.DUMMYFUNCTION("""COMPUTED_VALUE"""),"المعملجي")</f>
        <v>المعملجي</v>
      </c>
      <c r="D202" s="33" t="str">
        <f ca="1">IFERROR(__xludf.DUMMYFUNCTION("""COMPUTED_VALUE"""),"وحدة الكهرباء")</f>
        <v>وحدة الكهرباء</v>
      </c>
      <c r="E202" s="23" t="str">
        <f ca="1">IFERROR(__xludf.DUMMYFUNCTION("""COMPUTED_VALUE"""),"قسم المشاريع الهندسية")</f>
        <v>قسم المشاريع الهندسية</v>
      </c>
      <c r="F202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202" s="23" t="str">
        <f ca="1">IFERROR(__xludf.DUMMYFUNCTION("""COMPUTED_VALUE"""),"السطح")</f>
        <v>السطح</v>
      </c>
      <c r="H202" s="23" t="str">
        <f ca="1">IFERROR(__xludf.DUMMYFUNCTION("""COMPUTED_VALUE"""),"فحص مضخة الديزل")</f>
        <v>فحص مضخة الديزل</v>
      </c>
      <c r="I202" s="23"/>
      <c r="J202" s="23" t="s">
        <v>89</v>
      </c>
      <c r="K202" s="23" t="s">
        <v>13</v>
      </c>
      <c r="L202" s="32"/>
      <c r="M202" s="23"/>
      <c r="N202" s="2" t="s">
        <v>81</v>
      </c>
    </row>
    <row r="203" spans="1:14" ht="75" customHeight="1" thickTop="1" thickBot="1">
      <c r="A203" s="25">
        <v>201</v>
      </c>
      <c r="B203" s="32">
        <f ca="1">IFERROR(__xludf.DUMMYFUNCTION("""COMPUTED_VALUE"""),46165.6186743634)</f>
        <v>46165.618674363403</v>
      </c>
      <c r="C203" s="33" t="str">
        <f ca="1">IFERROR(__xludf.DUMMYFUNCTION("""COMPUTED_VALUE"""),"المعملجي")</f>
        <v>المعملجي</v>
      </c>
      <c r="D203" s="33" t="str">
        <f ca="1">IFERROR(__xludf.DUMMYFUNCTION("""COMPUTED_VALUE"""),"وحدة الكهرباء")</f>
        <v>وحدة الكهرباء</v>
      </c>
      <c r="E203" s="23" t="str">
        <f ca="1">IFERROR(__xludf.DUMMYFUNCTION("""COMPUTED_VALUE"""),"قسم المشاريع الهندسية")</f>
        <v>قسم المشاريع الهندسية</v>
      </c>
      <c r="F203" s="23" t="str">
        <f ca="1">IFERROR(__xludf.DUMMYFUNCTION("""COMPUTED_VALUE"""),"مولدات GH")</f>
        <v>مولدات GH</v>
      </c>
      <c r="G203" s="23"/>
      <c r="H203" s="23" t="str">
        <f ca="1">IFERROR(__xludf.DUMMYFUNCTION("""COMPUTED_VALUE"""),"صيانة المولدة (1MVA) ")</f>
        <v xml:space="preserve">صيانة المولدة (1MVA) </v>
      </c>
      <c r="I203" s="23"/>
      <c r="J203" s="23" t="s">
        <v>89</v>
      </c>
      <c r="K203" s="23" t="s">
        <v>13</v>
      </c>
      <c r="L203" s="32"/>
      <c r="M203" s="23"/>
      <c r="N203" s="2" t="s">
        <v>81</v>
      </c>
    </row>
    <row r="204" spans="1:14" ht="75" customHeight="1" thickTop="1" thickBot="1">
      <c r="A204" s="23">
        <v>202</v>
      </c>
      <c r="B204" s="32">
        <f ca="1">IFERROR(__xludf.DUMMYFUNCTION("""COMPUTED_VALUE"""),46165.619190868)</f>
        <v>46165.619190867998</v>
      </c>
      <c r="C204" s="33" t="str">
        <f ca="1">IFERROR(__xludf.DUMMYFUNCTION("""COMPUTED_VALUE"""),"المعملجي")</f>
        <v>المعملجي</v>
      </c>
      <c r="D204" s="33" t="str">
        <f ca="1">IFERROR(__xludf.DUMMYFUNCTION("""COMPUTED_VALUE"""),"وحدة الكهرباء")</f>
        <v>وحدة الكهرباء</v>
      </c>
      <c r="E204" s="23" t="str">
        <f ca="1">IFERROR(__xludf.DUMMYFUNCTION("""COMPUTED_VALUE"""),"قسم المشاريع الهندسية")</f>
        <v>قسم المشاريع الهندسية</v>
      </c>
      <c r="F204" s="23" t="str">
        <f ca="1">IFERROR(__xludf.DUMMYFUNCTION("""COMPUTED_VALUE"""),"مولدات GH")</f>
        <v>مولدات GH</v>
      </c>
      <c r="G204" s="23"/>
      <c r="H204" s="23" t="str">
        <f ca="1">IFERROR(__xludf.DUMMYFUNCTION("""COMPUTED_VALUE"""),"إعادة مولد الكهرباء سعة 250 KVA إلى الخدمة")</f>
        <v>إعادة مولد الكهرباء سعة 250 KVA إلى الخدمة</v>
      </c>
      <c r="I204" s="23"/>
      <c r="J204" s="23" t="s">
        <v>89</v>
      </c>
      <c r="K204" s="23" t="s">
        <v>13</v>
      </c>
      <c r="L204" s="32"/>
      <c r="M204" s="23"/>
      <c r="N204" s="2" t="s">
        <v>82</v>
      </c>
    </row>
    <row r="205" spans="1:14" ht="75" customHeight="1" thickTop="1" thickBot="1">
      <c r="A205" s="25">
        <v>203</v>
      </c>
      <c r="B205" s="32">
        <f ca="1">IFERROR(__xludf.DUMMYFUNCTION("""COMPUTED_VALUE"""),46165.6198630555)</f>
        <v>46165.619863055501</v>
      </c>
      <c r="C205" s="33" t="str">
        <f ca="1">IFERROR(__xludf.DUMMYFUNCTION("""COMPUTED_VALUE"""),"المعملجي")</f>
        <v>المعملجي</v>
      </c>
      <c r="D205" s="33" t="str">
        <f ca="1">IFERROR(__xludf.DUMMYFUNCTION("""COMPUTED_VALUE"""),"وحدة الكهرباء")</f>
        <v>وحدة الكهرباء</v>
      </c>
      <c r="E205" s="23" t="str">
        <f ca="1">IFERROR(__xludf.DUMMYFUNCTION("""COMPUTED_VALUE"""),"قسم المشاريع الهندسية")</f>
        <v>قسم المشاريع الهندسية</v>
      </c>
      <c r="F205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05" s="23"/>
      <c r="H205" s="23" t="str">
        <f ca="1">IFERROR(__xludf.DUMMYFUNCTION("""COMPUTED_VALUE"""),"الغاء مآخذ القدرة (13 امبير) من المحولات")</f>
        <v>الغاء مآخذ القدرة (13 امبير) من المحولات</v>
      </c>
      <c r="I205" s="23"/>
      <c r="J205" s="23" t="s">
        <v>89</v>
      </c>
      <c r="K205" s="23" t="s">
        <v>13</v>
      </c>
      <c r="L205" s="32"/>
      <c r="M205" s="23"/>
      <c r="N205" s="2" t="s">
        <v>81</v>
      </c>
    </row>
    <row r="206" spans="1:14" ht="75" customHeight="1" thickTop="1" thickBot="1">
      <c r="A206" s="23">
        <v>204</v>
      </c>
      <c r="B206" s="32">
        <f ca="1">IFERROR(__xludf.DUMMYFUNCTION("""COMPUTED_VALUE"""),46165.6200642824)</f>
        <v>46165.620064282397</v>
      </c>
      <c r="C206" s="33" t="str">
        <f ca="1">IFERROR(__xludf.DUMMYFUNCTION("""COMPUTED_VALUE"""),"المعملجي")</f>
        <v>المعملجي</v>
      </c>
      <c r="D206" s="33" t="str">
        <f ca="1">IFERROR(__xludf.DUMMYFUNCTION("""COMPUTED_VALUE"""),"وحدة الكهرباء")</f>
        <v>وحدة الكهرباء</v>
      </c>
      <c r="E206" s="23" t="str">
        <f ca="1">IFERROR(__xludf.DUMMYFUNCTION("""COMPUTED_VALUE"""),"قسم المشاريع الهندسية")</f>
        <v>قسم المشاريع الهندسية</v>
      </c>
      <c r="F20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206" s="23"/>
      <c r="H206" s="23" t="str">
        <f ca="1">IFERROR(__xludf.DUMMYFUNCTION("""COMPUTED_VALUE"""),"الغاء مآخذ القدرة (13 امبير) من المحولات")</f>
        <v>الغاء مآخذ القدرة (13 امبير) من المحولات</v>
      </c>
      <c r="I206" s="23"/>
      <c r="J206" s="23" t="s">
        <v>89</v>
      </c>
      <c r="K206" s="23" t="s">
        <v>13</v>
      </c>
      <c r="L206" s="32"/>
      <c r="M206" s="23"/>
      <c r="N206" s="2" t="s">
        <v>77</v>
      </c>
    </row>
    <row r="207" spans="1:14" ht="75" customHeight="1" thickTop="1" thickBot="1">
      <c r="A207" s="25">
        <v>205</v>
      </c>
      <c r="B207" s="32">
        <f ca="1">IFERROR(__xludf.DUMMYFUNCTION("""COMPUTED_VALUE"""),46165.6202248263)</f>
        <v>46165.6202248263</v>
      </c>
      <c r="C207" s="33" t="str">
        <f ca="1">IFERROR(__xludf.DUMMYFUNCTION("""COMPUTED_VALUE"""),"المعملجي")</f>
        <v>المعملجي</v>
      </c>
      <c r="D207" s="33" t="str">
        <f ca="1">IFERROR(__xludf.DUMMYFUNCTION("""COMPUTED_VALUE"""),"وحدة الكهرباء")</f>
        <v>وحدة الكهرباء</v>
      </c>
      <c r="E207" s="23" t="str">
        <f ca="1">IFERROR(__xludf.DUMMYFUNCTION("""COMPUTED_VALUE"""),"قسم المشاريع الهندسية")</f>
        <v>قسم المشاريع الهندسية</v>
      </c>
      <c r="F207" s="23" t="str">
        <f ca="1">IFERROR(__xludf.DUMMYFUNCTION("""COMPUTED_VALUE"""),"E- ابتدائية العميد للبنات (الثالثة)")</f>
        <v>E- ابتدائية العميد للبنات (الثالثة)</v>
      </c>
      <c r="G207" s="23"/>
      <c r="H207" s="23" t="str">
        <f ca="1">IFERROR(__xludf.DUMMYFUNCTION("""COMPUTED_VALUE"""),"الغاء مآخذ القدرة (13 امبير) من المحولات")</f>
        <v>الغاء مآخذ القدرة (13 امبير) من المحولات</v>
      </c>
      <c r="I207" s="23"/>
      <c r="J207" s="23" t="s">
        <v>89</v>
      </c>
      <c r="K207" s="23" t="s">
        <v>13</v>
      </c>
      <c r="L207" s="32"/>
      <c r="M207" s="23"/>
      <c r="N207" s="2" t="s">
        <v>77</v>
      </c>
    </row>
    <row r="208" spans="1:14" ht="75" customHeight="1" thickTop="1" thickBot="1">
      <c r="A208" s="23">
        <v>206</v>
      </c>
      <c r="B208" s="32">
        <f ca="1">IFERROR(__xludf.DUMMYFUNCTION("""COMPUTED_VALUE"""),46165.6205099074)</f>
        <v>46165.6205099074</v>
      </c>
      <c r="C208" s="33" t="str">
        <f ca="1">IFERROR(__xludf.DUMMYFUNCTION("""COMPUTED_VALUE"""),"المعملجي")</f>
        <v>المعملجي</v>
      </c>
      <c r="D208" s="33" t="str">
        <f ca="1">IFERROR(__xludf.DUMMYFUNCTION("""COMPUTED_VALUE"""),"وحدة الكهرباء")</f>
        <v>وحدة الكهرباء</v>
      </c>
      <c r="E208" s="23" t="str">
        <f ca="1">IFERROR(__xludf.DUMMYFUNCTION("""COMPUTED_VALUE"""),"قسم المشاريع الهندسية")</f>
        <v>قسم المشاريع الهندسية</v>
      </c>
      <c r="F208" s="23" t="str">
        <f ca="1">IFERROR(__xludf.DUMMYFUNCTION("""COMPUTED_VALUE"""),"F-  ابتدائية جود العميد للبنات (الرابعة)")</f>
        <v>F-  ابتدائية جود العميد للبنات (الرابعة)</v>
      </c>
      <c r="G208" s="23"/>
      <c r="H208" s="23" t="str">
        <f ca="1">IFERROR(__xludf.DUMMYFUNCTION("""COMPUTED_VALUE"""),"الغاء مآخذ القدرة (13 امبير) من المحولات")</f>
        <v>الغاء مآخذ القدرة (13 امبير) من المحولات</v>
      </c>
      <c r="I208" s="23"/>
      <c r="J208" s="23" t="s">
        <v>89</v>
      </c>
      <c r="K208" s="23" t="s">
        <v>13</v>
      </c>
      <c r="L208" s="32"/>
      <c r="M208" s="23"/>
      <c r="N208" s="2" t="s">
        <v>77</v>
      </c>
    </row>
    <row r="209" spans="1:14" ht="75" customHeight="1" thickTop="1" thickBot="1">
      <c r="A209" s="25">
        <v>207</v>
      </c>
      <c r="B209" s="32">
        <f ca="1">IFERROR(__xludf.DUMMYFUNCTION("""COMPUTED_VALUE"""),46165.6221475578)</f>
        <v>46165.622147557799</v>
      </c>
      <c r="C209" s="33" t="str">
        <f ca="1">IFERROR(__xludf.DUMMYFUNCTION("""COMPUTED_VALUE"""),"المعملجي")</f>
        <v>المعملجي</v>
      </c>
      <c r="D209" s="33" t="str">
        <f ca="1">IFERROR(__xludf.DUMMYFUNCTION("""COMPUTED_VALUE"""),"وحدة الكهرباء")</f>
        <v>وحدة الكهرباء</v>
      </c>
      <c r="E209" s="23" t="str">
        <f ca="1">IFERROR(__xludf.DUMMYFUNCTION("""COMPUTED_VALUE"""),"قسم المشاريع الهندسية")</f>
        <v>قسم المشاريع الهندسية</v>
      </c>
      <c r="F209" s="23" t="str">
        <f ca="1">IFERROR(__xludf.DUMMYFUNCTION("""COMPUTED_VALUE"""),"A- المركز الثقافي")</f>
        <v>A- المركز الثقافي</v>
      </c>
      <c r="G209" s="23" t="str">
        <f ca="1">IFERROR(__xludf.DUMMYFUNCTION("""COMPUTED_VALUE"""),"الطابق الارضي")</f>
        <v>الطابق الارضي</v>
      </c>
      <c r="H209" s="23" t="str">
        <f ca="1">IFERROR(__xludf.DUMMYFUNCTION("""COMPUTED_VALUE"""),"إعادة اجهزة البدالة الداخلية الى الخدمة الخاصة بجميع مدارس مجموعة العميد حيث توقفت بسبب خلل في UPS")</f>
        <v>إعادة اجهزة البدالة الداخلية الى الخدمة الخاصة بجميع مدارس مجموعة العميد حيث توقفت بسبب خلل في UPS</v>
      </c>
      <c r="I209" s="23"/>
      <c r="J209" s="23" t="s">
        <v>89</v>
      </c>
      <c r="K209" s="23" t="s">
        <v>13</v>
      </c>
      <c r="L209" s="32"/>
      <c r="M209" s="23"/>
      <c r="N209" s="2" t="s">
        <v>77</v>
      </c>
    </row>
    <row r="210" spans="1:14" ht="75" customHeight="1" thickTop="1" thickBot="1">
      <c r="A210" s="23">
        <v>208</v>
      </c>
      <c r="B210" s="32">
        <f ca="1">IFERROR(__xludf.DUMMYFUNCTION("""COMPUTED_VALUE"""),46168.5338718518)</f>
        <v>46168.533871851803</v>
      </c>
      <c r="C210" s="33" t="str">
        <f ca="1">IFERROR(__xludf.DUMMYFUNCTION("""COMPUTED_VALUE"""),"المعملجي")</f>
        <v>المعملجي</v>
      </c>
      <c r="D210" s="33" t="str">
        <f ca="1">IFERROR(__xludf.DUMMYFUNCTION("""COMPUTED_VALUE"""),"ابراهيم الخطابي")</f>
        <v>ابراهيم الخطابي</v>
      </c>
      <c r="E210" s="23" t="str">
        <f ca="1">IFERROR(__xludf.DUMMYFUNCTION("""COMPUTED_VALUE"""),"مجموعة العميد التربوية")</f>
        <v>مجموعة العميد التربوية</v>
      </c>
      <c r="F210" s="23" t="str">
        <f ca="1">IFERROR(__xludf.DUMMYFUNCTION("""COMPUTED_VALUE"""),"الممر الي تحت المنصه الاستيج ")</f>
        <v xml:space="preserve">الممر الي تحت المنصه الاستيج </v>
      </c>
      <c r="G210" s="23"/>
      <c r="H210" s="23" t="str">
        <f ca="1">IFERROR(__xludf.DUMMYFUNCTION("""COMPUTED_VALUE"""),"اضافه شموع انارة ")</f>
        <v xml:space="preserve">اضافه شموع انارة </v>
      </c>
      <c r="I210" s="23"/>
      <c r="J210" s="23" t="s">
        <v>89</v>
      </c>
      <c r="K210" s="23" t="s">
        <v>13</v>
      </c>
      <c r="L210" s="32">
        <v>46170.614747002313</v>
      </c>
      <c r="M210" s="23"/>
      <c r="N210" s="2" t="s">
        <v>77</v>
      </c>
    </row>
    <row r="211" spans="1:14" ht="75" customHeight="1" thickTop="1" thickBot="1">
      <c r="A211" s="25">
        <v>209</v>
      </c>
      <c r="B211" s="32">
        <f ca="1">IFERROR(__xludf.DUMMYFUNCTION("""COMPUTED_VALUE"""),46172.3799468055)</f>
        <v>46172.3799468055</v>
      </c>
      <c r="C211" s="33" t="str">
        <f ca="1">IFERROR(__xludf.DUMMYFUNCTION("""COMPUTED_VALUE"""),"المعملجي")</f>
        <v>المعملجي</v>
      </c>
      <c r="D211" s="33" t="str">
        <f ca="1">IFERROR(__xludf.DUMMYFUNCTION("""COMPUTED_VALUE"""),"ابو سجاد ")</f>
        <v xml:space="preserve">ابو سجاد </v>
      </c>
      <c r="E211" s="23" t="str">
        <f ca="1">IFERROR(__xludf.DUMMYFUNCTION("""COMPUTED_VALUE"""),"مجموعة العميد التربوية")</f>
        <v>مجموعة العميد التربوية</v>
      </c>
      <c r="F211" s="23" t="str">
        <f ca="1">IFERROR(__xludf.DUMMYFUNCTION("""COMPUTED_VALUE"""),"النافورة")</f>
        <v>النافورة</v>
      </c>
      <c r="G211" s="23" t="str">
        <f ca="1">IFERROR(__xludf.DUMMYFUNCTION("""COMPUTED_VALUE"""),"الطابق الارضي")</f>
        <v>الطابق الارضي</v>
      </c>
      <c r="H211" s="23" t="str">
        <f ca="1">IFERROR(__xludf.DUMMYFUNCTION("""COMPUTED_VALUE"""),"تبديل بلك سويج ")</f>
        <v xml:space="preserve">تبديل بلك سويج </v>
      </c>
      <c r="I211" s="23"/>
      <c r="J211" s="23" t="s">
        <v>89</v>
      </c>
      <c r="K211" s="23" t="s">
        <v>13</v>
      </c>
      <c r="L211" s="32">
        <v>46172.414192974538</v>
      </c>
      <c r="M211" s="23"/>
      <c r="N211" s="2" t="s">
        <v>77</v>
      </c>
    </row>
    <row r="212" spans="1:14" ht="75" customHeight="1" thickTop="1" thickBot="1">
      <c r="A212" s="23">
        <v>210</v>
      </c>
      <c r="B212" s="32">
        <f ca="1">IFERROR(__xludf.DUMMYFUNCTION("""COMPUTED_VALUE"""),46179.4368031481)</f>
        <v>46179.436803148099</v>
      </c>
      <c r="C212" s="33" t="str">
        <f ca="1">IFERROR(__xludf.DUMMYFUNCTION("""COMPUTED_VALUE"""),"المعملجي")</f>
        <v>المعملجي</v>
      </c>
      <c r="D212" s="33" t="str">
        <f ca="1">IFERROR(__xludf.DUMMYFUNCTION("""COMPUTED_VALUE"""),"ابو سجاد ")</f>
        <v xml:space="preserve">ابو سجاد </v>
      </c>
      <c r="E212" s="23" t="str">
        <f ca="1">IFERROR(__xludf.DUMMYFUNCTION("""COMPUTED_VALUE"""),"مجموعة العميد التربوية")</f>
        <v>مجموعة العميد التربوية</v>
      </c>
      <c r="F212" s="23" t="str">
        <f ca="1">IFERROR(__xludf.DUMMYFUNCTION("""COMPUTED_VALUE"""),"النافورة")</f>
        <v>النافورة</v>
      </c>
      <c r="G212" s="23" t="str">
        <f ca="1">IFERROR(__xludf.DUMMYFUNCTION("""COMPUTED_VALUE"""),"الطابق الارضي")</f>
        <v>الطابق الارضي</v>
      </c>
      <c r="H212" s="23" t="str">
        <f ca="1">IFERROR(__xludf.DUMMYFUNCTION("""COMPUTED_VALUE"""),"توصيل كهرباء للمبردات")</f>
        <v>توصيل كهرباء للمبردات</v>
      </c>
      <c r="I212" s="23"/>
      <c r="J212" s="23" t="s">
        <v>89</v>
      </c>
      <c r="K212" s="23" t="s">
        <v>13</v>
      </c>
      <c r="L212" s="32"/>
      <c r="M212" s="23"/>
      <c r="N212" s="2" t="s">
        <v>83</v>
      </c>
    </row>
    <row r="213" spans="1:14" ht="75" customHeight="1" thickTop="1" thickBot="1">
      <c r="A213" s="25">
        <v>211</v>
      </c>
      <c r="B213" s="32">
        <f ca="1">IFERROR(__xludf.DUMMYFUNCTION("""COMPUTED_VALUE"""),46180.323177118)</f>
        <v>46180.323177118</v>
      </c>
      <c r="C213" s="33" t="str">
        <f ca="1">IFERROR(__xludf.DUMMYFUNCTION("""COMPUTED_VALUE"""),"المعملجي")</f>
        <v>المعملجي</v>
      </c>
      <c r="D213" s="33" t="str">
        <f ca="1">IFERROR(__xludf.DUMMYFUNCTION("""COMPUTED_VALUE"""),"ابراهيم الخطابي")</f>
        <v>ابراهيم الخطابي</v>
      </c>
      <c r="E213" s="23" t="str">
        <f ca="1">IFERROR(__xludf.DUMMYFUNCTION("""COMPUTED_VALUE"""),"مجموعة العميد التربوية")</f>
        <v>مجموعة العميد التربوية</v>
      </c>
      <c r="F213" s="23" t="str">
        <f ca="1">IFERROR(__xludf.DUMMYFUNCTION("""COMPUTED_VALUE"""),"A- المركز الثقافي")</f>
        <v>A- المركز الثقافي</v>
      </c>
      <c r="G213" s="23" t="str">
        <f ca="1">IFERROR(__xludf.DUMMYFUNCTION("""COMPUTED_VALUE"""),"الطابق الثاني")</f>
        <v>الطابق الثاني</v>
      </c>
      <c r="H213" s="23" t="str">
        <f ca="1">IFERROR(__xludf.DUMMYFUNCTION("""COMPUTED_VALUE"""),"تصليح بلك سويج ")</f>
        <v xml:space="preserve">تصليح بلك سويج </v>
      </c>
      <c r="I213" s="23"/>
      <c r="J213" s="23" t="s">
        <v>89</v>
      </c>
      <c r="K213" s="23" t="s">
        <v>13</v>
      </c>
      <c r="L213" s="32">
        <v>46180.537853703703</v>
      </c>
      <c r="M213" s="23"/>
      <c r="N213" s="2" t="s">
        <v>77</v>
      </c>
    </row>
    <row r="214" spans="1:14" ht="75" customHeight="1" thickTop="1" thickBot="1">
      <c r="A214" s="23">
        <v>212</v>
      </c>
      <c r="B214" s="32">
        <f ca="1">IFERROR(__xludf.DUMMYFUNCTION("""COMPUTED_VALUE"""),46180.378737905)</f>
        <v>46180.378737904997</v>
      </c>
      <c r="C214" s="33" t="str">
        <f ca="1">IFERROR(__xludf.DUMMYFUNCTION("""COMPUTED_VALUE"""),"المعملجي")</f>
        <v>المعملجي</v>
      </c>
      <c r="D214" s="33" t="str">
        <f ca="1">IFERROR(__xludf.DUMMYFUNCTION("""COMPUTED_VALUE"""),"ابو سجاد ")</f>
        <v xml:space="preserve">ابو سجاد </v>
      </c>
      <c r="E214" s="23" t="str">
        <f ca="1">IFERROR(__xludf.DUMMYFUNCTION("""COMPUTED_VALUE"""),"مجموعة العميد التربوية")</f>
        <v>مجموعة العميد التربوية</v>
      </c>
      <c r="F214" s="23" t="str">
        <f ca="1">IFERROR(__xludf.DUMMYFUNCTION("""COMPUTED_VALUE"""),"A- المركز الثقافي")</f>
        <v>A- المركز الثقافي</v>
      </c>
      <c r="G214" s="23" t="str">
        <f ca="1">IFERROR(__xludf.DUMMYFUNCTION("""COMPUTED_VALUE"""),"الطابق الثاني")</f>
        <v>الطابق الثاني</v>
      </c>
      <c r="H214" s="23" t="str">
        <f ca="1">IFERROR(__xludf.DUMMYFUNCTION("""COMPUTED_VALUE"""),"صيانة نقطة كهرباء ")</f>
        <v xml:space="preserve">صيانة نقطة كهرباء </v>
      </c>
      <c r="I214" s="23"/>
      <c r="J214" s="23" t="s">
        <v>89</v>
      </c>
      <c r="K214" s="23" t="s">
        <v>13</v>
      </c>
      <c r="L214" s="32">
        <v>46180.537892719905</v>
      </c>
      <c r="M214" s="23"/>
      <c r="N214" s="2" t="s">
        <v>77</v>
      </c>
    </row>
    <row r="215" spans="1:14" ht="75" customHeight="1" thickTop="1" thickBot="1">
      <c r="A215" s="25">
        <v>213</v>
      </c>
      <c r="B215" s="32">
        <f ca="1">IFERROR(__xludf.DUMMYFUNCTION("""COMPUTED_VALUE"""),46181.3025778009)</f>
        <v>46181.302577800903</v>
      </c>
      <c r="C215" s="33" t="str">
        <f ca="1">IFERROR(__xludf.DUMMYFUNCTION("""COMPUTED_VALUE"""),"المعملجي")</f>
        <v>المعملجي</v>
      </c>
      <c r="D215" s="33" t="str">
        <f ca="1">IFERROR(__xludf.DUMMYFUNCTION("""COMPUTED_VALUE"""),"وحدة الكهرباء")</f>
        <v>وحدة الكهرباء</v>
      </c>
      <c r="E215" s="23" t="str">
        <f ca="1">IFERROR(__xludf.DUMMYFUNCTION("""COMPUTED_VALUE"""),"قسم المشاريع الهندسية")</f>
        <v>قسم المشاريع الهندسية</v>
      </c>
      <c r="F215" s="23" t="str">
        <f ca="1">IFERROR(__xludf.DUMMYFUNCTION("""COMPUTED_VALUE"""),"A- المركز الثقافي")</f>
        <v>A- المركز الثقافي</v>
      </c>
      <c r="G215" s="23" t="str">
        <f ca="1">IFERROR(__xludf.DUMMYFUNCTION("""COMPUTED_VALUE"""),"غرفة الكهرباء")</f>
        <v>غرفة الكهرباء</v>
      </c>
      <c r="H215" s="23" t="str">
        <f ca="1">IFERROR(__xludf.DUMMYFUNCTION("""COMPUTED_VALUE""")," تحويل تغذية UPS شعبة الكاميرات من الكهرباء العادية الى الطاقة الشمسية")</f>
        <v xml:space="preserve"> تحويل تغذية UPS شعبة الكاميرات من الكهرباء العادية الى الطاقة الشمسية</v>
      </c>
      <c r="I215" s="23"/>
      <c r="J215" s="23" t="s">
        <v>89</v>
      </c>
      <c r="K215" s="23" t="s">
        <v>13</v>
      </c>
      <c r="L215" s="32">
        <v>46181.316788506942</v>
      </c>
      <c r="M215" s="23"/>
      <c r="N215" s="2" t="s">
        <v>77</v>
      </c>
    </row>
    <row r="216" spans="1:14" ht="75" customHeight="1" thickTop="1" thickBot="1">
      <c r="A216" s="23">
        <v>214</v>
      </c>
      <c r="B216" s="32">
        <f ca="1">IFERROR(__xludf.DUMMYFUNCTION("""COMPUTED_VALUE"""),46181.3031295486)</f>
        <v>46181.3031295486</v>
      </c>
      <c r="C216" s="33" t="str">
        <f ca="1">IFERROR(__xludf.DUMMYFUNCTION("""COMPUTED_VALUE"""),"المعملجي")</f>
        <v>المعملجي</v>
      </c>
      <c r="D216" s="33" t="str">
        <f ca="1">IFERROR(__xludf.DUMMYFUNCTION("""COMPUTED_VALUE"""),"وحدة الكهرباء")</f>
        <v>وحدة الكهرباء</v>
      </c>
      <c r="E216" s="23" t="str">
        <f ca="1">IFERROR(__xludf.DUMMYFUNCTION("""COMPUTED_VALUE"""),"قسم المشاريع الهندسية")</f>
        <v>قسم المشاريع الهندسية</v>
      </c>
      <c r="F216" s="23" t="str">
        <f ca="1">IFERROR(__xludf.DUMMYFUNCTION("""COMPUTED_VALUE"""),"A- المركز الثقافي")</f>
        <v>A- المركز الثقافي</v>
      </c>
      <c r="G216" s="23" t="str">
        <f ca="1">IFERROR(__xludf.DUMMYFUNCTION("""COMPUTED_VALUE"""),"الطابق الرابع, محطة الرفع, شعبة المراقبة")</f>
        <v>الطابق الرابع, محطة الرفع, شعبة المراقبة</v>
      </c>
      <c r="H216" s="23" t="str">
        <f ca="1">IFERROR(__xludf.DUMMYFUNCTION("""COMPUTED_VALUE"""),"استبدال محولات سبوت لايت تالفة  عدد 4.")</f>
        <v>استبدال محولات سبوت لايت تالفة  عدد 4.</v>
      </c>
      <c r="I216" s="23"/>
      <c r="J216" s="23" t="s">
        <v>89</v>
      </c>
      <c r="K216" s="23" t="s">
        <v>13</v>
      </c>
      <c r="L216" s="32">
        <v>46181.316809282405</v>
      </c>
      <c r="M216" s="23"/>
      <c r="N216" s="2" t="s">
        <v>77</v>
      </c>
    </row>
    <row r="217" spans="1:14" ht="75" customHeight="1" thickTop="1" thickBot="1">
      <c r="A217" s="25">
        <v>215</v>
      </c>
      <c r="B217" s="32">
        <f ca="1">IFERROR(__xludf.DUMMYFUNCTION("""COMPUTED_VALUE"""),46181.3037055787)</f>
        <v>46181.303705578699</v>
      </c>
      <c r="C217" s="33" t="str">
        <f ca="1">IFERROR(__xludf.DUMMYFUNCTION("""COMPUTED_VALUE"""),"المعملجي")</f>
        <v>المعملجي</v>
      </c>
      <c r="D217" s="33" t="str">
        <f ca="1">IFERROR(__xludf.DUMMYFUNCTION("""COMPUTED_VALUE"""),"وحدة الكهرباء")</f>
        <v>وحدة الكهرباء</v>
      </c>
      <c r="E217" s="23" t="str">
        <f ca="1">IFERROR(__xludf.DUMMYFUNCTION("""COMPUTED_VALUE"""),"قسم المشاريع الهندسية")</f>
        <v>قسم المشاريع الهندسية</v>
      </c>
      <c r="F217" s="23" t="str">
        <f ca="1">IFERROR(__xludf.DUMMYFUNCTION("""COMPUTED_VALUE"""),"النافورة")</f>
        <v>النافورة</v>
      </c>
      <c r="G217" s="23"/>
      <c r="H217" s="23" t="str">
        <f ca="1">IFERROR(__xludf.DUMMYFUNCTION("""COMPUTED_VALUE"""),"ربط سيار لغرض اعمال الحدادة من احد الاعمدة")</f>
        <v>ربط سيار لغرض اعمال الحدادة من احد الاعمدة</v>
      </c>
      <c r="I217" s="23"/>
      <c r="J217" s="23" t="s">
        <v>89</v>
      </c>
      <c r="K217" s="23" t="s">
        <v>13</v>
      </c>
      <c r="L217" s="32">
        <v>46181.316818217594</v>
      </c>
      <c r="M217" s="23"/>
      <c r="N217" s="2" t="s">
        <v>77</v>
      </c>
    </row>
    <row r="218" spans="1:14" ht="75" customHeight="1" thickTop="1" thickBot="1">
      <c r="A218" s="23">
        <v>216</v>
      </c>
      <c r="B218" s="32">
        <f ca="1">IFERROR(__xludf.DUMMYFUNCTION("""COMPUTED_VALUE"""),46181.3045873148)</f>
        <v>46181.3045873148</v>
      </c>
      <c r="C218" s="33" t="str">
        <f ca="1">IFERROR(__xludf.DUMMYFUNCTION("""COMPUTED_VALUE"""),"المعملجي")</f>
        <v>المعملجي</v>
      </c>
      <c r="D218" s="33" t="str">
        <f ca="1">IFERROR(__xludf.DUMMYFUNCTION("""COMPUTED_VALUE"""),"وحدة الكهرباء")</f>
        <v>وحدة الكهرباء</v>
      </c>
      <c r="E218" s="23" t="str">
        <f ca="1">IFERROR(__xludf.DUMMYFUNCTION("""COMPUTED_VALUE"""),"قسم المشاريع الهندسية")</f>
        <v>قسم المشاريع الهندسية</v>
      </c>
      <c r="F218" s="23" t="str">
        <f ca="1">IFERROR(__xludf.DUMMYFUNCTION("""COMPUTED_VALUE"""),"شعبة الصيانة")</f>
        <v>شعبة الصيانة</v>
      </c>
      <c r="G218" s="23"/>
      <c r="H218" s="23" t="str">
        <f ca="1">IFERROR(__xludf.DUMMYFUNCTION("""COMPUTED_VALUE"""),"تسليك كيبل لربط مروحة تانكي ماء و تثبيت بوكس استراحة قرب التناكي وربط تايمر 24h")</f>
        <v>تسليك كيبل لربط مروحة تانكي ماء و تثبيت بوكس استراحة قرب التناكي وربط تايمر 24h</v>
      </c>
      <c r="I218" s="23"/>
      <c r="J218" s="23" t="s">
        <v>89</v>
      </c>
      <c r="K218" s="23" t="s">
        <v>13</v>
      </c>
      <c r="L218" s="32">
        <v>46181.316829675925</v>
      </c>
      <c r="M218" s="23"/>
      <c r="N218" s="2" t="s">
        <v>77</v>
      </c>
    </row>
    <row r="219" spans="1:14" ht="75" customHeight="1" thickTop="1" thickBot="1">
      <c r="A219" s="25">
        <v>217</v>
      </c>
      <c r="B219" s="32">
        <f ca="1">IFERROR(__xludf.DUMMYFUNCTION("""COMPUTED_VALUE"""),46181.3053625462)</f>
        <v>46181.305362546198</v>
      </c>
      <c r="C219" s="33" t="str">
        <f ca="1">IFERROR(__xludf.DUMMYFUNCTION("""COMPUTED_VALUE"""),"المعملجي")</f>
        <v>المعملجي</v>
      </c>
      <c r="D219" s="33" t="str">
        <f ca="1">IFERROR(__xludf.DUMMYFUNCTION("""COMPUTED_VALUE"""),"وحدة الكهرباء")</f>
        <v>وحدة الكهرباء</v>
      </c>
      <c r="E219" s="23" t="str">
        <f ca="1">IFERROR(__xludf.DUMMYFUNCTION("""COMPUTED_VALUE"""),"قسم المشاريع الهندسية")</f>
        <v>قسم المشاريع الهندسية</v>
      </c>
      <c r="F219" s="23" t="str">
        <f ca="1">IFERROR(__xludf.DUMMYFUNCTION("""COMPUTED_VALUE"""),"A- المركز الثقافي")</f>
        <v>A- المركز الثقافي</v>
      </c>
      <c r="G219" s="23"/>
      <c r="H219" s="23" t="str">
        <f ca="1">IFERROR(__xludf.DUMMYFUNCTION("""COMPUTED_VALUE"""),"اعادة مستوى المصعد الى وضعه الطبيعي بعد توقفه عن العمل
")</f>
        <v xml:space="preserve">اعادة مستوى المصعد الى وضعه الطبيعي بعد توقفه عن العمل
</v>
      </c>
      <c r="I219" s="23"/>
      <c r="J219" s="23" t="s">
        <v>89</v>
      </c>
      <c r="K219" s="23" t="s">
        <v>13</v>
      </c>
      <c r="L219" s="32">
        <v>46181.316845231486</v>
      </c>
      <c r="M219" s="23"/>
      <c r="N219" s="2" t="s">
        <v>77</v>
      </c>
    </row>
    <row r="220" spans="1:14" ht="75" customHeight="1" thickTop="1" thickBot="1">
      <c r="A220" s="23">
        <v>218</v>
      </c>
      <c r="B220" s="32">
        <f ca="1">IFERROR(__xludf.DUMMYFUNCTION("""COMPUTED_VALUE"""),46181.3057789004)</f>
        <v>46181.305778900401</v>
      </c>
      <c r="C220" s="33" t="str">
        <f ca="1">IFERROR(__xludf.DUMMYFUNCTION("""COMPUTED_VALUE"""),"المعملجي")</f>
        <v>المعملجي</v>
      </c>
      <c r="D220" s="33" t="str">
        <f ca="1">IFERROR(__xludf.DUMMYFUNCTION("""COMPUTED_VALUE"""),"وحدة الكهرباء")</f>
        <v>وحدة الكهرباء</v>
      </c>
      <c r="E220" s="23" t="str">
        <f ca="1">IFERROR(__xludf.DUMMYFUNCTION("""COMPUTED_VALUE"""),"قسم المشاريع الهندسية")</f>
        <v>قسم المشاريع الهندسية</v>
      </c>
      <c r="F220" s="23" t="str">
        <f ca="1">IFERROR(__xludf.DUMMYFUNCTION("""COMPUTED_VALUE"""),"A- المركز الثقافي")</f>
        <v>A- المركز الثقافي</v>
      </c>
      <c r="G220" s="23" t="str">
        <f ca="1">IFERROR(__xludf.DUMMYFUNCTION("""COMPUTED_VALUE"""),"data center")</f>
        <v>data center</v>
      </c>
      <c r="H220" s="23" t="str">
        <f ca="1">IFERROR(__xludf.DUMMYFUNCTION("""COMPUTED_VALUE"""),"نقل تغذية اجهزة البدالة الخاصة بجميع مدارس مجموعة العميد في كربلاء الى UPS 2.")</f>
        <v>نقل تغذية اجهزة البدالة الخاصة بجميع مدارس مجموعة العميد في كربلاء الى UPS 2.</v>
      </c>
      <c r="I220" s="23"/>
      <c r="J220" s="23" t="s">
        <v>89</v>
      </c>
      <c r="K220" s="23" t="s">
        <v>13</v>
      </c>
      <c r="L220" s="32">
        <v>46181.316861979169</v>
      </c>
      <c r="M220" s="23"/>
      <c r="N220" s="2" t="s">
        <v>77</v>
      </c>
    </row>
    <row r="221" spans="1:14" ht="75" customHeight="1" thickTop="1" thickBot="1">
      <c r="A221" s="25">
        <v>219</v>
      </c>
      <c r="B221" s="32">
        <f ca="1">IFERROR(__xludf.DUMMYFUNCTION("""COMPUTED_VALUE"""),46181.3063856018)</f>
        <v>46181.306385601798</v>
      </c>
      <c r="C221" s="33" t="str">
        <f ca="1">IFERROR(__xludf.DUMMYFUNCTION("""COMPUTED_VALUE"""),"المعملجي")</f>
        <v>المعملجي</v>
      </c>
      <c r="D221" s="33" t="str">
        <f ca="1">IFERROR(__xludf.DUMMYFUNCTION("""COMPUTED_VALUE"""),"وحدة الكهرباء")</f>
        <v>وحدة الكهرباء</v>
      </c>
      <c r="E221" s="23" t="str">
        <f ca="1">IFERROR(__xludf.DUMMYFUNCTION("""COMPUTED_VALUE"""),"قسم المشاريع الهندسية")</f>
        <v>قسم المشاريع الهندسية</v>
      </c>
      <c r="F221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21" s="23" t="str">
        <f ca="1">IFERROR(__xludf.DUMMYFUNCTION("""COMPUTED_VALUE"""),"غرفة الكهرباء")</f>
        <v>غرفة الكهرباء</v>
      </c>
      <c r="H221" s="23" t="str">
        <f ca="1">IFERROR(__xludf.DUMMYFUNCTION("""COMPUTED_VALUE"""),"تثبيت شاشة samsung حجم 58 في غرفة وحدة الكهرباء")</f>
        <v>تثبيت شاشة samsung حجم 58 في غرفة وحدة الكهرباء</v>
      </c>
      <c r="I221" s="23"/>
      <c r="J221" s="23" t="s">
        <v>89</v>
      </c>
      <c r="K221" s="23" t="s">
        <v>13</v>
      </c>
      <c r="L221" s="32">
        <v>46181.316869131944</v>
      </c>
      <c r="M221" s="23"/>
      <c r="N221" s="2" t="s">
        <v>77</v>
      </c>
    </row>
    <row r="222" spans="1:14" ht="75" customHeight="1" thickTop="1" thickBot="1">
      <c r="A222" s="23">
        <v>220</v>
      </c>
      <c r="B222" s="32">
        <f ca="1">IFERROR(__xludf.DUMMYFUNCTION("""COMPUTED_VALUE"""),46181.3075677083)</f>
        <v>46181.307567708303</v>
      </c>
      <c r="C222" s="33" t="str">
        <f ca="1">IFERROR(__xludf.DUMMYFUNCTION("""COMPUTED_VALUE"""),"المعملجي")</f>
        <v>المعملجي</v>
      </c>
      <c r="D222" s="33" t="str">
        <f ca="1">IFERROR(__xludf.DUMMYFUNCTION("""COMPUTED_VALUE"""),"وحدة الكهرباء")</f>
        <v>وحدة الكهرباء</v>
      </c>
      <c r="E222" s="23" t="str">
        <f ca="1">IFERROR(__xludf.DUMMYFUNCTION("""COMPUTED_VALUE"""),"قسم المشاريع الهندسية")</f>
        <v>قسم المشاريع الهندسية</v>
      </c>
      <c r="F222" s="23" t="str">
        <f ca="1">IFERROR(__xludf.DUMMYFUNCTION("""COMPUTED_VALUE""")," كل المجمع")</f>
        <v xml:space="preserve"> كل المجمع</v>
      </c>
      <c r="G222" s="23"/>
      <c r="H222" s="23" t="str">
        <f ca="1">IFERROR(__xludf.DUMMYFUNCTION("""COMPUTED_VALUE"""),"تم تشغيل جميع  انارة اعمدة الموقع لغرض جرد التالف  منها تحضيراً للمهرجان القادم")</f>
        <v>تم تشغيل جميع  انارة اعمدة الموقع لغرض جرد التالف  منها تحضيراً للمهرجان القادم</v>
      </c>
      <c r="I222" s="23"/>
      <c r="J222" s="23" t="s">
        <v>89</v>
      </c>
      <c r="K222" s="23" t="s">
        <v>13</v>
      </c>
      <c r="L222" s="32">
        <v>46181.316880891201</v>
      </c>
      <c r="M222" s="23"/>
      <c r="N222" s="2" t="s">
        <v>77</v>
      </c>
    </row>
    <row r="223" spans="1:14" ht="75" customHeight="1" thickTop="1" thickBot="1">
      <c r="A223" s="25">
        <v>221</v>
      </c>
      <c r="B223" s="32">
        <f ca="1">IFERROR(__xludf.DUMMYFUNCTION("""COMPUTED_VALUE"""),46181.3194340046)</f>
        <v>46181.319434004603</v>
      </c>
      <c r="C223" s="33" t="str">
        <f ca="1">IFERROR(__xludf.DUMMYFUNCTION("""COMPUTED_VALUE"""),"المعملجي")</f>
        <v>المعملجي</v>
      </c>
      <c r="D223" s="33" t="str">
        <f ca="1">IFERROR(__xludf.DUMMYFUNCTION("""COMPUTED_VALUE"""),"وحدة الكهرباء")</f>
        <v>وحدة الكهرباء</v>
      </c>
      <c r="E223" s="23" t="str">
        <f ca="1">IFERROR(__xludf.DUMMYFUNCTION("""COMPUTED_VALUE"""),"قسم المشاريع الهندسية")</f>
        <v>قسم المشاريع الهندسية</v>
      </c>
      <c r="F223" s="23" t="str">
        <f ca="1">IFERROR(__xludf.DUMMYFUNCTION("""COMPUTED_VALUE"""),"مولدات")</f>
        <v>مولدات</v>
      </c>
      <c r="G223" s="23"/>
      <c r="H223" s="23" t="str">
        <f ca="1">IFERROR(__xludf.DUMMYFUNCTION("""COMPUTED_VALUE"""),"تم ربط كيبل 4×3 بطول 10 متر إلى ماطور دهن المولدات ")</f>
        <v xml:space="preserve">تم ربط كيبل 4×3 بطول 10 متر إلى ماطور دهن المولدات </v>
      </c>
      <c r="I223" s="23"/>
      <c r="J223" s="23" t="s">
        <v>89</v>
      </c>
      <c r="K223" s="23" t="s">
        <v>13</v>
      </c>
      <c r="L223" s="32">
        <v>46181.341872500001</v>
      </c>
      <c r="M223" s="23"/>
      <c r="N223" s="2" t="s">
        <v>77</v>
      </c>
    </row>
    <row r="224" spans="1:14" ht="75" customHeight="1" thickTop="1" thickBot="1">
      <c r="A224" s="23">
        <v>222</v>
      </c>
      <c r="B224" s="32">
        <f ca="1">IFERROR(__xludf.DUMMYFUNCTION("""COMPUTED_VALUE"""),46181.3208444097)</f>
        <v>46181.320844409704</v>
      </c>
      <c r="C224" s="33" t="str">
        <f ca="1">IFERROR(__xludf.DUMMYFUNCTION("""COMPUTED_VALUE"""),"المعملجي")</f>
        <v>المعملجي</v>
      </c>
      <c r="D224" s="33" t="str">
        <f ca="1">IFERROR(__xludf.DUMMYFUNCTION("""COMPUTED_VALUE"""),"وحدة الكهرباء")</f>
        <v>وحدة الكهرباء</v>
      </c>
      <c r="E224" s="23" t="str">
        <f ca="1">IFERROR(__xludf.DUMMYFUNCTION("""COMPUTED_VALUE"""),"قسم المشاريع الهندسية")</f>
        <v>قسم المشاريع الهندسية</v>
      </c>
      <c r="F224" s="23" t="str">
        <f ca="1">IFERROR(__xludf.DUMMYFUNCTION("""COMPUTED_VALUE"""),"شوارع المجمع")</f>
        <v>شوارع المجمع</v>
      </c>
      <c r="G224" s="23"/>
      <c r="H224" s="23" t="str">
        <f ca="1">IFERROR(__xludf.DUMMYFUNCTION("""COMPUTED_VALUE"""),"العمل على صيانة بعض اعمدة انارة الموقع ددها 8")</f>
        <v>العمل على صيانة بعض اعمدة انارة الموقع ددها 8</v>
      </c>
      <c r="I224" s="23"/>
      <c r="J224" s="23" t="s">
        <v>89</v>
      </c>
      <c r="K224" s="23" t="s">
        <v>13</v>
      </c>
      <c r="L224" s="32">
        <v>46181.341876805556</v>
      </c>
      <c r="M224" s="23"/>
      <c r="N224" s="2" t="s">
        <v>77</v>
      </c>
    </row>
    <row r="225" spans="1:14" ht="75" customHeight="1" thickTop="1" thickBot="1">
      <c r="A225" s="25">
        <v>223</v>
      </c>
      <c r="B225" s="32">
        <f ca="1">IFERROR(__xludf.DUMMYFUNCTION("""COMPUTED_VALUE"""),46181.3212381944)</f>
        <v>46181.321238194403</v>
      </c>
      <c r="C225" s="33" t="str">
        <f ca="1">IFERROR(__xludf.DUMMYFUNCTION("""COMPUTED_VALUE"""),"المعملجي")</f>
        <v>المعملجي</v>
      </c>
      <c r="D225" s="33" t="str">
        <f ca="1">IFERROR(__xludf.DUMMYFUNCTION("""COMPUTED_VALUE"""),"وحدة الكهرباء")</f>
        <v>وحدة الكهرباء</v>
      </c>
      <c r="E225" s="23" t="str">
        <f ca="1">IFERROR(__xludf.DUMMYFUNCTION("""COMPUTED_VALUE"""),"قسم المشاريع الهندسية")</f>
        <v>قسم المشاريع الهندسية</v>
      </c>
      <c r="F225" s="23" t="str">
        <f ca="1">IFERROR(__xludf.DUMMYFUNCTION("""COMPUTED_VALUE"""),"G- روضة الجود")</f>
        <v>G- روضة الجود</v>
      </c>
      <c r="G225" s="23"/>
      <c r="H225" s="23" t="str">
        <f ca="1">IFERROR(__xludf.DUMMYFUNCTION("""COMPUTED_VALUE"""),"صيانة منشوربة عدد 2")</f>
        <v>صيانة منشوربة عدد 2</v>
      </c>
      <c r="I225" s="23"/>
      <c r="J225" s="23" t="s">
        <v>89</v>
      </c>
      <c r="K225" s="23" t="s">
        <v>13</v>
      </c>
      <c r="L225" s="32">
        <v>46181.341890057869</v>
      </c>
      <c r="M225" s="23"/>
      <c r="N225" s="2" t="s">
        <v>77</v>
      </c>
    </row>
    <row r="226" spans="1:14" ht="75" customHeight="1" thickTop="1" thickBot="1">
      <c r="A226" s="23">
        <v>224</v>
      </c>
      <c r="B226" s="32">
        <f ca="1">IFERROR(__xludf.DUMMYFUNCTION("""COMPUTED_VALUE"""),46181.3218963773)</f>
        <v>46181.321896377303</v>
      </c>
      <c r="C226" s="33" t="str">
        <f ca="1">IFERROR(__xludf.DUMMYFUNCTION("""COMPUTED_VALUE"""),"المعملجي")</f>
        <v>المعملجي</v>
      </c>
      <c r="D226" s="33" t="str">
        <f ca="1">IFERROR(__xludf.DUMMYFUNCTION("""COMPUTED_VALUE"""),"وحدة الكهرباء")</f>
        <v>وحدة الكهرباء</v>
      </c>
      <c r="E226" s="23" t="str">
        <f ca="1">IFERROR(__xludf.DUMMYFUNCTION("""COMPUTED_VALUE"""),"قسم المشاريع الهندسية")</f>
        <v>قسم المشاريع الهندسية</v>
      </c>
      <c r="F226" s="23" t="str">
        <f ca="1">IFERROR(__xludf.DUMMYFUNCTION("""COMPUTED_VALUE"""),"I- ابتدائية الساقي للبنين (السادسة)")</f>
        <v>I- ابتدائية الساقي للبنين (السادسة)</v>
      </c>
      <c r="G226" s="23" t="str">
        <f ca="1">IFERROR(__xludf.DUMMYFUNCTION("""COMPUTED_VALUE"""),"الطابق الارضي, غرفة الكهرباء")</f>
        <v>الطابق الارضي, غرفة الكهرباء</v>
      </c>
      <c r="H226" s="23" t="str">
        <f ca="1">IFERROR(__xludf.DUMMYFUNCTION("""COMPUTED_VALUE"""),"الكشف عن وجود شاشة تحكم منظومة الأنذار متوقفة  تم اعادتها للعمل مرة أخرى")</f>
        <v>الكشف عن وجود شاشة تحكم منظومة الأنذار متوقفة  تم اعادتها للعمل مرة أخرى</v>
      </c>
      <c r="I226" s="23"/>
      <c r="J226" s="23" t="s">
        <v>89</v>
      </c>
      <c r="K226" s="23" t="s">
        <v>13</v>
      </c>
      <c r="L226" s="32">
        <v>46181.341902858796</v>
      </c>
      <c r="M226" s="23"/>
      <c r="N226" s="2" t="s">
        <v>77</v>
      </c>
    </row>
    <row r="227" spans="1:14" ht="75" customHeight="1" thickTop="1" thickBot="1">
      <c r="A227" s="25">
        <v>225</v>
      </c>
      <c r="B227" s="32">
        <f ca="1">IFERROR(__xludf.DUMMYFUNCTION("""COMPUTED_VALUE"""),46181.3228254745)</f>
        <v>46181.322825474497</v>
      </c>
      <c r="C227" s="33" t="str">
        <f ca="1">IFERROR(__xludf.DUMMYFUNCTION("""COMPUTED_VALUE"""),"المعملجي")</f>
        <v>المعملجي</v>
      </c>
      <c r="D227" s="33" t="str">
        <f ca="1">IFERROR(__xludf.DUMMYFUNCTION("""COMPUTED_VALUE"""),"وحدة الكهرباء")</f>
        <v>وحدة الكهرباء</v>
      </c>
      <c r="E227" s="23" t="str">
        <f ca="1">IFERROR(__xludf.DUMMYFUNCTION("""COMPUTED_VALUE"""),"قسم المشاريع الهندسية")</f>
        <v>قسم المشاريع الهندسية</v>
      </c>
      <c r="F227" s="23" t="str">
        <f ca="1">IFERROR(__xludf.DUMMYFUNCTION("""COMPUTED_VALUE"""),"شوارع المجمع")</f>
        <v>شوارع المجمع</v>
      </c>
      <c r="G227" s="23"/>
      <c r="H227" s="23" t="str">
        <f ca="1">IFERROR(__xludf.DUMMYFUNCTION("""COMPUTED_VALUE"""),"ادخال كيبلات البروجكترات داخل الاعمدة من خلال ثقب العامود عدد 11")</f>
        <v>ادخال كيبلات البروجكترات داخل الاعمدة من خلال ثقب العامود عدد 11</v>
      </c>
      <c r="I227" s="23"/>
      <c r="J227" s="23" t="s">
        <v>89</v>
      </c>
      <c r="K227" s="23" t="s">
        <v>13</v>
      </c>
      <c r="L227" s="32">
        <v>46181.341912268515</v>
      </c>
      <c r="M227" s="23"/>
      <c r="N227" s="2" t="s">
        <v>77</v>
      </c>
    </row>
    <row r="228" spans="1:14" ht="75" customHeight="1" thickTop="1" thickBot="1">
      <c r="A228" s="23">
        <v>226</v>
      </c>
      <c r="B228" s="32">
        <f ca="1">IFERROR(__xludf.DUMMYFUNCTION("""COMPUTED_VALUE"""),46181.3232065277)</f>
        <v>46181.323206527697</v>
      </c>
      <c r="C228" s="33" t="str">
        <f ca="1">IFERROR(__xludf.DUMMYFUNCTION("""COMPUTED_VALUE"""),"المعملجي")</f>
        <v>المعملجي</v>
      </c>
      <c r="D228" s="33" t="str">
        <f ca="1">IFERROR(__xludf.DUMMYFUNCTION("""COMPUTED_VALUE"""),"وحدة الكهرباء")</f>
        <v>وحدة الكهرباء</v>
      </c>
      <c r="E228" s="23" t="str">
        <f ca="1">IFERROR(__xludf.DUMMYFUNCTION("""COMPUTED_VALUE"""),"قسم المشاريع الهندسية")</f>
        <v>قسم المشاريع الهندسية</v>
      </c>
      <c r="F228" s="23" t="str">
        <f ca="1">IFERROR(__xludf.DUMMYFUNCTION("""COMPUTED_VALUE"""),"المسرح")</f>
        <v>المسرح</v>
      </c>
      <c r="G228" s="23"/>
      <c r="H228" s="23" t="str">
        <f ca="1">IFERROR(__xludf.DUMMYFUNCTION("""COMPUTED_VALUE"""),"تغذية ضاغط هواء كهربائي 
")</f>
        <v xml:space="preserve">تغذية ضاغط هواء كهربائي 
</v>
      </c>
      <c r="I228" s="23"/>
      <c r="J228" s="23" t="s">
        <v>89</v>
      </c>
      <c r="K228" s="23" t="s">
        <v>13</v>
      </c>
      <c r="L228" s="32">
        <v>46181.341914467594</v>
      </c>
      <c r="M228" s="23"/>
      <c r="N228" s="2" t="s">
        <v>77</v>
      </c>
    </row>
    <row r="229" spans="1:14" ht="75" customHeight="1" thickTop="1" thickBot="1">
      <c r="A229" s="25">
        <v>227</v>
      </c>
      <c r="B229" s="32">
        <f ca="1">IFERROR(__xludf.DUMMYFUNCTION("""COMPUTED_VALUE"""),46181.3238410069)</f>
        <v>46181.323841006903</v>
      </c>
      <c r="C229" s="33" t="str">
        <f ca="1">IFERROR(__xludf.DUMMYFUNCTION("""COMPUTED_VALUE"""),"المعملجي")</f>
        <v>المعملجي</v>
      </c>
      <c r="D229" s="33" t="str">
        <f ca="1">IFERROR(__xludf.DUMMYFUNCTION("""COMPUTED_VALUE"""),"وحدة الكهرباء")</f>
        <v>وحدة الكهرباء</v>
      </c>
      <c r="E229" s="23" t="str">
        <f ca="1">IFERROR(__xludf.DUMMYFUNCTION("""COMPUTED_VALUE"""),"قسم المشاريع الهندسية")</f>
        <v>قسم المشاريع الهندسية</v>
      </c>
      <c r="F229" s="23" t="str">
        <f ca="1">IFERROR(__xludf.DUMMYFUNCTION("""COMPUTED_VALUE"""),"المسرح")</f>
        <v>المسرح</v>
      </c>
      <c r="G229" s="23"/>
      <c r="H229" s="23" t="str">
        <f ca="1">IFERROR(__xludf.DUMMYFUNCTION("""COMPUTED_VALUE"""),"صيانة ضاغط هواء كهربائي بسبب خلل في التوصيلات")</f>
        <v>صيانة ضاغط هواء كهربائي بسبب خلل في التوصيلات</v>
      </c>
      <c r="I229" s="23"/>
      <c r="J229" s="23" t="s">
        <v>89</v>
      </c>
      <c r="K229" s="23" t="s">
        <v>13</v>
      </c>
      <c r="L229" s="32">
        <v>46181.341932928241</v>
      </c>
      <c r="M229" s="23"/>
      <c r="N229" s="2" t="s">
        <v>77</v>
      </c>
    </row>
    <row r="230" spans="1:14" ht="75" customHeight="1" thickTop="1" thickBot="1">
      <c r="A230" s="23">
        <v>228</v>
      </c>
      <c r="B230" s="32">
        <f ca="1">IFERROR(__xludf.DUMMYFUNCTION("""COMPUTED_VALUE"""),46181.3243170833)</f>
        <v>46181.324317083301</v>
      </c>
      <c r="C230" s="33" t="str">
        <f ca="1">IFERROR(__xludf.DUMMYFUNCTION("""COMPUTED_VALUE"""),"المعملجي")</f>
        <v>المعملجي</v>
      </c>
      <c r="D230" s="33" t="str">
        <f ca="1">IFERROR(__xludf.DUMMYFUNCTION("""COMPUTED_VALUE"""),"وحدة الكهرباء")</f>
        <v>وحدة الكهرباء</v>
      </c>
      <c r="E230" s="23" t="str">
        <f ca="1">IFERROR(__xludf.DUMMYFUNCTION("""COMPUTED_VALUE"""),"قسم المشاريع الهندسية")</f>
        <v>قسم المشاريع الهندسية</v>
      </c>
      <c r="F230" s="23" t="str">
        <f ca="1">IFERROR(__xludf.DUMMYFUNCTION("""COMPUTED_VALUE"""),"قرب الاولى")</f>
        <v>قرب الاولى</v>
      </c>
      <c r="G230" s="23"/>
      <c r="H230" s="23" t="str">
        <f ca="1">IFERROR(__xludf.DUMMYFUNCTION("""COMPUTED_VALUE"""),"مد سيار لتغذية 6 اقواس حيث يتصل كل قوس بالاخر  عن طريق كونكتر ولمسافة 30 متر")</f>
        <v>مد سيار لتغذية 6 اقواس حيث يتصل كل قوس بالاخر  عن طريق كونكتر ولمسافة 30 متر</v>
      </c>
      <c r="I230" s="23"/>
      <c r="J230" s="23" t="s">
        <v>89</v>
      </c>
      <c r="K230" s="23" t="s">
        <v>13</v>
      </c>
      <c r="L230" s="32">
        <v>46181.341940393519</v>
      </c>
      <c r="M230" s="23"/>
      <c r="N230" s="2" t="s">
        <v>77</v>
      </c>
    </row>
    <row r="231" spans="1:14" ht="75" customHeight="1" thickTop="1" thickBot="1">
      <c r="A231" s="25">
        <v>229</v>
      </c>
      <c r="B231" s="32">
        <f ca="1">IFERROR(__xludf.DUMMYFUNCTION("""COMPUTED_VALUE"""),46181.3247842013)</f>
        <v>46181.324784201301</v>
      </c>
      <c r="C231" s="33" t="str">
        <f ca="1">IFERROR(__xludf.DUMMYFUNCTION("""COMPUTED_VALUE"""),"المعملجي")</f>
        <v>المعملجي</v>
      </c>
      <c r="D231" s="33" t="str">
        <f ca="1">IFERROR(__xludf.DUMMYFUNCTION("""COMPUTED_VALUE"""),"وحدة الكهرباء")</f>
        <v>وحدة الكهرباء</v>
      </c>
      <c r="E231" s="23" t="str">
        <f ca="1">IFERROR(__xludf.DUMMYFUNCTION("""COMPUTED_VALUE"""),"قسم المشاريع الهندسية")</f>
        <v>قسم المشاريع الهندسية</v>
      </c>
      <c r="F231" s="23" t="str">
        <f ca="1">IFERROR(__xludf.DUMMYFUNCTION("""COMPUTED_VALUE"""),"قرب الاولى")</f>
        <v>قرب الاولى</v>
      </c>
      <c r="G231" s="23"/>
      <c r="H231" s="23" t="str">
        <f ca="1">IFERROR(__xludf.DUMMYFUNCTION("""COMPUTED_VALUE"""),"مد سيار لتغذية 8 اقواس حيث يتصل كل قوس بالاخر  عن طريق كونكتر ولمسافة 45 متر")</f>
        <v>مد سيار لتغذية 8 اقواس حيث يتصل كل قوس بالاخر  عن طريق كونكتر ولمسافة 45 متر</v>
      </c>
      <c r="I231" s="23"/>
      <c r="J231" s="23" t="s">
        <v>89</v>
      </c>
      <c r="K231" s="23" t="s">
        <v>13</v>
      </c>
      <c r="L231" s="32">
        <v>46181.341965300926</v>
      </c>
      <c r="M231" s="23"/>
      <c r="N231" s="2" t="s">
        <v>77</v>
      </c>
    </row>
    <row r="232" spans="1:14" ht="75" customHeight="1" thickTop="1" thickBot="1">
      <c r="A232" s="23">
        <v>230</v>
      </c>
      <c r="B232" s="32">
        <f ca="1">IFERROR(__xludf.DUMMYFUNCTION("""COMPUTED_VALUE"""),46181.325793368)</f>
        <v>46181.325793368</v>
      </c>
      <c r="C232" s="33" t="str">
        <f ca="1">IFERROR(__xludf.DUMMYFUNCTION("""COMPUTED_VALUE"""),"المعملجي")</f>
        <v>المعملجي</v>
      </c>
      <c r="D232" s="33" t="str">
        <f ca="1">IFERROR(__xludf.DUMMYFUNCTION("""COMPUTED_VALUE"""),"وحدة الكهرباء")</f>
        <v>وحدة الكهرباء</v>
      </c>
      <c r="E232" s="23" t="str">
        <f ca="1">IFERROR(__xludf.DUMMYFUNCTION("""COMPUTED_VALUE"""),"قسم المشاريع الهندسية")</f>
        <v>قسم المشاريع الهندسية</v>
      </c>
      <c r="F232" s="23" t="str">
        <f ca="1">IFERROR(__xludf.DUMMYFUNCTION("""COMPUTED_VALUE"""),"A- المركز الثقافي")</f>
        <v>A- المركز الثقافي</v>
      </c>
      <c r="G232" s="23"/>
      <c r="H232" s="23" t="str">
        <f ca="1">IFERROR(__xludf.DUMMYFUNCTION("""COMPUTED_VALUE"""),"تحويل ats  المضاف حديثا والرابط بين تغذية محطة الرفع وتغذية المركز الثقافي ")</f>
        <v xml:space="preserve">تحويل ats  المضاف حديثا والرابط بين تغذية محطة الرفع وتغذية المركز الثقافي </v>
      </c>
      <c r="I232" s="23"/>
      <c r="J232" s="23" t="s">
        <v>89</v>
      </c>
      <c r="K232" s="23" t="s">
        <v>13</v>
      </c>
      <c r="L232" s="32">
        <v>46181.341956087963</v>
      </c>
      <c r="M232" s="23"/>
      <c r="N232" s="2" t="s">
        <v>84</v>
      </c>
    </row>
    <row r="233" spans="1:14" ht="75" customHeight="1" thickTop="1" thickBot="1">
      <c r="A233" s="25">
        <v>231</v>
      </c>
      <c r="B233" s="32">
        <f ca="1">IFERROR(__xludf.DUMMYFUNCTION("""COMPUTED_VALUE"""),46181.3261655787)</f>
        <v>46181.326165578699</v>
      </c>
      <c r="C233" s="33" t="str">
        <f ca="1">IFERROR(__xludf.DUMMYFUNCTION("""COMPUTED_VALUE"""),"المعملجي")</f>
        <v>المعملجي</v>
      </c>
      <c r="D233" s="33" t="str">
        <f ca="1">IFERROR(__xludf.DUMMYFUNCTION("""COMPUTED_VALUE"""),"وحدة الكهرباء")</f>
        <v>وحدة الكهرباء</v>
      </c>
      <c r="E233" s="23" t="str">
        <f ca="1">IFERROR(__xludf.DUMMYFUNCTION("""COMPUTED_VALUE"""),"قسم المشاريع الهندسية")</f>
        <v>قسم المشاريع الهندسية</v>
      </c>
      <c r="F233" s="23" t="str">
        <f ca="1">IFERROR(__xludf.DUMMYFUNCTION("""COMPUTED_VALUE"""),"G- روضة الجود")</f>
        <v>G- روضة الجود</v>
      </c>
      <c r="G233" s="23"/>
      <c r="H233" s="23" t="str">
        <f ca="1">IFERROR(__xludf.DUMMYFUNCTION("""COMPUTED_VALUE"""),"تثبيت محولة نشرة اعلان")</f>
        <v>تثبيت محولة نشرة اعلان</v>
      </c>
      <c r="I233" s="23"/>
      <c r="J233" s="23" t="s">
        <v>89</v>
      </c>
      <c r="K233" s="23" t="s">
        <v>13</v>
      </c>
      <c r="L233" s="32">
        <v>46181.341981168982</v>
      </c>
      <c r="M233" s="23"/>
      <c r="N233" s="2" t="s">
        <v>77</v>
      </c>
    </row>
    <row r="234" spans="1:14" ht="75" customHeight="1" thickTop="1" thickBot="1">
      <c r="A234" s="23">
        <v>232</v>
      </c>
      <c r="B234" s="32">
        <f ca="1">IFERROR(__xludf.DUMMYFUNCTION("""COMPUTED_VALUE"""),46181.3267198032)</f>
        <v>46181.326719803197</v>
      </c>
      <c r="C234" s="33" t="str">
        <f ca="1">IFERROR(__xludf.DUMMYFUNCTION("""COMPUTED_VALUE"""),"المعملجي")</f>
        <v>المعملجي</v>
      </c>
      <c r="D234" s="33" t="str">
        <f ca="1">IFERROR(__xludf.DUMMYFUNCTION("""COMPUTED_VALUE"""),"وحدة الكهرباء")</f>
        <v>وحدة الكهرباء</v>
      </c>
      <c r="E234" s="23" t="str">
        <f ca="1">IFERROR(__xludf.DUMMYFUNCTION("""COMPUTED_VALUE"""),"قسم المشاريع الهندسية")</f>
        <v>قسم المشاريع الهندسية</v>
      </c>
      <c r="F234" s="23" t="str">
        <f ca="1">IFERROR(__xludf.DUMMYFUNCTION("""COMPUTED_VALUE"""),"G- روضة الجود")</f>
        <v>G- روضة الجود</v>
      </c>
      <c r="G234" s="23"/>
      <c r="H234" s="23" t="str">
        <f ca="1">IFERROR(__xludf.DUMMYFUNCTION("""COMPUTED_VALUE"""),"مد سيار مكون من 4 بلك سويج قرب الشاشة المتواجدة قرب الروضة")</f>
        <v>مد سيار مكون من 4 بلك سويج قرب الشاشة المتواجدة قرب الروضة</v>
      </c>
      <c r="I234" s="23"/>
      <c r="J234" s="23" t="s">
        <v>89</v>
      </c>
      <c r="K234" s="23" t="s">
        <v>13</v>
      </c>
      <c r="L234" s="32">
        <v>46181.34198759259</v>
      </c>
      <c r="M234" s="23"/>
      <c r="N234" s="2" t="s">
        <v>77</v>
      </c>
    </row>
    <row r="235" spans="1:14" ht="75" customHeight="1" thickTop="1" thickBot="1">
      <c r="A235" s="25">
        <v>233</v>
      </c>
      <c r="B235" s="32">
        <f ca="1">IFERROR(__xludf.DUMMYFUNCTION("""COMPUTED_VALUE"""),46181.3276776851)</f>
        <v>46181.327677685098</v>
      </c>
      <c r="C235" s="33" t="str">
        <f ca="1">IFERROR(__xludf.DUMMYFUNCTION("""COMPUTED_VALUE"""),"المعملجي")</f>
        <v>المعملجي</v>
      </c>
      <c r="D235" s="33" t="str">
        <f ca="1">IFERROR(__xludf.DUMMYFUNCTION("""COMPUTED_VALUE"""),"وحدة الكهرباء")</f>
        <v>وحدة الكهرباء</v>
      </c>
      <c r="E235" s="23" t="str">
        <f ca="1">IFERROR(__xludf.DUMMYFUNCTION("""COMPUTED_VALUE"""),"قسم المشاريع الهندسية")</f>
        <v>قسم المشاريع الهندسية</v>
      </c>
      <c r="F235" s="23" t="str">
        <f ca="1">IFERROR(__xludf.DUMMYFUNCTION("""COMPUTED_VALUE"""),"G- روضة الجود")</f>
        <v>G- روضة الجود</v>
      </c>
      <c r="G235" s="23" t="str">
        <f ca="1">IFERROR(__xludf.DUMMYFUNCTION("""COMPUTED_VALUE"""),"غرفة الكهرباء")</f>
        <v>غرفة الكهرباء</v>
      </c>
      <c r="H235" s="23" t="str">
        <f ca="1">IFERROR(__xludf.DUMMYFUNCTION("""COMPUTED_VALUE"""),"ربط السيارات من بورد غرفة الكهرباء الخارجية  ")</f>
        <v xml:space="preserve">ربط السيارات من بورد غرفة الكهرباء الخارجية  </v>
      </c>
      <c r="I235" s="23"/>
      <c r="J235" s="23" t="s">
        <v>89</v>
      </c>
      <c r="K235" s="23" t="s">
        <v>13</v>
      </c>
      <c r="L235" s="32">
        <v>46181.341987627311</v>
      </c>
      <c r="M235" s="23"/>
      <c r="N235" s="2" t="s">
        <v>77</v>
      </c>
    </row>
    <row r="236" spans="1:14" ht="75" customHeight="1" thickTop="1" thickBot="1">
      <c r="A236" s="23">
        <v>234</v>
      </c>
      <c r="B236" s="32">
        <f ca="1">IFERROR(__xludf.DUMMYFUNCTION("""COMPUTED_VALUE"""),46181.3290143981)</f>
        <v>46181.329014398099</v>
      </c>
      <c r="C236" s="33" t="str">
        <f ca="1">IFERROR(__xludf.DUMMYFUNCTION("""COMPUTED_VALUE"""),"المعملجي")</f>
        <v>المعملجي</v>
      </c>
      <c r="D236" s="33" t="str">
        <f ca="1">IFERROR(__xludf.DUMMYFUNCTION("""COMPUTED_VALUE"""),"وحدة الكهرباء")</f>
        <v>وحدة الكهرباء</v>
      </c>
      <c r="E236" s="23" t="str">
        <f ca="1">IFERROR(__xludf.DUMMYFUNCTION("""COMPUTED_VALUE"""),"قسم المشاريع الهندسية")</f>
        <v>قسم المشاريع الهندسية</v>
      </c>
      <c r="F236" s="23" t="str">
        <f ca="1">IFERROR(__xludf.DUMMYFUNCTION("""COMPUTED_VALUE"""),"B- روضة القمر")</f>
        <v>B- روضة القمر</v>
      </c>
      <c r="G236" s="23" t="str">
        <f ca="1">IFERROR(__xludf.DUMMYFUNCTION("""COMPUTED_VALUE"""),"غرفة الكهرباء")</f>
        <v>غرفة الكهرباء</v>
      </c>
      <c r="H236" s="23" t="str">
        <f ca="1">IFERROR(__xludf.DUMMYFUNCTION("""COMPUTED_VALUE"""),"ربط السيارات من بورد غرفة الكهرباء الخارجية  ")</f>
        <v xml:space="preserve">ربط السيارات من بورد غرفة الكهرباء الخارجية  </v>
      </c>
      <c r="I236" s="23"/>
      <c r="J236" s="23" t="s">
        <v>89</v>
      </c>
      <c r="K236" s="23" t="s">
        <v>13</v>
      </c>
      <c r="L236" s="32">
        <v>46181.342010636574</v>
      </c>
      <c r="M236" s="23"/>
      <c r="N236" s="2" t="s">
        <v>77</v>
      </c>
    </row>
    <row r="237" spans="1:14" ht="75" customHeight="1" thickTop="1" thickBot="1">
      <c r="A237" s="25">
        <v>235</v>
      </c>
      <c r="B237" s="32">
        <f ca="1">IFERROR(__xludf.DUMMYFUNCTION("""COMPUTED_VALUE"""),46181.32977728)</f>
        <v>46181.32977728</v>
      </c>
      <c r="C237" s="33" t="str">
        <f ca="1">IFERROR(__xludf.DUMMYFUNCTION("""COMPUTED_VALUE"""),"المعملجي")</f>
        <v>المعملجي</v>
      </c>
      <c r="D237" s="33" t="str">
        <f ca="1">IFERROR(__xludf.DUMMYFUNCTION("""COMPUTED_VALUE"""),"وحدة الكهرباء")</f>
        <v>وحدة الكهرباء</v>
      </c>
      <c r="E237" s="23" t="str">
        <f ca="1">IFERROR(__xludf.DUMMYFUNCTION("""COMPUTED_VALUE"""),"قسم المشاريع الهندسية")</f>
        <v>قسم المشاريع الهندسية</v>
      </c>
      <c r="F237" s="23" t="str">
        <f ca="1">IFERROR(__xludf.DUMMYFUNCTION("""COMPUTED_VALUE"""),"المهرجان")</f>
        <v>المهرجان</v>
      </c>
      <c r="G237" s="23"/>
      <c r="H237" s="23" t="str">
        <f ca="1">IFERROR(__xludf.DUMMYFUNCTION("""COMPUTED_VALUE"""),"تغذية ومد سيار حراري وعادي لعربانة القهوة")</f>
        <v>تغذية ومد سيار حراري وعادي لعربانة القهوة</v>
      </c>
      <c r="I237" s="23"/>
      <c r="J237" s="23" t="s">
        <v>89</v>
      </c>
      <c r="K237" s="23" t="s">
        <v>13</v>
      </c>
      <c r="L237" s="32">
        <v>46181.342047164348</v>
      </c>
      <c r="M237" s="23"/>
      <c r="N237" s="2" t="s">
        <v>77</v>
      </c>
    </row>
    <row r="238" spans="1:14" ht="75" customHeight="1" thickTop="1" thickBot="1">
      <c r="A238" s="23">
        <v>236</v>
      </c>
      <c r="B238" s="32">
        <f ca="1">IFERROR(__xludf.DUMMYFUNCTION("""COMPUTED_VALUE"""),46181.3302608333)</f>
        <v>46181.330260833303</v>
      </c>
      <c r="C238" s="33" t="str">
        <f ca="1">IFERROR(__xludf.DUMMYFUNCTION("""COMPUTED_VALUE"""),"المعملجي")</f>
        <v>المعملجي</v>
      </c>
      <c r="D238" s="33" t="str">
        <f ca="1">IFERROR(__xludf.DUMMYFUNCTION("""COMPUTED_VALUE"""),"وحدة الكهرباء")</f>
        <v>وحدة الكهرباء</v>
      </c>
      <c r="E238" s="23" t="str">
        <f ca="1">IFERROR(__xludf.DUMMYFUNCTION("""COMPUTED_VALUE"""),"قسم المشاريع الهندسية")</f>
        <v>قسم المشاريع الهندسية</v>
      </c>
      <c r="F238" s="23" t="str">
        <f ca="1">IFERROR(__xludf.DUMMYFUNCTION("""COMPUTED_VALUE"""),"الستيج")</f>
        <v>الستيج</v>
      </c>
      <c r="G238" s="23"/>
      <c r="H238" s="23" t="str">
        <f ca="1">IFERROR(__xludf.DUMMYFUNCTION("""COMPUTED_VALUE"""),"مد سيار متكون من 4 بلك سويجات للصوتيات على جانب الستيج")</f>
        <v>مد سيار متكون من 4 بلك سويجات للصوتيات على جانب الستيج</v>
      </c>
      <c r="I238" s="23"/>
      <c r="J238" s="23" t="s">
        <v>89</v>
      </c>
      <c r="K238" s="23" t="s">
        <v>13</v>
      </c>
      <c r="L238" s="32">
        <v>46181.342048055551</v>
      </c>
      <c r="M238" s="23"/>
      <c r="N238" s="2" t="s">
        <v>77</v>
      </c>
    </row>
    <row r="239" spans="1:14" ht="75" customHeight="1" thickTop="1" thickBot="1">
      <c r="A239" s="25">
        <v>237</v>
      </c>
      <c r="B239" s="32">
        <f ca="1">IFERROR(__xludf.DUMMYFUNCTION("""COMPUTED_VALUE"""),46181.3311644791)</f>
        <v>46181.331164479103</v>
      </c>
      <c r="C239" s="33" t="str">
        <f ca="1">IFERROR(__xludf.DUMMYFUNCTION("""COMPUTED_VALUE"""),"المعملجي")</f>
        <v>المعملجي</v>
      </c>
      <c r="D239" s="33" t="str">
        <f ca="1">IFERROR(__xludf.DUMMYFUNCTION("""COMPUTED_VALUE"""),"وحدة الكهرباء")</f>
        <v>وحدة الكهرباء</v>
      </c>
      <c r="E239" s="23" t="str">
        <f ca="1">IFERROR(__xludf.DUMMYFUNCTION("""COMPUTED_VALUE"""),"قسم المشاريع الهندسية")</f>
        <v>قسم المشاريع الهندسية</v>
      </c>
      <c r="F239" s="23" t="str">
        <f ca="1">IFERROR(__xludf.DUMMYFUNCTION("""COMPUTED_VALUE"""),"الستيج")</f>
        <v>الستيج</v>
      </c>
      <c r="G239" s="23"/>
      <c r="H239" s="23" t="str">
        <f ca="1">IFERROR(__xludf.DUMMYFUNCTION("""COMPUTED_VALUE"""),"مد سيار طول 4 امتار لتغذية مجموعة من الأجهزة قرب الستيج ")</f>
        <v xml:space="preserve">مد سيار طول 4 امتار لتغذية مجموعة من الأجهزة قرب الستيج </v>
      </c>
      <c r="I239" s="23"/>
      <c r="J239" s="23" t="s">
        <v>89</v>
      </c>
      <c r="K239" s="23" t="s">
        <v>13</v>
      </c>
      <c r="L239" s="32">
        <v>46181.342047002312</v>
      </c>
      <c r="M239" s="23"/>
      <c r="N239" s="2" t="s">
        <v>77</v>
      </c>
    </row>
    <row r="240" spans="1:14" ht="75" customHeight="1" thickTop="1" thickBot="1">
      <c r="A240" s="23">
        <v>238</v>
      </c>
      <c r="B240" s="32">
        <f ca="1">IFERROR(__xludf.DUMMYFUNCTION("""COMPUTED_VALUE"""),46181.3317847106)</f>
        <v>46181.331784710601</v>
      </c>
      <c r="C240" s="33" t="str">
        <f ca="1">IFERROR(__xludf.DUMMYFUNCTION("""COMPUTED_VALUE"""),"المعملجي")</f>
        <v>المعملجي</v>
      </c>
      <c r="D240" s="33" t="str">
        <f ca="1">IFERROR(__xludf.DUMMYFUNCTION("""COMPUTED_VALUE"""),"وحدة الكهرباء")</f>
        <v>وحدة الكهرباء</v>
      </c>
      <c r="E240" s="23" t="str">
        <f ca="1">IFERROR(__xludf.DUMMYFUNCTION("""COMPUTED_VALUE"""),"قسم المشاريع الهندسية")</f>
        <v>قسم المشاريع الهندسية</v>
      </c>
      <c r="F240" s="23" t="str">
        <f ca="1">IFERROR(__xludf.DUMMYFUNCTION("""COMPUTED_VALUE"""),"مكان المهرجان")</f>
        <v>مكان المهرجان</v>
      </c>
      <c r="G240" s="23"/>
      <c r="H240" s="23" t="str">
        <f ca="1">IFERROR(__xludf.DUMMYFUNCTION("""COMPUTED_VALUE"""),"تغذية  انارة عدد (3)  لعارضة خشبية  قرب القاعة الرياضية")</f>
        <v>تغذية  انارة عدد (3)  لعارضة خشبية  قرب القاعة الرياضية</v>
      </c>
      <c r="I240" s="23"/>
      <c r="J240" s="23" t="s">
        <v>89</v>
      </c>
      <c r="K240" s="23" t="s">
        <v>13</v>
      </c>
      <c r="L240" s="32">
        <v>46181.342068252314</v>
      </c>
      <c r="M240" s="23"/>
      <c r="N240" s="2" t="s">
        <v>77</v>
      </c>
    </row>
    <row r="241" spans="1:14" ht="75" customHeight="1" thickTop="1" thickBot="1">
      <c r="A241" s="25">
        <v>239</v>
      </c>
      <c r="B241" s="32">
        <f ca="1">IFERROR(__xludf.DUMMYFUNCTION("""COMPUTED_VALUE"""),46181.3323645601)</f>
        <v>46181.332364560098</v>
      </c>
      <c r="C241" s="33" t="str">
        <f ca="1">IFERROR(__xludf.DUMMYFUNCTION("""COMPUTED_VALUE"""),"المعملجي")</f>
        <v>المعملجي</v>
      </c>
      <c r="D241" s="33" t="str">
        <f ca="1">IFERROR(__xludf.DUMMYFUNCTION("""COMPUTED_VALUE"""),"وحدة الكهرباء")</f>
        <v>وحدة الكهرباء</v>
      </c>
      <c r="E241" s="23" t="str">
        <f ca="1">IFERROR(__xludf.DUMMYFUNCTION("""COMPUTED_VALUE"""),"قسم المشاريع الهندسية")</f>
        <v>قسم المشاريع الهندسية</v>
      </c>
      <c r="F241" s="23" t="str">
        <f ca="1">IFERROR(__xludf.DUMMYFUNCTION("""COMPUTED_VALUE"""),"مكان المهرجان")</f>
        <v>مكان المهرجان</v>
      </c>
      <c r="G241" s="23"/>
      <c r="H241" s="23" t="str">
        <f ca="1">IFERROR(__xludf.DUMMYFUNCTION("""COMPUTED_VALUE"""),"تغذية  انارة عدد (4) لعارضات خشبية مقابل  المدرسة الرابعة")</f>
        <v>تغذية  انارة عدد (4) لعارضات خشبية مقابل  المدرسة الرابعة</v>
      </c>
      <c r="I241" s="23"/>
      <c r="J241" s="23" t="s">
        <v>89</v>
      </c>
      <c r="K241" s="23" t="s">
        <v>13</v>
      </c>
      <c r="L241" s="32"/>
      <c r="M241" s="23"/>
      <c r="N241" s="2"/>
    </row>
    <row r="242" spans="1:14" ht="75" customHeight="1" thickTop="1" thickBot="1">
      <c r="A242" s="23">
        <v>240</v>
      </c>
      <c r="B242" s="32">
        <f ca="1">IFERROR(__xludf.DUMMYFUNCTION("""COMPUTED_VALUE"""),46181.3327468749)</f>
        <v>46181.332746874898</v>
      </c>
      <c r="C242" s="33" t="str">
        <f ca="1">IFERROR(__xludf.DUMMYFUNCTION("""COMPUTED_VALUE"""),"المعملجي")</f>
        <v>المعملجي</v>
      </c>
      <c r="D242" s="33" t="str">
        <f ca="1">IFERROR(__xludf.DUMMYFUNCTION("""COMPUTED_VALUE"""),"وحدة الكهرباء")</f>
        <v>وحدة الكهرباء</v>
      </c>
      <c r="E242" s="23" t="str">
        <f ca="1">IFERROR(__xludf.DUMMYFUNCTION("""COMPUTED_VALUE"""),"قسم المشاريع الهندسية")</f>
        <v>قسم المشاريع الهندسية</v>
      </c>
      <c r="F242" s="23" t="str">
        <f ca="1">IFERROR(__xludf.DUMMYFUNCTION("""COMPUTED_VALUE"""),"مكان المهرجان")</f>
        <v>مكان المهرجان</v>
      </c>
      <c r="G242" s="23"/>
      <c r="H242" s="23" t="str">
        <f ca="1">IFERROR(__xludf.DUMMYFUNCTION("""COMPUTED_VALUE"""),"تغذية براد الماء خلف المدرسة الثانية من احد الاعمدة")</f>
        <v>تغذية براد الماء خلف المدرسة الثانية من احد الاعمدة</v>
      </c>
      <c r="I242" s="23"/>
      <c r="J242" s="23" t="s">
        <v>89</v>
      </c>
      <c r="K242" s="23" t="s">
        <v>13</v>
      </c>
      <c r="L242" s="32"/>
      <c r="M242" s="23"/>
      <c r="N242" s="2"/>
    </row>
    <row r="243" spans="1:14" ht="75" customHeight="1" thickTop="1" thickBot="1">
      <c r="A243" s="25">
        <v>241</v>
      </c>
      <c r="B243" s="32">
        <f ca="1">IFERROR(__xludf.DUMMYFUNCTION("""COMPUTED_VALUE"""),46181.3332893055)</f>
        <v>46181.333289305498</v>
      </c>
      <c r="C243" s="33" t="str">
        <f ca="1">IFERROR(__xludf.DUMMYFUNCTION("""COMPUTED_VALUE"""),"المعملجي")</f>
        <v>المعملجي</v>
      </c>
      <c r="D243" s="33" t="str">
        <f ca="1">IFERROR(__xludf.DUMMYFUNCTION("""COMPUTED_VALUE"""),"وحدة الكهرباء")</f>
        <v>وحدة الكهرباء</v>
      </c>
      <c r="E243" s="23" t="str">
        <f ca="1">IFERROR(__xludf.DUMMYFUNCTION("""COMPUTED_VALUE"""),"قسم المشاريع الهندسية")</f>
        <v>قسم المشاريع الهندسية</v>
      </c>
      <c r="F243" s="23" t="str">
        <f ca="1">IFERROR(__xludf.DUMMYFUNCTION("""COMPUTED_VALUE"""),"G- روضة الجود")</f>
        <v>G- روضة الجود</v>
      </c>
      <c r="G243" s="23"/>
      <c r="H243" s="23" t="str">
        <f ca="1">IFERROR(__xludf.DUMMYFUNCTION("""COMPUTED_VALUE"""),"تغذية 4 صوندات led للبلونات على مسافة متفرقة وعلى طول واجهة البناية")</f>
        <v>تغذية 4 صوندات led للبلونات على مسافة متفرقة وعلى طول واجهة البناية</v>
      </c>
      <c r="I243" s="23"/>
      <c r="J243" s="23" t="s">
        <v>89</v>
      </c>
      <c r="K243" s="23" t="s">
        <v>13</v>
      </c>
      <c r="L243" s="32">
        <v>46181.342077592592</v>
      </c>
      <c r="M243" s="23"/>
      <c r="N243" s="2"/>
    </row>
    <row r="244" spans="1:14" ht="75" customHeight="1" thickTop="1" thickBot="1">
      <c r="A244" s="23">
        <v>242</v>
      </c>
      <c r="B244" s="32">
        <f ca="1">IFERROR(__xludf.DUMMYFUNCTION("""COMPUTED_VALUE"""),46181.333885405)</f>
        <v>46181.333885405002</v>
      </c>
      <c r="C244" s="33" t="str">
        <f ca="1">IFERROR(__xludf.DUMMYFUNCTION("""COMPUTED_VALUE"""),"المعملجي")</f>
        <v>المعملجي</v>
      </c>
      <c r="D244" s="33" t="str">
        <f ca="1">IFERROR(__xludf.DUMMYFUNCTION("""COMPUTED_VALUE"""),"وحدة الكهرباء")</f>
        <v>وحدة الكهرباء</v>
      </c>
      <c r="E244" s="23" t="str">
        <f ca="1">IFERROR(__xludf.DUMMYFUNCTION("""COMPUTED_VALUE"""),"قسم المشاريع الهندسية")</f>
        <v>قسم المشاريع الهندسية</v>
      </c>
      <c r="F244" s="23" t="str">
        <f ca="1">IFERROR(__xludf.DUMMYFUNCTION("""COMPUTED_VALUE"""),"B- روضة القمر")</f>
        <v>B- روضة القمر</v>
      </c>
      <c r="G244" s="23"/>
      <c r="H244" s="23" t="str">
        <f ca="1">IFERROR(__xludf.DUMMYFUNCTION("""COMPUTED_VALUE"""),"تغذية 4 صوندات led للبلونات على مسافة متفرقة وعلى طول واجهة البناية")</f>
        <v>تغذية 4 صوندات led للبلونات على مسافة متفرقة وعلى طول واجهة البناية</v>
      </c>
      <c r="I244" s="23"/>
      <c r="J244" s="23" t="s">
        <v>89</v>
      </c>
      <c r="K244" s="23" t="s">
        <v>13</v>
      </c>
      <c r="L244" s="32">
        <v>46181.342094398147</v>
      </c>
      <c r="M244" s="23"/>
      <c r="N244" s="2"/>
    </row>
    <row r="245" spans="1:14" ht="75" customHeight="1" thickTop="1" thickBot="1">
      <c r="A245" s="25">
        <v>243</v>
      </c>
      <c r="B245" s="32">
        <f ca="1">IFERROR(__xludf.DUMMYFUNCTION("""COMPUTED_VALUE"""),46181.3347986458)</f>
        <v>46181.334798645803</v>
      </c>
      <c r="C245" s="33" t="str">
        <f ca="1">IFERROR(__xludf.DUMMYFUNCTION("""COMPUTED_VALUE"""),"المعملجي")</f>
        <v>المعملجي</v>
      </c>
      <c r="D245" s="33" t="str">
        <f ca="1">IFERROR(__xludf.DUMMYFUNCTION("""COMPUTED_VALUE"""),"وحدة الكهرباء")</f>
        <v>وحدة الكهرباء</v>
      </c>
      <c r="E245" s="23" t="str">
        <f ca="1">IFERROR(__xludf.DUMMYFUNCTION("""COMPUTED_VALUE"""),"قسم المشاريع الهندسية")</f>
        <v>قسم المشاريع الهندسية</v>
      </c>
      <c r="F245" s="23" t="str">
        <f ca="1">IFERROR(__xludf.DUMMYFUNCTION("""COMPUTED_VALUE"""),"الستيج")</f>
        <v>الستيج</v>
      </c>
      <c r="G245" s="23"/>
      <c r="H245" s="23" t="str">
        <f ca="1">IFERROR(__xludf.DUMMYFUNCTION("""COMPUTED_VALUE"""),"مد  وتغذية سيار طول 25 متر إلى منتصف الستيج")</f>
        <v>مد  وتغذية سيار طول 25 متر إلى منتصف الستيج</v>
      </c>
      <c r="I245" s="23"/>
      <c r="J245" s="23" t="s">
        <v>89</v>
      </c>
      <c r="K245" s="23" t="s">
        <v>13</v>
      </c>
      <c r="L245" s="32">
        <v>46181.342094201391</v>
      </c>
      <c r="M245" s="23"/>
      <c r="N245" s="2"/>
    </row>
    <row r="246" spans="1:14" ht="75" customHeight="1" thickTop="1" thickBot="1">
      <c r="A246" s="23">
        <v>244</v>
      </c>
      <c r="B246" s="32">
        <f ca="1">IFERROR(__xludf.DUMMYFUNCTION("""COMPUTED_VALUE"""),46181.3357284953)</f>
        <v>46181.335728495302</v>
      </c>
      <c r="C246" s="33" t="str">
        <f ca="1">IFERROR(__xludf.DUMMYFUNCTION("""COMPUTED_VALUE"""),"المعملجي")</f>
        <v>المعملجي</v>
      </c>
      <c r="D246" s="33" t="str">
        <f ca="1">IFERROR(__xludf.DUMMYFUNCTION("""COMPUTED_VALUE"""),"وحدة الكهرباء")</f>
        <v>وحدة الكهرباء</v>
      </c>
      <c r="E246" s="23" t="str">
        <f ca="1">IFERROR(__xludf.DUMMYFUNCTION("""COMPUTED_VALUE"""),"قسم المشاريع الهندسية")</f>
        <v>قسم المشاريع الهندسية</v>
      </c>
      <c r="F246" s="23" t="str">
        <f ca="1">IFERROR(__xludf.DUMMYFUNCTION("""COMPUTED_VALUE"""),"مكان المهرجان")</f>
        <v>مكان المهرجان</v>
      </c>
      <c r="G246" s="23"/>
      <c r="H246" s="23" t="str">
        <f ca="1">IFERROR(__xludf.DUMMYFUNCTION("""COMPUTED_VALUE"""),"تغذية اقواس البالونات الممتدة من الباب الثاني للمجمع الى موقع النافورة عدد 14")</f>
        <v>تغذية اقواس البالونات الممتدة من الباب الثاني للمجمع الى موقع النافورة عدد 14</v>
      </c>
      <c r="I246" s="23"/>
      <c r="J246" s="23" t="s">
        <v>89</v>
      </c>
      <c r="K246" s="23" t="s">
        <v>13</v>
      </c>
      <c r="L246" s="32">
        <v>46181.342104930554</v>
      </c>
      <c r="M246" s="23"/>
      <c r="N246" s="2"/>
    </row>
    <row r="247" spans="1:14" ht="75" customHeight="1" thickTop="1" thickBot="1">
      <c r="A247" s="25">
        <v>245</v>
      </c>
      <c r="B247" s="32">
        <f ca="1">IFERROR(__xludf.DUMMYFUNCTION("""COMPUTED_VALUE"""),46181.3360371412)</f>
        <v>46181.336037141198</v>
      </c>
      <c r="C247" s="33" t="str">
        <f ca="1">IFERROR(__xludf.DUMMYFUNCTION("""COMPUTED_VALUE"""),"المعملجي")</f>
        <v>المعملجي</v>
      </c>
      <c r="D247" s="33" t="str">
        <f ca="1">IFERROR(__xludf.DUMMYFUNCTION("""COMPUTED_VALUE"""),"وحدة الكهرباء")</f>
        <v>وحدة الكهرباء</v>
      </c>
      <c r="E247" s="23" t="str">
        <f ca="1">IFERROR(__xludf.DUMMYFUNCTION("""COMPUTED_VALUE"""),"قسم المشاريع الهندسية")</f>
        <v>قسم المشاريع الهندسية</v>
      </c>
      <c r="F247" s="23" t="str">
        <f ca="1">IFERROR(__xludf.DUMMYFUNCTION("""COMPUTED_VALUE"""),"النافورة")</f>
        <v>النافورة</v>
      </c>
      <c r="G247" s="23"/>
      <c r="H247" s="23" t="str">
        <f ca="1">IFERROR(__xludf.DUMMYFUNCTION("""COMPUTED_VALUE"""),"تغذية قوسين آخرين من البالونات في مدخل ومخرج ممر النافورة ومن الأعمدة القريبة منها
")</f>
        <v xml:space="preserve">تغذية قوسين آخرين من البالونات في مدخل ومخرج ممر النافورة ومن الأعمدة القريبة منها
</v>
      </c>
      <c r="I247" s="23"/>
      <c r="J247" s="23" t="s">
        <v>89</v>
      </c>
      <c r="K247" s="23" t="s">
        <v>13</v>
      </c>
      <c r="L247" s="32">
        <v>46181.34211409722</v>
      </c>
      <c r="M247" s="23"/>
      <c r="N247" s="2"/>
    </row>
    <row r="248" spans="1:14" ht="75" customHeight="1" thickTop="1" thickBot="1">
      <c r="A248" s="23">
        <v>246</v>
      </c>
      <c r="B248" s="32">
        <f ca="1">IFERROR(__xludf.DUMMYFUNCTION("""COMPUTED_VALUE"""),46181.3365078587)</f>
        <v>46181.336507858701</v>
      </c>
      <c r="C248" s="33" t="str">
        <f ca="1">IFERROR(__xludf.DUMMYFUNCTION("""COMPUTED_VALUE"""),"المعملجي")</f>
        <v>المعملجي</v>
      </c>
      <c r="D248" s="33" t="str">
        <f ca="1">IFERROR(__xludf.DUMMYFUNCTION("""COMPUTED_VALUE"""),"وحدة الكهرباء")</f>
        <v>وحدة الكهرباء</v>
      </c>
      <c r="E248" s="23" t="str">
        <f ca="1">IFERROR(__xludf.DUMMYFUNCTION("""COMPUTED_VALUE"""),"قسم المشاريع الهندسية")</f>
        <v>قسم المشاريع الهندسية</v>
      </c>
      <c r="F248" s="23" t="str">
        <f ca="1">IFERROR(__xludf.DUMMYFUNCTION("""COMPUTED_VALUE"""),"مكان المهرجان")</f>
        <v>مكان المهرجان</v>
      </c>
      <c r="G248" s="23"/>
      <c r="H248" s="23" t="str">
        <f ca="1">IFERROR(__xludf.DUMMYFUNCTION("""COMPUTED_VALUE"""),"عمل سيار اربع نقاط جوكر لكادر التصوير")</f>
        <v>عمل سيار اربع نقاط جوكر لكادر التصوير</v>
      </c>
      <c r="I248" s="23"/>
      <c r="J248" s="23" t="s">
        <v>89</v>
      </c>
      <c r="K248" s="23" t="s">
        <v>13</v>
      </c>
      <c r="L248" s="32">
        <v>46181.342122893519</v>
      </c>
      <c r="M248" s="23"/>
      <c r="N248" s="2"/>
    </row>
    <row r="249" spans="1:14" ht="75" customHeight="1" thickTop="1" thickBot="1">
      <c r="A249" s="25">
        <v>247</v>
      </c>
      <c r="B249" s="32">
        <f ca="1">IFERROR(__xludf.DUMMYFUNCTION("""COMPUTED_VALUE"""),46181.3374266435)</f>
        <v>46181.337426643498</v>
      </c>
      <c r="C249" s="33" t="str">
        <f ca="1">IFERROR(__xludf.DUMMYFUNCTION("""COMPUTED_VALUE"""),"المعملجي")</f>
        <v>المعملجي</v>
      </c>
      <c r="D249" s="33" t="str">
        <f ca="1">IFERROR(__xludf.DUMMYFUNCTION("""COMPUTED_VALUE"""),"وحدة الكهرباء")</f>
        <v>وحدة الكهرباء</v>
      </c>
      <c r="E249" s="23" t="str">
        <f ca="1">IFERROR(__xludf.DUMMYFUNCTION("""COMPUTED_VALUE"""),"قسم المشاريع الهندسية")</f>
        <v>قسم المشاريع الهندسية</v>
      </c>
      <c r="F249" s="23" t="str">
        <f ca="1">IFERROR(__xludf.DUMMYFUNCTION("""COMPUTED_VALUE"""),"مكان المهرجان")</f>
        <v>مكان المهرجان</v>
      </c>
      <c r="G249" s="23"/>
      <c r="H249" s="23" t="str">
        <f ca="1">IFERROR(__xludf.DUMMYFUNCTION("""COMPUTED_VALUE"""),"تغذية نشرتين بطول 20 متر للنشرة الواحدة من أحد الأعمدة القريبة")</f>
        <v>تغذية نشرتين بطول 20 متر للنشرة الواحدة من أحد الأعمدة القريبة</v>
      </c>
      <c r="I249" s="23"/>
      <c r="J249" s="23" t="s">
        <v>89</v>
      </c>
      <c r="K249" s="23" t="s">
        <v>13</v>
      </c>
      <c r="L249" s="32">
        <v>46181.342136967593</v>
      </c>
      <c r="M249" s="23"/>
      <c r="N249" s="2"/>
    </row>
    <row r="250" spans="1:14" ht="75" customHeight="1" thickTop="1" thickBot="1">
      <c r="A250" s="23">
        <v>248</v>
      </c>
      <c r="B250" s="32">
        <f ca="1">IFERROR(__xludf.DUMMYFUNCTION("""COMPUTED_VALUE"""),46181.3379485185)</f>
        <v>46181.3379485185</v>
      </c>
      <c r="C250" s="33" t="str">
        <f ca="1">IFERROR(__xludf.DUMMYFUNCTION("""COMPUTED_VALUE"""),"المعملجي")</f>
        <v>المعملجي</v>
      </c>
      <c r="D250" s="33" t="str">
        <f ca="1">IFERROR(__xludf.DUMMYFUNCTION("""COMPUTED_VALUE"""),"وحدة الكهرباء")</f>
        <v>وحدة الكهرباء</v>
      </c>
      <c r="E250" s="23" t="str">
        <f ca="1">IFERROR(__xludf.DUMMYFUNCTION("""COMPUTED_VALUE"""),"قسم المشاريع الهندسية")</f>
        <v>قسم المشاريع الهندسية</v>
      </c>
      <c r="F250" s="23" t="str">
        <f ca="1">IFERROR(__xludf.DUMMYFUNCTION("""COMPUTED_VALUE"""),"مكان المهرجان")</f>
        <v>مكان المهرجان</v>
      </c>
      <c r="G250" s="23"/>
      <c r="H250" s="23" t="str">
        <f ca="1">IFERROR(__xludf.DUMMYFUNCTION("""COMPUTED_VALUE"""),"صيانة نشرتين من اقواس البالونات نتيجة تلف لدات فيها")</f>
        <v>صيانة نشرتين من اقواس البالونات نتيجة تلف لدات فيها</v>
      </c>
      <c r="I250" s="23"/>
      <c r="J250" s="23" t="s">
        <v>89</v>
      </c>
      <c r="K250" s="23" t="s">
        <v>13</v>
      </c>
      <c r="L250" s="32">
        <v>46181.342144745373</v>
      </c>
      <c r="M250" s="23"/>
      <c r="N250" s="2"/>
    </row>
    <row r="251" spans="1:14" ht="75" customHeight="1" thickTop="1" thickBot="1">
      <c r="A251" s="25">
        <v>249</v>
      </c>
      <c r="B251" s="32">
        <f ca="1">IFERROR(__xludf.DUMMYFUNCTION("""COMPUTED_VALUE"""),46181.3383388773)</f>
        <v>46181.3383388773</v>
      </c>
      <c r="C251" s="33" t="str">
        <f ca="1">IFERROR(__xludf.DUMMYFUNCTION("""COMPUTED_VALUE"""),"المعملجي")</f>
        <v>المعملجي</v>
      </c>
      <c r="D251" s="33" t="str">
        <f ca="1">IFERROR(__xludf.DUMMYFUNCTION("""COMPUTED_VALUE"""),"وحدة الكهرباء")</f>
        <v>وحدة الكهرباء</v>
      </c>
      <c r="E251" s="23" t="str">
        <f ca="1">IFERROR(__xludf.DUMMYFUNCTION("""COMPUTED_VALUE"""),"قسم المشاريع الهندسية")</f>
        <v>قسم المشاريع الهندسية</v>
      </c>
      <c r="F251" s="23" t="str">
        <f ca="1">IFERROR(__xludf.DUMMYFUNCTION("""COMPUTED_VALUE"""),"النافورة")</f>
        <v>النافورة</v>
      </c>
      <c r="G251" s="23"/>
      <c r="H251" s="23" t="str">
        <f ca="1">IFERROR(__xludf.DUMMYFUNCTION("""COMPUTED_VALUE"""),"مد فلكس بطول 90 متر لتغذية نشرة النافورة")</f>
        <v>مد فلكس بطول 90 متر لتغذية نشرة النافورة</v>
      </c>
      <c r="I251" s="23"/>
      <c r="J251" s="23" t="s">
        <v>89</v>
      </c>
      <c r="K251" s="23" t="s">
        <v>13</v>
      </c>
      <c r="L251" s="32">
        <v>46181.342160046297</v>
      </c>
      <c r="M251" s="23"/>
      <c r="N251" s="2"/>
    </row>
    <row r="252" spans="1:14" ht="75" customHeight="1" thickTop="1" thickBot="1">
      <c r="A252" s="23">
        <v>250</v>
      </c>
      <c r="B252" s="32">
        <f ca="1">IFERROR(__xludf.DUMMYFUNCTION("""COMPUTED_VALUE"""),46181.3387462268)</f>
        <v>46181.3387462268</v>
      </c>
      <c r="C252" s="33" t="str">
        <f ca="1">IFERROR(__xludf.DUMMYFUNCTION("""COMPUTED_VALUE"""),"المعملجي")</f>
        <v>المعملجي</v>
      </c>
      <c r="D252" s="33" t="str">
        <f ca="1">IFERROR(__xludf.DUMMYFUNCTION("""COMPUTED_VALUE"""),"وحدة الكهرباء")</f>
        <v>وحدة الكهرباء</v>
      </c>
      <c r="E252" s="23" t="str">
        <f ca="1">IFERROR(__xludf.DUMMYFUNCTION("""COMPUTED_VALUE"""),"قسم المشاريع الهندسية")</f>
        <v>قسم المشاريع الهندسية</v>
      </c>
      <c r="F252" s="23" t="str">
        <f ca="1">IFERROR(__xludf.DUMMYFUNCTION("""COMPUTED_VALUE"""),"G- روضة الجود")</f>
        <v>G- روضة الجود</v>
      </c>
      <c r="G252" s="23" t="str">
        <f ca="1">IFERROR(__xludf.DUMMYFUNCTION("""COMPUTED_VALUE"""),"السطح")</f>
        <v>السطح</v>
      </c>
      <c r="H252" s="23" t="str">
        <f ca="1">IFERROR(__xludf.DUMMYFUNCTION("""COMPUTED_VALUE"""),"غسل الالواح الشمسية")</f>
        <v>غسل الالواح الشمسية</v>
      </c>
      <c r="I252" s="23"/>
      <c r="J252" s="23" t="s">
        <v>89</v>
      </c>
      <c r="K252" s="23" t="s">
        <v>13</v>
      </c>
      <c r="L252" s="32">
        <v>46181.342173055556</v>
      </c>
      <c r="M252" s="23"/>
      <c r="N252" s="2"/>
    </row>
    <row r="253" spans="1:14" ht="75" customHeight="1" thickTop="1" thickBot="1">
      <c r="A253" s="25">
        <v>251</v>
      </c>
      <c r="B253" s="32">
        <f ca="1">IFERROR(__xludf.DUMMYFUNCTION("""COMPUTED_VALUE"""),46181.3399334837)</f>
        <v>46181.339933483701</v>
      </c>
      <c r="C253" s="33" t="str">
        <f ca="1">IFERROR(__xludf.DUMMYFUNCTION("""COMPUTED_VALUE"""),"المعملجي")</f>
        <v>المعملجي</v>
      </c>
      <c r="D253" s="33" t="str">
        <f ca="1">IFERROR(__xludf.DUMMYFUNCTION("""COMPUTED_VALUE"""),"وحدة الكهرباء")</f>
        <v>وحدة الكهرباء</v>
      </c>
      <c r="E253" s="23" t="str">
        <f ca="1">IFERROR(__xludf.DUMMYFUNCTION("""COMPUTED_VALUE"""),"قسم المشاريع الهندسية")</f>
        <v>قسم المشاريع الهندسية</v>
      </c>
      <c r="F253" s="23" t="str">
        <f ca="1">IFERROR(__xludf.DUMMYFUNCTION("""COMPUTED_VALUE"""),"الاستعلامات الرئيسية")</f>
        <v>الاستعلامات الرئيسية</v>
      </c>
      <c r="G253" s="23"/>
      <c r="H253" s="23" t="str">
        <f ca="1">IFERROR(__xludf.DUMMYFUNCTION("""COMPUTED_VALUE"""),"تصميم كارت ودائرة اتصالات جديدة لاسليكية لتشغلي ماطور باب الاستعلامات الخارجية")</f>
        <v>تصميم كارت ودائرة اتصالات جديدة لاسليكية لتشغلي ماطور باب الاستعلامات الخارجية</v>
      </c>
      <c r="I253" s="23"/>
      <c r="J253" s="23" t="s">
        <v>89</v>
      </c>
      <c r="K253" s="23" t="s">
        <v>13</v>
      </c>
      <c r="L253" s="32">
        <v>46181.342186412032</v>
      </c>
      <c r="M253" s="23"/>
      <c r="N253" s="2"/>
    </row>
    <row r="254" spans="1:14" ht="75" customHeight="1" thickTop="1" thickBot="1">
      <c r="A254" s="23">
        <v>252</v>
      </c>
      <c r="B254" s="32">
        <f ca="1">IFERROR(__xludf.DUMMYFUNCTION("""COMPUTED_VALUE"""),46181.3403045833)</f>
        <v>46181.340304583297</v>
      </c>
      <c r="C254" s="33" t="str">
        <f ca="1">IFERROR(__xludf.DUMMYFUNCTION("""COMPUTED_VALUE"""),"المعملجي")</f>
        <v>المعملجي</v>
      </c>
      <c r="D254" s="33" t="str">
        <f ca="1">IFERROR(__xludf.DUMMYFUNCTION("""COMPUTED_VALUE"""),"وحدة الكهرباء")</f>
        <v>وحدة الكهرباء</v>
      </c>
      <c r="E254" s="23" t="str">
        <f ca="1">IFERROR(__xludf.DUMMYFUNCTION("""COMPUTED_VALUE"""),"قسم المشاريع الهندسية")</f>
        <v>قسم المشاريع الهندسية</v>
      </c>
      <c r="F254" s="23" t="str">
        <f ca="1">IFERROR(__xludf.DUMMYFUNCTION("""COMPUTED_VALUE"""),"كل المجمع")</f>
        <v>كل المجمع</v>
      </c>
      <c r="G254" s="23"/>
      <c r="H254" s="23" t="str">
        <f ca="1">IFERROR(__xludf.DUMMYFUNCTION("""COMPUTED_VALUE"""),"تسجيل أحمال الكهرباء الوطنية لشهر آيار")</f>
        <v>تسجيل أحمال الكهرباء الوطنية لشهر آيار</v>
      </c>
      <c r="I254" s="23"/>
      <c r="J254" s="23" t="s">
        <v>89</v>
      </c>
      <c r="K254" s="23" t="s">
        <v>13</v>
      </c>
      <c r="L254" s="32">
        <v>46181.342194976853</v>
      </c>
      <c r="M254" s="23"/>
      <c r="N254" s="2"/>
    </row>
    <row r="255" spans="1:14" ht="75" customHeight="1" thickTop="1" thickBot="1">
      <c r="A255" s="25">
        <v>253</v>
      </c>
      <c r="B255" s="32">
        <f ca="1">IFERROR(__xludf.DUMMYFUNCTION("""COMPUTED_VALUE"""),46181.3407769907)</f>
        <v>46181.340776990699</v>
      </c>
      <c r="C255" s="33" t="str">
        <f ca="1">IFERROR(__xludf.DUMMYFUNCTION("""COMPUTED_VALUE"""),"المعملجي")</f>
        <v>المعملجي</v>
      </c>
      <c r="D255" s="33" t="str">
        <f ca="1">IFERROR(__xludf.DUMMYFUNCTION("""COMPUTED_VALUE"""),"وحدة الكهرباء")</f>
        <v>وحدة الكهرباء</v>
      </c>
      <c r="E255" s="23" t="str">
        <f ca="1">IFERROR(__xludf.DUMMYFUNCTION("""COMPUTED_VALUE"""),"قسم المشاريع الهندسية")</f>
        <v>قسم المشاريع الهندسية</v>
      </c>
      <c r="F255" s="23" t="str">
        <f ca="1">IFERROR(__xludf.DUMMYFUNCTION("""COMPUTED_VALUE"""),"F-  ابتدائية جود العميد للبنات (الرابعة)")</f>
        <v>F-  ابتدائية جود العميد للبنات (الرابعة)</v>
      </c>
      <c r="G255" s="23" t="str">
        <f ca="1">IFERROR(__xludf.DUMMYFUNCTION("""COMPUTED_VALUE"""),"غرفة الكهرباء")</f>
        <v>غرفة الكهرباء</v>
      </c>
      <c r="H255" s="23" t="str">
        <f ca="1">IFERROR(__xludf.DUMMYFUNCTION("""COMPUTED_VALUE"""),"استبدال قاطع رباعي بحجم 100A تالف في بورد الخدمات بآخر ثلاثي بحجم 160A")</f>
        <v>استبدال قاطع رباعي بحجم 100A تالف في بورد الخدمات بآخر ثلاثي بحجم 160A</v>
      </c>
      <c r="I255" s="23"/>
      <c r="J255" s="23" t="s">
        <v>89</v>
      </c>
      <c r="K255" s="23" t="s">
        <v>13</v>
      </c>
      <c r="L255" s="32">
        <v>46181.342205729168</v>
      </c>
      <c r="M255" s="23"/>
      <c r="N255" s="2" t="s">
        <v>85</v>
      </c>
    </row>
    <row r="256" spans="1:14" ht="75" customHeight="1" thickTop="1" thickBot="1">
      <c r="A256" s="23">
        <v>254</v>
      </c>
      <c r="B256" s="32">
        <f ca="1">IFERROR(__xludf.DUMMYFUNCTION("""COMPUTED_VALUE"""),46181.3416104166)</f>
        <v>46181.341610416603</v>
      </c>
      <c r="C256" s="33" t="str">
        <f ca="1">IFERROR(__xludf.DUMMYFUNCTION("""COMPUTED_VALUE"""),"المعملجي")</f>
        <v>المعملجي</v>
      </c>
      <c r="D256" s="33" t="str">
        <f ca="1">IFERROR(__xludf.DUMMYFUNCTION("""COMPUTED_VALUE"""),"وحدة الكهرباء")</f>
        <v>وحدة الكهرباء</v>
      </c>
      <c r="E256" s="23" t="str">
        <f ca="1">IFERROR(__xludf.DUMMYFUNCTION("""COMPUTED_VALUE"""),"قسم المشاريع الهندسية")</f>
        <v>قسم المشاريع الهندسية</v>
      </c>
      <c r="F256" s="23" t="str">
        <f ca="1">IFERROR(__xludf.DUMMYFUNCTION("""COMPUTED_VALUE"""),"شعبة الصيانة")</f>
        <v>شعبة الصيانة</v>
      </c>
      <c r="G256" s="23"/>
      <c r="H256" s="23" t="str">
        <f ca="1">IFERROR(__xludf.DUMMYFUNCTION("""COMPUTED_VALUE"""),"حدوث مشكلة عبور حث بقيمة 11000V الى ملفات ال400V في محولة محطة الرفع")</f>
        <v>حدوث مشكلة عبور حث بقيمة 11000V الى ملفات ال400V في محولة محطة الرفع</v>
      </c>
      <c r="I256" s="23"/>
      <c r="J256" s="23" t="s">
        <v>89</v>
      </c>
      <c r="K256" s="23" t="s">
        <v>13</v>
      </c>
      <c r="L256" s="32">
        <v>46181.342224351851</v>
      </c>
      <c r="M256" s="23"/>
      <c r="N256" s="2" t="s">
        <v>85</v>
      </c>
    </row>
    <row r="257" spans="1:14" ht="75" customHeight="1" thickTop="1" thickBot="1">
      <c r="A257" s="25">
        <v>255</v>
      </c>
      <c r="B257" s="32">
        <f ca="1">IFERROR(__xludf.DUMMYFUNCTION("""COMPUTED_VALUE"""),46182.5284499421)</f>
        <v>46182.528449942103</v>
      </c>
      <c r="C257" s="33" t="str">
        <f ca="1">IFERROR(__xludf.DUMMYFUNCTION("""COMPUTED_VALUE"""),"المعملجي")</f>
        <v>المعملجي</v>
      </c>
      <c r="D257" s="33" t="str">
        <f ca="1">IFERROR(__xludf.DUMMYFUNCTION("""COMPUTED_VALUE"""),"ابراهيم الخطابي")</f>
        <v>ابراهيم الخطابي</v>
      </c>
      <c r="E257" s="23" t="str">
        <f ca="1">IFERROR(__xludf.DUMMYFUNCTION("""COMPUTED_VALUE"""),"مجموعة العميد التربوية")</f>
        <v>مجموعة العميد التربوية</v>
      </c>
      <c r="F257" s="23" t="str">
        <f ca="1">IFERROR(__xludf.DUMMYFUNCTION("""COMPUTED_VALUE"""),"H- ابتدائية القمر للبنات (الخامسة)")</f>
        <v>H- ابتدائية القمر للبنات (الخامسة)</v>
      </c>
      <c r="G257" s="23" t="str">
        <f ca="1">IFERROR(__xludf.DUMMYFUNCTION("""COMPUTED_VALUE"""),"الطابق الارضي")</f>
        <v>الطابق الارضي</v>
      </c>
      <c r="H257" s="23" t="str">
        <f ca="1">IFERROR(__xludf.DUMMYFUNCTION("""COMPUTED_VALUE"""),"عطل المصباح في غرفة الزينبيات")</f>
        <v>عطل المصباح في غرفة الزينبيات</v>
      </c>
      <c r="I257" s="23"/>
      <c r="J257" s="23" t="s">
        <v>89</v>
      </c>
      <c r="K257" s="23" t="s">
        <v>13</v>
      </c>
      <c r="L257" s="32">
        <v>46184.382017291668</v>
      </c>
      <c r="M257" s="23"/>
      <c r="N257" s="2" t="s">
        <v>77</v>
      </c>
    </row>
    <row r="258" spans="1:14" ht="75" customHeight="1" thickTop="1" thickBot="1">
      <c r="A258" s="23">
        <v>256</v>
      </c>
      <c r="B258" s="32">
        <f ca="1">IFERROR(__xludf.DUMMYFUNCTION("""COMPUTED_VALUE"""),46184.4743500694)</f>
        <v>46184.474350069402</v>
      </c>
      <c r="C258" s="33" t="str">
        <f ca="1">IFERROR(__xludf.DUMMYFUNCTION("""COMPUTED_VALUE"""),"المعملجي")</f>
        <v>المعملجي</v>
      </c>
      <c r="D258" s="33" t="str">
        <f ca="1">IFERROR(__xludf.DUMMYFUNCTION("""COMPUTED_VALUE"""),"ابراهيم الخطابي")</f>
        <v>ابراهيم الخطابي</v>
      </c>
      <c r="E258" s="23" t="str">
        <f ca="1">IFERROR(__xludf.DUMMYFUNCTION("""COMPUTED_VALUE"""),"مجموعة العميد التربوية")</f>
        <v>مجموعة العميد التربوية</v>
      </c>
      <c r="F258" s="23" t="str">
        <f ca="1">IFERROR(__xludf.DUMMYFUNCTION("""COMPUTED_VALUE"""),"E- ابتدائية العميد للبنات (الثالثة)")</f>
        <v>E- ابتدائية العميد للبنات (الثالثة)</v>
      </c>
      <c r="G258" s="23" t="str">
        <f ca="1">IFERROR(__xludf.DUMMYFUNCTION("""COMPUTED_VALUE"""),"الطابق الارضي")</f>
        <v>الطابق الارضي</v>
      </c>
      <c r="H258" s="23" t="str">
        <f ca="1">IFERROR(__xludf.DUMMYFUNCTION("""COMPUTED_VALUE"""),"صيانة إنارة منشورية")</f>
        <v>صيانة إنارة منشورية</v>
      </c>
      <c r="I258" s="23"/>
      <c r="J258" s="23" t="s">
        <v>89</v>
      </c>
      <c r="K258" s="23" t="s">
        <v>13</v>
      </c>
      <c r="L258" s="32"/>
      <c r="M258" s="23"/>
      <c r="N258" s="2" t="s">
        <v>77</v>
      </c>
    </row>
    <row r="259" spans="1:14" ht="75" customHeight="1" thickTop="1" thickBot="1">
      <c r="A259" s="25">
        <v>257</v>
      </c>
      <c r="B259" s="32">
        <f ca="1">IFERROR(__xludf.DUMMYFUNCTION("""COMPUTED_VALUE"""),46187.4679327314)</f>
        <v>46187.467932731401</v>
      </c>
      <c r="C259" s="33" t="str">
        <f ca="1">IFERROR(__xludf.DUMMYFUNCTION("""COMPUTED_VALUE"""),"المعملجي")</f>
        <v>المعملجي</v>
      </c>
      <c r="D259" s="33" t="str">
        <f ca="1">IFERROR(__xludf.DUMMYFUNCTION("""COMPUTED_VALUE"""),"ابو سجاد ")</f>
        <v xml:space="preserve">ابو سجاد </v>
      </c>
      <c r="E259" s="23" t="str">
        <f ca="1">IFERROR(__xludf.DUMMYFUNCTION("""COMPUTED_VALUE"""),"مجموعة العميد التربوية")</f>
        <v>مجموعة العميد التربوية</v>
      </c>
      <c r="F25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59" s="23" t="str">
        <f ca="1">IFERROR(__xludf.DUMMYFUNCTION("""COMPUTED_VALUE"""),"الطابق الاول")</f>
        <v>الطابق الاول</v>
      </c>
      <c r="H259" s="23" t="str">
        <f ca="1">IFERROR(__xludf.DUMMYFUNCTION("""COMPUTED_VALUE"""),"صيانة مفرغة ")</f>
        <v xml:space="preserve">صيانة مفرغة </v>
      </c>
      <c r="I259" s="23"/>
      <c r="J259" s="23" t="s">
        <v>89</v>
      </c>
      <c r="K259" s="23" t="s">
        <v>13</v>
      </c>
      <c r="L259" s="32">
        <v>46203.39672488426</v>
      </c>
      <c r="M259" s="23"/>
      <c r="N259" s="2" t="s">
        <v>77</v>
      </c>
    </row>
    <row r="260" spans="1:14" ht="75" customHeight="1" thickTop="1" thickBot="1">
      <c r="A260" s="23">
        <v>258</v>
      </c>
      <c r="B260" s="32">
        <f ca="1">IFERROR(__xludf.DUMMYFUNCTION("""COMPUTED_VALUE"""),46188.3102323611)</f>
        <v>46188.310232361102</v>
      </c>
      <c r="C260" s="33" t="str">
        <f ca="1">IFERROR(__xludf.DUMMYFUNCTION("""COMPUTED_VALUE"""),"المعملجي")</f>
        <v>المعملجي</v>
      </c>
      <c r="D260" s="33" t="str">
        <f ca="1">IFERROR(__xludf.DUMMYFUNCTION("""COMPUTED_VALUE"""),"وحدة الكهرباء")</f>
        <v>وحدة الكهرباء</v>
      </c>
      <c r="E260" s="23" t="str">
        <f ca="1">IFERROR(__xludf.DUMMYFUNCTION("""COMPUTED_VALUE"""),"قسم المشاريع الهندسية")</f>
        <v>قسم المشاريع الهندسية</v>
      </c>
      <c r="F260" s="23" t="str">
        <f ca="1">IFERROR(__xludf.DUMMYFUNCTION("""COMPUTED_VALUE"""),"شعبة الصيانة")</f>
        <v>شعبة الصيانة</v>
      </c>
      <c r="G260" s="23"/>
      <c r="H260" s="23" t="str">
        <f ca="1">IFERROR(__xludf.DUMMYFUNCTION("""COMPUTED_VALUE"""),"تغذية كرفان الأمنية الجديد قرب محطة الرفع بالطاقة الشمسية")</f>
        <v>تغذية كرفان الأمنية الجديد قرب محطة الرفع بالطاقة الشمسية</v>
      </c>
      <c r="I260" s="23"/>
      <c r="J260" s="23" t="s">
        <v>89</v>
      </c>
      <c r="K260" s="23" t="s">
        <v>13</v>
      </c>
      <c r="L260" s="32">
        <v>46188.332869872684</v>
      </c>
      <c r="M260" s="23"/>
      <c r="N260" s="2" t="s">
        <v>77</v>
      </c>
    </row>
    <row r="261" spans="1:14" ht="75" customHeight="1" thickTop="1" thickBot="1">
      <c r="A261" s="25">
        <v>259</v>
      </c>
      <c r="B261" s="32">
        <f ca="1">IFERROR(__xludf.DUMMYFUNCTION("""COMPUTED_VALUE"""),46188.310839699)</f>
        <v>46188.310839698999</v>
      </c>
      <c r="C261" s="33" t="str">
        <f ca="1">IFERROR(__xludf.DUMMYFUNCTION("""COMPUTED_VALUE"""),"المعملجي")</f>
        <v>المعملجي</v>
      </c>
      <c r="D261" s="33" t="str">
        <f ca="1">IFERROR(__xludf.DUMMYFUNCTION("""COMPUTED_VALUE"""),"وحدة الكهرباء")</f>
        <v>وحدة الكهرباء</v>
      </c>
      <c r="E261" s="23" t="str">
        <f ca="1">IFERROR(__xludf.DUMMYFUNCTION("""COMPUTED_VALUE"""),"قسم المشاريع الهندسية")</f>
        <v>قسم المشاريع الهندسية</v>
      </c>
      <c r="F261" s="23" t="str">
        <f ca="1">IFERROR(__xludf.DUMMYFUNCTION("""COMPUTED_VALUE"""),"A- المركز الثقافي")</f>
        <v>A- المركز الثقافي</v>
      </c>
      <c r="G261" s="23" t="str">
        <f ca="1">IFERROR(__xludf.DUMMYFUNCTION("""COMPUTED_VALUE"""),"الطابق الارضي, القاعة عند باب الدخول")</f>
        <v>الطابق الارضي, القاعة عند باب الدخول</v>
      </c>
      <c r="H261" s="23" t="str">
        <f ca="1">IFERROR(__xludf.DUMMYFUNCTION("""COMPUTED_VALUE"""),"استبدال محولة سبوت لايت بقدرة 40w عدد (2)")</f>
        <v>استبدال محولة سبوت لايت بقدرة 40w عدد (2)</v>
      </c>
      <c r="I261" s="23"/>
      <c r="J261" s="23" t="s">
        <v>89</v>
      </c>
      <c r="K261" s="23" t="s">
        <v>13</v>
      </c>
      <c r="L261" s="32">
        <v>46188.332887233795</v>
      </c>
      <c r="M261" s="23"/>
      <c r="N261" s="2" t="s">
        <v>77</v>
      </c>
    </row>
    <row r="262" spans="1:14" ht="75" customHeight="1" thickTop="1" thickBot="1">
      <c r="A262" s="23">
        <v>260</v>
      </c>
      <c r="B262" s="32">
        <f ca="1">IFERROR(__xludf.DUMMYFUNCTION("""COMPUTED_VALUE"""),46188.3114565972)</f>
        <v>46188.311456597199</v>
      </c>
      <c r="C262" s="33" t="str">
        <f ca="1">IFERROR(__xludf.DUMMYFUNCTION("""COMPUTED_VALUE"""),"المعملجي")</f>
        <v>المعملجي</v>
      </c>
      <c r="D262" s="33" t="str">
        <f ca="1">IFERROR(__xludf.DUMMYFUNCTION("""COMPUTED_VALUE"""),"وحدة الكهرباء")</f>
        <v>وحدة الكهرباء</v>
      </c>
      <c r="E262" s="23" t="str">
        <f ca="1">IFERROR(__xludf.DUMMYFUNCTION("""COMPUTED_VALUE"""),"قسم المشاريع الهندسية")</f>
        <v>قسم المشاريع الهندسية</v>
      </c>
      <c r="F262" s="23" t="str">
        <f ca="1">IFERROR(__xludf.DUMMYFUNCTION("""COMPUTED_VALUE"""),"A- المركز الثقافي")</f>
        <v>A- المركز الثقافي</v>
      </c>
      <c r="G262" s="23" t="str">
        <f ca="1">IFERROR(__xludf.DUMMYFUNCTION("""COMPUTED_VALUE"""),"الطابق الارضي, القاعة عند باب الدخول")</f>
        <v>الطابق الارضي, القاعة عند باب الدخول</v>
      </c>
      <c r="H262" s="23" t="str">
        <f ca="1">IFERROR(__xludf.DUMMYFUNCTION("""COMPUTED_VALUE"""),"صيانة نشرة ضوئية")</f>
        <v>صيانة نشرة ضوئية</v>
      </c>
      <c r="I262" s="23"/>
      <c r="J262" s="23" t="s">
        <v>89</v>
      </c>
      <c r="K262" s="23" t="s">
        <v>13</v>
      </c>
      <c r="L262" s="32">
        <v>46188.332904166666</v>
      </c>
      <c r="M262" s="23"/>
      <c r="N262" s="2" t="s">
        <v>77</v>
      </c>
    </row>
    <row r="263" spans="1:14" ht="75" customHeight="1" thickTop="1" thickBot="1">
      <c r="A263" s="25">
        <v>261</v>
      </c>
      <c r="B263" s="32">
        <f ca="1">IFERROR(__xludf.DUMMYFUNCTION("""COMPUTED_VALUE"""),46188.3117811111)</f>
        <v>46188.311781111101</v>
      </c>
      <c r="C263" s="33" t="str">
        <f ca="1">IFERROR(__xludf.DUMMYFUNCTION("""COMPUTED_VALUE"""),"المعملجي")</f>
        <v>المعملجي</v>
      </c>
      <c r="D263" s="33" t="str">
        <f ca="1">IFERROR(__xludf.DUMMYFUNCTION("""COMPUTED_VALUE"""),"وحدة الكهرباء")</f>
        <v>وحدة الكهرباء</v>
      </c>
      <c r="E263" s="23" t="str">
        <f ca="1">IFERROR(__xludf.DUMMYFUNCTION("""COMPUTED_VALUE"""),"قسم المشاريع الهندسية")</f>
        <v>قسم المشاريع الهندسية</v>
      </c>
      <c r="F263" s="23" t="str">
        <f ca="1">IFERROR(__xludf.DUMMYFUNCTION("""COMPUTED_VALUE"""),"شعبة الصيانة")</f>
        <v>شعبة الصيانة</v>
      </c>
      <c r="G263" s="23" t="str">
        <f ca="1">IFERROR(__xludf.DUMMYFUNCTION("""COMPUTED_VALUE"""),"محطة الرفع")</f>
        <v>محطة الرفع</v>
      </c>
      <c r="H263" s="23" t="str">
        <f ca="1">IFERROR(__xludf.DUMMYFUNCTION("""COMPUTED_VALUE"""),"ارجاع تغذية سبلت كرفان الخدميةالى وطني /مولدة")</f>
        <v>ارجاع تغذية سبلت كرفان الخدميةالى وطني /مولدة</v>
      </c>
      <c r="I263" s="23"/>
      <c r="J263" s="23" t="s">
        <v>89</v>
      </c>
      <c r="K263" s="23" t="s">
        <v>13</v>
      </c>
      <c r="L263" s="32">
        <v>46188.332905902775</v>
      </c>
      <c r="M263" s="23"/>
      <c r="N263" s="2" t="s">
        <v>77</v>
      </c>
    </row>
    <row r="264" spans="1:14" ht="75" customHeight="1" thickTop="1" thickBot="1">
      <c r="A264" s="23">
        <v>262</v>
      </c>
      <c r="B264" s="32">
        <f ca="1">IFERROR(__xludf.DUMMYFUNCTION("""COMPUTED_VALUE"""),46188.3122754861)</f>
        <v>46188.312275486103</v>
      </c>
      <c r="C264" s="33" t="str">
        <f ca="1">IFERROR(__xludf.DUMMYFUNCTION("""COMPUTED_VALUE"""),"المعملجي")</f>
        <v>المعملجي</v>
      </c>
      <c r="D264" s="33" t="str">
        <f ca="1">IFERROR(__xludf.DUMMYFUNCTION("""COMPUTED_VALUE"""),"وحدة الكهرباء")</f>
        <v>وحدة الكهرباء</v>
      </c>
      <c r="E264" s="23" t="str">
        <f ca="1">IFERROR(__xludf.DUMMYFUNCTION("""COMPUTED_VALUE"""),"قسم المشاريع الهندسية")</f>
        <v>قسم المشاريع الهندسية</v>
      </c>
      <c r="F264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64" s="23" t="str">
        <f ca="1">IFERROR(__xludf.DUMMYFUNCTION("""COMPUTED_VALUE"""),"مولدة المدرسة")</f>
        <v>مولدة المدرسة</v>
      </c>
      <c r="H264" s="23" t="str">
        <f ca="1">IFERROR(__xludf.DUMMYFUNCTION("""COMPUTED_VALUE"""),"صيانة المولدة C بقدرة 1MVA ")</f>
        <v xml:space="preserve">صيانة المولدة C بقدرة 1MVA </v>
      </c>
      <c r="I264" s="23"/>
      <c r="J264" s="23" t="s">
        <v>89</v>
      </c>
      <c r="K264" s="23" t="s">
        <v>13</v>
      </c>
      <c r="L264" s="32">
        <v>46188.332923726848</v>
      </c>
      <c r="M264" s="23"/>
      <c r="N264" s="2" t="s">
        <v>77</v>
      </c>
    </row>
    <row r="265" spans="1:14" ht="75" customHeight="1" thickTop="1" thickBot="1">
      <c r="A265" s="25">
        <v>263</v>
      </c>
      <c r="B265" s="32">
        <f ca="1">IFERROR(__xludf.DUMMYFUNCTION("""COMPUTED_VALUE"""),46188.3128410416)</f>
        <v>46188.312841041603</v>
      </c>
      <c r="C265" s="33" t="str">
        <f ca="1">IFERROR(__xludf.DUMMYFUNCTION("""COMPUTED_VALUE"""),"المعملجي")</f>
        <v>المعملجي</v>
      </c>
      <c r="D265" s="33" t="str">
        <f ca="1">IFERROR(__xludf.DUMMYFUNCTION("""COMPUTED_VALUE"""),"وحدة الكهرباء")</f>
        <v>وحدة الكهرباء</v>
      </c>
      <c r="E265" s="23" t="str">
        <f ca="1">IFERROR(__xludf.DUMMYFUNCTION("""COMPUTED_VALUE"""),"قسم المشاريع الهندسية")</f>
        <v>قسم المشاريع الهندسية</v>
      </c>
      <c r="F265" s="23" t="str">
        <f ca="1">IFERROR(__xludf.DUMMYFUNCTION("""COMPUTED_VALUE"""),"شعبة الصيانة")</f>
        <v>شعبة الصيانة</v>
      </c>
      <c r="G265" s="23" t="str">
        <f ca="1">IFERROR(__xludf.DUMMYFUNCTION("""COMPUTED_VALUE"""),"محطة الرفع")</f>
        <v>محطة الرفع</v>
      </c>
      <c r="H265" s="23" t="str">
        <f ca="1">IFERROR(__xludf.DUMMYFUNCTION("""COMPUTED_VALUE"""),"اكمال العمل الخاص بمعالجة مشكلة الحث الحاصل في محولة محطة الرفع")</f>
        <v>اكمال العمل الخاص بمعالجة مشكلة الحث الحاصل في محولة محطة الرفع</v>
      </c>
      <c r="I265" s="23"/>
      <c r="J265" s="23" t="s">
        <v>89</v>
      </c>
      <c r="K265" s="23" t="s">
        <v>13</v>
      </c>
      <c r="L265" s="32">
        <v>46188.332927164352</v>
      </c>
      <c r="M265" s="23"/>
      <c r="N265" s="2" t="s">
        <v>77</v>
      </c>
    </row>
    <row r="266" spans="1:14" ht="75" customHeight="1" thickTop="1" thickBot="1">
      <c r="A266" s="23">
        <v>264</v>
      </c>
      <c r="B266" s="32">
        <f ca="1">IFERROR(__xludf.DUMMYFUNCTION("""COMPUTED_VALUE"""),46188.3143627314)</f>
        <v>46188.314362731398</v>
      </c>
      <c r="C266" s="33" t="str">
        <f ca="1">IFERROR(__xludf.DUMMYFUNCTION("""COMPUTED_VALUE"""),"المعملجي")</f>
        <v>المعملجي</v>
      </c>
      <c r="D266" s="33" t="str">
        <f ca="1">IFERROR(__xludf.DUMMYFUNCTION("""COMPUTED_VALUE"""),"وحدة الكهرباء")</f>
        <v>وحدة الكهرباء</v>
      </c>
      <c r="E266" s="23" t="str">
        <f ca="1">IFERROR(__xludf.DUMMYFUNCTION("""COMPUTED_VALUE"""),"قسم المشاريع الهندسية")</f>
        <v>قسم المشاريع الهندسية</v>
      </c>
      <c r="F26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266" s="23" t="str">
        <f ca="1">IFERROR(__xludf.DUMMYFUNCTION("""COMPUTED_VALUE"""),"الطابق الثاني, المطعم")</f>
        <v>الطابق الثاني, المطعم</v>
      </c>
      <c r="H266" s="23" t="str">
        <f ca="1">IFERROR(__xludf.DUMMYFUNCTION("""COMPUTED_VALUE""")," استبدال بلك سويچ 15A الى سويج 45A لتغذية سبلت كنتوري مستحدث")</f>
        <v xml:space="preserve"> استبدال بلك سويچ 15A الى سويج 45A لتغذية سبلت كنتوري مستحدث</v>
      </c>
      <c r="I266" s="23"/>
      <c r="J266" s="23" t="s">
        <v>89</v>
      </c>
      <c r="K266" s="23" t="s">
        <v>13</v>
      </c>
      <c r="L266" s="32">
        <v>46188.332928344906</v>
      </c>
      <c r="M266" s="23"/>
      <c r="N266" s="2" t="s">
        <v>77</v>
      </c>
    </row>
    <row r="267" spans="1:14" ht="75" customHeight="1" thickTop="1" thickBot="1">
      <c r="A267" s="25">
        <v>265</v>
      </c>
      <c r="B267" s="32">
        <f ca="1">IFERROR(__xludf.DUMMYFUNCTION("""COMPUTED_VALUE"""),46188.3150232754)</f>
        <v>46188.315023275398</v>
      </c>
      <c r="C267" s="33" t="str">
        <f ca="1">IFERROR(__xludf.DUMMYFUNCTION("""COMPUTED_VALUE"""),"المعملجي")</f>
        <v>المعملجي</v>
      </c>
      <c r="D267" s="33" t="str">
        <f ca="1">IFERROR(__xludf.DUMMYFUNCTION("""COMPUTED_VALUE"""),"وحدة الكهرباء")</f>
        <v>وحدة الكهرباء</v>
      </c>
      <c r="E267" s="23" t="str">
        <f ca="1">IFERROR(__xludf.DUMMYFUNCTION("""COMPUTED_VALUE"""),"قسم المشاريع الهندسية")</f>
        <v>قسم المشاريع الهندسية</v>
      </c>
      <c r="F267" s="23" t="str">
        <f ca="1">IFERROR(__xludf.DUMMYFUNCTION("""COMPUTED_VALUE"""),"I- ابتدائية الساقي للبنين (السادسة)")</f>
        <v>I- ابتدائية الساقي للبنين (السادسة)</v>
      </c>
      <c r="G267" s="23"/>
      <c r="H267" s="23" t="str">
        <f ca="1">IFERROR(__xludf.DUMMYFUNCTION("""COMPUTED_VALUE"""),"عمل صيانة للشلال في المدرسة اثر اوساخ")</f>
        <v>عمل صيانة للشلال في المدرسة اثر اوساخ</v>
      </c>
      <c r="I267" s="23"/>
      <c r="J267" s="23" t="s">
        <v>89</v>
      </c>
      <c r="K267" s="23" t="s">
        <v>13</v>
      </c>
      <c r="L267" s="32">
        <v>46188.332938067135</v>
      </c>
      <c r="M267" s="23"/>
      <c r="N267" s="2" t="s">
        <v>77</v>
      </c>
    </row>
    <row r="268" spans="1:14" ht="75" customHeight="1" thickTop="1" thickBot="1">
      <c r="A268" s="23">
        <v>266</v>
      </c>
      <c r="B268" s="32">
        <f ca="1">IFERROR(__xludf.DUMMYFUNCTION("""COMPUTED_VALUE"""),46188.3158470138)</f>
        <v>46188.315847013801</v>
      </c>
      <c r="C268" s="33" t="str">
        <f ca="1">IFERROR(__xludf.DUMMYFUNCTION("""COMPUTED_VALUE"""),"المعملجي")</f>
        <v>المعملجي</v>
      </c>
      <c r="D268" s="33" t="str">
        <f ca="1">IFERROR(__xludf.DUMMYFUNCTION("""COMPUTED_VALUE"""),"وحدة الكهرباء")</f>
        <v>وحدة الكهرباء</v>
      </c>
      <c r="E268" s="23" t="str">
        <f ca="1">IFERROR(__xludf.DUMMYFUNCTION("""COMPUTED_VALUE"""),"قسم المشاريع الهندسية")</f>
        <v>قسم المشاريع الهندسية</v>
      </c>
      <c r="F268" s="23" t="str">
        <f ca="1">IFERROR(__xludf.DUMMYFUNCTION("""COMPUTED_VALUE"""),"G- روضة الجود")</f>
        <v>G- روضة الجود</v>
      </c>
      <c r="G268" s="23" t="str">
        <f ca="1">IFERROR(__xludf.DUMMYFUNCTION("""COMPUTED_VALUE"""),"الطابق الثاني, صف السكر")</f>
        <v>الطابق الثاني, صف السكر</v>
      </c>
      <c r="H268" s="23" t="str">
        <f ca="1">IFERROR(__xludf.DUMMYFUNCTION("""COMPUTED_VALUE"""),"استبدال بلك سويج 13A")</f>
        <v>استبدال بلك سويج 13A</v>
      </c>
      <c r="I268" s="23"/>
      <c r="J268" s="23" t="s">
        <v>89</v>
      </c>
      <c r="K268" s="23" t="s">
        <v>13</v>
      </c>
      <c r="L268" s="32">
        <v>46188.332945254631</v>
      </c>
      <c r="M268" s="23"/>
      <c r="N268" s="2" t="s">
        <v>77</v>
      </c>
    </row>
    <row r="269" spans="1:14" ht="75" customHeight="1" thickTop="1" thickBot="1">
      <c r="A269" s="25">
        <v>267</v>
      </c>
      <c r="B269" s="32">
        <f ca="1">IFERROR(__xludf.DUMMYFUNCTION("""COMPUTED_VALUE"""),46188.3164164467)</f>
        <v>46188.316416446702</v>
      </c>
      <c r="C269" s="33" t="str">
        <f ca="1">IFERROR(__xludf.DUMMYFUNCTION("""COMPUTED_VALUE"""),"المعملجي")</f>
        <v>المعملجي</v>
      </c>
      <c r="D269" s="33" t="str">
        <f ca="1">IFERROR(__xludf.DUMMYFUNCTION("""COMPUTED_VALUE"""),"وحدة الكهرباء")</f>
        <v>وحدة الكهرباء</v>
      </c>
      <c r="E269" s="23" t="str">
        <f ca="1">IFERROR(__xludf.DUMMYFUNCTION("""COMPUTED_VALUE"""),"قسم المشاريع الهندسية")</f>
        <v>قسم المشاريع الهندسية</v>
      </c>
      <c r="F269" s="23" t="str">
        <f ca="1">IFERROR(__xludf.DUMMYFUNCTION("""COMPUTED_VALUE"""),"F-  ابتدائية جود العميد للبنات (الرابعة)")</f>
        <v>F-  ابتدائية جود العميد للبنات (الرابعة)</v>
      </c>
      <c r="G269" s="23" t="str">
        <f ca="1">IFERROR(__xludf.DUMMYFUNCTION("""COMPUTED_VALUE"""),"المرقاب")</f>
        <v>المرقاب</v>
      </c>
      <c r="H269" s="23" t="str">
        <f ca="1">IFERROR(__xludf.DUMMYFUNCTION("""COMPUTED_VALUE"""),"تثبيت وإخفاء واير تغذية شاشة")</f>
        <v>تثبيت وإخفاء واير تغذية شاشة</v>
      </c>
      <c r="I269" s="23"/>
      <c r="J269" s="23" t="s">
        <v>89</v>
      </c>
      <c r="K269" s="23" t="s">
        <v>13</v>
      </c>
      <c r="L269" s="32">
        <v>46188.332955046295</v>
      </c>
      <c r="M269" s="23"/>
      <c r="N269" s="2" t="s">
        <v>77</v>
      </c>
    </row>
    <row r="270" spans="1:14" ht="75" customHeight="1" thickTop="1" thickBot="1">
      <c r="A270" s="23">
        <v>268</v>
      </c>
      <c r="B270" s="32">
        <f ca="1">IFERROR(__xludf.DUMMYFUNCTION("""COMPUTED_VALUE"""),46188.3171029745)</f>
        <v>46188.317102974499</v>
      </c>
      <c r="C270" s="33" t="str">
        <f ca="1">IFERROR(__xludf.DUMMYFUNCTION("""COMPUTED_VALUE"""),"المعملجي")</f>
        <v>المعملجي</v>
      </c>
      <c r="D270" s="33" t="str">
        <f ca="1">IFERROR(__xludf.DUMMYFUNCTION("""COMPUTED_VALUE"""),"وحدة الكهرباء")</f>
        <v>وحدة الكهرباء</v>
      </c>
      <c r="E270" s="23" t="str">
        <f ca="1">IFERROR(__xludf.DUMMYFUNCTION("""COMPUTED_VALUE"""),"قسم المشاريع الهندسية")</f>
        <v>قسم المشاريع الهندسية</v>
      </c>
      <c r="F270" s="23" t="str">
        <f ca="1">IFERROR(__xludf.DUMMYFUNCTION("""COMPUTED_VALUE"""),"F-  ابتدائية جود العميد للبنات (الرابعة)")</f>
        <v>F-  ابتدائية جود العميد للبنات (الرابعة)</v>
      </c>
      <c r="G270" s="23" t="str">
        <f ca="1">IFERROR(__xludf.DUMMYFUNCTION("""COMPUTED_VALUE"""),"المرقاب")</f>
        <v>المرقاب</v>
      </c>
      <c r="H270" s="23" t="str">
        <f ca="1">IFERROR(__xludf.DUMMYFUNCTION("""COMPUTED_VALUE"""),"استحداث بلك سويچ 13A في الغرفة")</f>
        <v>استحداث بلك سويچ 13A في الغرفة</v>
      </c>
      <c r="I270" s="23"/>
      <c r="J270" s="23" t="s">
        <v>89</v>
      </c>
      <c r="K270" s="23" t="s">
        <v>13</v>
      </c>
      <c r="L270" s="32">
        <v>46188.332961828703</v>
      </c>
      <c r="M270" s="23"/>
      <c r="N270" s="2" t="s">
        <v>80</v>
      </c>
    </row>
    <row r="271" spans="1:14" ht="75" customHeight="1" thickTop="1" thickBot="1">
      <c r="A271" s="25">
        <v>269</v>
      </c>
      <c r="B271" s="32">
        <f ca="1">IFERROR(__xludf.DUMMYFUNCTION("""COMPUTED_VALUE"""),46188.3176817708)</f>
        <v>46188.317681770801</v>
      </c>
      <c r="C271" s="33" t="str">
        <f ca="1">IFERROR(__xludf.DUMMYFUNCTION("""COMPUTED_VALUE"""),"المعملجي")</f>
        <v>المعملجي</v>
      </c>
      <c r="D271" s="33" t="str">
        <f ca="1">IFERROR(__xludf.DUMMYFUNCTION("""COMPUTED_VALUE"""),"وحدة الكهرباء")</f>
        <v>وحدة الكهرباء</v>
      </c>
      <c r="E271" s="23" t="str">
        <f ca="1">IFERROR(__xludf.DUMMYFUNCTION("""COMPUTED_VALUE"""),"قسم المشاريع الهندسية")</f>
        <v>قسم المشاريع الهندسية</v>
      </c>
      <c r="F271" s="23" t="str">
        <f ca="1">IFERROR(__xludf.DUMMYFUNCTION("""COMPUTED_VALUE"""),"المالية, الثانية")</f>
        <v>المالية, الثانية</v>
      </c>
      <c r="G271" s="23"/>
      <c r="H271" s="23" t="str">
        <f ca="1">IFERROR(__xludf.DUMMYFUNCTION("""COMPUTED_VALUE"""),"إضافة نقاط كهرباء عدد (4) وتغذية نقاط مثبتة عدد (6) في غرفة المالية 2")</f>
        <v>إضافة نقاط كهرباء عدد (4) وتغذية نقاط مثبتة عدد (6) في غرفة المالية 2</v>
      </c>
      <c r="I271" s="23"/>
      <c r="J271" s="23" t="s">
        <v>89</v>
      </c>
      <c r="K271" s="23" t="s">
        <v>13</v>
      </c>
      <c r="L271" s="32">
        <v>46188.332999120372</v>
      </c>
      <c r="M271" s="23"/>
      <c r="N271" s="2" t="s">
        <v>77</v>
      </c>
    </row>
    <row r="272" spans="1:14" ht="75" customHeight="1" thickTop="1" thickBot="1">
      <c r="A272" s="23">
        <v>270</v>
      </c>
      <c r="B272" s="32">
        <f ca="1">IFERROR(__xludf.DUMMYFUNCTION("""COMPUTED_VALUE"""),46188.3179714583)</f>
        <v>46188.317971458302</v>
      </c>
      <c r="C272" s="33" t="str">
        <f ca="1">IFERROR(__xludf.DUMMYFUNCTION("""COMPUTED_VALUE"""),"المعملجي")</f>
        <v>المعملجي</v>
      </c>
      <c r="D272" s="33" t="str">
        <f ca="1">IFERROR(__xludf.DUMMYFUNCTION("""COMPUTED_VALUE"""),"وحدة الكهرباء")</f>
        <v>وحدة الكهرباء</v>
      </c>
      <c r="E272" s="23" t="str">
        <f ca="1">IFERROR(__xludf.DUMMYFUNCTION("""COMPUTED_VALUE"""),"قسم المشاريع الهندسية")</f>
        <v>قسم المشاريع الهندسية</v>
      </c>
      <c r="F272" s="23" t="str">
        <f ca="1">IFERROR(__xludf.DUMMYFUNCTION("""COMPUTED_VALUE"""),"A- المركز الثقافي")</f>
        <v>A- المركز الثقافي</v>
      </c>
      <c r="G272" s="23" t="str">
        <f ca="1">IFERROR(__xludf.DUMMYFUNCTION("""COMPUTED_VALUE"""),"الطابق الرابع")</f>
        <v>الطابق الرابع</v>
      </c>
      <c r="H272" s="23" t="str">
        <f ca="1">IFERROR(__xludf.DUMMYFUNCTION("""COMPUTED_VALUE"""),"حدوث عطب في خط تغذية كهرباء UPS شعبة المراقبة")</f>
        <v>حدوث عطب في خط تغذية كهرباء UPS شعبة المراقبة</v>
      </c>
      <c r="I272" s="23"/>
      <c r="J272" s="23" t="s">
        <v>89</v>
      </c>
      <c r="K272" s="23" t="s">
        <v>13</v>
      </c>
      <c r="L272" s="32">
        <v>46188.332997627316</v>
      </c>
      <c r="M272" s="23"/>
      <c r="N272" s="2" t="s">
        <v>77</v>
      </c>
    </row>
    <row r="273" spans="1:14" ht="75" customHeight="1" thickTop="1" thickBot="1">
      <c r="A273" s="25">
        <v>271</v>
      </c>
      <c r="B273" s="32">
        <f ca="1">IFERROR(__xludf.DUMMYFUNCTION("""COMPUTED_VALUE"""),46188.3183862384)</f>
        <v>46188.318386238403</v>
      </c>
      <c r="C273" s="33" t="str">
        <f ca="1">IFERROR(__xludf.DUMMYFUNCTION("""COMPUTED_VALUE"""),"المعملجي")</f>
        <v>المعملجي</v>
      </c>
      <c r="D273" s="33" t="str">
        <f ca="1">IFERROR(__xludf.DUMMYFUNCTION("""COMPUTED_VALUE"""),"وحدة الكهرباء")</f>
        <v>وحدة الكهرباء</v>
      </c>
      <c r="E273" s="23" t="str">
        <f ca="1">IFERROR(__xludf.DUMMYFUNCTION("""COMPUTED_VALUE"""),"قسم المشاريع الهندسية")</f>
        <v>قسم المشاريع الهندسية</v>
      </c>
      <c r="F273" s="23" t="str">
        <f ca="1">IFERROR(__xludf.DUMMYFUNCTION("""COMPUTED_VALUE"""),"A- المركز الثقافي")</f>
        <v>A- المركز الثقافي</v>
      </c>
      <c r="G273" s="23" t="str">
        <f ca="1">IFERROR(__xludf.DUMMYFUNCTION("""COMPUTED_VALUE"""),"رئاسة القسم")</f>
        <v>رئاسة القسم</v>
      </c>
      <c r="H273" s="23" t="str">
        <f ca="1">IFERROR(__xludf.DUMMYFUNCTION("""COMPUTED_VALUE"""),"استبدال محولة انارة منشورية في رئاسة قسم التربية")</f>
        <v>استبدال محولة انارة منشورية في رئاسة قسم التربية</v>
      </c>
      <c r="I273" s="23"/>
      <c r="J273" s="23" t="s">
        <v>89</v>
      </c>
      <c r="K273" s="23" t="s">
        <v>13</v>
      </c>
      <c r="L273" s="32">
        <v>46188.332997858801</v>
      </c>
      <c r="M273" s="23"/>
      <c r="N273" s="2" t="s">
        <v>77</v>
      </c>
    </row>
    <row r="274" spans="1:14" ht="75" customHeight="1" thickTop="1" thickBot="1">
      <c r="A274" s="23">
        <v>272</v>
      </c>
      <c r="B274" s="32">
        <f ca="1">IFERROR(__xludf.DUMMYFUNCTION("""COMPUTED_VALUE"""),46188.3186990509)</f>
        <v>46188.318699050898</v>
      </c>
      <c r="C274" s="33" t="str">
        <f ca="1">IFERROR(__xludf.DUMMYFUNCTION("""COMPUTED_VALUE"""),"المعملجي")</f>
        <v>المعملجي</v>
      </c>
      <c r="D274" s="33" t="str">
        <f ca="1">IFERROR(__xludf.DUMMYFUNCTION("""COMPUTED_VALUE"""),"وحدة الكهرباء")</f>
        <v>وحدة الكهرباء</v>
      </c>
      <c r="E274" s="23" t="str">
        <f ca="1">IFERROR(__xludf.DUMMYFUNCTION("""COMPUTED_VALUE"""),"قسم المشاريع الهندسية")</f>
        <v>قسم المشاريع الهندسية</v>
      </c>
      <c r="F274" s="23" t="str">
        <f ca="1">IFERROR(__xludf.DUMMYFUNCTION("""COMPUTED_VALUE"""),"المالية, الثانية")</f>
        <v>المالية, الثانية</v>
      </c>
      <c r="G274" s="23"/>
      <c r="H274" s="23" t="str">
        <f ca="1">IFERROR(__xludf.DUMMYFUNCTION("""COMPUTED_VALUE""")," استبدال بلك سويج 13A عدد (2)")</f>
        <v xml:space="preserve"> استبدال بلك سويج 13A عدد (2)</v>
      </c>
      <c r="I274" s="23"/>
      <c r="J274" s="23" t="s">
        <v>89</v>
      </c>
      <c r="K274" s="23" t="s">
        <v>13</v>
      </c>
      <c r="L274" s="32">
        <v>46188.333015289347</v>
      </c>
      <c r="M274" s="23"/>
      <c r="N274" s="2" t="s">
        <v>77</v>
      </c>
    </row>
    <row r="275" spans="1:14" ht="75" customHeight="1" thickTop="1" thickBot="1">
      <c r="A275" s="25">
        <v>273</v>
      </c>
      <c r="B275" s="32">
        <f ca="1">IFERROR(__xludf.DUMMYFUNCTION("""COMPUTED_VALUE"""),46188.3197621412)</f>
        <v>46188.319762141196</v>
      </c>
      <c r="C275" s="33" t="str">
        <f ca="1">IFERROR(__xludf.DUMMYFUNCTION("""COMPUTED_VALUE"""),"المعملجي")</f>
        <v>المعملجي</v>
      </c>
      <c r="D275" s="33" t="str">
        <f ca="1">IFERROR(__xludf.DUMMYFUNCTION("""COMPUTED_VALUE"""),"وحدة الكهرباء")</f>
        <v>وحدة الكهرباء</v>
      </c>
      <c r="E275" s="23" t="str">
        <f ca="1">IFERROR(__xludf.DUMMYFUNCTION("""COMPUTED_VALUE"""),"قسم المشاريع الهندسية")</f>
        <v>قسم المشاريع الهندسية</v>
      </c>
      <c r="F275" s="23" t="str">
        <f ca="1">IFERROR(__xludf.DUMMYFUNCTION("""COMPUTED_VALUE"""),"النافورة")</f>
        <v>النافورة</v>
      </c>
      <c r="G275" s="23"/>
      <c r="H275" s="23" t="str">
        <f ca="1">IFERROR(__xludf.DUMMYFUNCTION("""COMPUTED_VALUE"""),"اضافة  كنكتر رباعي إلى 9 اعمدة من النافورة والمحيطة بها")</f>
        <v>اضافة  كنكتر رباعي إلى 9 اعمدة من النافورة والمحيطة بها</v>
      </c>
      <c r="I275" s="23"/>
      <c r="J275" s="23" t="s">
        <v>89</v>
      </c>
      <c r="K275" s="23" t="s">
        <v>13</v>
      </c>
      <c r="L275" s="32">
        <v>46188.333383483798</v>
      </c>
      <c r="M275" s="23"/>
      <c r="N275" s="2" t="s">
        <v>77</v>
      </c>
    </row>
    <row r="276" spans="1:14" ht="75" customHeight="1" thickTop="1" thickBot="1">
      <c r="A276" s="23">
        <v>274</v>
      </c>
      <c r="B276" s="32">
        <f ca="1">IFERROR(__xludf.DUMMYFUNCTION("""COMPUTED_VALUE"""),46188.320295787)</f>
        <v>46188.320295787002</v>
      </c>
      <c r="C276" s="33" t="str">
        <f ca="1">IFERROR(__xludf.DUMMYFUNCTION("""COMPUTED_VALUE"""),"المعملجي")</f>
        <v>المعملجي</v>
      </c>
      <c r="D276" s="33" t="str">
        <f ca="1">IFERROR(__xludf.DUMMYFUNCTION("""COMPUTED_VALUE"""),"وحدة الكهرباء")</f>
        <v>وحدة الكهرباء</v>
      </c>
      <c r="E276" s="23" t="str">
        <f ca="1">IFERROR(__xludf.DUMMYFUNCTION("""COMPUTED_VALUE"""),"قسم المشاريع الهندسية")</f>
        <v>قسم المشاريع الهندسية</v>
      </c>
      <c r="F276" s="23" t="str">
        <f ca="1">IFERROR(__xludf.DUMMYFUNCTION("""COMPUTED_VALUE"""),"G- روضة الجود")</f>
        <v>G- روضة الجود</v>
      </c>
      <c r="G276" s="23" t="str">
        <f ca="1">IFERROR(__xludf.DUMMYFUNCTION("""COMPUTED_VALUE"""),"السطح, الالواح الشمسية")</f>
        <v>السطح, الالواح الشمسية</v>
      </c>
      <c r="H276" s="23" t="str">
        <f ca="1">IFERROR(__xludf.DUMMYFUNCTION("""COMPUTED_VALUE"""),"تم استبدال لوح طاقة شمسية تالف بقدرة 550W ")</f>
        <v xml:space="preserve">تم استبدال لوح طاقة شمسية تالف بقدرة 550W </v>
      </c>
      <c r="I276" s="23"/>
      <c r="J276" s="23" t="s">
        <v>89</v>
      </c>
      <c r="K276" s="23" t="s">
        <v>13</v>
      </c>
      <c r="L276" s="32">
        <v>46188.333499236112</v>
      </c>
      <c r="M276" s="23"/>
      <c r="N276" s="2" t="s">
        <v>77</v>
      </c>
    </row>
    <row r="277" spans="1:14" ht="75" customHeight="1" thickTop="1" thickBot="1">
      <c r="A277" s="25">
        <v>275</v>
      </c>
      <c r="B277" s="32">
        <f ca="1">IFERROR(__xludf.DUMMYFUNCTION("""COMPUTED_VALUE"""),46188.3209986689)</f>
        <v>46188.320998668903</v>
      </c>
      <c r="C277" s="33" t="str">
        <f ca="1">IFERROR(__xludf.DUMMYFUNCTION("""COMPUTED_VALUE"""),"المعملجي")</f>
        <v>المعملجي</v>
      </c>
      <c r="D277" s="33" t="str">
        <f ca="1">IFERROR(__xludf.DUMMYFUNCTION("""COMPUTED_VALUE"""),"وحدة الكهرباء")</f>
        <v>وحدة الكهرباء</v>
      </c>
      <c r="E277" s="23" t="str">
        <f ca="1">IFERROR(__xludf.DUMMYFUNCTION("""COMPUTED_VALUE"""),"قسم المشاريع الهندسية")</f>
        <v>قسم المشاريع الهندسية</v>
      </c>
      <c r="F277" s="23" t="str">
        <f ca="1">IFERROR(__xludf.DUMMYFUNCTION("""COMPUTED_VALUE"""),"E- ابتدائية العميد للبنات (الثالثة)")</f>
        <v>E- ابتدائية العميد للبنات (الثالثة)</v>
      </c>
      <c r="G277" s="23" t="str">
        <f ca="1">IFERROR(__xludf.DUMMYFUNCTION("""COMPUTED_VALUE"""),"غرفة الكهرباء")</f>
        <v>غرفة الكهرباء</v>
      </c>
      <c r="H277" s="23" t="str">
        <f ca="1">IFERROR(__xludf.DUMMYFUNCTION("""COMPUTED_VALUE"""),"تم استبدال فيوزات عدد 4 في بورد الخدمات ")</f>
        <v xml:space="preserve">تم استبدال فيوزات عدد 4 في بورد الخدمات </v>
      </c>
      <c r="I277" s="23"/>
      <c r="J277" s="23" t="s">
        <v>89</v>
      </c>
      <c r="K277" s="23" t="s">
        <v>13</v>
      </c>
      <c r="L277" s="32">
        <v>46188.333019930556</v>
      </c>
      <c r="M277" s="23"/>
      <c r="N277" s="2" t="s">
        <v>77</v>
      </c>
    </row>
    <row r="278" spans="1:14" ht="75" customHeight="1" thickTop="1" thickBot="1">
      <c r="A278" s="23">
        <v>276</v>
      </c>
      <c r="B278" s="32">
        <f ca="1">IFERROR(__xludf.DUMMYFUNCTION("""COMPUTED_VALUE"""),46188.3218476041)</f>
        <v>46188.3218476041</v>
      </c>
      <c r="C278" s="33" t="str">
        <f ca="1">IFERROR(__xludf.DUMMYFUNCTION("""COMPUTED_VALUE"""),"المعملجي")</f>
        <v>المعملجي</v>
      </c>
      <c r="D278" s="33" t="str">
        <f ca="1">IFERROR(__xludf.DUMMYFUNCTION("""COMPUTED_VALUE"""),"وحدة الكهرباء")</f>
        <v>وحدة الكهرباء</v>
      </c>
      <c r="E278" s="23" t="str">
        <f ca="1">IFERROR(__xludf.DUMMYFUNCTION("""COMPUTED_VALUE"""),"قسم المشاريع الهندسية")</f>
        <v>قسم المشاريع الهندسية</v>
      </c>
      <c r="F278" s="23" t="str">
        <f ca="1">IFERROR(__xludf.DUMMYFUNCTION("""COMPUTED_VALUE"""),"B- روضة القمر")</f>
        <v>B- روضة القمر</v>
      </c>
      <c r="G278" s="23" t="str">
        <f ca="1">IFERROR(__xludf.DUMMYFUNCTION("""COMPUTED_VALUE"""),"الصحيات الخارجية")</f>
        <v>الصحيات الخارجية</v>
      </c>
      <c r="H278" s="23" t="str">
        <f ca="1">IFERROR(__xludf.DUMMYFUNCTION("""COMPUTED_VALUE"""),"تم استبدال محولة سبوت لايت")</f>
        <v>تم استبدال محولة سبوت لايت</v>
      </c>
      <c r="I278" s="23"/>
      <c r="J278" s="23" t="s">
        <v>89</v>
      </c>
      <c r="K278" s="23" t="s">
        <v>13</v>
      </c>
      <c r="L278" s="32">
        <v>46188.333031724542</v>
      </c>
      <c r="M278" s="23"/>
      <c r="N278" s="2" t="s">
        <v>77</v>
      </c>
    </row>
    <row r="279" spans="1:14" ht="75" customHeight="1" thickTop="1" thickBot="1">
      <c r="A279" s="25">
        <v>277</v>
      </c>
      <c r="B279" s="32">
        <f ca="1">IFERROR(__xludf.DUMMYFUNCTION("""COMPUTED_VALUE"""),46188.3222492245)</f>
        <v>46188.322249224497</v>
      </c>
      <c r="C279" s="33" t="str">
        <f ca="1">IFERROR(__xludf.DUMMYFUNCTION("""COMPUTED_VALUE"""),"المعملجي")</f>
        <v>المعملجي</v>
      </c>
      <c r="D279" s="33" t="str">
        <f ca="1">IFERROR(__xludf.DUMMYFUNCTION("""COMPUTED_VALUE"""),"وحدة الكهرباء")</f>
        <v>وحدة الكهرباء</v>
      </c>
      <c r="E279" s="23" t="str">
        <f ca="1">IFERROR(__xludf.DUMMYFUNCTION("""COMPUTED_VALUE"""),"قسم المشاريع الهندسية")</f>
        <v>قسم المشاريع الهندسية</v>
      </c>
      <c r="F279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279" s="23" t="str">
        <f ca="1">IFERROR(__xludf.DUMMYFUNCTION("""COMPUTED_VALUE"""),"ZONE B")</f>
        <v>ZONE B</v>
      </c>
      <c r="H279" s="23" t="str">
        <f ca="1">IFERROR(__xludf.DUMMYFUNCTION("""COMPUTED_VALUE"""),"تم استبدال بلك اسويج تالف")</f>
        <v>تم استبدال بلك اسويج تالف</v>
      </c>
      <c r="I279" s="23"/>
      <c r="J279" s="23" t="s">
        <v>89</v>
      </c>
      <c r="K279" s="23" t="s">
        <v>13</v>
      </c>
      <c r="L279" s="32">
        <v>46188.333038449069</v>
      </c>
      <c r="M279" s="23"/>
      <c r="N279" s="2" t="s">
        <v>77</v>
      </c>
    </row>
    <row r="280" spans="1:14" ht="75" customHeight="1" thickTop="1" thickBot="1">
      <c r="A280" s="23">
        <v>278</v>
      </c>
      <c r="B280" s="32">
        <f ca="1">IFERROR(__xludf.DUMMYFUNCTION("""COMPUTED_VALUE"""),46188.323028831)</f>
        <v>46188.323028831001</v>
      </c>
      <c r="C280" s="33" t="str">
        <f ca="1">IFERROR(__xludf.DUMMYFUNCTION("""COMPUTED_VALUE"""),"المعملجي")</f>
        <v>المعملجي</v>
      </c>
      <c r="D280" s="33" t="str">
        <f ca="1">IFERROR(__xludf.DUMMYFUNCTION("""COMPUTED_VALUE"""),"وحدة الكهرباء")</f>
        <v>وحدة الكهرباء</v>
      </c>
      <c r="E280" s="23" t="str">
        <f ca="1">IFERROR(__xludf.DUMMYFUNCTION("""COMPUTED_VALUE"""),"قسم المشاريع الهندسية")</f>
        <v>قسم المشاريع الهندسية</v>
      </c>
      <c r="F28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80" s="23" t="str">
        <f ca="1">IFERROR(__xludf.DUMMYFUNCTION("""COMPUTED_VALUE"""),"الطابق الثاني")</f>
        <v>الطابق الثاني</v>
      </c>
      <c r="H280" s="23" t="str">
        <f ca="1">IFERROR(__xludf.DUMMYFUNCTION("""COMPUTED_VALUE"""),"استبدال بلك سويج 32A باخر بلك سويج 13A")</f>
        <v>استبدال بلك سويج 32A باخر بلك سويج 13A</v>
      </c>
      <c r="I280" s="23"/>
      <c r="J280" s="23" t="s">
        <v>89</v>
      </c>
      <c r="K280" s="23" t="s">
        <v>13</v>
      </c>
      <c r="L280" s="32">
        <v>46188.333051134265</v>
      </c>
      <c r="M280" s="23"/>
      <c r="N280" s="2" t="s">
        <v>77</v>
      </c>
    </row>
    <row r="281" spans="1:14" ht="75" customHeight="1" thickTop="1" thickBot="1">
      <c r="A281" s="25">
        <v>279</v>
      </c>
      <c r="B281" s="32">
        <f ca="1">IFERROR(__xludf.DUMMYFUNCTION("""COMPUTED_VALUE"""),46188.3235650462)</f>
        <v>46188.323565046201</v>
      </c>
      <c r="C281" s="33" t="str">
        <f ca="1">IFERROR(__xludf.DUMMYFUNCTION("""COMPUTED_VALUE"""),"المعملجي")</f>
        <v>المعملجي</v>
      </c>
      <c r="D281" s="33" t="str">
        <f ca="1">IFERROR(__xludf.DUMMYFUNCTION("""COMPUTED_VALUE"""),"وحدة الكهرباء")</f>
        <v>وحدة الكهرباء</v>
      </c>
      <c r="E281" s="23" t="str">
        <f ca="1">IFERROR(__xludf.DUMMYFUNCTION("""COMPUTED_VALUE"""),"قسم المشاريع الهندسية")</f>
        <v>قسم المشاريع الهندسية</v>
      </c>
      <c r="F281" s="23" t="str">
        <f ca="1">IFERROR(__xludf.DUMMYFUNCTION("""COMPUTED_VALUE"""),"شعبة الصيانة")</f>
        <v>شعبة الصيانة</v>
      </c>
      <c r="G281" s="23" t="str">
        <f ca="1">IFERROR(__xludf.DUMMYFUNCTION("""COMPUTED_VALUE"""),"محطة الرفع")</f>
        <v>محطة الرفع</v>
      </c>
      <c r="H281" s="23" t="str">
        <f ca="1">IFERROR(__xludf.DUMMYFUNCTION("""COMPUTED_VALUE"""),"ربط واتر بمب مبردات المولدات")</f>
        <v>ربط واتر بمب مبردات المولدات</v>
      </c>
      <c r="I281" s="23"/>
      <c r="J281" s="23" t="s">
        <v>89</v>
      </c>
      <c r="K281" s="23" t="s">
        <v>13</v>
      </c>
      <c r="L281" s="32">
        <v>46188.333054930554</v>
      </c>
      <c r="M281" s="23"/>
      <c r="N281" s="2" t="s">
        <v>77</v>
      </c>
    </row>
    <row r="282" spans="1:14" ht="75" customHeight="1" thickTop="1" thickBot="1">
      <c r="A282" s="23">
        <v>280</v>
      </c>
      <c r="B282" s="32">
        <f ca="1">IFERROR(__xludf.DUMMYFUNCTION("""COMPUTED_VALUE"""),46188.3240538194)</f>
        <v>46188.3240538194</v>
      </c>
      <c r="C282" s="33" t="str">
        <f ca="1">IFERROR(__xludf.DUMMYFUNCTION("""COMPUTED_VALUE"""),"المعملجي")</f>
        <v>المعملجي</v>
      </c>
      <c r="D282" s="33" t="str">
        <f ca="1">IFERROR(__xludf.DUMMYFUNCTION("""COMPUTED_VALUE"""),"وحدة الكهرباء")</f>
        <v>وحدة الكهرباء</v>
      </c>
      <c r="E282" s="23" t="str">
        <f ca="1">IFERROR(__xludf.DUMMYFUNCTION("""COMPUTED_VALUE"""),"قسم المشاريع الهندسية")</f>
        <v>قسم المشاريع الهندسية</v>
      </c>
      <c r="F282" s="23" t="str">
        <f ca="1">IFERROR(__xludf.DUMMYFUNCTION("""COMPUTED_VALUE"""),"A- المركز الثقافي")</f>
        <v>A- المركز الثقافي</v>
      </c>
      <c r="G282" s="23"/>
      <c r="H282" s="23" t="str">
        <f ca="1">IFERROR(__xludf.DUMMYFUNCTION("""COMPUTED_VALUE"""),"اصلاح احد ابواب المصاعد وتنظيف السكة")</f>
        <v>اصلاح احد ابواب المصاعد وتنظيف السكة</v>
      </c>
      <c r="I282" s="23"/>
      <c r="J282" s="23" t="s">
        <v>89</v>
      </c>
      <c r="K282" s="23" t="s">
        <v>13</v>
      </c>
      <c r="L282" s="32">
        <v>46188.333064386577</v>
      </c>
      <c r="M282" s="23"/>
      <c r="N282" s="2" t="s">
        <v>77</v>
      </c>
    </row>
    <row r="283" spans="1:14" ht="75" customHeight="1" thickTop="1" thickBot="1">
      <c r="A283" s="25">
        <v>281</v>
      </c>
      <c r="B283" s="32">
        <f ca="1">IFERROR(__xludf.DUMMYFUNCTION("""COMPUTED_VALUE"""),46188.3250643287)</f>
        <v>46188.325064328703</v>
      </c>
      <c r="C283" s="33" t="str">
        <f ca="1">IFERROR(__xludf.DUMMYFUNCTION("""COMPUTED_VALUE"""),"المعملجي")</f>
        <v>المعملجي</v>
      </c>
      <c r="D283" s="33" t="str">
        <f ca="1">IFERROR(__xludf.DUMMYFUNCTION("""COMPUTED_VALUE"""),"وحدة الكهرباء")</f>
        <v>وحدة الكهرباء</v>
      </c>
      <c r="E283" s="23" t="str">
        <f ca="1">IFERROR(__xludf.DUMMYFUNCTION("""COMPUTED_VALUE"""),"قسم المشاريع الهندسية")</f>
        <v>قسم المشاريع الهندسية</v>
      </c>
      <c r="F283" s="23" t="str">
        <f ca="1">IFERROR(__xludf.DUMMYFUNCTION("""COMPUTED_VALUE"""),"I- ابتدائية الساقي للبنين (السادسة)")</f>
        <v>I- ابتدائية الساقي للبنين (السادسة)</v>
      </c>
      <c r="G283" s="23"/>
      <c r="H283" s="23" t="str">
        <f ca="1">IFERROR(__xludf.DUMMYFUNCTION("""COMPUTED_VALUE"""),"ترتيب واخفاء وايرات الشاشات ولـــ20 صف")</f>
        <v>ترتيب واخفاء وايرات الشاشات ولـــ20 صف</v>
      </c>
      <c r="I283" s="23"/>
      <c r="J283" s="23" t="s">
        <v>89</v>
      </c>
      <c r="K283" s="23" t="s">
        <v>13</v>
      </c>
      <c r="L283" s="32">
        <v>46188.333074953705</v>
      </c>
      <c r="M283" s="23"/>
      <c r="N283" s="2" t="s">
        <v>77</v>
      </c>
    </row>
    <row r="284" spans="1:14" ht="75" customHeight="1" thickTop="1" thickBot="1">
      <c r="A284" s="23">
        <v>282</v>
      </c>
      <c r="B284" s="32">
        <f ca="1">IFERROR(__xludf.DUMMYFUNCTION("""COMPUTED_VALUE"""),46188.3256832638)</f>
        <v>46188.3256832638</v>
      </c>
      <c r="C284" s="33" t="str">
        <f ca="1">IFERROR(__xludf.DUMMYFUNCTION("""COMPUTED_VALUE"""),"المعملجي")</f>
        <v>المعملجي</v>
      </c>
      <c r="D284" s="33" t="str">
        <f ca="1">IFERROR(__xludf.DUMMYFUNCTION("""COMPUTED_VALUE"""),"وحدة الكهرباء")</f>
        <v>وحدة الكهرباء</v>
      </c>
      <c r="E284" s="23" t="str">
        <f ca="1">IFERROR(__xludf.DUMMYFUNCTION("""COMPUTED_VALUE"""),"قسم المشاريع الهندسية")</f>
        <v>قسم المشاريع الهندسية</v>
      </c>
      <c r="F284" s="23" t="str">
        <f ca="1">IFERROR(__xludf.DUMMYFUNCTION("""COMPUTED_VALUE"""),"I- ابتدائية الساقي للبنين (السادسة)")</f>
        <v>I- ابتدائية الساقي للبنين (السادسة)</v>
      </c>
      <c r="G284" s="23" t="str">
        <f ca="1">IFERROR(__xludf.DUMMYFUNCTION("""COMPUTED_VALUE"""),"الطابق الارضي, ZONE A, الادارة")</f>
        <v>الطابق الارضي, ZONE A, الادارة</v>
      </c>
      <c r="H284" s="23" t="str">
        <f ca="1">IFERROR(__xludf.DUMMYFUNCTION("""COMPUTED_VALUE"""),"تثبيت شاشة قطعة تبريد داخلية  VRV")</f>
        <v>تثبيت شاشة قطعة تبريد داخلية  VRV</v>
      </c>
      <c r="I284" s="23"/>
      <c r="J284" s="23" t="s">
        <v>89</v>
      </c>
      <c r="K284" s="23" t="s">
        <v>13</v>
      </c>
      <c r="L284" s="32">
        <v>46188.33308700232</v>
      </c>
      <c r="M284" s="23"/>
      <c r="N284" s="2" t="s">
        <v>77</v>
      </c>
    </row>
    <row r="285" spans="1:14" ht="75" customHeight="1" thickTop="1" thickBot="1">
      <c r="A285" s="25">
        <v>283</v>
      </c>
      <c r="B285" s="32">
        <f ca="1">IFERROR(__xludf.DUMMYFUNCTION("""COMPUTED_VALUE"""),46188.3263309953)</f>
        <v>46188.326330995304</v>
      </c>
      <c r="C285" s="33" t="str">
        <f ca="1">IFERROR(__xludf.DUMMYFUNCTION("""COMPUTED_VALUE"""),"المعملجي")</f>
        <v>المعملجي</v>
      </c>
      <c r="D285" s="33" t="str">
        <f ca="1">IFERROR(__xludf.DUMMYFUNCTION("""COMPUTED_VALUE"""),"وحدة الكهرباء")</f>
        <v>وحدة الكهرباء</v>
      </c>
      <c r="E285" s="23" t="str">
        <f ca="1">IFERROR(__xludf.DUMMYFUNCTION("""COMPUTED_VALUE"""),"قسم المشاريع الهندسية")</f>
        <v>قسم المشاريع الهندسية</v>
      </c>
      <c r="F285" s="23" t="str">
        <f ca="1">IFERROR(__xludf.DUMMYFUNCTION("""COMPUTED_VALUE"""),"المالية, الثانية")</f>
        <v>المالية, الثانية</v>
      </c>
      <c r="G285" s="23"/>
      <c r="H285" s="23" t="str">
        <f ca="1">IFERROR(__xludf.DUMMYFUNCTION("""COMPUTED_VALUE"""),"تنظيم اماكن المكاتب من جديد وتثبيت تري كيبل ")</f>
        <v xml:space="preserve">تنظيم اماكن المكاتب من جديد وتثبيت تري كيبل </v>
      </c>
      <c r="I285" s="23"/>
      <c r="J285" s="23" t="s">
        <v>89</v>
      </c>
      <c r="K285" s="23" t="s">
        <v>13</v>
      </c>
      <c r="L285" s="32">
        <v>46188.33309990741</v>
      </c>
      <c r="M285" s="23"/>
      <c r="N285" s="2" t="s">
        <v>77</v>
      </c>
    </row>
    <row r="286" spans="1:14" ht="75" customHeight="1" thickTop="1" thickBot="1">
      <c r="A286" s="23">
        <v>284</v>
      </c>
      <c r="B286" s="32">
        <f ca="1">IFERROR(__xludf.DUMMYFUNCTION("""COMPUTED_VALUE"""),46188.326778449)</f>
        <v>46188.326778449002</v>
      </c>
      <c r="C286" s="33" t="str">
        <f ca="1">IFERROR(__xludf.DUMMYFUNCTION("""COMPUTED_VALUE"""),"المعملجي")</f>
        <v>المعملجي</v>
      </c>
      <c r="D286" s="33" t="str">
        <f ca="1">IFERROR(__xludf.DUMMYFUNCTION("""COMPUTED_VALUE"""),"وحدة الكهرباء")</f>
        <v>وحدة الكهرباء</v>
      </c>
      <c r="E286" s="23" t="str">
        <f ca="1">IFERROR(__xludf.DUMMYFUNCTION("""COMPUTED_VALUE"""),"قسم المشاريع الهندسية")</f>
        <v>قسم المشاريع الهندسية</v>
      </c>
      <c r="F286" s="23" t="str">
        <f ca="1">IFERROR(__xludf.DUMMYFUNCTION("""COMPUTED_VALUE"""),"شعبة الصيانة")</f>
        <v>شعبة الصيانة</v>
      </c>
      <c r="G286" s="23" t="str">
        <f ca="1">IFERROR(__xludf.DUMMYFUNCTION("""COMPUTED_VALUE"""),"وحدة الميكانيك")</f>
        <v>وحدة الميكانيك</v>
      </c>
      <c r="H286" s="23" t="str">
        <f ca="1">IFERROR(__xludf.DUMMYFUNCTION("""COMPUTED_VALUE""")," إرجاع الــLink الخاص بحاسبة وحدة الميكانيك حيث كان مفصول لمدة شهرين ")</f>
        <v xml:space="preserve"> إرجاع الــLink الخاص بحاسبة وحدة الميكانيك حيث كان مفصول لمدة شهرين </v>
      </c>
      <c r="I286" s="23"/>
      <c r="J286" s="23" t="s">
        <v>89</v>
      </c>
      <c r="K286" s="23" t="s">
        <v>13</v>
      </c>
      <c r="L286" s="32">
        <v>46188.333101377313</v>
      </c>
      <c r="M286" s="23"/>
      <c r="N286" s="2" t="s">
        <v>77</v>
      </c>
    </row>
    <row r="287" spans="1:14" ht="75" customHeight="1" thickTop="1" thickBot="1">
      <c r="A287" s="25">
        <v>285</v>
      </c>
      <c r="B287" s="32">
        <f ca="1">IFERROR(__xludf.DUMMYFUNCTION("""COMPUTED_VALUE"""),46188.3271856481)</f>
        <v>46188.327185648101</v>
      </c>
      <c r="C287" s="33" t="str">
        <f ca="1">IFERROR(__xludf.DUMMYFUNCTION("""COMPUTED_VALUE"""),"المعملجي")</f>
        <v>المعملجي</v>
      </c>
      <c r="D287" s="33" t="str">
        <f ca="1">IFERROR(__xludf.DUMMYFUNCTION("""COMPUTED_VALUE"""),"وحدة الكهرباء")</f>
        <v>وحدة الكهرباء</v>
      </c>
      <c r="E287" s="23" t="str">
        <f ca="1">IFERROR(__xludf.DUMMYFUNCTION("""COMPUTED_VALUE"""),"قسم المشاريع الهندسية")</f>
        <v>قسم المشاريع الهندسية</v>
      </c>
      <c r="F287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87" s="23" t="str">
        <f ca="1">IFERROR(__xludf.DUMMYFUNCTION("""COMPUTED_VALUE"""),"الطابق الثاني, المطعم")</f>
        <v>الطابق الثاني, المطعم</v>
      </c>
      <c r="H287" s="23" t="str">
        <f ca="1">IFERROR(__xludf.DUMMYFUNCTION("""COMPUTED_VALUE"""),"تغذية سبلت كنتوري سعة 3طن مستحدث في المدرسة")</f>
        <v>تغذية سبلت كنتوري سعة 3طن مستحدث في المدرسة</v>
      </c>
      <c r="I287" s="23"/>
      <c r="J287" s="23" t="s">
        <v>89</v>
      </c>
      <c r="K287" s="23" t="s">
        <v>13</v>
      </c>
      <c r="L287" s="32">
        <v>46188.333110763888</v>
      </c>
      <c r="M287" s="23"/>
      <c r="N287" s="2" t="s">
        <v>77</v>
      </c>
    </row>
    <row r="288" spans="1:14" ht="75" customHeight="1" thickTop="1" thickBot="1">
      <c r="A288" s="23">
        <v>286</v>
      </c>
      <c r="B288" s="32">
        <f ca="1">IFERROR(__xludf.DUMMYFUNCTION("""COMPUTED_VALUE"""),46188.3275613541)</f>
        <v>46188.327561354097</v>
      </c>
      <c r="C288" s="33" t="str">
        <f ca="1">IFERROR(__xludf.DUMMYFUNCTION("""COMPUTED_VALUE"""),"المعملجي")</f>
        <v>المعملجي</v>
      </c>
      <c r="D288" s="33" t="str">
        <f ca="1">IFERROR(__xludf.DUMMYFUNCTION("""COMPUTED_VALUE"""),"وحدة الكهرباء")</f>
        <v>وحدة الكهرباء</v>
      </c>
      <c r="E288" s="23" t="str">
        <f ca="1">IFERROR(__xludf.DUMMYFUNCTION("""COMPUTED_VALUE"""),"قسم المشاريع الهندسية")</f>
        <v>قسم المشاريع الهندسية</v>
      </c>
      <c r="F288" s="23" t="str">
        <f ca="1">IFERROR(__xludf.DUMMYFUNCTION("""COMPUTED_VALUE"""),"E- ابتدائية العميد للبنات (الثالثة)")</f>
        <v>E- ابتدائية العميد للبنات (الثالثة)</v>
      </c>
      <c r="G288" s="23" t="str">
        <f ca="1">IFERROR(__xludf.DUMMYFUNCTION("""COMPUTED_VALUE"""),"الطابق الارضي, غرفة الكهرباء")</f>
        <v>الطابق الارضي, غرفة الكهرباء</v>
      </c>
      <c r="H288" s="23" t="str">
        <f ca="1">IFERROR(__xludf.DUMMYFUNCTION("""COMPUTED_VALUE"""),"استبدال قاطع رباعي بحجم 100A تالف في بورد خدمات المدرسة")</f>
        <v>استبدال قاطع رباعي بحجم 100A تالف في بورد خدمات المدرسة</v>
      </c>
      <c r="I288" s="23"/>
      <c r="J288" s="23" t="s">
        <v>89</v>
      </c>
      <c r="K288" s="23" t="s">
        <v>13</v>
      </c>
      <c r="L288" s="32">
        <v>46188.333123553239</v>
      </c>
      <c r="M288" s="23"/>
      <c r="N288" s="2" t="s">
        <v>86</v>
      </c>
    </row>
    <row r="289" spans="1:14" ht="75" customHeight="1" thickTop="1" thickBot="1">
      <c r="A289" s="25">
        <v>287</v>
      </c>
      <c r="B289" s="32">
        <f ca="1">IFERROR(__xludf.DUMMYFUNCTION("""COMPUTED_VALUE"""),46188.3279570138)</f>
        <v>46188.327957013797</v>
      </c>
      <c r="C289" s="33" t="str">
        <f ca="1">IFERROR(__xludf.DUMMYFUNCTION("""COMPUTED_VALUE"""),"المعملجي")</f>
        <v>المعملجي</v>
      </c>
      <c r="D289" s="33" t="str">
        <f ca="1">IFERROR(__xludf.DUMMYFUNCTION("""COMPUTED_VALUE"""),"وحدة الكهرباء")</f>
        <v>وحدة الكهرباء</v>
      </c>
      <c r="E289" s="23" t="str">
        <f ca="1">IFERROR(__xludf.DUMMYFUNCTION("""COMPUTED_VALUE"""),"قسم المشاريع الهندسية")</f>
        <v>قسم المشاريع الهندسية</v>
      </c>
      <c r="F28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289" s="23" t="str">
        <f ca="1">IFERROR(__xludf.DUMMYFUNCTION("""COMPUTED_VALUE"""),"الطابق الارضي, غرفة الكهرباء")</f>
        <v>الطابق الارضي, غرفة الكهرباء</v>
      </c>
      <c r="H289" s="23" t="str">
        <f ca="1">IFERROR(__xludf.DUMMYFUNCTION("""COMPUTED_VALUE"""),"استبدال قاطع رباعي بحجم 100A تالف في بورد خدمات المدرسة")</f>
        <v>استبدال قاطع رباعي بحجم 100A تالف في بورد خدمات المدرسة</v>
      </c>
      <c r="I289" s="23"/>
      <c r="J289" s="23" t="s">
        <v>89</v>
      </c>
      <c r="K289" s="23" t="s">
        <v>13</v>
      </c>
      <c r="L289" s="32">
        <v>46188.333129097227</v>
      </c>
      <c r="M289" s="23"/>
      <c r="N289" s="2" t="s">
        <v>86</v>
      </c>
    </row>
    <row r="290" spans="1:14" ht="75" customHeight="1" thickTop="1" thickBot="1">
      <c r="A290" s="23">
        <v>288</v>
      </c>
      <c r="B290" s="32">
        <f ca="1">IFERROR(__xludf.DUMMYFUNCTION("""COMPUTED_VALUE"""),46188.3282558796)</f>
        <v>46188.328255879598</v>
      </c>
      <c r="C290" s="33" t="str">
        <f ca="1">IFERROR(__xludf.DUMMYFUNCTION("""COMPUTED_VALUE"""),"المعملجي")</f>
        <v>المعملجي</v>
      </c>
      <c r="D290" s="33" t="str">
        <f ca="1">IFERROR(__xludf.DUMMYFUNCTION("""COMPUTED_VALUE"""),"وحدة الكهرباء")</f>
        <v>وحدة الكهرباء</v>
      </c>
      <c r="E290" s="23" t="str">
        <f ca="1">IFERROR(__xludf.DUMMYFUNCTION("""COMPUTED_VALUE"""),"قسم المشاريع الهندسية")</f>
        <v>قسم المشاريع الهندسية</v>
      </c>
      <c r="F29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290" s="23" t="str">
        <f ca="1">IFERROR(__xludf.DUMMYFUNCTION("""COMPUTED_VALUE"""),"الطابق الارضي, غرفة الكهرباء")</f>
        <v>الطابق الارضي, غرفة الكهرباء</v>
      </c>
      <c r="H290" s="23" t="str">
        <f ca="1">IFERROR(__xludf.DUMMYFUNCTION("""COMPUTED_VALUE"""),"استبدال قاطع رباعي بحجم 100A تالف في بورد خدمات المدرسة")</f>
        <v>استبدال قاطع رباعي بحجم 100A تالف في بورد خدمات المدرسة</v>
      </c>
      <c r="I290" s="23"/>
      <c r="J290" s="23" t="s">
        <v>89</v>
      </c>
      <c r="K290" s="23" t="s">
        <v>13</v>
      </c>
      <c r="L290" s="32">
        <v>46188.333142881944</v>
      </c>
      <c r="M290" s="23"/>
      <c r="N290" s="2" t="s">
        <v>77</v>
      </c>
    </row>
    <row r="291" spans="1:14" ht="75" customHeight="1" thickTop="1" thickBot="1">
      <c r="A291" s="25">
        <v>289</v>
      </c>
      <c r="B291" s="32">
        <f ca="1">IFERROR(__xludf.DUMMYFUNCTION("""COMPUTED_VALUE"""),46188.3290004861)</f>
        <v>46188.329000486097</v>
      </c>
      <c r="C291" s="33" t="str">
        <f ca="1">IFERROR(__xludf.DUMMYFUNCTION("""COMPUTED_VALUE"""),"المعملجي")</f>
        <v>المعملجي</v>
      </c>
      <c r="D291" s="33" t="str">
        <f ca="1">IFERROR(__xludf.DUMMYFUNCTION("""COMPUTED_VALUE"""),"وحدة الكهرباء")</f>
        <v>وحدة الكهرباء</v>
      </c>
      <c r="E291" s="23" t="str">
        <f ca="1">IFERROR(__xludf.DUMMYFUNCTION("""COMPUTED_VALUE"""),"قسم المشاريع الهندسية")</f>
        <v>قسم المشاريع الهندسية</v>
      </c>
      <c r="F291" s="23" t="str">
        <f ca="1">IFERROR(__xludf.DUMMYFUNCTION("""COMPUTED_VALUE"""),"F-  ابتدائية جود العميد للبنات (الرابعة)")</f>
        <v>F-  ابتدائية جود العميد للبنات (الرابعة)</v>
      </c>
      <c r="G291" s="23" t="str">
        <f ca="1">IFERROR(__xludf.DUMMYFUNCTION("""COMPUTED_VALUE"""),"الطابق الارضي, ZONE A")</f>
        <v>الطابق الارضي, ZONE A</v>
      </c>
      <c r="H291" s="23" t="str">
        <f ca="1">IFERROR(__xludf.DUMMYFUNCTION("""COMPUTED_VALUE"""),"استبدال بلك اسويج 13A باخر 32A")</f>
        <v>استبدال بلك اسويج 13A باخر 32A</v>
      </c>
      <c r="I291" s="23"/>
      <c r="J291" s="23" t="s">
        <v>89</v>
      </c>
      <c r="K291" s="23" t="s">
        <v>13</v>
      </c>
      <c r="L291" s="32">
        <v>46188.333156886569</v>
      </c>
      <c r="M291" s="23"/>
      <c r="N291" s="2" t="s">
        <v>77</v>
      </c>
    </row>
    <row r="292" spans="1:14" ht="75" customHeight="1" thickTop="1" thickBot="1">
      <c r="A292" s="23">
        <v>290</v>
      </c>
      <c r="B292" s="32">
        <f ca="1">IFERROR(__xludf.DUMMYFUNCTION("""COMPUTED_VALUE"""),46188.3294373611)</f>
        <v>46188.329437361099</v>
      </c>
      <c r="C292" s="33" t="str">
        <f ca="1">IFERROR(__xludf.DUMMYFUNCTION("""COMPUTED_VALUE"""),"المعملجي")</f>
        <v>المعملجي</v>
      </c>
      <c r="D292" s="33" t="str">
        <f ca="1">IFERROR(__xludf.DUMMYFUNCTION("""COMPUTED_VALUE"""),"وحدة الكهرباء")</f>
        <v>وحدة الكهرباء</v>
      </c>
      <c r="E292" s="23" t="str">
        <f ca="1">IFERROR(__xludf.DUMMYFUNCTION("""COMPUTED_VALUE"""),"قسم المشاريع الهندسية")</f>
        <v>قسم المشاريع الهندسية</v>
      </c>
      <c r="F292" s="23" t="str">
        <f ca="1">IFERROR(__xludf.DUMMYFUNCTION("""COMPUTED_VALUE"""),"شعبة الصيانة, مسؤول الشعبة")</f>
        <v>شعبة الصيانة, مسؤول الشعبة</v>
      </c>
      <c r="G292" s="23"/>
      <c r="H292" s="23" t="str">
        <f ca="1">IFERROR(__xludf.DUMMYFUNCTION("""COMPUTED_VALUE"""),"اضافة بلك سويج 13A")</f>
        <v>اضافة بلك سويج 13A</v>
      </c>
      <c r="I292" s="23"/>
      <c r="J292" s="23" t="s">
        <v>89</v>
      </c>
      <c r="K292" s="23" t="s">
        <v>13</v>
      </c>
      <c r="L292" s="32">
        <v>46188.333156956018</v>
      </c>
      <c r="M292" s="23"/>
      <c r="N292" s="2" t="s">
        <v>77</v>
      </c>
    </row>
    <row r="293" spans="1:14" ht="75" customHeight="1" thickTop="1" thickBot="1">
      <c r="A293" s="25">
        <v>291</v>
      </c>
      <c r="B293" s="32">
        <f ca="1">IFERROR(__xludf.DUMMYFUNCTION("""COMPUTED_VALUE"""),46188.330003993)</f>
        <v>46188.330003993004</v>
      </c>
      <c r="C293" s="33" t="str">
        <f ca="1">IFERROR(__xludf.DUMMYFUNCTION("""COMPUTED_VALUE"""),"المعملجي")</f>
        <v>المعملجي</v>
      </c>
      <c r="D293" s="33" t="str">
        <f ca="1">IFERROR(__xludf.DUMMYFUNCTION("""COMPUTED_VALUE"""),"وحدة الكهرباء")</f>
        <v>وحدة الكهرباء</v>
      </c>
      <c r="E293" s="23" t="str">
        <f ca="1">IFERROR(__xludf.DUMMYFUNCTION("""COMPUTED_VALUE"""),"قسم المشاريع الهندسية")</f>
        <v>قسم المشاريع الهندسية</v>
      </c>
      <c r="F293" s="23" t="str">
        <f ca="1">IFERROR(__xludf.DUMMYFUNCTION("""COMPUTED_VALUE"""),"A- المركز الثقافي, ")</f>
        <v xml:space="preserve">A- المركز الثقافي, </v>
      </c>
      <c r="G293" s="23" t="str">
        <f ca="1">IFERROR(__xludf.DUMMYFUNCTION("""COMPUTED_VALUE"""),"الطابق الاول, رئاسة القسم")</f>
        <v>الطابق الاول, رئاسة القسم</v>
      </c>
      <c r="H293" s="23" t="str">
        <f ca="1">IFERROR(__xludf.DUMMYFUNCTION("""COMPUTED_VALUE"""),"صيانة بلك سويج")</f>
        <v>صيانة بلك سويج</v>
      </c>
      <c r="I293" s="23"/>
      <c r="J293" s="23" t="s">
        <v>89</v>
      </c>
      <c r="K293" s="23" t="s">
        <v>13</v>
      </c>
      <c r="L293" s="32">
        <v>46188.333167384262</v>
      </c>
      <c r="M293" s="23"/>
      <c r="N293" s="2" t="s">
        <v>77</v>
      </c>
    </row>
    <row r="294" spans="1:14" ht="75" customHeight="1" thickTop="1" thickBot="1">
      <c r="A294" s="23">
        <v>292</v>
      </c>
      <c r="B294" s="32">
        <f ca="1">IFERROR(__xludf.DUMMYFUNCTION("""COMPUTED_VALUE"""),46188.3306347801)</f>
        <v>46188.330634780097</v>
      </c>
      <c r="C294" s="33" t="str">
        <f ca="1">IFERROR(__xludf.DUMMYFUNCTION("""COMPUTED_VALUE"""),"المعملجي")</f>
        <v>المعملجي</v>
      </c>
      <c r="D294" s="33" t="str">
        <f ca="1">IFERROR(__xludf.DUMMYFUNCTION("""COMPUTED_VALUE"""),"وحدة الكهرباء")</f>
        <v>وحدة الكهرباء</v>
      </c>
      <c r="E294" s="23" t="str">
        <f ca="1">IFERROR(__xludf.DUMMYFUNCTION("""COMPUTED_VALUE"""),"قسم المشاريع الهندسية")</f>
        <v>قسم المشاريع الهندسية</v>
      </c>
      <c r="F294" s="23" t="str">
        <f ca="1">IFERROR(__xludf.DUMMYFUNCTION("""COMPUTED_VALUE"""),"A- المركز الثقافي")</f>
        <v>A- المركز الثقافي</v>
      </c>
      <c r="G294" s="23" t="str">
        <f ca="1">IFERROR(__xludf.DUMMYFUNCTION("""COMPUTED_VALUE"""),"الطابق الارضي, رئاسة القسم")</f>
        <v>الطابق الارضي, رئاسة القسم</v>
      </c>
      <c r="H294" s="23" t="str">
        <f ca="1">IFERROR(__xludf.DUMMYFUNCTION("""COMPUTED_VALUE"""),"صيانة انارة منشورية")</f>
        <v>صيانة انارة منشورية</v>
      </c>
      <c r="I294" s="23"/>
      <c r="J294" s="23" t="s">
        <v>89</v>
      </c>
      <c r="K294" s="23" t="s">
        <v>13</v>
      </c>
      <c r="L294" s="32">
        <v>46188.333176932865</v>
      </c>
      <c r="M294" s="23"/>
      <c r="N294" s="2" t="s">
        <v>77</v>
      </c>
    </row>
    <row r="295" spans="1:14" ht="75" customHeight="1" thickTop="1" thickBot="1">
      <c r="A295" s="25">
        <v>293</v>
      </c>
      <c r="B295" s="32">
        <f ca="1">IFERROR(__xludf.DUMMYFUNCTION("""COMPUTED_VALUE"""),46188.3324148611)</f>
        <v>46188.332414861099</v>
      </c>
      <c r="C295" s="33" t="str">
        <f ca="1">IFERROR(__xludf.DUMMYFUNCTION("""COMPUTED_VALUE"""),"المعملجي")</f>
        <v>المعملجي</v>
      </c>
      <c r="D295" s="33" t="str">
        <f ca="1">IFERROR(__xludf.DUMMYFUNCTION("""COMPUTED_VALUE"""),"وحدة الكهرباء")</f>
        <v>وحدة الكهرباء</v>
      </c>
      <c r="E295" s="23" t="str">
        <f ca="1">IFERROR(__xludf.DUMMYFUNCTION("""COMPUTED_VALUE"""),"قسم المشاريع الهندسية")</f>
        <v>قسم المشاريع الهندسية</v>
      </c>
      <c r="F295" s="23" t="str">
        <f ca="1">IFERROR(__xludf.DUMMYFUNCTION("""COMPUTED_VALUE"""),"A- المركز الثقافي")</f>
        <v>A- المركز الثقافي</v>
      </c>
      <c r="G295" s="23" t="str">
        <f ca="1">IFERROR(__xludf.DUMMYFUNCTION("""COMPUTED_VALUE"""),"الطابق الارضي, قاعة سراج العميد")</f>
        <v>الطابق الارضي, قاعة سراج العميد</v>
      </c>
      <c r="H295" s="23" t="str">
        <f ca="1">IFERROR(__xludf.DUMMYFUNCTION("""COMPUTED_VALUE"""),"صيانة شورت سيركت كهربائي في القاعة واستبدال 4 محولات سبوت لايت")</f>
        <v>صيانة شورت سيركت كهربائي في القاعة واستبدال 4 محولات سبوت لايت</v>
      </c>
      <c r="I295" s="23"/>
      <c r="J295" s="23" t="s">
        <v>89</v>
      </c>
      <c r="K295" s="23" t="s">
        <v>13</v>
      </c>
      <c r="L295" s="32">
        <v>46188.333186990742</v>
      </c>
      <c r="M295" s="23"/>
      <c r="N295" s="2" t="s">
        <v>77</v>
      </c>
    </row>
    <row r="296" spans="1:14" ht="75" customHeight="1" thickTop="1" thickBot="1">
      <c r="A296" s="23">
        <v>294</v>
      </c>
      <c r="B296" s="32">
        <f ca="1">IFERROR(__xludf.DUMMYFUNCTION("""COMPUTED_VALUE"""),46189.4676174884)</f>
        <v>46189.467617488401</v>
      </c>
      <c r="C296" s="33" t="str">
        <f ca="1">IFERROR(__xludf.DUMMYFUNCTION("""COMPUTED_VALUE"""),"المعملجي")</f>
        <v>المعملجي</v>
      </c>
      <c r="D296" s="33" t="str">
        <f ca="1">IFERROR(__xludf.DUMMYFUNCTION("""COMPUTED_VALUE"""),"ابراهيم الخطابي")</f>
        <v>ابراهيم الخطابي</v>
      </c>
      <c r="E296" s="23" t="str">
        <f ca="1">IFERROR(__xludf.DUMMYFUNCTION("""COMPUTED_VALUE"""),"مجموعة العميد التربوية")</f>
        <v>مجموعة العميد التربوية</v>
      </c>
      <c r="F296" s="23" t="str">
        <f ca="1">IFERROR(__xludf.DUMMYFUNCTION("""COMPUTED_VALUE"""),"E- ابتدائية العميد للبنات (الثالثة)")</f>
        <v>E- ابتدائية العميد للبنات (الثالثة)</v>
      </c>
      <c r="G296" s="23" t="str">
        <f ca="1">IFERROR(__xludf.DUMMYFUNCTION("""COMPUTED_VALUE"""),"الطابق الارضي")</f>
        <v>الطابق الارضي</v>
      </c>
      <c r="H296" s="23" t="str">
        <f ca="1">IFERROR(__xludf.DUMMYFUNCTION("""COMPUTED_VALUE"""),"حمامات الطلاب / الساحة الخارجية (صيانة الاضائة)")</f>
        <v>حمامات الطلاب / الساحة الخارجية (صيانة الاضائة)</v>
      </c>
      <c r="I296" s="23"/>
      <c r="J296" s="23" t="s">
        <v>89</v>
      </c>
      <c r="K296" s="23" t="s">
        <v>13</v>
      </c>
      <c r="L296" s="32">
        <v>46189.570075717595</v>
      </c>
      <c r="M296" s="23"/>
      <c r="N296" s="2" t="s">
        <v>77</v>
      </c>
    </row>
    <row r="297" spans="1:14" ht="75" customHeight="1" thickTop="1" thickBot="1">
      <c r="A297" s="25">
        <v>295</v>
      </c>
      <c r="B297" s="32">
        <f ca="1">IFERROR(__xludf.DUMMYFUNCTION("""COMPUTED_VALUE"""),46189.5384163888)</f>
        <v>46189.538416388801</v>
      </c>
      <c r="C297" s="33" t="str">
        <f ca="1">IFERROR(__xludf.DUMMYFUNCTION("""COMPUTED_VALUE"""),"المعملجي")</f>
        <v>المعملجي</v>
      </c>
      <c r="D297" s="33" t="str">
        <f ca="1">IFERROR(__xludf.DUMMYFUNCTION("""COMPUTED_VALUE"""),"ابراهيم الخطابي")</f>
        <v>ابراهيم الخطابي</v>
      </c>
      <c r="E297" s="23" t="str">
        <f ca="1">IFERROR(__xludf.DUMMYFUNCTION("""COMPUTED_VALUE"""),"مجموعة العميد التربوية")</f>
        <v>مجموعة العميد التربوية</v>
      </c>
      <c r="F297" s="23" t="str">
        <f ca="1">IFERROR(__xludf.DUMMYFUNCTION("""COMPUTED_VALUE"""),"H- ابتدائية القمر للبنات (الخامسة)")</f>
        <v>H- ابتدائية القمر للبنات (الخامسة)</v>
      </c>
      <c r="G297" s="23" t="str">
        <f ca="1">IFERROR(__xludf.DUMMYFUNCTION("""COMPUTED_VALUE"""),"الطابق الارضي")</f>
        <v>الطابق الارضي</v>
      </c>
      <c r="H297" s="23" t="str">
        <f ca="1">IFERROR(__xludf.DUMMYFUNCTION("""COMPUTED_VALUE"""),"عطل مصباح في الحمام الارضي الداخلي")</f>
        <v>عطل مصباح في الحمام الارضي الداخلي</v>
      </c>
      <c r="I297" s="23"/>
      <c r="J297" s="23" t="s">
        <v>89</v>
      </c>
      <c r="K297" s="23" t="s">
        <v>13</v>
      </c>
      <c r="L297" s="32">
        <v>46201.327359583331</v>
      </c>
      <c r="M297" s="23"/>
      <c r="N297" s="2" t="s">
        <v>77</v>
      </c>
    </row>
    <row r="298" spans="1:14" ht="75" customHeight="1" thickTop="1" thickBot="1">
      <c r="A298" s="23">
        <v>296</v>
      </c>
      <c r="B298" s="32">
        <f ca="1">IFERROR(__xludf.DUMMYFUNCTION("""COMPUTED_VALUE"""),46189.5419550578)</f>
        <v>46189.541955057801</v>
      </c>
      <c r="C298" s="33" t="str">
        <f ca="1">IFERROR(__xludf.DUMMYFUNCTION("""COMPUTED_VALUE"""),"المعملجي")</f>
        <v>المعملجي</v>
      </c>
      <c r="D298" s="33" t="str">
        <f ca="1">IFERROR(__xludf.DUMMYFUNCTION("""COMPUTED_VALUE"""),"ابراهيم الخطابي")</f>
        <v>ابراهيم الخطابي</v>
      </c>
      <c r="E298" s="23" t="str">
        <f ca="1">IFERROR(__xludf.DUMMYFUNCTION("""COMPUTED_VALUE"""),"مجموعة العميد التربوية")</f>
        <v>مجموعة العميد التربوية</v>
      </c>
      <c r="F298" s="23" t="str">
        <f ca="1">IFERROR(__xludf.DUMMYFUNCTION("""COMPUTED_VALUE"""),"H- ابتدائية القمر للبنات (الخامسة)")</f>
        <v>H- ابتدائية القمر للبنات (الخامسة)</v>
      </c>
      <c r="G298" s="23" t="str">
        <f ca="1">IFERROR(__xludf.DUMMYFUNCTION("""COMPUTED_VALUE"""),"الطابق الارضي")</f>
        <v>الطابق الارضي</v>
      </c>
      <c r="H298" s="23" t="str">
        <f ca="1">IFERROR(__xludf.DUMMYFUNCTION("""COMPUTED_VALUE"""),"عطل مصباح الحانوت +مصباح غرفة الزينبيات")</f>
        <v>عطل مصباح الحانوت +مصباح غرفة الزينبيات</v>
      </c>
      <c r="I298" s="23"/>
      <c r="J298" s="23" t="s">
        <v>89</v>
      </c>
      <c r="K298" s="23" t="s">
        <v>13</v>
      </c>
      <c r="L298" s="32">
        <v>46201.32723844907</v>
      </c>
      <c r="M298" s="23"/>
      <c r="N298" s="2" t="s">
        <v>77</v>
      </c>
    </row>
    <row r="299" spans="1:14" ht="75" customHeight="1" thickTop="1" thickBot="1">
      <c r="A299" s="25">
        <v>297</v>
      </c>
      <c r="B299" s="32">
        <f ca="1">IFERROR(__xludf.DUMMYFUNCTION("""COMPUTED_VALUE"""),46200.5402653356)</f>
        <v>46200.5402653356</v>
      </c>
      <c r="C299" s="33" t="str">
        <f ca="1">IFERROR(__xludf.DUMMYFUNCTION("""COMPUTED_VALUE"""),"المعملجي")</f>
        <v>المعملجي</v>
      </c>
      <c r="D299" s="33" t="str">
        <f ca="1">IFERROR(__xludf.DUMMYFUNCTION("""COMPUTED_VALUE"""),"ابراهيم الخطابي")</f>
        <v>ابراهيم الخطابي</v>
      </c>
      <c r="E299" s="23" t="str">
        <f ca="1">IFERROR(__xludf.DUMMYFUNCTION("""COMPUTED_VALUE"""),"مجموعة العميد التربوية")</f>
        <v>مجموعة العميد التربوية</v>
      </c>
      <c r="F299" s="23" t="str">
        <f ca="1">IFERROR(__xludf.DUMMYFUNCTION("""COMPUTED_VALUE"""),"H- ابتدائية القمر للبنات (الخامسة)")</f>
        <v>H- ابتدائية القمر للبنات (الخامسة)</v>
      </c>
      <c r="G299" s="23" t="str">
        <f ca="1">IFERROR(__xludf.DUMMYFUNCTION("""COMPUTED_VALUE"""),"الطابق الارضي")</f>
        <v>الطابق الارضي</v>
      </c>
      <c r="H299" s="23" t="str">
        <f ca="1">IFERROR(__xludf.DUMMYFUNCTION("""COMPUTED_VALUE"""),"صيانة مصباح حمام الادارة")</f>
        <v>صيانة مصباح حمام الادارة</v>
      </c>
      <c r="I299" s="23"/>
      <c r="J299" s="23" t="s">
        <v>89</v>
      </c>
      <c r="K299" s="23" t="s">
        <v>13</v>
      </c>
      <c r="L299" s="32">
        <v>46201.417596296291</v>
      </c>
      <c r="M299" s="23"/>
      <c r="N299" s="2" t="s">
        <v>77</v>
      </c>
    </row>
    <row r="300" spans="1:14" ht="75" customHeight="1" thickTop="1" thickBot="1">
      <c r="A300" s="23">
        <v>298</v>
      </c>
      <c r="B300" s="32">
        <f ca="1">IFERROR(__xludf.DUMMYFUNCTION("""COMPUTED_VALUE"""),46201.4185797569)</f>
        <v>46201.418579756901</v>
      </c>
      <c r="C300" s="33" t="str">
        <f ca="1">IFERROR(__xludf.DUMMYFUNCTION("""COMPUTED_VALUE"""),"المعملجي")</f>
        <v>المعملجي</v>
      </c>
      <c r="D300" s="33" t="str">
        <f ca="1">IFERROR(__xludf.DUMMYFUNCTION("""COMPUTED_VALUE"""),"ابو سجاد ")</f>
        <v xml:space="preserve">ابو سجاد </v>
      </c>
      <c r="E300" s="23" t="str">
        <f ca="1">IFERROR(__xludf.DUMMYFUNCTION("""COMPUTED_VALUE"""),"مجموعة العميد التربوية")</f>
        <v>مجموعة العميد التربوية</v>
      </c>
      <c r="F300" s="23" t="str">
        <f ca="1">IFERROR(__xludf.DUMMYFUNCTION("""COMPUTED_VALUE"""),"كرفان ابو سجاد ")</f>
        <v xml:space="preserve">كرفان ابو سجاد </v>
      </c>
      <c r="G300" s="23" t="str">
        <f ca="1">IFERROR(__xludf.DUMMYFUNCTION("""COMPUTED_VALUE"""),"الطابق الارضي")</f>
        <v>الطابق الارضي</v>
      </c>
      <c r="H300" s="23" t="str">
        <f ca="1">IFERROR(__xludf.DUMMYFUNCTION("""COMPUTED_VALUE"""),"تبديل بلك سويج ")</f>
        <v xml:space="preserve">تبديل بلك سويج </v>
      </c>
      <c r="I300" s="23"/>
      <c r="J300" s="23" t="s">
        <v>89</v>
      </c>
      <c r="K300" s="23" t="s">
        <v>13</v>
      </c>
      <c r="L300" s="32">
        <v>46201.419082986111</v>
      </c>
      <c r="M300" s="23"/>
      <c r="N300" s="2" t="s">
        <v>77</v>
      </c>
    </row>
    <row r="301" spans="1:14" ht="75" customHeight="1" thickTop="1" thickBot="1">
      <c r="A301" s="25">
        <v>299</v>
      </c>
      <c r="B301" s="32">
        <f ca="1">IFERROR(__xludf.DUMMYFUNCTION("""COMPUTED_VALUE"""),46202.3115853472)</f>
        <v>46202.311585347197</v>
      </c>
      <c r="C301" s="33" t="str">
        <f ca="1">IFERROR(__xludf.DUMMYFUNCTION("""COMPUTED_VALUE"""),"المعملجي")</f>
        <v>المعملجي</v>
      </c>
      <c r="D301" s="33" t="str">
        <f ca="1">IFERROR(__xludf.DUMMYFUNCTION("""COMPUTED_VALUE"""),"وحدة الكهرباء")</f>
        <v>وحدة الكهرباء</v>
      </c>
      <c r="E301" s="23" t="str">
        <f ca="1">IFERROR(__xludf.DUMMYFUNCTION("""COMPUTED_VALUE"""),"قسم المشاريع الهندسية")</f>
        <v>قسم المشاريع الهندسية</v>
      </c>
      <c r="F301" s="23" t="str">
        <f ca="1">IFERROR(__xludf.DUMMYFUNCTION("""COMPUTED_VALUE"""),"المالية 2")</f>
        <v>المالية 2</v>
      </c>
      <c r="G301" s="23"/>
      <c r="H301" s="23" t="str">
        <f ca="1">IFERROR(__xludf.DUMMYFUNCTION("""COMPUTED_VALUE"""),"ربط التغذية الكهربائية الى الــRack الجديد ")</f>
        <v xml:space="preserve">ربط التغذية الكهربائية الى الــRack الجديد </v>
      </c>
      <c r="I301" s="23"/>
      <c r="J301" s="23" t="s">
        <v>89</v>
      </c>
      <c r="K301" s="23" t="s">
        <v>13</v>
      </c>
      <c r="L301" s="32">
        <v>46202.331133807871</v>
      </c>
      <c r="M301" s="23"/>
      <c r="N301" s="2" t="s">
        <v>77</v>
      </c>
    </row>
    <row r="302" spans="1:14" ht="75" customHeight="1" thickTop="1" thickBot="1">
      <c r="A302" s="23">
        <v>300</v>
      </c>
      <c r="B302" s="32">
        <f ca="1">IFERROR(__xludf.DUMMYFUNCTION("""COMPUTED_VALUE"""),46202.3123860995)</f>
        <v>46202.312386099497</v>
      </c>
      <c r="C302" s="33" t="str">
        <f ca="1">IFERROR(__xludf.DUMMYFUNCTION("""COMPUTED_VALUE"""),"المعملجي")</f>
        <v>المعملجي</v>
      </c>
      <c r="D302" s="33" t="str">
        <f ca="1">IFERROR(__xludf.DUMMYFUNCTION("""COMPUTED_VALUE"""),"وحدة الكهرباء")</f>
        <v>وحدة الكهرباء</v>
      </c>
      <c r="E302" s="23" t="str">
        <f ca="1">IFERROR(__xludf.DUMMYFUNCTION("""COMPUTED_VALUE"""),"قسم المشاريع الهندسية")</f>
        <v>قسم المشاريع الهندسية</v>
      </c>
      <c r="F302" s="23" t="str">
        <f ca="1">IFERROR(__xludf.DUMMYFUNCTION("""COMPUTED_VALUE"""),"المالية 2")</f>
        <v>المالية 2</v>
      </c>
      <c r="G302" s="23"/>
      <c r="H302" s="23" t="str">
        <f ca="1">IFERROR(__xludf.DUMMYFUNCTION("""COMPUTED_VALUE"""),"إيصال تغذية كهرباء Rack الى غرفة كهرباء الاستعلامات الرئيسية ")</f>
        <v xml:space="preserve">إيصال تغذية كهرباء Rack الى غرفة كهرباء الاستعلامات الرئيسية </v>
      </c>
      <c r="I302" s="23"/>
      <c r="J302" s="23" t="s">
        <v>89</v>
      </c>
      <c r="K302" s="23" t="s">
        <v>13</v>
      </c>
      <c r="L302" s="32">
        <v>46202.331141655093</v>
      </c>
      <c r="M302" s="23"/>
      <c r="N302" s="2" t="s">
        <v>77</v>
      </c>
    </row>
    <row r="303" spans="1:14" ht="75" customHeight="1" thickTop="1" thickBot="1">
      <c r="A303" s="25">
        <v>301</v>
      </c>
      <c r="B303" s="32">
        <f ca="1">IFERROR(__xludf.DUMMYFUNCTION("""COMPUTED_VALUE"""),46202.3127550925)</f>
        <v>46202.312755092498</v>
      </c>
      <c r="C303" s="33" t="str">
        <f ca="1">IFERROR(__xludf.DUMMYFUNCTION("""COMPUTED_VALUE"""),"المعملجي")</f>
        <v>المعملجي</v>
      </c>
      <c r="D303" s="33" t="str">
        <f ca="1">IFERROR(__xludf.DUMMYFUNCTION("""COMPUTED_VALUE"""),"وحدة الكهرباء")</f>
        <v>وحدة الكهرباء</v>
      </c>
      <c r="E303" s="23" t="str">
        <f ca="1">IFERROR(__xludf.DUMMYFUNCTION("""COMPUTED_VALUE"""),"قسم المشاريع الهندسية")</f>
        <v>قسم المشاريع الهندسية</v>
      </c>
      <c r="F303" s="23" t="str">
        <f ca="1">IFERROR(__xludf.DUMMYFUNCTION("""COMPUTED_VALUE"""),"المالية 2")</f>
        <v>المالية 2</v>
      </c>
      <c r="G303" s="23"/>
      <c r="H303" s="23" t="str">
        <f ca="1">IFERROR(__xludf.DUMMYFUNCTION("""COMPUTED_VALUE"""),"تفييش كيبل جديد UTP CAT6 الى التلفونات")</f>
        <v>تفييش كيبل جديد UTP CAT6 الى التلفونات</v>
      </c>
      <c r="I303" s="23"/>
      <c r="J303" s="23" t="s">
        <v>89</v>
      </c>
      <c r="K303" s="23" t="s">
        <v>13</v>
      </c>
      <c r="L303" s="32">
        <v>46202.33115204861</v>
      </c>
      <c r="M303" s="23"/>
      <c r="N303" s="2" t="s">
        <v>77</v>
      </c>
    </row>
    <row r="304" spans="1:14" ht="75" customHeight="1" thickTop="1" thickBot="1">
      <c r="A304" s="23">
        <v>302</v>
      </c>
      <c r="B304" s="32">
        <f ca="1">IFERROR(__xludf.DUMMYFUNCTION("""COMPUTED_VALUE"""),46202.3133324189)</f>
        <v>46202.313332418897</v>
      </c>
      <c r="C304" s="33" t="str">
        <f ca="1">IFERROR(__xludf.DUMMYFUNCTION("""COMPUTED_VALUE"""),"المعملجي")</f>
        <v>المعملجي</v>
      </c>
      <c r="D304" s="33" t="str">
        <f ca="1">IFERROR(__xludf.DUMMYFUNCTION("""COMPUTED_VALUE"""),"وحدة الكهرباء")</f>
        <v>وحدة الكهرباء</v>
      </c>
      <c r="E304" s="23" t="str">
        <f ca="1">IFERROR(__xludf.DUMMYFUNCTION("""COMPUTED_VALUE"""),"قسم المشاريع الهندسية")</f>
        <v>قسم المشاريع الهندسية</v>
      </c>
      <c r="F304" s="23" t="str">
        <f ca="1">IFERROR(__xludf.DUMMYFUNCTION("""COMPUTED_VALUE"""),"متفرقة")</f>
        <v>متفرقة</v>
      </c>
      <c r="G304" s="23"/>
      <c r="H304" s="23" t="str">
        <f ca="1">IFERROR(__xludf.DUMMYFUNCTION("""COMPUTED_VALUE"""),"تم صيانة  عدد (6) كارت خاص بجهاز منظومة التبريد نوع VRF،")</f>
        <v>تم صيانة  عدد (6) كارت خاص بجهاز منظومة التبريد نوع VRF،</v>
      </c>
      <c r="I304" s="23"/>
      <c r="J304" s="23" t="s">
        <v>89</v>
      </c>
      <c r="K304" s="23" t="s">
        <v>13</v>
      </c>
      <c r="L304" s="32">
        <v>46202.331159560184</v>
      </c>
      <c r="M304" s="23"/>
      <c r="N304" s="2" t="s">
        <v>77</v>
      </c>
    </row>
    <row r="305" spans="1:14" ht="75" customHeight="1" thickTop="1" thickBot="1">
      <c r="A305" s="25">
        <v>303</v>
      </c>
      <c r="B305" s="32">
        <f ca="1">IFERROR(__xludf.DUMMYFUNCTION("""COMPUTED_VALUE"""),46202.31377603)</f>
        <v>46202.313776030001</v>
      </c>
      <c r="C305" s="33" t="str">
        <f ca="1">IFERROR(__xludf.DUMMYFUNCTION("""COMPUTED_VALUE"""),"المعملجي")</f>
        <v>المعملجي</v>
      </c>
      <c r="D305" s="33" t="str">
        <f ca="1">IFERROR(__xludf.DUMMYFUNCTION("""COMPUTED_VALUE"""),"وحدة الكهرباء")</f>
        <v>وحدة الكهرباء</v>
      </c>
      <c r="E305" s="23" t="str">
        <f ca="1">IFERROR(__xludf.DUMMYFUNCTION("""COMPUTED_VALUE"""),"قسم المشاريع الهندسية")</f>
        <v>قسم المشاريع الهندسية</v>
      </c>
      <c r="F305" s="23" t="str">
        <f ca="1">IFERROR(__xludf.DUMMYFUNCTION("""COMPUTED_VALUE"""),"A- المركز الثقافي")</f>
        <v>A- المركز الثقافي</v>
      </c>
      <c r="G305" s="23" t="str">
        <f ca="1">IFERROR(__xludf.DUMMYFUNCTION("""COMPUTED_VALUE"""),"قاعة سراج العميد")</f>
        <v>قاعة سراج العميد</v>
      </c>
      <c r="H305" s="23" t="str">
        <f ca="1">IFERROR(__xludf.DUMMYFUNCTION("""COMPUTED_VALUE"""),"استبدال محولة سبوت لايت بقدرة 30W")</f>
        <v>استبدال محولة سبوت لايت بقدرة 30W</v>
      </c>
      <c r="I305" s="23"/>
      <c r="J305" s="23" t="s">
        <v>89</v>
      </c>
      <c r="K305" s="23" t="s">
        <v>13</v>
      </c>
      <c r="L305" s="32">
        <v>46202.331170439815</v>
      </c>
      <c r="M305" s="23"/>
      <c r="N305" s="2" t="s">
        <v>77</v>
      </c>
    </row>
    <row r="306" spans="1:14" ht="75" customHeight="1" thickTop="1" thickBot="1">
      <c r="A306" s="23">
        <v>304</v>
      </c>
      <c r="B306" s="32">
        <f ca="1">IFERROR(__xludf.DUMMYFUNCTION("""COMPUTED_VALUE"""),46202.314188206)</f>
        <v>46202.314188206001</v>
      </c>
      <c r="C306" s="33" t="str">
        <f ca="1">IFERROR(__xludf.DUMMYFUNCTION("""COMPUTED_VALUE"""),"المعملجي")</f>
        <v>المعملجي</v>
      </c>
      <c r="D306" s="33" t="str">
        <f ca="1">IFERROR(__xludf.DUMMYFUNCTION("""COMPUTED_VALUE"""),"وحدة الكهرباء")</f>
        <v>وحدة الكهرباء</v>
      </c>
      <c r="E306" s="23" t="str">
        <f ca="1">IFERROR(__xludf.DUMMYFUNCTION("""COMPUTED_VALUE"""),"قسم المشاريع الهندسية")</f>
        <v>قسم المشاريع الهندسية</v>
      </c>
      <c r="F30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06" s="23" t="str">
        <f ca="1">IFERROR(__xludf.DUMMYFUNCTION("""COMPUTED_VALUE"""),"السطح")</f>
        <v>السطح</v>
      </c>
      <c r="H306" s="23" t="str">
        <f ca="1">IFERROR(__xludf.DUMMYFUNCTION("""COMPUTED_VALUE"""),"صيانة مضخة الحريق")</f>
        <v>صيانة مضخة الحريق</v>
      </c>
      <c r="I306" s="23"/>
      <c r="J306" s="23" t="s">
        <v>89</v>
      </c>
      <c r="K306" s="23" t="s">
        <v>13</v>
      </c>
      <c r="L306" s="32">
        <v>46202.331179432869</v>
      </c>
      <c r="M306" s="23"/>
      <c r="N306" s="2" t="s">
        <v>77</v>
      </c>
    </row>
    <row r="307" spans="1:14" ht="75" customHeight="1" thickTop="1" thickBot="1">
      <c r="A307" s="25">
        <v>305</v>
      </c>
      <c r="B307" s="32">
        <f ca="1">IFERROR(__xludf.DUMMYFUNCTION("""COMPUTED_VALUE"""),46202.314889618)</f>
        <v>46202.314889617999</v>
      </c>
      <c r="C307" s="33" t="str">
        <f ca="1">IFERROR(__xludf.DUMMYFUNCTION("""COMPUTED_VALUE"""),"المعملجي")</f>
        <v>المعملجي</v>
      </c>
      <c r="D307" s="33" t="str">
        <f ca="1">IFERROR(__xludf.DUMMYFUNCTION("""COMPUTED_VALUE"""),"وحدة الكهرباء")</f>
        <v>وحدة الكهرباء</v>
      </c>
      <c r="E307" s="23" t="str">
        <f ca="1">IFERROR(__xludf.DUMMYFUNCTION("""COMPUTED_VALUE"""),"قسم المشاريع الهندسية")</f>
        <v>قسم المشاريع الهندسية</v>
      </c>
      <c r="F307" s="23" t="str">
        <f ca="1">IFERROR(__xludf.DUMMYFUNCTION("""COMPUTED_VALUE"""),"شعبة الصيانة")</f>
        <v>شعبة الصيانة</v>
      </c>
      <c r="G307" s="23" t="str">
        <f ca="1">IFERROR(__xludf.DUMMYFUNCTION("""COMPUTED_VALUE"""),"محطة الرفع")</f>
        <v>محطة الرفع</v>
      </c>
      <c r="H307" s="23" t="str">
        <f ca="1">IFERROR(__xludf.DUMMYFUNCTION("""COMPUTED_VALUE"""),"عمل لوبات بحجم 50 ملم وربطها الى قاطع تجهيز البيوت الخارجية")</f>
        <v>عمل لوبات بحجم 50 ملم وربطها الى قاطع تجهيز البيوت الخارجية</v>
      </c>
      <c r="I307" s="23"/>
      <c r="J307" s="23" t="s">
        <v>89</v>
      </c>
      <c r="K307" s="23" t="s">
        <v>13</v>
      </c>
      <c r="L307" s="32">
        <v>46202.331181296293</v>
      </c>
      <c r="M307" s="23"/>
      <c r="N307" s="2" t="s">
        <v>77</v>
      </c>
    </row>
    <row r="308" spans="1:14" ht="75" customHeight="1" thickTop="1" thickBot="1">
      <c r="A308" s="23">
        <v>306</v>
      </c>
      <c r="B308" s="32">
        <f ca="1">IFERROR(__xludf.DUMMYFUNCTION("""COMPUTED_VALUE"""),46202.3156266319)</f>
        <v>46202.315626631898</v>
      </c>
      <c r="C308" s="33" t="str">
        <f ca="1">IFERROR(__xludf.DUMMYFUNCTION("""COMPUTED_VALUE"""),"المعملجي")</f>
        <v>المعملجي</v>
      </c>
      <c r="D308" s="33" t="str">
        <f ca="1">IFERROR(__xludf.DUMMYFUNCTION("""COMPUTED_VALUE"""),"وحدة الكهرباء")</f>
        <v>وحدة الكهرباء</v>
      </c>
      <c r="E308" s="23" t="str">
        <f ca="1">IFERROR(__xludf.DUMMYFUNCTION("""COMPUTED_VALUE"""),"قسم المشاريع الهندسية")</f>
        <v>قسم المشاريع الهندسية</v>
      </c>
      <c r="F308" s="23" t="str">
        <f ca="1">IFERROR(__xludf.DUMMYFUNCTION("""COMPUTED_VALUE"""),"شعبة الصيانة")</f>
        <v>شعبة الصيانة</v>
      </c>
      <c r="G308" s="23" t="str">
        <f ca="1">IFERROR(__xludf.DUMMYFUNCTION("""COMPUTED_VALUE"""),"محطة الرفع")</f>
        <v>محطة الرفع</v>
      </c>
      <c r="H308" s="23" t="str">
        <f ca="1">IFERROR(__xludf.DUMMYFUNCTION("""COMPUTED_VALUE"""),"تنظيف محولة محطة الرفع من الدهن الخارج منها ")</f>
        <v xml:space="preserve">تنظيف محولة محطة الرفع من الدهن الخارج منها </v>
      </c>
      <c r="I308" s="23"/>
      <c r="J308" s="23" t="s">
        <v>89</v>
      </c>
      <c r="K308" s="23" t="s">
        <v>13</v>
      </c>
      <c r="L308" s="32">
        <v>46202.331202384259</v>
      </c>
      <c r="M308" s="23"/>
      <c r="N308" s="2" t="s">
        <v>77</v>
      </c>
    </row>
    <row r="309" spans="1:14" ht="75" customHeight="1" thickTop="1" thickBot="1">
      <c r="A309" s="25">
        <v>307</v>
      </c>
      <c r="B309" s="32">
        <f ca="1">IFERROR(__xludf.DUMMYFUNCTION("""COMPUTED_VALUE"""),46202.3163421643)</f>
        <v>46202.316342164297</v>
      </c>
      <c r="C309" s="33" t="str">
        <f ca="1">IFERROR(__xludf.DUMMYFUNCTION("""COMPUTED_VALUE"""),"المعملجي")</f>
        <v>المعملجي</v>
      </c>
      <c r="D309" s="33" t="str">
        <f ca="1">IFERROR(__xludf.DUMMYFUNCTION("""COMPUTED_VALUE"""),"وحدة الكهرباء")</f>
        <v>وحدة الكهرباء</v>
      </c>
      <c r="E309" s="23" t="str">
        <f ca="1">IFERROR(__xludf.DUMMYFUNCTION("""COMPUTED_VALUE"""),"قسم المشاريع الهندسية")</f>
        <v>قسم المشاريع الهندسية</v>
      </c>
      <c r="F309" s="23" t="str">
        <f ca="1">IFERROR(__xludf.DUMMYFUNCTION("""COMPUTED_VALUE"""),"A- المركز الثقافي")</f>
        <v>A- المركز الثقافي</v>
      </c>
      <c r="G309" s="23" t="str">
        <f ca="1">IFERROR(__xludf.DUMMYFUNCTION("""COMPUTED_VALUE"""),"الطابق الارضي")</f>
        <v>الطابق الارضي</v>
      </c>
      <c r="H309" s="23" t="str">
        <f ca="1">IFERROR(__xludf.DUMMYFUNCTION("""COMPUTED_VALUE"""),"تسليك وربط سبلت كنتوري 3 طن حيث تم اضافة سويج 45A ")</f>
        <v xml:space="preserve">تسليك وربط سبلت كنتوري 3 طن حيث تم اضافة سويج 45A </v>
      </c>
      <c r="I309" s="23"/>
      <c r="J309" s="23" t="s">
        <v>89</v>
      </c>
      <c r="K309" s="23" t="s">
        <v>13</v>
      </c>
      <c r="L309" s="32">
        <v>46202.331203900467</v>
      </c>
      <c r="M309" s="23"/>
      <c r="N309" s="2" t="s">
        <v>77</v>
      </c>
    </row>
    <row r="310" spans="1:14" ht="75" customHeight="1" thickTop="1" thickBot="1">
      <c r="A310" s="23">
        <v>308</v>
      </c>
      <c r="B310" s="32">
        <f ca="1">IFERROR(__xludf.DUMMYFUNCTION("""COMPUTED_VALUE"""),46202.3173344213)</f>
        <v>46202.317334421299</v>
      </c>
      <c r="C310" s="33" t="str">
        <f ca="1">IFERROR(__xludf.DUMMYFUNCTION("""COMPUTED_VALUE"""),"المعملجي")</f>
        <v>المعملجي</v>
      </c>
      <c r="D310" s="33" t="str">
        <f ca="1">IFERROR(__xludf.DUMMYFUNCTION("""COMPUTED_VALUE"""),"وحدة الكهرباء")</f>
        <v>وحدة الكهرباء</v>
      </c>
      <c r="E310" s="23" t="str">
        <f ca="1">IFERROR(__xludf.DUMMYFUNCTION("""COMPUTED_VALUE"""),"قسم المشاريع الهندسية")</f>
        <v>قسم المشاريع الهندسية</v>
      </c>
      <c r="F310" s="23" t="str">
        <f ca="1">IFERROR(__xludf.DUMMYFUNCTION("""COMPUTED_VALUE"""),"G- روضة الجود")</f>
        <v>G- روضة الجود</v>
      </c>
      <c r="G310" s="23" t="str">
        <f ca="1">IFERROR(__xludf.DUMMYFUNCTION("""COMPUTED_VALUE"""),"السطح, الطاقة الشمسية")</f>
        <v>السطح, الطاقة الشمسية</v>
      </c>
      <c r="H310" s="23" t="str">
        <f ca="1">IFERROR(__xludf.DUMMYFUNCTION("""COMPUTED_VALUE"""),"اثناء المتابعة الليلية عثر على خلل في احدى بطاريات المنظومة وتم فصلها لحين استبدالها")</f>
        <v>اثناء المتابعة الليلية عثر على خلل في احدى بطاريات المنظومة وتم فصلها لحين استبدالها</v>
      </c>
      <c r="I310" s="23"/>
      <c r="J310" s="23" t="s">
        <v>89</v>
      </c>
      <c r="K310" s="23" t="s">
        <v>13</v>
      </c>
      <c r="L310" s="32">
        <v>46202.331263611108</v>
      </c>
      <c r="M310" s="23"/>
      <c r="N310" s="2" t="s">
        <v>77</v>
      </c>
    </row>
    <row r="311" spans="1:14" ht="75" customHeight="1" thickTop="1" thickBot="1">
      <c r="A311" s="25">
        <v>309</v>
      </c>
      <c r="B311" s="32">
        <f ca="1">IFERROR(__xludf.DUMMYFUNCTION("""COMPUTED_VALUE"""),46202.3179558333)</f>
        <v>46202.317955833299</v>
      </c>
      <c r="C311" s="33" t="str">
        <f ca="1">IFERROR(__xludf.DUMMYFUNCTION("""COMPUTED_VALUE"""),"المعملجي")</f>
        <v>المعملجي</v>
      </c>
      <c r="D311" s="33" t="str">
        <f ca="1">IFERROR(__xludf.DUMMYFUNCTION("""COMPUTED_VALUE"""),"وحدة الكهرباء")</f>
        <v>وحدة الكهرباء</v>
      </c>
      <c r="E311" s="23" t="str">
        <f ca="1">IFERROR(__xludf.DUMMYFUNCTION("""COMPUTED_VALUE"""),"قسم المشاريع الهندسية")</f>
        <v>قسم المشاريع الهندسية</v>
      </c>
      <c r="F311" s="23" t="str">
        <f ca="1">IFERROR(__xludf.DUMMYFUNCTION("""COMPUTED_VALUE"""),"شعبة الصيانة")</f>
        <v>شعبة الصيانة</v>
      </c>
      <c r="G311" s="23" t="str">
        <f ca="1">IFERROR(__xludf.DUMMYFUNCTION("""COMPUTED_VALUE"""),"كرفان المدني")</f>
        <v>كرفان المدني</v>
      </c>
      <c r="H311" s="23" t="str">
        <f ca="1">IFERROR(__xludf.DUMMYFUNCTION("""COMPUTED_VALUE"""),"تبديل سبوت لايت عدد 2 بقدرة 24w")</f>
        <v>تبديل سبوت لايت عدد 2 بقدرة 24w</v>
      </c>
      <c r="I311" s="23"/>
      <c r="J311" s="23" t="s">
        <v>89</v>
      </c>
      <c r="K311" s="23" t="s">
        <v>13</v>
      </c>
      <c r="L311" s="32">
        <v>46202.331272685187</v>
      </c>
      <c r="M311" s="23"/>
      <c r="N311" s="2" t="s">
        <v>77</v>
      </c>
    </row>
    <row r="312" spans="1:14" ht="75" customHeight="1" thickTop="1" thickBot="1">
      <c r="A312" s="23">
        <v>310</v>
      </c>
      <c r="B312" s="32">
        <f ca="1">IFERROR(__xludf.DUMMYFUNCTION("""COMPUTED_VALUE"""),46202.3194640277)</f>
        <v>46202.3194640277</v>
      </c>
      <c r="C312" s="33" t="str">
        <f ca="1">IFERROR(__xludf.DUMMYFUNCTION("""COMPUTED_VALUE"""),"المعملجي")</f>
        <v>المعملجي</v>
      </c>
      <c r="D312" s="33" t="str">
        <f ca="1">IFERROR(__xludf.DUMMYFUNCTION("""COMPUTED_VALUE"""),"وحدة الكهرباء")</f>
        <v>وحدة الكهرباء</v>
      </c>
      <c r="E312" s="23" t="str">
        <f ca="1">IFERROR(__xludf.DUMMYFUNCTION("""COMPUTED_VALUE"""),"قسم المشاريع الهندسية")</f>
        <v>قسم المشاريع الهندسية</v>
      </c>
      <c r="F312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12" s="23"/>
      <c r="H312" s="23" t="str">
        <f ca="1">IFERROR(__xludf.DUMMYFUNCTION("""COMPUTED_VALUE"""),"استبدال محولة انارة منشورية عدد 2")</f>
        <v>استبدال محولة انارة منشورية عدد 2</v>
      </c>
      <c r="I312" s="23"/>
      <c r="J312" s="23" t="s">
        <v>89</v>
      </c>
      <c r="K312" s="23" t="s">
        <v>13</v>
      </c>
      <c r="L312" s="32">
        <v>46202.331283796295</v>
      </c>
      <c r="M312" s="23"/>
      <c r="N312" s="2" t="s">
        <v>77</v>
      </c>
    </row>
    <row r="313" spans="1:14" ht="75" customHeight="1" thickTop="1" thickBot="1">
      <c r="A313" s="25">
        <v>311</v>
      </c>
      <c r="B313" s="32">
        <f ca="1">IFERROR(__xludf.DUMMYFUNCTION("""COMPUTED_VALUE"""),46202.3201254745)</f>
        <v>46202.3201254745</v>
      </c>
      <c r="C313" s="33" t="str">
        <f ca="1">IFERROR(__xludf.DUMMYFUNCTION("""COMPUTED_VALUE"""),"المعملجي")</f>
        <v>المعملجي</v>
      </c>
      <c r="D313" s="33" t="str">
        <f ca="1">IFERROR(__xludf.DUMMYFUNCTION("""COMPUTED_VALUE"""),"وحدة الكهرباء")</f>
        <v>وحدة الكهرباء</v>
      </c>
      <c r="E313" s="23" t="str">
        <f ca="1">IFERROR(__xludf.DUMMYFUNCTION("""COMPUTED_VALUE"""),"قسم المشاريع الهندسية")</f>
        <v>قسم المشاريع الهندسية</v>
      </c>
      <c r="F313" s="23" t="str">
        <f ca="1">IFERROR(__xludf.DUMMYFUNCTION("""COMPUTED_VALUE"""),"A- المركز الثقافي")</f>
        <v>A- المركز الثقافي</v>
      </c>
      <c r="G313" s="23" t="str">
        <f ca="1">IFERROR(__xludf.DUMMYFUNCTION("""COMPUTED_VALUE"""),"الطابق الرابع, شعبة المراقبة_الكاميرات")</f>
        <v>الطابق الرابع, شعبة المراقبة_الكاميرات</v>
      </c>
      <c r="H313" s="23" t="str">
        <f ca="1">IFERROR(__xludf.DUMMYFUNCTION("""COMPUTED_VALUE""")," استبدال ماوس عاطل ")</f>
        <v xml:space="preserve"> استبدال ماوس عاطل </v>
      </c>
      <c r="I313" s="23"/>
      <c r="J313" s="23" t="s">
        <v>89</v>
      </c>
      <c r="K313" s="23" t="s">
        <v>13</v>
      </c>
      <c r="L313" s="32">
        <v>46202.331294861113</v>
      </c>
      <c r="M313" s="23"/>
      <c r="N313" s="2" t="s">
        <v>77</v>
      </c>
    </row>
    <row r="314" spans="1:14" ht="75" customHeight="1" thickTop="1" thickBot="1">
      <c r="A314" s="23">
        <v>312</v>
      </c>
      <c r="B314" s="32">
        <f ca="1">IFERROR(__xludf.DUMMYFUNCTION("""COMPUTED_VALUE"""),46202.3204953819)</f>
        <v>46202.3204953819</v>
      </c>
      <c r="C314" s="33" t="str">
        <f ca="1">IFERROR(__xludf.DUMMYFUNCTION("""COMPUTED_VALUE"""),"المعملجي")</f>
        <v>المعملجي</v>
      </c>
      <c r="D314" s="33" t="str">
        <f ca="1">IFERROR(__xludf.DUMMYFUNCTION("""COMPUTED_VALUE"""),"وحدة الكهرباء")</f>
        <v>وحدة الكهرباء</v>
      </c>
      <c r="E314" s="23" t="str">
        <f ca="1">IFERROR(__xludf.DUMMYFUNCTION("""COMPUTED_VALUE"""),"قسم المشاريع الهندسية")</f>
        <v>قسم المشاريع الهندسية</v>
      </c>
      <c r="F314" s="23" t="str">
        <f ca="1">IFERROR(__xludf.DUMMYFUNCTION("""COMPUTED_VALUE"""),"الاستعلامات الرئيسية")</f>
        <v>الاستعلامات الرئيسية</v>
      </c>
      <c r="G314" s="23"/>
      <c r="H314" s="23" t="str">
        <f ca="1">IFERROR(__xludf.DUMMYFUNCTION("""COMPUTED_VALUE"""),"استبدال بلك سويچ 13A تالف ")</f>
        <v xml:space="preserve">استبدال بلك سويچ 13A تالف </v>
      </c>
      <c r="I314" s="23"/>
      <c r="J314" s="23" t="s">
        <v>89</v>
      </c>
      <c r="K314" s="23" t="s">
        <v>13</v>
      </c>
      <c r="L314" s="32">
        <v>46202.331296249999</v>
      </c>
      <c r="M314" s="23"/>
      <c r="N314" s="2" t="s">
        <v>77</v>
      </c>
    </row>
    <row r="315" spans="1:14" ht="75" customHeight="1" thickTop="1" thickBot="1">
      <c r="A315" s="25">
        <v>313</v>
      </c>
      <c r="B315" s="32">
        <f ca="1">IFERROR(__xludf.DUMMYFUNCTION("""COMPUTED_VALUE"""),46202.3209691782)</f>
        <v>46202.320969178203</v>
      </c>
      <c r="C315" s="33" t="str">
        <f ca="1">IFERROR(__xludf.DUMMYFUNCTION("""COMPUTED_VALUE"""),"المعملجي")</f>
        <v>المعملجي</v>
      </c>
      <c r="D315" s="33" t="str">
        <f ca="1">IFERROR(__xludf.DUMMYFUNCTION("""COMPUTED_VALUE"""),"وحدة الكهرباء")</f>
        <v>وحدة الكهرباء</v>
      </c>
      <c r="E315" s="23" t="str">
        <f ca="1">IFERROR(__xludf.DUMMYFUNCTION("""COMPUTED_VALUE"""),"قسم المشاريع الهندسية")</f>
        <v>قسم المشاريع الهندسية</v>
      </c>
      <c r="F315" s="23" t="str">
        <f ca="1">IFERROR(__xludf.DUMMYFUNCTION("""COMPUTED_VALUE"""),"H- ابتدائية القمر للبنات (الخامسة)")</f>
        <v>H- ابتدائية القمر للبنات (الخامسة)</v>
      </c>
      <c r="G315" s="23"/>
      <c r="H315" s="23" t="str">
        <f ca="1">IFERROR(__xludf.DUMMYFUNCTION("""COMPUTED_VALUE"""),"أضافة ميزة الاطفاء الأوتوماتيكي للمدرسة الخامسة عند وضع سلكتر على (Solar)")</f>
        <v>أضافة ميزة الاطفاء الأوتوماتيكي للمدرسة الخامسة عند وضع سلكتر على (Solar)</v>
      </c>
      <c r="I315" s="23"/>
      <c r="J315" s="23" t="s">
        <v>89</v>
      </c>
      <c r="K315" s="23" t="s">
        <v>13</v>
      </c>
      <c r="L315" s="32">
        <v>46202.331326203705</v>
      </c>
      <c r="M315" s="23"/>
      <c r="N315" s="2" t="s">
        <v>77</v>
      </c>
    </row>
    <row r="316" spans="1:14" ht="75" customHeight="1" thickTop="1" thickBot="1">
      <c r="A316" s="23">
        <v>314</v>
      </c>
      <c r="B316" s="32">
        <f ca="1">IFERROR(__xludf.DUMMYFUNCTION("""COMPUTED_VALUE"""),46202.3220512731)</f>
        <v>46202.322051273099</v>
      </c>
      <c r="C316" s="33" t="str">
        <f ca="1">IFERROR(__xludf.DUMMYFUNCTION("""COMPUTED_VALUE"""),"المعملجي")</f>
        <v>المعملجي</v>
      </c>
      <c r="D316" s="33" t="str">
        <f ca="1">IFERROR(__xludf.DUMMYFUNCTION("""COMPUTED_VALUE"""),"وحدة الكهرباء")</f>
        <v>وحدة الكهرباء</v>
      </c>
      <c r="E316" s="23" t="str">
        <f ca="1">IFERROR(__xludf.DUMMYFUNCTION("""COMPUTED_VALUE"""),"قسم المشاريع الهندسية")</f>
        <v>قسم المشاريع الهندسية</v>
      </c>
      <c r="F316" s="23" t="str">
        <f ca="1">IFERROR(__xludf.DUMMYFUNCTION("""COMPUTED_VALUE"""),"A- المركز الثقافي")</f>
        <v>A- المركز الثقافي</v>
      </c>
      <c r="G316" s="23" t="str">
        <f ca="1">IFERROR(__xludf.DUMMYFUNCTION("""COMPUTED_VALUE"""),"الطابق الرابع, الكاميرات")</f>
        <v>الطابق الرابع, الكاميرات</v>
      </c>
      <c r="H316" s="23" t="str">
        <f ca="1">IFERROR(__xludf.DUMMYFUNCTION("""COMPUTED_VALUE"""),"استبدال المنچر الرباعي 32A التالف  والمغذي لـUPS")</f>
        <v>استبدال المنچر الرباعي 32A التالف  والمغذي لـUPS</v>
      </c>
      <c r="I316" s="23"/>
      <c r="J316" s="23" t="s">
        <v>89</v>
      </c>
      <c r="K316" s="23" t="s">
        <v>13</v>
      </c>
      <c r="L316" s="32">
        <v>46202.33132409722</v>
      </c>
      <c r="M316" s="23"/>
      <c r="N316" s="2" t="s">
        <v>77</v>
      </c>
    </row>
    <row r="317" spans="1:14" ht="75" customHeight="1" thickTop="1" thickBot="1">
      <c r="A317" s="25">
        <v>315</v>
      </c>
      <c r="B317" s="32">
        <f ca="1">IFERROR(__xludf.DUMMYFUNCTION("""COMPUTED_VALUE"""),46202.3224464814)</f>
        <v>46202.322446481397</v>
      </c>
      <c r="C317" s="33" t="str">
        <f ca="1">IFERROR(__xludf.DUMMYFUNCTION("""COMPUTED_VALUE"""),"المعملجي")</f>
        <v>المعملجي</v>
      </c>
      <c r="D317" s="33" t="str">
        <f ca="1">IFERROR(__xludf.DUMMYFUNCTION("""COMPUTED_VALUE"""),"وحدة الكهرباء")</f>
        <v>وحدة الكهرباء</v>
      </c>
      <c r="E317" s="23" t="str">
        <f ca="1">IFERROR(__xludf.DUMMYFUNCTION("""COMPUTED_VALUE"""),"قسم المشاريع الهندسية")</f>
        <v>قسم المشاريع الهندسية</v>
      </c>
      <c r="F317" s="23" t="str">
        <f ca="1">IFERROR(__xludf.DUMMYFUNCTION("""COMPUTED_VALUE"""),"A- المركز الثقافي")</f>
        <v>A- المركز الثقافي</v>
      </c>
      <c r="G317" s="23" t="str">
        <f ca="1">IFERROR(__xludf.DUMMYFUNCTION("""COMPUTED_VALUE"""),"الطابق الرابع, الكاميرات")</f>
        <v>الطابق الرابع, الكاميرات</v>
      </c>
      <c r="H317" s="23" t="str">
        <f ca="1">IFERROR(__xludf.DUMMYFUNCTION("""COMPUTED_VALUE"""),"استبدال محولة سبوت لايت سقفي عدد 1 ")</f>
        <v xml:space="preserve">استبدال محولة سبوت لايت سقفي عدد 1 </v>
      </c>
      <c r="I317" s="23"/>
      <c r="J317" s="23" t="s">
        <v>89</v>
      </c>
      <c r="K317" s="23" t="s">
        <v>13</v>
      </c>
      <c r="L317" s="32">
        <v>46202.331328437504</v>
      </c>
      <c r="M317" s="23"/>
      <c r="N317" s="2" t="s">
        <v>77</v>
      </c>
    </row>
    <row r="318" spans="1:14" ht="75" customHeight="1" thickTop="1" thickBot="1">
      <c r="A318" s="23">
        <v>316</v>
      </c>
      <c r="B318" s="32">
        <f ca="1">IFERROR(__xludf.DUMMYFUNCTION("""COMPUTED_VALUE"""),46202.3232226157)</f>
        <v>46202.323222615698</v>
      </c>
      <c r="C318" s="33" t="str">
        <f ca="1">IFERROR(__xludf.DUMMYFUNCTION("""COMPUTED_VALUE"""),"المعملجي")</f>
        <v>المعملجي</v>
      </c>
      <c r="D318" s="33" t="str">
        <f ca="1">IFERROR(__xludf.DUMMYFUNCTION("""COMPUTED_VALUE"""),"وحدة الكهرباء")</f>
        <v>وحدة الكهرباء</v>
      </c>
      <c r="E318" s="23" t="str">
        <f ca="1">IFERROR(__xludf.DUMMYFUNCTION("""COMPUTED_VALUE"""),"قسم المشاريع الهندسية")</f>
        <v>قسم المشاريع الهندسية</v>
      </c>
      <c r="F31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318" s="23"/>
      <c r="H318" s="23" t="str">
        <f ca="1">IFERROR(__xludf.DUMMYFUNCTION("""COMPUTED_VALUE"""),"استبدال محولة انارة منشورية عدد 4 وسبوت لايت عدد 1")</f>
        <v>استبدال محولة انارة منشورية عدد 4 وسبوت لايت عدد 1</v>
      </c>
      <c r="I318" s="23"/>
      <c r="J318" s="23" t="s">
        <v>89</v>
      </c>
      <c r="K318" s="23" t="s">
        <v>13</v>
      </c>
      <c r="L318" s="32">
        <v>46202.331338298609</v>
      </c>
      <c r="M318" s="23"/>
      <c r="N318" s="2" t="s">
        <v>77</v>
      </c>
    </row>
    <row r="319" spans="1:14" ht="75" customHeight="1" thickTop="1" thickBot="1">
      <c r="A319" s="25">
        <v>317</v>
      </c>
      <c r="B319" s="32">
        <f ca="1">IFERROR(__xludf.DUMMYFUNCTION("""COMPUTED_VALUE"""),46202.323714074)</f>
        <v>46202.323714074002</v>
      </c>
      <c r="C319" s="33" t="str">
        <f ca="1">IFERROR(__xludf.DUMMYFUNCTION("""COMPUTED_VALUE"""),"المعملجي")</f>
        <v>المعملجي</v>
      </c>
      <c r="D319" s="33" t="str">
        <f ca="1">IFERROR(__xludf.DUMMYFUNCTION("""COMPUTED_VALUE"""),"وحدة الكهرباء")</f>
        <v>وحدة الكهرباء</v>
      </c>
      <c r="E319" s="23" t="str">
        <f ca="1">IFERROR(__xludf.DUMMYFUNCTION("""COMPUTED_VALUE"""),"قسم المشاريع الهندسية")</f>
        <v>قسم المشاريع الهندسية</v>
      </c>
      <c r="F319" s="23" t="str">
        <f ca="1">IFERROR(__xludf.DUMMYFUNCTION("""COMPUTED_VALUE"""),"بيت الاعلام")</f>
        <v>بيت الاعلام</v>
      </c>
      <c r="G319" s="23"/>
      <c r="H319" s="23" t="str">
        <f ca="1">IFERROR(__xludf.DUMMYFUNCTION("""COMPUTED_VALUE"""),"عمل بورد جديد لبيت الأعلام وضع فيه قاطع رئيسي بسعة 125A")</f>
        <v>عمل بورد جديد لبيت الأعلام وضع فيه قاطع رئيسي بسعة 125A</v>
      </c>
      <c r="I319" s="23"/>
      <c r="J319" s="23" t="s">
        <v>89</v>
      </c>
      <c r="K319" s="23" t="s">
        <v>13</v>
      </c>
      <c r="L319" s="32">
        <v>46202.331342962963</v>
      </c>
      <c r="M319" s="23"/>
      <c r="N319" s="2" t="s">
        <v>77</v>
      </c>
    </row>
    <row r="320" spans="1:14" ht="75" customHeight="1" thickTop="1" thickBot="1">
      <c r="A320" s="23">
        <v>318</v>
      </c>
      <c r="B320" s="32">
        <f ca="1">IFERROR(__xludf.DUMMYFUNCTION("""COMPUTED_VALUE"""),46202.3240611921)</f>
        <v>46202.324061192099</v>
      </c>
      <c r="C320" s="33" t="str">
        <f ca="1">IFERROR(__xludf.DUMMYFUNCTION("""COMPUTED_VALUE"""),"المعملجي")</f>
        <v>المعملجي</v>
      </c>
      <c r="D320" s="33" t="str">
        <f ca="1">IFERROR(__xludf.DUMMYFUNCTION("""COMPUTED_VALUE"""),"وحدة الكهرباء")</f>
        <v>وحدة الكهرباء</v>
      </c>
      <c r="E320" s="23" t="str">
        <f ca="1">IFERROR(__xludf.DUMMYFUNCTION("""COMPUTED_VALUE"""),"قسم المشاريع الهندسية")</f>
        <v>قسم المشاريع الهندسية</v>
      </c>
      <c r="F320" s="23" t="str">
        <f ca="1">IFERROR(__xludf.DUMMYFUNCTION("""COMPUTED_VALUE"""),"A- المركز الثقافي")</f>
        <v>A- المركز الثقافي</v>
      </c>
      <c r="G320" s="23" t="str">
        <f ca="1">IFERROR(__xludf.DUMMYFUNCTION("""COMPUTED_VALUE"""),"الطابق الرابع, الكاميرات")</f>
        <v>الطابق الرابع, الكاميرات</v>
      </c>
      <c r="H320" s="23" t="str">
        <f ca="1">IFERROR(__xludf.DUMMYFUNCTION("""COMPUTED_VALUE""")," استبدال ماوس 🖱️ عاطل ")</f>
        <v xml:space="preserve"> استبدال ماوس 🖱️ عاطل </v>
      </c>
      <c r="I320" s="23"/>
      <c r="J320" s="23" t="s">
        <v>89</v>
      </c>
      <c r="K320" s="23" t="s">
        <v>13</v>
      </c>
      <c r="L320" s="32">
        <v>46202.331352407404</v>
      </c>
      <c r="M320" s="23"/>
      <c r="N320" s="2" t="s">
        <v>77</v>
      </c>
    </row>
    <row r="321" spans="1:14" ht="75" customHeight="1" thickTop="1" thickBot="1">
      <c r="A321" s="25">
        <v>319</v>
      </c>
      <c r="B321" s="32">
        <f ca="1">IFERROR(__xludf.DUMMYFUNCTION("""COMPUTED_VALUE"""),46202.3243588078)</f>
        <v>46202.324358807797</v>
      </c>
      <c r="C321" s="33" t="str">
        <f ca="1">IFERROR(__xludf.DUMMYFUNCTION("""COMPUTED_VALUE"""),"المعملجي")</f>
        <v>المعملجي</v>
      </c>
      <c r="D321" s="33" t="str">
        <f ca="1">IFERROR(__xludf.DUMMYFUNCTION("""COMPUTED_VALUE"""),"وحدة الكهرباء")</f>
        <v>وحدة الكهرباء</v>
      </c>
      <c r="E321" s="23" t="str">
        <f ca="1">IFERROR(__xludf.DUMMYFUNCTION("""COMPUTED_VALUE"""),"قسم المشاريع الهندسية")</f>
        <v>قسم المشاريع الهندسية</v>
      </c>
      <c r="F321" s="23" t="str">
        <f ca="1">IFERROR(__xludf.DUMMYFUNCTION("""COMPUTED_VALUE"""),"A- المركز الثقافي")</f>
        <v>A- المركز الثقافي</v>
      </c>
      <c r="G321" s="23" t="str">
        <f ca="1">IFERROR(__xludf.DUMMYFUNCTION("""COMPUTED_VALUE"""),"الطابق الرابع, الكاميرات")</f>
        <v>الطابق الرابع, الكاميرات</v>
      </c>
      <c r="H321" s="23" t="str">
        <f ca="1">IFERROR(__xludf.DUMMYFUNCTION("""COMPUTED_VALUE"""),"استبدال سبوت لايت عاطل 24W")</f>
        <v>استبدال سبوت لايت عاطل 24W</v>
      </c>
      <c r="I321" s="23"/>
      <c r="J321" s="23" t="s">
        <v>89</v>
      </c>
      <c r="K321" s="23" t="s">
        <v>13</v>
      </c>
      <c r="L321" s="32">
        <v>46202.331358738425</v>
      </c>
      <c r="M321" s="23"/>
      <c r="N321" s="2" t="s">
        <v>77</v>
      </c>
    </row>
    <row r="322" spans="1:14" s="22" customFormat="1" ht="75" customHeight="1" thickTop="1" thickBot="1">
      <c r="A322" s="23">
        <v>320</v>
      </c>
      <c r="B322" s="32">
        <f ca="1">IFERROR(__xludf.DUMMYFUNCTION("""COMPUTED_VALUE"""),46202.325364375)</f>
        <v>46202.325364374999</v>
      </c>
      <c r="C322" s="33" t="str">
        <f ca="1">IFERROR(__xludf.DUMMYFUNCTION("""COMPUTED_VALUE"""),"المعملجي")</f>
        <v>المعملجي</v>
      </c>
      <c r="D322" s="33" t="str">
        <f ca="1">IFERROR(__xludf.DUMMYFUNCTION("""COMPUTED_VALUE"""),"وحدة الكهرباء")</f>
        <v>وحدة الكهرباء</v>
      </c>
      <c r="E322" s="23" t="str">
        <f ca="1">IFERROR(__xludf.DUMMYFUNCTION("""COMPUTED_VALUE"""),"قسم المشاريع الهندسية")</f>
        <v>قسم المشاريع الهندسية</v>
      </c>
      <c r="F322" s="23" t="str">
        <f ca="1">IFERROR(__xludf.DUMMYFUNCTION("""COMPUTED_VALUE"""),"شعبة الصيانة")</f>
        <v>شعبة الصيانة</v>
      </c>
      <c r="G322" s="23" t="str">
        <f ca="1">IFERROR(__xludf.DUMMYFUNCTION("""COMPUTED_VALUE"""),"محطة الرفع")</f>
        <v>محطة الرفع</v>
      </c>
      <c r="H322" s="23" t="str">
        <f ca="1">IFERROR(__xludf.DUMMYFUNCTION("""COMPUTED_VALUE"""),"تم استبدال جهاز تحويل  ATS بسعة (2500A) ")</f>
        <v xml:space="preserve">تم استبدال جهاز تحويل  ATS بسعة (2500A) </v>
      </c>
      <c r="I322" s="23"/>
      <c r="J322" s="23" t="s">
        <v>89</v>
      </c>
      <c r="K322" s="23" t="s">
        <v>13</v>
      </c>
      <c r="L322" s="32">
        <v>46202.331377870374</v>
      </c>
      <c r="M322" s="23"/>
      <c r="N322" s="2"/>
    </row>
    <row r="323" spans="1:14" ht="75" customHeight="1" thickTop="1" thickBot="1">
      <c r="A323" s="25">
        <v>321</v>
      </c>
      <c r="B323" s="32">
        <f ca="1">IFERROR(__xludf.DUMMYFUNCTION("""COMPUTED_VALUE"""),46202.3259772222)</f>
        <v>46202.325977222201</v>
      </c>
      <c r="C323" s="33" t="str">
        <f ca="1">IFERROR(__xludf.DUMMYFUNCTION("""COMPUTED_VALUE"""),"المعملجي")</f>
        <v>المعملجي</v>
      </c>
      <c r="D323" s="33" t="str">
        <f ca="1">IFERROR(__xludf.DUMMYFUNCTION("""COMPUTED_VALUE"""),"وحدة الكهرباء")</f>
        <v>وحدة الكهرباء</v>
      </c>
      <c r="E323" s="23" t="str">
        <f ca="1">IFERROR(__xludf.DUMMYFUNCTION("""COMPUTED_VALUE"""),"قسم المشاريع الهندسية")</f>
        <v>قسم المشاريع الهندسية</v>
      </c>
      <c r="F323" s="23" t="str">
        <f ca="1">IFERROR(__xludf.DUMMYFUNCTION("""COMPUTED_VALUE"""),"بيت الاعلام")</f>
        <v>بيت الاعلام</v>
      </c>
      <c r="G323" s="23"/>
      <c r="H323" s="23" t="str">
        <f ca="1">IFERROR(__xludf.DUMMYFUNCTION("""COMPUTED_VALUE"""),"استبدال بورد بيت الاعلام الجديد وإعادة ربط جميع كيبلات المداخل والمخارج")</f>
        <v>استبدال بورد بيت الاعلام الجديد وإعادة ربط جميع كيبلات المداخل والمخارج</v>
      </c>
      <c r="I323" s="23"/>
      <c r="J323" s="23" t="s">
        <v>89</v>
      </c>
      <c r="K323" s="23" t="s">
        <v>13</v>
      </c>
      <c r="L323" s="32">
        <v>46202.331385277779</v>
      </c>
      <c r="M323" s="23"/>
      <c r="N323" s="24"/>
    </row>
    <row r="324" spans="1:14" ht="75" customHeight="1" thickTop="1" thickBot="1">
      <c r="A324" s="23">
        <v>322</v>
      </c>
      <c r="B324" s="32">
        <f ca="1">IFERROR(__xludf.DUMMYFUNCTION("""COMPUTED_VALUE"""),46202.3309626273)</f>
        <v>46202.330962627297</v>
      </c>
      <c r="C324" s="33" t="str">
        <f ca="1">IFERROR(__xludf.DUMMYFUNCTION("""COMPUTED_VALUE"""),"المعملجي")</f>
        <v>المعملجي</v>
      </c>
      <c r="D324" s="33" t="str">
        <f ca="1">IFERROR(__xludf.DUMMYFUNCTION("""COMPUTED_VALUE"""),"وحدة الكهرباء")</f>
        <v>وحدة الكهرباء</v>
      </c>
      <c r="E324" s="23" t="str">
        <f ca="1">IFERROR(__xludf.DUMMYFUNCTION("""COMPUTED_VALUE"""),"قسم المشاريع الهندسية")</f>
        <v>قسم المشاريع الهندسية</v>
      </c>
      <c r="F324" s="23" t="str">
        <f ca="1">IFERROR(__xludf.DUMMYFUNCTION("""COMPUTED_VALUE"""),"A- المركز الثقافي")</f>
        <v>A- المركز الثقافي</v>
      </c>
      <c r="G324" s="23" t="str">
        <f ca="1">IFERROR(__xludf.DUMMYFUNCTION("""COMPUTED_VALUE"""),"الطابق الرابع, الكاميرات")</f>
        <v>الطابق الرابع, الكاميرات</v>
      </c>
      <c r="H324" s="23" t="str">
        <f ca="1">IFERROR(__xludf.DUMMYFUNCTION("""COMPUTED_VALUE"""),"فحص UPS شعبة الكاميرات_والبالغ عددهن 2")</f>
        <v>فحص UPS شعبة الكاميرات_والبالغ عددهن 2</v>
      </c>
      <c r="I324" s="23"/>
      <c r="J324" s="23" t="s">
        <v>89</v>
      </c>
      <c r="K324" s="23" t="s">
        <v>13</v>
      </c>
      <c r="L324" s="32">
        <v>46202.331398379625</v>
      </c>
      <c r="M324" s="23"/>
      <c r="N324" s="24"/>
    </row>
    <row r="325" spans="1:14" ht="75" customHeight="1" thickTop="1" thickBot="1">
      <c r="A325" s="25">
        <v>323</v>
      </c>
      <c r="B325" s="32">
        <f ca="1">IFERROR(__xludf.DUMMYFUNCTION("""COMPUTED_VALUE"""),46203.6017398263)</f>
        <v>46203.601739826299</v>
      </c>
      <c r="C325" s="33" t="str">
        <f ca="1">IFERROR(__xludf.DUMMYFUNCTION("""COMPUTED_VALUE"""),"المعملجي")</f>
        <v>المعملجي</v>
      </c>
      <c r="D325" s="33" t="str">
        <f ca="1">IFERROR(__xludf.DUMMYFUNCTION("""COMPUTED_VALUE"""),"وحدة الكهرباء")</f>
        <v>وحدة الكهرباء</v>
      </c>
      <c r="E325" s="23" t="str">
        <f ca="1">IFERROR(__xludf.DUMMYFUNCTION("""COMPUTED_VALUE"""),"قسم المشاريع الهندسية")</f>
        <v>قسم المشاريع الهندسية</v>
      </c>
      <c r="F325" s="23" t="str">
        <f ca="1">IFERROR(__xludf.DUMMYFUNCTION("""COMPUTED_VALUE"""),"J- جامعة العميد (السابعة)")</f>
        <v>J- جامعة العميد (السابعة)</v>
      </c>
      <c r="G325" s="23" t="str">
        <f ca="1">IFERROR(__xludf.DUMMYFUNCTION("""COMPUTED_VALUE"""),"الطابق الارضي, ZONE B")</f>
        <v>الطابق الارضي, ZONE B</v>
      </c>
      <c r="H325" s="23" t="str">
        <f ca="1">IFERROR(__xludf.DUMMYFUNCTION("""COMPUTED_VALUE"""),"إعادة تسمية كل وحدة تبريد داخلية بغرف الكهرباء بأسم الغرفة التي فيها")</f>
        <v>إعادة تسمية كل وحدة تبريد داخلية بغرف الكهرباء بأسم الغرفة التي فيها</v>
      </c>
      <c r="I325" s="23"/>
      <c r="J325" s="23" t="s">
        <v>89</v>
      </c>
      <c r="K325" s="23" t="s">
        <v>13</v>
      </c>
      <c r="L325" s="32">
        <v>46203.630558611112</v>
      </c>
      <c r="M325" s="23"/>
      <c r="N325" s="24"/>
    </row>
    <row r="326" spans="1:14" ht="75" customHeight="1" thickTop="1" thickBot="1">
      <c r="A326" s="23">
        <v>324</v>
      </c>
      <c r="B326" s="32">
        <f ca="1">IFERROR(__xludf.DUMMYFUNCTION("""COMPUTED_VALUE"""),46203.6021217245)</f>
        <v>46203.6021217245</v>
      </c>
      <c r="C326" s="33" t="str">
        <f ca="1">IFERROR(__xludf.DUMMYFUNCTION("""COMPUTED_VALUE"""),"المعملجي")</f>
        <v>المعملجي</v>
      </c>
      <c r="D326" s="33" t="str">
        <f ca="1">IFERROR(__xludf.DUMMYFUNCTION("""COMPUTED_VALUE"""),"وحدة الكهرباء")</f>
        <v>وحدة الكهرباء</v>
      </c>
      <c r="E326" s="23" t="str">
        <f ca="1">IFERROR(__xludf.DUMMYFUNCTION("""COMPUTED_VALUE"""),"قسم المشاريع الهندسية")</f>
        <v>قسم المشاريع الهندسية</v>
      </c>
      <c r="F326" s="23" t="str">
        <f ca="1">IFERROR(__xludf.DUMMYFUNCTION("""COMPUTED_VALUE"""),"J- جامعة العميد (السابعة)")</f>
        <v>J- جامعة العميد (السابعة)</v>
      </c>
      <c r="G326" s="23"/>
      <c r="H326" s="23" t="str">
        <f ca="1">IFERROR(__xludf.DUMMYFUNCTION("""COMPUTED_VALUE""")," إضافة قسم جديد باسم ""غرف الكهرباء""  وإضافة جميع الوحدات فيها")</f>
        <v xml:space="preserve"> إضافة قسم جديد باسم "غرف الكهرباء"  وإضافة جميع الوحدات فيها</v>
      </c>
      <c r="I326" s="23"/>
      <c r="J326" s="23" t="s">
        <v>89</v>
      </c>
      <c r="K326" s="23" t="s">
        <v>13</v>
      </c>
      <c r="L326" s="32">
        <v>46203.630563587962</v>
      </c>
      <c r="M326" s="23"/>
      <c r="N326" s="24"/>
    </row>
    <row r="327" spans="1:14" ht="75" customHeight="1" thickTop="1" thickBot="1">
      <c r="A327" s="25">
        <v>325</v>
      </c>
      <c r="B327" s="32">
        <f ca="1">IFERROR(__xludf.DUMMYFUNCTION("""COMPUTED_VALUE"""),46203.6118444444)</f>
        <v>46203.6118444444</v>
      </c>
      <c r="C327" s="33" t="str">
        <f ca="1">IFERROR(__xludf.DUMMYFUNCTION("""COMPUTED_VALUE"""),"المعملجي")</f>
        <v>المعملجي</v>
      </c>
      <c r="D327" s="33" t="str">
        <f ca="1">IFERROR(__xludf.DUMMYFUNCTION("""COMPUTED_VALUE"""),"وحدة الكهرباء")</f>
        <v>وحدة الكهرباء</v>
      </c>
      <c r="E327" s="23" t="str">
        <f ca="1">IFERROR(__xludf.DUMMYFUNCTION("""COMPUTED_VALUE"""),"قسم المشاريع الهندسية")</f>
        <v>قسم المشاريع الهندسية</v>
      </c>
      <c r="F327" s="23" t="str">
        <f ca="1">IFERROR(__xludf.DUMMYFUNCTION("""COMPUTED_VALUE"""),"B- روضة القمر")</f>
        <v>B- روضة القمر</v>
      </c>
      <c r="G327" s="23"/>
      <c r="H327" s="23" t="str">
        <f ca="1">IFERROR(__xludf.DUMMYFUNCTION("""COMPUTED_VALUE"""),"صيانة سبوت لايت عدد 2 واعادة تثبيت بلك سيوج عدد 2")</f>
        <v>صيانة سبوت لايت عدد 2 واعادة تثبيت بلك سيوج عدد 2</v>
      </c>
      <c r="I327" s="23"/>
      <c r="J327" s="23" t="s">
        <v>89</v>
      </c>
      <c r="K327" s="23" t="s">
        <v>13</v>
      </c>
      <c r="L327" s="32">
        <v>46203.630564004634</v>
      </c>
      <c r="M327" s="23"/>
      <c r="N327" s="24"/>
    </row>
    <row r="328" spans="1:14" ht="75" customHeight="1" thickTop="1" thickBot="1">
      <c r="A328" s="23">
        <v>326</v>
      </c>
      <c r="B328" s="32">
        <f ca="1">IFERROR(__xludf.DUMMYFUNCTION("""COMPUTED_VALUE"""),46203.6124647337)</f>
        <v>46203.612464733698</v>
      </c>
      <c r="C328" s="33" t="str">
        <f ca="1">IFERROR(__xludf.DUMMYFUNCTION("""COMPUTED_VALUE"""),"المعملجي")</f>
        <v>المعملجي</v>
      </c>
      <c r="D328" s="33" t="str">
        <f ca="1">IFERROR(__xludf.DUMMYFUNCTION("""COMPUTED_VALUE"""),"وحدة الكهرباء")</f>
        <v>وحدة الكهرباء</v>
      </c>
      <c r="E328" s="23" t="str">
        <f ca="1">IFERROR(__xludf.DUMMYFUNCTION("""COMPUTED_VALUE"""),"قسم المشاريع الهندسية")</f>
        <v>قسم المشاريع الهندسية</v>
      </c>
      <c r="F328" s="23" t="str">
        <f ca="1">IFERROR(__xludf.DUMMYFUNCTION("""COMPUTED_VALUE"""),"B- روضة القمر")</f>
        <v>B- روضة القمر</v>
      </c>
      <c r="G328" s="23"/>
      <c r="H328" s="23" t="str">
        <f ca="1">IFERROR(__xludf.DUMMYFUNCTION("""COMPUTED_VALUE"""),"استبدال ماشة وتثبيت بلك سويج ثلاثي
")</f>
        <v xml:space="preserve">استبدال ماشة وتثبيت بلك سويج ثلاثي
</v>
      </c>
      <c r="I328" s="23"/>
      <c r="J328" s="23" t="s">
        <v>89</v>
      </c>
      <c r="K328" s="23" t="s">
        <v>13</v>
      </c>
      <c r="L328" s="32">
        <v>46203.63058081019</v>
      </c>
      <c r="M328" s="23"/>
      <c r="N328" s="24"/>
    </row>
    <row r="329" spans="1:14" ht="75" customHeight="1" thickTop="1" thickBot="1">
      <c r="A329" s="25">
        <v>327</v>
      </c>
      <c r="B329" s="32">
        <f ca="1">IFERROR(__xludf.DUMMYFUNCTION("""COMPUTED_VALUE"""),46203.6250905439)</f>
        <v>46203.625090543901</v>
      </c>
      <c r="C329" s="33" t="str">
        <f ca="1">IFERROR(__xludf.DUMMYFUNCTION("""COMPUTED_VALUE"""),"المعملجي")</f>
        <v>المعملجي</v>
      </c>
      <c r="D329" s="33" t="str">
        <f ca="1">IFERROR(__xludf.DUMMYFUNCTION("""COMPUTED_VALUE"""),"وحدة الكهرباء")</f>
        <v>وحدة الكهرباء</v>
      </c>
      <c r="E329" s="23" t="str">
        <f ca="1">IFERROR(__xludf.DUMMYFUNCTION("""COMPUTED_VALUE"""),"قسم المشاريع الهندسية")</f>
        <v>قسم المشاريع الهندسية</v>
      </c>
      <c r="F32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29" s="23"/>
      <c r="H329" s="23" t="str">
        <f ca="1">IFERROR(__xludf.DUMMYFUNCTION("""COMPUTED_VALUE"""),"استبدال محولة سبوت لايت عدد 1 ")</f>
        <v xml:space="preserve">استبدال محولة سبوت لايت عدد 1 </v>
      </c>
      <c r="I329" s="23"/>
      <c r="J329" s="23" t="s">
        <v>89</v>
      </c>
      <c r="K329" s="23" t="s">
        <v>13</v>
      </c>
      <c r="L329" s="32">
        <v>46203.630581782403</v>
      </c>
      <c r="M329" s="23"/>
      <c r="N329" s="24"/>
    </row>
    <row r="330" spans="1:14" ht="75" customHeight="1" thickTop="1" thickBot="1">
      <c r="A330" s="23">
        <v>328</v>
      </c>
      <c r="B330" s="32">
        <f ca="1">IFERROR(__xludf.DUMMYFUNCTION("""COMPUTED_VALUE"""),46203.6255305902)</f>
        <v>46203.625530590201</v>
      </c>
      <c r="C330" s="33" t="str">
        <f ca="1">IFERROR(__xludf.DUMMYFUNCTION("""COMPUTED_VALUE"""),"المعملجي")</f>
        <v>المعملجي</v>
      </c>
      <c r="D330" s="33" t="str">
        <f ca="1">IFERROR(__xludf.DUMMYFUNCTION("""COMPUTED_VALUE"""),"وحدة الكهرباء")</f>
        <v>وحدة الكهرباء</v>
      </c>
      <c r="E330" s="23" t="str">
        <f ca="1">IFERROR(__xludf.DUMMYFUNCTION("""COMPUTED_VALUE"""),"قسم المشاريع الهندسية")</f>
        <v>قسم المشاريع الهندسية</v>
      </c>
      <c r="F33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30" s="23"/>
      <c r="H330" s="23" t="str">
        <f ca="1">IFERROR(__xludf.DUMMYFUNCTION("""COMPUTED_VALUE"""),"استبدال ماخذ قدرة عدد 2 ")</f>
        <v xml:space="preserve">استبدال ماخذ قدرة عدد 2 </v>
      </c>
      <c r="I330" s="23"/>
      <c r="J330" s="23" t="s">
        <v>89</v>
      </c>
      <c r="K330" s="23" t="s">
        <v>13</v>
      </c>
      <c r="L330" s="32">
        <v>46203.63059479167</v>
      </c>
      <c r="M330" s="23"/>
      <c r="N330" s="24"/>
    </row>
    <row r="331" spans="1:14" ht="75" customHeight="1" thickTop="1" thickBot="1">
      <c r="A331" s="25">
        <v>329</v>
      </c>
      <c r="B331" s="32">
        <f ca="1">IFERROR(__xludf.DUMMYFUNCTION("""COMPUTED_VALUE"""),46203.6262084259)</f>
        <v>46203.6262084259</v>
      </c>
      <c r="C331" s="33" t="str">
        <f ca="1">IFERROR(__xludf.DUMMYFUNCTION("""COMPUTED_VALUE"""),"المعملجي")</f>
        <v>المعملجي</v>
      </c>
      <c r="D331" s="33" t="str">
        <f ca="1">IFERROR(__xludf.DUMMYFUNCTION("""COMPUTED_VALUE"""),"وحدة الكهرباء")</f>
        <v>وحدة الكهرباء</v>
      </c>
      <c r="E331" s="23" t="str">
        <f ca="1">IFERROR(__xludf.DUMMYFUNCTION("""COMPUTED_VALUE"""),"قسم المشاريع الهندسية")</f>
        <v>قسم المشاريع الهندسية</v>
      </c>
      <c r="F331" s="23" t="str">
        <f ca="1">IFERROR(__xludf.DUMMYFUNCTION("""COMPUTED_VALUE"""),"A- المركز الثقافي")</f>
        <v>A- المركز الثقافي</v>
      </c>
      <c r="G331" s="23" t="str">
        <f ca="1">IFERROR(__xludf.DUMMYFUNCTION("""COMPUTED_VALUE"""),"الطابق الرابع, الكاميرات")</f>
        <v>الطابق الرابع, الكاميرات</v>
      </c>
      <c r="H331" s="23" t="str">
        <f ca="1">IFERROR(__xludf.DUMMYFUNCTION("""COMPUTED_VALUE""")," تسمية بقية الماوسات عدد (8) لسهولة تميزها")</f>
        <v xml:space="preserve"> تسمية بقية الماوسات عدد (8) لسهولة تميزها</v>
      </c>
      <c r="I331" s="23"/>
      <c r="J331" s="23" t="s">
        <v>89</v>
      </c>
      <c r="K331" s="23" t="s">
        <v>13</v>
      </c>
      <c r="L331" s="32">
        <v>46203.630597071759</v>
      </c>
      <c r="M331" s="23"/>
      <c r="N331" s="24"/>
    </row>
    <row r="332" spans="1:14" ht="75" customHeight="1" thickTop="1" thickBot="1">
      <c r="A332" s="23">
        <v>330</v>
      </c>
      <c r="B332" s="32">
        <f ca="1">IFERROR(__xludf.DUMMYFUNCTION("""COMPUTED_VALUE"""),46203.6285526736)</f>
        <v>46203.628552673603</v>
      </c>
      <c r="C332" s="33" t="str">
        <f ca="1">IFERROR(__xludf.DUMMYFUNCTION("""COMPUTED_VALUE"""),"المعملجي")</f>
        <v>المعملجي</v>
      </c>
      <c r="D332" s="33" t="str">
        <f ca="1">IFERROR(__xludf.DUMMYFUNCTION("""COMPUTED_VALUE"""),"وحدة التبريد")</f>
        <v>وحدة التبريد</v>
      </c>
      <c r="E332" s="23" t="str">
        <f ca="1">IFERROR(__xludf.DUMMYFUNCTION("""COMPUTED_VALUE"""),"قسم المشاريع الهندسية")</f>
        <v>قسم المشاريع الهندسية</v>
      </c>
      <c r="F332" s="23" t="str">
        <f ca="1">IFERROR(__xludf.DUMMYFUNCTION("""COMPUTED_VALUE"""),"G- روضة الجود")</f>
        <v>G- روضة الجود</v>
      </c>
      <c r="G332" s="23"/>
      <c r="H332" s="23" t="str">
        <f ca="1">IFERROR(__xludf.DUMMYFUNCTION("""COMPUTED_VALUE"""),"ربط سيارت المبردات وسيار إضافي متكون من 15 بلك سويج لتشغيل انارة البالونات")</f>
        <v>ربط سيارت المبردات وسيار إضافي متكون من 15 بلك سويج لتشغيل انارة البالونات</v>
      </c>
      <c r="I332" s="23"/>
      <c r="J332" s="23" t="s">
        <v>89</v>
      </c>
      <c r="K332" s="23" t="s">
        <v>13</v>
      </c>
      <c r="L332" s="32">
        <v>46203.630600868055</v>
      </c>
      <c r="M332" s="23"/>
      <c r="N332" s="24"/>
    </row>
    <row r="333" spans="1:14" ht="75" customHeight="1" thickTop="1" thickBot="1">
      <c r="A333" s="25">
        <v>331</v>
      </c>
      <c r="B333" s="32">
        <f ca="1">IFERROR(__xludf.DUMMYFUNCTION("""COMPUTED_VALUE"""),46203.6292127777)</f>
        <v>46203.629212777698</v>
      </c>
      <c r="C333" s="33" t="str">
        <f ca="1">IFERROR(__xludf.DUMMYFUNCTION("""COMPUTED_VALUE"""),"المعملجي")</f>
        <v>المعملجي</v>
      </c>
      <c r="D333" s="33" t="str">
        <f ca="1">IFERROR(__xludf.DUMMYFUNCTION("""COMPUTED_VALUE"""),"وحدة الكهرباء")</f>
        <v>وحدة الكهرباء</v>
      </c>
      <c r="E333" s="23" t="str">
        <f ca="1">IFERROR(__xludf.DUMMYFUNCTION("""COMPUTED_VALUE"""),"قسم المشاريع الهندسية")</f>
        <v>قسم المشاريع الهندسية</v>
      </c>
      <c r="F333" s="23" t="str">
        <f ca="1">IFERROR(__xludf.DUMMYFUNCTION("""COMPUTED_VALUE"""),"B- روضة القمر")</f>
        <v>B- روضة القمر</v>
      </c>
      <c r="G333" s="23"/>
      <c r="H333" s="23" t="str">
        <f ca="1">IFERROR(__xludf.DUMMYFUNCTION("""COMPUTED_VALUE"""),"ربط سيار اضافي متكون من 12 بلك سويج لتشغيل انارة البالونات")</f>
        <v>ربط سيار اضافي متكون من 12 بلك سويج لتشغيل انارة البالونات</v>
      </c>
      <c r="I333" s="23"/>
      <c r="J333" s="23" t="s">
        <v>89</v>
      </c>
      <c r="K333" s="23" t="s">
        <v>13</v>
      </c>
      <c r="L333" s="32">
        <v>46203.630614201393</v>
      </c>
      <c r="M333" s="23"/>
      <c r="N333" s="24"/>
    </row>
    <row r="334" spans="1:14" ht="75" customHeight="1" thickTop="1" thickBot="1">
      <c r="A334" s="23">
        <v>332</v>
      </c>
      <c r="B334" s="32">
        <f ca="1">IFERROR(__xludf.DUMMYFUNCTION("""COMPUTED_VALUE"""),46203.6331047685)</f>
        <v>46203.633104768502</v>
      </c>
      <c r="C334" s="33" t="str">
        <f ca="1">IFERROR(__xludf.DUMMYFUNCTION("""COMPUTED_VALUE"""),"المعملجي")</f>
        <v>المعملجي</v>
      </c>
      <c r="D334" s="33" t="str">
        <f ca="1">IFERROR(__xludf.DUMMYFUNCTION("""COMPUTED_VALUE"""),"وحدة الكهرباء")</f>
        <v>وحدة الكهرباء</v>
      </c>
      <c r="E334" s="23" t="str">
        <f ca="1">IFERROR(__xludf.DUMMYFUNCTION("""COMPUTED_VALUE"""),"قسم المشاريع الهندسية")</f>
        <v>قسم المشاريع الهندسية</v>
      </c>
      <c r="F334" s="23" t="str">
        <f ca="1">IFERROR(__xludf.DUMMYFUNCTION("""COMPUTED_VALUE"""),"شعبة الخدمات")</f>
        <v>شعبة الخدمات</v>
      </c>
      <c r="G334" s="23"/>
      <c r="H334" s="23" t="str">
        <f ca="1">IFERROR(__xludf.DUMMYFUNCTION("""COMPUTED_VALUE"""),"عمل سيار كهرباء بطول 5 متر")</f>
        <v>عمل سيار كهرباء بطول 5 متر</v>
      </c>
      <c r="I334" s="23"/>
      <c r="J334" s="23" t="s">
        <v>89</v>
      </c>
      <c r="K334" s="23" t="s">
        <v>13</v>
      </c>
      <c r="L334" s="32">
        <v>46203.65527447917</v>
      </c>
      <c r="M334" s="23"/>
      <c r="N334" s="24"/>
    </row>
    <row r="335" spans="1:14" ht="75" customHeight="1" thickTop="1" thickBot="1">
      <c r="A335" s="25">
        <v>333</v>
      </c>
      <c r="B335" s="32">
        <f ca="1">IFERROR(__xludf.DUMMYFUNCTION("""COMPUTED_VALUE"""),46203.634224699)</f>
        <v>46203.634224699003</v>
      </c>
      <c r="C335" s="33" t="str">
        <f ca="1">IFERROR(__xludf.DUMMYFUNCTION("""COMPUTED_VALUE"""),"المعملجي")</f>
        <v>المعملجي</v>
      </c>
      <c r="D335" s="33" t="str">
        <f ca="1">IFERROR(__xludf.DUMMYFUNCTION("""COMPUTED_VALUE"""),"وحدة الكهرباء")</f>
        <v>وحدة الكهرباء</v>
      </c>
      <c r="E335" s="23" t="str">
        <f ca="1">IFERROR(__xludf.DUMMYFUNCTION("""COMPUTED_VALUE"""),"قسم المشاريع الهندسية")</f>
        <v>قسم المشاريع الهندسية</v>
      </c>
      <c r="F335" s="23" t="str">
        <f ca="1">IFERROR(__xludf.DUMMYFUNCTION("""COMPUTED_VALUE"""),"F-  ابتدائية جود العميد للبنات (الرابعة)")</f>
        <v>F-  ابتدائية جود العميد للبنات (الرابعة)</v>
      </c>
      <c r="G335" s="23" t="str">
        <f ca="1">IFERROR(__xludf.DUMMYFUNCTION("""COMPUTED_VALUE"""),"الطابق الارضي, ZONE B")</f>
        <v>الطابق الارضي, ZONE B</v>
      </c>
      <c r="H335" s="23" t="str">
        <f ca="1">IFERROR(__xludf.DUMMYFUNCTION("""COMPUTED_VALUE"""),"تسليك كيبل بطول 40 متر لتغية سيارات حرارية ")</f>
        <v xml:space="preserve">تسليك كيبل بطول 40 متر لتغية سيارات حرارية </v>
      </c>
      <c r="I335" s="23"/>
      <c r="J335" s="23" t="s">
        <v>89</v>
      </c>
      <c r="K335" s="23" t="s">
        <v>13</v>
      </c>
      <c r="L335" s="32">
        <v>46203.655287766203</v>
      </c>
      <c r="M335" s="23"/>
      <c r="N335" s="24"/>
    </row>
    <row r="336" spans="1:14" ht="75" customHeight="1" thickTop="1" thickBot="1">
      <c r="A336" s="23">
        <v>334</v>
      </c>
      <c r="B336" s="32">
        <f ca="1">IFERROR(__xludf.DUMMYFUNCTION("""COMPUTED_VALUE"""),46203.6347844907)</f>
        <v>46203.6347844907</v>
      </c>
      <c r="C336" s="33" t="str">
        <f ca="1">IFERROR(__xludf.DUMMYFUNCTION("""COMPUTED_VALUE"""),"المعملجي")</f>
        <v>المعملجي</v>
      </c>
      <c r="D336" s="33" t="str">
        <f ca="1">IFERROR(__xludf.DUMMYFUNCTION("""COMPUTED_VALUE"""),"وحدة الكهرباء")</f>
        <v>وحدة الكهرباء</v>
      </c>
      <c r="E336" s="23" t="str">
        <f ca="1">IFERROR(__xludf.DUMMYFUNCTION("""COMPUTED_VALUE"""),"قسم المشاريع الهندسية")</f>
        <v>قسم المشاريع الهندسية</v>
      </c>
      <c r="F33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336" s="23" t="str">
        <f ca="1">IFERROR(__xludf.DUMMYFUNCTION("""COMPUTED_VALUE"""),"الطابق الارضي, ZONE A")</f>
        <v>الطابق الارضي, ZONE A</v>
      </c>
      <c r="H336" s="23" t="str">
        <f ca="1">IFERROR(__xludf.DUMMYFUNCTION("""COMPUTED_VALUE"""),"فتح احد القواطع الاحتياطية لاستغلالها في مكان اخر")</f>
        <v>فتح احد القواطع الاحتياطية لاستغلالها في مكان اخر</v>
      </c>
      <c r="I336" s="23"/>
      <c r="J336" s="23" t="s">
        <v>89</v>
      </c>
      <c r="K336" s="23" t="s">
        <v>13</v>
      </c>
      <c r="L336" s="32">
        <v>46203.655287719906</v>
      </c>
      <c r="M336" s="23"/>
      <c r="N336" s="24"/>
    </row>
    <row r="337" spans="1:14" ht="75" customHeight="1" thickTop="1" thickBot="1">
      <c r="A337" s="25">
        <v>335</v>
      </c>
      <c r="B337" s="32">
        <f ca="1">IFERROR(__xludf.DUMMYFUNCTION("""COMPUTED_VALUE"""),46203.6351678356)</f>
        <v>46203.6351678356</v>
      </c>
      <c r="C337" s="33" t="str">
        <f ca="1">IFERROR(__xludf.DUMMYFUNCTION("""COMPUTED_VALUE"""),"المعملجي")</f>
        <v>المعملجي</v>
      </c>
      <c r="D337" s="33" t="str">
        <f ca="1">IFERROR(__xludf.DUMMYFUNCTION("""COMPUTED_VALUE"""),"وحدة الكهرباء")</f>
        <v>وحدة الكهرباء</v>
      </c>
      <c r="E337" s="23" t="str">
        <f ca="1">IFERROR(__xludf.DUMMYFUNCTION("""COMPUTED_VALUE"""),"قسم المشاريع الهندسية")</f>
        <v>قسم المشاريع الهندسية</v>
      </c>
      <c r="F337" s="23" t="str">
        <f ca="1">IFERROR(__xludf.DUMMYFUNCTION("""COMPUTED_VALUE"""),"بيت الاعلام")</f>
        <v>بيت الاعلام</v>
      </c>
      <c r="G337" s="23"/>
      <c r="H337" s="23" t="str">
        <f ca="1">IFERROR(__xludf.DUMMYFUNCTION("""COMPUTED_VALUE"""),"استبدال قاطع 100 امبير تالف")</f>
        <v>استبدال قاطع 100 امبير تالف</v>
      </c>
      <c r="I337" s="23"/>
      <c r="J337" s="23" t="s">
        <v>89</v>
      </c>
      <c r="K337" s="23" t="s">
        <v>13</v>
      </c>
      <c r="L337" s="32">
        <v>46203.655291041665</v>
      </c>
      <c r="M337" s="23"/>
      <c r="N337" s="24"/>
    </row>
    <row r="338" spans="1:14" ht="75" customHeight="1" thickTop="1" thickBot="1">
      <c r="A338" s="23">
        <v>336</v>
      </c>
      <c r="B338" s="32">
        <f ca="1">IFERROR(__xludf.DUMMYFUNCTION("""COMPUTED_VALUE"""),46203.6355355092)</f>
        <v>46203.635535509202</v>
      </c>
      <c r="C338" s="33" t="str">
        <f ca="1">IFERROR(__xludf.DUMMYFUNCTION("""COMPUTED_VALUE"""),"المعملجي")</f>
        <v>المعملجي</v>
      </c>
      <c r="D338" s="33" t="str">
        <f ca="1">IFERROR(__xludf.DUMMYFUNCTION("""COMPUTED_VALUE"""),"وحدة الكهرباء")</f>
        <v>وحدة الكهرباء</v>
      </c>
      <c r="E338" s="23" t="str">
        <f ca="1">IFERROR(__xludf.DUMMYFUNCTION("""COMPUTED_VALUE"""),"قسم المشاريع الهندسية")</f>
        <v>قسم المشاريع الهندسية</v>
      </c>
      <c r="F338" s="23" t="str">
        <f ca="1">IFERROR(__xludf.DUMMYFUNCTION("""COMPUTED_VALUE"""),"بيت الاعلام")</f>
        <v>بيت الاعلام</v>
      </c>
      <c r="G338" s="23"/>
      <c r="H338" s="23" t="str">
        <f ca="1">IFERROR(__xludf.DUMMYFUNCTION("""COMPUTED_VALUE"""),"اعادة توزيع الاحمال الكهربائية بالتساوي ")</f>
        <v xml:space="preserve">اعادة توزيع الاحمال الكهربائية بالتساوي </v>
      </c>
      <c r="I338" s="23"/>
      <c r="J338" s="23" t="s">
        <v>89</v>
      </c>
      <c r="K338" s="23" t="s">
        <v>13</v>
      </c>
      <c r="L338" s="32">
        <v>46203.655299803242</v>
      </c>
      <c r="M338" s="23"/>
      <c r="N338" s="24"/>
    </row>
    <row r="339" spans="1:14" ht="75" customHeight="1" thickTop="1" thickBot="1">
      <c r="A339" s="25">
        <v>337</v>
      </c>
      <c r="B339" s="32">
        <f ca="1">IFERROR(__xludf.DUMMYFUNCTION("""COMPUTED_VALUE"""),46203.6360692129)</f>
        <v>46203.636069212902</v>
      </c>
      <c r="C339" s="33" t="str">
        <f ca="1">IFERROR(__xludf.DUMMYFUNCTION("""COMPUTED_VALUE"""),"المعملجي")</f>
        <v>المعملجي</v>
      </c>
      <c r="D339" s="33" t="str">
        <f ca="1">IFERROR(__xludf.DUMMYFUNCTION("""COMPUTED_VALUE"""),"وحدة الكهرباء")</f>
        <v>وحدة الكهرباء</v>
      </c>
      <c r="E339" s="23" t="str">
        <f ca="1">IFERROR(__xludf.DUMMYFUNCTION("""COMPUTED_VALUE"""),"قسم المشاريع الهندسية")</f>
        <v>قسم المشاريع الهندسية</v>
      </c>
      <c r="F339" s="23" t="str">
        <f ca="1">IFERROR(__xludf.DUMMYFUNCTION("""COMPUTED_VALUE"""),"A- المركز الثقافي")</f>
        <v>A- المركز الثقافي</v>
      </c>
      <c r="G339" s="23" t="str">
        <f ca="1">IFERROR(__xludf.DUMMYFUNCTION("""COMPUTED_VALUE"""),"الطابق الاول")</f>
        <v>الطابق الاول</v>
      </c>
      <c r="H339" s="23" t="str">
        <f ca="1">IFERROR(__xludf.DUMMYFUNCTION("""COMPUTED_VALUE"""),"فحص كفاءة بطاريات ups بعد اطفاء الكهرباء عنه")</f>
        <v>فحص كفاءة بطاريات ups بعد اطفاء الكهرباء عنه</v>
      </c>
      <c r="I339" s="23"/>
      <c r="J339" s="23" t="s">
        <v>89</v>
      </c>
      <c r="K339" s="23" t="s">
        <v>13</v>
      </c>
      <c r="L339" s="32">
        <v>46203.655310925926</v>
      </c>
      <c r="M339" s="23"/>
      <c r="N339" s="24"/>
    </row>
    <row r="340" spans="1:14" ht="75" customHeight="1" thickTop="1" thickBot="1">
      <c r="A340" s="23">
        <v>338</v>
      </c>
      <c r="B340" s="32">
        <f ca="1">IFERROR(__xludf.DUMMYFUNCTION("""COMPUTED_VALUE"""),46203.636816875)</f>
        <v>46203.636816874998</v>
      </c>
      <c r="C340" s="33" t="str">
        <f ca="1">IFERROR(__xludf.DUMMYFUNCTION("""COMPUTED_VALUE"""),"المعملجي")</f>
        <v>المعملجي</v>
      </c>
      <c r="D340" s="33" t="str">
        <f ca="1">IFERROR(__xludf.DUMMYFUNCTION("""COMPUTED_VALUE"""),"وحدة الكهرباء")</f>
        <v>وحدة الكهرباء</v>
      </c>
      <c r="E340" s="23" t="str">
        <f ca="1">IFERROR(__xludf.DUMMYFUNCTION("""COMPUTED_VALUE"""),"قسم المشاريع الهندسية")</f>
        <v>قسم المشاريع الهندسية</v>
      </c>
      <c r="F340" s="23" t="str">
        <f ca="1">IFERROR(__xludf.DUMMYFUNCTION("""COMPUTED_VALUE"""),"متفرقة")</f>
        <v>متفرقة</v>
      </c>
      <c r="G340" s="23"/>
      <c r="H340" s="23" t="str">
        <f ca="1">IFERROR(__xludf.DUMMYFUNCTION("""COMPUTED_VALUE"""),"صيانة كرت عدد 2 خاص بالتبريد المركزي vrf")</f>
        <v>صيانة كرت عدد 2 خاص بالتبريد المركزي vrf</v>
      </c>
      <c r="I340" s="23"/>
      <c r="J340" s="23" t="s">
        <v>89</v>
      </c>
      <c r="K340" s="23" t="s">
        <v>13</v>
      </c>
      <c r="L340" s="32">
        <v>46203.655314224539</v>
      </c>
      <c r="M340" s="23"/>
      <c r="N340" s="24"/>
    </row>
    <row r="341" spans="1:14" ht="75" customHeight="1" thickTop="1" thickBot="1">
      <c r="A341" s="25">
        <v>339</v>
      </c>
      <c r="B341" s="32">
        <f ca="1">IFERROR(__xludf.DUMMYFUNCTION("""COMPUTED_VALUE"""),46203.6388000578)</f>
        <v>46203.638800057801</v>
      </c>
      <c r="C341" s="33" t="str">
        <f ca="1">IFERROR(__xludf.DUMMYFUNCTION("""COMPUTED_VALUE"""),"المعملجي")</f>
        <v>المعملجي</v>
      </c>
      <c r="D341" s="33" t="str">
        <f ca="1">IFERROR(__xludf.DUMMYFUNCTION("""COMPUTED_VALUE"""),"وحدة الكهرباء")</f>
        <v>وحدة الكهرباء</v>
      </c>
      <c r="E341" s="23" t="str">
        <f ca="1">IFERROR(__xludf.DUMMYFUNCTION("""COMPUTED_VALUE"""),"قسم المشاريع الهندسية")</f>
        <v>قسم المشاريع الهندسية</v>
      </c>
      <c r="F341" s="23" t="str">
        <f ca="1">IFERROR(__xludf.DUMMYFUNCTION("""COMPUTED_VALUE"""),"G- روضة الجود")</f>
        <v>G- روضة الجود</v>
      </c>
      <c r="G341" s="23" t="str">
        <f ca="1">IFERROR(__xludf.DUMMYFUNCTION("""COMPUTED_VALUE"""),"الطاقة الشمسية")</f>
        <v>الطاقة الشمسية</v>
      </c>
      <c r="H341" s="23" t="str">
        <f ca="1">IFERROR(__xludf.DUMMYFUNCTION("""COMPUTED_VALUE"""),"توزيع الاحمال بين الانفيرتر والبطارية بوضع قاطع  بالوسط")</f>
        <v>توزيع الاحمال بين الانفيرتر والبطارية بوضع قاطع  بالوسط</v>
      </c>
      <c r="I341" s="23"/>
      <c r="J341" s="23" t="s">
        <v>89</v>
      </c>
      <c r="K341" s="23" t="s">
        <v>13</v>
      </c>
      <c r="L341" s="32">
        <v>46203.655317731478</v>
      </c>
      <c r="M341" s="23"/>
      <c r="N341" s="24"/>
    </row>
    <row r="342" spans="1:14" ht="75" customHeight="1" thickTop="1" thickBot="1">
      <c r="A342" s="23">
        <v>340</v>
      </c>
      <c r="B342" s="32">
        <f ca="1">IFERROR(__xludf.DUMMYFUNCTION("""COMPUTED_VALUE"""),46203.6394199537)</f>
        <v>46203.639419953703</v>
      </c>
      <c r="C342" s="33" t="str">
        <f ca="1">IFERROR(__xludf.DUMMYFUNCTION("""COMPUTED_VALUE"""),"المعملجي")</f>
        <v>المعملجي</v>
      </c>
      <c r="D342" s="33" t="str">
        <f ca="1">IFERROR(__xludf.DUMMYFUNCTION("""COMPUTED_VALUE"""),"وحدة الكهرباء")</f>
        <v>وحدة الكهرباء</v>
      </c>
      <c r="E342" s="23" t="str">
        <f ca="1">IFERROR(__xludf.DUMMYFUNCTION("""COMPUTED_VALUE"""),"قسم المشاريع الهندسية")</f>
        <v>قسم المشاريع الهندسية</v>
      </c>
      <c r="F342" s="23" t="str">
        <f ca="1">IFERROR(__xludf.DUMMYFUNCTION("""COMPUTED_VALUE"""),"H- ابتدائية القمر للبنات (الخامسة)")</f>
        <v>H- ابتدائية القمر للبنات (الخامسة)</v>
      </c>
      <c r="G342" s="23" t="str">
        <f ca="1">IFERROR(__xludf.DUMMYFUNCTION("""COMPUTED_VALUE"""),"الطابق الارضي, ZONE B")</f>
        <v>الطابق الارضي, ZONE B</v>
      </c>
      <c r="H342" s="23" t="str">
        <f ca="1">IFERROR(__xludf.DUMMYFUNCTION("""COMPUTED_VALUE"""),"اسنبدال قاطع 20 بقاطع 32 امبير")</f>
        <v>اسنبدال قاطع 20 بقاطع 32 امبير</v>
      </c>
      <c r="I342" s="23"/>
      <c r="J342" s="23" t="s">
        <v>89</v>
      </c>
      <c r="K342" s="23" t="s">
        <v>13</v>
      </c>
      <c r="L342" s="32">
        <v>46203.655323356477</v>
      </c>
      <c r="M342" s="23"/>
      <c r="N342" s="24"/>
    </row>
    <row r="343" spans="1:14" ht="75" customHeight="1" thickTop="1" thickBot="1">
      <c r="A343" s="25">
        <v>341</v>
      </c>
      <c r="B343" s="32">
        <f ca="1">IFERROR(__xludf.DUMMYFUNCTION("""COMPUTED_VALUE"""),46203.6546045833)</f>
        <v>46203.654604583302</v>
      </c>
      <c r="C343" s="33" t="str">
        <f ca="1">IFERROR(__xludf.DUMMYFUNCTION("""COMPUTED_VALUE"""),"المعملجي")</f>
        <v>المعملجي</v>
      </c>
      <c r="D343" s="33" t="str">
        <f ca="1">IFERROR(__xludf.DUMMYFUNCTION("""COMPUTED_VALUE"""),"وحدة الكهرباء")</f>
        <v>وحدة الكهرباء</v>
      </c>
      <c r="E343" s="23" t="str">
        <f ca="1">IFERROR(__xludf.DUMMYFUNCTION("""COMPUTED_VALUE"""),"قسم المشاريع الهندسية")</f>
        <v>قسم المشاريع الهندسية</v>
      </c>
      <c r="F343" s="23" t="str">
        <f ca="1">IFERROR(__xludf.DUMMYFUNCTION("""COMPUTED_VALUE"""),"A- المركز الثقافي")</f>
        <v>A- المركز الثقافي</v>
      </c>
      <c r="G343" s="23" t="str">
        <f ca="1">IFERROR(__xludf.DUMMYFUNCTION("""COMPUTED_VALUE"""),"الطابق الاول, غرفة الكهرباء")</f>
        <v>الطابق الاول, غرفة الكهرباء</v>
      </c>
      <c r="H343" s="23" t="str">
        <f ca="1">IFERROR(__xludf.DUMMYFUNCTION("""COMPUTED_VALUE"""),"إحكام تثبيت اسلاك سويج مكيف بعد سماع صوت spark يخرج من النقطة")</f>
        <v>إحكام تثبيت اسلاك سويج مكيف بعد سماع صوت spark يخرج من النقطة</v>
      </c>
      <c r="I343" s="23"/>
      <c r="J343" s="23" t="s">
        <v>89</v>
      </c>
      <c r="K343" s="23" t="s">
        <v>13</v>
      </c>
      <c r="L343" s="32">
        <v>46203.655380902783</v>
      </c>
      <c r="M343" s="23"/>
      <c r="N343" s="24"/>
    </row>
    <row r="344" spans="1:14" ht="75" customHeight="1" thickTop="1" thickBot="1">
      <c r="A344" s="23">
        <v>342</v>
      </c>
      <c r="B344" s="32">
        <f ca="1">IFERROR(__xludf.DUMMYFUNCTION("""COMPUTED_VALUE"""),46203.6560956249)</f>
        <v>46203.656095624901</v>
      </c>
      <c r="C344" s="33" t="str">
        <f ca="1">IFERROR(__xludf.DUMMYFUNCTION("""COMPUTED_VALUE"""),"المعملجي")</f>
        <v>المعملجي</v>
      </c>
      <c r="D344" s="33" t="str">
        <f ca="1">IFERROR(__xludf.DUMMYFUNCTION("""COMPUTED_VALUE"""),"وحدة الكهرباء")</f>
        <v>وحدة الكهرباء</v>
      </c>
      <c r="E344" s="23" t="str">
        <f ca="1">IFERROR(__xludf.DUMMYFUNCTION("""COMPUTED_VALUE"""),"قسم المشاريع الهندسية")</f>
        <v>قسم المشاريع الهندسية</v>
      </c>
      <c r="F344" s="23" t="str">
        <f ca="1">IFERROR(__xludf.DUMMYFUNCTION("""COMPUTED_VALUE"""),"A- المركز الثقافي")</f>
        <v>A- المركز الثقافي</v>
      </c>
      <c r="G344" s="23" t="str">
        <f ca="1">IFERROR(__xludf.DUMMYFUNCTION("""COMPUTED_VALUE"""),"الطابق الاول, غرفة الكهرباء")</f>
        <v>الطابق الاول, غرفة الكهرباء</v>
      </c>
      <c r="H344" s="23" t="str">
        <f ca="1">IFERROR(__xludf.DUMMYFUNCTION("""COMPUTED_VALUE"""),"اصلاح مشكلة في UPS بعد تعرضه لتوقف مفاجا")</f>
        <v>اصلاح مشكلة في UPS بعد تعرضه لتوقف مفاجا</v>
      </c>
      <c r="I344" s="23"/>
      <c r="J344" s="23" t="s">
        <v>89</v>
      </c>
      <c r="K344" s="23" t="s">
        <v>13</v>
      </c>
      <c r="L344" s="32">
        <v>46203.656927928241</v>
      </c>
      <c r="M344" s="23"/>
      <c r="N344" s="24"/>
    </row>
    <row r="345" spans="1:14" ht="75" customHeight="1" thickTop="1" thickBot="1">
      <c r="A345" s="25">
        <v>343</v>
      </c>
      <c r="B345" s="32">
        <f ca="1">IFERROR(__xludf.DUMMYFUNCTION("""COMPUTED_VALUE"""),46203.6567054398)</f>
        <v>46203.656705439796</v>
      </c>
      <c r="C345" s="33" t="str">
        <f ca="1">IFERROR(__xludf.DUMMYFUNCTION("""COMPUTED_VALUE"""),"المعملجي")</f>
        <v>المعملجي</v>
      </c>
      <c r="D345" s="33" t="str">
        <f ca="1">IFERROR(__xludf.DUMMYFUNCTION("""COMPUTED_VALUE"""),"وحدة الكهرباء")</f>
        <v>وحدة الكهرباء</v>
      </c>
      <c r="E345" s="23" t="str">
        <f ca="1">IFERROR(__xludf.DUMMYFUNCTION("""COMPUTED_VALUE"""),"قسم المشاريع الهندسية")</f>
        <v>قسم المشاريع الهندسية</v>
      </c>
      <c r="F345" s="23" t="str">
        <f ca="1">IFERROR(__xludf.DUMMYFUNCTION("""COMPUTED_VALUE"""),"A- المركز الثقافي")</f>
        <v>A- المركز الثقافي</v>
      </c>
      <c r="G345" s="23" t="str">
        <f ca="1">IFERROR(__xludf.DUMMYFUNCTION("""COMPUTED_VALUE"""),"الطابق الرابع, الكاميرات")</f>
        <v>الطابق الرابع, الكاميرات</v>
      </c>
      <c r="H345" s="23" t="str">
        <f ca="1">IFERROR(__xludf.DUMMYFUNCTION("""COMPUTED_VALUE"""),"استبدال سبوت لايت شمسي تالف بآخر جديد")</f>
        <v>استبدال سبوت لايت شمسي تالف بآخر جديد</v>
      </c>
      <c r="I345" s="23"/>
      <c r="J345" s="23" t="s">
        <v>89</v>
      </c>
      <c r="K345" s="23" t="s">
        <v>13</v>
      </c>
      <c r="L345" s="32">
        <v>46203.656933761573</v>
      </c>
      <c r="M345" s="23"/>
      <c r="N345" s="24"/>
    </row>
    <row r="346" spans="1:14" ht="75" customHeight="1" thickTop="1" thickBot="1">
      <c r="A346" s="23">
        <v>344</v>
      </c>
      <c r="B346" s="32">
        <f ca="1">IFERROR(__xludf.DUMMYFUNCTION("""COMPUTED_VALUE"""),46116.3437681134)</f>
        <v>46116.343768113402</v>
      </c>
      <c r="C346" s="33" t="str">
        <f ca="1">IFERROR(__xludf.DUMMYFUNCTION("""COMPUTED_VALUE"""),"المعملجي")</f>
        <v>المعملجي</v>
      </c>
      <c r="D346" s="33" t="str">
        <f ca="1">IFERROR(__xludf.DUMMYFUNCTION("""COMPUTED_VALUE"""),"سجاد تربية")</f>
        <v>سجاد تربية</v>
      </c>
      <c r="E346" s="23" t="str">
        <f ca="1">IFERROR(__xludf.DUMMYFUNCTION("""COMPUTED_VALUE"""),"قسم التربية والتعليم العالي")</f>
        <v>قسم التربية والتعليم العالي</v>
      </c>
      <c r="F346" s="23" t="str">
        <f ca="1">IFERROR(__xludf.DUMMYFUNCTION("""COMPUTED_VALUE"""),"الاستعلامات الرئيسية")</f>
        <v>الاستعلامات الرئيسية</v>
      </c>
      <c r="G346" s="23" t="str">
        <f ca="1">IFERROR(__xludf.DUMMYFUNCTION("""COMPUTED_VALUE"""),"غرفه م شعبة الخدمات ")</f>
        <v xml:space="preserve">غرفه م شعبة الخدمات </v>
      </c>
      <c r="H346" s="23" t="str">
        <f ca="1">IFERROR(__xludf.DUMMYFUNCTION("""COMPUTED_VALUE"""),"صيانة مفرغة")</f>
        <v>صيانة مفرغة</v>
      </c>
      <c r="I346" s="23"/>
      <c r="J346" s="23" t="s">
        <v>89</v>
      </c>
      <c r="K346" s="23" t="s">
        <v>90</v>
      </c>
      <c r="L346" s="32">
        <v>46118.314562615742</v>
      </c>
      <c r="M346" s="23"/>
      <c r="N346" s="24"/>
    </row>
    <row r="347" spans="1:14" ht="75" customHeight="1" thickTop="1" thickBot="1">
      <c r="A347" s="25">
        <v>345</v>
      </c>
      <c r="B347" s="32">
        <f ca="1">IFERROR(__xludf.DUMMYFUNCTION("""COMPUTED_VALUE"""),46123.4116607291)</f>
        <v>46123.4116607291</v>
      </c>
      <c r="C347" s="33" t="str">
        <f ca="1">IFERROR(__xludf.DUMMYFUNCTION("""COMPUTED_VALUE"""),"المعملجي")</f>
        <v>المعملجي</v>
      </c>
      <c r="D347" s="33" t="str">
        <f ca="1">IFERROR(__xludf.DUMMYFUNCTION("""COMPUTED_VALUE"""),"سجاد تربية")</f>
        <v>سجاد تربية</v>
      </c>
      <c r="E347" s="23" t="str">
        <f ca="1">IFERROR(__xludf.DUMMYFUNCTION("""COMPUTED_VALUE"""),"قسم التربية والتعليم العالي")</f>
        <v>قسم التربية والتعليم العالي</v>
      </c>
      <c r="F347" s="23" t="str">
        <f ca="1">IFERROR(__xludf.DUMMYFUNCTION("""COMPUTED_VALUE"""),"الذاتية الرئيسية ")</f>
        <v xml:space="preserve">الذاتية الرئيسية </v>
      </c>
      <c r="G347" s="23" t="str">
        <f ca="1">IFERROR(__xludf.DUMMYFUNCTION("""COMPUTED_VALUE"""),"الطابق الارضي")</f>
        <v>الطابق الارضي</v>
      </c>
      <c r="H347" s="23" t="str">
        <f ca="1">IFERROR(__xludf.DUMMYFUNCTION("""COMPUTED_VALUE"""),"شد مروحة ")</f>
        <v xml:space="preserve">شد مروحة </v>
      </c>
      <c r="I347" s="23"/>
      <c r="J347" s="23" t="s">
        <v>89</v>
      </c>
      <c r="K347" s="23" t="s">
        <v>90</v>
      </c>
      <c r="L347" s="32">
        <v>46123.43385587963</v>
      </c>
      <c r="M347" s="23"/>
      <c r="N347" s="24"/>
    </row>
    <row r="348" spans="1:14" ht="75" customHeight="1" thickTop="1" thickBot="1">
      <c r="A348" s="23">
        <v>346</v>
      </c>
      <c r="B348" s="32">
        <f ca="1">IFERROR(__xludf.DUMMYFUNCTION("""COMPUTED_VALUE"""),46201.3862493287)</f>
        <v>46201.386249328702</v>
      </c>
      <c r="C348" s="33" t="str">
        <f ca="1">IFERROR(__xludf.DUMMYFUNCTION("""COMPUTED_VALUE"""),"المعملجي")</f>
        <v>المعملجي</v>
      </c>
      <c r="D348" s="33" t="str">
        <f ca="1">IFERROR(__xludf.DUMMYFUNCTION("""COMPUTED_VALUE"""),"ابراهيم الخطابي")</f>
        <v>ابراهيم الخطابي</v>
      </c>
      <c r="E348" s="23" t="str">
        <f ca="1">IFERROR(__xludf.DUMMYFUNCTION("""COMPUTED_VALUE"""),"مجموعة العميد التربوية")</f>
        <v>مجموعة العميد التربوية</v>
      </c>
      <c r="F348" s="23" t="str">
        <f ca="1">IFERROR(__xludf.DUMMYFUNCTION("""COMPUTED_VALUE"""),"G- روضة الجود")</f>
        <v>G- روضة الجود</v>
      </c>
      <c r="G348" s="23"/>
      <c r="H348" s="23" t="str">
        <f ca="1">IFERROR(__xludf.DUMMYFUNCTION("""COMPUTED_VALUE"""),"صيانة مكنسة كهربائية")</f>
        <v>صيانة مكنسة كهربائية</v>
      </c>
      <c r="I348" s="23"/>
      <c r="J348" s="23" t="s">
        <v>89</v>
      </c>
      <c r="K348" s="23" t="s">
        <v>90</v>
      </c>
      <c r="L348" s="32">
        <v>46201.417654490739</v>
      </c>
      <c r="M348" s="23"/>
      <c r="N348" s="24"/>
    </row>
    <row r="349" spans="1:14" ht="75" customHeight="1" thickTop="1" thickBot="1">
      <c r="A349" s="25">
        <v>347</v>
      </c>
      <c r="B349" s="32">
        <f ca="1">IFERROR(__xludf.DUMMYFUNCTION("""COMPUTED_VALUE"""),46201.4724955555)</f>
        <v>46201.472495555499</v>
      </c>
      <c r="C349" s="33" t="str">
        <f ca="1">IFERROR(__xludf.DUMMYFUNCTION("""COMPUTED_VALUE"""),"المعملجي")</f>
        <v>المعملجي</v>
      </c>
      <c r="D349" s="33" t="str">
        <f ca="1">IFERROR(__xludf.DUMMYFUNCTION("""COMPUTED_VALUE"""),"ابراهيم الخطابي")</f>
        <v>ابراهيم الخطابي</v>
      </c>
      <c r="E349" s="23" t="str">
        <f ca="1">IFERROR(__xludf.DUMMYFUNCTION("""COMPUTED_VALUE"""),"مجموعة العميد التربوية")</f>
        <v>مجموعة العميد التربوية</v>
      </c>
      <c r="F349" s="23" t="str">
        <f ca="1">IFERROR(__xludf.DUMMYFUNCTION("""COMPUTED_VALUE"""),"F-  ابتدائية جود العميد للبنات (الرابعة)")</f>
        <v>F-  ابتدائية جود العميد للبنات (الرابعة)</v>
      </c>
      <c r="G349" s="23"/>
      <c r="H349" s="23" t="str">
        <f ca="1">IFERROR(__xludf.DUMMYFUNCTION("""COMPUTED_VALUE"""),"صيانة صوتيات الاستعلامات")</f>
        <v>صيانة صوتيات الاستعلامات</v>
      </c>
      <c r="I349" s="23"/>
      <c r="J349" s="23" t="s">
        <v>89</v>
      </c>
      <c r="K349" s="23" t="s">
        <v>90</v>
      </c>
      <c r="L349" s="32">
        <v>46202.311136041666</v>
      </c>
      <c r="M349" s="23"/>
      <c r="N349" s="24"/>
    </row>
    <row r="350" spans="1:14" ht="75" customHeight="1" thickTop="1" thickBot="1">
      <c r="A350" s="23">
        <v>348</v>
      </c>
      <c r="B350" s="32">
        <f ca="1">IFERROR(__xludf.DUMMYFUNCTION("""COMPUTED_VALUE"""),46114.3733833796)</f>
        <v>46114.3733833796</v>
      </c>
      <c r="C350" s="33" t="str">
        <f ca="1">IFERROR(__xludf.DUMMYFUNCTION("""COMPUTED_VALUE"""),"المعملجي")</f>
        <v>المعملجي</v>
      </c>
      <c r="D350" s="33" t="str">
        <f ca="1">IFERROR(__xludf.DUMMYFUNCTION("""COMPUTED_VALUE"""),"سجاد تربية")</f>
        <v>سجاد تربية</v>
      </c>
      <c r="E350" s="23" t="str">
        <f ca="1">IFERROR(__xludf.DUMMYFUNCTION("""COMPUTED_VALUE"""),"قسم التربية والتعليم العالي")</f>
        <v>قسم التربية والتعليم العالي</v>
      </c>
      <c r="F350" s="23" t="str">
        <f ca="1">IFERROR(__xludf.DUMMYFUNCTION("""COMPUTED_VALUE"""),"I- ابتدائية الساقي للبنين (السادسة)")</f>
        <v>I- ابتدائية الساقي للبنين (السادسة)</v>
      </c>
      <c r="G350" s="23" t="str">
        <f ca="1">IFERROR(__xludf.DUMMYFUNCTION("""COMPUTED_VALUE"""),"/")</f>
        <v>/</v>
      </c>
      <c r="H350" s="23" t="str">
        <f ca="1">IFERROR(__xludf.DUMMYFUNCTION("""COMPUTED_VALUE"""),"تشغيل سبالات ")</f>
        <v xml:space="preserve">تشغيل سبالات </v>
      </c>
      <c r="I350" s="23"/>
      <c r="J350" s="23" t="s">
        <v>15</v>
      </c>
      <c r="K350" s="23" t="s">
        <v>13</v>
      </c>
      <c r="L350" s="32">
        <v>46114.44607568287</v>
      </c>
      <c r="M350" s="23"/>
      <c r="N350" s="24"/>
    </row>
    <row r="351" spans="1:14" ht="75" customHeight="1" thickTop="1" thickBot="1">
      <c r="A351" s="25">
        <v>349</v>
      </c>
      <c r="B351" s="32">
        <f ca="1">IFERROR(__xludf.DUMMYFUNCTION("""COMPUTED_VALUE"""),46114.3751460416)</f>
        <v>46114.375146041602</v>
      </c>
      <c r="C351" s="33" t="str">
        <f ca="1">IFERROR(__xludf.DUMMYFUNCTION("""COMPUTED_VALUE"""),"المعملجي")</f>
        <v>المعملجي</v>
      </c>
      <c r="D351" s="33" t="str">
        <f ca="1">IFERROR(__xludf.DUMMYFUNCTION("""COMPUTED_VALUE"""),"سجاد تربية")</f>
        <v>سجاد تربية</v>
      </c>
      <c r="E351" s="23" t="str">
        <f ca="1">IFERROR(__xludf.DUMMYFUNCTION("""COMPUTED_VALUE"""),"قسم التربية والتعليم العالي")</f>
        <v>قسم التربية والتعليم العالي</v>
      </c>
      <c r="F351" s="23" t="str">
        <f ca="1">IFERROR(__xludf.DUMMYFUNCTION("""COMPUTED_VALUE"""),"H- ابتدائية القمر للبنات (الخامسة)")</f>
        <v>H- ابتدائية القمر للبنات (الخامسة)</v>
      </c>
      <c r="G351" s="23" t="str">
        <f ca="1">IFERROR(__xludf.DUMMYFUNCTION("""COMPUTED_VALUE"""),"الطابق الارضي")</f>
        <v>الطابق الارضي</v>
      </c>
      <c r="H351" s="23" t="str">
        <f ca="1">IFERROR(__xludf.DUMMYFUNCTION("""COMPUTED_VALUE"""),"صيانة سبلت  كونه يسبب رائحة ")</f>
        <v xml:space="preserve">صيانة سبلت  كونه يسبب رائحة </v>
      </c>
      <c r="I351" s="23"/>
      <c r="J351" s="23" t="s">
        <v>15</v>
      </c>
      <c r="K351" s="23" t="s">
        <v>13</v>
      </c>
      <c r="L351" s="32">
        <v>46114.445834768514</v>
      </c>
      <c r="M351" s="23"/>
      <c r="N351" s="24"/>
    </row>
    <row r="352" spans="1:14" ht="75" customHeight="1" thickTop="1" thickBot="1">
      <c r="A352" s="23">
        <v>350</v>
      </c>
      <c r="B352" s="32">
        <f ca="1">IFERROR(__xludf.DUMMYFUNCTION("""COMPUTED_VALUE"""),46119.5462915856)</f>
        <v>46119.546291585597</v>
      </c>
      <c r="C352" s="33" t="str">
        <f ca="1">IFERROR(__xludf.DUMMYFUNCTION("""COMPUTED_VALUE"""),"المعملجي")</f>
        <v>المعملجي</v>
      </c>
      <c r="D352" s="33" t="str">
        <f ca="1">IFERROR(__xludf.DUMMYFUNCTION("""COMPUTED_VALUE"""),"سجاد تربية")</f>
        <v>سجاد تربية</v>
      </c>
      <c r="E352" s="23" t="str">
        <f ca="1">IFERROR(__xludf.DUMMYFUNCTION("""COMPUTED_VALUE"""),"قسم التربية والتعليم العالي")</f>
        <v>قسم التربية والتعليم العالي</v>
      </c>
      <c r="F352" s="23" t="str">
        <f ca="1">IFERROR(__xludf.DUMMYFUNCTION("""COMPUTED_VALUE"""),"I- ابتدائية الساقي للبنين (السادسة)")</f>
        <v>I- ابتدائية الساقي للبنين (السادسة)</v>
      </c>
      <c r="G352" s="23" t="str">
        <f ca="1">IFERROR(__xludf.DUMMYFUNCTION("""COMPUTED_VALUE"""),"/")</f>
        <v>/</v>
      </c>
      <c r="H352" s="23" t="str">
        <f ca="1">IFERROR(__xludf.DUMMYFUNCTION("""COMPUTED_VALUE"""),"التبريد لايعمل ")</f>
        <v xml:space="preserve">التبريد لايعمل </v>
      </c>
      <c r="I352" s="23"/>
      <c r="J352" s="23" t="s">
        <v>15</v>
      </c>
      <c r="K352" s="23" t="s">
        <v>13</v>
      </c>
      <c r="L352" s="32">
        <v>46119.546652997684</v>
      </c>
      <c r="M352" s="23"/>
      <c r="N352" s="24"/>
    </row>
    <row r="353" spans="1:14" ht="75" customHeight="1" thickTop="1" thickBot="1">
      <c r="A353" s="25">
        <v>351</v>
      </c>
      <c r="B353" s="32">
        <f ca="1">IFERROR(__xludf.DUMMYFUNCTION("""COMPUTED_VALUE"""),46120.5478074189)</f>
        <v>46120.547807418901</v>
      </c>
      <c r="C353" s="33" t="str">
        <f ca="1">IFERROR(__xludf.DUMMYFUNCTION("""COMPUTED_VALUE"""),"المعملجي")</f>
        <v>المعملجي</v>
      </c>
      <c r="D353" s="33" t="str">
        <f ca="1">IFERROR(__xludf.DUMMYFUNCTION("""COMPUTED_VALUE"""),"سجاد تربية")</f>
        <v>سجاد تربية</v>
      </c>
      <c r="E353" s="23" t="str">
        <f ca="1">IFERROR(__xludf.DUMMYFUNCTION("""COMPUTED_VALUE"""),"قسم التربية والتعليم العالي")</f>
        <v>قسم التربية والتعليم العالي</v>
      </c>
      <c r="F353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353" s="23" t="str">
        <f ca="1">IFERROR(__xludf.DUMMYFUNCTION("""COMPUTED_VALUE"""),"صف الثاني ب ـ ز - ه ")</f>
        <v xml:space="preserve">صف الثاني ب ـ ز - ه </v>
      </c>
      <c r="H353" s="23" t="str">
        <f ca="1">IFERROR(__xludf.DUMMYFUNCTION("""COMPUTED_VALUE"""),"تشغيل تبريد ")</f>
        <v xml:space="preserve">تشغيل تبريد </v>
      </c>
      <c r="I353" s="23"/>
      <c r="J353" s="23" t="s">
        <v>15</v>
      </c>
      <c r="K353" s="23" t="s">
        <v>13</v>
      </c>
      <c r="L353" s="32">
        <v>46120.55736658565</v>
      </c>
      <c r="M353" s="23"/>
      <c r="N353" s="24"/>
    </row>
    <row r="354" spans="1:14" ht="75" customHeight="1" thickTop="1" thickBot="1">
      <c r="A354" s="23">
        <v>352</v>
      </c>
      <c r="B354" s="32">
        <f ca="1">IFERROR(__xludf.DUMMYFUNCTION("""COMPUTED_VALUE"""),46121.376157743)</f>
        <v>46121.376157742998</v>
      </c>
      <c r="C354" s="33" t="str">
        <f ca="1">IFERROR(__xludf.DUMMYFUNCTION("""COMPUTED_VALUE"""),"المعملجي")</f>
        <v>المعملجي</v>
      </c>
      <c r="D354" s="33" t="str">
        <f ca="1">IFERROR(__xludf.DUMMYFUNCTION("""COMPUTED_VALUE"""),"سجاد تربية")</f>
        <v>سجاد تربية</v>
      </c>
      <c r="E354" s="23" t="str">
        <f ca="1">IFERROR(__xludf.DUMMYFUNCTION("""COMPUTED_VALUE"""),"قسم التربية والتعليم العالي")</f>
        <v>قسم التربية والتعليم العالي</v>
      </c>
      <c r="F354" s="23" t="str">
        <f ca="1">IFERROR(__xludf.DUMMYFUNCTION("""COMPUTED_VALUE"""),"I- ابتدائية الساقي للبنين (السادسة), J- ابتدائية الساقي للبنين الجانب الثاني (السابعة)")</f>
        <v>I- ابتدائية الساقي للبنين (السادسة), J- ابتدائية الساقي للبنين الجانب الثاني (السابعة)</v>
      </c>
      <c r="G354" s="23" t="str">
        <f ca="1">IFERROR(__xludf.DUMMYFUNCTION("""COMPUTED_VALUE"""),"/")</f>
        <v>/</v>
      </c>
      <c r="H354" s="23" t="str">
        <f ca="1">IFERROR(__xludf.DUMMYFUNCTION("""COMPUTED_VALUE"""),"التبريد لا يعمل ")</f>
        <v xml:space="preserve">التبريد لا يعمل </v>
      </c>
      <c r="I354" s="23"/>
      <c r="J354" s="23" t="s">
        <v>15</v>
      </c>
      <c r="K354" s="23" t="s">
        <v>13</v>
      </c>
      <c r="L354" s="32">
        <v>46121.427024618053</v>
      </c>
      <c r="M354" s="23"/>
      <c r="N354" s="24"/>
    </row>
    <row r="355" spans="1:14" ht="75" customHeight="1" thickTop="1" thickBot="1">
      <c r="A355" s="25">
        <v>353</v>
      </c>
      <c r="B355" s="32">
        <f ca="1">IFERROR(__xludf.DUMMYFUNCTION("""COMPUTED_VALUE"""),46123.3386546875)</f>
        <v>46123.338654687497</v>
      </c>
      <c r="C355" s="33" t="str">
        <f ca="1">IFERROR(__xludf.DUMMYFUNCTION("""COMPUTED_VALUE"""),"المعملجي")</f>
        <v>المعملجي</v>
      </c>
      <c r="D355" s="33" t="str">
        <f ca="1">IFERROR(__xludf.DUMMYFUNCTION("""COMPUTED_VALUE"""),"سجاد تربية")</f>
        <v>سجاد تربية</v>
      </c>
      <c r="E355" s="23" t="str">
        <f ca="1">IFERROR(__xludf.DUMMYFUNCTION("""COMPUTED_VALUE"""),"قسم التربية والتعليم العالي")</f>
        <v>قسم التربية والتعليم العالي</v>
      </c>
      <c r="F355" s="23" t="str">
        <f ca="1">IFERROR(__xludf.DUMMYFUNCTION("""COMPUTED_VALUE"""),"J- جامعة العميد (السابعة)")</f>
        <v>J- جامعة العميد (السابعة)</v>
      </c>
      <c r="G355" s="23" t="str">
        <f ca="1">IFERROR(__xludf.DUMMYFUNCTION("""COMPUTED_VALUE"""),"/")</f>
        <v>/</v>
      </c>
      <c r="H355" s="23" t="str">
        <f ca="1">IFERROR(__xludf.DUMMYFUNCTION("""COMPUTED_VALUE"""),"تشغيل السبالات كل يوم الساعة 8 صباحاً")</f>
        <v>تشغيل السبالات كل يوم الساعة 8 صباحاً</v>
      </c>
      <c r="I355" s="23"/>
      <c r="J355" s="23" t="s">
        <v>15</v>
      </c>
      <c r="K355" s="23" t="s">
        <v>13</v>
      </c>
      <c r="L355" s="32">
        <v>46123.431737326391</v>
      </c>
      <c r="M355" s="23"/>
      <c r="N355" s="24"/>
    </row>
    <row r="356" spans="1:14" ht="75" customHeight="1" thickTop="1" thickBot="1">
      <c r="A356" s="23">
        <v>354</v>
      </c>
      <c r="B356" s="32">
        <f ca="1">IFERROR(__xludf.DUMMYFUNCTION("""COMPUTED_VALUE"""),46123.4111344212)</f>
        <v>46123.4111344212</v>
      </c>
      <c r="C356" s="33" t="str">
        <f ca="1">IFERROR(__xludf.DUMMYFUNCTION("""COMPUTED_VALUE"""),"المعملجي")</f>
        <v>المعملجي</v>
      </c>
      <c r="D356" s="33" t="str">
        <f ca="1">IFERROR(__xludf.DUMMYFUNCTION("""COMPUTED_VALUE"""),"سجاد تربية")</f>
        <v>سجاد تربية</v>
      </c>
      <c r="E356" s="23" t="str">
        <f ca="1">IFERROR(__xludf.DUMMYFUNCTION("""COMPUTED_VALUE"""),"قسم التربية والتعليم العالي")</f>
        <v>قسم التربية والتعليم العالي</v>
      </c>
      <c r="F356" s="23" t="str">
        <f ca="1">IFERROR(__xludf.DUMMYFUNCTION("""COMPUTED_VALUE"""),"I- ابتدائية الساقي للبنين (السادسة), J- ابتدائية الساقي للبنين الجانب الثاني (السابعة)")</f>
        <v>I- ابتدائية الساقي للبنين (السادسة), J- ابتدائية الساقي للبنين الجانب الثاني (السابعة)</v>
      </c>
      <c r="G356" s="23" t="str">
        <f ca="1">IFERROR(__xludf.DUMMYFUNCTION("""COMPUTED_VALUE"""),"/")</f>
        <v>/</v>
      </c>
      <c r="H356" s="23" t="str">
        <f ca="1">IFERROR(__xludf.DUMMYFUNCTION("""COMPUTED_VALUE"""),"تشغيل تبريد")</f>
        <v>تشغيل تبريد</v>
      </c>
      <c r="I356" s="23"/>
      <c r="J356" s="23" t="s">
        <v>15</v>
      </c>
      <c r="K356" s="23" t="s">
        <v>13</v>
      </c>
      <c r="L356" s="32">
        <v>46123.431782615742</v>
      </c>
      <c r="M356" s="23"/>
      <c r="N356" s="24"/>
    </row>
    <row r="357" spans="1:14" ht="75" customHeight="1" thickTop="1" thickBot="1">
      <c r="A357" s="25">
        <v>355</v>
      </c>
      <c r="B357" s="32">
        <f ca="1">IFERROR(__xludf.DUMMYFUNCTION("""COMPUTED_VALUE"""),46124.5772410416)</f>
        <v>46124.577241041603</v>
      </c>
      <c r="C357" s="33" t="str">
        <f ca="1">IFERROR(__xludf.DUMMYFUNCTION("""COMPUTED_VALUE"""),"المعملجي")</f>
        <v>المعملجي</v>
      </c>
      <c r="D357" s="33" t="str">
        <f ca="1">IFERROR(__xludf.DUMMYFUNCTION("""COMPUTED_VALUE"""),"سجاد تربية")</f>
        <v>سجاد تربية</v>
      </c>
      <c r="E357" s="23" t="str">
        <f ca="1">IFERROR(__xludf.DUMMYFUNCTION("""COMPUTED_VALUE"""),"قسم التربية والتعليم العالي")</f>
        <v>قسم التربية والتعليم العالي</v>
      </c>
      <c r="F357" s="23" t="str">
        <f ca="1">IFERROR(__xludf.DUMMYFUNCTION("""COMPUTED_VALUE"""),"رئاسة القسم ")</f>
        <v xml:space="preserve">رئاسة القسم </v>
      </c>
      <c r="G357" s="23" t="str">
        <f ca="1">IFERROR(__xludf.DUMMYFUNCTION("""COMPUTED_VALUE"""),"التشريفات ")</f>
        <v xml:space="preserve">التشريفات </v>
      </c>
      <c r="H357" s="23" t="str">
        <f ca="1">IFERROR(__xludf.DUMMYFUNCTION("""COMPUTED_VALUE"""),"صيانة سبلت ")</f>
        <v xml:space="preserve">صيانة سبلت </v>
      </c>
      <c r="I357" s="23"/>
      <c r="J357" s="23" t="s">
        <v>15</v>
      </c>
      <c r="K357" s="23" t="s">
        <v>13</v>
      </c>
      <c r="L357" s="32">
        <v>46124.58052103009</v>
      </c>
      <c r="M357" s="23"/>
      <c r="N357" s="24"/>
    </row>
    <row r="358" spans="1:14" ht="75" customHeight="1" thickTop="1" thickBot="1">
      <c r="A358" s="23">
        <v>356</v>
      </c>
      <c r="B358" s="32">
        <f ca="1">IFERROR(__xludf.DUMMYFUNCTION("""COMPUTED_VALUE"""),46124.5791925925)</f>
        <v>46124.5791925925</v>
      </c>
      <c r="C358" s="33" t="str">
        <f ca="1">IFERROR(__xludf.DUMMYFUNCTION("""COMPUTED_VALUE"""),"المعملجي")</f>
        <v>المعملجي</v>
      </c>
      <c r="D358" s="33" t="str">
        <f ca="1">IFERROR(__xludf.DUMMYFUNCTION("""COMPUTED_VALUE"""),"سجاد تربية")</f>
        <v>سجاد تربية</v>
      </c>
      <c r="E358" s="23" t="str">
        <f ca="1">IFERROR(__xludf.DUMMYFUNCTION("""COMPUTED_VALUE"""),"قسم التربية والتعليم العالي")</f>
        <v>قسم التربية والتعليم العالي</v>
      </c>
      <c r="F358" s="23" t="str">
        <f ca="1">IFERROR(__xludf.DUMMYFUNCTION("""COMPUTED_VALUE"""),"الاستعلامات الرئيسية, استعلامات كرار  هلول ")</f>
        <v xml:space="preserve">الاستعلامات الرئيسية, استعلامات كرار  هلول </v>
      </c>
      <c r="G358" s="23" t="str">
        <f ca="1">IFERROR(__xludf.DUMMYFUNCTION("""COMPUTED_VALUE"""),"كرفان ")</f>
        <v xml:space="preserve">كرفان </v>
      </c>
      <c r="H358" s="23" t="str">
        <f ca="1">IFERROR(__xludf.DUMMYFUNCTION("""COMPUTED_VALUE"""),"صيانة سبلت ")</f>
        <v xml:space="preserve">صيانة سبلت </v>
      </c>
      <c r="I358" s="23"/>
      <c r="J358" s="23" t="s">
        <v>15</v>
      </c>
      <c r="K358" s="23" t="s">
        <v>13</v>
      </c>
      <c r="L358" s="32">
        <v>46124.782902719904</v>
      </c>
      <c r="M358" s="23"/>
      <c r="N358" s="24"/>
    </row>
    <row r="359" spans="1:14" ht="75" customHeight="1" thickTop="1" thickBot="1">
      <c r="A359" s="25">
        <v>357</v>
      </c>
      <c r="B359" s="32">
        <f ca="1">IFERROR(__xludf.DUMMYFUNCTION("""COMPUTED_VALUE"""),46124.5803246296)</f>
        <v>46124.580324629598</v>
      </c>
      <c r="C359" s="33" t="str">
        <f ca="1">IFERROR(__xludf.DUMMYFUNCTION("""COMPUTED_VALUE"""),"المعملجي")</f>
        <v>المعملجي</v>
      </c>
      <c r="D359" s="33" t="str">
        <f ca="1">IFERROR(__xludf.DUMMYFUNCTION("""COMPUTED_VALUE"""),"سجاد تربية")</f>
        <v>سجاد تربية</v>
      </c>
      <c r="E359" s="23" t="str">
        <f ca="1">IFERROR(__xludf.DUMMYFUNCTION("""COMPUTED_VALUE"""),"قسم التربية والتعليم العالي")</f>
        <v>قسم التربية والتعليم العالي</v>
      </c>
      <c r="F359" s="23" t="str">
        <f ca="1">IFERROR(__xludf.DUMMYFUNCTION("""COMPUTED_VALUE"""),"F-  ابتدائية جود العميد للبنات (الرابعة)")</f>
        <v>F-  ابتدائية جود العميد للبنات (الرابعة)</v>
      </c>
      <c r="G359" s="23" t="str">
        <f ca="1">IFERROR(__xludf.DUMMYFUNCTION("""COMPUTED_VALUE"""),"الطابق الارضي")</f>
        <v>الطابق الارضي</v>
      </c>
      <c r="H359" s="23" t="str">
        <f ca="1">IFERROR(__xludf.DUMMYFUNCTION("""COMPUTED_VALUE"""),"صيانة سبالات ")</f>
        <v xml:space="preserve">صيانة سبالات </v>
      </c>
      <c r="I359" s="23"/>
      <c r="J359" s="23" t="s">
        <v>15</v>
      </c>
      <c r="K359" s="23" t="s">
        <v>13</v>
      </c>
      <c r="L359" s="32">
        <v>46124.783074143517</v>
      </c>
      <c r="M359" s="23"/>
    </row>
    <row r="360" spans="1:14" ht="75" customHeight="1" thickTop="1" thickBot="1">
      <c r="A360" s="23">
        <v>358</v>
      </c>
      <c r="B360" s="32">
        <f ca="1">IFERROR(__xludf.DUMMYFUNCTION("""COMPUTED_VALUE"""),46125.754330324)</f>
        <v>46125.754330324002</v>
      </c>
      <c r="C360" s="33" t="str">
        <f ca="1">IFERROR(__xludf.DUMMYFUNCTION("""COMPUTED_VALUE"""),"المعملجي")</f>
        <v>المعملجي</v>
      </c>
      <c r="D360" s="33" t="str">
        <f ca="1">IFERROR(__xludf.DUMMYFUNCTION("""COMPUTED_VALUE"""),"سجاد تربية")</f>
        <v>سجاد تربية</v>
      </c>
      <c r="E360" s="23" t="str">
        <f ca="1">IFERROR(__xludf.DUMMYFUNCTION("""COMPUTED_VALUE"""),"قسم التربية والتعليم العالي")</f>
        <v>قسم التربية والتعليم العالي</v>
      </c>
      <c r="F360" s="23" t="str">
        <f ca="1">IFERROR(__xludf.DUMMYFUNCTION("""COMPUTED_VALUE"""),"E- ابتدائية العميد للبنات (الثالثة)")</f>
        <v>E- ابتدائية العميد للبنات (الثالثة)</v>
      </c>
      <c r="G360" s="23" t="str">
        <f ca="1">IFERROR(__xludf.DUMMYFUNCTION("""COMPUTED_VALUE"""),"المصلى")</f>
        <v>المصلى</v>
      </c>
      <c r="H360" s="23" t="str">
        <f ca="1">IFERROR(__xludf.DUMMYFUNCTION("""COMPUTED_VALUE"""),"صيانة سبلت")</f>
        <v>صيانة سبلت</v>
      </c>
      <c r="I360" s="23"/>
      <c r="J360" s="23" t="s">
        <v>15</v>
      </c>
      <c r="K360" s="23" t="s">
        <v>13</v>
      </c>
      <c r="L360" s="32">
        <v>46126.432706608801</v>
      </c>
      <c r="M360" s="23"/>
    </row>
    <row r="361" spans="1:14" ht="75" customHeight="1" thickTop="1" thickBot="1">
      <c r="A361" s="25">
        <v>359</v>
      </c>
      <c r="B361" s="32">
        <f ca="1">IFERROR(__xludf.DUMMYFUNCTION("""COMPUTED_VALUE"""),46126.4308545138)</f>
        <v>46126.430854513797</v>
      </c>
      <c r="C361" s="33" t="str">
        <f ca="1">IFERROR(__xludf.DUMMYFUNCTION("""COMPUTED_VALUE"""),"المعملجي")</f>
        <v>المعملجي</v>
      </c>
      <c r="D361" s="33" t="str">
        <f ca="1">IFERROR(__xludf.DUMMYFUNCTION("""COMPUTED_VALUE"""),"سجاد تربية")</f>
        <v>سجاد تربية</v>
      </c>
      <c r="E361" s="23" t="str">
        <f ca="1">IFERROR(__xludf.DUMMYFUNCTION("""COMPUTED_VALUE"""),"قسم التربية والتعليم العالي")</f>
        <v>قسم التربية والتعليم العالي</v>
      </c>
      <c r="F361" s="23" t="str">
        <f ca="1">IFERROR(__xludf.DUMMYFUNCTION("""COMPUTED_VALUE"""),"I- ابتدائية الساقي للبنين (السادسة)")</f>
        <v>I- ابتدائية الساقي للبنين (السادسة)</v>
      </c>
      <c r="G361" s="23" t="str">
        <f ca="1">IFERROR(__xludf.DUMMYFUNCTION("""COMPUTED_VALUE"""),"الطابق الارضي, /")</f>
        <v>الطابق الارضي, /</v>
      </c>
      <c r="H361" s="23" t="str">
        <f ca="1">IFERROR(__xludf.DUMMYFUNCTION("""COMPUTED_VALUE"""),"تشغيل تبريد ")</f>
        <v xml:space="preserve">تشغيل تبريد </v>
      </c>
      <c r="I361" s="23"/>
      <c r="J361" s="23" t="s">
        <v>15</v>
      </c>
      <c r="K361" s="23" t="s">
        <v>13</v>
      </c>
      <c r="L361" s="32">
        <v>46126.457795555558</v>
      </c>
      <c r="M361" s="23"/>
    </row>
    <row r="362" spans="1:14" ht="75" customHeight="1" thickTop="1" thickBot="1">
      <c r="A362" s="23">
        <v>360</v>
      </c>
      <c r="B362" s="32">
        <f ca="1">IFERROR(__xludf.DUMMYFUNCTION("""COMPUTED_VALUE"""),46126.4952353009)</f>
        <v>46126.495235300899</v>
      </c>
      <c r="C362" s="33" t="str">
        <f ca="1">IFERROR(__xludf.DUMMYFUNCTION("""COMPUTED_VALUE"""),"المعملجي")</f>
        <v>المعملجي</v>
      </c>
      <c r="D362" s="33" t="str">
        <f ca="1">IFERROR(__xludf.DUMMYFUNCTION("""COMPUTED_VALUE"""),"سجاد تربية")</f>
        <v>سجاد تربية</v>
      </c>
      <c r="E362" s="23" t="str">
        <f ca="1">IFERROR(__xludf.DUMMYFUNCTION("""COMPUTED_VALUE"""),"قسم التربية والتعليم العالي")</f>
        <v>قسم التربية والتعليم العالي</v>
      </c>
      <c r="F362" s="23" t="str">
        <f ca="1">IFERROR(__xludf.DUMMYFUNCTION("""COMPUTED_VALUE"""),"A- المركز الثقافي")</f>
        <v>A- المركز الثقافي</v>
      </c>
      <c r="G362" s="23" t="str">
        <f ca="1">IFERROR(__xludf.DUMMYFUNCTION("""COMPUTED_VALUE"""),"قاعة السراج")</f>
        <v>قاعة السراج</v>
      </c>
      <c r="H362" s="23" t="str">
        <f ca="1">IFERROR(__xludf.DUMMYFUNCTION("""COMPUTED_VALUE"""),"صيانة تبريد ")</f>
        <v xml:space="preserve">صيانة تبريد </v>
      </c>
      <c r="I362" s="23"/>
      <c r="J362" s="23" t="s">
        <v>15</v>
      </c>
      <c r="K362" s="23" t="s">
        <v>13</v>
      </c>
      <c r="L362" s="32">
        <v>46126.551280752319</v>
      </c>
      <c r="M362" s="23"/>
    </row>
    <row r="363" spans="1:14" ht="75" customHeight="1" thickTop="1" thickBot="1">
      <c r="A363" s="25">
        <v>361</v>
      </c>
      <c r="B363" s="32">
        <f ca="1">IFERROR(__xludf.DUMMYFUNCTION("""COMPUTED_VALUE"""),46131.3566498148)</f>
        <v>46131.356649814799</v>
      </c>
      <c r="C363" s="33" t="str">
        <f ca="1">IFERROR(__xludf.DUMMYFUNCTION("""COMPUTED_VALUE"""),"المعملجي")</f>
        <v>المعملجي</v>
      </c>
      <c r="D363" s="33" t="str">
        <f ca="1">IFERROR(__xludf.DUMMYFUNCTION("""COMPUTED_VALUE"""),"سجاد تربية")</f>
        <v>سجاد تربية</v>
      </c>
      <c r="E363" s="23" t="str">
        <f ca="1">IFERROR(__xludf.DUMMYFUNCTION("""COMPUTED_VALUE"""),"قسم التربية والتعليم العالي")</f>
        <v>قسم التربية والتعليم العالي</v>
      </c>
      <c r="F363" s="23" t="str">
        <f ca="1">IFERROR(__xludf.DUMMYFUNCTION("""COMPUTED_VALUE"""),"I- ابتدائية الساقي للبنين (السادسة)")</f>
        <v>I- ابتدائية الساقي للبنين (السادسة)</v>
      </c>
      <c r="G363" s="23" t="str">
        <f ca="1">IFERROR(__xludf.DUMMYFUNCTION("""COMPUTED_VALUE"""),"الطابق الارضي")</f>
        <v>الطابق الارضي</v>
      </c>
      <c r="H363" s="23" t="str">
        <f ca="1">IFERROR(__xludf.DUMMYFUNCTION("""COMPUTED_VALUE"""),"تشغيل  تبريد ")</f>
        <v xml:space="preserve">تشغيل  تبريد </v>
      </c>
      <c r="I363" s="23"/>
      <c r="J363" s="23" t="s">
        <v>15</v>
      </c>
      <c r="K363" s="23" t="s">
        <v>13</v>
      </c>
      <c r="L363" s="32">
        <v>46131.455531215281</v>
      </c>
      <c r="M363" s="23"/>
    </row>
    <row r="364" spans="1:14" ht="75" customHeight="1" thickTop="1" thickBot="1">
      <c r="A364" s="23">
        <v>362</v>
      </c>
      <c r="B364" s="32">
        <f ca="1">IFERROR(__xludf.DUMMYFUNCTION("""COMPUTED_VALUE"""),46133.469983368)</f>
        <v>46133.469983367999</v>
      </c>
      <c r="C364" s="33" t="str">
        <f ca="1">IFERROR(__xludf.DUMMYFUNCTION("""COMPUTED_VALUE"""),"المعملجي")</f>
        <v>المعملجي</v>
      </c>
      <c r="D364" s="33" t="str">
        <f ca="1">IFERROR(__xludf.DUMMYFUNCTION("""COMPUTED_VALUE"""),"سجاد تربية")</f>
        <v>سجاد تربية</v>
      </c>
      <c r="E364" s="23" t="str">
        <f ca="1">IFERROR(__xludf.DUMMYFUNCTION("""COMPUTED_VALUE"""),"قسم التربية والتعليم العالي")</f>
        <v>قسم التربية والتعليم العالي</v>
      </c>
      <c r="F364" s="23" t="str">
        <f ca="1">IFERROR(__xludf.DUMMYFUNCTION("""COMPUTED_VALUE"""),"الاستعلامات الرئيسية")</f>
        <v>الاستعلامات الرئيسية</v>
      </c>
      <c r="G364" s="23" t="str">
        <f ca="1">IFERROR(__xludf.DUMMYFUNCTION("""COMPUTED_VALUE"""),"الطابق الارضي, ذاتية ")</f>
        <v xml:space="preserve">الطابق الارضي, ذاتية </v>
      </c>
      <c r="H364" s="23" t="str">
        <f ca="1">IFERROR(__xludf.DUMMYFUNCTION("""COMPUTED_VALUE"""),"صيانة سبلت ")</f>
        <v xml:space="preserve">صيانة سبلت </v>
      </c>
      <c r="I364" s="23"/>
      <c r="J364" s="23" t="s">
        <v>15</v>
      </c>
      <c r="K364" s="23" t="s">
        <v>13</v>
      </c>
      <c r="L364" s="32">
        <v>46134.56369137732</v>
      </c>
      <c r="M364" s="23"/>
    </row>
    <row r="365" spans="1:14" ht="75" customHeight="1" thickTop="1" thickBot="1">
      <c r="A365" s="25">
        <v>363</v>
      </c>
      <c r="B365" s="32">
        <f ca="1">IFERROR(__xludf.DUMMYFUNCTION("""COMPUTED_VALUE"""),46134.5565901736)</f>
        <v>46134.556590173597</v>
      </c>
      <c r="C365" s="33" t="str">
        <f ca="1">IFERROR(__xludf.DUMMYFUNCTION("""COMPUTED_VALUE"""),"المعملجي")</f>
        <v>المعملجي</v>
      </c>
      <c r="D365" s="33" t="str">
        <f ca="1">IFERROR(__xludf.DUMMYFUNCTION("""COMPUTED_VALUE"""),"سجاد تربية")</f>
        <v>سجاد تربية</v>
      </c>
      <c r="E365" s="23" t="str">
        <f ca="1">IFERROR(__xludf.DUMMYFUNCTION("""COMPUTED_VALUE"""),"قسم التربية والتعليم العالي")</f>
        <v>قسم التربية والتعليم العالي</v>
      </c>
      <c r="F365" s="23" t="str">
        <f ca="1">IFERROR(__xludf.DUMMYFUNCTION("""COMPUTED_VALUE"""),"الاستعلامات الرئيسية")</f>
        <v>الاستعلامات الرئيسية</v>
      </c>
      <c r="G365" s="23" t="str">
        <f ca="1">IFERROR(__xludf.DUMMYFUNCTION("""COMPUTED_VALUE"""),"الطابق الارضي")</f>
        <v>الطابق الارضي</v>
      </c>
      <c r="H365" s="23" t="str">
        <f ca="1">IFERROR(__xludf.DUMMYFUNCTION("""COMPUTED_VALUE"""),"صيانة سبلت")</f>
        <v>صيانة سبلت</v>
      </c>
      <c r="I365" s="23"/>
      <c r="J365" s="23" t="s">
        <v>15</v>
      </c>
      <c r="K365" s="23" t="s">
        <v>13</v>
      </c>
      <c r="L365" s="32">
        <v>46134.556727708332</v>
      </c>
      <c r="M365" s="23"/>
    </row>
    <row r="366" spans="1:14" ht="75" customHeight="1" thickTop="1" thickBot="1">
      <c r="A366" s="23">
        <v>364</v>
      </c>
      <c r="B366" s="32">
        <f ca="1">IFERROR(__xludf.DUMMYFUNCTION("""COMPUTED_VALUE"""),46137.4030717361)</f>
        <v>46137.403071736102</v>
      </c>
      <c r="C366" s="33" t="str">
        <f ca="1">IFERROR(__xludf.DUMMYFUNCTION("""COMPUTED_VALUE"""),"المعملجي")</f>
        <v>المعملجي</v>
      </c>
      <c r="D366" s="33" t="str">
        <f ca="1">IFERROR(__xludf.DUMMYFUNCTION("""COMPUTED_VALUE"""),"وحدة التبريد")</f>
        <v>وحدة التبريد</v>
      </c>
      <c r="E366" s="23" t="str">
        <f ca="1">IFERROR(__xludf.DUMMYFUNCTION("""COMPUTED_VALUE"""),"قسم المشاريع الهندسية")</f>
        <v>قسم المشاريع الهندسية</v>
      </c>
      <c r="F366" s="23" t="str">
        <f ca="1">IFERROR(__xludf.DUMMYFUNCTION("""COMPUTED_VALUE"""),"A- المركز الثقافي")</f>
        <v>A- المركز الثقافي</v>
      </c>
      <c r="G366" s="23" t="str">
        <f ca="1">IFERROR(__xludf.DUMMYFUNCTION("""COMPUTED_VALUE"""),"السطح")</f>
        <v>السطح</v>
      </c>
      <c r="H366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66" s="23"/>
      <c r="J366" s="23" t="s">
        <v>15</v>
      </c>
      <c r="K366" s="23" t="s">
        <v>13</v>
      </c>
      <c r="L366" s="32"/>
      <c r="M366" s="23"/>
    </row>
    <row r="367" spans="1:14" ht="75" customHeight="1" thickTop="1" thickBot="1">
      <c r="A367" s="25">
        <v>365</v>
      </c>
      <c r="B367" s="32">
        <f ca="1">IFERROR(__xludf.DUMMYFUNCTION("""COMPUTED_VALUE"""),46137.4041340046)</f>
        <v>46137.404134004602</v>
      </c>
      <c r="C367" s="33" t="str">
        <f ca="1">IFERROR(__xludf.DUMMYFUNCTION("""COMPUTED_VALUE"""),"المعملجي")</f>
        <v>المعملجي</v>
      </c>
      <c r="D367" s="33" t="str">
        <f ca="1">IFERROR(__xludf.DUMMYFUNCTION("""COMPUTED_VALUE"""),"وحدة التبريد")</f>
        <v>وحدة التبريد</v>
      </c>
      <c r="E367" s="23" t="str">
        <f ca="1">IFERROR(__xludf.DUMMYFUNCTION("""COMPUTED_VALUE"""),"قسم المشاريع الهندسية")</f>
        <v>قسم المشاريع الهندسية</v>
      </c>
      <c r="F367" s="23" t="str">
        <f ca="1">IFERROR(__xludf.DUMMYFUNCTION("""COMPUTED_VALUE"""),"B- روضة القمر")</f>
        <v>B- روضة القمر</v>
      </c>
      <c r="G367" s="23" t="str">
        <f ca="1">IFERROR(__xludf.DUMMYFUNCTION("""COMPUTED_VALUE"""),"السطح")</f>
        <v>السطح</v>
      </c>
      <c r="H367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67" s="23"/>
      <c r="J367" s="23" t="s">
        <v>15</v>
      </c>
      <c r="K367" s="23" t="s">
        <v>13</v>
      </c>
      <c r="L367" s="32"/>
      <c r="M367" s="23"/>
    </row>
    <row r="368" spans="1:14" ht="75" customHeight="1" thickTop="1" thickBot="1">
      <c r="A368" s="23">
        <v>366</v>
      </c>
      <c r="B368" s="32">
        <f ca="1">IFERROR(__xludf.DUMMYFUNCTION("""COMPUTED_VALUE"""),46137.4043260879)</f>
        <v>46137.404326087897</v>
      </c>
      <c r="C368" s="33" t="str">
        <f ca="1">IFERROR(__xludf.DUMMYFUNCTION("""COMPUTED_VALUE"""),"المعملجي")</f>
        <v>المعملجي</v>
      </c>
      <c r="D368" s="33" t="str">
        <f ca="1">IFERROR(__xludf.DUMMYFUNCTION("""COMPUTED_VALUE"""),"وحدة التبريد")</f>
        <v>وحدة التبريد</v>
      </c>
      <c r="E368" s="23" t="str">
        <f ca="1">IFERROR(__xludf.DUMMYFUNCTION("""COMPUTED_VALUE"""),"قسم المشاريع الهندسية")</f>
        <v>قسم المشاريع الهندسية</v>
      </c>
      <c r="F368" s="23" t="str">
        <f ca="1">IFERROR(__xludf.DUMMYFUNCTION("""COMPUTED_VALUE"""),"G- روضة الجود")</f>
        <v>G- روضة الجود</v>
      </c>
      <c r="G368" s="23" t="str">
        <f ca="1">IFERROR(__xludf.DUMMYFUNCTION("""COMPUTED_VALUE"""),"السطح")</f>
        <v>السطح</v>
      </c>
      <c r="H368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68" s="23"/>
      <c r="J368" s="23" t="s">
        <v>15</v>
      </c>
      <c r="K368" s="23" t="s">
        <v>13</v>
      </c>
      <c r="L368" s="32"/>
      <c r="M368" s="23"/>
    </row>
    <row r="369" spans="1:13" ht="75" customHeight="1" thickTop="1" thickBot="1">
      <c r="A369" s="25">
        <v>367</v>
      </c>
      <c r="B369" s="32">
        <f ca="1">IFERROR(__xludf.DUMMYFUNCTION("""COMPUTED_VALUE"""),46137.404529456)</f>
        <v>46137.404529455998</v>
      </c>
      <c r="C369" s="33" t="str">
        <f ca="1">IFERROR(__xludf.DUMMYFUNCTION("""COMPUTED_VALUE"""),"المعملجي")</f>
        <v>المعملجي</v>
      </c>
      <c r="D369" s="33" t="str">
        <f ca="1">IFERROR(__xludf.DUMMYFUNCTION("""COMPUTED_VALUE"""),"وحدة التبريد")</f>
        <v>وحدة التبريد</v>
      </c>
      <c r="E369" s="23" t="str">
        <f ca="1">IFERROR(__xludf.DUMMYFUNCTION("""COMPUTED_VALUE"""),"قسم المشاريع الهندسية")</f>
        <v>قسم المشاريع الهندسية</v>
      </c>
      <c r="F36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69" s="23" t="str">
        <f ca="1">IFERROR(__xludf.DUMMYFUNCTION("""COMPUTED_VALUE"""),"السطح")</f>
        <v>السطح</v>
      </c>
      <c r="H369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69" s="23"/>
      <c r="J369" s="23" t="s">
        <v>15</v>
      </c>
      <c r="K369" s="23" t="s">
        <v>13</v>
      </c>
      <c r="L369" s="32"/>
      <c r="M369" s="23"/>
    </row>
    <row r="370" spans="1:13" ht="75" customHeight="1" thickTop="1" thickBot="1">
      <c r="A370" s="23">
        <v>368</v>
      </c>
      <c r="B370" s="32">
        <f ca="1">IFERROR(__xludf.DUMMYFUNCTION("""COMPUTED_VALUE"""),46137.4047215046)</f>
        <v>46137.404721504601</v>
      </c>
      <c r="C370" s="33" t="str">
        <f ca="1">IFERROR(__xludf.DUMMYFUNCTION("""COMPUTED_VALUE"""),"المعملجي")</f>
        <v>المعملجي</v>
      </c>
      <c r="D370" s="33" t="str">
        <f ca="1">IFERROR(__xludf.DUMMYFUNCTION("""COMPUTED_VALUE"""),"وحدة التبريد")</f>
        <v>وحدة التبريد</v>
      </c>
      <c r="E370" s="23" t="str">
        <f ca="1">IFERROR(__xludf.DUMMYFUNCTION("""COMPUTED_VALUE"""),"قسم المشاريع الهندسية")</f>
        <v>قسم المشاريع الهندسية</v>
      </c>
      <c r="F370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370" s="23" t="str">
        <f ca="1">IFERROR(__xludf.DUMMYFUNCTION("""COMPUTED_VALUE"""),"السطح")</f>
        <v>السطح</v>
      </c>
      <c r="H370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70" s="23"/>
      <c r="J370" s="23" t="s">
        <v>15</v>
      </c>
      <c r="K370" s="23" t="s">
        <v>13</v>
      </c>
      <c r="L370" s="32"/>
      <c r="M370" s="23"/>
    </row>
    <row r="371" spans="1:13" ht="75" customHeight="1" thickTop="1" thickBot="1">
      <c r="A371" s="25">
        <v>369</v>
      </c>
      <c r="B371" s="32">
        <f ca="1">IFERROR(__xludf.DUMMYFUNCTION("""COMPUTED_VALUE"""),46137.4048942476)</f>
        <v>46137.4048942476</v>
      </c>
      <c r="C371" s="33" t="str">
        <f ca="1">IFERROR(__xludf.DUMMYFUNCTION("""COMPUTED_VALUE"""),"المعملجي")</f>
        <v>المعملجي</v>
      </c>
      <c r="D371" s="33" t="str">
        <f ca="1">IFERROR(__xludf.DUMMYFUNCTION("""COMPUTED_VALUE"""),"وحدة التبريد")</f>
        <v>وحدة التبريد</v>
      </c>
      <c r="E371" s="23" t="str">
        <f ca="1">IFERROR(__xludf.DUMMYFUNCTION("""COMPUTED_VALUE"""),"قسم المشاريع الهندسية")</f>
        <v>قسم المشاريع الهندسية</v>
      </c>
      <c r="F371" s="23" t="str">
        <f ca="1">IFERROR(__xludf.DUMMYFUNCTION("""COMPUTED_VALUE"""),"E- ابتدائية العميد للبنات (الثالثة)")</f>
        <v>E- ابتدائية العميد للبنات (الثالثة)</v>
      </c>
      <c r="G371" s="23" t="str">
        <f ca="1">IFERROR(__xludf.DUMMYFUNCTION("""COMPUTED_VALUE"""),"السطح")</f>
        <v>السطح</v>
      </c>
      <c r="H371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71" s="23"/>
      <c r="J371" s="23" t="s">
        <v>15</v>
      </c>
      <c r="K371" s="23" t="s">
        <v>13</v>
      </c>
      <c r="L371" s="32"/>
      <c r="M371" s="23"/>
    </row>
    <row r="372" spans="1:13" ht="75" customHeight="1" thickTop="1" thickBot="1">
      <c r="A372" s="23">
        <v>370</v>
      </c>
      <c r="B372" s="32">
        <f ca="1">IFERROR(__xludf.DUMMYFUNCTION("""COMPUTED_VALUE"""),46137.4050825347)</f>
        <v>46137.4050825347</v>
      </c>
      <c r="C372" s="33" t="str">
        <f ca="1">IFERROR(__xludf.DUMMYFUNCTION("""COMPUTED_VALUE"""),"المعملجي")</f>
        <v>المعملجي</v>
      </c>
      <c r="D372" s="33" t="str">
        <f ca="1">IFERROR(__xludf.DUMMYFUNCTION("""COMPUTED_VALUE"""),"وحدة التبريد")</f>
        <v>وحدة التبريد</v>
      </c>
      <c r="E372" s="23" t="str">
        <f ca="1">IFERROR(__xludf.DUMMYFUNCTION("""COMPUTED_VALUE"""),"قسم المشاريع الهندسية")</f>
        <v>قسم المشاريع الهندسية</v>
      </c>
      <c r="F372" s="23" t="str">
        <f ca="1">IFERROR(__xludf.DUMMYFUNCTION("""COMPUTED_VALUE"""),"F-  ابتدائية جود العميد للبنات (الرابعة)")</f>
        <v>F-  ابتدائية جود العميد للبنات (الرابعة)</v>
      </c>
      <c r="G372" s="23" t="str">
        <f ca="1">IFERROR(__xludf.DUMMYFUNCTION("""COMPUTED_VALUE"""),"السطح")</f>
        <v>السطح</v>
      </c>
      <c r="H372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72" s="23"/>
      <c r="J372" s="23" t="s">
        <v>15</v>
      </c>
      <c r="K372" s="23" t="s">
        <v>13</v>
      </c>
      <c r="L372" s="32"/>
      <c r="M372" s="23"/>
    </row>
    <row r="373" spans="1:13" ht="75" customHeight="1" thickTop="1" thickBot="1">
      <c r="A373" s="25">
        <v>371</v>
      </c>
      <c r="B373" s="32">
        <f ca="1">IFERROR(__xludf.DUMMYFUNCTION("""COMPUTED_VALUE"""),46137.4053460185)</f>
        <v>46137.405346018502</v>
      </c>
      <c r="C373" s="33" t="str">
        <f ca="1">IFERROR(__xludf.DUMMYFUNCTION("""COMPUTED_VALUE"""),"المعملجي")</f>
        <v>المعملجي</v>
      </c>
      <c r="D373" s="33" t="str">
        <f ca="1">IFERROR(__xludf.DUMMYFUNCTION("""COMPUTED_VALUE"""),"وحدة التبريد")</f>
        <v>وحدة التبريد</v>
      </c>
      <c r="E373" s="23" t="str">
        <f ca="1">IFERROR(__xludf.DUMMYFUNCTION("""COMPUTED_VALUE"""),"قسم المشاريع الهندسية")</f>
        <v>قسم المشاريع الهندسية</v>
      </c>
      <c r="F373" s="23" t="str">
        <f ca="1">IFERROR(__xludf.DUMMYFUNCTION("""COMPUTED_VALUE"""),"H- ابتدائية القمر للبنات (الخامسة)")</f>
        <v>H- ابتدائية القمر للبنات (الخامسة)</v>
      </c>
      <c r="G373" s="23" t="str">
        <f ca="1">IFERROR(__xludf.DUMMYFUNCTION("""COMPUTED_VALUE"""),"السطح")</f>
        <v>السطح</v>
      </c>
      <c r="H373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73" s="23"/>
      <c r="J373" s="23" t="s">
        <v>15</v>
      </c>
      <c r="K373" s="23" t="s">
        <v>13</v>
      </c>
      <c r="L373" s="32"/>
      <c r="M373" s="23"/>
    </row>
    <row r="374" spans="1:13" ht="75" customHeight="1" thickTop="1" thickBot="1">
      <c r="A374" s="23">
        <v>372</v>
      </c>
      <c r="B374" s="32">
        <f ca="1">IFERROR(__xludf.DUMMYFUNCTION("""COMPUTED_VALUE"""),46137.405565625)</f>
        <v>46137.405565624998</v>
      </c>
      <c r="C374" s="33" t="str">
        <f ca="1">IFERROR(__xludf.DUMMYFUNCTION("""COMPUTED_VALUE"""),"المعملجي")</f>
        <v>المعملجي</v>
      </c>
      <c r="D374" s="33" t="str">
        <f ca="1">IFERROR(__xludf.DUMMYFUNCTION("""COMPUTED_VALUE"""),"وحدة التبريد")</f>
        <v>وحدة التبريد</v>
      </c>
      <c r="E374" s="23" t="str">
        <f ca="1">IFERROR(__xludf.DUMMYFUNCTION("""COMPUTED_VALUE"""),"قسم المشاريع الهندسية")</f>
        <v>قسم المشاريع الهندسية</v>
      </c>
      <c r="F374" s="23" t="str">
        <f ca="1">IFERROR(__xludf.DUMMYFUNCTION("""COMPUTED_VALUE"""),"I- ابتدائية الساقي للبنين (السادسة)")</f>
        <v>I- ابتدائية الساقي للبنين (السادسة)</v>
      </c>
      <c r="G374" s="23" t="str">
        <f ca="1">IFERROR(__xludf.DUMMYFUNCTION("""COMPUTED_VALUE"""),"السطح")</f>
        <v>السطح</v>
      </c>
      <c r="H374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74" s="23"/>
      <c r="J374" s="23" t="s">
        <v>15</v>
      </c>
      <c r="K374" s="23" t="s">
        <v>13</v>
      </c>
      <c r="L374" s="32"/>
      <c r="M374" s="23"/>
    </row>
    <row r="375" spans="1:13" ht="75" customHeight="1" thickTop="1" thickBot="1">
      <c r="A375" s="25">
        <v>373</v>
      </c>
      <c r="B375" s="32">
        <f ca="1">IFERROR(__xludf.DUMMYFUNCTION("""COMPUTED_VALUE"""),46137.4057648148)</f>
        <v>46137.405764814801</v>
      </c>
      <c r="C375" s="33" t="str">
        <f ca="1">IFERROR(__xludf.DUMMYFUNCTION("""COMPUTED_VALUE"""),"المعملجي")</f>
        <v>المعملجي</v>
      </c>
      <c r="D375" s="33" t="str">
        <f ca="1">IFERROR(__xludf.DUMMYFUNCTION("""COMPUTED_VALUE"""),"وحدة التبريد")</f>
        <v>وحدة التبريد</v>
      </c>
      <c r="E375" s="23" t="str">
        <f ca="1">IFERROR(__xludf.DUMMYFUNCTION("""COMPUTED_VALUE"""),"قسم المشاريع الهندسية")</f>
        <v>قسم المشاريع الهندسية</v>
      </c>
      <c r="F375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375" s="23" t="str">
        <f ca="1">IFERROR(__xludf.DUMMYFUNCTION("""COMPUTED_VALUE"""),"السطح")</f>
        <v>السطح</v>
      </c>
      <c r="H375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375" s="23"/>
      <c r="J375" s="23" t="s">
        <v>15</v>
      </c>
      <c r="K375" s="23" t="s">
        <v>13</v>
      </c>
      <c r="L375" s="32"/>
      <c r="M375" s="23"/>
    </row>
    <row r="376" spans="1:13" ht="75" customHeight="1" thickTop="1" thickBot="1">
      <c r="A376" s="23">
        <v>374</v>
      </c>
      <c r="B376" s="32">
        <f ca="1">IFERROR(__xludf.DUMMYFUNCTION("""COMPUTED_VALUE"""),46137.4079784143)</f>
        <v>46137.407978414303</v>
      </c>
      <c r="C376" s="33" t="str">
        <f ca="1">IFERROR(__xludf.DUMMYFUNCTION("""COMPUTED_VALUE"""),"المعملجي")</f>
        <v>المعملجي</v>
      </c>
      <c r="D376" s="33" t="str">
        <f ca="1">IFERROR(__xludf.DUMMYFUNCTION("""COMPUTED_VALUE"""),"وحدة التبريد")</f>
        <v>وحدة التبريد</v>
      </c>
      <c r="E376" s="23" t="str">
        <f ca="1">IFERROR(__xludf.DUMMYFUNCTION("""COMPUTED_VALUE"""),"قسم المشاريع الهندسية")</f>
        <v>قسم المشاريع الهندسية</v>
      </c>
      <c r="F376" s="23" t="str">
        <f ca="1">IFERROR(__xludf.DUMMYFUNCTION("""COMPUTED_VALUE"""),"A- المركز الثقافي")</f>
        <v>A- المركز الثقافي</v>
      </c>
      <c r="G376" s="23" t="str">
        <f ca="1">IFERROR(__xludf.DUMMYFUNCTION("""COMPUTED_VALUE"""),"الطابق الارضي, الطابق الاول, جهة ادارة القسم")</f>
        <v>الطابق الارضي, الطابق الاول, جهة ادارة القسم</v>
      </c>
      <c r="H376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76" s="23"/>
      <c r="J376" s="23" t="s">
        <v>15</v>
      </c>
      <c r="K376" s="23" t="s">
        <v>13</v>
      </c>
      <c r="L376" s="32"/>
      <c r="M376" s="23"/>
    </row>
    <row r="377" spans="1:13" ht="75" customHeight="1" thickTop="1" thickBot="1">
      <c r="A377" s="25">
        <v>375</v>
      </c>
      <c r="B377" s="32">
        <f ca="1">IFERROR(__xludf.DUMMYFUNCTION("""COMPUTED_VALUE"""),46137.4097111574)</f>
        <v>46137.409711157401</v>
      </c>
      <c r="C377" s="33" t="str">
        <f ca="1">IFERROR(__xludf.DUMMYFUNCTION("""COMPUTED_VALUE"""),"المعملجي")</f>
        <v>المعملجي</v>
      </c>
      <c r="D377" s="33" t="str">
        <f ca="1">IFERROR(__xludf.DUMMYFUNCTION("""COMPUTED_VALUE"""),"وحدة التبريد")</f>
        <v>وحدة التبريد</v>
      </c>
      <c r="E377" s="23" t="str">
        <f ca="1">IFERROR(__xludf.DUMMYFUNCTION("""COMPUTED_VALUE"""),"قسم المشاريع الهندسية")</f>
        <v>قسم المشاريع الهندسية</v>
      </c>
      <c r="F377" s="23" t="str">
        <f ca="1">IFERROR(__xludf.DUMMYFUNCTION("""COMPUTED_VALUE"""),"A- المركز الثقافي")</f>
        <v>A- المركز الثقافي</v>
      </c>
      <c r="G377" s="23" t="str">
        <f ca="1">IFERROR(__xludf.DUMMYFUNCTION("""COMPUTED_VALUE"""),"الطابق الثاني, الطابق الثالث, الطابق الرابع")</f>
        <v>الطابق الثاني, الطابق الثالث, الطابق الرابع</v>
      </c>
      <c r="H377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77" s="23"/>
      <c r="J377" s="23" t="s">
        <v>15</v>
      </c>
      <c r="K377" s="23" t="s">
        <v>13</v>
      </c>
      <c r="L377" s="32"/>
      <c r="M377" s="23"/>
    </row>
    <row r="378" spans="1:13" ht="75" customHeight="1" thickTop="1" thickBot="1">
      <c r="A378" s="23">
        <v>376</v>
      </c>
      <c r="B378" s="32">
        <f ca="1">IFERROR(__xludf.DUMMYFUNCTION("""COMPUTED_VALUE"""),46137.4099515162)</f>
        <v>46137.409951516202</v>
      </c>
      <c r="C378" s="33" t="str">
        <f ca="1">IFERROR(__xludf.DUMMYFUNCTION("""COMPUTED_VALUE"""),"المعملجي")</f>
        <v>المعملجي</v>
      </c>
      <c r="D378" s="33" t="str">
        <f ca="1">IFERROR(__xludf.DUMMYFUNCTION("""COMPUTED_VALUE"""),"وحدة التبريد")</f>
        <v>وحدة التبريد</v>
      </c>
      <c r="E378" s="23" t="str">
        <f ca="1">IFERROR(__xludf.DUMMYFUNCTION("""COMPUTED_VALUE"""),"قسم المشاريع الهندسية")</f>
        <v>قسم المشاريع الهندسية</v>
      </c>
      <c r="F378" s="23" t="str">
        <f ca="1">IFERROR(__xludf.DUMMYFUNCTION("""COMPUTED_VALUE"""),"B- روضة القمر")</f>
        <v>B- روضة القمر</v>
      </c>
      <c r="G378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78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78" s="23"/>
      <c r="J378" s="23" t="s">
        <v>15</v>
      </c>
      <c r="K378" s="23" t="s">
        <v>13</v>
      </c>
      <c r="L378" s="32"/>
      <c r="M378" s="23"/>
    </row>
    <row r="379" spans="1:13" ht="75" customHeight="1" thickTop="1" thickBot="1">
      <c r="A379" s="25">
        <v>377</v>
      </c>
      <c r="B379" s="32">
        <f ca="1">IFERROR(__xludf.DUMMYFUNCTION("""COMPUTED_VALUE"""),46137.4101925463)</f>
        <v>46137.410192546296</v>
      </c>
      <c r="C379" s="33" t="str">
        <f ca="1">IFERROR(__xludf.DUMMYFUNCTION("""COMPUTED_VALUE"""),"المعملجي")</f>
        <v>المعملجي</v>
      </c>
      <c r="D379" s="33" t="str">
        <f ca="1">IFERROR(__xludf.DUMMYFUNCTION("""COMPUTED_VALUE"""),"وحدة التبريد")</f>
        <v>وحدة التبريد</v>
      </c>
      <c r="E379" s="23" t="str">
        <f ca="1">IFERROR(__xludf.DUMMYFUNCTION("""COMPUTED_VALUE"""),"قسم المشاريع الهندسية")</f>
        <v>قسم المشاريع الهندسية</v>
      </c>
      <c r="F379" s="23" t="str">
        <f ca="1">IFERROR(__xludf.DUMMYFUNCTION("""COMPUTED_VALUE"""),"G- روضة الجود")</f>
        <v>G- روضة الجود</v>
      </c>
      <c r="G379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79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79" s="23"/>
      <c r="J379" s="23" t="s">
        <v>15</v>
      </c>
      <c r="K379" s="23" t="s">
        <v>13</v>
      </c>
      <c r="L379" s="32"/>
      <c r="M379" s="23"/>
    </row>
    <row r="380" spans="1:13" ht="75" customHeight="1" thickTop="1" thickBot="1">
      <c r="A380" s="23">
        <v>378</v>
      </c>
      <c r="B380" s="32">
        <f ca="1">IFERROR(__xludf.DUMMYFUNCTION("""COMPUTED_VALUE"""),46137.4103880671)</f>
        <v>46137.410388067103</v>
      </c>
      <c r="C380" s="33" t="str">
        <f ca="1">IFERROR(__xludf.DUMMYFUNCTION("""COMPUTED_VALUE"""),"المعملجي")</f>
        <v>المعملجي</v>
      </c>
      <c r="D380" s="33" t="str">
        <f ca="1">IFERROR(__xludf.DUMMYFUNCTION("""COMPUTED_VALUE"""),"وحدة التبريد")</f>
        <v>وحدة التبريد</v>
      </c>
      <c r="E380" s="23" t="str">
        <f ca="1">IFERROR(__xludf.DUMMYFUNCTION("""COMPUTED_VALUE"""),"قسم المشاريع الهندسية")</f>
        <v>قسم المشاريع الهندسية</v>
      </c>
      <c r="F38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80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0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0" s="23"/>
      <c r="J380" s="23" t="s">
        <v>15</v>
      </c>
      <c r="K380" s="23" t="s">
        <v>13</v>
      </c>
      <c r="L380" s="32"/>
      <c r="M380" s="23"/>
    </row>
    <row r="381" spans="1:13" ht="75" customHeight="1" thickTop="1" thickBot="1">
      <c r="A381" s="25">
        <v>379</v>
      </c>
      <c r="B381" s="32">
        <f ca="1">IFERROR(__xludf.DUMMYFUNCTION("""COMPUTED_VALUE"""),46137.4117633912)</f>
        <v>46137.411763391203</v>
      </c>
      <c r="C381" s="33" t="str">
        <f ca="1">IFERROR(__xludf.DUMMYFUNCTION("""COMPUTED_VALUE"""),"المعملجي")</f>
        <v>المعملجي</v>
      </c>
      <c r="D381" s="33" t="str">
        <f ca="1">IFERROR(__xludf.DUMMYFUNCTION("""COMPUTED_VALUE"""),"وحدة التبريد")</f>
        <v>وحدة التبريد</v>
      </c>
      <c r="E381" s="23" t="str">
        <f ca="1">IFERROR(__xludf.DUMMYFUNCTION("""COMPUTED_VALUE"""),"قسم المشاريع الهندسية")</f>
        <v>قسم المشاريع الهندسية</v>
      </c>
      <c r="F381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381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1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1" s="23"/>
      <c r="J381" s="23" t="s">
        <v>15</v>
      </c>
      <c r="K381" s="23" t="s">
        <v>13</v>
      </c>
      <c r="L381" s="32"/>
      <c r="M381" s="23"/>
    </row>
    <row r="382" spans="1:13" ht="75" customHeight="1" thickTop="1" thickBot="1">
      <c r="A382" s="23">
        <v>380</v>
      </c>
      <c r="B382" s="32">
        <f ca="1">IFERROR(__xludf.DUMMYFUNCTION("""COMPUTED_VALUE"""),46137.4119462963)</f>
        <v>46137.411946296299</v>
      </c>
      <c r="C382" s="33" t="str">
        <f ca="1">IFERROR(__xludf.DUMMYFUNCTION("""COMPUTED_VALUE"""),"المعملجي")</f>
        <v>المعملجي</v>
      </c>
      <c r="D382" s="33" t="str">
        <f ca="1">IFERROR(__xludf.DUMMYFUNCTION("""COMPUTED_VALUE"""),"وحدة التبريد")</f>
        <v>وحدة التبريد</v>
      </c>
      <c r="E382" s="23" t="str">
        <f ca="1">IFERROR(__xludf.DUMMYFUNCTION("""COMPUTED_VALUE"""),"قسم المشاريع الهندسية")</f>
        <v>قسم المشاريع الهندسية</v>
      </c>
      <c r="F382" s="23" t="str">
        <f ca="1">IFERROR(__xludf.DUMMYFUNCTION("""COMPUTED_VALUE"""),"E- ابتدائية العميد للبنات (الثالثة)")</f>
        <v>E- ابتدائية العميد للبنات (الثالثة)</v>
      </c>
      <c r="G382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2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2" s="23"/>
      <c r="J382" s="23" t="s">
        <v>15</v>
      </c>
      <c r="K382" s="23" t="s">
        <v>13</v>
      </c>
      <c r="L382" s="32"/>
      <c r="M382" s="23"/>
    </row>
    <row r="383" spans="1:13" ht="75" customHeight="1" thickTop="1" thickBot="1">
      <c r="A383" s="25">
        <v>381</v>
      </c>
      <c r="B383" s="32">
        <f ca="1">IFERROR(__xludf.DUMMYFUNCTION("""COMPUTED_VALUE"""),46137.4121602662)</f>
        <v>46137.412160266198</v>
      </c>
      <c r="C383" s="33" t="str">
        <f ca="1">IFERROR(__xludf.DUMMYFUNCTION("""COMPUTED_VALUE"""),"المعملجي")</f>
        <v>المعملجي</v>
      </c>
      <c r="D383" s="33" t="str">
        <f ca="1">IFERROR(__xludf.DUMMYFUNCTION("""COMPUTED_VALUE"""),"وحدة التبريد")</f>
        <v>وحدة التبريد</v>
      </c>
      <c r="E383" s="23" t="str">
        <f ca="1">IFERROR(__xludf.DUMMYFUNCTION("""COMPUTED_VALUE"""),"قسم المشاريع الهندسية")</f>
        <v>قسم المشاريع الهندسية</v>
      </c>
      <c r="F383" s="23" t="str">
        <f ca="1">IFERROR(__xludf.DUMMYFUNCTION("""COMPUTED_VALUE"""),"F-  ابتدائية جود العميد للبنات (الرابعة)")</f>
        <v>F-  ابتدائية جود العميد للبنات (الرابعة)</v>
      </c>
      <c r="G383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3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3" s="23"/>
      <c r="J383" s="23" t="s">
        <v>15</v>
      </c>
      <c r="K383" s="23" t="s">
        <v>13</v>
      </c>
      <c r="L383" s="32"/>
      <c r="M383" s="23"/>
    </row>
    <row r="384" spans="1:13" ht="75" customHeight="1" thickTop="1" thickBot="1">
      <c r="A384" s="23">
        <v>382</v>
      </c>
      <c r="B384" s="32">
        <f ca="1">IFERROR(__xludf.DUMMYFUNCTION("""COMPUTED_VALUE"""),46137.41248603)</f>
        <v>46137.41248603</v>
      </c>
      <c r="C384" s="33" t="str">
        <f ca="1">IFERROR(__xludf.DUMMYFUNCTION("""COMPUTED_VALUE"""),"المعملجي")</f>
        <v>المعملجي</v>
      </c>
      <c r="D384" s="33" t="str">
        <f ca="1">IFERROR(__xludf.DUMMYFUNCTION("""COMPUTED_VALUE"""),"وحدة التبريد")</f>
        <v>وحدة التبريد</v>
      </c>
      <c r="E384" s="23" t="str">
        <f ca="1">IFERROR(__xludf.DUMMYFUNCTION("""COMPUTED_VALUE"""),"قسم المشاريع الهندسية")</f>
        <v>قسم المشاريع الهندسية</v>
      </c>
      <c r="F384" s="23" t="str">
        <f ca="1">IFERROR(__xludf.DUMMYFUNCTION("""COMPUTED_VALUE"""),"H- ابتدائية القمر للبنات (الخامسة)")</f>
        <v>H- ابتدائية القمر للبنات (الخامسة)</v>
      </c>
      <c r="G384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4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4" s="23"/>
      <c r="J384" s="23" t="s">
        <v>15</v>
      </c>
      <c r="K384" s="23" t="s">
        <v>13</v>
      </c>
      <c r="L384" s="32"/>
      <c r="M384" s="23"/>
    </row>
    <row r="385" spans="1:13" ht="75" customHeight="1" thickTop="1" thickBot="1">
      <c r="A385" s="25">
        <v>383</v>
      </c>
      <c r="B385" s="32">
        <f ca="1">IFERROR(__xludf.DUMMYFUNCTION("""COMPUTED_VALUE"""),46137.4126635532)</f>
        <v>46137.412663553201</v>
      </c>
      <c r="C385" s="33" t="str">
        <f ca="1">IFERROR(__xludf.DUMMYFUNCTION("""COMPUTED_VALUE"""),"المعملجي")</f>
        <v>المعملجي</v>
      </c>
      <c r="D385" s="33" t="str">
        <f ca="1">IFERROR(__xludf.DUMMYFUNCTION("""COMPUTED_VALUE"""),"وحدة التبريد")</f>
        <v>وحدة التبريد</v>
      </c>
      <c r="E385" s="23" t="str">
        <f ca="1">IFERROR(__xludf.DUMMYFUNCTION("""COMPUTED_VALUE"""),"قسم المشاريع الهندسية")</f>
        <v>قسم المشاريع الهندسية</v>
      </c>
      <c r="F385" s="23" t="str">
        <f ca="1">IFERROR(__xludf.DUMMYFUNCTION("""COMPUTED_VALUE"""),"I- ابتدائية الساقي للبنين (السادسة)")</f>
        <v>I- ابتدائية الساقي للبنين (السادسة)</v>
      </c>
      <c r="G385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5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5" s="23"/>
      <c r="J385" s="23" t="s">
        <v>15</v>
      </c>
      <c r="K385" s="23" t="s">
        <v>13</v>
      </c>
      <c r="L385" s="32"/>
      <c r="M385" s="23"/>
    </row>
    <row r="386" spans="1:13" ht="75" customHeight="1" thickTop="1" thickBot="1">
      <c r="A386" s="23">
        <v>384</v>
      </c>
      <c r="B386" s="32">
        <f ca="1">IFERROR(__xludf.DUMMYFUNCTION("""COMPUTED_VALUE"""),46137.4128737037)</f>
        <v>46137.412873703703</v>
      </c>
      <c r="C386" s="33" t="str">
        <f ca="1">IFERROR(__xludf.DUMMYFUNCTION("""COMPUTED_VALUE"""),"المعملجي")</f>
        <v>المعملجي</v>
      </c>
      <c r="D386" s="33" t="str">
        <f ca="1">IFERROR(__xludf.DUMMYFUNCTION("""COMPUTED_VALUE"""),"وحدة التبريد")</f>
        <v>وحدة التبريد</v>
      </c>
      <c r="E386" s="23" t="str">
        <f ca="1">IFERROR(__xludf.DUMMYFUNCTION("""COMPUTED_VALUE"""),"قسم المشاريع الهندسية")</f>
        <v>قسم المشاريع الهندسية</v>
      </c>
      <c r="F386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386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386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386" s="23"/>
      <c r="J386" s="23" t="s">
        <v>15</v>
      </c>
      <c r="K386" s="23" t="s">
        <v>13</v>
      </c>
      <c r="L386" s="32"/>
      <c r="M386" s="23"/>
    </row>
    <row r="387" spans="1:13" ht="75" customHeight="1" thickTop="1" thickBot="1">
      <c r="A387" s="25">
        <v>385</v>
      </c>
      <c r="B387" s="32">
        <f ca="1">IFERROR(__xludf.DUMMYFUNCTION("""COMPUTED_VALUE"""),46137.4144467361)</f>
        <v>46137.414446736097</v>
      </c>
      <c r="C387" s="33" t="str">
        <f ca="1">IFERROR(__xludf.DUMMYFUNCTION("""COMPUTED_VALUE"""),"المعملجي")</f>
        <v>المعملجي</v>
      </c>
      <c r="D387" s="33" t="str">
        <f ca="1">IFERROR(__xludf.DUMMYFUNCTION("""COMPUTED_VALUE"""),"وحدة التبريد")</f>
        <v>وحدة التبريد</v>
      </c>
      <c r="E387" s="23" t="str">
        <f ca="1">IFERROR(__xludf.DUMMYFUNCTION("""COMPUTED_VALUE"""),"قسم المشاريع الهندسية")</f>
        <v>قسم المشاريع الهندسية</v>
      </c>
      <c r="F387" s="23" t="str">
        <f ca="1">IFERROR(__xludf.DUMMYFUNCTION("""COMPUTED_VALUE"""),"A- المركز الثقافي")</f>
        <v>A- المركز الثقافي</v>
      </c>
      <c r="G387" s="23" t="str">
        <f ca="1">IFERROR(__xludf.DUMMYFUNCTION("""COMPUTED_VALUE"""),"الطابق الارضي, الطابق الاول, الطابق الثاني, الطابق الثالث, الطابق الرابع, السطح, غرفة الكهرباء")</f>
        <v>الطابق الارضي, الطابق الاول, الطابق الثاني, الطابق الثالث, الطابق الرابع, السطح, غرفة الكهرباء</v>
      </c>
      <c r="H387" s="23" t="str">
        <f ca="1">IFERROR(__xludf.DUMMYFUNCTION("""COMPUTED_VALUE"""),"ادامة وتنظيف سبالت غرف الكهرباء والاتصالات و المصاعد في البناية ")</f>
        <v xml:space="preserve">ادامة وتنظيف سبالت غرف الكهرباء والاتصالات و المصاعد في البناية </v>
      </c>
      <c r="I387" s="23"/>
      <c r="J387" s="23" t="s">
        <v>15</v>
      </c>
      <c r="K387" s="23" t="s">
        <v>13</v>
      </c>
      <c r="L387" s="32"/>
      <c r="M387" s="23"/>
    </row>
    <row r="388" spans="1:13" ht="75" customHeight="1" thickTop="1" thickBot="1">
      <c r="A388" s="23">
        <v>386</v>
      </c>
      <c r="B388" s="32">
        <f ca="1">IFERROR(__xludf.DUMMYFUNCTION("""COMPUTED_VALUE"""),46137.4147350462)</f>
        <v>46137.414735046201</v>
      </c>
      <c r="C388" s="33" t="str">
        <f ca="1">IFERROR(__xludf.DUMMYFUNCTION("""COMPUTED_VALUE"""),"المعملجي")</f>
        <v>المعملجي</v>
      </c>
      <c r="D388" s="33" t="str">
        <f ca="1">IFERROR(__xludf.DUMMYFUNCTION("""COMPUTED_VALUE"""),"وحدة التبريد")</f>
        <v>وحدة التبريد</v>
      </c>
      <c r="E388" s="23" t="str">
        <f ca="1">IFERROR(__xludf.DUMMYFUNCTION("""COMPUTED_VALUE"""),"قسم المشاريع الهندسية")</f>
        <v>قسم المشاريع الهندسية</v>
      </c>
      <c r="F388" s="23" t="str">
        <f ca="1">IFERROR(__xludf.DUMMYFUNCTION("""COMPUTED_VALUE"""),"B- روضة القمر")</f>
        <v>B- روضة القمر</v>
      </c>
      <c r="G388" s="23" t="str">
        <f ca="1">IFERROR(__xludf.DUMMYFUNCTION("""COMPUTED_VALUE"""),"الطابق الارضي, الطابق الاول, الطابق الثاني, غرفة الكهرباء")</f>
        <v>الطابق الارضي, الطابق الاول, الطابق الثاني, غرفة الكهرباء</v>
      </c>
      <c r="H388" s="23" t="str">
        <f ca="1">IFERROR(__xludf.DUMMYFUNCTION("""COMPUTED_VALUE"""),"ادامة وتنظيف سبالت غرف الكهرباء والاتصالات  في البناية")</f>
        <v>ادامة وتنظيف سبالت غرف الكهرباء والاتصالات  في البناية</v>
      </c>
      <c r="I388" s="23"/>
      <c r="J388" s="23" t="s">
        <v>15</v>
      </c>
      <c r="K388" s="23" t="s">
        <v>13</v>
      </c>
      <c r="L388" s="32"/>
      <c r="M388" s="23"/>
    </row>
    <row r="389" spans="1:13" ht="75" customHeight="1" thickTop="1" thickBot="1">
      <c r="A389" s="25">
        <v>387</v>
      </c>
      <c r="B389" s="32">
        <f ca="1">IFERROR(__xludf.DUMMYFUNCTION("""COMPUTED_VALUE"""),46137.4150164351)</f>
        <v>46137.415016435101</v>
      </c>
      <c r="C389" s="33" t="str">
        <f ca="1">IFERROR(__xludf.DUMMYFUNCTION("""COMPUTED_VALUE"""),"المعملجي")</f>
        <v>المعملجي</v>
      </c>
      <c r="D389" s="33" t="str">
        <f ca="1">IFERROR(__xludf.DUMMYFUNCTION("""COMPUTED_VALUE"""),"وحدة التبريد")</f>
        <v>وحدة التبريد</v>
      </c>
      <c r="E389" s="23" t="str">
        <f ca="1">IFERROR(__xludf.DUMMYFUNCTION("""COMPUTED_VALUE"""),"قسم المشاريع الهندسية")</f>
        <v>قسم المشاريع الهندسية</v>
      </c>
      <c r="F389" s="23" t="str">
        <f ca="1">IFERROR(__xludf.DUMMYFUNCTION("""COMPUTED_VALUE"""),"G- روضة الجود")</f>
        <v>G- روضة الجود</v>
      </c>
      <c r="G389" s="23" t="str">
        <f ca="1">IFERROR(__xludf.DUMMYFUNCTION("""COMPUTED_VALUE"""),"الطابق الارضي, الطابق الاول, الطابق الثاني, غرفة الكهرباء")</f>
        <v>الطابق الارضي, الطابق الاول, الطابق الثاني, غرفة الكهرباء</v>
      </c>
      <c r="H389" s="23" t="str">
        <f ca="1">IFERROR(__xludf.DUMMYFUNCTION("""COMPUTED_VALUE"""),"ادامة وتنظيف سبالت غرف الكهرباء والاتصالات  في البناية")</f>
        <v>ادامة وتنظيف سبالت غرف الكهرباء والاتصالات  في البناية</v>
      </c>
      <c r="I389" s="23"/>
      <c r="J389" s="23" t="s">
        <v>15</v>
      </c>
      <c r="K389" s="23" t="s">
        <v>13</v>
      </c>
      <c r="L389" s="32"/>
      <c r="M389" s="23"/>
    </row>
    <row r="390" spans="1:13" ht="75" customHeight="1" thickTop="1" thickBot="1">
      <c r="A390" s="23">
        <v>388</v>
      </c>
      <c r="B390" s="32">
        <f ca="1">IFERROR(__xludf.DUMMYFUNCTION("""COMPUTED_VALUE"""),46137.4152255092)</f>
        <v>46137.415225509198</v>
      </c>
      <c r="C390" s="33" t="str">
        <f ca="1">IFERROR(__xludf.DUMMYFUNCTION("""COMPUTED_VALUE"""),"المعملجي")</f>
        <v>المعملجي</v>
      </c>
      <c r="D390" s="33" t="str">
        <f ca="1">IFERROR(__xludf.DUMMYFUNCTION("""COMPUTED_VALUE"""),"وحدة التبريد")</f>
        <v>وحدة التبريد</v>
      </c>
      <c r="E390" s="23" t="str">
        <f ca="1">IFERROR(__xludf.DUMMYFUNCTION("""COMPUTED_VALUE"""),"قسم المشاريع الهندسية")</f>
        <v>قسم المشاريع الهندسية</v>
      </c>
      <c r="F39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90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390" s="23" t="str">
        <f ca="1">IFERROR(__xludf.DUMMYFUNCTION("""COMPUTED_VALUE"""),"ادامة وتنظيف سبالت غرف الكهرباء والاتصالات و المصاعد في البناية")</f>
        <v>ادامة وتنظيف سبالت غرف الكهرباء والاتصالات و المصاعد في البناية</v>
      </c>
      <c r="I390" s="23"/>
      <c r="J390" s="23" t="s">
        <v>15</v>
      </c>
      <c r="K390" s="23" t="s">
        <v>13</v>
      </c>
      <c r="L390" s="32"/>
      <c r="M390" s="23"/>
    </row>
    <row r="391" spans="1:13" ht="75" customHeight="1" thickTop="1" thickBot="1">
      <c r="A391" s="25">
        <v>389</v>
      </c>
      <c r="B391" s="32">
        <f ca="1">IFERROR(__xludf.DUMMYFUNCTION("""COMPUTED_VALUE"""),46137.4154914236)</f>
        <v>46137.415491423599</v>
      </c>
      <c r="C391" s="33" t="str">
        <f ca="1">IFERROR(__xludf.DUMMYFUNCTION("""COMPUTED_VALUE"""),"المعملجي")</f>
        <v>المعملجي</v>
      </c>
      <c r="D391" s="33" t="str">
        <f ca="1">IFERROR(__xludf.DUMMYFUNCTION("""COMPUTED_VALUE"""),"وحدة التبريد")</f>
        <v>وحدة التبريد</v>
      </c>
      <c r="E391" s="23" t="str">
        <f ca="1">IFERROR(__xludf.DUMMYFUNCTION("""COMPUTED_VALUE"""),"قسم المشاريع الهندسية")</f>
        <v>قسم المشاريع الهندسية</v>
      </c>
      <c r="F391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391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391" s="23" t="str">
        <f ca="1">IFERROR(__xludf.DUMMYFUNCTION("""COMPUTED_VALUE"""),"ادامة وتنظيف سبالت غرف الكهرباء والاتصالات و المصاعد في البناية")</f>
        <v>ادامة وتنظيف سبالت غرف الكهرباء والاتصالات و المصاعد في البناية</v>
      </c>
      <c r="I391" s="23"/>
      <c r="J391" s="23" t="s">
        <v>15</v>
      </c>
      <c r="K391" s="23" t="s">
        <v>13</v>
      </c>
      <c r="L391" s="32"/>
      <c r="M391" s="23"/>
    </row>
    <row r="392" spans="1:13" ht="75" customHeight="1" thickTop="1" thickBot="1">
      <c r="A392" s="23">
        <v>390</v>
      </c>
      <c r="B392" s="32">
        <f ca="1">IFERROR(__xludf.DUMMYFUNCTION("""COMPUTED_VALUE"""),46137.4156855555)</f>
        <v>46137.415685555497</v>
      </c>
      <c r="C392" s="33" t="str">
        <f ca="1">IFERROR(__xludf.DUMMYFUNCTION("""COMPUTED_VALUE"""),"المعملجي")</f>
        <v>المعملجي</v>
      </c>
      <c r="D392" s="33" t="str">
        <f ca="1">IFERROR(__xludf.DUMMYFUNCTION("""COMPUTED_VALUE"""),"وحدة التبريد")</f>
        <v>وحدة التبريد</v>
      </c>
      <c r="E392" s="23" t="str">
        <f ca="1">IFERROR(__xludf.DUMMYFUNCTION("""COMPUTED_VALUE"""),"قسم المشاريع الهندسية")</f>
        <v>قسم المشاريع الهندسية</v>
      </c>
      <c r="F392" s="23" t="str">
        <f ca="1">IFERROR(__xludf.DUMMYFUNCTION("""COMPUTED_VALUE"""),"E- ابتدائية العميد للبنات (الثالثة)")</f>
        <v>E- ابتدائية العميد للبنات (الثالثة)</v>
      </c>
      <c r="G392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392" s="23" t="str">
        <f ca="1">IFERROR(__xludf.DUMMYFUNCTION("""COMPUTED_VALUE"""),"ادامة وتنظيف سبالت غرف الكهرباء والاتصالات و المصاعد في البناية")</f>
        <v>ادامة وتنظيف سبالت غرف الكهرباء والاتصالات و المصاعد في البناية</v>
      </c>
      <c r="I392" s="23"/>
      <c r="J392" s="23" t="s">
        <v>15</v>
      </c>
      <c r="K392" s="23" t="s">
        <v>13</v>
      </c>
      <c r="L392" s="32"/>
      <c r="M392" s="23"/>
    </row>
    <row r="393" spans="1:13" ht="75" customHeight="1" thickTop="1" thickBot="1">
      <c r="A393" s="25">
        <v>391</v>
      </c>
      <c r="B393" s="32">
        <f ca="1">IFERROR(__xludf.DUMMYFUNCTION("""COMPUTED_VALUE"""),46137.4159147453)</f>
        <v>46137.415914745303</v>
      </c>
      <c r="C393" s="33" t="str">
        <f ca="1">IFERROR(__xludf.DUMMYFUNCTION("""COMPUTED_VALUE"""),"المعملجي")</f>
        <v>المعملجي</v>
      </c>
      <c r="D393" s="33" t="str">
        <f ca="1">IFERROR(__xludf.DUMMYFUNCTION("""COMPUTED_VALUE"""),"وحدة التبريد")</f>
        <v>وحدة التبريد</v>
      </c>
      <c r="E393" s="23" t="str">
        <f ca="1">IFERROR(__xludf.DUMMYFUNCTION("""COMPUTED_VALUE"""),"قسم المشاريع الهندسية")</f>
        <v>قسم المشاريع الهندسية</v>
      </c>
      <c r="F393" s="23" t="str">
        <f ca="1">IFERROR(__xludf.DUMMYFUNCTION("""COMPUTED_VALUE"""),"F-  ابتدائية جود العميد للبنات (الرابعة)")</f>
        <v>F-  ابتدائية جود العميد للبنات (الرابعة)</v>
      </c>
      <c r="G393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393" s="23" t="str">
        <f ca="1">IFERROR(__xludf.DUMMYFUNCTION("""COMPUTED_VALUE"""),"ادامة وتنظيف سبالت غرف الكهرباء والاتصالات و المصاعد في البناية")</f>
        <v>ادامة وتنظيف سبالت غرف الكهرباء والاتصالات و المصاعد في البناية</v>
      </c>
      <c r="I393" s="23"/>
      <c r="J393" s="23" t="s">
        <v>15</v>
      </c>
      <c r="K393" s="23" t="s">
        <v>13</v>
      </c>
      <c r="L393" s="32"/>
      <c r="M393" s="23"/>
    </row>
    <row r="394" spans="1:13" ht="75" customHeight="1" thickTop="1" thickBot="1">
      <c r="A394" s="23">
        <v>392</v>
      </c>
      <c r="B394" s="32">
        <f ca="1">IFERROR(__xludf.DUMMYFUNCTION("""COMPUTED_VALUE"""),46137.4161227893)</f>
        <v>46137.416122789298</v>
      </c>
      <c r="C394" s="33" t="str">
        <f ca="1">IFERROR(__xludf.DUMMYFUNCTION("""COMPUTED_VALUE"""),"المعملجي")</f>
        <v>المعملجي</v>
      </c>
      <c r="D394" s="33" t="str">
        <f ca="1">IFERROR(__xludf.DUMMYFUNCTION("""COMPUTED_VALUE"""),"وحدة التبريد")</f>
        <v>وحدة التبريد</v>
      </c>
      <c r="E394" s="23" t="str">
        <f ca="1">IFERROR(__xludf.DUMMYFUNCTION("""COMPUTED_VALUE"""),"قسم المشاريع الهندسية")</f>
        <v>قسم المشاريع الهندسية</v>
      </c>
      <c r="F394" s="23" t="str">
        <f ca="1">IFERROR(__xludf.DUMMYFUNCTION("""COMPUTED_VALUE"""),"H- ابتدائية القمر للبنات (الخامسة)")</f>
        <v>H- ابتدائية القمر للبنات (الخامسة)</v>
      </c>
      <c r="G394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394" s="23" t="str">
        <f ca="1">IFERROR(__xludf.DUMMYFUNCTION("""COMPUTED_VALUE"""),"ادامة وتنظيف سبالت غرف الكهرباء والاتصالات و المصاعد في البناية")</f>
        <v>ادامة وتنظيف سبالت غرف الكهرباء والاتصالات و المصاعد في البناية</v>
      </c>
      <c r="I394" s="23"/>
      <c r="J394" s="23" t="s">
        <v>15</v>
      </c>
      <c r="K394" s="23" t="s">
        <v>13</v>
      </c>
      <c r="L394" s="32"/>
      <c r="M394" s="23"/>
    </row>
    <row r="395" spans="1:13" ht="75" customHeight="1" thickTop="1" thickBot="1">
      <c r="A395" s="25">
        <v>393</v>
      </c>
      <c r="B395" s="32">
        <f ca="1">IFERROR(__xludf.DUMMYFUNCTION("""COMPUTED_VALUE"""),46137.4164265162)</f>
        <v>46137.416426516204</v>
      </c>
      <c r="C395" s="33" t="str">
        <f ca="1">IFERROR(__xludf.DUMMYFUNCTION("""COMPUTED_VALUE"""),"المعملجي")</f>
        <v>المعملجي</v>
      </c>
      <c r="D395" s="33" t="str">
        <f ca="1">IFERROR(__xludf.DUMMYFUNCTION("""COMPUTED_VALUE"""),"وحدة التبريد")</f>
        <v>وحدة التبريد</v>
      </c>
      <c r="E395" s="23" t="str">
        <f ca="1">IFERROR(__xludf.DUMMYFUNCTION("""COMPUTED_VALUE"""),"قسم المشاريع الهندسية")</f>
        <v>قسم المشاريع الهندسية</v>
      </c>
      <c r="F395" s="23" t="str">
        <f ca="1">IFERROR(__xludf.DUMMYFUNCTION("""COMPUTED_VALUE"""),"I- ابتدائية الساقي للبنين (السادسة), J- ابتدائية الساقي للبنين الجانب الثاني (السابعة), J- جامعة العميد (السابعة)")</f>
        <v>I- ابتدائية الساقي للبنين (السادسة), J- ابتدائية الساقي للبنين الجانب الثاني (السابعة), J- جامعة العميد (السابعة)</v>
      </c>
      <c r="G395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395" s="23" t="str">
        <f ca="1">IFERROR(__xludf.DUMMYFUNCTION("""COMPUTED_VALUE"""),"ادامة وتنظيف سبالت غرف الكهرباء والاتصالات و المصاعد في البناية")</f>
        <v>ادامة وتنظيف سبالت غرف الكهرباء والاتصالات و المصاعد في البناية</v>
      </c>
      <c r="I395" s="23"/>
      <c r="J395" s="23" t="s">
        <v>15</v>
      </c>
      <c r="K395" s="23" t="s">
        <v>13</v>
      </c>
      <c r="L395" s="32"/>
      <c r="M395" s="23"/>
    </row>
    <row r="396" spans="1:13" ht="75" customHeight="1" thickTop="1" thickBot="1">
      <c r="A396" s="23">
        <v>394</v>
      </c>
      <c r="B396" s="32">
        <f ca="1">IFERROR(__xludf.DUMMYFUNCTION("""COMPUTED_VALUE"""),46137.4173229745)</f>
        <v>46137.417322974499</v>
      </c>
      <c r="C396" s="33" t="str">
        <f ca="1">IFERROR(__xludf.DUMMYFUNCTION("""COMPUTED_VALUE"""),"المعملجي")</f>
        <v>المعملجي</v>
      </c>
      <c r="D396" s="33" t="str">
        <f ca="1">IFERROR(__xludf.DUMMYFUNCTION("""COMPUTED_VALUE"""),"وحدة التبريد")</f>
        <v>وحدة التبريد</v>
      </c>
      <c r="E396" s="23" t="str">
        <f ca="1">IFERROR(__xludf.DUMMYFUNCTION("""COMPUTED_VALUE"""),"قسم المشاريع الهندسية")</f>
        <v>قسم المشاريع الهندسية</v>
      </c>
      <c r="F396" s="23" t="str">
        <f ca="1">IFERROR(__xludf.DUMMYFUNCTION("""COMPUTED_VALUE"""),"A- المركز الثقافي")</f>
        <v>A- المركز الثقافي</v>
      </c>
      <c r="G396" s="23" t="str">
        <f ca="1">IFERROR(__xludf.DUMMYFUNCTION("""COMPUTED_VALUE"""),"السطح")</f>
        <v>السطح</v>
      </c>
      <c r="H396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396" s="23"/>
      <c r="J396" s="23" t="s">
        <v>15</v>
      </c>
      <c r="K396" s="23" t="s">
        <v>13</v>
      </c>
      <c r="L396" s="32"/>
      <c r="M396" s="23"/>
    </row>
    <row r="397" spans="1:13" ht="75" customHeight="1" thickTop="1" thickBot="1">
      <c r="A397" s="25">
        <v>395</v>
      </c>
      <c r="B397" s="32">
        <f ca="1">IFERROR(__xludf.DUMMYFUNCTION("""COMPUTED_VALUE"""),46137.4176273726)</f>
        <v>46137.417627372597</v>
      </c>
      <c r="C397" s="33" t="str">
        <f ca="1">IFERROR(__xludf.DUMMYFUNCTION("""COMPUTED_VALUE"""),"المعملجي")</f>
        <v>المعملجي</v>
      </c>
      <c r="D397" s="33" t="str">
        <f ca="1">IFERROR(__xludf.DUMMYFUNCTION("""COMPUTED_VALUE"""),"وحدة التبريد")</f>
        <v>وحدة التبريد</v>
      </c>
      <c r="E397" s="23" t="str">
        <f ca="1">IFERROR(__xludf.DUMMYFUNCTION("""COMPUTED_VALUE"""),"قسم المشاريع الهندسية")</f>
        <v>قسم المشاريع الهندسية</v>
      </c>
      <c r="F397" s="23" t="str">
        <f ca="1">IFERROR(__xludf.DUMMYFUNCTION("""COMPUTED_VALUE"""),"B- روضة القمر")</f>
        <v>B- روضة القمر</v>
      </c>
      <c r="G397" s="23" t="str">
        <f ca="1">IFERROR(__xludf.DUMMYFUNCTION("""COMPUTED_VALUE"""),"السطح")</f>
        <v>السطح</v>
      </c>
      <c r="H397" s="23" t="str">
        <f ca="1">IFERROR(__xludf.DUMMYFUNCTION("""COMPUTED_VALUE"""),"ادامة وتنظيف منظومة ال dx في البناية")</f>
        <v>ادامة وتنظيف منظومة ال dx في البناية</v>
      </c>
      <c r="I397" s="23"/>
      <c r="J397" s="23" t="s">
        <v>15</v>
      </c>
      <c r="K397" s="23" t="s">
        <v>13</v>
      </c>
      <c r="L397" s="32"/>
      <c r="M397" s="23"/>
    </row>
    <row r="398" spans="1:13" ht="75" customHeight="1" thickTop="1" thickBot="1">
      <c r="A398" s="23">
        <v>396</v>
      </c>
      <c r="B398" s="32">
        <f ca="1">IFERROR(__xludf.DUMMYFUNCTION("""COMPUTED_VALUE"""),46137.4179179745)</f>
        <v>46137.417917974497</v>
      </c>
      <c r="C398" s="33" t="str">
        <f ca="1">IFERROR(__xludf.DUMMYFUNCTION("""COMPUTED_VALUE"""),"المعملجي")</f>
        <v>المعملجي</v>
      </c>
      <c r="D398" s="33" t="str">
        <f ca="1">IFERROR(__xludf.DUMMYFUNCTION("""COMPUTED_VALUE"""),"وحدة التبريد")</f>
        <v>وحدة التبريد</v>
      </c>
      <c r="E398" s="23" t="str">
        <f ca="1">IFERROR(__xludf.DUMMYFUNCTION("""COMPUTED_VALUE"""),"قسم المشاريع الهندسية")</f>
        <v>قسم المشاريع الهندسية</v>
      </c>
      <c r="F398" s="23" t="str">
        <f ca="1">IFERROR(__xludf.DUMMYFUNCTION("""COMPUTED_VALUE"""),"G- روضة الجود")</f>
        <v>G- روضة الجود</v>
      </c>
      <c r="G398" s="23" t="str">
        <f ca="1">IFERROR(__xludf.DUMMYFUNCTION("""COMPUTED_VALUE"""),"السطح")</f>
        <v>السطح</v>
      </c>
      <c r="H398" s="23" t="str">
        <f ca="1">IFERROR(__xludf.DUMMYFUNCTION("""COMPUTED_VALUE"""),"ادامة وتنظيف منظومة ال dx في البناية")</f>
        <v>ادامة وتنظيف منظومة ال dx في البناية</v>
      </c>
      <c r="I398" s="23"/>
      <c r="J398" s="23" t="s">
        <v>15</v>
      </c>
      <c r="K398" s="23" t="s">
        <v>13</v>
      </c>
      <c r="L398" s="32"/>
      <c r="M398" s="23"/>
    </row>
    <row r="399" spans="1:13" ht="75" customHeight="1" thickTop="1" thickBot="1">
      <c r="A399" s="25">
        <v>397</v>
      </c>
      <c r="B399" s="32">
        <f ca="1">IFERROR(__xludf.DUMMYFUNCTION("""COMPUTED_VALUE"""),46137.418151574)</f>
        <v>46137.418151573998</v>
      </c>
      <c r="C399" s="33" t="str">
        <f ca="1">IFERROR(__xludf.DUMMYFUNCTION("""COMPUTED_VALUE"""),"المعملجي")</f>
        <v>المعملجي</v>
      </c>
      <c r="D399" s="33" t="str">
        <f ca="1">IFERROR(__xludf.DUMMYFUNCTION("""COMPUTED_VALUE"""),"وحدة التبريد")</f>
        <v>وحدة التبريد</v>
      </c>
      <c r="E399" s="23" t="str">
        <f ca="1">IFERROR(__xludf.DUMMYFUNCTION("""COMPUTED_VALUE"""),"قسم المشاريع الهندسية")</f>
        <v>قسم المشاريع الهندسية</v>
      </c>
      <c r="F39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399" s="23" t="str">
        <f ca="1">IFERROR(__xludf.DUMMYFUNCTION("""COMPUTED_VALUE"""),"السطح")</f>
        <v>السطح</v>
      </c>
      <c r="H399" s="23" t="str">
        <f ca="1">IFERROR(__xludf.DUMMYFUNCTION("""COMPUTED_VALUE"""),"ادامة وتنظيف منظومة ال dx في البناية")</f>
        <v>ادامة وتنظيف منظومة ال dx في البناية</v>
      </c>
      <c r="I399" s="23"/>
      <c r="J399" s="23" t="s">
        <v>15</v>
      </c>
      <c r="K399" s="23" t="s">
        <v>13</v>
      </c>
      <c r="L399" s="32"/>
      <c r="M399" s="23"/>
    </row>
    <row r="400" spans="1:13" ht="75" customHeight="1" thickTop="1" thickBot="1">
      <c r="A400" s="23">
        <v>398</v>
      </c>
      <c r="B400" s="32">
        <f ca="1">IFERROR(__xludf.DUMMYFUNCTION("""COMPUTED_VALUE"""),46137.418390162)</f>
        <v>46137.418390161998</v>
      </c>
      <c r="C400" s="33" t="str">
        <f ca="1">IFERROR(__xludf.DUMMYFUNCTION("""COMPUTED_VALUE"""),"المعملجي")</f>
        <v>المعملجي</v>
      </c>
      <c r="D400" s="33" t="str">
        <f ca="1">IFERROR(__xludf.DUMMYFUNCTION("""COMPUTED_VALUE"""),"وحدة التبريد")</f>
        <v>وحدة التبريد</v>
      </c>
      <c r="E400" s="23" t="str">
        <f ca="1">IFERROR(__xludf.DUMMYFUNCTION("""COMPUTED_VALUE"""),"قسم المشاريع الهندسية")</f>
        <v>قسم المشاريع الهندسية</v>
      </c>
      <c r="F400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00" s="23" t="str">
        <f ca="1">IFERROR(__xludf.DUMMYFUNCTION("""COMPUTED_VALUE"""),"السطح")</f>
        <v>السطح</v>
      </c>
      <c r="H400" s="23" t="str">
        <f ca="1">IFERROR(__xludf.DUMMYFUNCTION("""COMPUTED_VALUE"""),"ادامة وتنظيف منظومة ال dx في البناية")</f>
        <v>ادامة وتنظيف منظومة ال dx في البناية</v>
      </c>
      <c r="I400" s="23"/>
      <c r="J400" s="23" t="s">
        <v>15</v>
      </c>
      <c r="K400" s="23" t="s">
        <v>13</v>
      </c>
      <c r="L400" s="32"/>
      <c r="M400" s="23"/>
    </row>
    <row r="401" spans="1:13" ht="75" customHeight="1" thickTop="1" thickBot="1">
      <c r="A401" s="25">
        <v>399</v>
      </c>
      <c r="B401" s="32">
        <f ca="1">IFERROR(__xludf.DUMMYFUNCTION("""COMPUTED_VALUE"""),46137.4187658912)</f>
        <v>46137.418765891198</v>
      </c>
      <c r="C401" s="33" t="str">
        <f ca="1">IFERROR(__xludf.DUMMYFUNCTION("""COMPUTED_VALUE"""),"المعملجي")</f>
        <v>المعملجي</v>
      </c>
      <c r="D401" s="33" t="str">
        <f ca="1">IFERROR(__xludf.DUMMYFUNCTION("""COMPUTED_VALUE"""),"وحدة التبريد")</f>
        <v>وحدة التبريد</v>
      </c>
      <c r="E401" s="23" t="str">
        <f ca="1">IFERROR(__xludf.DUMMYFUNCTION("""COMPUTED_VALUE"""),"قسم المشاريع الهندسية")</f>
        <v>قسم المشاريع الهندسية</v>
      </c>
      <c r="F401" s="23" t="str">
        <f ca="1">IFERROR(__xludf.DUMMYFUNCTION("""COMPUTED_VALUE"""),"E- ابتدائية العميد للبنات (الثالثة)")</f>
        <v>E- ابتدائية العميد للبنات (الثالثة)</v>
      </c>
      <c r="G401" s="23" t="str">
        <f ca="1">IFERROR(__xludf.DUMMYFUNCTION("""COMPUTED_VALUE"""),"السطح")</f>
        <v>السطح</v>
      </c>
      <c r="H401" s="23" t="str">
        <f ca="1">IFERROR(__xludf.DUMMYFUNCTION("""COMPUTED_VALUE"""),"ادامة وتنظيف منظومة ال dx في البناية")</f>
        <v>ادامة وتنظيف منظومة ال dx في البناية</v>
      </c>
      <c r="I401" s="23"/>
      <c r="J401" s="23" t="s">
        <v>15</v>
      </c>
      <c r="K401" s="23" t="s">
        <v>13</v>
      </c>
      <c r="L401" s="32"/>
      <c r="M401" s="23"/>
    </row>
    <row r="402" spans="1:13" ht="75" customHeight="1" thickTop="1" thickBot="1">
      <c r="A402" s="23">
        <v>400</v>
      </c>
      <c r="B402" s="32">
        <f ca="1">IFERROR(__xludf.DUMMYFUNCTION("""COMPUTED_VALUE"""),46137.4191573379)</f>
        <v>46137.419157337899</v>
      </c>
      <c r="C402" s="33" t="str">
        <f ca="1">IFERROR(__xludf.DUMMYFUNCTION("""COMPUTED_VALUE"""),"المعملجي")</f>
        <v>المعملجي</v>
      </c>
      <c r="D402" s="33" t="str">
        <f ca="1">IFERROR(__xludf.DUMMYFUNCTION("""COMPUTED_VALUE"""),"وحدة التبريد")</f>
        <v>وحدة التبريد</v>
      </c>
      <c r="E402" s="23" t="str">
        <f ca="1">IFERROR(__xludf.DUMMYFUNCTION("""COMPUTED_VALUE"""),"قسم المشاريع الهندسية")</f>
        <v>قسم المشاريع الهندسية</v>
      </c>
      <c r="F402" s="23" t="str">
        <f ca="1">IFERROR(__xludf.DUMMYFUNCTION("""COMPUTED_VALUE"""),"F-  ابتدائية جود العميد للبنات (الرابعة)")</f>
        <v>F-  ابتدائية جود العميد للبنات (الرابعة)</v>
      </c>
      <c r="G402" s="23" t="str">
        <f ca="1">IFERROR(__xludf.DUMMYFUNCTION("""COMPUTED_VALUE"""),"السطح")</f>
        <v>السطح</v>
      </c>
      <c r="H402" s="23" t="str">
        <f ca="1">IFERROR(__xludf.DUMMYFUNCTION("""COMPUTED_VALUE"""),"ادامة وتنظيف منظومة ال dx في البناية")</f>
        <v>ادامة وتنظيف منظومة ال dx في البناية</v>
      </c>
      <c r="I402" s="23"/>
      <c r="J402" s="23" t="s">
        <v>15</v>
      </c>
      <c r="K402" s="23" t="s">
        <v>13</v>
      </c>
      <c r="L402" s="32"/>
      <c r="M402" s="23"/>
    </row>
    <row r="403" spans="1:13" ht="75" customHeight="1" thickTop="1" thickBot="1">
      <c r="A403" s="25">
        <v>401</v>
      </c>
      <c r="B403" s="32">
        <f ca="1">IFERROR(__xludf.DUMMYFUNCTION("""COMPUTED_VALUE"""),46137.4193322569)</f>
        <v>46137.419332256897</v>
      </c>
      <c r="C403" s="33" t="str">
        <f ca="1">IFERROR(__xludf.DUMMYFUNCTION("""COMPUTED_VALUE"""),"المعملجي")</f>
        <v>المعملجي</v>
      </c>
      <c r="D403" s="33" t="str">
        <f ca="1">IFERROR(__xludf.DUMMYFUNCTION("""COMPUTED_VALUE"""),"وحدة التبريد")</f>
        <v>وحدة التبريد</v>
      </c>
      <c r="E403" s="23" t="str">
        <f ca="1">IFERROR(__xludf.DUMMYFUNCTION("""COMPUTED_VALUE"""),"قسم المشاريع الهندسية")</f>
        <v>قسم المشاريع الهندسية</v>
      </c>
      <c r="F403" s="23" t="str">
        <f ca="1">IFERROR(__xludf.DUMMYFUNCTION("""COMPUTED_VALUE"""),"H- ابتدائية القمر للبنات (الخامسة)")</f>
        <v>H- ابتدائية القمر للبنات (الخامسة)</v>
      </c>
      <c r="G403" s="23" t="str">
        <f ca="1">IFERROR(__xludf.DUMMYFUNCTION("""COMPUTED_VALUE"""),"السطح")</f>
        <v>السطح</v>
      </c>
      <c r="H403" s="23" t="str">
        <f ca="1">IFERROR(__xludf.DUMMYFUNCTION("""COMPUTED_VALUE"""),"ادامة وتنظيف منظومة ال dx في البناية")</f>
        <v>ادامة وتنظيف منظومة ال dx في البناية</v>
      </c>
      <c r="I403" s="23"/>
      <c r="J403" s="23" t="s">
        <v>15</v>
      </c>
      <c r="K403" s="23" t="s">
        <v>13</v>
      </c>
      <c r="L403" s="32"/>
      <c r="M403" s="23"/>
    </row>
    <row r="404" spans="1:13" ht="75" customHeight="1" thickTop="1" thickBot="1">
      <c r="A404" s="23">
        <v>402</v>
      </c>
      <c r="B404" s="32">
        <f ca="1">IFERROR(__xludf.DUMMYFUNCTION("""COMPUTED_VALUE"""),46137.419522199)</f>
        <v>46137.419522199001</v>
      </c>
      <c r="C404" s="33" t="str">
        <f ca="1">IFERROR(__xludf.DUMMYFUNCTION("""COMPUTED_VALUE"""),"المعملجي")</f>
        <v>المعملجي</v>
      </c>
      <c r="D404" s="33" t="str">
        <f ca="1">IFERROR(__xludf.DUMMYFUNCTION("""COMPUTED_VALUE"""),"وحدة التبريد")</f>
        <v>وحدة التبريد</v>
      </c>
      <c r="E404" s="23" t="str">
        <f ca="1">IFERROR(__xludf.DUMMYFUNCTION("""COMPUTED_VALUE"""),"قسم المشاريع الهندسية")</f>
        <v>قسم المشاريع الهندسية</v>
      </c>
      <c r="F404" s="23" t="str">
        <f ca="1">IFERROR(__xludf.DUMMYFUNCTION("""COMPUTED_VALUE"""),"I- ابتدائية الساقي للبنين (السادسة)")</f>
        <v>I- ابتدائية الساقي للبنين (السادسة)</v>
      </c>
      <c r="G404" s="23" t="str">
        <f ca="1">IFERROR(__xludf.DUMMYFUNCTION("""COMPUTED_VALUE"""),"السطح")</f>
        <v>السطح</v>
      </c>
      <c r="H404" s="23" t="str">
        <f ca="1">IFERROR(__xludf.DUMMYFUNCTION("""COMPUTED_VALUE"""),"ادامة وتنظيف منظومة ال dx في البناية")</f>
        <v>ادامة وتنظيف منظومة ال dx في البناية</v>
      </c>
      <c r="I404" s="23"/>
      <c r="J404" s="23" t="s">
        <v>15</v>
      </c>
      <c r="K404" s="23" t="s">
        <v>13</v>
      </c>
      <c r="L404" s="32"/>
      <c r="M404" s="23"/>
    </row>
    <row r="405" spans="1:13" ht="75" customHeight="1" thickTop="1" thickBot="1">
      <c r="A405" s="25">
        <v>403</v>
      </c>
      <c r="B405" s="32">
        <f ca="1">IFERROR(__xludf.DUMMYFUNCTION("""COMPUTED_VALUE"""),46137.4203944213)</f>
        <v>46137.4203944213</v>
      </c>
      <c r="C405" s="33" t="str">
        <f ca="1">IFERROR(__xludf.DUMMYFUNCTION("""COMPUTED_VALUE"""),"المعملجي")</f>
        <v>المعملجي</v>
      </c>
      <c r="D405" s="33" t="str">
        <f ca="1">IFERROR(__xludf.DUMMYFUNCTION("""COMPUTED_VALUE"""),"وحدة التبريد")</f>
        <v>وحدة التبريد</v>
      </c>
      <c r="E405" s="23" t="str">
        <f ca="1">IFERROR(__xludf.DUMMYFUNCTION("""COMPUTED_VALUE"""),"قسم المشاريع الهندسية")</f>
        <v>قسم المشاريع الهندسية</v>
      </c>
      <c r="F405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405" s="23" t="str">
        <f ca="1">IFERROR(__xludf.DUMMYFUNCTION("""COMPUTED_VALUE"""),"السطح")</f>
        <v>السطح</v>
      </c>
      <c r="H405" s="23" t="str">
        <f ca="1">IFERROR(__xludf.DUMMYFUNCTION("""COMPUTED_VALUE"""),"ادامة وتنظيف منظومة ال dx في البناية")</f>
        <v>ادامة وتنظيف منظومة ال dx في البناية</v>
      </c>
      <c r="I405" s="23"/>
      <c r="J405" s="23" t="s">
        <v>15</v>
      </c>
      <c r="K405" s="23" t="s">
        <v>13</v>
      </c>
      <c r="L405" s="32"/>
      <c r="M405" s="23"/>
    </row>
    <row r="406" spans="1:13" ht="75" customHeight="1" thickTop="1" thickBot="1">
      <c r="A406" s="23">
        <v>404</v>
      </c>
      <c r="B406" s="32">
        <f ca="1">IFERROR(__xludf.DUMMYFUNCTION("""COMPUTED_VALUE"""),46137.4214705787)</f>
        <v>46137.421470578702</v>
      </c>
      <c r="C406" s="33" t="str">
        <f ca="1">IFERROR(__xludf.DUMMYFUNCTION("""COMPUTED_VALUE"""),"المعملجي")</f>
        <v>المعملجي</v>
      </c>
      <c r="D406" s="33" t="str">
        <f ca="1">IFERROR(__xludf.DUMMYFUNCTION("""COMPUTED_VALUE"""),"وحدة التبريد")</f>
        <v>وحدة التبريد</v>
      </c>
      <c r="E406" s="23" t="str">
        <f ca="1">IFERROR(__xludf.DUMMYFUNCTION("""COMPUTED_VALUE"""),"قسم المشاريع الهندسية")</f>
        <v>قسم المشاريع الهندسية</v>
      </c>
      <c r="F406" s="23" t="str">
        <f ca="1">IFERROR(__xludf.DUMMYFUNCTION("""COMPUTED_VALUE"""),"الاستعلامات الرئيسية, النافورة, كرفانات الامنية والخدمية")</f>
        <v>الاستعلامات الرئيسية, النافورة, كرفانات الامنية والخدمية</v>
      </c>
      <c r="G406" s="23"/>
      <c r="H406" s="23" t="str">
        <f ca="1">IFERROR(__xludf.DUMMYFUNCTION("""COMPUTED_VALUE"""),"ادامة وتنظيف السبالت ")</f>
        <v xml:space="preserve">ادامة وتنظيف السبالت </v>
      </c>
      <c r="I406" s="23"/>
      <c r="J406" s="23" t="s">
        <v>15</v>
      </c>
      <c r="K406" s="23" t="s">
        <v>13</v>
      </c>
      <c r="L406" s="32"/>
      <c r="M406" s="23"/>
    </row>
    <row r="407" spans="1:13" ht="75" customHeight="1" thickTop="1" thickBot="1">
      <c r="A407" s="25">
        <v>405</v>
      </c>
      <c r="B407" s="32">
        <f ca="1">IFERROR(__xludf.DUMMYFUNCTION("""COMPUTED_VALUE"""),46137.4222138888)</f>
        <v>46137.4222138888</v>
      </c>
      <c r="C407" s="33" t="str">
        <f ca="1">IFERROR(__xludf.DUMMYFUNCTION("""COMPUTED_VALUE"""),"المعملجي")</f>
        <v>المعملجي</v>
      </c>
      <c r="D407" s="33" t="str">
        <f ca="1">IFERROR(__xludf.DUMMYFUNCTION("""COMPUTED_VALUE"""),"وحدة التبريد")</f>
        <v>وحدة التبريد</v>
      </c>
      <c r="E407" s="23" t="str">
        <f ca="1">IFERROR(__xludf.DUMMYFUNCTION("""COMPUTED_VALUE"""),"قسم المشاريع الهندسية")</f>
        <v>قسم المشاريع الهندسية</v>
      </c>
      <c r="F407" s="23" t="str">
        <f ca="1">IFERROR(__xludf.DUMMYFUNCTION("""COMPUTED_VALUE"""),"B- روضة القمر")</f>
        <v>B- روضة القمر</v>
      </c>
      <c r="G407" s="23" t="str">
        <f ca="1">IFERROR(__xludf.DUMMYFUNCTION("""COMPUTED_VALUE"""),"السطح, القاعة الرياضية مقابل الاولى ")</f>
        <v xml:space="preserve">السطح, القاعة الرياضية مقابل الاولى </v>
      </c>
      <c r="H407" s="23" t="str">
        <f ca="1">IFERROR(__xludf.DUMMYFUNCTION("""COMPUTED_VALUE"""),"ادامة وتنظيف منظومة البكج الخاصة بالقاعه ")</f>
        <v xml:space="preserve">ادامة وتنظيف منظومة البكج الخاصة بالقاعه </v>
      </c>
      <c r="I407" s="23"/>
      <c r="J407" s="23" t="s">
        <v>15</v>
      </c>
      <c r="K407" s="23" t="s">
        <v>13</v>
      </c>
      <c r="L407" s="32"/>
      <c r="M407" s="23"/>
    </row>
    <row r="408" spans="1:13" ht="75" customHeight="1" thickTop="1" thickBot="1">
      <c r="A408" s="23">
        <v>406</v>
      </c>
      <c r="B408" s="32">
        <f ca="1">IFERROR(__xludf.DUMMYFUNCTION("""COMPUTED_VALUE"""),46137.4226349884)</f>
        <v>46137.422634988397</v>
      </c>
      <c r="C408" s="33" t="str">
        <f ca="1">IFERROR(__xludf.DUMMYFUNCTION("""COMPUTED_VALUE"""),"المعملجي")</f>
        <v>المعملجي</v>
      </c>
      <c r="D408" s="33" t="str">
        <f ca="1">IFERROR(__xludf.DUMMYFUNCTION("""COMPUTED_VALUE"""),"وحدة التبريد")</f>
        <v>وحدة التبريد</v>
      </c>
      <c r="E408" s="23" t="str">
        <f ca="1">IFERROR(__xludf.DUMMYFUNCTION("""COMPUTED_VALUE"""),"قسم المشاريع الهندسية")</f>
        <v>قسم المشاريع الهندسية</v>
      </c>
      <c r="F408" s="23" t="str">
        <f ca="1">IFERROR(__xludf.DUMMYFUNCTION("""COMPUTED_VALUE"""),"B- روضة القمر")</f>
        <v>B- روضة القمر</v>
      </c>
      <c r="G408" s="23" t="str">
        <f ca="1">IFERROR(__xludf.DUMMYFUNCTION("""COMPUTED_VALUE"""),"السطح, القاعة الرياضية مقابل المركز الثقافي ")</f>
        <v xml:space="preserve">السطح, القاعة الرياضية مقابل المركز الثقافي </v>
      </c>
      <c r="H408" s="23" t="str">
        <f ca="1">IFERROR(__xludf.DUMMYFUNCTION("""COMPUTED_VALUE"""),"ادامة وتنظيف منظومة البكج الخاصة بالقاعه ")</f>
        <v xml:space="preserve">ادامة وتنظيف منظومة البكج الخاصة بالقاعه </v>
      </c>
      <c r="I408" s="23"/>
      <c r="J408" s="23" t="s">
        <v>15</v>
      </c>
      <c r="K408" s="23" t="s">
        <v>13</v>
      </c>
      <c r="L408" s="32"/>
      <c r="M408" s="23"/>
    </row>
    <row r="409" spans="1:13" ht="75" customHeight="1" thickTop="1" thickBot="1">
      <c r="A409" s="25">
        <v>407</v>
      </c>
      <c r="B409" s="32">
        <f ca="1">IFERROR(__xludf.DUMMYFUNCTION("""COMPUTED_VALUE"""),46137.4229530555)</f>
        <v>46137.422953055502</v>
      </c>
      <c r="C409" s="33" t="str">
        <f ca="1">IFERROR(__xludf.DUMMYFUNCTION("""COMPUTED_VALUE"""),"المعملجي")</f>
        <v>المعملجي</v>
      </c>
      <c r="D409" s="33" t="str">
        <f ca="1">IFERROR(__xludf.DUMMYFUNCTION("""COMPUTED_VALUE"""),"وحدة التبريد")</f>
        <v>وحدة التبريد</v>
      </c>
      <c r="E409" s="23" t="str">
        <f ca="1">IFERROR(__xludf.DUMMYFUNCTION("""COMPUTED_VALUE"""),"قسم المشاريع الهندسية")</f>
        <v>قسم المشاريع الهندسية</v>
      </c>
      <c r="F409" s="23" t="str">
        <f ca="1">IFERROR(__xludf.DUMMYFUNCTION("""COMPUTED_VALUE"""),"G- روضة الجود")</f>
        <v>G- روضة الجود</v>
      </c>
      <c r="G409" s="23" t="str">
        <f ca="1">IFERROR(__xludf.DUMMYFUNCTION("""COMPUTED_VALUE"""),"السطح, القاعة الرياضية مقابل الرابعة ")</f>
        <v xml:space="preserve">السطح, القاعة الرياضية مقابل الرابعة </v>
      </c>
      <c r="H409" s="23" t="str">
        <f ca="1">IFERROR(__xludf.DUMMYFUNCTION("""COMPUTED_VALUE"""),"ادامة وتنظيف منظومة البكج الخاصة بالقاعه ")</f>
        <v xml:space="preserve">ادامة وتنظيف منظومة البكج الخاصة بالقاعه </v>
      </c>
      <c r="I409" s="23"/>
      <c r="J409" s="23" t="s">
        <v>15</v>
      </c>
      <c r="K409" s="23" t="s">
        <v>13</v>
      </c>
      <c r="L409" s="32"/>
      <c r="M409" s="23"/>
    </row>
    <row r="410" spans="1:13" ht="75" customHeight="1" thickTop="1" thickBot="1">
      <c r="A410" s="23">
        <v>408</v>
      </c>
      <c r="B410" s="32">
        <f ca="1">IFERROR(__xludf.DUMMYFUNCTION("""COMPUTED_VALUE"""),46137.423295243)</f>
        <v>46137.423295243003</v>
      </c>
      <c r="C410" s="33" t="str">
        <f ca="1">IFERROR(__xludf.DUMMYFUNCTION("""COMPUTED_VALUE"""),"المعملجي")</f>
        <v>المعملجي</v>
      </c>
      <c r="D410" s="33" t="str">
        <f ca="1">IFERROR(__xludf.DUMMYFUNCTION("""COMPUTED_VALUE"""),"وحدة التبريد")</f>
        <v>وحدة التبريد</v>
      </c>
      <c r="E410" s="23" t="str">
        <f ca="1">IFERROR(__xludf.DUMMYFUNCTION("""COMPUTED_VALUE"""),"قسم المشاريع الهندسية")</f>
        <v>قسم المشاريع الهندسية</v>
      </c>
      <c r="F410" s="23" t="str">
        <f ca="1">IFERROR(__xludf.DUMMYFUNCTION("""COMPUTED_VALUE"""),"G- روضة الجود")</f>
        <v>G- روضة الجود</v>
      </c>
      <c r="G410" s="23" t="str">
        <f ca="1">IFERROR(__xludf.DUMMYFUNCTION("""COMPUTED_VALUE"""),"السطح, القاعة الرياضية مقابل الخامسة ")</f>
        <v xml:space="preserve">السطح, القاعة الرياضية مقابل الخامسة </v>
      </c>
      <c r="H410" s="23" t="str">
        <f ca="1">IFERROR(__xludf.DUMMYFUNCTION("""COMPUTED_VALUE"""),"ادامة وتنظيف منظومة البكج الخاصة بالقاعه ")</f>
        <v xml:space="preserve">ادامة وتنظيف منظومة البكج الخاصة بالقاعه </v>
      </c>
      <c r="I410" s="23"/>
      <c r="J410" s="23" t="s">
        <v>15</v>
      </c>
      <c r="K410" s="23" t="s">
        <v>13</v>
      </c>
      <c r="L410" s="32"/>
      <c r="M410" s="23"/>
    </row>
    <row r="411" spans="1:13" ht="75" customHeight="1" thickTop="1" thickBot="1">
      <c r="A411" s="25">
        <v>409</v>
      </c>
      <c r="B411" s="32">
        <f ca="1">IFERROR(__xludf.DUMMYFUNCTION("""COMPUTED_VALUE"""),46137.4243599884)</f>
        <v>46137.424359988399</v>
      </c>
      <c r="C411" s="33" t="str">
        <f ca="1">IFERROR(__xludf.DUMMYFUNCTION("""COMPUTED_VALUE"""),"المعملجي")</f>
        <v>المعملجي</v>
      </c>
      <c r="D411" s="33" t="str">
        <f ca="1">IFERROR(__xludf.DUMMYFUNCTION("""COMPUTED_VALUE"""),"وحدة التبريد")</f>
        <v>وحدة التبريد</v>
      </c>
      <c r="E411" s="23" t="str">
        <f ca="1">IFERROR(__xludf.DUMMYFUNCTION("""COMPUTED_VALUE"""),"قسم المشاريع الهندسية")</f>
        <v>قسم المشاريع الهندسية</v>
      </c>
      <c r="F411" s="23" t="str">
        <f ca="1">IFERROR(__xludf.DUMMYFUNCTION("""COMPUTED_VALUE"""),"A- المركز الثقافي")</f>
        <v>A- المركز الثقافي</v>
      </c>
      <c r="G411" s="23" t="str">
        <f ca="1">IFERROR(__xludf.DUMMYFUNCTION("""COMPUTED_VALUE"""),"الطابق الارضي, الطابق الاول, قاعة المؤتمرات ")</f>
        <v xml:space="preserve">الطابق الارضي, الطابق الاول, قاعة المؤتمرات </v>
      </c>
      <c r="H411" s="23" t="str">
        <f ca="1">IFERROR(__xludf.DUMMYFUNCTION("""COMPUTED_VALUE"""),"ادامة وتنظيف فلاتر منظومة السبلت بكج الخاصة بقاعة المؤتمرات ")</f>
        <v xml:space="preserve">ادامة وتنظيف فلاتر منظومة السبلت بكج الخاصة بقاعة المؤتمرات </v>
      </c>
      <c r="I411" s="23"/>
      <c r="J411" s="23" t="s">
        <v>15</v>
      </c>
      <c r="K411" s="23" t="s">
        <v>13</v>
      </c>
      <c r="L411" s="32"/>
      <c r="M411" s="23"/>
    </row>
    <row r="412" spans="1:13" ht="75" customHeight="1" thickTop="1" thickBot="1">
      <c r="A412" s="23">
        <v>410</v>
      </c>
      <c r="B412" s="32">
        <f ca="1">IFERROR(__xludf.DUMMYFUNCTION("""COMPUTED_VALUE"""),46137.4247132175)</f>
        <v>46137.424713217501</v>
      </c>
      <c r="C412" s="33" t="str">
        <f ca="1">IFERROR(__xludf.DUMMYFUNCTION("""COMPUTED_VALUE"""),"المعملجي")</f>
        <v>المعملجي</v>
      </c>
      <c r="D412" s="33" t="str">
        <f ca="1">IFERROR(__xludf.DUMMYFUNCTION("""COMPUTED_VALUE"""),"وحدة التبريد")</f>
        <v>وحدة التبريد</v>
      </c>
      <c r="E412" s="23" t="str">
        <f ca="1">IFERROR(__xludf.DUMMYFUNCTION("""COMPUTED_VALUE"""),"قسم المشاريع الهندسية")</f>
        <v>قسم المشاريع الهندسية</v>
      </c>
      <c r="F412" s="23" t="str">
        <f ca="1">IFERROR(__xludf.DUMMYFUNCTION("""COMPUTED_VALUE"""),"A- المركز الثقافي")</f>
        <v>A- المركز الثقافي</v>
      </c>
      <c r="G412" s="23" t="str">
        <f ca="1">IFERROR(__xludf.DUMMYFUNCTION("""COMPUTED_VALUE"""),"الطابق الارضي, الطابق الاول, قاعة سراج العميد ")</f>
        <v xml:space="preserve">الطابق الارضي, الطابق الاول, قاعة سراج العميد </v>
      </c>
      <c r="H412" s="23" t="str">
        <f ca="1">IFERROR(__xludf.DUMMYFUNCTION("""COMPUTED_VALUE"""),"ادامة وتنظيف فلاتر منظومة السبلت بكج الخاصة بقاعة سراج العميد ")</f>
        <v xml:space="preserve">ادامة وتنظيف فلاتر منظومة السبلت بكج الخاصة بقاعة سراج العميد </v>
      </c>
      <c r="I412" s="23"/>
      <c r="J412" s="23" t="s">
        <v>15</v>
      </c>
      <c r="K412" s="23" t="s">
        <v>13</v>
      </c>
      <c r="L412" s="32"/>
      <c r="M412" s="23"/>
    </row>
    <row r="413" spans="1:13" ht="75" customHeight="1" thickTop="1" thickBot="1">
      <c r="A413" s="25">
        <v>411</v>
      </c>
      <c r="B413" s="32">
        <f ca="1">IFERROR(__xludf.DUMMYFUNCTION("""COMPUTED_VALUE"""),46137.425706655)</f>
        <v>46137.425706654998</v>
      </c>
      <c r="C413" s="33" t="str">
        <f ca="1">IFERROR(__xludf.DUMMYFUNCTION("""COMPUTED_VALUE"""),"المعملجي")</f>
        <v>المعملجي</v>
      </c>
      <c r="D413" s="33" t="str">
        <f ca="1">IFERROR(__xludf.DUMMYFUNCTION("""COMPUTED_VALUE"""),"وحدة التبريد")</f>
        <v>وحدة التبريد</v>
      </c>
      <c r="E413" s="23" t="str">
        <f ca="1">IFERROR(__xludf.DUMMYFUNCTION("""COMPUTED_VALUE"""),"قسم المشاريع الهندسية")</f>
        <v>قسم المشاريع الهندسية</v>
      </c>
      <c r="F413" s="23" t="str">
        <f ca="1">IFERROR(__xludf.DUMMYFUNCTION("""COMPUTED_VALUE"""),"A- المركز الثقافي")</f>
        <v>A- المركز الثقافي</v>
      </c>
      <c r="G413" s="23" t="str">
        <f ca="1">IFERROR(__xludf.DUMMYFUNCTION("""COMPUTED_VALUE"""),"الطابق الارضي, غرفة الكهرباء")</f>
        <v>الطابق الارضي, غرفة الكهرباء</v>
      </c>
      <c r="H413" s="23" t="str">
        <f ca="1">IFERROR(__xludf.DUMMYFUNCTION("""COMPUTED_VALUE"""),"صيانة ليك في سبلت غرفة الداتا سنتر ")</f>
        <v xml:space="preserve">صيانة ليك في سبلت غرفة الداتا سنتر </v>
      </c>
      <c r="I413" s="23"/>
      <c r="J413" s="23" t="s">
        <v>15</v>
      </c>
      <c r="K413" s="23" t="s">
        <v>13</v>
      </c>
      <c r="L413" s="32"/>
      <c r="M413" s="23"/>
    </row>
    <row r="414" spans="1:13" ht="75" customHeight="1" thickTop="1" thickBot="1">
      <c r="A414" s="23">
        <v>412</v>
      </c>
      <c r="B414" s="32">
        <f ca="1">IFERROR(__xludf.DUMMYFUNCTION("""COMPUTED_VALUE"""),46137.4261440277)</f>
        <v>46137.426144027697</v>
      </c>
      <c r="C414" s="33" t="str">
        <f ca="1">IFERROR(__xludf.DUMMYFUNCTION("""COMPUTED_VALUE"""),"المعملجي")</f>
        <v>المعملجي</v>
      </c>
      <c r="D414" s="33" t="str">
        <f ca="1">IFERROR(__xludf.DUMMYFUNCTION("""COMPUTED_VALUE"""),"وحدة التبريد")</f>
        <v>وحدة التبريد</v>
      </c>
      <c r="E414" s="23" t="str">
        <f ca="1">IFERROR(__xludf.DUMMYFUNCTION("""COMPUTED_VALUE"""),"قسم المشاريع الهندسية")</f>
        <v>قسم المشاريع الهندسية</v>
      </c>
      <c r="F414" s="23" t="str">
        <f ca="1">IFERROR(__xludf.DUMMYFUNCTION("""COMPUTED_VALUE"""),"B- روضة القمر")</f>
        <v>B- روضة القمر</v>
      </c>
      <c r="G414" s="23" t="str">
        <f ca="1">IFERROR(__xludf.DUMMYFUNCTION("""COMPUTED_VALUE"""),"الطابق الارضي, غرفة الكهرباء")</f>
        <v>الطابق الارضي, غرفة الكهرباء</v>
      </c>
      <c r="H414" s="23" t="str">
        <f ca="1">IFERROR(__xludf.DUMMYFUNCTION("""COMPUTED_VALUE"""),"صيانة ليك في سبلت غرفة الكهرباء الخارجية ")</f>
        <v xml:space="preserve">صيانة ليك في سبلت غرفة الكهرباء الخارجية </v>
      </c>
      <c r="I414" s="23"/>
      <c r="J414" s="23" t="s">
        <v>15</v>
      </c>
      <c r="K414" s="23" t="s">
        <v>13</v>
      </c>
      <c r="L414" s="32"/>
      <c r="M414" s="23"/>
    </row>
    <row r="415" spans="1:13" ht="75" customHeight="1" thickTop="1" thickBot="1">
      <c r="A415" s="25">
        <v>413</v>
      </c>
      <c r="B415" s="32">
        <f ca="1">IFERROR(__xludf.DUMMYFUNCTION("""COMPUTED_VALUE"""),46137.4264532407)</f>
        <v>46137.426453240703</v>
      </c>
      <c r="C415" s="33" t="str">
        <f ca="1">IFERROR(__xludf.DUMMYFUNCTION("""COMPUTED_VALUE"""),"المعملجي")</f>
        <v>المعملجي</v>
      </c>
      <c r="D415" s="33" t="str">
        <f ca="1">IFERROR(__xludf.DUMMYFUNCTION("""COMPUTED_VALUE"""),"وحدة التبريد")</f>
        <v>وحدة التبريد</v>
      </c>
      <c r="E415" s="23" t="str">
        <f ca="1">IFERROR(__xludf.DUMMYFUNCTION("""COMPUTED_VALUE"""),"قسم المشاريع الهندسية")</f>
        <v>قسم المشاريع الهندسية</v>
      </c>
      <c r="F415" s="23" t="str">
        <f ca="1">IFERROR(__xludf.DUMMYFUNCTION("""COMPUTED_VALUE"""),"G- روضة الجود")</f>
        <v>G- روضة الجود</v>
      </c>
      <c r="G415" s="23" t="str">
        <f ca="1">IFERROR(__xludf.DUMMYFUNCTION("""COMPUTED_VALUE"""),"الطابق الارضي, غرفة الكهرباء")</f>
        <v>الطابق الارضي, غرفة الكهرباء</v>
      </c>
      <c r="H415" s="23" t="str">
        <f ca="1">IFERROR(__xludf.DUMMYFUNCTION("""COMPUTED_VALUE"""),"صيانة ليك في سبلت غرفة الكهرباء الخارجية ")</f>
        <v xml:space="preserve">صيانة ليك في سبلت غرفة الكهرباء الخارجية </v>
      </c>
      <c r="I415" s="23"/>
      <c r="J415" s="23" t="s">
        <v>15</v>
      </c>
      <c r="K415" s="23" t="s">
        <v>13</v>
      </c>
      <c r="L415" s="32"/>
      <c r="M415" s="23"/>
    </row>
    <row r="416" spans="1:13" ht="75" customHeight="1" thickTop="1" thickBot="1">
      <c r="A416" s="23">
        <v>414</v>
      </c>
      <c r="B416" s="32">
        <f ca="1">IFERROR(__xludf.DUMMYFUNCTION("""COMPUTED_VALUE"""),46137.4269258912)</f>
        <v>46137.426925891203</v>
      </c>
      <c r="C416" s="33" t="str">
        <f ca="1">IFERROR(__xludf.DUMMYFUNCTION("""COMPUTED_VALUE"""),"المعملجي")</f>
        <v>المعملجي</v>
      </c>
      <c r="D416" s="33" t="str">
        <f ca="1">IFERROR(__xludf.DUMMYFUNCTION("""COMPUTED_VALUE"""),"وحدة التبريد")</f>
        <v>وحدة التبريد</v>
      </c>
      <c r="E416" s="23" t="str">
        <f ca="1">IFERROR(__xludf.DUMMYFUNCTION("""COMPUTED_VALUE"""),"قسم المشاريع الهندسية")</f>
        <v>قسم المشاريع الهندسية</v>
      </c>
      <c r="F41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416" s="23" t="str">
        <f ca="1">IFERROR(__xludf.DUMMYFUNCTION("""COMPUTED_VALUE"""),"الطابق الارضي, ZONE B, غرفة الكهرباء")</f>
        <v>الطابق الارضي, ZONE B, غرفة الكهرباء</v>
      </c>
      <c r="H416" s="23" t="str">
        <f ca="1">IFERROR(__xludf.DUMMYFUNCTION("""COMPUTED_VALUE"""),"صيانة ليك في سبلت غرفة الكهرباء الخاصة بالطابق")</f>
        <v>صيانة ليك في سبلت غرفة الكهرباء الخاصة بالطابق</v>
      </c>
      <c r="I416" s="23"/>
      <c r="J416" s="23" t="s">
        <v>15</v>
      </c>
      <c r="K416" s="23" t="s">
        <v>13</v>
      </c>
      <c r="L416" s="32"/>
      <c r="M416" s="23"/>
    </row>
    <row r="417" spans="1:13" ht="75" customHeight="1" thickTop="1" thickBot="1">
      <c r="A417" s="25">
        <v>415</v>
      </c>
      <c r="B417" s="32">
        <f ca="1">IFERROR(__xludf.DUMMYFUNCTION("""COMPUTED_VALUE"""),46137.4274474768)</f>
        <v>46137.427447476803</v>
      </c>
      <c r="C417" s="33" t="str">
        <f ca="1">IFERROR(__xludf.DUMMYFUNCTION("""COMPUTED_VALUE"""),"المعملجي")</f>
        <v>المعملجي</v>
      </c>
      <c r="D417" s="33" t="str">
        <f ca="1">IFERROR(__xludf.DUMMYFUNCTION("""COMPUTED_VALUE"""),"وحدة التبريد")</f>
        <v>وحدة التبريد</v>
      </c>
      <c r="E417" s="23" t="str">
        <f ca="1">IFERROR(__xludf.DUMMYFUNCTION("""COMPUTED_VALUE"""),"قسم المشاريع الهندسية")</f>
        <v>قسم المشاريع الهندسية</v>
      </c>
      <c r="F417" s="23" t="str">
        <f ca="1">IFERROR(__xludf.DUMMYFUNCTION("""COMPUTED_VALUE"""),"E- ابتدائية العميد للبنات (الثالثة)")</f>
        <v>E- ابتدائية العميد للبنات (الثالثة)</v>
      </c>
      <c r="G417" s="23" t="str">
        <f ca="1">IFERROR(__xludf.DUMMYFUNCTION("""COMPUTED_VALUE"""),"الطابق الاول, ZONE A")</f>
        <v>الطابق الاول, ZONE A</v>
      </c>
      <c r="H417" s="23" t="str">
        <f ca="1">IFERROR(__xludf.DUMMYFUNCTION("""COMPUTED_VALUE"""),"صيانة ليك في سبلت غرفة الكهرباء الخاصة بالطابق")</f>
        <v>صيانة ليك في سبلت غرفة الكهرباء الخاصة بالطابق</v>
      </c>
      <c r="I417" s="23"/>
      <c r="J417" s="23" t="s">
        <v>15</v>
      </c>
      <c r="K417" s="23" t="s">
        <v>13</v>
      </c>
      <c r="L417" s="32"/>
      <c r="M417" s="23"/>
    </row>
    <row r="418" spans="1:13" ht="75" customHeight="1" thickTop="1" thickBot="1">
      <c r="A418" s="23">
        <v>416</v>
      </c>
      <c r="B418" s="32">
        <f ca="1">IFERROR(__xludf.DUMMYFUNCTION("""COMPUTED_VALUE"""),46137.4277420023)</f>
        <v>46137.427742002299</v>
      </c>
      <c r="C418" s="33" t="str">
        <f ca="1">IFERROR(__xludf.DUMMYFUNCTION("""COMPUTED_VALUE"""),"المعملجي")</f>
        <v>المعملجي</v>
      </c>
      <c r="D418" s="33" t="str">
        <f ca="1">IFERROR(__xludf.DUMMYFUNCTION("""COMPUTED_VALUE"""),"وحدة التبريد")</f>
        <v>وحدة التبريد</v>
      </c>
      <c r="E418" s="23" t="str">
        <f ca="1">IFERROR(__xludf.DUMMYFUNCTION("""COMPUTED_VALUE"""),"قسم المشاريع الهندسية")</f>
        <v>قسم المشاريع الهندسية</v>
      </c>
      <c r="F418" s="23" t="str">
        <f ca="1">IFERROR(__xludf.DUMMYFUNCTION("""COMPUTED_VALUE"""),"F-  ابتدائية جود العميد للبنات (الرابعة)")</f>
        <v>F-  ابتدائية جود العميد للبنات (الرابعة)</v>
      </c>
      <c r="G418" s="23" t="str">
        <f ca="1">IFERROR(__xludf.DUMMYFUNCTION("""COMPUTED_VALUE"""),"الطابق الاول, ZONE A, غرفة الكهرباء")</f>
        <v>الطابق الاول, ZONE A, غرفة الكهرباء</v>
      </c>
      <c r="H418" s="23" t="str">
        <f ca="1">IFERROR(__xludf.DUMMYFUNCTION("""COMPUTED_VALUE"""),"صيانة ليك في سبلت غرفة الكهرباء الخاصة بالطابق")</f>
        <v>صيانة ليك في سبلت غرفة الكهرباء الخاصة بالطابق</v>
      </c>
      <c r="I418" s="23"/>
      <c r="J418" s="23" t="s">
        <v>15</v>
      </c>
      <c r="K418" s="23" t="s">
        <v>13</v>
      </c>
      <c r="L418" s="32"/>
      <c r="M418" s="23"/>
    </row>
    <row r="419" spans="1:13" ht="75" customHeight="1" thickTop="1" thickBot="1">
      <c r="A419" s="25">
        <v>417</v>
      </c>
      <c r="B419" s="32">
        <f ca="1">IFERROR(__xludf.DUMMYFUNCTION("""COMPUTED_VALUE"""),46137.4287160648)</f>
        <v>46137.428716064802</v>
      </c>
      <c r="C419" s="33" t="str">
        <f ca="1">IFERROR(__xludf.DUMMYFUNCTION("""COMPUTED_VALUE"""),"المعملجي")</f>
        <v>المعملجي</v>
      </c>
      <c r="D419" s="33" t="str">
        <f ca="1">IFERROR(__xludf.DUMMYFUNCTION("""COMPUTED_VALUE"""),"وحدة التبريد")</f>
        <v>وحدة التبريد</v>
      </c>
      <c r="E419" s="23" t="str">
        <f ca="1">IFERROR(__xludf.DUMMYFUNCTION("""COMPUTED_VALUE"""),"قسم المشاريع الهندسية")</f>
        <v>قسم المشاريع الهندسية</v>
      </c>
      <c r="F419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419" s="23" t="str">
        <f ca="1">IFERROR(__xludf.DUMMYFUNCTION("""COMPUTED_VALUE"""),"الطابق الاول, الطابق الثاني, ZONE A, ZONE B")</f>
        <v>الطابق الاول, الطابق الثاني, ZONE A, ZONE B</v>
      </c>
      <c r="H419" s="23" t="str">
        <f ca="1">IFERROR(__xludf.DUMMYFUNCTION("""COMPUTED_VALUE"""),"صيانة تسريب من درين 4 قطع الداخلية لمنظومة ال vrv")</f>
        <v>صيانة تسريب من درين 4 قطع الداخلية لمنظومة ال vrv</v>
      </c>
      <c r="I419" s="23"/>
      <c r="J419" s="23" t="s">
        <v>15</v>
      </c>
      <c r="K419" s="23" t="s">
        <v>13</v>
      </c>
      <c r="L419" s="32"/>
      <c r="M419" s="23"/>
    </row>
    <row r="420" spans="1:13" ht="75" customHeight="1" thickTop="1" thickBot="1">
      <c r="A420" s="23">
        <v>418</v>
      </c>
      <c r="B420" s="32">
        <f ca="1">IFERROR(__xludf.DUMMYFUNCTION("""COMPUTED_VALUE"""),46137.4297281018)</f>
        <v>46137.429728101801</v>
      </c>
      <c r="C420" s="33" t="str">
        <f ca="1">IFERROR(__xludf.DUMMYFUNCTION("""COMPUTED_VALUE"""),"المعملجي")</f>
        <v>المعملجي</v>
      </c>
      <c r="D420" s="33" t="str">
        <f ca="1">IFERROR(__xludf.DUMMYFUNCTION("""COMPUTED_VALUE"""),"وحدة التبريد")</f>
        <v>وحدة التبريد</v>
      </c>
      <c r="E420" s="23" t="str">
        <f ca="1">IFERROR(__xludf.DUMMYFUNCTION("""COMPUTED_VALUE"""),"قسم المشاريع الهندسية")</f>
        <v>قسم المشاريع الهندسية</v>
      </c>
      <c r="F420" s="23" t="str">
        <f ca="1">IFERROR(__xludf.DUMMYFUNCTION("""COMPUTED_VALUE"""),"G- روضة الجود")</f>
        <v>G- روضة الجود</v>
      </c>
      <c r="G420" s="23" t="str">
        <f ca="1">IFERROR(__xludf.DUMMYFUNCTION("""COMPUTED_VALUE"""),"الطابق الارضي, السطح")</f>
        <v>الطابق الارضي, السطح</v>
      </c>
      <c r="H420" s="23" t="str">
        <f ca="1">IFERROR(__xludf.DUMMYFUNCTION("""COMPUTED_VALUE"""),"صيانة كارت النويز فلتر في منظومة ال vrf الخاصة بالطابق")</f>
        <v>صيانة كارت النويز فلتر في منظومة ال vrf الخاصة بالطابق</v>
      </c>
      <c r="I420" s="23"/>
      <c r="J420" s="23" t="s">
        <v>15</v>
      </c>
      <c r="K420" s="23" t="s">
        <v>13</v>
      </c>
      <c r="L420" s="32"/>
      <c r="M420" s="23"/>
    </row>
    <row r="421" spans="1:13" ht="75" customHeight="1" thickTop="1" thickBot="1">
      <c r="A421" s="25">
        <v>419</v>
      </c>
      <c r="B421" s="32">
        <f ca="1">IFERROR(__xludf.DUMMYFUNCTION("""COMPUTED_VALUE"""),46137.4353235995)</f>
        <v>46137.4353235995</v>
      </c>
      <c r="C421" s="33" t="str">
        <f ca="1">IFERROR(__xludf.DUMMYFUNCTION("""COMPUTED_VALUE"""),"المعملجي")</f>
        <v>المعملجي</v>
      </c>
      <c r="D421" s="33" t="str">
        <f ca="1">IFERROR(__xludf.DUMMYFUNCTION("""COMPUTED_VALUE"""),"وحدة التبريد")</f>
        <v>وحدة التبريد</v>
      </c>
      <c r="E421" s="23" t="str">
        <f ca="1">IFERROR(__xludf.DUMMYFUNCTION("""COMPUTED_VALUE"""),"قسم المشاريع الهندسية")</f>
        <v>قسم المشاريع الهندسية</v>
      </c>
      <c r="F421" s="23" t="str">
        <f ca="1">IFERROR(__xludf.DUMMYFUNCTION("""COMPUTED_VALUE"""),"الاستعلامات الرئيسية")</f>
        <v>الاستعلامات الرئيسية</v>
      </c>
      <c r="G421" s="23"/>
      <c r="H421" s="23" t="str">
        <f ca="1">IFERROR(__xludf.DUMMYFUNCTION("""COMPUTED_VALUE"""),"صيانة ليك في سبلت غرفة الإدارة ")</f>
        <v xml:space="preserve">صيانة ليك في سبلت غرفة الإدارة </v>
      </c>
      <c r="I421" s="23"/>
      <c r="J421" s="23" t="s">
        <v>15</v>
      </c>
      <c r="K421" s="23" t="s">
        <v>13</v>
      </c>
      <c r="L421" s="32"/>
      <c r="M421" s="23"/>
    </row>
    <row r="422" spans="1:13" ht="75" customHeight="1" thickTop="1" thickBot="1">
      <c r="A422" s="23">
        <v>420</v>
      </c>
      <c r="B422" s="32">
        <f ca="1">IFERROR(__xludf.DUMMYFUNCTION("""COMPUTED_VALUE"""),46137.4361647106)</f>
        <v>46137.436164710598</v>
      </c>
      <c r="C422" s="33" t="str">
        <f ca="1">IFERROR(__xludf.DUMMYFUNCTION("""COMPUTED_VALUE"""),"المعملجي")</f>
        <v>المعملجي</v>
      </c>
      <c r="D422" s="33" t="str">
        <f ca="1">IFERROR(__xludf.DUMMYFUNCTION("""COMPUTED_VALUE"""),"وحدة التبريد")</f>
        <v>وحدة التبريد</v>
      </c>
      <c r="E422" s="23" t="str">
        <f ca="1">IFERROR(__xludf.DUMMYFUNCTION("""COMPUTED_VALUE"""),"قسم المشاريع الهندسية")</f>
        <v>قسم المشاريع الهندسية</v>
      </c>
      <c r="F422" s="23" t="str">
        <f ca="1">IFERROR(__xludf.DUMMYFUNCTION("""COMPUTED_VALUE"""),"E- ابتدائية العميد للبنات (الثالثة)")</f>
        <v>E- ابتدائية العميد للبنات (الثالثة)</v>
      </c>
      <c r="G422" s="23" t="str">
        <f ca="1">IFERROR(__xludf.DUMMYFUNCTION("""COMPUTED_VALUE"""),"الطابق الثاني, ZONE B")</f>
        <v>الطابق الثاني, ZONE B</v>
      </c>
      <c r="H422" s="23" t="str">
        <f ca="1">IFERROR(__xludf.DUMMYFUNCTION("""COMPUTED_VALUE"""),"صيانة كارت النويز فلتر في منظومة ال vrf الخاصة بالطابق")</f>
        <v>صيانة كارت النويز فلتر في منظومة ال vrf الخاصة بالطابق</v>
      </c>
      <c r="I422" s="23"/>
      <c r="J422" s="23" t="s">
        <v>15</v>
      </c>
      <c r="K422" s="23" t="s">
        <v>13</v>
      </c>
      <c r="L422" s="32">
        <v>46137.47260212963</v>
      </c>
      <c r="M422" s="23"/>
    </row>
    <row r="423" spans="1:13" ht="75" customHeight="1" thickTop="1" thickBot="1">
      <c r="A423" s="25">
        <v>421</v>
      </c>
      <c r="B423" s="32">
        <f ca="1">IFERROR(__xludf.DUMMYFUNCTION("""COMPUTED_VALUE"""),46140.4848875115)</f>
        <v>46140.484887511499</v>
      </c>
      <c r="C423" s="33" t="str">
        <f ca="1">IFERROR(__xludf.DUMMYFUNCTION("""COMPUTED_VALUE"""),"المعملجي")</f>
        <v>المعملجي</v>
      </c>
      <c r="D423" s="33" t="str">
        <f ca="1">IFERROR(__xludf.DUMMYFUNCTION("""COMPUTED_VALUE"""),"سجاد تربية")</f>
        <v>سجاد تربية</v>
      </c>
      <c r="E423" s="23" t="str">
        <f ca="1">IFERROR(__xludf.DUMMYFUNCTION("""COMPUTED_VALUE"""),"قسم التربية والتعليم العالي")</f>
        <v>قسم التربية والتعليم العالي</v>
      </c>
      <c r="F423" s="23" t="str">
        <f ca="1">IFERROR(__xludf.DUMMYFUNCTION("""COMPUTED_VALUE"""),"G- روضة الجود")</f>
        <v>G- روضة الجود</v>
      </c>
      <c r="G423" s="23" t="str">
        <f ca="1">IFERROR(__xludf.DUMMYFUNCTION("""COMPUTED_VALUE"""),"الطابق الارضي")</f>
        <v>الطابق الارضي</v>
      </c>
      <c r="H423" s="23" t="str">
        <f ca="1">IFERROR(__xludf.DUMMYFUNCTION("""COMPUTED_VALUE"""),"معالجة صوت في الدكتات ")</f>
        <v xml:space="preserve">معالجة صوت في الدكتات </v>
      </c>
      <c r="I423" s="23"/>
      <c r="J423" s="23" t="s">
        <v>15</v>
      </c>
      <c r="K423" s="23" t="s">
        <v>13</v>
      </c>
      <c r="L423" s="32">
        <v>46141.308853298615</v>
      </c>
      <c r="M423" s="23"/>
    </row>
    <row r="424" spans="1:13" ht="75" customHeight="1" thickTop="1" thickBot="1">
      <c r="A424" s="23">
        <v>422</v>
      </c>
      <c r="B424" s="32">
        <f ca="1">IFERROR(__xludf.DUMMYFUNCTION("""COMPUTED_VALUE"""),46142.3105835185)</f>
        <v>46142.310583518498</v>
      </c>
      <c r="C424" s="33" t="str">
        <f ca="1">IFERROR(__xludf.DUMMYFUNCTION("""COMPUTED_VALUE"""),"المعملجي")</f>
        <v>المعملجي</v>
      </c>
      <c r="D424" s="33" t="str">
        <f ca="1">IFERROR(__xludf.DUMMYFUNCTION("""COMPUTED_VALUE"""),"سجاد تربية")</f>
        <v>سجاد تربية</v>
      </c>
      <c r="E424" s="23" t="str">
        <f ca="1">IFERROR(__xludf.DUMMYFUNCTION("""COMPUTED_VALUE"""),"قسم التربية والتعليم العالي")</f>
        <v>قسم التربية والتعليم العالي</v>
      </c>
      <c r="F424" s="23" t="str">
        <f ca="1">IFERROR(__xludf.DUMMYFUNCTION("""COMPUTED_VALUE"""),"A- المركز الثقافي")</f>
        <v>A- المركز الثقافي</v>
      </c>
      <c r="G424" s="23" t="str">
        <f ca="1">IFERROR(__xludf.DUMMYFUNCTION("""COMPUTED_VALUE"""),"الطابق الرابع")</f>
        <v>الطابق الرابع</v>
      </c>
      <c r="H424" s="23" t="str">
        <f ca="1">IFERROR(__xludf.DUMMYFUNCTION("""COMPUTED_VALUE"""),"تبديل فإن VRF عدد    4")</f>
        <v>تبديل فإن VRF عدد    4</v>
      </c>
      <c r="I424" s="23"/>
      <c r="J424" s="23" t="s">
        <v>15</v>
      </c>
      <c r="K424" s="23" t="s">
        <v>13</v>
      </c>
      <c r="L424" s="32"/>
      <c r="M424" s="23"/>
    </row>
    <row r="425" spans="1:13" ht="75" customHeight="1" thickTop="1" thickBot="1">
      <c r="A425" s="25">
        <v>423</v>
      </c>
      <c r="B425" s="32">
        <f ca="1">IFERROR(__xludf.DUMMYFUNCTION("""COMPUTED_VALUE"""),46142.3115333333)</f>
        <v>46142.311533333297</v>
      </c>
      <c r="C425" s="33" t="str">
        <f ca="1">IFERROR(__xludf.DUMMYFUNCTION("""COMPUTED_VALUE"""),"المعملجي")</f>
        <v>المعملجي</v>
      </c>
      <c r="D425" s="33" t="str">
        <f ca="1">IFERROR(__xludf.DUMMYFUNCTION("""COMPUTED_VALUE"""),"سجاد تربية")</f>
        <v>سجاد تربية</v>
      </c>
      <c r="E425" s="23" t="str">
        <f ca="1">IFERROR(__xludf.DUMMYFUNCTION("""COMPUTED_VALUE"""),"قسم التربية والتعليم العالي")</f>
        <v>قسم التربية والتعليم العالي</v>
      </c>
      <c r="F425" s="23" t="str">
        <f ca="1">IFERROR(__xludf.DUMMYFUNCTION("""COMPUTED_VALUE"""),"A- المركز الثقافي")</f>
        <v>A- المركز الثقافي</v>
      </c>
      <c r="G425" s="23" t="str">
        <f ca="1">IFERROR(__xludf.DUMMYFUNCTION("""COMPUTED_VALUE"""),"الطابق الرابع")</f>
        <v>الطابق الرابع</v>
      </c>
      <c r="H425" s="23" t="str">
        <f ca="1">IFERROR(__xludf.DUMMYFUNCTION("""COMPUTED_VALUE"""),"فتح سبلت كاسيت ")</f>
        <v xml:space="preserve">فتح سبلت كاسيت </v>
      </c>
      <c r="I425" s="23"/>
      <c r="J425" s="23" t="s">
        <v>15</v>
      </c>
      <c r="K425" s="23" t="s">
        <v>13</v>
      </c>
      <c r="L425" s="32"/>
      <c r="M425" s="23"/>
    </row>
    <row r="426" spans="1:13" ht="75" customHeight="1" thickTop="1" thickBot="1">
      <c r="A426" s="23">
        <v>424</v>
      </c>
      <c r="B426" s="32">
        <f ca="1">IFERROR(__xludf.DUMMYFUNCTION("""COMPUTED_VALUE"""),46142.3135615625)</f>
        <v>46142.3135615625</v>
      </c>
      <c r="C426" s="33" t="str">
        <f ca="1">IFERROR(__xludf.DUMMYFUNCTION("""COMPUTED_VALUE"""),"المعملجي")</f>
        <v>المعملجي</v>
      </c>
      <c r="D426" s="33" t="str">
        <f ca="1">IFERROR(__xludf.DUMMYFUNCTION("""COMPUTED_VALUE"""),"سجاد تربية")</f>
        <v>سجاد تربية</v>
      </c>
      <c r="E426" s="23" t="str">
        <f ca="1">IFERROR(__xludf.DUMMYFUNCTION("""COMPUTED_VALUE"""),"قسم التربية والتعليم العالي")</f>
        <v>قسم التربية والتعليم العالي</v>
      </c>
      <c r="F426" s="23" t="str">
        <f ca="1">IFERROR(__xludf.DUMMYFUNCTION("""COMPUTED_VALUE"""),"A- المركز الثقافي")</f>
        <v>A- المركز الثقافي</v>
      </c>
      <c r="G426" s="23" t="str">
        <f ca="1">IFERROR(__xludf.DUMMYFUNCTION("""COMPUTED_VALUE"""),"الطابق الرابع")</f>
        <v>الطابق الرابع</v>
      </c>
      <c r="H426" s="23" t="str">
        <f ca="1">IFERROR(__xludf.DUMMYFUNCTION("""COMPUTED_VALUE"""),"تنصيب سبلت كاسيت في غرفة الكامرات ")</f>
        <v xml:space="preserve">تنصيب سبلت كاسيت في غرفة الكامرات </v>
      </c>
      <c r="I426" s="23"/>
      <c r="J426" s="23" t="s">
        <v>15</v>
      </c>
      <c r="K426" s="23" t="s">
        <v>13</v>
      </c>
      <c r="L426" s="32"/>
      <c r="M426" s="23"/>
    </row>
    <row r="427" spans="1:13" ht="75" customHeight="1" thickTop="1" thickBot="1">
      <c r="A427" s="25">
        <v>425</v>
      </c>
      <c r="B427" s="32">
        <f ca="1">IFERROR(__xludf.DUMMYFUNCTION("""COMPUTED_VALUE"""),46142.3487895717)</f>
        <v>46142.348789571697</v>
      </c>
      <c r="C427" s="33" t="str">
        <f ca="1">IFERROR(__xludf.DUMMYFUNCTION("""COMPUTED_VALUE"""),"المعملجي")</f>
        <v>المعملجي</v>
      </c>
      <c r="D427" s="33" t="str">
        <f ca="1">IFERROR(__xludf.DUMMYFUNCTION("""COMPUTED_VALUE"""),"سجاد تربية")</f>
        <v>سجاد تربية</v>
      </c>
      <c r="E427" s="23" t="str">
        <f ca="1">IFERROR(__xludf.DUMMYFUNCTION("""COMPUTED_VALUE"""),"قسم التربية والتعليم العالي")</f>
        <v>قسم التربية والتعليم العالي</v>
      </c>
      <c r="F427" s="23" t="str">
        <f ca="1">IFERROR(__xludf.DUMMYFUNCTION("""COMPUTED_VALUE"""),"A- المركز الثقافي, رئاسة القسم ")</f>
        <v xml:space="preserve">A- المركز الثقافي, رئاسة القسم </v>
      </c>
      <c r="G427" s="23" t="str">
        <f ca="1">IFERROR(__xludf.DUMMYFUNCTION("""COMPUTED_VALUE"""),"الطابق الارضي")</f>
        <v>الطابق الارضي</v>
      </c>
      <c r="H427" s="23" t="str">
        <f ca="1">IFERROR(__xludf.DUMMYFUNCTION("""COMPUTED_VALUE"""),"صيانة سبلت ")</f>
        <v xml:space="preserve">صيانة سبلت </v>
      </c>
      <c r="I427" s="23"/>
      <c r="J427" s="23" t="s">
        <v>15</v>
      </c>
      <c r="K427" s="23" t="s">
        <v>13</v>
      </c>
      <c r="L427" s="32">
        <v>46158.37329491898</v>
      </c>
      <c r="M427" s="23"/>
    </row>
    <row r="428" spans="1:13" ht="75" customHeight="1" thickTop="1" thickBot="1">
      <c r="A428" s="23">
        <v>426</v>
      </c>
      <c r="B428" s="32">
        <f ca="1">IFERROR(__xludf.DUMMYFUNCTION("""COMPUTED_VALUE"""),46142.4679858333)</f>
        <v>46142.467985833297</v>
      </c>
      <c r="C428" s="33" t="str">
        <f ca="1">IFERROR(__xludf.DUMMYFUNCTION("""COMPUTED_VALUE"""),"المعملجي")</f>
        <v>المعملجي</v>
      </c>
      <c r="D428" s="33" t="str">
        <f ca="1">IFERROR(__xludf.DUMMYFUNCTION("""COMPUTED_VALUE"""),"سجاد تربية")</f>
        <v>سجاد تربية</v>
      </c>
      <c r="E428" s="23" t="str">
        <f ca="1">IFERROR(__xludf.DUMMYFUNCTION("""COMPUTED_VALUE"""),"قسم التربية والتعليم العالي")</f>
        <v>قسم التربية والتعليم العالي</v>
      </c>
      <c r="F428" s="23" t="str">
        <f ca="1">IFERROR(__xludf.DUMMYFUNCTION("""COMPUTED_VALUE"""),"كرفان وحدة الخدمات المدرسية (أبو سجاد)")</f>
        <v>كرفان وحدة الخدمات المدرسية (أبو سجاد)</v>
      </c>
      <c r="G428" s="23" t="str">
        <f ca="1">IFERROR(__xludf.DUMMYFUNCTION("""COMPUTED_VALUE"""),"/")</f>
        <v>/</v>
      </c>
      <c r="H428" s="23" t="str">
        <f ca="1">IFERROR(__xludf.DUMMYFUNCTION("""COMPUTED_VALUE"""),"صيانة سبلت ")</f>
        <v xml:space="preserve">صيانة سبلت </v>
      </c>
      <c r="I428" s="23"/>
      <c r="J428" s="23" t="s">
        <v>15</v>
      </c>
      <c r="K428" s="23" t="s">
        <v>13</v>
      </c>
      <c r="L428" s="32">
        <v>46144.396050173615</v>
      </c>
      <c r="M428" s="23"/>
    </row>
    <row r="429" spans="1:13" ht="75" customHeight="1" thickTop="1" thickBot="1">
      <c r="A429" s="25">
        <v>427</v>
      </c>
      <c r="B429" s="32">
        <f ca="1">IFERROR(__xludf.DUMMYFUNCTION("""COMPUTED_VALUE"""),46146.4010801851)</f>
        <v>46146.401080185096</v>
      </c>
      <c r="C429" s="33" t="str">
        <f ca="1">IFERROR(__xludf.DUMMYFUNCTION("""COMPUTED_VALUE"""),"المعملجي")</f>
        <v>المعملجي</v>
      </c>
      <c r="D429" s="33" t="str">
        <f ca="1">IFERROR(__xludf.DUMMYFUNCTION("""COMPUTED_VALUE"""),"سجاد تربية")</f>
        <v>سجاد تربية</v>
      </c>
      <c r="E429" s="23" t="str">
        <f ca="1">IFERROR(__xludf.DUMMYFUNCTION("""COMPUTED_VALUE"""),"قسم التربية والتعليم العالي")</f>
        <v>قسم التربية والتعليم العالي</v>
      </c>
      <c r="F429" s="23" t="str">
        <f ca="1">IFERROR(__xludf.DUMMYFUNCTION("""COMPUTED_VALUE"""),"الاستعلامات الرئيسية")</f>
        <v>الاستعلامات الرئيسية</v>
      </c>
      <c r="G429" s="23" t="str">
        <f ca="1">IFERROR(__xludf.DUMMYFUNCTION("""COMPUTED_VALUE"""),"غرفة الادارة ")</f>
        <v xml:space="preserve">غرفة الادارة </v>
      </c>
      <c r="H429" s="23" t="str">
        <f ca="1">IFERROR(__xludf.DUMMYFUNCTION("""COMPUTED_VALUE"""),"صيانة سبلت ")</f>
        <v xml:space="preserve">صيانة سبلت </v>
      </c>
      <c r="I429" s="23"/>
      <c r="J429" s="23" t="s">
        <v>15</v>
      </c>
      <c r="K429" s="23" t="s">
        <v>13</v>
      </c>
      <c r="L429" s="32">
        <v>46146.473179976849</v>
      </c>
      <c r="M429" s="23"/>
    </row>
    <row r="430" spans="1:13" ht="75" customHeight="1" thickTop="1" thickBot="1">
      <c r="A430" s="23">
        <v>428</v>
      </c>
      <c r="B430" s="32">
        <f ca="1">IFERROR(__xludf.DUMMYFUNCTION("""COMPUTED_VALUE"""),46148.3800059953)</f>
        <v>46148.380005995299</v>
      </c>
      <c r="C430" s="33" t="str">
        <f ca="1">IFERROR(__xludf.DUMMYFUNCTION("""COMPUTED_VALUE"""),"المعملجي")</f>
        <v>المعملجي</v>
      </c>
      <c r="D430" s="33" t="str">
        <f ca="1">IFERROR(__xludf.DUMMYFUNCTION("""COMPUTED_VALUE"""),"سجاد تربية")</f>
        <v>سجاد تربية</v>
      </c>
      <c r="E430" s="23" t="str">
        <f ca="1">IFERROR(__xludf.DUMMYFUNCTION("""COMPUTED_VALUE"""),"قسم التربية والتعليم العالي")</f>
        <v>قسم التربية والتعليم العالي</v>
      </c>
      <c r="F430" s="23" t="str">
        <f ca="1">IFERROR(__xludf.DUMMYFUNCTION("""COMPUTED_VALUE"""),"A- المركز الثقافي")</f>
        <v>A- المركز الثقافي</v>
      </c>
      <c r="G430" s="23" t="str">
        <f ca="1">IFERROR(__xludf.DUMMYFUNCTION("""COMPUTED_VALUE"""),"قاعة المؤتمرات ")</f>
        <v xml:space="preserve">قاعة المؤتمرات </v>
      </c>
      <c r="H430" s="23" t="str">
        <f ca="1">IFERROR(__xludf.DUMMYFUNCTION("""COMPUTED_VALUE"""),"التبريد لا يعمل")</f>
        <v>التبريد لا يعمل</v>
      </c>
      <c r="I430" s="23"/>
      <c r="J430" s="23" t="s">
        <v>15</v>
      </c>
      <c r="K430" s="23" t="s">
        <v>13</v>
      </c>
      <c r="L430" s="32">
        <v>46148.462122025463</v>
      </c>
      <c r="M430" s="23"/>
    </row>
    <row r="431" spans="1:13" ht="75" customHeight="1" thickTop="1" thickBot="1">
      <c r="A431" s="25">
        <v>429</v>
      </c>
      <c r="B431" s="32">
        <f ca="1">IFERROR(__xludf.DUMMYFUNCTION("""COMPUTED_VALUE"""),46154.3607051967)</f>
        <v>46154.360705196697</v>
      </c>
      <c r="C431" s="33" t="str">
        <f ca="1">IFERROR(__xludf.DUMMYFUNCTION("""COMPUTED_VALUE"""),"المعملجي")</f>
        <v>المعملجي</v>
      </c>
      <c r="D431" s="33" t="str">
        <f ca="1">IFERROR(__xludf.DUMMYFUNCTION("""COMPUTED_VALUE"""),"سجاد تربية")</f>
        <v>سجاد تربية</v>
      </c>
      <c r="E431" s="23" t="str">
        <f ca="1">IFERROR(__xludf.DUMMYFUNCTION("""COMPUTED_VALUE"""),"قسم التربية والتعليم العالي")</f>
        <v>قسم التربية والتعليم العالي</v>
      </c>
      <c r="F431" s="23" t="str">
        <f ca="1">IFERROR(__xludf.DUMMYFUNCTION("""COMPUTED_VALUE"""),"E- ابتدائية العميد للبنات (الثالثة)")</f>
        <v>E- ابتدائية العميد للبنات (الثالثة)</v>
      </c>
      <c r="G431" s="23" t="str">
        <f ca="1">IFERROR(__xludf.DUMMYFUNCTION("""COMPUTED_VALUE"""),"الطابق الارضي")</f>
        <v>الطابق الارضي</v>
      </c>
      <c r="H431" s="23" t="str">
        <f ca="1">IFERROR(__xludf.DUMMYFUNCTION("""COMPUTED_VALUE"""),"تبريد لا يعمل")</f>
        <v>تبريد لا يعمل</v>
      </c>
      <c r="I431" s="23"/>
      <c r="J431" s="23" t="s">
        <v>15</v>
      </c>
      <c r="K431" s="23" t="s">
        <v>13</v>
      </c>
      <c r="L431" s="32">
        <v>46154.443559722218</v>
      </c>
      <c r="M431" s="23"/>
    </row>
    <row r="432" spans="1:13" ht="75" customHeight="1" thickTop="1" thickBot="1">
      <c r="A432" s="23">
        <v>430</v>
      </c>
      <c r="B432" s="32">
        <f ca="1">IFERROR(__xludf.DUMMYFUNCTION("""COMPUTED_VALUE"""),46166.4258694444)</f>
        <v>46166.4258694444</v>
      </c>
      <c r="C432" s="33" t="str">
        <f ca="1">IFERROR(__xludf.DUMMYFUNCTION("""COMPUTED_VALUE"""),"المعملجي")</f>
        <v>المعملجي</v>
      </c>
      <c r="D432" s="33" t="str">
        <f ca="1">IFERROR(__xludf.DUMMYFUNCTION("""COMPUTED_VALUE"""),"وحدة التبريد")</f>
        <v>وحدة التبريد</v>
      </c>
      <c r="E432" s="23" t="str">
        <f ca="1">IFERROR(__xludf.DUMMYFUNCTION("""COMPUTED_VALUE"""),"مجموعة العميد التربوية")</f>
        <v>مجموعة العميد التربوية</v>
      </c>
      <c r="F432" s="23" t="str">
        <f ca="1">IFERROR(__xludf.DUMMYFUNCTION("""COMPUTED_VALUE"""),"I- ابتدائية الساقي للبنين (السادسة)")</f>
        <v>I- ابتدائية الساقي للبنين (السادسة)</v>
      </c>
      <c r="G432" s="23"/>
      <c r="H432" s="23" t="str">
        <f ca="1">IFERROR(__xludf.DUMMYFUNCTION("""COMPUTED_VALUE"""),"التبريد لايعمل في بعض الغرف ")</f>
        <v xml:space="preserve">التبريد لايعمل في بعض الغرف </v>
      </c>
      <c r="I432" s="23"/>
      <c r="J432" s="23" t="s">
        <v>15</v>
      </c>
      <c r="K432" s="23" t="s">
        <v>13</v>
      </c>
      <c r="L432" s="32">
        <v>46166.588434768521</v>
      </c>
      <c r="M432" s="23"/>
    </row>
    <row r="433" spans="1:13" ht="75" customHeight="1" thickTop="1" thickBot="1">
      <c r="A433" s="25">
        <v>431</v>
      </c>
      <c r="B433" s="32">
        <f ca="1">IFERROR(__xludf.DUMMYFUNCTION("""COMPUTED_VALUE"""),46166.4600501851)</f>
        <v>46166.460050185102</v>
      </c>
      <c r="C433" s="33" t="str">
        <f ca="1">IFERROR(__xludf.DUMMYFUNCTION("""COMPUTED_VALUE"""),"المعملجي")</f>
        <v>المعملجي</v>
      </c>
      <c r="D433" s="33" t="str">
        <f ca="1">IFERROR(__xludf.DUMMYFUNCTION("""COMPUTED_VALUE"""),"ابراهيم الخطابي")</f>
        <v>ابراهيم الخطابي</v>
      </c>
      <c r="E433" s="23" t="str">
        <f ca="1">IFERROR(__xludf.DUMMYFUNCTION("""COMPUTED_VALUE"""),"مجموعة العميد التربوية")</f>
        <v>مجموعة العميد التربوية</v>
      </c>
      <c r="F433" s="23" t="str">
        <f ca="1">IFERROR(__xludf.DUMMYFUNCTION("""COMPUTED_VALUE"""),"D- ثانوية العميد بناية المتوسطة  (الثانية), ")</f>
        <v xml:space="preserve">D- ثانوية العميد بناية المتوسطة  (الثانية), </v>
      </c>
      <c r="G433" s="23"/>
      <c r="H433" s="23" t="str">
        <f ca="1">IFERROR(__xludf.DUMMYFUNCTION("""COMPUTED_VALUE"""),"صيانة التبريد الهوتء حار يرجى حضور الكادر بعد الساعه ١٢")</f>
        <v>صيانة التبريد الهوتء حار يرجى حضور الكادر بعد الساعه ١٢</v>
      </c>
      <c r="I433" s="23"/>
      <c r="J433" s="23" t="s">
        <v>15</v>
      </c>
      <c r="K433" s="23" t="s">
        <v>13</v>
      </c>
      <c r="L433" s="32">
        <v>46167.37466173611</v>
      </c>
      <c r="M433" s="23"/>
    </row>
    <row r="434" spans="1:13" ht="75" customHeight="1" thickTop="1" thickBot="1">
      <c r="A434" s="23">
        <v>432</v>
      </c>
      <c r="B434" s="32">
        <f ca="1">IFERROR(__xludf.DUMMYFUNCTION("""COMPUTED_VALUE"""),46173.3469650578)</f>
        <v>46173.346965057797</v>
      </c>
      <c r="C434" s="33" t="str">
        <f ca="1">IFERROR(__xludf.DUMMYFUNCTION("""COMPUTED_VALUE"""),"المعملجي")</f>
        <v>المعملجي</v>
      </c>
      <c r="D434" s="33" t="str">
        <f ca="1">IFERROR(__xludf.DUMMYFUNCTION("""COMPUTED_VALUE"""),"وحدة التبريد")</f>
        <v>وحدة التبريد</v>
      </c>
      <c r="E434" s="23" t="str">
        <f ca="1">IFERROR(__xludf.DUMMYFUNCTION("""COMPUTED_VALUE"""),"قسم المشاريع الهندسية")</f>
        <v>قسم المشاريع الهندسية</v>
      </c>
      <c r="F434" s="23" t="str">
        <f ca="1">IFERROR(__xludf.DUMMYFUNCTION("""COMPUTED_VALUE"""),"A- المركز الثقافي")</f>
        <v>A- المركز الثقافي</v>
      </c>
      <c r="G434" s="23" t="str">
        <f ca="1">IFERROR(__xludf.DUMMYFUNCTION("""COMPUTED_VALUE"""),"السطح")</f>
        <v>السطح</v>
      </c>
      <c r="H434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34" s="23"/>
      <c r="J434" s="23" t="s">
        <v>15</v>
      </c>
      <c r="K434" s="23" t="s">
        <v>13</v>
      </c>
      <c r="L434" s="32"/>
      <c r="M434" s="23"/>
    </row>
    <row r="435" spans="1:13" ht="75" customHeight="1" thickTop="1" thickBot="1">
      <c r="A435" s="25">
        <v>433</v>
      </c>
      <c r="B435" s="32">
        <f ca="1">IFERROR(__xludf.DUMMYFUNCTION("""COMPUTED_VALUE"""),46173.3472017939)</f>
        <v>46173.347201793898</v>
      </c>
      <c r="C435" s="33" t="str">
        <f ca="1">IFERROR(__xludf.DUMMYFUNCTION("""COMPUTED_VALUE"""),"المعملجي")</f>
        <v>المعملجي</v>
      </c>
      <c r="D435" s="33" t="str">
        <f ca="1">IFERROR(__xludf.DUMMYFUNCTION("""COMPUTED_VALUE"""),"وحدة التبريد")</f>
        <v>وحدة التبريد</v>
      </c>
      <c r="E435" s="23" t="str">
        <f ca="1">IFERROR(__xludf.DUMMYFUNCTION("""COMPUTED_VALUE"""),"قسم المشاريع الهندسية")</f>
        <v>قسم المشاريع الهندسية</v>
      </c>
      <c r="F435" s="23" t="str">
        <f ca="1">IFERROR(__xludf.DUMMYFUNCTION("""COMPUTED_VALUE"""),"B- روضة القمر")</f>
        <v>B- روضة القمر</v>
      </c>
      <c r="G435" s="23" t="str">
        <f ca="1">IFERROR(__xludf.DUMMYFUNCTION("""COMPUTED_VALUE"""),"السطح")</f>
        <v>السطح</v>
      </c>
      <c r="H435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35" s="23"/>
      <c r="J435" s="23" t="s">
        <v>15</v>
      </c>
      <c r="K435" s="23" t="s">
        <v>13</v>
      </c>
      <c r="L435" s="32"/>
      <c r="M435" s="23"/>
    </row>
    <row r="436" spans="1:13" ht="75" customHeight="1" thickTop="1" thickBot="1">
      <c r="A436" s="23">
        <v>434</v>
      </c>
      <c r="B436" s="32">
        <f ca="1">IFERROR(__xludf.DUMMYFUNCTION("""COMPUTED_VALUE"""),46173.3474130787)</f>
        <v>46173.3474130787</v>
      </c>
      <c r="C436" s="33" t="str">
        <f ca="1">IFERROR(__xludf.DUMMYFUNCTION("""COMPUTED_VALUE"""),"المعملجي")</f>
        <v>المعملجي</v>
      </c>
      <c r="D436" s="33" t="str">
        <f ca="1">IFERROR(__xludf.DUMMYFUNCTION("""COMPUTED_VALUE"""),"وحدة التبريد")</f>
        <v>وحدة التبريد</v>
      </c>
      <c r="E436" s="23" t="str">
        <f ca="1">IFERROR(__xludf.DUMMYFUNCTION("""COMPUTED_VALUE"""),"قسم المشاريع الهندسية")</f>
        <v>قسم المشاريع الهندسية</v>
      </c>
      <c r="F436" s="23" t="str">
        <f ca="1">IFERROR(__xludf.DUMMYFUNCTION("""COMPUTED_VALUE"""),"G- روضة الجود")</f>
        <v>G- روضة الجود</v>
      </c>
      <c r="G436" s="23" t="str">
        <f ca="1">IFERROR(__xludf.DUMMYFUNCTION("""COMPUTED_VALUE"""),"السطح")</f>
        <v>السطح</v>
      </c>
      <c r="H436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36" s="23"/>
      <c r="J436" s="23" t="s">
        <v>15</v>
      </c>
      <c r="K436" s="23" t="s">
        <v>13</v>
      </c>
      <c r="L436" s="32"/>
      <c r="M436" s="23"/>
    </row>
    <row r="437" spans="1:13" ht="75" customHeight="1" thickTop="1" thickBot="1">
      <c r="A437" s="25">
        <v>435</v>
      </c>
      <c r="B437" s="32">
        <f ca="1">IFERROR(__xludf.DUMMYFUNCTION("""COMPUTED_VALUE"""),46173.3476130671)</f>
        <v>46173.347613067097</v>
      </c>
      <c r="C437" s="33" t="str">
        <f ca="1">IFERROR(__xludf.DUMMYFUNCTION("""COMPUTED_VALUE"""),"المعملجي")</f>
        <v>المعملجي</v>
      </c>
      <c r="D437" s="33" t="str">
        <f ca="1">IFERROR(__xludf.DUMMYFUNCTION("""COMPUTED_VALUE"""),"وحدة التبريد")</f>
        <v>وحدة التبريد</v>
      </c>
      <c r="E437" s="23" t="str">
        <f ca="1">IFERROR(__xludf.DUMMYFUNCTION("""COMPUTED_VALUE"""),"قسم المشاريع الهندسية")</f>
        <v>قسم المشاريع الهندسية</v>
      </c>
      <c r="F437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437" s="23" t="str">
        <f ca="1">IFERROR(__xludf.DUMMYFUNCTION("""COMPUTED_VALUE"""),"السطح")</f>
        <v>السطح</v>
      </c>
      <c r="H437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37" s="23"/>
      <c r="J437" s="23" t="s">
        <v>15</v>
      </c>
      <c r="K437" s="23" t="s">
        <v>13</v>
      </c>
      <c r="L437" s="32"/>
      <c r="M437" s="23"/>
    </row>
    <row r="438" spans="1:13" ht="75" customHeight="1" thickTop="1" thickBot="1">
      <c r="A438" s="23">
        <v>436</v>
      </c>
      <c r="B438" s="32">
        <f ca="1">IFERROR(__xludf.DUMMYFUNCTION("""COMPUTED_VALUE"""),46173.3477972337)</f>
        <v>46173.347797233699</v>
      </c>
      <c r="C438" s="33" t="str">
        <f ca="1">IFERROR(__xludf.DUMMYFUNCTION("""COMPUTED_VALUE"""),"المعملجي")</f>
        <v>المعملجي</v>
      </c>
      <c r="D438" s="33" t="str">
        <f ca="1">IFERROR(__xludf.DUMMYFUNCTION("""COMPUTED_VALUE"""),"وحدة التبريد")</f>
        <v>وحدة التبريد</v>
      </c>
      <c r="E438" s="23" t="str">
        <f ca="1">IFERROR(__xludf.DUMMYFUNCTION("""COMPUTED_VALUE"""),"قسم المشاريع الهندسية")</f>
        <v>قسم المشاريع الهندسية</v>
      </c>
      <c r="F43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38" s="23" t="str">
        <f ca="1">IFERROR(__xludf.DUMMYFUNCTION("""COMPUTED_VALUE"""),"السطح")</f>
        <v>السطح</v>
      </c>
      <c r="H438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38" s="23"/>
      <c r="J438" s="23" t="s">
        <v>15</v>
      </c>
      <c r="K438" s="23" t="s">
        <v>13</v>
      </c>
      <c r="L438" s="32"/>
      <c r="M438" s="23"/>
    </row>
    <row r="439" spans="1:13" ht="75" customHeight="1" thickTop="1" thickBot="1">
      <c r="A439" s="25">
        <v>437</v>
      </c>
      <c r="B439" s="32">
        <f ca="1">IFERROR(__xludf.DUMMYFUNCTION("""COMPUTED_VALUE"""),46173.347990405)</f>
        <v>46173.347990404996</v>
      </c>
      <c r="C439" s="33" t="str">
        <f ca="1">IFERROR(__xludf.DUMMYFUNCTION("""COMPUTED_VALUE"""),"المعملجي")</f>
        <v>المعملجي</v>
      </c>
      <c r="D439" s="33" t="str">
        <f ca="1">IFERROR(__xludf.DUMMYFUNCTION("""COMPUTED_VALUE"""),"وحدة التبريد")</f>
        <v>وحدة التبريد</v>
      </c>
      <c r="E439" s="23" t="str">
        <f ca="1">IFERROR(__xludf.DUMMYFUNCTION("""COMPUTED_VALUE"""),"قسم المشاريع الهندسية")</f>
        <v>قسم المشاريع الهندسية</v>
      </c>
      <c r="F439" s="23" t="str">
        <f ca="1">IFERROR(__xludf.DUMMYFUNCTION("""COMPUTED_VALUE"""),"E- ابتدائية العميد للبنات (الثالثة)")</f>
        <v>E- ابتدائية العميد للبنات (الثالثة)</v>
      </c>
      <c r="G439" s="23" t="str">
        <f ca="1">IFERROR(__xludf.DUMMYFUNCTION("""COMPUTED_VALUE"""),"السطح")</f>
        <v>السطح</v>
      </c>
      <c r="H439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39" s="23"/>
      <c r="J439" s="23" t="s">
        <v>15</v>
      </c>
      <c r="K439" s="23" t="s">
        <v>13</v>
      </c>
      <c r="L439" s="32"/>
      <c r="M439" s="23"/>
    </row>
    <row r="440" spans="1:13" ht="75" customHeight="1" thickTop="1" thickBot="1">
      <c r="A440" s="23">
        <v>438</v>
      </c>
      <c r="B440" s="32">
        <f ca="1">IFERROR(__xludf.DUMMYFUNCTION("""COMPUTED_VALUE"""),46173.3482275)</f>
        <v>46173.348227499999</v>
      </c>
      <c r="C440" s="33" t="str">
        <f ca="1">IFERROR(__xludf.DUMMYFUNCTION("""COMPUTED_VALUE"""),"المعملجي")</f>
        <v>المعملجي</v>
      </c>
      <c r="D440" s="33" t="str">
        <f ca="1">IFERROR(__xludf.DUMMYFUNCTION("""COMPUTED_VALUE"""),"وحدة التبريد")</f>
        <v>وحدة التبريد</v>
      </c>
      <c r="E440" s="23" t="str">
        <f ca="1">IFERROR(__xludf.DUMMYFUNCTION("""COMPUTED_VALUE"""),"قسم المشاريع الهندسية")</f>
        <v>قسم المشاريع الهندسية</v>
      </c>
      <c r="F440" s="23" t="str">
        <f ca="1">IFERROR(__xludf.DUMMYFUNCTION("""COMPUTED_VALUE"""),"F-  ابتدائية جود العميد للبنات (الرابعة)")</f>
        <v>F-  ابتدائية جود العميد للبنات (الرابعة)</v>
      </c>
      <c r="G440" s="23" t="str">
        <f ca="1">IFERROR(__xludf.DUMMYFUNCTION("""COMPUTED_VALUE"""),"السطح")</f>
        <v>السطح</v>
      </c>
      <c r="H440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40" s="23"/>
      <c r="J440" s="23" t="s">
        <v>15</v>
      </c>
      <c r="K440" s="23" t="s">
        <v>13</v>
      </c>
      <c r="L440" s="32"/>
      <c r="M440" s="23"/>
    </row>
    <row r="441" spans="1:13" ht="75" customHeight="1" thickTop="1" thickBot="1">
      <c r="A441" s="25">
        <v>439</v>
      </c>
      <c r="B441" s="32">
        <f ca="1">IFERROR(__xludf.DUMMYFUNCTION("""COMPUTED_VALUE"""),46173.3484579282)</f>
        <v>46173.348457928201</v>
      </c>
      <c r="C441" s="33" t="str">
        <f ca="1">IFERROR(__xludf.DUMMYFUNCTION("""COMPUTED_VALUE"""),"المعملجي")</f>
        <v>المعملجي</v>
      </c>
      <c r="D441" s="33" t="str">
        <f ca="1">IFERROR(__xludf.DUMMYFUNCTION("""COMPUTED_VALUE"""),"وحدة التبريد")</f>
        <v>وحدة التبريد</v>
      </c>
      <c r="E441" s="23" t="str">
        <f ca="1">IFERROR(__xludf.DUMMYFUNCTION("""COMPUTED_VALUE"""),"قسم المشاريع الهندسية")</f>
        <v>قسم المشاريع الهندسية</v>
      </c>
      <c r="F441" s="23" t="str">
        <f ca="1">IFERROR(__xludf.DUMMYFUNCTION("""COMPUTED_VALUE"""),"H- ابتدائية القمر للبنات (الخامسة)")</f>
        <v>H- ابتدائية القمر للبنات (الخامسة)</v>
      </c>
      <c r="G441" s="23" t="str">
        <f ca="1">IFERROR(__xludf.DUMMYFUNCTION("""COMPUTED_VALUE"""),"السطح")</f>
        <v>السطح</v>
      </c>
      <c r="H441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41" s="23"/>
      <c r="J441" s="23" t="s">
        <v>15</v>
      </c>
      <c r="K441" s="23" t="s">
        <v>13</v>
      </c>
      <c r="L441" s="32"/>
      <c r="M441" s="23"/>
    </row>
    <row r="442" spans="1:13" ht="75" customHeight="1" thickTop="1" thickBot="1">
      <c r="A442" s="23">
        <v>440</v>
      </c>
      <c r="B442" s="32">
        <f ca="1">IFERROR(__xludf.DUMMYFUNCTION("""COMPUTED_VALUE"""),46173.3486719444)</f>
        <v>46173.348671944397</v>
      </c>
      <c r="C442" s="33" t="str">
        <f ca="1">IFERROR(__xludf.DUMMYFUNCTION("""COMPUTED_VALUE"""),"المعملجي")</f>
        <v>المعملجي</v>
      </c>
      <c r="D442" s="33" t="str">
        <f ca="1">IFERROR(__xludf.DUMMYFUNCTION("""COMPUTED_VALUE"""),"وحدة التبريد")</f>
        <v>وحدة التبريد</v>
      </c>
      <c r="E442" s="23" t="str">
        <f ca="1">IFERROR(__xludf.DUMMYFUNCTION("""COMPUTED_VALUE"""),"قسم المشاريع الهندسية")</f>
        <v>قسم المشاريع الهندسية</v>
      </c>
      <c r="F442" s="23" t="str">
        <f ca="1">IFERROR(__xludf.DUMMYFUNCTION("""COMPUTED_VALUE"""),"I- ابتدائية الساقي للبنين (السادسة)")</f>
        <v>I- ابتدائية الساقي للبنين (السادسة)</v>
      </c>
      <c r="G442" s="23" t="str">
        <f ca="1">IFERROR(__xludf.DUMMYFUNCTION("""COMPUTED_VALUE"""),"السطح")</f>
        <v>السطح</v>
      </c>
      <c r="H442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42" s="23"/>
      <c r="J442" s="23" t="s">
        <v>15</v>
      </c>
      <c r="K442" s="23" t="s">
        <v>13</v>
      </c>
      <c r="L442" s="32"/>
      <c r="M442" s="23"/>
    </row>
    <row r="443" spans="1:13" ht="75" customHeight="1" thickTop="1" thickBot="1">
      <c r="A443" s="25">
        <v>441</v>
      </c>
      <c r="B443" s="32">
        <f ca="1">IFERROR(__xludf.DUMMYFUNCTION("""COMPUTED_VALUE"""),46173.3489073263)</f>
        <v>46173.348907326297</v>
      </c>
      <c r="C443" s="33" t="str">
        <f ca="1">IFERROR(__xludf.DUMMYFUNCTION("""COMPUTED_VALUE"""),"المعملجي")</f>
        <v>المعملجي</v>
      </c>
      <c r="D443" s="33" t="str">
        <f ca="1">IFERROR(__xludf.DUMMYFUNCTION("""COMPUTED_VALUE"""),"وحدة التبريد")</f>
        <v>وحدة التبريد</v>
      </c>
      <c r="E443" s="23" t="str">
        <f ca="1">IFERROR(__xludf.DUMMYFUNCTION("""COMPUTED_VALUE"""),"قسم المشاريع الهندسية")</f>
        <v>قسم المشاريع الهندسية</v>
      </c>
      <c r="F443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443" s="23" t="str">
        <f ca="1">IFERROR(__xludf.DUMMYFUNCTION("""COMPUTED_VALUE"""),"السطح")</f>
        <v>السطح</v>
      </c>
      <c r="H443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443" s="23"/>
      <c r="J443" s="23" t="s">
        <v>15</v>
      </c>
      <c r="K443" s="23" t="s">
        <v>13</v>
      </c>
      <c r="L443" s="32"/>
      <c r="M443" s="23"/>
    </row>
    <row r="444" spans="1:13" ht="75" customHeight="1" thickTop="1" thickBot="1">
      <c r="A444" s="23">
        <v>442</v>
      </c>
      <c r="B444" s="32">
        <f ca="1">IFERROR(__xludf.DUMMYFUNCTION("""COMPUTED_VALUE"""),46173.3500402893)</f>
        <v>46173.350040289297</v>
      </c>
      <c r="C444" s="33" t="str">
        <f ca="1">IFERROR(__xludf.DUMMYFUNCTION("""COMPUTED_VALUE"""),"المعملجي")</f>
        <v>المعملجي</v>
      </c>
      <c r="D444" s="33" t="str">
        <f ca="1">IFERROR(__xludf.DUMMYFUNCTION("""COMPUTED_VALUE"""),"وحدة التبريد")</f>
        <v>وحدة التبريد</v>
      </c>
      <c r="E444" s="23" t="str">
        <f ca="1">IFERROR(__xludf.DUMMYFUNCTION("""COMPUTED_VALUE"""),"قسم المشاريع الهندسية")</f>
        <v>قسم المشاريع الهندسية</v>
      </c>
      <c r="F444" s="23" t="str">
        <f ca="1">IFERROR(__xludf.DUMMYFUNCTION("""COMPUTED_VALUE"""),"A- المركز الثقافي")</f>
        <v>A- المركز الثقافي</v>
      </c>
      <c r="G444" s="23" t="str">
        <f ca="1">IFERROR(__xludf.DUMMYFUNCTION("""COMPUTED_VALUE"""),"الطابق الارضي, الطابق الاول")</f>
        <v>الطابق الارضي, الطابق الاول</v>
      </c>
      <c r="H444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44" s="23"/>
      <c r="J444" s="23" t="s">
        <v>15</v>
      </c>
      <c r="K444" s="23" t="s">
        <v>13</v>
      </c>
      <c r="L444" s="32"/>
      <c r="M444" s="23"/>
    </row>
    <row r="445" spans="1:13" ht="75" customHeight="1" thickTop="1" thickBot="1">
      <c r="A445" s="25">
        <v>443</v>
      </c>
      <c r="B445" s="32">
        <f ca="1">IFERROR(__xludf.DUMMYFUNCTION("""COMPUTED_VALUE"""),46173.352652662)</f>
        <v>46173.352652661997</v>
      </c>
      <c r="C445" s="33" t="str">
        <f ca="1">IFERROR(__xludf.DUMMYFUNCTION("""COMPUTED_VALUE"""),"المعملجي")</f>
        <v>المعملجي</v>
      </c>
      <c r="D445" s="33" t="str">
        <f ca="1">IFERROR(__xludf.DUMMYFUNCTION("""COMPUTED_VALUE"""),"وحدة التبريد")</f>
        <v>وحدة التبريد</v>
      </c>
      <c r="E445" s="23" t="str">
        <f ca="1">IFERROR(__xludf.DUMMYFUNCTION("""COMPUTED_VALUE"""),"قسم المشاريع الهندسية")</f>
        <v>قسم المشاريع الهندسية</v>
      </c>
      <c r="F445" s="23" t="str">
        <f ca="1">IFERROR(__xludf.DUMMYFUNCTION("""COMPUTED_VALUE"""),"A- المركز الثقافي")</f>
        <v>A- المركز الثقافي</v>
      </c>
      <c r="G445" s="23" t="str">
        <f ca="1">IFERROR(__xludf.DUMMYFUNCTION("""COMPUTED_VALUE"""),"الطابق الثاني, الطابق الثالث, الطابق الرابع")</f>
        <v>الطابق الثاني, الطابق الثالث, الطابق الرابع</v>
      </c>
      <c r="H445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45" s="23"/>
      <c r="J445" s="23" t="s">
        <v>15</v>
      </c>
      <c r="K445" s="23" t="s">
        <v>13</v>
      </c>
      <c r="L445" s="32"/>
      <c r="M445" s="23"/>
    </row>
    <row r="446" spans="1:13" ht="75" customHeight="1" thickTop="1" thickBot="1">
      <c r="A446" s="23">
        <v>444</v>
      </c>
      <c r="B446" s="32">
        <f ca="1">IFERROR(__xludf.DUMMYFUNCTION("""COMPUTED_VALUE"""),46173.3528899074)</f>
        <v>46173.352889907401</v>
      </c>
      <c r="C446" s="33" t="str">
        <f ca="1">IFERROR(__xludf.DUMMYFUNCTION("""COMPUTED_VALUE"""),"المعملجي")</f>
        <v>المعملجي</v>
      </c>
      <c r="D446" s="33" t="str">
        <f ca="1">IFERROR(__xludf.DUMMYFUNCTION("""COMPUTED_VALUE"""),"وحدة التبريد")</f>
        <v>وحدة التبريد</v>
      </c>
      <c r="E446" s="23" t="str">
        <f ca="1">IFERROR(__xludf.DUMMYFUNCTION("""COMPUTED_VALUE"""),"قسم المشاريع الهندسية")</f>
        <v>قسم المشاريع الهندسية</v>
      </c>
      <c r="F446" s="23" t="str">
        <f ca="1">IFERROR(__xludf.DUMMYFUNCTION("""COMPUTED_VALUE"""),"B- روضة القمر")</f>
        <v>B- روضة القمر</v>
      </c>
      <c r="G446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46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46" s="23"/>
      <c r="J446" s="23" t="s">
        <v>15</v>
      </c>
      <c r="K446" s="23" t="s">
        <v>13</v>
      </c>
      <c r="L446" s="32"/>
      <c r="M446" s="23"/>
    </row>
    <row r="447" spans="1:13" ht="75" customHeight="1" thickTop="1" thickBot="1">
      <c r="A447" s="25">
        <v>445</v>
      </c>
      <c r="B447" s="32">
        <f ca="1">IFERROR(__xludf.DUMMYFUNCTION("""COMPUTED_VALUE"""),46173.3531370717)</f>
        <v>46173.353137071703</v>
      </c>
      <c r="C447" s="33" t="str">
        <f ca="1">IFERROR(__xludf.DUMMYFUNCTION("""COMPUTED_VALUE"""),"المعملجي")</f>
        <v>المعملجي</v>
      </c>
      <c r="D447" s="33" t="str">
        <f ca="1">IFERROR(__xludf.DUMMYFUNCTION("""COMPUTED_VALUE"""),"وحدة التبريد")</f>
        <v>وحدة التبريد</v>
      </c>
      <c r="E447" s="23" t="str">
        <f ca="1">IFERROR(__xludf.DUMMYFUNCTION("""COMPUTED_VALUE"""),"قسم المشاريع الهندسية")</f>
        <v>قسم المشاريع الهندسية</v>
      </c>
      <c r="F447" s="23" t="str">
        <f ca="1">IFERROR(__xludf.DUMMYFUNCTION("""COMPUTED_VALUE"""),"G- روضة الجود")</f>
        <v>G- روضة الجود</v>
      </c>
      <c r="G447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47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47" s="23"/>
      <c r="J447" s="23" t="s">
        <v>15</v>
      </c>
      <c r="K447" s="23" t="s">
        <v>13</v>
      </c>
      <c r="L447" s="32"/>
      <c r="M447" s="23"/>
    </row>
    <row r="448" spans="1:13" ht="75" customHeight="1" thickTop="1" thickBot="1">
      <c r="A448" s="23">
        <v>446</v>
      </c>
      <c r="B448" s="32">
        <f ca="1">IFERROR(__xludf.DUMMYFUNCTION("""COMPUTED_VALUE"""),46173.3533402083)</f>
        <v>46173.353340208298</v>
      </c>
      <c r="C448" s="33" t="str">
        <f ca="1">IFERROR(__xludf.DUMMYFUNCTION("""COMPUTED_VALUE"""),"المعملجي")</f>
        <v>المعملجي</v>
      </c>
      <c r="D448" s="33" t="str">
        <f ca="1">IFERROR(__xludf.DUMMYFUNCTION("""COMPUTED_VALUE"""),"وحدة التبريد")</f>
        <v>وحدة التبريد</v>
      </c>
      <c r="E448" s="23" t="str">
        <f ca="1">IFERROR(__xludf.DUMMYFUNCTION("""COMPUTED_VALUE"""),"قسم المشاريع الهندسية")</f>
        <v>قسم المشاريع الهندسية</v>
      </c>
      <c r="F44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448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48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48" s="23"/>
      <c r="J448" s="23" t="s">
        <v>15</v>
      </c>
      <c r="K448" s="23" t="s">
        <v>13</v>
      </c>
      <c r="L448" s="32"/>
      <c r="M448" s="23"/>
    </row>
    <row r="449" spans="1:13" ht="75" customHeight="1" thickTop="1" thickBot="1">
      <c r="A449" s="25">
        <v>447</v>
      </c>
      <c r="B449" s="32">
        <f ca="1">IFERROR(__xludf.DUMMYFUNCTION("""COMPUTED_VALUE"""),46173.3535564467)</f>
        <v>46173.353556446702</v>
      </c>
      <c r="C449" s="33" t="str">
        <f ca="1">IFERROR(__xludf.DUMMYFUNCTION("""COMPUTED_VALUE"""),"المعملجي")</f>
        <v>المعملجي</v>
      </c>
      <c r="D449" s="33" t="str">
        <f ca="1">IFERROR(__xludf.DUMMYFUNCTION("""COMPUTED_VALUE"""),"وحدة التبريد")</f>
        <v>وحدة التبريد</v>
      </c>
      <c r="E449" s="23" t="str">
        <f ca="1">IFERROR(__xludf.DUMMYFUNCTION("""COMPUTED_VALUE"""),"قسم المشاريع الهندسية")</f>
        <v>قسم المشاريع الهندسية</v>
      </c>
      <c r="F44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49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49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49" s="23"/>
      <c r="J449" s="23" t="s">
        <v>15</v>
      </c>
      <c r="K449" s="23" t="s">
        <v>13</v>
      </c>
      <c r="L449" s="32"/>
      <c r="M449" s="23"/>
    </row>
    <row r="450" spans="1:13" ht="75" customHeight="1" thickTop="1" thickBot="1">
      <c r="A450" s="23">
        <v>448</v>
      </c>
      <c r="B450" s="32">
        <f ca="1">IFERROR(__xludf.DUMMYFUNCTION("""COMPUTED_VALUE"""),46173.3537492013)</f>
        <v>46173.353749201298</v>
      </c>
      <c r="C450" s="33" t="str">
        <f ca="1">IFERROR(__xludf.DUMMYFUNCTION("""COMPUTED_VALUE"""),"المعملجي")</f>
        <v>المعملجي</v>
      </c>
      <c r="D450" s="33" t="str">
        <f ca="1">IFERROR(__xludf.DUMMYFUNCTION("""COMPUTED_VALUE"""),"وحدة التبريد")</f>
        <v>وحدة التبريد</v>
      </c>
      <c r="E450" s="23" t="str">
        <f ca="1">IFERROR(__xludf.DUMMYFUNCTION("""COMPUTED_VALUE"""),"قسم المشاريع الهندسية")</f>
        <v>قسم المشاريع الهندسية</v>
      </c>
      <c r="F450" s="23" t="str">
        <f ca="1">IFERROR(__xludf.DUMMYFUNCTION("""COMPUTED_VALUE"""),"E- ابتدائية العميد للبنات (الثالثة)")</f>
        <v>E- ابتدائية العميد للبنات (الثالثة)</v>
      </c>
      <c r="G450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50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50" s="23"/>
      <c r="J450" s="23" t="s">
        <v>15</v>
      </c>
      <c r="K450" s="23" t="s">
        <v>13</v>
      </c>
      <c r="L450" s="32"/>
      <c r="M450" s="23"/>
    </row>
    <row r="451" spans="1:13" ht="75" customHeight="1" thickTop="1" thickBot="1">
      <c r="A451" s="25">
        <v>449</v>
      </c>
      <c r="B451" s="32">
        <f ca="1">IFERROR(__xludf.DUMMYFUNCTION("""COMPUTED_VALUE"""),46173.3539912615)</f>
        <v>46173.353991261502</v>
      </c>
      <c r="C451" s="33" t="str">
        <f ca="1">IFERROR(__xludf.DUMMYFUNCTION("""COMPUTED_VALUE"""),"المعملجي")</f>
        <v>المعملجي</v>
      </c>
      <c r="D451" s="33" t="str">
        <f ca="1">IFERROR(__xludf.DUMMYFUNCTION("""COMPUTED_VALUE"""),"وحدة التبريد")</f>
        <v>وحدة التبريد</v>
      </c>
      <c r="E451" s="23" t="str">
        <f ca="1">IFERROR(__xludf.DUMMYFUNCTION("""COMPUTED_VALUE"""),"قسم المشاريع الهندسية")</f>
        <v>قسم المشاريع الهندسية</v>
      </c>
      <c r="F451" s="23" t="str">
        <f ca="1">IFERROR(__xludf.DUMMYFUNCTION("""COMPUTED_VALUE"""),"F-  ابتدائية جود العميد للبنات (الرابعة)")</f>
        <v>F-  ابتدائية جود العميد للبنات (الرابعة)</v>
      </c>
      <c r="G451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51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51" s="23"/>
      <c r="J451" s="23" t="s">
        <v>15</v>
      </c>
      <c r="K451" s="23" t="s">
        <v>13</v>
      </c>
      <c r="L451" s="32"/>
      <c r="M451" s="23"/>
    </row>
    <row r="452" spans="1:13" ht="75" customHeight="1" thickTop="1" thickBot="1">
      <c r="A452" s="23">
        <v>450</v>
      </c>
      <c r="B452" s="32">
        <f ca="1">IFERROR(__xludf.DUMMYFUNCTION("""COMPUTED_VALUE"""),46173.3542349768)</f>
        <v>46173.354234976803</v>
      </c>
      <c r="C452" s="33" t="str">
        <f ca="1">IFERROR(__xludf.DUMMYFUNCTION("""COMPUTED_VALUE"""),"المعملجي")</f>
        <v>المعملجي</v>
      </c>
      <c r="D452" s="33" t="str">
        <f ca="1">IFERROR(__xludf.DUMMYFUNCTION("""COMPUTED_VALUE"""),"وحدة التبريد")</f>
        <v>وحدة التبريد</v>
      </c>
      <c r="E452" s="23" t="str">
        <f ca="1">IFERROR(__xludf.DUMMYFUNCTION("""COMPUTED_VALUE"""),"قسم المشاريع الهندسية")</f>
        <v>قسم المشاريع الهندسية</v>
      </c>
      <c r="F452" s="23" t="str">
        <f ca="1">IFERROR(__xludf.DUMMYFUNCTION("""COMPUTED_VALUE"""),"H- ابتدائية القمر للبنات (الخامسة)")</f>
        <v>H- ابتدائية القمر للبنات (الخامسة)</v>
      </c>
      <c r="G452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52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52" s="23"/>
      <c r="J452" s="23" t="s">
        <v>15</v>
      </c>
      <c r="K452" s="23" t="s">
        <v>13</v>
      </c>
      <c r="L452" s="32"/>
      <c r="M452" s="23"/>
    </row>
    <row r="453" spans="1:13" ht="75" customHeight="1" thickTop="1" thickBot="1">
      <c r="A453" s="25">
        <v>451</v>
      </c>
      <c r="B453" s="32">
        <f ca="1">IFERROR(__xludf.DUMMYFUNCTION("""COMPUTED_VALUE"""),46173.3544704398)</f>
        <v>46173.354470439801</v>
      </c>
      <c r="C453" s="33" t="str">
        <f ca="1">IFERROR(__xludf.DUMMYFUNCTION("""COMPUTED_VALUE"""),"المعملجي")</f>
        <v>المعملجي</v>
      </c>
      <c r="D453" s="33" t="str">
        <f ca="1">IFERROR(__xludf.DUMMYFUNCTION("""COMPUTED_VALUE"""),"وحدة التبريد")</f>
        <v>وحدة التبريد</v>
      </c>
      <c r="E453" s="23" t="str">
        <f ca="1">IFERROR(__xludf.DUMMYFUNCTION("""COMPUTED_VALUE"""),"قسم المشاريع الهندسية")</f>
        <v>قسم المشاريع الهندسية</v>
      </c>
      <c r="F453" s="23" t="str">
        <f ca="1">IFERROR(__xludf.DUMMYFUNCTION("""COMPUTED_VALUE"""),"I- ابتدائية الساقي للبنين (السادسة)")</f>
        <v>I- ابتدائية الساقي للبنين (السادسة)</v>
      </c>
      <c r="G453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53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53" s="23"/>
      <c r="J453" s="23" t="s">
        <v>15</v>
      </c>
      <c r="K453" s="23" t="s">
        <v>13</v>
      </c>
      <c r="L453" s="32"/>
      <c r="M453" s="23"/>
    </row>
    <row r="454" spans="1:13" ht="75" customHeight="1" thickTop="1" thickBot="1">
      <c r="A454" s="23">
        <v>452</v>
      </c>
      <c r="B454" s="32">
        <f ca="1">IFERROR(__xludf.DUMMYFUNCTION("""COMPUTED_VALUE"""),46173.3546769907)</f>
        <v>46173.354676990697</v>
      </c>
      <c r="C454" s="33" t="str">
        <f ca="1">IFERROR(__xludf.DUMMYFUNCTION("""COMPUTED_VALUE"""),"المعملجي")</f>
        <v>المعملجي</v>
      </c>
      <c r="D454" s="33" t="str">
        <f ca="1">IFERROR(__xludf.DUMMYFUNCTION("""COMPUTED_VALUE"""),"وحدة التبريد")</f>
        <v>وحدة التبريد</v>
      </c>
      <c r="E454" s="23" t="str">
        <f ca="1">IFERROR(__xludf.DUMMYFUNCTION("""COMPUTED_VALUE"""),"قسم المشاريع الهندسية")</f>
        <v>قسم المشاريع الهندسية</v>
      </c>
      <c r="F454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454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54" s="23" t="str">
        <f ca="1">IFERROR(__xludf.DUMMYFUNCTION("""COMPUTED_VALUE"""),"ادامة وتنظيف فلاتر منظومة ال vrf في البناية ")</f>
        <v xml:space="preserve">ادامة وتنظيف فلاتر منظومة ال vrf في البناية </v>
      </c>
      <c r="I454" s="23"/>
      <c r="J454" s="23" t="s">
        <v>15</v>
      </c>
      <c r="K454" s="23" t="s">
        <v>13</v>
      </c>
      <c r="L454" s="32"/>
      <c r="M454" s="23"/>
    </row>
    <row r="455" spans="1:13" ht="75" customHeight="1" thickTop="1" thickBot="1">
      <c r="A455" s="25">
        <v>453</v>
      </c>
      <c r="B455" s="32">
        <f ca="1">IFERROR(__xludf.DUMMYFUNCTION("""COMPUTED_VALUE"""),46173.355315625)</f>
        <v>46173.355315624998</v>
      </c>
      <c r="C455" s="33" t="str">
        <f ca="1">IFERROR(__xludf.DUMMYFUNCTION("""COMPUTED_VALUE"""),"المعملجي")</f>
        <v>المعملجي</v>
      </c>
      <c r="D455" s="33" t="str">
        <f ca="1">IFERROR(__xludf.DUMMYFUNCTION("""COMPUTED_VALUE"""),"وحدة التبريد")</f>
        <v>وحدة التبريد</v>
      </c>
      <c r="E455" s="23" t="str">
        <f ca="1">IFERROR(__xludf.DUMMYFUNCTION("""COMPUTED_VALUE"""),"قسم المشاريع الهندسية")</f>
        <v>قسم المشاريع الهندسية</v>
      </c>
      <c r="F455" s="23" t="str">
        <f ca="1">IFERROR(__xludf.DUMMYFUNCTION("""COMPUTED_VALUE"""),"A- المركز الثقافي")</f>
        <v>A- المركز الثقافي</v>
      </c>
      <c r="G455" s="23" t="str">
        <f ca="1">IFERROR(__xludf.DUMMYFUNCTION("""COMPUTED_VALUE"""),"السطح")</f>
        <v>السطح</v>
      </c>
      <c r="H455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55" s="23"/>
      <c r="J455" s="23" t="s">
        <v>15</v>
      </c>
      <c r="K455" s="23" t="s">
        <v>13</v>
      </c>
      <c r="L455" s="32"/>
      <c r="M455" s="23"/>
    </row>
    <row r="456" spans="1:13" ht="75" customHeight="1" thickTop="1" thickBot="1">
      <c r="A456" s="23">
        <v>454</v>
      </c>
      <c r="B456" s="32">
        <f ca="1">IFERROR(__xludf.DUMMYFUNCTION("""COMPUTED_VALUE"""),46173.3555374421)</f>
        <v>46173.355537442098</v>
      </c>
      <c r="C456" s="33" t="str">
        <f ca="1">IFERROR(__xludf.DUMMYFUNCTION("""COMPUTED_VALUE"""),"المعملجي")</f>
        <v>المعملجي</v>
      </c>
      <c r="D456" s="33" t="str">
        <f ca="1">IFERROR(__xludf.DUMMYFUNCTION("""COMPUTED_VALUE"""),"وحدة التبريد")</f>
        <v>وحدة التبريد</v>
      </c>
      <c r="E456" s="23" t="str">
        <f ca="1">IFERROR(__xludf.DUMMYFUNCTION("""COMPUTED_VALUE"""),"قسم المشاريع الهندسية")</f>
        <v>قسم المشاريع الهندسية</v>
      </c>
      <c r="F456" s="23" t="str">
        <f ca="1">IFERROR(__xludf.DUMMYFUNCTION("""COMPUTED_VALUE"""),"B- روضة القمر")</f>
        <v>B- روضة القمر</v>
      </c>
      <c r="G456" s="23" t="str">
        <f ca="1">IFERROR(__xludf.DUMMYFUNCTION("""COMPUTED_VALUE"""),"السطح")</f>
        <v>السطح</v>
      </c>
      <c r="H456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56" s="23"/>
      <c r="J456" s="23" t="s">
        <v>15</v>
      </c>
      <c r="K456" s="23" t="s">
        <v>13</v>
      </c>
      <c r="L456" s="32"/>
      <c r="M456" s="23"/>
    </row>
    <row r="457" spans="1:13" ht="75" customHeight="1" thickTop="1" thickBot="1">
      <c r="A457" s="25">
        <v>455</v>
      </c>
      <c r="B457" s="32">
        <f ca="1">IFERROR(__xludf.DUMMYFUNCTION("""COMPUTED_VALUE"""),46173.3557275463)</f>
        <v>46173.355727546303</v>
      </c>
      <c r="C457" s="33" t="str">
        <f ca="1">IFERROR(__xludf.DUMMYFUNCTION("""COMPUTED_VALUE"""),"المعملجي")</f>
        <v>المعملجي</v>
      </c>
      <c r="D457" s="33" t="str">
        <f ca="1">IFERROR(__xludf.DUMMYFUNCTION("""COMPUTED_VALUE"""),"وحدة التبريد")</f>
        <v>وحدة التبريد</v>
      </c>
      <c r="E457" s="23" t="str">
        <f ca="1">IFERROR(__xludf.DUMMYFUNCTION("""COMPUTED_VALUE"""),"قسم المشاريع الهندسية")</f>
        <v>قسم المشاريع الهندسية</v>
      </c>
      <c r="F457" s="23" t="str">
        <f ca="1">IFERROR(__xludf.DUMMYFUNCTION("""COMPUTED_VALUE"""),"G- روضة الجود")</f>
        <v>G- روضة الجود</v>
      </c>
      <c r="G457" s="23" t="str">
        <f ca="1">IFERROR(__xludf.DUMMYFUNCTION("""COMPUTED_VALUE"""),"السطح")</f>
        <v>السطح</v>
      </c>
      <c r="H457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57" s="23"/>
      <c r="J457" s="23" t="s">
        <v>15</v>
      </c>
      <c r="K457" s="23" t="s">
        <v>13</v>
      </c>
      <c r="L457" s="32"/>
      <c r="M457" s="23"/>
    </row>
    <row r="458" spans="1:13" ht="75" customHeight="1" thickTop="1" thickBot="1">
      <c r="A458" s="23">
        <v>456</v>
      </c>
      <c r="B458" s="32">
        <f ca="1">IFERROR(__xludf.DUMMYFUNCTION("""COMPUTED_VALUE"""),46173.355909074)</f>
        <v>46173.355909074002</v>
      </c>
      <c r="C458" s="33" t="str">
        <f ca="1">IFERROR(__xludf.DUMMYFUNCTION("""COMPUTED_VALUE"""),"المعملجي")</f>
        <v>المعملجي</v>
      </c>
      <c r="D458" s="33" t="str">
        <f ca="1">IFERROR(__xludf.DUMMYFUNCTION("""COMPUTED_VALUE"""),"وحدة التبريد")</f>
        <v>وحدة التبريد</v>
      </c>
      <c r="E458" s="23" t="str">
        <f ca="1">IFERROR(__xludf.DUMMYFUNCTION("""COMPUTED_VALUE"""),"قسم المشاريع الهندسية")</f>
        <v>قسم المشاريع الهندسية</v>
      </c>
      <c r="F45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458" s="23" t="str">
        <f ca="1">IFERROR(__xludf.DUMMYFUNCTION("""COMPUTED_VALUE"""),"السطح")</f>
        <v>السطح</v>
      </c>
      <c r="H458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58" s="23"/>
      <c r="J458" s="23" t="s">
        <v>15</v>
      </c>
      <c r="K458" s="23" t="s">
        <v>13</v>
      </c>
      <c r="L458" s="32"/>
      <c r="M458" s="23"/>
    </row>
    <row r="459" spans="1:13" ht="75" customHeight="1" thickTop="1" thickBot="1">
      <c r="A459" s="25">
        <v>457</v>
      </c>
      <c r="B459" s="32">
        <f ca="1">IFERROR(__xludf.DUMMYFUNCTION("""COMPUTED_VALUE"""),46173.3561337615)</f>
        <v>46173.356133761503</v>
      </c>
      <c r="C459" s="33" t="str">
        <f ca="1">IFERROR(__xludf.DUMMYFUNCTION("""COMPUTED_VALUE"""),"المعملجي")</f>
        <v>المعملجي</v>
      </c>
      <c r="D459" s="33" t="str">
        <f ca="1">IFERROR(__xludf.DUMMYFUNCTION("""COMPUTED_VALUE"""),"وحدة التبريد")</f>
        <v>وحدة التبريد</v>
      </c>
      <c r="E459" s="23" t="str">
        <f ca="1">IFERROR(__xludf.DUMMYFUNCTION("""COMPUTED_VALUE"""),"قسم المشاريع الهندسية")</f>
        <v>قسم المشاريع الهندسية</v>
      </c>
      <c r="F459" s="23" t="str">
        <f ca="1">IFERROR(__xludf.DUMMYFUNCTION("""COMPUTED_VALUE"""),"E- ابتدائية العميد للبنات (الثالثة)")</f>
        <v>E- ابتدائية العميد للبنات (الثالثة)</v>
      </c>
      <c r="G459" s="23" t="str">
        <f ca="1">IFERROR(__xludf.DUMMYFUNCTION("""COMPUTED_VALUE"""),"السطح")</f>
        <v>السطح</v>
      </c>
      <c r="H459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59" s="23"/>
      <c r="J459" s="23" t="s">
        <v>15</v>
      </c>
      <c r="K459" s="23" t="s">
        <v>13</v>
      </c>
      <c r="L459" s="32"/>
      <c r="M459" s="23"/>
    </row>
    <row r="460" spans="1:13" ht="75" customHeight="1" thickTop="1" thickBot="1">
      <c r="A460" s="23">
        <v>458</v>
      </c>
      <c r="B460" s="32">
        <f ca="1">IFERROR(__xludf.DUMMYFUNCTION("""COMPUTED_VALUE"""),46173.3563636458)</f>
        <v>46173.356363645798</v>
      </c>
      <c r="C460" s="33" t="str">
        <f ca="1">IFERROR(__xludf.DUMMYFUNCTION("""COMPUTED_VALUE"""),"المعملجي")</f>
        <v>المعملجي</v>
      </c>
      <c r="D460" s="33" t="str">
        <f ca="1">IFERROR(__xludf.DUMMYFUNCTION("""COMPUTED_VALUE"""),"وحدة التبريد")</f>
        <v>وحدة التبريد</v>
      </c>
      <c r="E460" s="23" t="str">
        <f ca="1">IFERROR(__xludf.DUMMYFUNCTION("""COMPUTED_VALUE"""),"قسم المشاريع الهندسية")</f>
        <v>قسم المشاريع الهندسية</v>
      </c>
      <c r="F460" s="23" t="str">
        <f ca="1">IFERROR(__xludf.DUMMYFUNCTION("""COMPUTED_VALUE"""),"F-  ابتدائية جود العميد للبنات (الرابعة)")</f>
        <v>F-  ابتدائية جود العميد للبنات (الرابعة)</v>
      </c>
      <c r="G460" s="23" t="str">
        <f ca="1">IFERROR(__xludf.DUMMYFUNCTION("""COMPUTED_VALUE"""),"السطح")</f>
        <v>السطح</v>
      </c>
      <c r="H460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60" s="23"/>
      <c r="J460" s="23" t="s">
        <v>15</v>
      </c>
      <c r="K460" s="23" t="s">
        <v>13</v>
      </c>
      <c r="L460" s="32"/>
      <c r="M460" s="23"/>
    </row>
    <row r="461" spans="1:13" ht="75" customHeight="1" thickTop="1" thickBot="1">
      <c r="A461" s="25">
        <v>459</v>
      </c>
      <c r="B461" s="32">
        <f ca="1">IFERROR(__xludf.DUMMYFUNCTION("""COMPUTED_VALUE"""),46173.3566080439)</f>
        <v>46173.356608043898</v>
      </c>
      <c r="C461" s="33" t="str">
        <f ca="1">IFERROR(__xludf.DUMMYFUNCTION("""COMPUTED_VALUE"""),"المعملجي")</f>
        <v>المعملجي</v>
      </c>
      <c r="D461" s="33" t="str">
        <f ca="1">IFERROR(__xludf.DUMMYFUNCTION("""COMPUTED_VALUE"""),"وحدة التبريد")</f>
        <v>وحدة التبريد</v>
      </c>
      <c r="E461" s="23" t="str">
        <f ca="1">IFERROR(__xludf.DUMMYFUNCTION("""COMPUTED_VALUE"""),"قسم المشاريع الهندسية")</f>
        <v>قسم المشاريع الهندسية</v>
      </c>
      <c r="F461" s="23" t="str">
        <f ca="1">IFERROR(__xludf.DUMMYFUNCTION("""COMPUTED_VALUE"""),"H- ابتدائية القمر للبنات (الخامسة)")</f>
        <v>H- ابتدائية القمر للبنات (الخامسة)</v>
      </c>
      <c r="G461" s="23" t="str">
        <f ca="1">IFERROR(__xludf.DUMMYFUNCTION("""COMPUTED_VALUE"""),"السطح")</f>
        <v>السطح</v>
      </c>
      <c r="H461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61" s="23"/>
      <c r="J461" s="23" t="s">
        <v>15</v>
      </c>
      <c r="K461" s="23" t="s">
        <v>13</v>
      </c>
      <c r="L461" s="32"/>
      <c r="M461" s="23"/>
    </row>
    <row r="462" spans="1:13" ht="75" customHeight="1" thickTop="1" thickBot="1">
      <c r="A462" s="23">
        <v>460</v>
      </c>
      <c r="B462" s="32">
        <f ca="1">IFERROR(__xludf.DUMMYFUNCTION("""COMPUTED_VALUE"""),46173.3568051504)</f>
        <v>46173.356805150397</v>
      </c>
      <c r="C462" s="33" t="str">
        <f ca="1">IFERROR(__xludf.DUMMYFUNCTION("""COMPUTED_VALUE"""),"المعملجي")</f>
        <v>المعملجي</v>
      </c>
      <c r="D462" s="33" t="str">
        <f ca="1">IFERROR(__xludf.DUMMYFUNCTION("""COMPUTED_VALUE"""),"وحدة التبريد")</f>
        <v>وحدة التبريد</v>
      </c>
      <c r="E462" s="23" t="str">
        <f ca="1">IFERROR(__xludf.DUMMYFUNCTION("""COMPUTED_VALUE"""),"قسم المشاريع الهندسية")</f>
        <v>قسم المشاريع الهندسية</v>
      </c>
      <c r="F462" s="23" t="str">
        <f ca="1">IFERROR(__xludf.DUMMYFUNCTION("""COMPUTED_VALUE"""),"I- ابتدائية الساقي للبنين (السادسة)")</f>
        <v>I- ابتدائية الساقي للبنين (السادسة)</v>
      </c>
      <c r="G462" s="23" t="str">
        <f ca="1">IFERROR(__xludf.DUMMYFUNCTION("""COMPUTED_VALUE"""),"السطح")</f>
        <v>السطح</v>
      </c>
      <c r="H462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62" s="23"/>
      <c r="J462" s="23" t="s">
        <v>15</v>
      </c>
      <c r="K462" s="23" t="s">
        <v>13</v>
      </c>
      <c r="L462" s="32"/>
      <c r="M462" s="23"/>
    </row>
    <row r="463" spans="1:13" ht="75" customHeight="1" thickTop="1" thickBot="1">
      <c r="A463" s="25">
        <v>461</v>
      </c>
      <c r="B463" s="32">
        <f ca="1">IFERROR(__xludf.DUMMYFUNCTION("""COMPUTED_VALUE"""),46173.3570169328)</f>
        <v>46173.357016932801</v>
      </c>
      <c r="C463" s="33" t="str">
        <f ca="1">IFERROR(__xludf.DUMMYFUNCTION("""COMPUTED_VALUE"""),"المعملجي")</f>
        <v>المعملجي</v>
      </c>
      <c r="D463" s="33" t="str">
        <f ca="1">IFERROR(__xludf.DUMMYFUNCTION("""COMPUTED_VALUE"""),"وحدة التبريد")</f>
        <v>وحدة التبريد</v>
      </c>
      <c r="E463" s="23" t="str">
        <f ca="1">IFERROR(__xludf.DUMMYFUNCTION("""COMPUTED_VALUE"""),"قسم المشاريع الهندسية")</f>
        <v>قسم المشاريع الهندسية</v>
      </c>
      <c r="F463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463" s="23" t="str">
        <f ca="1">IFERROR(__xludf.DUMMYFUNCTION("""COMPUTED_VALUE"""),"السطح")</f>
        <v>السطح</v>
      </c>
      <c r="H463" s="23" t="str">
        <f ca="1">IFERROR(__xludf.DUMMYFUNCTION("""COMPUTED_VALUE"""),"ادامة وتنظيف منظومة ال dx في البناية ")</f>
        <v xml:space="preserve">ادامة وتنظيف منظومة ال dx في البناية </v>
      </c>
      <c r="I463" s="23"/>
      <c r="J463" s="23" t="s">
        <v>15</v>
      </c>
      <c r="K463" s="23" t="s">
        <v>13</v>
      </c>
      <c r="L463" s="32"/>
      <c r="M463" s="23"/>
    </row>
    <row r="464" spans="1:13" ht="75" customHeight="1" thickTop="1" thickBot="1">
      <c r="A464" s="23">
        <v>462</v>
      </c>
      <c r="B464" s="32">
        <f ca="1">IFERROR(__xludf.DUMMYFUNCTION("""COMPUTED_VALUE"""),46173.3577247916)</f>
        <v>46173.357724791596</v>
      </c>
      <c r="C464" s="33" t="str">
        <f ca="1">IFERROR(__xludf.DUMMYFUNCTION("""COMPUTED_VALUE"""),"المعملجي")</f>
        <v>المعملجي</v>
      </c>
      <c r="D464" s="33" t="str">
        <f ca="1">IFERROR(__xludf.DUMMYFUNCTION("""COMPUTED_VALUE"""),"وحدة التبريد")</f>
        <v>وحدة التبريد</v>
      </c>
      <c r="E464" s="23" t="str">
        <f ca="1">IFERROR(__xludf.DUMMYFUNCTION("""COMPUTED_VALUE"""),"قسم المشاريع الهندسية")</f>
        <v>قسم المشاريع الهندسية</v>
      </c>
      <c r="F464" s="23" t="str">
        <f ca="1">IFERROR(__xludf.DUMMYFUNCTION("""COMPUTED_VALUE"""),"A- المركز الثقافي")</f>
        <v>A- المركز الثقافي</v>
      </c>
      <c r="G464" s="23" t="str">
        <f ca="1">IFERROR(__xludf.DUMMYFUNCTION("""COMPUTED_VALUE"""),"الطابق الارضي, الطابق الاول, الطابق الثاني, الطابق الثالث, الطابق الرابع, السطح")</f>
        <v>الطابق الارضي, الطابق الاول, الطابق الثاني, الطابق الثالث, الطابق الرابع, السطح</v>
      </c>
      <c r="H464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64" s="23"/>
      <c r="J464" s="23" t="s">
        <v>15</v>
      </c>
      <c r="K464" s="23" t="s">
        <v>13</v>
      </c>
      <c r="L464" s="32"/>
      <c r="M464" s="23"/>
    </row>
    <row r="465" spans="1:13" ht="75" customHeight="1" thickTop="1" thickBot="1">
      <c r="A465" s="25">
        <v>463</v>
      </c>
      <c r="B465" s="32">
        <f ca="1">IFERROR(__xludf.DUMMYFUNCTION("""COMPUTED_VALUE"""),46173.35799125)</f>
        <v>46173.357991249999</v>
      </c>
      <c r="C465" s="33" t="str">
        <f ca="1">IFERROR(__xludf.DUMMYFUNCTION("""COMPUTED_VALUE"""),"المعملجي")</f>
        <v>المعملجي</v>
      </c>
      <c r="D465" s="33" t="str">
        <f ca="1">IFERROR(__xludf.DUMMYFUNCTION("""COMPUTED_VALUE"""),"وحدة التبريد")</f>
        <v>وحدة التبريد</v>
      </c>
      <c r="E465" s="23" t="str">
        <f ca="1">IFERROR(__xludf.DUMMYFUNCTION("""COMPUTED_VALUE"""),"قسم المشاريع الهندسية")</f>
        <v>قسم المشاريع الهندسية</v>
      </c>
      <c r="F465" s="23" t="str">
        <f ca="1">IFERROR(__xludf.DUMMYFUNCTION("""COMPUTED_VALUE"""),"B- روضة القمر")</f>
        <v>B- روضة القمر</v>
      </c>
      <c r="G465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65" s="23" t="str">
        <f ca="1">IFERROR(__xludf.DUMMYFUNCTION("""COMPUTED_VALUE"""),"ادامة وتنظيف السبالت الاعتيادية الخاصة بغرف الكهرباء والاتصالات  ")</f>
        <v xml:space="preserve">ادامة وتنظيف السبالت الاعتيادية الخاصة بغرف الكهرباء والاتصالات  </v>
      </c>
      <c r="I465" s="23"/>
      <c r="J465" s="23" t="s">
        <v>15</v>
      </c>
      <c r="K465" s="23" t="s">
        <v>13</v>
      </c>
      <c r="L465" s="32"/>
      <c r="M465" s="23"/>
    </row>
    <row r="466" spans="1:13" ht="75" customHeight="1" thickTop="1" thickBot="1">
      <c r="A466" s="23">
        <v>464</v>
      </c>
      <c r="B466" s="32">
        <f ca="1">IFERROR(__xludf.DUMMYFUNCTION("""COMPUTED_VALUE"""),46173.3582458564)</f>
        <v>46173.358245856398</v>
      </c>
      <c r="C466" s="33" t="str">
        <f ca="1">IFERROR(__xludf.DUMMYFUNCTION("""COMPUTED_VALUE"""),"المعملجي")</f>
        <v>المعملجي</v>
      </c>
      <c r="D466" s="33" t="str">
        <f ca="1">IFERROR(__xludf.DUMMYFUNCTION("""COMPUTED_VALUE"""),"وحدة التبريد")</f>
        <v>وحدة التبريد</v>
      </c>
      <c r="E466" s="23" t="str">
        <f ca="1">IFERROR(__xludf.DUMMYFUNCTION("""COMPUTED_VALUE"""),"قسم المشاريع الهندسية")</f>
        <v>قسم المشاريع الهندسية</v>
      </c>
      <c r="F466" s="23" t="str">
        <f ca="1">IFERROR(__xludf.DUMMYFUNCTION("""COMPUTED_VALUE"""),"B- روضة القمر")</f>
        <v>B- روضة القمر</v>
      </c>
      <c r="G466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466" s="23" t="str">
        <f ca="1">IFERROR(__xludf.DUMMYFUNCTION("""COMPUTED_VALUE"""),"ادامة وتنظيف السبالت الاعتيادية الخاصة بغرف الكهرباء والاتصالات  ")</f>
        <v xml:space="preserve">ادامة وتنظيف السبالت الاعتيادية الخاصة بغرف الكهرباء والاتصالات  </v>
      </c>
      <c r="I466" s="23"/>
      <c r="J466" s="23" t="s">
        <v>15</v>
      </c>
      <c r="K466" s="23" t="s">
        <v>13</v>
      </c>
      <c r="L466" s="32"/>
      <c r="M466" s="23"/>
    </row>
    <row r="467" spans="1:13" ht="75" customHeight="1" thickTop="1" thickBot="1">
      <c r="A467" s="25">
        <v>465</v>
      </c>
      <c r="B467" s="32">
        <f ca="1">IFERROR(__xludf.DUMMYFUNCTION("""COMPUTED_VALUE"""),46173.3584506365)</f>
        <v>46173.3584506365</v>
      </c>
      <c r="C467" s="33" t="str">
        <f ca="1">IFERROR(__xludf.DUMMYFUNCTION("""COMPUTED_VALUE"""),"المعملجي")</f>
        <v>المعملجي</v>
      </c>
      <c r="D467" s="33" t="str">
        <f ca="1">IFERROR(__xludf.DUMMYFUNCTION("""COMPUTED_VALUE"""),"وحدة التبريد")</f>
        <v>وحدة التبريد</v>
      </c>
      <c r="E467" s="23" t="str">
        <f ca="1">IFERROR(__xludf.DUMMYFUNCTION("""COMPUTED_VALUE"""),"قسم المشاريع الهندسية")</f>
        <v>قسم المشاريع الهندسية</v>
      </c>
      <c r="F467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467" s="23" t="str">
        <f ca="1">IFERROR(__xludf.DUMMYFUNCTION("""COMPUTED_VALUE"""),"الطابق الارضي, الطابق الاول, الطابق الثاني, السطح")</f>
        <v>الطابق الارضي, الطابق الاول, الطابق الثاني, السطح</v>
      </c>
      <c r="H467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67" s="23"/>
      <c r="J467" s="23" t="s">
        <v>15</v>
      </c>
      <c r="K467" s="23" t="s">
        <v>13</v>
      </c>
      <c r="L467" s="32"/>
      <c r="M467" s="23"/>
    </row>
    <row r="468" spans="1:13" ht="75" customHeight="1" thickTop="1" thickBot="1">
      <c r="A468" s="23">
        <v>466</v>
      </c>
      <c r="B468" s="32">
        <f ca="1">IFERROR(__xludf.DUMMYFUNCTION("""COMPUTED_VALUE"""),46173.3586932407)</f>
        <v>46173.358693240698</v>
      </c>
      <c r="C468" s="33" t="str">
        <f ca="1">IFERROR(__xludf.DUMMYFUNCTION("""COMPUTED_VALUE"""),"المعملجي")</f>
        <v>المعملجي</v>
      </c>
      <c r="D468" s="33" t="str">
        <f ca="1">IFERROR(__xludf.DUMMYFUNCTION("""COMPUTED_VALUE"""),"وحدة التبريد")</f>
        <v>وحدة التبريد</v>
      </c>
      <c r="E468" s="23" t="str">
        <f ca="1">IFERROR(__xludf.DUMMYFUNCTION("""COMPUTED_VALUE"""),"قسم المشاريع الهندسية")</f>
        <v>قسم المشاريع الهندسية</v>
      </c>
      <c r="F46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68" s="23" t="str">
        <f ca="1">IFERROR(__xludf.DUMMYFUNCTION("""COMPUTED_VALUE"""),"الطابق الارضي, الطابق الاول, الطابق الثاني, السطح")</f>
        <v>الطابق الارضي, الطابق الاول, الطابق الثاني, السطح</v>
      </c>
      <c r="H468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68" s="23"/>
      <c r="J468" s="23" t="s">
        <v>15</v>
      </c>
      <c r="K468" s="23" t="s">
        <v>13</v>
      </c>
      <c r="L468" s="32"/>
      <c r="M468" s="23"/>
    </row>
    <row r="469" spans="1:13" ht="75" customHeight="1" thickTop="1" thickBot="1">
      <c r="A469" s="25">
        <v>467</v>
      </c>
      <c r="B469" s="32">
        <f ca="1">IFERROR(__xludf.DUMMYFUNCTION("""COMPUTED_VALUE"""),46173.3589168402)</f>
        <v>46173.358916840203</v>
      </c>
      <c r="C469" s="33" t="str">
        <f ca="1">IFERROR(__xludf.DUMMYFUNCTION("""COMPUTED_VALUE"""),"المعملجي")</f>
        <v>المعملجي</v>
      </c>
      <c r="D469" s="33" t="str">
        <f ca="1">IFERROR(__xludf.DUMMYFUNCTION("""COMPUTED_VALUE"""),"وحدة التبريد")</f>
        <v>وحدة التبريد</v>
      </c>
      <c r="E469" s="23" t="str">
        <f ca="1">IFERROR(__xludf.DUMMYFUNCTION("""COMPUTED_VALUE"""),"قسم المشاريع الهندسية")</f>
        <v>قسم المشاريع الهندسية</v>
      </c>
      <c r="F46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69" s="23" t="str">
        <f ca="1">IFERROR(__xludf.DUMMYFUNCTION("""COMPUTED_VALUE"""),"الطابق الارضي, الطابق الاول, الطابق الثاني, السطح")</f>
        <v>الطابق الارضي, الطابق الاول, الطابق الثاني, السطح</v>
      </c>
      <c r="H469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69" s="23"/>
      <c r="J469" s="23" t="s">
        <v>15</v>
      </c>
      <c r="K469" s="23" t="s">
        <v>13</v>
      </c>
      <c r="L469" s="32"/>
      <c r="M469" s="23"/>
    </row>
    <row r="470" spans="1:13" ht="75" customHeight="1" thickTop="1" thickBot="1">
      <c r="A470" s="23">
        <v>468</v>
      </c>
      <c r="B470" s="32">
        <f ca="1">IFERROR(__xludf.DUMMYFUNCTION("""COMPUTED_VALUE"""),46173.3591087268)</f>
        <v>46173.3591087268</v>
      </c>
      <c r="C470" s="33" t="str">
        <f ca="1">IFERROR(__xludf.DUMMYFUNCTION("""COMPUTED_VALUE"""),"المعملجي")</f>
        <v>المعملجي</v>
      </c>
      <c r="D470" s="33" t="str">
        <f ca="1">IFERROR(__xludf.DUMMYFUNCTION("""COMPUTED_VALUE"""),"وحدة التبريد")</f>
        <v>وحدة التبريد</v>
      </c>
      <c r="E470" s="23" t="str">
        <f ca="1">IFERROR(__xludf.DUMMYFUNCTION("""COMPUTED_VALUE"""),"قسم المشاريع الهندسية")</f>
        <v>قسم المشاريع الهندسية</v>
      </c>
      <c r="F470" s="23" t="str">
        <f ca="1">IFERROR(__xludf.DUMMYFUNCTION("""COMPUTED_VALUE"""),"E- ابتدائية العميد للبنات (الثالثة)")</f>
        <v>E- ابتدائية العميد للبنات (الثالثة)</v>
      </c>
      <c r="G470" s="23" t="str">
        <f ca="1">IFERROR(__xludf.DUMMYFUNCTION("""COMPUTED_VALUE"""),"الطابق الارضي, الطابق الاول, الطابق الثاني, السطح")</f>
        <v>الطابق الارضي, الطابق الاول, الطابق الثاني, السطح</v>
      </c>
      <c r="H470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70" s="23"/>
      <c r="J470" s="23" t="s">
        <v>15</v>
      </c>
      <c r="K470" s="23" t="s">
        <v>13</v>
      </c>
      <c r="L470" s="32"/>
      <c r="M470" s="23"/>
    </row>
    <row r="471" spans="1:13" ht="75" customHeight="1" thickTop="1" thickBot="1">
      <c r="A471" s="25">
        <v>469</v>
      </c>
      <c r="B471" s="32">
        <f ca="1">IFERROR(__xludf.DUMMYFUNCTION("""COMPUTED_VALUE"""),46173.3593337963)</f>
        <v>46173.359333796303</v>
      </c>
      <c r="C471" s="33" t="str">
        <f ca="1">IFERROR(__xludf.DUMMYFUNCTION("""COMPUTED_VALUE"""),"المعملجي")</f>
        <v>المعملجي</v>
      </c>
      <c r="D471" s="33" t="str">
        <f ca="1">IFERROR(__xludf.DUMMYFUNCTION("""COMPUTED_VALUE"""),"وحدة التبريد")</f>
        <v>وحدة التبريد</v>
      </c>
      <c r="E471" s="23" t="str">
        <f ca="1">IFERROR(__xludf.DUMMYFUNCTION("""COMPUTED_VALUE"""),"قسم المشاريع الهندسية")</f>
        <v>قسم المشاريع الهندسية</v>
      </c>
      <c r="F471" s="23" t="str">
        <f ca="1">IFERROR(__xludf.DUMMYFUNCTION("""COMPUTED_VALUE"""),"F-  ابتدائية جود العميد للبنات (الرابعة)")</f>
        <v>F-  ابتدائية جود العميد للبنات (الرابعة)</v>
      </c>
      <c r="G471" s="23" t="str">
        <f ca="1">IFERROR(__xludf.DUMMYFUNCTION("""COMPUTED_VALUE"""),"الطابق الارضي, الطابق الاول, الطابق الثاني, السطح")</f>
        <v>الطابق الارضي, الطابق الاول, الطابق الثاني, السطح</v>
      </c>
      <c r="H471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71" s="23"/>
      <c r="J471" s="23" t="s">
        <v>15</v>
      </c>
      <c r="K471" s="23" t="s">
        <v>13</v>
      </c>
      <c r="L471" s="32"/>
      <c r="M471" s="23"/>
    </row>
    <row r="472" spans="1:13" ht="75" customHeight="1" thickTop="1" thickBot="1">
      <c r="A472" s="23">
        <v>470</v>
      </c>
      <c r="B472" s="32">
        <f ca="1">IFERROR(__xludf.DUMMYFUNCTION("""COMPUTED_VALUE"""),46173.3595456134)</f>
        <v>46173.359545613399</v>
      </c>
      <c r="C472" s="33" t="str">
        <f ca="1">IFERROR(__xludf.DUMMYFUNCTION("""COMPUTED_VALUE"""),"المعملجي")</f>
        <v>المعملجي</v>
      </c>
      <c r="D472" s="33" t="str">
        <f ca="1">IFERROR(__xludf.DUMMYFUNCTION("""COMPUTED_VALUE"""),"وحدة التبريد")</f>
        <v>وحدة التبريد</v>
      </c>
      <c r="E472" s="23" t="str">
        <f ca="1">IFERROR(__xludf.DUMMYFUNCTION("""COMPUTED_VALUE"""),"قسم المشاريع الهندسية")</f>
        <v>قسم المشاريع الهندسية</v>
      </c>
      <c r="F472" s="23" t="str">
        <f ca="1">IFERROR(__xludf.DUMMYFUNCTION("""COMPUTED_VALUE"""),"H- ابتدائية القمر للبنات (الخامسة)")</f>
        <v>H- ابتدائية القمر للبنات (الخامسة)</v>
      </c>
      <c r="G472" s="23" t="str">
        <f ca="1">IFERROR(__xludf.DUMMYFUNCTION("""COMPUTED_VALUE"""),"الطابق الارضي, الطابق الاول, الطابق الثاني, السطح")</f>
        <v>الطابق الارضي, الطابق الاول, الطابق الثاني, السطح</v>
      </c>
      <c r="H472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72" s="23"/>
      <c r="J472" s="23" t="s">
        <v>15</v>
      </c>
      <c r="K472" s="23" t="s">
        <v>13</v>
      </c>
      <c r="L472" s="32"/>
      <c r="M472" s="23"/>
    </row>
    <row r="473" spans="1:13" ht="75" customHeight="1" thickTop="1" thickBot="1">
      <c r="A473" s="25">
        <v>471</v>
      </c>
      <c r="B473" s="32">
        <f ca="1">IFERROR(__xludf.DUMMYFUNCTION("""COMPUTED_VALUE"""),46173.3598309722)</f>
        <v>46173.3598309722</v>
      </c>
      <c r="C473" s="33" t="str">
        <f ca="1">IFERROR(__xludf.DUMMYFUNCTION("""COMPUTED_VALUE"""),"المعملجي")</f>
        <v>المعملجي</v>
      </c>
      <c r="D473" s="33" t="str">
        <f ca="1">IFERROR(__xludf.DUMMYFUNCTION("""COMPUTED_VALUE"""),"وحدة التبريد")</f>
        <v>وحدة التبريد</v>
      </c>
      <c r="E473" s="23" t="str">
        <f ca="1">IFERROR(__xludf.DUMMYFUNCTION("""COMPUTED_VALUE"""),"قسم المشاريع الهندسية")</f>
        <v>قسم المشاريع الهندسية</v>
      </c>
      <c r="F473" s="23" t="str">
        <f ca="1">IFERROR(__xludf.DUMMYFUNCTION("""COMPUTED_VALUE"""),"I- ابتدائية الساقي للبنين (السادسة), J- ابتدائية الساقي للبنين الجانب الثاني (السابعة), J- جامعة العميد (السابعة)")</f>
        <v>I- ابتدائية الساقي للبنين (السادسة), J- ابتدائية الساقي للبنين الجانب الثاني (السابعة), J- جامعة العميد (السابعة)</v>
      </c>
      <c r="G473" s="23" t="str">
        <f ca="1">IFERROR(__xludf.DUMMYFUNCTION("""COMPUTED_VALUE"""),"السطح")</f>
        <v>السطح</v>
      </c>
      <c r="H473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73" s="23"/>
      <c r="J473" s="23" t="s">
        <v>15</v>
      </c>
      <c r="K473" s="23" t="s">
        <v>13</v>
      </c>
      <c r="L473" s="32"/>
      <c r="M473" s="23"/>
    </row>
    <row r="474" spans="1:13" ht="75" customHeight="1" thickTop="1" thickBot="1">
      <c r="A474" s="23">
        <v>472</v>
      </c>
      <c r="B474" s="32">
        <f ca="1">IFERROR(__xludf.DUMMYFUNCTION("""COMPUTED_VALUE"""),46173.3602038541)</f>
        <v>46173.360203854099</v>
      </c>
      <c r="C474" s="33" t="str">
        <f ca="1">IFERROR(__xludf.DUMMYFUNCTION("""COMPUTED_VALUE"""),"المعملجي")</f>
        <v>المعملجي</v>
      </c>
      <c r="D474" s="33" t="str">
        <f ca="1">IFERROR(__xludf.DUMMYFUNCTION("""COMPUTED_VALUE"""),"وحدة التبريد")</f>
        <v>وحدة التبريد</v>
      </c>
      <c r="E474" s="23" t="str">
        <f ca="1">IFERROR(__xludf.DUMMYFUNCTION("""COMPUTED_VALUE"""),"قسم المشاريع الهندسية")</f>
        <v>قسم المشاريع الهندسية</v>
      </c>
      <c r="F474" s="23" t="str">
        <f ca="1">IFERROR(__xludf.DUMMYFUNCTION("""COMPUTED_VALUE"""),"الاستعلامات الرئيسية, المالية, المختبرات, شعبة الصيانة, النافورة")</f>
        <v>الاستعلامات الرئيسية, المالية, المختبرات, شعبة الصيانة, النافورة</v>
      </c>
      <c r="G474" s="23" t="str">
        <f ca="1">IFERROR(__xludf.DUMMYFUNCTION("""COMPUTED_VALUE"""),"غرفة الكهرباء, محطة الرفع")</f>
        <v>غرفة الكهرباء, محطة الرفع</v>
      </c>
      <c r="H474" s="23" t="str">
        <f ca="1">IFERROR(__xludf.DUMMYFUNCTION("""COMPUTED_VALUE"""),"ادامة وتنظيف السبالت الاعتيادية الخاصة بغرف الكهرباء والاتصالات والمصاعد ")</f>
        <v xml:space="preserve">ادامة وتنظيف السبالت الاعتيادية الخاصة بغرف الكهرباء والاتصالات والمصاعد </v>
      </c>
      <c r="I474" s="23"/>
      <c r="J474" s="23" t="s">
        <v>15</v>
      </c>
      <c r="K474" s="23" t="s">
        <v>13</v>
      </c>
      <c r="L474" s="32"/>
      <c r="M474" s="23"/>
    </row>
    <row r="475" spans="1:13" ht="75" customHeight="1" thickTop="1" thickBot="1">
      <c r="A475" s="25">
        <v>473</v>
      </c>
      <c r="B475" s="32">
        <f ca="1">IFERROR(__xludf.DUMMYFUNCTION("""COMPUTED_VALUE"""),46173.3608334953)</f>
        <v>46173.360833495302</v>
      </c>
      <c r="C475" s="33" t="str">
        <f ca="1">IFERROR(__xludf.DUMMYFUNCTION("""COMPUTED_VALUE"""),"المعملجي")</f>
        <v>المعملجي</v>
      </c>
      <c r="D475" s="33" t="str">
        <f ca="1">IFERROR(__xludf.DUMMYFUNCTION("""COMPUTED_VALUE"""),"وحدة التبريد")</f>
        <v>وحدة التبريد</v>
      </c>
      <c r="E475" s="23" t="str">
        <f ca="1">IFERROR(__xludf.DUMMYFUNCTION("""COMPUTED_VALUE"""),"قسم المشاريع الهندسية")</f>
        <v>قسم المشاريع الهندسية</v>
      </c>
      <c r="F475" s="23" t="str">
        <f ca="1">IFERROR(__xludf.DUMMYFUNCTION("""COMPUTED_VALUE"""),"B- روضة القمر")</f>
        <v>B- روضة القمر</v>
      </c>
      <c r="G475" s="23" t="str">
        <f ca="1">IFERROR(__xludf.DUMMYFUNCTION("""COMPUTED_VALUE"""),"القاعة الرياضية مقابل الاولى ")</f>
        <v xml:space="preserve">القاعة الرياضية مقابل الاولى </v>
      </c>
      <c r="H475" s="23" t="str">
        <f ca="1">IFERROR(__xludf.DUMMYFUNCTION("""COMPUTED_VALUE"""),"ادامة وتنظيف منظومة البكج الخاصة بالقاعة")</f>
        <v>ادامة وتنظيف منظومة البكج الخاصة بالقاعة</v>
      </c>
      <c r="I475" s="23"/>
      <c r="J475" s="23" t="s">
        <v>15</v>
      </c>
      <c r="K475" s="23" t="s">
        <v>13</v>
      </c>
      <c r="L475" s="32"/>
      <c r="M475" s="23"/>
    </row>
    <row r="476" spans="1:13" ht="75" customHeight="1" thickTop="1" thickBot="1">
      <c r="A476" s="23">
        <v>474</v>
      </c>
      <c r="B476" s="32">
        <f ca="1">IFERROR(__xludf.DUMMYFUNCTION("""COMPUTED_VALUE"""),46173.3611497569)</f>
        <v>46173.3611497569</v>
      </c>
      <c r="C476" s="33" t="str">
        <f ca="1">IFERROR(__xludf.DUMMYFUNCTION("""COMPUTED_VALUE"""),"المعملجي")</f>
        <v>المعملجي</v>
      </c>
      <c r="D476" s="33" t="str">
        <f ca="1">IFERROR(__xludf.DUMMYFUNCTION("""COMPUTED_VALUE"""),"وحدة التبريد")</f>
        <v>وحدة التبريد</v>
      </c>
      <c r="E476" s="23" t="str">
        <f ca="1">IFERROR(__xludf.DUMMYFUNCTION("""COMPUTED_VALUE"""),"قسم المشاريع الهندسية")</f>
        <v>قسم المشاريع الهندسية</v>
      </c>
      <c r="F476" s="23" t="str">
        <f ca="1">IFERROR(__xludf.DUMMYFUNCTION("""COMPUTED_VALUE"""),"B- روضة القمر")</f>
        <v>B- روضة القمر</v>
      </c>
      <c r="G476" s="23" t="str">
        <f ca="1">IFERROR(__xludf.DUMMYFUNCTION("""COMPUTED_VALUE"""),"القاعة الرياضية مقابل المركز الثقافي ")</f>
        <v xml:space="preserve">القاعة الرياضية مقابل المركز الثقافي </v>
      </c>
      <c r="H476" s="23" t="str">
        <f ca="1">IFERROR(__xludf.DUMMYFUNCTION("""COMPUTED_VALUE"""),"ادامة وتنظيف منظومة البكج الخاصة بالقاعة")</f>
        <v>ادامة وتنظيف منظومة البكج الخاصة بالقاعة</v>
      </c>
      <c r="I476" s="23"/>
      <c r="J476" s="23" t="s">
        <v>15</v>
      </c>
      <c r="K476" s="23" t="s">
        <v>13</v>
      </c>
      <c r="L476" s="32"/>
      <c r="M476" s="23"/>
    </row>
    <row r="477" spans="1:13" ht="75" customHeight="1" thickTop="1" thickBot="1">
      <c r="A477" s="25">
        <v>475</v>
      </c>
      <c r="B477" s="32">
        <f ca="1">IFERROR(__xludf.DUMMYFUNCTION("""COMPUTED_VALUE"""),46173.3614496874)</f>
        <v>46173.3614496874</v>
      </c>
      <c r="C477" s="33" t="str">
        <f ca="1">IFERROR(__xludf.DUMMYFUNCTION("""COMPUTED_VALUE"""),"المعملجي")</f>
        <v>المعملجي</v>
      </c>
      <c r="D477" s="33" t="str">
        <f ca="1">IFERROR(__xludf.DUMMYFUNCTION("""COMPUTED_VALUE"""),"وحدة التبريد")</f>
        <v>وحدة التبريد</v>
      </c>
      <c r="E477" s="23" t="str">
        <f ca="1">IFERROR(__xludf.DUMMYFUNCTION("""COMPUTED_VALUE"""),"قسم المشاريع الهندسية")</f>
        <v>قسم المشاريع الهندسية</v>
      </c>
      <c r="F477" s="23" t="str">
        <f ca="1">IFERROR(__xludf.DUMMYFUNCTION("""COMPUTED_VALUE"""),"G- روضة الجود")</f>
        <v>G- روضة الجود</v>
      </c>
      <c r="G477" s="23" t="str">
        <f ca="1">IFERROR(__xludf.DUMMYFUNCTION("""COMPUTED_VALUE"""),"القاعة الرياضية مقابل الرابعة ")</f>
        <v xml:space="preserve">القاعة الرياضية مقابل الرابعة </v>
      </c>
      <c r="H477" s="23" t="str">
        <f ca="1">IFERROR(__xludf.DUMMYFUNCTION("""COMPUTED_VALUE"""),"ادامة وتنظيف منظومة البكج الخاصة بالقاعة")</f>
        <v>ادامة وتنظيف منظومة البكج الخاصة بالقاعة</v>
      </c>
      <c r="I477" s="23"/>
      <c r="J477" s="23" t="s">
        <v>15</v>
      </c>
      <c r="K477" s="23" t="s">
        <v>13</v>
      </c>
      <c r="L477" s="32"/>
      <c r="M477" s="23"/>
    </row>
    <row r="478" spans="1:13" ht="75" customHeight="1" thickTop="1" thickBot="1">
      <c r="A478" s="23">
        <v>476</v>
      </c>
      <c r="B478" s="32">
        <f ca="1">IFERROR(__xludf.DUMMYFUNCTION("""COMPUTED_VALUE"""),46173.3617909143)</f>
        <v>46173.361790914299</v>
      </c>
      <c r="C478" s="33" t="str">
        <f ca="1">IFERROR(__xludf.DUMMYFUNCTION("""COMPUTED_VALUE"""),"المعملجي")</f>
        <v>المعملجي</v>
      </c>
      <c r="D478" s="33" t="str">
        <f ca="1">IFERROR(__xludf.DUMMYFUNCTION("""COMPUTED_VALUE"""),"وحدة التبريد")</f>
        <v>وحدة التبريد</v>
      </c>
      <c r="E478" s="23" t="str">
        <f ca="1">IFERROR(__xludf.DUMMYFUNCTION("""COMPUTED_VALUE"""),"قسم المشاريع الهندسية")</f>
        <v>قسم المشاريع الهندسية</v>
      </c>
      <c r="F478" s="23" t="str">
        <f ca="1">IFERROR(__xludf.DUMMYFUNCTION("""COMPUTED_VALUE"""),"G- روضة الجود")</f>
        <v>G- روضة الجود</v>
      </c>
      <c r="G478" s="23" t="str">
        <f ca="1">IFERROR(__xludf.DUMMYFUNCTION("""COMPUTED_VALUE"""),"القاعة الرياضية مقابل الخامسة ")</f>
        <v xml:space="preserve">القاعة الرياضية مقابل الخامسة </v>
      </c>
      <c r="H478" s="23" t="str">
        <f ca="1">IFERROR(__xludf.DUMMYFUNCTION("""COMPUTED_VALUE"""),"ادامة وتنظيف منظومة البكج الخاصة بالقاعة")</f>
        <v>ادامة وتنظيف منظومة البكج الخاصة بالقاعة</v>
      </c>
      <c r="I478" s="23"/>
      <c r="J478" s="23" t="s">
        <v>15</v>
      </c>
      <c r="K478" s="23" t="s">
        <v>13</v>
      </c>
      <c r="L478" s="32"/>
      <c r="M478" s="23"/>
    </row>
    <row r="479" spans="1:13" ht="75" customHeight="1" thickTop="1" thickBot="1">
      <c r="A479" s="25">
        <v>477</v>
      </c>
      <c r="B479" s="32">
        <f ca="1">IFERROR(__xludf.DUMMYFUNCTION("""COMPUTED_VALUE"""),46173.3629432754)</f>
        <v>46173.362943275402</v>
      </c>
      <c r="C479" s="33" t="str">
        <f ca="1">IFERROR(__xludf.DUMMYFUNCTION("""COMPUTED_VALUE"""),"المعملجي")</f>
        <v>المعملجي</v>
      </c>
      <c r="D479" s="33" t="str">
        <f ca="1">IFERROR(__xludf.DUMMYFUNCTION("""COMPUTED_VALUE"""),"وحدة التبريد")</f>
        <v>وحدة التبريد</v>
      </c>
      <c r="E479" s="23" t="str">
        <f ca="1">IFERROR(__xludf.DUMMYFUNCTION("""COMPUTED_VALUE"""),"قسم المشاريع الهندسية")</f>
        <v>قسم المشاريع الهندسية</v>
      </c>
      <c r="F479" s="23" t="str">
        <f ca="1">IFERROR(__xludf.DUMMYFUNCTION("""COMPUTED_VALUE"""),"A- المركز الثقافي")</f>
        <v>A- المركز الثقافي</v>
      </c>
      <c r="G479" s="23" t="str">
        <f ca="1">IFERROR(__xludf.DUMMYFUNCTION("""COMPUTED_VALUE"""),"الطابق الارضي, الطابق الاول, قاعة المؤتمرات ")</f>
        <v xml:space="preserve">الطابق الارضي, الطابق الاول, قاعة المؤتمرات </v>
      </c>
      <c r="H479" s="23" t="str">
        <f ca="1">IFERROR(__xludf.DUMMYFUNCTION("""COMPUTED_VALUE"""),"ادامة وتنظيف منظومة السبلت بكج الخاصة بقاعة المؤتمرات ")</f>
        <v xml:space="preserve">ادامة وتنظيف منظومة السبلت بكج الخاصة بقاعة المؤتمرات </v>
      </c>
      <c r="I479" s="23"/>
      <c r="J479" s="23" t="s">
        <v>15</v>
      </c>
      <c r="K479" s="23" t="s">
        <v>13</v>
      </c>
      <c r="L479" s="32"/>
      <c r="M479" s="23"/>
    </row>
    <row r="480" spans="1:13" ht="75" customHeight="1" thickTop="1" thickBot="1">
      <c r="A480" s="23">
        <v>478</v>
      </c>
      <c r="B480" s="32">
        <f ca="1">IFERROR(__xludf.DUMMYFUNCTION("""COMPUTED_VALUE"""),46173.3633149768)</f>
        <v>46173.363314976799</v>
      </c>
      <c r="C480" s="33" t="str">
        <f ca="1">IFERROR(__xludf.DUMMYFUNCTION("""COMPUTED_VALUE"""),"المعملجي")</f>
        <v>المعملجي</v>
      </c>
      <c r="D480" s="33" t="str">
        <f ca="1">IFERROR(__xludf.DUMMYFUNCTION("""COMPUTED_VALUE"""),"وحدة التبريد")</f>
        <v>وحدة التبريد</v>
      </c>
      <c r="E480" s="23" t="str">
        <f ca="1">IFERROR(__xludf.DUMMYFUNCTION("""COMPUTED_VALUE"""),"قسم المشاريع الهندسية")</f>
        <v>قسم المشاريع الهندسية</v>
      </c>
      <c r="F480" s="23" t="str">
        <f ca="1">IFERROR(__xludf.DUMMYFUNCTION("""COMPUTED_VALUE"""),"A- المركز الثقافي")</f>
        <v>A- المركز الثقافي</v>
      </c>
      <c r="G480" s="23" t="str">
        <f ca="1">IFERROR(__xludf.DUMMYFUNCTION("""COMPUTED_VALUE"""),"الطابق الارضي, الطابق الاول, قاعة سراج العميد ")</f>
        <v xml:space="preserve">الطابق الارضي, الطابق الاول, قاعة سراج العميد </v>
      </c>
      <c r="H480" s="23" t="str">
        <f ca="1">IFERROR(__xludf.DUMMYFUNCTION("""COMPUTED_VALUE"""),"ادامة وتنظيف منظومة السبلت بكج الخاصة بقاعة سراج العميد ")</f>
        <v xml:space="preserve">ادامة وتنظيف منظومة السبلت بكج الخاصة بقاعة سراج العميد </v>
      </c>
      <c r="I480" s="23"/>
      <c r="J480" s="23" t="s">
        <v>15</v>
      </c>
      <c r="K480" s="23" t="s">
        <v>13</v>
      </c>
      <c r="L480" s="32"/>
      <c r="M480" s="23"/>
    </row>
    <row r="481" spans="1:13" ht="75" customHeight="1" thickTop="1" thickBot="1">
      <c r="A481" s="25">
        <v>479</v>
      </c>
      <c r="B481" s="32">
        <f ca="1">IFERROR(__xludf.DUMMYFUNCTION("""COMPUTED_VALUE"""),46173.3648873032)</f>
        <v>46173.3648873032</v>
      </c>
      <c r="C481" s="33" t="str">
        <f ca="1">IFERROR(__xludf.DUMMYFUNCTION("""COMPUTED_VALUE"""),"المعملجي")</f>
        <v>المعملجي</v>
      </c>
      <c r="D481" s="33" t="str">
        <f ca="1">IFERROR(__xludf.DUMMYFUNCTION("""COMPUTED_VALUE"""),"وحدة التبريد")</f>
        <v>وحدة التبريد</v>
      </c>
      <c r="E481" s="23" t="str">
        <f ca="1">IFERROR(__xludf.DUMMYFUNCTION("""COMPUTED_VALUE"""),"قسم المشاريع الهندسية")</f>
        <v>قسم المشاريع الهندسية</v>
      </c>
      <c r="F481" s="23" t="str">
        <f ca="1">IFERROR(__xludf.DUMMYFUNCTION("""COMPUTED_VALUE"""),"A- المركز الثقافي")</f>
        <v>A- المركز الثقافي</v>
      </c>
      <c r="G481" s="23" t="str">
        <f ca="1">IFERROR(__xludf.DUMMYFUNCTION("""COMPUTED_VALUE"""),"الطابق الارضي, قاعة المؤتمرات ")</f>
        <v xml:space="preserve">الطابق الارضي, قاعة المؤتمرات </v>
      </c>
      <c r="H481" s="23" t="str">
        <f ca="1">IFERROR(__xludf.DUMMYFUNCTION("""COMPUTED_VALUE"""),"فتح منظومة السبلت بكج وضغط الشبكة بالنايتروجين وتحديد اماكن التسريب")</f>
        <v>فتح منظومة السبلت بكج وضغط الشبكة بالنايتروجين وتحديد اماكن التسريب</v>
      </c>
      <c r="I481" s="23"/>
      <c r="J481" s="23" t="s">
        <v>15</v>
      </c>
      <c r="K481" s="23" t="s">
        <v>13</v>
      </c>
      <c r="L481" s="32"/>
      <c r="M481" s="23"/>
    </row>
    <row r="482" spans="1:13" ht="75" customHeight="1" thickTop="1" thickBot="1">
      <c r="A482" s="23">
        <v>480</v>
      </c>
      <c r="B482" s="32">
        <f ca="1">IFERROR(__xludf.DUMMYFUNCTION("""COMPUTED_VALUE"""),46173.36566875)</f>
        <v>46173.365668749997</v>
      </c>
      <c r="C482" s="33" t="str">
        <f ca="1">IFERROR(__xludf.DUMMYFUNCTION("""COMPUTED_VALUE"""),"المعملجي")</f>
        <v>المعملجي</v>
      </c>
      <c r="D482" s="33" t="str">
        <f ca="1">IFERROR(__xludf.DUMMYFUNCTION("""COMPUTED_VALUE"""),"وحدة التبريد")</f>
        <v>وحدة التبريد</v>
      </c>
      <c r="E482" s="23" t="str">
        <f ca="1">IFERROR(__xludf.DUMMYFUNCTION("""COMPUTED_VALUE"""),"قسم المشاريع الهندسية")</f>
        <v>قسم المشاريع الهندسية</v>
      </c>
      <c r="F482" s="23" t="str">
        <f ca="1">IFERROR(__xludf.DUMMYFUNCTION("""COMPUTED_VALUE"""),"A- المركز الثقافي")</f>
        <v>A- المركز الثقافي</v>
      </c>
      <c r="G482" s="23" t="str">
        <f ca="1">IFERROR(__xludf.DUMMYFUNCTION("""COMPUTED_VALUE"""),"الطابق الارضي, قاعة المؤتمرات ")</f>
        <v xml:space="preserve">الطابق الارضي, قاعة المؤتمرات </v>
      </c>
      <c r="H482" s="23" t="str">
        <f ca="1">IFERROR(__xludf.DUMMYFUNCTION("""COMPUTED_VALUE"""),"لحام مناطق الجوينات والليكات بالكامل وضغط الشبكة لمدة 4 ايام للتأكد من سلامتها ")</f>
        <v xml:space="preserve">لحام مناطق الجوينات والليكات بالكامل وضغط الشبكة لمدة 4 ايام للتأكد من سلامتها </v>
      </c>
      <c r="I482" s="23"/>
      <c r="J482" s="23" t="s">
        <v>15</v>
      </c>
      <c r="K482" s="23" t="s">
        <v>13</v>
      </c>
      <c r="L482" s="32"/>
      <c r="M482" s="23"/>
    </row>
    <row r="483" spans="1:13" ht="75" customHeight="1" thickTop="1" thickBot="1">
      <c r="A483" s="25">
        <v>481</v>
      </c>
      <c r="B483" s="32">
        <f ca="1">IFERROR(__xludf.DUMMYFUNCTION("""COMPUTED_VALUE"""),46173.3663379861)</f>
        <v>46173.366337986103</v>
      </c>
      <c r="C483" s="33" t="str">
        <f ca="1">IFERROR(__xludf.DUMMYFUNCTION("""COMPUTED_VALUE"""),"المعملجي")</f>
        <v>المعملجي</v>
      </c>
      <c r="D483" s="33" t="str">
        <f ca="1">IFERROR(__xludf.DUMMYFUNCTION("""COMPUTED_VALUE"""),"وحدة التبريد")</f>
        <v>وحدة التبريد</v>
      </c>
      <c r="E483" s="23" t="str">
        <f ca="1">IFERROR(__xludf.DUMMYFUNCTION("""COMPUTED_VALUE"""),"قسم المشاريع الهندسية")</f>
        <v>قسم المشاريع الهندسية</v>
      </c>
      <c r="F483" s="23" t="str">
        <f ca="1">IFERROR(__xludf.DUMMYFUNCTION("""COMPUTED_VALUE"""),"A- المركز الثقافي")</f>
        <v>A- المركز الثقافي</v>
      </c>
      <c r="G483" s="23" t="str">
        <f ca="1">IFERROR(__xludf.DUMMYFUNCTION("""COMPUTED_VALUE"""),"الطابق الارضي, قاعة المؤتمرات ")</f>
        <v xml:space="preserve">الطابق الارضي, قاعة المؤتمرات </v>
      </c>
      <c r="H483" s="23" t="str">
        <f ca="1">IFERROR(__xludf.DUMMYFUNCTION("""COMPUTED_VALUE"""),"عمل فاكيوم للسبلت بكج والشبكه واعادة شحن غاز التبريد وتشغيل المنظومة")</f>
        <v>عمل فاكيوم للسبلت بكج والشبكه واعادة شحن غاز التبريد وتشغيل المنظومة</v>
      </c>
      <c r="I483" s="23"/>
      <c r="J483" s="23" t="s">
        <v>15</v>
      </c>
      <c r="K483" s="23" t="s">
        <v>13</v>
      </c>
      <c r="L483" s="32"/>
      <c r="M483" s="23"/>
    </row>
    <row r="484" spans="1:13" ht="75" customHeight="1" thickTop="1" thickBot="1">
      <c r="A484" s="23">
        <v>482</v>
      </c>
      <c r="B484" s="32">
        <f ca="1">IFERROR(__xludf.DUMMYFUNCTION("""COMPUTED_VALUE"""),46173.3675406713)</f>
        <v>46173.367540671301</v>
      </c>
      <c r="C484" s="33" t="str">
        <f ca="1">IFERROR(__xludf.DUMMYFUNCTION("""COMPUTED_VALUE"""),"المعملجي")</f>
        <v>المعملجي</v>
      </c>
      <c r="D484" s="33" t="str">
        <f ca="1">IFERROR(__xludf.DUMMYFUNCTION("""COMPUTED_VALUE"""),"وحدة التبريد")</f>
        <v>وحدة التبريد</v>
      </c>
      <c r="E484" s="23" t="str">
        <f ca="1">IFERROR(__xludf.DUMMYFUNCTION("""COMPUTED_VALUE"""),"قسم المشاريع الهندسية")</f>
        <v>قسم المشاريع الهندسية</v>
      </c>
      <c r="F484" s="23" t="str">
        <f ca="1">IFERROR(__xludf.DUMMYFUNCTION("""COMPUTED_VALUE"""),"H- ابتدائية القمر للبنات (الخامسة)")</f>
        <v>H- ابتدائية القمر للبنات (الخامسة)</v>
      </c>
      <c r="G484" s="23" t="str">
        <f ca="1">IFERROR(__xludf.DUMMYFUNCTION("""COMPUTED_VALUE"""),"الطابق الثاني")</f>
        <v>الطابق الثاني</v>
      </c>
      <c r="H484" s="23" t="str">
        <f ca="1">IFERROR(__xludf.DUMMYFUNCTION("""COMPUTED_VALUE"""),"صيانة ثرموستات وقطع بأحد توصيلات الاشارة الخاصة بمنظومة الvrf")</f>
        <v>صيانة ثرموستات وقطع بأحد توصيلات الاشارة الخاصة بمنظومة الvrf</v>
      </c>
      <c r="I484" s="23"/>
      <c r="J484" s="23" t="s">
        <v>15</v>
      </c>
      <c r="K484" s="23" t="s">
        <v>13</v>
      </c>
      <c r="L484" s="32"/>
      <c r="M484" s="23"/>
    </row>
    <row r="485" spans="1:13" ht="75" customHeight="1" thickTop="1" thickBot="1">
      <c r="A485" s="25">
        <v>483</v>
      </c>
      <c r="B485" s="32">
        <f ca="1">IFERROR(__xludf.DUMMYFUNCTION("""COMPUTED_VALUE"""),46173.3683117939)</f>
        <v>46173.3683117939</v>
      </c>
      <c r="C485" s="33" t="str">
        <f ca="1">IFERROR(__xludf.DUMMYFUNCTION("""COMPUTED_VALUE"""),"المعملجي")</f>
        <v>المعملجي</v>
      </c>
      <c r="D485" s="33" t="str">
        <f ca="1">IFERROR(__xludf.DUMMYFUNCTION("""COMPUTED_VALUE"""),"وحدة التبريد")</f>
        <v>وحدة التبريد</v>
      </c>
      <c r="E485" s="23" t="str">
        <f ca="1">IFERROR(__xludf.DUMMYFUNCTION("""COMPUTED_VALUE"""),"قسم المشاريع الهندسية")</f>
        <v>قسم المشاريع الهندسية</v>
      </c>
      <c r="F485" s="23" t="str">
        <f ca="1">IFERROR(__xludf.DUMMYFUNCTION("""COMPUTED_VALUE"""),"H- ابتدائية القمر للبنات (الخامسة)")</f>
        <v>H- ابتدائية القمر للبنات (الخامسة)</v>
      </c>
      <c r="G485" s="23" t="str">
        <f ca="1">IFERROR(__xludf.DUMMYFUNCTION("""COMPUTED_VALUE"""),"السطح")</f>
        <v>السطح</v>
      </c>
      <c r="H485" s="23" t="str">
        <f ca="1">IFERROR(__xludf.DUMMYFUNCTION("""COMPUTED_VALUE"""),"صيانة 4 كارتات كهربائية الخاصة بمنظومة الvrf")</f>
        <v>صيانة 4 كارتات كهربائية الخاصة بمنظومة الvrf</v>
      </c>
      <c r="I485" s="23"/>
      <c r="J485" s="23" t="s">
        <v>15</v>
      </c>
      <c r="K485" s="23" t="s">
        <v>13</v>
      </c>
      <c r="L485" s="32"/>
      <c r="M485" s="23"/>
    </row>
    <row r="486" spans="1:13" ht="75" customHeight="1" thickTop="1" thickBot="1">
      <c r="A486" s="23">
        <v>484</v>
      </c>
      <c r="B486" s="32">
        <f ca="1">IFERROR(__xludf.DUMMYFUNCTION("""COMPUTED_VALUE"""),46173.3687134953)</f>
        <v>46173.3687134953</v>
      </c>
      <c r="C486" s="33" t="str">
        <f ca="1">IFERROR(__xludf.DUMMYFUNCTION("""COMPUTED_VALUE"""),"المعملجي")</f>
        <v>المعملجي</v>
      </c>
      <c r="D486" s="33" t="str">
        <f ca="1">IFERROR(__xludf.DUMMYFUNCTION("""COMPUTED_VALUE"""),"وحدة التبريد")</f>
        <v>وحدة التبريد</v>
      </c>
      <c r="E486" s="23" t="str">
        <f ca="1">IFERROR(__xludf.DUMMYFUNCTION("""COMPUTED_VALUE"""),"قسم المشاريع الهندسية")</f>
        <v>قسم المشاريع الهندسية</v>
      </c>
      <c r="F486" s="23" t="str">
        <f ca="1">IFERROR(__xludf.DUMMYFUNCTION("""COMPUTED_VALUE"""),"G- روضة الجود")</f>
        <v>G- روضة الجود</v>
      </c>
      <c r="G486" s="23" t="str">
        <f ca="1">IFERROR(__xludf.DUMMYFUNCTION("""COMPUTED_VALUE"""),"السطح")</f>
        <v>السطح</v>
      </c>
      <c r="H486" s="23" t="str">
        <f ca="1">IFERROR(__xludf.DUMMYFUNCTION("""COMPUTED_VALUE"""),"صيانة 2 كارتات كهربائية الخاصة بمنظومة الvrf")</f>
        <v>صيانة 2 كارتات كهربائية الخاصة بمنظومة الvrf</v>
      </c>
      <c r="I486" s="23"/>
      <c r="J486" s="23" t="s">
        <v>15</v>
      </c>
      <c r="K486" s="23" t="s">
        <v>13</v>
      </c>
      <c r="L486" s="32"/>
      <c r="M486" s="23"/>
    </row>
    <row r="487" spans="1:13" ht="75" customHeight="1" thickTop="1" thickBot="1">
      <c r="A487" s="25">
        <v>485</v>
      </c>
      <c r="B487" s="32">
        <f ca="1">IFERROR(__xludf.DUMMYFUNCTION("""COMPUTED_VALUE"""),46173.3690496527)</f>
        <v>46173.369049652698</v>
      </c>
      <c r="C487" s="33" t="str">
        <f ca="1">IFERROR(__xludf.DUMMYFUNCTION("""COMPUTED_VALUE"""),"المعملجي")</f>
        <v>المعملجي</v>
      </c>
      <c r="D487" s="33" t="str">
        <f ca="1">IFERROR(__xludf.DUMMYFUNCTION("""COMPUTED_VALUE"""),"وحدة التبريد")</f>
        <v>وحدة التبريد</v>
      </c>
      <c r="E487" s="23" t="str">
        <f ca="1">IFERROR(__xludf.DUMMYFUNCTION("""COMPUTED_VALUE"""),"قسم المشاريع الهندسية")</f>
        <v>قسم المشاريع الهندسية</v>
      </c>
      <c r="F48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487" s="23" t="str">
        <f ca="1">IFERROR(__xludf.DUMMYFUNCTION("""COMPUTED_VALUE"""),"السطح")</f>
        <v>السطح</v>
      </c>
      <c r="H487" s="23" t="str">
        <f ca="1">IFERROR(__xludf.DUMMYFUNCTION("""COMPUTED_VALUE"""),"صيانة 3 كارتات كهربائية الخاصة بمنظومة الvrf")</f>
        <v>صيانة 3 كارتات كهربائية الخاصة بمنظومة الvrf</v>
      </c>
      <c r="I487" s="23"/>
      <c r="J487" s="23" t="s">
        <v>15</v>
      </c>
      <c r="K487" s="23" t="s">
        <v>13</v>
      </c>
      <c r="L487" s="32"/>
      <c r="M487" s="23"/>
    </row>
    <row r="488" spans="1:13" ht="75" customHeight="1" thickTop="1" thickBot="1">
      <c r="A488" s="23">
        <v>486</v>
      </c>
      <c r="B488" s="32">
        <f ca="1">IFERROR(__xludf.DUMMYFUNCTION("""COMPUTED_VALUE"""),46173.3692593402)</f>
        <v>46173.369259340201</v>
      </c>
      <c r="C488" s="33" t="str">
        <f ca="1">IFERROR(__xludf.DUMMYFUNCTION("""COMPUTED_VALUE"""),"المعملجي")</f>
        <v>المعملجي</v>
      </c>
      <c r="D488" s="33" t="str">
        <f ca="1">IFERROR(__xludf.DUMMYFUNCTION("""COMPUTED_VALUE"""),"وحدة التبريد")</f>
        <v>وحدة التبريد</v>
      </c>
      <c r="E488" s="23" t="str">
        <f ca="1">IFERROR(__xludf.DUMMYFUNCTION("""COMPUTED_VALUE"""),"قسم المشاريع الهندسية")</f>
        <v>قسم المشاريع الهندسية</v>
      </c>
      <c r="F488" s="23" t="str">
        <f ca="1">IFERROR(__xludf.DUMMYFUNCTION("""COMPUTED_VALUE"""),"E- ابتدائية العميد للبنات (الثالثة)")</f>
        <v>E- ابتدائية العميد للبنات (الثالثة)</v>
      </c>
      <c r="G488" s="23" t="str">
        <f ca="1">IFERROR(__xludf.DUMMYFUNCTION("""COMPUTED_VALUE"""),"السطح")</f>
        <v>السطح</v>
      </c>
      <c r="H488" s="23" t="str">
        <f ca="1">IFERROR(__xludf.DUMMYFUNCTION("""COMPUTED_VALUE"""),"صيانة 4 كارتات كهربائية الخاصة بمنظومة الvrf")</f>
        <v>صيانة 4 كارتات كهربائية الخاصة بمنظومة الvrf</v>
      </c>
      <c r="I488" s="23"/>
      <c r="J488" s="23" t="s">
        <v>15</v>
      </c>
      <c r="K488" s="23" t="s">
        <v>13</v>
      </c>
      <c r="L488" s="32"/>
      <c r="M488" s="23"/>
    </row>
    <row r="489" spans="1:13" ht="75" customHeight="1" thickTop="1" thickBot="1">
      <c r="A489" s="25">
        <v>487</v>
      </c>
      <c r="B489" s="32">
        <f ca="1">IFERROR(__xludf.DUMMYFUNCTION("""COMPUTED_VALUE"""),46173.369665324)</f>
        <v>46173.369665323997</v>
      </c>
      <c r="C489" s="33" t="str">
        <f ca="1">IFERROR(__xludf.DUMMYFUNCTION("""COMPUTED_VALUE"""),"المعملجي")</f>
        <v>المعملجي</v>
      </c>
      <c r="D489" s="33" t="str">
        <f ca="1">IFERROR(__xludf.DUMMYFUNCTION("""COMPUTED_VALUE"""),"وحدة التبريد")</f>
        <v>وحدة التبريد</v>
      </c>
      <c r="E489" s="23" t="str">
        <f ca="1">IFERROR(__xludf.DUMMYFUNCTION("""COMPUTED_VALUE"""),"قسم المشاريع الهندسية")</f>
        <v>قسم المشاريع الهندسية</v>
      </c>
      <c r="F489" s="23" t="str">
        <f ca="1">IFERROR(__xludf.DUMMYFUNCTION("""COMPUTED_VALUE"""),"E- ابتدائية العميد للبنات (الثالثة)")</f>
        <v>E- ابتدائية العميد للبنات (الثالثة)</v>
      </c>
      <c r="G489" s="23" t="str">
        <f ca="1">IFERROR(__xludf.DUMMYFUNCTION("""COMPUTED_VALUE"""),"الطابق الثاني")</f>
        <v>الطابق الثاني</v>
      </c>
      <c r="H489" s="23" t="str">
        <f ca="1">IFERROR(__xludf.DUMMYFUNCTION("""COMPUTED_VALUE"""),"صيانة ضعف في تبريد المصلى ")</f>
        <v xml:space="preserve">صيانة ضعف في تبريد المصلى </v>
      </c>
      <c r="I489" s="23"/>
      <c r="J489" s="23" t="s">
        <v>15</v>
      </c>
      <c r="K489" s="23" t="s">
        <v>13</v>
      </c>
      <c r="L489" s="32"/>
      <c r="M489" s="23"/>
    </row>
    <row r="490" spans="1:13" ht="75" customHeight="1" thickTop="1" thickBot="1">
      <c r="A490" s="23">
        <v>488</v>
      </c>
      <c r="B490" s="32">
        <f ca="1">IFERROR(__xludf.DUMMYFUNCTION("""COMPUTED_VALUE"""),46173.3706035879)</f>
        <v>46173.3706035879</v>
      </c>
      <c r="C490" s="33" t="str">
        <f ca="1">IFERROR(__xludf.DUMMYFUNCTION("""COMPUTED_VALUE"""),"المعملجي")</f>
        <v>المعملجي</v>
      </c>
      <c r="D490" s="33" t="str">
        <f ca="1">IFERROR(__xludf.DUMMYFUNCTION("""COMPUTED_VALUE"""),"وحدة التبريد")</f>
        <v>وحدة التبريد</v>
      </c>
      <c r="E490" s="23" t="str">
        <f ca="1">IFERROR(__xludf.DUMMYFUNCTION("""COMPUTED_VALUE"""),"قسم المشاريع الهندسية")</f>
        <v>قسم المشاريع الهندسية</v>
      </c>
      <c r="F490" s="23" t="str">
        <f ca="1">IFERROR(__xludf.DUMMYFUNCTION("""COMPUTED_VALUE"""),"A- المركز الثقافي")</f>
        <v>A- المركز الثقافي</v>
      </c>
      <c r="G490" s="23" t="str">
        <f ca="1">IFERROR(__xludf.DUMMYFUNCTION("""COMPUTED_VALUE"""),"الطابق الارضي, غرفة الكهرباء")</f>
        <v>الطابق الارضي, غرفة الكهرباء</v>
      </c>
      <c r="H490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0" s="23"/>
      <c r="J490" s="23" t="s">
        <v>15</v>
      </c>
      <c r="K490" s="23" t="s">
        <v>13</v>
      </c>
      <c r="L490" s="32"/>
      <c r="M490" s="23"/>
    </row>
    <row r="491" spans="1:13" ht="75" customHeight="1" thickTop="1" thickBot="1">
      <c r="A491" s="25">
        <v>489</v>
      </c>
      <c r="B491" s="32">
        <f ca="1">IFERROR(__xludf.DUMMYFUNCTION("""COMPUTED_VALUE"""),46173.3708176967)</f>
        <v>46173.370817696697</v>
      </c>
      <c r="C491" s="33" t="str">
        <f ca="1">IFERROR(__xludf.DUMMYFUNCTION("""COMPUTED_VALUE"""),"المعملجي")</f>
        <v>المعملجي</v>
      </c>
      <c r="D491" s="33" t="str">
        <f ca="1">IFERROR(__xludf.DUMMYFUNCTION("""COMPUTED_VALUE"""),"وحدة التبريد")</f>
        <v>وحدة التبريد</v>
      </c>
      <c r="E491" s="23" t="str">
        <f ca="1">IFERROR(__xludf.DUMMYFUNCTION("""COMPUTED_VALUE"""),"قسم المشاريع الهندسية")</f>
        <v>قسم المشاريع الهندسية</v>
      </c>
      <c r="F491" s="23" t="str">
        <f ca="1">IFERROR(__xludf.DUMMYFUNCTION("""COMPUTED_VALUE"""),"B- روضة القمر")</f>
        <v>B- روضة القمر</v>
      </c>
      <c r="G491" s="23" t="str">
        <f ca="1">IFERROR(__xludf.DUMMYFUNCTION("""COMPUTED_VALUE"""),"الطابق الثاني, غرفة الكهرباء")</f>
        <v>الطابق الثاني, غرفة الكهرباء</v>
      </c>
      <c r="H491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1" s="23"/>
      <c r="J491" s="23" t="s">
        <v>15</v>
      </c>
      <c r="K491" s="23" t="s">
        <v>13</v>
      </c>
      <c r="L491" s="32"/>
      <c r="M491" s="23"/>
    </row>
    <row r="492" spans="1:13" ht="75" customHeight="1" thickTop="1" thickBot="1">
      <c r="A492" s="23">
        <v>490</v>
      </c>
      <c r="B492" s="32">
        <f ca="1">IFERROR(__xludf.DUMMYFUNCTION("""COMPUTED_VALUE"""),46173.3710165162)</f>
        <v>46173.371016516197</v>
      </c>
      <c r="C492" s="33" t="str">
        <f ca="1">IFERROR(__xludf.DUMMYFUNCTION("""COMPUTED_VALUE"""),"المعملجي")</f>
        <v>المعملجي</v>
      </c>
      <c r="D492" s="33" t="str">
        <f ca="1">IFERROR(__xludf.DUMMYFUNCTION("""COMPUTED_VALUE"""),"وحدة التبريد")</f>
        <v>وحدة التبريد</v>
      </c>
      <c r="E492" s="23" t="str">
        <f ca="1">IFERROR(__xludf.DUMMYFUNCTION("""COMPUTED_VALUE"""),"قسم المشاريع الهندسية")</f>
        <v>قسم المشاريع الهندسية</v>
      </c>
      <c r="F492" s="23" t="str">
        <f ca="1">IFERROR(__xludf.DUMMYFUNCTION("""COMPUTED_VALUE"""),"B- روضة القمر")</f>
        <v>B- روضة القمر</v>
      </c>
      <c r="G492" s="23" t="str">
        <f ca="1">IFERROR(__xludf.DUMMYFUNCTION("""COMPUTED_VALUE"""),"الطابق الارضي, غرفة الكهرباء")</f>
        <v>الطابق الارضي, غرفة الكهرباء</v>
      </c>
      <c r="H492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2" s="23"/>
      <c r="J492" s="23" t="s">
        <v>15</v>
      </c>
      <c r="K492" s="23" t="s">
        <v>13</v>
      </c>
      <c r="L492" s="32"/>
      <c r="M492" s="23"/>
    </row>
    <row r="493" spans="1:13" ht="75" customHeight="1" thickTop="1" thickBot="1">
      <c r="A493" s="25">
        <v>491</v>
      </c>
      <c r="B493" s="32">
        <f ca="1">IFERROR(__xludf.DUMMYFUNCTION("""COMPUTED_VALUE"""),46173.3713149421)</f>
        <v>46173.371314942102</v>
      </c>
      <c r="C493" s="33" t="str">
        <f ca="1">IFERROR(__xludf.DUMMYFUNCTION("""COMPUTED_VALUE"""),"المعملجي")</f>
        <v>المعملجي</v>
      </c>
      <c r="D493" s="33" t="str">
        <f ca="1">IFERROR(__xludf.DUMMYFUNCTION("""COMPUTED_VALUE"""),"وحدة التبريد")</f>
        <v>وحدة التبريد</v>
      </c>
      <c r="E493" s="23" t="str">
        <f ca="1">IFERROR(__xludf.DUMMYFUNCTION("""COMPUTED_VALUE"""),"قسم المشاريع الهندسية")</f>
        <v>قسم المشاريع الهندسية</v>
      </c>
      <c r="F493" s="23" t="str">
        <f ca="1">IFERROR(__xludf.DUMMYFUNCTION("""COMPUTED_VALUE"""),"الاستعلامات الرئيسية")</f>
        <v>الاستعلامات الرئيسية</v>
      </c>
      <c r="G493" s="23"/>
      <c r="H493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3" s="23"/>
      <c r="J493" s="23" t="s">
        <v>15</v>
      </c>
      <c r="K493" s="23" t="s">
        <v>13</v>
      </c>
      <c r="L493" s="32"/>
      <c r="M493" s="23"/>
    </row>
    <row r="494" spans="1:13" ht="75" customHeight="1" thickTop="1" thickBot="1">
      <c r="A494" s="23">
        <v>492</v>
      </c>
      <c r="B494" s="32">
        <f ca="1">IFERROR(__xludf.DUMMYFUNCTION("""COMPUTED_VALUE"""),46173.3716915509)</f>
        <v>46173.371691550899</v>
      </c>
      <c r="C494" s="33" t="str">
        <f ca="1">IFERROR(__xludf.DUMMYFUNCTION("""COMPUTED_VALUE"""),"المعملجي")</f>
        <v>المعملجي</v>
      </c>
      <c r="D494" s="33" t="str">
        <f ca="1">IFERROR(__xludf.DUMMYFUNCTION("""COMPUTED_VALUE"""),"وحدة التبريد")</f>
        <v>وحدة التبريد</v>
      </c>
      <c r="E494" s="23" t="str">
        <f ca="1">IFERROR(__xludf.DUMMYFUNCTION("""COMPUTED_VALUE"""),"قسم المشاريع الهندسية")</f>
        <v>قسم المشاريع الهندسية</v>
      </c>
      <c r="F494" s="23" t="str">
        <f ca="1">IFERROR(__xludf.DUMMYFUNCTION("""COMPUTED_VALUE"""),"A- المركز الثقافي")</f>
        <v>A- المركز الثقافي</v>
      </c>
      <c r="G494" s="23" t="str">
        <f ca="1">IFERROR(__xludf.DUMMYFUNCTION("""COMPUTED_VALUE"""),"غرفة الكهرباء, السنكرو")</f>
        <v>غرفة الكهرباء, السنكرو</v>
      </c>
      <c r="H494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4" s="23"/>
      <c r="J494" s="23" t="s">
        <v>15</v>
      </c>
      <c r="K494" s="23" t="s">
        <v>13</v>
      </c>
      <c r="L494" s="32"/>
      <c r="M494" s="23"/>
    </row>
    <row r="495" spans="1:13" ht="75" customHeight="1" thickTop="1" thickBot="1">
      <c r="A495" s="25">
        <v>493</v>
      </c>
      <c r="B495" s="32">
        <f ca="1">IFERROR(__xludf.DUMMYFUNCTION("""COMPUTED_VALUE"""),46173.3719586342)</f>
        <v>46173.371958634198</v>
      </c>
      <c r="C495" s="33" t="str">
        <f ca="1">IFERROR(__xludf.DUMMYFUNCTION("""COMPUTED_VALUE"""),"المعملجي")</f>
        <v>المعملجي</v>
      </c>
      <c r="D495" s="33" t="str">
        <f ca="1">IFERROR(__xludf.DUMMYFUNCTION("""COMPUTED_VALUE"""),"وحدة التبريد")</f>
        <v>وحدة التبريد</v>
      </c>
      <c r="E495" s="23" t="str">
        <f ca="1">IFERROR(__xludf.DUMMYFUNCTION("""COMPUTED_VALUE"""),"قسم المشاريع الهندسية")</f>
        <v>قسم المشاريع الهندسية</v>
      </c>
      <c r="F495" s="23" t="str">
        <f ca="1">IFERROR(__xludf.DUMMYFUNCTION("""COMPUTED_VALUE"""),"شعبة الصيانة")</f>
        <v>شعبة الصيانة</v>
      </c>
      <c r="G495" s="23"/>
      <c r="H495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5" s="23"/>
      <c r="J495" s="23" t="s">
        <v>15</v>
      </c>
      <c r="K495" s="23" t="s">
        <v>13</v>
      </c>
      <c r="L495" s="32"/>
      <c r="M495" s="23"/>
    </row>
    <row r="496" spans="1:13" ht="75" customHeight="1" thickTop="1" thickBot="1">
      <c r="A496" s="23">
        <v>494</v>
      </c>
      <c r="B496" s="32">
        <f ca="1">IFERROR(__xludf.DUMMYFUNCTION("""COMPUTED_VALUE"""),46173.3724501851)</f>
        <v>46173.372450185103</v>
      </c>
      <c r="C496" s="33" t="str">
        <f ca="1">IFERROR(__xludf.DUMMYFUNCTION("""COMPUTED_VALUE"""),"المعملجي")</f>
        <v>المعملجي</v>
      </c>
      <c r="D496" s="33" t="str">
        <f ca="1">IFERROR(__xludf.DUMMYFUNCTION("""COMPUTED_VALUE"""),"وحدة التبريد")</f>
        <v>وحدة التبريد</v>
      </c>
      <c r="E496" s="23" t="str">
        <f ca="1">IFERROR(__xludf.DUMMYFUNCTION("""COMPUTED_VALUE"""),"قسم المشاريع الهندسية")</f>
        <v>قسم المشاريع الهندسية</v>
      </c>
      <c r="F49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496" s="23" t="str">
        <f ca="1">IFERROR(__xludf.DUMMYFUNCTION("""COMPUTED_VALUE"""),"الطابق الارضي, غرفة الكهرباء")</f>
        <v>الطابق الارضي, غرفة الكهرباء</v>
      </c>
      <c r="H496" s="23" t="str">
        <f ca="1">IFERROR(__xludf.DUMMYFUNCTION("""COMPUTED_VALUE"""),"صيانة ليك في سبلت غرفة الكهرباء وإعادة شحن الغاز")</f>
        <v>صيانة ليك في سبلت غرفة الكهرباء وإعادة شحن الغاز</v>
      </c>
      <c r="I496" s="23"/>
      <c r="J496" s="23" t="s">
        <v>15</v>
      </c>
      <c r="K496" s="23" t="s">
        <v>13</v>
      </c>
      <c r="L496" s="32"/>
      <c r="M496" s="23"/>
    </row>
    <row r="497" spans="1:13" ht="75" customHeight="1" thickTop="1" thickBot="1">
      <c r="A497" s="25">
        <v>495</v>
      </c>
      <c r="B497" s="32">
        <f ca="1">IFERROR(__xludf.DUMMYFUNCTION("""COMPUTED_VALUE"""),46173.3730798842)</f>
        <v>46173.373079884201</v>
      </c>
      <c r="C497" s="33" t="str">
        <f ca="1">IFERROR(__xludf.DUMMYFUNCTION("""COMPUTED_VALUE"""),"المعملجي")</f>
        <v>المعملجي</v>
      </c>
      <c r="D497" s="33" t="str">
        <f ca="1">IFERROR(__xludf.DUMMYFUNCTION("""COMPUTED_VALUE"""),"وحدة التبريد")</f>
        <v>وحدة التبريد</v>
      </c>
      <c r="E497" s="23" t="str">
        <f ca="1">IFERROR(__xludf.DUMMYFUNCTION("""COMPUTED_VALUE"""),"قسم المشاريع الهندسية")</f>
        <v>قسم المشاريع الهندسية</v>
      </c>
      <c r="F497" s="23" t="str">
        <f ca="1">IFERROR(__xludf.DUMMYFUNCTION("""COMPUTED_VALUE"""),"E- ابتدائية العميد للبنات (الثالثة)")</f>
        <v>E- ابتدائية العميد للبنات (الثالثة)</v>
      </c>
      <c r="G497" s="23" t="str">
        <f ca="1">IFERROR(__xludf.DUMMYFUNCTION("""COMPUTED_VALUE"""),"الطابق الثاني")</f>
        <v>الطابق الثاني</v>
      </c>
      <c r="H497" s="23" t="str">
        <f ca="1">IFERROR(__xludf.DUMMYFUNCTION("""COMPUTED_VALUE"""),"صيانة مضخة الدرين الخاصة بأحد القطع الداخلي لمنظومة الvrf")</f>
        <v>صيانة مضخة الدرين الخاصة بأحد القطع الداخلي لمنظومة الvrf</v>
      </c>
      <c r="I497" s="23"/>
      <c r="J497" s="23" t="s">
        <v>15</v>
      </c>
      <c r="K497" s="23" t="s">
        <v>13</v>
      </c>
      <c r="L497" s="32"/>
      <c r="M497" s="23"/>
    </row>
    <row r="498" spans="1:13" ht="75" customHeight="1" thickTop="1" thickBot="1">
      <c r="A498" s="23">
        <v>496</v>
      </c>
      <c r="B498" s="32">
        <f ca="1">IFERROR(__xludf.DUMMYFUNCTION("""COMPUTED_VALUE"""),46180.5388118402)</f>
        <v>46180.538811840197</v>
      </c>
      <c r="C498" s="33" t="str">
        <f ca="1">IFERROR(__xludf.DUMMYFUNCTION("""COMPUTED_VALUE"""),"المعملجي")</f>
        <v>المعملجي</v>
      </c>
      <c r="D498" s="33" t="str">
        <f ca="1">IFERROR(__xludf.DUMMYFUNCTION("""COMPUTED_VALUE"""),"ابو سجاد ")</f>
        <v xml:space="preserve">ابو سجاد </v>
      </c>
      <c r="E498" s="23" t="str">
        <f ca="1">IFERROR(__xludf.DUMMYFUNCTION("""COMPUTED_VALUE"""),"مجموعة العميد التربوية")</f>
        <v>مجموعة العميد التربوية</v>
      </c>
      <c r="F498" s="23" t="str">
        <f ca="1">IFERROR(__xludf.DUMMYFUNCTION("""COMPUTED_VALUE"""),"H- ابتدائية القمر للبنات (الخامسة)")</f>
        <v>H- ابتدائية القمر للبنات (الخامسة)</v>
      </c>
      <c r="G498" s="23" t="str">
        <f ca="1">IFERROR(__xludf.DUMMYFUNCTION("""COMPUTED_VALUE"""),"الطابق الاول")</f>
        <v>الطابق الاول</v>
      </c>
      <c r="H498" s="23" t="str">
        <f ca="1">IFERROR(__xludf.DUMMYFUNCTION("""COMPUTED_VALUE"""),"التبريد لا يعمل")</f>
        <v>التبريد لا يعمل</v>
      </c>
      <c r="I498" s="23"/>
      <c r="J498" s="23" t="s">
        <v>15</v>
      </c>
      <c r="K498" s="23" t="s">
        <v>13</v>
      </c>
      <c r="L498" s="32">
        <v>46182.317761770828</v>
      </c>
      <c r="M498" s="23"/>
    </row>
    <row r="499" spans="1:13" ht="75" customHeight="1" thickTop="1" thickBot="1">
      <c r="A499" s="25">
        <v>497</v>
      </c>
      <c r="B499" s="32">
        <f ca="1">IFERROR(__xludf.DUMMYFUNCTION("""COMPUTED_VALUE"""),46186.4283962963)</f>
        <v>46186.428396296302</v>
      </c>
      <c r="C499" s="33" t="str">
        <f ca="1">IFERROR(__xludf.DUMMYFUNCTION("""COMPUTED_VALUE"""),"المعملجي")</f>
        <v>المعملجي</v>
      </c>
      <c r="D499" s="33" t="str">
        <f ca="1">IFERROR(__xludf.DUMMYFUNCTION("""COMPUTED_VALUE"""),"ابراهيم الخطابي")</f>
        <v>ابراهيم الخطابي</v>
      </c>
      <c r="E499" s="23" t="str">
        <f ca="1">IFERROR(__xludf.DUMMYFUNCTION("""COMPUTED_VALUE"""),"مجموعة العميد التربوية")</f>
        <v>مجموعة العميد التربوية</v>
      </c>
      <c r="F499" s="23" t="str">
        <f ca="1">IFERROR(__xludf.DUMMYFUNCTION("""COMPUTED_VALUE"""),"A- المركز الثقافي")</f>
        <v>A- المركز الثقافي</v>
      </c>
      <c r="G499" s="23" t="str">
        <f ca="1">IFERROR(__xludf.DUMMYFUNCTION("""COMPUTED_VALUE"""),"الطابق الارضي")</f>
        <v>الطابق الارضي</v>
      </c>
      <c r="H499" s="23" t="str">
        <f ca="1">IFERROR(__xludf.DUMMYFUNCTION("""COMPUTED_VALUE"""),"التبريد لا يعمل ")</f>
        <v xml:space="preserve">التبريد لا يعمل </v>
      </c>
      <c r="I499" s="23"/>
      <c r="J499" s="23" t="s">
        <v>15</v>
      </c>
      <c r="K499" s="23" t="s">
        <v>13</v>
      </c>
      <c r="L499" s="32">
        <v>46187.463228344903</v>
      </c>
      <c r="M499" s="23"/>
    </row>
    <row r="500" spans="1:13" ht="75" customHeight="1" thickTop="1" thickBot="1">
      <c r="A500" s="23">
        <v>498</v>
      </c>
      <c r="B500" s="32">
        <f ca="1">IFERROR(__xludf.DUMMYFUNCTION("""COMPUTED_VALUE"""),46186.429260324)</f>
        <v>46186.429260324003</v>
      </c>
      <c r="C500" s="33" t="str">
        <f ca="1">IFERROR(__xludf.DUMMYFUNCTION("""COMPUTED_VALUE"""),"المعملجي")</f>
        <v>المعملجي</v>
      </c>
      <c r="D500" s="33" t="str">
        <f ca="1">IFERROR(__xludf.DUMMYFUNCTION("""COMPUTED_VALUE"""),"ابراهيم الخطابي")</f>
        <v>ابراهيم الخطابي</v>
      </c>
      <c r="E500" s="23" t="str">
        <f ca="1">IFERROR(__xludf.DUMMYFUNCTION("""COMPUTED_VALUE"""),"مجموعة العميد التربوية")</f>
        <v>مجموعة العميد التربوية</v>
      </c>
      <c r="F500" s="23" t="str">
        <f ca="1">IFERROR(__xludf.DUMMYFUNCTION("""COMPUTED_VALUE"""),"B- روضة القمر, G- روضة الجود")</f>
        <v>B- روضة القمر, G- روضة الجود</v>
      </c>
      <c r="G500" s="23" t="str">
        <f ca="1">IFERROR(__xludf.DUMMYFUNCTION("""COMPUTED_VALUE"""),"السطح")</f>
        <v>السطح</v>
      </c>
      <c r="H500" s="23" t="str">
        <f ca="1">IFERROR(__xludf.DUMMYFUNCTION("""COMPUTED_VALUE"""),"تشغيل التبريد")</f>
        <v>تشغيل التبريد</v>
      </c>
      <c r="I500" s="23"/>
      <c r="J500" s="23" t="s">
        <v>15</v>
      </c>
      <c r="K500" s="23" t="s">
        <v>13</v>
      </c>
      <c r="L500" s="32">
        <v>46186.430617488426</v>
      </c>
      <c r="M500" s="23"/>
    </row>
    <row r="501" spans="1:13" ht="75" customHeight="1" thickTop="1" thickBot="1">
      <c r="A501" s="25">
        <v>499</v>
      </c>
      <c r="B501" s="32">
        <f ca="1">IFERROR(__xludf.DUMMYFUNCTION("""COMPUTED_VALUE"""),46186.4298912962)</f>
        <v>46186.429891296197</v>
      </c>
      <c r="C501" s="33" t="str">
        <f ca="1">IFERROR(__xludf.DUMMYFUNCTION("""COMPUTED_VALUE"""),"المعملجي")</f>
        <v>المعملجي</v>
      </c>
      <c r="D501" s="33" t="str">
        <f ca="1">IFERROR(__xludf.DUMMYFUNCTION("""COMPUTED_VALUE"""),"ابراهيم الخطابي")</f>
        <v>ابراهيم الخطابي</v>
      </c>
      <c r="E501" s="23" t="str">
        <f ca="1">IFERROR(__xludf.DUMMYFUNCTION("""COMPUTED_VALUE"""),"مجموعة العميد التربوية")</f>
        <v>مجموعة العميد التربوية</v>
      </c>
      <c r="F501" s="23" t="str">
        <f ca="1">IFERROR(__xludf.DUMMYFUNCTION("""COMPUTED_VALUE"""),"F-  ابتدائية جود العميد للبنات (الرابعة)")</f>
        <v>F-  ابتدائية جود العميد للبنات (الرابعة)</v>
      </c>
      <c r="G501" s="23" t="str">
        <f ca="1">IFERROR(__xludf.DUMMYFUNCTION("""COMPUTED_VALUE"""),"الطابق الارضي")</f>
        <v>الطابق الارضي</v>
      </c>
      <c r="H501" s="23" t="str">
        <f ca="1">IFERROR(__xludf.DUMMYFUNCTION("""COMPUTED_VALUE"""),"صيانة كارت تبريد")</f>
        <v>صيانة كارت تبريد</v>
      </c>
      <c r="I501" s="23"/>
      <c r="J501" s="23" t="s">
        <v>15</v>
      </c>
      <c r="K501" s="23" t="s">
        <v>13</v>
      </c>
      <c r="L501" s="32">
        <v>46186.430637650468</v>
      </c>
      <c r="M501" s="23"/>
    </row>
    <row r="502" spans="1:13" ht="75" customHeight="1" thickTop="1" thickBot="1">
      <c r="A502" s="23">
        <v>500</v>
      </c>
      <c r="B502" s="32">
        <f ca="1">IFERROR(__xludf.DUMMYFUNCTION("""COMPUTED_VALUE"""),46195.4054909837)</f>
        <v>46195.4054909837</v>
      </c>
      <c r="C502" s="33" t="str">
        <f ca="1">IFERROR(__xludf.DUMMYFUNCTION("""COMPUTED_VALUE"""),"المعملجي")</f>
        <v>المعملجي</v>
      </c>
      <c r="D502" s="33" t="str">
        <f ca="1">IFERROR(__xludf.DUMMYFUNCTION("""COMPUTED_VALUE"""),"ابراهيم الخطابي")</f>
        <v>ابراهيم الخطابي</v>
      </c>
      <c r="E502" s="23" t="str">
        <f ca="1">IFERROR(__xludf.DUMMYFUNCTION("""COMPUTED_VALUE"""),"مجموعة العميد التربوية")</f>
        <v>مجموعة العميد التربوية</v>
      </c>
      <c r="F502" s="23" t="str">
        <f ca="1">IFERROR(__xludf.DUMMYFUNCTION("""COMPUTED_VALUE"""),"F-  ابتدائية جود العميد للبنات (الرابعة)")</f>
        <v>F-  ابتدائية جود العميد للبنات (الرابعة)</v>
      </c>
      <c r="G502" s="23" t="str">
        <f ca="1">IFERROR(__xludf.DUMMYFUNCTION("""COMPUTED_VALUE"""),"الطابق الارضي")</f>
        <v>الطابق الارضي</v>
      </c>
      <c r="H502" s="23" t="str">
        <f ca="1">IFERROR(__xludf.DUMMYFUNCTION("""COMPUTED_VALUE"""),"عطل سبالت /غرفة المعلمات
السبلت الاول /يعاني من تسريب في الغاز
السبلت الثاني/كفاءة ضعيفة جداا")</f>
        <v>عطل سبالت /غرفة المعلمات
السبلت الاول /يعاني من تسريب في الغاز
السبلت الثاني/كفاءة ضعيفة جداا</v>
      </c>
      <c r="I502" s="23"/>
      <c r="J502" s="23" t="s">
        <v>15</v>
      </c>
      <c r="K502" s="23" t="s">
        <v>13</v>
      </c>
      <c r="L502" s="32">
        <v>46201.329083912038</v>
      </c>
      <c r="M502" s="23"/>
    </row>
    <row r="503" spans="1:13" ht="75" customHeight="1" thickTop="1" thickBot="1">
      <c r="A503" s="25">
        <v>501</v>
      </c>
      <c r="B503" s="32">
        <f ca="1">IFERROR(__xludf.DUMMYFUNCTION("""COMPUTED_VALUE"""),46201.4718559953)</f>
        <v>46201.471855995303</v>
      </c>
      <c r="C503" s="33" t="str">
        <f ca="1">IFERROR(__xludf.DUMMYFUNCTION("""COMPUTED_VALUE"""),"المعملجي")</f>
        <v>المعملجي</v>
      </c>
      <c r="D503" s="33" t="str">
        <f ca="1">IFERROR(__xludf.DUMMYFUNCTION("""COMPUTED_VALUE"""),"ابراهيم الخطابي")</f>
        <v>ابراهيم الخطابي</v>
      </c>
      <c r="E503" s="23" t="str">
        <f ca="1">IFERROR(__xludf.DUMMYFUNCTION("""COMPUTED_VALUE"""),"مجموعة العميد التربوية")</f>
        <v>مجموعة العميد التربوية</v>
      </c>
      <c r="F503" s="23" t="str">
        <f ca="1">IFERROR(__xludf.DUMMYFUNCTION("""COMPUTED_VALUE"""),"F-  ابتدائية جود العميد للبنات (الرابعة)")</f>
        <v>F-  ابتدائية جود العميد للبنات (الرابعة)</v>
      </c>
      <c r="G503" s="23"/>
      <c r="H503" s="23" t="str">
        <f ca="1">IFERROR(__xludf.DUMMYFUNCTION("""COMPUTED_VALUE"""),"تبريد الاستعلامات  + صيانة غرفة المعاونات")</f>
        <v>تبريد الاستعلامات  + صيانة غرفة المعاونات</v>
      </c>
      <c r="I503" s="23"/>
      <c r="J503" s="23" t="s">
        <v>15</v>
      </c>
      <c r="K503" s="23" t="s">
        <v>13</v>
      </c>
      <c r="L503" s="32">
        <v>46201.501410914352</v>
      </c>
      <c r="M503" s="23"/>
    </row>
    <row r="504" spans="1:13" ht="75" customHeight="1" thickTop="1" thickBot="1">
      <c r="A504" s="23">
        <v>502</v>
      </c>
      <c r="B504" s="32">
        <f ca="1">IFERROR(__xludf.DUMMYFUNCTION("""COMPUTED_VALUE"""),46202.3849068981)</f>
        <v>46202.3849068981</v>
      </c>
      <c r="C504" s="33" t="str">
        <f ca="1">IFERROR(__xludf.DUMMYFUNCTION("""COMPUTED_VALUE"""),"المعملجي")</f>
        <v>المعملجي</v>
      </c>
      <c r="D504" s="33" t="str">
        <f ca="1">IFERROR(__xludf.DUMMYFUNCTION("""COMPUTED_VALUE"""),"وحدة التبريد")</f>
        <v>وحدة التبريد</v>
      </c>
      <c r="E504" s="23" t="str">
        <f ca="1">IFERROR(__xludf.DUMMYFUNCTION("""COMPUTED_VALUE"""),"قسم المشاريع الهندسية")</f>
        <v>قسم المشاريع الهندسية</v>
      </c>
      <c r="F504" s="23" t="str">
        <f ca="1">IFERROR(__xludf.DUMMYFUNCTION("""COMPUTED_VALUE"""),"B- روضة القمر")</f>
        <v>B- روضة القمر</v>
      </c>
      <c r="G504" s="23" t="str">
        <f ca="1">IFERROR(__xludf.DUMMYFUNCTION("""COMPUTED_VALUE"""),"السطح")</f>
        <v>السطح</v>
      </c>
      <c r="H504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04" s="23"/>
      <c r="J504" s="23" t="s">
        <v>15</v>
      </c>
      <c r="K504" s="23" t="s">
        <v>13</v>
      </c>
      <c r="L504" s="32">
        <v>46203.298228425927</v>
      </c>
      <c r="M504" s="23"/>
    </row>
    <row r="505" spans="1:13" ht="75" customHeight="1" thickTop="1" thickBot="1">
      <c r="A505" s="25">
        <v>503</v>
      </c>
      <c r="B505" s="32">
        <f ca="1">IFERROR(__xludf.DUMMYFUNCTION("""COMPUTED_VALUE"""),46202.3851011921)</f>
        <v>46202.3851011921</v>
      </c>
      <c r="C505" s="33" t="str">
        <f ca="1">IFERROR(__xludf.DUMMYFUNCTION("""COMPUTED_VALUE"""),"المعملجي")</f>
        <v>المعملجي</v>
      </c>
      <c r="D505" s="33" t="str">
        <f ca="1">IFERROR(__xludf.DUMMYFUNCTION("""COMPUTED_VALUE"""),"وحدة التبريد")</f>
        <v>وحدة التبريد</v>
      </c>
      <c r="E505" s="23" t="str">
        <f ca="1">IFERROR(__xludf.DUMMYFUNCTION("""COMPUTED_VALUE"""),"قسم المشاريع الهندسية")</f>
        <v>قسم المشاريع الهندسية</v>
      </c>
      <c r="F505" s="23" t="str">
        <f ca="1">IFERROR(__xludf.DUMMYFUNCTION("""COMPUTED_VALUE"""),"G- روضة الجود")</f>
        <v>G- روضة الجود</v>
      </c>
      <c r="G505" s="23" t="str">
        <f ca="1">IFERROR(__xludf.DUMMYFUNCTION("""COMPUTED_VALUE"""),"السطح")</f>
        <v>السطح</v>
      </c>
      <c r="H505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05" s="23"/>
      <c r="J505" s="23" t="s">
        <v>15</v>
      </c>
      <c r="K505" s="23" t="s">
        <v>13</v>
      </c>
      <c r="L505" s="32">
        <v>46203.298241851851</v>
      </c>
      <c r="M505" s="23"/>
    </row>
    <row r="506" spans="1:13" ht="75" customHeight="1" thickTop="1" thickBot="1">
      <c r="A506" s="23">
        <v>504</v>
      </c>
      <c r="B506" s="32">
        <f ca="1">IFERROR(__xludf.DUMMYFUNCTION("""COMPUTED_VALUE"""),46202.3853092245)</f>
        <v>46202.385309224497</v>
      </c>
      <c r="C506" s="33" t="str">
        <f ca="1">IFERROR(__xludf.DUMMYFUNCTION("""COMPUTED_VALUE"""),"المعملجي")</f>
        <v>المعملجي</v>
      </c>
      <c r="D506" s="33" t="str">
        <f ca="1">IFERROR(__xludf.DUMMYFUNCTION("""COMPUTED_VALUE"""),"وحدة التبريد")</f>
        <v>وحدة التبريد</v>
      </c>
      <c r="E506" s="23" t="str">
        <f ca="1">IFERROR(__xludf.DUMMYFUNCTION("""COMPUTED_VALUE"""),"قسم المشاريع الهندسية")</f>
        <v>قسم المشاريع الهندسية</v>
      </c>
      <c r="F50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06" s="23" t="str">
        <f ca="1">IFERROR(__xludf.DUMMYFUNCTION("""COMPUTED_VALUE"""),"السطح")</f>
        <v>السطح</v>
      </c>
      <c r="H506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06" s="23"/>
      <c r="J506" s="23" t="s">
        <v>15</v>
      </c>
      <c r="K506" s="23" t="s">
        <v>13</v>
      </c>
      <c r="L506" s="32"/>
      <c r="M506" s="23"/>
    </row>
    <row r="507" spans="1:13" ht="75" customHeight="1" thickTop="1" thickBot="1">
      <c r="A507" s="25">
        <v>505</v>
      </c>
      <c r="B507" s="32">
        <f ca="1">IFERROR(__xludf.DUMMYFUNCTION("""COMPUTED_VALUE"""),46202.3855333564)</f>
        <v>46202.385533356399</v>
      </c>
      <c r="C507" s="33" t="str">
        <f ca="1">IFERROR(__xludf.DUMMYFUNCTION("""COMPUTED_VALUE"""),"المعملجي")</f>
        <v>المعملجي</v>
      </c>
      <c r="D507" s="33" t="str">
        <f ca="1">IFERROR(__xludf.DUMMYFUNCTION("""COMPUTED_VALUE"""),"وحدة التبريد")</f>
        <v>وحدة التبريد</v>
      </c>
      <c r="E507" s="23" t="str">
        <f ca="1">IFERROR(__xludf.DUMMYFUNCTION("""COMPUTED_VALUE"""),"قسم المشاريع الهندسية")</f>
        <v>قسم المشاريع الهندسية</v>
      </c>
      <c r="F50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07" s="23" t="str">
        <f ca="1">IFERROR(__xludf.DUMMYFUNCTION("""COMPUTED_VALUE"""),"السطح")</f>
        <v>السطح</v>
      </c>
      <c r="H507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07" s="23"/>
      <c r="J507" s="23" t="s">
        <v>15</v>
      </c>
      <c r="K507" s="23" t="s">
        <v>13</v>
      </c>
      <c r="L507" s="32">
        <v>46203.298246655089</v>
      </c>
      <c r="M507" s="23"/>
    </row>
    <row r="508" spans="1:13" ht="75" customHeight="1" thickTop="1" thickBot="1">
      <c r="A508" s="23">
        <v>506</v>
      </c>
      <c r="B508" s="32">
        <f ca="1">IFERROR(__xludf.DUMMYFUNCTION("""COMPUTED_VALUE"""),46202.3857367592)</f>
        <v>46202.385736759199</v>
      </c>
      <c r="C508" s="33" t="str">
        <f ca="1">IFERROR(__xludf.DUMMYFUNCTION("""COMPUTED_VALUE"""),"المعملجي")</f>
        <v>المعملجي</v>
      </c>
      <c r="D508" s="33" t="str">
        <f ca="1">IFERROR(__xludf.DUMMYFUNCTION("""COMPUTED_VALUE"""),"وحدة التبريد")</f>
        <v>وحدة التبريد</v>
      </c>
      <c r="E508" s="23" t="str">
        <f ca="1">IFERROR(__xludf.DUMMYFUNCTION("""COMPUTED_VALUE"""),"قسم المشاريع الهندسية")</f>
        <v>قسم المشاريع الهندسية</v>
      </c>
      <c r="F508" s="23" t="str">
        <f ca="1">IFERROR(__xludf.DUMMYFUNCTION("""COMPUTED_VALUE"""),"E- ابتدائية العميد للبنات (الثالثة)")</f>
        <v>E- ابتدائية العميد للبنات (الثالثة)</v>
      </c>
      <c r="G508" s="23" t="str">
        <f ca="1">IFERROR(__xludf.DUMMYFUNCTION("""COMPUTED_VALUE"""),"السطح")</f>
        <v>السطح</v>
      </c>
      <c r="H508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08" s="23"/>
      <c r="J508" s="23" t="s">
        <v>15</v>
      </c>
      <c r="K508" s="23" t="s">
        <v>13</v>
      </c>
      <c r="L508" s="32">
        <v>46203.298254351852</v>
      </c>
      <c r="M508" s="23"/>
    </row>
    <row r="509" spans="1:13" ht="75" customHeight="1" thickTop="1" thickBot="1">
      <c r="A509" s="25">
        <v>507</v>
      </c>
      <c r="B509" s="32">
        <f ca="1">IFERROR(__xludf.DUMMYFUNCTION("""COMPUTED_VALUE"""),46202.3859403009)</f>
        <v>46202.385940300897</v>
      </c>
      <c r="C509" s="33" t="str">
        <f ca="1">IFERROR(__xludf.DUMMYFUNCTION("""COMPUTED_VALUE"""),"المعملجي")</f>
        <v>المعملجي</v>
      </c>
      <c r="D509" s="33" t="str">
        <f ca="1">IFERROR(__xludf.DUMMYFUNCTION("""COMPUTED_VALUE"""),"وحدة التبريد")</f>
        <v>وحدة التبريد</v>
      </c>
      <c r="E509" s="23" t="str">
        <f ca="1">IFERROR(__xludf.DUMMYFUNCTION("""COMPUTED_VALUE"""),"قسم المشاريع الهندسية")</f>
        <v>قسم المشاريع الهندسية</v>
      </c>
      <c r="F509" s="23" t="str">
        <f ca="1">IFERROR(__xludf.DUMMYFUNCTION("""COMPUTED_VALUE"""),"F-  ابتدائية جود العميد للبنات (الرابعة)")</f>
        <v>F-  ابتدائية جود العميد للبنات (الرابعة)</v>
      </c>
      <c r="G509" s="23" t="str">
        <f ca="1">IFERROR(__xludf.DUMMYFUNCTION("""COMPUTED_VALUE"""),"السطح")</f>
        <v>السطح</v>
      </c>
      <c r="H509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09" s="23"/>
      <c r="J509" s="23" t="s">
        <v>15</v>
      </c>
      <c r="K509" s="23" t="s">
        <v>13</v>
      </c>
      <c r="L509" s="32">
        <v>46203.298263657409</v>
      </c>
      <c r="M509" s="23"/>
    </row>
    <row r="510" spans="1:13" ht="75" customHeight="1" thickTop="1" thickBot="1">
      <c r="A510" s="23">
        <v>508</v>
      </c>
      <c r="B510" s="32">
        <f ca="1">IFERROR(__xludf.DUMMYFUNCTION("""COMPUTED_VALUE"""),46202.3862160648)</f>
        <v>46202.386216064799</v>
      </c>
      <c r="C510" s="33" t="str">
        <f ca="1">IFERROR(__xludf.DUMMYFUNCTION("""COMPUTED_VALUE"""),"المعملجي")</f>
        <v>المعملجي</v>
      </c>
      <c r="D510" s="33" t="str">
        <f ca="1">IFERROR(__xludf.DUMMYFUNCTION("""COMPUTED_VALUE"""),"وحدة التبريد")</f>
        <v>وحدة التبريد</v>
      </c>
      <c r="E510" s="23" t="str">
        <f ca="1">IFERROR(__xludf.DUMMYFUNCTION("""COMPUTED_VALUE"""),"قسم المشاريع الهندسية")</f>
        <v>قسم المشاريع الهندسية</v>
      </c>
      <c r="F510" s="23" t="str">
        <f ca="1">IFERROR(__xludf.DUMMYFUNCTION("""COMPUTED_VALUE"""),"H- ابتدائية القمر للبنات (الخامسة)")</f>
        <v>H- ابتدائية القمر للبنات (الخامسة)</v>
      </c>
      <c r="G510" s="23" t="str">
        <f ca="1">IFERROR(__xludf.DUMMYFUNCTION("""COMPUTED_VALUE"""),"السطح")</f>
        <v>السطح</v>
      </c>
      <c r="H510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10" s="23"/>
      <c r="J510" s="23" t="s">
        <v>15</v>
      </c>
      <c r="K510" s="23" t="s">
        <v>13</v>
      </c>
      <c r="L510" s="32">
        <v>46203.29831701389</v>
      </c>
      <c r="M510" s="23"/>
    </row>
    <row r="511" spans="1:13" ht="75" customHeight="1" thickTop="1" thickBot="1">
      <c r="A511" s="25">
        <v>509</v>
      </c>
      <c r="B511" s="32">
        <f ca="1">IFERROR(__xludf.DUMMYFUNCTION("""COMPUTED_VALUE"""),46202.3865017476)</f>
        <v>46202.386501747598</v>
      </c>
      <c r="C511" s="33" t="str">
        <f ca="1">IFERROR(__xludf.DUMMYFUNCTION("""COMPUTED_VALUE"""),"المعملجي")</f>
        <v>المعملجي</v>
      </c>
      <c r="D511" s="33" t="str">
        <f ca="1">IFERROR(__xludf.DUMMYFUNCTION("""COMPUTED_VALUE"""),"وحدة التبريد")</f>
        <v>وحدة التبريد</v>
      </c>
      <c r="E511" s="23" t="str">
        <f ca="1">IFERROR(__xludf.DUMMYFUNCTION("""COMPUTED_VALUE"""),"قسم المشاريع الهندسية")</f>
        <v>قسم المشاريع الهندسية</v>
      </c>
      <c r="F511" s="23" t="str">
        <f ca="1">IFERROR(__xludf.DUMMYFUNCTION("""COMPUTED_VALUE"""),"I- ابتدائية الساقي للبنين (السادسة)")</f>
        <v>I- ابتدائية الساقي للبنين (السادسة)</v>
      </c>
      <c r="G511" s="23" t="str">
        <f ca="1">IFERROR(__xludf.DUMMYFUNCTION("""COMPUTED_VALUE"""),"السطح")</f>
        <v>السطح</v>
      </c>
      <c r="H511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11" s="23"/>
      <c r="J511" s="23" t="s">
        <v>15</v>
      </c>
      <c r="K511" s="23" t="s">
        <v>13</v>
      </c>
      <c r="L511" s="32">
        <v>46203.298265358797</v>
      </c>
      <c r="M511" s="23"/>
    </row>
    <row r="512" spans="1:13" ht="75" customHeight="1" thickTop="1" thickBot="1">
      <c r="A512" s="23">
        <v>510</v>
      </c>
      <c r="B512" s="32">
        <f ca="1">IFERROR(__xludf.DUMMYFUNCTION("""COMPUTED_VALUE"""),46202.3866995138)</f>
        <v>46202.386699513801</v>
      </c>
      <c r="C512" s="33" t="str">
        <f ca="1">IFERROR(__xludf.DUMMYFUNCTION("""COMPUTED_VALUE"""),"المعملجي")</f>
        <v>المعملجي</v>
      </c>
      <c r="D512" s="33" t="str">
        <f ca="1">IFERROR(__xludf.DUMMYFUNCTION("""COMPUTED_VALUE"""),"وحدة التبريد")</f>
        <v>وحدة التبريد</v>
      </c>
      <c r="E512" s="23" t="str">
        <f ca="1">IFERROR(__xludf.DUMMYFUNCTION("""COMPUTED_VALUE"""),"قسم المشاريع الهندسية")</f>
        <v>قسم المشاريع الهندسية</v>
      </c>
      <c r="F512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512" s="23" t="str">
        <f ca="1">IFERROR(__xludf.DUMMYFUNCTION("""COMPUTED_VALUE"""),"السطح")</f>
        <v>السطح</v>
      </c>
      <c r="H512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12" s="23"/>
      <c r="J512" s="23" t="s">
        <v>15</v>
      </c>
      <c r="K512" s="23" t="s">
        <v>13</v>
      </c>
      <c r="L512" s="32">
        <v>46203.29827240741</v>
      </c>
      <c r="M512" s="23"/>
    </row>
    <row r="513" spans="1:13" ht="75" customHeight="1" thickTop="1" thickBot="1">
      <c r="A513" s="25">
        <v>511</v>
      </c>
      <c r="B513" s="32">
        <f ca="1">IFERROR(__xludf.DUMMYFUNCTION("""COMPUTED_VALUE"""),46202.3891906134)</f>
        <v>46202.389190613401</v>
      </c>
      <c r="C513" s="33" t="str">
        <f ca="1">IFERROR(__xludf.DUMMYFUNCTION("""COMPUTED_VALUE"""),"المعملجي")</f>
        <v>المعملجي</v>
      </c>
      <c r="D513" s="33" t="str">
        <f ca="1">IFERROR(__xludf.DUMMYFUNCTION("""COMPUTED_VALUE"""),"وحدة التبريد")</f>
        <v>وحدة التبريد</v>
      </c>
      <c r="E513" s="23" t="str">
        <f ca="1">IFERROR(__xludf.DUMMYFUNCTION("""COMPUTED_VALUE"""),"قسم المشاريع الهندسية")</f>
        <v>قسم المشاريع الهندسية</v>
      </c>
      <c r="F513" s="23" t="str">
        <f ca="1">IFERROR(__xludf.DUMMYFUNCTION("""COMPUTED_VALUE"""),"A- المركز الثقافي")</f>
        <v>A- المركز الثقافي</v>
      </c>
      <c r="G513" s="23" t="str">
        <f ca="1">IFERROR(__xludf.DUMMYFUNCTION("""COMPUTED_VALUE"""),"الطابق الارضي, الطابق الاول, الطابق الثاني, الطابق الثالث, الطابق الرابع, السطح")</f>
        <v>الطابق الارضي, الطابق الاول, الطابق الثاني, الطابق الثالث, الطابق الرابع, السطح</v>
      </c>
      <c r="H513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13" s="23"/>
      <c r="J513" s="23" t="s">
        <v>15</v>
      </c>
      <c r="K513" s="23" t="s">
        <v>13</v>
      </c>
      <c r="L513" s="32">
        <v>46203.298281296295</v>
      </c>
      <c r="M513" s="23"/>
    </row>
    <row r="514" spans="1:13" ht="75" customHeight="1" thickTop="1" thickBot="1">
      <c r="A514" s="23">
        <v>512</v>
      </c>
      <c r="B514" s="32">
        <f ca="1">IFERROR(__xludf.DUMMYFUNCTION("""COMPUTED_VALUE"""),46202.3894019328)</f>
        <v>46202.3894019328</v>
      </c>
      <c r="C514" s="33" t="str">
        <f ca="1">IFERROR(__xludf.DUMMYFUNCTION("""COMPUTED_VALUE"""),"المعملجي")</f>
        <v>المعملجي</v>
      </c>
      <c r="D514" s="33" t="str">
        <f ca="1">IFERROR(__xludf.DUMMYFUNCTION("""COMPUTED_VALUE"""),"وحدة التبريد")</f>
        <v>وحدة التبريد</v>
      </c>
      <c r="E514" s="23" t="str">
        <f ca="1">IFERROR(__xludf.DUMMYFUNCTION("""COMPUTED_VALUE"""),"قسم المشاريع الهندسية")</f>
        <v>قسم المشاريع الهندسية</v>
      </c>
      <c r="F514" s="23" t="str">
        <f ca="1">IFERROR(__xludf.DUMMYFUNCTION("""COMPUTED_VALUE"""),"B- روضة القمر")</f>
        <v>B- روضة القمر</v>
      </c>
      <c r="G514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514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14" s="23"/>
      <c r="J514" s="23" t="s">
        <v>15</v>
      </c>
      <c r="K514" s="23" t="s">
        <v>13</v>
      </c>
      <c r="L514" s="32">
        <v>46203.298348425931</v>
      </c>
      <c r="M514" s="23"/>
    </row>
    <row r="515" spans="1:13" ht="75" customHeight="1" thickTop="1" thickBot="1">
      <c r="A515" s="25">
        <v>513</v>
      </c>
      <c r="B515" s="32">
        <f ca="1">IFERROR(__xludf.DUMMYFUNCTION("""COMPUTED_VALUE"""),46202.3896587152)</f>
        <v>46202.389658715198</v>
      </c>
      <c r="C515" s="33" t="str">
        <f ca="1">IFERROR(__xludf.DUMMYFUNCTION("""COMPUTED_VALUE"""),"المعملجي")</f>
        <v>المعملجي</v>
      </c>
      <c r="D515" s="33" t="str">
        <f ca="1">IFERROR(__xludf.DUMMYFUNCTION("""COMPUTED_VALUE"""),"وحدة التبريد")</f>
        <v>وحدة التبريد</v>
      </c>
      <c r="E515" s="23" t="str">
        <f ca="1">IFERROR(__xludf.DUMMYFUNCTION("""COMPUTED_VALUE"""),"قسم المشاريع الهندسية")</f>
        <v>قسم المشاريع الهندسية</v>
      </c>
      <c r="F515" s="23" t="str">
        <f ca="1">IFERROR(__xludf.DUMMYFUNCTION("""COMPUTED_VALUE"""),"G- روضة الجود")</f>
        <v>G- روضة الجود</v>
      </c>
      <c r="G515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515" s="23" t="str">
        <f ca="1">IFERROR(__xludf.DUMMYFUNCTION("""COMPUTED_VALUE"""),"ادامة وتنظيف القطع الخارجية لمنظومات التبريد في البناية ")</f>
        <v xml:space="preserve">ادامة وتنظيف القطع الخارجية لمنظومات التبريد في البناية </v>
      </c>
      <c r="I515" s="23"/>
      <c r="J515" s="23" t="s">
        <v>15</v>
      </c>
      <c r="K515" s="23" t="s">
        <v>13</v>
      </c>
      <c r="L515" s="32">
        <v>46203.298354236111</v>
      </c>
      <c r="M515" s="23"/>
    </row>
    <row r="516" spans="1:13" ht="75" customHeight="1" thickTop="1" thickBot="1">
      <c r="A516" s="23">
        <v>514</v>
      </c>
      <c r="B516" s="32">
        <f ca="1">IFERROR(__xludf.DUMMYFUNCTION("""COMPUTED_VALUE"""),46202.3901428356)</f>
        <v>46202.390142835597</v>
      </c>
      <c r="C516" s="33" t="str">
        <f ca="1">IFERROR(__xludf.DUMMYFUNCTION("""COMPUTED_VALUE"""),"المعملجي")</f>
        <v>المعملجي</v>
      </c>
      <c r="D516" s="33" t="str">
        <f ca="1">IFERROR(__xludf.DUMMYFUNCTION("""COMPUTED_VALUE"""),"وحدة التبريد")</f>
        <v>وحدة التبريد</v>
      </c>
      <c r="E516" s="23" t="str">
        <f ca="1">IFERROR(__xludf.DUMMYFUNCTION("""COMPUTED_VALUE"""),"قسم المشاريع الهندسية")</f>
        <v>قسم المشاريع الهندسية</v>
      </c>
      <c r="F516" s="23" t="str">
        <f ca="1">IFERROR(__xludf.DUMMYFUNCTION("""COMPUTED_VALUE"""),"B- روضة القمر")</f>
        <v>B- روضة القمر</v>
      </c>
      <c r="G516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516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16" s="23"/>
      <c r="J516" s="23" t="s">
        <v>15</v>
      </c>
      <c r="K516" s="23" t="s">
        <v>13</v>
      </c>
      <c r="L516" s="32">
        <v>46203.298360659726</v>
      </c>
      <c r="M516" s="23"/>
    </row>
    <row r="517" spans="1:13" ht="75" customHeight="1" thickTop="1" thickBot="1">
      <c r="A517" s="25">
        <v>515</v>
      </c>
      <c r="B517" s="32">
        <f ca="1">IFERROR(__xludf.DUMMYFUNCTION("""COMPUTED_VALUE"""),46202.3903262268)</f>
        <v>46202.3903262268</v>
      </c>
      <c r="C517" s="33" t="str">
        <f ca="1">IFERROR(__xludf.DUMMYFUNCTION("""COMPUTED_VALUE"""),"المعملجي")</f>
        <v>المعملجي</v>
      </c>
      <c r="D517" s="33" t="str">
        <f ca="1">IFERROR(__xludf.DUMMYFUNCTION("""COMPUTED_VALUE"""),"وحدة التبريد")</f>
        <v>وحدة التبريد</v>
      </c>
      <c r="E517" s="23" t="str">
        <f ca="1">IFERROR(__xludf.DUMMYFUNCTION("""COMPUTED_VALUE"""),"قسم المشاريع الهندسية")</f>
        <v>قسم المشاريع الهندسية</v>
      </c>
      <c r="F517" s="23" t="str">
        <f ca="1">IFERROR(__xludf.DUMMYFUNCTION("""COMPUTED_VALUE"""),"G- روضة الجود")</f>
        <v>G- روضة الجود</v>
      </c>
      <c r="G517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517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17" s="23"/>
      <c r="J517" s="23" t="s">
        <v>15</v>
      </c>
      <c r="K517" s="23" t="s">
        <v>13</v>
      </c>
      <c r="L517" s="32">
        <v>46203.298407442126</v>
      </c>
      <c r="M517" s="23"/>
    </row>
    <row r="518" spans="1:13" ht="75" customHeight="1" thickTop="1" thickBot="1">
      <c r="A518" s="23">
        <v>516</v>
      </c>
      <c r="B518" s="32">
        <f ca="1">IFERROR(__xludf.DUMMYFUNCTION("""COMPUTED_VALUE"""),46202.3905267361)</f>
        <v>46202.390526736097</v>
      </c>
      <c r="C518" s="33" t="str">
        <f ca="1">IFERROR(__xludf.DUMMYFUNCTION("""COMPUTED_VALUE"""),"المعملجي")</f>
        <v>المعملجي</v>
      </c>
      <c r="D518" s="33" t="str">
        <f ca="1">IFERROR(__xludf.DUMMYFUNCTION("""COMPUTED_VALUE"""),"وحدة التبريد")</f>
        <v>وحدة التبريد</v>
      </c>
      <c r="E518" s="23" t="str">
        <f ca="1">IFERROR(__xludf.DUMMYFUNCTION("""COMPUTED_VALUE"""),"قسم المشاريع الهندسية")</f>
        <v>قسم المشاريع الهندسية</v>
      </c>
      <c r="F51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18" s="23" t="str">
        <f ca="1">IFERROR(__xludf.DUMMYFUNCTION("""COMPUTED_VALUE"""),"الطابق الارضي, الطابق الاول, الطابق الثاني, ZONE A, ZONE B, السطح")</f>
        <v>الطابق الارضي, الطابق الاول, الطابق الثاني, ZONE A, ZONE B, السطح</v>
      </c>
      <c r="H518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18" s="23"/>
      <c r="J518" s="23" t="s">
        <v>15</v>
      </c>
      <c r="K518" s="23" t="s">
        <v>13</v>
      </c>
      <c r="L518" s="32">
        <v>46203.298381319444</v>
      </c>
      <c r="M518" s="23"/>
    </row>
    <row r="519" spans="1:13" ht="75" customHeight="1" thickTop="1" thickBot="1">
      <c r="A519" s="25">
        <v>517</v>
      </c>
      <c r="B519" s="32">
        <f ca="1">IFERROR(__xludf.DUMMYFUNCTION("""COMPUTED_VALUE"""),46202.3907971875)</f>
        <v>46202.390797187501</v>
      </c>
      <c r="C519" s="33" t="str">
        <f ca="1">IFERROR(__xludf.DUMMYFUNCTION("""COMPUTED_VALUE"""),"المعملجي")</f>
        <v>المعملجي</v>
      </c>
      <c r="D519" s="33" t="str">
        <f ca="1">IFERROR(__xludf.DUMMYFUNCTION("""COMPUTED_VALUE"""),"وحدة التبريد")</f>
        <v>وحدة التبريد</v>
      </c>
      <c r="E519" s="23" t="str">
        <f ca="1">IFERROR(__xludf.DUMMYFUNCTION("""COMPUTED_VALUE"""),"قسم المشاريع الهندسية")</f>
        <v>قسم المشاريع الهندسية</v>
      </c>
      <c r="F51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19" s="23" t="str">
        <f ca="1">IFERROR(__xludf.DUMMYFUNCTION("""COMPUTED_VALUE"""),"الطابق الارضي, الطابق الاول, الطابق الثاني, ZONE A, ZONE B, السطح, غرفة الكهرباء")</f>
        <v>الطابق الارضي, الطابق الاول, الطابق الثاني, ZONE A, ZONE B, السطح, غرفة الكهرباء</v>
      </c>
      <c r="H519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19" s="23"/>
      <c r="J519" s="23" t="s">
        <v>15</v>
      </c>
      <c r="K519" s="23" t="s">
        <v>13</v>
      </c>
      <c r="L519" s="32">
        <v>46203.298424618057</v>
      </c>
      <c r="M519" s="23"/>
    </row>
    <row r="520" spans="1:13" ht="75" customHeight="1" thickTop="1" thickBot="1">
      <c r="A520" s="23">
        <v>518</v>
      </c>
      <c r="B520" s="32">
        <f ca="1">IFERROR(__xludf.DUMMYFUNCTION("""COMPUTED_VALUE"""),46202.391035949)</f>
        <v>46202.391035948996</v>
      </c>
      <c r="C520" s="33" t="str">
        <f ca="1">IFERROR(__xludf.DUMMYFUNCTION("""COMPUTED_VALUE"""),"المعملجي")</f>
        <v>المعملجي</v>
      </c>
      <c r="D520" s="33" t="str">
        <f ca="1">IFERROR(__xludf.DUMMYFUNCTION("""COMPUTED_VALUE"""),"وحدة التبريد")</f>
        <v>وحدة التبريد</v>
      </c>
      <c r="E520" s="23" t="str">
        <f ca="1">IFERROR(__xludf.DUMMYFUNCTION("""COMPUTED_VALUE"""),"قسم المشاريع الهندسية")</f>
        <v>قسم المشاريع الهندسية</v>
      </c>
      <c r="F520" s="23" t="str">
        <f ca="1">IFERROR(__xludf.DUMMYFUNCTION("""COMPUTED_VALUE"""),"E- ابتدائية العميد للبنات (الثالثة)")</f>
        <v>E- ابتدائية العميد للبنات (الثالثة)</v>
      </c>
      <c r="G520" s="23" t="str">
        <f ca="1">IFERROR(__xludf.DUMMYFUNCTION("""COMPUTED_VALUE"""),"الطابق الارضي, الطابق الاول, الطابق الثاني, ZONE A, ZONE B, السطح, غرفة الكهرباء")</f>
        <v>الطابق الارضي, الطابق الاول, الطابق الثاني, ZONE A, ZONE B, السطح, غرفة الكهرباء</v>
      </c>
      <c r="H520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20" s="23"/>
      <c r="J520" s="23" t="s">
        <v>15</v>
      </c>
      <c r="K520" s="23" t="s">
        <v>13</v>
      </c>
      <c r="L520" s="32">
        <v>46203.298452962961</v>
      </c>
      <c r="M520" s="23"/>
    </row>
    <row r="521" spans="1:13" ht="75" customHeight="1" thickTop="1" thickBot="1">
      <c r="A521" s="25">
        <v>519</v>
      </c>
      <c r="B521" s="32">
        <f ca="1">IFERROR(__xludf.DUMMYFUNCTION("""COMPUTED_VALUE"""),46202.3912609606)</f>
        <v>46202.391260960598</v>
      </c>
      <c r="C521" s="33" t="str">
        <f ca="1">IFERROR(__xludf.DUMMYFUNCTION("""COMPUTED_VALUE"""),"المعملجي")</f>
        <v>المعملجي</v>
      </c>
      <c r="D521" s="33" t="str">
        <f ca="1">IFERROR(__xludf.DUMMYFUNCTION("""COMPUTED_VALUE"""),"وحدة التبريد")</f>
        <v>وحدة التبريد</v>
      </c>
      <c r="E521" s="23" t="str">
        <f ca="1">IFERROR(__xludf.DUMMYFUNCTION("""COMPUTED_VALUE"""),"قسم المشاريع الهندسية")</f>
        <v>قسم المشاريع الهندسية</v>
      </c>
      <c r="F521" s="23" t="str">
        <f ca="1">IFERROR(__xludf.DUMMYFUNCTION("""COMPUTED_VALUE"""),"F-  ابتدائية جود العميد للبنات (الرابعة)")</f>
        <v>F-  ابتدائية جود العميد للبنات (الرابعة)</v>
      </c>
      <c r="G521" s="23" t="str">
        <f ca="1">IFERROR(__xludf.DUMMYFUNCTION("""COMPUTED_VALUE"""),"الطابق الارضي, الطابق الاول, الطابق الثاني, ZONE A, ZONE B, السطح, غرفة الكهرباء")</f>
        <v>الطابق الارضي, الطابق الاول, الطابق الثاني, ZONE A, ZONE B, السطح, غرفة الكهرباء</v>
      </c>
      <c r="H521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21" s="23"/>
      <c r="J521" s="23" t="s">
        <v>15</v>
      </c>
      <c r="K521" s="23" t="s">
        <v>13</v>
      </c>
      <c r="L521" s="32">
        <v>46203.298440370374</v>
      </c>
      <c r="M521" s="23"/>
    </row>
    <row r="522" spans="1:13" ht="75" customHeight="1" thickTop="1" thickBot="1">
      <c r="A522" s="23">
        <v>520</v>
      </c>
      <c r="B522" s="32">
        <f ca="1">IFERROR(__xludf.DUMMYFUNCTION("""COMPUTED_VALUE"""),46202.3915568402)</f>
        <v>46202.391556840201</v>
      </c>
      <c r="C522" s="33" t="str">
        <f ca="1">IFERROR(__xludf.DUMMYFUNCTION("""COMPUTED_VALUE"""),"المعملجي")</f>
        <v>المعملجي</v>
      </c>
      <c r="D522" s="33" t="str">
        <f ca="1">IFERROR(__xludf.DUMMYFUNCTION("""COMPUTED_VALUE"""),"وحدة التبريد")</f>
        <v>وحدة التبريد</v>
      </c>
      <c r="E522" s="23" t="str">
        <f ca="1">IFERROR(__xludf.DUMMYFUNCTION("""COMPUTED_VALUE"""),"قسم المشاريع الهندسية")</f>
        <v>قسم المشاريع الهندسية</v>
      </c>
      <c r="F522" s="23" t="str">
        <f ca="1">IFERROR(__xludf.DUMMYFUNCTION("""COMPUTED_VALUE"""),"H- ابتدائية القمر للبنات (الخامسة)")</f>
        <v>H- ابتدائية القمر للبنات (الخامسة)</v>
      </c>
      <c r="G522" s="23" t="str">
        <f ca="1">IFERROR(__xludf.DUMMYFUNCTION("""COMPUTED_VALUE"""),"الطابق الارضي, الطابق الاول, الطابق الثاني, ZONE A, ZONE B, السطح, غرفة الكهرباء")</f>
        <v>الطابق الارضي, الطابق الاول, الطابق الثاني, ZONE A, ZONE B, السطح, غرفة الكهرباء</v>
      </c>
      <c r="H522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22" s="23"/>
      <c r="J522" s="23" t="s">
        <v>15</v>
      </c>
      <c r="K522" s="23" t="s">
        <v>13</v>
      </c>
      <c r="L522" s="32">
        <v>46203.298452870367</v>
      </c>
      <c r="M522" s="23"/>
    </row>
    <row r="523" spans="1:13" ht="75" customHeight="1" thickTop="1" thickBot="1">
      <c r="A523" s="25">
        <v>521</v>
      </c>
      <c r="B523" s="32">
        <f ca="1">IFERROR(__xludf.DUMMYFUNCTION("""COMPUTED_VALUE"""),46202.3921897453)</f>
        <v>46202.392189745296</v>
      </c>
      <c r="C523" s="33" t="str">
        <f ca="1">IFERROR(__xludf.DUMMYFUNCTION("""COMPUTED_VALUE"""),"المعملجي")</f>
        <v>المعملجي</v>
      </c>
      <c r="D523" s="33" t="str">
        <f ca="1">IFERROR(__xludf.DUMMYFUNCTION("""COMPUTED_VALUE"""),"وحدة التبريد")</f>
        <v>وحدة التبريد</v>
      </c>
      <c r="E523" s="23" t="str">
        <f ca="1">IFERROR(__xludf.DUMMYFUNCTION("""COMPUTED_VALUE"""),"قسم المشاريع الهندسية")</f>
        <v>قسم المشاريع الهندسية</v>
      </c>
      <c r="F523" s="23" t="str">
        <f ca="1">IFERROR(__xludf.DUMMYFUNCTION("""COMPUTED_VALUE"""),"I- ابتدائية الساقي للبنين (السادسة)")</f>
        <v>I- ابتدائية الساقي للبنين (السادسة)</v>
      </c>
      <c r="G523" s="23" t="str">
        <f ca="1">IFERROR(__xludf.DUMMYFUNCTION("""COMPUTED_VALUE"""),"الطابق الارضي, الطابق الاول, الطابق الثاني, ZONE A, ZONE B, السطح, غرفة الكهرباء")</f>
        <v>الطابق الارضي, الطابق الاول, الطابق الثاني, ZONE A, ZONE B, السطح, غرفة الكهرباء</v>
      </c>
      <c r="H523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23" s="23"/>
      <c r="J523" s="23" t="s">
        <v>15</v>
      </c>
      <c r="K523" s="23" t="s">
        <v>13</v>
      </c>
      <c r="L523" s="32">
        <v>46203.298487905093</v>
      </c>
      <c r="M523" s="23"/>
    </row>
    <row r="524" spans="1:13" ht="75" customHeight="1" thickTop="1" thickBot="1">
      <c r="A524" s="23">
        <v>522</v>
      </c>
      <c r="B524" s="32">
        <f ca="1">IFERROR(__xludf.DUMMYFUNCTION("""COMPUTED_VALUE"""),46202.3924415046)</f>
        <v>46202.392441504599</v>
      </c>
      <c r="C524" s="33" t="str">
        <f ca="1">IFERROR(__xludf.DUMMYFUNCTION("""COMPUTED_VALUE"""),"المعملجي")</f>
        <v>المعملجي</v>
      </c>
      <c r="D524" s="33" t="str">
        <f ca="1">IFERROR(__xludf.DUMMYFUNCTION("""COMPUTED_VALUE"""),"وحدة التبريد")</f>
        <v>وحدة التبريد</v>
      </c>
      <c r="E524" s="23" t="str">
        <f ca="1">IFERROR(__xludf.DUMMYFUNCTION("""COMPUTED_VALUE"""),"قسم المشاريع الهندسية")</f>
        <v>قسم المشاريع الهندسية</v>
      </c>
      <c r="F524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524" s="23" t="str">
        <f ca="1">IFERROR(__xludf.DUMMYFUNCTION("""COMPUTED_VALUE"""),"الطابق الارضي, الطابق الاول, الطابق الثاني, السطح, غرفة الكهرباء")</f>
        <v>الطابق الارضي, الطابق الاول, الطابق الثاني, السطح, غرفة الكهرباء</v>
      </c>
      <c r="H524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24" s="23"/>
      <c r="J524" s="23" t="s">
        <v>15</v>
      </c>
      <c r="K524" s="23" t="s">
        <v>13</v>
      </c>
      <c r="L524" s="32">
        <v>46203.298470011578</v>
      </c>
      <c r="M524" s="23"/>
    </row>
    <row r="525" spans="1:13" ht="75" customHeight="1" thickTop="1" thickBot="1">
      <c r="A525" s="25">
        <v>523</v>
      </c>
      <c r="B525" s="32">
        <f ca="1">IFERROR(__xludf.DUMMYFUNCTION("""COMPUTED_VALUE"""),46202.3929109375)</f>
        <v>46202.392910937502</v>
      </c>
      <c r="C525" s="33" t="str">
        <f ca="1">IFERROR(__xludf.DUMMYFUNCTION("""COMPUTED_VALUE"""),"المعملجي")</f>
        <v>المعملجي</v>
      </c>
      <c r="D525" s="33" t="str">
        <f ca="1">IFERROR(__xludf.DUMMYFUNCTION("""COMPUTED_VALUE"""),"وحدة التبريد")</f>
        <v>وحدة التبريد</v>
      </c>
      <c r="E525" s="23" t="str">
        <f ca="1">IFERROR(__xludf.DUMMYFUNCTION("""COMPUTED_VALUE"""),"قسم المشاريع الهندسية")</f>
        <v>قسم المشاريع الهندسية</v>
      </c>
      <c r="F525" s="23" t="str">
        <f ca="1">IFERROR(__xludf.DUMMYFUNCTION("""COMPUTED_VALUE"""),"الاستعلامات الرئيسية, المالية 1, المالية 2, شعبة الصيانة, النافورة, غرف السنكرو")</f>
        <v>الاستعلامات الرئيسية, المالية 1, المالية 2, شعبة الصيانة, النافورة, غرف السنكرو</v>
      </c>
      <c r="G525" s="23" t="str">
        <f ca="1">IFERROR(__xludf.DUMMYFUNCTION("""COMPUTED_VALUE"""),"غرفة الكهرباء, محطة الرفع")</f>
        <v>غرفة الكهرباء, محطة الرفع</v>
      </c>
      <c r="H525" s="23" t="str">
        <f ca="1">IFERROR(__xludf.DUMMYFUNCTION("""COMPUTED_VALUE"""),"ادامة وتنظيف السبالت الاعتيادية الخاصة بغرف الكهرباء والاتصالات ")</f>
        <v xml:space="preserve">ادامة وتنظيف السبالت الاعتيادية الخاصة بغرف الكهرباء والاتصالات </v>
      </c>
      <c r="I525" s="23"/>
      <c r="J525" s="23" t="s">
        <v>15</v>
      </c>
      <c r="K525" s="23" t="s">
        <v>13</v>
      </c>
      <c r="L525" s="32">
        <v>46203.298476111115</v>
      </c>
      <c r="M525" s="23"/>
    </row>
    <row r="526" spans="1:13" ht="75" customHeight="1" thickTop="1" thickBot="1">
      <c r="A526" s="23">
        <v>524</v>
      </c>
      <c r="B526" s="32">
        <f ca="1">IFERROR(__xludf.DUMMYFUNCTION("""COMPUTED_VALUE"""),46202.3937237847)</f>
        <v>46202.393723784699</v>
      </c>
      <c r="C526" s="33" t="str">
        <f ca="1">IFERROR(__xludf.DUMMYFUNCTION("""COMPUTED_VALUE"""),"المعملجي")</f>
        <v>المعملجي</v>
      </c>
      <c r="D526" s="33" t="str">
        <f ca="1">IFERROR(__xludf.DUMMYFUNCTION("""COMPUTED_VALUE"""),"وحدة التبريد")</f>
        <v>وحدة التبريد</v>
      </c>
      <c r="E526" s="23" t="str">
        <f ca="1">IFERROR(__xludf.DUMMYFUNCTION("""COMPUTED_VALUE"""),"قسم المشاريع الهندسية")</f>
        <v>قسم المشاريع الهندسية</v>
      </c>
      <c r="F526" s="23" t="str">
        <f ca="1">IFERROR(__xludf.DUMMYFUNCTION("""COMPUTED_VALUE"""),"B- روضة القمر")</f>
        <v>B- روضة القمر</v>
      </c>
      <c r="G526" s="23" t="str">
        <f ca="1">IFERROR(__xludf.DUMMYFUNCTION("""COMPUTED_VALUE"""),"القاعة الرياضية مقابل الاولى ")</f>
        <v xml:space="preserve">القاعة الرياضية مقابل الاولى </v>
      </c>
      <c r="H526" s="23" t="str">
        <f ca="1">IFERROR(__xludf.DUMMYFUNCTION("""COMPUTED_VALUE"""),"ادامة وتنظيف فلاتر منظومة البكج الخاصة بالقاعة ")</f>
        <v xml:space="preserve">ادامة وتنظيف فلاتر منظومة البكج الخاصة بالقاعة </v>
      </c>
      <c r="I526" s="23"/>
      <c r="J526" s="23" t="s">
        <v>15</v>
      </c>
      <c r="K526" s="23" t="s">
        <v>13</v>
      </c>
      <c r="L526" s="32">
        <v>46203.298477719909</v>
      </c>
      <c r="M526" s="23"/>
    </row>
    <row r="527" spans="1:13" ht="75" customHeight="1" thickTop="1" thickBot="1">
      <c r="A527" s="25">
        <v>525</v>
      </c>
      <c r="B527" s="32">
        <f ca="1">IFERROR(__xludf.DUMMYFUNCTION("""COMPUTED_VALUE"""),46202.3940725231)</f>
        <v>46202.3940725231</v>
      </c>
      <c r="C527" s="33" t="str">
        <f ca="1">IFERROR(__xludf.DUMMYFUNCTION("""COMPUTED_VALUE"""),"المعملجي")</f>
        <v>المعملجي</v>
      </c>
      <c r="D527" s="33" t="str">
        <f ca="1">IFERROR(__xludf.DUMMYFUNCTION("""COMPUTED_VALUE"""),"وحدة التبريد")</f>
        <v>وحدة التبريد</v>
      </c>
      <c r="E527" s="23" t="str">
        <f ca="1">IFERROR(__xludf.DUMMYFUNCTION("""COMPUTED_VALUE"""),"قسم المشاريع الهندسية")</f>
        <v>قسم المشاريع الهندسية</v>
      </c>
      <c r="F527" s="23" t="str">
        <f ca="1">IFERROR(__xludf.DUMMYFUNCTION("""COMPUTED_VALUE"""),"B- روضة القمر")</f>
        <v>B- روضة القمر</v>
      </c>
      <c r="G527" s="23" t="str">
        <f ca="1">IFERROR(__xludf.DUMMYFUNCTION("""COMPUTED_VALUE"""),"القاعة الرياضية مقابل الالعاب")</f>
        <v>القاعة الرياضية مقابل الالعاب</v>
      </c>
      <c r="H527" s="23" t="str">
        <f ca="1">IFERROR(__xludf.DUMMYFUNCTION("""COMPUTED_VALUE"""),"ادامة وتنظيف فلاتر منظومة البكج الخاصة بالقاعة")</f>
        <v>ادامة وتنظيف فلاتر منظومة البكج الخاصة بالقاعة</v>
      </c>
      <c r="I527" s="23"/>
      <c r="J527" s="23" t="s">
        <v>15</v>
      </c>
      <c r="K527" s="23" t="s">
        <v>13</v>
      </c>
      <c r="L527" s="32">
        <v>46203.298485902778</v>
      </c>
      <c r="M527" s="23"/>
    </row>
    <row r="528" spans="1:13" ht="75" customHeight="1" thickTop="1" thickBot="1">
      <c r="A528" s="23">
        <v>526</v>
      </c>
      <c r="B528" s="32">
        <f ca="1">IFERROR(__xludf.DUMMYFUNCTION("""COMPUTED_VALUE"""),46202.3943626967)</f>
        <v>46202.394362696701</v>
      </c>
      <c r="C528" s="33" t="str">
        <f ca="1">IFERROR(__xludf.DUMMYFUNCTION("""COMPUTED_VALUE"""),"المعملجي")</f>
        <v>المعملجي</v>
      </c>
      <c r="D528" s="33" t="str">
        <f ca="1">IFERROR(__xludf.DUMMYFUNCTION("""COMPUTED_VALUE"""),"وحدة التبريد")</f>
        <v>وحدة التبريد</v>
      </c>
      <c r="E528" s="23" t="str">
        <f ca="1">IFERROR(__xludf.DUMMYFUNCTION("""COMPUTED_VALUE"""),"قسم المشاريع الهندسية")</f>
        <v>قسم المشاريع الهندسية</v>
      </c>
      <c r="F528" s="23" t="str">
        <f ca="1">IFERROR(__xludf.DUMMYFUNCTION("""COMPUTED_VALUE"""),"G- روضة الجود")</f>
        <v>G- روضة الجود</v>
      </c>
      <c r="G528" s="23" t="str">
        <f ca="1">IFERROR(__xludf.DUMMYFUNCTION("""COMPUTED_VALUE"""),"القاعة الرياضية مقابل الرابعة ")</f>
        <v xml:space="preserve">القاعة الرياضية مقابل الرابعة </v>
      </c>
      <c r="H528" s="23" t="str">
        <f ca="1">IFERROR(__xludf.DUMMYFUNCTION("""COMPUTED_VALUE"""),"ادامة وتنظيف فلاتر منظومة البكج الخاصة بالقاعة")</f>
        <v>ادامة وتنظيف فلاتر منظومة البكج الخاصة بالقاعة</v>
      </c>
      <c r="I528" s="23"/>
      <c r="J528" s="23" t="s">
        <v>15</v>
      </c>
      <c r="K528" s="23" t="s">
        <v>13</v>
      </c>
      <c r="L528" s="32"/>
      <c r="M528" s="23"/>
    </row>
    <row r="529" spans="1:13" ht="75" customHeight="1" thickTop="1" thickBot="1">
      <c r="A529" s="25">
        <v>527</v>
      </c>
      <c r="B529" s="32">
        <f ca="1">IFERROR(__xludf.DUMMYFUNCTION("""COMPUTED_VALUE"""),46202.394882199)</f>
        <v>46202.394882198998</v>
      </c>
      <c r="C529" s="33" t="str">
        <f ca="1">IFERROR(__xludf.DUMMYFUNCTION("""COMPUTED_VALUE"""),"المعملجي")</f>
        <v>المعملجي</v>
      </c>
      <c r="D529" s="33" t="str">
        <f ca="1">IFERROR(__xludf.DUMMYFUNCTION("""COMPUTED_VALUE"""),"وحدة التبريد")</f>
        <v>وحدة التبريد</v>
      </c>
      <c r="E529" s="23" t="str">
        <f ca="1">IFERROR(__xludf.DUMMYFUNCTION("""COMPUTED_VALUE"""),"قسم المشاريع الهندسية")</f>
        <v>قسم المشاريع الهندسية</v>
      </c>
      <c r="F529" s="23" t="str">
        <f ca="1">IFERROR(__xludf.DUMMYFUNCTION("""COMPUTED_VALUE"""),"G- روضة الجود")</f>
        <v>G- روضة الجود</v>
      </c>
      <c r="G529" s="23" t="str">
        <f ca="1">IFERROR(__xludf.DUMMYFUNCTION("""COMPUTED_VALUE"""),"القاعة الرياضية مقابل الخامسة ")</f>
        <v xml:space="preserve">القاعة الرياضية مقابل الخامسة </v>
      </c>
      <c r="H529" s="23" t="str">
        <f ca="1">IFERROR(__xludf.DUMMYFUNCTION("""COMPUTED_VALUE"""),"ادامة وتنظيف فلاتر منظومة البكج الخاصة بالقاعة")</f>
        <v>ادامة وتنظيف فلاتر منظومة البكج الخاصة بالقاعة</v>
      </c>
      <c r="I529" s="23"/>
      <c r="J529" s="23" t="s">
        <v>15</v>
      </c>
      <c r="K529" s="23" t="s">
        <v>13</v>
      </c>
      <c r="L529" s="32">
        <v>46203.300479710648</v>
      </c>
      <c r="M529" s="23"/>
    </row>
    <row r="530" spans="1:13" ht="75" customHeight="1" thickTop="1" thickBot="1">
      <c r="A530" s="23">
        <v>528</v>
      </c>
      <c r="B530" s="32">
        <f ca="1">IFERROR(__xludf.DUMMYFUNCTION("""COMPUTED_VALUE"""),46202.3963467013)</f>
        <v>46202.396346701302</v>
      </c>
      <c r="C530" s="33" t="str">
        <f ca="1">IFERROR(__xludf.DUMMYFUNCTION("""COMPUTED_VALUE"""),"المعملجي")</f>
        <v>المعملجي</v>
      </c>
      <c r="D530" s="33" t="str">
        <f ca="1">IFERROR(__xludf.DUMMYFUNCTION("""COMPUTED_VALUE"""),"وحدة التبريد")</f>
        <v>وحدة التبريد</v>
      </c>
      <c r="E530" s="23" t="str">
        <f ca="1">IFERROR(__xludf.DUMMYFUNCTION("""COMPUTED_VALUE"""),"قسم المشاريع الهندسية")</f>
        <v>قسم المشاريع الهندسية</v>
      </c>
      <c r="F530" s="23" t="str">
        <f ca="1">IFERROR(__xludf.DUMMYFUNCTION("""COMPUTED_VALUE"""),"A- المركز الثقافي")</f>
        <v>A- المركز الثقافي</v>
      </c>
      <c r="G530" s="23" t="str">
        <f ca="1">IFERROR(__xludf.DUMMYFUNCTION("""COMPUTED_VALUE"""),"الطابق الارضي, الطابق الاول, قاعة سراج العميد ")</f>
        <v xml:space="preserve">الطابق الارضي, الطابق الاول, قاعة سراج العميد </v>
      </c>
      <c r="H530" s="23" t="str">
        <f ca="1">IFERROR(__xludf.DUMMYFUNCTION("""COMPUTED_VALUE"""),"ادامة وتنظيف فلاتر منظومة السبلت بكج الخاصة بالقاعة ")</f>
        <v xml:space="preserve">ادامة وتنظيف فلاتر منظومة السبلت بكج الخاصة بالقاعة </v>
      </c>
      <c r="I530" s="23"/>
      <c r="J530" s="23" t="s">
        <v>15</v>
      </c>
      <c r="K530" s="23" t="s">
        <v>13</v>
      </c>
      <c r="L530" s="32">
        <v>46203.300473634255</v>
      </c>
      <c r="M530" s="23"/>
    </row>
    <row r="531" spans="1:13" ht="75" customHeight="1" thickTop="1" thickBot="1">
      <c r="A531" s="25">
        <v>529</v>
      </c>
      <c r="B531" s="32">
        <f ca="1">IFERROR(__xludf.DUMMYFUNCTION("""COMPUTED_VALUE"""),46202.3966910763)</f>
        <v>46202.396691076297</v>
      </c>
      <c r="C531" s="33" t="str">
        <f ca="1">IFERROR(__xludf.DUMMYFUNCTION("""COMPUTED_VALUE"""),"المعملجي")</f>
        <v>المعملجي</v>
      </c>
      <c r="D531" s="33" t="str">
        <f ca="1">IFERROR(__xludf.DUMMYFUNCTION("""COMPUTED_VALUE"""),"وحدة التبريد")</f>
        <v>وحدة التبريد</v>
      </c>
      <c r="E531" s="23" t="str">
        <f ca="1">IFERROR(__xludf.DUMMYFUNCTION("""COMPUTED_VALUE"""),"قسم المشاريع الهندسية")</f>
        <v>قسم المشاريع الهندسية</v>
      </c>
      <c r="F531" s="23" t="str">
        <f ca="1">IFERROR(__xludf.DUMMYFUNCTION("""COMPUTED_VALUE"""),"A- المركز الثقافي")</f>
        <v>A- المركز الثقافي</v>
      </c>
      <c r="G531" s="23" t="str">
        <f ca="1">IFERROR(__xludf.DUMMYFUNCTION("""COMPUTED_VALUE"""),"الطابق الارضي, الطابق الاول, قاعة المؤتمرات ")</f>
        <v xml:space="preserve">الطابق الارضي, الطابق الاول, قاعة المؤتمرات </v>
      </c>
      <c r="H531" s="23" t="str">
        <f ca="1">IFERROR(__xludf.DUMMYFUNCTION("""COMPUTED_VALUE"""),"ادامة وتنظيف فلاتر منظومة السبلت بكج الخاصة بالقاعة ")</f>
        <v xml:space="preserve">ادامة وتنظيف فلاتر منظومة السبلت بكج الخاصة بالقاعة </v>
      </c>
      <c r="I531" s="23"/>
      <c r="J531" s="23" t="s">
        <v>15</v>
      </c>
      <c r="K531" s="23" t="s">
        <v>13</v>
      </c>
      <c r="L531" s="32">
        <v>46203.30048711806</v>
      </c>
      <c r="M531" s="23"/>
    </row>
    <row r="532" spans="1:13" ht="75" customHeight="1" thickTop="1" thickBot="1">
      <c r="A532" s="23">
        <v>530</v>
      </c>
      <c r="B532" s="32">
        <f ca="1">IFERROR(__xludf.DUMMYFUNCTION("""COMPUTED_VALUE"""),46202.3975107638)</f>
        <v>46202.397510763803</v>
      </c>
      <c r="C532" s="33" t="str">
        <f ca="1">IFERROR(__xludf.DUMMYFUNCTION("""COMPUTED_VALUE"""),"المعملجي")</f>
        <v>المعملجي</v>
      </c>
      <c r="D532" s="33" t="str">
        <f ca="1">IFERROR(__xludf.DUMMYFUNCTION("""COMPUTED_VALUE"""),"وحدة التبريد")</f>
        <v>وحدة التبريد</v>
      </c>
      <c r="E532" s="23" t="str">
        <f ca="1">IFERROR(__xludf.DUMMYFUNCTION("""COMPUTED_VALUE"""),"قسم المشاريع الهندسية")</f>
        <v>قسم المشاريع الهندسية</v>
      </c>
      <c r="F532" s="23" t="str">
        <f ca="1">IFERROR(__xludf.DUMMYFUNCTION("""COMPUTED_VALUE"""),"A- المركز الثقافي")</f>
        <v>A- المركز الثقافي</v>
      </c>
      <c r="G532" s="23" t="str">
        <f ca="1">IFERROR(__xludf.DUMMYFUNCTION("""COMPUTED_VALUE"""),"الطابق الثاني, الطابق الثالث, الطابق الرابع, السطح")</f>
        <v>الطابق الثاني, الطابق الثالث, الطابق الرابع, السطح</v>
      </c>
      <c r="H532" s="23" t="str">
        <f ca="1">IFERROR(__xludf.DUMMYFUNCTION("""COMPUTED_VALUE"""),"ادامة وتنظيف منظومة التهوية الDX في البناية ")</f>
        <v xml:space="preserve">ادامة وتنظيف منظومة التهوية الDX في البناية </v>
      </c>
      <c r="I532" s="23"/>
      <c r="J532" s="23" t="s">
        <v>15</v>
      </c>
      <c r="K532" s="23" t="s">
        <v>13</v>
      </c>
      <c r="L532" s="32">
        <v>46203.300487881948</v>
      </c>
      <c r="M532" s="23"/>
    </row>
    <row r="533" spans="1:13" ht="75" customHeight="1" thickTop="1" thickBot="1">
      <c r="A533" s="25">
        <v>531</v>
      </c>
      <c r="B533" s="32">
        <f ca="1">IFERROR(__xludf.DUMMYFUNCTION("""COMPUTED_VALUE"""),46202.397693449)</f>
        <v>46202.397693448998</v>
      </c>
      <c r="C533" s="33" t="str">
        <f ca="1">IFERROR(__xludf.DUMMYFUNCTION("""COMPUTED_VALUE"""),"المعملجي")</f>
        <v>المعملجي</v>
      </c>
      <c r="D533" s="33" t="str">
        <f ca="1">IFERROR(__xludf.DUMMYFUNCTION("""COMPUTED_VALUE"""),"وحدة التبريد")</f>
        <v>وحدة التبريد</v>
      </c>
      <c r="E533" s="23" t="str">
        <f ca="1">IFERROR(__xludf.DUMMYFUNCTION("""COMPUTED_VALUE"""),"قسم المشاريع الهندسية")</f>
        <v>قسم المشاريع الهندسية</v>
      </c>
      <c r="F533" s="23" t="str">
        <f ca="1">IFERROR(__xludf.DUMMYFUNCTION("""COMPUTED_VALUE"""),"B- روضة القمر")</f>
        <v>B- روضة القمر</v>
      </c>
      <c r="G533" s="23" t="str">
        <f ca="1">IFERROR(__xludf.DUMMYFUNCTION("""COMPUTED_VALUE"""),"السطح")</f>
        <v>السطح</v>
      </c>
      <c r="H533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3" s="23"/>
      <c r="J533" s="23" t="s">
        <v>15</v>
      </c>
      <c r="K533" s="23" t="s">
        <v>13</v>
      </c>
      <c r="L533" s="32">
        <v>46203.300504236111</v>
      </c>
      <c r="M533" s="23"/>
    </row>
    <row r="534" spans="1:13" ht="75" customHeight="1" thickTop="1" thickBot="1">
      <c r="A534" s="23">
        <v>532</v>
      </c>
      <c r="B534" s="32">
        <f ca="1">IFERROR(__xludf.DUMMYFUNCTION("""COMPUTED_VALUE"""),46202.3978632523)</f>
        <v>46202.397863252299</v>
      </c>
      <c r="C534" s="33" t="str">
        <f ca="1">IFERROR(__xludf.DUMMYFUNCTION("""COMPUTED_VALUE"""),"المعملجي")</f>
        <v>المعملجي</v>
      </c>
      <c r="D534" s="33" t="str">
        <f ca="1">IFERROR(__xludf.DUMMYFUNCTION("""COMPUTED_VALUE"""),"وحدة التبريد")</f>
        <v>وحدة التبريد</v>
      </c>
      <c r="E534" s="23" t="str">
        <f ca="1">IFERROR(__xludf.DUMMYFUNCTION("""COMPUTED_VALUE"""),"قسم المشاريع الهندسية")</f>
        <v>قسم المشاريع الهندسية</v>
      </c>
      <c r="F534" s="23" t="str">
        <f ca="1">IFERROR(__xludf.DUMMYFUNCTION("""COMPUTED_VALUE"""),"G- روضة الجود")</f>
        <v>G- روضة الجود</v>
      </c>
      <c r="G534" s="23" t="str">
        <f ca="1">IFERROR(__xludf.DUMMYFUNCTION("""COMPUTED_VALUE"""),"السطح")</f>
        <v>السطح</v>
      </c>
      <c r="H534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4" s="23"/>
      <c r="J534" s="23" t="s">
        <v>15</v>
      </c>
      <c r="K534" s="23" t="s">
        <v>13</v>
      </c>
      <c r="L534" s="32">
        <v>46203.300504421291</v>
      </c>
      <c r="M534" s="23"/>
    </row>
    <row r="535" spans="1:13" ht="75" customHeight="1" thickTop="1" thickBot="1">
      <c r="A535" s="25">
        <v>533</v>
      </c>
      <c r="B535" s="32">
        <f ca="1">IFERROR(__xludf.DUMMYFUNCTION("""COMPUTED_VALUE"""),46202.3980659953)</f>
        <v>46202.398065995301</v>
      </c>
      <c r="C535" s="33" t="str">
        <f ca="1">IFERROR(__xludf.DUMMYFUNCTION("""COMPUTED_VALUE"""),"المعملجي")</f>
        <v>المعملجي</v>
      </c>
      <c r="D535" s="33" t="str">
        <f ca="1">IFERROR(__xludf.DUMMYFUNCTION("""COMPUTED_VALUE"""),"وحدة التبريد")</f>
        <v>وحدة التبريد</v>
      </c>
      <c r="E535" s="23" t="str">
        <f ca="1">IFERROR(__xludf.DUMMYFUNCTION("""COMPUTED_VALUE"""),"قسم المشاريع الهندسية")</f>
        <v>قسم المشاريع الهندسية</v>
      </c>
      <c r="F535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35" s="23" t="str">
        <f ca="1">IFERROR(__xludf.DUMMYFUNCTION("""COMPUTED_VALUE"""),"السطح")</f>
        <v>السطح</v>
      </c>
      <c r="H535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5" s="23"/>
      <c r="J535" s="23" t="s">
        <v>15</v>
      </c>
      <c r="K535" s="23" t="s">
        <v>13</v>
      </c>
      <c r="L535" s="32">
        <v>46203.300517291667</v>
      </c>
      <c r="M535" s="23"/>
    </row>
    <row r="536" spans="1:13" ht="75" customHeight="1" thickTop="1" thickBot="1">
      <c r="A536" s="23">
        <v>534</v>
      </c>
      <c r="B536" s="32">
        <f ca="1">IFERROR(__xludf.DUMMYFUNCTION("""COMPUTED_VALUE"""),46202.3982557754)</f>
        <v>46202.398255775399</v>
      </c>
      <c r="C536" s="33" t="str">
        <f ca="1">IFERROR(__xludf.DUMMYFUNCTION("""COMPUTED_VALUE"""),"المعملجي")</f>
        <v>المعملجي</v>
      </c>
      <c r="D536" s="33" t="str">
        <f ca="1">IFERROR(__xludf.DUMMYFUNCTION("""COMPUTED_VALUE"""),"وحدة التبريد")</f>
        <v>وحدة التبريد</v>
      </c>
      <c r="E536" s="23" t="str">
        <f ca="1">IFERROR(__xludf.DUMMYFUNCTION("""COMPUTED_VALUE"""),"قسم المشاريع الهندسية")</f>
        <v>قسم المشاريع الهندسية</v>
      </c>
      <c r="F53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36" s="23" t="str">
        <f ca="1">IFERROR(__xludf.DUMMYFUNCTION("""COMPUTED_VALUE"""),"السطح")</f>
        <v>السطح</v>
      </c>
      <c r="H536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6" s="23"/>
      <c r="J536" s="23" t="s">
        <v>15</v>
      </c>
      <c r="K536" s="23" t="s">
        <v>13</v>
      </c>
      <c r="L536" s="32">
        <v>46203.300518090276</v>
      </c>
      <c r="M536" s="23"/>
    </row>
    <row r="537" spans="1:13" ht="75" customHeight="1" thickTop="1" thickBot="1">
      <c r="A537" s="25">
        <v>535</v>
      </c>
      <c r="B537" s="32">
        <f ca="1">IFERROR(__xludf.DUMMYFUNCTION("""COMPUTED_VALUE"""),46202.3984368287)</f>
        <v>46202.398436828698</v>
      </c>
      <c r="C537" s="33" t="str">
        <f ca="1">IFERROR(__xludf.DUMMYFUNCTION("""COMPUTED_VALUE"""),"المعملجي")</f>
        <v>المعملجي</v>
      </c>
      <c r="D537" s="33" t="str">
        <f ca="1">IFERROR(__xludf.DUMMYFUNCTION("""COMPUTED_VALUE"""),"وحدة التبريد")</f>
        <v>وحدة التبريد</v>
      </c>
      <c r="E537" s="23" t="str">
        <f ca="1">IFERROR(__xludf.DUMMYFUNCTION("""COMPUTED_VALUE"""),"قسم المشاريع الهندسية")</f>
        <v>قسم المشاريع الهندسية</v>
      </c>
      <c r="F537" s="23" t="str">
        <f ca="1">IFERROR(__xludf.DUMMYFUNCTION("""COMPUTED_VALUE"""),"E- ابتدائية العميد للبنات (الثالثة)")</f>
        <v>E- ابتدائية العميد للبنات (الثالثة)</v>
      </c>
      <c r="G537" s="23" t="str">
        <f ca="1">IFERROR(__xludf.DUMMYFUNCTION("""COMPUTED_VALUE"""),"السطح")</f>
        <v>السطح</v>
      </c>
      <c r="H537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7" s="23"/>
      <c r="J537" s="23" t="s">
        <v>15</v>
      </c>
      <c r="K537" s="23" t="s">
        <v>13</v>
      </c>
      <c r="L537" s="32">
        <v>46203.300522245372</v>
      </c>
      <c r="M537" s="23"/>
    </row>
    <row r="538" spans="1:13" ht="75" customHeight="1" thickTop="1" thickBot="1">
      <c r="A538" s="23">
        <v>536</v>
      </c>
      <c r="B538" s="32">
        <f ca="1">IFERROR(__xludf.DUMMYFUNCTION("""COMPUTED_VALUE"""),46202.3986338888)</f>
        <v>46202.398633888799</v>
      </c>
      <c r="C538" s="33" t="str">
        <f ca="1">IFERROR(__xludf.DUMMYFUNCTION("""COMPUTED_VALUE"""),"المعملجي")</f>
        <v>المعملجي</v>
      </c>
      <c r="D538" s="33" t="str">
        <f ca="1">IFERROR(__xludf.DUMMYFUNCTION("""COMPUTED_VALUE"""),"وحدة التبريد")</f>
        <v>وحدة التبريد</v>
      </c>
      <c r="E538" s="23" t="str">
        <f ca="1">IFERROR(__xludf.DUMMYFUNCTION("""COMPUTED_VALUE"""),"قسم المشاريع الهندسية")</f>
        <v>قسم المشاريع الهندسية</v>
      </c>
      <c r="F538" s="23" t="str">
        <f ca="1">IFERROR(__xludf.DUMMYFUNCTION("""COMPUTED_VALUE"""),"F-  ابتدائية جود العميد للبنات (الرابعة)")</f>
        <v>F-  ابتدائية جود العميد للبنات (الرابعة)</v>
      </c>
      <c r="G538" s="23" t="str">
        <f ca="1">IFERROR(__xludf.DUMMYFUNCTION("""COMPUTED_VALUE"""),"السطح")</f>
        <v>السطح</v>
      </c>
      <c r="H538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8" s="23"/>
      <c r="J538" s="23" t="s">
        <v>15</v>
      </c>
      <c r="K538" s="23" t="s">
        <v>13</v>
      </c>
      <c r="L538" s="32">
        <v>46203.300532152774</v>
      </c>
      <c r="M538" s="23"/>
    </row>
    <row r="539" spans="1:13" ht="75" customHeight="1" thickTop="1" thickBot="1">
      <c r="A539" s="25">
        <v>537</v>
      </c>
      <c r="B539" s="32">
        <f ca="1">IFERROR(__xludf.DUMMYFUNCTION("""COMPUTED_VALUE"""),46202.4019568634)</f>
        <v>46202.401956863403</v>
      </c>
      <c r="C539" s="33" t="str">
        <f ca="1">IFERROR(__xludf.DUMMYFUNCTION("""COMPUTED_VALUE"""),"المعملجي")</f>
        <v>المعملجي</v>
      </c>
      <c r="D539" s="33" t="str">
        <f ca="1">IFERROR(__xludf.DUMMYFUNCTION("""COMPUTED_VALUE"""),"وحدة التبريد")</f>
        <v>وحدة التبريد</v>
      </c>
      <c r="E539" s="23" t="str">
        <f ca="1">IFERROR(__xludf.DUMMYFUNCTION("""COMPUTED_VALUE"""),"قسم المشاريع الهندسية")</f>
        <v>قسم المشاريع الهندسية</v>
      </c>
      <c r="F539" s="23" t="str">
        <f ca="1">IFERROR(__xludf.DUMMYFUNCTION("""COMPUTED_VALUE"""),"H- ابتدائية القمر للبنات (الخامسة)")</f>
        <v>H- ابتدائية القمر للبنات (الخامسة)</v>
      </c>
      <c r="G539" s="23" t="str">
        <f ca="1">IFERROR(__xludf.DUMMYFUNCTION("""COMPUTED_VALUE"""),"السطح")</f>
        <v>السطح</v>
      </c>
      <c r="H539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39" s="23"/>
      <c r="J539" s="23" t="s">
        <v>15</v>
      </c>
      <c r="K539" s="23" t="s">
        <v>13</v>
      </c>
      <c r="L539" s="32">
        <v>46203.300545543985</v>
      </c>
      <c r="M539" s="23"/>
    </row>
    <row r="540" spans="1:13" ht="75" customHeight="1" thickTop="1" thickBot="1">
      <c r="A540" s="23">
        <v>538</v>
      </c>
      <c r="B540" s="32">
        <f ca="1">IFERROR(__xludf.DUMMYFUNCTION("""COMPUTED_VALUE"""),46202.4021543981)</f>
        <v>46202.4021543981</v>
      </c>
      <c r="C540" s="33" t="str">
        <f ca="1">IFERROR(__xludf.DUMMYFUNCTION("""COMPUTED_VALUE"""),"المعملجي")</f>
        <v>المعملجي</v>
      </c>
      <c r="D540" s="33" t="str">
        <f ca="1">IFERROR(__xludf.DUMMYFUNCTION("""COMPUTED_VALUE"""),"وحدة التبريد")</f>
        <v>وحدة التبريد</v>
      </c>
      <c r="E540" s="23" t="str">
        <f ca="1">IFERROR(__xludf.DUMMYFUNCTION("""COMPUTED_VALUE"""),"قسم المشاريع الهندسية")</f>
        <v>قسم المشاريع الهندسية</v>
      </c>
      <c r="F540" s="23" t="str">
        <f ca="1">IFERROR(__xludf.DUMMYFUNCTION("""COMPUTED_VALUE"""),"I- ابتدائية الساقي للبنين (السادسة)")</f>
        <v>I- ابتدائية الساقي للبنين (السادسة)</v>
      </c>
      <c r="G540" s="23" t="str">
        <f ca="1">IFERROR(__xludf.DUMMYFUNCTION("""COMPUTED_VALUE"""),"السطح")</f>
        <v>السطح</v>
      </c>
      <c r="H540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40" s="23"/>
      <c r="J540" s="23" t="s">
        <v>15</v>
      </c>
      <c r="K540" s="23" t="s">
        <v>13</v>
      </c>
      <c r="L540" s="32">
        <v>46203.300545844904</v>
      </c>
      <c r="M540" s="23"/>
    </row>
    <row r="541" spans="1:13" ht="75" customHeight="1" thickTop="1" thickBot="1">
      <c r="A541" s="25">
        <v>539</v>
      </c>
      <c r="B541" s="32">
        <f ca="1">IFERROR(__xludf.DUMMYFUNCTION("""COMPUTED_VALUE"""),46202.4023675)</f>
        <v>46202.402367499999</v>
      </c>
      <c r="C541" s="33" t="str">
        <f ca="1">IFERROR(__xludf.DUMMYFUNCTION("""COMPUTED_VALUE"""),"المعملجي")</f>
        <v>المعملجي</v>
      </c>
      <c r="D541" s="33" t="str">
        <f ca="1">IFERROR(__xludf.DUMMYFUNCTION("""COMPUTED_VALUE"""),"وحدة التبريد")</f>
        <v>وحدة التبريد</v>
      </c>
      <c r="E541" s="23" t="str">
        <f ca="1">IFERROR(__xludf.DUMMYFUNCTION("""COMPUTED_VALUE"""),"قسم المشاريع الهندسية")</f>
        <v>قسم المشاريع الهندسية</v>
      </c>
      <c r="F541" s="23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541" s="23" t="str">
        <f ca="1">IFERROR(__xludf.DUMMYFUNCTION("""COMPUTED_VALUE"""),"السطح")</f>
        <v>السطح</v>
      </c>
      <c r="H541" s="23" t="str">
        <f ca="1">IFERROR(__xludf.DUMMYFUNCTION("""COMPUTED_VALUE"""),"ادامة وتنظيف منظومة التهوية الDX في البناية")</f>
        <v>ادامة وتنظيف منظومة التهوية الDX في البناية</v>
      </c>
      <c r="I541" s="23"/>
      <c r="J541" s="23" t="s">
        <v>15</v>
      </c>
      <c r="K541" s="23" t="s">
        <v>13</v>
      </c>
      <c r="L541" s="32">
        <v>46203.300561932869</v>
      </c>
      <c r="M541" s="23"/>
    </row>
    <row r="542" spans="1:13" ht="75" customHeight="1" thickTop="1" thickBot="1">
      <c r="A542" s="23">
        <v>540</v>
      </c>
      <c r="B542" s="32">
        <f ca="1">IFERROR(__xludf.DUMMYFUNCTION("""COMPUTED_VALUE"""),46202.4031427893)</f>
        <v>46202.403142789299</v>
      </c>
      <c r="C542" s="33" t="str">
        <f ca="1">IFERROR(__xludf.DUMMYFUNCTION("""COMPUTED_VALUE"""),"المعملجي")</f>
        <v>المعملجي</v>
      </c>
      <c r="D542" s="33" t="str">
        <f ca="1">IFERROR(__xludf.DUMMYFUNCTION("""COMPUTED_VALUE"""),"وحدة التبريد")</f>
        <v>وحدة التبريد</v>
      </c>
      <c r="E542" s="23" t="str">
        <f ca="1">IFERROR(__xludf.DUMMYFUNCTION("""COMPUTED_VALUE"""),"قسم المشاريع الهندسية")</f>
        <v>قسم المشاريع الهندسية</v>
      </c>
      <c r="F542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42" s="23" t="str">
        <f ca="1">IFERROR(__xludf.DUMMYFUNCTION("""COMPUTED_VALUE"""),"الطابق الثاني, ZONE A")</f>
        <v>الطابق الثاني, ZONE A</v>
      </c>
      <c r="H542" s="23" t="str">
        <f ca="1">IFERROR(__xludf.DUMMYFUNCTION("""COMPUTED_VALUE"""),"اضافة سبلت كنتوري 3 طن في مصلى البناية ")</f>
        <v xml:space="preserve">اضافة سبلت كنتوري 3 طن في مصلى البناية </v>
      </c>
      <c r="I542" s="23"/>
      <c r="J542" s="23" t="s">
        <v>15</v>
      </c>
      <c r="K542" s="23" t="s">
        <v>13</v>
      </c>
      <c r="L542" s="32">
        <v>46203.300563206023</v>
      </c>
      <c r="M542" s="23"/>
    </row>
    <row r="543" spans="1:13" ht="75" customHeight="1" thickTop="1" thickBot="1">
      <c r="A543" s="25">
        <v>541</v>
      </c>
      <c r="B543" s="32">
        <f ca="1">IFERROR(__xludf.DUMMYFUNCTION("""COMPUTED_VALUE"""),46202.4033534722)</f>
        <v>46202.403353472197</v>
      </c>
      <c r="C543" s="33" t="str">
        <f ca="1">IFERROR(__xludf.DUMMYFUNCTION("""COMPUTED_VALUE"""),"المعملجي")</f>
        <v>المعملجي</v>
      </c>
      <c r="D543" s="33" t="str">
        <f ca="1">IFERROR(__xludf.DUMMYFUNCTION("""COMPUTED_VALUE"""),"وحدة التبريد")</f>
        <v>وحدة التبريد</v>
      </c>
      <c r="E543" s="23" t="str">
        <f ca="1">IFERROR(__xludf.DUMMYFUNCTION("""COMPUTED_VALUE"""),"قسم المشاريع الهندسية")</f>
        <v>قسم المشاريع الهندسية</v>
      </c>
      <c r="F543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43" s="23" t="str">
        <f ca="1">IFERROR(__xludf.DUMMYFUNCTION("""COMPUTED_VALUE"""),"الطابق الثاني, ZONE A")</f>
        <v>الطابق الثاني, ZONE A</v>
      </c>
      <c r="H543" s="23" t="str">
        <f ca="1">IFERROR(__xludf.DUMMYFUNCTION("""COMPUTED_VALUE"""),"اضافة سبلت كنتوري 3 طن في مصلى البناية")</f>
        <v>اضافة سبلت كنتوري 3 طن في مصلى البناية</v>
      </c>
      <c r="I543" s="23"/>
      <c r="J543" s="23" t="s">
        <v>15</v>
      </c>
      <c r="K543" s="23" t="s">
        <v>13</v>
      </c>
      <c r="L543" s="32">
        <v>46203.300565682875</v>
      </c>
      <c r="M543" s="23"/>
    </row>
    <row r="544" spans="1:13" ht="75" customHeight="1" thickTop="1" thickBot="1">
      <c r="A544" s="23">
        <v>542</v>
      </c>
      <c r="B544" s="32">
        <f ca="1">IFERROR(__xludf.DUMMYFUNCTION("""COMPUTED_VALUE"""),46202.4039214467)</f>
        <v>46202.403921446697</v>
      </c>
      <c r="C544" s="33" t="str">
        <f ca="1">IFERROR(__xludf.DUMMYFUNCTION("""COMPUTED_VALUE"""),"المعملجي")</f>
        <v>المعملجي</v>
      </c>
      <c r="D544" s="33" t="str">
        <f ca="1">IFERROR(__xludf.DUMMYFUNCTION("""COMPUTED_VALUE"""),"وحدة التبريد")</f>
        <v>وحدة التبريد</v>
      </c>
      <c r="E544" s="23" t="str">
        <f ca="1">IFERROR(__xludf.DUMMYFUNCTION("""COMPUTED_VALUE"""),"قسم المشاريع الهندسية")</f>
        <v>قسم المشاريع الهندسية</v>
      </c>
      <c r="F544" s="23" t="str">
        <f ca="1">IFERROR(__xludf.DUMMYFUNCTION("""COMPUTED_VALUE"""),"A- المركز الثقافي")</f>
        <v>A- المركز الثقافي</v>
      </c>
      <c r="G544" s="23" t="str">
        <f ca="1">IFERROR(__xludf.DUMMYFUNCTION("""COMPUTED_VALUE"""),"الطابق الارضي")</f>
        <v>الطابق الارضي</v>
      </c>
      <c r="H544" s="23" t="str">
        <f ca="1">IFERROR(__xludf.DUMMYFUNCTION("""COMPUTED_VALUE"""),"اضافة سبلت كنتوري 3 طن في غرفة الادارة ")</f>
        <v xml:space="preserve">اضافة سبلت كنتوري 3 طن في غرفة الادارة </v>
      </c>
      <c r="I544" s="23"/>
      <c r="J544" s="23" t="s">
        <v>15</v>
      </c>
      <c r="K544" s="23" t="s">
        <v>13</v>
      </c>
      <c r="L544" s="32">
        <v>46203.300572083332</v>
      </c>
      <c r="M544" s="23"/>
    </row>
    <row r="545" spans="1:13" ht="75" customHeight="1" thickTop="1" thickBot="1">
      <c r="A545" s="25">
        <v>543</v>
      </c>
      <c r="B545" s="32">
        <f ca="1">IFERROR(__xludf.DUMMYFUNCTION("""COMPUTED_VALUE"""),46202.4049528703)</f>
        <v>46202.404952870304</v>
      </c>
      <c r="C545" s="33" t="str">
        <f ca="1">IFERROR(__xludf.DUMMYFUNCTION("""COMPUTED_VALUE"""),"المعملجي")</f>
        <v>المعملجي</v>
      </c>
      <c r="D545" s="33" t="str">
        <f ca="1">IFERROR(__xludf.DUMMYFUNCTION("""COMPUTED_VALUE"""),"وحدة التبريد")</f>
        <v>وحدة التبريد</v>
      </c>
      <c r="E545" s="23" t="str">
        <f ca="1">IFERROR(__xludf.DUMMYFUNCTION("""COMPUTED_VALUE"""),"قسم المشاريع الهندسية")</f>
        <v>قسم المشاريع الهندسية</v>
      </c>
      <c r="F545" s="23" t="str">
        <f ca="1">IFERROR(__xludf.DUMMYFUNCTION("""COMPUTED_VALUE"""),"A- المركز الثقافي")</f>
        <v>A- المركز الثقافي</v>
      </c>
      <c r="G545" s="23" t="str">
        <f ca="1">IFERROR(__xludf.DUMMYFUNCTION("""COMPUTED_VALUE"""),"الطابق الرابع")</f>
        <v>الطابق الرابع</v>
      </c>
      <c r="H545" s="23" t="str">
        <f ca="1">IFERROR(__xludf.DUMMYFUNCTION("""COMPUTED_VALUE"""),"اضافة سبلت كاسيت 4 طن في غرفة الكامرات ")</f>
        <v xml:space="preserve">اضافة سبلت كاسيت 4 طن في غرفة الكامرات </v>
      </c>
      <c r="I545" s="23"/>
      <c r="J545" s="23" t="s">
        <v>15</v>
      </c>
      <c r="K545" s="23" t="s">
        <v>13</v>
      </c>
      <c r="L545" s="32"/>
      <c r="M545" s="23"/>
    </row>
    <row r="546" spans="1:13" ht="75" customHeight="1" thickTop="1" thickBot="1">
      <c r="A546" s="23">
        <v>544</v>
      </c>
      <c r="B546" s="32">
        <f ca="1">IFERROR(__xludf.DUMMYFUNCTION("""COMPUTED_VALUE"""),46202.4057034375)</f>
        <v>46202.4057034375</v>
      </c>
      <c r="C546" s="33" t="str">
        <f ca="1">IFERROR(__xludf.DUMMYFUNCTION("""COMPUTED_VALUE"""),"المعملجي")</f>
        <v>المعملجي</v>
      </c>
      <c r="D546" s="33" t="str">
        <f ca="1">IFERROR(__xludf.DUMMYFUNCTION("""COMPUTED_VALUE"""),"وحدة التبريد")</f>
        <v>وحدة التبريد</v>
      </c>
      <c r="E546" s="23" t="str">
        <f ca="1">IFERROR(__xludf.DUMMYFUNCTION("""COMPUTED_VALUE"""),"قسم المشاريع الهندسية")</f>
        <v>قسم المشاريع الهندسية</v>
      </c>
      <c r="F546" s="23" t="str">
        <f ca="1">IFERROR(__xludf.DUMMYFUNCTION("""COMPUTED_VALUE"""),"A- المركز الثقافي")</f>
        <v>A- المركز الثقافي</v>
      </c>
      <c r="G546" s="23" t="str">
        <f ca="1">IFERROR(__xludf.DUMMYFUNCTION("""COMPUTED_VALUE"""),"الطابق الرابع")</f>
        <v>الطابق الرابع</v>
      </c>
      <c r="H546" s="23" t="str">
        <f ca="1">IFERROR(__xludf.DUMMYFUNCTION("""COMPUTED_VALUE"""),"نقل فانات منظومة vrf للاماكن الاكثر اشغالا")</f>
        <v>نقل فانات منظومة vrf للاماكن الاكثر اشغالا</v>
      </c>
      <c r="I546" s="23"/>
      <c r="J546" s="23" t="s">
        <v>15</v>
      </c>
      <c r="K546" s="23" t="s">
        <v>13</v>
      </c>
      <c r="L546" s="32">
        <v>46203.300613981482</v>
      </c>
      <c r="M546" s="23"/>
    </row>
    <row r="547" spans="1:13" ht="75" customHeight="1" thickTop="1" thickBot="1">
      <c r="A547" s="25">
        <v>545</v>
      </c>
      <c r="B547" s="32">
        <f ca="1">IFERROR(__xludf.DUMMYFUNCTION("""COMPUTED_VALUE"""),46202.4074776041)</f>
        <v>46202.407477604102</v>
      </c>
      <c r="C547" s="33" t="str">
        <f ca="1">IFERROR(__xludf.DUMMYFUNCTION("""COMPUTED_VALUE"""),"المعملجي")</f>
        <v>المعملجي</v>
      </c>
      <c r="D547" s="33" t="str">
        <f ca="1">IFERROR(__xludf.DUMMYFUNCTION("""COMPUTED_VALUE"""),"وحدة التبريد")</f>
        <v>وحدة التبريد</v>
      </c>
      <c r="E547" s="23" t="str">
        <f ca="1">IFERROR(__xludf.DUMMYFUNCTION("""COMPUTED_VALUE"""),"قسم المشاريع الهندسية")</f>
        <v>قسم المشاريع الهندسية</v>
      </c>
      <c r="F547" s="23" t="str">
        <f ca="1">IFERROR(__xludf.DUMMYFUNCTION("""COMPUTED_VALUE"""),"A- المركز الثقافي")</f>
        <v>A- المركز الثقافي</v>
      </c>
      <c r="G547" s="23" t="str">
        <f ca="1">IFERROR(__xludf.DUMMYFUNCTION("""COMPUTED_VALUE"""),"الطابق الارضي, قاعة المؤتمرات ")</f>
        <v xml:space="preserve">الطابق الارضي, قاعة المؤتمرات </v>
      </c>
      <c r="H547" s="23" t="str">
        <f ca="1">IFERROR(__xludf.DUMMYFUNCTION("""COMPUTED_VALUE"""),"ضغط المنظومة بغاز النايتروجين وتحديد اماكن التسريب")</f>
        <v>ضغط المنظومة بغاز النايتروجين وتحديد اماكن التسريب</v>
      </c>
      <c r="I547" s="23"/>
      <c r="J547" s="23" t="s">
        <v>15</v>
      </c>
      <c r="K547" s="23" t="s">
        <v>13</v>
      </c>
      <c r="L547" s="32">
        <v>46203.300590960644</v>
      </c>
      <c r="M547" s="23"/>
    </row>
    <row r="548" spans="1:13" ht="75" customHeight="1" thickTop="1" thickBot="1">
      <c r="A548" s="23">
        <v>546</v>
      </c>
      <c r="B548" s="32">
        <f ca="1">IFERROR(__xludf.DUMMYFUNCTION("""COMPUTED_VALUE"""),46202.4080529976)</f>
        <v>46202.408052997598</v>
      </c>
      <c r="C548" s="33" t="str">
        <f ca="1">IFERROR(__xludf.DUMMYFUNCTION("""COMPUTED_VALUE"""),"المعملجي")</f>
        <v>المعملجي</v>
      </c>
      <c r="D548" s="33" t="str">
        <f ca="1">IFERROR(__xludf.DUMMYFUNCTION("""COMPUTED_VALUE"""),"وحدة التبريد")</f>
        <v>وحدة التبريد</v>
      </c>
      <c r="E548" s="23" t="str">
        <f ca="1">IFERROR(__xludf.DUMMYFUNCTION("""COMPUTED_VALUE"""),"قسم المشاريع الهندسية")</f>
        <v>قسم المشاريع الهندسية</v>
      </c>
      <c r="F548" s="23" t="str">
        <f ca="1">IFERROR(__xludf.DUMMYFUNCTION("""COMPUTED_VALUE"""),"A- المركز الثقافي")</f>
        <v>A- المركز الثقافي</v>
      </c>
      <c r="G548" s="23" t="str">
        <f ca="1">IFERROR(__xludf.DUMMYFUNCTION("""COMPUTED_VALUE"""),"الطابق الارضي, قاعة المؤتمرات ")</f>
        <v xml:space="preserve">الطابق الارضي, قاعة المؤتمرات </v>
      </c>
      <c r="H548" s="23" t="str">
        <f ca="1">IFERROR(__xludf.DUMMYFUNCTION("""COMPUTED_VALUE"""),"لحام كل الليكات في القطع الخارجية والداخليه لمنظومة السبلت البكج ")</f>
        <v xml:space="preserve">لحام كل الليكات في القطع الخارجية والداخليه لمنظومة السبلت البكج </v>
      </c>
      <c r="I548" s="23"/>
      <c r="J548" s="23" t="s">
        <v>15</v>
      </c>
      <c r="K548" s="23" t="s">
        <v>13</v>
      </c>
      <c r="L548" s="32">
        <v>46203.301256932871</v>
      </c>
      <c r="M548" s="23"/>
    </row>
    <row r="549" spans="1:13" ht="75" customHeight="1" thickTop="1" thickBot="1">
      <c r="A549" s="25">
        <v>547</v>
      </c>
      <c r="B549" s="32">
        <f ca="1">IFERROR(__xludf.DUMMYFUNCTION("""COMPUTED_VALUE"""),46202.4087038773)</f>
        <v>46202.4087038773</v>
      </c>
      <c r="C549" s="33" t="str">
        <f ca="1">IFERROR(__xludf.DUMMYFUNCTION("""COMPUTED_VALUE"""),"المعملجي")</f>
        <v>المعملجي</v>
      </c>
      <c r="D549" s="33" t="str">
        <f ca="1">IFERROR(__xludf.DUMMYFUNCTION("""COMPUTED_VALUE"""),"وحدة التبريد")</f>
        <v>وحدة التبريد</v>
      </c>
      <c r="E549" s="23" t="str">
        <f ca="1">IFERROR(__xludf.DUMMYFUNCTION("""COMPUTED_VALUE"""),"قسم المشاريع الهندسية")</f>
        <v>قسم المشاريع الهندسية</v>
      </c>
      <c r="F549" s="23" t="str">
        <f ca="1">IFERROR(__xludf.DUMMYFUNCTION("""COMPUTED_VALUE"""),"A- المركز الثقافي")</f>
        <v>A- المركز الثقافي</v>
      </c>
      <c r="G549" s="23" t="str">
        <f ca="1">IFERROR(__xludf.DUMMYFUNCTION("""COMPUTED_VALUE"""),"الطابق الارضي, قاعة المؤتمرات ")</f>
        <v xml:space="preserve">الطابق الارضي, قاعة المؤتمرات </v>
      </c>
      <c r="H549" s="23" t="str">
        <f ca="1">IFERROR(__xludf.DUMMYFUNCTION("""COMPUTED_VALUE"""),"عمل فاكيم لمنظومة السبلت بكج واعادة شحن غاز التبريد وتشغيل المنظومة ")</f>
        <v xml:space="preserve">عمل فاكيم لمنظومة السبلت بكج واعادة شحن غاز التبريد وتشغيل المنظومة </v>
      </c>
      <c r="I549" s="23"/>
      <c r="J549" s="23" t="s">
        <v>15</v>
      </c>
      <c r="K549" s="23" t="s">
        <v>13</v>
      </c>
      <c r="L549" s="32">
        <v>46203.301262291665</v>
      </c>
      <c r="M549" s="23"/>
    </row>
    <row r="550" spans="1:13" ht="75" customHeight="1" thickTop="1" thickBot="1">
      <c r="A550" s="23">
        <v>548</v>
      </c>
      <c r="B550" s="32">
        <f ca="1">IFERROR(__xludf.DUMMYFUNCTION("""COMPUTED_VALUE"""),46202.4097733217)</f>
        <v>46202.409773321699</v>
      </c>
      <c r="C550" s="33" t="str">
        <f ca="1">IFERROR(__xludf.DUMMYFUNCTION("""COMPUTED_VALUE"""),"المعملجي")</f>
        <v>المعملجي</v>
      </c>
      <c r="D550" s="33" t="str">
        <f ca="1">IFERROR(__xludf.DUMMYFUNCTION("""COMPUTED_VALUE"""),"وحدة التبريد")</f>
        <v>وحدة التبريد</v>
      </c>
      <c r="E550" s="23" t="str">
        <f ca="1">IFERROR(__xludf.DUMMYFUNCTION("""COMPUTED_VALUE"""),"قسم المشاريع الهندسية")</f>
        <v>قسم المشاريع الهندسية</v>
      </c>
      <c r="F550" s="23" t="str">
        <f ca="1">IFERROR(__xludf.DUMMYFUNCTION("""COMPUTED_VALUE"""),"B- روضة القمر")</f>
        <v>B- روضة القمر</v>
      </c>
      <c r="G550" s="23" t="str">
        <f ca="1">IFERROR(__xludf.DUMMYFUNCTION("""COMPUTED_VALUE"""),"القاعة الرياضية مقابل الاولى ")</f>
        <v xml:space="preserve">القاعة الرياضية مقابل الاولى </v>
      </c>
      <c r="H550" s="23" t="str">
        <f ca="1">IFERROR(__xludf.DUMMYFUNCTION("""COMPUTED_VALUE"""),"صيانة مشكله في فولتيات الفيزات الثلاث المغذية لجهاز البكج الخاص بالقاعة ")</f>
        <v xml:space="preserve">صيانة مشكله في فولتيات الفيزات الثلاث المغذية لجهاز البكج الخاص بالقاعة </v>
      </c>
      <c r="I550" s="23"/>
      <c r="J550" s="23" t="s">
        <v>15</v>
      </c>
      <c r="K550" s="23" t="s">
        <v>13</v>
      </c>
      <c r="L550" s="32">
        <v>46203.301263761576</v>
      </c>
      <c r="M550" s="23"/>
    </row>
    <row r="551" spans="1:13" ht="75" customHeight="1" thickTop="1" thickBot="1">
      <c r="A551" s="25">
        <v>549</v>
      </c>
      <c r="B551" s="32">
        <f ca="1">IFERROR(__xludf.DUMMYFUNCTION("""COMPUTED_VALUE"""),46202.4164356944)</f>
        <v>46202.416435694402</v>
      </c>
      <c r="C551" s="33" t="str">
        <f ca="1">IFERROR(__xludf.DUMMYFUNCTION("""COMPUTED_VALUE"""),"المعملجي")</f>
        <v>المعملجي</v>
      </c>
      <c r="D551" s="33" t="str">
        <f ca="1">IFERROR(__xludf.DUMMYFUNCTION("""COMPUTED_VALUE"""),"وحدة التبريد")</f>
        <v>وحدة التبريد</v>
      </c>
      <c r="E551" s="23" t="str">
        <f ca="1">IFERROR(__xludf.DUMMYFUNCTION("""COMPUTED_VALUE"""),"قسم المشاريع الهندسية")</f>
        <v>قسم المشاريع الهندسية</v>
      </c>
      <c r="F551" s="23" t="str">
        <f ca="1">IFERROR(__xludf.DUMMYFUNCTION("""COMPUTED_VALUE"""),"B- روضة القمر")</f>
        <v>B- روضة القمر</v>
      </c>
      <c r="G551" s="23" t="str">
        <f ca="1">IFERROR(__xludf.DUMMYFUNCTION("""COMPUTED_VALUE"""),"الطابق الارضي, غرفة الكهرباء")</f>
        <v>الطابق الارضي, غرفة الكهرباء</v>
      </c>
      <c r="H551" s="23" t="str">
        <f ca="1">IFERROR(__xludf.DUMMYFUNCTION("""COMPUTED_VALUE"""),"فتح سبلت جداري ولحام الليكات واعادة تنصيب وشحن الغاز لغرفة الكهرباء الخارجية ")</f>
        <v xml:space="preserve">فتح سبلت جداري ولحام الليكات واعادة تنصيب وشحن الغاز لغرفة الكهرباء الخارجية </v>
      </c>
      <c r="I551" s="23"/>
      <c r="J551" s="23" t="s">
        <v>15</v>
      </c>
      <c r="K551" s="23" t="s">
        <v>13</v>
      </c>
      <c r="L551" s="32">
        <v>46203.302030474537</v>
      </c>
      <c r="M551" s="23"/>
    </row>
    <row r="552" spans="1:13" ht="75" customHeight="1" thickTop="1" thickBot="1">
      <c r="A552" s="23">
        <v>550</v>
      </c>
      <c r="B552" s="32">
        <f ca="1">IFERROR(__xludf.DUMMYFUNCTION("""COMPUTED_VALUE"""),46202.4167669212)</f>
        <v>46202.416766921197</v>
      </c>
      <c r="C552" s="33" t="str">
        <f ca="1">IFERROR(__xludf.DUMMYFUNCTION("""COMPUTED_VALUE"""),"المعملجي")</f>
        <v>المعملجي</v>
      </c>
      <c r="D552" s="33" t="str">
        <f ca="1">IFERROR(__xludf.DUMMYFUNCTION("""COMPUTED_VALUE"""),"وحدة التبريد")</f>
        <v>وحدة التبريد</v>
      </c>
      <c r="E552" s="23" t="str">
        <f ca="1">IFERROR(__xludf.DUMMYFUNCTION("""COMPUTED_VALUE"""),"قسم المشاريع الهندسية")</f>
        <v>قسم المشاريع الهندسية</v>
      </c>
      <c r="F552" s="23" t="str">
        <f ca="1">IFERROR(__xludf.DUMMYFUNCTION("""COMPUTED_VALUE"""),"A- المركز الثقافي")</f>
        <v>A- المركز الثقافي</v>
      </c>
      <c r="G552" s="23" t="str">
        <f ca="1">IFERROR(__xludf.DUMMYFUNCTION("""COMPUTED_VALUE"""),"الطابق الارضي")</f>
        <v>الطابق الارضي</v>
      </c>
      <c r="H552" s="23" t="str">
        <f ca="1">IFERROR(__xludf.DUMMYFUNCTION("""COMPUTED_VALUE"""),"فتح سبلت جداري ولحام الليكات واعادة تنصيب وشحن الغاز لغرفة الكهرباء في الطابق")</f>
        <v>فتح سبلت جداري ولحام الليكات واعادة تنصيب وشحن الغاز لغرفة الكهرباء في الطابق</v>
      </c>
      <c r="I552" s="23"/>
      <c r="J552" s="23" t="s">
        <v>15</v>
      </c>
      <c r="K552" s="23" t="s">
        <v>13</v>
      </c>
      <c r="L552" s="32">
        <v>46203.30204141204</v>
      </c>
      <c r="M552" s="23"/>
    </row>
    <row r="553" spans="1:13" ht="75" customHeight="1" thickTop="1" thickBot="1">
      <c r="A553" s="25">
        <v>551</v>
      </c>
      <c r="B553" s="32">
        <f ca="1">IFERROR(__xludf.DUMMYFUNCTION("""COMPUTED_VALUE"""),46202.417163125)</f>
        <v>46202.417163124999</v>
      </c>
      <c r="C553" s="33" t="str">
        <f ca="1">IFERROR(__xludf.DUMMYFUNCTION("""COMPUTED_VALUE"""),"المعملجي")</f>
        <v>المعملجي</v>
      </c>
      <c r="D553" s="33" t="str">
        <f ca="1">IFERROR(__xludf.DUMMYFUNCTION("""COMPUTED_VALUE"""),"وحدة التبريد")</f>
        <v>وحدة التبريد</v>
      </c>
      <c r="E553" s="23" t="str">
        <f ca="1">IFERROR(__xludf.DUMMYFUNCTION("""COMPUTED_VALUE"""),"قسم المشاريع الهندسية")</f>
        <v>قسم المشاريع الهندسية</v>
      </c>
      <c r="F553" s="23" t="str">
        <f ca="1">IFERROR(__xludf.DUMMYFUNCTION("""COMPUTED_VALUE"""),"B- روضة القمر")</f>
        <v>B- روضة القمر</v>
      </c>
      <c r="G553" s="23" t="str">
        <f ca="1">IFERROR(__xludf.DUMMYFUNCTION("""COMPUTED_VALUE"""),"الطابق الاول, غرفة الكهرباء")</f>
        <v>الطابق الاول, غرفة الكهرباء</v>
      </c>
      <c r="H553" s="23" t="str">
        <f ca="1">IFERROR(__xludf.DUMMYFUNCTION("""COMPUTED_VALUE"""),"فتح سبلت جداري ولحام الليكات واعادة تنصيب وشحن الغاز لغرفة الكهرباء في الطابق الاول ")</f>
        <v xml:space="preserve">فتح سبلت جداري ولحام الليكات واعادة تنصيب وشحن الغاز لغرفة الكهرباء في الطابق الاول </v>
      </c>
      <c r="I553" s="23"/>
      <c r="J553" s="23" t="s">
        <v>15</v>
      </c>
      <c r="K553" s="23" t="s">
        <v>13</v>
      </c>
      <c r="L553" s="32">
        <v>46203.302046122684</v>
      </c>
      <c r="M553" s="23"/>
    </row>
    <row r="554" spans="1:13" ht="75" customHeight="1" thickTop="1" thickBot="1">
      <c r="A554" s="23">
        <v>552</v>
      </c>
      <c r="B554" s="32">
        <f ca="1">IFERROR(__xludf.DUMMYFUNCTION("""COMPUTED_VALUE"""),46202.4175474537)</f>
        <v>46202.417547453697</v>
      </c>
      <c r="C554" s="33" t="str">
        <f ca="1">IFERROR(__xludf.DUMMYFUNCTION("""COMPUTED_VALUE"""),"المعملجي")</f>
        <v>المعملجي</v>
      </c>
      <c r="D554" s="33" t="str">
        <f ca="1">IFERROR(__xludf.DUMMYFUNCTION("""COMPUTED_VALUE"""),"وحدة التبريد")</f>
        <v>وحدة التبريد</v>
      </c>
      <c r="E554" s="23" t="str">
        <f ca="1">IFERROR(__xludf.DUMMYFUNCTION("""COMPUTED_VALUE"""),"قسم المشاريع الهندسية")</f>
        <v>قسم المشاريع الهندسية</v>
      </c>
      <c r="F554" s="23" t="str">
        <f ca="1">IFERROR(__xludf.DUMMYFUNCTION("""COMPUTED_VALUE"""),"B- روضة القمر")</f>
        <v>B- روضة القمر</v>
      </c>
      <c r="G554" s="23" t="str">
        <f ca="1">IFERROR(__xludf.DUMMYFUNCTION("""COMPUTED_VALUE"""),"الطابق الثاني, غرفة الكهرباء")</f>
        <v>الطابق الثاني, غرفة الكهرباء</v>
      </c>
      <c r="H554" s="23" t="str">
        <f ca="1">IFERROR(__xludf.DUMMYFUNCTION("""COMPUTED_VALUE"""),"فتح سبلت جداري ولحام الليكات واعادة تنصيب وشحن الغاز لغرفة الكهرباء في الطابق الثاني")</f>
        <v>فتح سبلت جداري ولحام الليكات واعادة تنصيب وشحن الغاز لغرفة الكهرباء في الطابق الثاني</v>
      </c>
      <c r="I554" s="23"/>
      <c r="J554" s="23" t="s">
        <v>15</v>
      </c>
      <c r="K554" s="23" t="s">
        <v>13</v>
      </c>
      <c r="L554" s="32">
        <v>46203.302055</v>
      </c>
      <c r="M554" s="23"/>
    </row>
    <row r="555" spans="1:13" ht="75" customHeight="1" thickTop="1" thickBot="1">
      <c r="A555" s="25">
        <v>553</v>
      </c>
      <c r="B555" s="32">
        <f ca="1">IFERROR(__xludf.DUMMYFUNCTION("""COMPUTED_VALUE"""),46202.4179335532)</f>
        <v>46202.417933553203</v>
      </c>
      <c r="C555" s="33" t="str">
        <f ca="1">IFERROR(__xludf.DUMMYFUNCTION("""COMPUTED_VALUE"""),"المعملجي")</f>
        <v>المعملجي</v>
      </c>
      <c r="D555" s="33" t="str">
        <f ca="1">IFERROR(__xludf.DUMMYFUNCTION("""COMPUTED_VALUE"""),"وحدة التبريد")</f>
        <v>وحدة التبريد</v>
      </c>
      <c r="E555" s="23" t="str">
        <f ca="1">IFERROR(__xludf.DUMMYFUNCTION("""COMPUTED_VALUE"""),"قسم المشاريع الهندسية")</f>
        <v>قسم المشاريع الهندسية</v>
      </c>
      <c r="F555" s="23" t="str">
        <f ca="1">IFERROR(__xludf.DUMMYFUNCTION("""COMPUTED_VALUE"""),"G- روضة الجود")</f>
        <v>G- روضة الجود</v>
      </c>
      <c r="G555" s="23" t="str">
        <f ca="1">IFERROR(__xludf.DUMMYFUNCTION("""COMPUTED_VALUE"""),"الطابق الارضي, غرفة الكهرباء")</f>
        <v>الطابق الارضي, غرفة الكهرباء</v>
      </c>
      <c r="H555" s="23" t="str">
        <f ca="1">IFERROR(__xludf.DUMMYFUNCTION("""COMPUTED_VALUE"""),"فتح سبلت جداري ولحام الليكات واعادة تنصيب وشحن الغاز لغرفة الكهرباء الخارجية")</f>
        <v>فتح سبلت جداري ولحام الليكات واعادة تنصيب وشحن الغاز لغرفة الكهرباء الخارجية</v>
      </c>
      <c r="I555" s="23"/>
      <c r="J555" s="23" t="s">
        <v>15</v>
      </c>
      <c r="K555" s="23" t="s">
        <v>13</v>
      </c>
      <c r="L555" s="32">
        <v>46203.30207888889</v>
      </c>
      <c r="M555" s="23"/>
    </row>
    <row r="556" spans="1:13" ht="75" customHeight="1" thickTop="1" thickBot="1">
      <c r="A556" s="23">
        <v>554</v>
      </c>
      <c r="B556" s="32">
        <f ca="1">IFERROR(__xludf.DUMMYFUNCTION("""COMPUTED_VALUE"""),46202.4182706134)</f>
        <v>46202.418270613402</v>
      </c>
      <c r="C556" s="33" t="str">
        <f ca="1">IFERROR(__xludf.DUMMYFUNCTION("""COMPUTED_VALUE"""),"المعملجي")</f>
        <v>المعملجي</v>
      </c>
      <c r="D556" s="33" t="str">
        <f ca="1">IFERROR(__xludf.DUMMYFUNCTION("""COMPUTED_VALUE"""),"وحدة التبريد")</f>
        <v>وحدة التبريد</v>
      </c>
      <c r="E556" s="23" t="str">
        <f ca="1">IFERROR(__xludf.DUMMYFUNCTION("""COMPUTED_VALUE"""),"قسم المشاريع الهندسية")</f>
        <v>قسم المشاريع الهندسية</v>
      </c>
      <c r="F556" s="23" t="str">
        <f ca="1">IFERROR(__xludf.DUMMYFUNCTION("""COMPUTED_VALUE"""),"G- روضة الجود")</f>
        <v>G- روضة الجود</v>
      </c>
      <c r="G556" s="23" t="str">
        <f ca="1">IFERROR(__xludf.DUMMYFUNCTION("""COMPUTED_VALUE"""),"الطابق الاول, غرفة الكهرباء")</f>
        <v>الطابق الاول, غرفة الكهرباء</v>
      </c>
      <c r="H556" s="23" t="str">
        <f ca="1">IFERROR(__xludf.DUMMYFUNCTION("""COMPUTED_VALUE"""),"فتح سبلت جداري ولحام الليكات واعادة تنصيب وشحن الغاز لغرفة الكهرباء في الطابق الاول")</f>
        <v>فتح سبلت جداري ولحام الليكات واعادة تنصيب وشحن الغاز لغرفة الكهرباء في الطابق الاول</v>
      </c>
      <c r="I556" s="23"/>
      <c r="J556" s="23" t="s">
        <v>15</v>
      </c>
      <c r="K556" s="23" t="s">
        <v>13</v>
      </c>
      <c r="L556" s="32">
        <v>46203.302084618059</v>
      </c>
      <c r="M556" s="23"/>
    </row>
    <row r="557" spans="1:13" ht="75" customHeight="1" thickTop="1" thickBot="1">
      <c r="A557" s="25">
        <v>555</v>
      </c>
      <c r="B557" s="32">
        <f ca="1">IFERROR(__xludf.DUMMYFUNCTION("""COMPUTED_VALUE"""),46202.4185179282)</f>
        <v>46202.418517928199</v>
      </c>
      <c r="C557" s="33" t="str">
        <f ca="1">IFERROR(__xludf.DUMMYFUNCTION("""COMPUTED_VALUE"""),"المعملجي")</f>
        <v>المعملجي</v>
      </c>
      <c r="D557" s="33" t="str">
        <f ca="1">IFERROR(__xludf.DUMMYFUNCTION("""COMPUTED_VALUE"""),"وحدة التبريد")</f>
        <v>وحدة التبريد</v>
      </c>
      <c r="E557" s="23" t="str">
        <f ca="1">IFERROR(__xludf.DUMMYFUNCTION("""COMPUTED_VALUE"""),"قسم المشاريع الهندسية")</f>
        <v>قسم المشاريع الهندسية</v>
      </c>
      <c r="F55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57" s="23" t="str">
        <f ca="1">IFERROR(__xludf.DUMMYFUNCTION("""COMPUTED_VALUE"""),"الطابق الارضي, غرفة الكهرباء")</f>
        <v>الطابق الارضي, غرفة الكهرباء</v>
      </c>
      <c r="H557" s="23" t="str">
        <f ca="1">IFERROR(__xludf.DUMMYFUNCTION("""COMPUTED_VALUE"""),"فتح سبلت جداري ولحام الليكات واعادة تنصيب وشحن الغاز لغرفة الكهرباء الخارجية")</f>
        <v>فتح سبلت جداري ولحام الليكات واعادة تنصيب وشحن الغاز لغرفة الكهرباء الخارجية</v>
      </c>
      <c r="I557" s="23"/>
      <c r="J557" s="23" t="s">
        <v>15</v>
      </c>
      <c r="K557" s="23" t="s">
        <v>13</v>
      </c>
      <c r="L557" s="32">
        <v>46203.302070879625</v>
      </c>
      <c r="M557" s="23"/>
    </row>
    <row r="558" spans="1:13" ht="75" customHeight="1" thickTop="1" thickBot="1">
      <c r="A558" s="23">
        <v>556</v>
      </c>
      <c r="B558" s="32">
        <f ca="1">IFERROR(__xludf.DUMMYFUNCTION("""COMPUTED_VALUE"""),46202.4191510069)</f>
        <v>46202.419151006899</v>
      </c>
      <c r="C558" s="33" t="str">
        <f ca="1">IFERROR(__xludf.DUMMYFUNCTION("""COMPUTED_VALUE"""),"المعملجي")</f>
        <v>المعملجي</v>
      </c>
      <c r="D558" s="33" t="str">
        <f ca="1">IFERROR(__xludf.DUMMYFUNCTION("""COMPUTED_VALUE"""),"وحدة التبريد")</f>
        <v>وحدة التبريد</v>
      </c>
      <c r="E558" s="23" t="str">
        <f ca="1">IFERROR(__xludf.DUMMYFUNCTION("""COMPUTED_VALUE"""),"قسم المشاريع الهندسية")</f>
        <v>قسم المشاريع الهندسية</v>
      </c>
      <c r="F55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58" s="23" t="str">
        <f ca="1">IFERROR(__xludf.DUMMYFUNCTION("""COMPUTED_VALUE"""),"الطابق الارضي, ZONE B, غرفة الكهرباء")</f>
        <v>الطابق الارضي, ZONE B, غرفة الكهرباء</v>
      </c>
      <c r="H558" s="23" t="str">
        <f ca="1">IFERROR(__xludf.DUMMYFUNCTION("""COMPUTED_VALUE"""),"فتح سبلت جداري ولحام الليكات واعادة تنصيب وشحن الغاز لغرفة الكهرباء في الطابق الارضي ")</f>
        <v xml:space="preserve">فتح سبلت جداري ولحام الليكات واعادة تنصيب وشحن الغاز لغرفة الكهرباء في الطابق الارضي </v>
      </c>
      <c r="I558" s="23"/>
      <c r="J558" s="23" t="s">
        <v>15</v>
      </c>
      <c r="K558" s="23" t="s">
        <v>13</v>
      </c>
      <c r="L558" s="32">
        <v>46203.302085694449</v>
      </c>
      <c r="M558" s="23"/>
    </row>
    <row r="559" spans="1:13" ht="75" customHeight="1" thickTop="1" thickBot="1">
      <c r="A559" s="25">
        <v>557</v>
      </c>
      <c r="B559" s="32">
        <f ca="1">IFERROR(__xludf.DUMMYFUNCTION("""COMPUTED_VALUE"""),46202.4195330324)</f>
        <v>46202.4195330324</v>
      </c>
      <c r="C559" s="33" t="str">
        <f ca="1">IFERROR(__xludf.DUMMYFUNCTION("""COMPUTED_VALUE"""),"المعملجي")</f>
        <v>المعملجي</v>
      </c>
      <c r="D559" s="33" t="str">
        <f ca="1">IFERROR(__xludf.DUMMYFUNCTION("""COMPUTED_VALUE"""),"وحدة التبريد")</f>
        <v>وحدة التبريد</v>
      </c>
      <c r="E559" s="23" t="str">
        <f ca="1">IFERROR(__xludf.DUMMYFUNCTION("""COMPUTED_VALUE"""),"قسم المشاريع الهندسية")</f>
        <v>قسم المشاريع الهندسية</v>
      </c>
      <c r="F559" s="23" t="str">
        <f ca="1">IFERROR(__xludf.DUMMYFUNCTION("""COMPUTED_VALUE"""),"F-  ابتدائية جود العميد للبنات (الرابعة)")</f>
        <v>F-  ابتدائية جود العميد للبنات (الرابعة)</v>
      </c>
      <c r="G559" s="23" t="str">
        <f ca="1">IFERROR(__xludf.DUMMYFUNCTION("""COMPUTED_VALUE"""),"الطابق الثاني, ZONE A, غرفة الكهرباء")</f>
        <v>الطابق الثاني, ZONE A, غرفة الكهرباء</v>
      </c>
      <c r="H559" s="23" t="str">
        <f ca="1">IFERROR(__xludf.DUMMYFUNCTION("""COMPUTED_VALUE"""),"فتح سبلت جداري ولحام الليكات واعادة تنصيب وشحن الغاز لغرفة الكهرباء في الطابق الثاني")</f>
        <v>فتح سبلت جداري ولحام الليكات واعادة تنصيب وشحن الغاز لغرفة الكهرباء في الطابق الثاني</v>
      </c>
      <c r="I559" s="23"/>
      <c r="J559" s="23" t="s">
        <v>15</v>
      </c>
      <c r="K559" s="23" t="s">
        <v>13</v>
      </c>
      <c r="L559" s="32">
        <v>46203.3026521875</v>
      </c>
      <c r="M559" s="23"/>
    </row>
    <row r="560" spans="1:13" ht="75" customHeight="1" thickTop="1" thickBot="1">
      <c r="A560" s="23">
        <v>558</v>
      </c>
      <c r="B560" s="32">
        <f ca="1">IFERROR(__xludf.DUMMYFUNCTION("""COMPUTED_VALUE"""),46202.420361412)</f>
        <v>46202.420361411998</v>
      </c>
      <c r="C560" s="33" t="str">
        <f ca="1">IFERROR(__xludf.DUMMYFUNCTION("""COMPUTED_VALUE"""),"المعملجي")</f>
        <v>المعملجي</v>
      </c>
      <c r="D560" s="33" t="str">
        <f ca="1">IFERROR(__xludf.DUMMYFUNCTION("""COMPUTED_VALUE"""),"وحدة التبريد")</f>
        <v>وحدة التبريد</v>
      </c>
      <c r="E560" s="23" t="str">
        <f ca="1">IFERROR(__xludf.DUMMYFUNCTION("""COMPUTED_VALUE"""),"قسم المشاريع الهندسية")</f>
        <v>قسم المشاريع الهندسية</v>
      </c>
      <c r="F560" s="23" t="str">
        <f ca="1">IFERROR(__xludf.DUMMYFUNCTION("""COMPUTED_VALUE"""),"E- ابتدائية العميد للبنات (الثالثة)")</f>
        <v>E- ابتدائية العميد للبنات (الثالثة)</v>
      </c>
      <c r="G560" s="23" t="str">
        <f ca="1">IFERROR(__xludf.DUMMYFUNCTION("""COMPUTED_VALUE"""),"الطابق الارضي, ZONE B, غرفة الكهرباء")</f>
        <v>الطابق الارضي, ZONE B, غرفة الكهرباء</v>
      </c>
      <c r="H560" s="23" t="str">
        <f ca="1">IFERROR(__xludf.DUMMYFUNCTION("""COMPUTED_VALUE"""),"تبديل كمبريسر تالف الخاص بسبلت جداري لغرفة الكهرباء في الطابق الارضي ")</f>
        <v xml:space="preserve">تبديل كمبريسر تالف الخاص بسبلت جداري لغرفة الكهرباء في الطابق الارضي </v>
      </c>
      <c r="I560" s="23"/>
      <c r="J560" s="23" t="s">
        <v>15</v>
      </c>
      <c r="K560" s="23" t="s">
        <v>13</v>
      </c>
      <c r="L560" s="32">
        <v>46203.302658981484</v>
      </c>
      <c r="M560" s="23"/>
    </row>
    <row r="561" spans="1:13" ht="75" customHeight="1" thickTop="1" thickBot="1">
      <c r="A561" s="25">
        <v>559</v>
      </c>
      <c r="B561" s="32">
        <f ca="1">IFERROR(__xludf.DUMMYFUNCTION("""COMPUTED_VALUE"""),46202.4324645717)</f>
        <v>46202.432464571699</v>
      </c>
      <c r="C561" s="33" t="str">
        <f ca="1">IFERROR(__xludf.DUMMYFUNCTION("""COMPUTED_VALUE"""),"المعملجي")</f>
        <v>المعملجي</v>
      </c>
      <c r="D561" s="33" t="str">
        <f ca="1">IFERROR(__xludf.DUMMYFUNCTION("""COMPUTED_VALUE"""),"وحدة التبريد")</f>
        <v>وحدة التبريد</v>
      </c>
      <c r="E561" s="23" t="str">
        <f ca="1">IFERROR(__xludf.DUMMYFUNCTION("""COMPUTED_VALUE"""),"قسم المشاريع الهندسية")</f>
        <v>قسم المشاريع الهندسية</v>
      </c>
      <c r="F561" s="23" t="str">
        <f ca="1">IFERROR(__xludf.DUMMYFUNCTION("""COMPUTED_VALUE"""),"F-  ابتدائية جود العميد للبنات (الرابعة)")</f>
        <v>F-  ابتدائية جود العميد للبنات (الرابعة)</v>
      </c>
      <c r="G561" s="23" t="str">
        <f ca="1">IFERROR(__xludf.DUMMYFUNCTION("""COMPUTED_VALUE"""),"الطابق الارضي, ZONE A")</f>
        <v>الطابق الارضي, ZONE A</v>
      </c>
      <c r="H561" s="23" t="str">
        <f ca="1">IFERROR(__xludf.DUMMYFUNCTION("""COMPUTED_VALUE"""),"صيانة تلف في كارتات منظومة الvrf نتيجة الحرارة في الطابق")</f>
        <v>صيانة تلف في كارتات منظومة الvrf نتيجة الحرارة في الطابق</v>
      </c>
      <c r="I561" s="23"/>
      <c r="J561" s="23" t="s">
        <v>15</v>
      </c>
      <c r="K561" s="23" t="s">
        <v>13</v>
      </c>
      <c r="L561" s="32">
        <v>46203.302664629635</v>
      </c>
      <c r="M561" s="23"/>
    </row>
    <row r="562" spans="1:13" ht="75" customHeight="1" thickTop="1" thickBot="1">
      <c r="A562" s="23">
        <v>560</v>
      </c>
      <c r="B562" s="32">
        <f ca="1">IFERROR(__xludf.DUMMYFUNCTION("""COMPUTED_VALUE"""),46202.4330499074)</f>
        <v>46202.433049907399</v>
      </c>
      <c r="C562" s="33" t="str">
        <f ca="1">IFERROR(__xludf.DUMMYFUNCTION("""COMPUTED_VALUE"""),"المعملجي")</f>
        <v>المعملجي</v>
      </c>
      <c r="D562" s="33" t="str">
        <f ca="1">IFERROR(__xludf.DUMMYFUNCTION("""COMPUTED_VALUE"""),"وحدة التبريد")</f>
        <v>وحدة التبريد</v>
      </c>
      <c r="E562" s="23" t="str">
        <f ca="1">IFERROR(__xludf.DUMMYFUNCTION("""COMPUTED_VALUE"""),"قسم المشاريع الهندسية")</f>
        <v>قسم المشاريع الهندسية</v>
      </c>
      <c r="F562" s="23" t="str">
        <f ca="1">IFERROR(__xludf.DUMMYFUNCTION("""COMPUTED_VALUE"""),"F-  ابتدائية جود العميد للبنات (الرابعة)")</f>
        <v>F-  ابتدائية جود العميد للبنات (الرابعة)</v>
      </c>
      <c r="G562" s="23" t="str">
        <f ca="1">IFERROR(__xludf.DUMMYFUNCTION("""COMPUTED_VALUE"""),"الطابق الاول, ZONE A, ZONE B")</f>
        <v>الطابق الاول, ZONE A, ZONE B</v>
      </c>
      <c r="H562" s="23" t="str">
        <f ca="1">IFERROR(__xludf.DUMMYFUNCTION("""COMPUTED_VALUE"""),"صيانة تلف في كارتات منظومة ال vrf نتيجة الحرارة في الطابق ")</f>
        <v xml:space="preserve">صيانة تلف في كارتات منظومة ال vrf نتيجة الحرارة في الطابق </v>
      </c>
      <c r="I562" s="23"/>
      <c r="J562" s="23" t="s">
        <v>15</v>
      </c>
      <c r="K562" s="23" t="s">
        <v>13</v>
      </c>
      <c r="L562" s="32">
        <v>46203.302680138891</v>
      </c>
      <c r="M562" s="23"/>
    </row>
    <row r="563" spans="1:13" ht="75" customHeight="1" thickTop="1" thickBot="1">
      <c r="A563" s="25">
        <v>561</v>
      </c>
      <c r="B563" s="32">
        <f ca="1">IFERROR(__xludf.DUMMYFUNCTION("""COMPUTED_VALUE"""),46202.4332471875)</f>
        <v>46202.433247187502</v>
      </c>
      <c r="C563" s="33" t="str">
        <f ca="1">IFERROR(__xludf.DUMMYFUNCTION("""COMPUTED_VALUE"""),"المعملجي")</f>
        <v>المعملجي</v>
      </c>
      <c r="D563" s="33" t="str">
        <f ca="1">IFERROR(__xludf.DUMMYFUNCTION("""COMPUTED_VALUE"""),"وحدة التبريد")</f>
        <v>وحدة التبريد</v>
      </c>
      <c r="E563" s="23" t="str">
        <f ca="1">IFERROR(__xludf.DUMMYFUNCTION("""COMPUTED_VALUE"""),"قسم المشاريع الهندسية")</f>
        <v>قسم المشاريع الهندسية</v>
      </c>
      <c r="F563" s="23" t="str">
        <f ca="1">IFERROR(__xludf.DUMMYFUNCTION("""COMPUTED_VALUE"""),"F-  ابتدائية جود العميد للبنات (الرابعة)")</f>
        <v>F-  ابتدائية جود العميد للبنات (الرابعة)</v>
      </c>
      <c r="G563" s="23" t="str">
        <f ca="1">IFERROR(__xludf.DUMMYFUNCTION("""COMPUTED_VALUE"""),"الطابق الثاني, ZONE A, ZONE B")</f>
        <v>الطابق الثاني, ZONE A, ZONE B</v>
      </c>
      <c r="H563" s="23" t="str">
        <f ca="1">IFERROR(__xludf.DUMMYFUNCTION("""COMPUTED_VALUE"""),"صيانة تلف في كارتات منظومة ال vrf نتيجة الحرارة في الطابق")</f>
        <v>صيانة تلف في كارتات منظومة ال vrf نتيجة الحرارة في الطابق</v>
      </c>
      <c r="I563" s="23"/>
      <c r="J563" s="23" t="s">
        <v>15</v>
      </c>
      <c r="K563" s="23" t="s">
        <v>13</v>
      </c>
      <c r="L563" s="32">
        <v>46203.302687442134</v>
      </c>
      <c r="M563" s="23"/>
    </row>
    <row r="564" spans="1:13" ht="75" customHeight="1" thickTop="1" thickBot="1">
      <c r="A564" s="23">
        <v>562</v>
      </c>
      <c r="B564" s="32">
        <f ca="1">IFERROR(__xludf.DUMMYFUNCTION("""COMPUTED_VALUE"""),46202.4334823842)</f>
        <v>46202.4334823842</v>
      </c>
      <c r="C564" s="33" t="str">
        <f ca="1">IFERROR(__xludf.DUMMYFUNCTION("""COMPUTED_VALUE"""),"المعملجي")</f>
        <v>المعملجي</v>
      </c>
      <c r="D564" s="33" t="str">
        <f ca="1">IFERROR(__xludf.DUMMYFUNCTION("""COMPUTED_VALUE"""),"وحدة التبريد")</f>
        <v>وحدة التبريد</v>
      </c>
      <c r="E564" s="23" t="str">
        <f ca="1">IFERROR(__xludf.DUMMYFUNCTION("""COMPUTED_VALUE"""),"قسم المشاريع الهندسية")</f>
        <v>قسم المشاريع الهندسية</v>
      </c>
      <c r="F564" s="23" t="str">
        <f ca="1">IFERROR(__xludf.DUMMYFUNCTION("""COMPUTED_VALUE"""),"A- المركز الثقافي")</f>
        <v>A- المركز الثقافي</v>
      </c>
      <c r="G564" s="23" t="str">
        <f ca="1">IFERROR(__xludf.DUMMYFUNCTION("""COMPUTED_VALUE"""),"الطابق الثالث")</f>
        <v>الطابق الثالث</v>
      </c>
      <c r="H564" s="23" t="str">
        <f ca="1">IFERROR(__xludf.DUMMYFUNCTION("""COMPUTED_VALUE"""),"صيانة تلف في كارتات منظومة ال vrf نتيجة الحرارة في الطابق")</f>
        <v>صيانة تلف في كارتات منظومة ال vrf نتيجة الحرارة في الطابق</v>
      </c>
      <c r="I564" s="23"/>
      <c r="J564" s="23" t="s">
        <v>15</v>
      </c>
      <c r="K564" s="23" t="s">
        <v>13</v>
      </c>
      <c r="L564" s="32">
        <v>46203.302680763889</v>
      </c>
      <c r="M564" s="23"/>
    </row>
    <row r="565" spans="1:13" ht="75" customHeight="1" thickTop="1" thickBot="1">
      <c r="A565" s="25">
        <v>563</v>
      </c>
      <c r="B565" s="32">
        <f ca="1">IFERROR(__xludf.DUMMYFUNCTION("""COMPUTED_VALUE"""),46202.4336743055)</f>
        <v>46202.433674305503</v>
      </c>
      <c r="C565" s="33" t="str">
        <f ca="1">IFERROR(__xludf.DUMMYFUNCTION("""COMPUTED_VALUE"""),"المعملجي")</f>
        <v>المعملجي</v>
      </c>
      <c r="D565" s="33" t="str">
        <f ca="1">IFERROR(__xludf.DUMMYFUNCTION("""COMPUTED_VALUE"""),"وحدة التبريد")</f>
        <v>وحدة التبريد</v>
      </c>
      <c r="E565" s="23" t="str">
        <f ca="1">IFERROR(__xludf.DUMMYFUNCTION("""COMPUTED_VALUE"""),"قسم المشاريع الهندسية")</f>
        <v>قسم المشاريع الهندسية</v>
      </c>
      <c r="F565" s="23" t="str">
        <f ca="1">IFERROR(__xludf.DUMMYFUNCTION("""COMPUTED_VALUE"""),"G- روضة الجود")</f>
        <v>G- روضة الجود</v>
      </c>
      <c r="G565" s="23" t="str">
        <f ca="1">IFERROR(__xludf.DUMMYFUNCTION("""COMPUTED_VALUE"""),"الطابق الاول, الطابق الثاني")</f>
        <v>الطابق الاول, الطابق الثاني</v>
      </c>
      <c r="H565" s="23" t="str">
        <f ca="1">IFERROR(__xludf.DUMMYFUNCTION("""COMPUTED_VALUE"""),"صيانة تلف في كارتات منظومة ال vrf نتيجة الحرارة في الطابق")</f>
        <v>صيانة تلف في كارتات منظومة ال vrf نتيجة الحرارة في الطابق</v>
      </c>
      <c r="I565" s="23"/>
      <c r="J565" s="23" t="s">
        <v>15</v>
      </c>
      <c r="K565" s="23" t="s">
        <v>13</v>
      </c>
      <c r="L565" s="32">
        <v>46203.302687858799</v>
      </c>
      <c r="M565" s="23"/>
    </row>
    <row r="566" spans="1:13" ht="75" customHeight="1" thickTop="1" thickBot="1">
      <c r="A566" s="23">
        <v>564</v>
      </c>
      <c r="B566" s="32">
        <f ca="1">IFERROR(__xludf.DUMMYFUNCTION("""COMPUTED_VALUE"""),46202.4339878819)</f>
        <v>46202.433987881901</v>
      </c>
      <c r="C566" s="33" t="str">
        <f ca="1">IFERROR(__xludf.DUMMYFUNCTION("""COMPUTED_VALUE"""),"المعملجي")</f>
        <v>المعملجي</v>
      </c>
      <c r="D566" s="33" t="str">
        <f ca="1">IFERROR(__xludf.DUMMYFUNCTION("""COMPUTED_VALUE"""),"وحدة التبريد")</f>
        <v>وحدة التبريد</v>
      </c>
      <c r="E566" s="23" t="str">
        <f ca="1">IFERROR(__xludf.DUMMYFUNCTION("""COMPUTED_VALUE"""),"قسم المشاريع الهندسية")</f>
        <v>قسم المشاريع الهندسية</v>
      </c>
      <c r="F56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566" s="23" t="str">
        <f ca="1">IFERROR(__xludf.DUMMYFUNCTION("""COMPUTED_VALUE"""),"الطابق الاول, ZONE B")</f>
        <v>الطابق الاول, ZONE B</v>
      </c>
      <c r="H566" s="23" t="str">
        <f ca="1">IFERROR(__xludf.DUMMYFUNCTION("""COMPUTED_VALUE"""),"صيانة تلف في كارتات منظومة ال vrf نتيجة الحرارة في الطابق")</f>
        <v>صيانة تلف في كارتات منظومة ال vrf نتيجة الحرارة في الطابق</v>
      </c>
      <c r="I566" s="23"/>
      <c r="J566" s="23" t="s">
        <v>15</v>
      </c>
      <c r="K566" s="23" t="s">
        <v>13</v>
      </c>
      <c r="L566" s="32">
        <v>46203.303603344903</v>
      </c>
      <c r="M566" s="23"/>
    </row>
    <row r="567" spans="1:13" ht="75" customHeight="1" thickTop="1" thickBot="1">
      <c r="A567" s="25">
        <v>565</v>
      </c>
      <c r="B567" s="32">
        <f ca="1">IFERROR(__xludf.DUMMYFUNCTION("""COMPUTED_VALUE"""),46202.4342014467)</f>
        <v>46202.434201446697</v>
      </c>
      <c r="C567" s="33" t="str">
        <f ca="1">IFERROR(__xludf.DUMMYFUNCTION("""COMPUTED_VALUE"""),"المعملجي")</f>
        <v>المعملجي</v>
      </c>
      <c r="D567" s="33" t="str">
        <f ca="1">IFERROR(__xludf.DUMMYFUNCTION("""COMPUTED_VALUE"""),"وحدة التبريد")</f>
        <v>وحدة التبريد</v>
      </c>
      <c r="E567" s="23" t="str">
        <f ca="1">IFERROR(__xludf.DUMMYFUNCTION("""COMPUTED_VALUE"""),"قسم المشاريع الهندسية")</f>
        <v>قسم المشاريع الهندسية</v>
      </c>
      <c r="F56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67" s="23" t="str">
        <f ca="1">IFERROR(__xludf.DUMMYFUNCTION("""COMPUTED_VALUE"""),"الطابق الثاني, ZONE A")</f>
        <v>الطابق الثاني, ZONE A</v>
      </c>
      <c r="H567" s="23" t="str">
        <f ca="1">IFERROR(__xludf.DUMMYFUNCTION("""COMPUTED_VALUE"""),"صيانة تلف في كارتات منظومة ال vrf نتيجة الحرارة في الطابق")</f>
        <v>صيانة تلف في كارتات منظومة ال vrf نتيجة الحرارة في الطابق</v>
      </c>
      <c r="I567" s="23"/>
      <c r="J567" s="23" t="s">
        <v>15</v>
      </c>
      <c r="K567" s="23" t="s">
        <v>13</v>
      </c>
      <c r="L567" s="32">
        <v>46203.303616284727</v>
      </c>
      <c r="M567" s="23"/>
    </row>
    <row r="568" spans="1:13" ht="75" customHeight="1" thickTop="1" thickBot="1">
      <c r="A568" s="23">
        <v>566</v>
      </c>
      <c r="B568" s="32">
        <f ca="1">IFERROR(__xludf.DUMMYFUNCTION("""COMPUTED_VALUE"""),46202.4344355324)</f>
        <v>46202.434435532399</v>
      </c>
      <c r="C568" s="33" t="str">
        <f ca="1">IFERROR(__xludf.DUMMYFUNCTION("""COMPUTED_VALUE"""),"المعملجي")</f>
        <v>المعملجي</v>
      </c>
      <c r="D568" s="33" t="str">
        <f ca="1">IFERROR(__xludf.DUMMYFUNCTION("""COMPUTED_VALUE"""),"وحدة التبريد")</f>
        <v>وحدة التبريد</v>
      </c>
      <c r="E568" s="23" t="str">
        <f ca="1">IFERROR(__xludf.DUMMYFUNCTION("""COMPUTED_VALUE"""),"قسم المشاريع الهندسية")</f>
        <v>قسم المشاريع الهندسية</v>
      </c>
      <c r="F568" s="23" t="str">
        <f ca="1">IFERROR(__xludf.DUMMYFUNCTION("""COMPUTED_VALUE"""),"H- ابتدائية القمر للبنات (الخامسة)")</f>
        <v>H- ابتدائية القمر للبنات (الخامسة)</v>
      </c>
      <c r="G568" s="23" t="str">
        <f ca="1">IFERROR(__xludf.DUMMYFUNCTION("""COMPUTED_VALUE"""),"الطابق الثاني, ZONE A, ZONE B")</f>
        <v>الطابق الثاني, ZONE A, ZONE B</v>
      </c>
      <c r="H568" s="23" t="str">
        <f ca="1">IFERROR(__xludf.DUMMYFUNCTION("""COMPUTED_VALUE"""),"صيانة تلف في كارتات منظومة ال vrf نتيجة الحرارة في الطابق")</f>
        <v>صيانة تلف في كارتات منظومة ال vrf نتيجة الحرارة في الطابق</v>
      </c>
      <c r="I568" s="23"/>
      <c r="J568" s="23" t="s">
        <v>15</v>
      </c>
      <c r="K568" s="23" t="s">
        <v>13</v>
      </c>
      <c r="L568" s="32">
        <v>46203.303618472222</v>
      </c>
      <c r="M568" s="23"/>
    </row>
    <row r="569" spans="1:13" ht="75" customHeight="1" thickTop="1" thickBot="1">
      <c r="A569" s="25">
        <v>567</v>
      </c>
      <c r="B569" s="32">
        <f ca="1">IFERROR(__xludf.DUMMYFUNCTION("""COMPUTED_VALUE"""),46203.596674699)</f>
        <v>46203.596674699002</v>
      </c>
      <c r="C569" s="33" t="str">
        <f ca="1">IFERROR(__xludf.DUMMYFUNCTION("""COMPUTED_VALUE"""),"المعملجي")</f>
        <v>المعملجي</v>
      </c>
      <c r="D569" s="33" t="str">
        <f ca="1">IFERROR(__xludf.DUMMYFUNCTION("""COMPUTED_VALUE"""),"وحدة التبريد")</f>
        <v>وحدة التبريد</v>
      </c>
      <c r="E569" s="23" t="str">
        <f ca="1">IFERROR(__xludf.DUMMYFUNCTION("""COMPUTED_VALUE"""),"قسم المشاريع الهندسية")</f>
        <v>قسم المشاريع الهندسية</v>
      </c>
      <c r="F569" s="23" t="str">
        <f ca="1">IFERROR(__xludf.DUMMYFUNCTION("""COMPUTED_VALUE"""),"A- المركز الثقافي")</f>
        <v>A- المركز الثقافي</v>
      </c>
      <c r="G569" s="23" t="str">
        <f ca="1">IFERROR(__xludf.DUMMYFUNCTION("""COMPUTED_VALUE"""),"الطابق الارضي")</f>
        <v>الطابق الارضي</v>
      </c>
      <c r="H569" s="23" t="str">
        <f ca="1">IFERROR(__xludf.DUMMYFUNCTION("""COMPUTED_VALUE"""),"صيانة سبلت")</f>
        <v>صيانة سبلت</v>
      </c>
      <c r="I569" s="23"/>
      <c r="J569" s="23" t="s">
        <v>15</v>
      </c>
      <c r="K569" s="23" t="s">
        <v>13</v>
      </c>
      <c r="L569" s="32">
        <v>46203.596878587967</v>
      </c>
      <c r="M569" s="23"/>
    </row>
    <row r="570" spans="1:13" ht="75" customHeight="1" thickTop="1" thickBot="1">
      <c r="A570" s="23">
        <v>568</v>
      </c>
      <c r="B570" s="32">
        <f ca="1">IFERROR(__xludf.DUMMYFUNCTION("""COMPUTED_VALUE"""),46131.3559298842)</f>
        <v>46131.355929884201</v>
      </c>
      <c r="C570" s="33" t="str">
        <f ca="1">IFERROR(__xludf.DUMMYFUNCTION("""COMPUTED_VALUE"""),"المعملجي")</f>
        <v>المعملجي</v>
      </c>
      <c r="D570" s="33" t="str">
        <f ca="1">IFERROR(__xludf.DUMMYFUNCTION("""COMPUTED_VALUE"""),"سجاد تربية")</f>
        <v>سجاد تربية</v>
      </c>
      <c r="E570" s="23" t="str">
        <f ca="1">IFERROR(__xludf.DUMMYFUNCTION("""COMPUTED_VALUE"""),"قسم التربية والتعليم العالي")</f>
        <v>قسم التربية والتعليم العالي</v>
      </c>
      <c r="F570" s="23" t="str">
        <f ca="1">IFERROR(__xludf.DUMMYFUNCTION("""COMPUTED_VALUE"""),"A- المركز الثقافي")</f>
        <v>A- المركز الثقافي</v>
      </c>
      <c r="G570" s="23" t="str">
        <f ca="1">IFERROR(__xludf.DUMMYFUNCTION("""COMPUTED_VALUE"""),"الطابق الارضي")</f>
        <v>الطابق الارضي</v>
      </c>
      <c r="H570" s="23" t="str">
        <f ca="1">IFERROR(__xludf.DUMMYFUNCTION("""COMPUTED_VALUE"""),"صيانة براد ماء ")</f>
        <v xml:space="preserve">صيانة براد ماء </v>
      </c>
      <c r="I570" s="23"/>
      <c r="J570" s="23" t="s">
        <v>15</v>
      </c>
      <c r="K570" s="23" t="s">
        <v>90</v>
      </c>
      <c r="L570" s="32">
        <v>46132.332586504628</v>
      </c>
      <c r="M570" s="23"/>
    </row>
    <row r="571" spans="1:13" ht="75" customHeight="1" thickTop="1" thickBot="1">
      <c r="A571" s="25">
        <v>569</v>
      </c>
      <c r="B571" s="32">
        <f ca="1">IFERROR(__xludf.DUMMYFUNCTION("""COMPUTED_VALUE"""),46201.3856243865)</f>
        <v>46201.385624386501</v>
      </c>
      <c r="C571" s="33" t="str">
        <f ca="1">IFERROR(__xludf.DUMMYFUNCTION("""COMPUTED_VALUE"""),"المعملجي")</f>
        <v>المعملجي</v>
      </c>
      <c r="D571" s="33" t="str">
        <f ca="1">IFERROR(__xludf.DUMMYFUNCTION("""COMPUTED_VALUE"""),"ابراهيم الخطابي")</f>
        <v>ابراهيم الخطابي</v>
      </c>
      <c r="E571" s="23" t="str">
        <f ca="1">IFERROR(__xludf.DUMMYFUNCTION("""COMPUTED_VALUE"""),"مجموعة العميد التربوية")</f>
        <v>مجموعة العميد التربوية</v>
      </c>
      <c r="F571" s="23" t="str">
        <f ca="1">IFERROR(__xludf.DUMMYFUNCTION("""COMPUTED_VALUE"""),"B- روضة القمر")</f>
        <v>B- روضة القمر</v>
      </c>
      <c r="G571" s="23"/>
      <c r="H571" s="23" t="str">
        <f ca="1">IFERROR(__xludf.DUMMYFUNCTION("""COMPUTED_VALUE"""),"تغليف اللعبه")</f>
        <v>تغليف اللعبه</v>
      </c>
      <c r="I571" s="23"/>
      <c r="J571" s="23" t="s">
        <v>16</v>
      </c>
      <c r="K571" s="23" t="s">
        <v>87</v>
      </c>
      <c r="L571" s="32">
        <v>46201.502406689819</v>
      </c>
      <c r="M571" s="23" t="s">
        <v>91</v>
      </c>
    </row>
    <row r="572" spans="1:13" ht="75" customHeight="1" thickTop="1" thickBot="1">
      <c r="A572" s="23">
        <v>570</v>
      </c>
      <c r="B572" s="32">
        <f ca="1">IFERROR(__xludf.DUMMYFUNCTION("""COMPUTED_VALUE"""),46114.3741142245)</f>
        <v>46114.374114224498</v>
      </c>
      <c r="C572" s="33" t="str">
        <f ca="1">IFERROR(__xludf.DUMMYFUNCTION("""COMPUTED_VALUE"""),"المعملجي")</f>
        <v>المعملجي</v>
      </c>
      <c r="D572" s="33" t="str">
        <f ca="1">IFERROR(__xludf.DUMMYFUNCTION("""COMPUTED_VALUE"""),"سجاد تربية")</f>
        <v>سجاد تربية</v>
      </c>
      <c r="E572" s="23" t="str">
        <f ca="1">IFERROR(__xludf.DUMMYFUNCTION("""COMPUTED_VALUE"""),"قسم التربية والتعليم العالي")</f>
        <v>قسم التربية والتعليم العالي</v>
      </c>
      <c r="F572" s="23" t="str">
        <f ca="1">IFERROR(__xludf.DUMMYFUNCTION("""COMPUTED_VALUE"""),"I- ابتدائية الساقي للبنين (السادسة)")</f>
        <v>I- ابتدائية الساقي للبنين (السادسة)</v>
      </c>
      <c r="G572" s="23" t="str">
        <f ca="1">IFERROR(__xludf.DUMMYFUNCTION("""COMPUTED_VALUE"""),"/")</f>
        <v>/</v>
      </c>
      <c r="H572" s="23" t="str">
        <f ca="1">IFERROR(__xludf.DUMMYFUNCTION("""COMPUTED_VALUE"""),"فتح باب صحيات ")</f>
        <v xml:space="preserve">فتح باب صحيات </v>
      </c>
      <c r="I572" s="23"/>
      <c r="J572" s="23" t="s">
        <v>16</v>
      </c>
      <c r="K572" s="23" t="s">
        <v>13</v>
      </c>
      <c r="L572" s="32">
        <v>46114.447573587968</v>
      </c>
      <c r="M572" s="23"/>
    </row>
    <row r="573" spans="1:13" ht="75" customHeight="1" thickTop="1" thickBot="1">
      <c r="A573" s="25">
        <v>571</v>
      </c>
      <c r="B573" s="32">
        <f ca="1">IFERROR(__xludf.DUMMYFUNCTION("""COMPUTED_VALUE"""),46114.3769214467)</f>
        <v>46114.376921446703</v>
      </c>
      <c r="C573" s="33" t="str">
        <f ca="1">IFERROR(__xludf.DUMMYFUNCTION("""COMPUTED_VALUE"""),"المعملجي")</f>
        <v>المعملجي</v>
      </c>
      <c r="D573" s="33" t="str">
        <f ca="1">IFERROR(__xludf.DUMMYFUNCTION("""COMPUTED_VALUE"""),"سجاد تربية")</f>
        <v>سجاد تربية</v>
      </c>
      <c r="E573" s="23" t="str">
        <f ca="1">IFERROR(__xludf.DUMMYFUNCTION("""COMPUTED_VALUE"""),"قسم التربية والتعليم العالي")</f>
        <v>قسم التربية والتعليم العالي</v>
      </c>
      <c r="F573" s="23" t="str">
        <f ca="1">IFERROR(__xludf.DUMMYFUNCTION("""COMPUTED_VALUE"""),"E- ابتدائية العميد للبنات (الثالثة)")</f>
        <v>E- ابتدائية العميد للبنات (الثالثة)</v>
      </c>
      <c r="G573" s="23" t="str">
        <f ca="1">IFERROR(__xludf.DUMMYFUNCTION("""COMPUTED_VALUE"""),"غرفة معلمات ")</f>
        <v xml:space="preserve">غرفة معلمات </v>
      </c>
      <c r="H573" s="23" t="str">
        <f ca="1">IFERROR(__xludf.DUMMYFUNCTION("""COMPUTED_VALUE"""),"صيانة بردة ")</f>
        <v xml:space="preserve">صيانة بردة </v>
      </c>
      <c r="I573" s="23"/>
      <c r="J573" s="23" t="s">
        <v>16</v>
      </c>
      <c r="K573" s="23" t="s">
        <v>13</v>
      </c>
      <c r="L573" s="32">
        <v>46114.44550538194</v>
      </c>
      <c r="M573" s="23"/>
    </row>
    <row r="574" spans="1:13" ht="75" customHeight="1" thickTop="1" thickBot="1">
      <c r="A574" s="23">
        <v>572</v>
      </c>
      <c r="B574" s="32">
        <f ca="1">IFERROR(__xludf.DUMMYFUNCTION("""COMPUTED_VALUE"""),46114.5010192824)</f>
        <v>46114.501019282397</v>
      </c>
      <c r="C574" s="33" t="str">
        <f ca="1">IFERROR(__xludf.DUMMYFUNCTION("""COMPUTED_VALUE"""),"المعملجي")</f>
        <v>المعملجي</v>
      </c>
      <c r="D574" s="33" t="str">
        <f ca="1">IFERROR(__xludf.DUMMYFUNCTION("""COMPUTED_VALUE"""),"سجاد تربية")</f>
        <v>سجاد تربية</v>
      </c>
      <c r="E574" s="23" t="str">
        <f ca="1">IFERROR(__xludf.DUMMYFUNCTION("""COMPUTED_VALUE"""),"قسم التربية والتعليم العالي")</f>
        <v>قسم التربية والتعليم العالي</v>
      </c>
      <c r="F574" s="23" t="str">
        <f ca="1">IFERROR(__xludf.DUMMYFUNCTION("""COMPUTED_VALUE"""),"A- المركز الثقافي")</f>
        <v>A- المركز الثقافي</v>
      </c>
      <c r="G574" s="23" t="str">
        <f ca="1">IFERROR(__xludf.DUMMYFUNCTION("""COMPUTED_VALUE"""),"الطابق الثاني")</f>
        <v>الطابق الثاني</v>
      </c>
      <c r="H574" s="23" t="str">
        <f ca="1">IFERROR(__xludf.DUMMYFUNCTION("""COMPUTED_VALUE"""),"صيانة يدة مجر ")</f>
        <v xml:space="preserve">صيانة يدة مجر </v>
      </c>
      <c r="I574" s="23"/>
      <c r="J574" s="23" t="s">
        <v>16</v>
      </c>
      <c r="K574" s="23" t="s">
        <v>13</v>
      </c>
      <c r="L574" s="32">
        <v>46114.549218715278</v>
      </c>
      <c r="M574" s="23"/>
    </row>
    <row r="575" spans="1:13" ht="75" customHeight="1" thickTop="1" thickBot="1">
      <c r="A575" s="25">
        <v>573</v>
      </c>
      <c r="B575" s="32">
        <f ca="1">IFERROR(__xludf.DUMMYFUNCTION("""COMPUTED_VALUE"""),46117.5504929282)</f>
        <v>46117.550492928203</v>
      </c>
      <c r="C575" s="33" t="str">
        <f ca="1">IFERROR(__xludf.DUMMYFUNCTION("""COMPUTED_VALUE"""),"المعملجي")</f>
        <v>المعملجي</v>
      </c>
      <c r="D575" s="33" t="str">
        <f ca="1">IFERROR(__xludf.DUMMYFUNCTION("""COMPUTED_VALUE"""),"سجاد تربية")</f>
        <v>سجاد تربية</v>
      </c>
      <c r="E575" s="23" t="str">
        <f ca="1">IFERROR(__xludf.DUMMYFUNCTION("""COMPUTED_VALUE"""),"قسم التربية والتعليم العالي")</f>
        <v>قسم التربية والتعليم العالي</v>
      </c>
      <c r="F575" s="23" t="str">
        <f ca="1">IFERROR(__xludf.DUMMYFUNCTION("""COMPUTED_VALUE"""),"I- ابتدائية الساقي للبنين (السادسة)")</f>
        <v>I- ابتدائية الساقي للبنين (السادسة)</v>
      </c>
      <c r="G575" s="23" t="str">
        <f ca="1">IFERROR(__xludf.DUMMYFUNCTION("""COMPUTED_VALUE"""),"الطابق الاول, الطابق الثاني")</f>
        <v>الطابق الاول, الطابق الثاني</v>
      </c>
      <c r="H575" s="23" t="str">
        <f ca="1">IFERROR(__xludf.DUMMYFUNCTION("""COMPUTED_VALUE"""),"صيانة بردات")</f>
        <v>صيانة بردات</v>
      </c>
      <c r="I575" s="23"/>
      <c r="J575" s="23" t="s">
        <v>16</v>
      </c>
      <c r="K575" s="23" t="s">
        <v>13</v>
      </c>
      <c r="L575" s="32">
        <v>46118.314649224536</v>
      </c>
      <c r="M575" s="23"/>
    </row>
    <row r="576" spans="1:13" ht="75" customHeight="1" thickTop="1" thickBot="1">
      <c r="A576" s="23">
        <v>574</v>
      </c>
      <c r="B576" s="32">
        <f ca="1">IFERROR(__xludf.DUMMYFUNCTION("""COMPUTED_VALUE"""),46117.5507874652)</f>
        <v>46117.550787465203</v>
      </c>
      <c r="C576" s="33" t="str">
        <f ca="1">IFERROR(__xludf.DUMMYFUNCTION("""COMPUTED_VALUE"""),"المعملجي")</f>
        <v>المعملجي</v>
      </c>
      <c r="D576" s="33" t="str">
        <f ca="1">IFERROR(__xludf.DUMMYFUNCTION("""COMPUTED_VALUE"""),"سجاد تربية")</f>
        <v>سجاد تربية</v>
      </c>
      <c r="E576" s="23" t="str">
        <f ca="1">IFERROR(__xludf.DUMMYFUNCTION("""COMPUTED_VALUE"""),"قسم التربية والتعليم العالي")</f>
        <v>قسم التربية والتعليم العالي</v>
      </c>
      <c r="F576" s="23" t="str">
        <f ca="1">IFERROR(__xludf.DUMMYFUNCTION("""COMPUTED_VALUE"""),"I- ابتدائية الساقي للبنين (السادسة)")</f>
        <v>I- ابتدائية الساقي للبنين (السادسة)</v>
      </c>
      <c r="G576" s="23" t="str">
        <f ca="1">IFERROR(__xludf.DUMMYFUNCTION("""COMPUTED_VALUE"""),"الطابق الثاني")</f>
        <v>الطابق الثاني</v>
      </c>
      <c r="H576" s="23" t="str">
        <f ca="1">IFERROR(__xludf.DUMMYFUNCTION("""COMPUTED_VALUE"""),"صيانه ميز طعام")</f>
        <v>صيانه ميز طعام</v>
      </c>
      <c r="I576" s="23"/>
      <c r="J576" s="23" t="s">
        <v>16</v>
      </c>
      <c r="K576" s="23" t="s">
        <v>13</v>
      </c>
      <c r="L576" s="32">
        <v>46118.547294467593</v>
      </c>
      <c r="M576" s="23"/>
    </row>
    <row r="577" spans="1:13" ht="75" customHeight="1" thickTop="1" thickBot="1">
      <c r="A577" s="25">
        <v>575</v>
      </c>
      <c r="B577" s="32">
        <f ca="1">IFERROR(__xludf.DUMMYFUNCTION("""COMPUTED_VALUE"""),46117.5517464814)</f>
        <v>46117.551746481397</v>
      </c>
      <c r="C577" s="33" t="str">
        <f ca="1">IFERROR(__xludf.DUMMYFUNCTION("""COMPUTED_VALUE"""),"المعملجي")</f>
        <v>المعملجي</v>
      </c>
      <c r="D577" s="33" t="str">
        <f ca="1">IFERROR(__xludf.DUMMYFUNCTION("""COMPUTED_VALUE"""),"سجاد تربية")</f>
        <v>سجاد تربية</v>
      </c>
      <c r="E577" s="23" t="str">
        <f ca="1">IFERROR(__xludf.DUMMYFUNCTION("""COMPUTED_VALUE"""),"قسم التربية والتعليم العالي")</f>
        <v>قسم التربية والتعليم العالي</v>
      </c>
      <c r="F577" s="23" t="str">
        <f ca="1">IFERROR(__xludf.DUMMYFUNCTION("""COMPUTED_VALUE"""),"I- ابتدائية الساقي للبنين (السادسة)")</f>
        <v>I- ابتدائية الساقي للبنين (السادسة)</v>
      </c>
      <c r="G577" s="23" t="str">
        <f ca="1">IFERROR(__xludf.DUMMYFUNCTION("""COMPUTED_VALUE"""),"الاول أ و الثالث د ")</f>
        <v xml:space="preserve">الاول أ و الثالث د </v>
      </c>
      <c r="H577" s="23" t="str">
        <f ca="1">IFERROR(__xludf.DUMMYFUNCTION("""COMPUTED_VALUE"""),"صيانة كرسي معلمات")</f>
        <v>صيانة كرسي معلمات</v>
      </c>
      <c r="I577" s="23"/>
      <c r="J577" s="23" t="s">
        <v>16</v>
      </c>
      <c r="K577" s="23" t="s">
        <v>13</v>
      </c>
      <c r="L577" s="32">
        <v>46117.642147974533</v>
      </c>
      <c r="M577" s="23"/>
    </row>
    <row r="578" spans="1:13" ht="75" customHeight="1" thickTop="1" thickBot="1">
      <c r="A578" s="23">
        <v>576</v>
      </c>
      <c r="B578" s="32">
        <f ca="1">IFERROR(__xludf.DUMMYFUNCTION("""COMPUTED_VALUE"""),46117.5529870138)</f>
        <v>46117.552987013798</v>
      </c>
      <c r="C578" s="33" t="str">
        <f ca="1">IFERROR(__xludf.DUMMYFUNCTION("""COMPUTED_VALUE"""),"المعملجي")</f>
        <v>المعملجي</v>
      </c>
      <c r="D578" s="33" t="str">
        <f ca="1">IFERROR(__xludf.DUMMYFUNCTION("""COMPUTED_VALUE"""),"سجاد تربية")</f>
        <v>سجاد تربية</v>
      </c>
      <c r="E578" s="23" t="str">
        <f ca="1">IFERROR(__xludf.DUMMYFUNCTION("""COMPUTED_VALUE"""),"قسم التربية والتعليم العالي")</f>
        <v>قسم التربية والتعليم العالي</v>
      </c>
      <c r="F578" s="23" t="str">
        <f ca="1">IFERROR(__xludf.DUMMYFUNCTION("""COMPUTED_VALUE"""),"E- ابتدائية العميد للبنات (الثالثة)")</f>
        <v>E- ابتدائية العميد للبنات (الثالثة)</v>
      </c>
      <c r="G578" s="23" t="str">
        <f ca="1">IFERROR(__xludf.DUMMYFUNCTION("""COMPUTED_VALUE"""),"الطابق الاول")</f>
        <v>الطابق الاول</v>
      </c>
      <c r="H578" s="23" t="str">
        <f ca="1">IFERROR(__xludf.DUMMYFUNCTION("""COMPUTED_VALUE"""),"صيانة شباك")</f>
        <v>صيانة شباك</v>
      </c>
      <c r="I578" s="23"/>
      <c r="J578" s="23" t="s">
        <v>16</v>
      </c>
      <c r="K578" s="23" t="s">
        <v>13</v>
      </c>
      <c r="L578" s="32">
        <v>46118.496676840281</v>
      </c>
      <c r="M578" s="23"/>
    </row>
    <row r="579" spans="1:13" ht="75" customHeight="1" thickTop="1" thickBot="1">
      <c r="A579" s="25">
        <v>577</v>
      </c>
      <c r="B579" s="32">
        <f ca="1">IFERROR(__xludf.DUMMYFUNCTION("""COMPUTED_VALUE"""),46117.5537447106)</f>
        <v>46117.553744710603</v>
      </c>
      <c r="C579" s="33" t="str">
        <f ca="1">IFERROR(__xludf.DUMMYFUNCTION("""COMPUTED_VALUE"""),"المعملجي")</f>
        <v>المعملجي</v>
      </c>
      <c r="D579" s="33" t="str">
        <f ca="1">IFERROR(__xludf.DUMMYFUNCTION("""COMPUTED_VALUE"""),"سجاد تربية")</f>
        <v>سجاد تربية</v>
      </c>
      <c r="E579" s="23" t="str">
        <f ca="1">IFERROR(__xludf.DUMMYFUNCTION("""COMPUTED_VALUE"""),"قسم التربية والتعليم العالي")</f>
        <v>قسم التربية والتعليم العالي</v>
      </c>
      <c r="F579" s="23" t="str">
        <f ca="1">IFERROR(__xludf.DUMMYFUNCTION("""COMPUTED_VALUE"""),"F-  ابتدائية جود العميد للبنات (الرابعة)")</f>
        <v>F-  ابتدائية جود العميد للبنات (الرابعة)</v>
      </c>
      <c r="G579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579" s="23" t="str">
        <f ca="1">IFERROR(__xludf.DUMMYFUNCTION("""COMPUTED_VALUE"""),"صيانة ازارة سيراميك ")</f>
        <v xml:space="preserve">صيانة ازارة سيراميك </v>
      </c>
      <c r="I579" s="23"/>
      <c r="J579" s="23" t="s">
        <v>16</v>
      </c>
      <c r="K579" s="23" t="s">
        <v>13</v>
      </c>
      <c r="L579" s="32">
        <v>46118.496708946761</v>
      </c>
      <c r="M579" s="23"/>
    </row>
    <row r="580" spans="1:13" ht="75" customHeight="1" thickTop="1" thickBot="1">
      <c r="A580" s="23">
        <v>578</v>
      </c>
      <c r="B580" s="32">
        <f ca="1">IFERROR(__xludf.DUMMYFUNCTION("""COMPUTED_VALUE"""),46118.479746875)</f>
        <v>46118.479746874997</v>
      </c>
      <c r="C580" s="33" t="str">
        <f ca="1">IFERROR(__xludf.DUMMYFUNCTION("""COMPUTED_VALUE"""),"المعملجي")</f>
        <v>المعملجي</v>
      </c>
      <c r="D580" s="33" t="str">
        <f ca="1">IFERROR(__xludf.DUMMYFUNCTION("""COMPUTED_VALUE"""),"سجاد تربية")</f>
        <v>سجاد تربية</v>
      </c>
      <c r="E580" s="23" t="str">
        <f ca="1">IFERROR(__xludf.DUMMYFUNCTION("""COMPUTED_VALUE"""),"قسم التربية والتعليم العالي")</f>
        <v>قسم التربية والتعليم العالي</v>
      </c>
      <c r="F580" s="23" t="str">
        <f ca="1">IFERROR(__xludf.DUMMYFUNCTION("""COMPUTED_VALUE"""),"الاستعلامات الرئيسية")</f>
        <v>الاستعلامات الرئيسية</v>
      </c>
      <c r="G580" s="23" t="str">
        <f ca="1">IFERROR(__xludf.DUMMYFUNCTION("""COMPUTED_VALUE"""),"الطابق الارضي")</f>
        <v>الطابق الارضي</v>
      </c>
      <c r="H580" s="23" t="str">
        <f ca="1">IFERROR(__xludf.DUMMYFUNCTION("""COMPUTED_VALUE"""),"شد ساعة جدارية ")</f>
        <v xml:space="preserve">شد ساعة جدارية </v>
      </c>
      <c r="I580" s="23"/>
      <c r="J580" s="23" t="s">
        <v>16</v>
      </c>
      <c r="K580" s="23" t="s">
        <v>13</v>
      </c>
      <c r="L580" s="32">
        <v>46118.496783194445</v>
      </c>
      <c r="M580" s="23"/>
    </row>
    <row r="581" spans="1:13" ht="75" customHeight="1" thickTop="1" thickBot="1">
      <c r="A581" s="25">
        <v>579</v>
      </c>
      <c r="B581" s="32">
        <f ca="1">IFERROR(__xludf.DUMMYFUNCTION("""COMPUTED_VALUE"""),46118.480999456)</f>
        <v>46118.480999455998</v>
      </c>
      <c r="C581" s="33" t="str">
        <f ca="1">IFERROR(__xludf.DUMMYFUNCTION("""COMPUTED_VALUE"""),"المعملجي")</f>
        <v>المعملجي</v>
      </c>
      <c r="D581" s="33" t="str">
        <f ca="1">IFERROR(__xludf.DUMMYFUNCTION("""COMPUTED_VALUE"""),"سجاد تربية")</f>
        <v>سجاد تربية</v>
      </c>
      <c r="E581" s="23" t="str">
        <f ca="1">IFERROR(__xludf.DUMMYFUNCTION("""COMPUTED_VALUE"""),"قسم التربية والتعليم العالي")</f>
        <v>قسم التربية والتعليم العالي</v>
      </c>
      <c r="F581" s="23" t="str">
        <f ca="1">IFERROR(__xludf.DUMMYFUNCTION("""COMPUTED_VALUE"""),"كرفان  ابو سجاد ")</f>
        <v xml:space="preserve">كرفان  ابو سجاد </v>
      </c>
      <c r="G581" s="23" t="str">
        <f ca="1">IFERROR(__xludf.DUMMYFUNCTION("""COMPUTED_VALUE"""),"/")</f>
        <v>/</v>
      </c>
      <c r="H581" s="23" t="str">
        <f ca="1">IFERROR(__xludf.DUMMYFUNCTION("""COMPUTED_VALUE"""),"تعليق بوكس الاسعافات الاولية في الكرفان ")</f>
        <v xml:space="preserve">تعليق بوكس الاسعافات الاولية في الكرفان </v>
      </c>
      <c r="I581" s="23"/>
      <c r="J581" s="23" t="s">
        <v>16</v>
      </c>
      <c r="K581" s="23" t="s">
        <v>13</v>
      </c>
      <c r="L581" s="32">
        <v>46118.5076916088</v>
      </c>
      <c r="M581" s="23"/>
    </row>
    <row r="582" spans="1:13" ht="75" customHeight="1" thickTop="1" thickBot="1">
      <c r="A582" s="23">
        <v>580</v>
      </c>
      <c r="B582" s="32">
        <f ca="1">IFERROR(__xludf.DUMMYFUNCTION("""COMPUTED_VALUE"""),46118.5608765509)</f>
        <v>46118.560876550902</v>
      </c>
      <c r="C582" s="33" t="str">
        <f ca="1">IFERROR(__xludf.DUMMYFUNCTION("""COMPUTED_VALUE"""),"المعملجي")</f>
        <v>المعملجي</v>
      </c>
      <c r="D582" s="33" t="str">
        <f ca="1">IFERROR(__xludf.DUMMYFUNCTION("""COMPUTED_VALUE"""),"سجاد تربية")</f>
        <v>سجاد تربية</v>
      </c>
      <c r="E582" s="23" t="str">
        <f ca="1">IFERROR(__xludf.DUMMYFUNCTION("""COMPUTED_VALUE"""),"قسم التربية والتعليم العالي")</f>
        <v>قسم التربية والتعليم العالي</v>
      </c>
      <c r="F582" s="23" t="str">
        <f ca="1">IFERROR(__xludf.DUMMYFUNCTION("""COMPUTED_VALUE"""),"E- ابتدائية العميد للبنات (الثالثة)")</f>
        <v>E- ابتدائية العميد للبنات (الثالثة)</v>
      </c>
      <c r="G582" s="23" t="str">
        <f ca="1">IFERROR(__xludf.DUMMYFUNCTION("""COMPUTED_VALUE"""),"الطابق الارضي, جناح الساحة ZONE B")</f>
        <v>الطابق الارضي, جناح الساحة ZONE B</v>
      </c>
      <c r="H582" s="23" t="str">
        <f ca="1">IFERROR(__xludf.DUMMYFUNCTION("""COMPUTED_VALUE"""),"صيانة باب خشب ")</f>
        <v xml:space="preserve">صيانة باب خشب </v>
      </c>
      <c r="I582" s="23"/>
      <c r="J582" s="23" t="s">
        <v>16</v>
      </c>
      <c r="K582" s="23" t="s">
        <v>13</v>
      </c>
      <c r="L582" s="32">
        <v>46118.560996550921</v>
      </c>
      <c r="M582" s="23"/>
    </row>
    <row r="583" spans="1:13" ht="75" customHeight="1" thickTop="1" thickBot="1">
      <c r="A583" s="25">
        <v>581</v>
      </c>
      <c r="B583" s="32">
        <f ca="1">IFERROR(__xludf.DUMMYFUNCTION("""COMPUTED_VALUE"""),46118.5689975347)</f>
        <v>46118.568997534698</v>
      </c>
      <c r="C583" s="33" t="str">
        <f ca="1">IFERROR(__xludf.DUMMYFUNCTION("""COMPUTED_VALUE"""),"المعملجي")</f>
        <v>المعملجي</v>
      </c>
      <c r="D583" s="33" t="str">
        <f ca="1">IFERROR(__xludf.DUMMYFUNCTION("""COMPUTED_VALUE"""),"سجاد تربية")</f>
        <v>سجاد تربية</v>
      </c>
      <c r="E583" s="23" t="str">
        <f ca="1">IFERROR(__xludf.DUMMYFUNCTION("""COMPUTED_VALUE"""),"قسم التربية والتعليم العالي")</f>
        <v>قسم التربية والتعليم العالي</v>
      </c>
      <c r="F583" s="23" t="str">
        <f ca="1">IFERROR(__xludf.DUMMYFUNCTION("""COMPUTED_VALUE"""),"B- روضة القمر, E- ابتدائية العميد للبنات (الثالثة)")</f>
        <v>B- روضة القمر, E- ابتدائية العميد للبنات (الثالثة)</v>
      </c>
      <c r="G583" s="23" t="str">
        <f ca="1">IFERROR(__xludf.DUMMYFUNCTION("""COMPUTED_VALUE"""),"الطابق الارضي")</f>
        <v>الطابق الارضي</v>
      </c>
      <c r="H583" s="23" t="str">
        <f ca="1">IFERROR(__xludf.DUMMYFUNCTION("""COMPUTED_VALUE"""),"شد رفوف الحانوت")</f>
        <v>شد رفوف الحانوت</v>
      </c>
      <c r="I583" s="23"/>
      <c r="J583" s="23" t="s">
        <v>16</v>
      </c>
      <c r="K583" s="23" t="s">
        <v>13</v>
      </c>
      <c r="L583" s="32">
        <v>46119.527086412039</v>
      </c>
      <c r="M583" s="23"/>
    </row>
    <row r="584" spans="1:13" ht="75" customHeight="1" thickTop="1" thickBot="1">
      <c r="A584" s="23">
        <v>582</v>
      </c>
      <c r="B584" s="32">
        <f ca="1">IFERROR(__xludf.DUMMYFUNCTION("""COMPUTED_VALUE"""),46119.4090059375)</f>
        <v>46119.409005937501</v>
      </c>
      <c r="C584" s="33" t="str">
        <f ca="1">IFERROR(__xludf.DUMMYFUNCTION("""COMPUTED_VALUE"""),"المعملجي")</f>
        <v>المعملجي</v>
      </c>
      <c r="D584" s="33" t="str">
        <f ca="1">IFERROR(__xludf.DUMMYFUNCTION("""COMPUTED_VALUE"""),"سجاد تربية")</f>
        <v>سجاد تربية</v>
      </c>
      <c r="E584" s="23" t="str">
        <f ca="1">IFERROR(__xludf.DUMMYFUNCTION("""COMPUTED_VALUE"""),"قسم التربية والتعليم العالي")</f>
        <v>قسم التربية والتعليم العالي</v>
      </c>
      <c r="F584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84" s="23" t="str">
        <f ca="1">IFERROR(__xludf.DUMMYFUNCTION("""COMPUTED_VALUE"""),"الطابق الاول")</f>
        <v>الطابق الاول</v>
      </c>
      <c r="H584" s="23" t="str">
        <f ca="1">IFERROR(__xludf.DUMMYFUNCTION("""COMPUTED_VALUE"""),"صيانة يدات باب المنيوم ")</f>
        <v xml:space="preserve">صيانة يدات باب المنيوم </v>
      </c>
      <c r="I584" s="23"/>
      <c r="J584" s="23" t="s">
        <v>16</v>
      </c>
      <c r="K584" s="23" t="s">
        <v>13</v>
      </c>
      <c r="L584" s="32">
        <v>46119.570171597225</v>
      </c>
      <c r="M584" s="23"/>
    </row>
    <row r="585" spans="1:13" ht="75" customHeight="1" thickTop="1" thickBot="1">
      <c r="A585" s="25">
        <v>583</v>
      </c>
      <c r="B585" s="32">
        <f ca="1">IFERROR(__xludf.DUMMYFUNCTION("""COMPUTED_VALUE"""),46119.4671203125)</f>
        <v>46119.467120312504</v>
      </c>
      <c r="C585" s="33" t="str">
        <f ca="1">IFERROR(__xludf.DUMMYFUNCTION("""COMPUTED_VALUE"""),"المعملجي")</f>
        <v>المعملجي</v>
      </c>
      <c r="D585" s="33" t="str">
        <f ca="1">IFERROR(__xludf.DUMMYFUNCTION("""COMPUTED_VALUE"""),"سجاد تربية")</f>
        <v>سجاد تربية</v>
      </c>
      <c r="E585" s="23" t="str">
        <f ca="1">IFERROR(__xludf.DUMMYFUNCTION("""COMPUTED_VALUE"""),"قسم التربية والتعليم العالي")</f>
        <v>قسم التربية والتعليم العالي</v>
      </c>
      <c r="F585" s="23" t="str">
        <f ca="1">IFERROR(__xludf.DUMMYFUNCTION("""COMPUTED_VALUE"""),"E- ابتدائية العميد للبنات (الثالثة)")</f>
        <v>E- ابتدائية العميد للبنات (الثالثة)</v>
      </c>
      <c r="G585" s="23" t="str">
        <f ca="1">IFERROR(__xludf.DUMMYFUNCTION("""COMPUTED_VALUE"""),"غرفة معلمات ")</f>
        <v xml:space="preserve">غرفة معلمات </v>
      </c>
      <c r="H585" s="23" t="str">
        <f ca="1">IFERROR(__xludf.DUMMYFUNCTION("""COMPUTED_VALUE"""),"صيانة بردة ")</f>
        <v xml:space="preserve">صيانة بردة </v>
      </c>
      <c r="I585" s="23"/>
      <c r="J585" s="23" t="s">
        <v>16</v>
      </c>
      <c r="K585" s="23" t="s">
        <v>13</v>
      </c>
      <c r="L585" s="32">
        <v>46119.570248958335</v>
      </c>
      <c r="M585" s="23"/>
    </row>
    <row r="586" spans="1:13" ht="75" customHeight="1" thickTop="1" thickBot="1">
      <c r="A586" s="23">
        <v>584</v>
      </c>
      <c r="B586" s="32">
        <f ca="1">IFERROR(__xludf.DUMMYFUNCTION("""COMPUTED_VALUE"""),46119.5365328009)</f>
        <v>46119.536532800899</v>
      </c>
      <c r="C586" s="33" t="str">
        <f ca="1">IFERROR(__xludf.DUMMYFUNCTION("""COMPUTED_VALUE"""),"المعملجي")</f>
        <v>المعملجي</v>
      </c>
      <c r="D586" s="33" t="str">
        <f ca="1">IFERROR(__xludf.DUMMYFUNCTION("""COMPUTED_VALUE"""),"سجاد تربية")</f>
        <v>سجاد تربية</v>
      </c>
      <c r="E586" s="23" t="str">
        <f ca="1">IFERROR(__xludf.DUMMYFUNCTION("""COMPUTED_VALUE"""),"قسم التربية والتعليم العالي")</f>
        <v>قسم التربية والتعليم العالي</v>
      </c>
      <c r="F586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586" s="23" t="str">
        <f ca="1">IFERROR(__xludf.DUMMYFUNCTION("""COMPUTED_VALUE"""),"الطابق الثاني")</f>
        <v>الطابق الثاني</v>
      </c>
      <c r="H586" s="23" t="str">
        <f ca="1">IFERROR(__xludf.DUMMYFUNCTION("""COMPUTED_VALUE"""),"صيانة بردة ")</f>
        <v xml:space="preserve">صيانة بردة </v>
      </c>
      <c r="I586" s="23"/>
      <c r="J586" s="23" t="s">
        <v>16</v>
      </c>
      <c r="K586" s="23" t="s">
        <v>13</v>
      </c>
      <c r="L586" s="32">
        <v>46123.331258333332</v>
      </c>
      <c r="M586" s="23"/>
    </row>
    <row r="587" spans="1:13" ht="75" customHeight="1" thickTop="1" thickBot="1">
      <c r="A587" s="25">
        <v>585</v>
      </c>
      <c r="B587" s="32">
        <f ca="1">IFERROR(__xludf.DUMMYFUNCTION("""COMPUTED_VALUE"""),46119.5422333217)</f>
        <v>46119.542233321699</v>
      </c>
      <c r="C587" s="33" t="str">
        <f ca="1">IFERROR(__xludf.DUMMYFUNCTION("""COMPUTED_VALUE"""),"المعملجي")</f>
        <v>المعملجي</v>
      </c>
      <c r="D587" s="33" t="str">
        <f ca="1">IFERROR(__xludf.DUMMYFUNCTION("""COMPUTED_VALUE"""),"سجاد تربية")</f>
        <v>سجاد تربية</v>
      </c>
      <c r="E587" s="23" t="str">
        <f ca="1">IFERROR(__xludf.DUMMYFUNCTION("""COMPUTED_VALUE"""),"قسم التربية والتعليم العالي")</f>
        <v>قسم التربية والتعليم العالي</v>
      </c>
      <c r="F587" s="23" t="str">
        <f ca="1">IFERROR(__xludf.DUMMYFUNCTION("""COMPUTED_VALUE"""),"A- المركز الثقافي")</f>
        <v>A- المركز الثقافي</v>
      </c>
      <c r="G587" s="23" t="str">
        <f ca="1">IFERROR(__xludf.DUMMYFUNCTION("""COMPUTED_VALUE"""),"باب الاستعلامات ")</f>
        <v xml:space="preserve">باب الاستعلامات </v>
      </c>
      <c r="H587" s="23" t="str">
        <f ca="1">IFERROR(__xludf.DUMMYFUNCTION("""COMPUTED_VALUE"""),"صيانه باب ")</f>
        <v xml:space="preserve">صيانه باب </v>
      </c>
      <c r="I587" s="23"/>
      <c r="J587" s="23" t="s">
        <v>16</v>
      </c>
      <c r="K587" s="23" t="s">
        <v>13</v>
      </c>
      <c r="L587" s="32">
        <v>46119.554487766203</v>
      </c>
      <c r="M587" s="23"/>
    </row>
    <row r="588" spans="1:13" ht="75" customHeight="1" thickTop="1" thickBot="1">
      <c r="A588" s="23">
        <v>586</v>
      </c>
      <c r="B588" s="32">
        <f ca="1">IFERROR(__xludf.DUMMYFUNCTION("""COMPUTED_VALUE"""),46119.5705298611)</f>
        <v>46119.570529861099</v>
      </c>
      <c r="C588" s="33" t="str">
        <f ca="1">IFERROR(__xludf.DUMMYFUNCTION("""COMPUTED_VALUE"""),"المعملجي")</f>
        <v>المعملجي</v>
      </c>
      <c r="D588" s="33" t="str">
        <f ca="1">IFERROR(__xludf.DUMMYFUNCTION("""COMPUTED_VALUE"""),"سجاد تربية")</f>
        <v>سجاد تربية</v>
      </c>
      <c r="E588" s="23" t="str">
        <f ca="1">IFERROR(__xludf.DUMMYFUNCTION("""COMPUTED_VALUE"""),"قسم التربية والتعليم العالي")</f>
        <v>قسم التربية والتعليم العالي</v>
      </c>
      <c r="F58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88" s="23" t="str">
        <f ca="1">IFERROR(__xludf.DUMMYFUNCTION("""COMPUTED_VALUE"""),"الطابق الاول, جناح الادائرة ZONE A")</f>
        <v>الطابق الاول, جناح الادائرة ZONE A</v>
      </c>
      <c r="H588" s="23" t="str">
        <f ca="1">IFERROR(__xludf.DUMMYFUNCTION("""COMPUTED_VALUE"""),"صيانة باب صحيات ")</f>
        <v xml:space="preserve">صيانة باب صحيات </v>
      </c>
      <c r="I588" s="23"/>
      <c r="J588" s="23" t="s">
        <v>16</v>
      </c>
      <c r="K588" s="23" t="s">
        <v>13</v>
      </c>
      <c r="L588" s="32">
        <v>46119.571344641205</v>
      </c>
      <c r="M588" s="23"/>
    </row>
    <row r="589" spans="1:13" ht="75" customHeight="1" thickTop="1" thickBot="1">
      <c r="A589" s="25">
        <v>587</v>
      </c>
      <c r="B589" s="32">
        <f ca="1">IFERROR(__xludf.DUMMYFUNCTION("""COMPUTED_VALUE"""),46119.5710156134)</f>
        <v>46119.571015613401</v>
      </c>
      <c r="C589" s="33" t="str">
        <f ca="1">IFERROR(__xludf.DUMMYFUNCTION("""COMPUTED_VALUE"""),"المعملجي")</f>
        <v>المعملجي</v>
      </c>
      <c r="D589" s="33" t="str">
        <f ca="1">IFERROR(__xludf.DUMMYFUNCTION("""COMPUTED_VALUE"""),"سجاد تربية")</f>
        <v>سجاد تربية</v>
      </c>
      <c r="E589" s="23" t="str">
        <f ca="1">IFERROR(__xludf.DUMMYFUNCTION("""COMPUTED_VALUE"""),"قسم التربية والتعليم العالي")</f>
        <v>قسم التربية والتعليم العالي</v>
      </c>
      <c r="F58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589" s="23" t="str">
        <f ca="1">IFERROR(__xludf.DUMMYFUNCTION("""COMPUTED_VALUE"""),"الطابق الاول, جناح الساحة ZONE B")</f>
        <v>الطابق الاول, جناح الساحة ZONE B</v>
      </c>
      <c r="H589" s="23" t="str">
        <f ca="1">IFERROR(__xludf.DUMMYFUNCTION("""COMPUTED_VALUE"""),"صيانة باب صحيات الرئسي ")</f>
        <v xml:space="preserve">صيانة باب صحيات الرئسي </v>
      </c>
      <c r="I589" s="23"/>
      <c r="J589" s="23" t="s">
        <v>16</v>
      </c>
      <c r="K589" s="23" t="s">
        <v>13</v>
      </c>
      <c r="L589" s="32">
        <v>46119.571359374997</v>
      </c>
      <c r="M589" s="23"/>
    </row>
    <row r="590" spans="1:13" ht="75" customHeight="1" thickTop="1" thickBot="1">
      <c r="A590" s="23">
        <v>588</v>
      </c>
      <c r="B590" s="32">
        <f ca="1">IFERROR(__xludf.DUMMYFUNCTION("""COMPUTED_VALUE"""),46120.4181704513)</f>
        <v>46120.418170451303</v>
      </c>
      <c r="C590" s="33" t="str">
        <f ca="1">IFERROR(__xludf.DUMMYFUNCTION("""COMPUTED_VALUE"""),"المعملجي")</f>
        <v>المعملجي</v>
      </c>
      <c r="D590" s="33" t="str">
        <f ca="1">IFERROR(__xludf.DUMMYFUNCTION("""COMPUTED_VALUE"""),"سجاد تربية")</f>
        <v>سجاد تربية</v>
      </c>
      <c r="E590" s="23" t="str">
        <f ca="1">IFERROR(__xludf.DUMMYFUNCTION("""COMPUTED_VALUE"""),"قسم التربية والتعليم العالي")</f>
        <v>قسم التربية والتعليم العالي</v>
      </c>
      <c r="F590" s="23" t="str">
        <f ca="1">IFERROR(__xludf.DUMMYFUNCTION("""COMPUTED_VALUE"""),"A- المركز الثقافي")</f>
        <v>A- المركز الثقافي</v>
      </c>
      <c r="G590" s="23" t="str">
        <f ca="1">IFERROR(__xludf.DUMMYFUNCTION("""COMPUTED_VALUE"""),"الطابق الثاني")</f>
        <v>الطابق الثاني</v>
      </c>
      <c r="H590" s="23" t="str">
        <f ca="1">IFERROR(__xludf.DUMMYFUNCTION("""COMPUTED_VALUE"""),"صيانة سقف ثانوي ")</f>
        <v xml:space="preserve">صيانة سقف ثانوي </v>
      </c>
      <c r="I590" s="23"/>
      <c r="J590" s="23" t="s">
        <v>16</v>
      </c>
      <c r="K590" s="23" t="s">
        <v>13</v>
      </c>
      <c r="L590" s="32">
        <v>46120.529923726848</v>
      </c>
      <c r="M590" s="23"/>
    </row>
    <row r="591" spans="1:13" ht="75" customHeight="1" thickTop="1" thickBot="1">
      <c r="A591" s="25">
        <v>589</v>
      </c>
      <c r="B591" s="32">
        <f ca="1">IFERROR(__xludf.DUMMYFUNCTION("""COMPUTED_VALUE"""),46120.5317098263)</f>
        <v>46120.531709826297</v>
      </c>
      <c r="C591" s="33" t="str">
        <f ca="1">IFERROR(__xludf.DUMMYFUNCTION("""COMPUTED_VALUE"""),"المعملجي")</f>
        <v>المعملجي</v>
      </c>
      <c r="D591" s="33" t="str">
        <f ca="1">IFERROR(__xludf.DUMMYFUNCTION("""COMPUTED_VALUE"""),"سجاد تربية")</f>
        <v>سجاد تربية</v>
      </c>
      <c r="E591" s="23" t="str">
        <f ca="1">IFERROR(__xludf.DUMMYFUNCTION("""COMPUTED_VALUE"""),"قسم التربية والتعليم العالي")</f>
        <v>قسم التربية والتعليم العالي</v>
      </c>
      <c r="F591" s="23" t="str">
        <f ca="1">IFERROR(__xludf.DUMMYFUNCTION("""COMPUTED_VALUE"""),"E- ابتدائية العميد للبنات (الثالثة)")</f>
        <v>E- ابتدائية العميد للبنات (الثالثة)</v>
      </c>
      <c r="G591" s="23" t="str">
        <f ca="1">IFERROR(__xludf.DUMMYFUNCTION("""COMPUTED_VALUE"""),"في الاستعلامات ")</f>
        <v xml:space="preserve">في الاستعلامات </v>
      </c>
      <c r="H591" s="23" t="str">
        <f ca="1">IFERROR(__xludf.DUMMYFUNCTION("""COMPUTED_VALUE"""),"صيانة حاجز ")</f>
        <v xml:space="preserve">صيانة حاجز </v>
      </c>
      <c r="I591" s="23"/>
      <c r="J591" s="23" t="s">
        <v>16</v>
      </c>
      <c r="K591" s="23" t="s">
        <v>13</v>
      </c>
      <c r="L591" s="32">
        <v>46120.589937638884</v>
      </c>
      <c r="M591" s="23"/>
    </row>
    <row r="592" spans="1:13" ht="75" customHeight="1" thickTop="1" thickBot="1">
      <c r="A592" s="23">
        <v>590</v>
      </c>
      <c r="B592" s="32">
        <f ca="1">IFERROR(__xludf.DUMMYFUNCTION("""COMPUTED_VALUE"""),46121.3752025231)</f>
        <v>46121.375202523101</v>
      </c>
      <c r="C592" s="33" t="str">
        <f ca="1">IFERROR(__xludf.DUMMYFUNCTION("""COMPUTED_VALUE"""),"المعملجي")</f>
        <v>المعملجي</v>
      </c>
      <c r="D592" s="33" t="str">
        <f ca="1">IFERROR(__xludf.DUMMYFUNCTION("""COMPUTED_VALUE"""),"سجاد تربية")</f>
        <v>سجاد تربية</v>
      </c>
      <c r="E592" s="23" t="str">
        <f ca="1">IFERROR(__xludf.DUMMYFUNCTION("""COMPUTED_VALUE"""),"قسم التربية والتعليم العالي")</f>
        <v>قسم التربية والتعليم العالي</v>
      </c>
      <c r="F592" s="23" t="str">
        <f ca="1">IFERROR(__xludf.DUMMYFUNCTION("""COMPUTED_VALUE"""),"G- روضة الجود")</f>
        <v>G- روضة الجود</v>
      </c>
      <c r="G592" s="23" t="str">
        <f ca="1">IFERROR(__xludf.DUMMYFUNCTION("""COMPUTED_VALUE"""),"صف السكر ")</f>
        <v xml:space="preserve">صف السكر </v>
      </c>
      <c r="H592" s="23" t="str">
        <f ca="1">IFERROR(__xludf.DUMMYFUNCTION("""COMPUTED_VALUE"""),"صيانة يدة شباك ")</f>
        <v xml:space="preserve">صيانة يدة شباك </v>
      </c>
      <c r="I592" s="23"/>
      <c r="J592" s="23" t="s">
        <v>16</v>
      </c>
      <c r="K592" s="23" t="s">
        <v>13</v>
      </c>
      <c r="L592" s="32">
        <v>46121.427462164356</v>
      </c>
      <c r="M592" s="23"/>
    </row>
    <row r="593" spans="1:13" ht="75" customHeight="1" thickTop="1" thickBot="1">
      <c r="A593" s="25">
        <v>591</v>
      </c>
      <c r="B593" s="32">
        <f ca="1">IFERROR(__xludf.DUMMYFUNCTION("""COMPUTED_VALUE"""),46123.4573922569)</f>
        <v>46123.457392256903</v>
      </c>
      <c r="C593" s="33" t="str">
        <f ca="1">IFERROR(__xludf.DUMMYFUNCTION("""COMPUTED_VALUE"""),"المعملجي")</f>
        <v>المعملجي</v>
      </c>
      <c r="D593" s="33" t="str">
        <f ca="1">IFERROR(__xludf.DUMMYFUNCTION("""COMPUTED_VALUE"""),"سجاد تربية")</f>
        <v>سجاد تربية</v>
      </c>
      <c r="E593" s="23" t="str">
        <f ca="1">IFERROR(__xludf.DUMMYFUNCTION("""COMPUTED_VALUE"""),"قسم التربية والتعليم العالي")</f>
        <v>قسم التربية والتعليم العالي</v>
      </c>
      <c r="F593" s="23" t="str">
        <f ca="1">IFERROR(__xludf.DUMMYFUNCTION("""COMPUTED_VALUE"""),"العاب الخارجية ")</f>
        <v xml:space="preserve">العاب الخارجية </v>
      </c>
      <c r="G593" s="23" t="str">
        <f ca="1">IFERROR(__xludf.DUMMYFUNCTION("""COMPUTED_VALUE"""),"/")</f>
        <v>/</v>
      </c>
      <c r="H593" s="23" t="str">
        <f ca="1">IFERROR(__xludf.DUMMYFUNCTION("""COMPUTED_VALUE"""),"صيانة الالعاب ")</f>
        <v xml:space="preserve">صيانة الالعاب </v>
      </c>
      <c r="I593" s="23"/>
      <c r="J593" s="23" t="s">
        <v>16</v>
      </c>
      <c r="K593" s="23" t="s">
        <v>13</v>
      </c>
      <c r="L593" s="32">
        <v>46123.528886898144</v>
      </c>
      <c r="M593" s="23"/>
    </row>
    <row r="594" spans="1:13" ht="75" customHeight="1" thickTop="1" thickBot="1">
      <c r="A594" s="23">
        <v>592</v>
      </c>
      <c r="B594" s="32">
        <f ca="1">IFERROR(__xludf.DUMMYFUNCTION("""COMPUTED_VALUE"""),46123.4982626851)</f>
        <v>46123.498262685098</v>
      </c>
      <c r="C594" s="33" t="str">
        <f ca="1">IFERROR(__xludf.DUMMYFUNCTION("""COMPUTED_VALUE"""),"المعملجي")</f>
        <v>المعملجي</v>
      </c>
      <c r="D594" s="33" t="str">
        <f ca="1">IFERROR(__xludf.DUMMYFUNCTION("""COMPUTED_VALUE"""),"سجاد تربية")</f>
        <v>سجاد تربية</v>
      </c>
      <c r="E594" s="23" t="str">
        <f ca="1">IFERROR(__xludf.DUMMYFUNCTION("""COMPUTED_VALUE"""),"قسم التربية والتعليم العالي")</f>
        <v>قسم التربية والتعليم العالي</v>
      </c>
      <c r="F594" s="23" t="str">
        <f ca="1">IFERROR(__xludf.DUMMYFUNCTION("""COMPUTED_VALUE"""),"F-  ابتدائية جود العميد للبنات (الرابعة)")</f>
        <v>F-  ابتدائية جود العميد للبنات (الرابعة)</v>
      </c>
      <c r="G594" s="23" t="str">
        <f ca="1">IFERROR(__xludf.DUMMYFUNCTION("""COMPUTED_VALUE"""),"الطابق الارضي, الاول د + الاول ب + الثالث ب ")</f>
        <v xml:space="preserve">الطابق الارضي, الاول د + الاول ب + الثالث ب </v>
      </c>
      <c r="H594" s="23" t="str">
        <f ca="1">IFERROR(__xludf.DUMMYFUNCTION("""COMPUTED_VALUE"""),"صيانة شباك ")</f>
        <v xml:space="preserve">صيانة شباك </v>
      </c>
      <c r="I594" s="23"/>
      <c r="J594" s="23" t="s">
        <v>16</v>
      </c>
      <c r="K594" s="23" t="s">
        <v>13</v>
      </c>
      <c r="L594" s="32">
        <v>46123.567551759261</v>
      </c>
      <c r="M594" s="23"/>
    </row>
    <row r="595" spans="1:13" ht="75" customHeight="1" thickTop="1" thickBot="1">
      <c r="A595" s="25">
        <v>593</v>
      </c>
      <c r="B595" s="32">
        <f ca="1">IFERROR(__xludf.DUMMYFUNCTION("""COMPUTED_VALUE"""),46123.4989748032)</f>
        <v>46123.498974803202</v>
      </c>
      <c r="C595" s="33" t="str">
        <f ca="1">IFERROR(__xludf.DUMMYFUNCTION("""COMPUTED_VALUE"""),"المعملجي")</f>
        <v>المعملجي</v>
      </c>
      <c r="D595" s="33" t="str">
        <f ca="1">IFERROR(__xludf.DUMMYFUNCTION("""COMPUTED_VALUE"""),"سجاد تربية")</f>
        <v>سجاد تربية</v>
      </c>
      <c r="E595" s="23" t="str">
        <f ca="1">IFERROR(__xludf.DUMMYFUNCTION("""COMPUTED_VALUE"""),"قسم التربية والتعليم العالي")</f>
        <v>قسم التربية والتعليم العالي</v>
      </c>
      <c r="F595" s="23" t="str">
        <f ca="1">IFERROR(__xludf.DUMMYFUNCTION("""COMPUTED_VALUE"""),"F-  ابتدائية جود العميد للبنات (الرابعة)")</f>
        <v>F-  ابتدائية جود العميد للبنات (الرابعة)</v>
      </c>
      <c r="G595" s="23" t="str">
        <f ca="1">IFERROR(__xludf.DUMMYFUNCTION("""COMPUTED_VALUE"""),"الصف اللرابع ج")</f>
        <v>الصف اللرابع ج</v>
      </c>
      <c r="H595" s="23" t="str">
        <f ca="1">IFERROR(__xludf.DUMMYFUNCTION("""COMPUTED_VALUE"""),"هزار خشبي ")</f>
        <v xml:space="preserve">هزار خشبي </v>
      </c>
      <c r="I595" s="23"/>
      <c r="J595" s="23" t="s">
        <v>16</v>
      </c>
      <c r="K595" s="23" t="s">
        <v>13</v>
      </c>
      <c r="L595" s="32">
        <v>46123.567581307871</v>
      </c>
      <c r="M595" s="23"/>
    </row>
    <row r="596" spans="1:13" ht="75" customHeight="1" thickTop="1" thickBot="1">
      <c r="A596" s="23">
        <v>594</v>
      </c>
      <c r="B596" s="32">
        <f ca="1">IFERROR(__xludf.DUMMYFUNCTION("""COMPUTED_VALUE"""),46123.4995435532)</f>
        <v>46123.499543553196</v>
      </c>
      <c r="C596" s="33" t="str">
        <f ca="1">IFERROR(__xludf.DUMMYFUNCTION("""COMPUTED_VALUE"""),"المعملجي")</f>
        <v>المعملجي</v>
      </c>
      <c r="D596" s="33" t="str">
        <f ca="1">IFERROR(__xludf.DUMMYFUNCTION("""COMPUTED_VALUE"""),"سجاد تربية")</f>
        <v>سجاد تربية</v>
      </c>
      <c r="E596" s="23" t="str">
        <f ca="1">IFERROR(__xludf.DUMMYFUNCTION("""COMPUTED_VALUE"""),"قسم التربية والتعليم العالي")</f>
        <v>قسم التربية والتعليم العالي</v>
      </c>
      <c r="F596" s="23" t="str">
        <f ca="1">IFERROR(__xludf.DUMMYFUNCTION("""COMPUTED_VALUE"""),"F-  ابتدائية جود العميد للبنات (الرابعة)")</f>
        <v>F-  ابتدائية جود العميد للبنات (الرابعة)</v>
      </c>
      <c r="G596" s="23" t="str">
        <f ca="1">IFERROR(__xludf.DUMMYFUNCTION("""COMPUTED_VALUE"""),"جناح الساحة ZONE B")</f>
        <v>جناح الساحة ZONE B</v>
      </c>
      <c r="H596" s="23" t="str">
        <f ca="1">IFERROR(__xludf.DUMMYFUNCTION("""COMPUTED_VALUE"""),"هزار سيرااميك ")</f>
        <v xml:space="preserve">هزار سيرااميك </v>
      </c>
      <c r="I596" s="23"/>
      <c r="J596" s="23" t="s">
        <v>16</v>
      </c>
      <c r="K596" s="23" t="s">
        <v>13</v>
      </c>
      <c r="L596" s="32">
        <v>46123.779451967595</v>
      </c>
      <c r="M596" s="23"/>
    </row>
    <row r="597" spans="1:13" ht="75" customHeight="1" thickTop="1" thickBot="1">
      <c r="A597" s="25">
        <v>595</v>
      </c>
      <c r="B597" s="32">
        <f ca="1">IFERROR(__xludf.DUMMYFUNCTION("""COMPUTED_VALUE"""),46123.5008429282)</f>
        <v>46123.500842928202</v>
      </c>
      <c r="C597" s="33" t="str">
        <f ca="1">IFERROR(__xludf.DUMMYFUNCTION("""COMPUTED_VALUE"""),"المعملجي")</f>
        <v>المعملجي</v>
      </c>
      <c r="D597" s="33" t="str">
        <f ca="1">IFERROR(__xludf.DUMMYFUNCTION("""COMPUTED_VALUE"""),"سجاد تربية")</f>
        <v>سجاد تربية</v>
      </c>
      <c r="E597" s="23" t="str">
        <f ca="1">IFERROR(__xludf.DUMMYFUNCTION("""COMPUTED_VALUE"""),"قسم التربية والتعليم العالي")</f>
        <v>قسم التربية والتعليم العالي</v>
      </c>
      <c r="F597" s="23" t="str">
        <f ca="1">IFERROR(__xludf.DUMMYFUNCTION("""COMPUTED_VALUE"""),"F-  ابتدائية جود العميد للبنات (الرابعة)")</f>
        <v>F-  ابتدائية جود العميد للبنات (الرابعة)</v>
      </c>
      <c r="G597" s="23" t="str">
        <f ca="1">IFERROR(__xludf.DUMMYFUNCTION("""COMPUTED_VALUE"""),"الطابق الثاني, الزوم الخارجي ")</f>
        <v xml:space="preserve">الطابق الثاني, الزوم الخارجي </v>
      </c>
      <c r="H597" s="23" t="str">
        <f ca="1">IFERROR(__xludf.DUMMYFUNCTION("""COMPUTED_VALUE"""),"صيانة سقف ثانوي ")</f>
        <v xml:space="preserve">صيانة سقف ثانوي </v>
      </c>
      <c r="I597" s="23"/>
      <c r="J597" s="23" t="s">
        <v>16</v>
      </c>
      <c r="K597" s="23" t="s">
        <v>13</v>
      </c>
      <c r="L597" s="32">
        <v>46124.314848564813</v>
      </c>
      <c r="M597" s="23"/>
    </row>
    <row r="598" spans="1:13" ht="75" customHeight="1" thickTop="1" thickBot="1">
      <c r="A598" s="23">
        <v>596</v>
      </c>
      <c r="B598" s="32">
        <f ca="1">IFERROR(__xludf.DUMMYFUNCTION("""COMPUTED_VALUE"""),46123.5042908217)</f>
        <v>46123.5042908217</v>
      </c>
      <c r="C598" s="33" t="str">
        <f ca="1">IFERROR(__xludf.DUMMYFUNCTION("""COMPUTED_VALUE"""),"المعملجي")</f>
        <v>المعملجي</v>
      </c>
      <c r="D598" s="33" t="str">
        <f ca="1">IFERROR(__xludf.DUMMYFUNCTION("""COMPUTED_VALUE"""),"سجاد تربية")</f>
        <v>سجاد تربية</v>
      </c>
      <c r="E598" s="23" t="str">
        <f ca="1">IFERROR(__xludf.DUMMYFUNCTION("""COMPUTED_VALUE"""),"قسم التربية والتعليم العالي")</f>
        <v>قسم التربية والتعليم العالي</v>
      </c>
      <c r="F598" s="23" t="str">
        <f ca="1">IFERROR(__xludf.DUMMYFUNCTION("""COMPUTED_VALUE"""),"الاستعلامات الرئيسية")</f>
        <v>الاستعلامات الرئيسية</v>
      </c>
      <c r="G598" s="23" t="str">
        <f ca="1">IFERROR(__xludf.DUMMYFUNCTION("""COMPUTED_VALUE"""),"الطابق الارضي, صحيات")</f>
        <v>الطابق الارضي, صحيات</v>
      </c>
      <c r="H598" s="23" t="str">
        <f ca="1">IFERROR(__xludf.DUMMYFUNCTION("""COMPUTED_VALUE"""),"تبديل لبة باب الصحيات  ")</f>
        <v xml:space="preserve">تبديل لبة باب الصحيات  </v>
      </c>
      <c r="I598" s="23"/>
      <c r="J598" s="23" t="s">
        <v>16</v>
      </c>
      <c r="K598" s="23" t="s">
        <v>13</v>
      </c>
      <c r="L598" s="32">
        <v>46123.58619887731</v>
      </c>
      <c r="M598" s="23"/>
    </row>
    <row r="599" spans="1:13" ht="75" customHeight="1" thickTop="1" thickBot="1">
      <c r="A599" s="25">
        <v>597</v>
      </c>
      <c r="B599" s="32">
        <f ca="1">IFERROR(__xludf.DUMMYFUNCTION("""COMPUTED_VALUE"""),46124.3517590856)</f>
        <v>46124.351759085599</v>
      </c>
      <c r="C599" s="33" t="str">
        <f ca="1">IFERROR(__xludf.DUMMYFUNCTION("""COMPUTED_VALUE"""),"المعملجي")</f>
        <v>المعملجي</v>
      </c>
      <c r="D599" s="33" t="str">
        <f ca="1">IFERROR(__xludf.DUMMYFUNCTION("""COMPUTED_VALUE"""),"سجاد تربية")</f>
        <v>سجاد تربية</v>
      </c>
      <c r="E599" s="23" t="str">
        <f ca="1">IFERROR(__xludf.DUMMYFUNCTION("""COMPUTED_VALUE"""),"قسم التربية والتعليم العالي")</f>
        <v>قسم التربية والتعليم العالي</v>
      </c>
      <c r="F599" s="23" t="str">
        <f ca="1">IFERROR(__xludf.DUMMYFUNCTION("""COMPUTED_VALUE"""),"E- ابتدائية العميد للبنات (الثالثة)")</f>
        <v>E- ابتدائية العميد للبنات (الثالثة)</v>
      </c>
      <c r="G599" s="23" t="str">
        <f ca="1">IFERROR(__xludf.DUMMYFUNCTION("""COMPUTED_VALUE"""),"الطابق الارضي")</f>
        <v>الطابق الارضي</v>
      </c>
      <c r="H599" s="23" t="str">
        <f ca="1">IFERROR(__xludf.DUMMYFUNCTION("""COMPUTED_VALUE"""),"صيانة الحمامات ")</f>
        <v xml:space="preserve">صيانة الحمامات </v>
      </c>
      <c r="I599" s="23"/>
      <c r="J599" s="23" t="s">
        <v>16</v>
      </c>
      <c r="K599" s="23" t="s">
        <v>13</v>
      </c>
      <c r="L599" s="32">
        <v>46124.521349641203</v>
      </c>
      <c r="M599" s="23"/>
    </row>
    <row r="600" spans="1:13" ht="75" customHeight="1" thickTop="1" thickBot="1">
      <c r="A600" s="23">
        <v>598</v>
      </c>
      <c r="B600" s="32">
        <f ca="1">IFERROR(__xludf.DUMMYFUNCTION("""COMPUTED_VALUE"""),46124.4276648842)</f>
        <v>46124.427664884199</v>
      </c>
      <c r="C600" s="33" t="str">
        <f ca="1">IFERROR(__xludf.DUMMYFUNCTION("""COMPUTED_VALUE"""),"المعملجي")</f>
        <v>المعملجي</v>
      </c>
      <c r="D600" s="33" t="str">
        <f ca="1">IFERROR(__xludf.DUMMYFUNCTION("""COMPUTED_VALUE"""),"سجاد تربية")</f>
        <v>سجاد تربية</v>
      </c>
      <c r="E600" s="23" t="str">
        <f ca="1">IFERROR(__xludf.DUMMYFUNCTION("""COMPUTED_VALUE"""),"قسم التربية والتعليم العالي")</f>
        <v>قسم التربية والتعليم العالي</v>
      </c>
      <c r="F600" s="23" t="str">
        <f ca="1">IFERROR(__xludf.DUMMYFUNCTION("""COMPUTED_VALUE"""),"E- ابتدائية العميد للبنات (الثالثة)")</f>
        <v>E- ابتدائية العميد للبنات (الثالثة)</v>
      </c>
      <c r="G600" s="23" t="str">
        <f ca="1">IFERROR(__xludf.DUMMYFUNCTION("""COMPUTED_VALUE"""),"الطابق الاول")</f>
        <v>الطابق الاول</v>
      </c>
      <c r="H600" s="23" t="str">
        <f ca="1">IFERROR(__xludf.DUMMYFUNCTION("""COMPUTED_VALUE"""),"صيانة باب المنيوم ")</f>
        <v xml:space="preserve">صيانة باب المنيوم </v>
      </c>
      <c r="I600" s="23"/>
      <c r="J600" s="23" t="s">
        <v>16</v>
      </c>
      <c r="K600" s="23" t="s">
        <v>13</v>
      </c>
      <c r="L600" s="32">
        <v>46124.521280995366</v>
      </c>
      <c r="M600" s="23"/>
    </row>
    <row r="601" spans="1:13" ht="75" customHeight="1" thickTop="1" thickBot="1">
      <c r="A601" s="25">
        <v>599</v>
      </c>
      <c r="B601" s="32">
        <f ca="1">IFERROR(__xludf.DUMMYFUNCTION("""COMPUTED_VALUE"""),46124.5778354166)</f>
        <v>46124.577835416603</v>
      </c>
      <c r="C601" s="33" t="str">
        <f ca="1">IFERROR(__xludf.DUMMYFUNCTION("""COMPUTED_VALUE"""),"المعملجي")</f>
        <v>المعملجي</v>
      </c>
      <c r="D601" s="33" t="str">
        <f ca="1">IFERROR(__xludf.DUMMYFUNCTION("""COMPUTED_VALUE"""),"سجاد تربية")</f>
        <v>سجاد تربية</v>
      </c>
      <c r="E601" s="23" t="str">
        <f ca="1">IFERROR(__xludf.DUMMYFUNCTION("""COMPUTED_VALUE"""),"قسم التربية والتعليم العالي")</f>
        <v>قسم التربية والتعليم العالي</v>
      </c>
      <c r="F601" s="23" t="str">
        <f ca="1">IFERROR(__xludf.DUMMYFUNCTION("""COMPUTED_VALUE"""),"رئاسة القسم ")</f>
        <v xml:space="preserve">رئاسة القسم </v>
      </c>
      <c r="G601" s="23" t="str">
        <f ca="1">IFERROR(__xludf.DUMMYFUNCTION("""COMPUTED_VALUE"""),"الطابق الارضي")</f>
        <v>الطابق الارضي</v>
      </c>
      <c r="H601" s="23" t="str">
        <f ca="1">IFERROR(__xludf.DUMMYFUNCTION("""COMPUTED_VALUE"""),"عمل قفل للثلاجة ")</f>
        <v xml:space="preserve">عمل قفل للثلاجة </v>
      </c>
      <c r="I601" s="23"/>
      <c r="J601" s="23" t="s">
        <v>16</v>
      </c>
      <c r="K601" s="23" t="s">
        <v>13</v>
      </c>
      <c r="L601" s="32">
        <v>46151.359502118052</v>
      </c>
      <c r="M601" s="23"/>
    </row>
    <row r="602" spans="1:13" ht="75" customHeight="1" thickTop="1" thickBot="1">
      <c r="A602" s="23">
        <v>600</v>
      </c>
      <c r="B602" s="32">
        <f ca="1">IFERROR(__xludf.DUMMYFUNCTION("""COMPUTED_VALUE"""),46125.4695737499)</f>
        <v>46125.469573749899</v>
      </c>
      <c r="C602" s="33" t="str">
        <f ca="1">IFERROR(__xludf.DUMMYFUNCTION("""COMPUTED_VALUE"""),"المعملجي")</f>
        <v>المعملجي</v>
      </c>
      <c r="D602" s="33" t="str">
        <f ca="1">IFERROR(__xludf.DUMMYFUNCTION("""COMPUTED_VALUE"""),"وحدة المدني")</f>
        <v>وحدة المدني</v>
      </c>
      <c r="E602" s="23" t="str">
        <f ca="1">IFERROR(__xludf.DUMMYFUNCTION("""COMPUTED_VALUE"""),"قسم المشاريع الهندسية")</f>
        <v>قسم المشاريع الهندسية</v>
      </c>
      <c r="F602" s="23" t="str">
        <f ca="1">IFERROR(__xludf.DUMMYFUNCTION("""COMPUTED_VALUE"""),"G- روضة الجود")</f>
        <v>G- روضة الجود</v>
      </c>
      <c r="G602" s="23" t="str">
        <f ca="1">IFERROR(__xludf.DUMMYFUNCTION("""COMPUTED_VALUE"""),"الطابق الثاني")</f>
        <v>الطابق الثاني</v>
      </c>
      <c r="H602" s="23" t="str">
        <f ca="1">IFERROR(__xludf.DUMMYFUNCTION("""COMPUTED_VALUE"""),"تفليش قطع سيراميك في الصحيات وصانة بوري فلاش")</f>
        <v>تفليش قطع سيراميك في الصحيات وصانة بوري فلاش</v>
      </c>
      <c r="I602" s="23"/>
      <c r="J602" s="23" t="s">
        <v>16</v>
      </c>
      <c r="K602" s="23" t="s">
        <v>13</v>
      </c>
      <c r="L602" s="32">
        <v>46125.469915000001</v>
      </c>
      <c r="M602" s="23"/>
    </row>
    <row r="603" spans="1:13" ht="75" customHeight="1" thickTop="1" thickBot="1">
      <c r="A603" s="25">
        <v>601</v>
      </c>
      <c r="B603" s="32">
        <f ca="1">IFERROR(__xludf.DUMMYFUNCTION("""COMPUTED_VALUE"""),46125.753750162)</f>
        <v>46125.753750162003</v>
      </c>
      <c r="C603" s="33" t="str">
        <f ca="1">IFERROR(__xludf.DUMMYFUNCTION("""COMPUTED_VALUE"""),"المعملجي")</f>
        <v>المعملجي</v>
      </c>
      <c r="D603" s="33" t="str">
        <f ca="1">IFERROR(__xludf.DUMMYFUNCTION("""COMPUTED_VALUE"""),"سجاد تربية")</f>
        <v>سجاد تربية</v>
      </c>
      <c r="E603" s="23" t="str">
        <f ca="1">IFERROR(__xludf.DUMMYFUNCTION("""COMPUTED_VALUE"""),"قسم التربية والتعليم العالي")</f>
        <v>قسم التربية والتعليم العالي</v>
      </c>
      <c r="F603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03" s="23" t="str">
        <f ca="1">IFERROR(__xludf.DUMMYFUNCTION("""COMPUTED_VALUE"""),"الطابق الارضي, صف الثالث أ + الحانوت +غرفة معلمات ")</f>
        <v xml:space="preserve">الطابق الارضي, صف الثالث أ + الحانوت +غرفة معلمات </v>
      </c>
      <c r="H603" s="23" t="str">
        <f ca="1">IFERROR(__xludf.DUMMYFUNCTION("""COMPUTED_VALUE"""),"صيانة يدة شبابيك وابواب و صيانه باب الخشب ")</f>
        <v xml:space="preserve">صيانة يدة شبابيك وابواب و صيانه باب الخشب </v>
      </c>
      <c r="I603" s="23"/>
      <c r="J603" s="23" t="s">
        <v>16</v>
      </c>
      <c r="K603" s="23" t="s">
        <v>13</v>
      </c>
      <c r="L603" s="32">
        <v>46126.448096249995</v>
      </c>
      <c r="M603" s="23"/>
    </row>
    <row r="604" spans="1:13" ht="75" customHeight="1" thickTop="1" thickBot="1">
      <c r="A604" s="23">
        <v>602</v>
      </c>
      <c r="B604" s="32">
        <f ca="1">IFERROR(__xludf.DUMMYFUNCTION("""COMPUTED_VALUE"""),46126.4436817129)</f>
        <v>46126.443681712903</v>
      </c>
      <c r="C604" s="33" t="str">
        <f ca="1">IFERROR(__xludf.DUMMYFUNCTION("""COMPUTED_VALUE"""),"المعملجي")</f>
        <v>المعملجي</v>
      </c>
      <c r="D604" s="33" t="str">
        <f ca="1">IFERROR(__xludf.DUMMYFUNCTION("""COMPUTED_VALUE"""),"وحدة المدني")</f>
        <v>وحدة المدني</v>
      </c>
      <c r="E604" s="23" t="str">
        <f ca="1">IFERROR(__xludf.DUMMYFUNCTION("""COMPUTED_VALUE"""),"قسم المشاريع الهندسية")</f>
        <v>قسم المشاريع الهندسية</v>
      </c>
      <c r="F604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04" s="23" t="str">
        <f ca="1">IFERROR(__xludf.DUMMYFUNCTION("""COMPUTED_VALUE"""),"الطابق الارضي, جناح الادائرة ZONE A")</f>
        <v>الطابق الارضي, جناح الادائرة ZONE A</v>
      </c>
      <c r="H604" s="23" t="str">
        <f ca="1">IFERROR(__xludf.DUMMYFUNCTION("""COMPUTED_VALUE"""),"شباك ")</f>
        <v xml:space="preserve">شباك </v>
      </c>
      <c r="I604" s="23"/>
      <c r="J604" s="23" t="s">
        <v>16</v>
      </c>
      <c r="K604" s="23" t="s">
        <v>13</v>
      </c>
      <c r="L604" s="32">
        <v>46126.448330798608</v>
      </c>
      <c r="M604" s="23"/>
    </row>
    <row r="605" spans="1:13" ht="75" customHeight="1" thickTop="1" thickBot="1">
      <c r="A605" s="25">
        <v>603</v>
      </c>
      <c r="B605" s="32">
        <f ca="1">IFERROR(__xludf.DUMMYFUNCTION("""COMPUTED_VALUE"""),46126.4446233796)</f>
        <v>46126.444623379597</v>
      </c>
      <c r="C605" s="33" t="str">
        <f ca="1">IFERROR(__xludf.DUMMYFUNCTION("""COMPUTED_VALUE"""),"المعملجي")</f>
        <v>المعملجي</v>
      </c>
      <c r="D605" s="33" t="str">
        <f ca="1">IFERROR(__xludf.DUMMYFUNCTION("""COMPUTED_VALUE"""),"وحدة المدني")</f>
        <v>وحدة المدني</v>
      </c>
      <c r="E605" s="23" t="str">
        <f ca="1">IFERROR(__xludf.DUMMYFUNCTION("""COMPUTED_VALUE"""),"قسم المشاريع الهندسية")</f>
        <v>قسم المشاريع الهندسية</v>
      </c>
      <c r="F605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05" s="23" t="str">
        <f ca="1">IFERROR(__xludf.DUMMYFUNCTION("""COMPUTED_VALUE"""),"الطابق الاول")</f>
        <v>الطابق الاول</v>
      </c>
      <c r="H605" s="23" t="str">
        <f ca="1">IFERROR(__xludf.DUMMYFUNCTION("""COMPUTED_VALUE"""),"باب خشب")</f>
        <v>باب خشب</v>
      </c>
      <c r="I605" s="23"/>
      <c r="J605" s="23" t="s">
        <v>16</v>
      </c>
      <c r="K605" s="23" t="s">
        <v>13</v>
      </c>
      <c r="L605" s="32">
        <v>46126.448496435187</v>
      </c>
      <c r="M605" s="23"/>
    </row>
    <row r="606" spans="1:13" ht="75" customHeight="1" thickTop="1" thickBot="1">
      <c r="A606" s="23">
        <v>604</v>
      </c>
      <c r="B606" s="32">
        <f ca="1">IFERROR(__xludf.DUMMYFUNCTION("""COMPUTED_VALUE"""),46126.4455801388)</f>
        <v>46126.445580138803</v>
      </c>
      <c r="C606" s="33" t="str">
        <f ca="1">IFERROR(__xludf.DUMMYFUNCTION("""COMPUTED_VALUE"""),"المعملجي")</f>
        <v>المعملجي</v>
      </c>
      <c r="D606" s="33" t="str">
        <f ca="1">IFERROR(__xludf.DUMMYFUNCTION("""COMPUTED_VALUE"""),"وحدة المدني")</f>
        <v>وحدة المدني</v>
      </c>
      <c r="E606" s="23" t="str">
        <f ca="1">IFERROR(__xludf.DUMMYFUNCTION("""COMPUTED_VALUE"""),"قسم المشاريع الهندسية")</f>
        <v>قسم المشاريع الهندسية</v>
      </c>
      <c r="F60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06" s="23" t="str">
        <f ca="1">IFERROR(__xludf.DUMMYFUNCTION("""COMPUTED_VALUE"""),"الطابق الاول, جناح الساحة ZONE B")</f>
        <v>الطابق الاول, جناح الساحة ZONE B</v>
      </c>
      <c r="H606" s="23" t="str">
        <f ca="1">IFERROR(__xludf.DUMMYFUNCTION("""COMPUTED_VALUE"""),"باب المنيوم ")</f>
        <v xml:space="preserve">باب المنيوم </v>
      </c>
      <c r="I606" s="23"/>
      <c r="J606" s="23" t="s">
        <v>16</v>
      </c>
      <c r="K606" s="23" t="s">
        <v>13</v>
      </c>
      <c r="L606" s="32">
        <v>46126.44868799769</v>
      </c>
      <c r="M606" s="23"/>
    </row>
    <row r="607" spans="1:13" ht="75" customHeight="1" thickTop="1" thickBot="1">
      <c r="A607" s="25">
        <v>605</v>
      </c>
      <c r="B607" s="32">
        <f ca="1">IFERROR(__xludf.DUMMYFUNCTION("""COMPUTED_VALUE"""),46126.4465173263)</f>
        <v>46126.446517326302</v>
      </c>
      <c r="C607" s="33" t="str">
        <f ca="1">IFERROR(__xludf.DUMMYFUNCTION("""COMPUTED_VALUE"""),"المعملجي")</f>
        <v>المعملجي</v>
      </c>
      <c r="D607" s="33" t="str">
        <f ca="1">IFERROR(__xludf.DUMMYFUNCTION("""COMPUTED_VALUE"""),"وحدة المدني")</f>
        <v>وحدة المدني</v>
      </c>
      <c r="E607" s="23" t="str">
        <f ca="1">IFERROR(__xludf.DUMMYFUNCTION("""COMPUTED_VALUE"""),"قسم المشاريع الهندسية")</f>
        <v>قسم المشاريع الهندسية</v>
      </c>
      <c r="F60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07" s="23" t="str">
        <f ca="1">IFERROR(__xludf.DUMMYFUNCTION("""COMPUTED_VALUE"""),"الطابق الاول, جناح الادائرة ZONE A")</f>
        <v>الطابق الاول, جناح الادائرة ZONE A</v>
      </c>
      <c r="H607" s="23" t="str">
        <f ca="1">IFERROR(__xludf.DUMMYFUNCTION("""COMPUTED_VALUE"""),"باب المنيوم ")</f>
        <v xml:space="preserve">باب المنيوم </v>
      </c>
      <c r="I607" s="23"/>
      <c r="J607" s="23" t="s">
        <v>16</v>
      </c>
      <c r="K607" s="23" t="s">
        <v>13</v>
      </c>
      <c r="L607" s="32">
        <v>46126.44870144676</v>
      </c>
      <c r="M607" s="23"/>
    </row>
    <row r="608" spans="1:13" ht="75" customHeight="1" thickTop="1" thickBot="1">
      <c r="A608" s="23">
        <v>606</v>
      </c>
      <c r="B608" s="32">
        <f ca="1">IFERROR(__xludf.DUMMYFUNCTION("""COMPUTED_VALUE"""),46126.4473178819)</f>
        <v>46126.447317881903</v>
      </c>
      <c r="C608" s="33" t="str">
        <f ca="1">IFERROR(__xludf.DUMMYFUNCTION("""COMPUTED_VALUE"""),"المعملجي")</f>
        <v>المعملجي</v>
      </c>
      <c r="D608" s="33" t="str">
        <f ca="1">IFERROR(__xludf.DUMMYFUNCTION("""COMPUTED_VALUE"""),"وحدة المدني")</f>
        <v>وحدة المدني</v>
      </c>
      <c r="E608" s="23" t="str">
        <f ca="1">IFERROR(__xludf.DUMMYFUNCTION("""COMPUTED_VALUE"""),"قسم المشاريع الهندسية")</f>
        <v>قسم المشاريع الهندسية</v>
      </c>
      <c r="F60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08" s="23" t="str">
        <f ca="1">IFERROR(__xludf.DUMMYFUNCTION("""COMPUTED_VALUE"""),"الطابق الارضي, جناح الادائرة ZONE A")</f>
        <v>الطابق الارضي, جناح الادائرة ZONE A</v>
      </c>
      <c r="H608" s="23" t="str">
        <f ca="1">IFERROR(__xludf.DUMMYFUNCTION("""COMPUTED_VALUE"""),"تعلاكة ملابس")</f>
        <v>تعلاكة ملابس</v>
      </c>
      <c r="I608" s="23"/>
      <c r="J608" s="23" t="s">
        <v>16</v>
      </c>
      <c r="K608" s="23" t="s">
        <v>13</v>
      </c>
      <c r="L608" s="32">
        <v>46126.44875166667</v>
      </c>
      <c r="M608" s="23"/>
    </row>
    <row r="609" spans="1:13" ht="75" customHeight="1" thickTop="1" thickBot="1">
      <c r="A609" s="25">
        <v>607</v>
      </c>
      <c r="B609" s="32">
        <f ca="1">IFERROR(__xludf.DUMMYFUNCTION("""COMPUTED_VALUE"""),46126.5125909143)</f>
        <v>46126.512590914303</v>
      </c>
      <c r="C609" s="33" t="str">
        <f ca="1">IFERROR(__xludf.DUMMYFUNCTION("""COMPUTED_VALUE"""),"المعملجي")</f>
        <v>المعملجي</v>
      </c>
      <c r="D609" s="33" t="str">
        <f ca="1">IFERROR(__xludf.DUMMYFUNCTION("""COMPUTED_VALUE"""),"سجاد تربية")</f>
        <v>سجاد تربية</v>
      </c>
      <c r="E609" s="23" t="str">
        <f ca="1">IFERROR(__xludf.DUMMYFUNCTION("""COMPUTED_VALUE"""),"قسم التربية والتعليم العالي")</f>
        <v>قسم التربية والتعليم العالي</v>
      </c>
      <c r="F609" s="23" t="str">
        <f ca="1">IFERROR(__xludf.DUMMYFUNCTION("""COMPUTED_VALUE"""),"I- ابتدائية الساقي للبنين (السادسة)")</f>
        <v>I- ابتدائية الساقي للبنين (السادسة)</v>
      </c>
      <c r="G609" s="23" t="str">
        <f ca="1">IFERROR(__xludf.DUMMYFUNCTION("""COMPUTED_VALUE"""),"الطابق الارضي")</f>
        <v>الطابق الارضي</v>
      </c>
      <c r="H609" s="23" t="str">
        <f ca="1">IFERROR(__xludf.DUMMYFUNCTION("""COMPUTED_VALUE"""),"لصق تارتان ")</f>
        <v xml:space="preserve">لصق تارتان </v>
      </c>
      <c r="I609" s="23"/>
      <c r="J609" s="23" t="s">
        <v>16</v>
      </c>
      <c r="K609" s="23" t="s">
        <v>13</v>
      </c>
      <c r="L609" s="32">
        <v>46126.552103518523</v>
      </c>
      <c r="M609" s="23"/>
    </row>
    <row r="610" spans="1:13" ht="75" customHeight="1" thickTop="1" thickBot="1">
      <c r="A610" s="23">
        <v>608</v>
      </c>
      <c r="B610" s="32">
        <f ca="1">IFERROR(__xludf.DUMMYFUNCTION("""COMPUTED_VALUE"""),46127.3282451967)</f>
        <v>46127.328245196702</v>
      </c>
      <c r="C610" s="33" t="str">
        <f ca="1">IFERROR(__xludf.DUMMYFUNCTION("""COMPUTED_VALUE"""),"المعملجي")</f>
        <v>المعملجي</v>
      </c>
      <c r="D610" s="33" t="str">
        <f ca="1">IFERROR(__xludf.DUMMYFUNCTION("""COMPUTED_VALUE"""),"سجاد تربية")</f>
        <v>سجاد تربية</v>
      </c>
      <c r="E610" s="23" t="str">
        <f ca="1">IFERROR(__xludf.DUMMYFUNCTION("""COMPUTED_VALUE"""),"قسم التربية والتعليم العالي")</f>
        <v>قسم التربية والتعليم العالي</v>
      </c>
      <c r="F610" s="23" t="str">
        <f ca="1">IFERROR(__xludf.DUMMYFUNCTION("""COMPUTED_VALUE"""),"I- ابتدائية الساقي للبنين (السادسة), J- ابتدائية الساقي للبنين الجانب الثاني (السابعة)")</f>
        <v>I- ابتدائية الساقي للبنين (السادسة), J- ابتدائية الساقي للبنين الجانب الثاني (السابعة)</v>
      </c>
      <c r="G610" s="23" t="str">
        <f ca="1">IFERROR(__xludf.DUMMYFUNCTION("""COMPUTED_VALUE"""),"/")</f>
        <v>/</v>
      </c>
      <c r="H610" s="23" t="str">
        <f ca="1">IFERROR(__xludf.DUMMYFUNCTION("""COMPUTED_VALUE"""),"لايوجد ماء ارو ")</f>
        <v xml:space="preserve">لايوجد ماء ارو </v>
      </c>
      <c r="I610" s="23"/>
      <c r="J610" s="23" t="s">
        <v>16</v>
      </c>
      <c r="K610" s="23" t="s">
        <v>13</v>
      </c>
      <c r="L610" s="32"/>
      <c r="M610" s="23"/>
    </row>
    <row r="611" spans="1:13" ht="75" customHeight="1" thickTop="1" thickBot="1">
      <c r="A611" s="25">
        <v>609</v>
      </c>
      <c r="B611" s="32">
        <f ca="1">IFERROR(__xludf.DUMMYFUNCTION("""COMPUTED_VALUE"""),46127.3623418402)</f>
        <v>46127.362341840198</v>
      </c>
      <c r="C611" s="33" t="str">
        <f ca="1">IFERROR(__xludf.DUMMYFUNCTION("""COMPUTED_VALUE"""),"المعملجي")</f>
        <v>المعملجي</v>
      </c>
      <c r="D611" s="33" t="str">
        <f ca="1">IFERROR(__xludf.DUMMYFUNCTION("""COMPUTED_VALUE"""),"وحدة المدني")</f>
        <v>وحدة المدني</v>
      </c>
      <c r="E611" s="23" t="str">
        <f ca="1">IFERROR(__xludf.DUMMYFUNCTION("""COMPUTED_VALUE"""),"قسم المشاريع الهندسية")</f>
        <v>قسم المشاريع الهندسية</v>
      </c>
      <c r="F611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611" s="23" t="str">
        <f ca="1">IFERROR(__xludf.DUMMYFUNCTION("""COMPUTED_VALUE"""),"الطابق الارضي, الساحة ZONE B")</f>
        <v>الطابق الارضي, الساحة ZONE B</v>
      </c>
      <c r="H611" s="23" t="str">
        <f ca="1">IFERROR(__xludf.DUMMYFUNCTION("""COMPUTED_VALUE"""),"حفر ومعجنة بلك كهرباء ")</f>
        <v xml:space="preserve">حفر ومعجنة بلك كهرباء </v>
      </c>
      <c r="I611" s="23"/>
      <c r="J611" s="23" t="s">
        <v>16</v>
      </c>
      <c r="K611" s="23" t="s">
        <v>13</v>
      </c>
      <c r="L611" s="32"/>
      <c r="M611" s="23"/>
    </row>
    <row r="612" spans="1:13" ht="75" customHeight="1" thickTop="1" thickBot="1">
      <c r="A612" s="23">
        <v>610</v>
      </c>
      <c r="B612" s="32">
        <f ca="1">IFERROR(__xludf.DUMMYFUNCTION("""COMPUTED_VALUE"""),46127.3631312731)</f>
        <v>46127.363131273101</v>
      </c>
      <c r="C612" s="33" t="str">
        <f ca="1">IFERROR(__xludf.DUMMYFUNCTION("""COMPUTED_VALUE"""),"المعملجي")</f>
        <v>المعملجي</v>
      </c>
      <c r="D612" s="33" t="str">
        <f ca="1">IFERROR(__xludf.DUMMYFUNCTION("""COMPUTED_VALUE"""),"وحدة المدني")</f>
        <v>وحدة المدني</v>
      </c>
      <c r="E612" s="23" t="str">
        <f ca="1">IFERROR(__xludf.DUMMYFUNCTION("""COMPUTED_VALUE"""),"قسم المشاريع الهندسية")</f>
        <v>قسم المشاريع الهندسية</v>
      </c>
      <c r="F612" s="23" t="str">
        <f ca="1">IFERROR(__xludf.DUMMYFUNCTION("""COMPUTED_VALUE"""),"F-  ابتدائية جود العميد للبنات (الرابعة)")</f>
        <v>F-  ابتدائية جود العميد للبنات (الرابعة)</v>
      </c>
      <c r="G612" s="23" t="str">
        <f ca="1">IFERROR(__xludf.DUMMYFUNCTION("""COMPUTED_VALUE"""),"الطابق الارضي")</f>
        <v>الطابق الارضي</v>
      </c>
      <c r="H612" s="23" t="str">
        <f ca="1">IFERROR(__xludf.DUMMYFUNCTION("""COMPUTED_VALUE"""),"صيانة خشبة مصدر حائط")</f>
        <v>صيانة خشبة مصدر حائط</v>
      </c>
      <c r="I612" s="23"/>
      <c r="J612" s="23" t="s">
        <v>16</v>
      </c>
      <c r="K612" s="23" t="s">
        <v>13</v>
      </c>
      <c r="L612" s="32"/>
      <c r="M612" s="23"/>
    </row>
    <row r="613" spans="1:13" ht="75" customHeight="1" thickTop="1" thickBot="1">
      <c r="A613" s="25">
        <v>611</v>
      </c>
      <c r="B613" s="32">
        <f ca="1">IFERROR(__xludf.DUMMYFUNCTION("""COMPUTED_VALUE"""),46127.3640122569)</f>
        <v>46127.364012256898</v>
      </c>
      <c r="C613" s="33" t="str">
        <f ca="1">IFERROR(__xludf.DUMMYFUNCTION("""COMPUTED_VALUE"""),"المعملجي")</f>
        <v>المعملجي</v>
      </c>
      <c r="D613" s="33" t="str">
        <f ca="1">IFERROR(__xludf.DUMMYFUNCTION("""COMPUTED_VALUE"""),"وحدة المدني")</f>
        <v>وحدة المدني</v>
      </c>
      <c r="E613" s="23" t="str">
        <f ca="1">IFERROR(__xludf.DUMMYFUNCTION("""COMPUTED_VALUE"""),"قسم المشاريع الهندسية")</f>
        <v>قسم المشاريع الهندسية</v>
      </c>
      <c r="F613" s="23" t="str">
        <f ca="1">IFERROR(__xludf.DUMMYFUNCTION("""COMPUTED_VALUE"""),"F-  ابتدائية جود العميد للبنات (الرابعة)")</f>
        <v>F-  ابتدائية جود العميد للبنات (الرابعة)</v>
      </c>
      <c r="G613" s="23" t="str">
        <f ca="1">IFERROR(__xludf.DUMMYFUNCTION("""COMPUTED_VALUE"""),"الطابق الاول, الساحة ZONE B")</f>
        <v>الطابق الاول, الساحة ZONE B</v>
      </c>
      <c r="H613" s="23" t="str">
        <f ca="1">IFERROR(__xludf.DUMMYFUNCTION("""COMPUTED_VALUE"""),"تبديل لبة باب المنيوم ")</f>
        <v xml:space="preserve">تبديل لبة باب المنيوم </v>
      </c>
      <c r="I613" s="23"/>
      <c r="J613" s="23" t="s">
        <v>16</v>
      </c>
      <c r="K613" s="23" t="s">
        <v>13</v>
      </c>
      <c r="L613" s="32"/>
      <c r="M613" s="23"/>
    </row>
    <row r="614" spans="1:13" ht="75" customHeight="1" thickTop="1" thickBot="1">
      <c r="A614" s="23">
        <v>612</v>
      </c>
      <c r="B614" s="32">
        <f ca="1">IFERROR(__xludf.DUMMYFUNCTION("""COMPUTED_VALUE"""),46127.4271587847)</f>
        <v>46127.427158784703</v>
      </c>
      <c r="C614" s="33" t="str">
        <f ca="1">IFERROR(__xludf.DUMMYFUNCTION("""COMPUTED_VALUE"""),"المعملجي")</f>
        <v>المعملجي</v>
      </c>
      <c r="D614" s="33" t="str">
        <f ca="1">IFERROR(__xludf.DUMMYFUNCTION("""COMPUTED_VALUE"""),"وحدة المدني")</f>
        <v>وحدة المدني</v>
      </c>
      <c r="E614" s="23" t="str">
        <f ca="1">IFERROR(__xludf.DUMMYFUNCTION("""COMPUTED_VALUE"""),"قسم المشاريع الهندسية")</f>
        <v>قسم المشاريع الهندسية</v>
      </c>
      <c r="F614" s="23" t="str">
        <f ca="1">IFERROR(__xludf.DUMMYFUNCTION("""COMPUTED_VALUE"""),"F-  ابتدائية جود العميد للبنات (الرابعة)")</f>
        <v>F-  ابتدائية جود العميد للبنات (الرابعة)</v>
      </c>
      <c r="G614" s="23" t="str">
        <f ca="1">IFERROR(__xludf.DUMMYFUNCTION("""COMPUTED_VALUE"""),"الطابق الارضي")</f>
        <v>الطابق الارضي</v>
      </c>
      <c r="H614" s="23" t="str">
        <f ca="1">IFERROR(__xludf.DUMMYFUNCTION("""COMPUTED_VALUE"""),"تبديل يدة شباك حديد عدد 2 ")</f>
        <v xml:space="preserve">تبديل يدة شباك حديد عدد 2 </v>
      </c>
      <c r="I614" s="23"/>
      <c r="J614" s="23" t="s">
        <v>16</v>
      </c>
      <c r="K614" s="23" t="s">
        <v>13</v>
      </c>
      <c r="L614" s="32">
        <v>46127.427247627318</v>
      </c>
      <c r="M614" s="23"/>
    </row>
    <row r="615" spans="1:13" ht="75" customHeight="1" thickTop="1" thickBot="1">
      <c r="A615" s="25">
        <v>613</v>
      </c>
      <c r="B615" s="32">
        <f ca="1">IFERROR(__xludf.DUMMYFUNCTION("""COMPUTED_VALUE"""),46127.4277242939)</f>
        <v>46127.427724293899</v>
      </c>
      <c r="C615" s="33" t="str">
        <f ca="1">IFERROR(__xludf.DUMMYFUNCTION("""COMPUTED_VALUE"""),"المعملجي")</f>
        <v>المعملجي</v>
      </c>
      <c r="D615" s="33" t="str">
        <f ca="1">IFERROR(__xludf.DUMMYFUNCTION("""COMPUTED_VALUE"""),"وحدة المدني")</f>
        <v>وحدة المدني</v>
      </c>
      <c r="E615" s="23" t="str">
        <f ca="1">IFERROR(__xludf.DUMMYFUNCTION("""COMPUTED_VALUE"""),"قسم المشاريع الهندسية")</f>
        <v>قسم المشاريع الهندسية</v>
      </c>
      <c r="F615" s="23" t="str">
        <f ca="1">IFERROR(__xludf.DUMMYFUNCTION("""COMPUTED_VALUE"""),"F-  ابتدائية جود العميد للبنات (الرابعة)")</f>
        <v>F-  ابتدائية جود العميد للبنات (الرابعة)</v>
      </c>
      <c r="G615" s="23" t="str">
        <f ca="1">IFERROR(__xludf.DUMMYFUNCTION("""COMPUTED_VALUE"""),"الطابق الاول")</f>
        <v>الطابق الاول</v>
      </c>
      <c r="H615" s="23" t="str">
        <f ca="1">IFERROR(__xludf.DUMMYFUNCTION("""COMPUTED_VALUE"""),"تبديل يدة شباك حديد عدد 2 ")</f>
        <v xml:space="preserve">تبديل يدة شباك حديد عدد 2 </v>
      </c>
      <c r="I615" s="23"/>
      <c r="J615" s="23" t="s">
        <v>16</v>
      </c>
      <c r="K615" s="23" t="s">
        <v>13</v>
      </c>
      <c r="L615" s="32">
        <v>46127.427845706014</v>
      </c>
      <c r="M615" s="23"/>
    </row>
    <row r="616" spans="1:13" ht="75" customHeight="1" thickTop="1" thickBot="1">
      <c r="A616" s="23">
        <v>614</v>
      </c>
      <c r="B616" s="32">
        <f ca="1">IFERROR(__xludf.DUMMYFUNCTION("""COMPUTED_VALUE"""),46127.4283460416)</f>
        <v>46127.428346041597</v>
      </c>
      <c r="C616" s="33" t="str">
        <f ca="1">IFERROR(__xludf.DUMMYFUNCTION("""COMPUTED_VALUE"""),"المعملجي")</f>
        <v>المعملجي</v>
      </c>
      <c r="D616" s="33" t="str">
        <f ca="1">IFERROR(__xludf.DUMMYFUNCTION("""COMPUTED_VALUE"""),"وحدة المدني")</f>
        <v>وحدة المدني</v>
      </c>
      <c r="E616" s="23" t="str">
        <f ca="1">IFERROR(__xludf.DUMMYFUNCTION("""COMPUTED_VALUE"""),"قسم المشاريع الهندسية")</f>
        <v>قسم المشاريع الهندسية</v>
      </c>
      <c r="F616" s="23" t="str">
        <f ca="1">IFERROR(__xludf.DUMMYFUNCTION("""COMPUTED_VALUE"""),"F-  ابتدائية جود العميد للبنات (الرابعة)")</f>
        <v>F-  ابتدائية جود العميد للبنات (الرابعة)</v>
      </c>
      <c r="G616" s="23" t="str">
        <f ca="1">IFERROR(__xludf.DUMMYFUNCTION("""COMPUTED_VALUE"""),"الطابق الثاني")</f>
        <v>الطابق الثاني</v>
      </c>
      <c r="H616" s="23" t="str">
        <f ca="1">IFERROR(__xludf.DUMMYFUNCTION("""COMPUTED_VALUE"""),"صيانة باب المنيوم ")</f>
        <v xml:space="preserve">صيانة باب المنيوم </v>
      </c>
      <c r="I616" s="23"/>
      <c r="J616" s="23" t="s">
        <v>16</v>
      </c>
      <c r="K616" s="23" t="s">
        <v>13</v>
      </c>
      <c r="L616" s="32">
        <v>46127.428450787032</v>
      </c>
      <c r="M616" s="23"/>
    </row>
    <row r="617" spans="1:13" ht="75" customHeight="1" thickTop="1" thickBot="1">
      <c r="A617" s="25">
        <v>615</v>
      </c>
      <c r="B617" s="32">
        <f ca="1">IFERROR(__xludf.DUMMYFUNCTION("""COMPUTED_VALUE"""),46127.4288547569)</f>
        <v>46127.428854756901</v>
      </c>
      <c r="C617" s="33" t="str">
        <f ca="1">IFERROR(__xludf.DUMMYFUNCTION("""COMPUTED_VALUE"""),"المعملجي")</f>
        <v>المعملجي</v>
      </c>
      <c r="D617" s="33" t="str">
        <f ca="1">IFERROR(__xludf.DUMMYFUNCTION("""COMPUTED_VALUE"""),"وحدة المدني")</f>
        <v>وحدة المدني</v>
      </c>
      <c r="E617" s="23" t="str">
        <f ca="1">IFERROR(__xludf.DUMMYFUNCTION("""COMPUTED_VALUE"""),"قسم المشاريع الهندسية")</f>
        <v>قسم المشاريع الهندسية</v>
      </c>
      <c r="F617" s="23" t="str">
        <f ca="1">IFERROR(__xludf.DUMMYFUNCTION("""COMPUTED_VALUE"""),"E- ابتدائية العميد للبنات (الثالثة)")</f>
        <v>E- ابتدائية العميد للبنات (الثالثة)</v>
      </c>
      <c r="G617" s="23" t="str">
        <f ca="1">IFERROR(__xludf.DUMMYFUNCTION("""COMPUTED_VALUE"""),"الطابق الاول")</f>
        <v>الطابق الاول</v>
      </c>
      <c r="H617" s="23" t="str">
        <f ca="1">IFERROR(__xludf.DUMMYFUNCTION("""COMPUTED_VALUE"""),"تبديل يدة شباك عدد 2 ")</f>
        <v xml:space="preserve">تبديل يدة شباك عدد 2 </v>
      </c>
      <c r="I617" s="23"/>
      <c r="J617" s="23" t="s">
        <v>16</v>
      </c>
      <c r="K617" s="23" t="s">
        <v>13</v>
      </c>
      <c r="L617" s="32">
        <v>46127.428950844907</v>
      </c>
      <c r="M617" s="23"/>
    </row>
    <row r="618" spans="1:13" ht="75" customHeight="1" thickTop="1" thickBot="1">
      <c r="A618" s="23">
        <v>616</v>
      </c>
      <c r="B618" s="32">
        <f ca="1">IFERROR(__xludf.DUMMYFUNCTION("""COMPUTED_VALUE"""),46127.4292311574)</f>
        <v>46127.429231157403</v>
      </c>
      <c r="C618" s="33" t="str">
        <f ca="1">IFERROR(__xludf.DUMMYFUNCTION("""COMPUTED_VALUE"""),"المعملجي")</f>
        <v>المعملجي</v>
      </c>
      <c r="D618" s="33" t="str">
        <f ca="1">IFERROR(__xludf.DUMMYFUNCTION("""COMPUTED_VALUE"""),"وحدة المدني")</f>
        <v>وحدة المدني</v>
      </c>
      <c r="E618" s="23" t="str">
        <f ca="1">IFERROR(__xludf.DUMMYFUNCTION("""COMPUTED_VALUE"""),"قسم المشاريع الهندسية")</f>
        <v>قسم المشاريع الهندسية</v>
      </c>
      <c r="F618" s="23" t="str">
        <f ca="1">IFERROR(__xludf.DUMMYFUNCTION("""COMPUTED_VALUE"""),"E- ابتدائية العميد للبنات (الثالثة)")</f>
        <v>E- ابتدائية العميد للبنات (الثالثة)</v>
      </c>
      <c r="G618" s="23" t="str">
        <f ca="1">IFERROR(__xludf.DUMMYFUNCTION("""COMPUTED_VALUE"""),"الطابق الارضي")</f>
        <v>الطابق الارضي</v>
      </c>
      <c r="H618" s="23" t="str">
        <f ca="1">IFERROR(__xludf.DUMMYFUNCTION("""COMPUTED_VALUE"""),"تبديل يدة شباك ")</f>
        <v xml:space="preserve">تبديل يدة شباك </v>
      </c>
      <c r="I618" s="23"/>
      <c r="J618" s="23" t="s">
        <v>16</v>
      </c>
      <c r="K618" s="23" t="s">
        <v>13</v>
      </c>
      <c r="L618" s="32">
        <v>46127.429309699073</v>
      </c>
      <c r="M618" s="23"/>
    </row>
    <row r="619" spans="1:13" ht="75" customHeight="1" thickTop="1" thickBot="1">
      <c r="A619" s="25">
        <v>617</v>
      </c>
      <c r="B619" s="32">
        <f ca="1">IFERROR(__xludf.DUMMYFUNCTION("""COMPUTED_VALUE"""),46127.4297678588)</f>
        <v>46127.429767858797</v>
      </c>
      <c r="C619" s="33" t="str">
        <f ca="1">IFERROR(__xludf.DUMMYFUNCTION("""COMPUTED_VALUE"""),"المعملجي")</f>
        <v>المعملجي</v>
      </c>
      <c r="D619" s="33" t="str">
        <f ca="1">IFERROR(__xludf.DUMMYFUNCTION("""COMPUTED_VALUE"""),"وحدة المدني")</f>
        <v>وحدة المدني</v>
      </c>
      <c r="E619" s="23" t="str">
        <f ca="1">IFERROR(__xludf.DUMMYFUNCTION("""COMPUTED_VALUE"""),"قسم المشاريع الهندسية")</f>
        <v>قسم المشاريع الهندسية</v>
      </c>
      <c r="F61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19" s="23" t="str">
        <f ca="1">IFERROR(__xludf.DUMMYFUNCTION("""COMPUTED_VALUE"""),"الطابق الاول, الطابق الثاني")</f>
        <v>الطابق الاول, الطابق الثاني</v>
      </c>
      <c r="H619" s="23" t="str">
        <f ca="1">IFERROR(__xludf.DUMMYFUNCTION("""COMPUTED_VALUE"""),"استرجاع سقوف ثانوية عدد ١٠")</f>
        <v>استرجاع سقوف ثانوية عدد ١٠</v>
      </c>
      <c r="I619" s="23"/>
      <c r="J619" s="23" t="s">
        <v>16</v>
      </c>
      <c r="K619" s="23" t="s">
        <v>13</v>
      </c>
      <c r="L619" s="32">
        <v>46127.429852604168</v>
      </c>
      <c r="M619" s="23"/>
    </row>
    <row r="620" spans="1:13" ht="75" customHeight="1" thickTop="1" thickBot="1">
      <c r="A620" s="23">
        <v>618</v>
      </c>
      <c r="B620" s="32">
        <f ca="1">IFERROR(__xludf.DUMMYFUNCTION("""COMPUTED_VALUE"""),46128.4945998379)</f>
        <v>46128.494599837897</v>
      </c>
      <c r="C620" s="33" t="str">
        <f ca="1">IFERROR(__xludf.DUMMYFUNCTION("""COMPUTED_VALUE"""),"المعملجي")</f>
        <v>المعملجي</v>
      </c>
      <c r="D620" s="33" t="str">
        <f ca="1">IFERROR(__xludf.DUMMYFUNCTION("""COMPUTED_VALUE"""),"سجاد تربية")</f>
        <v>سجاد تربية</v>
      </c>
      <c r="E620" s="23" t="str">
        <f ca="1">IFERROR(__xludf.DUMMYFUNCTION("""COMPUTED_VALUE"""),"قسم التربية والتعليم العالي")</f>
        <v>قسم التربية والتعليم العالي</v>
      </c>
      <c r="F620" s="23" t="str">
        <f ca="1">IFERROR(__xludf.DUMMYFUNCTION("""COMPUTED_VALUE"""),"قاعة رياضية ")</f>
        <v xml:space="preserve">قاعة رياضية </v>
      </c>
      <c r="G620" s="23" t="str">
        <f ca="1">IFERROR(__xludf.DUMMYFUNCTION("""COMPUTED_VALUE"""),"مقابيل المالية ")</f>
        <v xml:space="preserve">مقابيل المالية </v>
      </c>
      <c r="H620" s="23" t="str">
        <f ca="1">IFERROR(__xludf.DUMMYFUNCTION("""COMPUTED_VALUE"""),"صيانة باب القاعة لاتقفل ")</f>
        <v xml:space="preserve">صيانة باب القاعة لاتقفل </v>
      </c>
      <c r="I620" s="23"/>
      <c r="J620" s="23" t="s">
        <v>16</v>
      </c>
      <c r="K620" s="23" t="s">
        <v>13</v>
      </c>
      <c r="L620" s="32">
        <v>46130.573663587958</v>
      </c>
      <c r="M620" s="23"/>
    </row>
    <row r="621" spans="1:13" ht="75" customHeight="1" thickTop="1" thickBot="1">
      <c r="A621" s="25">
        <v>619</v>
      </c>
      <c r="B621" s="32">
        <f ca="1">IFERROR(__xludf.DUMMYFUNCTION("""COMPUTED_VALUE"""),46131.3471802199)</f>
        <v>46131.347180219898</v>
      </c>
      <c r="C621" s="33" t="str">
        <f ca="1">IFERROR(__xludf.DUMMYFUNCTION("""COMPUTED_VALUE"""),"المعملجي")</f>
        <v>المعملجي</v>
      </c>
      <c r="D621" s="33" t="str">
        <f ca="1">IFERROR(__xludf.DUMMYFUNCTION("""COMPUTED_VALUE"""),"وحدة المدني")</f>
        <v>وحدة المدني</v>
      </c>
      <c r="E621" s="23" t="str">
        <f ca="1">IFERROR(__xludf.DUMMYFUNCTION("""COMPUTED_VALUE"""),"قسم المشاريع الهندسية")</f>
        <v>قسم المشاريع الهندسية</v>
      </c>
      <c r="F621" s="23" t="str">
        <f ca="1">IFERROR(__xludf.DUMMYFUNCTION("""COMPUTED_VALUE"""),"F-  ابتدائية جود العميد للبنات (الرابعة)")</f>
        <v>F-  ابتدائية جود العميد للبنات (الرابعة)</v>
      </c>
      <c r="G621" s="23" t="str">
        <f ca="1">IFERROR(__xludf.DUMMYFUNCTION("""COMPUTED_VALUE"""),"الطابق الاول, ZONE B")</f>
        <v>الطابق الاول, ZONE B</v>
      </c>
      <c r="H621" s="23" t="str">
        <f ca="1">IFERROR(__xludf.DUMMYFUNCTION("""COMPUTED_VALUE"""),"صيانة تور شباك صف الثالث ب")</f>
        <v>صيانة تور شباك صف الثالث ب</v>
      </c>
      <c r="I621" s="23"/>
      <c r="J621" s="23" t="s">
        <v>16</v>
      </c>
      <c r="K621" s="23" t="s">
        <v>13</v>
      </c>
      <c r="L621" s="32"/>
      <c r="M621" s="23"/>
    </row>
    <row r="622" spans="1:13" ht="75" customHeight="1" thickTop="1" thickBot="1">
      <c r="A622" s="23">
        <v>620</v>
      </c>
      <c r="B622" s="32">
        <f ca="1">IFERROR(__xludf.DUMMYFUNCTION("""COMPUTED_VALUE"""),46131.3479891898)</f>
        <v>46131.347989189802</v>
      </c>
      <c r="C622" s="33" t="str">
        <f ca="1">IFERROR(__xludf.DUMMYFUNCTION("""COMPUTED_VALUE"""),"المعملجي")</f>
        <v>المعملجي</v>
      </c>
      <c r="D622" s="33" t="str">
        <f ca="1">IFERROR(__xludf.DUMMYFUNCTION("""COMPUTED_VALUE"""),"وحدة المدني")</f>
        <v>وحدة المدني</v>
      </c>
      <c r="E622" s="23" t="str">
        <f ca="1">IFERROR(__xludf.DUMMYFUNCTION("""COMPUTED_VALUE"""),"قسم المشاريع الهندسية")</f>
        <v>قسم المشاريع الهندسية</v>
      </c>
      <c r="F622" s="23" t="str">
        <f ca="1">IFERROR(__xludf.DUMMYFUNCTION("""COMPUTED_VALUE"""),"F-  ابتدائية جود العميد للبنات (الرابعة)")</f>
        <v>F-  ابتدائية جود العميد للبنات (الرابعة)</v>
      </c>
      <c r="G622" s="23" t="str">
        <f ca="1">IFERROR(__xludf.DUMMYFUNCTION("""COMPUTED_VALUE"""),"الطابق الثاني, ZONE B")</f>
        <v>الطابق الثاني, ZONE B</v>
      </c>
      <c r="H622" s="23" t="str">
        <f ca="1">IFERROR(__xludf.DUMMYFUNCTION("""COMPUTED_VALUE"""),"ارجاع سقوف ثانوية عدد ٩")</f>
        <v>ارجاع سقوف ثانوية عدد ٩</v>
      </c>
      <c r="I622" s="23"/>
      <c r="J622" s="23" t="s">
        <v>16</v>
      </c>
      <c r="K622" s="23" t="s">
        <v>13</v>
      </c>
      <c r="L622" s="32"/>
      <c r="M622" s="23"/>
    </row>
    <row r="623" spans="1:13" ht="75" customHeight="1" thickTop="1" thickBot="1">
      <c r="A623" s="25">
        <v>621</v>
      </c>
      <c r="B623" s="32">
        <f ca="1">IFERROR(__xludf.DUMMYFUNCTION("""COMPUTED_VALUE"""),46131.4104111342)</f>
        <v>46131.410411134202</v>
      </c>
      <c r="C623" s="33" t="str">
        <f ca="1">IFERROR(__xludf.DUMMYFUNCTION("""COMPUTED_VALUE"""),"المعملجي")</f>
        <v>المعملجي</v>
      </c>
      <c r="D623" s="33" t="str">
        <f ca="1">IFERROR(__xludf.DUMMYFUNCTION("""COMPUTED_VALUE"""),"سجاد تربية")</f>
        <v>سجاد تربية</v>
      </c>
      <c r="E623" s="23" t="str">
        <f ca="1">IFERROR(__xludf.DUMMYFUNCTION("""COMPUTED_VALUE"""),"قسم التربية والتعليم العالي")</f>
        <v>قسم التربية والتعليم العالي</v>
      </c>
      <c r="F623" s="23" t="str">
        <f ca="1">IFERROR(__xludf.DUMMYFUNCTION("""COMPUTED_VALUE"""),"G- روضة الجود")</f>
        <v>G- روضة الجود</v>
      </c>
      <c r="G623" s="23" t="str">
        <f ca="1">IFERROR(__xludf.DUMMYFUNCTION("""COMPUTED_VALUE"""),"غرفة الارشاد ")</f>
        <v xml:space="preserve">غرفة الارشاد </v>
      </c>
      <c r="H623" s="23" t="str">
        <f ca="1">IFERROR(__xludf.DUMMYFUNCTION("""COMPUTED_VALUE"""),"تعليق صيدلية ")</f>
        <v xml:space="preserve">تعليق صيدلية </v>
      </c>
      <c r="I623" s="23"/>
      <c r="J623" s="23" t="s">
        <v>16</v>
      </c>
      <c r="K623" s="23" t="s">
        <v>13</v>
      </c>
      <c r="L623" s="32">
        <v>46131.455764629631</v>
      </c>
      <c r="M623" s="23"/>
    </row>
    <row r="624" spans="1:13" ht="75" customHeight="1" thickTop="1" thickBot="1">
      <c r="A624" s="23">
        <v>622</v>
      </c>
      <c r="B624" s="32">
        <f ca="1">IFERROR(__xludf.DUMMYFUNCTION("""COMPUTED_VALUE"""),46131.4111038657)</f>
        <v>46131.411103865699</v>
      </c>
      <c r="C624" s="33" t="str">
        <f ca="1">IFERROR(__xludf.DUMMYFUNCTION("""COMPUTED_VALUE"""),"المعملجي")</f>
        <v>المعملجي</v>
      </c>
      <c r="D624" s="33" t="str">
        <f ca="1">IFERROR(__xludf.DUMMYFUNCTION("""COMPUTED_VALUE"""),"سجاد تربية")</f>
        <v>سجاد تربية</v>
      </c>
      <c r="E624" s="23" t="str">
        <f ca="1">IFERROR(__xludf.DUMMYFUNCTION("""COMPUTED_VALUE"""),"قسم التربية والتعليم العالي")</f>
        <v>قسم التربية والتعليم العالي</v>
      </c>
      <c r="F624" s="23" t="str">
        <f ca="1">IFERROR(__xludf.DUMMYFUNCTION("""COMPUTED_VALUE"""),"G- روضة الجود")</f>
        <v>G- روضة الجود</v>
      </c>
      <c r="G624" s="23" t="str">
        <f ca="1">IFERROR(__xludf.DUMMYFUNCTION("""COMPUTED_VALUE"""),"صف الزهور ")</f>
        <v xml:space="preserve">صف الزهور </v>
      </c>
      <c r="H624" s="23" t="str">
        <f ca="1">IFERROR(__xludf.DUMMYFUNCTION("""COMPUTED_VALUE"""),"يدة شباك + رجل ميز ")</f>
        <v xml:space="preserve">يدة شباك + رجل ميز </v>
      </c>
      <c r="I624" s="23"/>
      <c r="J624" s="23" t="s">
        <v>16</v>
      </c>
      <c r="K624" s="23" t="s">
        <v>13</v>
      </c>
      <c r="L624" s="32">
        <v>46131.455814849542</v>
      </c>
      <c r="M624" s="23"/>
    </row>
    <row r="625" spans="1:13" ht="75" customHeight="1" thickTop="1" thickBot="1">
      <c r="A625" s="25">
        <v>623</v>
      </c>
      <c r="B625" s="32">
        <f ca="1">IFERROR(__xludf.DUMMYFUNCTION("""COMPUTED_VALUE"""),46131.4120671875)</f>
        <v>46131.412067187499</v>
      </c>
      <c r="C625" s="33" t="str">
        <f ca="1">IFERROR(__xludf.DUMMYFUNCTION("""COMPUTED_VALUE"""),"المعملجي")</f>
        <v>المعملجي</v>
      </c>
      <c r="D625" s="33" t="str">
        <f ca="1">IFERROR(__xludf.DUMMYFUNCTION("""COMPUTED_VALUE"""),"سجاد تربية")</f>
        <v>سجاد تربية</v>
      </c>
      <c r="E625" s="23" t="str">
        <f ca="1">IFERROR(__xludf.DUMMYFUNCTION("""COMPUTED_VALUE"""),"قسم التربية والتعليم العالي")</f>
        <v>قسم التربية والتعليم العالي</v>
      </c>
      <c r="F625" s="23" t="str">
        <f ca="1">IFERROR(__xludf.DUMMYFUNCTION("""COMPUTED_VALUE"""),"B- روضة القمر")</f>
        <v>B- روضة القمر</v>
      </c>
      <c r="G625" s="23" t="str">
        <f ca="1">IFERROR(__xludf.DUMMYFUNCTION("""COMPUTED_VALUE"""),"صف المرجان ")</f>
        <v xml:space="preserve">صف المرجان </v>
      </c>
      <c r="H625" s="23" t="str">
        <f ca="1">IFERROR(__xludf.DUMMYFUNCTION("""COMPUTED_VALUE"""),"صيانة يدة شباك ")</f>
        <v xml:space="preserve">صيانة يدة شباك </v>
      </c>
      <c r="I625" s="23"/>
      <c r="J625" s="23" t="s">
        <v>16</v>
      </c>
      <c r="K625" s="23" t="s">
        <v>13</v>
      </c>
      <c r="L625" s="32">
        <v>46131.455902372691</v>
      </c>
      <c r="M625" s="23"/>
    </row>
    <row r="626" spans="1:13" ht="75" customHeight="1" thickTop="1" thickBot="1">
      <c r="A626" s="23">
        <v>624</v>
      </c>
      <c r="B626" s="32">
        <f ca="1">IFERROR(__xludf.DUMMYFUNCTION("""COMPUTED_VALUE"""),46131.4570841898)</f>
        <v>46131.457084189802</v>
      </c>
      <c r="C626" s="33" t="str">
        <f ca="1">IFERROR(__xludf.DUMMYFUNCTION("""COMPUTED_VALUE"""),"المعملجي")</f>
        <v>المعملجي</v>
      </c>
      <c r="D626" s="33" t="str">
        <f ca="1">IFERROR(__xludf.DUMMYFUNCTION("""COMPUTED_VALUE"""),"وحدة المدني")</f>
        <v>وحدة المدني</v>
      </c>
      <c r="E626" s="23" t="str">
        <f ca="1">IFERROR(__xludf.DUMMYFUNCTION("""COMPUTED_VALUE"""),"قسم المشاريع الهندسية")</f>
        <v>قسم المشاريع الهندسية</v>
      </c>
      <c r="F626" s="23" t="str">
        <f ca="1">IFERROR(__xludf.DUMMYFUNCTION("""COMPUTED_VALUE"""),"G- روضة الجود")</f>
        <v>G- روضة الجود</v>
      </c>
      <c r="G626" s="23" t="str">
        <f ca="1">IFERROR(__xludf.DUMMYFUNCTION("""COMPUTED_VALUE"""),"الطابق الارضي")</f>
        <v>الطابق الارضي</v>
      </c>
      <c r="H626" s="23" t="str">
        <f ca="1">IFERROR(__xludf.DUMMYFUNCTION("""COMPUTED_VALUE"""),"تعليك شمعة ملابس")</f>
        <v>تعليك شمعة ملابس</v>
      </c>
      <c r="I626" s="23"/>
      <c r="J626" s="23" t="s">
        <v>16</v>
      </c>
      <c r="K626" s="23" t="s">
        <v>13</v>
      </c>
      <c r="L626" s="32"/>
      <c r="M626" s="23"/>
    </row>
    <row r="627" spans="1:13" ht="75" customHeight="1" thickTop="1" thickBot="1">
      <c r="A627" s="25">
        <v>625</v>
      </c>
      <c r="B627" s="32">
        <f ca="1">IFERROR(__xludf.DUMMYFUNCTION("""COMPUTED_VALUE"""),46131.4573784143)</f>
        <v>46131.457378414299</v>
      </c>
      <c r="C627" s="33" t="str">
        <f ca="1">IFERROR(__xludf.DUMMYFUNCTION("""COMPUTED_VALUE"""),"المعملجي")</f>
        <v>المعملجي</v>
      </c>
      <c r="D627" s="33" t="str">
        <f ca="1">IFERROR(__xludf.DUMMYFUNCTION("""COMPUTED_VALUE"""),"وحدة المدني")</f>
        <v>وحدة المدني</v>
      </c>
      <c r="E627" s="23" t="str">
        <f ca="1">IFERROR(__xludf.DUMMYFUNCTION("""COMPUTED_VALUE"""),"قسم المشاريع الهندسية")</f>
        <v>قسم المشاريع الهندسية</v>
      </c>
      <c r="F627" s="23" t="str">
        <f ca="1">IFERROR(__xludf.DUMMYFUNCTION("""COMPUTED_VALUE"""),"G- روضة الجود")</f>
        <v>G- روضة الجود</v>
      </c>
      <c r="G627" s="23" t="str">
        <f ca="1">IFERROR(__xludf.DUMMYFUNCTION("""COMPUTED_VALUE"""),"الطابق الاول")</f>
        <v>الطابق الاول</v>
      </c>
      <c r="H627" s="23" t="str">
        <f ca="1">IFERROR(__xludf.DUMMYFUNCTION("""COMPUTED_VALUE"""),"صيانة باب خشب ")</f>
        <v xml:space="preserve">صيانة باب خشب </v>
      </c>
      <c r="I627" s="23"/>
      <c r="J627" s="23" t="s">
        <v>16</v>
      </c>
      <c r="K627" s="23" t="s">
        <v>13</v>
      </c>
      <c r="L627" s="32"/>
      <c r="M627" s="23"/>
    </row>
    <row r="628" spans="1:13" ht="75" customHeight="1" thickTop="1" thickBot="1">
      <c r="A628" s="23">
        <v>626</v>
      </c>
      <c r="B628" s="32">
        <f ca="1">IFERROR(__xludf.DUMMYFUNCTION("""COMPUTED_VALUE"""),46131.4579968287)</f>
        <v>46131.4579968287</v>
      </c>
      <c r="C628" s="33" t="str">
        <f ca="1">IFERROR(__xludf.DUMMYFUNCTION("""COMPUTED_VALUE"""),"المعملجي")</f>
        <v>المعملجي</v>
      </c>
      <c r="D628" s="33" t="str">
        <f ca="1">IFERROR(__xludf.DUMMYFUNCTION("""COMPUTED_VALUE"""),"وحدة المدني")</f>
        <v>وحدة المدني</v>
      </c>
      <c r="E628" s="23" t="str">
        <f ca="1">IFERROR(__xludf.DUMMYFUNCTION("""COMPUTED_VALUE"""),"قسم المشاريع الهندسية")</f>
        <v>قسم المشاريع الهندسية</v>
      </c>
      <c r="F628" s="23" t="str">
        <f ca="1">IFERROR(__xludf.DUMMYFUNCTION("""COMPUTED_VALUE"""),"G- روضة الجود")</f>
        <v>G- روضة الجود</v>
      </c>
      <c r="G628" s="23" t="str">
        <f ca="1">IFERROR(__xludf.DUMMYFUNCTION("""COMPUTED_VALUE"""),"الطابق الارضي")</f>
        <v>الطابق الارضي</v>
      </c>
      <c r="H628" s="23" t="str">
        <f ca="1">IFERROR(__xludf.DUMMYFUNCTION("""COMPUTED_VALUE"""),"صيانة ميز عدد ٣ صف الزهور")</f>
        <v>صيانة ميز عدد ٣ صف الزهور</v>
      </c>
      <c r="I628" s="23"/>
      <c r="J628" s="23" t="s">
        <v>16</v>
      </c>
      <c r="K628" s="23" t="s">
        <v>13</v>
      </c>
      <c r="L628" s="32"/>
      <c r="M628" s="23"/>
    </row>
    <row r="629" spans="1:13" ht="75" customHeight="1" thickTop="1" thickBot="1">
      <c r="A629" s="25">
        <v>627</v>
      </c>
      <c r="B629" s="32">
        <f ca="1">IFERROR(__xludf.DUMMYFUNCTION("""COMPUTED_VALUE"""),46131.4794299074)</f>
        <v>46131.479429907398</v>
      </c>
      <c r="C629" s="33" t="str">
        <f ca="1">IFERROR(__xludf.DUMMYFUNCTION("""COMPUTED_VALUE"""),"المعملجي")</f>
        <v>المعملجي</v>
      </c>
      <c r="D629" s="33" t="str">
        <f ca="1">IFERROR(__xludf.DUMMYFUNCTION("""COMPUTED_VALUE"""),"سجاد تربية")</f>
        <v>سجاد تربية</v>
      </c>
      <c r="E629" s="23" t="str">
        <f ca="1">IFERROR(__xludf.DUMMYFUNCTION("""COMPUTED_VALUE"""),"قسم التربية والتعليم العالي")</f>
        <v>قسم التربية والتعليم العالي</v>
      </c>
      <c r="F62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629" s="23" t="str">
        <f ca="1">IFERROR(__xludf.DUMMYFUNCTION("""COMPUTED_VALUE"""),"الطابق الارضي")</f>
        <v>الطابق الارضي</v>
      </c>
      <c r="H629" s="23" t="str">
        <f ca="1">IFERROR(__xludf.DUMMYFUNCTION("""COMPUTED_VALUE"""),"صيانة قاطع خشبي ")</f>
        <v xml:space="preserve">صيانة قاطع خشبي </v>
      </c>
      <c r="I629" s="23"/>
      <c r="J629" s="23" t="s">
        <v>16</v>
      </c>
      <c r="K629" s="23" t="s">
        <v>13</v>
      </c>
      <c r="L629" s="32"/>
      <c r="M629" s="23"/>
    </row>
    <row r="630" spans="1:13" ht="75" customHeight="1" thickTop="1" thickBot="1">
      <c r="A630" s="23">
        <v>628</v>
      </c>
      <c r="B630" s="32">
        <f ca="1">IFERROR(__xludf.DUMMYFUNCTION("""COMPUTED_VALUE"""),46131.4810318981)</f>
        <v>46131.481031898104</v>
      </c>
      <c r="C630" s="33" t="str">
        <f ca="1">IFERROR(__xludf.DUMMYFUNCTION("""COMPUTED_VALUE"""),"المعملجي")</f>
        <v>المعملجي</v>
      </c>
      <c r="D630" s="33" t="str">
        <f ca="1">IFERROR(__xludf.DUMMYFUNCTION("""COMPUTED_VALUE"""),"سجاد تربية")</f>
        <v>سجاد تربية</v>
      </c>
      <c r="E630" s="23" t="str">
        <f ca="1">IFERROR(__xludf.DUMMYFUNCTION("""COMPUTED_VALUE"""),"قسم التربية والتعليم العالي")</f>
        <v>قسم التربية والتعليم العالي</v>
      </c>
      <c r="F630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30" s="23" t="str">
        <f ca="1">IFERROR(__xludf.DUMMYFUNCTION("""COMPUTED_VALUE"""),"الصف الثالث أ + ب ")</f>
        <v xml:space="preserve">الصف الثالث أ + ب </v>
      </c>
      <c r="H630" s="23" t="str">
        <f ca="1">IFERROR(__xludf.DUMMYFUNCTION("""COMPUTED_VALUE"""),"صيانة يدات شبابيك ")</f>
        <v xml:space="preserve">صيانة يدات شبابيك </v>
      </c>
      <c r="I630" s="23"/>
      <c r="J630" s="23" t="s">
        <v>16</v>
      </c>
      <c r="K630" s="23" t="s">
        <v>13</v>
      </c>
      <c r="L630" s="32">
        <v>46131.543594131945</v>
      </c>
      <c r="M630" s="23"/>
    </row>
    <row r="631" spans="1:13" ht="75" customHeight="1" thickTop="1" thickBot="1">
      <c r="A631" s="25">
        <v>629</v>
      </c>
      <c r="B631" s="32">
        <f ca="1">IFERROR(__xludf.DUMMYFUNCTION("""COMPUTED_VALUE"""),46131.5053774537)</f>
        <v>46131.505377453701</v>
      </c>
      <c r="C631" s="33" t="str">
        <f ca="1">IFERROR(__xludf.DUMMYFUNCTION("""COMPUTED_VALUE"""),"المعملجي")</f>
        <v>المعملجي</v>
      </c>
      <c r="D631" s="33" t="str">
        <f ca="1">IFERROR(__xludf.DUMMYFUNCTION("""COMPUTED_VALUE"""),"سجاد تربية")</f>
        <v>سجاد تربية</v>
      </c>
      <c r="E631" s="23" t="str">
        <f ca="1">IFERROR(__xludf.DUMMYFUNCTION("""COMPUTED_VALUE"""),"قسم التربية والتعليم العالي")</f>
        <v>قسم التربية والتعليم العالي</v>
      </c>
      <c r="F631" s="23" t="str">
        <f ca="1">IFERROR(__xludf.DUMMYFUNCTION("""COMPUTED_VALUE"""),"E- ابتدائية العميد للبنات (الثالثة)")</f>
        <v>E- ابتدائية العميد للبنات (الثالثة)</v>
      </c>
      <c r="G631" s="23" t="str">
        <f ca="1">IFERROR(__xludf.DUMMYFUNCTION("""COMPUTED_VALUE"""),"المصلى ")</f>
        <v xml:space="preserve">المصلى </v>
      </c>
      <c r="H631" s="23" t="str">
        <f ca="1">IFERROR(__xludf.DUMMYFUNCTION("""COMPUTED_VALUE"""),"يرجى غلق السقوف الثانوية")</f>
        <v>يرجى غلق السقوف الثانوية</v>
      </c>
      <c r="I631" s="23"/>
      <c r="J631" s="23" t="s">
        <v>16</v>
      </c>
      <c r="K631" s="23" t="s">
        <v>13</v>
      </c>
      <c r="L631" s="32">
        <v>46132.558525694447</v>
      </c>
      <c r="M631" s="23"/>
    </row>
    <row r="632" spans="1:13" ht="75" customHeight="1" thickTop="1" thickBot="1">
      <c r="A632" s="23">
        <v>630</v>
      </c>
      <c r="B632" s="32">
        <f ca="1">IFERROR(__xludf.DUMMYFUNCTION("""COMPUTED_VALUE"""),46131.5259975)</f>
        <v>46131.525997500001</v>
      </c>
      <c r="C632" s="33" t="str">
        <f ca="1">IFERROR(__xludf.DUMMYFUNCTION("""COMPUTED_VALUE"""),"المعملجي")</f>
        <v>المعملجي</v>
      </c>
      <c r="D632" s="33" t="str">
        <f ca="1">IFERROR(__xludf.DUMMYFUNCTION("""COMPUTED_VALUE"""),"سجاد تربية")</f>
        <v>سجاد تربية</v>
      </c>
      <c r="E632" s="23" t="str">
        <f ca="1">IFERROR(__xludf.DUMMYFUNCTION("""COMPUTED_VALUE"""),"قسم التربية والتعليم العالي")</f>
        <v>قسم التربية والتعليم العالي</v>
      </c>
      <c r="F632" s="23" t="str">
        <f ca="1">IFERROR(__xludf.DUMMYFUNCTION("""COMPUTED_VALUE"""),"A- المركز الثقافي")</f>
        <v>A- المركز الثقافي</v>
      </c>
      <c r="G632" s="23" t="str">
        <f ca="1">IFERROR(__xludf.DUMMYFUNCTION("""COMPUTED_VALUE"""),"الطابق الثاني, المصلى ")</f>
        <v xml:space="preserve">الطابق الثاني, المصلى </v>
      </c>
      <c r="H632" s="23" t="str">
        <f ca="1">IFERROR(__xludf.DUMMYFUNCTION("""COMPUTED_VALUE"""),"صيانة سقف ثانوي تسريب ماء ")</f>
        <v xml:space="preserve">صيانة سقف ثانوي تسريب ماء </v>
      </c>
      <c r="I632" s="23"/>
      <c r="J632" s="23" t="s">
        <v>16</v>
      </c>
      <c r="K632" s="23" t="s">
        <v>13</v>
      </c>
      <c r="L632" s="32">
        <v>46151.359387881945</v>
      </c>
      <c r="M632" s="23"/>
    </row>
    <row r="633" spans="1:13" ht="75" customHeight="1" thickTop="1" thickBot="1">
      <c r="A633" s="25">
        <v>631</v>
      </c>
      <c r="B633" s="32">
        <f ca="1">IFERROR(__xludf.DUMMYFUNCTION("""COMPUTED_VALUE"""),46133.376328449)</f>
        <v>46133.376328448998</v>
      </c>
      <c r="C633" s="33" t="str">
        <f ca="1">IFERROR(__xludf.DUMMYFUNCTION("""COMPUTED_VALUE"""),"المعملجي")</f>
        <v>المعملجي</v>
      </c>
      <c r="D633" s="33" t="str">
        <f ca="1">IFERROR(__xludf.DUMMYFUNCTION("""COMPUTED_VALUE"""),"سجاد تربية")</f>
        <v>سجاد تربية</v>
      </c>
      <c r="E633" s="23" t="str">
        <f ca="1">IFERROR(__xludf.DUMMYFUNCTION("""COMPUTED_VALUE"""),"قسم التربية والتعليم العالي")</f>
        <v>قسم التربية والتعليم العالي</v>
      </c>
      <c r="F633" s="23" t="str">
        <f ca="1">IFERROR(__xludf.DUMMYFUNCTION("""COMPUTED_VALUE"""),"A- المركز الثقافي, رئاسة القسم")</f>
        <v>A- المركز الثقافي, رئاسة القسم</v>
      </c>
      <c r="G633" s="23" t="str">
        <f ca="1">IFERROR(__xludf.DUMMYFUNCTION("""COMPUTED_VALUE"""),"الطابق الارضي")</f>
        <v>الطابق الارضي</v>
      </c>
      <c r="H633" s="23" t="str">
        <f ca="1">IFERROR(__xludf.DUMMYFUNCTION("""COMPUTED_VALUE"""),"شد قاعدة صابون")</f>
        <v>شد قاعدة صابون</v>
      </c>
      <c r="I633" s="23"/>
      <c r="J633" s="23" t="s">
        <v>16</v>
      </c>
      <c r="K633" s="23" t="s">
        <v>13</v>
      </c>
      <c r="L633" s="32">
        <v>46133.54690199074</v>
      </c>
      <c r="M633" s="23"/>
    </row>
    <row r="634" spans="1:13" ht="75" customHeight="1" thickTop="1" thickBot="1">
      <c r="A634" s="23">
        <v>632</v>
      </c>
      <c r="B634" s="32">
        <f ca="1">IFERROR(__xludf.DUMMYFUNCTION("""COMPUTED_VALUE"""),46133.3773351157)</f>
        <v>46133.3773351157</v>
      </c>
      <c r="C634" s="33" t="str">
        <f ca="1">IFERROR(__xludf.DUMMYFUNCTION("""COMPUTED_VALUE"""),"المعملجي")</f>
        <v>المعملجي</v>
      </c>
      <c r="D634" s="33" t="str">
        <f ca="1">IFERROR(__xludf.DUMMYFUNCTION("""COMPUTED_VALUE"""),"سجاد تربية")</f>
        <v>سجاد تربية</v>
      </c>
      <c r="E634" s="23" t="str">
        <f ca="1">IFERROR(__xludf.DUMMYFUNCTION("""COMPUTED_VALUE"""),"قسم التربية والتعليم العالي")</f>
        <v>قسم التربية والتعليم العالي</v>
      </c>
      <c r="F634" s="23" t="str">
        <f ca="1">IFERROR(__xludf.DUMMYFUNCTION("""COMPUTED_VALUE"""),"B- روضة القمر")</f>
        <v>B- روضة القمر</v>
      </c>
      <c r="G634" s="23" t="str">
        <f ca="1">IFERROR(__xludf.DUMMYFUNCTION("""COMPUTED_VALUE"""),"الطابق الارضي")</f>
        <v>الطابق الارضي</v>
      </c>
      <c r="H634" s="23" t="str">
        <f ca="1">IFERROR(__xludf.DUMMYFUNCTION("""COMPUTED_VALUE"""),"احتياج سيكوتين لصق كاربت")</f>
        <v>احتياج سيكوتين لصق كاربت</v>
      </c>
      <c r="I634" s="23"/>
      <c r="J634" s="23" t="s">
        <v>16</v>
      </c>
      <c r="K634" s="23" t="s">
        <v>13</v>
      </c>
      <c r="L634" s="32">
        <v>46133.565811192129</v>
      </c>
      <c r="M634" s="23"/>
    </row>
    <row r="635" spans="1:13" ht="75" customHeight="1" thickTop="1" thickBot="1">
      <c r="A635" s="25">
        <v>633</v>
      </c>
      <c r="B635" s="32">
        <f ca="1">IFERROR(__xludf.DUMMYFUNCTION("""COMPUTED_VALUE"""),46133.552259155)</f>
        <v>46133.552259155003</v>
      </c>
      <c r="C635" s="33" t="str">
        <f ca="1">IFERROR(__xludf.DUMMYFUNCTION("""COMPUTED_VALUE"""),"المعملجي")</f>
        <v>المعملجي</v>
      </c>
      <c r="D635" s="33" t="str">
        <f ca="1">IFERROR(__xludf.DUMMYFUNCTION("""COMPUTED_VALUE"""),"سجاد تربية")</f>
        <v>سجاد تربية</v>
      </c>
      <c r="E635" s="23" t="str">
        <f ca="1">IFERROR(__xludf.DUMMYFUNCTION("""COMPUTED_VALUE"""),"قسم التربية والتعليم العالي")</f>
        <v>قسم التربية والتعليم العالي</v>
      </c>
      <c r="F635" s="23" t="str">
        <f ca="1">IFERROR(__xludf.DUMMYFUNCTION("""COMPUTED_VALUE"""),"A- المركز الثقافي")</f>
        <v>A- المركز الثقافي</v>
      </c>
      <c r="G635" s="23" t="str">
        <f ca="1">IFERROR(__xludf.DUMMYFUNCTION("""COMPUTED_VALUE"""),"الطابق الارضي")</f>
        <v>الطابق الارضي</v>
      </c>
      <c r="H635" s="23" t="str">
        <f ca="1">IFERROR(__xludf.DUMMYFUNCTION("""COMPUTED_VALUE"""),"شد بور هواء ")</f>
        <v xml:space="preserve">شد بور هواء </v>
      </c>
      <c r="I635" s="23"/>
      <c r="J635" s="23" t="s">
        <v>16</v>
      </c>
      <c r="K635" s="23" t="s">
        <v>13</v>
      </c>
      <c r="L635" s="32">
        <v>46133.55383049768</v>
      </c>
      <c r="M635" s="23"/>
    </row>
    <row r="636" spans="1:13" ht="75" customHeight="1" thickTop="1" thickBot="1">
      <c r="A636" s="23">
        <v>634</v>
      </c>
      <c r="B636" s="32">
        <f ca="1">IFERROR(__xludf.DUMMYFUNCTION("""COMPUTED_VALUE"""),46133.5532647222)</f>
        <v>46133.553264722199</v>
      </c>
      <c r="C636" s="33" t="str">
        <f ca="1">IFERROR(__xludf.DUMMYFUNCTION("""COMPUTED_VALUE"""),"المعملجي")</f>
        <v>المعملجي</v>
      </c>
      <c r="D636" s="33" t="str">
        <f ca="1">IFERROR(__xludf.DUMMYFUNCTION("""COMPUTED_VALUE"""),"سجاد تربية")</f>
        <v>سجاد تربية</v>
      </c>
      <c r="E636" s="23" t="str">
        <f ca="1">IFERROR(__xludf.DUMMYFUNCTION("""COMPUTED_VALUE"""),"قسم التربية والتعليم العالي")</f>
        <v>قسم التربية والتعليم العالي</v>
      </c>
      <c r="F636" s="23" t="str">
        <f ca="1">IFERROR(__xludf.DUMMYFUNCTION("""COMPUTED_VALUE"""),"الحضانة ")</f>
        <v xml:space="preserve">الحضانة </v>
      </c>
      <c r="G636" s="23" t="str">
        <f ca="1">IFERROR(__xludf.DUMMYFUNCTION("""COMPUTED_VALUE"""),"الطابق الارضي")</f>
        <v>الطابق الارضي</v>
      </c>
      <c r="H636" s="23" t="str">
        <f ca="1">IFERROR(__xludf.DUMMYFUNCTION("""COMPUTED_VALUE"""),"شد بردة ")</f>
        <v xml:space="preserve">شد بردة </v>
      </c>
      <c r="I636" s="23"/>
      <c r="J636" s="23" t="s">
        <v>16</v>
      </c>
      <c r="K636" s="23" t="s">
        <v>13</v>
      </c>
      <c r="L636" s="32">
        <v>46133.553841180561</v>
      </c>
      <c r="M636" s="23"/>
    </row>
    <row r="637" spans="1:13" ht="75" customHeight="1" thickTop="1" thickBot="1">
      <c r="A637" s="25">
        <v>635</v>
      </c>
      <c r="B637" s="32">
        <f ca="1">IFERROR(__xludf.DUMMYFUNCTION("""COMPUTED_VALUE"""),46134.4587483217)</f>
        <v>46134.458748321696</v>
      </c>
      <c r="C637" s="33" t="str">
        <f ca="1">IFERROR(__xludf.DUMMYFUNCTION("""COMPUTED_VALUE"""),"المعملجي")</f>
        <v>المعملجي</v>
      </c>
      <c r="D637" s="33" t="str">
        <f ca="1">IFERROR(__xludf.DUMMYFUNCTION("""COMPUTED_VALUE"""),"سجاد تربية")</f>
        <v>سجاد تربية</v>
      </c>
      <c r="E637" s="23" t="str">
        <f ca="1">IFERROR(__xludf.DUMMYFUNCTION("""COMPUTED_VALUE"""),"قسم التربية والتعليم العالي")</f>
        <v>قسم التربية والتعليم العالي</v>
      </c>
      <c r="F637" s="23" t="str">
        <f ca="1">IFERROR(__xludf.DUMMYFUNCTION("""COMPUTED_VALUE"""),"A- المركز الثقافي")</f>
        <v>A- المركز الثقافي</v>
      </c>
      <c r="G637" s="23" t="str">
        <f ca="1">IFERROR(__xludf.DUMMYFUNCTION("""COMPUTED_VALUE"""),"/")</f>
        <v>/</v>
      </c>
      <c r="H637" s="23" t="str">
        <f ca="1">IFERROR(__xludf.DUMMYFUNCTION("""COMPUTED_VALUE"""),"صيانة سقف ثانوي ")</f>
        <v xml:space="preserve">صيانة سقف ثانوي </v>
      </c>
      <c r="I637" s="23"/>
      <c r="J637" s="23" t="s">
        <v>16</v>
      </c>
      <c r="K637" s="23" t="s">
        <v>13</v>
      </c>
      <c r="L637" s="32">
        <v>46134.759702951385</v>
      </c>
      <c r="M637" s="23"/>
    </row>
    <row r="638" spans="1:13" ht="75" customHeight="1" thickTop="1" thickBot="1">
      <c r="A638" s="23">
        <v>636</v>
      </c>
      <c r="B638" s="32">
        <f ca="1">IFERROR(__xludf.DUMMYFUNCTION("""COMPUTED_VALUE"""),46134.5557801041)</f>
        <v>46134.5557801041</v>
      </c>
      <c r="C638" s="33" t="str">
        <f ca="1">IFERROR(__xludf.DUMMYFUNCTION("""COMPUTED_VALUE"""),"المعملجي")</f>
        <v>المعملجي</v>
      </c>
      <c r="D638" s="33" t="str">
        <f ca="1">IFERROR(__xludf.DUMMYFUNCTION("""COMPUTED_VALUE"""),"سجاد تربية")</f>
        <v>سجاد تربية</v>
      </c>
      <c r="E638" s="23" t="str">
        <f ca="1">IFERROR(__xludf.DUMMYFUNCTION("""COMPUTED_VALUE"""),"قسم التربية والتعليم العالي")</f>
        <v>قسم التربية والتعليم العالي</v>
      </c>
      <c r="F638" s="23" t="str">
        <f ca="1">IFERROR(__xludf.DUMMYFUNCTION("""COMPUTED_VALUE"""),"المالية")</f>
        <v>المالية</v>
      </c>
      <c r="G638" s="23" t="str">
        <f ca="1">IFERROR(__xludf.DUMMYFUNCTION("""COMPUTED_VALUE"""),"الطابق الارضي")</f>
        <v>الطابق الارضي</v>
      </c>
      <c r="H638" s="23" t="str">
        <f ca="1">IFERROR(__xludf.DUMMYFUNCTION("""COMPUTED_VALUE"""),"صبغ غرفة")</f>
        <v>صبغ غرفة</v>
      </c>
      <c r="I638" s="23"/>
      <c r="J638" s="23" t="s">
        <v>16</v>
      </c>
      <c r="K638" s="23" t="s">
        <v>13</v>
      </c>
      <c r="L638" s="32">
        <v>46134.556370983795</v>
      </c>
      <c r="M638" s="23"/>
    </row>
    <row r="639" spans="1:13" ht="75" customHeight="1" thickTop="1" thickBot="1">
      <c r="A639" s="25">
        <v>637</v>
      </c>
      <c r="B639" s="32">
        <f ca="1">IFERROR(__xludf.DUMMYFUNCTION("""COMPUTED_VALUE"""),46137.3248959259)</f>
        <v>46137.3248959259</v>
      </c>
      <c r="C639" s="33" t="str">
        <f ca="1">IFERROR(__xludf.DUMMYFUNCTION("""COMPUTED_VALUE"""),"المعملجي")</f>
        <v>المعملجي</v>
      </c>
      <c r="D639" s="33" t="str">
        <f ca="1">IFERROR(__xludf.DUMMYFUNCTION("""COMPUTED_VALUE"""),"سجاد تربية")</f>
        <v>سجاد تربية</v>
      </c>
      <c r="E639" s="23" t="str">
        <f ca="1">IFERROR(__xludf.DUMMYFUNCTION("""COMPUTED_VALUE"""),"قسم التربية والتعليم العالي")</f>
        <v>قسم التربية والتعليم العالي</v>
      </c>
      <c r="F639" s="23" t="str">
        <f ca="1">IFERROR(__xludf.DUMMYFUNCTION("""COMPUTED_VALUE"""),"شعبة الصيانة")</f>
        <v>شعبة الصيانة</v>
      </c>
      <c r="G639" s="23" t="str">
        <f ca="1">IFERROR(__xludf.DUMMYFUNCTION("""COMPUTED_VALUE"""),"الطابق الارضي")</f>
        <v>الطابق الارضي</v>
      </c>
      <c r="H639" s="23" t="str">
        <f ca="1">IFERROR(__xludf.DUMMYFUNCTION("""COMPUTED_VALUE"""),"حفر مقرنص ومد بوري سقي ")</f>
        <v xml:space="preserve">حفر مقرنص ومد بوري سقي </v>
      </c>
      <c r="I639" s="23"/>
      <c r="J639" s="23" t="s">
        <v>16</v>
      </c>
      <c r="K639" s="23" t="s">
        <v>13</v>
      </c>
      <c r="L639" s="32"/>
      <c r="M639" s="23"/>
    </row>
    <row r="640" spans="1:13" ht="75" customHeight="1" thickTop="1" thickBot="1">
      <c r="A640" s="23">
        <v>638</v>
      </c>
      <c r="B640" s="32">
        <f ca="1">IFERROR(__xludf.DUMMYFUNCTION("""COMPUTED_VALUE"""),46137.3261552546)</f>
        <v>46137.326155254603</v>
      </c>
      <c r="C640" s="33" t="str">
        <f ca="1">IFERROR(__xludf.DUMMYFUNCTION("""COMPUTED_VALUE"""),"المعملجي")</f>
        <v>المعملجي</v>
      </c>
      <c r="D640" s="33" t="str">
        <f ca="1">IFERROR(__xludf.DUMMYFUNCTION("""COMPUTED_VALUE"""),"سجاد تربية")</f>
        <v>سجاد تربية</v>
      </c>
      <c r="E640" s="23" t="str">
        <f ca="1">IFERROR(__xludf.DUMMYFUNCTION("""COMPUTED_VALUE"""),"قسم التربية والتعليم العالي")</f>
        <v>قسم التربية والتعليم العالي</v>
      </c>
      <c r="F640" s="23" t="str">
        <f ca="1">IFERROR(__xludf.DUMMYFUNCTION("""COMPUTED_VALUE"""),"أعمدة الانارة")</f>
        <v>أعمدة الانارة</v>
      </c>
      <c r="G640" s="23" t="str">
        <f ca="1">IFERROR(__xludf.DUMMYFUNCTION("""COMPUTED_VALUE"""),"الطابق الارضي")</f>
        <v>الطابق الارضي</v>
      </c>
      <c r="H640" s="23" t="str">
        <f ca="1">IFERROR(__xludf.DUMMYFUNCTION("""COMPUTED_VALUE"""),"صبغ أعمدة الإنارة عدد ٤")</f>
        <v>صبغ أعمدة الإنارة عدد ٤</v>
      </c>
      <c r="I640" s="23"/>
      <c r="J640" s="23" t="s">
        <v>16</v>
      </c>
      <c r="K640" s="23" t="s">
        <v>13</v>
      </c>
      <c r="L640" s="32"/>
      <c r="M640" s="23"/>
    </row>
    <row r="641" spans="1:13" ht="75" customHeight="1" thickTop="1" thickBot="1">
      <c r="A641" s="25">
        <v>639</v>
      </c>
      <c r="B641" s="32">
        <f ca="1">IFERROR(__xludf.DUMMYFUNCTION("""COMPUTED_VALUE"""),46137.3270499652)</f>
        <v>46137.327049965199</v>
      </c>
      <c r="C641" s="33" t="str">
        <f ca="1">IFERROR(__xludf.DUMMYFUNCTION("""COMPUTED_VALUE"""),"المعملجي")</f>
        <v>المعملجي</v>
      </c>
      <c r="D641" s="33" t="str">
        <f ca="1">IFERROR(__xludf.DUMMYFUNCTION("""COMPUTED_VALUE"""),"سجاد تربية")</f>
        <v>سجاد تربية</v>
      </c>
      <c r="E641" s="23" t="str">
        <f ca="1">IFERROR(__xludf.DUMMYFUNCTION("""COMPUTED_VALUE"""),"قسم التربية والتعليم العالي")</f>
        <v>قسم التربية والتعليم العالي</v>
      </c>
      <c r="F641" s="23" t="str">
        <f ca="1">IFERROR(__xludf.DUMMYFUNCTION("""COMPUTED_VALUE"""),"شعبة الصيانة")</f>
        <v>شعبة الصيانة</v>
      </c>
      <c r="G641" s="23" t="str">
        <f ca="1">IFERROR(__xludf.DUMMYFUNCTION("""COMPUTED_VALUE"""),"الطابق الارضي")</f>
        <v>الطابق الارضي</v>
      </c>
      <c r="H641" s="23" t="str">
        <f ca="1">IFERROR(__xludf.DUMMYFUNCTION("""COMPUTED_VALUE"""),"تطبيق المقرنص بعد مد بوري ماء")</f>
        <v>تطبيق المقرنص بعد مد بوري ماء</v>
      </c>
      <c r="I641" s="23"/>
      <c r="J641" s="23" t="s">
        <v>16</v>
      </c>
      <c r="K641" s="23" t="s">
        <v>13</v>
      </c>
      <c r="L641" s="32"/>
      <c r="M641" s="23"/>
    </row>
    <row r="642" spans="1:13" ht="75" customHeight="1" thickTop="1" thickBot="1">
      <c r="A642" s="23">
        <v>640</v>
      </c>
      <c r="B642" s="32">
        <f ca="1">IFERROR(__xludf.DUMMYFUNCTION("""COMPUTED_VALUE"""),46137.3279649652)</f>
        <v>46137.327964965203</v>
      </c>
      <c r="C642" s="33" t="str">
        <f ca="1">IFERROR(__xludf.DUMMYFUNCTION("""COMPUTED_VALUE"""),"المعملجي")</f>
        <v>المعملجي</v>
      </c>
      <c r="D642" s="33" t="str">
        <f ca="1">IFERROR(__xludf.DUMMYFUNCTION("""COMPUTED_VALUE"""),"سجاد تربية")</f>
        <v>سجاد تربية</v>
      </c>
      <c r="E642" s="23" t="str">
        <f ca="1">IFERROR(__xludf.DUMMYFUNCTION("""COMPUTED_VALUE"""),"قسم التربية والتعليم العالي")</f>
        <v>قسم التربية والتعليم العالي</v>
      </c>
      <c r="F642" s="23" t="str">
        <f ca="1">IFERROR(__xludf.DUMMYFUNCTION("""COMPUTED_VALUE"""),"A- المركز الثقافي")</f>
        <v>A- المركز الثقافي</v>
      </c>
      <c r="G642" s="23" t="str">
        <f ca="1">IFERROR(__xludf.DUMMYFUNCTION("""COMPUTED_VALUE"""),"الطابق الثاني, السطح")</f>
        <v>الطابق الثاني, السطح</v>
      </c>
      <c r="H642" s="23" t="str">
        <f ca="1">IFERROR(__xludf.DUMMYFUNCTION("""COMPUTED_VALUE"""),"عمل ماستك للسطح")</f>
        <v>عمل ماستك للسطح</v>
      </c>
      <c r="I642" s="23"/>
      <c r="J642" s="23" t="s">
        <v>16</v>
      </c>
      <c r="K642" s="23" t="s">
        <v>13</v>
      </c>
      <c r="L642" s="32"/>
      <c r="M642" s="23"/>
    </row>
    <row r="643" spans="1:13" ht="75" customHeight="1" thickTop="1" thickBot="1">
      <c r="A643" s="25">
        <v>641</v>
      </c>
      <c r="B643" s="32">
        <f ca="1">IFERROR(__xludf.DUMMYFUNCTION("""COMPUTED_VALUE"""),46137.3285004398)</f>
        <v>46137.328500439799</v>
      </c>
      <c r="C643" s="33" t="str">
        <f ca="1">IFERROR(__xludf.DUMMYFUNCTION("""COMPUTED_VALUE"""),"المعملجي")</f>
        <v>المعملجي</v>
      </c>
      <c r="D643" s="33" t="str">
        <f ca="1">IFERROR(__xludf.DUMMYFUNCTION("""COMPUTED_VALUE"""),"سجاد تربية")</f>
        <v>سجاد تربية</v>
      </c>
      <c r="E643" s="23" t="str">
        <f ca="1">IFERROR(__xludf.DUMMYFUNCTION("""COMPUTED_VALUE"""),"قسم التربية والتعليم العالي")</f>
        <v>قسم التربية والتعليم العالي</v>
      </c>
      <c r="F643" s="23" t="str">
        <f ca="1">IFERROR(__xludf.DUMMYFUNCTION("""COMPUTED_VALUE"""),"A- المركز الثقافي")</f>
        <v>A- المركز الثقافي</v>
      </c>
      <c r="G643" s="23" t="str">
        <f ca="1">IFERROR(__xludf.DUMMYFUNCTION("""COMPUTED_VALUE"""),"الطابق الثاني, السطح")</f>
        <v>الطابق الثاني, السطح</v>
      </c>
      <c r="H643" s="23" t="str">
        <f ca="1">IFERROR(__xludf.DUMMYFUNCTION("""COMPUTED_VALUE"""),"عمل مادة الصوصج")</f>
        <v>عمل مادة الصوصج</v>
      </c>
      <c r="I643" s="23"/>
      <c r="J643" s="23" t="s">
        <v>16</v>
      </c>
      <c r="K643" s="23" t="s">
        <v>13</v>
      </c>
      <c r="L643" s="32"/>
      <c r="M643" s="23"/>
    </row>
    <row r="644" spans="1:13" ht="75" customHeight="1" thickTop="1" thickBot="1">
      <c r="A644" s="23">
        <v>642</v>
      </c>
      <c r="B644" s="32">
        <f ca="1">IFERROR(__xludf.DUMMYFUNCTION("""COMPUTED_VALUE"""),46138.3912636574)</f>
        <v>46138.391263657402</v>
      </c>
      <c r="C644" s="33" t="str">
        <f ca="1">IFERROR(__xludf.DUMMYFUNCTION("""COMPUTED_VALUE"""),"المعملجي")</f>
        <v>المعملجي</v>
      </c>
      <c r="D644" s="33" t="str">
        <f ca="1">IFERROR(__xludf.DUMMYFUNCTION("""COMPUTED_VALUE"""),"سجاد تربية")</f>
        <v>سجاد تربية</v>
      </c>
      <c r="E644" s="23" t="str">
        <f ca="1">IFERROR(__xludf.DUMMYFUNCTION("""COMPUTED_VALUE"""),"قسم التربية والتعليم العالي")</f>
        <v>قسم التربية والتعليم العالي</v>
      </c>
      <c r="F644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44" s="23" t="str">
        <f ca="1">IFERROR(__xludf.DUMMYFUNCTION("""COMPUTED_VALUE"""),"المصلى ")</f>
        <v xml:space="preserve">المصلى </v>
      </c>
      <c r="H644" s="23" t="str">
        <f ca="1">IFERROR(__xludf.DUMMYFUNCTION("""COMPUTED_VALUE"""),"صيانة سقف ثانوي ")</f>
        <v xml:space="preserve">صيانة سقف ثانوي </v>
      </c>
      <c r="I644" s="23"/>
      <c r="J644" s="23" t="s">
        <v>16</v>
      </c>
      <c r="K644" s="23" t="s">
        <v>13</v>
      </c>
      <c r="L644" s="32">
        <v>46144.395838483797</v>
      </c>
      <c r="M644" s="23"/>
    </row>
    <row r="645" spans="1:13" ht="75" customHeight="1" thickTop="1" thickBot="1">
      <c r="A645" s="25">
        <v>643</v>
      </c>
      <c r="B645" s="32">
        <f ca="1">IFERROR(__xludf.DUMMYFUNCTION("""COMPUTED_VALUE"""),46139.4095561805)</f>
        <v>46139.409556180501</v>
      </c>
      <c r="C645" s="33" t="str">
        <f ca="1">IFERROR(__xludf.DUMMYFUNCTION("""COMPUTED_VALUE"""),"المعملجي")</f>
        <v>المعملجي</v>
      </c>
      <c r="D645" s="33" t="str">
        <f ca="1">IFERROR(__xludf.DUMMYFUNCTION("""COMPUTED_VALUE"""),"سجاد تربية")</f>
        <v>سجاد تربية</v>
      </c>
      <c r="E645" s="23" t="str">
        <f ca="1">IFERROR(__xludf.DUMMYFUNCTION("""COMPUTED_VALUE"""),"قسم التربية والتعليم العالي")</f>
        <v>قسم التربية والتعليم العالي</v>
      </c>
      <c r="F645" s="23" t="str">
        <f ca="1">IFERROR(__xludf.DUMMYFUNCTION("""COMPUTED_VALUE"""),"الاستعلامات الرئيسية")</f>
        <v>الاستعلامات الرئيسية</v>
      </c>
      <c r="G645" s="23" t="str">
        <f ca="1">IFERROR(__xludf.DUMMYFUNCTION("""COMPUTED_VALUE"""),"/")</f>
        <v>/</v>
      </c>
      <c r="H645" s="23" t="str">
        <f ca="1">IFERROR(__xludf.DUMMYFUNCTION("""COMPUTED_VALUE"""),"صيانة بوستر ")</f>
        <v xml:space="preserve">صيانة بوستر </v>
      </c>
      <c r="I645" s="23"/>
      <c r="J645" s="23" t="s">
        <v>16</v>
      </c>
      <c r="K645" s="23" t="s">
        <v>13</v>
      </c>
      <c r="L645" s="32">
        <v>46139.499502499995</v>
      </c>
      <c r="M645" s="23"/>
    </row>
    <row r="646" spans="1:13" ht="75" customHeight="1" thickTop="1" thickBot="1">
      <c r="A646" s="23">
        <v>644</v>
      </c>
      <c r="B646" s="32">
        <f ca="1">IFERROR(__xludf.DUMMYFUNCTION("""COMPUTED_VALUE"""),46139.4597665509)</f>
        <v>46139.459766550899</v>
      </c>
      <c r="C646" s="33" t="str">
        <f ca="1">IFERROR(__xludf.DUMMYFUNCTION("""COMPUTED_VALUE"""),"المعملجي")</f>
        <v>المعملجي</v>
      </c>
      <c r="D646" s="33" t="str">
        <f ca="1">IFERROR(__xludf.DUMMYFUNCTION("""COMPUTED_VALUE"""),"سجاد تربية")</f>
        <v>سجاد تربية</v>
      </c>
      <c r="E646" s="23" t="str">
        <f ca="1">IFERROR(__xludf.DUMMYFUNCTION("""COMPUTED_VALUE"""),"قسم التربية والتعليم العالي")</f>
        <v>قسم التربية والتعليم العالي</v>
      </c>
      <c r="F646" s="23" t="str">
        <f ca="1">IFERROR(__xludf.DUMMYFUNCTION("""COMPUTED_VALUE"""),"B- روضة القمر")</f>
        <v>B- روضة القمر</v>
      </c>
      <c r="G646" s="23" t="str">
        <f ca="1">IFERROR(__xludf.DUMMYFUNCTION("""COMPUTED_VALUE"""),"الطابق الارضي")</f>
        <v>الطابق الارضي</v>
      </c>
      <c r="H646" s="23" t="str">
        <f ca="1">IFERROR(__xludf.DUMMYFUNCTION("""COMPUTED_VALUE"""),"صيانة زحليقة ")</f>
        <v xml:space="preserve">صيانة زحليقة </v>
      </c>
      <c r="I646" s="23"/>
      <c r="J646" s="23" t="s">
        <v>16</v>
      </c>
      <c r="K646" s="23" t="s">
        <v>13</v>
      </c>
      <c r="L646" s="32">
        <v>46139.592602384262</v>
      </c>
      <c r="M646" s="23"/>
    </row>
    <row r="647" spans="1:13" ht="75" customHeight="1" thickTop="1" thickBot="1">
      <c r="A647" s="25">
        <v>645</v>
      </c>
      <c r="B647" s="32">
        <f ca="1">IFERROR(__xludf.DUMMYFUNCTION("""COMPUTED_VALUE"""),46140.3577603125)</f>
        <v>46140.357760312501</v>
      </c>
      <c r="C647" s="33" t="str">
        <f ca="1">IFERROR(__xludf.DUMMYFUNCTION("""COMPUTED_VALUE"""),"المعملجي")</f>
        <v>المعملجي</v>
      </c>
      <c r="D647" s="33" t="str">
        <f ca="1">IFERROR(__xludf.DUMMYFUNCTION("""COMPUTED_VALUE"""),"سجاد تربية")</f>
        <v>سجاد تربية</v>
      </c>
      <c r="E647" s="23" t="str">
        <f ca="1">IFERROR(__xludf.DUMMYFUNCTION("""COMPUTED_VALUE"""),"قسم التربية والتعليم العالي")</f>
        <v>قسم التربية والتعليم العالي</v>
      </c>
      <c r="F647" s="23" t="str">
        <f ca="1">IFERROR(__xludf.DUMMYFUNCTION("""COMPUTED_VALUE"""),"المالية")</f>
        <v>المالية</v>
      </c>
      <c r="G647" s="23" t="str">
        <f ca="1">IFERROR(__xludf.DUMMYFUNCTION("""COMPUTED_VALUE"""),"الطابق الارضي")</f>
        <v>الطابق الارضي</v>
      </c>
      <c r="H647" s="23" t="str">
        <f ca="1">IFERROR(__xludf.DUMMYFUNCTION("""COMPUTED_VALUE"""),"تعليق القطعة في الواجهة")</f>
        <v>تعليق القطعة في الواجهة</v>
      </c>
      <c r="I647" s="23"/>
      <c r="J647" s="23" t="s">
        <v>16</v>
      </c>
      <c r="K647" s="23" t="s">
        <v>13</v>
      </c>
      <c r="L647" s="32">
        <v>46141.30868717593</v>
      </c>
      <c r="M647" s="23"/>
    </row>
    <row r="648" spans="1:13" ht="75" customHeight="1" thickTop="1" thickBot="1">
      <c r="A648" s="23">
        <v>646</v>
      </c>
      <c r="B648" s="32">
        <f ca="1">IFERROR(__xludf.DUMMYFUNCTION("""COMPUTED_VALUE"""),46140.3589096527)</f>
        <v>46140.358909652699</v>
      </c>
      <c r="C648" s="33" t="str">
        <f ca="1">IFERROR(__xludf.DUMMYFUNCTION("""COMPUTED_VALUE"""),"المعملجي")</f>
        <v>المعملجي</v>
      </c>
      <c r="D648" s="33" t="str">
        <f ca="1">IFERROR(__xludf.DUMMYFUNCTION("""COMPUTED_VALUE"""),"سجاد تربية")</f>
        <v>سجاد تربية</v>
      </c>
      <c r="E648" s="23" t="str">
        <f ca="1">IFERROR(__xludf.DUMMYFUNCTION("""COMPUTED_VALUE"""),"قسم التربية والتعليم العالي")</f>
        <v>قسم التربية والتعليم العالي</v>
      </c>
      <c r="F648" s="23" t="str">
        <f ca="1">IFERROR(__xludf.DUMMYFUNCTION("""COMPUTED_VALUE"""),"A- المركز الثقافي")</f>
        <v>A- المركز الثقافي</v>
      </c>
      <c r="G648" s="23" t="str">
        <f ca="1">IFERROR(__xludf.DUMMYFUNCTION("""COMPUTED_VALUE"""),"الطابق الثالث")</f>
        <v>الطابق الثالث</v>
      </c>
      <c r="H648" s="23" t="str">
        <f ca="1">IFERROR(__xludf.DUMMYFUNCTION("""COMPUTED_VALUE"""),"صيانة نرمايد في الكاونتر ")</f>
        <v xml:space="preserve">صيانة نرمايد في الكاونتر </v>
      </c>
      <c r="I648" s="23"/>
      <c r="J648" s="23" t="s">
        <v>16</v>
      </c>
      <c r="K648" s="23" t="s">
        <v>13</v>
      </c>
      <c r="L648" s="32">
        <v>46142.420930266206</v>
      </c>
      <c r="M648" s="23"/>
    </row>
    <row r="649" spans="1:13" ht="75" customHeight="1" thickTop="1" thickBot="1">
      <c r="A649" s="25">
        <v>647</v>
      </c>
      <c r="B649" s="32">
        <f ca="1">IFERROR(__xludf.DUMMYFUNCTION("""COMPUTED_VALUE"""),46140.4857537268)</f>
        <v>46140.485753726804</v>
      </c>
      <c r="C649" s="33" t="str">
        <f ca="1">IFERROR(__xludf.DUMMYFUNCTION("""COMPUTED_VALUE"""),"المعملجي")</f>
        <v>المعملجي</v>
      </c>
      <c r="D649" s="33" t="str">
        <f ca="1">IFERROR(__xludf.DUMMYFUNCTION("""COMPUTED_VALUE"""),"سجاد تربية")</f>
        <v>سجاد تربية</v>
      </c>
      <c r="E649" s="23" t="str">
        <f ca="1">IFERROR(__xludf.DUMMYFUNCTION("""COMPUTED_VALUE"""),"قسم التربية والتعليم العالي")</f>
        <v>قسم التربية والتعليم العالي</v>
      </c>
      <c r="F649" s="23" t="str">
        <f ca="1">IFERROR(__xludf.DUMMYFUNCTION("""COMPUTED_VALUE"""),"F-  ابتدائية جود العميد للبنات (الرابعة)")</f>
        <v>F-  ابتدائية جود العميد للبنات (الرابعة)</v>
      </c>
      <c r="G649" s="23" t="str">
        <f ca="1">IFERROR(__xludf.DUMMYFUNCTION("""COMPUTED_VALUE"""),"المصلى ")</f>
        <v xml:space="preserve">المصلى </v>
      </c>
      <c r="H649" s="23" t="str">
        <f ca="1">IFERROR(__xludf.DUMMYFUNCTION("""COMPUTED_VALUE"""),"صيانة مقبض شباك ")</f>
        <v xml:space="preserve">صيانة مقبض شباك </v>
      </c>
      <c r="I649" s="23"/>
      <c r="J649" s="23" t="s">
        <v>16</v>
      </c>
      <c r="K649" s="23" t="s">
        <v>13</v>
      </c>
      <c r="L649" s="32"/>
      <c r="M649" s="23"/>
    </row>
    <row r="650" spans="1:13" ht="75" customHeight="1" thickTop="1" thickBot="1">
      <c r="A650" s="23">
        <v>648</v>
      </c>
      <c r="B650" s="32">
        <f ca="1">IFERROR(__xludf.DUMMYFUNCTION("""COMPUTED_VALUE"""),46140.4866526041)</f>
        <v>46140.486652604101</v>
      </c>
      <c r="C650" s="33" t="str">
        <f ca="1">IFERROR(__xludf.DUMMYFUNCTION("""COMPUTED_VALUE"""),"المعملجي")</f>
        <v>المعملجي</v>
      </c>
      <c r="D650" s="33" t="str">
        <f ca="1">IFERROR(__xludf.DUMMYFUNCTION("""COMPUTED_VALUE"""),"سجاد تربية")</f>
        <v>سجاد تربية</v>
      </c>
      <c r="E650" s="23" t="str">
        <f ca="1">IFERROR(__xludf.DUMMYFUNCTION("""COMPUTED_VALUE"""),"قسم التربية والتعليم العالي")</f>
        <v>قسم التربية والتعليم العالي</v>
      </c>
      <c r="F650" s="23" t="str">
        <f ca="1">IFERROR(__xludf.DUMMYFUNCTION("""COMPUTED_VALUE"""),"F-  ابتدائية جود العميد للبنات (الرابعة)")</f>
        <v>F-  ابتدائية جود العميد للبنات (الرابعة)</v>
      </c>
      <c r="G650" s="23" t="str">
        <f ca="1">IFERROR(__xludf.DUMMYFUNCTION("""COMPUTED_VALUE"""),"الطابق الثاني")</f>
        <v>الطابق الثاني</v>
      </c>
      <c r="H650" s="23" t="str">
        <f ca="1">IFERROR(__xludf.DUMMYFUNCTION("""COMPUTED_VALUE"""),"صيانة السقف الثانوي ")</f>
        <v xml:space="preserve">صيانة السقف الثانوي </v>
      </c>
      <c r="I650" s="23"/>
      <c r="J650" s="23" t="s">
        <v>16</v>
      </c>
      <c r="K650" s="23" t="s">
        <v>13</v>
      </c>
      <c r="L650" s="32">
        <v>46140.530031238421</v>
      </c>
      <c r="M650" s="23"/>
    </row>
    <row r="651" spans="1:13" ht="75" customHeight="1" thickTop="1" thickBot="1">
      <c r="A651" s="25">
        <v>649</v>
      </c>
      <c r="B651" s="32">
        <f ca="1">IFERROR(__xludf.DUMMYFUNCTION("""COMPUTED_VALUE"""),46140.4887401967)</f>
        <v>46140.488740196699</v>
      </c>
      <c r="C651" s="33" t="str">
        <f ca="1">IFERROR(__xludf.DUMMYFUNCTION("""COMPUTED_VALUE"""),"المعملجي")</f>
        <v>المعملجي</v>
      </c>
      <c r="D651" s="33" t="str">
        <f ca="1">IFERROR(__xludf.DUMMYFUNCTION("""COMPUTED_VALUE"""),"سجاد تربية")</f>
        <v>سجاد تربية</v>
      </c>
      <c r="E651" s="23" t="str">
        <f ca="1">IFERROR(__xludf.DUMMYFUNCTION("""COMPUTED_VALUE"""),"قسم التربية والتعليم العالي")</f>
        <v>قسم التربية والتعليم العالي</v>
      </c>
      <c r="F651" s="23" t="str">
        <f ca="1">IFERROR(__xludf.DUMMYFUNCTION("""COMPUTED_VALUE"""),"A- المركز الثقافي")</f>
        <v>A- المركز الثقافي</v>
      </c>
      <c r="G651" s="23" t="str">
        <f ca="1">IFERROR(__xludf.DUMMYFUNCTION("""COMPUTED_VALUE"""),"غرفة الاستراحة في وحدة المراقبة ")</f>
        <v xml:space="preserve">غرفة الاستراحة في وحدة المراقبة </v>
      </c>
      <c r="H651" s="23" t="str">
        <f ca="1">IFERROR(__xludf.DUMMYFUNCTION("""COMPUTED_VALUE"""),"صيانة باب الخشب ")</f>
        <v xml:space="preserve">صيانة باب الخشب </v>
      </c>
      <c r="I651" s="23"/>
      <c r="J651" s="23" t="s">
        <v>16</v>
      </c>
      <c r="K651" s="23" t="s">
        <v>13</v>
      </c>
      <c r="L651" s="32"/>
      <c r="M651" s="23"/>
    </row>
    <row r="652" spans="1:13" ht="75" customHeight="1" thickTop="1" thickBot="1">
      <c r="A652" s="23">
        <v>650</v>
      </c>
      <c r="B652" s="32">
        <f ca="1">IFERROR(__xludf.DUMMYFUNCTION("""COMPUTED_VALUE"""),46140.577685081)</f>
        <v>46140.577685081</v>
      </c>
      <c r="C652" s="33" t="str">
        <f ca="1">IFERROR(__xludf.DUMMYFUNCTION("""COMPUTED_VALUE"""),"المعملجي")</f>
        <v>المعملجي</v>
      </c>
      <c r="D652" s="33" t="str">
        <f ca="1">IFERROR(__xludf.DUMMYFUNCTION("""COMPUTED_VALUE"""),"سجاد تربية")</f>
        <v>سجاد تربية</v>
      </c>
      <c r="E652" s="23" t="str">
        <f ca="1">IFERROR(__xludf.DUMMYFUNCTION("""COMPUTED_VALUE"""),"قسم التربية والتعليم العالي")</f>
        <v>قسم التربية والتعليم العالي</v>
      </c>
      <c r="F652" s="23" t="str">
        <f ca="1">IFERROR(__xludf.DUMMYFUNCTION("""COMPUTED_VALUE"""),"A- المركز الثقافي")</f>
        <v>A- المركز الثقافي</v>
      </c>
      <c r="G652" s="23" t="str">
        <f ca="1">IFERROR(__xludf.DUMMYFUNCTION("""COMPUTED_VALUE"""),"الطابق الثاني")</f>
        <v>الطابق الثاني</v>
      </c>
      <c r="H652" s="23" t="str">
        <f ca="1">IFERROR(__xludf.DUMMYFUNCTION("""COMPUTED_VALUE"""),"السقف الثانوي يسرب ماء ")</f>
        <v xml:space="preserve">السقف الثانوي يسرب ماء </v>
      </c>
      <c r="I652" s="23"/>
      <c r="J652" s="23" t="s">
        <v>16</v>
      </c>
      <c r="K652" s="23" t="s">
        <v>13</v>
      </c>
      <c r="L652" s="32">
        <v>46149.538774166664</v>
      </c>
      <c r="M652" s="23"/>
    </row>
    <row r="653" spans="1:13" ht="75" customHeight="1" thickTop="1" thickBot="1">
      <c r="A653" s="25">
        <v>651</v>
      </c>
      <c r="B653" s="32">
        <f ca="1">IFERROR(__xludf.DUMMYFUNCTION("""COMPUTED_VALUE"""),46141.3100222222)</f>
        <v>46141.310022222198</v>
      </c>
      <c r="C653" s="33" t="str">
        <f ca="1">IFERROR(__xludf.DUMMYFUNCTION("""COMPUTED_VALUE"""),"المعملجي")</f>
        <v>المعملجي</v>
      </c>
      <c r="D653" s="33" t="str">
        <f ca="1">IFERROR(__xludf.DUMMYFUNCTION("""COMPUTED_VALUE"""),"وحدة المدني")</f>
        <v>وحدة المدني</v>
      </c>
      <c r="E653" s="23" t="str">
        <f ca="1">IFERROR(__xludf.DUMMYFUNCTION("""COMPUTED_VALUE"""),"قسم المشاريع الهندسية")</f>
        <v>قسم المشاريع الهندسية</v>
      </c>
      <c r="F653" s="23" t="str">
        <f ca="1">IFERROR(__xludf.DUMMYFUNCTION("""COMPUTED_VALUE"""),"I- ابتدائية الساقي للبنين (السادسة)")</f>
        <v>I- ابتدائية الساقي للبنين (السادسة)</v>
      </c>
      <c r="G653" s="23" t="str">
        <f ca="1">IFERROR(__xludf.DUMMYFUNCTION("""COMPUTED_VALUE"""),"السطح")</f>
        <v>السطح</v>
      </c>
      <c r="H653" s="23" t="str">
        <f ca="1">IFERROR(__xludf.DUMMYFUNCTION("""COMPUTED_VALUE"""),"عمل هزارة باب غرفة المصعد")</f>
        <v>عمل هزارة باب غرفة المصعد</v>
      </c>
      <c r="I653" s="23"/>
      <c r="J653" s="23" t="s">
        <v>16</v>
      </c>
      <c r="K653" s="23" t="s">
        <v>13</v>
      </c>
      <c r="L653" s="32">
        <v>46141.312030173613</v>
      </c>
      <c r="M653" s="23"/>
    </row>
    <row r="654" spans="1:13" ht="75" customHeight="1" thickTop="1" thickBot="1">
      <c r="A654" s="23">
        <v>652</v>
      </c>
      <c r="B654" s="32">
        <f ca="1">IFERROR(__xludf.DUMMYFUNCTION("""COMPUTED_VALUE"""),46141.3104616782)</f>
        <v>46141.3104616782</v>
      </c>
      <c r="C654" s="33" t="str">
        <f ca="1">IFERROR(__xludf.DUMMYFUNCTION("""COMPUTED_VALUE"""),"المعملجي")</f>
        <v>المعملجي</v>
      </c>
      <c r="D654" s="33" t="str">
        <f ca="1">IFERROR(__xludf.DUMMYFUNCTION("""COMPUTED_VALUE"""),"وحدة المدني")</f>
        <v>وحدة المدني</v>
      </c>
      <c r="E654" s="23" t="str">
        <f ca="1">IFERROR(__xludf.DUMMYFUNCTION("""COMPUTED_VALUE"""),"قسم المشاريع الهندسية")</f>
        <v>قسم المشاريع الهندسية</v>
      </c>
      <c r="F654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654" s="23" t="str">
        <f ca="1">IFERROR(__xludf.DUMMYFUNCTION("""COMPUTED_VALUE"""),"السطح")</f>
        <v>السطح</v>
      </c>
      <c r="H654" s="23" t="str">
        <f ca="1">IFERROR(__xludf.DUMMYFUNCTION("""COMPUTED_VALUE"""),"عمل هزارة باب غرفة المصعد ")</f>
        <v xml:space="preserve">عمل هزارة باب غرفة المصعد </v>
      </c>
      <c r="I654" s="23"/>
      <c r="J654" s="23" t="s">
        <v>16</v>
      </c>
      <c r="K654" s="23" t="s">
        <v>13</v>
      </c>
      <c r="L654" s="32"/>
      <c r="M654" s="23"/>
    </row>
    <row r="655" spans="1:13" ht="75" customHeight="1" thickTop="1" thickBot="1">
      <c r="A655" s="25">
        <v>653</v>
      </c>
      <c r="B655" s="32">
        <f ca="1">IFERROR(__xludf.DUMMYFUNCTION("""COMPUTED_VALUE"""),46141.3108831018)</f>
        <v>46141.310883101803</v>
      </c>
      <c r="C655" s="33" t="str">
        <f ca="1">IFERROR(__xludf.DUMMYFUNCTION("""COMPUTED_VALUE"""),"المعملجي")</f>
        <v>المعملجي</v>
      </c>
      <c r="D655" s="33" t="str">
        <f ca="1">IFERROR(__xludf.DUMMYFUNCTION("""COMPUTED_VALUE"""),"وحدة المدني")</f>
        <v>وحدة المدني</v>
      </c>
      <c r="E655" s="23" t="str">
        <f ca="1">IFERROR(__xludf.DUMMYFUNCTION("""COMPUTED_VALUE"""),"قسم المشاريع الهندسية")</f>
        <v>قسم المشاريع الهندسية</v>
      </c>
      <c r="F655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655" s="23" t="str">
        <f ca="1">IFERROR(__xludf.DUMMYFUNCTION("""COMPUTED_VALUE"""),"الطابق الارضي, ZONE A")</f>
        <v>الطابق الارضي, ZONE A</v>
      </c>
      <c r="H655" s="23" t="str">
        <f ca="1">IFERROR(__xludf.DUMMYFUNCTION("""COMPUTED_VALUE"""),"تعليق بردة عدد 2 ")</f>
        <v xml:space="preserve">تعليق بردة عدد 2 </v>
      </c>
      <c r="I655" s="23"/>
      <c r="J655" s="23" t="s">
        <v>16</v>
      </c>
      <c r="K655" s="23" t="s">
        <v>13</v>
      </c>
      <c r="L655" s="32"/>
      <c r="M655" s="23"/>
    </row>
    <row r="656" spans="1:13" ht="75" customHeight="1" thickTop="1" thickBot="1">
      <c r="A656" s="23">
        <v>654</v>
      </c>
      <c r="B656" s="32">
        <f ca="1">IFERROR(__xludf.DUMMYFUNCTION("""COMPUTED_VALUE"""),46141.3118533796)</f>
        <v>46141.311853379601</v>
      </c>
      <c r="C656" s="33" t="str">
        <f ca="1">IFERROR(__xludf.DUMMYFUNCTION("""COMPUTED_VALUE"""),"المعملجي")</f>
        <v>المعملجي</v>
      </c>
      <c r="D656" s="33" t="str">
        <f ca="1">IFERROR(__xludf.DUMMYFUNCTION("""COMPUTED_VALUE"""),"وحدة المدني")</f>
        <v>وحدة المدني</v>
      </c>
      <c r="E656" s="23" t="str">
        <f ca="1">IFERROR(__xludf.DUMMYFUNCTION("""COMPUTED_VALUE"""),"قسم المشاريع الهندسية")</f>
        <v>قسم المشاريع الهندسية</v>
      </c>
      <c r="F656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656" s="23" t="str">
        <f ca="1">IFERROR(__xludf.DUMMYFUNCTION("""COMPUTED_VALUE"""),"الطابق الثاني, ZONE B")</f>
        <v>الطابق الثاني, ZONE B</v>
      </c>
      <c r="H656" s="23" t="str">
        <f ca="1">IFERROR(__xludf.DUMMYFUNCTION("""COMPUTED_VALUE"""),"تنشيف صفوف عدد ٤ من مياه الامطار")</f>
        <v>تنشيف صفوف عدد ٤ من مياه الامطار</v>
      </c>
      <c r="I656" s="23"/>
      <c r="J656" s="23" t="s">
        <v>16</v>
      </c>
      <c r="K656" s="23" t="s">
        <v>13</v>
      </c>
      <c r="L656" s="32"/>
      <c r="M656" s="23"/>
    </row>
    <row r="657" spans="1:13" ht="75" customHeight="1" thickTop="1" thickBot="1">
      <c r="A657" s="25">
        <v>655</v>
      </c>
      <c r="B657" s="32">
        <f ca="1">IFERROR(__xludf.DUMMYFUNCTION("""COMPUTED_VALUE"""),46141.313614699)</f>
        <v>46141.313614699</v>
      </c>
      <c r="C657" s="33" t="str">
        <f ca="1">IFERROR(__xludf.DUMMYFUNCTION("""COMPUTED_VALUE"""),"المعملجي")</f>
        <v>المعملجي</v>
      </c>
      <c r="D657" s="33" t="str">
        <f ca="1">IFERROR(__xludf.DUMMYFUNCTION("""COMPUTED_VALUE"""),"وحدة المدني")</f>
        <v>وحدة المدني</v>
      </c>
      <c r="E657" s="23" t="str">
        <f ca="1">IFERROR(__xludf.DUMMYFUNCTION("""COMPUTED_VALUE"""),"قسم المشاريع الهندسية")</f>
        <v>قسم المشاريع الهندسية</v>
      </c>
      <c r="F657" s="23" t="str">
        <f ca="1">IFERROR(__xludf.DUMMYFUNCTION("""COMPUTED_VALUE"""),"غرفة الكهرباء قرب المحطة")</f>
        <v>غرفة الكهرباء قرب المحطة</v>
      </c>
      <c r="G657" s="23" t="str">
        <f ca="1">IFERROR(__xludf.DUMMYFUNCTION("""COMPUTED_VALUE"""),"الطابق الارضي")</f>
        <v>الطابق الارضي</v>
      </c>
      <c r="H657" s="23" t="str">
        <f ca="1">IFERROR(__xludf.DUMMYFUNCTION("""COMPUTED_VALUE"""),"تطبيك مرمر")</f>
        <v>تطبيك مرمر</v>
      </c>
      <c r="I657" s="23"/>
      <c r="J657" s="23" t="s">
        <v>16</v>
      </c>
      <c r="K657" s="23" t="s">
        <v>13</v>
      </c>
      <c r="L657" s="32">
        <v>46141.313855486107</v>
      </c>
      <c r="M657" s="23"/>
    </row>
    <row r="658" spans="1:13" ht="75" customHeight="1" thickTop="1" thickBot="1">
      <c r="A658" s="23">
        <v>656</v>
      </c>
      <c r="B658" s="32">
        <f ca="1">IFERROR(__xludf.DUMMYFUNCTION("""COMPUTED_VALUE"""),46141.3152423032)</f>
        <v>46141.315242303201</v>
      </c>
      <c r="C658" s="33" t="str">
        <f ca="1">IFERROR(__xludf.DUMMYFUNCTION("""COMPUTED_VALUE"""),"المعملجي")</f>
        <v>المعملجي</v>
      </c>
      <c r="D658" s="33" t="str">
        <f ca="1">IFERROR(__xludf.DUMMYFUNCTION("""COMPUTED_VALUE"""),"وحدة المدني")</f>
        <v>وحدة المدني</v>
      </c>
      <c r="E658" s="23" t="str">
        <f ca="1">IFERROR(__xludf.DUMMYFUNCTION("""COMPUTED_VALUE"""),"قسم المشاريع الهندسية")</f>
        <v>قسم المشاريع الهندسية</v>
      </c>
      <c r="F658" s="23" t="str">
        <f ca="1">IFERROR(__xludf.DUMMYFUNCTION("""COMPUTED_VALUE"""),"F-  ابتدائية جود العميد للبنات (الرابعة)")</f>
        <v>F-  ابتدائية جود العميد للبنات (الرابعة)</v>
      </c>
      <c r="G658" s="23" t="str">
        <f ca="1">IFERROR(__xludf.DUMMYFUNCTION("""COMPUTED_VALUE"""),"الطابق الارضي")</f>
        <v>الطابق الارضي</v>
      </c>
      <c r="H658" s="23" t="str">
        <f ca="1">IFERROR(__xludf.DUMMYFUNCTION("""COMPUTED_VALUE"""),"فتح وتطبيك مقرنص مقابل مدرسة جود العميد")</f>
        <v>فتح وتطبيك مقرنص مقابل مدرسة جود العميد</v>
      </c>
      <c r="I658" s="23"/>
      <c r="J658" s="23" t="s">
        <v>16</v>
      </c>
      <c r="K658" s="23" t="s">
        <v>13</v>
      </c>
      <c r="L658" s="32">
        <v>46141.315333182865</v>
      </c>
      <c r="M658" s="23"/>
    </row>
    <row r="659" spans="1:13" ht="75" customHeight="1" thickTop="1" thickBot="1">
      <c r="A659" s="25">
        <v>657</v>
      </c>
      <c r="B659" s="32">
        <f ca="1">IFERROR(__xludf.DUMMYFUNCTION("""COMPUTED_VALUE"""),46142.3070210763)</f>
        <v>46142.307021076303</v>
      </c>
      <c r="C659" s="33" t="str">
        <f ca="1">IFERROR(__xludf.DUMMYFUNCTION("""COMPUTED_VALUE"""),"المعملجي")</f>
        <v>المعملجي</v>
      </c>
      <c r="D659" s="33" t="str">
        <f ca="1">IFERROR(__xludf.DUMMYFUNCTION("""COMPUTED_VALUE"""),"وحدة المدني")</f>
        <v>وحدة المدني</v>
      </c>
      <c r="E659" s="23" t="str">
        <f ca="1">IFERROR(__xludf.DUMMYFUNCTION("""COMPUTED_VALUE"""),"قسم المشاريع الهندسية")</f>
        <v>قسم المشاريع الهندسية</v>
      </c>
      <c r="F659" s="23" t="str">
        <f ca="1">IFERROR(__xludf.DUMMYFUNCTION("""COMPUTED_VALUE"""),"A- المركز الثقافي")</f>
        <v>A- المركز الثقافي</v>
      </c>
      <c r="G659" s="23" t="str">
        <f ca="1">IFERROR(__xludf.DUMMYFUNCTION("""COMPUTED_VALUE"""),"الطابق الرابع")</f>
        <v>الطابق الرابع</v>
      </c>
      <c r="H659" s="23" t="str">
        <f ca="1">IFERROR(__xludf.DUMMYFUNCTION("""COMPUTED_VALUE"""),"ارجاع سقوف ثانوية ")</f>
        <v xml:space="preserve">ارجاع سقوف ثانوية </v>
      </c>
      <c r="I659" s="23"/>
      <c r="J659" s="23" t="s">
        <v>16</v>
      </c>
      <c r="K659" s="23" t="s">
        <v>13</v>
      </c>
      <c r="L659" s="32"/>
      <c r="M659" s="23"/>
    </row>
    <row r="660" spans="1:13" ht="75" customHeight="1" thickTop="1" thickBot="1">
      <c r="A660" s="23">
        <v>658</v>
      </c>
      <c r="B660" s="32">
        <f ca="1">IFERROR(__xludf.DUMMYFUNCTION("""COMPUTED_VALUE"""),46142.3080321296)</f>
        <v>46142.3080321296</v>
      </c>
      <c r="C660" s="33" t="str">
        <f ca="1">IFERROR(__xludf.DUMMYFUNCTION("""COMPUTED_VALUE"""),"المعملجي")</f>
        <v>المعملجي</v>
      </c>
      <c r="D660" s="33" t="str">
        <f ca="1">IFERROR(__xludf.DUMMYFUNCTION("""COMPUTED_VALUE"""),"وحدة المدني")</f>
        <v>وحدة المدني</v>
      </c>
      <c r="E660" s="23" t="str">
        <f ca="1">IFERROR(__xludf.DUMMYFUNCTION("""COMPUTED_VALUE"""),"قسم المشاريع الهندسية")</f>
        <v>قسم المشاريع الهندسية</v>
      </c>
      <c r="F660" s="23" t="str">
        <f ca="1">IFERROR(__xludf.DUMMYFUNCTION("""COMPUTED_VALUE"""),"A- المركز الثقافي")</f>
        <v>A- المركز الثقافي</v>
      </c>
      <c r="G660" s="23" t="str">
        <f ca="1">IFERROR(__xludf.DUMMYFUNCTION("""COMPUTED_VALUE"""),"الطابق الثاني")</f>
        <v>الطابق الثاني</v>
      </c>
      <c r="H660" s="23" t="str">
        <f ca="1">IFERROR(__xludf.DUMMYFUNCTION("""COMPUTED_VALUE"""),"تركيب قطعة لوح ")</f>
        <v xml:space="preserve">تركيب قطعة لوح </v>
      </c>
      <c r="I660" s="23"/>
      <c r="J660" s="23" t="s">
        <v>16</v>
      </c>
      <c r="K660" s="23" t="s">
        <v>13</v>
      </c>
      <c r="L660" s="32"/>
      <c r="M660" s="23"/>
    </row>
    <row r="661" spans="1:13" ht="75" customHeight="1" thickTop="1" thickBot="1">
      <c r="A661" s="25">
        <v>659</v>
      </c>
      <c r="B661" s="32">
        <f ca="1">IFERROR(__xludf.DUMMYFUNCTION("""COMPUTED_VALUE"""),46142.308628831)</f>
        <v>46142.308628831001</v>
      </c>
      <c r="C661" s="33" t="str">
        <f ca="1">IFERROR(__xludf.DUMMYFUNCTION("""COMPUTED_VALUE"""),"المعملجي")</f>
        <v>المعملجي</v>
      </c>
      <c r="D661" s="33" t="str">
        <f ca="1">IFERROR(__xludf.DUMMYFUNCTION("""COMPUTED_VALUE"""),"وحدة المدني")</f>
        <v>وحدة المدني</v>
      </c>
      <c r="E661" s="23" t="str">
        <f ca="1">IFERROR(__xludf.DUMMYFUNCTION("""COMPUTED_VALUE"""),"قسم المشاريع الهندسية")</f>
        <v>قسم المشاريع الهندسية</v>
      </c>
      <c r="F661" s="23" t="str">
        <f ca="1">IFERROR(__xludf.DUMMYFUNCTION("""COMPUTED_VALUE"""),"A- المركز الثقافي")</f>
        <v>A- المركز الثقافي</v>
      </c>
      <c r="G661" s="23" t="str">
        <f ca="1">IFERROR(__xludf.DUMMYFUNCTION("""COMPUTED_VALUE"""),"الطابق الثاني")</f>
        <v>الطابق الثاني</v>
      </c>
      <c r="H661" s="23" t="str">
        <f ca="1">IFERROR(__xludf.DUMMYFUNCTION("""COMPUTED_VALUE"""),"تركيب بردة ")</f>
        <v xml:space="preserve">تركيب بردة </v>
      </c>
      <c r="I661" s="23"/>
      <c r="J661" s="23" t="s">
        <v>16</v>
      </c>
      <c r="K661" s="23" t="s">
        <v>13</v>
      </c>
      <c r="L661" s="32"/>
      <c r="M661" s="23"/>
    </row>
    <row r="662" spans="1:13" ht="75" customHeight="1" thickTop="1" thickBot="1">
      <c r="A662" s="23">
        <v>660</v>
      </c>
      <c r="B662" s="32">
        <f ca="1">IFERROR(__xludf.DUMMYFUNCTION("""COMPUTED_VALUE"""),46142.343159375)</f>
        <v>46142.343159374999</v>
      </c>
      <c r="C662" s="33" t="str">
        <f ca="1">IFERROR(__xludf.DUMMYFUNCTION("""COMPUTED_VALUE"""),"المعملجي")</f>
        <v>المعملجي</v>
      </c>
      <c r="D662" s="33" t="str">
        <f ca="1">IFERROR(__xludf.DUMMYFUNCTION("""COMPUTED_VALUE"""),"سجاد تربية")</f>
        <v>سجاد تربية</v>
      </c>
      <c r="E662" s="23" t="str">
        <f ca="1">IFERROR(__xludf.DUMMYFUNCTION("""COMPUTED_VALUE"""),"قسم التربية والتعليم العالي")</f>
        <v>قسم التربية والتعليم العالي</v>
      </c>
      <c r="F662" s="23" t="str">
        <f ca="1">IFERROR(__xludf.DUMMYFUNCTION("""COMPUTED_VALUE"""),"B- روضة القمر")</f>
        <v>B- روضة القمر</v>
      </c>
      <c r="G662" s="23" t="str">
        <f ca="1">IFERROR(__xludf.DUMMYFUNCTION("""COMPUTED_VALUE"""),"الطابق الارضي")</f>
        <v>الطابق الارضي</v>
      </c>
      <c r="H662" s="23" t="str">
        <f ca="1">IFERROR(__xludf.DUMMYFUNCTION("""COMPUTED_VALUE"""),"صيانة الباب الرئيسية ")</f>
        <v xml:space="preserve">صيانة الباب الرئيسية </v>
      </c>
      <c r="I662" s="23"/>
      <c r="J662" s="23" t="s">
        <v>16</v>
      </c>
      <c r="K662" s="23" t="s">
        <v>13</v>
      </c>
      <c r="L662" s="32">
        <v>46142.469404722222</v>
      </c>
      <c r="M662" s="23"/>
    </row>
    <row r="663" spans="1:13" ht="75" customHeight="1" thickTop="1" thickBot="1">
      <c r="A663" s="25">
        <v>661</v>
      </c>
      <c r="B663" s="32">
        <f ca="1">IFERROR(__xludf.DUMMYFUNCTION("""COMPUTED_VALUE"""),46142.3818029513)</f>
        <v>46142.381802951299</v>
      </c>
      <c r="C663" s="33" t="str">
        <f ca="1">IFERROR(__xludf.DUMMYFUNCTION("""COMPUTED_VALUE"""),"المعملجي")</f>
        <v>المعملجي</v>
      </c>
      <c r="D663" s="33" t="str">
        <f ca="1">IFERROR(__xludf.DUMMYFUNCTION("""COMPUTED_VALUE"""),"سجاد تربية")</f>
        <v>سجاد تربية</v>
      </c>
      <c r="E663" s="23" t="str">
        <f ca="1">IFERROR(__xludf.DUMMYFUNCTION("""COMPUTED_VALUE"""),"قسم التربية والتعليم العالي")</f>
        <v>قسم التربية والتعليم العالي</v>
      </c>
      <c r="F663" s="23" t="str">
        <f ca="1">IFERROR(__xludf.DUMMYFUNCTION("""COMPUTED_VALUE"""),"B- روضة القمر")</f>
        <v>B- روضة القمر</v>
      </c>
      <c r="G663" s="23" t="str">
        <f ca="1">IFERROR(__xludf.DUMMYFUNCTION("""COMPUTED_VALUE"""),"صف النجوم ")</f>
        <v xml:space="preserve">صف النجوم </v>
      </c>
      <c r="H663" s="23" t="str">
        <f ca="1">IFERROR(__xludf.DUMMYFUNCTION("""COMPUTED_VALUE"""),"صيانة باب حمام ")</f>
        <v xml:space="preserve">صيانة باب حمام </v>
      </c>
      <c r="I663" s="23"/>
      <c r="J663" s="23" t="s">
        <v>16</v>
      </c>
      <c r="K663" s="23" t="s">
        <v>13</v>
      </c>
      <c r="L663" s="32">
        <v>46142.426541851848</v>
      </c>
      <c r="M663" s="23"/>
    </row>
    <row r="664" spans="1:13" ht="75" customHeight="1" thickTop="1" thickBot="1">
      <c r="A664" s="23">
        <v>662</v>
      </c>
      <c r="B664" s="32">
        <f ca="1">IFERROR(__xludf.DUMMYFUNCTION("""COMPUTED_VALUE"""),46142.4683124189)</f>
        <v>46142.468312418903</v>
      </c>
      <c r="C664" s="33" t="str">
        <f ca="1">IFERROR(__xludf.DUMMYFUNCTION("""COMPUTED_VALUE"""),"المعملجي")</f>
        <v>المعملجي</v>
      </c>
      <c r="D664" s="33" t="str">
        <f ca="1">IFERROR(__xludf.DUMMYFUNCTION("""COMPUTED_VALUE"""),"سجاد تربية")</f>
        <v>سجاد تربية</v>
      </c>
      <c r="E664" s="23" t="str">
        <f ca="1">IFERROR(__xludf.DUMMYFUNCTION("""COMPUTED_VALUE"""),"قسم التربية والتعليم العالي")</f>
        <v>قسم التربية والتعليم العالي</v>
      </c>
      <c r="F664" s="23" t="str">
        <f ca="1">IFERROR(__xludf.DUMMYFUNCTION("""COMPUTED_VALUE"""),"I- ابتدائية الساقي للبنين (السادسة)")</f>
        <v>I- ابتدائية الساقي للبنين (السادسة)</v>
      </c>
      <c r="G664" s="23" t="str">
        <f ca="1">IFERROR(__xludf.DUMMYFUNCTION("""COMPUTED_VALUE"""),"الطابق الاول")</f>
        <v>الطابق الاول</v>
      </c>
      <c r="H664" s="23" t="str">
        <f ca="1">IFERROR(__xludf.DUMMYFUNCTION("""COMPUTED_VALUE"""),"صيانة رحلات ")</f>
        <v xml:space="preserve">صيانة رحلات </v>
      </c>
      <c r="I664" s="23"/>
      <c r="J664" s="23" t="s">
        <v>16</v>
      </c>
      <c r="K664" s="23" t="s">
        <v>13</v>
      </c>
      <c r="L664" s="32">
        <v>46144.483160081014</v>
      </c>
      <c r="M664" s="23"/>
    </row>
    <row r="665" spans="1:13" ht="75" customHeight="1" thickTop="1" thickBot="1">
      <c r="A665" s="25">
        <v>663</v>
      </c>
      <c r="B665" s="32">
        <f ca="1">IFERROR(__xludf.DUMMYFUNCTION("""COMPUTED_VALUE"""),46142.471009074)</f>
        <v>46142.471009073997</v>
      </c>
      <c r="C665" s="33" t="str">
        <f ca="1">IFERROR(__xludf.DUMMYFUNCTION("""COMPUTED_VALUE"""),"المعملجي")</f>
        <v>المعملجي</v>
      </c>
      <c r="D665" s="33" t="str">
        <f ca="1">IFERROR(__xludf.DUMMYFUNCTION("""COMPUTED_VALUE"""),"وحدة المدني")</f>
        <v>وحدة المدني</v>
      </c>
      <c r="E665" s="23" t="str">
        <f ca="1">IFERROR(__xludf.DUMMYFUNCTION("""COMPUTED_VALUE"""),"قسم المشاريع الهندسية")</f>
        <v>قسم المشاريع الهندسية</v>
      </c>
      <c r="F665" s="23" t="str">
        <f ca="1">IFERROR(__xludf.DUMMYFUNCTION("""COMPUTED_VALUE"""),"A- المركز الثقافي")</f>
        <v>A- المركز الثقافي</v>
      </c>
      <c r="G665" s="23" t="str">
        <f ca="1">IFERROR(__xludf.DUMMYFUNCTION("""COMPUTED_VALUE"""),"الطابق الاول")</f>
        <v>الطابق الاول</v>
      </c>
      <c r="H665" s="23" t="str">
        <f ca="1">IFERROR(__xludf.DUMMYFUNCTION("""COMPUTED_VALUE"""),"سد فتحات سبلت كنتوري عدد 2 ")</f>
        <v xml:space="preserve">سد فتحات سبلت كنتوري عدد 2 </v>
      </c>
      <c r="I665" s="23"/>
      <c r="J665" s="23" t="s">
        <v>16</v>
      </c>
      <c r="K665" s="23" t="s">
        <v>13</v>
      </c>
      <c r="L665" s="32">
        <v>46142.471263518513</v>
      </c>
      <c r="M665" s="23"/>
    </row>
    <row r="666" spans="1:13" ht="75" customHeight="1" thickTop="1" thickBot="1">
      <c r="A666" s="23">
        <v>664</v>
      </c>
      <c r="B666" s="32">
        <f ca="1">IFERROR(__xludf.DUMMYFUNCTION("""COMPUTED_VALUE"""),46142.5266565277)</f>
        <v>46142.526656527698</v>
      </c>
      <c r="C666" s="33" t="str">
        <f ca="1">IFERROR(__xludf.DUMMYFUNCTION("""COMPUTED_VALUE"""),"المعملجي")</f>
        <v>المعملجي</v>
      </c>
      <c r="D666" s="33" t="str">
        <f ca="1">IFERROR(__xludf.DUMMYFUNCTION("""COMPUTED_VALUE"""),"سجاد تربية")</f>
        <v>سجاد تربية</v>
      </c>
      <c r="E666" s="23" t="str">
        <f ca="1">IFERROR(__xludf.DUMMYFUNCTION("""COMPUTED_VALUE"""),"قسم التربية والتعليم العالي")</f>
        <v>قسم التربية والتعليم العالي</v>
      </c>
      <c r="F666" s="23" t="str">
        <f ca="1">IFERROR(__xludf.DUMMYFUNCTION("""COMPUTED_VALUE"""),"B- روضة القمر")</f>
        <v>B- روضة القمر</v>
      </c>
      <c r="G666" s="23" t="str">
        <f ca="1">IFERROR(__xludf.DUMMYFUNCTION("""COMPUTED_VALUE"""),"الطابق الارضي, الطابق الاول")</f>
        <v>الطابق الارضي, الطابق الاول</v>
      </c>
      <c r="H666" s="23" t="str">
        <f ca="1">IFERROR(__xludf.DUMMYFUNCTION("""COMPUTED_VALUE"""),"صيانة ميز عدد 2")</f>
        <v>صيانة ميز عدد 2</v>
      </c>
      <c r="I666" s="23"/>
      <c r="J666" s="23" t="s">
        <v>16</v>
      </c>
      <c r="K666" s="23" t="s">
        <v>13</v>
      </c>
      <c r="L666" s="32">
        <v>46142.527261365743</v>
      </c>
      <c r="M666" s="23"/>
    </row>
    <row r="667" spans="1:13" ht="75" customHeight="1" thickTop="1" thickBot="1">
      <c r="A667" s="25">
        <v>665</v>
      </c>
      <c r="B667" s="32">
        <f ca="1">IFERROR(__xludf.DUMMYFUNCTION("""COMPUTED_VALUE"""),46146.3663842245)</f>
        <v>46146.366384224501</v>
      </c>
      <c r="C667" s="33" t="str">
        <f ca="1">IFERROR(__xludf.DUMMYFUNCTION("""COMPUTED_VALUE"""),"المعملجي")</f>
        <v>المعملجي</v>
      </c>
      <c r="D667" s="33" t="str">
        <f ca="1">IFERROR(__xludf.DUMMYFUNCTION("""COMPUTED_VALUE"""),"وحدة المدني")</f>
        <v>وحدة المدني</v>
      </c>
      <c r="E667" s="23" t="str">
        <f ca="1">IFERROR(__xludf.DUMMYFUNCTION("""COMPUTED_VALUE"""),"قسم المشاريع الهندسية")</f>
        <v>قسم المشاريع الهندسية</v>
      </c>
      <c r="F667" s="23" t="str">
        <f ca="1">IFERROR(__xludf.DUMMYFUNCTION("""COMPUTED_VALUE"""),"A- المركز الثقافي")</f>
        <v>A- المركز الثقافي</v>
      </c>
      <c r="G667" s="23" t="str">
        <f ca="1">IFERROR(__xludf.DUMMYFUNCTION("""COMPUTED_VALUE"""),"الطابق الثالث, السطح")</f>
        <v>الطابق الثالث, السطح</v>
      </c>
      <c r="H667" s="23" t="str">
        <f ca="1">IFERROR(__xludf.DUMMYFUNCTION("""COMPUTED_VALUE"""),"شربته سطح المصلى ")</f>
        <v xml:space="preserve">شربته سطح المصلى </v>
      </c>
      <c r="I667" s="23"/>
      <c r="J667" s="23" t="s">
        <v>16</v>
      </c>
      <c r="K667" s="23" t="s">
        <v>13</v>
      </c>
      <c r="L667" s="32"/>
      <c r="M667" s="23"/>
    </row>
    <row r="668" spans="1:13" ht="75" customHeight="1" thickTop="1" thickBot="1">
      <c r="A668" s="23">
        <v>666</v>
      </c>
      <c r="B668" s="32">
        <f ca="1">IFERROR(__xludf.DUMMYFUNCTION("""COMPUTED_VALUE"""),46146.3672182638)</f>
        <v>46146.367218263797</v>
      </c>
      <c r="C668" s="33" t="str">
        <f ca="1">IFERROR(__xludf.DUMMYFUNCTION("""COMPUTED_VALUE"""),"المعملجي")</f>
        <v>المعملجي</v>
      </c>
      <c r="D668" s="33" t="str">
        <f ca="1">IFERROR(__xludf.DUMMYFUNCTION("""COMPUTED_VALUE"""),"وحدة المدني")</f>
        <v>وحدة المدني</v>
      </c>
      <c r="E668" s="23" t="str">
        <f ca="1">IFERROR(__xludf.DUMMYFUNCTION("""COMPUTED_VALUE"""),"قسم المشاريع الهندسية")</f>
        <v>قسم المشاريع الهندسية</v>
      </c>
      <c r="F668" s="23" t="str">
        <f ca="1">IFERROR(__xludf.DUMMYFUNCTION("""COMPUTED_VALUE"""),"E- ابتدائية العميد للبنات (الثالثة)")</f>
        <v>E- ابتدائية العميد للبنات (الثالثة)</v>
      </c>
      <c r="G668" s="23" t="str">
        <f ca="1">IFERROR(__xludf.DUMMYFUNCTION("""COMPUTED_VALUE"""),"الطابق الاول, ZONE B")</f>
        <v>الطابق الاول, ZONE B</v>
      </c>
      <c r="H668" s="23" t="str">
        <f ca="1">IFERROR(__xludf.DUMMYFUNCTION("""COMPUTED_VALUE"""),"تبديل لبة باب المنيوم ")</f>
        <v xml:space="preserve">تبديل لبة باب المنيوم </v>
      </c>
      <c r="I668" s="23"/>
      <c r="J668" s="23" t="s">
        <v>16</v>
      </c>
      <c r="K668" s="23" t="s">
        <v>13</v>
      </c>
      <c r="L668" s="32"/>
      <c r="M668" s="23"/>
    </row>
    <row r="669" spans="1:13" ht="75" customHeight="1" thickTop="1" thickBot="1">
      <c r="A669" s="25">
        <v>667</v>
      </c>
      <c r="B669" s="32">
        <f ca="1">IFERROR(__xludf.DUMMYFUNCTION("""COMPUTED_VALUE"""),46146.515700949)</f>
        <v>46146.515700948999</v>
      </c>
      <c r="C669" s="33" t="str">
        <f ca="1">IFERROR(__xludf.DUMMYFUNCTION("""COMPUTED_VALUE"""),"المعملجي")</f>
        <v>المعملجي</v>
      </c>
      <c r="D669" s="33" t="str">
        <f ca="1">IFERROR(__xludf.DUMMYFUNCTION("""COMPUTED_VALUE"""),"سجاد تربية")</f>
        <v>سجاد تربية</v>
      </c>
      <c r="E669" s="23" t="str">
        <f ca="1">IFERROR(__xludf.DUMMYFUNCTION("""COMPUTED_VALUE"""),"قسم التربية والتعليم العالي")</f>
        <v>قسم التربية والتعليم العالي</v>
      </c>
      <c r="F669" s="23" t="str">
        <f ca="1">IFERROR(__xludf.DUMMYFUNCTION("""COMPUTED_VALUE"""),"A- المركز الثقافي")</f>
        <v>A- المركز الثقافي</v>
      </c>
      <c r="G669" s="23" t="str">
        <f ca="1">IFERROR(__xludf.DUMMYFUNCTION("""COMPUTED_VALUE"""),"الطابق الثاني")</f>
        <v>الطابق الثاني</v>
      </c>
      <c r="H669" s="23" t="str">
        <f ca="1">IFERROR(__xludf.DUMMYFUNCTION("""COMPUTED_VALUE"""),"صيانة نرمايد في الكاونتر ")</f>
        <v xml:space="preserve">صيانة نرمايد في الكاونتر </v>
      </c>
      <c r="I669" s="23"/>
      <c r="J669" s="23" t="s">
        <v>16</v>
      </c>
      <c r="K669" s="23" t="s">
        <v>13</v>
      </c>
      <c r="L669" s="32">
        <v>46147.576613136574</v>
      </c>
      <c r="M669" s="23"/>
    </row>
    <row r="670" spans="1:13" ht="75" customHeight="1" thickTop="1" thickBot="1">
      <c r="A670" s="23">
        <v>668</v>
      </c>
      <c r="B670" s="32">
        <f ca="1">IFERROR(__xludf.DUMMYFUNCTION("""COMPUTED_VALUE"""),46147.3849478819)</f>
        <v>46147.384947881903</v>
      </c>
      <c r="C670" s="33" t="str">
        <f ca="1">IFERROR(__xludf.DUMMYFUNCTION("""COMPUTED_VALUE"""),"المعملجي")</f>
        <v>المعملجي</v>
      </c>
      <c r="D670" s="33" t="str">
        <f ca="1">IFERROR(__xludf.DUMMYFUNCTION("""COMPUTED_VALUE"""),"سجاد تربية")</f>
        <v>سجاد تربية</v>
      </c>
      <c r="E670" s="23" t="str">
        <f ca="1">IFERROR(__xludf.DUMMYFUNCTION("""COMPUTED_VALUE"""),"قسم المشاريع الهندسية, قسم التربية والتعليم العالي")</f>
        <v>قسم المشاريع الهندسية, قسم التربية والتعليم العالي</v>
      </c>
      <c r="F670" s="23" t="str">
        <f ca="1">IFERROR(__xludf.DUMMYFUNCTION("""COMPUTED_VALUE"""),"I- ابتدائية الساقي للبنين (السادسة)")</f>
        <v>I- ابتدائية الساقي للبنين (السادسة)</v>
      </c>
      <c r="G670" s="23" t="str">
        <f ca="1">IFERROR(__xludf.DUMMYFUNCTION("""COMPUTED_VALUE"""),"الطابق الاول")</f>
        <v>الطابق الاول</v>
      </c>
      <c r="H670" s="23" t="str">
        <f ca="1">IFERROR(__xludf.DUMMYFUNCTION("""COMPUTED_VALUE"""),"صيانة يدة باب ")</f>
        <v xml:space="preserve">صيانة يدة باب </v>
      </c>
      <c r="I670" s="23"/>
      <c r="J670" s="23" t="s">
        <v>16</v>
      </c>
      <c r="K670" s="23" t="s">
        <v>13</v>
      </c>
      <c r="L670" s="32">
        <v>46147.45864542824</v>
      </c>
      <c r="M670" s="23"/>
    </row>
    <row r="671" spans="1:13" ht="75" customHeight="1" thickTop="1" thickBot="1">
      <c r="A671" s="25">
        <v>669</v>
      </c>
      <c r="B671" s="32">
        <f ca="1">IFERROR(__xludf.DUMMYFUNCTION("""COMPUTED_VALUE"""),46147.3853994791)</f>
        <v>46147.385399479099</v>
      </c>
      <c r="C671" s="33" t="str">
        <f ca="1">IFERROR(__xludf.DUMMYFUNCTION("""COMPUTED_VALUE"""),"المعملجي")</f>
        <v>المعملجي</v>
      </c>
      <c r="D671" s="33" t="str">
        <f ca="1">IFERROR(__xludf.DUMMYFUNCTION("""COMPUTED_VALUE"""),"سجاد تربية")</f>
        <v>سجاد تربية</v>
      </c>
      <c r="E671" s="23" t="str">
        <f ca="1">IFERROR(__xludf.DUMMYFUNCTION("""COMPUTED_VALUE"""),"قسم التربية والتعليم العالي")</f>
        <v>قسم التربية والتعليم العالي</v>
      </c>
      <c r="F671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671" s="23" t="str">
        <f ca="1">IFERROR(__xludf.DUMMYFUNCTION("""COMPUTED_VALUE"""),"الطابق الارضي")</f>
        <v>الطابق الارضي</v>
      </c>
      <c r="H671" s="23" t="str">
        <f ca="1">IFERROR(__xludf.DUMMYFUNCTION("""COMPUTED_VALUE"""),"صيانة رحلات")</f>
        <v>صيانة رحلات</v>
      </c>
      <c r="I671" s="23"/>
      <c r="J671" s="23" t="s">
        <v>16</v>
      </c>
      <c r="K671" s="23" t="s">
        <v>13</v>
      </c>
      <c r="L671" s="32">
        <v>46147.458620648147</v>
      </c>
      <c r="M671" s="23"/>
    </row>
    <row r="672" spans="1:13" ht="75" customHeight="1" thickTop="1" thickBot="1">
      <c r="A672" s="23">
        <v>670</v>
      </c>
      <c r="B672" s="32">
        <f ca="1">IFERROR(__xludf.DUMMYFUNCTION("""COMPUTED_VALUE"""),46147.3873833912)</f>
        <v>46147.3873833912</v>
      </c>
      <c r="C672" s="33" t="str">
        <f ca="1">IFERROR(__xludf.DUMMYFUNCTION("""COMPUTED_VALUE"""),"المعملجي")</f>
        <v>المعملجي</v>
      </c>
      <c r="D672" s="33" t="str">
        <f ca="1">IFERROR(__xludf.DUMMYFUNCTION("""COMPUTED_VALUE"""),"سجاد تربية")</f>
        <v>سجاد تربية</v>
      </c>
      <c r="E672" s="23" t="str">
        <f ca="1">IFERROR(__xludf.DUMMYFUNCTION("""COMPUTED_VALUE"""),"قسم التربية والتعليم العالي")</f>
        <v>قسم التربية والتعليم العالي</v>
      </c>
      <c r="F672" s="23" t="str">
        <f ca="1">IFERROR(__xludf.DUMMYFUNCTION("""COMPUTED_VALUE"""),"الاستعلامات الرئيسية")</f>
        <v>الاستعلامات الرئيسية</v>
      </c>
      <c r="G672" s="23" t="str">
        <f ca="1">IFERROR(__xludf.DUMMYFUNCTION("""COMPUTED_VALUE"""),"الطابق الارضي")</f>
        <v>الطابق الارضي</v>
      </c>
      <c r="H672" s="23" t="str">
        <f ca="1">IFERROR(__xludf.DUMMYFUNCTION("""COMPUTED_VALUE"""),"شد ساعة جدارية")</f>
        <v>شد ساعة جدارية</v>
      </c>
      <c r="I672" s="23"/>
      <c r="J672" s="23" t="s">
        <v>16</v>
      </c>
      <c r="K672" s="23" t="s">
        <v>13</v>
      </c>
      <c r="L672" s="32">
        <v>46147.388611423608</v>
      </c>
      <c r="M672" s="23"/>
    </row>
    <row r="673" spans="1:13" ht="75" customHeight="1" thickTop="1" thickBot="1">
      <c r="A673" s="25">
        <v>671</v>
      </c>
      <c r="B673" s="32">
        <f ca="1">IFERROR(__xludf.DUMMYFUNCTION("""COMPUTED_VALUE"""),46147.3884829166)</f>
        <v>46147.388482916598</v>
      </c>
      <c r="C673" s="33" t="str">
        <f ca="1">IFERROR(__xludf.DUMMYFUNCTION("""COMPUTED_VALUE"""),"المعملجي")</f>
        <v>المعملجي</v>
      </c>
      <c r="D673" s="33" t="str">
        <f ca="1">IFERROR(__xludf.DUMMYFUNCTION("""COMPUTED_VALUE"""),"وحدة المدني")</f>
        <v>وحدة المدني</v>
      </c>
      <c r="E673" s="23" t="str">
        <f ca="1">IFERROR(__xludf.DUMMYFUNCTION("""COMPUTED_VALUE"""),"قسم المشاريع الهندسية")</f>
        <v>قسم المشاريع الهندسية</v>
      </c>
      <c r="F673" s="23" t="str">
        <f ca="1">IFERROR(__xludf.DUMMYFUNCTION("""COMPUTED_VALUE"""),"A- المركز الثقافي")</f>
        <v>A- المركز الثقافي</v>
      </c>
      <c r="G673" s="23" t="str">
        <f ca="1">IFERROR(__xludf.DUMMYFUNCTION("""COMPUTED_VALUE"""),"الطابق الثالث")</f>
        <v>الطابق الثالث</v>
      </c>
      <c r="H673" s="23" t="str">
        <f ca="1">IFERROR(__xludf.DUMMYFUNCTION("""COMPUTED_VALUE"""),"شربته سطح المصلى ")</f>
        <v xml:space="preserve">شربته سطح المصلى </v>
      </c>
      <c r="I673" s="23"/>
      <c r="J673" s="23" t="s">
        <v>16</v>
      </c>
      <c r="K673" s="23" t="s">
        <v>13</v>
      </c>
      <c r="L673" s="32">
        <v>46147.388623877312</v>
      </c>
      <c r="M673" s="23"/>
    </row>
    <row r="674" spans="1:13" ht="75" customHeight="1" thickTop="1" thickBot="1">
      <c r="A674" s="23">
        <v>672</v>
      </c>
      <c r="B674" s="32">
        <f ca="1">IFERROR(__xludf.DUMMYFUNCTION("""COMPUTED_VALUE"""),46147.5480410185)</f>
        <v>46147.548041018497</v>
      </c>
      <c r="C674" s="33" t="str">
        <f ca="1">IFERROR(__xludf.DUMMYFUNCTION("""COMPUTED_VALUE"""),"المعملجي")</f>
        <v>المعملجي</v>
      </c>
      <c r="D674" s="33" t="str">
        <f ca="1">IFERROR(__xludf.DUMMYFUNCTION("""COMPUTED_VALUE"""),"سجاد تربية")</f>
        <v>سجاد تربية</v>
      </c>
      <c r="E674" s="23" t="str">
        <f ca="1">IFERROR(__xludf.DUMMYFUNCTION("""COMPUTED_VALUE"""),"قسم التربية والتعليم العالي")</f>
        <v>قسم التربية والتعليم العالي</v>
      </c>
      <c r="F674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74" s="23" t="str">
        <f ca="1">IFERROR(__xludf.DUMMYFUNCTION("""COMPUTED_VALUE"""),"الطابق الثاني")</f>
        <v>الطابق الثاني</v>
      </c>
      <c r="H674" s="23" t="str">
        <f ca="1">IFERROR(__xludf.DUMMYFUNCTION("""COMPUTED_VALUE"""),"صيانة يدأت شبابيك")</f>
        <v>صيانة يدأت شبابيك</v>
      </c>
      <c r="I674" s="23"/>
      <c r="J674" s="23" t="s">
        <v>16</v>
      </c>
      <c r="K674" s="23" t="s">
        <v>13</v>
      </c>
      <c r="L674" s="32">
        <v>46148.376151979166</v>
      </c>
      <c r="M674" s="23"/>
    </row>
    <row r="675" spans="1:13" ht="75" customHeight="1" thickTop="1" thickBot="1">
      <c r="A675" s="25">
        <v>673</v>
      </c>
      <c r="B675" s="32">
        <f ca="1">IFERROR(__xludf.DUMMYFUNCTION("""COMPUTED_VALUE"""),46147.5775692129)</f>
        <v>46147.577569212903</v>
      </c>
      <c r="C675" s="33" t="str">
        <f ca="1">IFERROR(__xludf.DUMMYFUNCTION("""COMPUTED_VALUE"""),"المعملجي")</f>
        <v>المعملجي</v>
      </c>
      <c r="D675" s="33" t="str">
        <f ca="1">IFERROR(__xludf.DUMMYFUNCTION("""COMPUTED_VALUE"""),"سجاد تربية")</f>
        <v>سجاد تربية</v>
      </c>
      <c r="E675" s="23" t="str">
        <f ca="1">IFERROR(__xludf.DUMMYFUNCTION("""COMPUTED_VALUE"""),"قسم التربية والتعليم العالي")</f>
        <v>قسم التربية والتعليم العالي</v>
      </c>
      <c r="F675" s="23" t="str">
        <f ca="1">IFERROR(__xludf.DUMMYFUNCTION("""COMPUTED_VALUE"""),"A- المركز الثقافي")</f>
        <v>A- المركز الثقافي</v>
      </c>
      <c r="G675" s="23" t="str">
        <f ca="1">IFERROR(__xludf.DUMMYFUNCTION("""COMPUTED_VALUE"""),"الطابق الاول")</f>
        <v>الطابق الاول</v>
      </c>
      <c r="H675" s="23" t="str">
        <f ca="1">IFERROR(__xludf.DUMMYFUNCTION("""COMPUTED_VALUE"""),"تعليق ساعة جدارية")</f>
        <v>تعليق ساعة جدارية</v>
      </c>
      <c r="I675" s="23"/>
      <c r="J675" s="23" t="s">
        <v>16</v>
      </c>
      <c r="K675" s="23" t="s">
        <v>13</v>
      </c>
      <c r="L675" s="32">
        <v>46147.578634895835</v>
      </c>
      <c r="M675" s="23"/>
    </row>
    <row r="676" spans="1:13" ht="75" customHeight="1" thickTop="1" thickBot="1">
      <c r="A676" s="23">
        <v>674</v>
      </c>
      <c r="B676" s="32">
        <f ca="1">IFERROR(__xludf.DUMMYFUNCTION("""COMPUTED_VALUE"""),46147.57849853)</f>
        <v>46147.578498529998</v>
      </c>
      <c r="C676" s="33" t="str">
        <f ca="1">IFERROR(__xludf.DUMMYFUNCTION("""COMPUTED_VALUE"""),"المعملجي")</f>
        <v>المعملجي</v>
      </c>
      <c r="D676" s="33" t="str">
        <f ca="1">IFERROR(__xludf.DUMMYFUNCTION("""COMPUTED_VALUE"""),"سجاد تربية")</f>
        <v>سجاد تربية</v>
      </c>
      <c r="E676" s="23" t="str">
        <f ca="1">IFERROR(__xludf.DUMMYFUNCTION("""COMPUTED_VALUE"""),"قسم التربية والتعليم العالي")</f>
        <v>قسم التربية والتعليم العالي</v>
      </c>
      <c r="F676" s="23" t="str">
        <f ca="1">IFERROR(__xludf.DUMMYFUNCTION("""COMPUTED_VALUE"""),"I- ابتدائية الساقي للبنين (السادسة)")</f>
        <v>I- ابتدائية الساقي للبنين (السادسة)</v>
      </c>
      <c r="G676" s="23" t="str">
        <f ca="1">IFERROR(__xludf.DUMMYFUNCTION("""COMPUTED_VALUE"""),"الطابق الاول")</f>
        <v>الطابق الاول</v>
      </c>
      <c r="H676" s="23" t="str">
        <f ca="1">IFERROR(__xludf.DUMMYFUNCTION("""COMPUTED_VALUE"""),"صيانة بردة")</f>
        <v>صيانة بردة</v>
      </c>
      <c r="I676" s="23"/>
      <c r="J676" s="23" t="s">
        <v>16</v>
      </c>
      <c r="K676" s="23" t="s">
        <v>13</v>
      </c>
      <c r="L676" s="32">
        <v>46147.578653321762</v>
      </c>
      <c r="M676" s="23"/>
    </row>
    <row r="677" spans="1:13" ht="75" customHeight="1" thickTop="1" thickBot="1">
      <c r="A677" s="25">
        <v>675</v>
      </c>
      <c r="B677" s="32">
        <f ca="1">IFERROR(__xludf.DUMMYFUNCTION("""COMPUTED_VALUE"""),46148.4653500463)</f>
        <v>46148.465350046303</v>
      </c>
      <c r="C677" s="33" t="str">
        <f ca="1">IFERROR(__xludf.DUMMYFUNCTION("""COMPUTED_VALUE"""),"المعملجي")</f>
        <v>المعملجي</v>
      </c>
      <c r="D677" s="33" t="str">
        <f ca="1">IFERROR(__xludf.DUMMYFUNCTION("""COMPUTED_VALUE"""),"سجاد تربية")</f>
        <v>سجاد تربية</v>
      </c>
      <c r="E677" s="23" t="str">
        <f ca="1">IFERROR(__xludf.DUMMYFUNCTION("""COMPUTED_VALUE"""),"قسم التربية والتعليم العالي")</f>
        <v>قسم التربية والتعليم العالي</v>
      </c>
      <c r="F67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77" s="23" t="str">
        <f ca="1">IFERROR(__xludf.DUMMYFUNCTION("""COMPUTED_VALUE"""),"الطابق الثاني")</f>
        <v>الطابق الثاني</v>
      </c>
      <c r="H677" s="23" t="str">
        <f ca="1">IFERROR(__xludf.DUMMYFUNCTION("""COMPUTED_VALUE"""),"صيانة يدة شباك ")</f>
        <v xml:space="preserve">صيانة يدة شباك </v>
      </c>
      <c r="I677" s="23"/>
      <c r="J677" s="23" t="s">
        <v>16</v>
      </c>
      <c r="K677" s="23" t="s">
        <v>13</v>
      </c>
      <c r="L677" s="32">
        <v>46148.488863344908</v>
      </c>
      <c r="M677" s="23"/>
    </row>
    <row r="678" spans="1:13" ht="75" customHeight="1" thickTop="1" thickBot="1">
      <c r="A678" s="23">
        <v>676</v>
      </c>
      <c r="B678" s="32">
        <f ca="1">IFERROR(__xludf.DUMMYFUNCTION("""COMPUTED_VALUE"""),46148.5336933564)</f>
        <v>46148.533693356403</v>
      </c>
      <c r="C678" s="33" t="str">
        <f ca="1">IFERROR(__xludf.DUMMYFUNCTION("""COMPUTED_VALUE"""),"المعملجي")</f>
        <v>المعملجي</v>
      </c>
      <c r="D678" s="33" t="str">
        <f ca="1">IFERROR(__xludf.DUMMYFUNCTION("""COMPUTED_VALUE"""),"سجاد تربية")</f>
        <v>سجاد تربية</v>
      </c>
      <c r="E678" s="23" t="str">
        <f ca="1">IFERROR(__xludf.DUMMYFUNCTION("""COMPUTED_VALUE"""),"قسم التربية والتعليم العالي")</f>
        <v>قسم التربية والتعليم العالي</v>
      </c>
      <c r="F678" s="23" t="str">
        <f ca="1">IFERROR(__xludf.DUMMYFUNCTION("""COMPUTED_VALUE"""),"J- جامعة العميد (السابعة)")</f>
        <v>J- جامعة العميد (السابعة)</v>
      </c>
      <c r="G678" s="23" t="str">
        <f ca="1">IFERROR(__xludf.DUMMYFUNCTION("""COMPUTED_VALUE"""),"الطابق الارضي")</f>
        <v>الطابق الارضي</v>
      </c>
      <c r="H678" s="23" t="str">
        <f ca="1">IFERROR(__xludf.DUMMYFUNCTION("""COMPUTED_VALUE"""),"تعليك لوحات عدد 7")</f>
        <v>تعليك لوحات عدد 7</v>
      </c>
      <c r="I678" s="23"/>
      <c r="J678" s="23" t="s">
        <v>16</v>
      </c>
      <c r="K678" s="23" t="s">
        <v>13</v>
      </c>
      <c r="L678" s="32">
        <v>46148.669342337962</v>
      </c>
      <c r="M678" s="23"/>
    </row>
    <row r="679" spans="1:13" ht="75" customHeight="1" thickTop="1" thickBot="1">
      <c r="A679" s="25">
        <v>677</v>
      </c>
      <c r="B679" s="32">
        <f ca="1">IFERROR(__xludf.DUMMYFUNCTION("""COMPUTED_VALUE"""),46148.5340055671)</f>
        <v>46148.534005567097</v>
      </c>
      <c r="C679" s="33" t="str">
        <f ca="1">IFERROR(__xludf.DUMMYFUNCTION("""COMPUTED_VALUE"""),"المعملجي")</f>
        <v>المعملجي</v>
      </c>
      <c r="D679" s="33" t="str">
        <f ca="1">IFERROR(__xludf.DUMMYFUNCTION("""COMPUTED_VALUE"""),"سجاد تربية")</f>
        <v>سجاد تربية</v>
      </c>
      <c r="E679" s="23" t="str">
        <f ca="1">IFERROR(__xludf.DUMMYFUNCTION("""COMPUTED_VALUE"""),"قسم التربية والتعليم العالي")</f>
        <v>قسم التربية والتعليم العالي</v>
      </c>
      <c r="F679" s="23" t="str">
        <f ca="1">IFERROR(__xludf.DUMMYFUNCTION("""COMPUTED_VALUE"""),"B- روضة القمر")</f>
        <v>B- روضة القمر</v>
      </c>
      <c r="G679" s="23" t="str">
        <f ca="1">IFERROR(__xludf.DUMMYFUNCTION("""COMPUTED_VALUE"""),"الطابق الارضي")</f>
        <v>الطابق الارضي</v>
      </c>
      <c r="H679" s="23" t="str">
        <f ca="1">IFERROR(__xludf.DUMMYFUNCTION("""COMPUTED_VALUE"""),"تبديل لبة باب ")</f>
        <v xml:space="preserve">تبديل لبة باب </v>
      </c>
      <c r="I679" s="23"/>
      <c r="J679" s="23" t="s">
        <v>16</v>
      </c>
      <c r="K679" s="23" t="s">
        <v>13</v>
      </c>
      <c r="L679" s="32">
        <v>46148.669370902775</v>
      </c>
      <c r="M679" s="23"/>
    </row>
    <row r="680" spans="1:13" ht="75" customHeight="1" thickTop="1" thickBot="1">
      <c r="A680" s="23">
        <v>678</v>
      </c>
      <c r="B680" s="32">
        <f ca="1">IFERROR(__xludf.DUMMYFUNCTION("""COMPUTED_VALUE"""),46149.5377095949)</f>
        <v>46149.537709594901</v>
      </c>
      <c r="C680" s="33" t="str">
        <f ca="1">IFERROR(__xludf.DUMMYFUNCTION("""COMPUTED_VALUE"""),"المعملجي")</f>
        <v>المعملجي</v>
      </c>
      <c r="D680" s="33" t="str">
        <f ca="1">IFERROR(__xludf.DUMMYFUNCTION("""COMPUTED_VALUE"""),"سجاد تربية")</f>
        <v>سجاد تربية</v>
      </c>
      <c r="E680" s="23" t="str">
        <f ca="1">IFERROR(__xludf.DUMMYFUNCTION("""COMPUTED_VALUE"""),"قسم التربية والتعليم العالي")</f>
        <v>قسم التربية والتعليم العالي</v>
      </c>
      <c r="F680" s="23" t="str">
        <f ca="1">IFERROR(__xludf.DUMMYFUNCTION("""COMPUTED_VALUE"""),"A- المركز الثقافي")</f>
        <v>A- المركز الثقافي</v>
      </c>
      <c r="G680" s="23" t="str">
        <f ca="1">IFERROR(__xludf.DUMMYFUNCTION("""COMPUTED_VALUE"""),"الطابق الارضي")</f>
        <v>الطابق الارضي</v>
      </c>
      <c r="H680" s="23" t="str">
        <f ca="1">IFERROR(__xludf.DUMMYFUNCTION("""COMPUTED_VALUE"""),"تبديل قفل")</f>
        <v>تبديل قفل</v>
      </c>
      <c r="I680" s="23"/>
      <c r="J680" s="23" t="s">
        <v>16</v>
      </c>
      <c r="K680" s="23" t="s">
        <v>13</v>
      </c>
      <c r="L680" s="32"/>
      <c r="M680" s="23"/>
    </row>
    <row r="681" spans="1:13" ht="75" customHeight="1" thickTop="1" thickBot="1">
      <c r="A681" s="25">
        <v>679</v>
      </c>
      <c r="B681" s="32">
        <f ca="1">IFERROR(__xludf.DUMMYFUNCTION("""COMPUTED_VALUE"""),46149.5383018402)</f>
        <v>46149.538301840199</v>
      </c>
      <c r="C681" s="33" t="str">
        <f ca="1">IFERROR(__xludf.DUMMYFUNCTION("""COMPUTED_VALUE"""),"المعملجي")</f>
        <v>المعملجي</v>
      </c>
      <c r="D681" s="33" t="str">
        <f ca="1">IFERROR(__xludf.DUMMYFUNCTION("""COMPUTED_VALUE"""),"وحدة المدني")</f>
        <v>وحدة المدني</v>
      </c>
      <c r="E681" s="23" t="str">
        <f ca="1">IFERROR(__xludf.DUMMYFUNCTION("""COMPUTED_VALUE"""),"قسم المشاريع الهندسية")</f>
        <v>قسم المشاريع الهندسية</v>
      </c>
      <c r="F681" s="23" t="str">
        <f ca="1">IFERROR(__xludf.DUMMYFUNCTION("""COMPUTED_VALUE"""),"B- روضة القمر")</f>
        <v>B- روضة القمر</v>
      </c>
      <c r="G681" s="23" t="str">
        <f ca="1">IFERROR(__xludf.DUMMYFUNCTION("""COMPUTED_VALUE"""),"الطابق الارضي")</f>
        <v>الطابق الارضي</v>
      </c>
      <c r="H681" s="23" t="str">
        <f ca="1">IFERROR(__xludf.DUMMYFUNCTION("""COMPUTED_VALUE"""),"معالجة المرمر بمادة الاستاف")</f>
        <v>معالجة المرمر بمادة الاستاف</v>
      </c>
      <c r="I681" s="23"/>
      <c r="J681" s="23" t="s">
        <v>16</v>
      </c>
      <c r="K681" s="23" t="s">
        <v>13</v>
      </c>
      <c r="L681" s="32"/>
      <c r="M681" s="23"/>
    </row>
    <row r="682" spans="1:13" ht="75" customHeight="1" thickTop="1" thickBot="1">
      <c r="A682" s="23">
        <v>680</v>
      </c>
      <c r="B682" s="32">
        <f ca="1">IFERROR(__xludf.DUMMYFUNCTION("""COMPUTED_VALUE"""),46151.3610540856)</f>
        <v>46151.361054085603</v>
      </c>
      <c r="C682" s="33" t="str">
        <f ca="1">IFERROR(__xludf.DUMMYFUNCTION("""COMPUTED_VALUE"""),"المعملجي")</f>
        <v>المعملجي</v>
      </c>
      <c r="D682" s="33" t="str">
        <f ca="1">IFERROR(__xludf.DUMMYFUNCTION("""COMPUTED_VALUE"""),"وحدة المدني")</f>
        <v>وحدة المدني</v>
      </c>
      <c r="E682" s="23" t="str">
        <f ca="1">IFERROR(__xludf.DUMMYFUNCTION("""COMPUTED_VALUE"""),"قسم المشاريع الهندسية")</f>
        <v>قسم المشاريع الهندسية</v>
      </c>
      <c r="F682" s="23" t="str">
        <f ca="1">IFERROR(__xludf.DUMMYFUNCTION("""COMPUTED_VALUE"""),"A- المركز الثقافي")</f>
        <v>A- المركز الثقافي</v>
      </c>
      <c r="G682" s="23" t="str">
        <f ca="1">IFERROR(__xludf.DUMMYFUNCTION("""COMPUTED_VALUE"""),"الطابق الثالث")</f>
        <v>الطابق الثالث</v>
      </c>
      <c r="H682" s="23" t="str">
        <f ca="1">IFERROR(__xludf.DUMMYFUNCTION("""COMPUTED_VALUE"""),"اعمال شربته السطح ")</f>
        <v xml:space="preserve">اعمال شربته السطح </v>
      </c>
      <c r="I682" s="23"/>
      <c r="J682" s="23" t="s">
        <v>16</v>
      </c>
      <c r="K682" s="23" t="s">
        <v>13</v>
      </c>
      <c r="L682" s="32">
        <v>46151.361772094911</v>
      </c>
      <c r="M682" s="23"/>
    </row>
    <row r="683" spans="1:13" ht="75" customHeight="1" thickTop="1" thickBot="1">
      <c r="A683" s="25">
        <v>681</v>
      </c>
      <c r="B683" s="32">
        <f ca="1">IFERROR(__xludf.DUMMYFUNCTION("""COMPUTED_VALUE"""),46151.4915837384)</f>
        <v>46151.491583738403</v>
      </c>
      <c r="C683" s="33" t="str">
        <f ca="1">IFERROR(__xludf.DUMMYFUNCTION("""COMPUTED_VALUE"""),"المعملجي")</f>
        <v>المعملجي</v>
      </c>
      <c r="D683" s="33" t="str">
        <f ca="1">IFERROR(__xludf.DUMMYFUNCTION("""COMPUTED_VALUE"""),"وحدة المدني")</f>
        <v>وحدة المدني</v>
      </c>
      <c r="E683" s="23" t="str">
        <f ca="1">IFERROR(__xludf.DUMMYFUNCTION("""COMPUTED_VALUE"""),"قسم المشاريع الهندسية")</f>
        <v>قسم المشاريع الهندسية</v>
      </c>
      <c r="F683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683" s="23" t="str">
        <f ca="1">IFERROR(__xludf.DUMMYFUNCTION("""COMPUTED_VALUE"""),"السطح")</f>
        <v>السطح</v>
      </c>
      <c r="H683" s="23" t="str">
        <f ca="1">IFERROR(__xludf.DUMMYFUNCTION("""COMPUTED_VALUE"""),"فتح وصيانة سيفونات عدد 3 ")</f>
        <v xml:space="preserve">فتح وصيانة سيفونات عدد 3 </v>
      </c>
      <c r="I683" s="23"/>
      <c r="J683" s="23" t="s">
        <v>16</v>
      </c>
      <c r="K683" s="23" t="s">
        <v>13</v>
      </c>
      <c r="L683" s="32">
        <v>46152.368931956022</v>
      </c>
      <c r="M683" s="23"/>
    </row>
    <row r="684" spans="1:13" ht="75" customHeight="1" thickTop="1" thickBot="1">
      <c r="A684" s="23">
        <v>682</v>
      </c>
      <c r="B684" s="32">
        <f ca="1">IFERROR(__xludf.DUMMYFUNCTION("""COMPUTED_VALUE"""),46151.5186242708)</f>
        <v>46151.518624270801</v>
      </c>
      <c r="C684" s="33" t="str">
        <f ca="1">IFERROR(__xludf.DUMMYFUNCTION("""COMPUTED_VALUE"""),"المعملجي")</f>
        <v>المعملجي</v>
      </c>
      <c r="D684" s="33" t="str">
        <f ca="1">IFERROR(__xludf.DUMMYFUNCTION("""COMPUTED_VALUE"""),"سجاد تربية")</f>
        <v>سجاد تربية</v>
      </c>
      <c r="E684" s="23" t="str">
        <f ca="1">IFERROR(__xludf.DUMMYFUNCTION("""COMPUTED_VALUE"""),"قسم التربية والتعليم العالي")</f>
        <v>قسم التربية والتعليم العالي</v>
      </c>
      <c r="F684" s="23" t="str">
        <f ca="1">IFERROR(__xludf.DUMMYFUNCTION("""COMPUTED_VALUE"""),"A- المركز الثقافي")</f>
        <v>A- المركز الثقافي</v>
      </c>
      <c r="G684" s="23" t="str">
        <f ca="1">IFERROR(__xludf.DUMMYFUNCTION("""COMPUTED_VALUE"""),"الطابق الرابع")</f>
        <v>الطابق الرابع</v>
      </c>
      <c r="H684" s="23" t="str">
        <f ca="1">IFERROR(__xludf.DUMMYFUNCTION("""COMPUTED_VALUE"""),"شد عرباين طعام")</f>
        <v>شد عرباين طعام</v>
      </c>
      <c r="I684" s="23"/>
      <c r="J684" s="23" t="s">
        <v>16</v>
      </c>
      <c r="K684" s="23" t="s">
        <v>13</v>
      </c>
      <c r="L684" s="32">
        <v>46152.368974236109</v>
      </c>
      <c r="M684" s="23"/>
    </row>
    <row r="685" spans="1:13" ht="75" customHeight="1" thickTop="1" thickBot="1">
      <c r="A685" s="25">
        <v>683</v>
      </c>
      <c r="B685" s="32">
        <f ca="1">IFERROR(__xludf.DUMMYFUNCTION("""COMPUTED_VALUE"""),46152.368614537)</f>
        <v>46152.368614537001</v>
      </c>
      <c r="C685" s="33" t="str">
        <f ca="1">IFERROR(__xludf.DUMMYFUNCTION("""COMPUTED_VALUE"""),"المعملجي")</f>
        <v>المعملجي</v>
      </c>
      <c r="D685" s="33" t="str">
        <f ca="1">IFERROR(__xludf.DUMMYFUNCTION("""COMPUTED_VALUE"""),"سجاد تربية")</f>
        <v>سجاد تربية</v>
      </c>
      <c r="E685" s="23" t="str">
        <f ca="1">IFERROR(__xludf.DUMMYFUNCTION("""COMPUTED_VALUE"""),"قسم التربية والتعليم العالي")</f>
        <v>قسم التربية والتعليم العالي</v>
      </c>
      <c r="F685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685" s="23" t="str">
        <f ca="1">IFERROR(__xludf.DUMMYFUNCTION("""COMPUTED_VALUE"""),"الطابق الارضي")</f>
        <v>الطابق الارضي</v>
      </c>
      <c r="H685" s="23" t="str">
        <f ca="1">IFERROR(__xludf.DUMMYFUNCTION("""COMPUTED_VALUE"""),"صيانة حائط ")</f>
        <v xml:space="preserve">صيانة حائط </v>
      </c>
      <c r="I685" s="23"/>
      <c r="J685" s="23" t="s">
        <v>16</v>
      </c>
      <c r="K685" s="23" t="s">
        <v>13</v>
      </c>
      <c r="L685" s="32">
        <v>46152.368993599535</v>
      </c>
      <c r="M685" s="23"/>
    </row>
    <row r="686" spans="1:13" ht="75" customHeight="1" thickTop="1" thickBot="1">
      <c r="A686" s="23">
        <v>684</v>
      </c>
      <c r="B686" s="32">
        <f ca="1">IFERROR(__xludf.DUMMYFUNCTION("""COMPUTED_VALUE"""),46152.4318134953)</f>
        <v>46152.431813495299</v>
      </c>
      <c r="C686" s="33" t="str">
        <f ca="1">IFERROR(__xludf.DUMMYFUNCTION("""COMPUTED_VALUE"""),"المعملجي")</f>
        <v>المعملجي</v>
      </c>
      <c r="D686" s="33" t="str">
        <f ca="1">IFERROR(__xludf.DUMMYFUNCTION("""COMPUTED_VALUE"""),"سجاد تربية")</f>
        <v>سجاد تربية</v>
      </c>
      <c r="E686" s="23" t="str">
        <f ca="1">IFERROR(__xludf.DUMMYFUNCTION("""COMPUTED_VALUE"""),"قسم التربية والتعليم العالي")</f>
        <v>قسم التربية والتعليم العالي</v>
      </c>
      <c r="F686" s="23" t="str">
        <f ca="1">IFERROR(__xludf.DUMMYFUNCTION("""COMPUTED_VALUE"""),"A- المركز الثقافي")</f>
        <v>A- المركز الثقافي</v>
      </c>
      <c r="G686" s="23" t="str">
        <f ca="1">IFERROR(__xludf.DUMMYFUNCTION("""COMPUTED_VALUE"""),"الطابق الارضي")</f>
        <v>الطابق الارضي</v>
      </c>
      <c r="H686" s="23" t="str">
        <f ca="1">IFERROR(__xludf.DUMMYFUNCTION("""COMPUTED_VALUE"""),"ارجاع سقوف ثانوية في المطبخ")</f>
        <v>ارجاع سقوف ثانوية في المطبخ</v>
      </c>
      <c r="I686" s="23"/>
      <c r="J686" s="23" t="s">
        <v>16</v>
      </c>
      <c r="K686" s="23" t="s">
        <v>13</v>
      </c>
      <c r="L686" s="32"/>
      <c r="M686" s="23"/>
    </row>
    <row r="687" spans="1:13" ht="75" customHeight="1" thickTop="1" thickBot="1">
      <c r="A687" s="25">
        <v>685</v>
      </c>
      <c r="B687" s="32">
        <f ca="1">IFERROR(__xludf.DUMMYFUNCTION("""COMPUTED_VALUE"""),46152.4324596412)</f>
        <v>46152.432459641197</v>
      </c>
      <c r="C687" s="33" t="str">
        <f ca="1">IFERROR(__xludf.DUMMYFUNCTION("""COMPUTED_VALUE"""),"المعملجي")</f>
        <v>المعملجي</v>
      </c>
      <c r="D687" s="33" t="str">
        <f ca="1">IFERROR(__xludf.DUMMYFUNCTION("""COMPUTED_VALUE"""),"سجاد تربية")</f>
        <v>سجاد تربية</v>
      </c>
      <c r="E687" s="23" t="str">
        <f ca="1">IFERROR(__xludf.DUMMYFUNCTION("""COMPUTED_VALUE"""),"قسم التربية والتعليم العالي")</f>
        <v>قسم التربية والتعليم العالي</v>
      </c>
      <c r="F687" s="23" t="str">
        <f ca="1">IFERROR(__xludf.DUMMYFUNCTION("""COMPUTED_VALUE"""),"A- المركز الثقافي")</f>
        <v>A- المركز الثقافي</v>
      </c>
      <c r="G687" s="23" t="str">
        <f ca="1">IFERROR(__xludf.DUMMYFUNCTION("""COMPUTED_VALUE"""),"الطابق الارضي")</f>
        <v>الطابق الارضي</v>
      </c>
      <c r="H687" s="23" t="str">
        <f ca="1">IFERROR(__xludf.DUMMYFUNCTION("""COMPUTED_VALUE"""),"إضافة سيكوتين لكاونتر المطبخ")</f>
        <v>إضافة سيكوتين لكاونتر المطبخ</v>
      </c>
      <c r="I687" s="23"/>
      <c r="J687" s="23" t="s">
        <v>16</v>
      </c>
      <c r="K687" s="23" t="s">
        <v>13</v>
      </c>
      <c r="L687" s="32"/>
      <c r="M687" s="23"/>
    </row>
    <row r="688" spans="1:13" ht="75" customHeight="1" thickTop="1" thickBot="1">
      <c r="A688" s="23">
        <v>686</v>
      </c>
      <c r="B688" s="32">
        <f ca="1">IFERROR(__xludf.DUMMYFUNCTION("""COMPUTED_VALUE"""),46152.4498301388)</f>
        <v>46152.449830138801</v>
      </c>
      <c r="C688" s="33" t="str">
        <f ca="1">IFERROR(__xludf.DUMMYFUNCTION("""COMPUTED_VALUE"""),"المعملجي")</f>
        <v>المعملجي</v>
      </c>
      <c r="D688" s="33" t="str">
        <f ca="1">IFERROR(__xludf.DUMMYFUNCTION("""COMPUTED_VALUE"""),"سجاد تربية")</f>
        <v>سجاد تربية</v>
      </c>
      <c r="E688" s="23" t="str">
        <f ca="1">IFERROR(__xludf.DUMMYFUNCTION("""COMPUTED_VALUE"""),"قسم التربية والتعليم العالي")</f>
        <v>قسم التربية والتعليم العالي</v>
      </c>
      <c r="F688" s="23" t="str">
        <f ca="1">IFERROR(__xludf.DUMMYFUNCTION("""COMPUTED_VALUE"""),"A- المركز الثقافي")</f>
        <v>A- المركز الثقافي</v>
      </c>
      <c r="G688" s="23" t="str">
        <f ca="1">IFERROR(__xludf.DUMMYFUNCTION("""COMPUTED_VALUE"""),"الطابق الارضي")</f>
        <v>الطابق الارضي</v>
      </c>
      <c r="H688" s="23" t="str">
        <f ca="1">IFERROR(__xludf.DUMMYFUNCTION("""COMPUTED_VALUE"""),"صيانة ميز خشب")</f>
        <v>صيانة ميز خشب</v>
      </c>
      <c r="I688" s="23"/>
      <c r="J688" s="23" t="s">
        <v>16</v>
      </c>
      <c r="K688" s="23" t="s">
        <v>13</v>
      </c>
      <c r="L688" s="32">
        <v>46152.542540335649</v>
      </c>
      <c r="M688" s="23"/>
    </row>
    <row r="689" spans="1:13" ht="75" customHeight="1" thickTop="1" thickBot="1">
      <c r="A689" s="25">
        <v>687</v>
      </c>
      <c r="B689" s="32">
        <f ca="1">IFERROR(__xludf.DUMMYFUNCTION("""COMPUTED_VALUE"""),46152.5146126157)</f>
        <v>46152.514612615698</v>
      </c>
      <c r="C689" s="33" t="str">
        <f ca="1">IFERROR(__xludf.DUMMYFUNCTION("""COMPUTED_VALUE"""),"المعملجي")</f>
        <v>المعملجي</v>
      </c>
      <c r="D689" s="33" t="str">
        <f ca="1">IFERROR(__xludf.DUMMYFUNCTION("""COMPUTED_VALUE"""),"سجاد تربية")</f>
        <v>سجاد تربية</v>
      </c>
      <c r="E689" s="23" t="str">
        <f ca="1">IFERROR(__xludf.DUMMYFUNCTION("""COMPUTED_VALUE"""),"قسم التربية والتعليم العالي")</f>
        <v>قسم التربية والتعليم العالي</v>
      </c>
      <c r="F689" s="23" t="str">
        <f ca="1">IFERROR(__xludf.DUMMYFUNCTION("""COMPUTED_VALUE"""),"E- ابتدائية العميد للبنات (الثالثة)")</f>
        <v>E- ابتدائية العميد للبنات (الثالثة)</v>
      </c>
      <c r="G689" s="23" t="str">
        <f ca="1">IFERROR(__xludf.DUMMYFUNCTION("""COMPUTED_VALUE"""),"الطابق الارضي")</f>
        <v>الطابق الارضي</v>
      </c>
      <c r="H689" s="23" t="str">
        <f ca="1">IFERROR(__xludf.DUMMYFUNCTION("""COMPUTED_VALUE"""),"تبديل قفل لوكر")</f>
        <v>تبديل قفل لوكر</v>
      </c>
      <c r="I689" s="23"/>
      <c r="J689" s="23" t="s">
        <v>16</v>
      </c>
      <c r="K689" s="23" t="s">
        <v>13</v>
      </c>
      <c r="L689" s="32">
        <v>46153.330727245368</v>
      </c>
      <c r="M689" s="23"/>
    </row>
    <row r="690" spans="1:13" ht="75" customHeight="1" thickTop="1" thickBot="1">
      <c r="A690" s="23">
        <v>688</v>
      </c>
      <c r="B690" s="32">
        <f ca="1">IFERROR(__xludf.DUMMYFUNCTION("""COMPUTED_VALUE"""),46153.3330221527)</f>
        <v>46153.333022152699</v>
      </c>
      <c r="C690" s="33" t="str">
        <f ca="1">IFERROR(__xludf.DUMMYFUNCTION("""COMPUTED_VALUE"""),"المعملجي")</f>
        <v>المعملجي</v>
      </c>
      <c r="D690" s="33" t="str">
        <f ca="1">IFERROR(__xludf.DUMMYFUNCTION("""COMPUTED_VALUE"""),"سجاد تربية")</f>
        <v>سجاد تربية</v>
      </c>
      <c r="E690" s="23" t="str">
        <f ca="1">IFERROR(__xludf.DUMMYFUNCTION("""COMPUTED_VALUE"""),"قسم التربية والتعليم العالي")</f>
        <v>قسم التربية والتعليم العالي</v>
      </c>
      <c r="F690" s="23" t="str">
        <f ca="1">IFERROR(__xludf.DUMMYFUNCTION("""COMPUTED_VALUE"""),"I- ابتدائية الساقي للبنين (السادسة), J- ابتدائية الساقي للبنين الجانب الثاني (السابعة)")</f>
        <v>I- ابتدائية الساقي للبنين (السادسة), J- ابتدائية الساقي للبنين الجانب الثاني (السابعة)</v>
      </c>
      <c r="G690" s="23" t="str">
        <f ca="1">IFERROR(__xludf.DUMMYFUNCTION("""COMPUTED_VALUE"""),"الطابق الارضي")</f>
        <v>الطابق الارضي</v>
      </c>
      <c r="H690" s="23" t="str">
        <f ca="1">IFERROR(__xludf.DUMMYFUNCTION("""COMPUTED_VALUE"""),"قفل باب الساحة الوسطية  صيانة كرسي معلم 
صيانة كرسي مختبر 
لصق تارتان الدرج 
البناية الثانية 
صيانة بردة ")</f>
        <v xml:space="preserve">قفل باب الساحة الوسطية  صيانة كرسي معلم 
صيانة كرسي مختبر 
لصق تارتان الدرج 
البناية الثانية 
صيانة بردة </v>
      </c>
      <c r="I690" s="23"/>
      <c r="J690" s="23" t="s">
        <v>16</v>
      </c>
      <c r="K690" s="23" t="s">
        <v>13</v>
      </c>
      <c r="L690" s="32">
        <v>46153.417613495374</v>
      </c>
      <c r="M690" s="23"/>
    </row>
    <row r="691" spans="1:13" ht="75" customHeight="1" thickTop="1" thickBot="1">
      <c r="A691" s="25">
        <v>689</v>
      </c>
      <c r="B691" s="32">
        <f ca="1">IFERROR(__xludf.DUMMYFUNCTION("""COMPUTED_VALUE"""),46153.3379374305)</f>
        <v>46153.3379374305</v>
      </c>
      <c r="C691" s="33" t="str">
        <f ca="1">IFERROR(__xludf.DUMMYFUNCTION("""COMPUTED_VALUE"""),"المعملجي")</f>
        <v>المعملجي</v>
      </c>
      <c r="D691" s="33" t="str">
        <f ca="1">IFERROR(__xludf.DUMMYFUNCTION("""COMPUTED_VALUE"""),"سجاد تربية")</f>
        <v>سجاد تربية</v>
      </c>
      <c r="E691" s="23" t="str">
        <f ca="1">IFERROR(__xludf.DUMMYFUNCTION("""COMPUTED_VALUE"""),"قسم التربية والتعليم العالي")</f>
        <v>قسم التربية والتعليم العالي</v>
      </c>
      <c r="F691" s="23" t="str">
        <f ca="1">IFERROR(__xludf.DUMMYFUNCTION("""COMPUTED_VALUE"""),"E- ابتدائية العميد للبنات (الثالثة)")</f>
        <v>E- ابتدائية العميد للبنات (الثالثة)</v>
      </c>
      <c r="G691" s="23" t="str">
        <f ca="1">IFERROR(__xludf.DUMMYFUNCTION("""COMPUTED_VALUE"""),"الطابق الثاني")</f>
        <v>الطابق الثاني</v>
      </c>
      <c r="H691" s="23" t="str">
        <f ca="1">IFERROR(__xludf.DUMMYFUNCTION("""COMPUTED_VALUE"""),"صيانة قاطع بين المصلى والمطعم")</f>
        <v>صيانة قاطع بين المصلى والمطعم</v>
      </c>
      <c r="I691" s="23"/>
      <c r="J691" s="23" t="s">
        <v>16</v>
      </c>
      <c r="K691" s="23" t="s">
        <v>13</v>
      </c>
      <c r="L691" s="32">
        <v>46153.417841631948</v>
      </c>
      <c r="M691" s="23"/>
    </row>
    <row r="692" spans="1:13" ht="75" customHeight="1" thickTop="1" thickBot="1">
      <c r="A692" s="23">
        <v>690</v>
      </c>
      <c r="B692" s="32">
        <f ca="1">IFERROR(__xludf.DUMMYFUNCTION("""COMPUTED_VALUE"""),46153.3387724537)</f>
        <v>46153.338772453702</v>
      </c>
      <c r="C692" s="33" t="str">
        <f ca="1">IFERROR(__xludf.DUMMYFUNCTION("""COMPUTED_VALUE"""),"المعملجي")</f>
        <v>المعملجي</v>
      </c>
      <c r="D692" s="33" t="str">
        <f ca="1">IFERROR(__xludf.DUMMYFUNCTION("""COMPUTED_VALUE"""),"سجاد تربية")</f>
        <v>سجاد تربية</v>
      </c>
      <c r="E692" s="23" t="str">
        <f ca="1">IFERROR(__xludf.DUMMYFUNCTION("""COMPUTED_VALUE"""),"قسم التربية والتعليم العالي")</f>
        <v>قسم التربية والتعليم العالي</v>
      </c>
      <c r="F692" s="23" t="str">
        <f ca="1">IFERROR(__xludf.DUMMYFUNCTION("""COMPUTED_VALUE"""),"I- ابتدائية الساقي للبنين (السادسة)")</f>
        <v>I- ابتدائية الساقي للبنين (السادسة)</v>
      </c>
      <c r="G692" s="23" t="str">
        <f ca="1">IFERROR(__xludf.DUMMYFUNCTION("""COMPUTED_VALUE"""),"الطابق الارضي")</f>
        <v>الطابق الارضي</v>
      </c>
      <c r="H692" s="23" t="str">
        <f ca="1">IFERROR(__xludf.DUMMYFUNCTION("""COMPUTED_VALUE"""),"صيانة كرسي معلم")</f>
        <v>صيانة كرسي معلم</v>
      </c>
      <c r="I692" s="23"/>
      <c r="J692" s="23" t="s">
        <v>16</v>
      </c>
      <c r="K692" s="23" t="s">
        <v>13</v>
      </c>
      <c r="L692" s="32">
        <v>46153.417941805557</v>
      </c>
      <c r="M692" s="23"/>
    </row>
    <row r="693" spans="1:13" ht="75" customHeight="1" thickTop="1" thickBot="1">
      <c r="A693" s="25">
        <v>691</v>
      </c>
      <c r="B693" s="32">
        <f ca="1">IFERROR(__xludf.DUMMYFUNCTION("""COMPUTED_VALUE"""),46153.3406912731)</f>
        <v>46153.340691273101</v>
      </c>
      <c r="C693" s="33" t="str">
        <f ca="1">IFERROR(__xludf.DUMMYFUNCTION("""COMPUTED_VALUE"""),"المعملجي")</f>
        <v>المعملجي</v>
      </c>
      <c r="D693" s="33" t="str">
        <f ca="1">IFERROR(__xludf.DUMMYFUNCTION("""COMPUTED_VALUE"""),"سجاد تربية")</f>
        <v>سجاد تربية</v>
      </c>
      <c r="E693" s="23" t="str">
        <f ca="1">IFERROR(__xludf.DUMMYFUNCTION("""COMPUTED_VALUE"""),"قسم التربية والتعليم العالي")</f>
        <v>قسم التربية والتعليم العالي</v>
      </c>
      <c r="F693" s="23" t="str">
        <f ca="1">IFERROR(__xludf.DUMMYFUNCTION("""COMPUTED_VALUE"""),"I- ابتدائية الساقي للبنين (السادسة)")</f>
        <v>I- ابتدائية الساقي للبنين (السادسة)</v>
      </c>
      <c r="G693" s="23" t="str">
        <f ca="1">IFERROR(__xludf.DUMMYFUNCTION("""COMPUTED_VALUE"""),"الطابق الاول")</f>
        <v>الطابق الاول</v>
      </c>
      <c r="H693" s="23" t="str">
        <f ca="1">IFERROR(__xludf.DUMMYFUNCTION("""COMPUTED_VALUE"""),"صيانة كرسي في المختبر")</f>
        <v>صيانة كرسي في المختبر</v>
      </c>
      <c r="I693" s="23"/>
      <c r="J693" s="23" t="s">
        <v>16</v>
      </c>
      <c r="K693" s="23" t="s">
        <v>13</v>
      </c>
      <c r="L693" s="32">
        <v>46153.418019398145</v>
      </c>
      <c r="M693" s="23"/>
    </row>
    <row r="694" spans="1:13" ht="75" customHeight="1" thickTop="1" thickBot="1">
      <c r="A694" s="23">
        <v>692</v>
      </c>
      <c r="B694" s="32">
        <f ca="1">IFERROR(__xludf.DUMMYFUNCTION("""COMPUTED_VALUE"""),46153.3424559953)</f>
        <v>46153.342455995298</v>
      </c>
      <c r="C694" s="33" t="str">
        <f ca="1">IFERROR(__xludf.DUMMYFUNCTION("""COMPUTED_VALUE"""),"المعملجي")</f>
        <v>المعملجي</v>
      </c>
      <c r="D694" s="33" t="str">
        <f ca="1">IFERROR(__xludf.DUMMYFUNCTION("""COMPUTED_VALUE"""),"سجاد تربية")</f>
        <v>سجاد تربية</v>
      </c>
      <c r="E694" s="23" t="str">
        <f ca="1">IFERROR(__xludf.DUMMYFUNCTION("""COMPUTED_VALUE"""),"قسم التربية والتعليم العالي")</f>
        <v>قسم التربية والتعليم العالي</v>
      </c>
      <c r="F694" s="23" t="str">
        <f ca="1">IFERROR(__xludf.DUMMYFUNCTION("""COMPUTED_VALUE"""),"J- جامعة العميد (السابعة)")</f>
        <v>J- جامعة العميد (السابعة)</v>
      </c>
      <c r="G694" s="23" t="str">
        <f ca="1">IFERROR(__xludf.DUMMYFUNCTION("""COMPUTED_VALUE"""),"الطابق الارضي")</f>
        <v>الطابق الارضي</v>
      </c>
      <c r="H694" s="23" t="str">
        <f ca="1">IFERROR(__xludf.DUMMYFUNCTION("""COMPUTED_VALUE"""),"لصق تارتان الدرج")</f>
        <v>لصق تارتان الدرج</v>
      </c>
      <c r="I694" s="23"/>
      <c r="J694" s="23" t="s">
        <v>16</v>
      </c>
      <c r="K694" s="23" t="s">
        <v>13</v>
      </c>
      <c r="L694" s="32">
        <v>46156.410191805553</v>
      </c>
      <c r="M694" s="23"/>
    </row>
    <row r="695" spans="1:13" ht="75" customHeight="1" thickTop="1" thickBot="1">
      <c r="A695" s="25">
        <v>693</v>
      </c>
      <c r="B695" s="32">
        <f ca="1">IFERROR(__xludf.DUMMYFUNCTION("""COMPUTED_VALUE"""),46153.3436255902)</f>
        <v>46153.343625590198</v>
      </c>
      <c r="C695" s="33" t="str">
        <f ca="1">IFERROR(__xludf.DUMMYFUNCTION("""COMPUTED_VALUE"""),"المعملجي")</f>
        <v>المعملجي</v>
      </c>
      <c r="D695" s="33" t="str">
        <f ca="1">IFERROR(__xludf.DUMMYFUNCTION("""COMPUTED_VALUE"""),"سجاد تربية")</f>
        <v>سجاد تربية</v>
      </c>
      <c r="E695" s="23" t="str">
        <f ca="1">IFERROR(__xludf.DUMMYFUNCTION("""COMPUTED_VALUE"""),"قسم التربية والتعليم العالي")</f>
        <v>قسم التربية والتعليم العالي</v>
      </c>
      <c r="F695" s="23" t="str">
        <f ca="1">IFERROR(__xludf.DUMMYFUNCTION("""COMPUTED_VALUE"""),"الصحيات مقابل المدرسة الاولى ")</f>
        <v xml:space="preserve">الصحيات مقابل المدرسة الاولى </v>
      </c>
      <c r="G695" s="23" t="str">
        <f ca="1">IFERROR(__xludf.DUMMYFUNCTION("""COMPUTED_VALUE"""),"الطابق الارضي")</f>
        <v>الطابق الارضي</v>
      </c>
      <c r="H695" s="23" t="str">
        <f ca="1">IFERROR(__xludf.DUMMYFUNCTION("""COMPUTED_VALUE"""),"صيانة باب المنيوم ")</f>
        <v xml:space="preserve">صيانة باب المنيوم </v>
      </c>
      <c r="I695" s="23"/>
      <c r="J695" s="23" t="s">
        <v>16</v>
      </c>
      <c r="K695" s="23" t="s">
        <v>13</v>
      </c>
      <c r="L695" s="32">
        <v>46153.418454074075</v>
      </c>
      <c r="M695" s="23"/>
    </row>
    <row r="696" spans="1:13" ht="75" customHeight="1" thickTop="1" thickBot="1">
      <c r="A696" s="23">
        <v>694</v>
      </c>
      <c r="B696" s="32">
        <f ca="1">IFERROR(__xludf.DUMMYFUNCTION("""COMPUTED_VALUE"""),46153.5671462847)</f>
        <v>46153.567146284702</v>
      </c>
      <c r="C696" s="33" t="str">
        <f ca="1">IFERROR(__xludf.DUMMYFUNCTION("""COMPUTED_VALUE"""),"المعملجي")</f>
        <v>المعملجي</v>
      </c>
      <c r="D696" s="33" t="str">
        <f ca="1">IFERROR(__xludf.DUMMYFUNCTION("""COMPUTED_VALUE"""),"سجاد تربية")</f>
        <v>سجاد تربية</v>
      </c>
      <c r="E696" s="23" t="str">
        <f ca="1">IFERROR(__xludf.DUMMYFUNCTION("""COMPUTED_VALUE"""),"قسم التربية والتعليم العالي")</f>
        <v>قسم التربية والتعليم العالي</v>
      </c>
      <c r="F696" s="23" t="str">
        <f ca="1">IFERROR(__xludf.DUMMYFUNCTION("""COMPUTED_VALUE"""),"I- ابتدائية الساقي للبنين (السادسة)")</f>
        <v>I- ابتدائية الساقي للبنين (السادسة)</v>
      </c>
      <c r="G696" s="23" t="str">
        <f ca="1">IFERROR(__xludf.DUMMYFUNCTION("""COMPUTED_VALUE"""),"الطابق الارضي")</f>
        <v>الطابق الارضي</v>
      </c>
      <c r="H696" s="23" t="str">
        <f ca="1">IFERROR(__xludf.DUMMYFUNCTION("""COMPUTED_VALUE"""),"صيانة طبلات عدد 6")</f>
        <v>صيانة طبلات عدد 6</v>
      </c>
      <c r="I696" s="23"/>
      <c r="J696" s="23" t="s">
        <v>16</v>
      </c>
      <c r="K696" s="23" t="s">
        <v>13</v>
      </c>
      <c r="L696" s="32"/>
      <c r="M696" s="23"/>
    </row>
    <row r="697" spans="1:13" ht="75" customHeight="1" thickTop="1" thickBot="1">
      <c r="A697" s="25">
        <v>695</v>
      </c>
      <c r="B697" s="32">
        <f ca="1">IFERROR(__xludf.DUMMYFUNCTION("""COMPUTED_VALUE"""),46153.5690003356)</f>
        <v>46153.569000335599</v>
      </c>
      <c r="C697" s="33" t="str">
        <f ca="1">IFERROR(__xludf.DUMMYFUNCTION("""COMPUTED_VALUE"""),"المعملجي")</f>
        <v>المعملجي</v>
      </c>
      <c r="D697" s="33" t="str">
        <f ca="1">IFERROR(__xludf.DUMMYFUNCTION("""COMPUTED_VALUE"""),"سجاد تربية")</f>
        <v>سجاد تربية</v>
      </c>
      <c r="E697" s="23" t="str">
        <f ca="1">IFERROR(__xludf.DUMMYFUNCTION("""COMPUTED_VALUE"""),"قسم التربية والتعليم العالي")</f>
        <v>قسم التربية والتعليم العالي</v>
      </c>
      <c r="F697" s="23" t="str">
        <f ca="1">IFERROR(__xludf.DUMMYFUNCTION("""COMPUTED_VALUE"""),"I- ابتدائية الساقي للبنين (السادسة)")</f>
        <v>I- ابتدائية الساقي للبنين (السادسة)</v>
      </c>
      <c r="G697" s="23" t="str">
        <f ca="1">IFERROR(__xludf.DUMMYFUNCTION("""COMPUTED_VALUE"""),"الطابق الارضي")</f>
        <v>الطابق الارضي</v>
      </c>
      <c r="H697" s="23" t="str">
        <f ca="1">IFERROR(__xludf.DUMMYFUNCTION("""COMPUTED_VALUE"""),"صيانة باب المنيوم الداخلية")</f>
        <v>صيانة باب المنيوم الداخلية</v>
      </c>
      <c r="I697" s="23"/>
      <c r="J697" s="23" t="s">
        <v>16</v>
      </c>
      <c r="K697" s="23" t="s">
        <v>13</v>
      </c>
      <c r="L697" s="32"/>
      <c r="M697" s="23"/>
    </row>
    <row r="698" spans="1:13" ht="75" customHeight="1" thickTop="1" thickBot="1">
      <c r="A698" s="23">
        <v>696</v>
      </c>
      <c r="B698" s="32">
        <f ca="1">IFERROR(__xludf.DUMMYFUNCTION("""COMPUTED_VALUE"""),46153.5694862152)</f>
        <v>46153.569486215201</v>
      </c>
      <c r="C698" s="33" t="str">
        <f ca="1">IFERROR(__xludf.DUMMYFUNCTION("""COMPUTED_VALUE"""),"المعملجي")</f>
        <v>المعملجي</v>
      </c>
      <c r="D698" s="33" t="str">
        <f ca="1">IFERROR(__xludf.DUMMYFUNCTION("""COMPUTED_VALUE"""),"سجاد تربية")</f>
        <v>سجاد تربية</v>
      </c>
      <c r="E698" s="23" t="str">
        <f ca="1">IFERROR(__xludf.DUMMYFUNCTION("""COMPUTED_VALUE"""),"قسم التربية والتعليم العالي")</f>
        <v>قسم التربية والتعليم العالي</v>
      </c>
      <c r="F698" s="23" t="str">
        <f ca="1">IFERROR(__xludf.DUMMYFUNCTION("""COMPUTED_VALUE"""),"I- ابتدائية الساقي للبنين (السادسة)")</f>
        <v>I- ابتدائية الساقي للبنين (السادسة)</v>
      </c>
      <c r="G698" s="23" t="str">
        <f ca="1">IFERROR(__xludf.DUMMYFUNCTION("""COMPUTED_VALUE"""),"الطابق الارضي")</f>
        <v>الطابق الارضي</v>
      </c>
      <c r="H698" s="23" t="str">
        <f ca="1">IFERROR(__xludf.DUMMYFUNCTION("""COMPUTED_VALUE"""),"صيانة باب المنيوم بين الزونين")</f>
        <v>صيانة باب المنيوم بين الزونين</v>
      </c>
      <c r="I698" s="23"/>
      <c r="J698" s="23" t="s">
        <v>16</v>
      </c>
      <c r="K698" s="23" t="s">
        <v>13</v>
      </c>
      <c r="L698" s="32"/>
      <c r="M698" s="23"/>
    </row>
    <row r="699" spans="1:13" ht="75" customHeight="1" thickTop="1" thickBot="1">
      <c r="A699" s="25">
        <v>697</v>
      </c>
      <c r="B699" s="32">
        <f ca="1">IFERROR(__xludf.DUMMYFUNCTION("""COMPUTED_VALUE"""),46153.569902905)</f>
        <v>46153.569902905001</v>
      </c>
      <c r="C699" s="33" t="str">
        <f ca="1">IFERROR(__xludf.DUMMYFUNCTION("""COMPUTED_VALUE"""),"المعملجي")</f>
        <v>المعملجي</v>
      </c>
      <c r="D699" s="33" t="str">
        <f ca="1">IFERROR(__xludf.DUMMYFUNCTION("""COMPUTED_VALUE"""),"سجاد تربية")</f>
        <v>سجاد تربية</v>
      </c>
      <c r="E699" s="23" t="str">
        <f ca="1">IFERROR(__xludf.DUMMYFUNCTION("""COMPUTED_VALUE"""),"قسم التربية والتعليم العالي")</f>
        <v>قسم التربية والتعليم العالي</v>
      </c>
      <c r="F699" s="23" t="str">
        <f ca="1">IFERROR(__xludf.DUMMYFUNCTION("""COMPUTED_VALUE"""),"F-  ابتدائية جود العميد للبنات (الرابعة)")</f>
        <v>F-  ابتدائية جود العميد للبنات (الرابعة)</v>
      </c>
      <c r="G699" s="23" t="str">
        <f ca="1">IFERROR(__xludf.DUMMYFUNCTION("""COMPUTED_VALUE"""),"الطابق الارضي, ZONE B")</f>
        <v>الطابق الارضي, ZONE B</v>
      </c>
      <c r="H699" s="23" t="str">
        <f ca="1">IFERROR(__xludf.DUMMYFUNCTION("""COMPUTED_VALUE"""),"ارجاع سقوف ثانوية عدد 9")</f>
        <v>ارجاع سقوف ثانوية عدد 9</v>
      </c>
      <c r="I699" s="23"/>
      <c r="J699" s="23" t="s">
        <v>16</v>
      </c>
      <c r="K699" s="23" t="s">
        <v>13</v>
      </c>
      <c r="L699" s="32"/>
      <c r="M699" s="23"/>
    </row>
    <row r="700" spans="1:13" ht="75" customHeight="1" thickTop="1" thickBot="1">
      <c r="A700" s="23">
        <v>698</v>
      </c>
      <c r="B700" s="32">
        <f ca="1">IFERROR(__xludf.DUMMYFUNCTION("""COMPUTED_VALUE"""),46153.5705862962)</f>
        <v>46153.570586296199</v>
      </c>
      <c r="C700" s="33" t="str">
        <f ca="1">IFERROR(__xludf.DUMMYFUNCTION("""COMPUTED_VALUE"""),"المعملجي")</f>
        <v>المعملجي</v>
      </c>
      <c r="D700" s="33" t="str">
        <f ca="1">IFERROR(__xludf.DUMMYFUNCTION("""COMPUTED_VALUE"""),"سجاد تربية")</f>
        <v>سجاد تربية</v>
      </c>
      <c r="E700" s="23" t="str">
        <f ca="1">IFERROR(__xludf.DUMMYFUNCTION("""COMPUTED_VALUE"""),"قسم التربية والتعليم العالي")</f>
        <v>قسم التربية والتعليم العالي</v>
      </c>
      <c r="F700" s="23" t="str">
        <f ca="1">IFERROR(__xludf.DUMMYFUNCTION("""COMPUTED_VALUE"""),"F-  ابتدائية جود العميد للبنات (الرابعة)")</f>
        <v>F-  ابتدائية جود العميد للبنات (الرابعة)</v>
      </c>
      <c r="G700" s="23" t="str">
        <f ca="1">IFERROR(__xludf.DUMMYFUNCTION("""COMPUTED_VALUE"""),"الطابق الارضي")</f>
        <v>الطابق الارضي</v>
      </c>
      <c r="H700" s="23" t="str">
        <f ca="1">IFERROR(__xludf.DUMMYFUNCTION("""COMPUTED_VALUE"""),"صيانة بردة الصف الاول د ")</f>
        <v xml:space="preserve">صيانة بردة الصف الاول د </v>
      </c>
      <c r="I700" s="23"/>
      <c r="J700" s="23" t="s">
        <v>16</v>
      </c>
      <c r="K700" s="23" t="s">
        <v>13</v>
      </c>
      <c r="L700" s="32"/>
      <c r="M700" s="23"/>
    </row>
    <row r="701" spans="1:13" ht="75" customHeight="1" thickTop="1" thickBot="1">
      <c r="A701" s="25">
        <v>699</v>
      </c>
      <c r="B701" s="32">
        <f ca="1">IFERROR(__xludf.DUMMYFUNCTION("""COMPUTED_VALUE"""),46153.5712135648)</f>
        <v>46153.571213564799</v>
      </c>
      <c r="C701" s="33" t="str">
        <f ca="1">IFERROR(__xludf.DUMMYFUNCTION("""COMPUTED_VALUE"""),"المعملجي")</f>
        <v>المعملجي</v>
      </c>
      <c r="D701" s="33" t="str">
        <f ca="1">IFERROR(__xludf.DUMMYFUNCTION("""COMPUTED_VALUE"""),"سجاد تربية")</f>
        <v>سجاد تربية</v>
      </c>
      <c r="E701" s="23" t="str">
        <f ca="1">IFERROR(__xludf.DUMMYFUNCTION("""COMPUTED_VALUE"""),"قسم التربية والتعليم العالي")</f>
        <v>قسم التربية والتعليم العالي</v>
      </c>
      <c r="F701" s="23" t="str">
        <f ca="1">IFERROR(__xludf.DUMMYFUNCTION("""COMPUTED_VALUE"""),"F-  ابتدائية جود العميد للبنات (الرابعة)")</f>
        <v>F-  ابتدائية جود العميد للبنات (الرابعة)</v>
      </c>
      <c r="G701" s="23" t="str">
        <f ca="1">IFERROR(__xludf.DUMMYFUNCTION("""COMPUTED_VALUE"""),"الطابق الارضي")</f>
        <v>الطابق الارضي</v>
      </c>
      <c r="H701" s="23" t="str">
        <f ca="1">IFERROR(__xludf.DUMMYFUNCTION("""COMPUTED_VALUE"""),"ارجاع قطع هزارة الزون B")</f>
        <v>ارجاع قطع هزارة الزون B</v>
      </c>
      <c r="I701" s="23"/>
      <c r="J701" s="23" t="s">
        <v>16</v>
      </c>
      <c r="K701" s="23" t="s">
        <v>13</v>
      </c>
      <c r="L701" s="32"/>
      <c r="M701" s="23"/>
    </row>
    <row r="702" spans="1:13" ht="75" customHeight="1" thickTop="1" thickBot="1">
      <c r="A702" s="23">
        <v>700</v>
      </c>
      <c r="B702" s="32">
        <f ca="1">IFERROR(__xludf.DUMMYFUNCTION("""COMPUTED_VALUE"""),46153.5717571759)</f>
        <v>46153.571757175901</v>
      </c>
      <c r="C702" s="33" t="str">
        <f ca="1">IFERROR(__xludf.DUMMYFUNCTION("""COMPUTED_VALUE"""),"المعملجي")</f>
        <v>المعملجي</v>
      </c>
      <c r="D702" s="33" t="str">
        <f ca="1">IFERROR(__xludf.DUMMYFUNCTION("""COMPUTED_VALUE"""),"سجاد تربية")</f>
        <v>سجاد تربية</v>
      </c>
      <c r="E702" s="23" t="str">
        <f ca="1">IFERROR(__xludf.DUMMYFUNCTION("""COMPUTED_VALUE"""),"قسم التربية والتعليم العالي")</f>
        <v>قسم التربية والتعليم العالي</v>
      </c>
      <c r="F702" s="23" t="str">
        <f ca="1">IFERROR(__xludf.DUMMYFUNCTION("""COMPUTED_VALUE"""),"F-  ابتدائية جود العميد للبنات (الرابعة)")</f>
        <v>F-  ابتدائية جود العميد للبنات (الرابعة)</v>
      </c>
      <c r="G702" s="23" t="str">
        <f ca="1">IFERROR(__xludf.DUMMYFUNCTION("""COMPUTED_VALUE"""),"الطابق الثاني, ZONE A")</f>
        <v>الطابق الثاني, ZONE A</v>
      </c>
      <c r="H702" s="23" t="str">
        <f ca="1">IFERROR(__xludf.DUMMYFUNCTION("""COMPUTED_VALUE"""),"صيانة بردة في المصلى ")</f>
        <v xml:space="preserve">صيانة بردة في المصلى </v>
      </c>
      <c r="I702" s="23"/>
      <c r="J702" s="23" t="s">
        <v>16</v>
      </c>
      <c r="K702" s="23" t="s">
        <v>13</v>
      </c>
      <c r="L702" s="32"/>
      <c r="M702" s="23"/>
    </row>
    <row r="703" spans="1:13" ht="75" customHeight="1" thickTop="1" thickBot="1">
      <c r="A703" s="25">
        <v>701</v>
      </c>
      <c r="B703" s="32">
        <f ca="1">IFERROR(__xludf.DUMMYFUNCTION("""COMPUTED_VALUE"""),46153.5724779861)</f>
        <v>46153.572477986098</v>
      </c>
      <c r="C703" s="33" t="str">
        <f ca="1">IFERROR(__xludf.DUMMYFUNCTION("""COMPUTED_VALUE"""),"المعملجي")</f>
        <v>المعملجي</v>
      </c>
      <c r="D703" s="33" t="str">
        <f ca="1">IFERROR(__xludf.DUMMYFUNCTION("""COMPUTED_VALUE"""),"سجاد تربية")</f>
        <v>سجاد تربية</v>
      </c>
      <c r="E703" s="23" t="str">
        <f ca="1">IFERROR(__xludf.DUMMYFUNCTION("""COMPUTED_VALUE"""),"قسم التربية والتعليم العالي")</f>
        <v>قسم التربية والتعليم العالي</v>
      </c>
      <c r="F703" s="23" t="str">
        <f ca="1">IFERROR(__xludf.DUMMYFUNCTION("""COMPUTED_VALUE"""),"F-  ابتدائية جود العميد للبنات (الرابعة)")</f>
        <v>F-  ابتدائية جود العميد للبنات (الرابعة)</v>
      </c>
      <c r="G703" s="23" t="str">
        <f ca="1">IFERROR(__xludf.DUMMYFUNCTION("""COMPUTED_VALUE"""),"الطابق الاول")</f>
        <v>الطابق الاول</v>
      </c>
      <c r="H703" s="23" t="str">
        <f ca="1">IFERROR(__xludf.DUMMYFUNCTION("""COMPUTED_VALUE"""),"صيانة يدة شباك حديد صف الاول ص")</f>
        <v>صيانة يدة شباك حديد صف الاول ص</v>
      </c>
      <c r="I703" s="23"/>
      <c r="J703" s="23" t="s">
        <v>16</v>
      </c>
      <c r="K703" s="23" t="s">
        <v>13</v>
      </c>
      <c r="L703" s="32"/>
      <c r="M703" s="23"/>
    </row>
    <row r="704" spans="1:13" ht="75" customHeight="1" thickTop="1" thickBot="1">
      <c r="A704" s="23">
        <v>702</v>
      </c>
      <c r="B704" s="32">
        <f ca="1">IFERROR(__xludf.DUMMYFUNCTION("""COMPUTED_VALUE"""),46153.5730552893)</f>
        <v>46153.5730552893</v>
      </c>
      <c r="C704" s="33" t="str">
        <f ca="1">IFERROR(__xludf.DUMMYFUNCTION("""COMPUTED_VALUE"""),"المعملجي")</f>
        <v>المعملجي</v>
      </c>
      <c r="D704" s="33" t="str">
        <f ca="1">IFERROR(__xludf.DUMMYFUNCTION("""COMPUTED_VALUE"""),"سجاد تربية")</f>
        <v>سجاد تربية</v>
      </c>
      <c r="E704" s="23" t="str">
        <f ca="1">IFERROR(__xludf.DUMMYFUNCTION("""COMPUTED_VALUE"""),"قسم التربية والتعليم العالي")</f>
        <v>قسم التربية والتعليم العالي</v>
      </c>
      <c r="F704" s="23" t="str">
        <f ca="1">IFERROR(__xludf.DUMMYFUNCTION("""COMPUTED_VALUE"""),"F-  ابتدائية جود العميد للبنات (الرابعة)")</f>
        <v>F-  ابتدائية جود العميد للبنات (الرابعة)</v>
      </c>
      <c r="G704" s="23" t="str">
        <f ca="1">IFERROR(__xludf.DUMMYFUNCTION("""COMPUTED_VALUE"""),"الطابق الاول")</f>
        <v>الطابق الاول</v>
      </c>
      <c r="H704" s="23" t="str">
        <f ca="1">IFERROR(__xludf.DUMMYFUNCTION("""COMPUTED_VALUE"""),"صيانة يدة شباك حديد صف الاول ب")</f>
        <v>صيانة يدة شباك حديد صف الاول ب</v>
      </c>
      <c r="I704" s="23"/>
      <c r="J704" s="23" t="s">
        <v>16</v>
      </c>
      <c r="K704" s="23" t="s">
        <v>13</v>
      </c>
      <c r="L704" s="32"/>
      <c r="M704" s="23"/>
    </row>
    <row r="705" spans="1:13" ht="75" customHeight="1" thickTop="1" thickBot="1">
      <c r="A705" s="25">
        <v>703</v>
      </c>
      <c r="B705" s="32">
        <f ca="1">IFERROR(__xludf.DUMMYFUNCTION("""COMPUTED_VALUE"""),46153.5738049305)</f>
        <v>46153.5738049305</v>
      </c>
      <c r="C705" s="33" t="str">
        <f ca="1">IFERROR(__xludf.DUMMYFUNCTION("""COMPUTED_VALUE"""),"المعملجي")</f>
        <v>المعملجي</v>
      </c>
      <c r="D705" s="33" t="str">
        <f ca="1">IFERROR(__xludf.DUMMYFUNCTION("""COMPUTED_VALUE"""),"سجاد تربية")</f>
        <v>سجاد تربية</v>
      </c>
      <c r="E705" s="23" t="str">
        <f ca="1">IFERROR(__xludf.DUMMYFUNCTION("""COMPUTED_VALUE"""),"قسم التربية والتعليم العالي")</f>
        <v>قسم التربية والتعليم العالي</v>
      </c>
      <c r="F705" s="23" t="str">
        <f ca="1">IFERROR(__xludf.DUMMYFUNCTION("""COMPUTED_VALUE"""),"F-  ابتدائية جود العميد للبنات (الرابعة)")</f>
        <v>F-  ابتدائية جود العميد للبنات (الرابعة)</v>
      </c>
      <c r="G705" s="23" t="str">
        <f ca="1">IFERROR(__xludf.DUMMYFUNCTION("""COMPUTED_VALUE"""),"الطابق الاول")</f>
        <v>الطابق الاول</v>
      </c>
      <c r="H705" s="23" t="str">
        <f ca="1">IFERROR(__xludf.DUMMYFUNCTION("""COMPUTED_VALUE"""),"صيانة يدة شباك حديد صف الرابع أ")</f>
        <v>صيانة يدة شباك حديد صف الرابع أ</v>
      </c>
      <c r="I705" s="23"/>
      <c r="J705" s="23" t="s">
        <v>16</v>
      </c>
      <c r="K705" s="23" t="s">
        <v>13</v>
      </c>
      <c r="L705" s="32"/>
      <c r="M705" s="23"/>
    </row>
    <row r="706" spans="1:13" ht="75" customHeight="1" thickTop="1" thickBot="1">
      <c r="A706" s="23">
        <v>704</v>
      </c>
      <c r="B706" s="32">
        <f ca="1">IFERROR(__xludf.DUMMYFUNCTION("""COMPUTED_VALUE"""),46153.5745442708)</f>
        <v>46153.574544270799</v>
      </c>
      <c r="C706" s="33" t="str">
        <f ca="1">IFERROR(__xludf.DUMMYFUNCTION("""COMPUTED_VALUE"""),"المعملجي")</f>
        <v>المعملجي</v>
      </c>
      <c r="D706" s="33" t="str">
        <f ca="1">IFERROR(__xludf.DUMMYFUNCTION("""COMPUTED_VALUE"""),"سجاد تربية")</f>
        <v>سجاد تربية</v>
      </c>
      <c r="E706" s="23" t="str">
        <f ca="1">IFERROR(__xludf.DUMMYFUNCTION("""COMPUTED_VALUE"""),"قسم التربية والتعليم العالي")</f>
        <v>قسم التربية والتعليم العالي</v>
      </c>
      <c r="F706" s="23" t="str">
        <f ca="1">IFERROR(__xludf.DUMMYFUNCTION("""COMPUTED_VALUE"""),"الصحيات مقابل المدرسة الاولى ")</f>
        <v xml:space="preserve">الصحيات مقابل المدرسة الاولى </v>
      </c>
      <c r="G706" s="23" t="str">
        <f ca="1">IFERROR(__xludf.DUMMYFUNCTION("""COMPUTED_VALUE"""),"الطابق الارضي")</f>
        <v>الطابق الارضي</v>
      </c>
      <c r="H706" s="23" t="str">
        <f ca="1">IFERROR(__xludf.DUMMYFUNCTION("""COMPUTED_VALUE"""),"صيانة باب المنيوم عدد 5")</f>
        <v>صيانة باب المنيوم عدد 5</v>
      </c>
      <c r="I706" s="23"/>
      <c r="J706" s="23" t="s">
        <v>16</v>
      </c>
      <c r="K706" s="23" t="s">
        <v>13</v>
      </c>
      <c r="L706" s="32"/>
      <c r="M706" s="23"/>
    </row>
    <row r="707" spans="1:13" ht="75" customHeight="1" thickTop="1" thickBot="1">
      <c r="A707" s="25">
        <v>705</v>
      </c>
      <c r="B707" s="32">
        <f ca="1">IFERROR(__xludf.DUMMYFUNCTION("""COMPUTED_VALUE"""),46153.5750673379)</f>
        <v>46153.575067337901</v>
      </c>
      <c r="C707" s="33" t="str">
        <f ca="1">IFERROR(__xludf.DUMMYFUNCTION("""COMPUTED_VALUE"""),"المعملجي")</f>
        <v>المعملجي</v>
      </c>
      <c r="D707" s="33" t="str">
        <f ca="1">IFERROR(__xludf.DUMMYFUNCTION("""COMPUTED_VALUE"""),"سجاد تربية")</f>
        <v>سجاد تربية</v>
      </c>
      <c r="E707" s="23" t="str">
        <f ca="1">IFERROR(__xludf.DUMMYFUNCTION("""COMPUTED_VALUE"""),"قسم التربية والتعليم العالي")</f>
        <v>قسم التربية والتعليم العالي</v>
      </c>
      <c r="F707" s="23" t="str">
        <f ca="1">IFERROR(__xludf.DUMMYFUNCTION("""COMPUTED_VALUE"""),"F-  ابتدائية جود العميد للبنات (الرابعة)")</f>
        <v>F-  ابتدائية جود العميد للبنات (الرابعة)</v>
      </c>
      <c r="G707" s="23" t="str">
        <f ca="1">IFERROR(__xludf.DUMMYFUNCTION("""COMPUTED_VALUE"""),"الطابق الارضي")</f>
        <v>الطابق الارضي</v>
      </c>
      <c r="H707" s="23" t="str">
        <f ca="1">IFERROR(__xludf.DUMMYFUNCTION("""COMPUTED_VALUE"""),"صيانة لوحة تعريفية ")</f>
        <v xml:space="preserve">صيانة لوحة تعريفية </v>
      </c>
      <c r="I707" s="23"/>
      <c r="J707" s="23" t="s">
        <v>16</v>
      </c>
      <c r="K707" s="23" t="s">
        <v>13</v>
      </c>
      <c r="L707" s="32"/>
      <c r="M707" s="23"/>
    </row>
    <row r="708" spans="1:13" ht="75" customHeight="1" thickTop="1" thickBot="1">
      <c r="A708" s="23">
        <v>706</v>
      </c>
      <c r="B708" s="32">
        <f ca="1">IFERROR(__xludf.DUMMYFUNCTION("""COMPUTED_VALUE"""),46153.5767656597)</f>
        <v>46153.576765659702</v>
      </c>
      <c r="C708" s="33" t="str">
        <f ca="1">IFERROR(__xludf.DUMMYFUNCTION("""COMPUTED_VALUE"""),"المعملجي")</f>
        <v>المعملجي</v>
      </c>
      <c r="D708" s="33" t="str">
        <f ca="1">IFERROR(__xludf.DUMMYFUNCTION("""COMPUTED_VALUE"""),"سجاد تربية")</f>
        <v>سجاد تربية</v>
      </c>
      <c r="E708" s="23" t="str">
        <f ca="1">IFERROR(__xludf.DUMMYFUNCTION("""COMPUTED_VALUE"""),"قسم التربية والتعليم العالي")</f>
        <v>قسم التربية والتعليم العالي</v>
      </c>
      <c r="F708" s="23" t="str">
        <f ca="1">IFERROR(__xludf.DUMMYFUNCTION("""COMPUTED_VALUE"""),"F-  ابتدائية جود العميد للبنات (الرابعة)")</f>
        <v>F-  ابتدائية جود العميد للبنات (الرابعة)</v>
      </c>
      <c r="G708" s="23" t="str">
        <f ca="1">IFERROR(__xludf.DUMMYFUNCTION("""COMPUTED_VALUE"""),"ZONE B")</f>
        <v>ZONE B</v>
      </c>
      <c r="H708" s="23" t="str">
        <f ca="1">IFERROR(__xludf.DUMMYFUNCTION("""COMPUTED_VALUE"""),"صيانة يدة شباك صف الرابع أ")</f>
        <v>صيانة يدة شباك صف الرابع أ</v>
      </c>
      <c r="I708" s="23"/>
      <c r="J708" s="23" t="s">
        <v>16</v>
      </c>
      <c r="K708" s="23" t="s">
        <v>13</v>
      </c>
      <c r="L708" s="32"/>
      <c r="M708" s="23"/>
    </row>
    <row r="709" spans="1:13" ht="75" customHeight="1" thickTop="1" thickBot="1">
      <c r="A709" s="25">
        <v>707</v>
      </c>
      <c r="B709" s="32">
        <f ca="1">IFERROR(__xludf.DUMMYFUNCTION("""COMPUTED_VALUE"""),46153.5772657638)</f>
        <v>46153.577265763801</v>
      </c>
      <c r="C709" s="33" t="str">
        <f ca="1">IFERROR(__xludf.DUMMYFUNCTION("""COMPUTED_VALUE"""),"المعملجي")</f>
        <v>المعملجي</v>
      </c>
      <c r="D709" s="33" t="str">
        <f ca="1">IFERROR(__xludf.DUMMYFUNCTION("""COMPUTED_VALUE"""),"سجاد تربية")</f>
        <v>سجاد تربية</v>
      </c>
      <c r="E709" s="23" t="str">
        <f ca="1">IFERROR(__xludf.DUMMYFUNCTION("""COMPUTED_VALUE"""),"قسم التربية والتعليم العالي")</f>
        <v>قسم التربية والتعليم العالي</v>
      </c>
      <c r="F709" s="23" t="str">
        <f ca="1">IFERROR(__xludf.DUMMYFUNCTION("""COMPUTED_VALUE"""),"F-  ابتدائية جود العميد للبنات (الرابعة)")</f>
        <v>F-  ابتدائية جود العميد للبنات (الرابعة)</v>
      </c>
      <c r="G709" s="23" t="str">
        <f ca="1">IFERROR(__xludf.DUMMYFUNCTION("""COMPUTED_VALUE"""),"الطابق الارضي")</f>
        <v>الطابق الارضي</v>
      </c>
      <c r="H709" s="23" t="str">
        <f ca="1">IFERROR(__xludf.DUMMYFUNCTION("""COMPUTED_VALUE"""),"تبديل قفل لوكر غرفة الإدارة ")</f>
        <v xml:space="preserve">تبديل قفل لوكر غرفة الإدارة </v>
      </c>
      <c r="I709" s="23"/>
      <c r="J709" s="23" t="s">
        <v>16</v>
      </c>
      <c r="K709" s="23" t="s">
        <v>13</v>
      </c>
      <c r="L709" s="32">
        <v>46153.57772627315</v>
      </c>
      <c r="M709" s="23"/>
    </row>
    <row r="710" spans="1:13" ht="75" customHeight="1" thickTop="1" thickBot="1">
      <c r="A710" s="23">
        <v>708</v>
      </c>
      <c r="B710" s="32">
        <f ca="1">IFERROR(__xludf.DUMMYFUNCTION("""COMPUTED_VALUE"""),46154.4439582638)</f>
        <v>46154.443958263801</v>
      </c>
      <c r="C710" s="33" t="str">
        <f ca="1">IFERROR(__xludf.DUMMYFUNCTION("""COMPUTED_VALUE"""),"المعملجي")</f>
        <v>المعملجي</v>
      </c>
      <c r="D710" s="33" t="str">
        <f ca="1">IFERROR(__xludf.DUMMYFUNCTION("""COMPUTED_VALUE"""),"سجاد تربية")</f>
        <v>سجاد تربية</v>
      </c>
      <c r="E710" s="23" t="str">
        <f ca="1">IFERROR(__xludf.DUMMYFUNCTION("""COMPUTED_VALUE"""),"قسم التربية والتعليم العالي")</f>
        <v>قسم التربية والتعليم العالي</v>
      </c>
      <c r="F710" s="23" t="str">
        <f ca="1">IFERROR(__xludf.DUMMYFUNCTION("""COMPUTED_VALUE"""),"I- ابتدائية الساقي للبنين (السادسة)")</f>
        <v>I- ابتدائية الساقي للبنين (السادسة)</v>
      </c>
      <c r="G710" s="23" t="str">
        <f ca="1">IFERROR(__xludf.DUMMYFUNCTION("""COMPUTED_VALUE"""),"الطابق الارضي")</f>
        <v>الطابق الارضي</v>
      </c>
      <c r="H710" s="23" t="str">
        <f ca="1">IFERROR(__xludf.DUMMYFUNCTION("""COMPUTED_VALUE"""),"ترميم حائط")</f>
        <v>ترميم حائط</v>
      </c>
      <c r="I710" s="23"/>
      <c r="J710" s="23" t="s">
        <v>16</v>
      </c>
      <c r="K710" s="23" t="s">
        <v>13</v>
      </c>
      <c r="L710" s="32">
        <v>46154.488432615741</v>
      </c>
      <c r="M710" s="23"/>
    </row>
    <row r="711" spans="1:13" ht="75" customHeight="1" thickTop="1" thickBot="1">
      <c r="A711" s="25">
        <v>709</v>
      </c>
      <c r="B711" s="32">
        <f ca="1">IFERROR(__xludf.DUMMYFUNCTION("""COMPUTED_VALUE"""),46155.5591610879)</f>
        <v>46155.559161087898</v>
      </c>
      <c r="C711" s="33" t="str">
        <f ca="1">IFERROR(__xludf.DUMMYFUNCTION("""COMPUTED_VALUE"""),"المعملجي")</f>
        <v>المعملجي</v>
      </c>
      <c r="D711" s="33" t="str">
        <f ca="1">IFERROR(__xludf.DUMMYFUNCTION("""COMPUTED_VALUE"""),"سجاد تربية")</f>
        <v>سجاد تربية</v>
      </c>
      <c r="E711" s="23" t="str">
        <f ca="1">IFERROR(__xludf.DUMMYFUNCTION("""COMPUTED_VALUE"""),"قسم التربية والتعليم العالي")</f>
        <v>قسم التربية والتعليم العالي</v>
      </c>
      <c r="F711" s="23" t="str">
        <f ca="1">IFERROR(__xludf.DUMMYFUNCTION("""COMPUTED_VALUE"""),"F-  ابتدائية جود العميد للبنات (الرابعة)")</f>
        <v>F-  ابتدائية جود العميد للبنات (الرابعة)</v>
      </c>
      <c r="G711" s="23" t="str">
        <f ca="1">IFERROR(__xludf.DUMMYFUNCTION("""COMPUTED_VALUE"""),"الطابق الاول")</f>
        <v>الطابق الاول</v>
      </c>
      <c r="H711" s="23" t="str">
        <f ca="1">IFERROR(__xludf.DUMMYFUNCTION("""COMPUTED_VALUE"""),"تركيب لوحة تعرفية")</f>
        <v>تركيب لوحة تعرفية</v>
      </c>
      <c r="I711" s="23"/>
      <c r="J711" s="23" t="s">
        <v>16</v>
      </c>
      <c r="K711" s="23" t="s">
        <v>13</v>
      </c>
      <c r="L711" s="32"/>
      <c r="M711" s="23"/>
    </row>
    <row r="712" spans="1:13" ht="75" customHeight="1" thickTop="1" thickBot="1">
      <c r="A712" s="23">
        <v>710</v>
      </c>
      <c r="B712" s="32">
        <f ca="1">IFERROR(__xludf.DUMMYFUNCTION("""COMPUTED_VALUE"""),46155.5599282175)</f>
        <v>46155.559928217503</v>
      </c>
      <c r="C712" s="33" t="str">
        <f ca="1">IFERROR(__xludf.DUMMYFUNCTION("""COMPUTED_VALUE"""),"المعملجي")</f>
        <v>المعملجي</v>
      </c>
      <c r="D712" s="33" t="str">
        <f ca="1">IFERROR(__xludf.DUMMYFUNCTION("""COMPUTED_VALUE"""),"سجاد تربية")</f>
        <v>سجاد تربية</v>
      </c>
      <c r="E712" s="23" t="str">
        <f ca="1">IFERROR(__xludf.DUMMYFUNCTION("""COMPUTED_VALUE"""),"قسم التربية والتعليم العالي")</f>
        <v>قسم التربية والتعليم العالي</v>
      </c>
      <c r="F712" s="23" t="str">
        <f ca="1">IFERROR(__xludf.DUMMYFUNCTION("""COMPUTED_VALUE"""),"F-  ابتدائية جود العميد للبنات (الرابعة)")</f>
        <v>F-  ابتدائية جود العميد للبنات (الرابعة)</v>
      </c>
      <c r="G712" s="23" t="str">
        <f ca="1">IFERROR(__xludf.DUMMYFUNCTION("""COMPUTED_VALUE"""),"الطابق الارضي")</f>
        <v>الطابق الارضي</v>
      </c>
      <c r="H712" s="23" t="str">
        <f ca="1">IFERROR(__xludf.DUMMYFUNCTION("""COMPUTED_VALUE"""),"معالجة و صبغ جدار")</f>
        <v>معالجة و صبغ جدار</v>
      </c>
      <c r="I712" s="23"/>
      <c r="J712" s="23" t="s">
        <v>16</v>
      </c>
      <c r="K712" s="23" t="s">
        <v>13</v>
      </c>
      <c r="L712" s="32"/>
      <c r="M712" s="23"/>
    </row>
    <row r="713" spans="1:13" ht="75" customHeight="1" thickTop="1" thickBot="1">
      <c r="A713" s="25">
        <v>711</v>
      </c>
      <c r="B713" s="32">
        <f ca="1">IFERROR(__xludf.DUMMYFUNCTION("""COMPUTED_VALUE"""),46155.560266655)</f>
        <v>46155.560266654997</v>
      </c>
      <c r="C713" s="33" t="str">
        <f ca="1">IFERROR(__xludf.DUMMYFUNCTION("""COMPUTED_VALUE"""),"المعملجي")</f>
        <v>المعملجي</v>
      </c>
      <c r="D713" s="33" t="str">
        <f ca="1">IFERROR(__xludf.DUMMYFUNCTION("""COMPUTED_VALUE"""),"سجاد تربية")</f>
        <v>سجاد تربية</v>
      </c>
      <c r="E713" s="23" t="str">
        <f ca="1">IFERROR(__xludf.DUMMYFUNCTION("""COMPUTED_VALUE"""),"قسم التربية والتعليم العالي")</f>
        <v>قسم التربية والتعليم العالي</v>
      </c>
      <c r="F713" s="23" t="str">
        <f ca="1">IFERROR(__xludf.DUMMYFUNCTION("""COMPUTED_VALUE"""),"F-  ابتدائية جود العميد للبنات (الرابعة)")</f>
        <v>F-  ابتدائية جود العميد للبنات (الرابعة)</v>
      </c>
      <c r="G713" s="23" t="str">
        <f ca="1">IFERROR(__xludf.DUMMYFUNCTION("""COMPUTED_VALUE"""),"الطابق الارضي, ZONE A")</f>
        <v>الطابق الارضي, ZONE A</v>
      </c>
      <c r="H713" s="23" t="str">
        <f ca="1">IFERROR(__xludf.DUMMYFUNCTION("""COMPUTED_VALUE"""),"صيانة ميز رسم")</f>
        <v>صيانة ميز رسم</v>
      </c>
      <c r="I713" s="23"/>
      <c r="J713" s="23" t="s">
        <v>16</v>
      </c>
      <c r="K713" s="23" t="s">
        <v>13</v>
      </c>
      <c r="L713" s="32"/>
      <c r="M713" s="23"/>
    </row>
    <row r="714" spans="1:13" ht="75" customHeight="1" thickTop="1" thickBot="1">
      <c r="A714" s="23">
        <v>712</v>
      </c>
      <c r="B714" s="32">
        <f ca="1">IFERROR(__xludf.DUMMYFUNCTION("""COMPUTED_VALUE"""),46155.5605629398)</f>
        <v>46155.560562939798</v>
      </c>
      <c r="C714" s="33" t="str">
        <f ca="1">IFERROR(__xludf.DUMMYFUNCTION("""COMPUTED_VALUE"""),"المعملجي")</f>
        <v>المعملجي</v>
      </c>
      <c r="D714" s="33" t="str">
        <f ca="1">IFERROR(__xludf.DUMMYFUNCTION("""COMPUTED_VALUE"""),"سجاد تربية")</f>
        <v>سجاد تربية</v>
      </c>
      <c r="E714" s="23" t="str">
        <f ca="1">IFERROR(__xludf.DUMMYFUNCTION("""COMPUTED_VALUE"""),"قسم التربية والتعليم العالي")</f>
        <v>قسم التربية والتعليم العالي</v>
      </c>
      <c r="F714" s="23" t="str">
        <f ca="1">IFERROR(__xludf.DUMMYFUNCTION("""COMPUTED_VALUE"""),"I- ابتدائية الساقي للبنين (السادسة)")</f>
        <v>I- ابتدائية الساقي للبنين (السادسة)</v>
      </c>
      <c r="G714" s="23" t="str">
        <f ca="1">IFERROR(__xludf.DUMMYFUNCTION("""COMPUTED_VALUE"""),"الطابق الارضي")</f>
        <v>الطابق الارضي</v>
      </c>
      <c r="H714" s="23" t="str">
        <f ca="1">IFERROR(__xludf.DUMMYFUNCTION("""COMPUTED_VALUE"""),"معالجة و صبغ جدار ")</f>
        <v xml:space="preserve">معالجة و صبغ جدار </v>
      </c>
      <c r="I714" s="23"/>
      <c r="J714" s="23" t="s">
        <v>16</v>
      </c>
      <c r="K714" s="23" t="s">
        <v>13</v>
      </c>
      <c r="L714" s="32"/>
      <c r="M714" s="23"/>
    </row>
    <row r="715" spans="1:13" ht="75" customHeight="1" thickTop="1" thickBot="1">
      <c r="A715" s="25">
        <v>713</v>
      </c>
      <c r="B715" s="32">
        <f ca="1">IFERROR(__xludf.DUMMYFUNCTION("""COMPUTED_VALUE"""),46155.5614055787)</f>
        <v>46155.561405578701</v>
      </c>
      <c r="C715" s="33" t="str">
        <f ca="1">IFERROR(__xludf.DUMMYFUNCTION("""COMPUTED_VALUE"""),"المعملجي")</f>
        <v>المعملجي</v>
      </c>
      <c r="D715" s="33" t="str">
        <f ca="1">IFERROR(__xludf.DUMMYFUNCTION("""COMPUTED_VALUE"""),"سجاد تربية")</f>
        <v>سجاد تربية</v>
      </c>
      <c r="E715" s="23" t="str">
        <f ca="1">IFERROR(__xludf.DUMMYFUNCTION("""COMPUTED_VALUE"""),"قسم التربية والتعليم العالي")</f>
        <v>قسم التربية والتعليم العالي</v>
      </c>
      <c r="F715" s="23" t="str">
        <f ca="1">IFERROR(__xludf.DUMMYFUNCTION("""COMPUTED_VALUE"""),"المختبرات")</f>
        <v>المختبرات</v>
      </c>
      <c r="G715" s="23" t="str">
        <f ca="1">IFERROR(__xludf.DUMMYFUNCTION("""COMPUTED_VALUE"""),"الطابق الارضي")</f>
        <v>الطابق الارضي</v>
      </c>
      <c r="H715" s="23" t="str">
        <f ca="1">IFERROR(__xludf.DUMMYFUNCTION("""COMPUTED_VALUE"""),"حفر جدار بين الإدارية والمختبر لمد انبوب ماء")</f>
        <v>حفر جدار بين الإدارية والمختبر لمد انبوب ماء</v>
      </c>
      <c r="I715" s="23"/>
      <c r="J715" s="23" t="s">
        <v>16</v>
      </c>
      <c r="K715" s="23" t="s">
        <v>13</v>
      </c>
      <c r="L715" s="32"/>
      <c r="M715" s="23"/>
    </row>
    <row r="716" spans="1:13" ht="75" customHeight="1" thickTop="1" thickBot="1">
      <c r="A716" s="23">
        <v>714</v>
      </c>
      <c r="B716" s="32">
        <f ca="1">IFERROR(__xludf.DUMMYFUNCTION("""COMPUTED_VALUE"""),46156.409869537)</f>
        <v>46156.409869536998</v>
      </c>
      <c r="C716" s="33" t="str">
        <f ca="1">IFERROR(__xludf.DUMMYFUNCTION("""COMPUTED_VALUE"""),"المعملجي")</f>
        <v>المعملجي</v>
      </c>
      <c r="D716" s="33" t="str">
        <f ca="1">IFERROR(__xludf.DUMMYFUNCTION("""COMPUTED_VALUE"""),"سجاد تربية")</f>
        <v>سجاد تربية</v>
      </c>
      <c r="E716" s="23" t="str">
        <f ca="1">IFERROR(__xludf.DUMMYFUNCTION("""COMPUTED_VALUE"""),"قسم التربية والتعليم العالي")</f>
        <v>قسم التربية والتعليم العالي</v>
      </c>
      <c r="F716" s="23" t="str">
        <f ca="1">IFERROR(__xludf.DUMMYFUNCTION("""COMPUTED_VALUE"""),"A- المركز الثقافي")</f>
        <v>A- المركز الثقافي</v>
      </c>
      <c r="G716" s="23" t="str">
        <f ca="1">IFERROR(__xludf.DUMMYFUNCTION("""COMPUTED_VALUE"""),"الطابق الارضي")</f>
        <v>الطابق الارضي</v>
      </c>
      <c r="H716" s="23" t="str">
        <f ca="1">IFERROR(__xludf.DUMMYFUNCTION("""COMPUTED_VALUE"""),"تبديل لبب عدد 2 ")</f>
        <v xml:space="preserve">تبديل لبب عدد 2 </v>
      </c>
      <c r="I716" s="23"/>
      <c r="J716" s="23" t="s">
        <v>16</v>
      </c>
      <c r="K716" s="23" t="s">
        <v>13</v>
      </c>
      <c r="L716" s="32"/>
      <c r="M716" s="23"/>
    </row>
    <row r="717" spans="1:13" ht="75" customHeight="1" thickTop="1" thickBot="1">
      <c r="A717" s="25">
        <v>715</v>
      </c>
      <c r="B717" s="32">
        <f ca="1">IFERROR(__xludf.DUMMYFUNCTION("""COMPUTED_VALUE"""),46156.4121593865)</f>
        <v>46156.412159386498</v>
      </c>
      <c r="C717" s="33" t="str">
        <f ca="1">IFERROR(__xludf.DUMMYFUNCTION("""COMPUTED_VALUE"""),"المعملجي")</f>
        <v>المعملجي</v>
      </c>
      <c r="D717" s="33" t="str">
        <f ca="1">IFERROR(__xludf.DUMMYFUNCTION("""COMPUTED_VALUE"""),"سجاد تربية")</f>
        <v>سجاد تربية</v>
      </c>
      <c r="E717" s="23" t="str">
        <f ca="1">IFERROR(__xludf.DUMMYFUNCTION("""COMPUTED_VALUE"""),"قسم المشاريع الهندسية")</f>
        <v>قسم المشاريع الهندسية</v>
      </c>
      <c r="F717" s="23" t="str">
        <f ca="1">IFERROR(__xludf.DUMMYFUNCTION("""COMPUTED_VALUE"""),"A- المركز الثقافي")</f>
        <v>A- المركز الثقافي</v>
      </c>
      <c r="G717" s="23" t="str">
        <f ca="1">IFERROR(__xludf.DUMMYFUNCTION("""COMPUTED_VALUE"""),"الطابق الارضي")</f>
        <v>الطابق الارضي</v>
      </c>
      <c r="H717" s="23" t="str">
        <f ca="1">IFERROR(__xludf.DUMMYFUNCTION("""COMPUTED_VALUE"""),"صيانة تارتان brc")</f>
        <v>صيانة تارتان brc</v>
      </c>
      <c r="I717" s="23"/>
      <c r="J717" s="23" t="s">
        <v>16</v>
      </c>
      <c r="K717" s="23" t="s">
        <v>13</v>
      </c>
      <c r="L717" s="32"/>
      <c r="M717" s="23"/>
    </row>
    <row r="718" spans="1:13" ht="75" customHeight="1" thickTop="1" thickBot="1">
      <c r="A718" s="23">
        <v>716</v>
      </c>
      <c r="B718" s="32">
        <f ca="1">IFERROR(__xludf.DUMMYFUNCTION("""COMPUTED_VALUE"""),46156.473125324)</f>
        <v>46156.473125324002</v>
      </c>
      <c r="C718" s="33" t="str">
        <f ca="1">IFERROR(__xludf.DUMMYFUNCTION("""COMPUTED_VALUE"""),"المعملجي")</f>
        <v>المعملجي</v>
      </c>
      <c r="D718" s="33" t="str">
        <f ca="1">IFERROR(__xludf.DUMMYFUNCTION("""COMPUTED_VALUE"""),"سجاد تربية")</f>
        <v>سجاد تربية</v>
      </c>
      <c r="E718" s="23" t="str">
        <f ca="1">IFERROR(__xludf.DUMMYFUNCTION("""COMPUTED_VALUE"""),"قسم التربية والتعليم العالي")</f>
        <v>قسم التربية والتعليم العالي</v>
      </c>
      <c r="F71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18" s="23" t="str">
        <f ca="1">IFERROR(__xludf.DUMMYFUNCTION("""COMPUTED_VALUE"""),"السطح")</f>
        <v>السطح</v>
      </c>
      <c r="H718" s="23" t="str">
        <f ca="1">IFERROR(__xludf.DUMMYFUNCTION("""COMPUTED_VALUE"""),"صيانة سيفونات عدد 3 ")</f>
        <v xml:space="preserve">صيانة سيفونات عدد 3 </v>
      </c>
      <c r="I718" s="23"/>
      <c r="J718" s="23" t="s">
        <v>16</v>
      </c>
      <c r="K718" s="23" t="s">
        <v>13</v>
      </c>
      <c r="L718" s="32"/>
      <c r="M718" s="23"/>
    </row>
    <row r="719" spans="1:13" ht="75" customHeight="1" thickTop="1" thickBot="1">
      <c r="A719" s="25">
        <v>717</v>
      </c>
      <c r="B719" s="32">
        <f ca="1">IFERROR(__xludf.DUMMYFUNCTION("""COMPUTED_VALUE"""),46156.474303449)</f>
        <v>46156.474303449002</v>
      </c>
      <c r="C719" s="33" t="str">
        <f ca="1">IFERROR(__xludf.DUMMYFUNCTION("""COMPUTED_VALUE"""),"المعملجي")</f>
        <v>المعملجي</v>
      </c>
      <c r="D719" s="33" t="str">
        <f ca="1">IFERROR(__xludf.DUMMYFUNCTION("""COMPUTED_VALUE"""),"وحدة المدني")</f>
        <v>وحدة المدني</v>
      </c>
      <c r="E719" s="23" t="str">
        <f ca="1">IFERROR(__xludf.DUMMYFUNCTION("""COMPUTED_VALUE"""),"قسم المشاريع الهندسية")</f>
        <v>قسم المشاريع الهندسية</v>
      </c>
      <c r="F71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19" s="23" t="str">
        <f ca="1">IFERROR(__xludf.DUMMYFUNCTION("""COMPUTED_VALUE"""),"السطح")</f>
        <v>السطح</v>
      </c>
      <c r="H719" s="23" t="str">
        <f ca="1">IFERROR(__xludf.DUMMYFUNCTION("""COMPUTED_VALUE"""),"رفع انقاذ وتنظيف السطح ")</f>
        <v xml:space="preserve">رفع انقاذ وتنظيف السطح </v>
      </c>
      <c r="I719" s="23"/>
      <c r="J719" s="23" t="s">
        <v>16</v>
      </c>
      <c r="K719" s="23" t="s">
        <v>13</v>
      </c>
      <c r="L719" s="32"/>
      <c r="M719" s="23"/>
    </row>
    <row r="720" spans="1:13" ht="75" customHeight="1" thickTop="1" thickBot="1">
      <c r="A720" s="23">
        <v>718</v>
      </c>
      <c r="B720" s="32">
        <f ca="1">IFERROR(__xludf.DUMMYFUNCTION("""COMPUTED_VALUE"""),46156.4765776851)</f>
        <v>46156.476577685098</v>
      </c>
      <c r="C720" s="33" t="str">
        <f ca="1">IFERROR(__xludf.DUMMYFUNCTION("""COMPUTED_VALUE"""),"المعملجي")</f>
        <v>المعملجي</v>
      </c>
      <c r="D720" s="33" t="str">
        <f ca="1">IFERROR(__xludf.DUMMYFUNCTION("""COMPUTED_VALUE"""),"سجاد تربية")</f>
        <v>سجاد تربية</v>
      </c>
      <c r="E720" s="23" t="str">
        <f ca="1">IFERROR(__xludf.DUMMYFUNCTION("""COMPUTED_VALUE"""),"قسم التربية والتعليم العالي")</f>
        <v>قسم التربية والتعليم العالي</v>
      </c>
      <c r="F720" s="23" t="str">
        <f ca="1">IFERROR(__xludf.DUMMYFUNCTION("""COMPUTED_VALUE"""),"الاستعلامات مقابل الكراج")</f>
        <v>الاستعلامات مقابل الكراج</v>
      </c>
      <c r="G720" s="23" t="str">
        <f ca="1">IFERROR(__xludf.DUMMYFUNCTION("""COMPUTED_VALUE"""),"الطابق الارضي")</f>
        <v>الطابق الارضي</v>
      </c>
      <c r="H720" s="23" t="str">
        <f ca="1">IFERROR(__xludf.DUMMYFUNCTION("""COMPUTED_VALUE"""),"حفر ومد صوندة ")</f>
        <v xml:space="preserve">حفر ومد صوندة </v>
      </c>
      <c r="I720" s="23"/>
      <c r="J720" s="23" t="s">
        <v>16</v>
      </c>
      <c r="K720" s="23" t="s">
        <v>13</v>
      </c>
      <c r="L720" s="32"/>
      <c r="M720" s="23"/>
    </row>
    <row r="721" spans="1:13" ht="75" customHeight="1" thickTop="1" thickBot="1">
      <c r="A721" s="25">
        <v>719</v>
      </c>
      <c r="B721" s="32">
        <f ca="1">IFERROR(__xludf.DUMMYFUNCTION("""COMPUTED_VALUE"""),46158.3473601504)</f>
        <v>46158.347360150401</v>
      </c>
      <c r="C721" s="33" t="str">
        <f ca="1">IFERROR(__xludf.DUMMYFUNCTION("""COMPUTED_VALUE"""),"المعملجي")</f>
        <v>المعملجي</v>
      </c>
      <c r="D721" s="33" t="str">
        <f ca="1">IFERROR(__xludf.DUMMYFUNCTION("""COMPUTED_VALUE"""),"وحدة المدني")</f>
        <v>وحدة المدني</v>
      </c>
      <c r="E721" s="23" t="str">
        <f ca="1">IFERROR(__xludf.DUMMYFUNCTION("""COMPUTED_VALUE"""),"قسم المشاريع الهندسية")</f>
        <v>قسم المشاريع الهندسية</v>
      </c>
      <c r="F721" s="23" t="str">
        <f ca="1">IFERROR(__xludf.DUMMYFUNCTION("""COMPUTED_VALUE"""),"E- ابتدائية العميد للبنات (الثالثة)")</f>
        <v>E- ابتدائية العميد للبنات (الثالثة)</v>
      </c>
      <c r="G721" s="23" t="str">
        <f ca="1">IFERROR(__xludf.DUMMYFUNCTION("""COMPUTED_VALUE"""),"الطابق الثاني")</f>
        <v>الطابق الثاني</v>
      </c>
      <c r="H721" s="23" t="str">
        <f ca="1">IFERROR(__xludf.DUMMYFUNCTION("""COMPUTED_VALUE"""),"تركيب بردة")</f>
        <v>تركيب بردة</v>
      </c>
      <c r="I721" s="23"/>
      <c r="J721" s="23" t="s">
        <v>16</v>
      </c>
      <c r="K721" s="23" t="s">
        <v>13</v>
      </c>
      <c r="L721" s="32"/>
      <c r="M721" s="23"/>
    </row>
    <row r="722" spans="1:13" ht="75" customHeight="1" thickTop="1" thickBot="1">
      <c r="A722" s="23">
        <v>720</v>
      </c>
      <c r="B722" s="32">
        <f ca="1">IFERROR(__xludf.DUMMYFUNCTION("""COMPUTED_VALUE"""),46158.3476485763)</f>
        <v>46158.347648576302</v>
      </c>
      <c r="C722" s="33" t="str">
        <f ca="1">IFERROR(__xludf.DUMMYFUNCTION("""COMPUTED_VALUE"""),"المعملجي")</f>
        <v>المعملجي</v>
      </c>
      <c r="D722" s="33" t="str">
        <f ca="1">IFERROR(__xludf.DUMMYFUNCTION("""COMPUTED_VALUE"""),"سجاد تربية")</f>
        <v>سجاد تربية</v>
      </c>
      <c r="E722" s="23" t="str">
        <f ca="1">IFERROR(__xludf.DUMMYFUNCTION("""COMPUTED_VALUE"""),"قسم التربية والتعليم العالي")</f>
        <v>قسم التربية والتعليم العالي</v>
      </c>
      <c r="F722" s="23" t="str">
        <f ca="1">IFERROR(__xludf.DUMMYFUNCTION("""COMPUTED_VALUE"""),"A- المركز الثقافي")</f>
        <v>A- المركز الثقافي</v>
      </c>
      <c r="G722" s="23" t="str">
        <f ca="1">IFERROR(__xludf.DUMMYFUNCTION("""COMPUTED_VALUE"""),"الطابق الاول")</f>
        <v>الطابق الاول</v>
      </c>
      <c r="H722" s="23" t="str">
        <f ca="1">IFERROR(__xludf.DUMMYFUNCTION("""COMPUTED_VALUE"""),"تبديل سقوف ثانوية ")</f>
        <v xml:space="preserve">تبديل سقوف ثانوية </v>
      </c>
      <c r="I722" s="23"/>
      <c r="J722" s="23" t="s">
        <v>16</v>
      </c>
      <c r="K722" s="23" t="s">
        <v>13</v>
      </c>
      <c r="L722" s="32"/>
      <c r="M722" s="23"/>
    </row>
    <row r="723" spans="1:13" ht="75" customHeight="1" thickTop="1" thickBot="1">
      <c r="A723" s="25">
        <v>721</v>
      </c>
      <c r="B723" s="32">
        <f ca="1">IFERROR(__xludf.DUMMYFUNCTION("""COMPUTED_VALUE"""),46158.4518072453)</f>
        <v>46158.451807245299</v>
      </c>
      <c r="C723" s="33" t="str">
        <f ca="1">IFERROR(__xludf.DUMMYFUNCTION("""COMPUTED_VALUE"""),"المعملجي")</f>
        <v>المعملجي</v>
      </c>
      <c r="D723" s="33" t="str">
        <f ca="1">IFERROR(__xludf.DUMMYFUNCTION("""COMPUTED_VALUE"""),"سجاد تربية")</f>
        <v>سجاد تربية</v>
      </c>
      <c r="E723" s="23" t="str">
        <f ca="1">IFERROR(__xludf.DUMMYFUNCTION("""COMPUTED_VALUE"""),"قسم التربية والتعليم العالي")</f>
        <v>قسم التربية والتعليم العالي</v>
      </c>
      <c r="F723" s="23" t="str">
        <f ca="1">IFERROR(__xludf.DUMMYFUNCTION("""COMPUTED_VALUE"""),"F-  ابتدائية جود العميد للبنات (الرابعة)")</f>
        <v>F-  ابتدائية جود العميد للبنات (الرابعة)</v>
      </c>
      <c r="G723" s="23" t="str">
        <f ca="1">IFERROR(__xludf.DUMMYFUNCTION("""COMPUTED_VALUE"""),"الطابق الاول")</f>
        <v>الطابق الاول</v>
      </c>
      <c r="H723" s="23" t="str">
        <f ca="1">IFERROR(__xludf.DUMMYFUNCTION("""COMPUTED_VALUE"""),"صيانة شباك صف الاول د")</f>
        <v>صيانة شباك صف الاول د</v>
      </c>
      <c r="I723" s="23"/>
      <c r="J723" s="23" t="s">
        <v>16</v>
      </c>
      <c r="K723" s="23" t="s">
        <v>13</v>
      </c>
      <c r="L723" s="32">
        <v>46158.474020347217</v>
      </c>
      <c r="M723" s="23"/>
    </row>
    <row r="724" spans="1:13" ht="75" customHeight="1" thickTop="1" thickBot="1">
      <c r="A724" s="23">
        <v>722</v>
      </c>
      <c r="B724" s="32">
        <f ca="1">IFERROR(__xludf.DUMMYFUNCTION("""COMPUTED_VALUE"""),46158.4761274884)</f>
        <v>46158.4761274884</v>
      </c>
      <c r="C724" s="33" t="str">
        <f ca="1">IFERROR(__xludf.DUMMYFUNCTION("""COMPUTED_VALUE"""),"المعملجي")</f>
        <v>المعملجي</v>
      </c>
      <c r="D724" s="33" t="str">
        <f ca="1">IFERROR(__xludf.DUMMYFUNCTION("""COMPUTED_VALUE"""),"سجاد تربية")</f>
        <v>سجاد تربية</v>
      </c>
      <c r="E724" s="23" t="str">
        <f ca="1">IFERROR(__xludf.DUMMYFUNCTION("""COMPUTED_VALUE"""),"قسم التربية والتعليم العالي")</f>
        <v>قسم التربية والتعليم العالي</v>
      </c>
      <c r="F724" s="23" t="str">
        <f ca="1">IFERROR(__xludf.DUMMYFUNCTION("""COMPUTED_VALUE"""),"F-  ابتدائية جود العميد للبنات (الرابعة)")</f>
        <v>F-  ابتدائية جود العميد للبنات (الرابعة)</v>
      </c>
      <c r="G724" s="23" t="str">
        <f ca="1">IFERROR(__xludf.DUMMYFUNCTION("""COMPUTED_VALUE"""),"الطابق الاول")</f>
        <v>الطابق الاول</v>
      </c>
      <c r="H724" s="23" t="str">
        <f ca="1">IFERROR(__xludf.DUMMYFUNCTION("""COMPUTED_VALUE"""),"صيانة مصعد حائط")</f>
        <v>صيانة مصعد حائط</v>
      </c>
      <c r="I724" s="23"/>
      <c r="J724" s="23" t="s">
        <v>16</v>
      </c>
      <c r="K724" s="23" t="s">
        <v>13</v>
      </c>
      <c r="L724" s="32">
        <v>46158.476769942128</v>
      </c>
      <c r="M724" s="23"/>
    </row>
    <row r="725" spans="1:13" ht="75" customHeight="1" thickTop="1" thickBot="1">
      <c r="A725" s="25">
        <v>723</v>
      </c>
      <c r="B725" s="32">
        <f ca="1">IFERROR(__xludf.DUMMYFUNCTION("""COMPUTED_VALUE"""),46158.4765438541)</f>
        <v>46158.4765438541</v>
      </c>
      <c r="C725" s="33" t="str">
        <f ca="1">IFERROR(__xludf.DUMMYFUNCTION("""COMPUTED_VALUE"""),"المعملجي")</f>
        <v>المعملجي</v>
      </c>
      <c r="D725" s="33" t="str">
        <f ca="1">IFERROR(__xludf.DUMMYFUNCTION("""COMPUTED_VALUE"""),"سجاد تربية")</f>
        <v>سجاد تربية</v>
      </c>
      <c r="E725" s="23" t="str">
        <f ca="1">IFERROR(__xludf.DUMMYFUNCTION("""COMPUTED_VALUE"""),"قسم التربية والتعليم العالي")</f>
        <v>قسم التربية والتعليم العالي</v>
      </c>
      <c r="F725" s="23" t="str">
        <f ca="1">IFERROR(__xludf.DUMMYFUNCTION("""COMPUTED_VALUE"""),"F-  ابتدائية جود العميد للبنات (الرابعة)")</f>
        <v>F-  ابتدائية جود العميد للبنات (الرابعة)</v>
      </c>
      <c r="G725" s="23" t="str">
        <f ca="1">IFERROR(__xludf.DUMMYFUNCTION("""COMPUTED_VALUE"""),"الطابق الاول")</f>
        <v>الطابق الاول</v>
      </c>
      <c r="H725" s="23" t="str">
        <f ca="1">IFERROR(__xludf.DUMMYFUNCTION("""COMPUTED_VALUE"""),"تعليك لوحة تعريفية ")</f>
        <v xml:space="preserve">تعليك لوحة تعريفية </v>
      </c>
      <c r="I725" s="23"/>
      <c r="J725" s="23" t="s">
        <v>16</v>
      </c>
      <c r="K725" s="23" t="s">
        <v>13</v>
      </c>
      <c r="L725" s="32">
        <v>46158.476779652774</v>
      </c>
      <c r="M725" s="23"/>
    </row>
    <row r="726" spans="1:13" ht="75" customHeight="1" thickTop="1" thickBot="1">
      <c r="A726" s="23">
        <v>724</v>
      </c>
      <c r="B726" s="32">
        <f ca="1">IFERROR(__xludf.DUMMYFUNCTION("""COMPUTED_VALUE"""),46158.5431318634)</f>
        <v>46158.5431318634</v>
      </c>
      <c r="C726" s="33" t="str">
        <f ca="1">IFERROR(__xludf.DUMMYFUNCTION("""COMPUTED_VALUE"""),"المعملجي")</f>
        <v>المعملجي</v>
      </c>
      <c r="D726" s="33" t="str">
        <f ca="1">IFERROR(__xludf.DUMMYFUNCTION("""COMPUTED_VALUE"""),"سجاد تربية")</f>
        <v>سجاد تربية</v>
      </c>
      <c r="E726" s="23" t="str">
        <f ca="1">IFERROR(__xludf.DUMMYFUNCTION("""COMPUTED_VALUE"""),"قسم التربية والتعليم العالي")</f>
        <v>قسم التربية والتعليم العالي</v>
      </c>
      <c r="F726" s="23" t="str">
        <f ca="1">IFERROR(__xludf.DUMMYFUNCTION("""COMPUTED_VALUE"""),"E- ابتدائية العميد للبنات (الثالثة)")</f>
        <v>E- ابتدائية العميد للبنات (الثالثة)</v>
      </c>
      <c r="G726" s="23" t="str">
        <f ca="1">IFERROR(__xludf.DUMMYFUNCTION("""COMPUTED_VALUE"""),"الطابق الثاني")</f>
        <v>الطابق الثاني</v>
      </c>
      <c r="H726" s="23" t="str">
        <f ca="1">IFERROR(__xludf.DUMMYFUNCTION("""COMPUTED_VALUE"""),"تبديل قفل باب المصلى ")</f>
        <v xml:space="preserve">تبديل قفل باب المصلى </v>
      </c>
      <c r="I726" s="23"/>
      <c r="J726" s="23" t="s">
        <v>16</v>
      </c>
      <c r="K726" s="23" t="s">
        <v>13</v>
      </c>
      <c r="L726" s="32">
        <v>46158.620672951394</v>
      </c>
      <c r="M726" s="23"/>
    </row>
    <row r="727" spans="1:13" ht="75" customHeight="1" thickTop="1" thickBot="1">
      <c r="A727" s="25">
        <v>725</v>
      </c>
      <c r="B727" s="32">
        <f ca="1">IFERROR(__xludf.DUMMYFUNCTION("""COMPUTED_VALUE"""),46158.5436336111)</f>
        <v>46158.543633611102</v>
      </c>
      <c r="C727" s="33" t="str">
        <f ca="1">IFERROR(__xludf.DUMMYFUNCTION("""COMPUTED_VALUE"""),"المعملجي")</f>
        <v>المعملجي</v>
      </c>
      <c r="D727" s="33" t="str">
        <f ca="1">IFERROR(__xludf.DUMMYFUNCTION("""COMPUTED_VALUE"""),"سجاد تربية")</f>
        <v>سجاد تربية</v>
      </c>
      <c r="E727" s="23" t="str">
        <f ca="1">IFERROR(__xludf.DUMMYFUNCTION("""COMPUTED_VALUE"""),"قسم التربية والتعليم العالي")</f>
        <v>قسم التربية والتعليم العالي</v>
      </c>
      <c r="F727" s="23" t="str">
        <f ca="1">IFERROR(__xludf.DUMMYFUNCTION("""COMPUTED_VALUE"""),"E- ابتدائية العميد للبنات (الثالثة)")</f>
        <v>E- ابتدائية العميد للبنات (الثالثة)</v>
      </c>
      <c r="G727" s="23" t="str">
        <f ca="1">IFERROR(__xludf.DUMMYFUNCTION("""COMPUTED_VALUE"""),"الطابق الاول")</f>
        <v>الطابق الاول</v>
      </c>
      <c r="H727" s="23" t="str">
        <f ca="1">IFERROR(__xludf.DUMMYFUNCTION("""COMPUTED_VALUE"""),"باب خشب اول ج")</f>
        <v>باب خشب اول ج</v>
      </c>
      <c r="I727" s="23"/>
      <c r="J727" s="23" t="s">
        <v>16</v>
      </c>
      <c r="K727" s="23" t="s">
        <v>13</v>
      </c>
      <c r="L727" s="32">
        <v>46158.620596990746</v>
      </c>
      <c r="M727" s="23"/>
    </row>
    <row r="728" spans="1:13" ht="75" customHeight="1" thickTop="1" thickBot="1">
      <c r="A728" s="23">
        <v>726</v>
      </c>
      <c r="B728" s="32">
        <f ca="1">IFERROR(__xludf.DUMMYFUNCTION("""COMPUTED_VALUE"""),46159.3739010069)</f>
        <v>46159.373901006897</v>
      </c>
      <c r="C728" s="33" t="str">
        <f ca="1">IFERROR(__xludf.DUMMYFUNCTION("""COMPUTED_VALUE"""),"المعملجي")</f>
        <v>المعملجي</v>
      </c>
      <c r="D728" s="33" t="str">
        <f ca="1">IFERROR(__xludf.DUMMYFUNCTION("""COMPUTED_VALUE"""),"وحدة المدني")</f>
        <v>وحدة المدني</v>
      </c>
      <c r="E728" s="23" t="str">
        <f ca="1">IFERROR(__xludf.DUMMYFUNCTION("""COMPUTED_VALUE"""),"قسم المشاريع الهندسية")</f>
        <v>قسم المشاريع الهندسية</v>
      </c>
      <c r="F72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28" s="23" t="str">
        <f ca="1">IFERROR(__xludf.DUMMYFUNCTION("""COMPUTED_VALUE"""),"الطابق الاول")</f>
        <v>الطابق الاول</v>
      </c>
      <c r="H728" s="23" t="str">
        <f ca="1">IFERROR(__xludf.DUMMYFUNCTION("""COMPUTED_VALUE"""),"صيانة باب المنيوم عدد 2 ")</f>
        <v xml:space="preserve">صيانة باب المنيوم عدد 2 </v>
      </c>
      <c r="I728" s="23"/>
      <c r="J728" s="23" t="s">
        <v>16</v>
      </c>
      <c r="K728" s="23" t="s">
        <v>13</v>
      </c>
      <c r="L728" s="32"/>
      <c r="M728" s="23"/>
    </row>
    <row r="729" spans="1:13" ht="75" customHeight="1" thickTop="1" thickBot="1">
      <c r="A729" s="25">
        <v>727</v>
      </c>
      <c r="B729" s="32">
        <f ca="1">IFERROR(__xludf.DUMMYFUNCTION("""COMPUTED_VALUE"""),46159.3752313773)</f>
        <v>46159.3752313773</v>
      </c>
      <c r="C729" s="33" t="str">
        <f ca="1">IFERROR(__xludf.DUMMYFUNCTION("""COMPUTED_VALUE"""),"المعملجي")</f>
        <v>المعملجي</v>
      </c>
      <c r="D729" s="33" t="str">
        <f ca="1">IFERROR(__xludf.DUMMYFUNCTION("""COMPUTED_VALUE"""),"وحدة المدني")</f>
        <v>وحدة المدني</v>
      </c>
      <c r="E729" s="23" t="str">
        <f ca="1">IFERROR(__xludf.DUMMYFUNCTION("""COMPUTED_VALUE"""),"قسم المشاريع الهندسية")</f>
        <v>قسم المشاريع الهندسية</v>
      </c>
      <c r="F72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29" s="23" t="str">
        <f ca="1">IFERROR(__xludf.DUMMYFUNCTION("""COMPUTED_VALUE"""),"الطابق الثاني")</f>
        <v>الطابق الثاني</v>
      </c>
      <c r="H729" s="23" t="str">
        <f ca="1">IFERROR(__xludf.DUMMYFUNCTION("""COMPUTED_VALUE"""),"تبديل يدة شباك حديد ")</f>
        <v xml:space="preserve">تبديل يدة شباك حديد </v>
      </c>
      <c r="I729" s="23"/>
      <c r="J729" s="23" t="s">
        <v>16</v>
      </c>
      <c r="K729" s="23" t="s">
        <v>13</v>
      </c>
      <c r="L729" s="32"/>
      <c r="M729" s="23"/>
    </row>
    <row r="730" spans="1:13" ht="75" customHeight="1" thickTop="1" thickBot="1">
      <c r="A730" s="23">
        <v>728</v>
      </c>
      <c r="B730" s="32">
        <f ca="1">IFERROR(__xludf.DUMMYFUNCTION("""COMPUTED_VALUE"""),46159.3758346527)</f>
        <v>46159.375834652703</v>
      </c>
      <c r="C730" s="33" t="str">
        <f ca="1">IFERROR(__xludf.DUMMYFUNCTION("""COMPUTED_VALUE"""),"المعملجي")</f>
        <v>المعملجي</v>
      </c>
      <c r="D730" s="33" t="str">
        <f ca="1">IFERROR(__xludf.DUMMYFUNCTION("""COMPUTED_VALUE"""),"وحدة المدني")</f>
        <v>وحدة المدني</v>
      </c>
      <c r="E730" s="23" t="str">
        <f ca="1">IFERROR(__xludf.DUMMYFUNCTION("""COMPUTED_VALUE"""),"قسم المشاريع الهندسية")</f>
        <v>قسم المشاريع الهندسية</v>
      </c>
      <c r="F73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30" s="23" t="str">
        <f ca="1">IFERROR(__xludf.DUMMYFUNCTION("""COMPUTED_VALUE"""),"الطابق الاول")</f>
        <v>الطابق الاول</v>
      </c>
      <c r="H730" s="23" t="str">
        <f ca="1">IFERROR(__xludf.DUMMYFUNCTION("""COMPUTED_VALUE"""),"صيانة رحلات عدد 6")</f>
        <v>صيانة رحلات عدد 6</v>
      </c>
      <c r="I730" s="23"/>
      <c r="J730" s="23" t="s">
        <v>16</v>
      </c>
      <c r="K730" s="23" t="s">
        <v>13</v>
      </c>
      <c r="L730" s="32"/>
      <c r="M730" s="23"/>
    </row>
    <row r="731" spans="1:13" ht="75" customHeight="1" thickTop="1" thickBot="1">
      <c r="A731" s="25">
        <v>729</v>
      </c>
      <c r="B731" s="32">
        <f ca="1">IFERROR(__xludf.DUMMYFUNCTION("""COMPUTED_VALUE"""),46159.3763129976)</f>
        <v>46159.3763129976</v>
      </c>
      <c r="C731" s="33" t="str">
        <f ca="1">IFERROR(__xludf.DUMMYFUNCTION("""COMPUTED_VALUE"""),"المعملجي")</f>
        <v>المعملجي</v>
      </c>
      <c r="D731" s="33" t="str">
        <f ca="1">IFERROR(__xludf.DUMMYFUNCTION("""COMPUTED_VALUE"""),"وحدة المدني")</f>
        <v>وحدة المدني</v>
      </c>
      <c r="E731" s="23" t="str">
        <f ca="1">IFERROR(__xludf.DUMMYFUNCTION("""COMPUTED_VALUE"""),"قسم المشاريع الهندسية")</f>
        <v>قسم المشاريع الهندسية</v>
      </c>
      <c r="F731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31" s="23" t="str">
        <f ca="1">IFERROR(__xludf.DUMMYFUNCTION("""COMPUTED_VALUE"""),"السطح")</f>
        <v>السطح</v>
      </c>
      <c r="H731" s="23" t="str">
        <f ca="1">IFERROR(__xludf.DUMMYFUNCTION("""COMPUTED_VALUE"""),"اعمال صب سيفونات عدد 2")</f>
        <v>اعمال صب سيفونات عدد 2</v>
      </c>
      <c r="I731" s="23"/>
      <c r="J731" s="23" t="s">
        <v>16</v>
      </c>
      <c r="K731" s="23" t="s">
        <v>13</v>
      </c>
      <c r="L731" s="32"/>
      <c r="M731" s="23"/>
    </row>
    <row r="732" spans="1:13" ht="75" customHeight="1" thickTop="1" thickBot="1">
      <c r="A732" s="23">
        <v>730</v>
      </c>
      <c r="B732" s="32">
        <f ca="1">IFERROR(__xludf.DUMMYFUNCTION("""COMPUTED_VALUE"""),46159.3768141087)</f>
        <v>46159.376814108698</v>
      </c>
      <c r="C732" s="33" t="str">
        <f ca="1">IFERROR(__xludf.DUMMYFUNCTION("""COMPUTED_VALUE"""),"المعملجي")</f>
        <v>المعملجي</v>
      </c>
      <c r="D732" s="33" t="str">
        <f ca="1">IFERROR(__xludf.DUMMYFUNCTION("""COMPUTED_VALUE"""),"وحدة المدني")</f>
        <v>وحدة المدني</v>
      </c>
      <c r="E732" s="23" t="str">
        <f ca="1">IFERROR(__xludf.DUMMYFUNCTION("""COMPUTED_VALUE"""),"قسم المشاريع الهندسية")</f>
        <v>قسم المشاريع الهندسية</v>
      </c>
      <c r="F732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32" s="23" t="str">
        <f ca="1">IFERROR(__xludf.DUMMYFUNCTION("""COMPUTED_VALUE"""),"الطابق الارضي")</f>
        <v>الطابق الارضي</v>
      </c>
      <c r="H732" s="23" t="str">
        <f ca="1">IFERROR(__xludf.DUMMYFUNCTION("""COMPUTED_VALUE"""),"صيانة باب المنيوم عدد 2")</f>
        <v>صيانة باب المنيوم عدد 2</v>
      </c>
      <c r="I732" s="23"/>
      <c r="J732" s="23" t="s">
        <v>16</v>
      </c>
      <c r="K732" s="23" t="s">
        <v>13</v>
      </c>
      <c r="L732" s="32"/>
      <c r="M732" s="23"/>
    </row>
    <row r="733" spans="1:13" ht="75" customHeight="1" thickTop="1" thickBot="1">
      <c r="A733" s="25">
        <v>731</v>
      </c>
      <c r="B733" s="32">
        <f ca="1">IFERROR(__xludf.DUMMYFUNCTION("""COMPUTED_VALUE"""),46159.3774088888)</f>
        <v>46159.377408888802</v>
      </c>
      <c r="C733" s="33" t="str">
        <f ca="1">IFERROR(__xludf.DUMMYFUNCTION("""COMPUTED_VALUE"""),"المعملجي")</f>
        <v>المعملجي</v>
      </c>
      <c r="D733" s="33" t="str">
        <f ca="1">IFERROR(__xludf.DUMMYFUNCTION("""COMPUTED_VALUE"""),"وحدة المدني")</f>
        <v>وحدة المدني</v>
      </c>
      <c r="E733" s="23" t="str">
        <f ca="1">IFERROR(__xludf.DUMMYFUNCTION("""COMPUTED_VALUE"""),"قسم المشاريع الهندسية")</f>
        <v>قسم المشاريع الهندسية</v>
      </c>
      <c r="F733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33" s="23" t="str">
        <f ca="1">IFERROR(__xludf.DUMMYFUNCTION("""COMPUTED_VALUE"""),"الطابق الاول")</f>
        <v>الطابق الاول</v>
      </c>
      <c r="H733" s="23" t="str">
        <f ca="1">IFERROR(__xludf.DUMMYFUNCTION("""COMPUTED_VALUE"""),"صيانة باب صحيات المنيوم الرئيسية ")</f>
        <v xml:space="preserve">صيانة باب صحيات المنيوم الرئيسية </v>
      </c>
      <c r="I733" s="23"/>
      <c r="J733" s="23" t="s">
        <v>16</v>
      </c>
      <c r="K733" s="23" t="s">
        <v>13</v>
      </c>
      <c r="L733" s="32"/>
      <c r="M733" s="23"/>
    </row>
    <row r="734" spans="1:13" ht="75" customHeight="1" thickTop="1" thickBot="1">
      <c r="A734" s="23">
        <v>732</v>
      </c>
      <c r="B734" s="32">
        <f ca="1">IFERROR(__xludf.DUMMYFUNCTION("""COMPUTED_VALUE"""),46160.3621760879)</f>
        <v>46160.362176087903</v>
      </c>
      <c r="C734" s="33" t="str">
        <f ca="1">IFERROR(__xludf.DUMMYFUNCTION("""COMPUTED_VALUE"""),"المعملجي")</f>
        <v>المعملجي</v>
      </c>
      <c r="D734" s="33" t="str">
        <f ca="1">IFERROR(__xludf.DUMMYFUNCTION("""COMPUTED_VALUE"""),"وحدة المدني")</f>
        <v>وحدة المدني</v>
      </c>
      <c r="E734" s="23" t="str">
        <f ca="1">IFERROR(__xludf.DUMMYFUNCTION("""COMPUTED_VALUE"""),"قسم المشاريع الهندسية")</f>
        <v>قسم المشاريع الهندسية</v>
      </c>
      <c r="F734" s="23" t="str">
        <f ca="1">IFERROR(__xludf.DUMMYFUNCTION("""COMPUTED_VALUE"""),"E- ابتدائية العميد للبنات (الثالثة)")</f>
        <v>E- ابتدائية العميد للبنات (الثالثة)</v>
      </c>
      <c r="G734" s="23" t="str">
        <f ca="1">IFERROR(__xludf.DUMMYFUNCTION("""COMPUTED_VALUE"""),"الطابق الثاني")</f>
        <v>الطابق الثاني</v>
      </c>
      <c r="H734" s="23" t="str">
        <f ca="1">IFERROR(__xludf.DUMMYFUNCTION("""COMPUTED_VALUE"""),"ارجاع سقوف ثانوية عدد 5")</f>
        <v>ارجاع سقوف ثانوية عدد 5</v>
      </c>
      <c r="I734" s="23"/>
      <c r="J734" s="23" t="s">
        <v>16</v>
      </c>
      <c r="K734" s="23" t="s">
        <v>13</v>
      </c>
      <c r="L734" s="32">
        <v>46160.368875127315</v>
      </c>
      <c r="M734" s="23"/>
    </row>
    <row r="735" spans="1:13" ht="75" customHeight="1" thickTop="1" thickBot="1">
      <c r="A735" s="25">
        <v>733</v>
      </c>
      <c r="B735" s="32">
        <f ca="1">IFERROR(__xludf.DUMMYFUNCTION("""COMPUTED_VALUE"""),46160.3627667476)</f>
        <v>46160.362766747603</v>
      </c>
      <c r="C735" s="33" t="str">
        <f ca="1">IFERROR(__xludf.DUMMYFUNCTION("""COMPUTED_VALUE"""),"المعملجي")</f>
        <v>المعملجي</v>
      </c>
      <c r="D735" s="33" t="str">
        <f ca="1">IFERROR(__xludf.DUMMYFUNCTION("""COMPUTED_VALUE"""),"وحدة المدني")</f>
        <v>وحدة المدني</v>
      </c>
      <c r="E735" s="23" t="str">
        <f ca="1">IFERROR(__xludf.DUMMYFUNCTION("""COMPUTED_VALUE"""),"قسم المشاريع الهندسية")</f>
        <v>قسم المشاريع الهندسية</v>
      </c>
      <c r="F735" s="23" t="str">
        <f ca="1">IFERROR(__xludf.DUMMYFUNCTION("""COMPUTED_VALUE"""),"E- ابتدائية العميد للبنات (الثالثة)")</f>
        <v>E- ابتدائية العميد للبنات (الثالثة)</v>
      </c>
      <c r="G735" s="23" t="str">
        <f ca="1">IFERROR(__xludf.DUMMYFUNCTION("""COMPUTED_VALUE"""),"الطابق الاول")</f>
        <v>الطابق الاول</v>
      </c>
      <c r="H735" s="23" t="str">
        <f ca="1">IFERROR(__xludf.DUMMYFUNCTION("""COMPUTED_VALUE"""),"صيانة باب خشب ")</f>
        <v xml:space="preserve">صيانة باب خشب </v>
      </c>
      <c r="I735" s="23"/>
      <c r="J735" s="23" t="s">
        <v>16</v>
      </c>
      <c r="K735" s="23" t="s">
        <v>13</v>
      </c>
      <c r="L735" s="32"/>
      <c r="M735" s="23"/>
    </row>
    <row r="736" spans="1:13" ht="75" customHeight="1" thickTop="1" thickBot="1">
      <c r="A736" s="23">
        <v>734</v>
      </c>
      <c r="B736" s="32">
        <f ca="1">IFERROR(__xludf.DUMMYFUNCTION("""COMPUTED_VALUE"""),46160.3630932407)</f>
        <v>46160.363093240703</v>
      </c>
      <c r="C736" s="33" t="str">
        <f ca="1">IFERROR(__xludf.DUMMYFUNCTION("""COMPUTED_VALUE"""),"المعملجي")</f>
        <v>المعملجي</v>
      </c>
      <c r="D736" s="33" t="str">
        <f ca="1">IFERROR(__xludf.DUMMYFUNCTION("""COMPUTED_VALUE"""),"وحدة المدني")</f>
        <v>وحدة المدني</v>
      </c>
      <c r="E736" s="23" t="str">
        <f ca="1">IFERROR(__xludf.DUMMYFUNCTION("""COMPUTED_VALUE"""),"قسم المشاريع الهندسية")</f>
        <v>قسم المشاريع الهندسية</v>
      </c>
      <c r="F736" s="23" t="str">
        <f ca="1">IFERROR(__xludf.DUMMYFUNCTION("""COMPUTED_VALUE"""),"E- ابتدائية العميد للبنات (الثالثة)")</f>
        <v>E- ابتدائية العميد للبنات (الثالثة)</v>
      </c>
      <c r="G736" s="23" t="str">
        <f ca="1">IFERROR(__xludf.DUMMYFUNCTION("""COMPUTED_VALUE"""),"الطابق الارضي")</f>
        <v>الطابق الارضي</v>
      </c>
      <c r="H736" s="23" t="str">
        <f ca="1">IFERROR(__xludf.DUMMYFUNCTION("""COMPUTED_VALUE"""),"صيانة يدة شباك حديد ")</f>
        <v xml:space="preserve">صيانة يدة شباك حديد </v>
      </c>
      <c r="I736" s="23"/>
      <c r="J736" s="23" t="s">
        <v>16</v>
      </c>
      <c r="K736" s="23" t="s">
        <v>13</v>
      </c>
      <c r="L736" s="32"/>
      <c r="M736" s="23"/>
    </row>
    <row r="737" spans="1:13" ht="75" customHeight="1" thickTop="1" thickBot="1">
      <c r="A737" s="25">
        <v>735</v>
      </c>
      <c r="B737" s="32">
        <f ca="1">IFERROR(__xludf.DUMMYFUNCTION("""COMPUTED_VALUE"""),46160.3640789351)</f>
        <v>46160.364078935097</v>
      </c>
      <c r="C737" s="33" t="str">
        <f ca="1">IFERROR(__xludf.DUMMYFUNCTION("""COMPUTED_VALUE"""),"المعملجي")</f>
        <v>المعملجي</v>
      </c>
      <c r="D737" s="33" t="str">
        <f ca="1">IFERROR(__xludf.DUMMYFUNCTION("""COMPUTED_VALUE"""),"وحدة المدني")</f>
        <v>وحدة المدني</v>
      </c>
      <c r="E737" s="23" t="str">
        <f ca="1">IFERROR(__xludf.DUMMYFUNCTION("""COMPUTED_VALUE"""),"قسم المشاريع الهندسية")</f>
        <v>قسم المشاريع الهندسية</v>
      </c>
      <c r="F737" s="23" t="str">
        <f ca="1">IFERROR(__xludf.DUMMYFUNCTION("""COMPUTED_VALUE"""),"E- ابتدائية العميد للبنات (الثالثة)")</f>
        <v>E- ابتدائية العميد للبنات (الثالثة)</v>
      </c>
      <c r="G737" s="23" t="str">
        <f ca="1">IFERROR(__xludf.DUMMYFUNCTION("""COMPUTED_VALUE"""),"الطابق الارضي")</f>
        <v>الطابق الارضي</v>
      </c>
      <c r="H737" s="23" t="str">
        <f ca="1">IFERROR(__xludf.DUMMYFUNCTION("""COMPUTED_VALUE"""),"صيانة يدة باب المنيوم ")</f>
        <v xml:space="preserve">صيانة يدة باب المنيوم </v>
      </c>
      <c r="I737" s="23"/>
      <c r="J737" s="23" t="s">
        <v>16</v>
      </c>
      <c r="K737" s="23" t="s">
        <v>13</v>
      </c>
      <c r="L737" s="32"/>
      <c r="M737" s="23"/>
    </row>
    <row r="738" spans="1:13" ht="75" customHeight="1" thickTop="1" thickBot="1">
      <c r="A738" s="23">
        <v>736</v>
      </c>
      <c r="B738" s="32">
        <f ca="1">IFERROR(__xludf.DUMMYFUNCTION("""COMPUTED_VALUE"""),46160.3648030671)</f>
        <v>46160.364803067103</v>
      </c>
      <c r="C738" s="33" t="str">
        <f ca="1">IFERROR(__xludf.DUMMYFUNCTION("""COMPUTED_VALUE"""),"المعملجي")</f>
        <v>المعملجي</v>
      </c>
      <c r="D738" s="33" t="str">
        <f ca="1">IFERROR(__xludf.DUMMYFUNCTION("""COMPUTED_VALUE"""),"وحدة المدني")</f>
        <v>وحدة المدني</v>
      </c>
      <c r="E738" s="23" t="str">
        <f ca="1">IFERROR(__xludf.DUMMYFUNCTION("""COMPUTED_VALUE"""),"قسم المشاريع الهندسية")</f>
        <v>قسم المشاريع الهندسية</v>
      </c>
      <c r="F73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38" s="23" t="str">
        <f ca="1">IFERROR(__xludf.DUMMYFUNCTION("""COMPUTED_VALUE"""),"الطابق الارضي")</f>
        <v>الطابق الارضي</v>
      </c>
      <c r="H738" s="23" t="str">
        <f ca="1">IFERROR(__xludf.DUMMYFUNCTION("""COMPUTED_VALUE"""),"تبديل لبة باب خشب ")</f>
        <v xml:space="preserve">تبديل لبة باب خشب </v>
      </c>
      <c r="I738" s="23"/>
      <c r="J738" s="23" t="s">
        <v>16</v>
      </c>
      <c r="K738" s="23" t="s">
        <v>13</v>
      </c>
      <c r="L738" s="32"/>
      <c r="M738" s="23"/>
    </row>
    <row r="739" spans="1:13" ht="75" customHeight="1" thickTop="1" thickBot="1">
      <c r="A739" s="25">
        <v>737</v>
      </c>
      <c r="B739" s="32">
        <f ca="1">IFERROR(__xludf.DUMMYFUNCTION("""COMPUTED_VALUE"""),46160.3655389004)</f>
        <v>46160.365538900398</v>
      </c>
      <c r="C739" s="33" t="str">
        <f ca="1">IFERROR(__xludf.DUMMYFUNCTION("""COMPUTED_VALUE"""),"المعملجي")</f>
        <v>المعملجي</v>
      </c>
      <c r="D739" s="33" t="str">
        <f ca="1">IFERROR(__xludf.DUMMYFUNCTION("""COMPUTED_VALUE"""),"وحدة المدني")</f>
        <v>وحدة المدني</v>
      </c>
      <c r="E739" s="23" t="str">
        <f ca="1">IFERROR(__xludf.DUMMYFUNCTION("""COMPUTED_VALUE"""),"قسم المشاريع الهندسية")</f>
        <v>قسم المشاريع الهندسية</v>
      </c>
      <c r="F739" s="23" t="str">
        <f ca="1">IFERROR(__xludf.DUMMYFUNCTION("""COMPUTED_VALUE"""),"E- ابتدائية العميد للبنات (الثالثة)")</f>
        <v>E- ابتدائية العميد للبنات (الثالثة)</v>
      </c>
      <c r="G739" s="23" t="str">
        <f ca="1">IFERROR(__xludf.DUMMYFUNCTION("""COMPUTED_VALUE"""),"الطابق الثاني")</f>
        <v>الطابق الثاني</v>
      </c>
      <c r="H739" s="23" t="str">
        <f ca="1">IFERROR(__xludf.DUMMYFUNCTION("""COMPUTED_VALUE"""),"تصليح هزارة ")</f>
        <v xml:space="preserve">تصليح هزارة </v>
      </c>
      <c r="I739" s="23"/>
      <c r="J739" s="23" t="s">
        <v>16</v>
      </c>
      <c r="K739" s="23" t="s">
        <v>13</v>
      </c>
      <c r="L739" s="32"/>
      <c r="M739" s="23"/>
    </row>
    <row r="740" spans="1:13" ht="75" customHeight="1" thickTop="1" thickBot="1">
      <c r="A740" s="23">
        <v>738</v>
      </c>
      <c r="B740" s="32">
        <f ca="1">IFERROR(__xludf.DUMMYFUNCTION("""COMPUTED_VALUE"""),46160.3661352546)</f>
        <v>46160.366135254597</v>
      </c>
      <c r="C740" s="33" t="str">
        <f ca="1">IFERROR(__xludf.DUMMYFUNCTION("""COMPUTED_VALUE"""),"المعملجي")</f>
        <v>المعملجي</v>
      </c>
      <c r="D740" s="33" t="str">
        <f ca="1">IFERROR(__xludf.DUMMYFUNCTION("""COMPUTED_VALUE"""),"وحدة المدني")</f>
        <v>وحدة المدني</v>
      </c>
      <c r="E740" s="23" t="str">
        <f ca="1">IFERROR(__xludf.DUMMYFUNCTION("""COMPUTED_VALUE"""),"قسم المشاريع الهندسية")</f>
        <v>قسم المشاريع الهندسية</v>
      </c>
      <c r="F740" s="23" t="str">
        <f ca="1">IFERROR(__xludf.DUMMYFUNCTION("""COMPUTED_VALUE"""),"E- ابتدائية العميد للبنات (الثالثة)")</f>
        <v>E- ابتدائية العميد للبنات (الثالثة)</v>
      </c>
      <c r="G740" s="23" t="str">
        <f ca="1">IFERROR(__xludf.DUMMYFUNCTION("""COMPUTED_VALUE"""),"الطابق الاول")</f>
        <v>الطابق الاول</v>
      </c>
      <c r="H740" s="23" t="str">
        <f ca="1">IFERROR(__xludf.DUMMYFUNCTION("""COMPUTED_VALUE"""),"صيانة مصعد حائط ")</f>
        <v xml:space="preserve">صيانة مصعد حائط </v>
      </c>
      <c r="I740" s="23"/>
      <c r="J740" s="23" t="s">
        <v>16</v>
      </c>
      <c r="K740" s="23" t="s">
        <v>13</v>
      </c>
      <c r="L740" s="32"/>
      <c r="M740" s="23"/>
    </row>
    <row r="741" spans="1:13" ht="75" customHeight="1" thickTop="1" thickBot="1">
      <c r="A741" s="25">
        <v>739</v>
      </c>
      <c r="B741" s="32">
        <f ca="1">IFERROR(__xludf.DUMMYFUNCTION("""COMPUTED_VALUE"""),46160.3668546064)</f>
        <v>46160.3668546064</v>
      </c>
      <c r="C741" s="33" t="str">
        <f ca="1">IFERROR(__xludf.DUMMYFUNCTION("""COMPUTED_VALUE"""),"المعملجي")</f>
        <v>المعملجي</v>
      </c>
      <c r="D741" s="33" t="str">
        <f ca="1">IFERROR(__xludf.DUMMYFUNCTION("""COMPUTED_VALUE"""),"وحدة المدني")</f>
        <v>وحدة المدني</v>
      </c>
      <c r="E741" s="23" t="str">
        <f ca="1">IFERROR(__xludf.DUMMYFUNCTION("""COMPUTED_VALUE"""),"قسم المشاريع الهندسية")</f>
        <v>قسم المشاريع الهندسية</v>
      </c>
      <c r="F741" s="23" t="str">
        <f ca="1">IFERROR(__xludf.DUMMYFUNCTION("""COMPUTED_VALUE"""),"E- ابتدائية العميد للبنات (الثالثة)")</f>
        <v>E- ابتدائية العميد للبنات (الثالثة)</v>
      </c>
      <c r="G741" s="23" t="str">
        <f ca="1">IFERROR(__xludf.DUMMYFUNCTION("""COMPUTED_VALUE"""),"الطابق الارضي, ZONE B")</f>
        <v>الطابق الارضي, ZONE B</v>
      </c>
      <c r="H741" s="23" t="str">
        <f ca="1">IFERROR(__xludf.DUMMYFUNCTION("""COMPUTED_VALUE"""),"صيانة باب حديد رئيسية ")</f>
        <v xml:space="preserve">صيانة باب حديد رئيسية </v>
      </c>
      <c r="I741" s="23"/>
      <c r="J741" s="23" t="s">
        <v>16</v>
      </c>
      <c r="K741" s="23" t="s">
        <v>13</v>
      </c>
      <c r="L741" s="32"/>
      <c r="M741" s="23"/>
    </row>
    <row r="742" spans="1:13" ht="75" customHeight="1" thickTop="1" thickBot="1">
      <c r="A742" s="23">
        <v>740</v>
      </c>
      <c r="B742" s="32">
        <f ca="1">IFERROR(__xludf.DUMMYFUNCTION("""COMPUTED_VALUE"""),46160.3675533564)</f>
        <v>46160.367553356402</v>
      </c>
      <c r="C742" s="33" t="str">
        <f ca="1">IFERROR(__xludf.DUMMYFUNCTION("""COMPUTED_VALUE"""),"المعملجي")</f>
        <v>المعملجي</v>
      </c>
      <c r="D742" s="33" t="str">
        <f ca="1">IFERROR(__xludf.DUMMYFUNCTION("""COMPUTED_VALUE"""),"وحدة المدني")</f>
        <v>وحدة المدني</v>
      </c>
      <c r="E742" s="23" t="str">
        <f ca="1">IFERROR(__xludf.DUMMYFUNCTION("""COMPUTED_VALUE"""),"قسم المشاريع الهندسية")</f>
        <v>قسم المشاريع الهندسية</v>
      </c>
      <c r="F742" s="23" t="str">
        <f ca="1">IFERROR(__xludf.DUMMYFUNCTION("""COMPUTED_VALUE"""),"F-  ابتدائية جود العميد للبنات (الرابعة)")</f>
        <v>F-  ابتدائية جود العميد للبنات (الرابعة)</v>
      </c>
      <c r="G742" s="23" t="str">
        <f ca="1">IFERROR(__xludf.DUMMYFUNCTION("""COMPUTED_VALUE"""),"الطابق الارضي")</f>
        <v>الطابق الارضي</v>
      </c>
      <c r="H742" s="23" t="str">
        <f ca="1">IFERROR(__xludf.DUMMYFUNCTION("""COMPUTED_VALUE"""),"تبديل يدة باب المنيوم ")</f>
        <v xml:space="preserve">تبديل يدة باب المنيوم </v>
      </c>
      <c r="I742" s="23"/>
      <c r="J742" s="23" t="s">
        <v>16</v>
      </c>
      <c r="K742" s="23" t="s">
        <v>13</v>
      </c>
      <c r="L742" s="32"/>
      <c r="M742" s="23"/>
    </row>
    <row r="743" spans="1:13" ht="75" customHeight="1" thickTop="1" thickBot="1">
      <c r="A743" s="25">
        <v>741</v>
      </c>
      <c r="B743" s="32">
        <f ca="1">IFERROR(__xludf.DUMMYFUNCTION("""COMPUTED_VALUE"""),46160.3679154745)</f>
        <v>46160.367915474497</v>
      </c>
      <c r="C743" s="33" t="str">
        <f ca="1">IFERROR(__xludf.DUMMYFUNCTION("""COMPUTED_VALUE"""),"المعملجي")</f>
        <v>المعملجي</v>
      </c>
      <c r="D743" s="33" t="str">
        <f ca="1">IFERROR(__xludf.DUMMYFUNCTION("""COMPUTED_VALUE"""),"وحدة المدني")</f>
        <v>وحدة المدني</v>
      </c>
      <c r="E743" s="23" t="str">
        <f ca="1">IFERROR(__xludf.DUMMYFUNCTION("""COMPUTED_VALUE"""),"قسم المشاريع الهندسية")</f>
        <v>قسم المشاريع الهندسية</v>
      </c>
      <c r="F743" s="23" t="str">
        <f ca="1">IFERROR(__xludf.DUMMYFUNCTION("""COMPUTED_VALUE"""),"F-  ابتدائية جود العميد للبنات (الرابعة)")</f>
        <v>F-  ابتدائية جود العميد للبنات (الرابعة)</v>
      </c>
      <c r="G743" s="23" t="str">
        <f ca="1">IFERROR(__xludf.DUMMYFUNCTION("""COMPUTED_VALUE"""),"الطابق الارضي")</f>
        <v>الطابق الارضي</v>
      </c>
      <c r="H743" s="23" t="str">
        <f ca="1">IFERROR(__xludf.DUMMYFUNCTION("""COMPUTED_VALUE"""),"تبديل يدة شباك حديد ")</f>
        <v xml:space="preserve">تبديل يدة شباك حديد </v>
      </c>
      <c r="I743" s="23"/>
      <c r="J743" s="23" t="s">
        <v>16</v>
      </c>
      <c r="K743" s="23" t="s">
        <v>13</v>
      </c>
      <c r="L743" s="32"/>
      <c r="M743" s="23"/>
    </row>
    <row r="744" spans="1:13" ht="75" customHeight="1" thickTop="1" thickBot="1">
      <c r="A744" s="23">
        <v>742</v>
      </c>
      <c r="B744" s="32">
        <f ca="1">IFERROR(__xludf.DUMMYFUNCTION("""COMPUTED_VALUE"""),46160.3685170023)</f>
        <v>46160.368517002302</v>
      </c>
      <c r="C744" s="33" t="str">
        <f ca="1">IFERROR(__xludf.DUMMYFUNCTION("""COMPUTED_VALUE"""),"المعملجي")</f>
        <v>المعملجي</v>
      </c>
      <c r="D744" s="33" t="str">
        <f ca="1">IFERROR(__xludf.DUMMYFUNCTION("""COMPUTED_VALUE"""),"وحدة المدني")</f>
        <v>وحدة المدني</v>
      </c>
      <c r="E744" s="23" t="str">
        <f ca="1">IFERROR(__xludf.DUMMYFUNCTION("""COMPUTED_VALUE"""),"قسم المشاريع الهندسية")</f>
        <v>قسم المشاريع الهندسية</v>
      </c>
      <c r="F744" s="23" t="str">
        <f ca="1">IFERROR(__xludf.DUMMYFUNCTION("""COMPUTED_VALUE"""),"F-  ابتدائية جود العميد للبنات (الرابعة)")</f>
        <v>F-  ابتدائية جود العميد للبنات (الرابعة)</v>
      </c>
      <c r="G744" s="23" t="str">
        <f ca="1">IFERROR(__xludf.DUMMYFUNCTION("""COMPUTED_VALUE"""),"الطابق الاول")</f>
        <v>الطابق الاول</v>
      </c>
      <c r="H744" s="23" t="str">
        <f ca="1">IFERROR(__xludf.DUMMYFUNCTION("""COMPUTED_VALUE"""),"صيانة يدة شباك ")</f>
        <v xml:space="preserve">صيانة يدة شباك </v>
      </c>
      <c r="I744" s="23"/>
      <c r="J744" s="23" t="s">
        <v>16</v>
      </c>
      <c r="K744" s="23" t="s">
        <v>13</v>
      </c>
      <c r="L744" s="32">
        <v>46160.368977939812</v>
      </c>
      <c r="M744" s="23"/>
    </row>
    <row r="745" spans="1:13" ht="75" customHeight="1" thickTop="1" thickBot="1">
      <c r="A745" s="25">
        <v>743</v>
      </c>
      <c r="B745" s="32">
        <f ca="1">IFERROR(__xludf.DUMMYFUNCTION("""COMPUTED_VALUE"""),46160.5649007175)</f>
        <v>46160.564900717502</v>
      </c>
      <c r="C745" s="33" t="str">
        <f ca="1">IFERROR(__xludf.DUMMYFUNCTION("""COMPUTED_VALUE"""),"المعملجي")</f>
        <v>المعملجي</v>
      </c>
      <c r="D745" s="33" t="str">
        <f ca="1">IFERROR(__xludf.DUMMYFUNCTION("""COMPUTED_VALUE"""),"سجاد تربية")</f>
        <v>سجاد تربية</v>
      </c>
      <c r="E745" s="23" t="str">
        <f ca="1">IFERROR(__xludf.DUMMYFUNCTION("""COMPUTED_VALUE"""),"قسم التربية والتعليم العالي")</f>
        <v>قسم التربية والتعليم العالي</v>
      </c>
      <c r="F745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45" s="23" t="str">
        <f ca="1">IFERROR(__xludf.DUMMYFUNCTION("""COMPUTED_VALUE"""),"السطح")</f>
        <v>السطح</v>
      </c>
      <c r="H745" s="23" t="str">
        <f ca="1">IFERROR(__xludf.DUMMYFUNCTION("""COMPUTED_VALUE"""),"فتح وصيانة سيفونات عدد 4")</f>
        <v>فتح وصيانة سيفونات عدد 4</v>
      </c>
      <c r="I745" s="23"/>
      <c r="J745" s="23" t="s">
        <v>16</v>
      </c>
      <c r="K745" s="23" t="s">
        <v>13</v>
      </c>
      <c r="L745" s="32"/>
      <c r="M745" s="23"/>
    </row>
    <row r="746" spans="1:13" ht="75" customHeight="1" thickTop="1" thickBot="1">
      <c r="A746" s="23">
        <v>744</v>
      </c>
      <c r="B746" s="32">
        <f ca="1">IFERROR(__xludf.DUMMYFUNCTION("""COMPUTED_VALUE"""),46160.5652439236)</f>
        <v>46160.5652439236</v>
      </c>
      <c r="C746" s="33" t="str">
        <f ca="1">IFERROR(__xludf.DUMMYFUNCTION("""COMPUTED_VALUE"""),"المعملجي")</f>
        <v>المعملجي</v>
      </c>
      <c r="D746" s="33" t="str">
        <f ca="1">IFERROR(__xludf.DUMMYFUNCTION("""COMPUTED_VALUE"""),"سجاد تربية")</f>
        <v>سجاد تربية</v>
      </c>
      <c r="E746" s="23" t="str">
        <f ca="1">IFERROR(__xludf.DUMMYFUNCTION("""COMPUTED_VALUE"""),"قسم التربية والتعليم العالي")</f>
        <v>قسم التربية والتعليم العالي</v>
      </c>
      <c r="F746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746" s="23" t="str">
        <f ca="1">IFERROR(__xludf.DUMMYFUNCTION("""COMPUTED_VALUE"""),"الطابق الارضي")</f>
        <v>الطابق الارضي</v>
      </c>
      <c r="H746" s="23" t="str">
        <f ca="1">IFERROR(__xludf.DUMMYFUNCTION("""COMPUTED_VALUE"""),"تعليك لوحات عدد 4")</f>
        <v>تعليك لوحات عدد 4</v>
      </c>
      <c r="I746" s="23"/>
      <c r="J746" s="23" t="s">
        <v>16</v>
      </c>
      <c r="K746" s="23" t="s">
        <v>13</v>
      </c>
      <c r="L746" s="32"/>
      <c r="M746" s="23"/>
    </row>
    <row r="747" spans="1:13" ht="75" customHeight="1" thickTop="1" thickBot="1">
      <c r="A747" s="25">
        <v>745</v>
      </c>
      <c r="B747" s="32">
        <f ca="1">IFERROR(__xludf.DUMMYFUNCTION("""COMPUTED_VALUE"""),46160.5746331365)</f>
        <v>46160.574633136501</v>
      </c>
      <c r="C747" s="33" t="str">
        <f ca="1">IFERROR(__xludf.DUMMYFUNCTION("""COMPUTED_VALUE"""),"المعملجي")</f>
        <v>المعملجي</v>
      </c>
      <c r="D747" s="33" t="str">
        <f ca="1">IFERROR(__xludf.DUMMYFUNCTION("""COMPUTED_VALUE"""),"سجاد تربية")</f>
        <v>سجاد تربية</v>
      </c>
      <c r="E747" s="23" t="str">
        <f ca="1">IFERROR(__xludf.DUMMYFUNCTION("""COMPUTED_VALUE"""),"قسم التربية والتعليم العالي")</f>
        <v>قسم التربية والتعليم العالي</v>
      </c>
      <c r="F747" s="23" t="str">
        <f ca="1">IFERROR(__xludf.DUMMYFUNCTION("""COMPUTED_VALUE"""),"B- روضة القمر")</f>
        <v>B- روضة القمر</v>
      </c>
      <c r="G747" s="23" t="str">
        <f ca="1">IFERROR(__xludf.DUMMYFUNCTION("""COMPUTED_VALUE"""),"الطابق الاول")</f>
        <v>الطابق الاول</v>
      </c>
      <c r="H747" s="23" t="str">
        <f ca="1">IFERROR(__xludf.DUMMYFUNCTION("""COMPUTED_VALUE"""),"صيانة باب صحيات ")</f>
        <v xml:space="preserve">صيانة باب صحيات </v>
      </c>
      <c r="I747" s="23"/>
      <c r="J747" s="23" t="s">
        <v>16</v>
      </c>
      <c r="K747" s="23" t="s">
        <v>13</v>
      </c>
      <c r="L747" s="32">
        <v>46161.454412418985</v>
      </c>
      <c r="M747" s="23"/>
    </row>
    <row r="748" spans="1:13" ht="75" customHeight="1" thickTop="1" thickBot="1">
      <c r="A748" s="23">
        <v>746</v>
      </c>
      <c r="B748" s="32">
        <f ca="1">IFERROR(__xludf.DUMMYFUNCTION("""COMPUTED_VALUE"""),46161.4769603009)</f>
        <v>46161.476960300897</v>
      </c>
      <c r="C748" s="33" t="str">
        <f ca="1">IFERROR(__xludf.DUMMYFUNCTION("""COMPUTED_VALUE"""),"المعملجي")</f>
        <v>المعملجي</v>
      </c>
      <c r="D748" s="33" t="str">
        <f ca="1">IFERROR(__xludf.DUMMYFUNCTION("""COMPUTED_VALUE"""),"سجاد تربية")</f>
        <v>سجاد تربية</v>
      </c>
      <c r="E748" s="23" t="str">
        <f ca="1">IFERROR(__xludf.DUMMYFUNCTION("""COMPUTED_VALUE"""),"قسم التربية والتعليم العالي")</f>
        <v>قسم التربية والتعليم العالي</v>
      </c>
      <c r="F748" s="23" t="str">
        <f ca="1">IFERROR(__xludf.DUMMYFUNCTION("""COMPUTED_VALUE"""),"H- ابتدائية القمر للبنات (الخامسة)")</f>
        <v>H- ابتدائية القمر للبنات (الخامسة)</v>
      </c>
      <c r="G748" s="23" t="str">
        <f ca="1">IFERROR(__xludf.DUMMYFUNCTION("""COMPUTED_VALUE"""),"الطابق الارضي")</f>
        <v>الطابق الارضي</v>
      </c>
      <c r="H748" s="23" t="str">
        <f ca="1">IFERROR(__xludf.DUMMYFUNCTION("""COMPUTED_VALUE"""),"صيانة باب صحيات ")</f>
        <v xml:space="preserve">صيانة باب صحيات </v>
      </c>
      <c r="I748" s="23"/>
      <c r="J748" s="23" t="s">
        <v>16</v>
      </c>
      <c r="K748" s="23" t="s">
        <v>13</v>
      </c>
      <c r="L748" s="32">
        <v>46161.526170578705</v>
      </c>
      <c r="M748" s="23"/>
    </row>
    <row r="749" spans="1:13" ht="75" customHeight="1" thickTop="1" thickBot="1">
      <c r="A749" s="25">
        <v>747</v>
      </c>
      <c r="B749" s="32">
        <f ca="1">IFERROR(__xludf.DUMMYFUNCTION("""COMPUTED_VALUE"""),46161.6049635763)</f>
        <v>46161.604963576297</v>
      </c>
      <c r="C749" s="33" t="str">
        <f ca="1">IFERROR(__xludf.DUMMYFUNCTION("""COMPUTED_VALUE"""),"المعملجي")</f>
        <v>المعملجي</v>
      </c>
      <c r="D749" s="33" t="str">
        <f ca="1">IFERROR(__xludf.DUMMYFUNCTION("""COMPUTED_VALUE"""),"ابراهيم الخطابي")</f>
        <v>ابراهيم الخطابي</v>
      </c>
      <c r="E749" s="23" t="str">
        <f ca="1">IFERROR(__xludf.DUMMYFUNCTION("""COMPUTED_VALUE"""),"مجموعة العميد التربوية")</f>
        <v>مجموعة العميد التربوية</v>
      </c>
      <c r="F749" s="23" t="str">
        <f ca="1">IFERROR(__xludf.DUMMYFUNCTION("""COMPUTED_VALUE"""),"A- المركز الثقافي")</f>
        <v>A- المركز الثقافي</v>
      </c>
      <c r="G749" s="23"/>
      <c r="H749" s="23" t="str">
        <f ca="1">IFERROR(__xludf.DUMMYFUNCTION("""COMPUTED_VALUE"""),"صيانة النرمادة في الكاونتر ")</f>
        <v xml:space="preserve">صيانة النرمادة في الكاونتر </v>
      </c>
      <c r="I749" s="23"/>
      <c r="J749" s="23" t="s">
        <v>16</v>
      </c>
      <c r="K749" s="23" t="s">
        <v>13</v>
      </c>
      <c r="L749" s="32">
        <v>46162.406678900465</v>
      </c>
      <c r="M749" s="23"/>
    </row>
    <row r="750" spans="1:13" ht="75" customHeight="1" thickTop="1" thickBot="1">
      <c r="A750" s="23">
        <v>748</v>
      </c>
      <c r="B750" s="32">
        <f ca="1">IFERROR(__xludf.DUMMYFUNCTION("""COMPUTED_VALUE"""),46163.322146956)</f>
        <v>46163.322146956001</v>
      </c>
      <c r="C750" s="33" t="str">
        <f ca="1">IFERROR(__xludf.DUMMYFUNCTION("""COMPUTED_VALUE"""),"المعملجي")</f>
        <v>المعملجي</v>
      </c>
      <c r="D750" s="33" t="str">
        <f ca="1">IFERROR(__xludf.DUMMYFUNCTION("""COMPUTED_VALUE"""),"وحدة المدني")</f>
        <v>وحدة المدني</v>
      </c>
      <c r="E750" s="23" t="str">
        <f ca="1">IFERROR(__xludf.DUMMYFUNCTION("""COMPUTED_VALUE"""),"قسم المشاريع الهندسية")</f>
        <v>قسم المشاريع الهندسية</v>
      </c>
      <c r="F750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50" s="23" t="str">
        <f ca="1">IFERROR(__xludf.DUMMYFUNCTION("""COMPUTED_VALUE"""),"السطح")</f>
        <v>السطح</v>
      </c>
      <c r="H750" s="23" t="str">
        <f ca="1">IFERROR(__xludf.DUMMYFUNCTION("""COMPUTED_VALUE"""),"فتح ومعالجة سيفونات عدد 3")</f>
        <v>فتح ومعالجة سيفونات عدد 3</v>
      </c>
      <c r="I750" s="23"/>
      <c r="J750" s="23" t="s">
        <v>16</v>
      </c>
      <c r="K750" s="23" t="s">
        <v>13</v>
      </c>
      <c r="L750" s="32"/>
      <c r="M750" s="23"/>
    </row>
    <row r="751" spans="1:13" ht="75" customHeight="1" thickTop="1" thickBot="1">
      <c r="A751" s="25">
        <v>749</v>
      </c>
      <c r="B751" s="32">
        <f ca="1">IFERROR(__xludf.DUMMYFUNCTION("""COMPUTED_VALUE"""),46163.3243001157)</f>
        <v>46163.324300115702</v>
      </c>
      <c r="C751" s="33" t="str">
        <f ca="1">IFERROR(__xludf.DUMMYFUNCTION("""COMPUTED_VALUE"""),"المعملجي")</f>
        <v>المعملجي</v>
      </c>
      <c r="D751" s="33" t="str">
        <f ca="1">IFERROR(__xludf.DUMMYFUNCTION("""COMPUTED_VALUE"""),"وحدة المدني ")</f>
        <v xml:space="preserve">وحدة المدني </v>
      </c>
      <c r="E751" s="23" t="str">
        <f ca="1">IFERROR(__xludf.DUMMYFUNCTION("""COMPUTED_VALUE"""),"قسم المشاريع الهندسية")</f>
        <v>قسم المشاريع الهندسية</v>
      </c>
      <c r="F751" s="23" t="str">
        <f ca="1">IFERROR(__xludf.DUMMYFUNCTION("""COMPUTED_VALUE"""),"H- ابتدائية القمر للبنات (الخامسة)")</f>
        <v>H- ابتدائية القمر للبنات (الخامسة)</v>
      </c>
      <c r="G751" s="23" t="str">
        <f ca="1">IFERROR(__xludf.DUMMYFUNCTION("""COMPUTED_VALUE"""),"الطابق الاول, ZONE B")</f>
        <v>الطابق الاول, ZONE B</v>
      </c>
      <c r="H751" s="23" t="str">
        <f ca="1">IFERROR(__xludf.DUMMYFUNCTION("""COMPUTED_VALUE"""),"تبديل يدة باب المنيوم ")</f>
        <v xml:space="preserve">تبديل يدة باب المنيوم </v>
      </c>
      <c r="I751" s="23"/>
      <c r="J751" s="23" t="s">
        <v>16</v>
      </c>
      <c r="K751" s="23" t="s">
        <v>13</v>
      </c>
      <c r="L751" s="32"/>
      <c r="M751" s="23"/>
    </row>
    <row r="752" spans="1:13" ht="75" customHeight="1" thickTop="1" thickBot="1">
      <c r="A752" s="23">
        <v>750</v>
      </c>
      <c r="B752" s="32">
        <f ca="1">IFERROR(__xludf.DUMMYFUNCTION("""COMPUTED_VALUE"""),46163.3250490625)</f>
        <v>46163.3250490625</v>
      </c>
      <c r="C752" s="33" t="str">
        <f ca="1">IFERROR(__xludf.DUMMYFUNCTION("""COMPUTED_VALUE"""),"المعملجي")</f>
        <v>المعملجي</v>
      </c>
      <c r="D752" s="33" t="str">
        <f ca="1">IFERROR(__xludf.DUMMYFUNCTION("""COMPUTED_VALUE"""),"وحدة المدني ")</f>
        <v xml:space="preserve">وحدة المدني </v>
      </c>
      <c r="E752" s="23" t="str">
        <f ca="1">IFERROR(__xludf.DUMMYFUNCTION("""COMPUTED_VALUE"""),"قسم المشاريع الهندسية")</f>
        <v>قسم المشاريع الهندسية</v>
      </c>
      <c r="F752" s="23" t="str">
        <f ca="1">IFERROR(__xludf.DUMMYFUNCTION("""COMPUTED_VALUE"""),"I- ابتدائية الساقي للبنين (السادسة)")</f>
        <v>I- ابتدائية الساقي للبنين (السادسة)</v>
      </c>
      <c r="G752" s="23" t="str">
        <f ca="1">IFERROR(__xludf.DUMMYFUNCTION("""COMPUTED_VALUE"""),"الطابق الارضي")</f>
        <v>الطابق الارضي</v>
      </c>
      <c r="H752" s="23" t="str">
        <f ca="1">IFERROR(__xludf.DUMMYFUNCTION("""COMPUTED_VALUE"""),"صيانة بردة")</f>
        <v>صيانة بردة</v>
      </c>
      <c r="I752" s="23"/>
      <c r="J752" s="23" t="s">
        <v>16</v>
      </c>
      <c r="K752" s="23" t="s">
        <v>13</v>
      </c>
      <c r="L752" s="32"/>
      <c r="M752" s="23"/>
    </row>
    <row r="753" spans="1:13" ht="75" customHeight="1" thickTop="1" thickBot="1">
      <c r="A753" s="25">
        <v>751</v>
      </c>
      <c r="B753" s="32">
        <f ca="1">IFERROR(__xludf.DUMMYFUNCTION("""COMPUTED_VALUE"""),46163.3254965277)</f>
        <v>46163.325496527701</v>
      </c>
      <c r="C753" s="33" t="str">
        <f ca="1">IFERROR(__xludf.DUMMYFUNCTION("""COMPUTED_VALUE"""),"المعملجي")</f>
        <v>المعملجي</v>
      </c>
      <c r="D753" s="33" t="str">
        <f ca="1">IFERROR(__xludf.DUMMYFUNCTION("""COMPUTED_VALUE"""),"وحدة المدني ")</f>
        <v xml:space="preserve">وحدة المدني </v>
      </c>
      <c r="E753" s="23" t="str">
        <f ca="1">IFERROR(__xludf.DUMMYFUNCTION("""COMPUTED_VALUE"""),"قسم المشاريع الهندسية")</f>
        <v>قسم المشاريع الهندسية</v>
      </c>
      <c r="F753" s="23" t="str">
        <f ca="1">IFERROR(__xludf.DUMMYFUNCTION("""COMPUTED_VALUE"""),"H- ابتدائية القمر للبنات (الخامسة)")</f>
        <v>H- ابتدائية القمر للبنات (الخامسة)</v>
      </c>
      <c r="G753" s="23" t="str">
        <f ca="1">IFERROR(__xludf.DUMMYFUNCTION("""COMPUTED_VALUE"""),"الطابق الاول")</f>
        <v>الطابق الاول</v>
      </c>
      <c r="H753" s="23" t="str">
        <f ca="1">IFERROR(__xludf.DUMMYFUNCTION("""COMPUTED_VALUE"""),"صيانة بردة ")</f>
        <v xml:space="preserve">صيانة بردة </v>
      </c>
      <c r="I753" s="23"/>
      <c r="J753" s="23" t="s">
        <v>16</v>
      </c>
      <c r="K753" s="23" t="s">
        <v>13</v>
      </c>
      <c r="L753" s="32"/>
      <c r="M753" s="23"/>
    </row>
    <row r="754" spans="1:13" ht="75" customHeight="1" thickTop="1" thickBot="1">
      <c r="A754" s="23">
        <v>752</v>
      </c>
      <c r="B754" s="32">
        <f ca="1">IFERROR(__xludf.DUMMYFUNCTION("""COMPUTED_VALUE"""),46163.3258683912)</f>
        <v>46163.325868391199</v>
      </c>
      <c r="C754" s="33" t="str">
        <f ca="1">IFERROR(__xludf.DUMMYFUNCTION("""COMPUTED_VALUE"""),"المعملجي")</f>
        <v>المعملجي</v>
      </c>
      <c r="D754" s="33" t="str">
        <f ca="1">IFERROR(__xludf.DUMMYFUNCTION("""COMPUTED_VALUE"""),"وحدة المدني ")</f>
        <v xml:space="preserve">وحدة المدني </v>
      </c>
      <c r="E754" s="23" t="str">
        <f ca="1">IFERROR(__xludf.DUMMYFUNCTION("""COMPUTED_VALUE"""),"قسم المشاريع الهندسية")</f>
        <v>قسم المشاريع الهندسية</v>
      </c>
      <c r="F754" s="23" t="str">
        <f ca="1">IFERROR(__xludf.DUMMYFUNCTION("""COMPUTED_VALUE"""),"H- ابتدائية القمر للبنات (الخامسة)")</f>
        <v>H- ابتدائية القمر للبنات (الخامسة)</v>
      </c>
      <c r="G754" s="23" t="str">
        <f ca="1">IFERROR(__xludf.DUMMYFUNCTION("""COMPUTED_VALUE"""),"الطابق الثاني")</f>
        <v>الطابق الثاني</v>
      </c>
      <c r="H754" s="23" t="str">
        <f ca="1">IFERROR(__xludf.DUMMYFUNCTION("""COMPUTED_VALUE"""),"تبديل يدة شباك حديد ")</f>
        <v xml:space="preserve">تبديل يدة شباك حديد </v>
      </c>
      <c r="I754" s="23"/>
      <c r="J754" s="23" t="s">
        <v>16</v>
      </c>
      <c r="K754" s="23" t="s">
        <v>13</v>
      </c>
      <c r="L754" s="32"/>
      <c r="M754" s="23"/>
    </row>
    <row r="755" spans="1:13" ht="75" customHeight="1" thickTop="1" thickBot="1">
      <c r="A755" s="25">
        <v>753</v>
      </c>
      <c r="B755" s="32">
        <f ca="1">IFERROR(__xludf.DUMMYFUNCTION("""COMPUTED_VALUE"""),46163.3266102662)</f>
        <v>46163.326610266202</v>
      </c>
      <c r="C755" s="33" t="str">
        <f ca="1">IFERROR(__xludf.DUMMYFUNCTION("""COMPUTED_VALUE"""),"المعملجي")</f>
        <v>المعملجي</v>
      </c>
      <c r="D755" s="33" t="str">
        <f ca="1">IFERROR(__xludf.DUMMYFUNCTION("""COMPUTED_VALUE"""),"وحدة المدني ")</f>
        <v xml:space="preserve">وحدة المدني </v>
      </c>
      <c r="E755" s="23" t="str">
        <f ca="1">IFERROR(__xludf.DUMMYFUNCTION("""COMPUTED_VALUE"""),"قسم المشاريع الهندسية")</f>
        <v>قسم المشاريع الهندسية</v>
      </c>
      <c r="F755" s="23" t="str">
        <f ca="1">IFERROR(__xludf.DUMMYFUNCTION("""COMPUTED_VALUE"""),"H- ابتدائية القمر للبنات (الخامسة)")</f>
        <v>H- ابتدائية القمر للبنات (الخامسة)</v>
      </c>
      <c r="G755" s="23" t="str">
        <f ca="1">IFERROR(__xludf.DUMMYFUNCTION("""COMPUTED_VALUE"""),"الطابق الارضي")</f>
        <v>الطابق الارضي</v>
      </c>
      <c r="H755" s="23" t="str">
        <f ca="1">IFERROR(__xludf.DUMMYFUNCTION("""COMPUTED_VALUE"""),"صيانة باب المنيوم بين الزونين")</f>
        <v>صيانة باب المنيوم بين الزونين</v>
      </c>
      <c r="I755" s="23"/>
      <c r="J755" s="23" t="s">
        <v>16</v>
      </c>
      <c r="K755" s="23" t="s">
        <v>13</v>
      </c>
      <c r="L755" s="32"/>
      <c r="M755" s="23"/>
    </row>
    <row r="756" spans="1:13" ht="75" customHeight="1" thickTop="1" thickBot="1">
      <c r="A756" s="23">
        <v>754</v>
      </c>
      <c r="B756" s="32">
        <f ca="1">IFERROR(__xludf.DUMMYFUNCTION("""COMPUTED_VALUE"""),46166.613703831)</f>
        <v>46166.613703830997</v>
      </c>
      <c r="C756" s="33" t="str">
        <f ca="1">IFERROR(__xludf.DUMMYFUNCTION("""COMPUTED_VALUE"""),"المعملجي")</f>
        <v>المعملجي</v>
      </c>
      <c r="D756" s="33" t="str">
        <f ca="1">IFERROR(__xludf.DUMMYFUNCTION("""COMPUTED_VALUE"""),"ابو سجاد ")</f>
        <v xml:space="preserve">ابو سجاد </v>
      </c>
      <c r="E756" s="23" t="str">
        <f ca="1">IFERROR(__xludf.DUMMYFUNCTION("""COMPUTED_VALUE"""),"مجموعة العميد التربوية")</f>
        <v>مجموعة العميد التربوية</v>
      </c>
      <c r="F756" s="23" t="str">
        <f ca="1">IFERROR(__xludf.DUMMYFUNCTION("""COMPUTED_VALUE"""),"A- المركز الثقافي")</f>
        <v>A- المركز الثقافي</v>
      </c>
      <c r="G756" s="23" t="str">
        <f ca="1">IFERROR(__xludf.DUMMYFUNCTION("""COMPUTED_VALUE"""),"الطابق الثاني")</f>
        <v>الطابق الثاني</v>
      </c>
      <c r="H756" s="23" t="str">
        <f ca="1">IFERROR(__xludf.DUMMYFUNCTION("""COMPUTED_VALUE"""),"صيانة مكينة خياطة")</f>
        <v>صيانة مكينة خياطة</v>
      </c>
      <c r="I756" s="23"/>
      <c r="J756" s="23" t="s">
        <v>16</v>
      </c>
      <c r="K756" s="23" t="s">
        <v>13</v>
      </c>
      <c r="L756" s="32">
        <v>46166.658842164354</v>
      </c>
      <c r="M756" s="23"/>
    </row>
    <row r="757" spans="1:13" ht="75" customHeight="1" thickTop="1" thickBot="1">
      <c r="A757" s="25">
        <v>755</v>
      </c>
      <c r="B757" s="32">
        <f ca="1">IFERROR(__xludf.DUMMYFUNCTION("""COMPUTED_VALUE"""),46166.6165886921)</f>
        <v>46166.616588692101</v>
      </c>
      <c r="C757" s="33" t="str">
        <f ca="1">IFERROR(__xludf.DUMMYFUNCTION("""COMPUTED_VALUE"""),"المعملجي")</f>
        <v>المعملجي</v>
      </c>
      <c r="D757" s="33" t="str">
        <f ca="1">IFERROR(__xludf.DUMMYFUNCTION("""COMPUTED_VALUE"""),"وحدة المدني")</f>
        <v>وحدة المدني</v>
      </c>
      <c r="E757" s="23" t="str">
        <f ca="1">IFERROR(__xludf.DUMMYFUNCTION("""COMPUTED_VALUE"""),"قسم المشاريع الهندسية")</f>
        <v>قسم المشاريع الهندسية</v>
      </c>
      <c r="F757" s="23" t="str">
        <f ca="1">IFERROR(__xludf.DUMMYFUNCTION("""COMPUTED_VALUE"""),"E- ابتدائية العميد للبنات (الثالثة)")</f>
        <v>E- ابتدائية العميد للبنات (الثالثة)</v>
      </c>
      <c r="G757" s="23" t="str">
        <f ca="1">IFERROR(__xludf.DUMMYFUNCTION("""COMPUTED_VALUE"""),"السطح")</f>
        <v>السطح</v>
      </c>
      <c r="H757" s="23" t="str">
        <f ca="1">IFERROR(__xludf.DUMMYFUNCTION("""COMPUTED_VALUE"""),"صيانة سيفونات عدد 6")</f>
        <v>صيانة سيفونات عدد 6</v>
      </c>
      <c r="I757" s="23"/>
      <c r="J757" s="23" t="s">
        <v>16</v>
      </c>
      <c r="K757" s="23" t="s">
        <v>13</v>
      </c>
      <c r="L757" s="32">
        <v>46166.659000474538</v>
      </c>
      <c r="M757" s="23"/>
    </row>
    <row r="758" spans="1:13" ht="75" customHeight="1" thickTop="1" thickBot="1">
      <c r="A758" s="23">
        <v>756</v>
      </c>
      <c r="B758" s="32">
        <f ca="1">IFERROR(__xludf.DUMMYFUNCTION("""COMPUTED_VALUE"""),46166.6168740509)</f>
        <v>46166.616874050902</v>
      </c>
      <c r="C758" s="33" t="str">
        <f ca="1">IFERROR(__xludf.DUMMYFUNCTION("""COMPUTED_VALUE"""),"المعملجي")</f>
        <v>المعملجي</v>
      </c>
      <c r="D758" s="33" t="str">
        <f ca="1">IFERROR(__xludf.DUMMYFUNCTION("""COMPUTED_VALUE"""),"وحدة المدني")</f>
        <v>وحدة المدني</v>
      </c>
      <c r="E758" s="23" t="str">
        <f ca="1">IFERROR(__xludf.DUMMYFUNCTION("""COMPUTED_VALUE"""),"قسم المشاريع الهندسية")</f>
        <v>قسم المشاريع الهندسية</v>
      </c>
      <c r="F758" s="23" t="str">
        <f ca="1">IFERROR(__xludf.DUMMYFUNCTION("""COMPUTED_VALUE"""),"F-  ابتدائية جود العميد للبنات (الرابعة)")</f>
        <v>F-  ابتدائية جود العميد للبنات (الرابعة)</v>
      </c>
      <c r="G758" s="23" t="str">
        <f ca="1">IFERROR(__xludf.DUMMYFUNCTION("""COMPUTED_VALUE"""),"السطح")</f>
        <v>السطح</v>
      </c>
      <c r="H758" s="23" t="str">
        <f ca="1">IFERROR(__xludf.DUMMYFUNCTION("""COMPUTED_VALUE"""),"فتح سيفونات عدد 4")</f>
        <v>فتح سيفونات عدد 4</v>
      </c>
      <c r="I758" s="23"/>
      <c r="J758" s="23" t="s">
        <v>16</v>
      </c>
      <c r="K758" s="23" t="s">
        <v>13</v>
      </c>
      <c r="L758" s="32">
        <v>46166.659330428243</v>
      </c>
      <c r="M758" s="23"/>
    </row>
    <row r="759" spans="1:13" ht="75" customHeight="1" thickTop="1" thickBot="1">
      <c r="A759" s="25">
        <v>757</v>
      </c>
      <c r="B759" s="32">
        <f ca="1">IFERROR(__xludf.DUMMYFUNCTION("""COMPUTED_VALUE"""),46167.4044929976)</f>
        <v>46167.404492997601</v>
      </c>
      <c r="C759" s="33" t="str">
        <f ca="1">IFERROR(__xludf.DUMMYFUNCTION("""COMPUTED_VALUE"""),"المعملجي")</f>
        <v>المعملجي</v>
      </c>
      <c r="D759" s="33" t="str">
        <f ca="1">IFERROR(__xludf.DUMMYFUNCTION("""COMPUTED_VALUE"""),"ابراهيم الخطابي")</f>
        <v>ابراهيم الخطابي</v>
      </c>
      <c r="E759" s="23" t="str">
        <f ca="1">IFERROR(__xludf.DUMMYFUNCTION("""COMPUTED_VALUE"""),"مجموعة العميد التربوية")</f>
        <v>مجموعة العميد التربوية</v>
      </c>
      <c r="F759" s="23" t="str">
        <f ca="1">IFERROR(__xludf.DUMMYFUNCTION("""COMPUTED_VALUE"""),"H- ابتدائية القمر للبنات (الخامسة)")</f>
        <v>H- ابتدائية القمر للبنات (الخامسة)</v>
      </c>
      <c r="G759" s="23" t="str">
        <f ca="1">IFERROR(__xludf.DUMMYFUNCTION("""COMPUTED_VALUE"""),"الطابق الاول, الساحه الخارجية ")</f>
        <v xml:space="preserve">الطابق الاول, الساحه الخارجية </v>
      </c>
      <c r="H759" s="23" t="str">
        <f ca="1">IFERROR(__xludf.DUMMYFUNCTION("""COMPUTED_VALUE"""),"صيانة باب الحمام ")</f>
        <v xml:space="preserve">صيانة باب الحمام </v>
      </c>
      <c r="I759" s="23"/>
      <c r="J759" s="23" t="s">
        <v>16</v>
      </c>
      <c r="K759" s="23" t="s">
        <v>13</v>
      </c>
      <c r="L759" s="32">
        <v>46167.562238275466</v>
      </c>
      <c r="M759" s="23"/>
    </row>
    <row r="760" spans="1:13" ht="75" customHeight="1" thickTop="1" thickBot="1">
      <c r="A760" s="23">
        <v>758</v>
      </c>
      <c r="B760" s="32">
        <f ca="1">IFERROR(__xludf.DUMMYFUNCTION("""COMPUTED_VALUE"""),46167.4775076157)</f>
        <v>46167.477507615702</v>
      </c>
      <c r="C760" s="33" t="str">
        <f ca="1">IFERROR(__xludf.DUMMYFUNCTION("""COMPUTED_VALUE"""),"المعملجي")</f>
        <v>المعملجي</v>
      </c>
      <c r="D760" s="33" t="str">
        <f ca="1">IFERROR(__xludf.DUMMYFUNCTION("""COMPUTED_VALUE"""),"وحدة المدني")</f>
        <v>وحدة المدني</v>
      </c>
      <c r="E760" s="23" t="str">
        <f ca="1">IFERROR(__xludf.DUMMYFUNCTION("""COMPUTED_VALUE"""),"قسم المشاريع الهندسية")</f>
        <v>قسم المشاريع الهندسية</v>
      </c>
      <c r="F760" s="23" t="str">
        <f ca="1">IFERROR(__xludf.DUMMYFUNCTION("""COMPUTED_VALUE"""),"F-  ابتدائية جود العميد للبنات (الرابعة)")</f>
        <v>F-  ابتدائية جود العميد للبنات (الرابعة)</v>
      </c>
      <c r="G760" s="23" t="str">
        <f ca="1">IFERROR(__xludf.DUMMYFUNCTION("""COMPUTED_VALUE"""),"السطح")</f>
        <v>السطح</v>
      </c>
      <c r="H760" s="23" t="str">
        <f ca="1">IFERROR(__xludf.DUMMYFUNCTION("""COMPUTED_VALUE"""),"صيانة وصب سيفونات عدد 6")</f>
        <v>صيانة وصب سيفونات عدد 6</v>
      </c>
      <c r="I760" s="23"/>
      <c r="J760" s="23" t="s">
        <v>16</v>
      </c>
      <c r="K760" s="23" t="s">
        <v>13</v>
      </c>
      <c r="L760" s="32">
        <v>46167.47887107639</v>
      </c>
      <c r="M760" s="23"/>
    </row>
    <row r="761" spans="1:13" ht="75" customHeight="1" thickTop="1" thickBot="1">
      <c r="A761" s="25">
        <v>759</v>
      </c>
      <c r="B761" s="32">
        <f ca="1">IFERROR(__xludf.DUMMYFUNCTION("""COMPUTED_VALUE"""),46167.4780729398)</f>
        <v>46167.478072939797</v>
      </c>
      <c r="C761" s="33" t="str">
        <f ca="1">IFERROR(__xludf.DUMMYFUNCTION("""COMPUTED_VALUE"""),"المعملجي")</f>
        <v>المعملجي</v>
      </c>
      <c r="D761" s="33" t="str">
        <f ca="1">IFERROR(__xludf.DUMMYFUNCTION("""COMPUTED_VALUE"""),"وحدة المدني")</f>
        <v>وحدة المدني</v>
      </c>
      <c r="E761" s="23" t="str">
        <f ca="1">IFERROR(__xludf.DUMMYFUNCTION("""COMPUTED_VALUE"""),"قسم المشاريع الهندسية")</f>
        <v>قسم المشاريع الهندسية</v>
      </c>
      <c r="F761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761" s="23" t="str">
        <f ca="1">IFERROR(__xludf.DUMMYFUNCTION("""COMPUTED_VALUE"""),"الطابق الاول")</f>
        <v>الطابق الاول</v>
      </c>
      <c r="H761" s="23" t="str">
        <f ca="1">IFERROR(__xludf.DUMMYFUNCTION("""COMPUTED_VALUE"""),"تبديل لبة باب خشب ")</f>
        <v xml:space="preserve">تبديل لبة باب خشب </v>
      </c>
      <c r="I761" s="23"/>
      <c r="J761" s="23" t="s">
        <v>16</v>
      </c>
      <c r="K761" s="23" t="s">
        <v>13</v>
      </c>
      <c r="L761" s="32"/>
      <c r="M761" s="23"/>
    </row>
    <row r="762" spans="1:13" ht="75" customHeight="1" thickTop="1" thickBot="1">
      <c r="A762" s="23">
        <v>760</v>
      </c>
      <c r="B762" s="32">
        <f ca="1">IFERROR(__xludf.DUMMYFUNCTION("""COMPUTED_VALUE"""),46167.4787375925)</f>
        <v>46167.478737592501</v>
      </c>
      <c r="C762" s="33" t="str">
        <f ca="1">IFERROR(__xludf.DUMMYFUNCTION("""COMPUTED_VALUE"""),"المعملجي")</f>
        <v>المعملجي</v>
      </c>
      <c r="D762" s="33" t="str">
        <f ca="1">IFERROR(__xludf.DUMMYFUNCTION("""COMPUTED_VALUE"""),"وحدة المدني")</f>
        <v>وحدة المدني</v>
      </c>
      <c r="E762" s="23" t="str">
        <f ca="1">IFERROR(__xludf.DUMMYFUNCTION("""COMPUTED_VALUE"""),"قسم المشاريع الهندسية")</f>
        <v>قسم المشاريع الهندسية</v>
      </c>
      <c r="F762" s="23" t="str">
        <f ca="1">IFERROR(__xludf.DUMMYFUNCTION("""COMPUTED_VALUE"""),"F-  ابتدائية جود العميد للبنات (الرابعة)")</f>
        <v>F-  ابتدائية جود العميد للبنات (الرابعة)</v>
      </c>
      <c r="G762" s="23" t="str">
        <f ca="1">IFERROR(__xludf.DUMMYFUNCTION("""COMPUTED_VALUE"""),"ZONE A, السطح")</f>
        <v>ZONE A, السطح</v>
      </c>
      <c r="H762" s="23" t="str">
        <f ca="1">IFERROR(__xludf.DUMMYFUNCTION("""COMPUTED_VALUE"""),"فتح سيفونات عدد 6")</f>
        <v>فتح سيفونات عدد 6</v>
      </c>
      <c r="I762" s="23"/>
      <c r="J762" s="23" t="s">
        <v>16</v>
      </c>
      <c r="K762" s="23" t="s">
        <v>13</v>
      </c>
      <c r="L762" s="32"/>
      <c r="M762" s="23"/>
    </row>
    <row r="763" spans="1:13" ht="75" customHeight="1" thickTop="1" thickBot="1">
      <c r="A763" s="25">
        <v>761</v>
      </c>
      <c r="B763" s="32">
        <f ca="1">IFERROR(__xludf.DUMMYFUNCTION("""COMPUTED_VALUE"""),46172.3259906597)</f>
        <v>46172.325990659701</v>
      </c>
      <c r="C763" s="33" t="str">
        <f ca="1">IFERROR(__xludf.DUMMYFUNCTION("""COMPUTED_VALUE"""),"المعملجي")</f>
        <v>المعملجي</v>
      </c>
      <c r="D763" s="33" t="str">
        <f ca="1">IFERROR(__xludf.DUMMYFUNCTION("""COMPUTED_VALUE"""),"وحدة المدني")</f>
        <v>وحدة المدني</v>
      </c>
      <c r="E763" s="23" t="str">
        <f ca="1">IFERROR(__xludf.DUMMYFUNCTION("""COMPUTED_VALUE"""),"قسم المشاريع الهندسية")</f>
        <v>قسم المشاريع الهندسية</v>
      </c>
      <c r="F763" s="23" t="str">
        <f ca="1">IFERROR(__xludf.DUMMYFUNCTION("""COMPUTED_VALUE"""),"E- ابتدائية العميد للبنات (الثالثة)")</f>
        <v>E- ابتدائية العميد للبنات (الثالثة)</v>
      </c>
      <c r="G763" s="23" t="str">
        <f ca="1">IFERROR(__xludf.DUMMYFUNCTION("""COMPUTED_VALUE"""),"الطابق الاول")</f>
        <v>الطابق الاول</v>
      </c>
      <c r="H763" s="23" t="str">
        <f ca="1">IFERROR(__xludf.DUMMYFUNCTION("""COMPUTED_VALUE"""),"صيانة شباك ")</f>
        <v xml:space="preserve">صيانة شباك </v>
      </c>
      <c r="I763" s="23"/>
      <c r="J763" s="23" t="s">
        <v>16</v>
      </c>
      <c r="K763" s="23" t="s">
        <v>13</v>
      </c>
      <c r="L763" s="32"/>
      <c r="M763" s="23"/>
    </row>
    <row r="764" spans="1:13" ht="75" customHeight="1" thickTop="1" thickBot="1">
      <c r="A764" s="23">
        <v>762</v>
      </c>
      <c r="B764" s="32">
        <f ca="1">IFERROR(__xludf.DUMMYFUNCTION("""COMPUTED_VALUE"""),46172.3265185532)</f>
        <v>46172.3265185532</v>
      </c>
      <c r="C764" s="33" t="str">
        <f ca="1">IFERROR(__xludf.DUMMYFUNCTION("""COMPUTED_VALUE"""),"المعملجي")</f>
        <v>المعملجي</v>
      </c>
      <c r="D764" s="33" t="str">
        <f ca="1">IFERROR(__xludf.DUMMYFUNCTION("""COMPUTED_VALUE"""),"وحدة المدني")</f>
        <v>وحدة المدني</v>
      </c>
      <c r="E764" s="23" t="str">
        <f ca="1">IFERROR(__xludf.DUMMYFUNCTION("""COMPUTED_VALUE"""),"قسم المشاريع الهندسية")</f>
        <v>قسم المشاريع الهندسية</v>
      </c>
      <c r="F764" s="23" t="str">
        <f ca="1">IFERROR(__xludf.DUMMYFUNCTION("""COMPUTED_VALUE"""),"E- ابتدائية العميد للبنات (الثالثة)")</f>
        <v>E- ابتدائية العميد للبنات (الثالثة)</v>
      </c>
      <c r="G764" s="23" t="str">
        <f ca="1">IFERROR(__xludf.DUMMYFUNCTION("""COMPUTED_VALUE"""),"الطابق الارضي")</f>
        <v>الطابق الارضي</v>
      </c>
      <c r="H764" s="23" t="str">
        <f ca="1">IFERROR(__xludf.DUMMYFUNCTION("""COMPUTED_VALUE"""),"فتح باب وصيانة لبة")</f>
        <v>فتح باب وصيانة لبة</v>
      </c>
      <c r="I764" s="23"/>
      <c r="J764" s="23" t="s">
        <v>16</v>
      </c>
      <c r="K764" s="23" t="s">
        <v>13</v>
      </c>
      <c r="L764" s="32"/>
      <c r="M764" s="23"/>
    </row>
    <row r="765" spans="1:13" ht="75" customHeight="1" thickTop="1" thickBot="1">
      <c r="A765" s="25">
        <v>763</v>
      </c>
      <c r="B765" s="32">
        <f ca="1">IFERROR(__xludf.DUMMYFUNCTION("""COMPUTED_VALUE"""),46172.3270460185)</f>
        <v>46172.327046018501</v>
      </c>
      <c r="C765" s="33" t="str">
        <f ca="1">IFERROR(__xludf.DUMMYFUNCTION("""COMPUTED_VALUE"""),"المعملجي")</f>
        <v>المعملجي</v>
      </c>
      <c r="D765" s="33" t="str">
        <f ca="1">IFERROR(__xludf.DUMMYFUNCTION("""COMPUTED_VALUE"""),"وحدة التبريد")</f>
        <v>وحدة التبريد</v>
      </c>
      <c r="E765" s="23" t="str">
        <f ca="1">IFERROR(__xludf.DUMMYFUNCTION("""COMPUTED_VALUE"""),"قسم المشاريع الهندسية")</f>
        <v>قسم المشاريع الهندسية</v>
      </c>
      <c r="F765" s="23" t="str">
        <f ca="1">IFERROR(__xludf.DUMMYFUNCTION("""COMPUTED_VALUE"""),"E- ابتدائية العميد للبنات (الثالثة)")</f>
        <v>E- ابتدائية العميد للبنات (الثالثة)</v>
      </c>
      <c r="G765" s="23" t="str">
        <f ca="1">IFERROR(__xludf.DUMMYFUNCTION("""COMPUTED_VALUE"""),"الطابق الارضي, ZONE B")</f>
        <v>الطابق الارضي, ZONE B</v>
      </c>
      <c r="H765" s="23" t="str">
        <f ca="1">IFERROR(__xludf.DUMMYFUNCTION("""COMPUTED_VALUE"""),"تبديل يدة شباك حديد ")</f>
        <v xml:space="preserve">تبديل يدة شباك حديد </v>
      </c>
      <c r="I765" s="23"/>
      <c r="J765" s="23" t="s">
        <v>16</v>
      </c>
      <c r="K765" s="23" t="s">
        <v>13</v>
      </c>
      <c r="L765" s="32"/>
      <c r="M765" s="23"/>
    </row>
    <row r="766" spans="1:13" ht="75" customHeight="1" thickTop="1" thickBot="1">
      <c r="A766" s="23">
        <v>764</v>
      </c>
      <c r="B766" s="32">
        <f ca="1">IFERROR(__xludf.DUMMYFUNCTION("""COMPUTED_VALUE"""),46172.3277231481)</f>
        <v>46172.327723148097</v>
      </c>
      <c r="C766" s="33" t="str">
        <f ca="1">IFERROR(__xludf.DUMMYFUNCTION("""COMPUTED_VALUE"""),"المعملجي")</f>
        <v>المعملجي</v>
      </c>
      <c r="D766" s="33" t="str">
        <f ca="1">IFERROR(__xludf.DUMMYFUNCTION("""COMPUTED_VALUE"""),"وحدة المدني")</f>
        <v>وحدة المدني</v>
      </c>
      <c r="E766" s="23" t="str">
        <f ca="1">IFERROR(__xludf.DUMMYFUNCTION("""COMPUTED_VALUE"""),"قسم المشاريع الهندسية")</f>
        <v>قسم المشاريع الهندسية</v>
      </c>
      <c r="F766" s="23" t="str">
        <f ca="1">IFERROR(__xludf.DUMMYFUNCTION("""COMPUTED_VALUE"""),"H- ابتدائية القمر للبنات (الخامسة)")</f>
        <v>H- ابتدائية القمر للبنات (الخامسة)</v>
      </c>
      <c r="G766" s="23" t="str">
        <f ca="1">IFERROR(__xludf.DUMMYFUNCTION("""COMPUTED_VALUE"""),"الطابق الاول, ZONE A, ZONE B")</f>
        <v>الطابق الاول, ZONE A, ZONE B</v>
      </c>
      <c r="H766" s="23" t="str">
        <f ca="1">IFERROR(__xludf.DUMMYFUNCTION("""COMPUTED_VALUE"""),"تبديل يدة باب المنيوم بين الزونين")</f>
        <v>تبديل يدة باب المنيوم بين الزونين</v>
      </c>
      <c r="I766" s="23"/>
      <c r="J766" s="23" t="s">
        <v>16</v>
      </c>
      <c r="K766" s="23" t="s">
        <v>13</v>
      </c>
      <c r="L766" s="32"/>
      <c r="M766" s="23"/>
    </row>
    <row r="767" spans="1:13" ht="75" customHeight="1" thickTop="1" thickBot="1">
      <c r="A767" s="25">
        <v>765</v>
      </c>
      <c r="B767" s="32">
        <f ca="1">IFERROR(__xludf.DUMMYFUNCTION("""COMPUTED_VALUE"""),46172.3281242708)</f>
        <v>46172.328124270804</v>
      </c>
      <c r="C767" s="33" t="str">
        <f ca="1">IFERROR(__xludf.DUMMYFUNCTION("""COMPUTED_VALUE"""),"المعملجي")</f>
        <v>المعملجي</v>
      </c>
      <c r="D767" s="33" t="str">
        <f ca="1">IFERROR(__xludf.DUMMYFUNCTION("""COMPUTED_VALUE"""),"وحدة المدني")</f>
        <v>وحدة المدني</v>
      </c>
      <c r="E767" s="23" t="str">
        <f ca="1">IFERROR(__xludf.DUMMYFUNCTION("""COMPUTED_VALUE"""),"قسم المشاريع الهندسية")</f>
        <v>قسم المشاريع الهندسية</v>
      </c>
      <c r="F767" s="23" t="str">
        <f ca="1">IFERROR(__xludf.DUMMYFUNCTION("""COMPUTED_VALUE"""),"H- ابتدائية القمر للبنات (الخامسة)")</f>
        <v>H- ابتدائية القمر للبنات (الخامسة)</v>
      </c>
      <c r="G767" s="23" t="str">
        <f ca="1">IFERROR(__xludf.DUMMYFUNCTION("""COMPUTED_VALUE"""),"الطابق الاول")</f>
        <v>الطابق الاول</v>
      </c>
      <c r="H767" s="23" t="str">
        <f ca="1">IFERROR(__xludf.DUMMYFUNCTION("""COMPUTED_VALUE"""),"صيانة باب خشب ")</f>
        <v xml:space="preserve">صيانة باب خشب </v>
      </c>
      <c r="I767" s="23"/>
      <c r="J767" s="23" t="s">
        <v>16</v>
      </c>
      <c r="K767" s="23" t="s">
        <v>13</v>
      </c>
      <c r="L767" s="32"/>
      <c r="M767" s="23"/>
    </row>
    <row r="768" spans="1:13" ht="75" customHeight="1" thickTop="1" thickBot="1">
      <c r="A768" s="23">
        <v>766</v>
      </c>
      <c r="B768" s="32">
        <f ca="1">IFERROR(__xludf.DUMMYFUNCTION("""COMPUTED_VALUE"""),46172.3285330092)</f>
        <v>46172.328533009197</v>
      </c>
      <c r="C768" s="33" t="str">
        <f ca="1">IFERROR(__xludf.DUMMYFUNCTION("""COMPUTED_VALUE"""),"المعملجي")</f>
        <v>المعملجي</v>
      </c>
      <c r="D768" s="33" t="str">
        <f ca="1">IFERROR(__xludf.DUMMYFUNCTION("""COMPUTED_VALUE"""),"وحدة المدني")</f>
        <v>وحدة المدني</v>
      </c>
      <c r="E768" s="23" t="str">
        <f ca="1">IFERROR(__xludf.DUMMYFUNCTION("""COMPUTED_VALUE"""),"قسم المشاريع الهندسية")</f>
        <v>قسم المشاريع الهندسية</v>
      </c>
      <c r="F768" s="23" t="str">
        <f ca="1">IFERROR(__xludf.DUMMYFUNCTION("""COMPUTED_VALUE"""),"H- ابتدائية القمر للبنات (الخامسة)")</f>
        <v>H- ابتدائية القمر للبنات (الخامسة)</v>
      </c>
      <c r="G768" s="23" t="str">
        <f ca="1">IFERROR(__xludf.DUMMYFUNCTION("""COMPUTED_VALUE"""),"الطابق الاول, الطابق الثاني")</f>
        <v>الطابق الاول, الطابق الثاني</v>
      </c>
      <c r="H768" s="23" t="str">
        <f ca="1">IFERROR(__xludf.DUMMYFUNCTION("""COMPUTED_VALUE"""),"ارجاع سقوف ثانوية ")</f>
        <v xml:space="preserve">ارجاع سقوف ثانوية </v>
      </c>
      <c r="I768" s="23"/>
      <c r="J768" s="23" t="s">
        <v>16</v>
      </c>
      <c r="K768" s="23" t="s">
        <v>13</v>
      </c>
      <c r="L768" s="32"/>
      <c r="M768" s="23"/>
    </row>
    <row r="769" spans="1:13" ht="75" customHeight="1" thickTop="1" thickBot="1">
      <c r="A769" s="25">
        <v>767</v>
      </c>
      <c r="B769" s="32">
        <f ca="1">IFERROR(__xludf.DUMMYFUNCTION("""COMPUTED_VALUE"""),46172.32941625)</f>
        <v>46172.329416250002</v>
      </c>
      <c r="C769" s="33" t="str">
        <f ca="1">IFERROR(__xludf.DUMMYFUNCTION("""COMPUTED_VALUE"""),"المعملجي")</f>
        <v>المعملجي</v>
      </c>
      <c r="D769" s="33" t="str">
        <f ca="1">IFERROR(__xludf.DUMMYFUNCTION("""COMPUTED_VALUE"""),"وحدة المدني")</f>
        <v>وحدة المدني</v>
      </c>
      <c r="E769" s="23" t="str">
        <f ca="1">IFERROR(__xludf.DUMMYFUNCTION("""COMPUTED_VALUE"""),"قسم المشاريع الهندسية")</f>
        <v>قسم المشاريع الهندسية</v>
      </c>
      <c r="F769" s="23" t="str">
        <f ca="1">IFERROR(__xludf.DUMMYFUNCTION("""COMPUTED_VALUE"""),"H- ابتدائية القمر للبنات (الخامسة)")</f>
        <v>H- ابتدائية القمر للبنات (الخامسة)</v>
      </c>
      <c r="G769" s="23" t="str">
        <f ca="1">IFERROR(__xludf.DUMMYFUNCTION("""COMPUTED_VALUE"""),"الطابق الثاني")</f>
        <v>الطابق الثاني</v>
      </c>
      <c r="H769" s="23" t="str">
        <f ca="1">IFERROR(__xludf.DUMMYFUNCTION("""COMPUTED_VALUE"""),"تبديل يدة باب المنيوم في الصحيات ")</f>
        <v xml:space="preserve">تبديل يدة باب المنيوم في الصحيات </v>
      </c>
      <c r="I769" s="23"/>
      <c r="J769" s="23" t="s">
        <v>16</v>
      </c>
      <c r="K769" s="23" t="s">
        <v>13</v>
      </c>
      <c r="L769" s="32"/>
      <c r="M769" s="23"/>
    </row>
    <row r="770" spans="1:13" ht="75" customHeight="1" thickTop="1" thickBot="1">
      <c r="A770" s="23">
        <v>768</v>
      </c>
      <c r="B770" s="32">
        <f ca="1">IFERROR(__xludf.DUMMYFUNCTION("""COMPUTED_VALUE"""),46172.3300786458)</f>
        <v>46172.330078645798</v>
      </c>
      <c r="C770" s="33" t="str">
        <f ca="1">IFERROR(__xludf.DUMMYFUNCTION("""COMPUTED_VALUE"""),"المعملجي")</f>
        <v>المعملجي</v>
      </c>
      <c r="D770" s="33" t="str">
        <f ca="1">IFERROR(__xludf.DUMMYFUNCTION("""COMPUTED_VALUE"""),"وحدة المدني")</f>
        <v>وحدة المدني</v>
      </c>
      <c r="E770" s="23" t="str">
        <f ca="1">IFERROR(__xludf.DUMMYFUNCTION("""COMPUTED_VALUE"""),"قسم المشاريع الهندسية")</f>
        <v>قسم المشاريع الهندسية</v>
      </c>
      <c r="F770" s="23" t="str">
        <f ca="1">IFERROR(__xludf.DUMMYFUNCTION("""COMPUTED_VALUE"""),"F-  ابتدائية جود العميد للبنات (الرابعة)")</f>
        <v>F-  ابتدائية جود العميد للبنات (الرابعة)</v>
      </c>
      <c r="G770" s="23" t="str">
        <f ca="1">IFERROR(__xludf.DUMMYFUNCTION("""COMPUTED_VALUE"""),"الطابق الارضي")</f>
        <v>الطابق الارضي</v>
      </c>
      <c r="H770" s="23" t="str">
        <f ca="1">IFERROR(__xludf.DUMMYFUNCTION("""COMPUTED_VALUE"""),"صيانة يدة باب المنيوم في الصحيات ")</f>
        <v xml:space="preserve">صيانة يدة باب المنيوم في الصحيات </v>
      </c>
      <c r="I770" s="23"/>
      <c r="J770" s="23" t="s">
        <v>16</v>
      </c>
      <c r="K770" s="23" t="s">
        <v>13</v>
      </c>
      <c r="L770" s="32"/>
      <c r="M770" s="23"/>
    </row>
    <row r="771" spans="1:13" ht="75" customHeight="1" thickTop="1" thickBot="1">
      <c r="A771" s="25">
        <v>769</v>
      </c>
      <c r="B771" s="32">
        <f ca="1">IFERROR(__xludf.DUMMYFUNCTION("""COMPUTED_VALUE"""),46172.330462743)</f>
        <v>46172.330462742997</v>
      </c>
      <c r="C771" s="33" t="str">
        <f ca="1">IFERROR(__xludf.DUMMYFUNCTION("""COMPUTED_VALUE"""),"المعملجي")</f>
        <v>المعملجي</v>
      </c>
      <c r="D771" s="33" t="str">
        <f ca="1">IFERROR(__xludf.DUMMYFUNCTION("""COMPUTED_VALUE"""),"وحدة المدني")</f>
        <v>وحدة المدني</v>
      </c>
      <c r="E771" s="23" t="str">
        <f ca="1">IFERROR(__xludf.DUMMYFUNCTION("""COMPUTED_VALUE"""),"قسم المشاريع الهندسية")</f>
        <v>قسم المشاريع الهندسية</v>
      </c>
      <c r="F771" s="23" t="str">
        <f ca="1">IFERROR(__xludf.DUMMYFUNCTION("""COMPUTED_VALUE"""),"F-  ابتدائية جود العميد للبنات (الرابعة)")</f>
        <v>F-  ابتدائية جود العميد للبنات (الرابعة)</v>
      </c>
      <c r="G771" s="23" t="str">
        <f ca="1">IFERROR(__xludf.DUMMYFUNCTION("""COMPUTED_VALUE"""),"الطابق الثاني")</f>
        <v>الطابق الثاني</v>
      </c>
      <c r="H771" s="23" t="str">
        <f ca="1">IFERROR(__xludf.DUMMYFUNCTION("""COMPUTED_VALUE"""),"تبديل يدة باب ")</f>
        <v xml:space="preserve">تبديل يدة باب </v>
      </c>
      <c r="I771" s="23"/>
      <c r="J771" s="23" t="s">
        <v>16</v>
      </c>
      <c r="K771" s="23" t="s">
        <v>13</v>
      </c>
      <c r="L771" s="32"/>
      <c r="M771" s="23"/>
    </row>
    <row r="772" spans="1:13" ht="75" customHeight="1" thickTop="1" thickBot="1">
      <c r="A772" s="23">
        <v>770</v>
      </c>
      <c r="B772" s="32">
        <f ca="1">IFERROR(__xludf.DUMMYFUNCTION("""COMPUTED_VALUE"""),46172.3308805671)</f>
        <v>46172.330880567097</v>
      </c>
      <c r="C772" s="33" t="str">
        <f ca="1">IFERROR(__xludf.DUMMYFUNCTION("""COMPUTED_VALUE"""),"المعملجي")</f>
        <v>المعملجي</v>
      </c>
      <c r="D772" s="33" t="str">
        <f ca="1">IFERROR(__xludf.DUMMYFUNCTION("""COMPUTED_VALUE"""),"وحدة المدني")</f>
        <v>وحدة المدني</v>
      </c>
      <c r="E772" s="23" t="str">
        <f ca="1">IFERROR(__xludf.DUMMYFUNCTION("""COMPUTED_VALUE"""),"قسم المشاريع الهندسية")</f>
        <v>قسم المشاريع الهندسية</v>
      </c>
      <c r="F772" s="23" t="str">
        <f ca="1">IFERROR(__xludf.DUMMYFUNCTION("""COMPUTED_VALUE"""),"F-  ابتدائية جود العميد للبنات (الرابعة)")</f>
        <v>F-  ابتدائية جود العميد للبنات (الرابعة)</v>
      </c>
      <c r="G772" s="23" t="str">
        <f ca="1">IFERROR(__xludf.DUMMYFUNCTION("""COMPUTED_VALUE"""),"الطابق الاول")</f>
        <v>الطابق الاول</v>
      </c>
      <c r="H772" s="23" t="str">
        <f ca="1">IFERROR(__xludf.DUMMYFUNCTION("""COMPUTED_VALUE"""),"صيانة بردة ")</f>
        <v xml:space="preserve">صيانة بردة </v>
      </c>
      <c r="I772" s="23"/>
      <c r="J772" s="23" t="s">
        <v>16</v>
      </c>
      <c r="K772" s="23" t="s">
        <v>13</v>
      </c>
      <c r="L772" s="32"/>
      <c r="M772" s="23"/>
    </row>
    <row r="773" spans="1:13" ht="75" customHeight="1" thickTop="1" thickBot="1">
      <c r="A773" s="25">
        <v>771</v>
      </c>
      <c r="B773" s="32">
        <f ca="1">IFERROR(__xludf.DUMMYFUNCTION("""COMPUTED_VALUE"""),46172.3312612268)</f>
        <v>46172.331261226798</v>
      </c>
      <c r="C773" s="33" t="str">
        <f ca="1">IFERROR(__xludf.DUMMYFUNCTION("""COMPUTED_VALUE"""),"المعملجي")</f>
        <v>المعملجي</v>
      </c>
      <c r="D773" s="33" t="str">
        <f ca="1">IFERROR(__xludf.DUMMYFUNCTION("""COMPUTED_VALUE"""),"وحدة المدني")</f>
        <v>وحدة المدني</v>
      </c>
      <c r="E773" s="23" t="str">
        <f ca="1">IFERROR(__xludf.DUMMYFUNCTION("""COMPUTED_VALUE"""),"قسم المشاريع الهندسية")</f>
        <v>قسم المشاريع الهندسية</v>
      </c>
      <c r="F773" s="23" t="str">
        <f ca="1">IFERROR(__xludf.DUMMYFUNCTION("""COMPUTED_VALUE"""),"F-  ابتدائية جود العميد للبنات (الرابعة)")</f>
        <v>F-  ابتدائية جود العميد للبنات (الرابعة)</v>
      </c>
      <c r="G773" s="23" t="str">
        <f ca="1">IFERROR(__xludf.DUMMYFUNCTION("""COMPUTED_VALUE"""),"الطابق الاول, الطابق الثاني")</f>
        <v>الطابق الاول, الطابق الثاني</v>
      </c>
      <c r="H773" s="23" t="str">
        <f ca="1">IFERROR(__xludf.DUMMYFUNCTION("""COMPUTED_VALUE"""),"ارجاع سقوف ثانوية ")</f>
        <v xml:space="preserve">ارجاع سقوف ثانوية </v>
      </c>
      <c r="I773" s="23"/>
      <c r="J773" s="23" t="s">
        <v>16</v>
      </c>
      <c r="K773" s="23" t="s">
        <v>13</v>
      </c>
      <c r="L773" s="32"/>
      <c r="M773" s="23"/>
    </row>
    <row r="774" spans="1:13" ht="75" customHeight="1" thickTop="1" thickBot="1">
      <c r="A774" s="23">
        <v>772</v>
      </c>
      <c r="B774" s="32">
        <f ca="1">IFERROR(__xludf.DUMMYFUNCTION("""COMPUTED_VALUE"""),46172.3317531365)</f>
        <v>46172.331753136503</v>
      </c>
      <c r="C774" s="33" t="str">
        <f ca="1">IFERROR(__xludf.DUMMYFUNCTION("""COMPUTED_VALUE"""),"المعملجي")</f>
        <v>المعملجي</v>
      </c>
      <c r="D774" s="33" t="str">
        <f ca="1">IFERROR(__xludf.DUMMYFUNCTION("""COMPUTED_VALUE"""),"وحدة المدني")</f>
        <v>وحدة المدني</v>
      </c>
      <c r="E774" s="23" t="str">
        <f ca="1">IFERROR(__xludf.DUMMYFUNCTION("""COMPUTED_VALUE"""),"قسم المشاريع الهندسية")</f>
        <v>قسم المشاريع الهندسية</v>
      </c>
      <c r="F774" s="23" t="str">
        <f ca="1">IFERROR(__xludf.DUMMYFUNCTION("""COMPUTED_VALUE"""),"E- ابتدائية العميد للبنات (الثالثة)")</f>
        <v>E- ابتدائية العميد للبنات (الثالثة)</v>
      </c>
      <c r="G774" s="23" t="str">
        <f ca="1">IFERROR(__xludf.DUMMYFUNCTION("""COMPUTED_VALUE"""),"الطابق الثاني")</f>
        <v>الطابق الثاني</v>
      </c>
      <c r="H774" s="23" t="str">
        <f ca="1">IFERROR(__xludf.DUMMYFUNCTION("""COMPUTED_VALUE"""),"صيانة مصعد حائط ")</f>
        <v xml:space="preserve">صيانة مصعد حائط </v>
      </c>
      <c r="I774" s="23"/>
      <c r="J774" s="23" t="s">
        <v>16</v>
      </c>
      <c r="K774" s="23" t="s">
        <v>13</v>
      </c>
      <c r="L774" s="32"/>
      <c r="M774" s="23"/>
    </row>
    <row r="775" spans="1:13" ht="75" customHeight="1" thickTop="1" thickBot="1">
      <c r="A775" s="25">
        <v>773</v>
      </c>
      <c r="B775" s="32">
        <f ca="1">IFERROR(__xludf.DUMMYFUNCTION("""COMPUTED_VALUE"""),46172.3814955324)</f>
        <v>46172.381495532398</v>
      </c>
      <c r="C775" s="33" t="str">
        <f ca="1">IFERROR(__xludf.DUMMYFUNCTION("""COMPUTED_VALUE"""),"المعملجي")</f>
        <v>المعملجي</v>
      </c>
      <c r="D775" s="33" t="str">
        <f ca="1">IFERROR(__xludf.DUMMYFUNCTION("""COMPUTED_VALUE"""),"ابو سجاد ")</f>
        <v xml:space="preserve">ابو سجاد </v>
      </c>
      <c r="E775" s="23" t="str">
        <f ca="1">IFERROR(__xludf.DUMMYFUNCTION("""COMPUTED_VALUE"""),"مجموعة العميد التربوية")</f>
        <v>مجموعة العميد التربوية</v>
      </c>
      <c r="F775" s="23" t="str">
        <f ca="1">IFERROR(__xludf.DUMMYFUNCTION("""COMPUTED_VALUE"""),"الصحيات مقابل البناية الاولى ")</f>
        <v xml:space="preserve">الصحيات مقابل البناية الاولى </v>
      </c>
      <c r="G775" s="23" t="str">
        <f ca="1">IFERROR(__xludf.DUMMYFUNCTION("""COMPUTED_VALUE"""),"الطابق الارضي")</f>
        <v>الطابق الارضي</v>
      </c>
      <c r="H775" s="23" t="str">
        <f ca="1">IFERROR(__xludf.DUMMYFUNCTION("""COMPUTED_VALUE"""),"تبديل يدة باب المنيوم ")</f>
        <v xml:space="preserve">تبديل يدة باب المنيوم </v>
      </c>
      <c r="I775" s="23"/>
      <c r="J775" s="23" t="s">
        <v>16</v>
      </c>
      <c r="K775" s="23" t="s">
        <v>13</v>
      </c>
      <c r="L775" s="32">
        <v>46172.41425775463</v>
      </c>
      <c r="M775" s="23"/>
    </row>
    <row r="776" spans="1:13" ht="75" customHeight="1" thickTop="1" thickBot="1">
      <c r="A776" s="23">
        <v>774</v>
      </c>
      <c r="B776" s="32">
        <f ca="1">IFERROR(__xludf.DUMMYFUNCTION("""COMPUTED_VALUE"""),46172.4344377314)</f>
        <v>46172.434437731397</v>
      </c>
      <c r="C776" s="33" t="str">
        <f ca="1">IFERROR(__xludf.DUMMYFUNCTION("""COMPUTED_VALUE"""),"المعملجي")</f>
        <v>المعملجي</v>
      </c>
      <c r="D776" s="33" t="str">
        <f ca="1">IFERROR(__xludf.DUMMYFUNCTION("""COMPUTED_VALUE"""),"ابو سجاد ")</f>
        <v xml:space="preserve">ابو سجاد </v>
      </c>
      <c r="E776" s="23" t="str">
        <f ca="1">IFERROR(__xludf.DUMMYFUNCTION("""COMPUTED_VALUE"""),"مجموعة العميد التربوية")</f>
        <v>مجموعة العميد التربوية</v>
      </c>
      <c r="F776" s="23" t="str">
        <f ca="1">IFERROR(__xludf.DUMMYFUNCTION("""COMPUTED_VALUE"""),"A- المركز الثقافي")</f>
        <v>A- المركز الثقافي</v>
      </c>
      <c r="G776" s="23" t="str">
        <f ca="1">IFERROR(__xludf.DUMMYFUNCTION("""COMPUTED_VALUE"""),"الطابق الارضي")</f>
        <v>الطابق الارضي</v>
      </c>
      <c r="H776" s="23" t="str">
        <f ca="1">IFERROR(__xludf.DUMMYFUNCTION("""COMPUTED_VALUE"""),"صيانة إطار لوحة تعرفية")</f>
        <v>صيانة إطار لوحة تعرفية</v>
      </c>
      <c r="I776" s="23"/>
      <c r="J776" s="23" t="s">
        <v>16</v>
      </c>
      <c r="K776" s="23" t="s">
        <v>13</v>
      </c>
      <c r="L776" s="32">
        <v>46172.528335740746</v>
      </c>
      <c r="M776" s="23"/>
    </row>
    <row r="777" spans="1:13" ht="75" customHeight="1" thickTop="1" thickBot="1">
      <c r="A777" s="25">
        <v>775</v>
      </c>
      <c r="B777" s="32">
        <f ca="1">IFERROR(__xludf.DUMMYFUNCTION("""COMPUTED_VALUE"""),46173.4120894907)</f>
        <v>46173.412089490703</v>
      </c>
      <c r="C777" s="33" t="str">
        <f ca="1">IFERROR(__xludf.DUMMYFUNCTION("""COMPUTED_VALUE"""),"المعملجي")</f>
        <v>المعملجي</v>
      </c>
      <c r="D777" s="33" t="str">
        <f ca="1">IFERROR(__xludf.DUMMYFUNCTION("""COMPUTED_VALUE"""),"ابو سجاد ")</f>
        <v xml:space="preserve">ابو سجاد </v>
      </c>
      <c r="E777" s="23" t="str">
        <f ca="1">IFERROR(__xludf.DUMMYFUNCTION("""COMPUTED_VALUE"""),"مجموعة العميد التربوية")</f>
        <v>مجموعة العميد التربوية</v>
      </c>
      <c r="F777" s="23" t="str">
        <f ca="1">IFERROR(__xludf.DUMMYFUNCTION("""COMPUTED_VALUE"""),"النافورة")</f>
        <v>النافورة</v>
      </c>
      <c r="G777" s="23" t="str">
        <f ca="1">IFERROR(__xludf.DUMMYFUNCTION("""COMPUTED_VALUE"""),"الطابق الارضي")</f>
        <v>الطابق الارضي</v>
      </c>
      <c r="H777" s="23" t="str">
        <f ca="1">IFERROR(__xludf.DUMMYFUNCTION("""COMPUTED_VALUE"""),"تثبيت كاربت الاستيج")</f>
        <v>تثبيت كاربت الاستيج</v>
      </c>
      <c r="I777" s="23"/>
      <c r="J777" s="23" t="s">
        <v>16</v>
      </c>
      <c r="K777" s="23" t="s">
        <v>13</v>
      </c>
      <c r="L777" s="32">
        <v>46173.412219895836</v>
      </c>
      <c r="M777" s="23"/>
    </row>
    <row r="778" spans="1:13" ht="75" customHeight="1" thickTop="1" thickBot="1">
      <c r="A778" s="23">
        <v>776</v>
      </c>
      <c r="B778" s="32">
        <f ca="1">IFERROR(__xludf.DUMMYFUNCTION("""COMPUTED_VALUE"""),46173.4126701388)</f>
        <v>46173.412670138801</v>
      </c>
      <c r="C778" s="33" t="str">
        <f ca="1">IFERROR(__xludf.DUMMYFUNCTION("""COMPUTED_VALUE"""),"المعملجي")</f>
        <v>المعملجي</v>
      </c>
      <c r="D778" s="33" t="str">
        <f ca="1">IFERROR(__xludf.DUMMYFUNCTION("""COMPUTED_VALUE"""),"ابو سجاد ")</f>
        <v xml:space="preserve">ابو سجاد </v>
      </c>
      <c r="E778" s="23" t="str">
        <f ca="1">IFERROR(__xludf.DUMMYFUNCTION("""COMPUTED_VALUE"""),"مجموعة العميد التربوية")</f>
        <v>مجموعة العميد التربوية</v>
      </c>
      <c r="F778" s="23" t="str">
        <f ca="1">IFERROR(__xludf.DUMMYFUNCTION("""COMPUTED_VALUE"""),"الشاشة الرئيسية ")</f>
        <v xml:space="preserve">الشاشة الرئيسية </v>
      </c>
      <c r="G778" s="23" t="str">
        <f ca="1">IFERROR(__xludf.DUMMYFUNCTION("""COMPUTED_VALUE"""),"الطابق الارضي")</f>
        <v>الطابق الارضي</v>
      </c>
      <c r="H778" s="23" t="str">
        <f ca="1">IFERROR(__xludf.DUMMYFUNCTION("""COMPUTED_VALUE"""),"صبغ إطار الشاشة الرئيسية ")</f>
        <v xml:space="preserve">صبغ إطار الشاشة الرئيسية </v>
      </c>
      <c r="I778" s="23"/>
      <c r="J778" s="23" t="s">
        <v>16</v>
      </c>
      <c r="K778" s="23" t="s">
        <v>13</v>
      </c>
      <c r="L778" s="32"/>
      <c r="M778" s="23"/>
    </row>
    <row r="779" spans="1:13" ht="75" customHeight="1" thickTop="1" thickBot="1">
      <c r="A779" s="25">
        <v>777</v>
      </c>
      <c r="B779" s="32">
        <f ca="1">IFERROR(__xludf.DUMMYFUNCTION("""COMPUTED_VALUE"""),46173.413436412)</f>
        <v>46173.413436411996</v>
      </c>
      <c r="C779" s="33" t="str">
        <f ca="1">IFERROR(__xludf.DUMMYFUNCTION("""COMPUTED_VALUE"""),"المعملجي")</f>
        <v>المعملجي</v>
      </c>
      <c r="D779" s="33" t="str">
        <f ca="1">IFERROR(__xludf.DUMMYFUNCTION("""COMPUTED_VALUE"""),"ابو سجاد ")</f>
        <v xml:space="preserve">ابو سجاد </v>
      </c>
      <c r="E779" s="23" t="str">
        <f ca="1">IFERROR(__xludf.DUMMYFUNCTION("""COMPUTED_VALUE"""),"مجموعة العميد التربوية")</f>
        <v>مجموعة العميد التربوية</v>
      </c>
      <c r="F779" s="23" t="str">
        <f ca="1">IFERROR(__xludf.DUMMYFUNCTION("""COMPUTED_VALUE"""),"النافورة")</f>
        <v>النافورة</v>
      </c>
      <c r="G779" s="23" t="str">
        <f ca="1">IFERROR(__xludf.DUMMYFUNCTION("""COMPUTED_VALUE"""),"الطابق الارضي")</f>
        <v>الطابق الارضي</v>
      </c>
      <c r="H779" s="23" t="str">
        <f ca="1">IFERROR(__xludf.DUMMYFUNCTION("""COMPUTED_VALUE"""),"تثبيت كاربت قواعد المحيطة بالنافورة ")</f>
        <v xml:space="preserve">تثبيت كاربت قواعد المحيطة بالنافورة </v>
      </c>
      <c r="I779" s="23"/>
      <c r="J779" s="23" t="s">
        <v>16</v>
      </c>
      <c r="K779" s="23" t="s">
        <v>13</v>
      </c>
      <c r="L779" s="32"/>
      <c r="M779" s="23"/>
    </row>
    <row r="780" spans="1:13" ht="75" customHeight="1" thickTop="1" thickBot="1">
      <c r="A780" s="23">
        <v>778</v>
      </c>
      <c r="B780" s="32">
        <f ca="1">IFERROR(__xludf.DUMMYFUNCTION("""COMPUTED_VALUE"""),46174.5008863773)</f>
        <v>46174.500886377296</v>
      </c>
      <c r="C780" s="33" t="str">
        <f ca="1">IFERROR(__xludf.DUMMYFUNCTION("""COMPUTED_VALUE"""),"المعملجي")</f>
        <v>المعملجي</v>
      </c>
      <c r="D780" s="33" t="str">
        <f ca="1">IFERROR(__xludf.DUMMYFUNCTION("""COMPUTED_VALUE"""),"ابراهيم الخطابي")</f>
        <v>ابراهيم الخطابي</v>
      </c>
      <c r="E780" s="23" t="str">
        <f ca="1">IFERROR(__xludf.DUMMYFUNCTION("""COMPUTED_VALUE"""),"مجموعة العميد التربوية")</f>
        <v>مجموعة العميد التربوية</v>
      </c>
      <c r="F780" s="23" t="str">
        <f ca="1">IFERROR(__xludf.DUMMYFUNCTION("""COMPUTED_VALUE"""),"النافورة")</f>
        <v>النافورة</v>
      </c>
      <c r="G780" s="23" t="str">
        <f ca="1">IFERROR(__xludf.DUMMYFUNCTION("""COMPUTED_VALUE"""),"الطابق الارضي")</f>
        <v>الطابق الارضي</v>
      </c>
      <c r="H780" s="23" t="str">
        <f ca="1">IFERROR(__xludf.DUMMYFUNCTION("""COMPUTED_VALUE"""),"غسل النافورة")</f>
        <v>غسل النافورة</v>
      </c>
      <c r="I780" s="23"/>
      <c r="J780" s="23" t="s">
        <v>16</v>
      </c>
      <c r="K780" s="23" t="s">
        <v>13</v>
      </c>
      <c r="L780" s="32"/>
      <c r="M780" s="23"/>
    </row>
    <row r="781" spans="1:13" ht="75" customHeight="1" thickTop="1" thickBot="1">
      <c r="A781" s="25">
        <v>779</v>
      </c>
      <c r="B781" s="32">
        <f ca="1">IFERROR(__xludf.DUMMYFUNCTION("""COMPUTED_VALUE"""),46174.5013326851)</f>
        <v>46174.501332685097</v>
      </c>
      <c r="C781" s="33" t="str">
        <f ca="1">IFERROR(__xludf.DUMMYFUNCTION("""COMPUTED_VALUE"""),"المعملجي")</f>
        <v>المعملجي</v>
      </c>
      <c r="D781" s="33" t="str">
        <f ca="1">IFERROR(__xludf.DUMMYFUNCTION("""COMPUTED_VALUE"""),"وحدة المدني")</f>
        <v>وحدة المدني</v>
      </c>
      <c r="E781" s="23" t="str">
        <f ca="1">IFERROR(__xludf.DUMMYFUNCTION("""COMPUTED_VALUE"""),"قسم المشاريع الهندسية")</f>
        <v>قسم المشاريع الهندسية</v>
      </c>
      <c r="F781" s="23" t="str">
        <f ca="1">IFERROR(__xludf.DUMMYFUNCTION("""COMPUTED_VALUE"""),"E- ابتدائية العميد للبنات (الثالثة)")</f>
        <v>E- ابتدائية العميد للبنات (الثالثة)</v>
      </c>
      <c r="G781" s="23" t="str">
        <f ca="1">IFERROR(__xludf.DUMMYFUNCTION("""COMPUTED_VALUE"""),"ZONE A, السطح")</f>
        <v>ZONE A, السطح</v>
      </c>
      <c r="H781" s="23" t="str">
        <f ca="1">IFERROR(__xludf.DUMMYFUNCTION("""COMPUTED_VALUE"""),"صب سيفونات عدد ٢")</f>
        <v>صب سيفونات عدد ٢</v>
      </c>
      <c r="I781" s="23"/>
      <c r="J781" s="23" t="s">
        <v>16</v>
      </c>
      <c r="K781" s="23" t="s">
        <v>13</v>
      </c>
      <c r="L781" s="32"/>
      <c r="M781" s="23"/>
    </row>
    <row r="782" spans="1:13" ht="75" customHeight="1" thickTop="1" thickBot="1">
      <c r="A782" s="23">
        <v>780</v>
      </c>
      <c r="B782" s="32">
        <f ca="1">IFERROR(__xludf.DUMMYFUNCTION("""COMPUTED_VALUE"""),46174.5026222222)</f>
        <v>46174.5026222222</v>
      </c>
      <c r="C782" s="33" t="str">
        <f ca="1">IFERROR(__xludf.DUMMYFUNCTION("""COMPUTED_VALUE"""),"المعملجي")</f>
        <v>المعملجي</v>
      </c>
      <c r="D782" s="33" t="str">
        <f ca="1">IFERROR(__xludf.DUMMYFUNCTION("""COMPUTED_VALUE"""),"ابو سجاد ")</f>
        <v xml:space="preserve">ابو سجاد </v>
      </c>
      <c r="E782" s="23" t="str">
        <f ca="1">IFERROR(__xludf.DUMMYFUNCTION("""COMPUTED_VALUE"""),"مجموعة العميد التربوية")</f>
        <v>مجموعة العميد التربوية</v>
      </c>
      <c r="F782" s="23" t="str">
        <f ca="1">IFERROR(__xludf.DUMMYFUNCTION("""COMPUTED_VALUE"""),"قرب النافورة")</f>
        <v>قرب النافورة</v>
      </c>
      <c r="G782" s="23" t="str">
        <f ca="1">IFERROR(__xludf.DUMMYFUNCTION("""COMPUTED_VALUE"""),"الطابق الارضي")</f>
        <v>الطابق الارضي</v>
      </c>
      <c r="H782" s="23" t="str">
        <f ca="1">IFERROR(__xludf.DUMMYFUNCTION("""COMPUTED_VALUE"""),"شد مبردات هواء")</f>
        <v>شد مبردات هواء</v>
      </c>
      <c r="I782" s="23"/>
      <c r="J782" s="23" t="s">
        <v>16</v>
      </c>
      <c r="K782" s="23" t="s">
        <v>13</v>
      </c>
      <c r="L782" s="32"/>
      <c r="M782" s="23"/>
    </row>
    <row r="783" spans="1:13" ht="75" customHeight="1" thickTop="1" thickBot="1">
      <c r="A783" s="25">
        <v>781</v>
      </c>
      <c r="B783" s="32">
        <f ca="1">IFERROR(__xludf.DUMMYFUNCTION("""COMPUTED_VALUE"""),46175.46200875)</f>
        <v>46175.462008750001</v>
      </c>
      <c r="C783" s="33" t="str">
        <f ca="1">IFERROR(__xludf.DUMMYFUNCTION("""COMPUTED_VALUE"""),"المعملجي")</f>
        <v>المعملجي</v>
      </c>
      <c r="D783" s="33" t="str">
        <f ca="1">IFERROR(__xludf.DUMMYFUNCTION("""COMPUTED_VALUE"""),"وحدة المدني")</f>
        <v>وحدة المدني</v>
      </c>
      <c r="E783" s="23" t="str">
        <f ca="1">IFERROR(__xludf.DUMMYFUNCTION("""COMPUTED_VALUE"""),"قسم المشاريع الهندسية")</f>
        <v>قسم المشاريع الهندسية</v>
      </c>
      <c r="F783" s="23" t="str">
        <f ca="1">IFERROR(__xludf.DUMMYFUNCTION("""COMPUTED_VALUE"""),"G- روضة الجود")</f>
        <v>G- روضة الجود</v>
      </c>
      <c r="G783" s="23" t="str">
        <f ca="1">IFERROR(__xludf.DUMMYFUNCTION("""COMPUTED_VALUE"""),"الطابق الثاني")</f>
        <v>الطابق الثاني</v>
      </c>
      <c r="H783" s="23" t="str">
        <f ca="1">IFERROR(__xludf.DUMMYFUNCTION("""COMPUTED_VALUE"""),"صيانة باب صحيات ")</f>
        <v xml:space="preserve">صيانة باب صحيات </v>
      </c>
      <c r="I783" s="23"/>
      <c r="J783" s="23" t="s">
        <v>16</v>
      </c>
      <c r="K783" s="23" t="s">
        <v>13</v>
      </c>
      <c r="L783" s="32"/>
      <c r="M783" s="23"/>
    </row>
    <row r="784" spans="1:13" ht="75" customHeight="1" thickTop="1" thickBot="1">
      <c r="A784" s="23">
        <v>782</v>
      </c>
      <c r="B784" s="32">
        <f ca="1">IFERROR(__xludf.DUMMYFUNCTION("""COMPUTED_VALUE"""),46175.4624487731)</f>
        <v>46175.462448773098</v>
      </c>
      <c r="C784" s="33" t="str">
        <f ca="1">IFERROR(__xludf.DUMMYFUNCTION("""COMPUTED_VALUE"""),"المعملجي")</f>
        <v>المعملجي</v>
      </c>
      <c r="D784" s="33" t="str">
        <f ca="1">IFERROR(__xludf.DUMMYFUNCTION("""COMPUTED_VALUE"""),"وحدة المدني")</f>
        <v>وحدة المدني</v>
      </c>
      <c r="E784" s="23" t="str">
        <f ca="1">IFERROR(__xludf.DUMMYFUNCTION("""COMPUTED_VALUE"""),"قسم المشاريع الهندسية")</f>
        <v>قسم المشاريع الهندسية</v>
      </c>
      <c r="F784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84" s="23" t="str">
        <f ca="1">IFERROR(__xludf.DUMMYFUNCTION("""COMPUTED_VALUE"""),"السطح")</f>
        <v>السطح</v>
      </c>
      <c r="H784" s="23" t="str">
        <f ca="1">IFERROR(__xludf.DUMMYFUNCTION("""COMPUTED_VALUE"""),"صب سيفونات عدد ٢")</f>
        <v>صب سيفونات عدد ٢</v>
      </c>
      <c r="I784" s="23"/>
      <c r="J784" s="23" t="s">
        <v>16</v>
      </c>
      <c r="K784" s="23" t="s">
        <v>13</v>
      </c>
      <c r="L784" s="32"/>
      <c r="M784" s="23"/>
    </row>
    <row r="785" spans="1:13" ht="75" customHeight="1" thickTop="1" thickBot="1">
      <c r="A785" s="25">
        <v>783</v>
      </c>
      <c r="B785" s="32">
        <f ca="1">IFERROR(__xludf.DUMMYFUNCTION("""COMPUTED_VALUE"""),46176.5627936458)</f>
        <v>46176.562793645797</v>
      </c>
      <c r="C785" s="33" t="str">
        <f ca="1">IFERROR(__xludf.DUMMYFUNCTION("""COMPUTED_VALUE"""),"المعملجي")</f>
        <v>المعملجي</v>
      </c>
      <c r="D785" s="33" t="str">
        <f ca="1">IFERROR(__xludf.DUMMYFUNCTION("""COMPUTED_VALUE"""),"ابو سجاد ")</f>
        <v xml:space="preserve">ابو سجاد </v>
      </c>
      <c r="E785" s="23" t="str">
        <f ca="1">IFERROR(__xludf.DUMMYFUNCTION("""COMPUTED_VALUE"""),"مجموعة العميد التربوية")</f>
        <v>مجموعة العميد التربوية</v>
      </c>
      <c r="F785" s="23" t="str">
        <f ca="1">IFERROR(__xludf.DUMMYFUNCTION("""COMPUTED_VALUE"""),"A- المركز الثقافي")</f>
        <v>A- المركز الثقافي</v>
      </c>
      <c r="G785" s="23" t="str">
        <f ca="1">IFERROR(__xludf.DUMMYFUNCTION("""COMPUTED_VALUE"""),"الطابق الثاني")</f>
        <v>الطابق الثاني</v>
      </c>
      <c r="H785" s="23" t="str">
        <f ca="1">IFERROR(__xludf.DUMMYFUNCTION("""COMPUTED_VALUE"""),"صيانة كاونتر ")</f>
        <v xml:space="preserve">صيانة كاونتر </v>
      </c>
      <c r="I785" s="23"/>
      <c r="J785" s="23" t="s">
        <v>16</v>
      </c>
      <c r="K785" s="23" t="s">
        <v>13</v>
      </c>
      <c r="L785" s="32">
        <v>46176.565424236112</v>
      </c>
      <c r="M785" s="23"/>
    </row>
    <row r="786" spans="1:13" ht="75" customHeight="1" thickTop="1" thickBot="1">
      <c r="A786" s="23">
        <v>784</v>
      </c>
      <c r="B786" s="32">
        <f ca="1">IFERROR(__xludf.DUMMYFUNCTION("""COMPUTED_VALUE"""),46176.5642971064)</f>
        <v>46176.564297106401</v>
      </c>
      <c r="C786" s="33" t="str">
        <f ca="1">IFERROR(__xludf.DUMMYFUNCTION("""COMPUTED_VALUE"""),"المعملجي")</f>
        <v>المعملجي</v>
      </c>
      <c r="D786" s="33" t="str">
        <f ca="1">IFERROR(__xludf.DUMMYFUNCTION("""COMPUTED_VALUE"""),"ابو سجاد ")</f>
        <v xml:space="preserve">ابو سجاد </v>
      </c>
      <c r="E786" s="23" t="str">
        <f ca="1">IFERROR(__xludf.DUMMYFUNCTION("""COMPUTED_VALUE"""),"مجموعة العميد التربوية")</f>
        <v>مجموعة العميد التربوية</v>
      </c>
      <c r="F786" s="23" t="str">
        <f ca="1">IFERROR(__xludf.DUMMYFUNCTION("""COMPUTED_VALUE"""),"E- ابتدائية العميد للبنات (الثالثة)")</f>
        <v>E- ابتدائية العميد للبنات (الثالثة)</v>
      </c>
      <c r="G786" s="23" t="str">
        <f ca="1">IFERROR(__xludf.DUMMYFUNCTION("""COMPUTED_VALUE"""),"الطابق الاول, ZONE B")</f>
        <v>الطابق الاول, ZONE B</v>
      </c>
      <c r="H786" s="23" t="str">
        <f ca="1">IFERROR(__xludf.DUMMYFUNCTION("""COMPUTED_VALUE"""),"صيانة إطار الشاشة ")</f>
        <v xml:space="preserve">صيانة إطار الشاشة </v>
      </c>
      <c r="I786" s="23"/>
      <c r="J786" s="23" t="s">
        <v>16</v>
      </c>
      <c r="K786" s="23" t="s">
        <v>13</v>
      </c>
      <c r="L786" s="32">
        <v>46176.585892384261</v>
      </c>
      <c r="M786" s="23"/>
    </row>
    <row r="787" spans="1:13" ht="75" customHeight="1" thickTop="1" thickBot="1">
      <c r="A787" s="25">
        <v>785</v>
      </c>
      <c r="B787" s="32">
        <f ca="1">IFERROR(__xludf.DUMMYFUNCTION("""COMPUTED_VALUE"""),46176.5654019212)</f>
        <v>46176.565401921202</v>
      </c>
      <c r="C787" s="33" t="str">
        <f ca="1">IFERROR(__xludf.DUMMYFUNCTION("""COMPUTED_VALUE"""),"المعملجي")</f>
        <v>المعملجي</v>
      </c>
      <c r="D787" s="33" t="str">
        <f ca="1">IFERROR(__xludf.DUMMYFUNCTION("""COMPUTED_VALUE"""),"ابو سجاد ")</f>
        <v xml:space="preserve">ابو سجاد </v>
      </c>
      <c r="E787" s="23" t="str">
        <f ca="1">IFERROR(__xludf.DUMMYFUNCTION("""COMPUTED_VALUE"""),"مجموعة العميد التربوية")</f>
        <v>مجموعة العميد التربوية</v>
      </c>
      <c r="F787" s="23" t="str">
        <f ca="1">IFERROR(__xludf.DUMMYFUNCTION("""COMPUTED_VALUE"""),"A- المركز الثقافي")</f>
        <v>A- المركز الثقافي</v>
      </c>
      <c r="G787" s="23" t="str">
        <f ca="1">IFERROR(__xludf.DUMMYFUNCTION("""COMPUTED_VALUE"""),"الطابق الارضي")</f>
        <v>الطابق الارضي</v>
      </c>
      <c r="H787" s="23" t="str">
        <f ca="1">IFERROR(__xludf.DUMMYFUNCTION("""COMPUTED_VALUE"""),"صيانة باب المنيوم ")</f>
        <v xml:space="preserve">صيانة باب المنيوم </v>
      </c>
      <c r="I787" s="23"/>
      <c r="J787" s="23" t="s">
        <v>16</v>
      </c>
      <c r="K787" s="23" t="s">
        <v>13</v>
      </c>
      <c r="L787" s="32">
        <v>46176.565505682869</v>
      </c>
      <c r="M787" s="23"/>
    </row>
    <row r="788" spans="1:13" ht="75" customHeight="1" thickTop="1" thickBot="1">
      <c r="A788" s="23">
        <v>786</v>
      </c>
      <c r="B788" s="32">
        <f ca="1">IFERROR(__xludf.DUMMYFUNCTION("""COMPUTED_VALUE"""),46179.4342257754)</f>
        <v>46179.434225775403</v>
      </c>
      <c r="C788" s="33" t="str">
        <f ca="1">IFERROR(__xludf.DUMMYFUNCTION("""COMPUTED_VALUE"""),"المعملجي")</f>
        <v>المعملجي</v>
      </c>
      <c r="D788" s="33" t="str">
        <f ca="1">IFERROR(__xludf.DUMMYFUNCTION("""COMPUTED_VALUE"""),"ابو سجاد ")</f>
        <v xml:space="preserve">ابو سجاد </v>
      </c>
      <c r="E788" s="23" t="str">
        <f ca="1">IFERROR(__xludf.DUMMYFUNCTION("""COMPUTED_VALUE"""),"مجموعة العميد التربوية")</f>
        <v>مجموعة العميد التربوية</v>
      </c>
      <c r="F788" s="23" t="str">
        <f ca="1">IFERROR(__xludf.DUMMYFUNCTION("""COMPUTED_VALUE"""),"A- المركز الثقافي")</f>
        <v>A- المركز الثقافي</v>
      </c>
      <c r="G788" s="23" t="str">
        <f ca="1">IFERROR(__xludf.DUMMYFUNCTION("""COMPUTED_VALUE"""),"الطابق الارضي")</f>
        <v>الطابق الارضي</v>
      </c>
      <c r="H788" s="23" t="str">
        <f ca="1">IFERROR(__xludf.DUMMYFUNCTION("""COMPUTED_VALUE"""),"صيانة باب المنيوم ")</f>
        <v xml:space="preserve">صيانة باب المنيوم </v>
      </c>
      <c r="I788" s="23"/>
      <c r="J788" s="23" t="s">
        <v>16</v>
      </c>
      <c r="K788" s="23" t="s">
        <v>13</v>
      </c>
      <c r="L788" s="32"/>
      <c r="M788" s="23"/>
    </row>
    <row r="789" spans="1:13" ht="75" customHeight="1" thickTop="1" thickBot="1">
      <c r="A789" s="25">
        <v>787</v>
      </c>
      <c r="B789" s="32">
        <f ca="1">IFERROR(__xludf.DUMMYFUNCTION("""COMPUTED_VALUE"""),46179.4347918865)</f>
        <v>46179.434791886502</v>
      </c>
      <c r="C789" s="33" t="str">
        <f ca="1">IFERROR(__xludf.DUMMYFUNCTION("""COMPUTED_VALUE"""),"المعملجي")</f>
        <v>المعملجي</v>
      </c>
      <c r="D789" s="33" t="str">
        <f ca="1">IFERROR(__xludf.DUMMYFUNCTION("""COMPUTED_VALUE"""),"ابو سجاد ")</f>
        <v xml:space="preserve">ابو سجاد </v>
      </c>
      <c r="E789" s="23" t="str">
        <f ca="1">IFERROR(__xludf.DUMMYFUNCTION("""COMPUTED_VALUE"""),"مجموعة العميد التربوية")</f>
        <v>مجموعة العميد التربوية</v>
      </c>
      <c r="F789" s="23" t="str">
        <f ca="1">IFERROR(__xludf.DUMMYFUNCTION("""COMPUTED_VALUE"""),"A- المركز الثقافي")</f>
        <v>A- المركز الثقافي</v>
      </c>
      <c r="G789" s="23" t="str">
        <f ca="1">IFERROR(__xludf.DUMMYFUNCTION("""COMPUTED_VALUE"""),"الطابق الثاني")</f>
        <v>الطابق الثاني</v>
      </c>
      <c r="H789" s="23" t="str">
        <f ca="1">IFERROR(__xludf.DUMMYFUNCTION("""COMPUTED_VALUE"""),"صيانة كاونتر")</f>
        <v>صيانة كاونتر</v>
      </c>
      <c r="I789" s="23"/>
      <c r="J789" s="23" t="s">
        <v>16</v>
      </c>
      <c r="K789" s="23" t="s">
        <v>13</v>
      </c>
      <c r="L789" s="32"/>
      <c r="M789" s="23"/>
    </row>
    <row r="790" spans="1:13" ht="75" customHeight="1" thickTop="1" thickBot="1">
      <c r="A790" s="23">
        <v>788</v>
      </c>
      <c r="B790" s="32">
        <f ca="1">IFERROR(__xludf.DUMMYFUNCTION("""COMPUTED_VALUE"""),46179.4357466435)</f>
        <v>46179.435746643503</v>
      </c>
      <c r="C790" s="33" t="str">
        <f ca="1">IFERROR(__xludf.DUMMYFUNCTION("""COMPUTED_VALUE"""),"المعملجي")</f>
        <v>المعملجي</v>
      </c>
      <c r="D790" s="33" t="str">
        <f ca="1">IFERROR(__xludf.DUMMYFUNCTION("""COMPUTED_VALUE"""),"ابو سجاد ")</f>
        <v xml:space="preserve">ابو سجاد </v>
      </c>
      <c r="E790" s="23" t="str">
        <f ca="1">IFERROR(__xludf.DUMMYFUNCTION("""COMPUTED_VALUE"""),"مجموعة العميد التربوية")</f>
        <v>مجموعة العميد التربوية</v>
      </c>
      <c r="F790" s="23" t="str">
        <f ca="1">IFERROR(__xludf.DUMMYFUNCTION("""COMPUTED_VALUE"""),"النافورة")</f>
        <v>النافورة</v>
      </c>
      <c r="G790" s="23" t="str">
        <f ca="1">IFERROR(__xludf.DUMMYFUNCTION("""COMPUTED_VALUE"""),"الطابق الارضي")</f>
        <v>الطابق الارضي</v>
      </c>
      <c r="H790" s="23" t="str">
        <f ca="1">IFERROR(__xludf.DUMMYFUNCTION("""COMPUTED_VALUE"""),"قرب النافورة صيانة رجل قنفة عدد 2 ")</f>
        <v xml:space="preserve">قرب النافورة صيانة رجل قنفة عدد 2 </v>
      </c>
      <c r="I790" s="23"/>
      <c r="J790" s="23" t="s">
        <v>16</v>
      </c>
      <c r="K790" s="23" t="s">
        <v>13</v>
      </c>
      <c r="L790" s="32"/>
      <c r="M790" s="23"/>
    </row>
    <row r="791" spans="1:13" ht="75" customHeight="1" thickTop="1" thickBot="1">
      <c r="A791" s="25">
        <v>789</v>
      </c>
      <c r="B791" s="32">
        <f ca="1">IFERROR(__xludf.DUMMYFUNCTION("""COMPUTED_VALUE"""),46179.4361918518)</f>
        <v>46179.436191851797</v>
      </c>
      <c r="C791" s="33" t="str">
        <f ca="1">IFERROR(__xludf.DUMMYFUNCTION("""COMPUTED_VALUE"""),"المعملجي")</f>
        <v>المعملجي</v>
      </c>
      <c r="D791" s="33" t="str">
        <f ca="1">IFERROR(__xludf.DUMMYFUNCTION("""COMPUTED_VALUE"""),"ابو سجاد ")</f>
        <v xml:space="preserve">ابو سجاد </v>
      </c>
      <c r="E791" s="23" t="str">
        <f ca="1">IFERROR(__xludf.DUMMYFUNCTION("""COMPUTED_VALUE"""),"مجموعة العميد التربوية")</f>
        <v>مجموعة العميد التربوية</v>
      </c>
      <c r="F791" s="23" t="str">
        <f ca="1">IFERROR(__xludf.DUMMYFUNCTION("""COMPUTED_VALUE"""),"النافورة")</f>
        <v>النافورة</v>
      </c>
      <c r="G791" s="23" t="str">
        <f ca="1">IFERROR(__xludf.DUMMYFUNCTION("""COMPUTED_VALUE"""),"الطابق الارضي")</f>
        <v>الطابق الارضي</v>
      </c>
      <c r="H791" s="23" t="str">
        <f ca="1">IFERROR(__xludf.DUMMYFUNCTION("""COMPUTED_VALUE"""),"قرب النافورة شد مبردات")</f>
        <v>قرب النافورة شد مبردات</v>
      </c>
      <c r="I791" s="23"/>
      <c r="J791" s="23" t="s">
        <v>16</v>
      </c>
      <c r="K791" s="23" t="s">
        <v>13</v>
      </c>
      <c r="L791" s="32"/>
      <c r="M791" s="23"/>
    </row>
    <row r="792" spans="1:13" ht="75" customHeight="1" thickTop="1" thickBot="1">
      <c r="A792" s="23">
        <v>790</v>
      </c>
      <c r="B792" s="32">
        <f ca="1">IFERROR(__xludf.DUMMYFUNCTION("""COMPUTED_VALUE"""),46180.319557118)</f>
        <v>46180.319557117997</v>
      </c>
      <c r="C792" s="33" t="str">
        <f ca="1">IFERROR(__xludf.DUMMYFUNCTION("""COMPUTED_VALUE"""),"المعملجي")</f>
        <v>المعملجي</v>
      </c>
      <c r="D792" s="33" t="str">
        <f ca="1">IFERROR(__xludf.DUMMYFUNCTION("""COMPUTED_VALUE"""),"ابو سجاد ")</f>
        <v xml:space="preserve">ابو سجاد </v>
      </c>
      <c r="E792" s="23" t="str">
        <f ca="1">IFERROR(__xludf.DUMMYFUNCTION("""COMPUTED_VALUE"""),"مجموعة العميد التربوية")</f>
        <v>مجموعة العميد التربوية</v>
      </c>
      <c r="F792" s="23" t="str">
        <f ca="1">IFERROR(__xludf.DUMMYFUNCTION("""COMPUTED_VALUE"""),"A- المركز الثقافي")</f>
        <v>A- المركز الثقافي</v>
      </c>
      <c r="G792" s="23" t="str">
        <f ca="1">IFERROR(__xludf.DUMMYFUNCTION("""COMPUTED_VALUE"""),"الطابق الثاني")</f>
        <v>الطابق الثاني</v>
      </c>
      <c r="H792" s="23" t="str">
        <f ca="1">IFERROR(__xludf.DUMMYFUNCTION("""COMPUTED_VALUE"""),"ارجاع سقوف ثانوية ")</f>
        <v xml:space="preserve">ارجاع سقوف ثانوية </v>
      </c>
      <c r="I792" s="23"/>
      <c r="J792" s="23" t="s">
        <v>16</v>
      </c>
      <c r="K792" s="23" t="s">
        <v>13</v>
      </c>
      <c r="L792" s="32">
        <v>46180.389733009259</v>
      </c>
      <c r="M792" s="23"/>
    </row>
    <row r="793" spans="1:13" ht="75" customHeight="1" thickTop="1" thickBot="1">
      <c r="A793" s="25">
        <v>791</v>
      </c>
      <c r="B793" s="32">
        <f ca="1">IFERROR(__xludf.DUMMYFUNCTION("""COMPUTED_VALUE"""),46180.319941331)</f>
        <v>46180.319941330999</v>
      </c>
      <c r="C793" s="33" t="str">
        <f ca="1">IFERROR(__xludf.DUMMYFUNCTION("""COMPUTED_VALUE"""),"المعملجي")</f>
        <v>المعملجي</v>
      </c>
      <c r="D793" s="33" t="str">
        <f ca="1">IFERROR(__xludf.DUMMYFUNCTION("""COMPUTED_VALUE"""),"ابو سجاد ")</f>
        <v xml:space="preserve">ابو سجاد </v>
      </c>
      <c r="E793" s="23" t="str">
        <f ca="1">IFERROR(__xludf.DUMMYFUNCTION("""COMPUTED_VALUE"""),"مجموعة العميد التربوية")</f>
        <v>مجموعة العميد التربوية</v>
      </c>
      <c r="F793" s="23" t="str">
        <f ca="1">IFERROR(__xludf.DUMMYFUNCTION("""COMPUTED_VALUE"""),"A- المركز الثقافي")</f>
        <v>A- المركز الثقافي</v>
      </c>
      <c r="G793" s="23" t="str">
        <f ca="1">IFERROR(__xludf.DUMMYFUNCTION("""COMPUTED_VALUE"""),"الطابق الاول")</f>
        <v>الطابق الاول</v>
      </c>
      <c r="H793" s="23" t="str">
        <f ca="1">IFERROR(__xludf.DUMMYFUNCTION("""COMPUTED_VALUE"""),"صيانة كرسي ")</f>
        <v xml:space="preserve">صيانة كرسي </v>
      </c>
      <c r="I793" s="23"/>
      <c r="J793" s="23" t="s">
        <v>16</v>
      </c>
      <c r="K793" s="23" t="s">
        <v>13</v>
      </c>
      <c r="L793" s="32">
        <v>46180.390395486116</v>
      </c>
      <c r="M793" s="23"/>
    </row>
    <row r="794" spans="1:13" ht="75" customHeight="1" thickTop="1" thickBot="1">
      <c r="A794" s="23">
        <v>792</v>
      </c>
      <c r="B794" s="32">
        <f ca="1">IFERROR(__xludf.DUMMYFUNCTION("""COMPUTED_VALUE"""),46180.3204823958)</f>
        <v>46180.3204823958</v>
      </c>
      <c r="C794" s="33" t="str">
        <f ca="1">IFERROR(__xludf.DUMMYFUNCTION("""COMPUTED_VALUE"""),"المعملجي")</f>
        <v>المعملجي</v>
      </c>
      <c r="D794" s="33" t="str">
        <f ca="1">IFERROR(__xludf.DUMMYFUNCTION("""COMPUTED_VALUE"""),"ابو سجاد ")</f>
        <v xml:space="preserve">ابو سجاد </v>
      </c>
      <c r="E794" s="23" t="str">
        <f ca="1">IFERROR(__xludf.DUMMYFUNCTION("""COMPUTED_VALUE"""),"مجموعة العميد التربوية")</f>
        <v>مجموعة العميد التربوية</v>
      </c>
      <c r="F794" s="23" t="str">
        <f ca="1">IFERROR(__xludf.DUMMYFUNCTION("""COMPUTED_VALUE"""),"النافورة")</f>
        <v>النافورة</v>
      </c>
      <c r="G794" s="23" t="str">
        <f ca="1">IFERROR(__xludf.DUMMYFUNCTION("""COMPUTED_VALUE"""),"الطابق الارضي")</f>
        <v>الطابق الارضي</v>
      </c>
      <c r="H794" s="23" t="str">
        <f ca="1">IFERROR(__xludf.DUMMYFUNCTION("""COMPUTED_VALUE"""),"فتح مبردات")</f>
        <v>فتح مبردات</v>
      </c>
      <c r="I794" s="23"/>
      <c r="J794" s="23" t="s">
        <v>16</v>
      </c>
      <c r="K794" s="23" t="s">
        <v>13</v>
      </c>
      <c r="L794" s="32">
        <v>46180.390473101856</v>
      </c>
      <c r="M794" s="23"/>
    </row>
    <row r="795" spans="1:13" ht="75" customHeight="1" thickTop="1" thickBot="1">
      <c r="A795" s="25">
        <v>793</v>
      </c>
      <c r="B795" s="32">
        <f ca="1">IFERROR(__xludf.DUMMYFUNCTION("""COMPUTED_VALUE"""),46180.3227274421)</f>
        <v>46180.322727442101</v>
      </c>
      <c r="C795" s="33" t="str">
        <f ca="1">IFERROR(__xludf.DUMMYFUNCTION("""COMPUTED_VALUE"""),"المعملجي")</f>
        <v>المعملجي</v>
      </c>
      <c r="D795" s="33" t="str">
        <f ca="1">IFERROR(__xludf.DUMMYFUNCTION("""COMPUTED_VALUE"""),"ابراهيم الخطابي")</f>
        <v>ابراهيم الخطابي</v>
      </c>
      <c r="E795" s="23" t="str">
        <f ca="1">IFERROR(__xludf.DUMMYFUNCTION("""COMPUTED_VALUE"""),"مجموعة العميد التربوية")</f>
        <v>مجموعة العميد التربوية</v>
      </c>
      <c r="F795" s="23" t="str">
        <f ca="1">IFERROR(__xludf.DUMMYFUNCTION("""COMPUTED_VALUE"""),"A- المركز الثقافي")</f>
        <v>A- المركز الثقافي</v>
      </c>
      <c r="G795" s="23" t="str">
        <f ca="1">IFERROR(__xludf.DUMMYFUNCTION("""COMPUTED_VALUE"""),"الطابق الاول, الطابق الثاني")</f>
        <v>الطابق الاول, الطابق الثاني</v>
      </c>
      <c r="H795" s="23" t="str">
        <f ca="1">IFERROR(__xludf.DUMMYFUNCTION("""COMPUTED_VALUE"""),"ارجاع القطع سقوف الثانوية الى وضعها")</f>
        <v>ارجاع القطع سقوف الثانوية الى وضعها</v>
      </c>
      <c r="I795" s="23"/>
      <c r="J795" s="23" t="s">
        <v>16</v>
      </c>
      <c r="K795" s="23" t="s">
        <v>13</v>
      </c>
      <c r="L795" s="32">
        <v>46180.390499039349</v>
      </c>
      <c r="M795" s="23"/>
    </row>
    <row r="796" spans="1:13" ht="75" customHeight="1" thickTop="1" thickBot="1">
      <c r="A796" s="23">
        <v>794</v>
      </c>
      <c r="B796" s="32">
        <f ca="1">IFERROR(__xludf.DUMMYFUNCTION("""COMPUTED_VALUE"""),46180.3482503703)</f>
        <v>46180.348250370298</v>
      </c>
      <c r="C796" s="33" t="str">
        <f ca="1">IFERROR(__xludf.DUMMYFUNCTION("""COMPUTED_VALUE"""),"المعملجي")</f>
        <v>المعملجي</v>
      </c>
      <c r="D796" s="33" t="str">
        <f ca="1">IFERROR(__xludf.DUMMYFUNCTION("""COMPUTED_VALUE"""),"ابو سجاد ")</f>
        <v xml:space="preserve">ابو سجاد </v>
      </c>
      <c r="E796" s="23" t="str">
        <f ca="1">IFERROR(__xludf.DUMMYFUNCTION("""COMPUTED_VALUE"""),"مجموعة العميد التربوية")</f>
        <v>مجموعة العميد التربوية</v>
      </c>
      <c r="F796" s="23" t="str">
        <f ca="1">IFERROR(__xludf.DUMMYFUNCTION("""COMPUTED_VALUE"""),"A- المركز الثقافي")</f>
        <v>A- المركز الثقافي</v>
      </c>
      <c r="G796" s="23" t="str">
        <f ca="1">IFERROR(__xludf.DUMMYFUNCTION("""COMPUTED_VALUE"""),"الطابق الارضي")</f>
        <v>الطابق الارضي</v>
      </c>
      <c r="H796" s="23" t="str">
        <f ca="1">IFERROR(__xludf.DUMMYFUNCTION("""COMPUTED_VALUE"""),"صيانة باب كاونتر ")</f>
        <v xml:space="preserve">صيانة باب كاونتر </v>
      </c>
      <c r="I796" s="23"/>
      <c r="J796" s="23" t="s">
        <v>16</v>
      </c>
      <c r="K796" s="23" t="s">
        <v>13</v>
      </c>
      <c r="L796" s="32">
        <v>46180.390530092591</v>
      </c>
      <c r="M796" s="23"/>
    </row>
    <row r="797" spans="1:13" ht="75" customHeight="1" thickTop="1" thickBot="1">
      <c r="A797" s="25">
        <v>795</v>
      </c>
      <c r="B797" s="32">
        <f ca="1">IFERROR(__xludf.DUMMYFUNCTION("""COMPUTED_VALUE"""),46180.3501273611)</f>
        <v>46180.350127361096</v>
      </c>
      <c r="C797" s="33" t="str">
        <f ca="1">IFERROR(__xludf.DUMMYFUNCTION("""COMPUTED_VALUE"""),"المعملجي")</f>
        <v>المعملجي</v>
      </c>
      <c r="D797" s="33" t="str">
        <f ca="1">IFERROR(__xludf.DUMMYFUNCTION("""COMPUTED_VALUE"""),"وحدة المدني")</f>
        <v>وحدة المدني</v>
      </c>
      <c r="E797" s="23" t="str">
        <f ca="1">IFERROR(__xludf.DUMMYFUNCTION("""COMPUTED_VALUE"""),"قسم المشاريع الهندسية")</f>
        <v>قسم المشاريع الهندسية</v>
      </c>
      <c r="F797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97" s="23" t="str">
        <f ca="1">IFERROR(__xludf.DUMMYFUNCTION("""COMPUTED_VALUE"""),"الطابق الاول")</f>
        <v>الطابق الاول</v>
      </c>
      <c r="H797" s="23" t="str">
        <f ca="1">IFERROR(__xludf.DUMMYFUNCTION("""COMPUTED_VALUE"""),"صيانة باب خشب عدد 2 ")</f>
        <v xml:space="preserve">صيانة باب خشب عدد 2 </v>
      </c>
      <c r="I797" s="23"/>
      <c r="J797" s="23" t="s">
        <v>16</v>
      </c>
      <c r="K797" s="23" t="s">
        <v>13</v>
      </c>
      <c r="L797" s="32">
        <v>46180.390553391204</v>
      </c>
      <c r="M797" s="23"/>
    </row>
    <row r="798" spans="1:13" ht="75" customHeight="1" thickTop="1" thickBot="1">
      <c r="A798" s="23">
        <v>796</v>
      </c>
      <c r="B798" s="32">
        <f ca="1">IFERROR(__xludf.DUMMYFUNCTION("""COMPUTED_VALUE"""),46180.3505718402)</f>
        <v>46180.350571840201</v>
      </c>
      <c r="C798" s="33" t="str">
        <f ca="1">IFERROR(__xludf.DUMMYFUNCTION("""COMPUTED_VALUE"""),"المعملجي")</f>
        <v>المعملجي</v>
      </c>
      <c r="D798" s="33" t="str">
        <f ca="1">IFERROR(__xludf.DUMMYFUNCTION("""COMPUTED_VALUE"""),"وحدة المدني")</f>
        <v>وحدة المدني</v>
      </c>
      <c r="E798" s="23" t="str">
        <f ca="1">IFERROR(__xludf.DUMMYFUNCTION("""COMPUTED_VALUE"""),"قسم المشاريع الهندسية")</f>
        <v>قسم المشاريع الهندسية</v>
      </c>
      <c r="F79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98" s="23" t="str">
        <f ca="1">IFERROR(__xludf.DUMMYFUNCTION("""COMPUTED_VALUE"""),"الطابق الاول")</f>
        <v>الطابق الاول</v>
      </c>
      <c r="H798" s="23" t="str">
        <f ca="1">IFERROR(__xludf.DUMMYFUNCTION("""COMPUTED_VALUE"""),"صيانة باب المنيوم عدد 2 ")</f>
        <v xml:space="preserve">صيانة باب المنيوم عدد 2 </v>
      </c>
      <c r="I798" s="23"/>
      <c r="J798" s="23" t="s">
        <v>16</v>
      </c>
      <c r="K798" s="23" t="s">
        <v>13</v>
      </c>
      <c r="L798" s="32">
        <v>46180.39056777778</v>
      </c>
      <c r="M798" s="23"/>
    </row>
    <row r="799" spans="1:13" ht="75" customHeight="1" thickTop="1" thickBot="1">
      <c r="A799" s="25">
        <v>797</v>
      </c>
      <c r="B799" s="32">
        <f ca="1">IFERROR(__xludf.DUMMYFUNCTION("""COMPUTED_VALUE"""),46180.3508241666)</f>
        <v>46180.350824166599</v>
      </c>
      <c r="C799" s="33" t="str">
        <f ca="1">IFERROR(__xludf.DUMMYFUNCTION("""COMPUTED_VALUE"""),"المعملجي")</f>
        <v>المعملجي</v>
      </c>
      <c r="D799" s="33" t="str">
        <f ca="1">IFERROR(__xludf.DUMMYFUNCTION("""COMPUTED_VALUE"""),"وحدة المدني")</f>
        <v>وحدة المدني</v>
      </c>
      <c r="E799" s="23" t="str">
        <f ca="1">IFERROR(__xludf.DUMMYFUNCTION("""COMPUTED_VALUE"""),"قسم المشاريع الهندسية")</f>
        <v>قسم المشاريع الهندسية</v>
      </c>
      <c r="F799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799" s="23" t="str">
        <f ca="1">IFERROR(__xludf.DUMMYFUNCTION("""COMPUTED_VALUE"""),"الطابق الثاني")</f>
        <v>الطابق الثاني</v>
      </c>
      <c r="H799" s="23" t="str">
        <f ca="1">IFERROR(__xludf.DUMMYFUNCTION("""COMPUTED_VALUE"""),"صيانة باب المنيوم عدد 2 ")</f>
        <v xml:space="preserve">صيانة باب المنيوم عدد 2 </v>
      </c>
      <c r="I799" s="23"/>
      <c r="J799" s="23" t="s">
        <v>16</v>
      </c>
      <c r="K799" s="23" t="s">
        <v>13</v>
      </c>
      <c r="L799" s="32">
        <v>46180.390590416668</v>
      </c>
      <c r="M799" s="23"/>
    </row>
    <row r="800" spans="1:13" ht="75" customHeight="1" thickTop="1" thickBot="1">
      <c r="A800" s="23">
        <v>798</v>
      </c>
      <c r="B800" s="32">
        <f ca="1">IFERROR(__xludf.DUMMYFUNCTION("""COMPUTED_VALUE"""),46180.3537991087)</f>
        <v>46180.3537991087</v>
      </c>
      <c r="C800" s="33" t="str">
        <f ca="1">IFERROR(__xludf.DUMMYFUNCTION("""COMPUTED_VALUE"""),"المعملجي")</f>
        <v>المعملجي</v>
      </c>
      <c r="D800" s="33" t="str">
        <f ca="1">IFERROR(__xludf.DUMMYFUNCTION("""COMPUTED_VALUE"""),"وحدة المدني")</f>
        <v>وحدة المدني</v>
      </c>
      <c r="E800" s="23" t="str">
        <f ca="1">IFERROR(__xludf.DUMMYFUNCTION("""COMPUTED_VALUE"""),"قسم المشاريع الهندسية")</f>
        <v>قسم المشاريع الهندسية</v>
      </c>
      <c r="F800" s="23" t="str">
        <f ca="1">IFERROR(__xludf.DUMMYFUNCTION("""COMPUTED_VALUE"""),"D- ثانوية العميد بناية المتوسطة  (الثانية), H- ابتدائية القمر للبنات (الخامسة)")</f>
        <v>D- ثانوية العميد بناية المتوسطة  (الثانية), H- ابتدائية القمر للبنات (الخامسة)</v>
      </c>
      <c r="G800" s="23" t="str">
        <f ca="1">IFERROR(__xludf.DUMMYFUNCTION("""COMPUTED_VALUE"""),"السطح")</f>
        <v>السطح</v>
      </c>
      <c r="H800" s="23" t="str">
        <f ca="1">IFERROR(__xludf.DUMMYFUNCTION("""COMPUTED_VALUE"""),"تنزيل الانقاذ")</f>
        <v>تنزيل الانقاذ</v>
      </c>
      <c r="I800" s="23"/>
      <c r="J800" s="23" t="s">
        <v>16</v>
      </c>
      <c r="K800" s="23" t="s">
        <v>13</v>
      </c>
      <c r="L800" s="32">
        <v>46180.3906240625</v>
      </c>
      <c r="M800" s="23"/>
    </row>
    <row r="801" spans="1:13" ht="75" customHeight="1" thickTop="1" thickBot="1">
      <c r="A801" s="25">
        <v>799</v>
      </c>
      <c r="B801" s="32">
        <f ca="1">IFERROR(__xludf.DUMMYFUNCTION("""COMPUTED_VALUE"""),46181.5172548726)</f>
        <v>46181.517254872597</v>
      </c>
      <c r="C801" s="33" t="str">
        <f ca="1">IFERROR(__xludf.DUMMYFUNCTION("""COMPUTED_VALUE"""),"المعملجي")</f>
        <v>المعملجي</v>
      </c>
      <c r="D801" s="33" t="str">
        <f ca="1">IFERROR(__xludf.DUMMYFUNCTION("""COMPUTED_VALUE"""),"ابو سجاد ")</f>
        <v xml:space="preserve">ابو سجاد </v>
      </c>
      <c r="E801" s="23" t="str">
        <f ca="1">IFERROR(__xludf.DUMMYFUNCTION("""COMPUTED_VALUE"""),"مجموعة العميد التربوية")</f>
        <v>مجموعة العميد التربوية</v>
      </c>
      <c r="F801" s="23" t="str">
        <f ca="1">IFERROR(__xludf.DUMMYFUNCTION("""COMPUTED_VALUE"""),"G- روضة الجود")</f>
        <v>G- روضة الجود</v>
      </c>
      <c r="G801" s="23" t="str">
        <f ca="1">IFERROR(__xludf.DUMMYFUNCTION("""COMPUTED_VALUE"""),"الطابق الارضي")</f>
        <v>الطابق الارضي</v>
      </c>
      <c r="H801" s="23" t="str">
        <f ca="1">IFERROR(__xludf.DUMMYFUNCTION("""COMPUTED_VALUE"""),"صيانة يدة شباك ")</f>
        <v xml:space="preserve">صيانة يدة شباك </v>
      </c>
      <c r="I801" s="23"/>
      <c r="J801" s="23" t="s">
        <v>16</v>
      </c>
      <c r="K801" s="23" t="s">
        <v>13</v>
      </c>
      <c r="L801" s="32">
        <v>46181.561210034721</v>
      </c>
      <c r="M801" s="23"/>
    </row>
    <row r="802" spans="1:13" ht="75" customHeight="1" thickTop="1" thickBot="1">
      <c r="A802" s="23">
        <v>800</v>
      </c>
      <c r="B802" s="32">
        <f ca="1">IFERROR(__xludf.DUMMYFUNCTION("""COMPUTED_VALUE"""),46182.3692864814)</f>
        <v>46182.3692864814</v>
      </c>
      <c r="C802" s="33" t="str">
        <f ca="1">IFERROR(__xludf.DUMMYFUNCTION("""COMPUTED_VALUE"""),"المعملجي")</f>
        <v>المعملجي</v>
      </c>
      <c r="D802" s="33" t="str">
        <f ca="1">IFERROR(__xludf.DUMMYFUNCTION("""COMPUTED_VALUE"""),"وحدة المدني")</f>
        <v>وحدة المدني</v>
      </c>
      <c r="E802" s="23" t="str">
        <f ca="1">IFERROR(__xludf.DUMMYFUNCTION("""COMPUTED_VALUE"""),"قسم المشاريع الهندسية")</f>
        <v>قسم المشاريع الهندسية</v>
      </c>
      <c r="F802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02" s="23" t="str">
        <f ca="1">IFERROR(__xludf.DUMMYFUNCTION("""COMPUTED_VALUE"""),"الطابق الاول")</f>
        <v>الطابق الاول</v>
      </c>
      <c r="H802" s="23" t="str">
        <f ca="1">IFERROR(__xludf.DUMMYFUNCTION("""COMPUTED_VALUE"""),"صيانة يدة شباك ")</f>
        <v xml:space="preserve">صيانة يدة شباك </v>
      </c>
      <c r="I802" s="23"/>
      <c r="J802" s="23" t="s">
        <v>16</v>
      </c>
      <c r="K802" s="23" t="s">
        <v>13</v>
      </c>
      <c r="L802" s="32">
        <v>46183.495856724534</v>
      </c>
      <c r="M802" s="23"/>
    </row>
    <row r="803" spans="1:13" ht="75" customHeight="1" thickTop="1" thickBot="1">
      <c r="A803" s="25">
        <v>801</v>
      </c>
      <c r="B803" s="32">
        <f ca="1">IFERROR(__xludf.DUMMYFUNCTION("""COMPUTED_VALUE"""),46182.3696238657)</f>
        <v>46182.369623865699</v>
      </c>
      <c r="C803" s="33" t="str">
        <f ca="1">IFERROR(__xludf.DUMMYFUNCTION("""COMPUTED_VALUE"""),"المعملجي")</f>
        <v>المعملجي</v>
      </c>
      <c r="D803" s="33" t="str">
        <f ca="1">IFERROR(__xludf.DUMMYFUNCTION("""COMPUTED_VALUE"""),"وحدة المدني")</f>
        <v>وحدة المدني</v>
      </c>
      <c r="E803" s="23" t="str">
        <f ca="1">IFERROR(__xludf.DUMMYFUNCTION("""COMPUTED_VALUE"""),"قسم المشاريع الهندسية")</f>
        <v>قسم المشاريع الهندسية</v>
      </c>
      <c r="F803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03" s="23" t="str">
        <f ca="1">IFERROR(__xludf.DUMMYFUNCTION("""COMPUTED_VALUE"""),"الطابق الارضي")</f>
        <v>الطابق الارضي</v>
      </c>
      <c r="H803" s="23" t="str">
        <f ca="1">IFERROR(__xludf.DUMMYFUNCTION("""COMPUTED_VALUE"""),"صيانة باب المنيوم ")</f>
        <v xml:space="preserve">صيانة باب المنيوم </v>
      </c>
      <c r="I803" s="23"/>
      <c r="J803" s="23" t="s">
        <v>16</v>
      </c>
      <c r="K803" s="23" t="s">
        <v>13</v>
      </c>
      <c r="L803" s="32">
        <v>46183.495889722224</v>
      </c>
      <c r="M803" s="23"/>
    </row>
    <row r="804" spans="1:13" ht="75" customHeight="1" thickTop="1" thickBot="1">
      <c r="A804" s="23">
        <v>802</v>
      </c>
      <c r="B804" s="32">
        <f ca="1">IFERROR(__xludf.DUMMYFUNCTION("""COMPUTED_VALUE"""),46182.373582118)</f>
        <v>46182.373582118002</v>
      </c>
      <c r="C804" s="33" t="str">
        <f ca="1">IFERROR(__xludf.DUMMYFUNCTION("""COMPUTED_VALUE"""),"المعملجي")</f>
        <v>المعملجي</v>
      </c>
      <c r="D804" s="33" t="str">
        <f ca="1">IFERROR(__xludf.DUMMYFUNCTION("""COMPUTED_VALUE"""),"وحدة المدني")</f>
        <v>وحدة المدني</v>
      </c>
      <c r="E804" s="23" t="str">
        <f ca="1">IFERROR(__xludf.DUMMYFUNCTION("""COMPUTED_VALUE"""),"قسم المشاريع الهندسية")</f>
        <v>قسم المشاريع الهندسية</v>
      </c>
      <c r="F804" s="23" t="str">
        <f ca="1">IFERROR(__xludf.DUMMYFUNCTION("""COMPUTED_VALUE"""),"F-  ابتدائية جود العميد للبنات (الرابعة)")</f>
        <v>F-  ابتدائية جود العميد للبنات (الرابعة)</v>
      </c>
      <c r="G804" s="23" t="str">
        <f ca="1">IFERROR(__xludf.DUMMYFUNCTION("""COMPUTED_VALUE"""),"الطابق الارضي")</f>
        <v>الطابق الارضي</v>
      </c>
      <c r="H804" s="23" t="str">
        <f ca="1">IFERROR(__xludf.DUMMYFUNCTION("""COMPUTED_VALUE"""),"صيانة مصد حائط ")</f>
        <v xml:space="preserve">صيانة مصد حائط </v>
      </c>
      <c r="I804" s="23"/>
      <c r="J804" s="23" t="s">
        <v>16</v>
      </c>
      <c r="K804" s="23" t="s">
        <v>13</v>
      </c>
      <c r="L804" s="32">
        <v>46183.495915567131</v>
      </c>
      <c r="M804" s="23"/>
    </row>
    <row r="805" spans="1:13" ht="75" customHeight="1" thickTop="1" thickBot="1">
      <c r="A805" s="25">
        <v>803</v>
      </c>
      <c r="B805" s="32">
        <f ca="1">IFERROR(__xludf.DUMMYFUNCTION("""COMPUTED_VALUE"""),46182.3748382986)</f>
        <v>46182.374838298601</v>
      </c>
      <c r="C805" s="33" t="str">
        <f ca="1">IFERROR(__xludf.DUMMYFUNCTION("""COMPUTED_VALUE"""),"المعملجي")</f>
        <v>المعملجي</v>
      </c>
      <c r="D805" s="33" t="str">
        <f ca="1">IFERROR(__xludf.DUMMYFUNCTION("""COMPUTED_VALUE"""),"وحدة المدني")</f>
        <v>وحدة المدني</v>
      </c>
      <c r="E805" s="23" t="str">
        <f ca="1">IFERROR(__xludf.DUMMYFUNCTION("""COMPUTED_VALUE"""),"قسم المشاريع الهندسية")</f>
        <v>قسم المشاريع الهندسية</v>
      </c>
      <c r="F805" s="23" t="str">
        <f ca="1">IFERROR(__xludf.DUMMYFUNCTION("""COMPUTED_VALUE"""),"F-  ابتدائية جود العميد للبنات (الرابعة)")</f>
        <v>F-  ابتدائية جود العميد للبنات (الرابعة)</v>
      </c>
      <c r="G805" s="23" t="str">
        <f ca="1">IFERROR(__xludf.DUMMYFUNCTION("""COMPUTED_VALUE"""),"الطابق الاول")</f>
        <v>الطابق الاول</v>
      </c>
      <c r="H805" s="23" t="str">
        <f ca="1">IFERROR(__xludf.DUMMYFUNCTION("""COMPUTED_VALUE"""),"صيانة باب خشب ")</f>
        <v xml:space="preserve">صيانة باب خشب </v>
      </c>
      <c r="I805" s="23"/>
      <c r="J805" s="23" t="s">
        <v>16</v>
      </c>
      <c r="K805" s="23" t="s">
        <v>13</v>
      </c>
      <c r="L805" s="32">
        <v>46183.495963587964</v>
      </c>
      <c r="M805" s="23"/>
    </row>
    <row r="806" spans="1:13" ht="75" customHeight="1" thickTop="1" thickBot="1">
      <c r="A806" s="23">
        <v>804</v>
      </c>
      <c r="B806" s="32">
        <f ca="1">IFERROR(__xludf.DUMMYFUNCTION("""COMPUTED_VALUE"""),46182.3753889004)</f>
        <v>46182.3753889004</v>
      </c>
      <c r="C806" s="33" t="str">
        <f ca="1">IFERROR(__xludf.DUMMYFUNCTION("""COMPUTED_VALUE"""),"المعملجي")</f>
        <v>المعملجي</v>
      </c>
      <c r="D806" s="33" t="str">
        <f ca="1">IFERROR(__xludf.DUMMYFUNCTION("""COMPUTED_VALUE"""),"وحدة المدني")</f>
        <v>وحدة المدني</v>
      </c>
      <c r="E806" s="23" t="str">
        <f ca="1">IFERROR(__xludf.DUMMYFUNCTION("""COMPUTED_VALUE"""),"قسم المشاريع الهندسية")</f>
        <v>قسم المشاريع الهندسية</v>
      </c>
      <c r="F806" s="23" t="str">
        <f ca="1">IFERROR(__xludf.DUMMYFUNCTION("""COMPUTED_VALUE"""),"F-  ابتدائية جود العميد للبنات (الرابعة)")</f>
        <v>F-  ابتدائية جود العميد للبنات (الرابعة)</v>
      </c>
      <c r="G806" s="23" t="str">
        <f ca="1">IFERROR(__xludf.DUMMYFUNCTION("""COMPUTED_VALUE"""),"الطابق الثاني")</f>
        <v>الطابق الثاني</v>
      </c>
      <c r="H806" s="23" t="str">
        <f ca="1">IFERROR(__xludf.DUMMYFUNCTION("""COMPUTED_VALUE"""),"تبديل يدة شباك ")</f>
        <v xml:space="preserve">تبديل يدة شباك </v>
      </c>
      <c r="I806" s="23"/>
      <c r="J806" s="23" t="s">
        <v>16</v>
      </c>
      <c r="K806" s="23" t="s">
        <v>13</v>
      </c>
      <c r="L806" s="32">
        <v>46183.495999826388</v>
      </c>
      <c r="M806" s="23"/>
    </row>
    <row r="807" spans="1:13" ht="75" customHeight="1" thickTop="1" thickBot="1">
      <c r="A807" s="25">
        <v>805</v>
      </c>
      <c r="B807" s="32">
        <f ca="1">IFERROR(__xludf.DUMMYFUNCTION("""COMPUTED_VALUE"""),46182.3757961921)</f>
        <v>46182.3757961921</v>
      </c>
      <c r="C807" s="33" t="str">
        <f ca="1">IFERROR(__xludf.DUMMYFUNCTION("""COMPUTED_VALUE"""),"المعملجي")</f>
        <v>المعملجي</v>
      </c>
      <c r="D807" s="33" t="str">
        <f ca="1">IFERROR(__xludf.DUMMYFUNCTION("""COMPUTED_VALUE"""),"وحدة المدني")</f>
        <v>وحدة المدني</v>
      </c>
      <c r="E807" s="23" t="str">
        <f ca="1">IFERROR(__xludf.DUMMYFUNCTION("""COMPUTED_VALUE"""),"قسم المشاريع الهندسية")</f>
        <v>قسم المشاريع الهندسية</v>
      </c>
      <c r="F807" s="23" t="str">
        <f ca="1">IFERROR(__xludf.DUMMYFUNCTION("""COMPUTED_VALUE"""),"F-  ابتدائية جود العميد للبنات (الرابعة)")</f>
        <v>F-  ابتدائية جود العميد للبنات (الرابعة)</v>
      </c>
      <c r="G807" s="23" t="str">
        <f ca="1">IFERROR(__xludf.DUMMYFUNCTION("""COMPUTED_VALUE"""),"الطابق الاول")</f>
        <v>الطابق الاول</v>
      </c>
      <c r="H807" s="23" t="str">
        <f ca="1">IFERROR(__xludf.DUMMYFUNCTION("""COMPUTED_VALUE"""),"تبديل يدة باب المنيوم ")</f>
        <v xml:space="preserve">تبديل يدة باب المنيوم </v>
      </c>
      <c r="I807" s="23"/>
      <c r="J807" s="23" t="s">
        <v>16</v>
      </c>
      <c r="K807" s="23" t="s">
        <v>13</v>
      </c>
      <c r="L807" s="32">
        <v>46183.49604179398</v>
      </c>
      <c r="M807" s="23"/>
    </row>
    <row r="808" spans="1:13" ht="75" customHeight="1" thickTop="1" thickBot="1">
      <c r="A808" s="23">
        <v>806</v>
      </c>
      <c r="B808" s="32">
        <f ca="1">IFERROR(__xludf.DUMMYFUNCTION("""COMPUTED_VALUE"""),46182.4559487499)</f>
        <v>46182.455948749899</v>
      </c>
      <c r="C808" s="33" t="str">
        <f ca="1">IFERROR(__xludf.DUMMYFUNCTION("""COMPUTED_VALUE"""),"المعملجي")</f>
        <v>المعملجي</v>
      </c>
      <c r="D808" s="33" t="str">
        <f ca="1">IFERROR(__xludf.DUMMYFUNCTION("""COMPUTED_VALUE"""),"وحدة المدني")</f>
        <v>وحدة المدني</v>
      </c>
      <c r="E808" s="23" t="str">
        <f ca="1">IFERROR(__xludf.DUMMYFUNCTION("""COMPUTED_VALUE"""),"قسم المشاريع الهندسية")</f>
        <v>قسم المشاريع الهندسية</v>
      </c>
      <c r="F80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808" s="23" t="str">
        <f ca="1">IFERROR(__xludf.DUMMYFUNCTION("""COMPUTED_VALUE"""),"الطابق الاول")</f>
        <v>الطابق الاول</v>
      </c>
      <c r="H808" s="23" t="str">
        <f ca="1">IFERROR(__xludf.DUMMYFUNCTION("""COMPUTED_VALUE"""),"فتح أبواب صحيات عدد 2 ")</f>
        <v xml:space="preserve">فتح أبواب صحيات عدد 2 </v>
      </c>
      <c r="I808" s="23"/>
      <c r="J808" s="23" t="s">
        <v>16</v>
      </c>
      <c r="K808" s="23" t="s">
        <v>13</v>
      </c>
      <c r="L808" s="32">
        <v>46183.496068912034</v>
      </c>
      <c r="M808" s="23"/>
    </row>
    <row r="809" spans="1:13" ht="75" customHeight="1" thickTop="1" thickBot="1">
      <c r="A809" s="25">
        <v>807</v>
      </c>
      <c r="B809" s="32">
        <f ca="1">IFERROR(__xludf.DUMMYFUNCTION("""COMPUTED_VALUE"""),46182.4564804745)</f>
        <v>46182.456480474502</v>
      </c>
      <c r="C809" s="33" t="str">
        <f ca="1">IFERROR(__xludf.DUMMYFUNCTION("""COMPUTED_VALUE"""),"المعملجي")</f>
        <v>المعملجي</v>
      </c>
      <c r="D809" s="33" t="str">
        <f ca="1">IFERROR(__xludf.DUMMYFUNCTION("""COMPUTED_VALUE"""),"ابو سجاد ")</f>
        <v xml:space="preserve">ابو سجاد </v>
      </c>
      <c r="E809" s="23" t="str">
        <f ca="1">IFERROR(__xludf.DUMMYFUNCTION("""COMPUTED_VALUE"""),"مجموعة العميد التربوية")</f>
        <v>مجموعة العميد التربوية</v>
      </c>
      <c r="F809" s="23" t="str">
        <f ca="1">IFERROR(__xludf.DUMMYFUNCTION("""COMPUTED_VALUE"""),"كرفان الأمنية ")</f>
        <v xml:space="preserve">كرفان الأمنية </v>
      </c>
      <c r="G809" s="23" t="str">
        <f ca="1">IFERROR(__xludf.DUMMYFUNCTION("""COMPUTED_VALUE"""),"الطابق الارضي")</f>
        <v>الطابق الارضي</v>
      </c>
      <c r="H809" s="23" t="str">
        <f ca="1">IFERROR(__xludf.DUMMYFUNCTION("""COMPUTED_VALUE"""),"تبديل يدة باب ")</f>
        <v xml:space="preserve">تبديل يدة باب </v>
      </c>
      <c r="I809" s="23"/>
      <c r="J809" s="23" t="s">
        <v>16</v>
      </c>
      <c r="K809" s="23" t="s">
        <v>13</v>
      </c>
      <c r="L809" s="32">
        <v>46183.496136747686</v>
      </c>
      <c r="M809" s="23"/>
    </row>
    <row r="810" spans="1:13" ht="75" customHeight="1" thickTop="1" thickBot="1">
      <c r="A810" s="23">
        <v>808</v>
      </c>
      <c r="B810" s="32">
        <f ca="1">IFERROR(__xludf.DUMMYFUNCTION("""COMPUTED_VALUE"""),46182.4569531597)</f>
        <v>46182.456953159701</v>
      </c>
      <c r="C810" s="33" t="str">
        <f ca="1">IFERROR(__xludf.DUMMYFUNCTION("""COMPUTED_VALUE"""),"المعملجي")</f>
        <v>المعملجي</v>
      </c>
      <c r="D810" s="33" t="str">
        <f ca="1">IFERROR(__xludf.DUMMYFUNCTION("""COMPUTED_VALUE"""),"ابو سجاد ")</f>
        <v xml:space="preserve">ابو سجاد </v>
      </c>
      <c r="E810" s="23" t="str">
        <f ca="1">IFERROR(__xludf.DUMMYFUNCTION("""COMPUTED_VALUE"""),"مجموعة العميد التربوية")</f>
        <v>مجموعة العميد التربوية</v>
      </c>
      <c r="F810" s="23" t="str">
        <f ca="1">IFERROR(__xludf.DUMMYFUNCTION("""COMPUTED_VALUE"""),"كرفان الأمنية ")</f>
        <v xml:space="preserve">كرفان الأمنية </v>
      </c>
      <c r="G810" s="23" t="str">
        <f ca="1">IFERROR(__xludf.DUMMYFUNCTION("""COMPUTED_VALUE"""),"الطابق الارضي")</f>
        <v>الطابق الارضي</v>
      </c>
      <c r="H810" s="23" t="str">
        <f ca="1">IFERROR(__xludf.DUMMYFUNCTION("""COMPUTED_VALUE"""),"شد سبلت")</f>
        <v>شد سبلت</v>
      </c>
      <c r="I810" s="23"/>
      <c r="J810" s="23" t="s">
        <v>16</v>
      </c>
      <c r="K810" s="23" t="s">
        <v>13</v>
      </c>
      <c r="L810" s="32">
        <v>46183.496189872691</v>
      </c>
      <c r="M810" s="23"/>
    </row>
    <row r="811" spans="1:13" ht="75" customHeight="1" thickTop="1" thickBot="1">
      <c r="A811" s="25">
        <v>809</v>
      </c>
      <c r="B811" s="32">
        <f ca="1">IFERROR(__xludf.DUMMYFUNCTION("""COMPUTED_VALUE"""),46182.4578048611)</f>
        <v>46182.4578048611</v>
      </c>
      <c r="C811" s="33" t="str">
        <f ca="1">IFERROR(__xludf.DUMMYFUNCTION("""COMPUTED_VALUE"""),"المعملجي")</f>
        <v>المعملجي</v>
      </c>
      <c r="D811" s="33" t="str">
        <f ca="1">IFERROR(__xludf.DUMMYFUNCTION("""COMPUTED_VALUE"""),"ابو سجاد ")</f>
        <v xml:space="preserve">ابو سجاد </v>
      </c>
      <c r="E811" s="23" t="str">
        <f ca="1">IFERROR(__xludf.DUMMYFUNCTION("""COMPUTED_VALUE"""),"مجموعة العميد التربوية")</f>
        <v>مجموعة العميد التربوية</v>
      </c>
      <c r="F811" s="23" t="str">
        <f ca="1">IFERROR(__xludf.DUMMYFUNCTION("""COMPUTED_VALUE"""),"A- المركز الثقافي")</f>
        <v>A- المركز الثقافي</v>
      </c>
      <c r="G811" s="23" t="str">
        <f ca="1">IFERROR(__xludf.DUMMYFUNCTION("""COMPUTED_VALUE"""),"الطابق الارضي")</f>
        <v>الطابق الارضي</v>
      </c>
      <c r="H811" s="23" t="str">
        <f ca="1">IFERROR(__xludf.DUMMYFUNCTION("""COMPUTED_VALUE"""),"شد بوستر ")</f>
        <v xml:space="preserve">شد بوستر </v>
      </c>
      <c r="I811" s="23"/>
      <c r="J811" s="23" t="s">
        <v>16</v>
      </c>
      <c r="K811" s="23" t="s">
        <v>13</v>
      </c>
      <c r="L811" s="32">
        <v>46183.496249837961</v>
      </c>
      <c r="M811" s="23"/>
    </row>
    <row r="812" spans="1:13" ht="75" customHeight="1" thickTop="1" thickBot="1">
      <c r="A812" s="23">
        <v>810</v>
      </c>
      <c r="B812" s="32">
        <f ca="1">IFERROR(__xludf.DUMMYFUNCTION("""COMPUTED_VALUE"""),46182.5298991898)</f>
        <v>46182.529899189802</v>
      </c>
      <c r="C812" s="33" t="str">
        <f ca="1">IFERROR(__xludf.DUMMYFUNCTION("""COMPUTED_VALUE"""),"المعملجي")</f>
        <v>المعملجي</v>
      </c>
      <c r="D812" s="33" t="str">
        <f ca="1">IFERROR(__xludf.DUMMYFUNCTION("""COMPUTED_VALUE"""),"ابراهيم الخطابي")</f>
        <v>ابراهيم الخطابي</v>
      </c>
      <c r="E812" s="23" t="str">
        <f ca="1">IFERROR(__xludf.DUMMYFUNCTION("""COMPUTED_VALUE"""),"مجموعة العميد التربوية")</f>
        <v>مجموعة العميد التربوية</v>
      </c>
      <c r="F812" s="23" t="str">
        <f ca="1">IFERROR(__xludf.DUMMYFUNCTION("""COMPUTED_VALUE"""),"H- ابتدائية القمر للبنات (الخامسة)")</f>
        <v>H- ابتدائية القمر للبنات (الخامسة)</v>
      </c>
      <c r="G812" s="23" t="str">
        <f ca="1">IFERROR(__xludf.DUMMYFUNCTION("""COMPUTED_VALUE"""),"الطابق الاول")</f>
        <v>الطابق الاول</v>
      </c>
      <c r="H812" s="23" t="str">
        <f ca="1">IFERROR(__xludf.DUMMYFUNCTION("""COMPUTED_VALUE"""),"شباك الرابع  ج لايعمل ")</f>
        <v xml:space="preserve">شباك الرابع  ج لايعمل </v>
      </c>
      <c r="I812" s="23"/>
      <c r="J812" s="23" t="s">
        <v>16</v>
      </c>
      <c r="K812" s="23" t="s">
        <v>13</v>
      </c>
      <c r="L812" s="32">
        <v>46184.420101111114</v>
      </c>
      <c r="M812" s="23"/>
    </row>
    <row r="813" spans="1:13" ht="75" customHeight="1" thickTop="1" thickBot="1">
      <c r="A813" s="25">
        <v>811</v>
      </c>
      <c r="B813" s="32">
        <f ca="1">IFERROR(__xludf.DUMMYFUNCTION("""COMPUTED_VALUE"""),46182.5349040856)</f>
        <v>46182.534904085602</v>
      </c>
      <c r="C813" s="33" t="str">
        <f ca="1">IFERROR(__xludf.DUMMYFUNCTION("""COMPUTED_VALUE"""),"المعملجي")</f>
        <v>المعملجي</v>
      </c>
      <c r="D813" s="33" t="str">
        <f ca="1">IFERROR(__xludf.DUMMYFUNCTION("""COMPUTED_VALUE"""),"ابراهيم الخطابي")</f>
        <v>ابراهيم الخطابي</v>
      </c>
      <c r="E813" s="23" t="str">
        <f ca="1">IFERROR(__xludf.DUMMYFUNCTION("""COMPUTED_VALUE"""),"مجموعة العميد التربوية")</f>
        <v>مجموعة العميد التربوية</v>
      </c>
      <c r="F813" s="23" t="str">
        <f ca="1">IFERROR(__xludf.DUMMYFUNCTION("""COMPUTED_VALUE"""),"H- ابتدائية القمر للبنات (الخامسة)")</f>
        <v>H- ابتدائية القمر للبنات (الخامسة)</v>
      </c>
      <c r="G813" s="23" t="str">
        <f ca="1">IFERROR(__xludf.DUMMYFUNCTION("""COMPUTED_VALUE"""),"الطابق الاول")</f>
        <v>الطابق الاول</v>
      </c>
      <c r="H813" s="23" t="str">
        <f ca="1">IFERROR(__xludf.DUMMYFUNCTION("""COMPUTED_VALUE"""),"عطل قفل باب الحمام ")</f>
        <v xml:space="preserve">عطل قفل باب الحمام </v>
      </c>
      <c r="I813" s="23"/>
      <c r="J813" s="23" t="s">
        <v>16</v>
      </c>
      <c r="K813" s="23" t="s">
        <v>13</v>
      </c>
      <c r="L813" s="32">
        <v>46184.470289884259</v>
      </c>
      <c r="M813" s="23"/>
    </row>
    <row r="814" spans="1:13" ht="75" customHeight="1" thickTop="1" thickBot="1">
      <c r="A814" s="23">
        <v>812</v>
      </c>
      <c r="B814" s="32">
        <f ca="1">IFERROR(__xludf.DUMMYFUNCTION("""COMPUTED_VALUE"""),46182.5366494675)</f>
        <v>46182.536649467504</v>
      </c>
      <c r="C814" s="33" t="str">
        <f ca="1">IFERROR(__xludf.DUMMYFUNCTION("""COMPUTED_VALUE"""),"المعملجي")</f>
        <v>المعملجي</v>
      </c>
      <c r="D814" s="33" t="str">
        <f ca="1">IFERROR(__xludf.DUMMYFUNCTION("""COMPUTED_VALUE"""),"ابراهيم الخطابي")</f>
        <v>ابراهيم الخطابي</v>
      </c>
      <c r="E814" s="23" t="str">
        <f ca="1">IFERROR(__xludf.DUMMYFUNCTION("""COMPUTED_VALUE"""),"مجموعة العميد التربوية")</f>
        <v>مجموعة العميد التربوية</v>
      </c>
      <c r="F814" s="23" t="str">
        <f ca="1">IFERROR(__xludf.DUMMYFUNCTION("""COMPUTED_VALUE"""),"H- ابتدائية القمر للبنات (الخامسة)")</f>
        <v>H- ابتدائية القمر للبنات (الخامسة)</v>
      </c>
      <c r="G814" s="23" t="str">
        <f ca="1">IFERROR(__xludf.DUMMYFUNCTION("""COMPUTED_VALUE"""),"الطابق الارضي")</f>
        <v>الطابق الارضي</v>
      </c>
      <c r="H814" s="23" t="str">
        <f ca="1">IFERROR(__xludf.DUMMYFUNCTION("""COMPUTED_VALUE"""),"عطل قفل باب الحمام الغربي ")</f>
        <v xml:space="preserve">عطل قفل باب الحمام الغربي </v>
      </c>
      <c r="I814" s="23"/>
      <c r="J814" s="23" t="s">
        <v>16</v>
      </c>
      <c r="K814" s="23" t="s">
        <v>13</v>
      </c>
      <c r="L814" s="32">
        <v>46184.470975243057</v>
      </c>
      <c r="M814" s="23"/>
    </row>
    <row r="815" spans="1:13" ht="75" customHeight="1" thickTop="1" thickBot="1">
      <c r="A815" s="25">
        <v>813</v>
      </c>
      <c r="B815" s="32">
        <f ca="1">IFERROR(__xludf.DUMMYFUNCTION("""COMPUTED_VALUE"""),46182.5371909374)</f>
        <v>46182.537190937401</v>
      </c>
      <c r="C815" s="33" t="str">
        <f ca="1">IFERROR(__xludf.DUMMYFUNCTION("""COMPUTED_VALUE"""),"المعملجي")</f>
        <v>المعملجي</v>
      </c>
      <c r="D815" s="33" t="str">
        <f ca="1">IFERROR(__xludf.DUMMYFUNCTION("""COMPUTED_VALUE"""),"ابراهيم الخطابي")</f>
        <v>ابراهيم الخطابي</v>
      </c>
      <c r="E815" s="23" t="str">
        <f ca="1">IFERROR(__xludf.DUMMYFUNCTION("""COMPUTED_VALUE"""),"مجموعة العميد التربوية")</f>
        <v>مجموعة العميد التربوية</v>
      </c>
      <c r="F815" s="23" t="str">
        <f ca="1">IFERROR(__xludf.DUMMYFUNCTION("""COMPUTED_VALUE"""),"H- ابتدائية القمر للبنات (الخامسة)")</f>
        <v>H- ابتدائية القمر للبنات (الخامسة)</v>
      </c>
      <c r="G815" s="23" t="str">
        <f ca="1">IFERROR(__xludf.DUMMYFUNCTION("""COMPUTED_VALUE"""),"الطابق الارضي")</f>
        <v>الطابق الارضي</v>
      </c>
      <c r="H815" s="23" t="str">
        <f ca="1">IFERROR(__xludf.DUMMYFUNCTION("""COMPUTED_VALUE"""),"كسر زجاج شباك الصف الثالث ")</f>
        <v xml:space="preserve">كسر زجاج شباك الصف الثالث </v>
      </c>
      <c r="I815" s="23"/>
      <c r="J815" s="23" t="s">
        <v>16</v>
      </c>
      <c r="K815" s="23" t="s">
        <v>13</v>
      </c>
      <c r="L815" s="32">
        <v>46203.396587013893</v>
      </c>
      <c r="M815" s="23"/>
    </row>
    <row r="816" spans="1:13" ht="75" customHeight="1" thickTop="1" thickBot="1">
      <c r="A816" s="23">
        <v>814</v>
      </c>
      <c r="B816" s="32">
        <f ca="1">IFERROR(__xludf.DUMMYFUNCTION("""COMPUTED_VALUE"""),46184.4717284143)</f>
        <v>46184.471728414297</v>
      </c>
      <c r="C816" s="33" t="str">
        <f ca="1">IFERROR(__xludf.DUMMYFUNCTION("""COMPUTED_VALUE"""),"المعملجي")</f>
        <v>المعملجي</v>
      </c>
      <c r="D816" s="33" t="str">
        <f ca="1">IFERROR(__xludf.DUMMYFUNCTION("""COMPUTED_VALUE"""),"ابراهيم الخطابي")</f>
        <v>ابراهيم الخطابي</v>
      </c>
      <c r="E816" s="23" t="str">
        <f ca="1">IFERROR(__xludf.DUMMYFUNCTION("""COMPUTED_VALUE"""),"مجموعة العميد التربوية")</f>
        <v>مجموعة العميد التربوية</v>
      </c>
      <c r="F816" s="23" t="str">
        <f ca="1">IFERROR(__xludf.DUMMYFUNCTION("""COMPUTED_VALUE"""),"H- ابتدائية القمر للبنات (الخامسة)")</f>
        <v>H- ابتدائية القمر للبنات (الخامسة)</v>
      </c>
      <c r="G816" s="23" t="str">
        <f ca="1">IFERROR(__xludf.DUMMYFUNCTION("""COMPUTED_VALUE"""),"الطابق الاول")</f>
        <v>الطابق الاول</v>
      </c>
      <c r="H816" s="23" t="str">
        <f ca="1">IFERROR(__xludf.DUMMYFUNCTION("""COMPUTED_VALUE"""),"صيانة شباك حديد ")</f>
        <v xml:space="preserve">صيانة شباك حديد </v>
      </c>
      <c r="I816" s="23"/>
      <c r="J816" s="23" t="s">
        <v>16</v>
      </c>
      <c r="K816" s="23" t="s">
        <v>13</v>
      </c>
      <c r="L816" s="32"/>
      <c r="M816" s="23"/>
    </row>
    <row r="817" spans="1:13" ht="75" customHeight="1" thickTop="1" thickBot="1">
      <c r="A817" s="25">
        <v>815</v>
      </c>
      <c r="B817" s="32">
        <f ca="1">IFERROR(__xludf.DUMMYFUNCTION("""COMPUTED_VALUE"""),46184.4721259027)</f>
        <v>46184.472125902699</v>
      </c>
      <c r="C817" s="33" t="str">
        <f ca="1">IFERROR(__xludf.DUMMYFUNCTION("""COMPUTED_VALUE"""),"المعملجي")</f>
        <v>المعملجي</v>
      </c>
      <c r="D817" s="33" t="str">
        <f ca="1">IFERROR(__xludf.DUMMYFUNCTION("""COMPUTED_VALUE"""),"ابراهيم الخطابي")</f>
        <v>ابراهيم الخطابي</v>
      </c>
      <c r="E817" s="23" t="str">
        <f ca="1">IFERROR(__xludf.DUMMYFUNCTION("""COMPUTED_VALUE"""),"مجموعة العميد التربوية")</f>
        <v>مجموعة العميد التربوية</v>
      </c>
      <c r="F817" s="23" t="str">
        <f ca="1">IFERROR(__xludf.DUMMYFUNCTION("""COMPUTED_VALUE"""),"H- ابتدائية القمر للبنات (الخامسة)")</f>
        <v>H- ابتدائية القمر للبنات (الخامسة)</v>
      </c>
      <c r="G817" s="23" t="str">
        <f ca="1">IFERROR(__xludf.DUMMYFUNCTION("""COMPUTED_VALUE"""),"الطابق الاول")</f>
        <v>الطابق الاول</v>
      </c>
      <c r="H817" s="23" t="str">
        <f ca="1">IFERROR(__xludf.DUMMYFUNCTION("""COMPUTED_VALUE"""),"تبديل لبة باب المنيوم ")</f>
        <v xml:space="preserve">تبديل لبة باب المنيوم </v>
      </c>
      <c r="I817" s="23"/>
      <c r="J817" s="23" t="s">
        <v>16</v>
      </c>
      <c r="K817" s="23" t="s">
        <v>13</v>
      </c>
      <c r="L817" s="32"/>
      <c r="M817" s="23"/>
    </row>
    <row r="818" spans="1:13" ht="75" customHeight="1" thickTop="1" thickBot="1">
      <c r="A818" s="23">
        <v>816</v>
      </c>
      <c r="B818" s="32">
        <f ca="1">IFERROR(__xludf.DUMMYFUNCTION("""COMPUTED_VALUE"""),46184.4726892592)</f>
        <v>46184.472689259201</v>
      </c>
      <c r="C818" s="33" t="str">
        <f ca="1">IFERROR(__xludf.DUMMYFUNCTION("""COMPUTED_VALUE"""),"المعملجي")</f>
        <v>المعملجي</v>
      </c>
      <c r="D818" s="33" t="str">
        <f ca="1">IFERROR(__xludf.DUMMYFUNCTION("""COMPUTED_VALUE"""),"ابراهيم الخطابي")</f>
        <v>ابراهيم الخطابي</v>
      </c>
      <c r="E818" s="23" t="str">
        <f ca="1">IFERROR(__xludf.DUMMYFUNCTION("""COMPUTED_VALUE"""),"مجموعة العميد التربوية")</f>
        <v>مجموعة العميد التربوية</v>
      </c>
      <c r="F818" s="23" t="str">
        <f ca="1">IFERROR(__xludf.DUMMYFUNCTION("""COMPUTED_VALUE"""),"E- ابتدائية العميد للبنات (الثالثة)")</f>
        <v>E- ابتدائية العميد للبنات (الثالثة)</v>
      </c>
      <c r="G818" s="23" t="str">
        <f ca="1">IFERROR(__xludf.DUMMYFUNCTION("""COMPUTED_VALUE"""),"الطابق الاول")</f>
        <v>الطابق الاول</v>
      </c>
      <c r="H818" s="23" t="str">
        <f ca="1">IFERROR(__xludf.DUMMYFUNCTION("""COMPUTED_VALUE"""),"صيانة مقص شباك حديد عدد ٧")</f>
        <v>صيانة مقص شباك حديد عدد ٧</v>
      </c>
      <c r="I818" s="23"/>
      <c r="J818" s="23" t="s">
        <v>16</v>
      </c>
      <c r="K818" s="23" t="s">
        <v>13</v>
      </c>
      <c r="L818" s="32"/>
      <c r="M818" s="23"/>
    </row>
    <row r="819" spans="1:13" ht="75" customHeight="1" thickTop="1" thickBot="1">
      <c r="A819" s="25">
        <v>817</v>
      </c>
      <c r="B819" s="32">
        <f ca="1">IFERROR(__xludf.DUMMYFUNCTION("""COMPUTED_VALUE"""),46184.4754250231)</f>
        <v>46184.475425023098</v>
      </c>
      <c r="C819" s="33" t="str">
        <f ca="1">IFERROR(__xludf.DUMMYFUNCTION("""COMPUTED_VALUE"""),"المعملجي")</f>
        <v>المعملجي</v>
      </c>
      <c r="D819" s="33" t="str">
        <f ca="1">IFERROR(__xludf.DUMMYFUNCTION("""COMPUTED_VALUE"""),"ابراهيم الخطابي")</f>
        <v>ابراهيم الخطابي</v>
      </c>
      <c r="E819" s="23" t="str">
        <f ca="1">IFERROR(__xludf.DUMMYFUNCTION("""COMPUTED_VALUE"""),"مجموعة العميد التربوية")</f>
        <v>مجموعة العميد التربوية</v>
      </c>
      <c r="F819" s="23" t="str">
        <f ca="1">IFERROR(__xludf.DUMMYFUNCTION("""COMPUTED_VALUE"""),"E- ابتدائية العميد للبنات (الثالثة)")</f>
        <v>E- ابتدائية العميد للبنات (الثالثة)</v>
      </c>
      <c r="G819" s="23" t="str">
        <f ca="1">IFERROR(__xludf.DUMMYFUNCTION("""COMPUTED_VALUE"""),"الطابق الثاني")</f>
        <v>الطابق الثاني</v>
      </c>
      <c r="H819" s="23" t="str">
        <f ca="1">IFERROR(__xludf.DUMMYFUNCTION("""COMPUTED_VALUE"""),"صيانة كرسي معلم مختبر العلوم")</f>
        <v>صيانة كرسي معلم مختبر العلوم</v>
      </c>
      <c r="I819" s="23"/>
      <c r="J819" s="23" t="s">
        <v>16</v>
      </c>
      <c r="K819" s="23" t="s">
        <v>13</v>
      </c>
      <c r="L819" s="32"/>
      <c r="M819" s="23"/>
    </row>
    <row r="820" spans="1:13" ht="75" customHeight="1" thickTop="1" thickBot="1">
      <c r="A820" s="23">
        <v>818</v>
      </c>
      <c r="B820" s="32">
        <f ca="1">IFERROR(__xludf.DUMMYFUNCTION("""COMPUTED_VALUE"""),46184.4761658217)</f>
        <v>46184.476165821703</v>
      </c>
      <c r="C820" s="33" t="str">
        <f ca="1">IFERROR(__xludf.DUMMYFUNCTION("""COMPUTED_VALUE"""),"المعملجي")</f>
        <v>المعملجي</v>
      </c>
      <c r="D820" s="33" t="str">
        <f ca="1">IFERROR(__xludf.DUMMYFUNCTION("""COMPUTED_VALUE"""),"ابراهيم الخطابي")</f>
        <v>ابراهيم الخطابي</v>
      </c>
      <c r="E820" s="23" t="str">
        <f ca="1">IFERROR(__xludf.DUMMYFUNCTION("""COMPUTED_VALUE"""),"مجموعة العميد التربوية")</f>
        <v>مجموعة العميد التربوية</v>
      </c>
      <c r="F820" s="23" t="str">
        <f ca="1">IFERROR(__xludf.DUMMYFUNCTION("""COMPUTED_VALUE"""),"E- ابتدائية العميد للبنات (الثالثة)")</f>
        <v>E- ابتدائية العميد للبنات (الثالثة)</v>
      </c>
      <c r="G820" s="23" t="str">
        <f ca="1">IFERROR(__xludf.DUMMYFUNCTION("""COMPUTED_VALUE"""),"الطابق الارضي")</f>
        <v>الطابق الارضي</v>
      </c>
      <c r="H820" s="23" t="str">
        <f ca="1">IFERROR(__xludf.DUMMYFUNCTION("""COMPUTED_VALUE"""),"صيانة شباك غرفة المعلمات")</f>
        <v>صيانة شباك غرفة المعلمات</v>
      </c>
      <c r="I820" s="23"/>
      <c r="J820" s="23" t="s">
        <v>16</v>
      </c>
      <c r="K820" s="23" t="s">
        <v>13</v>
      </c>
      <c r="L820" s="32"/>
      <c r="M820" s="23"/>
    </row>
    <row r="821" spans="1:13" ht="75" customHeight="1" thickTop="1" thickBot="1">
      <c r="A821" s="25">
        <v>819</v>
      </c>
      <c r="B821" s="32">
        <f ca="1">IFERROR(__xludf.DUMMYFUNCTION("""COMPUTED_VALUE"""),46184.4939429166)</f>
        <v>46184.493942916597</v>
      </c>
      <c r="C821" s="33" t="str">
        <f ca="1">IFERROR(__xludf.DUMMYFUNCTION("""COMPUTED_VALUE"""),"المعملجي")</f>
        <v>المعملجي</v>
      </c>
      <c r="D821" s="33" t="str">
        <f ca="1">IFERROR(__xludf.DUMMYFUNCTION("""COMPUTED_VALUE"""),"ابراهيم الخطابي")</f>
        <v>ابراهيم الخطابي</v>
      </c>
      <c r="E821" s="23" t="str">
        <f ca="1">IFERROR(__xludf.DUMMYFUNCTION("""COMPUTED_VALUE"""),"مجموعة العميد التربوية")</f>
        <v>مجموعة العميد التربوية</v>
      </c>
      <c r="F821" s="23" t="str">
        <f ca="1">IFERROR(__xludf.DUMMYFUNCTION("""COMPUTED_VALUE"""),"I- ابتدائية الساقي للبنين (السادسة)")</f>
        <v>I- ابتدائية الساقي للبنين (السادسة)</v>
      </c>
      <c r="G821" s="23" t="str">
        <f ca="1">IFERROR(__xludf.DUMMYFUNCTION("""COMPUTED_VALUE"""),"الطابق الارضي")</f>
        <v>الطابق الارضي</v>
      </c>
      <c r="H821" s="23" t="str">
        <f ca="1">IFERROR(__xludf.DUMMYFUNCTION("""COMPUTED_VALUE"""),"صيانة كرسي معلم ")</f>
        <v xml:space="preserve">صيانة كرسي معلم </v>
      </c>
      <c r="I821" s="23"/>
      <c r="J821" s="23" t="s">
        <v>16</v>
      </c>
      <c r="K821" s="23" t="s">
        <v>13</v>
      </c>
      <c r="L821" s="32"/>
      <c r="M821" s="23"/>
    </row>
    <row r="822" spans="1:13" ht="75" customHeight="1" thickTop="1" thickBot="1">
      <c r="A822" s="23">
        <v>820</v>
      </c>
      <c r="B822" s="32">
        <f ca="1">IFERROR(__xludf.DUMMYFUNCTION("""COMPUTED_VALUE"""),46184.4943971643)</f>
        <v>46184.494397164301</v>
      </c>
      <c r="C822" s="33" t="str">
        <f ca="1">IFERROR(__xludf.DUMMYFUNCTION("""COMPUTED_VALUE"""),"المعملجي")</f>
        <v>المعملجي</v>
      </c>
      <c r="D822" s="33" t="str">
        <f ca="1">IFERROR(__xludf.DUMMYFUNCTION("""COMPUTED_VALUE"""),"ابراهيم الخطابي")</f>
        <v>ابراهيم الخطابي</v>
      </c>
      <c r="E822" s="23" t="str">
        <f ca="1">IFERROR(__xludf.DUMMYFUNCTION("""COMPUTED_VALUE"""),"مجموعة العميد التربوية")</f>
        <v>مجموعة العميد التربوية</v>
      </c>
      <c r="F822" s="23" t="str">
        <f ca="1">IFERROR(__xludf.DUMMYFUNCTION("""COMPUTED_VALUE"""),"I- ابتدائية الساقي للبنين (السادسة)")</f>
        <v>I- ابتدائية الساقي للبنين (السادسة)</v>
      </c>
      <c r="G822" s="23" t="str">
        <f ca="1">IFERROR(__xludf.DUMMYFUNCTION("""COMPUTED_VALUE"""),"الطابق الاول")</f>
        <v>الطابق الاول</v>
      </c>
      <c r="H822" s="23" t="str">
        <f ca="1">IFERROR(__xludf.DUMMYFUNCTION("""COMPUTED_VALUE"""),"صيانة كرسي معلم صف ثالث د ")</f>
        <v xml:space="preserve">صيانة كرسي معلم صف ثالث د </v>
      </c>
      <c r="I822" s="23"/>
      <c r="J822" s="23" t="s">
        <v>16</v>
      </c>
      <c r="K822" s="23" t="s">
        <v>13</v>
      </c>
      <c r="L822" s="32"/>
      <c r="M822" s="23"/>
    </row>
    <row r="823" spans="1:13" ht="75" customHeight="1" thickTop="1" thickBot="1">
      <c r="A823" s="25">
        <v>821</v>
      </c>
      <c r="B823" s="32">
        <f ca="1">IFERROR(__xludf.DUMMYFUNCTION("""COMPUTED_VALUE"""),46184.4948624537)</f>
        <v>46184.494862453699</v>
      </c>
      <c r="C823" s="33" t="str">
        <f ca="1">IFERROR(__xludf.DUMMYFUNCTION("""COMPUTED_VALUE"""),"المعملجي")</f>
        <v>المعملجي</v>
      </c>
      <c r="D823" s="33" t="str">
        <f ca="1">IFERROR(__xludf.DUMMYFUNCTION("""COMPUTED_VALUE"""),"ابراهيم الخطابي")</f>
        <v>ابراهيم الخطابي</v>
      </c>
      <c r="E823" s="23" t="str">
        <f ca="1">IFERROR(__xludf.DUMMYFUNCTION("""COMPUTED_VALUE"""),"مجموعة العميد التربوية")</f>
        <v>مجموعة العميد التربوية</v>
      </c>
      <c r="F823" s="23" t="str">
        <f ca="1">IFERROR(__xludf.DUMMYFUNCTION("""COMPUTED_VALUE"""),"G- روضة الجود")</f>
        <v>G- روضة الجود</v>
      </c>
      <c r="G823" s="23" t="str">
        <f ca="1">IFERROR(__xludf.DUMMYFUNCTION("""COMPUTED_VALUE"""),"الطابق الاول")</f>
        <v>الطابق الاول</v>
      </c>
      <c r="H823" s="23" t="str">
        <f ca="1">IFERROR(__xludf.DUMMYFUNCTION("""COMPUTED_VALUE"""),"صيانة يدة شباك ")</f>
        <v xml:space="preserve">صيانة يدة شباك </v>
      </c>
      <c r="I823" s="23"/>
      <c r="J823" s="23" t="s">
        <v>16</v>
      </c>
      <c r="K823" s="23" t="s">
        <v>13</v>
      </c>
      <c r="L823" s="32"/>
      <c r="M823" s="23"/>
    </row>
    <row r="824" spans="1:13" ht="75" customHeight="1" thickTop="1" thickBot="1">
      <c r="A824" s="23">
        <v>822</v>
      </c>
      <c r="B824" s="32">
        <f ca="1">IFERROR(__xludf.DUMMYFUNCTION("""COMPUTED_VALUE"""),46184.4956971643)</f>
        <v>46184.495697164297</v>
      </c>
      <c r="C824" s="33" t="str">
        <f ca="1">IFERROR(__xludf.DUMMYFUNCTION("""COMPUTED_VALUE"""),"المعملجي")</f>
        <v>المعملجي</v>
      </c>
      <c r="D824" s="33" t="str">
        <f ca="1">IFERROR(__xludf.DUMMYFUNCTION("""COMPUTED_VALUE"""),"ابراهيم الخطابي")</f>
        <v>ابراهيم الخطابي</v>
      </c>
      <c r="E824" s="23" t="str">
        <f ca="1">IFERROR(__xludf.DUMMYFUNCTION("""COMPUTED_VALUE"""),"مجموعة العميد التربوية")</f>
        <v>مجموعة العميد التربوية</v>
      </c>
      <c r="F824" s="23" t="str">
        <f ca="1">IFERROR(__xludf.DUMMYFUNCTION("""COMPUTED_VALUE"""),"G- روضة الجود")</f>
        <v>G- روضة الجود</v>
      </c>
      <c r="G824" s="23" t="str">
        <f ca="1">IFERROR(__xludf.DUMMYFUNCTION("""COMPUTED_VALUE"""),"الطابق الارضي")</f>
        <v>الطابق الارضي</v>
      </c>
      <c r="H824" s="23" t="str">
        <f ca="1">IFERROR(__xludf.DUMMYFUNCTION("""COMPUTED_VALUE"""),"صيانة شبكة الالعاب ")</f>
        <v xml:space="preserve">صيانة شبكة الالعاب </v>
      </c>
      <c r="I824" s="23"/>
      <c r="J824" s="23" t="s">
        <v>16</v>
      </c>
      <c r="K824" s="23" t="s">
        <v>13</v>
      </c>
      <c r="L824" s="32"/>
      <c r="M824" s="23"/>
    </row>
    <row r="825" spans="1:13" ht="75" customHeight="1" thickTop="1" thickBot="1">
      <c r="A825" s="25">
        <v>823</v>
      </c>
      <c r="B825" s="32">
        <f ca="1">IFERROR(__xludf.DUMMYFUNCTION("""COMPUTED_VALUE"""),46184.4974898958)</f>
        <v>46184.497489895803</v>
      </c>
      <c r="C825" s="33" t="str">
        <f ca="1">IFERROR(__xludf.DUMMYFUNCTION("""COMPUTED_VALUE"""),"المعملجي")</f>
        <v>المعملجي</v>
      </c>
      <c r="D825" s="33" t="str">
        <f ca="1">IFERROR(__xludf.DUMMYFUNCTION("""COMPUTED_VALUE"""),"ابراهيم الخطابي")</f>
        <v>ابراهيم الخطابي</v>
      </c>
      <c r="E825" s="23" t="str">
        <f ca="1">IFERROR(__xludf.DUMMYFUNCTION("""COMPUTED_VALUE"""),"مجموعة العميد التربوية")</f>
        <v>مجموعة العميد التربوية</v>
      </c>
      <c r="F825" s="23" t="str">
        <f ca="1">IFERROR(__xludf.DUMMYFUNCTION("""COMPUTED_VALUE"""),"F-  ابتدائية جود العميد للبنات (الرابعة)")</f>
        <v>F-  ابتدائية جود العميد للبنات (الرابعة)</v>
      </c>
      <c r="G825" s="23" t="str">
        <f ca="1">IFERROR(__xludf.DUMMYFUNCTION("""COMPUTED_VALUE"""),"الطابق الثاني")</f>
        <v>الطابق الثاني</v>
      </c>
      <c r="H825" s="23" t="str">
        <f ca="1">IFERROR(__xludf.DUMMYFUNCTION("""COMPUTED_VALUE"""),"صيانة هزارة مختبر الحاسوب ")</f>
        <v xml:space="preserve">صيانة هزارة مختبر الحاسوب </v>
      </c>
      <c r="I825" s="23"/>
      <c r="J825" s="23" t="s">
        <v>16</v>
      </c>
      <c r="K825" s="23" t="s">
        <v>13</v>
      </c>
      <c r="L825" s="32"/>
      <c r="M825" s="23"/>
    </row>
    <row r="826" spans="1:13" ht="75" customHeight="1" thickTop="1" thickBot="1">
      <c r="A826" s="23">
        <v>824</v>
      </c>
      <c r="B826" s="32">
        <f ca="1">IFERROR(__xludf.DUMMYFUNCTION("""COMPUTED_VALUE"""),46184.4982922453)</f>
        <v>46184.498292245298</v>
      </c>
      <c r="C826" s="33" t="str">
        <f ca="1">IFERROR(__xludf.DUMMYFUNCTION("""COMPUTED_VALUE"""),"المعملجي")</f>
        <v>المعملجي</v>
      </c>
      <c r="D826" s="33" t="str">
        <f ca="1">IFERROR(__xludf.DUMMYFUNCTION("""COMPUTED_VALUE"""),"ابراهيم الخطابي")</f>
        <v>ابراهيم الخطابي</v>
      </c>
      <c r="E826" s="23" t="str">
        <f ca="1">IFERROR(__xludf.DUMMYFUNCTION("""COMPUTED_VALUE"""),"مجموعة العميد التربوية")</f>
        <v>مجموعة العميد التربوية</v>
      </c>
      <c r="F826" s="23" t="str">
        <f ca="1">IFERROR(__xludf.DUMMYFUNCTION("""COMPUTED_VALUE"""),"F-  ابتدائية جود العميد للبنات (الرابعة)")</f>
        <v>F-  ابتدائية جود العميد للبنات (الرابعة)</v>
      </c>
      <c r="G826" s="23" t="str">
        <f ca="1">IFERROR(__xludf.DUMMYFUNCTION("""COMPUTED_VALUE"""),"الطابق الارضي")</f>
        <v>الطابق الارضي</v>
      </c>
      <c r="H826" s="23" t="str">
        <f ca="1">IFERROR(__xludf.DUMMYFUNCTION("""COMPUTED_VALUE"""),"تبديل جك الباب الرئيسي ")</f>
        <v xml:space="preserve">تبديل جك الباب الرئيسي </v>
      </c>
      <c r="I826" s="23"/>
      <c r="J826" s="23" t="s">
        <v>16</v>
      </c>
      <c r="K826" s="23" t="s">
        <v>13</v>
      </c>
      <c r="L826" s="32"/>
      <c r="M826" s="23"/>
    </row>
    <row r="827" spans="1:13" ht="75" customHeight="1" thickTop="1" thickBot="1">
      <c r="A827" s="25">
        <v>825</v>
      </c>
      <c r="B827" s="32">
        <f ca="1">IFERROR(__xludf.DUMMYFUNCTION("""COMPUTED_VALUE"""),46184.5118476967)</f>
        <v>46184.511847696704</v>
      </c>
      <c r="C827" s="33" t="str">
        <f ca="1">IFERROR(__xludf.DUMMYFUNCTION("""COMPUTED_VALUE"""),"المعملجي")</f>
        <v>المعملجي</v>
      </c>
      <c r="D827" s="33" t="str">
        <f ca="1">IFERROR(__xludf.DUMMYFUNCTION("""COMPUTED_VALUE"""),"ابراهيم الخطابي")</f>
        <v>ابراهيم الخطابي</v>
      </c>
      <c r="E827" s="23" t="str">
        <f ca="1">IFERROR(__xludf.DUMMYFUNCTION("""COMPUTED_VALUE"""),"مجموعة العميد التربوية")</f>
        <v>مجموعة العميد التربوية</v>
      </c>
      <c r="F827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27" s="23" t="str">
        <f ca="1">IFERROR(__xludf.DUMMYFUNCTION("""COMPUTED_VALUE"""),"الطابق الارضي")</f>
        <v>الطابق الارضي</v>
      </c>
      <c r="H827" s="23" t="str">
        <f ca="1">IFERROR(__xludf.DUMMYFUNCTION("""COMPUTED_VALUE"""),"صيانة بردة")</f>
        <v>صيانة بردة</v>
      </c>
      <c r="I827" s="23"/>
      <c r="J827" s="23" t="s">
        <v>16</v>
      </c>
      <c r="K827" s="23" t="s">
        <v>13</v>
      </c>
      <c r="L827" s="32">
        <v>46184.512486504631</v>
      </c>
      <c r="M827" s="23"/>
    </row>
    <row r="828" spans="1:13" ht="75" customHeight="1" thickTop="1" thickBot="1">
      <c r="A828" s="23">
        <v>826</v>
      </c>
      <c r="B828" s="32">
        <f ca="1">IFERROR(__xludf.DUMMYFUNCTION("""COMPUTED_VALUE"""),46184.6092462384)</f>
        <v>46184.609246238397</v>
      </c>
      <c r="C828" s="33" t="str">
        <f ca="1">IFERROR(__xludf.DUMMYFUNCTION("""COMPUTED_VALUE"""),"المعملجي")</f>
        <v>المعملجي</v>
      </c>
      <c r="D828" s="33" t="str">
        <f ca="1">IFERROR(__xludf.DUMMYFUNCTION("""COMPUTED_VALUE"""),"ابراهيم الخطابي")</f>
        <v>ابراهيم الخطابي</v>
      </c>
      <c r="E828" s="23" t="str">
        <f ca="1">IFERROR(__xludf.DUMMYFUNCTION("""COMPUTED_VALUE"""),"مجموعة العميد التربوية")</f>
        <v>مجموعة العميد التربوية</v>
      </c>
      <c r="F82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28" s="23" t="str">
        <f ca="1">IFERROR(__xludf.DUMMYFUNCTION("""COMPUTED_VALUE"""),"الطابق الاول")</f>
        <v>الطابق الاول</v>
      </c>
      <c r="H828" s="23" t="str">
        <f ca="1">IFERROR(__xludf.DUMMYFUNCTION("""COMPUTED_VALUE"""),"صيانة باب المنيوم المصلى ")</f>
        <v xml:space="preserve">صيانة باب المنيوم المصلى </v>
      </c>
      <c r="I828" s="23"/>
      <c r="J828" s="23" t="s">
        <v>16</v>
      </c>
      <c r="K828" s="23" t="s">
        <v>13</v>
      </c>
      <c r="L828" s="32">
        <v>46184.609696388885</v>
      </c>
      <c r="M828" s="23"/>
    </row>
    <row r="829" spans="1:13" ht="75" customHeight="1" thickTop="1" thickBot="1">
      <c r="A829" s="25">
        <v>827</v>
      </c>
      <c r="B829" s="32">
        <f ca="1">IFERROR(__xludf.DUMMYFUNCTION("""COMPUTED_VALUE"""),46184.609531956)</f>
        <v>46184.609531955997</v>
      </c>
      <c r="C829" s="33" t="str">
        <f ca="1">IFERROR(__xludf.DUMMYFUNCTION("""COMPUTED_VALUE"""),"المعملجي")</f>
        <v>المعملجي</v>
      </c>
      <c r="D829" s="33" t="str">
        <f ca="1">IFERROR(__xludf.DUMMYFUNCTION("""COMPUTED_VALUE"""),"ابراهيم الخطابي")</f>
        <v>ابراهيم الخطابي</v>
      </c>
      <c r="E829" s="23" t="str">
        <f ca="1">IFERROR(__xludf.DUMMYFUNCTION("""COMPUTED_VALUE"""),"مجموعة العميد التربوية")</f>
        <v>مجموعة العميد التربوية</v>
      </c>
      <c r="F82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29" s="23" t="str">
        <f ca="1">IFERROR(__xludf.DUMMYFUNCTION("""COMPUTED_VALUE"""),"الطابق الارضي")</f>
        <v>الطابق الارضي</v>
      </c>
      <c r="H829" s="23" t="str">
        <f ca="1">IFERROR(__xludf.DUMMYFUNCTION("""COMPUTED_VALUE"""),"صيانة بردة")</f>
        <v>صيانة بردة</v>
      </c>
      <c r="I829" s="23"/>
      <c r="J829" s="23" t="s">
        <v>16</v>
      </c>
      <c r="K829" s="23" t="s">
        <v>13</v>
      </c>
      <c r="L829" s="32">
        <v>46184.609715520834</v>
      </c>
      <c r="M829" s="23"/>
    </row>
    <row r="830" spans="1:13" ht="75" customHeight="1" thickTop="1" thickBot="1">
      <c r="A830" s="23">
        <v>828</v>
      </c>
      <c r="B830" s="32">
        <f ca="1">IFERROR(__xludf.DUMMYFUNCTION("""COMPUTED_VALUE"""),46184.6116400925)</f>
        <v>46184.611640092502</v>
      </c>
      <c r="C830" s="33" t="str">
        <f ca="1">IFERROR(__xludf.DUMMYFUNCTION("""COMPUTED_VALUE"""),"المعملجي")</f>
        <v>المعملجي</v>
      </c>
      <c r="D830" s="33" t="str">
        <f ca="1">IFERROR(__xludf.DUMMYFUNCTION("""COMPUTED_VALUE"""),"ابراهيم الخطابي")</f>
        <v>ابراهيم الخطابي</v>
      </c>
      <c r="E830" s="23" t="str">
        <f ca="1">IFERROR(__xludf.DUMMYFUNCTION("""COMPUTED_VALUE"""),"مجموعة العميد التربوية")</f>
        <v>مجموعة العميد التربوية</v>
      </c>
      <c r="F830" s="23" t="str">
        <f ca="1">IFERROR(__xludf.DUMMYFUNCTION("""COMPUTED_VALUE"""),"C- ثانوية العميد بناية الاعدادية  (الاولى), D- ثانوية العميد بناية المتوسطة  (الثانية)")</f>
        <v>C- ثانوية العميد بناية الاعدادية  (الاولى), D- ثانوية العميد بناية المتوسطة  (الثانية)</v>
      </c>
      <c r="G830" s="23" t="str">
        <f ca="1">IFERROR(__xludf.DUMMYFUNCTION("""COMPUTED_VALUE"""),"الطابق الارضي, الطابق الاول, الطابق الثاني, ZONE A")</f>
        <v>الطابق الارضي, الطابق الاول, الطابق الثاني, ZONE A</v>
      </c>
      <c r="H830" s="23" t="str">
        <f ca="1">IFERROR(__xludf.DUMMYFUNCTION("""COMPUTED_VALUE"""),"رفع المرأة داخل الصحيات")</f>
        <v>رفع المرأة داخل الصحيات</v>
      </c>
      <c r="I830" s="23"/>
      <c r="J830" s="23" t="s">
        <v>16</v>
      </c>
      <c r="K830" s="23" t="s">
        <v>13</v>
      </c>
      <c r="L830" s="32">
        <v>46184.6120065625</v>
      </c>
      <c r="M830" s="23"/>
    </row>
    <row r="831" spans="1:13" ht="75" customHeight="1" thickTop="1" thickBot="1">
      <c r="A831" s="25">
        <v>829</v>
      </c>
      <c r="B831" s="32">
        <f ca="1">IFERROR(__xludf.DUMMYFUNCTION("""COMPUTED_VALUE"""),46187.468919456)</f>
        <v>46187.468919455998</v>
      </c>
      <c r="C831" s="33" t="str">
        <f ca="1">IFERROR(__xludf.DUMMYFUNCTION("""COMPUTED_VALUE"""),"المعملجي")</f>
        <v>المعملجي</v>
      </c>
      <c r="D831" s="33" t="str">
        <f ca="1">IFERROR(__xludf.DUMMYFUNCTION("""COMPUTED_VALUE"""),"ابو سجاد ")</f>
        <v xml:space="preserve">ابو سجاد </v>
      </c>
      <c r="E831" s="23" t="str">
        <f ca="1">IFERROR(__xludf.DUMMYFUNCTION("""COMPUTED_VALUE"""),"مجموعة العميد التربوية")</f>
        <v>مجموعة العميد التربوية</v>
      </c>
      <c r="F831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831" s="23" t="str">
        <f ca="1">IFERROR(__xludf.DUMMYFUNCTION("""COMPUTED_VALUE"""),"الطابق الارضي")</f>
        <v>الطابق الارضي</v>
      </c>
      <c r="H831" s="23" t="str">
        <f ca="1">IFERROR(__xludf.DUMMYFUNCTION("""COMPUTED_VALUE"""),"صيانة شباك صف الرابع أ ")</f>
        <v xml:space="preserve">صيانة شباك صف الرابع أ </v>
      </c>
      <c r="I831" s="23"/>
      <c r="J831" s="23" t="s">
        <v>16</v>
      </c>
      <c r="K831" s="23" t="s">
        <v>13</v>
      </c>
      <c r="L831" s="32">
        <v>46187.502055763893</v>
      </c>
      <c r="M831" s="23"/>
    </row>
    <row r="832" spans="1:13" ht="75" customHeight="1" thickTop="1" thickBot="1">
      <c r="A832" s="23">
        <v>830</v>
      </c>
      <c r="B832" s="32">
        <f ca="1">IFERROR(__xludf.DUMMYFUNCTION("""COMPUTED_VALUE"""),46189.4686937963)</f>
        <v>46189.468693796298</v>
      </c>
      <c r="C832" s="33" t="str">
        <f ca="1">IFERROR(__xludf.DUMMYFUNCTION("""COMPUTED_VALUE"""),"المعملجي")</f>
        <v>المعملجي</v>
      </c>
      <c r="D832" s="33" t="str">
        <f ca="1">IFERROR(__xludf.DUMMYFUNCTION("""COMPUTED_VALUE"""),"ابراهيم الخطابي")</f>
        <v>ابراهيم الخطابي</v>
      </c>
      <c r="E832" s="23" t="str">
        <f ca="1">IFERROR(__xludf.DUMMYFUNCTION("""COMPUTED_VALUE"""),"مجموعة العميد التربوية")</f>
        <v>مجموعة العميد التربوية</v>
      </c>
      <c r="F832" s="23" t="str">
        <f ca="1">IFERROR(__xludf.DUMMYFUNCTION("""COMPUTED_VALUE"""),"E- ابتدائية العميد للبنات (الثالثة)")</f>
        <v>E- ابتدائية العميد للبنات (الثالثة)</v>
      </c>
      <c r="G832" s="23" t="str">
        <f ca="1">IFERROR(__xludf.DUMMYFUNCTION("""COMPUTED_VALUE"""),"الطابق الاول")</f>
        <v>الطابق الاول</v>
      </c>
      <c r="H832" s="23" t="str">
        <f ca="1">IFERROR(__xludf.DUMMYFUNCTION("""COMPUTED_VALUE"""),"السادس أ (صيانة يده شباك) (بردة عدد 2 تلف)")</f>
        <v>السادس أ (صيانة يده شباك) (بردة عدد 2 تلف)</v>
      </c>
      <c r="I832" s="23"/>
      <c r="J832" s="23" t="s">
        <v>16</v>
      </c>
      <c r="K832" s="23" t="s">
        <v>13</v>
      </c>
      <c r="L832" s="32">
        <v>46189.570136608796</v>
      </c>
      <c r="M832" s="23"/>
    </row>
    <row r="833" spans="1:13" ht="75" customHeight="1" thickTop="1" thickBot="1">
      <c r="A833" s="25">
        <v>831</v>
      </c>
      <c r="B833" s="32">
        <f ca="1">IFERROR(__xludf.DUMMYFUNCTION("""COMPUTED_VALUE"""),46189.4698186805)</f>
        <v>46189.469818680504</v>
      </c>
      <c r="C833" s="33" t="str">
        <f ca="1">IFERROR(__xludf.DUMMYFUNCTION("""COMPUTED_VALUE"""),"المعملجي")</f>
        <v>المعملجي</v>
      </c>
      <c r="D833" s="33" t="str">
        <f ca="1">IFERROR(__xludf.DUMMYFUNCTION("""COMPUTED_VALUE"""),"ابراهيم الخطابي")</f>
        <v>ابراهيم الخطابي</v>
      </c>
      <c r="E833" s="23" t="str">
        <f ca="1">IFERROR(__xludf.DUMMYFUNCTION("""COMPUTED_VALUE"""),"مجموعة العميد التربوية")</f>
        <v>مجموعة العميد التربوية</v>
      </c>
      <c r="F833" s="23" t="str">
        <f ca="1">IFERROR(__xludf.DUMMYFUNCTION("""COMPUTED_VALUE"""),"E- ابتدائية العميد للبنات (الثالثة)")</f>
        <v>E- ابتدائية العميد للبنات (الثالثة)</v>
      </c>
      <c r="G833" s="23" t="str">
        <f ca="1">IFERROR(__xludf.DUMMYFUNCTION("""COMPUTED_VALUE"""),"الطابق الاول")</f>
        <v>الطابق الاول</v>
      </c>
      <c r="H833" s="23" t="str">
        <f ca="1">IFERROR(__xludf.DUMMYFUNCTION("""COMPUTED_VALUE"""),"السادس ب  ميز المعلم  /السادس د صيانة يدة شباك")</f>
        <v>السادس ب  ميز المعلم  /السادس د صيانة يدة شباك</v>
      </c>
      <c r="I833" s="23"/>
      <c r="J833" s="23" t="s">
        <v>16</v>
      </c>
      <c r="K833" s="23" t="s">
        <v>13</v>
      </c>
      <c r="L833" s="32">
        <v>46189.570188865742</v>
      </c>
      <c r="M833" s="23"/>
    </row>
    <row r="834" spans="1:13" ht="75" customHeight="1" thickTop="1" thickBot="1">
      <c r="A834" s="23">
        <v>832</v>
      </c>
      <c r="B834" s="32">
        <f ca="1">IFERROR(__xludf.DUMMYFUNCTION("""COMPUTED_VALUE"""),46189.4717410995)</f>
        <v>46189.4717410995</v>
      </c>
      <c r="C834" s="33" t="str">
        <f ca="1">IFERROR(__xludf.DUMMYFUNCTION("""COMPUTED_VALUE"""),"المعملجي")</f>
        <v>المعملجي</v>
      </c>
      <c r="D834" s="33" t="str">
        <f ca="1">IFERROR(__xludf.DUMMYFUNCTION("""COMPUTED_VALUE"""),"ابراهيم الخطابي")</f>
        <v>ابراهيم الخطابي</v>
      </c>
      <c r="E834" s="23" t="str">
        <f ca="1">IFERROR(__xludf.DUMMYFUNCTION("""COMPUTED_VALUE"""),"مجموعة العميد التربوية")</f>
        <v>مجموعة العميد التربوية</v>
      </c>
      <c r="F834" s="23" t="str">
        <f ca="1">IFERROR(__xludf.DUMMYFUNCTION("""COMPUTED_VALUE"""),"E- ابتدائية العميد للبنات (الثالثة)")</f>
        <v>E- ابتدائية العميد للبنات (الثالثة)</v>
      </c>
      <c r="G834" s="23" t="str">
        <f ca="1">IFERROR(__xludf.DUMMYFUNCTION("""COMPUTED_VALUE"""),"الطابق الاول")</f>
        <v>الطابق الاول</v>
      </c>
      <c r="H834" s="23" t="str">
        <f ca="1">IFERROR(__xludf.DUMMYFUNCTION("""COMPUTED_VALUE"""),"الساحة الخارجية الصف الثاني ج  (الركن صيانة بردات +ميز المعلمة)")</f>
        <v>الساحة الخارجية الصف الثاني ج  (الركن صيانة بردات +ميز المعلمة)</v>
      </c>
      <c r="I834" s="23"/>
      <c r="J834" s="23" t="s">
        <v>16</v>
      </c>
      <c r="K834" s="23" t="s">
        <v>13</v>
      </c>
      <c r="L834" s="32">
        <v>46189.570260949069</v>
      </c>
      <c r="M834" s="23"/>
    </row>
    <row r="835" spans="1:13" ht="75" customHeight="1" thickTop="1" thickBot="1">
      <c r="A835" s="25">
        <v>833</v>
      </c>
      <c r="B835" s="32">
        <f ca="1">IFERROR(__xludf.DUMMYFUNCTION("""COMPUTED_VALUE"""),46189.473308912)</f>
        <v>46189.473308911998</v>
      </c>
      <c r="C835" s="33" t="str">
        <f ca="1">IFERROR(__xludf.DUMMYFUNCTION("""COMPUTED_VALUE"""),"المعملجي")</f>
        <v>المعملجي</v>
      </c>
      <c r="D835" s="33" t="str">
        <f ca="1">IFERROR(__xludf.DUMMYFUNCTION("""COMPUTED_VALUE"""),"ابراهيم الخطابي")</f>
        <v>ابراهيم الخطابي</v>
      </c>
      <c r="E835" s="23" t="str">
        <f ca="1">IFERROR(__xludf.DUMMYFUNCTION("""COMPUTED_VALUE"""),"مجموعة العميد التربوية")</f>
        <v>مجموعة العميد التربوية</v>
      </c>
      <c r="F835" s="23" t="str">
        <f ca="1">IFERROR(__xludf.DUMMYFUNCTION("""COMPUTED_VALUE"""),"E- ابتدائية العميد للبنات (الثالثة)")</f>
        <v>E- ابتدائية العميد للبنات (الثالثة)</v>
      </c>
      <c r="G835" s="23" t="str">
        <f ca="1">IFERROR(__xludf.DUMMYFUNCTION("""COMPUTED_VALUE"""),"الطابق الاول")</f>
        <v>الطابق الاول</v>
      </c>
      <c r="H835" s="23" t="str">
        <f ca="1">IFERROR(__xludf.DUMMYFUNCTION("""COMPUTED_VALUE"""),"صف الثالث أ /صيانة بردات /صف الثالث ج/صيانة  بردة")</f>
        <v>صف الثالث أ /صيانة بردات /صف الثالث ج/صيانة  بردة</v>
      </c>
      <c r="I835" s="23"/>
      <c r="J835" s="23" t="s">
        <v>16</v>
      </c>
      <c r="K835" s="23" t="s">
        <v>13</v>
      </c>
      <c r="L835" s="32">
        <v>46189.570333344906</v>
      </c>
      <c r="M835" s="23"/>
    </row>
    <row r="836" spans="1:13" ht="75" customHeight="1" thickTop="1" thickBot="1">
      <c r="A836" s="23">
        <v>834</v>
      </c>
      <c r="B836" s="32">
        <f ca="1">IFERROR(__xludf.DUMMYFUNCTION("""COMPUTED_VALUE"""),46189.4744601504)</f>
        <v>46189.474460150399</v>
      </c>
      <c r="C836" s="33" t="str">
        <f ca="1">IFERROR(__xludf.DUMMYFUNCTION("""COMPUTED_VALUE"""),"المعملجي")</f>
        <v>المعملجي</v>
      </c>
      <c r="D836" s="33" t="str">
        <f ca="1">IFERROR(__xludf.DUMMYFUNCTION("""COMPUTED_VALUE"""),"ابراهيم الخطابي")</f>
        <v>ابراهيم الخطابي</v>
      </c>
      <c r="E836" s="23" t="str">
        <f ca="1">IFERROR(__xludf.DUMMYFUNCTION("""COMPUTED_VALUE"""),"مجموعة العميد التربوية")</f>
        <v>مجموعة العميد التربوية</v>
      </c>
      <c r="F836" s="23" t="str">
        <f ca="1">IFERROR(__xludf.DUMMYFUNCTION("""COMPUTED_VALUE"""),"E- ابتدائية العميد للبنات (الثالثة)")</f>
        <v>E- ابتدائية العميد للبنات (الثالثة)</v>
      </c>
      <c r="G836" s="23" t="str">
        <f ca="1">IFERROR(__xludf.DUMMYFUNCTION("""COMPUTED_VALUE"""),"الطابق الثاني")</f>
        <v>الطابق الثاني</v>
      </c>
      <c r="H836" s="23" t="str">
        <f ca="1">IFERROR(__xludf.DUMMYFUNCTION("""COMPUTED_VALUE"""),"مختبر العلوم //صيانة كرسي طالب")</f>
        <v>مختبر العلوم //صيانة كرسي طالب</v>
      </c>
      <c r="I836" s="23"/>
      <c r="J836" s="23" t="s">
        <v>16</v>
      </c>
      <c r="K836" s="23" t="s">
        <v>13</v>
      </c>
      <c r="L836" s="32">
        <v>46189.570397337964</v>
      </c>
      <c r="M836" s="23"/>
    </row>
    <row r="837" spans="1:13" ht="75" customHeight="1" thickTop="1" thickBot="1">
      <c r="A837" s="25">
        <v>835</v>
      </c>
      <c r="B837" s="32">
        <f ca="1">IFERROR(__xludf.DUMMYFUNCTION("""COMPUTED_VALUE"""),46189.4758059606)</f>
        <v>46189.475805960603</v>
      </c>
      <c r="C837" s="33" t="str">
        <f ca="1">IFERROR(__xludf.DUMMYFUNCTION("""COMPUTED_VALUE"""),"المعملجي")</f>
        <v>المعملجي</v>
      </c>
      <c r="D837" s="33" t="str">
        <f ca="1">IFERROR(__xludf.DUMMYFUNCTION("""COMPUTED_VALUE"""),"ابراهيم الخطابي")</f>
        <v>ابراهيم الخطابي</v>
      </c>
      <c r="E837" s="23" t="str">
        <f ca="1">IFERROR(__xludf.DUMMYFUNCTION("""COMPUTED_VALUE"""),"مجموعة العميد التربوية")</f>
        <v>مجموعة العميد التربوية</v>
      </c>
      <c r="F837" s="23" t="str">
        <f ca="1">IFERROR(__xludf.DUMMYFUNCTION("""COMPUTED_VALUE"""),"E- ابتدائية العميد للبنات (الثالثة)")</f>
        <v>E- ابتدائية العميد للبنات (الثالثة)</v>
      </c>
      <c r="G837" s="23" t="str">
        <f ca="1">IFERROR(__xludf.DUMMYFUNCTION("""COMPUTED_VALUE"""),"الطابق الثاني")</f>
        <v>الطابق الثاني</v>
      </c>
      <c r="H837" s="23" t="str">
        <f ca="1">IFERROR(__xludf.DUMMYFUNCTION("""COMPUTED_VALUE"""),"جهت المطعم توجد كراسي بحاجة للصيانة")</f>
        <v>جهت المطعم توجد كراسي بحاجة للصيانة</v>
      </c>
      <c r="I837" s="23"/>
      <c r="J837" s="23" t="s">
        <v>16</v>
      </c>
      <c r="K837" s="23" t="s">
        <v>13</v>
      </c>
      <c r="L837" s="32">
        <v>46189.599123657405</v>
      </c>
      <c r="M837" s="23"/>
    </row>
    <row r="838" spans="1:13" ht="75" customHeight="1" thickTop="1" thickBot="1">
      <c r="A838" s="23">
        <v>836</v>
      </c>
      <c r="B838" s="32">
        <f ca="1">IFERROR(__xludf.DUMMYFUNCTION("""COMPUTED_VALUE"""),46189.5442708449)</f>
        <v>46189.544270844897</v>
      </c>
      <c r="C838" s="33" t="str">
        <f ca="1">IFERROR(__xludf.DUMMYFUNCTION("""COMPUTED_VALUE"""),"المعملجي")</f>
        <v>المعملجي</v>
      </c>
      <c r="D838" s="33" t="str">
        <f ca="1">IFERROR(__xludf.DUMMYFUNCTION("""COMPUTED_VALUE"""),"ابراهيم الخطابي")</f>
        <v>ابراهيم الخطابي</v>
      </c>
      <c r="E838" s="23" t="str">
        <f ca="1">IFERROR(__xludf.DUMMYFUNCTION("""COMPUTED_VALUE"""),"مجموعة العميد التربوية")</f>
        <v>مجموعة العميد التربوية</v>
      </c>
      <c r="F838" s="23" t="str">
        <f ca="1">IFERROR(__xludf.DUMMYFUNCTION("""COMPUTED_VALUE"""),"H- ابتدائية القمر للبنات (الخامسة)")</f>
        <v>H- ابتدائية القمر للبنات (الخامسة)</v>
      </c>
      <c r="G838" s="23" t="str">
        <f ca="1">IFERROR(__xludf.DUMMYFUNCTION("""COMPUTED_VALUE"""),"الطابق الارضي")</f>
        <v>الطابق الارضي</v>
      </c>
      <c r="H838" s="23" t="str">
        <f ca="1">IFERROR(__xludf.DUMMYFUNCTION("""COMPUTED_VALUE"""),"صف الرابع ب  صيانة الشباك الهوائي")</f>
        <v>صف الرابع ب  صيانة الشباك الهوائي</v>
      </c>
      <c r="I838" s="23"/>
      <c r="J838" s="23" t="s">
        <v>16</v>
      </c>
      <c r="K838" s="23" t="s">
        <v>13</v>
      </c>
      <c r="L838" s="32">
        <v>46201.327320486111</v>
      </c>
      <c r="M838" s="23"/>
    </row>
    <row r="839" spans="1:13" ht="75" customHeight="1" thickTop="1" thickBot="1">
      <c r="A839" s="25">
        <v>837</v>
      </c>
      <c r="B839" s="32">
        <f ca="1">IFERROR(__xludf.DUMMYFUNCTION("""COMPUTED_VALUE"""),46195.3565927777)</f>
        <v>46195.356592777702</v>
      </c>
      <c r="C839" s="33" t="str">
        <f ca="1">IFERROR(__xludf.DUMMYFUNCTION("""COMPUTED_VALUE"""),"المعملجي")</f>
        <v>المعملجي</v>
      </c>
      <c r="D839" s="33" t="str">
        <f ca="1">IFERROR(__xludf.DUMMYFUNCTION("""COMPUTED_VALUE"""),"ابراهيم الخطابي")</f>
        <v>ابراهيم الخطابي</v>
      </c>
      <c r="E839" s="23" t="str">
        <f ca="1">IFERROR(__xludf.DUMMYFUNCTION("""COMPUTED_VALUE"""),"مجموعة العميد التربوية")</f>
        <v>مجموعة العميد التربوية</v>
      </c>
      <c r="F839" s="23" t="str">
        <f ca="1">IFERROR(__xludf.DUMMYFUNCTION("""COMPUTED_VALUE"""),"B- روضة القمر")</f>
        <v>B- روضة القمر</v>
      </c>
      <c r="G839" s="23" t="str">
        <f ca="1">IFERROR(__xludf.DUMMYFUNCTION("""COMPUTED_VALUE"""),"الطابق الارضي")</f>
        <v>الطابق الارضي</v>
      </c>
      <c r="H839" s="23" t="str">
        <f ca="1">IFERROR(__xludf.DUMMYFUNCTION("""COMPUTED_VALUE"""),"تعليق صبوره  صف النجوم")</f>
        <v>تعليق صبوره  صف النجوم</v>
      </c>
      <c r="I839" s="23"/>
      <c r="J839" s="23" t="s">
        <v>16</v>
      </c>
      <c r="K839" s="23" t="s">
        <v>13</v>
      </c>
      <c r="L839" s="32">
        <v>46201.330183217593</v>
      </c>
      <c r="M839" s="23"/>
    </row>
    <row r="840" spans="1:13" ht="75" customHeight="1" thickTop="1" thickBot="1">
      <c r="A840" s="23">
        <v>838</v>
      </c>
      <c r="B840" s="32">
        <f ca="1">IFERROR(__xludf.DUMMYFUNCTION("""COMPUTED_VALUE"""),46195.357486875)</f>
        <v>46195.357486875</v>
      </c>
      <c r="C840" s="33" t="str">
        <f ca="1">IFERROR(__xludf.DUMMYFUNCTION("""COMPUTED_VALUE"""),"المعملجي")</f>
        <v>المعملجي</v>
      </c>
      <c r="D840" s="33" t="str">
        <f ca="1">IFERROR(__xludf.DUMMYFUNCTION("""COMPUTED_VALUE"""),"ابراهيم الخطابي")</f>
        <v>ابراهيم الخطابي</v>
      </c>
      <c r="E840" s="23" t="str">
        <f ca="1">IFERROR(__xludf.DUMMYFUNCTION("""COMPUTED_VALUE"""),"مجموعة العميد التربوية")</f>
        <v>مجموعة العميد التربوية</v>
      </c>
      <c r="F840" s="23" t="str">
        <f ca="1">IFERROR(__xludf.DUMMYFUNCTION("""COMPUTED_VALUE"""),"B- روضة القمر")</f>
        <v>B- روضة القمر</v>
      </c>
      <c r="G840" s="23" t="str">
        <f ca="1">IFERROR(__xludf.DUMMYFUNCTION("""COMPUTED_VALUE"""),"الطابق الارضي")</f>
        <v>الطابق الارضي</v>
      </c>
      <c r="H840" s="23" t="str">
        <f ca="1">IFERROR(__xludf.DUMMYFUNCTION("""COMPUTED_VALUE"""),"صيانة مكتب الادارة الرئسية")</f>
        <v>صيانة مكتب الادارة الرئسية</v>
      </c>
      <c r="I840" s="23"/>
      <c r="J840" s="23" t="s">
        <v>16</v>
      </c>
      <c r="K840" s="23" t="s">
        <v>13</v>
      </c>
      <c r="L840" s="32">
        <v>46201.330244224533</v>
      </c>
      <c r="M840" s="23"/>
    </row>
    <row r="841" spans="1:13" ht="75" customHeight="1" thickTop="1" thickBot="1">
      <c r="A841" s="25">
        <v>839</v>
      </c>
      <c r="B841" s="32">
        <f ca="1">IFERROR(__xludf.DUMMYFUNCTION("""COMPUTED_VALUE"""),46195.44312103)</f>
        <v>46195.443121030003</v>
      </c>
      <c r="C841" s="33" t="str">
        <f ca="1">IFERROR(__xludf.DUMMYFUNCTION("""COMPUTED_VALUE"""),"المعملجي")</f>
        <v>المعملجي</v>
      </c>
      <c r="D841" s="33" t="str">
        <f ca="1">IFERROR(__xludf.DUMMYFUNCTION("""COMPUTED_VALUE"""),"ابراهيم الخطابي")</f>
        <v>ابراهيم الخطابي</v>
      </c>
      <c r="E841" s="23" t="str">
        <f ca="1">IFERROR(__xludf.DUMMYFUNCTION("""COMPUTED_VALUE"""),"مجموعة العميد التربوية")</f>
        <v>مجموعة العميد التربوية</v>
      </c>
      <c r="F841" s="23" t="str">
        <f ca="1">IFERROR(__xludf.DUMMYFUNCTION("""COMPUTED_VALUE"""),"H- ابتدائية القمر للبنات (الخامسة)")</f>
        <v>H- ابتدائية القمر للبنات (الخامسة)</v>
      </c>
      <c r="G841" s="23" t="str">
        <f ca="1">IFERROR(__xludf.DUMMYFUNCTION("""COMPUTED_VALUE"""),"الطابق الاول")</f>
        <v>الطابق الاول</v>
      </c>
      <c r="H841" s="23" t="str">
        <f ca="1">IFERROR(__xludf.DUMMYFUNCTION("""COMPUTED_VALUE"""),"الصف الرابع (ب) 
الشباك بحاجة الى صيانة")</f>
        <v>الصف الرابع (ب) 
الشباك بحاجة الى صيانة</v>
      </c>
      <c r="I841" s="23"/>
      <c r="J841" s="23" t="s">
        <v>16</v>
      </c>
      <c r="K841" s="23" t="s">
        <v>13</v>
      </c>
      <c r="L841" s="32">
        <v>46201.447893310185</v>
      </c>
      <c r="M841" s="23"/>
    </row>
    <row r="842" spans="1:13" ht="75" customHeight="1" thickTop="1" thickBot="1">
      <c r="A842" s="23">
        <v>840</v>
      </c>
      <c r="B842" s="32">
        <f ca="1">IFERROR(__xludf.DUMMYFUNCTION("""COMPUTED_VALUE"""),46200.5413211458)</f>
        <v>46200.5413211458</v>
      </c>
      <c r="C842" s="33" t="str">
        <f ca="1">IFERROR(__xludf.DUMMYFUNCTION("""COMPUTED_VALUE"""),"المعملجي")</f>
        <v>المعملجي</v>
      </c>
      <c r="D842" s="33" t="str">
        <f ca="1">IFERROR(__xludf.DUMMYFUNCTION("""COMPUTED_VALUE"""),"ابراهيم الخطابي")</f>
        <v>ابراهيم الخطابي</v>
      </c>
      <c r="E842" s="23" t="str">
        <f ca="1">IFERROR(__xludf.DUMMYFUNCTION("""COMPUTED_VALUE"""),"مجموعة العميد التربوية")</f>
        <v>مجموعة العميد التربوية</v>
      </c>
      <c r="F842" s="23" t="str">
        <f ca="1">IFERROR(__xludf.DUMMYFUNCTION("""COMPUTED_VALUE"""),"H- ابتدائية القمر للبنات (الخامسة)")</f>
        <v>H- ابتدائية القمر للبنات (الخامسة)</v>
      </c>
      <c r="G842" s="23" t="str">
        <f ca="1">IFERROR(__xludf.DUMMYFUNCTION("""COMPUTED_VALUE"""),"الطابق الاول")</f>
        <v>الطابق الاول</v>
      </c>
      <c r="H842" s="23" t="str">
        <f ca="1">IFERROR(__xludf.DUMMYFUNCTION("""COMPUTED_VALUE"""),"صيانة شباك الرابع ( ب)")</f>
        <v>صيانة شباك الرابع ( ب)</v>
      </c>
      <c r="I842" s="23"/>
      <c r="J842" s="23" t="s">
        <v>16</v>
      </c>
      <c r="K842" s="23" t="s">
        <v>13</v>
      </c>
      <c r="L842" s="32">
        <v>46201.44799148148</v>
      </c>
      <c r="M842" s="23"/>
    </row>
    <row r="843" spans="1:13" ht="75" customHeight="1" thickTop="1" thickBot="1">
      <c r="A843" s="25">
        <v>841</v>
      </c>
      <c r="B843" s="32">
        <f ca="1">IFERROR(__xludf.DUMMYFUNCTION("""COMPUTED_VALUE"""),46200.5420993518)</f>
        <v>46200.542099351798</v>
      </c>
      <c r="C843" s="33" t="str">
        <f ca="1">IFERROR(__xludf.DUMMYFUNCTION("""COMPUTED_VALUE"""),"المعملجي")</f>
        <v>المعملجي</v>
      </c>
      <c r="D843" s="33" t="str">
        <f ca="1">IFERROR(__xludf.DUMMYFUNCTION("""COMPUTED_VALUE"""),"ابراهيم الخطابي")</f>
        <v>ابراهيم الخطابي</v>
      </c>
      <c r="E843" s="23" t="str">
        <f ca="1">IFERROR(__xludf.DUMMYFUNCTION("""COMPUTED_VALUE"""),"مجموعة العميد التربوية")</f>
        <v>مجموعة العميد التربوية</v>
      </c>
      <c r="F843" s="23" t="str">
        <f ca="1">IFERROR(__xludf.DUMMYFUNCTION("""COMPUTED_VALUE"""),"H- ابتدائية القمر للبنات (الخامسة)")</f>
        <v>H- ابتدائية القمر للبنات (الخامسة)</v>
      </c>
      <c r="G843" s="23" t="str">
        <f ca="1">IFERROR(__xludf.DUMMYFUNCTION("""COMPUTED_VALUE"""),"الطابق الاول")</f>
        <v>الطابق الاول</v>
      </c>
      <c r="H843" s="23" t="str">
        <f ca="1">IFERROR(__xludf.DUMMYFUNCTION("""COMPUTED_VALUE"""),"صيانة ستائر المصلى")</f>
        <v>صيانة ستائر المصلى</v>
      </c>
      <c r="I843" s="23"/>
      <c r="J843" s="23" t="s">
        <v>16</v>
      </c>
      <c r="K843" s="23" t="s">
        <v>13</v>
      </c>
      <c r="L843" s="32">
        <v>46201.33087928241</v>
      </c>
      <c r="M843" s="23"/>
    </row>
    <row r="844" spans="1:13" ht="75" customHeight="1" thickTop="1" thickBot="1">
      <c r="A844" s="23">
        <v>842</v>
      </c>
      <c r="B844" s="32">
        <f ca="1">IFERROR(__xludf.DUMMYFUNCTION("""COMPUTED_VALUE"""),46200.5429404513)</f>
        <v>46200.542940451298</v>
      </c>
      <c r="C844" s="33" t="str">
        <f ca="1">IFERROR(__xludf.DUMMYFUNCTION("""COMPUTED_VALUE"""),"المعملجي")</f>
        <v>المعملجي</v>
      </c>
      <c r="D844" s="33" t="str">
        <f ca="1">IFERROR(__xludf.DUMMYFUNCTION("""COMPUTED_VALUE"""),"ابراهيم الخطابي")</f>
        <v>ابراهيم الخطابي</v>
      </c>
      <c r="E844" s="23" t="str">
        <f ca="1">IFERROR(__xludf.DUMMYFUNCTION("""COMPUTED_VALUE"""),"مجموعة العميد التربوية")</f>
        <v>مجموعة العميد التربوية</v>
      </c>
      <c r="F844" s="23" t="str">
        <f ca="1">IFERROR(__xludf.DUMMYFUNCTION("""COMPUTED_VALUE"""),"H- ابتدائية القمر للبنات (الخامسة)")</f>
        <v>H- ابتدائية القمر للبنات (الخامسة)</v>
      </c>
      <c r="G844" s="23"/>
      <c r="H844" s="23" t="str">
        <f ca="1">IFERROR(__xludf.DUMMYFUNCTION("""COMPUTED_VALUE"""),"صيانة كرسي معلم في المخزن")</f>
        <v>صيانة كرسي معلم في المخزن</v>
      </c>
      <c r="I844" s="23"/>
      <c r="J844" s="23" t="s">
        <v>16</v>
      </c>
      <c r="K844" s="23" t="s">
        <v>13</v>
      </c>
      <c r="L844" s="32">
        <v>46201.448048090278</v>
      </c>
      <c r="M844" s="23"/>
    </row>
    <row r="845" spans="1:13" ht="75" customHeight="1" thickTop="1" thickBot="1">
      <c r="A845" s="25">
        <v>843</v>
      </c>
      <c r="B845" s="32">
        <f ca="1">IFERROR(__xludf.DUMMYFUNCTION("""COMPUTED_VALUE"""),46200.5437769907)</f>
        <v>46200.5437769907</v>
      </c>
      <c r="C845" s="33" t="str">
        <f ca="1">IFERROR(__xludf.DUMMYFUNCTION("""COMPUTED_VALUE"""),"المعملجي")</f>
        <v>المعملجي</v>
      </c>
      <c r="D845" s="33" t="str">
        <f ca="1">IFERROR(__xludf.DUMMYFUNCTION("""COMPUTED_VALUE"""),"ابراهيم الخطابي")</f>
        <v>ابراهيم الخطابي</v>
      </c>
      <c r="E845" s="23" t="str">
        <f ca="1">IFERROR(__xludf.DUMMYFUNCTION("""COMPUTED_VALUE"""),"مجموعة العميد التربوية")</f>
        <v>مجموعة العميد التربوية</v>
      </c>
      <c r="F845" s="23" t="str">
        <f ca="1">IFERROR(__xludf.DUMMYFUNCTION("""COMPUTED_VALUE"""),"H- ابتدائية القمر للبنات (الخامسة)")</f>
        <v>H- ابتدائية القمر للبنات (الخامسة)</v>
      </c>
      <c r="G845" s="23"/>
      <c r="H845" s="23" t="str">
        <f ca="1">IFERROR(__xludf.DUMMYFUNCTION("""COMPUTED_VALUE"""),"صيانة لوكرات الاداره والارشاد والمخزن")</f>
        <v>صيانة لوكرات الاداره والارشاد والمخزن</v>
      </c>
      <c r="I845" s="23"/>
      <c r="J845" s="23" t="s">
        <v>16</v>
      </c>
      <c r="K845" s="23" t="s">
        <v>13</v>
      </c>
      <c r="L845" s="32">
        <v>46201.448113599537</v>
      </c>
      <c r="M845" s="23"/>
    </row>
    <row r="846" spans="1:13" ht="75" customHeight="1" thickTop="1" thickBot="1">
      <c r="A846" s="23">
        <v>844</v>
      </c>
      <c r="B846" s="32">
        <f ca="1">IFERROR(__xludf.DUMMYFUNCTION("""COMPUTED_VALUE"""),46200.5452591203)</f>
        <v>46200.545259120299</v>
      </c>
      <c r="C846" s="33" t="str">
        <f ca="1">IFERROR(__xludf.DUMMYFUNCTION("""COMPUTED_VALUE"""),"المعملجي")</f>
        <v>المعملجي</v>
      </c>
      <c r="D846" s="33" t="str">
        <f ca="1">IFERROR(__xludf.DUMMYFUNCTION("""COMPUTED_VALUE"""),"ابراهيم الخطابي")</f>
        <v>ابراهيم الخطابي</v>
      </c>
      <c r="E846" s="23" t="str">
        <f ca="1">IFERROR(__xludf.DUMMYFUNCTION("""COMPUTED_VALUE"""),"مجموعة العميد التربوية")</f>
        <v>مجموعة العميد التربوية</v>
      </c>
      <c r="F846" s="23" t="str">
        <f ca="1">IFERROR(__xludf.DUMMYFUNCTION("""COMPUTED_VALUE"""),"H- ابتدائية القمر للبنات (الخامسة)")</f>
        <v>H- ابتدائية القمر للبنات (الخامسة)</v>
      </c>
      <c r="G846" s="23" t="str">
        <f ca="1">IFERROR(__xludf.DUMMYFUNCTION("""COMPUTED_VALUE"""),"الطابق الاول")</f>
        <v>الطابق الاول</v>
      </c>
      <c r="H846" s="23" t="str">
        <f ca="1">IFERROR(__xludf.DUMMYFUNCTION("""COMPUTED_VALUE"""),"صيانة شباك الصف الخامس  أ")</f>
        <v>صيانة شباك الصف الخامس  أ</v>
      </c>
      <c r="I846" s="23"/>
      <c r="J846" s="23" t="s">
        <v>16</v>
      </c>
      <c r="K846" s="23" t="s">
        <v>13</v>
      </c>
      <c r="L846" s="32">
        <v>46201.448646307872</v>
      </c>
      <c r="M846" s="23"/>
    </row>
    <row r="847" spans="1:13" ht="75" customHeight="1" thickTop="1" thickBot="1">
      <c r="A847" s="25">
        <v>845</v>
      </c>
      <c r="B847" s="32">
        <f ca="1">IFERROR(__xludf.DUMMYFUNCTION("""COMPUTED_VALUE"""),46200.5461042476)</f>
        <v>46200.546104247602</v>
      </c>
      <c r="C847" s="33" t="str">
        <f ca="1">IFERROR(__xludf.DUMMYFUNCTION("""COMPUTED_VALUE"""),"المعملجي")</f>
        <v>المعملجي</v>
      </c>
      <c r="D847" s="33" t="str">
        <f ca="1">IFERROR(__xludf.DUMMYFUNCTION("""COMPUTED_VALUE"""),"ابراهيم الخطابي")</f>
        <v>ابراهيم الخطابي</v>
      </c>
      <c r="E847" s="23" t="str">
        <f ca="1">IFERROR(__xludf.DUMMYFUNCTION("""COMPUTED_VALUE"""),"مجموعة العميد التربوية")</f>
        <v>مجموعة العميد التربوية</v>
      </c>
      <c r="F847" s="23" t="str">
        <f ca="1">IFERROR(__xludf.DUMMYFUNCTION("""COMPUTED_VALUE"""),"H- ابتدائية القمر للبنات (الخامسة)")</f>
        <v>H- ابتدائية القمر للبنات (الخامسة)</v>
      </c>
      <c r="G847" s="23" t="str">
        <f ca="1">IFERROR(__xludf.DUMMYFUNCTION("""COMPUTED_VALUE"""),"الطابق الارضي")</f>
        <v>الطابق الارضي</v>
      </c>
      <c r="H847" s="23" t="str">
        <f ca="1">IFERROR(__xludf.DUMMYFUNCTION("""COMPUTED_VALUE"""),"صيانة شباك غرفة مجاور الارشاد")</f>
        <v>صيانة شباك غرفة مجاور الارشاد</v>
      </c>
      <c r="I847" s="23"/>
      <c r="J847" s="23" t="s">
        <v>16</v>
      </c>
      <c r="K847" s="23" t="s">
        <v>13</v>
      </c>
      <c r="L847" s="32">
        <v>46201.448720625005</v>
      </c>
      <c r="M847" s="23"/>
    </row>
    <row r="848" spans="1:13" ht="75" customHeight="1" thickTop="1" thickBot="1">
      <c r="A848" s="23">
        <v>846</v>
      </c>
      <c r="B848" s="32">
        <f ca="1">IFERROR(__xludf.DUMMYFUNCTION("""COMPUTED_VALUE"""),46201.3248260416)</f>
        <v>46201.3248260416</v>
      </c>
      <c r="C848" s="33" t="str">
        <f ca="1">IFERROR(__xludf.DUMMYFUNCTION("""COMPUTED_VALUE"""),"المعملجي")</f>
        <v>المعملجي</v>
      </c>
      <c r="D848" s="33" t="str">
        <f ca="1">IFERROR(__xludf.DUMMYFUNCTION("""COMPUTED_VALUE"""),"ابراهيم الخطابي")</f>
        <v>ابراهيم الخطابي</v>
      </c>
      <c r="E848" s="23" t="str">
        <f ca="1">IFERROR(__xludf.DUMMYFUNCTION("""COMPUTED_VALUE"""),"مجموعة العميد التربوية")</f>
        <v>مجموعة العميد التربوية</v>
      </c>
      <c r="F848" s="23" t="str">
        <f ca="1">IFERROR(__xludf.DUMMYFUNCTION("""COMPUTED_VALUE"""),"H- ابتدائية القمر للبنات (الخامسة)")</f>
        <v>H- ابتدائية القمر للبنات (الخامسة)</v>
      </c>
      <c r="G848" s="23"/>
      <c r="H848" s="23" t="str">
        <f ca="1">IFERROR(__xludf.DUMMYFUNCTION("""COMPUTED_VALUE"""),"صيانة لوكر")</f>
        <v>صيانة لوكر</v>
      </c>
      <c r="I848" s="23"/>
      <c r="J848" s="23" t="s">
        <v>16</v>
      </c>
      <c r="K848" s="23" t="s">
        <v>13</v>
      </c>
      <c r="L848" s="32">
        <v>46201.448627002319</v>
      </c>
      <c r="M848" s="23"/>
    </row>
    <row r="849" spans="1:13" ht="75" customHeight="1" thickTop="1" thickBot="1">
      <c r="A849" s="25">
        <v>847</v>
      </c>
      <c r="B849" s="32">
        <f ca="1">IFERROR(__xludf.DUMMYFUNCTION("""COMPUTED_VALUE"""),46201.3870256944)</f>
        <v>46201.387025694399</v>
      </c>
      <c r="C849" s="33" t="str">
        <f ca="1">IFERROR(__xludf.DUMMYFUNCTION("""COMPUTED_VALUE"""),"المعملجي")</f>
        <v>المعملجي</v>
      </c>
      <c r="D849" s="33" t="str">
        <f ca="1">IFERROR(__xludf.DUMMYFUNCTION("""COMPUTED_VALUE"""),"ابراهيم الخطابي")</f>
        <v>ابراهيم الخطابي</v>
      </c>
      <c r="E849" s="23" t="str">
        <f ca="1">IFERROR(__xludf.DUMMYFUNCTION("""COMPUTED_VALUE"""),"مجموعة العميد التربوية")</f>
        <v>مجموعة العميد التربوية</v>
      </c>
      <c r="F849" s="23" t="str">
        <f ca="1">IFERROR(__xludf.DUMMYFUNCTION("""COMPUTED_VALUE"""),"F-  ابتدائية جود العميد للبنات (الرابعة)")</f>
        <v>F-  ابتدائية جود العميد للبنات (الرابعة)</v>
      </c>
      <c r="G849" s="23"/>
      <c r="H849" s="23" t="str">
        <f ca="1">IFERROR(__xludf.DUMMYFUNCTION("""COMPUTED_VALUE"""),"صيانة الباب الرئيسي")</f>
        <v>صيانة الباب الرئيسي</v>
      </c>
      <c r="I849" s="23"/>
      <c r="J849" s="23" t="s">
        <v>16</v>
      </c>
      <c r="K849" s="23" t="s">
        <v>13</v>
      </c>
      <c r="L849" s="32">
        <v>46201.476858611109</v>
      </c>
      <c r="M849" s="23"/>
    </row>
    <row r="850" spans="1:13" ht="75" customHeight="1" thickTop="1" thickBot="1">
      <c r="A850" s="23">
        <v>848</v>
      </c>
      <c r="B850" s="32">
        <f ca="1">IFERROR(__xludf.DUMMYFUNCTION("""COMPUTED_VALUE"""),46201.4503048611)</f>
        <v>46201.4503048611</v>
      </c>
      <c r="C850" s="33" t="str">
        <f ca="1">IFERROR(__xludf.DUMMYFUNCTION("""COMPUTED_VALUE"""),"المعملجي")</f>
        <v>المعملجي</v>
      </c>
      <c r="D850" s="33" t="str">
        <f ca="1">IFERROR(__xludf.DUMMYFUNCTION("""COMPUTED_VALUE"""),"ابو سجاد ")</f>
        <v xml:space="preserve">ابو سجاد </v>
      </c>
      <c r="E850" s="23" t="str">
        <f ca="1">IFERROR(__xludf.DUMMYFUNCTION("""COMPUTED_VALUE"""),"مجموعة العميد التربوية")</f>
        <v>مجموعة العميد التربوية</v>
      </c>
      <c r="F850" s="23" t="str">
        <f ca="1">IFERROR(__xludf.DUMMYFUNCTION("""COMPUTED_VALUE"""),"E- ابتدائية العميد للبنات (الثالثة)")</f>
        <v>E- ابتدائية العميد للبنات (الثالثة)</v>
      </c>
      <c r="G850" s="23" t="str">
        <f ca="1">IFERROR(__xludf.DUMMYFUNCTION("""COMPUTED_VALUE"""),"الطابق الثاني")</f>
        <v>الطابق الثاني</v>
      </c>
      <c r="H850" s="23" t="str">
        <f ca="1">IFERROR(__xludf.DUMMYFUNCTION("""COMPUTED_VALUE"""),"صيانة كرسي في المختبر")</f>
        <v>صيانة كرسي في المختبر</v>
      </c>
      <c r="I850" s="23"/>
      <c r="J850" s="23" t="s">
        <v>16</v>
      </c>
      <c r="K850" s="23" t="s">
        <v>13</v>
      </c>
      <c r="L850" s="32">
        <v>46201.450383935182</v>
      </c>
      <c r="M850" s="23"/>
    </row>
    <row r="851" spans="1:13" ht="75" customHeight="1" thickTop="1" thickBot="1">
      <c r="A851" s="25">
        <v>849</v>
      </c>
      <c r="B851" s="32">
        <f ca="1">IFERROR(__xludf.DUMMYFUNCTION("""COMPUTED_VALUE"""),46203.2944915972)</f>
        <v>46203.294491597197</v>
      </c>
      <c r="C851" s="33" t="str">
        <f ca="1">IFERROR(__xludf.DUMMYFUNCTION("""COMPUTED_VALUE"""),"المعملجي")</f>
        <v>المعملجي</v>
      </c>
      <c r="D851" s="33" t="str">
        <f ca="1">IFERROR(__xludf.DUMMYFUNCTION("""COMPUTED_VALUE"""),"وحدة المدني")</f>
        <v>وحدة المدني</v>
      </c>
      <c r="E851" s="23" t="str">
        <f ca="1">IFERROR(__xludf.DUMMYFUNCTION("""COMPUTED_VALUE"""),"قسم المشاريع الهندسية")</f>
        <v>قسم المشاريع الهندسية</v>
      </c>
      <c r="F851" s="23" t="str">
        <f ca="1">IFERROR(__xludf.DUMMYFUNCTION("""COMPUTED_VALUE"""),"G- روضة الجود")</f>
        <v>G- روضة الجود</v>
      </c>
      <c r="G851" s="23" t="str">
        <f ca="1">IFERROR(__xludf.DUMMYFUNCTION("""COMPUTED_VALUE"""),"الطابق الارضي")</f>
        <v>الطابق الارضي</v>
      </c>
      <c r="H851" s="23" t="str">
        <f ca="1">IFERROR(__xludf.DUMMYFUNCTION("""COMPUTED_VALUE"""),"معجنة وصيانة حائط الطابق")</f>
        <v>معجنة وصيانة حائط الطابق</v>
      </c>
      <c r="I851" s="23"/>
      <c r="J851" s="23" t="s">
        <v>16</v>
      </c>
      <c r="K851" s="23" t="s">
        <v>13</v>
      </c>
      <c r="L851" s="32">
        <v>46203.303635821758</v>
      </c>
      <c r="M851" s="23"/>
    </row>
    <row r="852" spans="1:13" ht="75" customHeight="1" thickTop="1" thickBot="1">
      <c r="A852" s="23">
        <v>850</v>
      </c>
      <c r="B852" s="32">
        <f ca="1">IFERROR(__xludf.DUMMYFUNCTION("""COMPUTED_VALUE"""),46203.2948000925)</f>
        <v>46203.294800092503</v>
      </c>
      <c r="C852" s="33" t="str">
        <f ca="1">IFERROR(__xludf.DUMMYFUNCTION("""COMPUTED_VALUE"""),"المعملجي")</f>
        <v>المعملجي</v>
      </c>
      <c r="D852" s="33" t="str">
        <f ca="1">IFERROR(__xludf.DUMMYFUNCTION("""COMPUTED_VALUE"""),"وحدة المدني")</f>
        <v>وحدة المدني</v>
      </c>
      <c r="E852" s="23" t="str">
        <f ca="1">IFERROR(__xludf.DUMMYFUNCTION("""COMPUTED_VALUE"""),"قسم المشاريع الهندسية")</f>
        <v>قسم المشاريع الهندسية</v>
      </c>
      <c r="F852" s="23" t="str">
        <f ca="1">IFERROR(__xludf.DUMMYFUNCTION("""COMPUTED_VALUE"""),"G- روضة الجود")</f>
        <v>G- روضة الجود</v>
      </c>
      <c r="G852" s="23" t="str">
        <f ca="1">IFERROR(__xludf.DUMMYFUNCTION("""COMPUTED_VALUE"""),"الطابق الاول")</f>
        <v>الطابق الاول</v>
      </c>
      <c r="H852" s="23" t="str">
        <f ca="1">IFERROR(__xludf.DUMMYFUNCTION("""COMPUTED_VALUE"""),"معجنة وصيانة حائط الطابق")</f>
        <v>معجنة وصيانة حائط الطابق</v>
      </c>
      <c r="I852" s="23"/>
      <c r="J852" s="23" t="s">
        <v>16</v>
      </c>
      <c r="K852" s="23" t="s">
        <v>13</v>
      </c>
      <c r="L852" s="32">
        <v>46203.303635231481</v>
      </c>
      <c r="M852" s="23"/>
    </row>
    <row r="853" spans="1:13" ht="75" customHeight="1" thickTop="1" thickBot="1">
      <c r="A853" s="25">
        <v>851</v>
      </c>
      <c r="B853" s="32">
        <f ca="1">IFERROR(__xludf.DUMMYFUNCTION("""COMPUTED_VALUE"""),46203.2950542245)</f>
        <v>46203.295054224502</v>
      </c>
      <c r="C853" s="33" t="str">
        <f ca="1">IFERROR(__xludf.DUMMYFUNCTION("""COMPUTED_VALUE"""),"المعملجي")</f>
        <v>المعملجي</v>
      </c>
      <c r="D853" s="33" t="str">
        <f ca="1">IFERROR(__xludf.DUMMYFUNCTION("""COMPUTED_VALUE"""),"وحدة المدني")</f>
        <v>وحدة المدني</v>
      </c>
      <c r="E853" s="23" t="str">
        <f ca="1">IFERROR(__xludf.DUMMYFUNCTION("""COMPUTED_VALUE"""),"قسم المشاريع الهندسية")</f>
        <v>قسم المشاريع الهندسية</v>
      </c>
      <c r="F853" s="23" t="str">
        <f ca="1">IFERROR(__xludf.DUMMYFUNCTION("""COMPUTED_VALUE"""),"G- روضة الجود")</f>
        <v>G- روضة الجود</v>
      </c>
      <c r="G853" s="23" t="str">
        <f ca="1">IFERROR(__xludf.DUMMYFUNCTION("""COMPUTED_VALUE"""),"الطابق الثاني")</f>
        <v>الطابق الثاني</v>
      </c>
      <c r="H853" s="23" t="str">
        <f ca="1">IFERROR(__xludf.DUMMYFUNCTION("""COMPUTED_VALUE"""),"معجنة وصيانة حائط الطابق")</f>
        <v>معجنة وصيانة حائط الطابق</v>
      </c>
      <c r="I853" s="23"/>
      <c r="J853" s="23" t="s">
        <v>16</v>
      </c>
      <c r="K853" s="23" t="s">
        <v>13</v>
      </c>
      <c r="L853" s="32">
        <v>46203.303644826388</v>
      </c>
      <c r="M853" s="23"/>
    </row>
    <row r="854" spans="1:13" ht="75" customHeight="1" thickTop="1" thickBot="1">
      <c r="A854" s="23">
        <v>852</v>
      </c>
      <c r="B854" s="32">
        <f ca="1">IFERROR(__xludf.DUMMYFUNCTION("""COMPUTED_VALUE"""),46203.2973305555)</f>
        <v>46203.297330555499</v>
      </c>
      <c r="C854" s="33" t="str">
        <f ca="1">IFERROR(__xludf.DUMMYFUNCTION("""COMPUTED_VALUE"""),"المعملجي")</f>
        <v>المعملجي</v>
      </c>
      <c r="D854" s="33" t="str">
        <f ca="1">IFERROR(__xludf.DUMMYFUNCTION("""COMPUTED_VALUE"""),"وحدة المدني")</f>
        <v>وحدة المدني</v>
      </c>
      <c r="E854" s="23" t="str">
        <f ca="1">IFERROR(__xludf.DUMMYFUNCTION("""COMPUTED_VALUE"""),"قسم المشاريع الهندسية")</f>
        <v>قسم المشاريع الهندسية</v>
      </c>
      <c r="F854" s="23" t="str">
        <f ca="1">IFERROR(__xludf.DUMMYFUNCTION("""COMPUTED_VALUE"""),"B- روضة القمر")</f>
        <v>B- روضة القمر</v>
      </c>
      <c r="G854" s="23"/>
      <c r="H854" s="23" t="str">
        <f ca="1">IFERROR(__xludf.DUMMYFUNCTION("""COMPUTED_VALUE"""),"ارجاع قطعة مرمر قرب الروضة")</f>
        <v>ارجاع قطعة مرمر قرب الروضة</v>
      </c>
      <c r="I854" s="23"/>
      <c r="J854" s="23" t="s">
        <v>16</v>
      </c>
      <c r="K854" s="23" t="s">
        <v>13</v>
      </c>
      <c r="L854" s="32">
        <v>46203.303651226852</v>
      </c>
      <c r="M854" s="23"/>
    </row>
    <row r="855" spans="1:13" ht="75" customHeight="1" thickTop="1" thickBot="1">
      <c r="A855" s="25">
        <v>853</v>
      </c>
      <c r="B855" s="32">
        <f ca="1">IFERROR(__xludf.DUMMYFUNCTION("""COMPUTED_VALUE"""),46203.2976325231)</f>
        <v>46203.297632523099</v>
      </c>
      <c r="C855" s="33" t="str">
        <f ca="1">IFERROR(__xludf.DUMMYFUNCTION("""COMPUTED_VALUE"""),"المعملجي")</f>
        <v>المعملجي</v>
      </c>
      <c r="D855" s="33" t="str">
        <f ca="1">IFERROR(__xludf.DUMMYFUNCTION("""COMPUTED_VALUE"""),"وحدة المدني")</f>
        <v>وحدة المدني</v>
      </c>
      <c r="E855" s="23" t="str">
        <f ca="1">IFERROR(__xludf.DUMMYFUNCTION("""COMPUTED_VALUE"""),"قسم المشاريع الهندسية")</f>
        <v>قسم المشاريع الهندسية</v>
      </c>
      <c r="F855" s="23" t="str">
        <f ca="1">IFERROR(__xludf.DUMMYFUNCTION("""COMPUTED_VALUE"""),"النافورة")</f>
        <v>النافورة</v>
      </c>
      <c r="G855" s="23"/>
      <c r="H855" s="23" t="str">
        <f ca="1">IFERROR(__xludf.DUMMYFUNCTION("""COMPUTED_VALUE"""),"غسل النافورة")</f>
        <v>غسل النافورة</v>
      </c>
      <c r="I855" s="23"/>
      <c r="J855" s="23" t="s">
        <v>16</v>
      </c>
      <c r="K855" s="23" t="s">
        <v>13</v>
      </c>
      <c r="L855" s="32"/>
      <c r="M855" s="23"/>
    </row>
    <row r="856" spans="1:13" ht="75" customHeight="1" thickTop="1" thickBot="1">
      <c r="A856" s="23">
        <v>854</v>
      </c>
      <c r="B856" s="32">
        <f ca="1">IFERROR(__xludf.DUMMYFUNCTION("""COMPUTED_VALUE"""),46203.298926655)</f>
        <v>46203.298926654999</v>
      </c>
      <c r="C856" s="33" t="str">
        <f ca="1">IFERROR(__xludf.DUMMYFUNCTION("""COMPUTED_VALUE"""),"المعملجي")</f>
        <v>المعملجي</v>
      </c>
      <c r="D856" s="33" t="str">
        <f ca="1">IFERROR(__xludf.DUMMYFUNCTION("""COMPUTED_VALUE"""),"وحدة المدني")</f>
        <v>وحدة المدني</v>
      </c>
      <c r="E856" s="23" t="str">
        <f ca="1">IFERROR(__xludf.DUMMYFUNCTION("""COMPUTED_VALUE"""),"قسم المشاريع الهندسية")</f>
        <v>قسم المشاريع الهندسية</v>
      </c>
      <c r="F856" s="23" t="str">
        <f ca="1">IFERROR(__xludf.DUMMYFUNCTION("""COMPUTED_VALUE"""),"B- روضة القمر")</f>
        <v>B- روضة القمر</v>
      </c>
      <c r="G856" s="23" t="str">
        <f ca="1">IFERROR(__xludf.DUMMYFUNCTION("""COMPUTED_VALUE"""),"الطابق الارضي")</f>
        <v>الطابق الارضي</v>
      </c>
      <c r="H856" s="23" t="str">
        <f ca="1">IFERROR(__xludf.DUMMYFUNCTION("""COMPUTED_VALUE"""),"اعمال سنفرة ومعجنة")</f>
        <v>اعمال سنفرة ومعجنة</v>
      </c>
      <c r="I856" s="23"/>
      <c r="J856" s="23" t="s">
        <v>16</v>
      </c>
      <c r="K856" s="23" t="s">
        <v>13</v>
      </c>
      <c r="L856" s="32">
        <v>46203.303655555559</v>
      </c>
      <c r="M856" s="23"/>
    </row>
    <row r="857" spans="1:13" ht="75" customHeight="1" thickTop="1" thickBot="1">
      <c r="A857" s="25">
        <v>855</v>
      </c>
      <c r="B857" s="32">
        <f ca="1">IFERROR(__xludf.DUMMYFUNCTION("""COMPUTED_VALUE"""),46203.2991025115)</f>
        <v>46203.299102511497</v>
      </c>
      <c r="C857" s="33" t="str">
        <f ca="1">IFERROR(__xludf.DUMMYFUNCTION("""COMPUTED_VALUE"""),"المعملجي")</f>
        <v>المعملجي</v>
      </c>
      <c r="D857" s="33" t="str">
        <f ca="1">IFERROR(__xludf.DUMMYFUNCTION("""COMPUTED_VALUE"""),"وحدة المدني")</f>
        <v>وحدة المدني</v>
      </c>
      <c r="E857" s="23" t="str">
        <f ca="1">IFERROR(__xludf.DUMMYFUNCTION("""COMPUTED_VALUE"""),"قسم المشاريع الهندسية")</f>
        <v>قسم المشاريع الهندسية</v>
      </c>
      <c r="F857" s="23" t="str">
        <f ca="1">IFERROR(__xludf.DUMMYFUNCTION("""COMPUTED_VALUE"""),"B- روضة القمر")</f>
        <v>B- روضة القمر</v>
      </c>
      <c r="G857" s="23" t="str">
        <f ca="1">IFERROR(__xludf.DUMMYFUNCTION("""COMPUTED_VALUE"""),"الطابق الاول")</f>
        <v>الطابق الاول</v>
      </c>
      <c r="H857" s="23" t="str">
        <f ca="1">IFERROR(__xludf.DUMMYFUNCTION("""COMPUTED_VALUE"""),"اعمال سنفرة ومعجنة")</f>
        <v>اعمال سنفرة ومعجنة</v>
      </c>
      <c r="I857" s="23"/>
      <c r="J857" s="23" t="s">
        <v>16</v>
      </c>
      <c r="K857" s="23" t="s">
        <v>13</v>
      </c>
      <c r="L857" s="32">
        <v>46203.303665995365</v>
      </c>
      <c r="M857" s="23"/>
    </row>
    <row r="858" spans="1:13" ht="75" customHeight="1" thickTop="1" thickBot="1">
      <c r="A858" s="23">
        <v>856</v>
      </c>
      <c r="B858" s="32">
        <f ca="1">IFERROR(__xludf.DUMMYFUNCTION("""COMPUTED_VALUE"""),46203.2992356365)</f>
        <v>46203.299235636499</v>
      </c>
      <c r="C858" s="33" t="str">
        <f ca="1">IFERROR(__xludf.DUMMYFUNCTION("""COMPUTED_VALUE"""),"المعملجي")</f>
        <v>المعملجي</v>
      </c>
      <c r="D858" s="33" t="str">
        <f ca="1">IFERROR(__xludf.DUMMYFUNCTION("""COMPUTED_VALUE"""),"وحدة المدني")</f>
        <v>وحدة المدني</v>
      </c>
      <c r="E858" s="23" t="str">
        <f ca="1">IFERROR(__xludf.DUMMYFUNCTION("""COMPUTED_VALUE"""),"قسم المشاريع الهندسية")</f>
        <v>قسم المشاريع الهندسية</v>
      </c>
      <c r="F858" s="23" t="str">
        <f ca="1">IFERROR(__xludf.DUMMYFUNCTION("""COMPUTED_VALUE"""),"B- روضة القمر")</f>
        <v>B- روضة القمر</v>
      </c>
      <c r="G858" s="23" t="str">
        <f ca="1">IFERROR(__xludf.DUMMYFUNCTION("""COMPUTED_VALUE"""),"الطابق الثاني")</f>
        <v>الطابق الثاني</v>
      </c>
      <c r="H858" s="23" t="str">
        <f ca="1">IFERROR(__xludf.DUMMYFUNCTION("""COMPUTED_VALUE"""),"اعمال سنفرة ومعجنة")</f>
        <v>اعمال سنفرة ومعجنة</v>
      </c>
      <c r="I858" s="23"/>
      <c r="J858" s="23" t="s">
        <v>16</v>
      </c>
      <c r="K858" s="23" t="s">
        <v>13</v>
      </c>
      <c r="L858" s="32">
        <v>46203.303680613426</v>
      </c>
      <c r="M858" s="23"/>
    </row>
    <row r="859" spans="1:13" ht="75" customHeight="1" thickTop="1" thickBot="1">
      <c r="A859" s="25">
        <v>857</v>
      </c>
      <c r="B859" s="32">
        <f ca="1">IFERROR(__xludf.DUMMYFUNCTION("""COMPUTED_VALUE"""),46203.3001367013)</f>
        <v>46203.300136701298</v>
      </c>
      <c r="C859" s="33" t="str">
        <f ca="1">IFERROR(__xludf.DUMMYFUNCTION("""COMPUTED_VALUE"""),"المعملجي")</f>
        <v>المعملجي</v>
      </c>
      <c r="D859" s="33" t="str">
        <f ca="1">IFERROR(__xludf.DUMMYFUNCTION("""COMPUTED_VALUE"""),"وحدة المدني")</f>
        <v>وحدة المدني</v>
      </c>
      <c r="E859" s="23" t="str">
        <f ca="1">IFERROR(__xludf.DUMMYFUNCTION("""COMPUTED_VALUE"""),"قسم المشاريع الهندسية")</f>
        <v>قسم المشاريع الهندسية</v>
      </c>
      <c r="F859" s="23" t="str">
        <f ca="1">IFERROR(__xludf.DUMMYFUNCTION("""COMPUTED_VALUE"""),"B- روضة القمر")</f>
        <v>B- روضة القمر</v>
      </c>
      <c r="G859" s="23"/>
      <c r="H859" s="23" t="str">
        <f ca="1">IFERROR(__xludf.DUMMYFUNCTION("""COMPUTED_VALUE"""),"اعمال صبغ برايمر")</f>
        <v>اعمال صبغ برايمر</v>
      </c>
      <c r="I859" s="23"/>
      <c r="J859" s="23" t="s">
        <v>16</v>
      </c>
      <c r="K859" s="23" t="s">
        <v>13</v>
      </c>
      <c r="L859" s="32">
        <v>46203.303665300926</v>
      </c>
      <c r="M859" s="23"/>
    </row>
    <row r="860" spans="1:13" ht="75" customHeight="1" thickTop="1" thickBot="1">
      <c r="A860" s="23">
        <v>858</v>
      </c>
      <c r="B860" s="32">
        <f ca="1">IFERROR(__xludf.DUMMYFUNCTION("""COMPUTED_VALUE"""),46203.3002674652)</f>
        <v>46203.300267465202</v>
      </c>
      <c r="C860" s="33" t="str">
        <f ca="1">IFERROR(__xludf.DUMMYFUNCTION("""COMPUTED_VALUE"""),"المعملجي")</f>
        <v>المعملجي</v>
      </c>
      <c r="D860" s="33" t="str">
        <f ca="1">IFERROR(__xludf.DUMMYFUNCTION("""COMPUTED_VALUE"""),"وحدة المدني")</f>
        <v>وحدة المدني</v>
      </c>
      <c r="E860" s="23" t="str">
        <f ca="1">IFERROR(__xludf.DUMMYFUNCTION("""COMPUTED_VALUE"""),"قسم المشاريع الهندسية")</f>
        <v>قسم المشاريع الهندسية</v>
      </c>
      <c r="F860" s="23" t="str">
        <f ca="1">IFERROR(__xludf.DUMMYFUNCTION("""COMPUTED_VALUE"""),"G- روضة الجود")</f>
        <v>G- روضة الجود</v>
      </c>
      <c r="G860" s="23"/>
      <c r="H860" s="23" t="str">
        <f ca="1">IFERROR(__xludf.DUMMYFUNCTION("""COMPUTED_VALUE"""),"اعمال صبغ برايمر")</f>
        <v>اعمال صبغ برايمر</v>
      </c>
      <c r="I860" s="23"/>
      <c r="J860" s="23" t="s">
        <v>16</v>
      </c>
      <c r="K860" s="23" t="s">
        <v>13</v>
      </c>
      <c r="L860" s="32">
        <v>46203.303696805553</v>
      </c>
      <c r="M860" s="23"/>
    </row>
    <row r="861" spans="1:13" ht="75" customHeight="1" thickTop="1" thickBot="1">
      <c r="A861" s="25">
        <v>859</v>
      </c>
      <c r="B861" s="32">
        <f ca="1">IFERROR(__xludf.DUMMYFUNCTION("""COMPUTED_VALUE"""),46203.3009177662)</f>
        <v>46203.300917766202</v>
      </c>
      <c r="C861" s="33" t="str">
        <f ca="1">IFERROR(__xludf.DUMMYFUNCTION("""COMPUTED_VALUE"""),"المعملجي")</f>
        <v>المعملجي</v>
      </c>
      <c r="D861" s="33" t="str">
        <f ca="1">IFERROR(__xludf.DUMMYFUNCTION("""COMPUTED_VALUE"""),"وحدة المدني")</f>
        <v>وحدة المدني</v>
      </c>
      <c r="E861" s="23" t="str">
        <f ca="1">IFERROR(__xludf.DUMMYFUNCTION("""COMPUTED_VALUE"""),"قسم المشاريع الهندسية")</f>
        <v>قسم المشاريع الهندسية</v>
      </c>
      <c r="F861" s="23" t="str">
        <f ca="1">IFERROR(__xludf.DUMMYFUNCTION("""COMPUTED_VALUE"""),"B- روضة القمر")</f>
        <v>B- روضة القمر</v>
      </c>
      <c r="G861" s="23" t="str">
        <f ca="1">IFERROR(__xludf.DUMMYFUNCTION("""COMPUTED_VALUE"""),"الطابق الارضي")</f>
        <v>الطابق الارضي</v>
      </c>
      <c r="H861" s="23" t="str">
        <f ca="1">IFERROR(__xludf.DUMMYFUNCTION("""COMPUTED_VALUE"""),"اعمال شربتت حمام الروضة")</f>
        <v>اعمال شربتت حمام الروضة</v>
      </c>
      <c r="I861" s="23"/>
      <c r="J861" s="23" t="s">
        <v>16</v>
      </c>
      <c r="K861" s="23" t="s">
        <v>13</v>
      </c>
      <c r="L861" s="32">
        <v>46203.303705960643</v>
      </c>
      <c r="M861" s="23"/>
    </row>
    <row r="862" spans="1:13" ht="75" customHeight="1" thickTop="1" thickBot="1">
      <c r="A862" s="23">
        <v>860</v>
      </c>
      <c r="B862" s="32">
        <f ca="1">IFERROR(__xludf.DUMMYFUNCTION("""COMPUTED_VALUE"""),46203.3011615856)</f>
        <v>46203.301161585601</v>
      </c>
      <c r="C862" s="33" t="str">
        <f ca="1">IFERROR(__xludf.DUMMYFUNCTION("""COMPUTED_VALUE"""),"المعملجي")</f>
        <v>المعملجي</v>
      </c>
      <c r="D862" s="33" t="str">
        <f ca="1">IFERROR(__xludf.DUMMYFUNCTION("""COMPUTED_VALUE"""),"وحدة المدني")</f>
        <v>وحدة المدني</v>
      </c>
      <c r="E862" s="23" t="str">
        <f ca="1">IFERROR(__xludf.DUMMYFUNCTION("""COMPUTED_VALUE"""),"قسم المشاريع الهندسية")</f>
        <v>قسم المشاريع الهندسية</v>
      </c>
      <c r="F862" s="23" t="str">
        <f ca="1">IFERROR(__xludf.DUMMYFUNCTION("""COMPUTED_VALUE"""),"B- روضة القمر")</f>
        <v>B- روضة القمر</v>
      </c>
      <c r="G862" s="23" t="str">
        <f ca="1">IFERROR(__xludf.DUMMYFUNCTION("""COMPUTED_VALUE"""),"الطابق الثاني")</f>
        <v>الطابق الثاني</v>
      </c>
      <c r="H862" s="23" t="str">
        <f ca="1">IFERROR(__xludf.DUMMYFUNCTION("""COMPUTED_VALUE"""),"اعمال شربتت حمام الروضة")</f>
        <v>اعمال شربتت حمام الروضة</v>
      </c>
      <c r="I862" s="23"/>
      <c r="J862" s="23" t="s">
        <v>16</v>
      </c>
      <c r="K862" s="23" t="s">
        <v>13</v>
      </c>
      <c r="L862" s="32">
        <v>46203.30370971065</v>
      </c>
      <c r="M862" s="23"/>
    </row>
    <row r="863" spans="1:13" ht="75" customHeight="1" thickTop="1" thickBot="1">
      <c r="A863" s="25">
        <v>861</v>
      </c>
      <c r="B863" s="32">
        <f ca="1">IFERROR(__xludf.DUMMYFUNCTION("""COMPUTED_VALUE"""),46203.3015069791)</f>
        <v>46203.3015069791</v>
      </c>
      <c r="C863" s="33" t="str">
        <f ca="1">IFERROR(__xludf.DUMMYFUNCTION("""COMPUTED_VALUE"""),"المعملجي")</f>
        <v>المعملجي</v>
      </c>
      <c r="D863" s="33" t="str">
        <f ca="1">IFERROR(__xludf.DUMMYFUNCTION("""COMPUTED_VALUE"""),"وحدة المدني")</f>
        <v>وحدة المدني</v>
      </c>
      <c r="E863" s="23" t="str">
        <f ca="1">IFERROR(__xludf.DUMMYFUNCTION("""COMPUTED_VALUE"""),"قسم المشاريع الهندسية")</f>
        <v>قسم المشاريع الهندسية</v>
      </c>
      <c r="F863" s="23" t="str">
        <f ca="1">IFERROR(__xludf.DUMMYFUNCTION("""COMPUTED_VALUE"""),"H- ابتدائية القمر للبنات (الخامسة)")</f>
        <v>H- ابتدائية القمر للبنات (الخامسة)</v>
      </c>
      <c r="G863" s="23"/>
      <c r="H863" s="23" t="str">
        <f ca="1">IFERROR(__xludf.DUMMYFUNCTION("""COMPUTED_VALUE"""),"فتح بردات جميع صفوف المدرسة")</f>
        <v>فتح بردات جميع صفوف المدرسة</v>
      </c>
      <c r="I863" s="23"/>
      <c r="J863" s="23" t="s">
        <v>16</v>
      </c>
      <c r="K863" s="23" t="s">
        <v>13</v>
      </c>
      <c r="L863" s="32">
        <v>46203.305114664356</v>
      </c>
      <c r="M863" s="23"/>
    </row>
    <row r="864" spans="1:13" ht="75" customHeight="1" thickTop="1" thickBot="1">
      <c r="A864" s="23">
        <v>862</v>
      </c>
      <c r="B864" s="32">
        <f ca="1">IFERROR(__xludf.DUMMYFUNCTION("""COMPUTED_VALUE"""),46203.301756875)</f>
        <v>46203.301756875</v>
      </c>
      <c r="C864" s="33" t="str">
        <f ca="1">IFERROR(__xludf.DUMMYFUNCTION("""COMPUTED_VALUE"""),"المعملجي")</f>
        <v>المعملجي</v>
      </c>
      <c r="D864" s="33" t="str">
        <f ca="1">IFERROR(__xludf.DUMMYFUNCTION("""COMPUTED_VALUE"""),"وحدة المدني")</f>
        <v>وحدة المدني</v>
      </c>
      <c r="E864" s="23" t="str">
        <f ca="1">IFERROR(__xludf.DUMMYFUNCTION("""COMPUTED_VALUE"""),"قسم المشاريع الهندسية")</f>
        <v>قسم المشاريع الهندسية</v>
      </c>
      <c r="F864" s="23" t="str">
        <f ca="1">IFERROR(__xludf.DUMMYFUNCTION("""COMPUTED_VALUE"""),"B- روضة القمر")</f>
        <v>B- روضة القمر</v>
      </c>
      <c r="G864" s="23" t="str">
        <f ca="1">IFERROR(__xludf.DUMMYFUNCTION("""COMPUTED_VALUE"""),"الطابق الارضي")</f>
        <v>الطابق الارضي</v>
      </c>
      <c r="H864" s="23" t="str">
        <f ca="1">IFERROR(__xludf.DUMMYFUNCTION("""COMPUTED_VALUE"""),"اعمال صب الصحيات")</f>
        <v>اعمال صب الصحيات</v>
      </c>
      <c r="I864" s="23"/>
      <c r="J864" s="23" t="s">
        <v>16</v>
      </c>
      <c r="K864" s="23" t="s">
        <v>13</v>
      </c>
      <c r="L864" s="32">
        <v>46203.303718460651</v>
      </c>
      <c r="M864" s="23"/>
    </row>
    <row r="865" spans="1:13" ht="75" customHeight="1" thickTop="1" thickBot="1">
      <c r="A865" s="25">
        <v>863</v>
      </c>
      <c r="B865" s="32">
        <f ca="1">IFERROR(__xludf.DUMMYFUNCTION("""COMPUTED_VALUE"""),46203.3019150231)</f>
        <v>46203.301915023098</v>
      </c>
      <c r="C865" s="33" t="str">
        <f ca="1">IFERROR(__xludf.DUMMYFUNCTION("""COMPUTED_VALUE"""),"المعملجي")</f>
        <v>المعملجي</v>
      </c>
      <c r="D865" s="33" t="str">
        <f ca="1">IFERROR(__xludf.DUMMYFUNCTION("""COMPUTED_VALUE"""),"وحدة المدني")</f>
        <v>وحدة المدني</v>
      </c>
      <c r="E865" s="23" t="str">
        <f ca="1">IFERROR(__xludf.DUMMYFUNCTION("""COMPUTED_VALUE"""),"قسم المشاريع الهندسية")</f>
        <v>قسم المشاريع الهندسية</v>
      </c>
      <c r="F865" s="23" t="str">
        <f ca="1">IFERROR(__xludf.DUMMYFUNCTION("""COMPUTED_VALUE"""),"B- روضة القمر")</f>
        <v>B- روضة القمر</v>
      </c>
      <c r="G865" s="23" t="str">
        <f ca="1">IFERROR(__xludf.DUMMYFUNCTION("""COMPUTED_VALUE"""),"الطابق الثاني")</f>
        <v>الطابق الثاني</v>
      </c>
      <c r="H865" s="23" t="str">
        <f ca="1">IFERROR(__xludf.DUMMYFUNCTION("""COMPUTED_VALUE"""),"اعمال صب الصحيات")</f>
        <v>اعمال صب الصحيات</v>
      </c>
      <c r="I865" s="23"/>
      <c r="J865" s="23" t="s">
        <v>16</v>
      </c>
      <c r="K865" s="23" t="s">
        <v>13</v>
      </c>
      <c r="L865" s="32">
        <v>46203.305143935184</v>
      </c>
      <c r="M865" s="23"/>
    </row>
    <row r="866" spans="1:13" ht="75" customHeight="1" thickTop="1" thickBot="1">
      <c r="A866" s="23">
        <v>864</v>
      </c>
      <c r="B866" s="32">
        <f ca="1">IFERROR(__xludf.DUMMYFUNCTION("""COMPUTED_VALUE"""),46203.3023168171)</f>
        <v>46203.302316817098</v>
      </c>
      <c r="C866" s="33" t="str">
        <f ca="1">IFERROR(__xludf.DUMMYFUNCTION("""COMPUTED_VALUE"""),"المعملجي")</f>
        <v>المعملجي</v>
      </c>
      <c r="D866" s="33" t="str">
        <f ca="1">IFERROR(__xludf.DUMMYFUNCTION("""COMPUTED_VALUE"""),"وحدة المدني")</f>
        <v>وحدة المدني</v>
      </c>
      <c r="E866" s="23" t="str">
        <f ca="1">IFERROR(__xludf.DUMMYFUNCTION("""COMPUTED_VALUE"""),"قسم المشاريع الهندسية")</f>
        <v>قسم المشاريع الهندسية</v>
      </c>
      <c r="F866" s="23" t="str">
        <f ca="1">IFERROR(__xludf.DUMMYFUNCTION("""COMPUTED_VALUE"""),"B- روضة القمر")</f>
        <v>B- روضة القمر</v>
      </c>
      <c r="G866" s="23" t="str">
        <f ca="1">IFERROR(__xludf.DUMMYFUNCTION("""COMPUTED_VALUE"""),"الطابق الارضي")</f>
        <v>الطابق الارضي</v>
      </c>
      <c r="H866" s="23" t="str">
        <f ca="1">IFERROR(__xludf.DUMMYFUNCTION("""COMPUTED_VALUE"""),"تطبيك ارضية الصحيات")</f>
        <v>تطبيك ارضية الصحيات</v>
      </c>
      <c r="I866" s="23"/>
      <c r="J866" s="23" t="s">
        <v>16</v>
      </c>
      <c r="K866" s="23" t="s">
        <v>13</v>
      </c>
      <c r="L866" s="32">
        <v>46203.305153645837</v>
      </c>
      <c r="M866" s="23"/>
    </row>
    <row r="867" spans="1:13" ht="75" customHeight="1" thickTop="1" thickBot="1">
      <c r="A867" s="25">
        <v>865</v>
      </c>
      <c r="B867" s="32">
        <f ca="1">IFERROR(__xludf.DUMMYFUNCTION("""COMPUTED_VALUE"""),46203.3025131713)</f>
        <v>46203.3025131713</v>
      </c>
      <c r="C867" s="33" t="str">
        <f ca="1">IFERROR(__xludf.DUMMYFUNCTION("""COMPUTED_VALUE"""),"المعملجي")</f>
        <v>المعملجي</v>
      </c>
      <c r="D867" s="33" t="str">
        <f ca="1">IFERROR(__xludf.DUMMYFUNCTION("""COMPUTED_VALUE"""),"وحدة المدني")</f>
        <v>وحدة المدني</v>
      </c>
      <c r="E867" s="23" t="str">
        <f ca="1">IFERROR(__xludf.DUMMYFUNCTION("""COMPUTED_VALUE"""),"قسم المشاريع الهندسية")</f>
        <v>قسم المشاريع الهندسية</v>
      </c>
      <c r="F867" s="23" t="str">
        <f ca="1">IFERROR(__xludf.DUMMYFUNCTION("""COMPUTED_VALUE"""),"B- روضة القمر")</f>
        <v>B- روضة القمر</v>
      </c>
      <c r="G867" s="23" t="str">
        <f ca="1">IFERROR(__xludf.DUMMYFUNCTION("""COMPUTED_VALUE"""),"الطابق الثاني")</f>
        <v>الطابق الثاني</v>
      </c>
      <c r="H867" s="23" t="str">
        <f ca="1">IFERROR(__xludf.DUMMYFUNCTION("""COMPUTED_VALUE"""),"تطبيك ارضية الصحيات")</f>
        <v>تطبيك ارضية الصحيات</v>
      </c>
      <c r="I867" s="23"/>
      <c r="J867" s="23" t="s">
        <v>16</v>
      </c>
      <c r="K867" s="23" t="s">
        <v>13</v>
      </c>
      <c r="L867" s="32">
        <v>46203.305158680552</v>
      </c>
      <c r="M867" s="23"/>
    </row>
    <row r="868" spans="1:13" ht="75" customHeight="1" thickTop="1" thickBot="1">
      <c r="A868" s="23">
        <v>866</v>
      </c>
      <c r="B868" s="32">
        <f ca="1">IFERROR(__xludf.DUMMYFUNCTION("""COMPUTED_VALUE"""),46203.3035252662)</f>
        <v>46203.303525266201</v>
      </c>
      <c r="C868" s="33" t="str">
        <f ca="1">IFERROR(__xludf.DUMMYFUNCTION("""COMPUTED_VALUE"""),"المعملجي")</f>
        <v>المعملجي</v>
      </c>
      <c r="D868" s="33" t="str">
        <f ca="1">IFERROR(__xludf.DUMMYFUNCTION("""COMPUTED_VALUE"""),"وحدة المدني")</f>
        <v>وحدة المدني</v>
      </c>
      <c r="E868" s="23" t="str">
        <f ca="1">IFERROR(__xludf.DUMMYFUNCTION("""COMPUTED_VALUE"""),"قسم المشاريع الهندسية")</f>
        <v>قسم المشاريع الهندسية</v>
      </c>
      <c r="F868" s="23" t="str">
        <f ca="1">IFERROR(__xludf.DUMMYFUNCTION("""COMPUTED_VALUE"""),"H- ابتدائية القمر للبنات (الخامسة)")</f>
        <v>H- ابتدائية القمر للبنات (الخامسة)</v>
      </c>
      <c r="G868" s="23"/>
      <c r="H868" s="23" t="str">
        <f ca="1">IFERROR(__xludf.DUMMYFUNCTION("""COMPUTED_VALUE"""),"شد بردات جميع صفوف المدرسة")</f>
        <v>شد بردات جميع صفوف المدرسة</v>
      </c>
      <c r="I868" s="23"/>
      <c r="J868" s="23" t="s">
        <v>16</v>
      </c>
      <c r="K868" s="23" t="s">
        <v>13</v>
      </c>
      <c r="L868" s="32">
        <v>46203.305167604165</v>
      </c>
      <c r="M868" s="23"/>
    </row>
    <row r="869" spans="1:13" ht="75" customHeight="1" thickTop="1" thickBot="1">
      <c r="A869" s="25">
        <v>867</v>
      </c>
      <c r="B869" s="32">
        <f ca="1">IFERROR(__xludf.DUMMYFUNCTION("""COMPUTED_VALUE"""),46203.3043651157)</f>
        <v>46203.304365115699</v>
      </c>
      <c r="C869" s="33" t="str">
        <f ca="1">IFERROR(__xludf.DUMMYFUNCTION("""COMPUTED_VALUE"""),"المعملجي")</f>
        <v>المعملجي</v>
      </c>
      <c r="D869" s="33" t="str">
        <f ca="1">IFERROR(__xludf.DUMMYFUNCTION("""COMPUTED_VALUE"""),"وحدة المدني")</f>
        <v>وحدة المدني</v>
      </c>
      <c r="E869" s="23" t="str">
        <f ca="1">IFERROR(__xludf.DUMMYFUNCTION("""COMPUTED_VALUE"""),"قسم المشاريع الهندسية")</f>
        <v>قسم المشاريع الهندسية</v>
      </c>
      <c r="F869" s="23" t="str">
        <f ca="1">IFERROR(__xludf.DUMMYFUNCTION("""COMPUTED_VALUE"""),"B- روضة القمر")</f>
        <v>B- روضة القمر</v>
      </c>
      <c r="G869" s="23" t="str">
        <f ca="1">IFERROR(__xludf.DUMMYFUNCTION("""COMPUTED_VALUE"""),"الطابق الارضي")</f>
        <v>الطابق الارضي</v>
      </c>
      <c r="H869" s="23" t="str">
        <f ca="1">IFERROR(__xludf.DUMMYFUNCTION("""COMPUTED_VALUE"""),"اعمال حفر ورفع الانقاض من الصحيات")</f>
        <v>اعمال حفر ورفع الانقاض من الصحيات</v>
      </c>
      <c r="I869" s="23"/>
      <c r="J869" s="23" t="s">
        <v>16</v>
      </c>
      <c r="K869" s="23" t="s">
        <v>13</v>
      </c>
      <c r="L869" s="32"/>
      <c r="M869" s="23"/>
    </row>
    <row r="870" spans="1:13" ht="75" customHeight="1" thickTop="1" thickBot="1">
      <c r="A870" s="23">
        <v>868</v>
      </c>
      <c r="B870" s="32">
        <f ca="1">IFERROR(__xludf.DUMMYFUNCTION("""COMPUTED_VALUE"""),46203.30451228)</f>
        <v>46203.304512280003</v>
      </c>
      <c r="C870" s="33" t="str">
        <f ca="1">IFERROR(__xludf.DUMMYFUNCTION("""COMPUTED_VALUE"""),"المعملجي")</f>
        <v>المعملجي</v>
      </c>
      <c r="D870" s="33" t="str">
        <f ca="1">IFERROR(__xludf.DUMMYFUNCTION("""COMPUTED_VALUE"""),"وحدة المدني")</f>
        <v>وحدة المدني</v>
      </c>
      <c r="E870" s="23" t="str">
        <f ca="1">IFERROR(__xludf.DUMMYFUNCTION("""COMPUTED_VALUE"""),"قسم المشاريع الهندسية")</f>
        <v>قسم المشاريع الهندسية</v>
      </c>
      <c r="F870" s="23" t="str">
        <f ca="1">IFERROR(__xludf.DUMMYFUNCTION("""COMPUTED_VALUE"""),"B- روضة القمر")</f>
        <v>B- روضة القمر</v>
      </c>
      <c r="G870" s="23" t="str">
        <f ca="1">IFERROR(__xludf.DUMMYFUNCTION("""COMPUTED_VALUE"""),"الطابق الثاني")</f>
        <v>الطابق الثاني</v>
      </c>
      <c r="H870" s="23" t="str">
        <f ca="1">IFERROR(__xludf.DUMMYFUNCTION("""COMPUTED_VALUE"""),"اعمال حفر ورفع الانقاض من الصحيات")</f>
        <v>اعمال حفر ورفع الانقاض من الصحيات</v>
      </c>
      <c r="I870" s="23"/>
      <c r="J870" s="23" t="s">
        <v>16</v>
      </c>
      <c r="K870" s="23" t="s">
        <v>13</v>
      </c>
      <c r="L870" s="32">
        <v>46203.305182280092</v>
      </c>
      <c r="M870" s="23"/>
    </row>
    <row r="871" spans="1:13" ht="75" customHeight="1" thickTop="1" thickBot="1">
      <c r="A871" s="25">
        <v>869</v>
      </c>
      <c r="B871" s="32">
        <f ca="1">IFERROR(__xludf.DUMMYFUNCTION("""COMPUTED_VALUE"""),46203.3048088425)</f>
        <v>46203.304808842498</v>
      </c>
      <c r="C871" s="33" t="str">
        <f ca="1">IFERROR(__xludf.DUMMYFUNCTION("""COMPUTED_VALUE"""),"المعملجي")</f>
        <v>المعملجي</v>
      </c>
      <c r="D871" s="33" t="str">
        <f ca="1">IFERROR(__xludf.DUMMYFUNCTION("""COMPUTED_VALUE"""),"وحدة المدني")</f>
        <v>وحدة المدني</v>
      </c>
      <c r="E871" s="23" t="str">
        <f ca="1">IFERROR(__xludf.DUMMYFUNCTION("""COMPUTED_VALUE"""),"قسم المشاريع الهندسية")</f>
        <v>قسم المشاريع الهندسية</v>
      </c>
      <c r="F871" s="23" t="str">
        <f ca="1">IFERROR(__xludf.DUMMYFUNCTION("""COMPUTED_VALUE"""),"B- روضة القمر")</f>
        <v>B- روضة القمر</v>
      </c>
      <c r="G871" s="23" t="str">
        <f ca="1">IFERROR(__xludf.DUMMYFUNCTION("""COMPUTED_VALUE"""),"الطابق الارضي")</f>
        <v>الطابق الارضي</v>
      </c>
      <c r="H871" s="23" t="str">
        <f ca="1">IFERROR(__xludf.DUMMYFUNCTION("""COMPUTED_VALUE"""),"اعمال دفن الصحيات")</f>
        <v>اعمال دفن الصحيات</v>
      </c>
      <c r="I871" s="23"/>
      <c r="J871" s="23" t="s">
        <v>16</v>
      </c>
      <c r="K871" s="23" t="s">
        <v>13</v>
      </c>
      <c r="L871" s="32">
        <v>46203.305177372684</v>
      </c>
      <c r="M871" s="23"/>
    </row>
    <row r="872" spans="1:13" ht="75" customHeight="1" thickTop="1" thickBot="1">
      <c r="A872" s="23">
        <v>870</v>
      </c>
      <c r="B872" s="32">
        <f ca="1">IFERROR(__xludf.DUMMYFUNCTION("""COMPUTED_VALUE"""),46203.3050246412)</f>
        <v>46203.305024641202</v>
      </c>
      <c r="C872" s="33" t="str">
        <f ca="1">IFERROR(__xludf.DUMMYFUNCTION("""COMPUTED_VALUE"""),"المعملجي")</f>
        <v>المعملجي</v>
      </c>
      <c r="D872" s="33" t="str">
        <f ca="1">IFERROR(__xludf.DUMMYFUNCTION("""COMPUTED_VALUE"""),"وحدة المدني")</f>
        <v>وحدة المدني</v>
      </c>
      <c r="E872" s="23" t="str">
        <f ca="1">IFERROR(__xludf.DUMMYFUNCTION("""COMPUTED_VALUE"""),"قسم المشاريع الهندسية")</f>
        <v>قسم المشاريع الهندسية</v>
      </c>
      <c r="F872" s="23" t="str">
        <f ca="1">IFERROR(__xludf.DUMMYFUNCTION("""COMPUTED_VALUE"""),"B- روضة القمر")</f>
        <v>B- روضة القمر</v>
      </c>
      <c r="G872" s="23" t="str">
        <f ca="1">IFERROR(__xludf.DUMMYFUNCTION("""COMPUTED_VALUE"""),"الطابق الثاني")</f>
        <v>الطابق الثاني</v>
      </c>
      <c r="H872" s="23" t="str">
        <f ca="1">IFERROR(__xludf.DUMMYFUNCTION("""COMPUTED_VALUE"""),"اعمال دفن الصحيات")</f>
        <v>اعمال دفن الصحيات</v>
      </c>
      <c r="I872" s="23"/>
      <c r="J872" s="23" t="s">
        <v>16</v>
      </c>
      <c r="K872" s="23" t="s">
        <v>13</v>
      </c>
      <c r="L872" s="32">
        <v>46203.305679895835</v>
      </c>
      <c r="M872" s="23"/>
    </row>
    <row r="873" spans="1:13" ht="75" customHeight="1" thickTop="1" thickBot="1">
      <c r="A873" s="25">
        <v>871</v>
      </c>
      <c r="B873" s="32">
        <f ca="1">IFERROR(__xludf.DUMMYFUNCTION("""COMPUTED_VALUE"""),46203.3056156944)</f>
        <v>46203.3056156944</v>
      </c>
      <c r="C873" s="33" t="str">
        <f ca="1">IFERROR(__xludf.DUMMYFUNCTION("""COMPUTED_VALUE"""),"المعملجي")</f>
        <v>المعملجي</v>
      </c>
      <c r="D873" s="33" t="str">
        <f ca="1">IFERROR(__xludf.DUMMYFUNCTION("""COMPUTED_VALUE"""),"وحدة المدني")</f>
        <v>وحدة المدني</v>
      </c>
      <c r="E873" s="23" t="str">
        <f ca="1">IFERROR(__xludf.DUMMYFUNCTION("""COMPUTED_VALUE"""),"قسم المشاريع الهندسية")</f>
        <v>قسم المشاريع الهندسية</v>
      </c>
      <c r="F873" s="23" t="str">
        <f ca="1">IFERROR(__xludf.DUMMYFUNCTION("""COMPUTED_VALUE"""),"A- المركز الثقافي")</f>
        <v>A- المركز الثقافي</v>
      </c>
      <c r="G873" s="23" t="str">
        <f ca="1">IFERROR(__xludf.DUMMYFUNCTION("""COMPUTED_VALUE"""),"الطابق الارضي")</f>
        <v>الطابق الارضي</v>
      </c>
      <c r="H873" s="23" t="str">
        <f ca="1">IFERROR(__xludf.DUMMYFUNCTION("""COMPUTED_VALUE"""),"حفر ومد انبوب سبلت كنتوري")</f>
        <v>حفر ومد انبوب سبلت كنتوري</v>
      </c>
      <c r="I873" s="23"/>
      <c r="J873" s="23" t="s">
        <v>16</v>
      </c>
      <c r="K873" s="23" t="s">
        <v>13</v>
      </c>
      <c r="L873" s="32">
        <v>46203.30569695602</v>
      </c>
      <c r="M873" s="23"/>
    </row>
    <row r="874" spans="1:13" ht="75" customHeight="1" thickTop="1" thickBot="1">
      <c r="A874" s="23">
        <v>872</v>
      </c>
      <c r="B874" s="32">
        <f ca="1">IFERROR(__xludf.DUMMYFUNCTION("""COMPUTED_VALUE"""),46203.3060723611)</f>
        <v>46203.306072361098</v>
      </c>
      <c r="C874" s="33" t="str">
        <f ca="1">IFERROR(__xludf.DUMMYFUNCTION("""COMPUTED_VALUE"""),"المعملجي")</f>
        <v>المعملجي</v>
      </c>
      <c r="D874" s="33" t="str">
        <f ca="1">IFERROR(__xludf.DUMMYFUNCTION("""COMPUTED_VALUE"""),"وحدة المدني")</f>
        <v>وحدة المدني</v>
      </c>
      <c r="E874" s="23" t="str">
        <f ca="1">IFERROR(__xludf.DUMMYFUNCTION("""COMPUTED_VALUE"""),"قسم المشاريع الهندسية")</f>
        <v>قسم المشاريع الهندسية</v>
      </c>
      <c r="F874" s="23" t="str">
        <f ca="1">IFERROR(__xludf.DUMMYFUNCTION("""COMPUTED_VALUE"""),"A- المركز الثقافي")</f>
        <v>A- المركز الثقافي</v>
      </c>
      <c r="G874" s="23" t="str">
        <f ca="1">IFERROR(__xludf.DUMMYFUNCTION("""COMPUTED_VALUE"""),"الطابق الاول")</f>
        <v>الطابق الاول</v>
      </c>
      <c r="H874" s="23" t="str">
        <f ca="1">IFERROR(__xludf.DUMMYFUNCTION("""COMPUTED_VALUE"""),"حفر ومد انبوب سبلت")</f>
        <v>حفر ومد انبوب سبلت</v>
      </c>
      <c r="I874" s="23"/>
      <c r="J874" s="23" t="s">
        <v>16</v>
      </c>
      <c r="K874" s="23" t="s">
        <v>13</v>
      </c>
      <c r="L874" s="32">
        <v>46203.307512962958</v>
      </c>
      <c r="M874" s="23"/>
    </row>
    <row r="875" spans="1:13" ht="75" customHeight="1" thickTop="1" thickBot="1">
      <c r="A875" s="25">
        <v>873</v>
      </c>
      <c r="B875" s="32">
        <f ca="1">IFERROR(__xludf.DUMMYFUNCTION("""COMPUTED_VALUE"""),46203.3063373611)</f>
        <v>46203.3063373611</v>
      </c>
      <c r="C875" s="33" t="str">
        <f ca="1">IFERROR(__xludf.DUMMYFUNCTION("""COMPUTED_VALUE"""),"المعملجي")</f>
        <v>المعملجي</v>
      </c>
      <c r="D875" s="33" t="str">
        <f ca="1">IFERROR(__xludf.DUMMYFUNCTION("""COMPUTED_VALUE"""),"وحدة المدني")</f>
        <v>وحدة المدني</v>
      </c>
      <c r="E875" s="23" t="str">
        <f ca="1">IFERROR(__xludf.DUMMYFUNCTION("""COMPUTED_VALUE"""),"قسم المشاريع الهندسية")</f>
        <v>قسم المشاريع الهندسية</v>
      </c>
      <c r="F875" s="23" t="str">
        <f ca="1">IFERROR(__xludf.DUMMYFUNCTION("""COMPUTED_VALUE"""),"A- المركز الثقافي")</f>
        <v>A- المركز الثقافي</v>
      </c>
      <c r="G875" s="23" t="str">
        <f ca="1">IFERROR(__xludf.DUMMYFUNCTION("""COMPUTED_VALUE"""),"الطابق الثاني")</f>
        <v>الطابق الثاني</v>
      </c>
      <c r="H875" s="23" t="str">
        <f ca="1">IFERROR(__xludf.DUMMYFUNCTION("""COMPUTED_VALUE"""),"حفر ومد انبوب سبلت")</f>
        <v>حفر ومد انبوب سبلت</v>
      </c>
      <c r="I875" s="23"/>
      <c r="J875" s="23" t="s">
        <v>16</v>
      </c>
      <c r="K875" s="23" t="s">
        <v>13</v>
      </c>
      <c r="L875" s="32">
        <v>46203.307516944449</v>
      </c>
      <c r="M875" s="23"/>
    </row>
    <row r="876" spans="1:13" ht="75" customHeight="1" thickTop="1" thickBot="1">
      <c r="A876" s="23">
        <v>874</v>
      </c>
      <c r="B876" s="32">
        <f ca="1">IFERROR(__xludf.DUMMYFUNCTION("""COMPUTED_VALUE"""),46203.3070834722)</f>
        <v>46203.307083472202</v>
      </c>
      <c r="C876" s="33" t="str">
        <f ca="1">IFERROR(__xludf.DUMMYFUNCTION("""COMPUTED_VALUE"""),"المعملجي")</f>
        <v>المعملجي</v>
      </c>
      <c r="D876" s="33" t="str">
        <f ca="1">IFERROR(__xludf.DUMMYFUNCTION("""COMPUTED_VALUE"""),"وحدة المدني")</f>
        <v>وحدة المدني</v>
      </c>
      <c r="E876" s="23" t="str">
        <f ca="1">IFERROR(__xludf.DUMMYFUNCTION("""COMPUTED_VALUE"""),"قسم المشاريع الهندسية")</f>
        <v>قسم المشاريع الهندسية</v>
      </c>
      <c r="F876" s="23" t="str">
        <f ca="1">IFERROR(__xludf.DUMMYFUNCTION("""COMPUTED_VALUE"""),"H- ابتدائية القمر للبنات (الخامسة)")</f>
        <v>H- ابتدائية القمر للبنات (الخامسة)</v>
      </c>
      <c r="G876" s="23" t="str">
        <f ca="1">IFERROR(__xludf.DUMMYFUNCTION("""COMPUTED_VALUE"""),"السطح")</f>
        <v>السطح</v>
      </c>
      <c r="H876" s="23" t="str">
        <f ca="1">IFERROR(__xludf.DUMMYFUNCTION("""COMPUTED_VALUE"""),"اعمال صب سيفونة امطار")</f>
        <v>اعمال صب سيفونة امطار</v>
      </c>
      <c r="I876" s="23"/>
      <c r="J876" s="23" t="s">
        <v>16</v>
      </c>
      <c r="K876" s="23" t="s">
        <v>13</v>
      </c>
      <c r="L876" s="32">
        <v>46203.307526145829</v>
      </c>
      <c r="M876" s="23"/>
    </row>
    <row r="877" spans="1:13" ht="75" customHeight="1" thickTop="1" thickBot="1">
      <c r="A877" s="25">
        <v>875</v>
      </c>
      <c r="B877" s="32">
        <f ca="1">IFERROR(__xludf.DUMMYFUNCTION("""COMPUTED_VALUE"""),46203.3077497916)</f>
        <v>46203.307749791602</v>
      </c>
      <c r="C877" s="33" t="str">
        <f ca="1">IFERROR(__xludf.DUMMYFUNCTION("""COMPUTED_VALUE"""),"المعملجي")</f>
        <v>المعملجي</v>
      </c>
      <c r="D877" s="33" t="str">
        <f ca="1">IFERROR(__xludf.DUMMYFUNCTION("""COMPUTED_VALUE"""),"وحدة المدني")</f>
        <v>وحدة المدني</v>
      </c>
      <c r="E877" s="23" t="str">
        <f ca="1">IFERROR(__xludf.DUMMYFUNCTION("""COMPUTED_VALUE"""),"قسم المشاريع الهندسية")</f>
        <v>قسم المشاريع الهندسية</v>
      </c>
      <c r="F877" s="23" t="str">
        <f ca="1">IFERROR(__xludf.DUMMYFUNCTION("""COMPUTED_VALUE"""),"H- ابتدائية القمر للبنات (الخامسة)")</f>
        <v>H- ابتدائية القمر للبنات (الخامسة)</v>
      </c>
      <c r="G877" s="23" t="str">
        <f ca="1">IFERROR(__xludf.DUMMYFUNCTION("""COMPUTED_VALUE"""),"السطح")</f>
        <v>السطح</v>
      </c>
      <c r="H877" s="23" t="str">
        <f ca="1">IFERROR(__xludf.DUMMYFUNCTION("""COMPUTED_VALUE"""),"اعمال رفع الانقاض")</f>
        <v>اعمال رفع الانقاض</v>
      </c>
      <c r="I877" s="23"/>
      <c r="J877" s="23" t="s">
        <v>16</v>
      </c>
      <c r="K877" s="23" t="s">
        <v>13</v>
      </c>
      <c r="L877" s="32">
        <v>46203.307802430558</v>
      </c>
      <c r="M877" s="23"/>
    </row>
    <row r="878" spans="1:13" ht="75" customHeight="1" thickTop="1" thickBot="1">
      <c r="A878" s="23">
        <v>876</v>
      </c>
      <c r="B878" s="32">
        <f ca="1">IFERROR(__xludf.DUMMYFUNCTION("""COMPUTED_VALUE"""),46203.5962764814)</f>
        <v>46203.596276481403</v>
      </c>
      <c r="C878" s="33" t="str">
        <f ca="1">IFERROR(__xludf.DUMMYFUNCTION("""COMPUTED_VALUE"""),"المعملجي")</f>
        <v>المعملجي</v>
      </c>
      <c r="D878" s="33" t="str">
        <f ca="1">IFERROR(__xludf.DUMMYFUNCTION("""COMPUTED_VALUE"""),"وحدة المدني")</f>
        <v>وحدة المدني</v>
      </c>
      <c r="E878" s="23" t="str">
        <f ca="1">IFERROR(__xludf.DUMMYFUNCTION("""COMPUTED_VALUE"""),"قسم المشاريع الهندسية")</f>
        <v>قسم المشاريع الهندسية</v>
      </c>
      <c r="F878" s="23" t="str">
        <f ca="1">IFERROR(__xludf.DUMMYFUNCTION("""COMPUTED_VALUE"""),"F-  ابتدائية جود العميد للبنات (الرابعة)")</f>
        <v>F-  ابتدائية جود العميد للبنات (الرابعة)</v>
      </c>
      <c r="G878" s="23" t="str">
        <f ca="1">IFERROR(__xludf.DUMMYFUNCTION("""COMPUTED_VALUE"""),"الطابق الثاني")</f>
        <v>الطابق الثاني</v>
      </c>
      <c r="H878" s="23" t="str">
        <f ca="1">IFERROR(__xludf.DUMMYFUNCTION("""COMPUTED_VALUE"""),"فتح وشد بردة")</f>
        <v>فتح وشد بردة</v>
      </c>
      <c r="I878" s="23"/>
      <c r="J878" s="23" t="s">
        <v>16</v>
      </c>
      <c r="K878" s="23" t="s">
        <v>13</v>
      </c>
      <c r="L878" s="32">
        <v>46203.596871805552</v>
      </c>
      <c r="M878" s="23"/>
    </row>
    <row r="879" spans="1:13" ht="75" customHeight="1" thickTop="1" thickBot="1">
      <c r="A879" s="25">
        <v>877</v>
      </c>
      <c r="B879" s="32">
        <f ca="1">IFERROR(__xludf.DUMMYFUNCTION("""COMPUTED_VALUE"""),46201.3843836805)</f>
        <v>46201.384383680503</v>
      </c>
      <c r="C879" s="33" t="str">
        <f ca="1">IFERROR(__xludf.DUMMYFUNCTION("""COMPUTED_VALUE"""),"المعملجي")</f>
        <v>المعملجي</v>
      </c>
      <c r="D879" s="33" t="str">
        <f ca="1">IFERROR(__xludf.DUMMYFUNCTION("""COMPUTED_VALUE"""),"ابراهيم الخطابي")</f>
        <v>ابراهيم الخطابي</v>
      </c>
      <c r="E879" s="23" t="str">
        <f ca="1">IFERROR(__xludf.DUMMYFUNCTION("""COMPUTED_VALUE"""),"مجموعة العميد التربوية")</f>
        <v>مجموعة العميد التربوية</v>
      </c>
      <c r="F879" s="23" t="str">
        <f ca="1">IFERROR(__xludf.DUMMYFUNCTION("""COMPUTED_VALUE"""),"B- روضة القمر")</f>
        <v>B- روضة القمر</v>
      </c>
      <c r="G879" s="23"/>
      <c r="H879" s="23" t="str">
        <f ca="1">IFERROR(__xludf.DUMMYFUNCTION("""COMPUTED_VALUE"""),"صبغ الروضة")</f>
        <v>صبغ الروضة</v>
      </c>
      <c r="I879" s="23"/>
      <c r="J879" s="23" t="s">
        <v>16</v>
      </c>
      <c r="K879" s="23" t="s">
        <v>92</v>
      </c>
      <c r="L879" s="32">
        <v>46201.450613703702</v>
      </c>
      <c r="M879" s="23"/>
    </row>
    <row r="880" spans="1:13" ht="75" customHeight="1" thickTop="1" thickBot="1">
      <c r="A880" s="23">
        <v>878</v>
      </c>
      <c r="B880" s="32">
        <f ca="1">IFERROR(__xludf.DUMMYFUNCTION("""COMPUTED_VALUE"""),46201.3837840856)</f>
        <v>46201.383784085599</v>
      </c>
      <c r="C880" s="33" t="str">
        <f ca="1">IFERROR(__xludf.DUMMYFUNCTION("""COMPUTED_VALUE"""),"المعملجي")</f>
        <v>المعملجي</v>
      </c>
      <c r="D880" s="33" t="str">
        <f ca="1">IFERROR(__xludf.DUMMYFUNCTION("""COMPUTED_VALUE"""),"ابراهيم الخطابي")</f>
        <v>ابراهيم الخطابي</v>
      </c>
      <c r="E880" s="23" t="str">
        <f ca="1">IFERROR(__xludf.DUMMYFUNCTION("""COMPUTED_VALUE"""),"مجموعة العميد التربوية")</f>
        <v>مجموعة العميد التربوية</v>
      </c>
      <c r="F880" s="23" t="str">
        <f ca="1">IFERROR(__xludf.DUMMYFUNCTION("""COMPUTED_VALUE"""),"B- روضة القمر")</f>
        <v>B- روضة القمر</v>
      </c>
      <c r="G880" s="23"/>
      <c r="H880" s="23" t="str">
        <f ca="1">IFERROR(__xludf.DUMMYFUNCTION("""COMPUTED_VALUE"""),"اضافة حمام غربي")</f>
        <v>اضافة حمام غربي</v>
      </c>
      <c r="I880" s="23"/>
      <c r="J880" s="23" t="s">
        <v>14</v>
      </c>
      <c r="K880" s="23" t="s">
        <v>87</v>
      </c>
      <c r="L880" s="32">
        <v>46201.450901828706</v>
      </c>
      <c r="M880" s="23" t="s">
        <v>93</v>
      </c>
    </row>
    <row r="881" spans="1:13" ht="75" customHeight="1" thickTop="1" thickBot="1">
      <c r="A881" s="25">
        <v>879</v>
      </c>
      <c r="B881" s="32">
        <f ca="1">IFERROR(__xludf.DUMMYFUNCTION("QUERY('الطلبات'!A2:O1540, ""SELECT A,C,D,E,F,G,H,I WHERE C='المعملجي' "")"),46113.3205052777)</f>
        <v>46113.320505277698</v>
      </c>
      <c r="C881" s="33" t="str">
        <f ca="1">IFERROR(__xludf.DUMMYFUNCTION("""COMPUTED_VALUE"""),"المعملجي")</f>
        <v>المعملجي</v>
      </c>
      <c r="D881" s="33" t="str">
        <f ca="1">IFERROR(__xludf.DUMMYFUNCTION("""COMPUTED_VALUE"""),"سجاد تربية")</f>
        <v>سجاد تربية</v>
      </c>
      <c r="E881" s="23" t="str">
        <f ca="1">IFERROR(__xludf.DUMMYFUNCTION("""COMPUTED_VALUE"""),"قسم التربية والتعليم العالي")</f>
        <v>قسم التربية والتعليم العالي</v>
      </c>
      <c r="F881" s="23" t="str">
        <f ca="1">IFERROR(__xludf.DUMMYFUNCTION("""COMPUTED_VALUE"""),"I- ابتدائية الساقي للبنين (السادسة)")</f>
        <v>I- ابتدائية الساقي للبنين (السادسة)</v>
      </c>
      <c r="G881" s="23" t="str">
        <f ca="1">IFERROR(__xludf.DUMMYFUNCTION("""COMPUTED_VALUE"""),".")</f>
        <v>.</v>
      </c>
      <c r="H881" s="40" t="str">
        <f ca="1">IFERROR(__xludf.DUMMYFUNCTION("""COMPUTED_VALUE"""),"لايوجد ماء شرب")</f>
        <v>لايوجد ماء شرب</v>
      </c>
      <c r="I881" s="23"/>
      <c r="J881" s="23" t="s">
        <v>14</v>
      </c>
      <c r="K881" s="23" t="s">
        <v>13</v>
      </c>
      <c r="L881" s="32">
        <v>46113.379850081023</v>
      </c>
      <c r="M881" s="23"/>
    </row>
    <row r="882" spans="1:13" ht="75" customHeight="1" thickTop="1" thickBot="1">
      <c r="A882" s="23">
        <v>880</v>
      </c>
      <c r="B882" s="32">
        <f ca="1">IFERROR(__xludf.DUMMYFUNCTION("""COMPUTED_VALUE"""),46113.3218137963)</f>
        <v>46113.321813796298</v>
      </c>
      <c r="C882" s="33" t="str">
        <f ca="1">IFERROR(__xludf.DUMMYFUNCTION("""COMPUTED_VALUE"""),"المعملجي")</f>
        <v>المعملجي</v>
      </c>
      <c r="D882" s="33" t="str">
        <f ca="1">IFERROR(__xludf.DUMMYFUNCTION("""COMPUTED_VALUE"""),"سجاد تربية")</f>
        <v>سجاد تربية</v>
      </c>
      <c r="E882" s="23" t="str">
        <f ca="1">IFERROR(__xludf.DUMMYFUNCTION("""COMPUTED_VALUE"""),"قسم التربية والتعليم العالي")</f>
        <v>قسم التربية والتعليم العالي</v>
      </c>
      <c r="F882" s="23" t="str">
        <f ca="1">IFERROR(__xludf.DUMMYFUNCTION("""COMPUTED_VALUE"""),"I- ابتدائية الساقي للبنين (السادسة)")</f>
        <v>I- ابتدائية الساقي للبنين (السادسة)</v>
      </c>
      <c r="G882" s="23" t="str">
        <f ca="1">IFERROR(__xludf.DUMMYFUNCTION("""COMPUTED_VALUE"""),"الطابق الاول")</f>
        <v>الطابق الاول</v>
      </c>
      <c r="H882" s="40" t="str">
        <f ca="1">IFERROR(__xludf.DUMMYFUNCTION("""COMPUTED_VALUE"""),"لايوجد ماء في الحمامات")</f>
        <v>لايوجد ماء في الحمامات</v>
      </c>
      <c r="I882" s="23"/>
      <c r="J882" s="23" t="s">
        <v>14</v>
      </c>
      <c r="K882" s="23" t="s">
        <v>13</v>
      </c>
      <c r="L882" s="32">
        <v>46113.379824641204</v>
      </c>
      <c r="M882" s="23"/>
    </row>
    <row r="883" spans="1:13" ht="75" customHeight="1" thickTop="1" thickBot="1">
      <c r="A883" s="25">
        <v>881</v>
      </c>
      <c r="B883" s="32">
        <f ca="1">IFERROR(__xludf.DUMMYFUNCTION("""COMPUTED_VALUE"""),46114.3570548958)</f>
        <v>46114.357054895801</v>
      </c>
      <c r="C883" s="33" t="str">
        <f ca="1">IFERROR(__xludf.DUMMYFUNCTION("""COMPUTED_VALUE"""),"المعملجي")</f>
        <v>المعملجي</v>
      </c>
      <c r="D883" s="33" t="str">
        <f ca="1">IFERROR(__xludf.DUMMYFUNCTION("""COMPUTED_VALUE"""),"سجاد تربية")</f>
        <v>سجاد تربية</v>
      </c>
      <c r="E883" s="23" t="str">
        <f ca="1">IFERROR(__xludf.DUMMYFUNCTION("""COMPUTED_VALUE"""),"قسم التربية والتعليم العالي")</f>
        <v>قسم التربية والتعليم العالي</v>
      </c>
      <c r="F883" s="23" t="str">
        <f ca="1">IFERROR(__xludf.DUMMYFUNCTION("""COMPUTED_VALUE"""),"H- ابتدائية القمر للبنات (الخامسة)")</f>
        <v>H- ابتدائية القمر للبنات (الخامسة)</v>
      </c>
      <c r="G883" s="23" t="str">
        <f ca="1">IFERROR(__xludf.DUMMYFUNCTION("""COMPUTED_VALUE"""),"الطابق الارضي")</f>
        <v>الطابق الارضي</v>
      </c>
      <c r="H883" s="23" t="str">
        <f ca="1">IFERROR(__xludf.DUMMYFUNCTION("""COMPUTED_VALUE"""),"لا يوجد ماء ")</f>
        <v xml:space="preserve">لا يوجد ماء </v>
      </c>
      <c r="I883" s="23"/>
      <c r="J883" s="23" t="s">
        <v>14</v>
      </c>
      <c r="K883" s="23" t="s">
        <v>13</v>
      </c>
      <c r="L883" s="32">
        <v>46114.444166296293</v>
      </c>
      <c r="M883" s="23"/>
    </row>
    <row r="884" spans="1:13" ht="75" customHeight="1" thickTop="1" thickBot="1">
      <c r="A884" s="23">
        <v>882</v>
      </c>
      <c r="B884" s="32">
        <f ca="1">IFERROR(__xludf.DUMMYFUNCTION("""COMPUTED_VALUE"""),46114.3760262847)</f>
        <v>46114.376026284699</v>
      </c>
      <c r="C884" s="33" t="str">
        <f ca="1">IFERROR(__xludf.DUMMYFUNCTION("""COMPUTED_VALUE"""),"المعملجي")</f>
        <v>المعملجي</v>
      </c>
      <c r="D884" s="33" t="str">
        <f ca="1">IFERROR(__xludf.DUMMYFUNCTION("""COMPUTED_VALUE"""),"سجاد تربية")</f>
        <v>سجاد تربية</v>
      </c>
      <c r="E884" s="23" t="str">
        <f ca="1">IFERROR(__xludf.DUMMYFUNCTION("""COMPUTED_VALUE"""),"قسم التربية والتعليم العالي")</f>
        <v>قسم التربية والتعليم العالي</v>
      </c>
      <c r="F884" s="23" t="str">
        <f ca="1">IFERROR(__xludf.DUMMYFUNCTION("""COMPUTED_VALUE"""),"F-  ابتدائية جود العميد للبنات (الرابعة)")</f>
        <v>F-  ابتدائية جود العميد للبنات (الرابعة)</v>
      </c>
      <c r="G884" s="23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884" s="23" t="str">
        <f ca="1">IFERROR(__xludf.DUMMYFUNCTION("""COMPUTED_VALUE"""),"متابعة ومعالجة طفايات الحريق ")</f>
        <v xml:space="preserve">متابعة ومعالجة طفايات الحريق </v>
      </c>
      <c r="I884" s="23"/>
      <c r="J884" s="23" t="s">
        <v>14</v>
      </c>
      <c r="K884" s="23" t="s">
        <v>13</v>
      </c>
      <c r="L884" s="32">
        <v>46158.34655185185</v>
      </c>
      <c r="M884" s="23"/>
    </row>
    <row r="885" spans="1:13" ht="75" customHeight="1" thickTop="1" thickBot="1">
      <c r="A885" s="25">
        <v>883</v>
      </c>
      <c r="B885" s="32">
        <f ca="1">IFERROR(__xludf.DUMMYFUNCTION("""COMPUTED_VALUE"""),46114.448580868)</f>
        <v>46114.448580867996</v>
      </c>
      <c r="C885" s="33" t="str">
        <f ca="1">IFERROR(__xludf.DUMMYFUNCTION("""COMPUTED_VALUE"""),"المعملجي")</f>
        <v>المعملجي</v>
      </c>
      <c r="D885" s="33" t="str">
        <f ca="1">IFERROR(__xludf.DUMMYFUNCTION("""COMPUTED_VALUE"""),"سجاد تربية")</f>
        <v>سجاد تربية</v>
      </c>
      <c r="E885" s="23" t="str">
        <f ca="1">IFERROR(__xludf.DUMMYFUNCTION("""COMPUTED_VALUE"""),"قسم التربية والتعليم العالي")</f>
        <v>قسم التربية والتعليم العالي</v>
      </c>
      <c r="F885" s="23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885" s="23" t="str">
        <f ca="1">IFERROR(__xludf.DUMMYFUNCTION("""COMPUTED_VALUE"""),"الطابق الارضي, الطابق الاول")</f>
        <v>الطابق الارضي, الطابق الاول</v>
      </c>
      <c r="H885" s="23" t="str">
        <f ca="1">IFERROR(__xludf.DUMMYFUNCTION("""COMPUTED_VALUE"""),"لا يوجد ماء ")</f>
        <v xml:space="preserve">لا يوجد ماء </v>
      </c>
      <c r="I885" s="23"/>
      <c r="J885" s="23" t="s">
        <v>14</v>
      </c>
      <c r="K885" s="23" t="s">
        <v>13</v>
      </c>
      <c r="L885" s="32">
        <v>46114.4500815625</v>
      </c>
      <c r="M885" s="23"/>
    </row>
    <row r="886" spans="1:13" ht="75" customHeight="1" thickTop="1" thickBot="1">
      <c r="A886" s="23">
        <v>884</v>
      </c>
      <c r="B886" s="32">
        <f ca="1">IFERROR(__xludf.DUMMYFUNCTION("""COMPUTED_VALUE"""),46114.5006810532)</f>
        <v>46114.5006810532</v>
      </c>
      <c r="C886" s="33" t="str">
        <f ca="1">IFERROR(__xludf.DUMMYFUNCTION("""COMPUTED_VALUE"""),"المعملجي")</f>
        <v>المعملجي</v>
      </c>
      <c r="D886" s="33" t="str">
        <f ca="1">IFERROR(__xludf.DUMMYFUNCTION("""COMPUTED_VALUE"""),"سجاد تربية")</f>
        <v>سجاد تربية</v>
      </c>
      <c r="E886" s="23" t="str">
        <f ca="1">IFERROR(__xludf.DUMMYFUNCTION("""COMPUTED_VALUE"""),"قسم التربية والتعليم العالي")</f>
        <v>قسم التربية والتعليم العالي</v>
      </c>
      <c r="F886" s="23" t="str">
        <f ca="1">IFERROR(__xludf.DUMMYFUNCTION("""COMPUTED_VALUE"""),"E- ابتدائية العميد للبنات (الثالثة)")</f>
        <v>E- ابتدائية العميد للبنات (الثالثة)</v>
      </c>
      <c r="G886" s="23" t="str">
        <f ca="1">IFERROR(__xludf.DUMMYFUNCTION("""COMPUTED_VALUE"""),"الطابق الاول")</f>
        <v>الطابق الاول</v>
      </c>
      <c r="H886" s="23" t="str">
        <f ca="1">IFERROR(__xludf.DUMMYFUNCTION("""COMPUTED_VALUE"""),"صيانة حمامات ")</f>
        <v xml:space="preserve">صيانة حمامات </v>
      </c>
      <c r="I886" s="23"/>
      <c r="J886" s="23" t="s">
        <v>14</v>
      </c>
      <c r="K886" s="23" t="s">
        <v>13</v>
      </c>
      <c r="L886" s="32">
        <v>46114.579224166664</v>
      </c>
      <c r="M886" s="23"/>
    </row>
    <row r="887" spans="1:13" ht="75" customHeight="1" thickTop="1" thickBot="1">
      <c r="A887" s="25">
        <v>885</v>
      </c>
      <c r="B887" s="32">
        <f ca="1">IFERROR(__xludf.DUMMYFUNCTION("""COMPUTED_VALUE"""),46114.5795766898)</f>
        <v>46114.579576689801</v>
      </c>
      <c r="C887" s="33" t="str">
        <f ca="1">IFERROR(__xludf.DUMMYFUNCTION("""COMPUTED_VALUE"""),"المعملجي")</f>
        <v>المعملجي</v>
      </c>
      <c r="D887" s="33" t="str">
        <f ca="1">IFERROR(__xludf.DUMMYFUNCTION("""COMPUTED_VALUE"""),"سجاد تربية")</f>
        <v>سجاد تربية</v>
      </c>
      <c r="E887" s="23" t="str">
        <f ca="1">IFERROR(__xludf.DUMMYFUNCTION("""COMPUTED_VALUE"""),"قسم التربية والتعليم العالي")</f>
        <v>قسم التربية والتعليم العالي</v>
      </c>
      <c r="F887" s="23" t="str">
        <f ca="1">IFERROR(__xludf.DUMMYFUNCTION("""COMPUTED_VALUE"""),"E- ابتدائية العميد للبنات (الثالثة)")</f>
        <v>E- ابتدائية العميد للبنات (الثالثة)</v>
      </c>
      <c r="G887" s="23" t="str">
        <f ca="1">IFERROR(__xludf.DUMMYFUNCTION("""COMPUTED_VALUE"""),"الطابق الاول, جناح الساحة ZONE B")</f>
        <v>الطابق الاول, جناح الساحة ZONE B</v>
      </c>
      <c r="H887" s="23" t="str">
        <f ca="1">IFERROR(__xludf.DUMMYFUNCTION("""COMPUTED_VALUE"""),"صيانة كاك زاوية")</f>
        <v>صيانة كاك زاوية</v>
      </c>
      <c r="I887" s="23"/>
      <c r="J887" s="23" t="s">
        <v>14</v>
      </c>
      <c r="K887" s="23" t="s">
        <v>13</v>
      </c>
      <c r="L887" s="32"/>
      <c r="M887" s="23"/>
    </row>
    <row r="888" spans="1:13" ht="75" customHeight="1" thickTop="1" thickBot="1">
      <c r="A888" s="23">
        <v>886</v>
      </c>
      <c r="B888" s="32">
        <f ca="1">IFERROR(__xludf.DUMMYFUNCTION("""COMPUTED_VALUE"""),46114.5799716088)</f>
        <v>46114.5799716088</v>
      </c>
      <c r="C888" s="33" t="str">
        <f ca="1">IFERROR(__xludf.DUMMYFUNCTION("""COMPUTED_VALUE"""),"المعملجي")</f>
        <v>المعملجي</v>
      </c>
      <c r="D888" s="33" t="str">
        <f ca="1">IFERROR(__xludf.DUMMYFUNCTION("""COMPUTED_VALUE"""),"سجاد تربية")</f>
        <v>سجاد تربية</v>
      </c>
      <c r="E888" s="23" t="str">
        <f ca="1">IFERROR(__xludf.DUMMYFUNCTION("""COMPUTED_VALUE"""),"قسم التربية والتعليم العالي")</f>
        <v>قسم التربية والتعليم العالي</v>
      </c>
      <c r="F888" s="23" t="str">
        <f ca="1">IFERROR(__xludf.DUMMYFUNCTION("""COMPUTED_VALUE"""),"E- ابتدائية العميد للبنات (الثالثة)")</f>
        <v>E- ابتدائية العميد للبنات (الثالثة)</v>
      </c>
      <c r="G888" s="23" t="str">
        <f ca="1">IFERROR(__xludf.DUMMYFUNCTION("""COMPUTED_VALUE"""),"الطابق الارضي, جناح الساحة ZONE B")</f>
        <v>الطابق الارضي, جناح الساحة ZONE B</v>
      </c>
      <c r="H888" s="23" t="str">
        <f ca="1">IFERROR(__xludf.DUMMYFUNCTION("""COMPUTED_VALUE"""),"تبديل غطاء غربي")</f>
        <v>تبديل غطاء غربي</v>
      </c>
      <c r="I888" s="23"/>
      <c r="J888" s="23" t="s">
        <v>14</v>
      </c>
      <c r="K888" s="23" t="s">
        <v>13</v>
      </c>
      <c r="L888" s="32"/>
      <c r="M888" s="23"/>
    </row>
    <row r="889" spans="1:13" ht="75" customHeight="1" thickTop="1" thickBot="1">
      <c r="A889" s="25">
        <v>887</v>
      </c>
      <c r="B889" s="32">
        <f ca="1">IFERROR(__xludf.DUMMYFUNCTION("""COMPUTED_VALUE"""),46114.5803920833)</f>
        <v>46114.580392083299</v>
      </c>
      <c r="C889" s="33" t="str">
        <f ca="1">IFERROR(__xludf.DUMMYFUNCTION("""COMPUTED_VALUE"""),"المعملجي")</f>
        <v>المعملجي</v>
      </c>
      <c r="D889" s="33" t="str">
        <f ca="1">IFERROR(__xludf.DUMMYFUNCTION("""COMPUTED_VALUE"""),"سجاد تربية")</f>
        <v>سجاد تربية</v>
      </c>
      <c r="E889" s="23" t="str">
        <f ca="1">IFERROR(__xludf.DUMMYFUNCTION("""COMPUTED_VALUE"""),"قسم التربية والتعليم العالي")</f>
        <v>قسم التربية والتعليم العالي</v>
      </c>
      <c r="F889" s="23" t="str">
        <f ca="1">IFERROR(__xludf.DUMMYFUNCTION("""COMPUTED_VALUE"""),"E- ابتدائية العميد للبنات (الثالثة)")</f>
        <v>E- ابتدائية العميد للبنات (الثالثة)</v>
      </c>
      <c r="G889" s="23" t="str">
        <f ca="1">IFERROR(__xludf.DUMMYFUNCTION("""COMPUTED_VALUE"""),"الطابق الاول, جناح الساحة ZONE B")</f>
        <v>الطابق الاول, جناح الساحة ZONE B</v>
      </c>
      <c r="H889" s="23" t="str">
        <f ca="1">IFERROR(__xludf.DUMMYFUNCTION("""COMPUTED_VALUE"""),"تثبيت قاعدة صوندة شطاف")</f>
        <v>تثبيت قاعدة صوندة شطاف</v>
      </c>
      <c r="I889" s="23"/>
      <c r="J889" s="23" t="s">
        <v>14</v>
      </c>
      <c r="K889" s="23" t="s">
        <v>13</v>
      </c>
      <c r="L889" s="32"/>
      <c r="M889" s="23"/>
    </row>
    <row r="890" spans="1:13" ht="75" customHeight="1" thickTop="1" thickBot="1">
      <c r="A890" s="23">
        <v>888</v>
      </c>
      <c r="B890" s="32">
        <f ca="1">IFERROR(__xludf.DUMMYFUNCTION("""COMPUTED_VALUE"""),46115.5085288425)</f>
        <v>46115.508528842503</v>
      </c>
      <c r="C890" s="33" t="str">
        <f ca="1">IFERROR(__xludf.DUMMYFUNCTION("""COMPUTED_VALUE"""),"المعملجي")</f>
        <v>المعملجي</v>
      </c>
      <c r="D890" s="33" t="str">
        <f ca="1">IFERROR(__xludf.DUMMYFUNCTION("""COMPUTED_VALUE"""),"وحدة الميكانيك")</f>
        <v>وحدة الميكانيك</v>
      </c>
      <c r="E890" s="23" t="str">
        <f ca="1">IFERROR(__xludf.DUMMYFUNCTION("""COMPUTED_VALUE"""),"قسم المشاريع الهندسية")</f>
        <v>قسم المشاريع الهندسية</v>
      </c>
      <c r="F890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890" s="23" t="str">
        <f ca="1">IFERROR(__xludf.DUMMYFUNCTION("""COMPUTED_VALUE"""),"الطابق الاول, جناح الساحة ZONE B")</f>
        <v>الطابق الاول, جناح الساحة ZONE B</v>
      </c>
      <c r="H890" s="23" t="str">
        <f ca="1">IFERROR(__xludf.DUMMYFUNCTION("""COMPUTED_VALUE"""),"تبديل كاك زاوية")</f>
        <v>تبديل كاك زاوية</v>
      </c>
      <c r="I890" s="23"/>
      <c r="J890" s="23" t="s">
        <v>14</v>
      </c>
      <c r="K890" s="23" t="s">
        <v>13</v>
      </c>
      <c r="L890" s="32"/>
      <c r="M890" s="23"/>
    </row>
    <row r="891" spans="1:13" ht="75" customHeight="1" thickTop="1" thickBot="1">
      <c r="A891" s="25">
        <v>889</v>
      </c>
      <c r="B891" s="32">
        <f ca="1">IFERROR(__xludf.DUMMYFUNCTION("""COMPUTED_VALUE"""),46115.5092503587)</f>
        <v>46115.5092503587</v>
      </c>
      <c r="C891" s="33" t="str">
        <f ca="1">IFERROR(__xludf.DUMMYFUNCTION("""COMPUTED_VALUE"""),"المعملجي")</f>
        <v>المعملجي</v>
      </c>
      <c r="D891" s="33" t="str">
        <f ca="1">IFERROR(__xludf.DUMMYFUNCTION("""COMPUTED_VALUE"""),"وحدة الميكانيك")</f>
        <v>وحدة الميكانيك</v>
      </c>
      <c r="E891" s="23" t="str">
        <f ca="1">IFERROR(__xludf.DUMMYFUNCTION("""COMPUTED_VALUE"""),"قسم المشاريع الهندسية")</f>
        <v>قسم المشاريع الهندسية</v>
      </c>
      <c r="F891" s="23" t="str">
        <f ca="1">IFERROR(__xludf.DUMMYFUNCTION("""COMPUTED_VALUE"""),"B- روضة القمر")</f>
        <v>B- روضة القمر</v>
      </c>
      <c r="G891" s="23" t="str">
        <f ca="1">IFERROR(__xludf.DUMMYFUNCTION("""COMPUTED_VALUE"""),"الطابق الثاني")</f>
        <v>الطابق الثاني</v>
      </c>
      <c r="H891" s="23" t="str">
        <f ca="1">IFERROR(__xludf.DUMMYFUNCTION("""COMPUTED_VALUE"""),"تبديل قاعدة شطاف ")</f>
        <v xml:space="preserve">تبديل قاعدة شطاف </v>
      </c>
      <c r="I891" s="23"/>
      <c r="J891" s="23" t="s">
        <v>14</v>
      </c>
      <c r="K891" s="23" t="s">
        <v>13</v>
      </c>
      <c r="L891" s="32"/>
      <c r="M891" s="23"/>
    </row>
    <row r="892" spans="1:13" ht="75" customHeight="1" thickTop="1" thickBot="1">
      <c r="A892" s="23">
        <v>890</v>
      </c>
      <c r="B892" s="32">
        <f ca="1">IFERROR(__xludf.DUMMYFUNCTION("""COMPUTED_VALUE"""),46115.5109074537)</f>
        <v>46115.510907453703</v>
      </c>
      <c r="C892" s="33" t="str">
        <f ca="1">IFERROR(__xludf.DUMMYFUNCTION("""COMPUTED_VALUE"""),"المعملجي")</f>
        <v>المعملجي</v>
      </c>
      <c r="D892" s="33" t="str">
        <f ca="1">IFERROR(__xludf.DUMMYFUNCTION("""COMPUTED_VALUE"""),"وحدة الميكانيك")</f>
        <v>وحدة الميكانيك</v>
      </c>
      <c r="E892" s="23" t="str">
        <f ca="1">IFERROR(__xludf.DUMMYFUNCTION("""COMPUTED_VALUE"""),"قسم التربية والتعليم العالي")</f>
        <v>قسم التربية والتعليم العالي</v>
      </c>
      <c r="F892" s="23" t="str">
        <f ca="1">IFERROR(__xludf.DUMMYFUNCTION("""COMPUTED_VALUE"""),"B- روضة القمر")</f>
        <v>B- روضة القمر</v>
      </c>
      <c r="G892" s="23" t="str">
        <f ca="1">IFERROR(__xludf.DUMMYFUNCTION("""COMPUTED_VALUE"""),"الطابق الاول")</f>
        <v>الطابق الاول</v>
      </c>
      <c r="H892" s="23" t="str">
        <f ca="1">IFERROR(__xludf.DUMMYFUNCTION("""COMPUTED_VALUE"""),"تبديل قاعدة شطاف ")</f>
        <v xml:space="preserve">تبديل قاعدة شطاف </v>
      </c>
      <c r="I892" s="23"/>
      <c r="J892" s="23" t="s">
        <v>14</v>
      </c>
      <c r="K892" s="23" t="s">
        <v>13</v>
      </c>
      <c r="L892" s="32"/>
      <c r="M892" s="23"/>
    </row>
    <row r="893" spans="1:13" ht="75" customHeight="1" thickTop="1" thickBot="1">
      <c r="A893" s="25">
        <v>891</v>
      </c>
      <c r="B893" s="32">
        <f ca="1">IFERROR(__xludf.DUMMYFUNCTION("""COMPUTED_VALUE"""),46115.5115394097)</f>
        <v>46115.511539409701</v>
      </c>
      <c r="C893" s="33" t="str">
        <f ca="1">IFERROR(__xludf.DUMMYFUNCTION("""COMPUTED_VALUE"""),"المعملجي")</f>
        <v>المعملجي</v>
      </c>
      <c r="D893" s="33" t="str">
        <f ca="1">IFERROR(__xludf.DUMMYFUNCTION("""COMPUTED_VALUE"""),"وحدة الميكانيك")</f>
        <v>وحدة الميكانيك</v>
      </c>
      <c r="E893" s="23" t="str">
        <f ca="1">IFERROR(__xludf.DUMMYFUNCTION("""COMPUTED_VALUE"""),"قسم المشاريع الهندسية")</f>
        <v>قسم المشاريع الهندسية</v>
      </c>
      <c r="F893" s="23" t="str">
        <f ca="1">IFERROR(__xludf.DUMMYFUNCTION("""COMPUTED_VALUE"""),"E- ابتدائية العميد للبنات (الثالثة)")</f>
        <v>E- ابتدائية العميد للبنات (الثالثة)</v>
      </c>
      <c r="G893" s="23" t="str">
        <f ca="1">IFERROR(__xludf.DUMMYFUNCTION("""COMPUTED_VALUE"""),"الطابق الثاني, جناح الساحة ZONE B")</f>
        <v>الطابق الثاني, جناح الساحة ZONE B</v>
      </c>
      <c r="H893" s="23" t="str">
        <f ca="1">IFERROR(__xludf.DUMMYFUNCTION("""COMPUTED_VALUE"""),"تبديل صوندة شطاف ")</f>
        <v xml:space="preserve">تبديل صوندة شطاف </v>
      </c>
      <c r="I893" s="23"/>
      <c r="J893" s="23" t="s">
        <v>14</v>
      </c>
      <c r="K893" s="23" t="s">
        <v>13</v>
      </c>
      <c r="L893" s="32"/>
      <c r="M893" s="23"/>
    </row>
    <row r="894" spans="1:13" ht="75" customHeight="1" thickTop="1" thickBot="1">
      <c r="A894" s="23">
        <v>892</v>
      </c>
      <c r="B894" s="32">
        <f ca="1">IFERROR(__xludf.DUMMYFUNCTION("""COMPUTED_VALUE"""),46115.5120132638)</f>
        <v>46115.512013263797</v>
      </c>
      <c r="C894" s="33" t="str">
        <f ca="1">IFERROR(__xludf.DUMMYFUNCTION("""COMPUTED_VALUE"""),"المعملجي")</f>
        <v>المعملجي</v>
      </c>
      <c r="D894" s="33" t="str">
        <f ca="1">IFERROR(__xludf.DUMMYFUNCTION("""COMPUTED_VALUE"""),"وحدة الميكانيك")</f>
        <v>وحدة الميكانيك</v>
      </c>
      <c r="E894" s="23" t="str">
        <f ca="1">IFERROR(__xludf.DUMMYFUNCTION("""COMPUTED_VALUE"""),"قسم المشاريع الهندسية")</f>
        <v>قسم المشاريع الهندسية</v>
      </c>
      <c r="F894" s="23" t="str">
        <f ca="1">IFERROR(__xludf.DUMMYFUNCTION("""COMPUTED_VALUE"""),"F-  ابتدائية جود العميد للبنات (الرابعة)")</f>
        <v>F-  ابتدائية جود العميد للبنات (الرابعة)</v>
      </c>
      <c r="G894" s="23" t="str">
        <f ca="1">IFERROR(__xludf.DUMMYFUNCTION("""COMPUTED_VALUE"""),"الطابق الاول, جناح الادائرة ZONE A")</f>
        <v>الطابق الاول, جناح الادائرة ZONE A</v>
      </c>
      <c r="H894" s="23" t="str">
        <f ca="1">IFERROR(__xludf.DUMMYFUNCTION("""COMPUTED_VALUE"""),"صيانة قبق غربي")</f>
        <v>صيانة قبق غربي</v>
      </c>
      <c r="I894" s="23"/>
      <c r="J894" s="23" t="s">
        <v>14</v>
      </c>
      <c r="K894" s="23" t="s">
        <v>13</v>
      </c>
      <c r="L894" s="32"/>
      <c r="M894" s="23"/>
    </row>
    <row r="895" spans="1:13" ht="75" customHeight="1" thickTop="1" thickBot="1">
      <c r="A895" s="25">
        <v>893</v>
      </c>
      <c r="B895" s="32">
        <f ca="1">IFERROR(__xludf.DUMMYFUNCTION("""COMPUTED_VALUE"""),46115.5136128935)</f>
        <v>46115.513612893497</v>
      </c>
      <c r="C895" s="33" t="str">
        <f ca="1">IFERROR(__xludf.DUMMYFUNCTION("""COMPUTED_VALUE"""),"المعملجي")</f>
        <v>المعملجي</v>
      </c>
      <c r="D895" s="33" t="str">
        <f ca="1">IFERROR(__xludf.DUMMYFUNCTION("""COMPUTED_VALUE"""),"وحدة الميكانيك")</f>
        <v>وحدة الميكانيك</v>
      </c>
      <c r="E895" s="23" t="str">
        <f ca="1">IFERROR(__xludf.DUMMYFUNCTION("""COMPUTED_VALUE"""),"قسم التربية والتعليم العالي")</f>
        <v>قسم التربية والتعليم العالي</v>
      </c>
      <c r="F895" s="23" t="str">
        <f ca="1">IFERROR(__xludf.DUMMYFUNCTION("""COMPUTED_VALUE"""),"C- ثانوية العميد بناية الاعدادية  (الاولى), D- ثانوية العميد بناية المتوسطة  (الثانية), E- ابتدائية العميد للبنات (الثالثة), F-  ابتدائية جود العميد للبنات (الرابعة), H- ابتدائية القمر للبنات (الخامسة), I- ابتدائية الساقي للبنين (السادسة), J- ابتدائية الس"&amp;"اقي للبنين الجانب الثاني (السابعة), J- جامعة العميد (السابعة)")</f>
        <v>C- ثانوية العميد بناية الاعدادية  (الاولى), D- ثانوية العميد بناية المتوسطة  (الثانية), E- ابتدائية العميد للبنات (الثالثة), F-  ابتدائية جود العميد للبنات (الرابعة), H- ابتدائية القمر للبنات (الخامسة), I- ابتدائية الساقي للبنين (السادسة), J- ابتدائية الساقي للبنين الجانب الثاني (السابعة), J- جامعة العميد (السابعة)</v>
      </c>
      <c r="G895" s="23" t="str">
        <f ca="1">IFERROR(__xludf.DUMMYFUNCTION("""COMPUTED_VALUE"""),"الطابق الارضي")</f>
        <v>الطابق الارضي</v>
      </c>
      <c r="H895" s="23" t="str">
        <f ca="1">IFERROR(__xludf.DUMMYFUNCTION("""COMPUTED_VALUE"""),"تم تفريغ وفحص جميع البرادات ماء RO")</f>
        <v>تم تفريغ وفحص جميع البرادات ماء RO</v>
      </c>
      <c r="I895" s="23"/>
      <c r="J895" s="23" t="s">
        <v>14</v>
      </c>
      <c r="K895" s="23" t="s">
        <v>13</v>
      </c>
      <c r="L895" s="32">
        <v>46116.293145138887</v>
      </c>
      <c r="M895" s="23"/>
    </row>
    <row r="896" spans="1:13" ht="75" customHeight="1" thickTop="1" thickBot="1">
      <c r="A896" s="23">
        <v>894</v>
      </c>
      <c r="B896" s="32">
        <f ca="1">IFERROR(__xludf.DUMMYFUNCTION("""COMPUTED_VALUE"""),46116.3796470254)</f>
        <v>46116.379647025402</v>
      </c>
      <c r="C896" s="33" t="str">
        <f ca="1">IFERROR(__xludf.DUMMYFUNCTION("""COMPUTED_VALUE"""),"المعملجي")</f>
        <v>المعملجي</v>
      </c>
      <c r="D896" s="33" t="str">
        <f ca="1">IFERROR(__xludf.DUMMYFUNCTION("""COMPUTED_VALUE"""),"سجاد تربية")</f>
        <v>سجاد تربية</v>
      </c>
      <c r="E896" s="23" t="str">
        <f ca="1">IFERROR(__xludf.DUMMYFUNCTION("""COMPUTED_VALUE"""),"قسم التربية والتعليم العالي")</f>
        <v>قسم التربية والتعليم العالي</v>
      </c>
      <c r="F89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896" s="23" t="str">
        <f ca="1">IFERROR(__xludf.DUMMYFUNCTION("""COMPUTED_VALUE"""),"حمامات الادارة ")</f>
        <v xml:space="preserve">حمامات الادارة </v>
      </c>
      <c r="H896" s="23" t="str">
        <f ca="1">IFERROR(__xludf.DUMMYFUNCTION("""COMPUTED_VALUE"""),"تسريب ماء في الحمامات")</f>
        <v>تسريب ماء في الحمامات</v>
      </c>
      <c r="I896" s="23"/>
      <c r="J896" s="23" t="s">
        <v>14</v>
      </c>
      <c r="K896" s="23" t="s">
        <v>13</v>
      </c>
      <c r="L896" s="32">
        <v>46117.309732615744</v>
      </c>
      <c r="M896" s="23"/>
    </row>
    <row r="897" spans="1:13" ht="75" customHeight="1" thickTop="1" thickBot="1">
      <c r="A897" s="25">
        <v>895</v>
      </c>
      <c r="B897" s="32">
        <f ca="1">IFERROR(__xludf.DUMMYFUNCTION("""COMPUTED_VALUE"""),46117.309352743)</f>
        <v>46117.309352743003</v>
      </c>
      <c r="C897" s="33" t="str">
        <f ca="1">IFERROR(__xludf.DUMMYFUNCTION("""COMPUTED_VALUE"""),"المعملجي")</f>
        <v>المعملجي</v>
      </c>
      <c r="D897" s="33" t="str">
        <f ca="1">IFERROR(__xludf.DUMMYFUNCTION("""COMPUTED_VALUE"""),"سجاد تربية")</f>
        <v>سجاد تربية</v>
      </c>
      <c r="E897" s="23" t="str">
        <f ca="1">IFERROR(__xludf.DUMMYFUNCTION("""COMPUTED_VALUE"""),"قسم التربية والتعليم العالي")</f>
        <v>قسم التربية والتعليم العالي</v>
      </c>
      <c r="F897" s="23" t="str">
        <f ca="1">IFERROR(__xludf.DUMMYFUNCTION("""COMPUTED_VALUE"""),"H- ابتدائية القمر للبنات (الخامسة)")</f>
        <v>H- ابتدائية القمر للبنات (الخامسة)</v>
      </c>
      <c r="G897" s="23" t="str">
        <f ca="1">IFERROR(__xludf.DUMMYFUNCTION("""COMPUTED_VALUE"""),"الطابق الارضي")</f>
        <v>الطابق الارضي</v>
      </c>
      <c r="H897" s="23" t="str">
        <f ca="1">IFERROR(__xludf.DUMMYFUNCTION("""COMPUTED_VALUE"""),"لايوجد ماء ارو")</f>
        <v>لايوجد ماء ارو</v>
      </c>
      <c r="I897" s="23"/>
      <c r="J897" s="23" t="s">
        <v>14</v>
      </c>
      <c r="K897" s="23" t="s">
        <v>13</v>
      </c>
      <c r="L897" s="32">
        <v>46117.566546099537</v>
      </c>
      <c r="M897" s="23"/>
    </row>
    <row r="898" spans="1:13" ht="75" customHeight="1" thickTop="1" thickBot="1">
      <c r="A898" s="23">
        <v>896</v>
      </c>
      <c r="B898" s="32">
        <f ca="1">IFERROR(__xludf.DUMMYFUNCTION("""COMPUTED_VALUE"""),46117.5038910763)</f>
        <v>46117.503891076303</v>
      </c>
      <c r="C898" s="33" t="str">
        <f ca="1">IFERROR(__xludf.DUMMYFUNCTION("""COMPUTED_VALUE"""),"المعملجي")</f>
        <v>المعملجي</v>
      </c>
      <c r="D898" s="33" t="str">
        <f ca="1">IFERROR(__xludf.DUMMYFUNCTION("""COMPUTED_VALUE"""),"سجاد تربية")</f>
        <v>سجاد تربية</v>
      </c>
      <c r="E898" s="23" t="str">
        <f ca="1">IFERROR(__xludf.DUMMYFUNCTION("""COMPUTED_VALUE"""),"قسم التربية والتعليم العالي")</f>
        <v>قسم التربية والتعليم العالي</v>
      </c>
      <c r="F89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898" s="23" t="str">
        <f ca="1">IFERROR(__xludf.DUMMYFUNCTION("""COMPUTED_VALUE"""),"حمامات الادارة")</f>
        <v>حمامات الادارة</v>
      </c>
      <c r="H898" s="23" t="str">
        <f ca="1">IFERROR(__xludf.DUMMYFUNCTION("""COMPUTED_VALUE"""),"صيانه حمام تسريب ماء ")</f>
        <v xml:space="preserve">صيانه حمام تسريب ماء </v>
      </c>
      <c r="I898" s="23"/>
      <c r="J898" s="23" t="s">
        <v>14</v>
      </c>
      <c r="K898" s="23" t="s">
        <v>13</v>
      </c>
      <c r="L898" s="32">
        <v>46118.314611157402</v>
      </c>
      <c r="M898" s="23" t="s">
        <v>94</v>
      </c>
    </row>
    <row r="899" spans="1:13" ht="75" customHeight="1" thickTop="1" thickBot="1">
      <c r="A899" s="25">
        <v>897</v>
      </c>
      <c r="B899" s="32">
        <f ca="1">IFERROR(__xludf.DUMMYFUNCTION("""COMPUTED_VALUE"""),46117.5523819444)</f>
        <v>46117.552381944399</v>
      </c>
      <c r="C899" s="33" t="str">
        <f ca="1">IFERROR(__xludf.DUMMYFUNCTION("""COMPUTED_VALUE"""),"المعملجي")</f>
        <v>المعملجي</v>
      </c>
      <c r="D899" s="33" t="str">
        <f ca="1">IFERROR(__xludf.DUMMYFUNCTION("""COMPUTED_VALUE"""),"سجاد تربية")</f>
        <v>سجاد تربية</v>
      </c>
      <c r="E899" s="23" t="str">
        <f ca="1">IFERROR(__xludf.DUMMYFUNCTION("""COMPUTED_VALUE"""),"قسم التربية والتعليم العالي")</f>
        <v>قسم التربية والتعليم العالي</v>
      </c>
      <c r="F899" s="23" t="str">
        <f ca="1">IFERROR(__xludf.DUMMYFUNCTION("""COMPUTED_VALUE"""),"G- روضة الجود")</f>
        <v>G- روضة الجود</v>
      </c>
      <c r="G899" s="23"/>
      <c r="H899" s="23" t="str">
        <f ca="1">IFERROR(__xludf.DUMMYFUNCTION("""COMPUTED_VALUE"""),"صيانه بردات وتنظيف فلاتر")</f>
        <v>صيانه بردات وتنظيف فلاتر</v>
      </c>
      <c r="I899" s="23"/>
      <c r="J899" s="23" t="s">
        <v>14</v>
      </c>
      <c r="K899" s="23" t="s">
        <v>13</v>
      </c>
      <c r="L899" s="32">
        <v>46117.567750358794</v>
      </c>
      <c r="M899" s="23"/>
    </row>
    <row r="900" spans="1:13" ht="75" customHeight="1" thickTop="1" thickBot="1">
      <c r="A900" s="23">
        <v>898</v>
      </c>
      <c r="B900" s="32">
        <f ca="1">IFERROR(__xludf.DUMMYFUNCTION("""COMPUTED_VALUE"""),46118.3945224884)</f>
        <v>46118.394522488401</v>
      </c>
      <c r="C900" s="33" t="str">
        <f ca="1">IFERROR(__xludf.DUMMYFUNCTION("""COMPUTED_VALUE"""),"المعملجي")</f>
        <v>المعملجي</v>
      </c>
      <c r="D900" s="33" t="str">
        <f ca="1">IFERROR(__xludf.DUMMYFUNCTION("""COMPUTED_VALUE"""),"سجاد تربية")</f>
        <v>سجاد تربية</v>
      </c>
      <c r="E900" s="23" t="str">
        <f ca="1">IFERROR(__xludf.DUMMYFUNCTION("""COMPUTED_VALUE"""),"قسم التربية والتعليم العالي")</f>
        <v>قسم التربية والتعليم العالي</v>
      </c>
      <c r="F900" s="23" t="str">
        <f ca="1">IFERROR(__xludf.DUMMYFUNCTION("""COMPUTED_VALUE"""),"قرب مدرسه العميد الابتدايية")</f>
        <v>قرب مدرسه العميد الابتدايية</v>
      </c>
      <c r="G900" s="23" t="str">
        <f ca="1">IFERROR(__xludf.DUMMYFUNCTION("""COMPUTED_VALUE"""),"/")</f>
        <v>/</v>
      </c>
      <c r="H900" s="23" t="str">
        <f ca="1">IFERROR(__xludf.DUMMYFUNCTION("""COMPUTED_VALUE"""),"صيانه بوري تسريب ماء")</f>
        <v>صيانه بوري تسريب ماء</v>
      </c>
      <c r="I900" s="23"/>
      <c r="J900" s="23" t="s">
        <v>14</v>
      </c>
      <c r="K900" s="23" t="s">
        <v>13</v>
      </c>
      <c r="L900" s="32">
        <v>46118.408516342592</v>
      </c>
      <c r="M900" s="23"/>
    </row>
    <row r="901" spans="1:13" ht="75" customHeight="1" thickTop="1" thickBot="1">
      <c r="A901" s="25">
        <v>899</v>
      </c>
      <c r="B901" s="32">
        <f ca="1">IFERROR(__xludf.DUMMYFUNCTION("""COMPUTED_VALUE"""),46118.4011912384)</f>
        <v>46118.401191238401</v>
      </c>
      <c r="C901" s="33" t="str">
        <f ca="1">IFERROR(__xludf.DUMMYFUNCTION("""COMPUTED_VALUE"""),"المعملجي")</f>
        <v>المعملجي</v>
      </c>
      <c r="D901" s="33" t="str">
        <f ca="1">IFERROR(__xludf.DUMMYFUNCTION("""COMPUTED_VALUE"""),"سجاد تربية")</f>
        <v>سجاد تربية</v>
      </c>
      <c r="E901" s="23" t="str">
        <f ca="1">IFERROR(__xludf.DUMMYFUNCTION("""COMPUTED_VALUE"""),"قسم التربية والتعليم العالي")</f>
        <v>قسم التربية والتعليم العالي</v>
      </c>
      <c r="F901" s="23" t="str">
        <f ca="1">IFERROR(__xludf.DUMMYFUNCTION("""COMPUTED_VALUE"""),"E- ابتدائية العميد للبنات (الثالثة)")</f>
        <v>E- ابتدائية العميد للبنات (الثالثة)</v>
      </c>
      <c r="G901" s="23" t="str">
        <f ca="1">IFERROR(__xludf.DUMMYFUNCTION("""COMPUTED_VALUE"""),"/")</f>
        <v>/</v>
      </c>
      <c r="H901" s="23" t="str">
        <f ca="1">IFERROR(__xludf.DUMMYFUNCTION("""COMPUTED_VALUE"""),"لايوجد ماء في البرادات ")</f>
        <v xml:space="preserve">لايوجد ماء في البرادات </v>
      </c>
      <c r="I901" s="23"/>
      <c r="J901" s="23" t="s">
        <v>14</v>
      </c>
      <c r="K901" s="23" t="s">
        <v>13</v>
      </c>
      <c r="L901" s="32">
        <v>46118.496809884258</v>
      </c>
      <c r="M901" s="23"/>
    </row>
    <row r="902" spans="1:13" ht="75" customHeight="1" thickTop="1" thickBot="1">
      <c r="A902" s="23">
        <v>900</v>
      </c>
      <c r="B902" s="32">
        <f ca="1">IFERROR(__xludf.DUMMYFUNCTION("""COMPUTED_VALUE"""),46118.5045864351)</f>
        <v>46118.504586435098</v>
      </c>
      <c r="C902" s="33" t="str">
        <f ca="1">IFERROR(__xludf.DUMMYFUNCTION("""COMPUTED_VALUE"""),"المعملجي")</f>
        <v>المعملجي</v>
      </c>
      <c r="D902" s="33" t="str">
        <f ca="1">IFERROR(__xludf.DUMMYFUNCTION("""COMPUTED_VALUE"""),"سجاد تربية")</f>
        <v>سجاد تربية</v>
      </c>
      <c r="E902" s="23" t="str">
        <f ca="1">IFERROR(__xludf.DUMMYFUNCTION("""COMPUTED_VALUE"""),"قسم التربية والتعليم العالي")</f>
        <v>قسم التربية والتعليم العالي</v>
      </c>
      <c r="F902" s="23" t="str">
        <f ca="1">IFERROR(__xludf.DUMMYFUNCTION("""COMPUTED_VALUE"""),"E- ابتدائية العميد للبنات (الثالثة)")</f>
        <v>E- ابتدائية العميد للبنات (الثالثة)</v>
      </c>
      <c r="G902" s="23" t="str">
        <f ca="1">IFERROR(__xludf.DUMMYFUNCTION("""COMPUTED_VALUE"""),"الطابق الارضي")</f>
        <v>الطابق الارضي</v>
      </c>
      <c r="H902" s="23" t="str">
        <f ca="1">IFERROR(__xludf.DUMMYFUNCTION("""COMPUTED_VALUE"""),"صيانة مغاسل ")</f>
        <v xml:space="preserve">صيانة مغاسل </v>
      </c>
      <c r="I902" s="23"/>
      <c r="J902" s="23" t="s">
        <v>14</v>
      </c>
      <c r="K902" s="23" t="s">
        <v>13</v>
      </c>
      <c r="L902" s="32">
        <v>46119.542107939815</v>
      </c>
      <c r="M902" s="23"/>
    </row>
    <row r="903" spans="1:13" ht="75" customHeight="1" thickTop="1" thickBot="1">
      <c r="A903" s="25">
        <v>901</v>
      </c>
      <c r="B903" s="32">
        <f ca="1">IFERROR(__xludf.DUMMYFUNCTION("""COMPUTED_VALUE"""),46119.385680706)</f>
        <v>46119.385680706</v>
      </c>
      <c r="C903" s="33" t="str">
        <f ca="1">IFERROR(__xludf.DUMMYFUNCTION("""COMPUTED_VALUE"""),"المعملجي")</f>
        <v>المعملجي</v>
      </c>
      <c r="D903" s="33" t="str">
        <f ca="1">IFERROR(__xludf.DUMMYFUNCTION("""COMPUTED_VALUE"""),"سجاد تربية")</f>
        <v>سجاد تربية</v>
      </c>
      <c r="E903" s="23" t="str">
        <f ca="1">IFERROR(__xludf.DUMMYFUNCTION("""COMPUTED_VALUE"""),"قسم التربية والتعليم العالي")</f>
        <v>قسم التربية والتعليم العالي</v>
      </c>
      <c r="F903" s="23" t="str">
        <f ca="1">IFERROR(__xludf.DUMMYFUNCTION("""COMPUTED_VALUE"""),"I- ابتدائية الساقي للبنين (السادسة)")</f>
        <v>I- ابتدائية الساقي للبنين (السادسة)</v>
      </c>
      <c r="G903" s="23" t="str">
        <f ca="1">IFERROR(__xludf.DUMMYFUNCTION("""COMPUTED_VALUE"""),"الطابق الارضي")</f>
        <v>الطابق الارضي</v>
      </c>
      <c r="H903" s="23" t="str">
        <f ca="1">IFERROR(__xludf.DUMMYFUNCTION("""COMPUTED_VALUE"""),"صيانة حنفية سنك ")</f>
        <v xml:space="preserve">صيانة حنفية سنك </v>
      </c>
      <c r="I903" s="23"/>
      <c r="J903" s="23" t="s">
        <v>14</v>
      </c>
      <c r="K903" s="23" t="s">
        <v>13</v>
      </c>
      <c r="L903" s="32">
        <v>46119.527142905092</v>
      </c>
      <c r="M903" s="23"/>
    </row>
    <row r="904" spans="1:13" ht="75" customHeight="1" thickTop="1" thickBot="1">
      <c r="A904" s="23">
        <v>902</v>
      </c>
      <c r="B904" s="32">
        <f ca="1">IFERROR(__xludf.DUMMYFUNCTION("""COMPUTED_VALUE"""),46120.3077928356)</f>
        <v>46120.3077928356</v>
      </c>
      <c r="C904" s="33" t="str">
        <f ca="1">IFERROR(__xludf.DUMMYFUNCTION("""COMPUTED_VALUE"""),"المعملجي")</f>
        <v>المعملجي</v>
      </c>
      <c r="D904" s="33" t="str">
        <f ca="1">IFERROR(__xludf.DUMMYFUNCTION("""COMPUTED_VALUE"""),"سجاد تربية")</f>
        <v>سجاد تربية</v>
      </c>
      <c r="E904" s="23" t="str">
        <f ca="1">IFERROR(__xludf.DUMMYFUNCTION("""COMPUTED_VALUE"""),"قسم التربية والتعليم العالي")</f>
        <v>قسم التربية والتعليم العالي</v>
      </c>
      <c r="F904" s="23" t="str">
        <f ca="1">IFERROR(__xludf.DUMMYFUNCTION("""COMPUTED_VALUE"""),"H- ابتدائية القمر للبنات (الخامسة)")</f>
        <v>H- ابتدائية القمر للبنات (الخامسة)</v>
      </c>
      <c r="G904" s="23" t="str">
        <f ca="1">IFERROR(__xludf.DUMMYFUNCTION("""COMPUTED_VALUE"""),"الطابق الارضي")</f>
        <v>الطابق الارضي</v>
      </c>
      <c r="H904" s="23" t="str">
        <f ca="1">IFERROR(__xludf.DUMMYFUNCTION("""COMPUTED_VALUE"""),"لايوجد ماء اساله")</f>
        <v>لايوجد ماء اساله</v>
      </c>
      <c r="I904" s="23"/>
      <c r="J904" s="23" t="s">
        <v>14</v>
      </c>
      <c r="K904" s="23" t="s">
        <v>13</v>
      </c>
      <c r="L904" s="32">
        <v>46120.309331226847</v>
      </c>
      <c r="M904" s="23"/>
    </row>
    <row r="905" spans="1:13" ht="75" customHeight="1" thickTop="1" thickBot="1">
      <c r="A905" s="25">
        <v>903</v>
      </c>
      <c r="B905" s="32">
        <f ca="1">IFERROR(__xludf.DUMMYFUNCTION("""COMPUTED_VALUE"""),46120.452748368)</f>
        <v>46120.452748367999</v>
      </c>
      <c r="C905" s="33" t="str">
        <f ca="1">IFERROR(__xludf.DUMMYFUNCTION("""COMPUTED_VALUE"""),"المعملجي")</f>
        <v>المعملجي</v>
      </c>
      <c r="D905" s="33" t="str">
        <f ca="1">IFERROR(__xludf.DUMMYFUNCTION("""COMPUTED_VALUE"""),"وحدة الميكانيك")</f>
        <v>وحدة الميكانيك</v>
      </c>
      <c r="E905" s="23" t="str">
        <f ca="1">IFERROR(__xludf.DUMMYFUNCTION("""COMPUTED_VALUE"""),"قسم المشاريع الهندسية")</f>
        <v>قسم المشاريع الهندسية</v>
      </c>
      <c r="F905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05" s="23" t="str">
        <f ca="1">IFERROR(__xludf.DUMMYFUNCTION("""COMPUTED_VALUE"""),"الطابق الارضي, جناح الساحة ZONE B")</f>
        <v>الطابق الارضي, جناح الساحة ZONE B</v>
      </c>
      <c r="H905" s="23" t="str">
        <f ca="1">IFERROR(__xludf.DUMMYFUNCTION("""COMPUTED_VALUE"""),"صيانة غطاء غربي ")</f>
        <v xml:space="preserve">صيانة غطاء غربي </v>
      </c>
      <c r="I905" s="23"/>
      <c r="J905" s="23" t="s">
        <v>14</v>
      </c>
      <c r="K905" s="23" t="s">
        <v>13</v>
      </c>
      <c r="L905" s="32">
        <v>46120.453636365739</v>
      </c>
      <c r="M905" s="23"/>
    </row>
    <row r="906" spans="1:13" ht="75" customHeight="1" thickTop="1" thickBot="1">
      <c r="A906" s="23">
        <v>904</v>
      </c>
      <c r="B906" s="32">
        <f ca="1">IFERROR(__xludf.DUMMYFUNCTION("""COMPUTED_VALUE"""),46120.4897015625)</f>
        <v>46120.489701562503</v>
      </c>
      <c r="C906" s="33" t="str">
        <f ca="1">IFERROR(__xludf.DUMMYFUNCTION("""COMPUTED_VALUE"""),"المعملجي")</f>
        <v>المعملجي</v>
      </c>
      <c r="D906" s="33" t="str">
        <f ca="1">IFERROR(__xludf.DUMMYFUNCTION("""COMPUTED_VALUE"""),"سجاد تربية")</f>
        <v>سجاد تربية</v>
      </c>
      <c r="E906" s="23" t="str">
        <f ca="1">IFERROR(__xludf.DUMMYFUNCTION("""COMPUTED_VALUE"""),"قسم التربية والتعليم العالي")</f>
        <v>قسم التربية والتعليم العالي</v>
      </c>
      <c r="F906" s="23" t="str">
        <f ca="1">IFERROR(__xludf.DUMMYFUNCTION("""COMPUTED_VALUE"""),"E- ابتدائية العميد للبنات (الثالثة)")</f>
        <v>E- ابتدائية العميد للبنات (الثالثة)</v>
      </c>
      <c r="G906" s="23" t="str">
        <f ca="1">IFERROR(__xludf.DUMMYFUNCTION("""COMPUTED_VALUE"""),"الطابق الارضي")</f>
        <v>الطابق الارضي</v>
      </c>
      <c r="H906" s="23" t="str">
        <f ca="1">IFERROR(__xludf.DUMMYFUNCTION("""COMPUTED_VALUE"""),"صيانة صوندة الحمام ")</f>
        <v xml:space="preserve">صيانة صوندة الحمام </v>
      </c>
      <c r="I906" s="23"/>
      <c r="J906" s="23" t="s">
        <v>14</v>
      </c>
      <c r="K906" s="23" t="s">
        <v>13</v>
      </c>
      <c r="L906" s="32">
        <v>46120.528201770838</v>
      </c>
      <c r="M906" s="23"/>
    </row>
    <row r="907" spans="1:13" ht="75" customHeight="1" thickTop="1" thickBot="1">
      <c r="A907" s="25">
        <v>905</v>
      </c>
      <c r="B907" s="32">
        <f ca="1">IFERROR(__xludf.DUMMYFUNCTION("""COMPUTED_VALUE"""),46120.5508345717)</f>
        <v>46120.550834571703</v>
      </c>
      <c r="C907" s="33" t="str">
        <f ca="1">IFERROR(__xludf.DUMMYFUNCTION("""COMPUTED_VALUE"""),"المعملجي")</f>
        <v>المعملجي</v>
      </c>
      <c r="D907" s="33" t="str">
        <f ca="1">IFERROR(__xludf.DUMMYFUNCTION("""COMPUTED_VALUE"""),"سجاد تربية")</f>
        <v>سجاد تربية</v>
      </c>
      <c r="E907" s="23" t="str">
        <f ca="1">IFERROR(__xludf.DUMMYFUNCTION("""COMPUTED_VALUE"""),"قسم التربية والتعليم العالي")</f>
        <v>قسم التربية والتعليم العالي</v>
      </c>
      <c r="F907" s="23" t="str">
        <f ca="1">IFERROR(__xludf.DUMMYFUNCTION("""COMPUTED_VALUE"""),"E- ابتدائية العميد للبنات (الثالثة)")</f>
        <v>E- ابتدائية العميد للبنات (الثالثة)</v>
      </c>
      <c r="G907" s="23" t="str">
        <f ca="1">IFERROR(__xludf.DUMMYFUNCTION("""COMPUTED_VALUE"""),"الطابق الارضي")</f>
        <v>الطابق الارضي</v>
      </c>
      <c r="H907" s="23" t="str">
        <f ca="1">IFERROR(__xludf.DUMMYFUNCTION("""COMPUTED_VALUE"""),"صيانة برادات ")</f>
        <v xml:space="preserve">صيانة برادات </v>
      </c>
      <c r="I907" s="23"/>
      <c r="J907" s="23" t="s">
        <v>14</v>
      </c>
      <c r="K907" s="23" t="s">
        <v>13</v>
      </c>
      <c r="L907" s="32">
        <v>46120.569629965277</v>
      </c>
      <c r="M907" s="23"/>
    </row>
    <row r="908" spans="1:13" ht="75" customHeight="1" thickTop="1" thickBot="1">
      <c r="A908" s="23">
        <v>906</v>
      </c>
      <c r="B908" s="32">
        <f ca="1">IFERROR(__xludf.DUMMYFUNCTION("""COMPUTED_VALUE"""),46121.3310812384)</f>
        <v>46121.331081238401</v>
      </c>
      <c r="C908" s="33" t="str">
        <f ca="1">IFERROR(__xludf.DUMMYFUNCTION("""COMPUTED_VALUE"""),"المعملجي")</f>
        <v>المعملجي</v>
      </c>
      <c r="D908" s="33" t="str">
        <f ca="1">IFERROR(__xludf.DUMMYFUNCTION("""COMPUTED_VALUE"""),"سجاد تربية")</f>
        <v>سجاد تربية</v>
      </c>
      <c r="E908" s="23" t="str">
        <f ca="1">IFERROR(__xludf.DUMMYFUNCTION("""COMPUTED_VALUE"""),"قسم التربية والتعليم العالي")</f>
        <v>قسم التربية والتعليم العالي</v>
      </c>
      <c r="F908" s="23" t="str">
        <f ca="1">IFERROR(__xludf.DUMMYFUNCTION("""COMPUTED_VALUE"""),"I- ابتدائية الساقي للبنين (السادسة)")</f>
        <v>I- ابتدائية الساقي للبنين (السادسة)</v>
      </c>
      <c r="G908" s="23" t="str">
        <f ca="1">IFERROR(__xludf.DUMMYFUNCTION("""COMPUTED_VALUE"""),"الطابق الارضي")</f>
        <v>الطابق الارضي</v>
      </c>
      <c r="H908" s="23" t="str">
        <f ca="1">IFERROR(__xludf.DUMMYFUNCTION("""COMPUTED_VALUE"""),"لايرجد ماء شرب")</f>
        <v>لايرجد ماء شرب</v>
      </c>
      <c r="I908" s="23"/>
      <c r="J908" s="23" t="s">
        <v>14</v>
      </c>
      <c r="K908" s="23" t="s">
        <v>13</v>
      </c>
      <c r="L908" s="32">
        <v>46121.359389108795</v>
      </c>
      <c r="M908" s="23"/>
    </row>
    <row r="909" spans="1:13" ht="75" customHeight="1" thickTop="1" thickBot="1">
      <c r="A909" s="25">
        <v>907</v>
      </c>
      <c r="B909" s="32">
        <f ca="1">IFERROR(__xludf.DUMMYFUNCTION("""COMPUTED_VALUE"""),46121.3713247222)</f>
        <v>46121.371324722197</v>
      </c>
      <c r="C909" s="33" t="str">
        <f ca="1">IFERROR(__xludf.DUMMYFUNCTION("""COMPUTED_VALUE"""),"المعملجي")</f>
        <v>المعملجي</v>
      </c>
      <c r="D909" s="33" t="str">
        <f ca="1">IFERROR(__xludf.DUMMYFUNCTION("""COMPUTED_VALUE"""),"سجاد تربية")</f>
        <v>سجاد تربية</v>
      </c>
      <c r="E909" s="23" t="str">
        <f ca="1">IFERROR(__xludf.DUMMYFUNCTION("""COMPUTED_VALUE"""),"قسم التربية والتعليم العالي")</f>
        <v>قسم التربية والتعليم العالي</v>
      </c>
      <c r="F909" s="23" t="str">
        <f ca="1">IFERROR(__xludf.DUMMYFUNCTION("""COMPUTED_VALUE"""),"G- روضة الجود")</f>
        <v>G- روضة الجود</v>
      </c>
      <c r="G909" s="23" t="str">
        <f ca="1">IFERROR(__xludf.DUMMYFUNCTION("""COMPUTED_VALUE"""),"الطابق الارضي")</f>
        <v>الطابق الارضي</v>
      </c>
      <c r="H909" s="23" t="str">
        <f ca="1">IFERROR(__xludf.DUMMYFUNCTION("""COMPUTED_VALUE"""),"لايوجد ماء في المنظومة ")</f>
        <v xml:space="preserve">لايوجد ماء في المنظومة </v>
      </c>
      <c r="I909" s="23"/>
      <c r="J909" s="23" t="s">
        <v>14</v>
      </c>
      <c r="K909" s="23" t="s">
        <v>13</v>
      </c>
      <c r="L909" s="32">
        <v>46121.384881134261</v>
      </c>
      <c r="M909" s="23"/>
    </row>
    <row r="910" spans="1:13" ht="75" customHeight="1" thickTop="1" thickBot="1">
      <c r="A910" s="23">
        <v>908</v>
      </c>
      <c r="B910" s="32">
        <f ca="1">IFERROR(__xludf.DUMMYFUNCTION("""COMPUTED_VALUE"""),46121.3747202199)</f>
        <v>46121.374720219901</v>
      </c>
      <c r="C910" s="33" t="str">
        <f ca="1">IFERROR(__xludf.DUMMYFUNCTION("""COMPUTED_VALUE"""),"المعملجي")</f>
        <v>المعملجي</v>
      </c>
      <c r="D910" s="33" t="str">
        <f ca="1">IFERROR(__xludf.DUMMYFUNCTION("""COMPUTED_VALUE"""),"سجاد تربية")</f>
        <v>سجاد تربية</v>
      </c>
      <c r="E910" s="23" t="str">
        <f ca="1">IFERROR(__xludf.DUMMYFUNCTION("""COMPUTED_VALUE"""),"قسم التربية والتعليم العالي")</f>
        <v>قسم التربية والتعليم العالي</v>
      </c>
      <c r="F910" s="23" t="str">
        <f ca="1">IFERROR(__xludf.DUMMYFUNCTION("""COMPUTED_VALUE"""),"G- روضة الجود")</f>
        <v>G- روضة الجود</v>
      </c>
      <c r="G910" s="23" t="str">
        <f ca="1">IFERROR(__xludf.DUMMYFUNCTION("""COMPUTED_VALUE"""),"الطابق الثاني")</f>
        <v>الطابق الثاني</v>
      </c>
      <c r="H910" s="23" t="str">
        <f ca="1">IFERROR(__xludf.DUMMYFUNCTION("""COMPUTED_VALUE"""),"سيفونة حمام ")</f>
        <v xml:space="preserve">سيفونة حمام </v>
      </c>
      <c r="I910" s="23"/>
      <c r="J910" s="23" t="s">
        <v>14</v>
      </c>
      <c r="K910" s="23" t="s">
        <v>13</v>
      </c>
      <c r="L910" s="32">
        <v>46121.385023078707</v>
      </c>
      <c r="M910" s="23"/>
    </row>
    <row r="911" spans="1:13" ht="75" customHeight="1" thickTop="1" thickBot="1">
      <c r="A911" s="25">
        <v>909</v>
      </c>
      <c r="B911" s="32">
        <f ca="1">IFERROR(__xludf.DUMMYFUNCTION("""COMPUTED_VALUE"""),46121.3755493865)</f>
        <v>46121.375549386503</v>
      </c>
      <c r="C911" s="33" t="str">
        <f ca="1">IFERROR(__xludf.DUMMYFUNCTION("""COMPUTED_VALUE"""),"المعملجي")</f>
        <v>المعملجي</v>
      </c>
      <c r="D911" s="33" t="str">
        <f ca="1">IFERROR(__xludf.DUMMYFUNCTION("""COMPUTED_VALUE"""),"سجاد تربية")</f>
        <v>سجاد تربية</v>
      </c>
      <c r="E911" s="23" t="str">
        <f ca="1">IFERROR(__xludf.DUMMYFUNCTION("""COMPUTED_VALUE"""),"قسم التربية والتعليم العالي")</f>
        <v>قسم التربية والتعليم العالي</v>
      </c>
      <c r="F911" s="23" t="str">
        <f ca="1">IFERROR(__xludf.DUMMYFUNCTION("""COMPUTED_VALUE"""),"G- روضة الجود")</f>
        <v>G- روضة الجود</v>
      </c>
      <c r="G911" s="23" t="str">
        <f ca="1">IFERROR(__xludf.DUMMYFUNCTION("""COMPUTED_VALUE"""),"الطابق الارضي")</f>
        <v>الطابق الارضي</v>
      </c>
      <c r="H911" s="23" t="str">
        <f ca="1">IFERROR(__xludf.DUMMYFUNCTION("""COMPUTED_VALUE"""),"صيانة سيفونة ")</f>
        <v xml:space="preserve">صيانة سيفونة </v>
      </c>
      <c r="I911" s="23"/>
      <c r="J911" s="23" t="s">
        <v>14</v>
      </c>
      <c r="K911" s="23" t="s">
        <v>13</v>
      </c>
      <c r="L911" s="32">
        <v>46123.331366921295</v>
      </c>
      <c r="M911" s="23"/>
    </row>
    <row r="912" spans="1:13" ht="75" customHeight="1" thickTop="1" thickBot="1">
      <c r="A912" s="23">
        <v>910</v>
      </c>
      <c r="B912" s="32">
        <f ca="1">IFERROR(__xludf.DUMMYFUNCTION("""COMPUTED_VALUE"""),46123.4122050231)</f>
        <v>46123.412205023102</v>
      </c>
      <c r="C912" s="33" t="str">
        <f ca="1">IFERROR(__xludf.DUMMYFUNCTION("""COMPUTED_VALUE"""),"المعملجي")</f>
        <v>المعملجي</v>
      </c>
      <c r="D912" s="33" t="str">
        <f ca="1">IFERROR(__xludf.DUMMYFUNCTION("""COMPUTED_VALUE"""),"سجاد تربية")</f>
        <v>سجاد تربية</v>
      </c>
      <c r="E912" s="23" t="str">
        <f ca="1">IFERROR(__xludf.DUMMYFUNCTION("""COMPUTED_VALUE"""),"قسم التربية والتعليم العالي")</f>
        <v>قسم التربية والتعليم العالي</v>
      </c>
      <c r="F912" s="23" t="str">
        <f ca="1">IFERROR(__xludf.DUMMYFUNCTION("""COMPUTED_VALUE"""),"صحيات مقابيل الالعاب ")</f>
        <v xml:space="preserve">صحيات مقابيل الالعاب </v>
      </c>
      <c r="G912" s="23" t="str">
        <f ca="1">IFERROR(__xludf.DUMMYFUNCTION("""COMPUTED_VALUE"""),"/")</f>
        <v>/</v>
      </c>
      <c r="H912" s="23" t="str">
        <f ca="1">IFERROR(__xludf.DUMMYFUNCTION("""COMPUTED_VALUE"""),"لايوجد فيها ماء ")</f>
        <v xml:space="preserve">لايوجد فيها ماء </v>
      </c>
      <c r="I912" s="23"/>
      <c r="J912" s="23" t="s">
        <v>14</v>
      </c>
      <c r="K912" s="23" t="s">
        <v>13</v>
      </c>
      <c r="L912" s="32">
        <v>46123.433006678242</v>
      </c>
      <c r="M912" s="23"/>
    </row>
    <row r="913" spans="1:13" ht="75" customHeight="1" thickTop="1" thickBot="1">
      <c r="A913" s="25">
        <v>911</v>
      </c>
      <c r="B913" s="32">
        <f ca="1">IFERROR(__xludf.DUMMYFUNCTION("""COMPUTED_VALUE"""),46123.4972707986)</f>
        <v>46123.497270798602</v>
      </c>
      <c r="C913" s="33" t="str">
        <f ca="1">IFERROR(__xludf.DUMMYFUNCTION("""COMPUTED_VALUE"""),"المعملجي")</f>
        <v>المعملجي</v>
      </c>
      <c r="D913" s="33" t="str">
        <f ca="1">IFERROR(__xludf.DUMMYFUNCTION("""COMPUTED_VALUE"""),"سجاد تربية")</f>
        <v>سجاد تربية</v>
      </c>
      <c r="E913" s="23" t="str">
        <f ca="1">IFERROR(__xludf.DUMMYFUNCTION("""COMPUTED_VALUE"""),"قسم التربية والتعليم العالي")</f>
        <v>قسم التربية والتعليم العالي</v>
      </c>
      <c r="F913" s="23" t="str">
        <f ca="1">IFERROR(__xludf.DUMMYFUNCTION("""COMPUTED_VALUE"""),"F-  ابتدائية جود العميد للبنات (الرابعة)")</f>
        <v>F-  ابتدائية جود العميد للبنات (الرابعة)</v>
      </c>
      <c r="G913" s="23" t="str">
        <f ca="1">IFERROR(__xludf.DUMMYFUNCTION("""COMPUTED_VALUE"""),"الطابق الارضي, الطابق الاول, جناح الادائرة ZONE A")</f>
        <v>الطابق الارضي, الطابق الاول, جناح الادائرة ZONE A</v>
      </c>
      <c r="H913" s="23" t="str">
        <f ca="1">IFERROR(__xludf.DUMMYFUNCTION("""COMPUTED_VALUE"""),"صيانة الغربي وشطاف عدد 6 و خلاط مغسلة وغطاء سيفونة عدد3 ")</f>
        <v xml:space="preserve">صيانة الغربي وشطاف عدد 6 و خلاط مغسلة وغطاء سيفونة عدد3 </v>
      </c>
      <c r="I913" s="23"/>
      <c r="J913" s="23" t="s">
        <v>14</v>
      </c>
      <c r="K913" s="23" t="s">
        <v>13</v>
      </c>
      <c r="L913" s="32">
        <v>46123.779112789351</v>
      </c>
      <c r="M913" s="23"/>
    </row>
    <row r="914" spans="1:13" ht="75" customHeight="1" thickTop="1" thickBot="1">
      <c r="A914" s="23">
        <v>912</v>
      </c>
      <c r="B914" s="32">
        <f ca="1">IFERROR(__xludf.DUMMYFUNCTION("""COMPUTED_VALUE"""),46123.5000806828)</f>
        <v>46123.500080682803</v>
      </c>
      <c r="C914" s="33" t="str">
        <f ca="1">IFERROR(__xludf.DUMMYFUNCTION("""COMPUTED_VALUE"""),"المعملجي")</f>
        <v>المعملجي</v>
      </c>
      <c r="D914" s="33" t="str">
        <f ca="1">IFERROR(__xludf.DUMMYFUNCTION("""COMPUTED_VALUE"""),"سجاد تربية")</f>
        <v>سجاد تربية</v>
      </c>
      <c r="E914" s="23" t="str">
        <f ca="1">IFERROR(__xludf.DUMMYFUNCTION("""COMPUTED_VALUE"""),"قسم التربية والتعليم العالي")</f>
        <v>قسم التربية والتعليم العالي</v>
      </c>
      <c r="F914" s="23" t="str">
        <f ca="1">IFERROR(__xludf.DUMMYFUNCTION("""COMPUTED_VALUE"""),"F-  ابتدائية جود العميد للبنات (الرابعة)")</f>
        <v>F-  ابتدائية جود العميد للبنات (الرابعة)</v>
      </c>
      <c r="G914" s="23" t="str">
        <f ca="1">IFERROR(__xludf.DUMMYFUNCTION("""COMPUTED_VALUE"""),"الطابق الاول")</f>
        <v>الطابق الاول</v>
      </c>
      <c r="H914" s="23" t="str">
        <f ca="1">IFERROR(__xludf.DUMMYFUNCTION("""COMPUTED_VALUE"""),"صيانة خلاط في صحيات الخارجية ")</f>
        <v xml:space="preserve">صيانة خلاط في صحيات الخارجية </v>
      </c>
      <c r="I914" s="23"/>
      <c r="J914" s="23" t="s">
        <v>14</v>
      </c>
      <c r="K914" s="23" t="s">
        <v>13</v>
      </c>
      <c r="L914" s="32">
        <v>46123.779210127315</v>
      </c>
      <c r="M914" s="23"/>
    </row>
    <row r="915" spans="1:13" ht="75" customHeight="1" thickTop="1" thickBot="1">
      <c r="A915" s="25">
        <v>913</v>
      </c>
      <c r="B915" s="32">
        <f ca="1">IFERROR(__xludf.DUMMYFUNCTION("""COMPUTED_VALUE"""),46123.5012690277)</f>
        <v>46123.5012690277</v>
      </c>
      <c r="C915" s="33" t="str">
        <f ca="1">IFERROR(__xludf.DUMMYFUNCTION("""COMPUTED_VALUE"""),"المعملجي")</f>
        <v>المعملجي</v>
      </c>
      <c r="D915" s="33" t="str">
        <f ca="1">IFERROR(__xludf.DUMMYFUNCTION("""COMPUTED_VALUE"""),"سجاد تربية")</f>
        <v>سجاد تربية</v>
      </c>
      <c r="E915" s="23" t="str">
        <f ca="1">IFERROR(__xludf.DUMMYFUNCTION("""COMPUTED_VALUE"""),"قسم التربية والتعليم العالي")</f>
        <v>قسم التربية والتعليم العالي</v>
      </c>
      <c r="F915" s="23" t="str">
        <f ca="1">IFERROR(__xludf.DUMMYFUNCTION("""COMPUTED_VALUE"""),"F-  ابتدائية جود العميد للبنات (الرابعة)")</f>
        <v>F-  ابتدائية جود العميد للبنات (الرابعة)</v>
      </c>
      <c r="G915" s="23" t="str">
        <f ca="1">IFERROR(__xludf.DUMMYFUNCTION("""COMPUTED_VALUE"""),"المصلى ")</f>
        <v xml:space="preserve">المصلى </v>
      </c>
      <c r="H915" s="23" t="str">
        <f ca="1">IFERROR(__xludf.DUMMYFUNCTION("""COMPUTED_VALUE"""),"انسداد منهولة ")</f>
        <v xml:space="preserve">انسداد منهولة </v>
      </c>
      <c r="I915" s="23"/>
      <c r="J915" s="23" t="s">
        <v>14</v>
      </c>
      <c r="K915" s="23" t="s">
        <v>13</v>
      </c>
      <c r="L915" s="32">
        <v>46123.779259340277</v>
      </c>
      <c r="M915" s="23"/>
    </row>
    <row r="916" spans="1:13" ht="75" customHeight="1" thickTop="1" thickBot="1">
      <c r="A916" s="23">
        <v>914</v>
      </c>
      <c r="B916" s="32">
        <f ca="1">IFERROR(__xludf.DUMMYFUNCTION("""COMPUTED_VALUE"""),46123.7804137037)</f>
        <v>46123.780413703702</v>
      </c>
      <c r="C916" s="33" t="str">
        <f ca="1">IFERROR(__xludf.DUMMYFUNCTION("""COMPUTED_VALUE"""),"المعملجي")</f>
        <v>المعملجي</v>
      </c>
      <c r="D916" s="33" t="str">
        <f ca="1">IFERROR(__xludf.DUMMYFUNCTION("""COMPUTED_VALUE"""),"سجاد تربية")</f>
        <v>سجاد تربية</v>
      </c>
      <c r="E916" s="23" t="str">
        <f ca="1">IFERROR(__xludf.DUMMYFUNCTION("""COMPUTED_VALUE"""),"قسم التربية والتعليم العالي")</f>
        <v>قسم التربية والتعليم العالي</v>
      </c>
      <c r="F916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916" s="23" t="str">
        <f ca="1">IFERROR(__xludf.DUMMYFUNCTION("""COMPUTED_VALUE"""),"السطح")</f>
        <v>السطح</v>
      </c>
      <c r="H916" s="23" t="str">
        <f ca="1">IFERROR(__xludf.DUMMYFUNCTION("""COMPUTED_VALUE"""),"صيانة طوافه تانكي ")</f>
        <v xml:space="preserve">صيانة طوافه تانكي </v>
      </c>
      <c r="I916" s="23"/>
      <c r="J916" s="23" t="s">
        <v>14</v>
      </c>
      <c r="K916" s="23" t="s">
        <v>13</v>
      </c>
      <c r="L916" s="32">
        <v>46123.780542974535</v>
      </c>
      <c r="M916" s="23"/>
    </row>
    <row r="917" spans="1:13" ht="75" customHeight="1" thickTop="1" thickBot="1">
      <c r="A917" s="25">
        <v>915</v>
      </c>
      <c r="B917" s="32">
        <f ca="1">IFERROR(__xludf.DUMMYFUNCTION("""COMPUTED_VALUE"""),46124.5800399537)</f>
        <v>46124.580039953697</v>
      </c>
      <c r="C917" s="33" t="str">
        <f ca="1">IFERROR(__xludf.DUMMYFUNCTION("""COMPUTED_VALUE"""),"المعملجي")</f>
        <v>المعملجي</v>
      </c>
      <c r="D917" s="33" t="str">
        <f ca="1">IFERROR(__xludf.DUMMYFUNCTION("""COMPUTED_VALUE"""),"سجاد تربية")</f>
        <v>سجاد تربية</v>
      </c>
      <c r="E917" s="23" t="str">
        <f ca="1">IFERROR(__xludf.DUMMYFUNCTION("""COMPUTED_VALUE"""),"قسم التربية والتعليم العالي")</f>
        <v>قسم التربية والتعليم العالي</v>
      </c>
      <c r="F917" s="23" t="str">
        <f ca="1">IFERROR(__xludf.DUMMYFUNCTION("""COMPUTED_VALUE"""),"F-  ابتدائية جود العميد للبنات (الرابعة)")</f>
        <v>F-  ابتدائية جود العميد للبنات (الرابعة)</v>
      </c>
      <c r="G917" s="23" t="str">
        <f ca="1">IFERROR(__xludf.DUMMYFUNCTION("""COMPUTED_VALUE"""),"الطابق الارضي")</f>
        <v>الطابق الارضي</v>
      </c>
      <c r="H917" s="23" t="str">
        <f ca="1">IFERROR(__xludf.DUMMYFUNCTION("""COMPUTED_VALUE"""),"صيانة برادات الماء الخاص بالتلميذات ")</f>
        <v xml:space="preserve">صيانة برادات الماء الخاص بالتلميذات </v>
      </c>
      <c r="I917" s="23"/>
      <c r="J917" s="23" t="s">
        <v>14</v>
      </c>
      <c r="K917" s="23" t="s">
        <v>13</v>
      </c>
      <c r="L917" s="32">
        <v>46124.783034918983</v>
      </c>
      <c r="M917" s="23"/>
    </row>
    <row r="918" spans="1:13" ht="75" customHeight="1" thickTop="1" thickBot="1">
      <c r="A918" s="23">
        <v>916</v>
      </c>
      <c r="B918" s="32">
        <f ca="1">IFERROR(__xludf.DUMMYFUNCTION("""COMPUTED_VALUE"""),46125.3397798263)</f>
        <v>46125.339779826303</v>
      </c>
      <c r="C918" s="33" t="str">
        <f ca="1">IFERROR(__xludf.DUMMYFUNCTION("""COMPUTED_VALUE"""),"المعملجي")</f>
        <v>المعملجي</v>
      </c>
      <c r="D918" s="33" t="str">
        <f ca="1">IFERROR(__xludf.DUMMYFUNCTION("""COMPUTED_VALUE"""),"سجاد تربية")</f>
        <v>سجاد تربية</v>
      </c>
      <c r="E918" s="23" t="str">
        <f ca="1">IFERROR(__xludf.DUMMYFUNCTION("""COMPUTED_VALUE"""),"قسم التربية والتعليم العالي")</f>
        <v>قسم التربية والتعليم العالي</v>
      </c>
      <c r="F918" s="23" t="str">
        <f ca="1">IFERROR(__xludf.DUMMYFUNCTION("""COMPUTED_VALUE"""),"B- روضة القمر")</f>
        <v>B- روضة القمر</v>
      </c>
      <c r="G918" s="23" t="str">
        <f ca="1">IFERROR(__xludf.DUMMYFUNCTION("""COMPUTED_VALUE"""),"/")</f>
        <v>/</v>
      </c>
      <c r="H918" s="23" t="str">
        <f ca="1">IFERROR(__xludf.DUMMYFUNCTION("""COMPUTED_VALUE"""),"لايوجد ماء اساله")</f>
        <v>لايوجد ماء اساله</v>
      </c>
      <c r="I918" s="23"/>
      <c r="J918" s="23" t="s">
        <v>14</v>
      </c>
      <c r="K918" s="23" t="s">
        <v>13</v>
      </c>
      <c r="L918" s="32">
        <v>46125.374096041662</v>
      </c>
      <c r="M918" s="23"/>
    </row>
    <row r="919" spans="1:13" ht="75" customHeight="1" thickTop="1" thickBot="1">
      <c r="A919" s="25">
        <v>917</v>
      </c>
      <c r="B919" s="32">
        <f ca="1">IFERROR(__xludf.DUMMYFUNCTION("""COMPUTED_VALUE"""),46125.4645188425)</f>
        <v>46125.464518842498</v>
      </c>
      <c r="C919" s="33" t="str">
        <f ca="1">IFERROR(__xludf.DUMMYFUNCTION("""COMPUTED_VALUE"""),"المعملجي")</f>
        <v>المعملجي</v>
      </c>
      <c r="D919" s="33" t="str">
        <f ca="1">IFERROR(__xludf.DUMMYFUNCTION("""COMPUTED_VALUE"""),"وحدة الميكانيك")</f>
        <v>وحدة الميكانيك</v>
      </c>
      <c r="E919" s="23" t="str">
        <f ca="1">IFERROR(__xludf.DUMMYFUNCTION("""COMPUTED_VALUE"""),"قسم المشاريع الهندسية")</f>
        <v>قسم المشاريع الهندسية</v>
      </c>
      <c r="F919" s="23" t="str">
        <f ca="1">IFERROR(__xludf.DUMMYFUNCTION("""COMPUTED_VALUE"""),"H- ابتدائية القمر للبنات (الخامسة)")</f>
        <v>H- ابتدائية القمر للبنات (الخامسة)</v>
      </c>
      <c r="G919" s="23" t="str">
        <f ca="1">IFERROR(__xludf.DUMMYFUNCTION("""COMPUTED_VALUE"""),"الطابق الارضي, جناح الساحة ZONE B")</f>
        <v>الطابق الارضي, جناح الساحة ZONE B</v>
      </c>
      <c r="H919" s="23" t="str">
        <f ca="1">IFERROR(__xludf.DUMMYFUNCTION("""COMPUTED_VALUE"""),"تبديل كاك براد عدد ٥")</f>
        <v>تبديل كاك براد عدد ٥</v>
      </c>
      <c r="I919" s="23"/>
      <c r="J919" s="23" t="s">
        <v>14</v>
      </c>
      <c r="K919" s="23" t="s">
        <v>13</v>
      </c>
      <c r="L919" s="32"/>
      <c r="M919" s="23"/>
    </row>
    <row r="920" spans="1:13" ht="75" customHeight="1" thickTop="1" thickBot="1">
      <c r="A920" s="23">
        <v>918</v>
      </c>
      <c r="B920" s="32">
        <f ca="1">IFERROR(__xludf.DUMMYFUNCTION("""COMPUTED_VALUE"""),46125.4650336921)</f>
        <v>46125.465033692097</v>
      </c>
      <c r="C920" s="33" t="str">
        <f ca="1">IFERROR(__xludf.DUMMYFUNCTION("""COMPUTED_VALUE"""),"المعملجي")</f>
        <v>المعملجي</v>
      </c>
      <c r="D920" s="33" t="str">
        <f ca="1">IFERROR(__xludf.DUMMYFUNCTION("""COMPUTED_VALUE"""),"وحدة الميكانيك")</f>
        <v>وحدة الميكانيك</v>
      </c>
      <c r="E920" s="23" t="str">
        <f ca="1">IFERROR(__xludf.DUMMYFUNCTION("""COMPUTED_VALUE"""),"قسم التربية والتعليم العالي")</f>
        <v>قسم التربية والتعليم العالي</v>
      </c>
      <c r="F920" s="23" t="str">
        <f ca="1">IFERROR(__xludf.DUMMYFUNCTION("""COMPUTED_VALUE"""),"H- ابتدائية القمر للبنات (الخامسة)")</f>
        <v>H- ابتدائية القمر للبنات (الخامسة)</v>
      </c>
      <c r="G920" s="23" t="str">
        <f ca="1">IFERROR(__xludf.DUMMYFUNCTION("""COMPUTED_VALUE"""),"الطابق الارضي, جناح الساحة ZONE B")</f>
        <v>الطابق الارضي, جناح الساحة ZONE B</v>
      </c>
      <c r="H920" s="23" t="str">
        <f ca="1">IFERROR(__xludf.DUMMYFUNCTION("""COMPUTED_VALUE"""),"تبديل صندوق فلاش ")</f>
        <v xml:space="preserve">تبديل صندوق فلاش </v>
      </c>
      <c r="I920" s="23"/>
      <c r="J920" s="23" t="s">
        <v>14</v>
      </c>
      <c r="K920" s="23" t="s">
        <v>13</v>
      </c>
      <c r="L920" s="32"/>
      <c r="M920" s="23"/>
    </row>
    <row r="921" spans="1:13" ht="75" customHeight="1" thickTop="1" thickBot="1">
      <c r="A921" s="25">
        <v>919</v>
      </c>
      <c r="B921" s="32">
        <f ca="1">IFERROR(__xludf.DUMMYFUNCTION("""COMPUTED_VALUE"""),46125.4658938657)</f>
        <v>46125.465893865701</v>
      </c>
      <c r="C921" s="33" t="str">
        <f ca="1">IFERROR(__xludf.DUMMYFUNCTION("""COMPUTED_VALUE"""),"المعملجي")</f>
        <v>المعملجي</v>
      </c>
      <c r="D921" s="33" t="str">
        <f ca="1">IFERROR(__xludf.DUMMYFUNCTION("""COMPUTED_VALUE"""),"وحدة الميكانيك")</f>
        <v>وحدة الميكانيك</v>
      </c>
      <c r="E921" s="23" t="str">
        <f ca="1">IFERROR(__xludf.DUMMYFUNCTION("""COMPUTED_VALUE"""),"قسم المشاريع الهندسية")</f>
        <v>قسم المشاريع الهندسية</v>
      </c>
      <c r="F921" s="23" t="str">
        <f ca="1">IFERROR(__xludf.DUMMYFUNCTION("""COMPUTED_VALUE"""),"H- ابتدائية القمر للبنات (الخامسة)")</f>
        <v>H- ابتدائية القمر للبنات (الخامسة)</v>
      </c>
      <c r="G921" s="23" t="str">
        <f ca="1">IFERROR(__xludf.DUMMYFUNCTION("""COMPUTED_VALUE"""),"الطابق الارضي, جناح الساحة ZONE B")</f>
        <v>الطابق الارضي, جناح الساحة ZONE B</v>
      </c>
      <c r="H921" s="23" t="str">
        <f ca="1">IFERROR(__xludf.DUMMYFUNCTION("""COMPUTED_VALUE"""),"تبديل صوندة فلاش ")</f>
        <v xml:space="preserve">تبديل صوندة فلاش </v>
      </c>
      <c r="I921" s="23"/>
      <c r="J921" s="23" t="s">
        <v>14</v>
      </c>
      <c r="K921" s="23" t="s">
        <v>13</v>
      </c>
      <c r="L921" s="32"/>
      <c r="M921" s="23"/>
    </row>
    <row r="922" spans="1:13" ht="75" customHeight="1" thickTop="1" thickBot="1">
      <c r="A922" s="23">
        <v>920</v>
      </c>
      <c r="B922" s="32">
        <f ca="1">IFERROR(__xludf.DUMMYFUNCTION("""COMPUTED_VALUE"""),46125.4662743171)</f>
        <v>46125.466274317099</v>
      </c>
      <c r="C922" s="33" t="str">
        <f ca="1">IFERROR(__xludf.DUMMYFUNCTION("""COMPUTED_VALUE"""),"المعملجي")</f>
        <v>المعملجي</v>
      </c>
      <c r="D922" s="33" t="str">
        <f ca="1">IFERROR(__xludf.DUMMYFUNCTION("""COMPUTED_VALUE"""),"وحدة الميكانيك")</f>
        <v>وحدة الميكانيك</v>
      </c>
      <c r="E922" s="23" t="str">
        <f ca="1">IFERROR(__xludf.DUMMYFUNCTION("""COMPUTED_VALUE"""),"قسم المشاريع الهندسية")</f>
        <v>قسم المشاريع الهندسية</v>
      </c>
      <c r="F922" s="23" t="str">
        <f ca="1">IFERROR(__xludf.DUMMYFUNCTION("""COMPUTED_VALUE"""),"H- ابتدائية القمر للبنات (الخامسة)")</f>
        <v>H- ابتدائية القمر للبنات (الخامسة)</v>
      </c>
      <c r="G922" s="23" t="str">
        <f ca="1">IFERROR(__xludf.DUMMYFUNCTION("""COMPUTED_VALUE"""),"الطابق الارضي, جناح الساحة ZONE B")</f>
        <v>الطابق الارضي, جناح الساحة ZONE B</v>
      </c>
      <c r="H922" s="23" t="str">
        <f ca="1">IFERROR(__xludf.DUMMYFUNCTION("""COMPUTED_VALUE"""),"تبديل كاك براد عدد ٤")</f>
        <v>تبديل كاك براد عدد ٤</v>
      </c>
      <c r="I922" s="23"/>
      <c r="J922" s="23" t="s">
        <v>14</v>
      </c>
      <c r="K922" s="23" t="s">
        <v>13</v>
      </c>
      <c r="L922" s="32"/>
      <c r="M922" s="23"/>
    </row>
    <row r="923" spans="1:13" ht="75" customHeight="1" thickTop="1" thickBot="1">
      <c r="A923" s="25">
        <v>921</v>
      </c>
      <c r="B923" s="32">
        <f ca="1">IFERROR(__xludf.DUMMYFUNCTION("""COMPUTED_VALUE"""),46125.4667406712)</f>
        <v>46125.466740671203</v>
      </c>
      <c r="C923" s="33" t="str">
        <f ca="1">IFERROR(__xludf.DUMMYFUNCTION("""COMPUTED_VALUE"""),"المعملجي")</f>
        <v>المعملجي</v>
      </c>
      <c r="D923" s="33" t="str">
        <f ca="1">IFERROR(__xludf.DUMMYFUNCTION("""COMPUTED_VALUE"""),"وحدة الميكانيك")</f>
        <v>وحدة الميكانيك</v>
      </c>
      <c r="E923" s="23" t="str">
        <f ca="1">IFERROR(__xludf.DUMMYFUNCTION("""COMPUTED_VALUE"""),"قسم المشاريع الهندسية")</f>
        <v>قسم المشاريع الهندسية</v>
      </c>
      <c r="F923" s="23" t="str">
        <f ca="1">IFERROR(__xludf.DUMMYFUNCTION("""COMPUTED_VALUE"""),"I- ابتدائية الساقي للبنين (السادسة)")</f>
        <v>I- ابتدائية الساقي للبنين (السادسة)</v>
      </c>
      <c r="G923" s="23" t="str">
        <f ca="1">IFERROR(__xludf.DUMMYFUNCTION("""COMPUTED_VALUE"""),"الطابق الاول")</f>
        <v>الطابق الاول</v>
      </c>
      <c r="H923" s="23" t="str">
        <f ca="1">IFERROR(__xludf.DUMMYFUNCTION("""COMPUTED_VALUE"""),"تبديل قبق مقعد غربي")</f>
        <v>تبديل قبق مقعد غربي</v>
      </c>
      <c r="I923" s="23"/>
      <c r="J923" s="23" t="s">
        <v>14</v>
      </c>
      <c r="K923" s="23" t="s">
        <v>13</v>
      </c>
      <c r="L923" s="32"/>
      <c r="M923" s="23"/>
    </row>
    <row r="924" spans="1:13" ht="75" customHeight="1" thickTop="1" thickBot="1">
      <c r="A924" s="23">
        <v>922</v>
      </c>
      <c r="B924" s="32">
        <f ca="1">IFERROR(__xludf.DUMMYFUNCTION("""COMPUTED_VALUE"""),46125.4672333217)</f>
        <v>46125.467233321702</v>
      </c>
      <c r="C924" s="33" t="str">
        <f ca="1">IFERROR(__xludf.DUMMYFUNCTION("""COMPUTED_VALUE"""),"المعملجي")</f>
        <v>المعملجي</v>
      </c>
      <c r="D924" s="33" t="str">
        <f ca="1">IFERROR(__xludf.DUMMYFUNCTION("""COMPUTED_VALUE"""),"وحدة الميكانيك")</f>
        <v>وحدة الميكانيك</v>
      </c>
      <c r="E924" s="23" t="str">
        <f ca="1">IFERROR(__xludf.DUMMYFUNCTION("""COMPUTED_VALUE"""),"قسم المشاريع الهندسية")</f>
        <v>قسم المشاريع الهندسية</v>
      </c>
      <c r="F924" s="23" t="str">
        <f ca="1">IFERROR(__xludf.DUMMYFUNCTION("""COMPUTED_VALUE"""),"H- ابتدائية القمر للبنات (الخامسة)")</f>
        <v>H- ابتدائية القمر للبنات (الخامسة)</v>
      </c>
      <c r="G924" s="23" t="str">
        <f ca="1">IFERROR(__xludf.DUMMYFUNCTION("""COMPUTED_VALUE"""),"الطابق الارضي, جناح الساحة ZONE B")</f>
        <v>الطابق الارضي, جناح الساحة ZONE B</v>
      </c>
      <c r="H924" s="23" t="str">
        <f ca="1">IFERROR(__xludf.DUMMYFUNCTION("""COMPUTED_VALUE"""),"فتح انسداد في مغاسل حمامات ")</f>
        <v xml:space="preserve">فتح انسداد في مغاسل حمامات </v>
      </c>
      <c r="I924" s="23"/>
      <c r="J924" s="23" t="s">
        <v>14</v>
      </c>
      <c r="K924" s="23" t="s">
        <v>13</v>
      </c>
      <c r="L924" s="32"/>
      <c r="M924" s="23"/>
    </row>
    <row r="925" spans="1:13" ht="75" customHeight="1" thickTop="1" thickBot="1">
      <c r="A925" s="25">
        <v>923</v>
      </c>
      <c r="B925" s="32">
        <f ca="1">IFERROR(__xludf.DUMMYFUNCTION("""COMPUTED_VALUE"""),46125.4677331134)</f>
        <v>46125.467733113401</v>
      </c>
      <c r="C925" s="33" t="str">
        <f ca="1">IFERROR(__xludf.DUMMYFUNCTION("""COMPUTED_VALUE"""),"المعملجي")</f>
        <v>المعملجي</v>
      </c>
      <c r="D925" s="33" t="str">
        <f ca="1">IFERROR(__xludf.DUMMYFUNCTION("""COMPUTED_VALUE"""),"وحدة الميكانيك")</f>
        <v>وحدة الميكانيك</v>
      </c>
      <c r="E925" s="23" t="str">
        <f ca="1">IFERROR(__xludf.DUMMYFUNCTION("""COMPUTED_VALUE"""),"قسم المشاريع الهندسية")</f>
        <v>قسم المشاريع الهندسية</v>
      </c>
      <c r="F925" s="23" t="str">
        <f ca="1">IFERROR(__xludf.DUMMYFUNCTION("""COMPUTED_VALUE"""),"G- روضة الجود")</f>
        <v>G- روضة الجود</v>
      </c>
      <c r="G925" s="23" t="str">
        <f ca="1">IFERROR(__xludf.DUMMYFUNCTION("""COMPUTED_VALUE"""),"الطابق الثاني")</f>
        <v>الطابق الثاني</v>
      </c>
      <c r="H925" s="23" t="str">
        <f ca="1">IFERROR(__xludf.DUMMYFUNCTION("""COMPUTED_VALUE"""),"تبديل كاك زاوية ")</f>
        <v xml:space="preserve">تبديل كاك زاوية </v>
      </c>
      <c r="I925" s="23"/>
      <c r="J925" s="23" t="s">
        <v>14</v>
      </c>
      <c r="K925" s="23" t="s">
        <v>13</v>
      </c>
      <c r="L925" s="32"/>
      <c r="M925" s="23"/>
    </row>
    <row r="926" spans="1:13" ht="75" customHeight="1" thickTop="1" thickBot="1">
      <c r="A926" s="23">
        <v>924</v>
      </c>
      <c r="B926" s="32">
        <f ca="1">IFERROR(__xludf.DUMMYFUNCTION("""COMPUTED_VALUE"""),46125.4684276851)</f>
        <v>46125.468427685097</v>
      </c>
      <c r="C926" s="33" t="str">
        <f ca="1">IFERROR(__xludf.DUMMYFUNCTION("""COMPUTED_VALUE"""),"المعملجي")</f>
        <v>المعملجي</v>
      </c>
      <c r="D926" s="33" t="str">
        <f ca="1">IFERROR(__xludf.DUMMYFUNCTION("""COMPUTED_VALUE"""),"وحدة الميكانيك")</f>
        <v>وحدة الميكانيك</v>
      </c>
      <c r="E926" s="23" t="str">
        <f ca="1">IFERROR(__xludf.DUMMYFUNCTION("""COMPUTED_VALUE"""),"قسم المشاريع الهندسية")</f>
        <v>قسم المشاريع الهندسية</v>
      </c>
      <c r="F926" s="23" t="str">
        <f ca="1">IFERROR(__xludf.DUMMYFUNCTION("""COMPUTED_VALUE"""),"G- روضة الجود")</f>
        <v>G- روضة الجود</v>
      </c>
      <c r="G926" s="23" t="str">
        <f ca="1">IFERROR(__xludf.DUMMYFUNCTION("""COMPUTED_VALUE"""),"الطابق الثاني")</f>
        <v>الطابق الثاني</v>
      </c>
      <c r="H926" s="23" t="str">
        <f ca="1">IFERROR(__xludf.DUMMYFUNCTION("""COMPUTED_VALUE"""),"فتح انسداد في صوندة شطاف عدد ٣")</f>
        <v>فتح انسداد في صوندة شطاف عدد ٣</v>
      </c>
      <c r="I926" s="23"/>
      <c r="J926" s="23" t="s">
        <v>14</v>
      </c>
      <c r="K926" s="23" t="s">
        <v>13</v>
      </c>
      <c r="L926" s="32"/>
      <c r="M926" s="23"/>
    </row>
    <row r="927" spans="1:13" ht="75" customHeight="1" thickTop="1" thickBot="1">
      <c r="A927" s="25">
        <v>925</v>
      </c>
      <c r="B927" s="32">
        <f ca="1">IFERROR(__xludf.DUMMYFUNCTION("""COMPUTED_VALUE"""),46126.5133385995)</f>
        <v>46126.5133385995</v>
      </c>
      <c r="C927" s="33" t="str">
        <f ca="1">IFERROR(__xludf.DUMMYFUNCTION("""COMPUTED_VALUE"""),"المعملجي")</f>
        <v>المعملجي</v>
      </c>
      <c r="D927" s="33" t="str">
        <f ca="1">IFERROR(__xludf.DUMMYFUNCTION("""COMPUTED_VALUE"""),"سجاد تربية")</f>
        <v>سجاد تربية</v>
      </c>
      <c r="E927" s="23" t="str">
        <f ca="1">IFERROR(__xludf.DUMMYFUNCTION("""COMPUTED_VALUE"""),"قسم التربية والتعليم العالي")</f>
        <v>قسم التربية والتعليم العالي</v>
      </c>
      <c r="F927" s="23" t="str">
        <f ca="1">IFERROR(__xludf.DUMMYFUNCTION("""COMPUTED_VALUE"""),"I- ابتدائية الساقي للبنين (السادسة)")</f>
        <v>I- ابتدائية الساقي للبنين (السادسة)</v>
      </c>
      <c r="G927" s="23" t="str">
        <f ca="1">IFERROR(__xludf.DUMMYFUNCTION("""COMPUTED_VALUE"""),"الطابق الارضي")</f>
        <v>الطابق الارضي</v>
      </c>
      <c r="H927" s="23" t="str">
        <f ca="1">IFERROR(__xludf.DUMMYFUNCTION("""COMPUTED_VALUE"""),"صيانات حمامات ")</f>
        <v xml:space="preserve">صيانات حمامات </v>
      </c>
      <c r="I927" s="23"/>
      <c r="J927" s="23" t="s">
        <v>14</v>
      </c>
      <c r="K927" s="23" t="s">
        <v>13</v>
      </c>
      <c r="L927" s="32">
        <v>46126.551259699074</v>
      </c>
      <c r="M927" s="23"/>
    </row>
    <row r="928" spans="1:13" ht="75" customHeight="1" thickTop="1" thickBot="1">
      <c r="A928" s="23">
        <v>926</v>
      </c>
      <c r="B928" s="32">
        <f ca="1">IFERROR(__xludf.DUMMYFUNCTION("""COMPUTED_VALUE"""),46130.4069788425)</f>
        <v>46130.406978842497</v>
      </c>
      <c r="C928" s="33" t="str">
        <f ca="1">IFERROR(__xludf.DUMMYFUNCTION("""COMPUTED_VALUE"""),"المعملجي")</f>
        <v>المعملجي</v>
      </c>
      <c r="D928" s="33" t="str">
        <f ca="1">IFERROR(__xludf.DUMMYFUNCTION("""COMPUTED_VALUE"""),"سجاد تربية")</f>
        <v>سجاد تربية</v>
      </c>
      <c r="E928" s="23" t="str">
        <f ca="1">IFERROR(__xludf.DUMMYFUNCTION("""COMPUTED_VALUE"""),"قسم التربية والتعليم العالي")</f>
        <v>قسم التربية والتعليم العالي</v>
      </c>
      <c r="F928" s="23" t="str">
        <f ca="1">IFERROR(__xludf.DUMMYFUNCTION("""COMPUTED_VALUE"""),"F-  ابتدائية جود العميد للبنات (الرابعة)")</f>
        <v>F-  ابتدائية جود العميد للبنات (الرابعة)</v>
      </c>
      <c r="G928" s="23" t="str">
        <f ca="1">IFERROR(__xludf.DUMMYFUNCTION("""COMPUTED_VALUE"""),"الطابق الارضي")</f>
        <v>الطابق الارضي</v>
      </c>
      <c r="H928" s="23" t="str">
        <f ca="1">IFERROR(__xludf.DUMMYFUNCTION("""COMPUTED_VALUE"""),"لايوجد ماء شرب في المنظومة ")</f>
        <v xml:space="preserve">لايوجد ماء شرب في المنظومة </v>
      </c>
      <c r="I928" s="23"/>
      <c r="J928" s="23" t="s">
        <v>14</v>
      </c>
      <c r="K928" s="23" t="s">
        <v>13</v>
      </c>
      <c r="L928" s="32">
        <v>46130.452404861113</v>
      </c>
      <c r="M928" s="23"/>
    </row>
    <row r="929" spans="1:13" ht="75" customHeight="1" thickTop="1" thickBot="1">
      <c r="A929" s="25">
        <v>927</v>
      </c>
      <c r="B929" s="32">
        <f ca="1">IFERROR(__xludf.DUMMYFUNCTION("""COMPUTED_VALUE"""),46131.4099722222)</f>
        <v>46131.409972222202</v>
      </c>
      <c r="C929" s="33" t="str">
        <f ca="1">IFERROR(__xludf.DUMMYFUNCTION("""COMPUTED_VALUE"""),"المعملجي")</f>
        <v>المعملجي</v>
      </c>
      <c r="D929" s="33" t="str">
        <f ca="1">IFERROR(__xludf.DUMMYFUNCTION("""COMPUTED_VALUE"""),"سجاد تربية")</f>
        <v>سجاد تربية</v>
      </c>
      <c r="E929" s="23" t="str">
        <f ca="1">IFERROR(__xludf.DUMMYFUNCTION("""COMPUTED_VALUE"""),"قسم التربية والتعليم العالي")</f>
        <v>قسم التربية والتعليم العالي</v>
      </c>
      <c r="F929" s="23" t="str">
        <f ca="1">IFERROR(__xludf.DUMMYFUNCTION("""COMPUTED_VALUE"""),"G- روضة الجود")</f>
        <v>G- روضة الجود</v>
      </c>
      <c r="G929" s="23" t="str">
        <f ca="1">IFERROR(__xludf.DUMMYFUNCTION("""COMPUTED_VALUE"""),"صف المرح ")</f>
        <v xml:space="preserve">صف المرح </v>
      </c>
      <c r="H929" s="23" t="str">
        <f ca="1">IFERROR(__xludf.DUMMYFUNCTION("""COMPUTED_VALUE"""),"صيانة تعلاكة حنفية للحمام ")</f>
        <v xml:space="preserve">صيانة تعلاكة حنفية للحمام </v>
      </c>
      <c r="I929" s="23"/>
      <c r="J929" s="23" t="s">
        <v>14</v>
      </c>
      <c r="K929" s="23" t="s">
        <v>13</v>
      </c>
      <c r="L929" s="32">
        <v>46131.455709525464</v>
      </c>
      <c r="M929" s="23"/>
    </row>
    <row r="930" spans="1:13" ht="75" customHeight="1" thickTop="1" thickBot="1">
      <c r="A930" s="23">
        <v>928</v>
      </c>
      <c r="B930" s="32">
        <f ca="1">IFERROR(__xludf.DUMMYFUNCTION("""COMPUTED_VALUE"""),46131.4686528703)</f>
        <v>46131.468652870302</v>
      </c>
      <c r="C930" s="33" t="str">
        <f ca="1">IFERROR(__xludf.DUMMYFUNCTION("""COMPUTED_VALUE"""),"المعملجي")</f>
        <v>المعملجي</v>
      </c>
      <c r="D930" s="33" t="str">
        <f ca="1">IFERROR(__xludf.DUMMYFUNCTION("""COMPUTED_VALUE"""),"سجاد تربية")</f>
        <v>سجاد تربية</v>
      </c>
      <c r="E930" s="23" t="str">
        <f ca="1">IFERROR(__xludf.DUMMYFUNCTION("""COMPUTED_VALUE"""),"قسم التربية والتعليم العالي")</f>
        <v>قسم التربية والتعليم العالي</v>
      </c>
      <c r="F930" s="23" t="str">
        <f ca="1">IFERROR(__xludf.DUMMYFUNCTION("""COMPUTED_VALUE"""),"H- ابتدائية القمر للبنات (الخامسة)")</f>
        <v>H- ابتدائية القمر للبنات (الخامسة)</v>
      </c>
      <c r="G930" s="23" t="str">
        <f ca="1">IFERROR(__xludf.DUMMYFUNCTION("""COMPUTED_VALUE"""),"صحيات")</f>
        <v>صحيات</v>
      </c>
      <c r="H930" s="23" t="str">
        <f ca="1">IFERROR(__xludf.DUMMYFUNCTION("""COMPUTED_VALUE"""),"صحيات طافحة")</f>
        <v>صحيات طافحة</v>
      </c>
      <c r="I930" s="23"/>
      <c r="J930" s="23" t="s">
        <v>14</v>
      </c>
      <c r="K930" s="23" t="s">
        <v>13</v>
      </c>
      <c r="L930" s="32"/>
      <c r="M930" s="23"/>
    </row>
    <row r="931" spans="1:13" ht="75" customHeight="1" thickTop="1" thickBot="1">
      <c r="A931" s="25">
        <v>929</v>
      </c>
      <c r="B931" s="32">
        <f ca="1">IFERROR(__xludf.DUMMYFUNCTION("""COMPUTED_VALUE"""),46132.3424646412)</f>
        <v>46132.342464641202</v>
      </c>
      <c r="C931" s="33" t="str">
        <f ca="1">IFERROR(__xludf.DUMMYFUNCTION("""COMPUTED_VALUE"""),"المعملجي")</f>
        <v>المعملجي</v>
      </c>
      <c r="D931" s="33" t="str">
        <f ca="1">IFERROR(__xludf.DUMMYFUNCTION("""COMPUTED_VALUE"""),"سجاد تربية")</f>
        <v>سجاد تربية</v>
      </c>
      <c r="E931" s="23" t="str">
        <f ca="1">IFERROR(__xludf.DUMMYFUNCTION("""COMPUTED_VALUE"""),"قسم التربية والتعليم العالي")</f>
        <v>قسم التربية والتعليم العالي</v>
      </c>
      <c r="F931" s="23" t="str">
        <f ca="1">IFERROR(__xludf.DUMMYFUNCTION("""COMPUTED_VALUE"""),"E- ابتدائية العميد للبنات (الثالثة)")</f>
        <v>E- ابتدائية العميد للبنات (الثالثة)</v>
      </c>
      <c r="G931" s="23" t="str">
        <f ca="1">IFERROR(__xludf.DUMMYFUNCTION("""COMPUTED_VALUE"""),"الطابق الارضي")</f>
        <v>الطابق الارضي</v>
      </c>
      <c r="H931" s="23" t="str">
        <f ca="1">IFERROR(__xludf.DUMMYFUNCTION("""COMPUTED_VALUE"""),"لايوجد ماء اساله + ارو")</f>
        <v>لايوجد ماء اساله + ارو</v>
      </c>
      <c r="I931" s="23"/>
      <c r="J931" s="23" t="s">
        <v>14</v>
      </c>
      <c r="K931" s="23" t="s">
        <v>13</v>
      </c>
      <c r="L931" s="32">
        <v>46132.489388182876</v>
      </c>
      <c r="M931" s="23"/>
    </row>
    <row r="932" spans="1:13" ht="75" customHeight="1" thickTop="1" thickBot="1">
      <c r="A932" s="23">
        <v>930</v>
      </c>
      <c r="B932" s="32">
        <f ca="1">IFERROR(__xludf.DUMMYFUNCTION("""COMPUTED_VALUE"""),46132.3427938425)</f>
        <v>46132.342793842501</v>
      </c>
      <c r="C932" s="33" t="str">
        <f ca="1">IFERROR(__xludf.DUMMYFUNCTION("""COMPUTED_VALUE"""),"المعملجي")</f>
        <v>المعملجي</v>
      </c>
      <c r="D932" s="33" t="str">
        <f ca="1">IFERROR(__xludf.DUMMYFUNCTION("""COMPUTED_VALUE"""),"سجاد تربية")</f>
        <v>سجاد تربية</v>
      </c>
      <c r="E932" s="23" t="str">
        <f ca="1">IFERROR(__xludf.DUMMYFUNCTION("""COMPUTED_VALUE"""),"قسم التربية والتعليم العالي")</f>
        <v>قسم التربية والتعليم العالي</v>
      </c>
      <c r="F932" s="23" t="str">
        <f ca="1">IFERROR(__xludf.DUMMYFUNCTION("""COMPUTED_VALUE"""),"F-  ابتدائية جود العميد للبنات (الرابعة)")</f>
        <v>F-  ابتدائية جود العميد للبنات (الرابعة)</v>
      </c>
      <c r="G932" s="23" t="str">
        <f ca="1">IFERROR(__xludf.DUMMYFUNCTION("""COMPUTED_VALUE"""),"الطابق الارضي")</f>
        <v>الطابق الارضي</v>
      </c>
      <c r="H932" s="23" t="str">
        <f ca="1">IFERROR(__xludf.DUMMYFUNCTION("""COMPUTED_VALUE"""),"لايوجد ماء اسالة ")</f>
        <v xml:space="preserve">لايوجد ماء اسالة </v>
      </c>
      <c r="I932" s="23"/>
      <c r="J932" s="23" t="s">
        <v>14</v>
      </c>
      <c r="K932" s="23" t="s">
        <v>13</v>
      </c>
      <c r="L932" s="32">
        <v>46132.489418958328</v>
      </c>
      <c r="M932" s="23"/>
    </row>
    <row r="933" spans="1:13" ht="75" customHeight="1" thickTop="1" thickBot="1">
      <c r="A933" s="25">
        <v>931</v>
      </c>
      <c r="B933" s="32">
        <f ca="1">IFERROR(__xludf.DUMMYFUNCTION("""COMPUTED_VALUE"""),46132.4625457407)</f>
        <v>46132.462545740702</v>
      </c>
      <c r="C933" s="33" t="str">
        <f ca="1">IFERROR(__xludf.DUMMYFUNCTION("""COMPUTED_VALUE"""),"المعملجي")</f>
        <v>المعملجي</v>
      </c>
      <c r="D933" s="33" t="str">
        <f ca="1">IFERROR(__xludf.DUMMYFUNCTION("""COMPUTED_VALUE"""),"سجاد تربية")</f>
        <v>سجاد تربية</v>
      </c>
      <c r="E933" s="23" t="str">
        <f ca="1">IFERROR(__xludf.DUMMYFUNCTION("""COMPUTED_VALUE"""),"قسم التربية والتعليم العالي")</f>
        <v>قسم التربية والتعليم العالي</v>
      </c>
      <c r="F933" s="23" t="str">
        <f ca="1">IFERROR(__xludf.DUMMYFUNCTION("""COMPUTED_VALUE"""),"H- ابتدائية القمر للبنات (الخامسة)")</f>
        <v>H- ابتدائية القمر للبنات (الخامسة)</v>
      </c>
      <c r="G933" s="23" t="str">
        <f ca="1">IFERROR(__xludf.DUMMYFUNCTION("""COMPUTED_VALUE"""),"الطابق الارضي")</f>
        <v>الطابق الارضي</v>
      </c>
      <c r="H933" s="23" t="str">
        <f ca="1">IFERROR(__xludf.DUMMYFUNCTION("""COMPUTED_VALUE"""),"صيانة حمام الغربي ")</f>
        <v xml:space="preserve">صيانة حمام الغربي </v>
      </c>
      <c r="I933" s="23"/>
      <c r="J933" s="23" t="s">
        <v>14</v>
      </c>
      <c r="K933" s="23" t="s">
        <v>13</v>
      </c>
      <c r="L933" s="32">
        <v>46132.489518877315</v>
      </c>
      <c r="M933" s="23"/>
    </row>
    <row r="934" spans="1:13" ht="75" customHeight="1" thickTop="1" thickBot="1">
      <c r="A934" s="23">
        <v>932</v>
      </c>
      <c r="B934" s="32">
        <f ca="1">IFERROR(__xludf.DUMMYFUNCTION("""COMPUTED_VALUE"""),46133.415061574)</f>
        <v>46133.415061574</v>
      </c>
      <c r="C934" s="33" t="str">
        <f ca="1">IFERROR(__xludf.DUMMYFUNCTION("""COMPUTED_VALUE"""),"المعملجي")</f>
        <v>المعملجي</v>
      </c>
      <c r="D934" s="33" t="str">
        <f ca="1">IFERROR(__xludf.DUMMYFUNCTION("""COMPUTED_VALUE"""),"سجاد تربية")</f>
        <v>سجاد تربية</v>
      </c>
      <c r="E934" s="23" t="str">
        <f ca="1">IFERROR(__xludf.DUMMYFUNCTION("""COMPUTED_VALUE"""),"قسم التربية والتعليم العالي")</f>
        <v>قسم التربية والتعليم العالي</v>
      </c>
      <c r="F934" s="23" t="str">
        <f ca="1">IFERROR(__xludf.DUMMYFUNCTION("""COMPUTED_VALUE"""),"A- المركز الثقافي")</f>
        <v>A- المركز الثقافي</v>
      </c>
      <c r="G934" s="23" t="str">
        <f ca="1">IFERROR(__xludf.DUMMYFUNCTION("""COMPUTED_VALUE"""),"الطابق الارضي")</f>
        <v>الطابق الارضي</v>
      </c>
      <c r="H934" s="23" t="str">
        <f ca="1">IFERROR(__xludf.DUMMYFUNCTION("""COMPUTED_VALUE"""),"رائحة في منظومة ماء الشرب ")</f>
        <v xml:space="preserve">رائحة في منظومة ماء الشرب </v>
      </c>
      <c r="I934" s="23"/>
      <c r="J934" s="23" t="s">
        <v>14</v>
      </c>
      <c r="K934" s="23" t="s">
        <v>13</v>
      </c>
      <c r="L934" s="32">
        <v>46133.54679418981</v>
      </c>
      <c r="M934" s="23"/>
    </row>
    <row r="935" spans="1:13" ht="75" customHeight="1" thickTop="1" thickBot="1">
      <c r="A935" s="25">
        <v>933</v>
      </c>
      <c r="B935" s="32">
        <f ca="1">IFERROR(__xludf.DUMMYFUNCTION("""COMPUTED_VALUE"""),46134.4552919907)</f>
        <v>46134.4552919907</v>
      </c>
      <c r="C935" s="33" t="str">
        <f ca="1">IFERROR(__xludf.DUMMYFUNCTION("""COMPUTED_VALUE"""),"المعملجي")</f>
        <v>المعملجي</v>
      </c>
      <c r="D935" s="33" t="str">
        <f ca="1">IFERROR(__xludf.DUMMYFUNCTION("""COMPUTED_VALUE"""),"سجاد تربية")</f>
        <v>سجاد تربية</v>
      </c>
      <c r="E935" s="23" t="str">
        <f ca="1">IFERROR(__xludf.DUMMYFUNCTION("""COMPUTED_VALUE"""),"قسم التربية والتعليم العالي")</f>
        <v>قسم التربية والتعليم العالي</v>
      </c>
      <c r="F935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35" s="23" t="str">
        <f ca="1">IFERROR(__xludf.DUMMYFUNCTION("""COMPUTED_VALUE"""),"الطابق الاول")</f>
        <v>الطابق الاول</v>
      </c>
      <c r="H935" s="23" t="str">
        <f ca="1">IFERROR(__xludf.DUMMYFUNCTION("""COMPUTED_VALUE"""),"انسداد مجاري ")</f>
        <v xml:space="preserve">انسداد مجاري </v>
      </c>
      <c r="I935" s="23"/>
      <c r="J935" s="23" t="s">
        <v>14</v>
      </c>
      <c r="K935" s="23" t="s">
        <v>13</v>
      </c>
      <c r="L935" s="32">
        <v>46134.759840578699</v>
      </c>
      <c r="M935" s="23"/>
    </row>
    <row r="936" spans="1:13" ht="75" customHeight="1" thickTop="1" thickBot="1">
      <c r="A936" s="23">
        <v>934</v>
      </c>
      <c r="B936" s="32">
        <f ca="1">IFERROR(__xludf.DUMMYFUNCTION("""COMPUTED_VALUE"""),46134.4559236342)</f>
        <v>46134.455923634203</v>
      </c>
      <c r="C936" s="33" t="str">
        <f ca="1">IFERROR(__xludf.DUMMYFUNCTION("""COMPUTED_VALUE"""),"المعملجي")</f>
        <v>المعملجي</v>
      </c>
      <c r="D936" s="33" t="str">
        <f ca="1">IFERROR(__xludf.DUMMYFUNCTION("""COMPUTED_VALUE"""),"سجاد تربية")</f>
        <v>سجاد تربية</v>
      </c>
      <c r="E936" s="23" t="str">
        <f ca="1">IFERROR(__xludf.DUMMYFUNCTION("""COMPUTED_VALUE"""),"قسم التربية والتعليم العالي")</f>
        <v>قسم التربية والتعليم العالي</v>
      </c>
      <c r="F936" s="23" t="str">
        <f ca="1">IFERROR(__xludf.DUMMYFUNCTION("""COMPUTED_VALUE"""),"F-  ابتدائية جود العميد للبنات (الرابعة)")</f>
        <v>F-  ابتدائية جود العميد للبنات (الرابعة)</v>
      </c>
      <c r="G936" s="23" t="str">
        <f ca="1">IFERROR(__xludf.DUMMYFUNCTION("""COMPUTED_VALUE"""),"الطابق الارضي")</f>
        <v>الطابق الارضي</v>
      </c>
      <c r="H936" s="23" t="str">
        <f ca="1">IFERROR(__xludf.DUMMYFUNCTION("""COMPUTED_VALUE"""),"لايوجد ماء  اسالة ")</f>
        <v xml:space="preserve">لايوجد ماء  اسالة </v>
      </c>
      <c r="I936" s="23"/>
      <c r="J936" s="23" t="s">
        <v>14</v>
      </c>
      <c r="K936" s="23" t="s">
        <v>13</v>
      </c>
      <c r="L936" s="32">
        <v>46134.538840347217</v>
      </c>
      <c r="M936" s="23"/>
    </row>
    <row r="937" spans="1:13" ht="75" customHeight="1" thickTop="1" thickBot="1">
      <c r="A937" s="25">
        <v>935</v>
      </c>
      <c r="B937" s="32">
        <f ca="1">IFERROR(__xludf.DUMMYFUNCTION("""COMPUTED_VALUE"""),46134.4579942013)</f>
        <v>46134.457994201301</v>
      </c>
      <c r="C937" s="33" t="str">
        <f ca="1">IFERROR(__xludf.DUMMYFUNCTION("""COMPUTED_VALUE"""),"المعملجي")</f>
        <v>المعملجي</v>
      </c>
      <c r="D937" s="33" t="str">
        <f ca="1">IFERROR(__xludf.DUMMYFUNCTION("""COMPUTED_VALUE"""),"سجاد تربية")</f>
        <v>سجاد تربية</v>
      </c>
      <c r="E937" s="23" t="str">
        <f ca="1">IFERROR(__xludf.DUMMYFUNCTION("""COMPUTED_VALUE"""),"قسم التربية والتعليم العالي")</f>
        <v>قسم التربية والتعليم العالي</v>
      </c>
      <c r="F937" s="23" t="str">
        <f ca="1">IFERROR(__xludf.DUMMYFUNCTION("""COMPUTED_VALUE"""),"H- ابتدائية القمر للبنات (الخامسة)")</f>
        <v>H- ابتدائية القمر للبنات (الخامسة)</v>
      </c>
      <c r="G937" s="23" t="str">
        <f ca="1">IFERROR(__xludf.DUMMYFUNCTION("""COMPUTED_VALUE"""),"الطابق الارضي")</f>
        <v>الطابق الارضي</v>
      </c>
      <c r="H937" s="23" t="str">
        <f ca="1">IFERROR(__xludf.DUMMYFUNCTION("""COMPUTED_VALUE"""),"صيانة براد ماء + صيانة مصعد ")</f>
        <v xml:space="preserve">صيانة براد ماء + صيانة مصعد </v>
      </c>
      <c r="I937" s="23"/>
      <c r="J937" s="23" t="s">
        <v>14</v>
      </c>
      <c r="K937" s="23" t="s">
        <v>13</v>
      </c>
      <c r="L937" s="32">
        <v>46134.539632106476</v>
      </c>
      <c r="M937" s="23"/>
    </row>
    <row r="938" spans="1:13" ht="75" customHeight="1" thickTop="1" thickBot="1">
      <c r="A938" s="23">
        <v>936</v>
      </c>
      <c r="B938" s="32">
        <f ca="1">IFERROR(__xludf.DUMMYFUNCTION("""COMPUTED_VALUE"""),46134.459220949)</f>
        <v>46134.459220949</v>
      </c>
      <c r="C938" s="33" t="str">
        <f ca="1">IFERROR(__xludf.DUMMYFUNCTION("""COMPUTED_VALUE"""),"المعملجي")</f>
        <v>المعملجي</v>
      </c>
      <c r="D938" s="33" t="str">
        <f ca="1">IFERROR(__xludf.DUMMYFUNCTION("""COMPUTED_VALUE"""),"سجاد تربية")</f>
        <v>سجاد تربية</v>
      </c>
      <c r="E938" s="23" t="str">
        <f ca="1">IFERROR(__xludf.DUMMYFUNCTION("""COMPUTED_VALUE"""),"قسم التربية والتعليم العالي")</f>
        <v>قسم التربية والتعليم العالي</v>
      </c>
      <c r="F938" s="23" t="str">
        <f ca="1">IFERROR(__xludf.DUMMYFUNCTION("""COMPUTED_VALUE"""),"F-  ابتدائية جود العميد للبنات (الرابعة)")</f>
        <v>F-  ابتدائية جود العميد للبنات (الرابعة)</v>
      </c>
      <c r="G938" s="23"/>
      <c r="H938" s="23" t="str">
        <f ca="1">IFERROR(__xludf.DUMMYFUNCTION("""COMPUTED_VALUE"""),"لايوجد ماء في المنظومة ")</f>
        <v xml:space="preserve">لايوجد ماء في المنظومة </v>
      </c>
      <c r="I938" s="23"/>
      <c r="J938" s="23" t="s">
        <v>14</v>
      </c>
      <c r="K938" s="23" t="s">
        <v>13</v>
      </c>
      <c r="L938" s="32">
        <v>46134.540397210643</v>
      </c>
      <c r="M938" s="23"/>
    </row>
    <row r="939" spans="1:13" ht="75" customHeight="1" thickTop="1" thickBot="1">
      <c r="A939" s="25">
        <v>937</v>
      </c>
      <c r="B939" s="32">
        <f ca="1">IFERROR(__xludf.DUMMYFUNCTION("""COMPUTED_VALUE"""),46134.5597148495)</f>
        <v>46134.5597148495</v>
      </c>
      <c r="C939" s="33" t="str">
        <f ca="1">IFERROR(__xludf.DUMMYFUNCTION("""COMPUTED_VALUE"""),"المعملجي")</f>
        <v>المعملجي</v>
      </c>
      <c r="D939" s="33" t="str">
        <f ca="1">IFERROR(__xludf.DUMMYFUNCTION("""COMPUTED_VALUE"""),"سجاد تربية")</f>
        <v>سجاد تربية</v>
      </c>
      <c r="E939" s="23" t="str">
        <f ca="1">IFERROR(__xludf.DUMMYFUNCTION("""COMPUTED_VALUE"""),"قسم التربية والتعليم العالي")</f>
        <v>قسم التربية والتعليم العالي</v>
      </c>
      <c r="F939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39" s="23" t="str">
        <f ca="1">IFERROR(__xludf.DUMMYFUNCTION("""COMPUTED_VALUE"""),"الطابق الثاني, ZONE A")</f>
        <v>الطابق الثاني, ZONE A</v>
      </c>
      <c r="H939" s="23" t="str">
        <f ca="1">IFERROR(__xludf.DUMMYFUNCTION("""COMPUTED_VALUE"""),"انسداد مجرى")</f>
        <v>انسداد مجرى</v>
      </c>
      <c r="I939" s="23"/>
      <c r="J939" s="23" t="s">
        <v>14</v>
      </c>
      <c r="K939" s="23" t="s">
        <v>13</v>
      </c>
      <c r="L939" s="32"/>
      <c r="M939" s="23"/>
    </row>
    <row r="940" spans="1:13" ht="75" customHeight="1" thickTop="1" thickBot="1">
      <c r="A940" s="23">
        <v>938</v>
      </c>
      <c r="B940" s="32">
        <f ca="1">IFERROR(__xludf.DUMMYFUNCTION("""COMPUTED_VALUE"""),46134.5600668055)</f>
        <v>46134.560066805498</v>
      </c>
      <c r="C940" s="33" t="str">
        <f ca="1">IFERROR(__xludf.DUMMYFUNCTION("""COMPUTED_VALUE"""),"المعملجي")</f>
        <v>المعملجي</v>
      </c>
      <c r="D940" s="33" t="str">
        <f ca="1">IFERROR(__xludf.DUMMYFUNCTION("""COMPUTED_VALUE"""),"سجاد تربية")</f>
        <v>سجاد تربية</v>
      </c>
      <c r="E940" s="23" t="str">
        <f ca="1">IFERROR(__xludf.DUMMYFUNCTION("""COMPUTED_VALUE"""),"قسم التربية والتعليم العالي")</f>
        <v>قسم التربية والتعليم العالي</v>
      </c>
      <c r="F94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40" s="23" t="str">
        <f ca="1">IFERROR(__xludf.DUMMYFUNCTION("""COMPUTED_VALUE"""),"الطابق الثاني, ZONE B")</f>
        <v>الطابق الثاني, ZONE B</v>
      </c>
      <c r="H940" s="23" t="str">
        <f ca="1">IFERROR(__xludf.DUMMYFUNCTION("""COMPUTED_VALUE"""),"انسداد مجرى")</f>
        <v>انسداد مجرى</v>
      </c>
      <c r="I940" s="23"/>
      <c r="J940" s="23" t="s">
        <v>14</v>
      </c>
      <c r="K940" s="23" t="s">
        <v>13</v>
      </c>
      <c r="L940" s="32"/>
      <c r="M940" s="23"/>
    </row>
    <row r="941" spans="1:13" ht="75" customHeight="1" thickTop="1" thickBot="1">
      <c r="A941" s="25">
        <v>939</v>
      </c>
      <c r="B941" s="32">
        <f ca="1">IFERROR(__xludf.DUMMYFUNCTION("""COMPUTED_VALUE"""),46134.5619365162)</f>
        <v>46134.561936516198</v>
      </c>
      <c r="C941" s="33" t="str">
        <f ca="1">IFERROR(__xludf.DUMMYFUNCTION("""COMPUTED_VALUE"""),"المعملجي")</f>
        <v>المعملجي</v>
      </c>
      <c r="D941" s="33" t="str">
        <f ca="1">IFERROR(__xludf.DUMMYFUNCTION("""COMPUTED_VALUE"""),"سجاد تربية")</f>
        <v>سجاد تربية</v>
      </c>
      <c r="E941" s="23" t="str">
        <f ca="1">IFERROR(__xludf.DUMMYFUNCTION("""COMPUTED_VALUE"""),"قسم التربية والتعليم العالي")</f>
        <v>قسم التربية والتعليم العالي</v>
      </c>
      <c r="F941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941" s="23" t="str">
        <f ca="1">IFERROR(__xludf.DUMMYFUNCTION("""COMPUTED_VALUE"""),"الطابق الارضي, ZONE B")</f>
        <v>الطابق الارضي, ZONE B</v>
      </c>
      <c r="H941" s="23" t="str">
        <f ca="1">IFERROR(__xludf.DUMMYFUNCTION("""COMPUTED_VALUE"""),"انسداد مجري ماء امطار")</f>
        <v>انسداد مجري ماء امطار</v>
      </c>
      <c r="I941" s="23"/>
      <c r="J941" s="23" t="s">
        <v>14</v>
      </c>
      <c r="K941" s="23" t="s">
        <v>13</v>
      </c>
      <c r="L941" s="32"/>
      <c r="M941" s="23"/>
    </row>
    <row r="942" spans="1:13" ht="75" customHeight="1" thickTop="1" thickBot="1">
      <c r="A942" s="23">
        <v>940</v>
      </c>
      <c r="B942" s="32">
        <f ca="1">IFERROR(__xludf.DUMMYFUNCTION("""COMPUTED_VALUE"""),46134.5625575115)</f>
        <v>46134.562557511497</v>
      </c>
      <c r="C942" s="33" t="str">
        <f ca="1">IFERROR(__xludf.DUMMYFUNCTION("""COMPUTED_VALUE"""),"المعملجي")</f>
        <v>المعملجي</v>
      </c>
      <c r="D942" s="33" t="str">
        <f ca="1">IFERROR(__xludf.DUMMYFUNCTION("""COMPUTED_VALUE"""),"سجاد تربية")</f>
        <v>سجاد تربية</v>
      </c>
      <c r="E942" s="23" t="str">
        <f ca="1">IFERROR(__xludf.DUMMYFUNCTION("""COMPUTED_VALUE"""),"قسم التربية والتعليم العالي")</f>
        <v>قسم التربية والتعليم العالي</v>
      </c>
      <c r="F942" s="23" t="str">
        <f ca="1">IFERROR(__xludf.DUMMYFUNCTION("""COMPUTED_VALUE"""),"G- روضة الجود")</f>
        <v>G- روضة الجود</v>
      </c>
      <c r="G942" s="23" t="str">
        <f ca="1">IFERROR(__xludf.DUMMYFUNCTION("""COMPUTED_VALUE"""),"الطابق الارضي")</f>
        <v>الطابق الارضي</v>
      </c>
      <c r="H942" s="23" t="str">
        <f ca="1">IFERROR(__xludf.DUMMYFUNCTION("""COMPUTED_VALUE"""),"انسداد مجرى صحيات")</f>
        <v>انسداد مجرى صحيات</v>
      </c>
      <c r="I942" s="23"/>
      <c r="J942" s="23" t="s">
        <v>14</v>
      </c>
      <c r="K942" s="23" t="s">
        <v>13</v>
      </c>
      <c r="L942" s="32"/>
      <c r="M942" s="23"/>
    </row>
    <row r="943" spans="1:13" ht="75" customHeight="1" thickTop="1" thickBot="1">
      <c r="A943" s="25">
        <v>941</v>
      </c>
      <c r="B943" s="32">
        <f ca="1">IFERROR(__xludf.DUMMYFUNCTION("""COMPUTED_VALUE"""),46134.5630886574)</f>
        <v>46134.5630886574</v>
      </c>
      <c r="C943" s="33" t="str">
        <f ca="1">IFERROR(__xludf.DUMMYFUNCTION("""COMPUTED_VALUE"""),"المعملجي")</f>
        <v>المعملجي</v>
      </c>
      <c r="D943" s="33" t="str">
        <f ca="1">IFERROR(__xludf.DUMMYFUNCTION("""COMPUTED_VALUE"""),"سجاد تربية")</f>
        <v>سجاد تربية</v>
      </c>
      <c r="E943" s="23" t="str">
        <f ca="1">IFERROR(__xludf.DUMMYFUNCTION("""COMPUTED_VALUE"""),"قسم التربية والتعليم العالي")</f>
        <v>قسم التربية والتعليم العالي</v>
      </c>
      <c r="F943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43" s="23" t="str">
        <f ca="1">IFERROR(__xludf.DUMMYFUNCTION("""COMPUTED_VALUE"""),"الطابق الثاني, ZONE B")</f>
        <v>الطابق الثاني, ZONE B</v>
      </c>
      <c r="H943" s="23" t="str">
        <f ca="1">IFERROR(__xludf.DUMMYFUNCTION("""COMPUTED_VALUE"""),"تبديل صوندة مغسلة")</f>
        <v>تبديل صوندة مغسلة</v>
      </c>
      <c r="I943" s="23"/>
      <c r="J943" s="23" t="s">
        <v>14</v>
      </c>
      <c r="K943" s="23" t="s">
        <v>13</v>
      </c>
      <c r="L943" s="32"/>
      <c r="M943" s="23"/>
    </row>
    <row r="944" spans="1:13" ht="75" customHeight="1" thickTop="1" thickBot="1">
      <c r="A944" s="23">
        <v>942</v>
      </c>
      <c r="B944" s="32">
        <f ca="1">IFERROR(__xludf.DUMMYFUNCTION("""COMPUTED_VALUE"""),46138.3671866782)</f>
        <v>46138.367186678202</v>
      </c>
      <c r="C944" s="33" t="str">
        <f ca="1">IFERROR(__xludf.DUMMYFUNCTION("""COMPUTED_VALUE"""),"المعملجي")</f>
        <v>المعملجي</v>
      </c>
      <c r="D944" s="33" t="str">
        <f ca="1">IFERROR(__xludf.DUMMYFUNCTION("""COMPUTED_VALUE"""),"سجاد تربية")</f>
        <v>سجاد تربية</v>
      </c>
      <c r="E944" s="23" t="str">
        <f ca="1">IFERROR(__xludf.DUMMYFUNCTION("""COMPUTED_VALUE"""),"قسم التربية والتعليم العالي")</f>
        <v>قسم التربية والتعليم العالي</v>
      </c>
      <c r="F944" s="23" t="str">
        <f ca="1">IFERROR(__xludf.DUMMYFUNCTION("""COMPUTED_VALUE"""),"F-  ابتدائية جود العميد للبنات (الرابعة)")</f>
        <v>F-  ابتدائية جود العميد للبنات (الرابعة)</v>
      </c>
      <c r="G944" s="23" t="str">
        <f ca="1">IFERROR(__xludf.DUMMYFUNCTION("""COMPUTED_VALUE"""),"الطابق الارضي")</f>
        <v>الطابق الارضي</v>
      </c>
      <c r="H944" s="23" t="str">
        <f ca="1">IFERROR(__xludf.DUMMYFUNCTION("""COMPUTED_VALUE"""),"لايوجد ماء في المنظومة ")</f>
        <v xml:space="preserve">لايوجد ماء في المنظومة </v>
      </c>
      <c r="I944" s="23"/>
      <c r="J944" s="23" t="s">
        <v>14</v>
      </c>
      <c r="K944" s="23" t="s">
        <v>13</v>
      </c>
      <c r="L944" s="32">
        <v>46138.778204710645</v>
      </c>
      <c r="M944" s="23"/>
    </row>
    <row r="945" spans="1:13" ht="75" customHeight="1" thickTop="1" thickBot="1">
      <c r="A945" s="25">
        <v>943</v>
      </c>
      <c r="B945" s="32">
        <f ca="1">IFERROR(__xludf.DUMMYFUNCTION("""COMPUTED_VALUE"""),46139.4090646759)</f>
        <v>46139.4090646759</v>
      </c>
      <c r="C945" s="33" t="str">
        <f ca="1">IFERROR(__xludf.DUMMYFUNCTION("""COMPUTED_VALUE"""),"المعملجي")</f>
        <v>المعملجي</v>
      </c>
      <c r="D945" s="33" t="str">
        <f ca="1">IFERROR(__xludf.DUMMYFUNCTION("""COMPUTED_VALUE"""),"سجاد تربية")</f>
        <v>سجاد تربية</v>
      </c>
      <c r="E945" s="23" t="str">
        <f ca="1">IFERROR(__xludf.DUMMYFUNCTION("""COMPUTED_VALUE"""),"قسم التربية والتعليم العالي")</f>
        <v>قسم التربية والتعليم العالي</v>
      </c>
      <c r="F945" s="23" t="str">
        <f ca="1">IFERROR(__xludf.DUMMYFUNCTION("""COMPUTED_VALUE"""),"E- ابتدائية العميد للبنات (الثالثة)")</f>
        <v>E- ابتدائية العميد للبنات (الثالثة)</v>
      </c>
      <c r="G945" s="23" t="str">
        <f ca="1">IFERROR(__xludf.DUMMYFUNCTION("""COMPUTED_VALUE"""),"الطابق الارضي")</f>
        <v>الطابق الارضي</v>
      </c>
      <c r="H945" s="23" t="str">
        <f ca="1">IFERROR(__xludf.DUMMYFUNCTION("""COMPUTED_VALUE"""),"لايوجد ماء في المنظومة ")</f>
        <v xml:space="preserve">لايوجد ماء في المنظومة </v>
      </c>
      <c r="I945" s="23"/>
      <c r="J945" s="23" t="s">
        <v>14</v>
      </c>
      <c r="K945" s="23" t="s">
        <v>13</v>
      </c>
      <c r="L945" s="32">
        <v>46139.592490439813</v>
      </c>
      <c r="M945" s="23"/>
    </row>
    <row r="946" spans="1:13" ht="75" customHeight="1" thickTop="1" thickBot="1">
      <c r="A946" s="23">
        <v>944</v>
      </c>
      <c r="B946" s="32">
        <f ca="1">IFERROR(__xludf.DUMMYFUNCTION("""COMPUTED_VALUE"""),46141.3945768634)</f>
        <v>46141.3945768634</v>
      </c>
      <c r="C946" s="33" t="str">
        <f ca="1">IFERROR(__xludf.DUMMYFUNCTION("""COMPUTED_VALUE"""),"المعملجي")</f>
        <v>المعملجي</v>
      </c>
      <c r="D946" s="33" t="str">
        <f ca="1">IFERROR(__xludf.DUMMYFUNCTION("""COMPUTED_VALUE"""),"سجاد تربية")</f>
        <v>سجاد تربية</v>
      </c>
      <c r="E946" s="23" t="str">
        <f ca="1">IFERROR(__xludf.DUMMYFUNCTION("""COMPUTED_VALUE"""),"قسم التربية والتعليم العالي")</f>
        <v>قسم التربية والتعليم العالي</v>
      </c>
      <c r="F946" s="23" t="str">
        <f ca="1">IFERROR(__xludf.DUMMYFUNCTION("""COMPUTED_VALUE"""),"صحيات خارجية ")</f>
        <v xml:space="preserve">صحيات خارجية </v>
      </c>
      <c r="G946" s="23" t="str">
        <f ca="1">IFERROR(__xludf.DUMMYFUNCTION("""COMPUTED_VALUE"""),"صحيات مقابيل الاعدادية ")</f>
        <v xml:space="preserve">صحيات مقابيل الاعدادية </v>
      </c>
      <c r="H946" s="23" t="str">
        <f ca="1">IFERROR(__xludf.DUMMYFUNCTION("""COMPUTED_VALUE"""),"صيانة بوري مغسلة ")</f>
        <v xml:space="preserve">صيانة بوري مغسلة </v>
      </c>
      <c r="I946" s="23"/>
      <c r="J946" s="23" t="s">
        <v>14</v>
      </c>
      <c r="K946" s="23" t="s">
        <v>13</v>
      </c>
      <c r="L946" s="32">
        <v>46141.81260355324</v>
      </c>
      <c r="M946" s="23"/>
    </row>
    <row r="947" spans="1:13" ht="75" customHeight="1" thickTop="1" thickBot="1">
      <c r="A947" s="25">
        <v>945</v>
      </c>
      <c r="B947" s="32">
        <f ca="1">IFERROR(__xludf.DUMMYFUNCTION("""COMPUTED_VALUE"""),46142.3129119791)</f>
        <v>46142.312911979097</v>
      </c>
      <c r="C947" s="33" t="str">
        <f ca="1">IFERROR(__xludf.DUMMYFUNCTION("""COMPUTED_VALUE"""),"المعملجي")</f>
        <v>المعملجي</v>
      </c>
      <c r="D947" s="33" t="str">
        <f ca="1">IFERROR(__xludf.DUMMYFUNCTION("""COMPUTED_VALUE"""),"وحدة التبريد")</f>
        <v>وحدة التبريد</v>
      </c>
      <c r="E947" s="23" t="str">
        <f ca="1">IFERROR(__xludf.DUMMYFUNCTION("""COMPUTED_VALUE"""),"قسم المشاريع الهندسية")</f>
        <v>قسم المشاريع الهندسية</v>
      </c>
      <c r="F947" s="23" t="str">
        <f ca="1">IFERROR(__xludf.DUMMYFUNCTION("""COMPUTED_VALUE"""),"A- المركز الثقافي")</f>
        <v>A- المركز الثقافي</v>
      </c>
      <c r="G947" s="23" t="str">
        <f ca="1">IFERROR(__xludf.DUMMYFUNCTION("""COMPUTED_VALUE"""),"الطابق الرابع")</f>
        <v>الطابق الرابع</v>
      </c>
      <c r="H947" s="23" t="str">
        <f ca="1">IFERROR(__xludf.DUMMYFUNCTION("""COMPUTED_VALUE"""),"تأسيس أنبوب فضلة للسبلت غرفة الكامرات")</f>
        <v>تأسيس أنبوب فضلة للسبلت غرفة الكامرات</v>
      </c>
      <c r="I947" s="23"/>
      <c r="J947" s="23" t="s">
        <v>14</v>
      </c>
      <c r="K947" s="23" t="s">
        <v>13</v>
      </c>
      <c r="L947" s="32"/>
      <c r="M947" s="23"/>
    </row>
    <row r="948" spans="1:13" ht="75" customHeight="1" thickTop="1" thickBot="1">
      <c r="A948" s="23">
        <v>946</v>
      </c>
      <c r="B948" s="32">
        <f ca="1">IFERROR(__xludf.DUMMYFUNCTION("""COMPUTED_VALUE"""),46142.3147740972)</f>
        <v>46142.314774097198</v>
      </c>
      <c r="C948" s="33" t="str">
        <f ca="1">IFERROR(__xludf.DUMMYFUNCTION("""COMPUTED_VALUE"""),"المعملجي")</f>
        <v>المعملجي</v>
      </c>
      <c r="D948" s="33" t="str">
        <f ca="1">IFERROR(__xludf.DUMMYFUNCTION("""COMPUTED_VALUE"""),"وحدة الميكانيك")</f>
        <v>وحدة الميكانيك</v>
      </c>
      <c r="E948" s="23" t="str">
        <f ca="1">IFERROR(__xludf.DUMMYFUNCTION("""COMPUTED_VALUE"""),"قسم المشاريع الهندسية")</f>
        <v>قسم المشاريع الهندسية</v>
      </c>
      <c r="F948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948" s="23" t="str">
        <f ca="1">IFERROR(__xludf.DUMMYFUNCTION("""COMPUTED_VALUE"""),"الطابق الارضي")</f>
        <v>الطابق الارضي</v>
      </c>
      <c r="H948" s="23" t="str">
        <f ca="1">IFERROR(__xludf.DUMMYFUNCTION("""COMPUTED_VALUE"""),"صيانة كاك ماء خلف البناية الثانية ")</f>
        <v xml:space="preserve">صيانة كاك ماء خلف البناية الثانية </v>
      </c>
      <c r="I948" s="23"/>
      <c r="J948" s="23" t="s">
        <v>14</v>
      </c>
      <c r="K948" s="23" t="s">
        <v>13</v>
      </c>
      <c r="L948" s="32"/>
      <c r="M948" s="23"/>
    </row>
    <row r="949" spans="1:13" ht="75" customHeight="1" thickTop="1" thickBot="1">
      <c r="A949" s="25">
        <v>947</v>
      </c>
      <c r="B949" s="32">
        <f ca="1">IFERROR(__xludf.DUMMYFUNCTION("""COMPUTED_VALUE"""),46142.3163815509)</f>
        <v>46142.316381550903</v>
      </c>
      <c r="C949" s="33" t="str">
        <f ca="1">IFERROR(__xludf.DUMMYFUNCTION("""COMPUTED_VALUE"""),"المعملجي")</f>
        <v>المعملجي</v>
      </c>
      <c r="D949" s="33" t="str">
        <f ca="1">IFERROR(__xludf.DUMMYFUNCTION("""COMPUTED_VALUE"""),"وحدة الميكانيك")</f>
        <v>وحدة الميكانيك</v>
      </c>
      <c r="E949" s="23" t="str">
        <f ca="1">IFERROR(__xludf.DUMMYFUNCTION("""COMPUTED_VALUE"""),"قسم المشاريع الهندسية")</f>
        <v>قسم المشاريع الهندسية</v>
      </c>
      <c r="F949" s="23" t="str">
        <f ca="1">IFERROR(__xludf.DUMMYFUNCTION("""COMPUTED_VALUE"""),"G- روضة الجود, F-  ابتدائية جود العميد للبنات (الرابعة), H- ابتدائية القمر للبنات (الخامسة)")</f>
        <v>G- روضة الجود, F-  ابتدائية جود العميد للبنات (الرابعة), H- ابتدائية القمر للبنات (الخامسة)</v>
      </c>
      <c r="G949" s="23" t="str">
        <f ca="1">IFERROR(__xludf.DUMMYFUNCTION("""COMPUTED_VALUE"""),"السطح")</f>
        <v>السطح</v>
      </c>
      <c r="H949" s="23" t="str">
        <f ca="1">IFERROR(__xludf.DUMMYFUNCTION("""COMPUTED_VALUE"""),"غسل غرفة محطة الماء RO")</f>
        <v>غسل غرفة محطة الماء RO</v>
      </c>
      <c r="I949" s="23"/>
      <c r="J949" s="23" t="s">
        <v>14</v>
      </c>
      <c r="K949" s="23" t="s">
        <v>13</v>
      </c>
      <c r="L949" s="32"/>
      <c r="M949" s="23"/>
    </row>
    <row r="950" spans="1:13" ht="75" customHeight="1" thickTop="1" thickBot="1">
      <c r="A950" s="23">
        <v>948</v>
      </c>
      <c r="B950" s="32">
        <f ca="1">IFERROR(__xludf.DUMMYFUNCTION("""COMPUTED_VALUE"""),46142.3173167708)</f>
        <v>46142.317316770801</v>
      </c>
      <c r="C950" s="33" t="str">
        <f ca="1">IFERROR(__xludf.DUMMYFUNCTION("""COMPUTED_VALUE"""),"المعملجي")</f>
        <v>المعملجي</v>
      </c>
      <c r="D950" s="33" t="str">
        <f ca="1">IFERROR(__xludf.DUMMYFUNCTION("""COMPUTED_VALUE"""),"وحدة الميكانيك")</f>
        <v>وحدة الميكانيك</v>
      </c>
      <c r="E950" s="23" t="str">
        <f ca="1">IFERROR(__xludf.DUMMYFUNCTION("""COMPUTED_VALUE"""),"قسم المشاريع الهندسية")</f>
        <v>قسم المشاريع الهندسية</v>
      </c>
      <c r="F950" s="23" t="str">
        <f ca="1">IFERROR(__xludf.DUMMYFUNCTION("""COMPUTED_VALUE"""),"G- روضة الجود")</f>
        <v>G- روضة الجود</v>
      </c>
      <c r="G950" s="23" t="str">
        <f ca="1">IFERROR(__xludf.DUMMYFUNCTION("""COMPUTED_VALUE"""),"السطح")</f>
        <v>السطح</v>
      </c>
      <c r="H950" s="23" t="str">
        <f ca="1">IFERROR(__xludf.DUMMYFUNCTION("""COMPUTED_VALUE"""),"تشغيل منظومة الماء RO")</f>
        <v>تشغيل منظومة الماء RO</v>
      </c>
      <c r="I950" s="23"/>
      <c r="J950" s="23" t="s">
        <v>14</v>
      </c>
      <c r="K950" s="23" t="s">
        <v>13</v>
      </c>
      <c r="L950" s="32"/>
      <c r="M950" s="23"/>
    </row>
    <row r="951" spans="1:13" ht="75" customHeight="1" thickTop="1" thickBot="1">
      <c r="A951" s="25">
        <v>949</v>
      </c>
      <c r="B951" s="32">
        <f ca="1">IFERROR(__xludf.DUMMYFUNCTION("""COMPUTED_VALUE"""),46142.3182320486)</f>
        <v>46142.318232048601</v>
      </c>
      <c r="C951" s="33" t="str">
        <f ca="1">IFERROR(__xludf.DUMMYFUNCTION("""COMPUTED_VALUE"""),"المعملجي")</f>
        <v>المعملجي</v>
      </c>
      <c r="D951" s="33" t="str">
        <f ca="1">IFERROR(__xludf.DUMMYFUNCTION("""COMPUTED_VALUE"""),"وحدة الميكانيك")</f>
        <v>وحدة الميكانيك</v>
      </c>
      <c r="E951" s="23" t="str">
        <f ca="1">IFERROR(__xludf.DUMMYFUNCTION("""COMPUTED_VALUE"""),"قسم المشاريع الهندسية")</f>
        <v>قسم المشاريع الهندسية</v>
      </c>
      <c r="F951" s="23" t="str">
        <f ca="1">IFERROR(__xludf.DUMMYFUNCTION("""COMPUTED_VALUE"""),"G- روضة الجود")</f>
        <v>G- روضة الجود</v>
      </c>
      <c r="G951" s="23" t="str">
        <f ca="1">IFERROR(__xludf.DUMMYFUNCTION("""COMPUTED_VALUE"""),"السطح")</f>
        <v>السطح</v>
      </c>
      <c r="H951" s="23" t="str">
        <f ca="1">IFERROR(__xludf.DUMMYFUNCTION("""COMPUTED_VALUE"""),"Ro تشغيل منظومة الماء ")</f>
        <v xml:space="preserve">Ro تشغيل منظومة الماء </v>
      </c>
      <c r="I951" s="23"/>
      <c r="J951" s="23" t="s">
        <v>14</v>
      </c>
      <c r="K951" s="23" t="s">
        <v>13</v>
      </c>
      <c r="L951" s="32"/>
      <c r="M951" s="23"/>
    </row>
    <row r="952" spans="1:13" ht="75" customHeight="1" thickTop="1" thickBot="1">
      <c r="A952" s="23">
        <v>950</v>
      </c>
      <c r="B952" s="32">
        <f ca="1">IFERROR(__xludf.DUMMYFUNCTION("""COMPUTED_VALUE"""),46142.3472162268)</f>
        <v>46142.347216226801</v>
      </c>
      <c r="C952" s="33" t="str">
        <f ca="1">IFERROR(__xludf.DUMMYFUNCTION("""COMPUTED_VALUE"""),"المعملجي")</f>
        <v>المعملجي</v>
      </c>
      <c r="D952" s="33" t="str">
        <f ca="1">IFERROR(__xludf.DUMMYFUNCTION("""COMPUTED_VALUE"""),"سجاد تربية")</f>
        <v>سجاد تربية</v>
      </c>
      <c r="E952" s="23" t="str">
        <f ca="1">IFERROR(__xludf.DUMMYFUNCTION("""COMPUTED_VALUE"""),"قسم التربية والتعليم العالي")</f>
        <v>قسم التربية والتعليم العالي</v>
      </c>
      <c r="F952" s="23" t="str">
        <f ca="1">IFERROR(__xludf.DUMMYFUNCTION("""COMPUTED_VALUE"""),"B- روضة القمر, G- روضة الجود, E- ابتدائية العميد للبنات (الثالثة)")</f>
        <v>B- روضة القمر, G- روضة الجود, E- ابتدائية العميد للبنات (الثالثة)</v>
      </c>
      <c r="G952" s="23" t="str">
        <f ca="1">IFERROR(__xludf.DUMMYFUNCTION("""COMPUTED_VALUE"""),"الطابق الارضي")</f>
        <v>الطابق الارضي</v>
      </c>
      <c r="H952" s="23" t="str">
        <f ca="1">IFERROR(__xludf.DUMMYFUNCTION("""COMPUTED_VALUE"""),"لايوجد ماء في الصحيات ")</f>
        <v xml:space="preserve">لايوجد ماء في الصحيات </v>
      </c>
      <c r="I952" s="23"/>
      <c r="J952" s="23" t="s">
        <v>14</v>
      </c>
      <c r="K952" s="23" t="s">
        <v>13</v>
      </c>
      <c r="L952" s="32">
        <v>46142.367389525461</v>
      </c>
      <c r="M952" s="23"/>
    </row>
    <row r="953" spans="1:13" ht="75" customHeight="1" thickTop="1" thickBot="1">
      <c r="A953" s="25">
        <v>951</v>
      </c>
      <c r="B953" s="32">
        <f ca="1">IFERROR(__xludf.DUMMYFUNCTION("""COMPUTED_VALUE"""),46142.4687984143)</f>
        <v>46142.468798414302</v>
      </c>
      <c r="C953" s="33" t="str">
        <f ca="1">IFERROR(__xludf.DUMMYFUNCTION("""COMPUTED_VALUE"""),"المعملجي")</f>
        <v>المعملجي</v>
      </c>
      <c r="D953" s="33" t="str">
        <f ca="1">IFERROR(__xludf.DUMMYFUNCTION("""COMPUTED_VALUE"""),"سجاد تربية")</f>
        <v>سجاد تربية</v>
      </c>
      <c r="E953" s="23" t="str">
        <f ca="1">IFERROR(__xludf.DUMMYFUNCTION("""COMPUTED_VALUE"""),"قسم التربية والتعليم العالي")</f>
        <v>قسم التربية والتعليم العالي</v>
      </c>
      <c r="F953" s="23" t="str">
        <f ca="1">IFERROR(__xludf.DUMMYFUNCTION("""COMPUTED_VALUE"""),"الاستعلامات الرئيسية")</f>
        <v>الاستعلامات الرئيسية</v>
      </c>
      <c r="G953" s="23" t="str">
        <f ca="1">IFERROR(__xludf.DUMMYFUNCTION("""COMPUTED_VALUE"""),"الطابق الارضي")</f>
        <v>الطابق الارضي</v>
      </c>
      <c r="H953" s="23" t="str">
        <f ca="1">IFERROR(__xludf.DUMMYFUNCTION("""COMPUTED_VALUE"""),"صيانة مغسلة ")</f>
        <v xml:space="preserve">صيانة مغسلة </v>
      </c>
      <c r="I953" s="23"/>
      <c r="J953" s="23" t="s">
        <v>14</v>
      </c>
      <c r="K953" s="23" t="s">
        <v>13</v>
      </c>
      <c r="L953" s="32">
        <v>46142.492587407411</v>
      </c>
      <c r="M953" s="23"/>
    </row>
    <row r="954" spans="1:13" ht="75" customHeight="1" thickTop="1" thickBot="1">
      <c r="A954" s="23">
        <v>952</v>
      </c>
      <c r="B954" s="32">
        <f ca="1">IFERROR(__xludf.DUMMYFUNCTION("""COMPUTED_VALUE"""),46145.3585376273)</f>
        <v>46145.358537627297</v>
      </c>
      <c r="C954" s="33" t="str">
        <f ca="1">IFERROR(__xludf.DUMMYFUNCTION("""COMPUTED_VALUE"""),"المعملجي")</f>
        <v>المعملجي</v>
      </c>
      <c r="D954" s="33" t="str">
        <f ca="1">IFERROR(__xludf.DUMMYFUNCTION("""COMPUTED_VALUE"""),"سجاد تربية")</f>
        <v>سجاد تربية</v>
      </c>
      <c r="E954" s="23" t="str">
        <f ca="1">IFERROR(__xludf.DUMMYFUNCTION("""COMPUTED_VALUE"""),"قسم التربية والتعليم العالي")</f>
        <v>قسم التربية والتعليم العالي</v>
      </c>
      <c r="F954" s="23" t="str">
        <f ca="1">IFERROR(__xludf.DUMMYFUNCTION("""COMPUTED_VALUE"""),"B- روضة القمر")</f>
        <v>B- روضة القمر</v>
      </c>
      <c r="G954" s="23" t="str">
        <f ca="1">IFERROR(__xludf.DUMMYFUNCTION("""COMPUTED_VALUE"""),"الطابق الارضي")</f>
        <v>الطابق الارضي</v>
      </c>
      <c r="H954" s="23" t="str">
        <f ca="1">IFERROR(__xludf.DUMMYFUNCTION("""COMPUTED_VALUE"""),"لايوجد ماء في منظومة الماء")</f>
        <v>لايوجد ماء في منظومة الماء</v>
      </c>
      <c r="I954" s="23"/>
      <c r="J954" s="23" t="s">
        <v>14</v>
      </c>
      <c r="K954" s="23" t="s">
        <v>13</v>
      </c>
      <c r="L954" s="32">
        <v>46145.398281886577</v>
      </c>
      <c r="M954" s="23"/>
    </row>
    <row r="955" spans="1:13" ht="75" customHeight="1" thickTop="1" thickBot="1">
      <c r="A955" s="25">
        <v>953</v>
      </c>
      <c r="B955" s="32">
        <f ca="1">IFERROR(__xludf.DUMMYFUNCTION("""COMPUTED_VALUE"""),46145.3622380671)</f>
        <v>46145.3622380671</v>
      </c>
      <c r="C955" s="33" t="str">
        <f ca="1">IFERROR(__xludf.DUMMYFUNCTION("""COMPUTED_VALUE"""),"المعملجي")</f>
        <v>المعملجي</v>
      </c>
      <c r="D955" s="33" t="str">
        <f ca="1">IFERROR(__xludf.DUMMYFUNCTION("""COMPUTED_VALUE"""),"سجاد تربية")</f>
        <v>سجاد تربية</v>
      </c>
      <c r="E955" s="23" t="str">
        <f ca="1">IFERROR(__xludf.DUMMYFUNCTION("""COMPUTED_VALUE"""),"قسم التربية والتعليم العالي")</f>
        <v>قسم التربية والتعليم العالي</v>
      </c>
      <c r="F955" s="23" t="str">
        <f ca="1">IFERROR(__xludf.DUMMYFUNCTION("""COMPUTED_VALUE"""),"مقابل قاعة السراج ")</f>
        <v xml:space="preserve">مقابل قاعة السراج </v>
      </c>
      <c r="G955" s="23" t="str">
        <f ca="1">IFERROR(__xludf.DUMMYFUNCTION("""COMPUTED_VALUE"""),"/")</f>
        <v>/</v>
      </c>
      <c r="H955" s="23" t="str">
        <f ca="1">IFERROR(__xludf.DUMMYFUNCTION("""COMPUTED_VALUE"""),"صيانة قبق منهولة ")</f>
        <v xml:space="preserve">صيانة قبق منهولة </v>
      </c>
      <c r="I955" s="23"/>
      <c r="J955" s="23" t="s">
        <v>14</v>
      </c>
      <c r="K955" s="23" t="s">
        <v>13</v>
      </c>
      <c r="L955" s="32">
        <v>46145.555922870371</v>
      </c>
      <c r="M955" s="23"/>
    </row>
    <row r="956" spans="1:13" ht="75" customHeight="1" thickTop="1" thickBot="1">
      <c r="A956" s="23">
        <v>954</v>
      </c>
      <c r="B956" s="32">
        <f ca="1">IFERROR(__xludf.DUMMYFUNCTION("""COMPUTED_VALUE"""),46146.368744074)</f>
        <v>46146.368744074003</v>
      </c>
      <c r="C956" s="33" t="str">
        <f ca="1">IFERROR(__xludf.DUMMYFUNCTION("""COMPUTED_VALUE"""),"المعملجي")</f>
        <v>المعملجي</v>
      </c>
      <c r="D956" s="33" t="str">
        <f ca="1">IFERROR(__xludf.DUMMYFUNCTION("""COMPUTED_VALUE"""),"وحدة الميكانيك")</f>
        <v>وحدة الميكانيك</v>
      </c>
      <c r="E956" s="23" t="str">
        <f ca="1">IFERROR(__xludf.DUMMYFUNCTION("""COMPUTED_VALUE"""),"قسم المشاريع الهندسية")</f>
        <v>قسم المشاريع الهندسية</v>
      </c>
      <c r="F956" s="23" t="str">
        <f ca="1">IFERROR(__xludf.DUMMYFUNCTION("""COMPUTED_VALUE"""),"الحدائق ")</f>
        <v xml:space="preserve">الحدائق </v>
      </c>
      <c r="G956" s="23" t="str">
        <f ca="1">IFERROR(__xludf.DUMMYFUNCTION("""COMPUTED_VALUE"""),"الطابق الارضي")</f>
        <v>الطابق الارضي</v>
      </c>
      <c r="H956" s="23" t="str">
        <f ca="1">IFERROR(__xludf.DUMMYFUNCTION("""COMPUTED_VALUE"""),"تبديل كاك عدد 3")</f>
        <v>تبديل كاك عدد 3</v>
      </c>
      <c r="I956" s="23"/>
      <c r="J956" s="23" t="s">
        <v>14</v>
      </c>
      <c r="K956" s="23" t="s">
        <v>13</v>
      </c>
      <c r="L956" s="32"/>
      <c r="M956" s="23"/>
    </row>
    <row r="957" spans="1:13" ht="75" customHeight="1" thickTop="1" thickBot="1">
      <c r="A957" s="25">
        <v>955</v>
      </c>
      <c r="B957" s="32">
        <f ca="1">IFERROR(__xludf.DUMMYFUNCTION("""COMPUTED_VALUE"""),46146.3698625925)</f>
        <v>46146.369862592503</v>
      </c>
      <c r="C957" s="33" t="str">
        <f ca="1">IFERROR(__xludf.DUMMYFUNCTION("""COMPUTED_VALUE"""),"المعملجي")</f>
        <v>المعملجي</v>
      </c>
      <c r="D957" s="33" t="str">
        <f ca="1">IFERROR(__xludf.DUMMYFUNCTION("""COMPUTED_VALUE"""),"وحدة الميكانيك")</f>
        <v>وحدة الميكانيك</v>
      </c>
      <c r="E957" s="23" t="str">
        <f ca="1">IFERROR(__xludf.DUMMYFUNCTION("""COMPUTED_VALUE"""),"قسم المشاريع الهندسية")</f>
        <v>قسم المشاريع الهندسية</v>
      </c>
      <c r="F957" s="23" t="str">
        <f ca="1">IFERROR(__xludf.DUMMYFUNCTION("""COMPUTED_VALUE"""),"A- المركز الثقافي, B- روضة القمر")</f>
        <v>A- المركز الثقافي, B- روضة القمر</v>
      </c>
      <c r="G957" s="23" t="str">
        <f ca="1">IFERROR(__xludf.DUMMYFUNCTION("""COMPUTED_VALUE"""),"السطح")</f>
        <v>السطح</v>
      </c>
      <c r="H957" s="23" t="str">
        <f ca="1">IFERROR(__xludf.DUMMYFUNCTION("""COMPUTED_VALUE"""),"ملئ خزان الكاز لمنظومة الاطفاء")</f>
        <v>ملئ خزان الكاز لمنظومة الاطفاء</v>
      </c>
      <c r="I957" s="23"/>
      <c r="J957" s="23" t="s">
        <v>14</v>
      </c>
      <c r="K957" s="23" t="s">
        <v>13</v>
      </c>
      <c r="L957" s="32"/>
      <c r="M957" s="23"/>
    </row>
    <row r="958" spans="1:13" ht="75" customHeight="1" thickTop="1" thickBot="1">
      <c r="A958" s="23">
        <v>956</v>
      </c>
      <c r="B958" s="32">
        <f ca="1">IFERROR(__xludf.DUMMYFUNCTION("""COMPUTED_VALUE"""),46146.3705936342)</f>
        <v>46146.370593634201</v>
      </c>
      <c r="C958" s="33" t="str">
        <f ca="1">IFERROR(__xludf.DUMMYFUNCTION("""COMPUTED_VALUE"""),"المعملجي")</f>
        <v>المعملجي</v>
      </c>
      <c r="D958" s="33" t="str">
        <f ca="1">IFERROR(__xludf.DUMMYFUNCTION("""COMPUTED_VALUE"""),"وحدة الميكانيك")</f>
        <v>وحدة الميكانيك</v>
      </c>
      <c r="E958" s="23" t="str">
        <f ca="1">IFERROR(__xludf.DUMMYFUNCTION("""COMPUTED_VALUE"""),"قسم المشاريع الهندسية")</f>
        <v>قسم المشاريع الهندسية</v>
      </c>
      <c r="F958" s="23" t="str">
        <f ca="1">IFERROR(__xludf.DUMMYFUNCTION("""COMPUTED_VALUE"""),"C- ثانوية العميد بناية الاعدادية  (الاولى), D- ثانوية العميد بناية المتوسطة  (الثانية), E- ابتدائية العميد للبنات (الثالثة), F-  ابتدائية جود العميد للبنات (الرابعة), H- ابتدائية القمر للبنات (الخامسة)")</f>
        <v>C- ثانوية العميد بناية الاعدادية  (الاولى), D- ثانوية العميد بناية المتوسطة  (الثانية), E- ابتدائية العميد للبنات (الثالثة), F-  ابتدائية جود العميد للبنات (الرابعة), H- ابتدائية القمر للبنات (الخامسة)</v>
      </c>
      <c r="G958" s="23" t="str">
        <f ca="1">IFERROR(__xludf.DUMMYFUNCTION("""COMPUTED_VALUE"""),"السطح")</f>
        <v>السطح</v>
      </c>
      <c r="H958" s="23" t="str">
        <f ca="1">IFERROR(__xludf.DUMMYFUNCTION("""COMPUTED_VALUE"""),"فحص منظومات الماء Ro")</f>
        <v>فحص منظومات الماء Ro</v>
      </c>
      <c r="I958" s="23"/>
      <c r="J958" s="23" t="s">
        <v>14</v>
      </c>
      <c r="K958" s="23" t="s">
        <v>13</v>
      </c>
      <c r="L958" s="32"/>
      <c r="M958" s="23"/>
    </row>
    <row r="959" spans="1:13" ht="75" customHeight="1" thickTop="1" thickBot="1">
      <c r="A959" s="25">
        <v>957</v>
      </c>
      <c r="B959" s="32">
        <f ca="1">IFERROR(__xludf.DUMMYFUNCTION("""COMPUTED_VALUE"""),46146.3716116203)</f>
        <v>46146.3716116203</v>
      </c>
      <c r="C959" s="33" t="str">
        <f ca="1">IFERROR(__xludf.DUMMYFUNCTION("""COMPUTED_VALUE"""),"المعملجي")</f>
        <v>المعملجي</v>
      </c>
      <c r="D959" s="33" t="str">
        <f ca="1">IFERROR(__xludf.DUMMYFUNCTION("""COMPUTED_VALUE"""),"وحدة الميكانيك")</f>
        <v>وحدة الميكانيك</v>
      </c>
      <c r="E959" s="23" t="str">
        <f ca="1">IFERROR(__xludf.DUMMYFUNCTION("""COMPUTED_VALUE"""),"قسم المشاريع الهندسية")</f>
        <v>قسم المشاريع الهندسية</v>
      </c>
      <c r="F959" s="23" t="str">
        <f ca="1">IFERROR(__xludf.DUMMYFUNCTION("""COMPUTED_VALUE"""),"C- ثانوية العميد بناية الاعدادية  (الاولى), D- ثانوية العميد بناية المتوسطة  (الثانية)")</f>
        <v>C- ثانوية العميد بناية الاعدادية  (الاولى), D- ثانوية العميد بناية المتوسطة  (الثانية)</v>
      </c>
      <c r="G959" s="23" t="str">
        <f ca="1">IFERROR(__xludf.DUMMYFUNCTION("""COMPUTED_VALUE"""),"السطح")</f>
        <v>السطح</v>
      </c>
      <c r="H959" s="23" t="str">
        <f ca="1">IFERROR(__xludf.DUMMYFUNCTION("""COMPUTED_VALUE"""),"ملئ خزان الكاز لمنظومة الاطفاء ")</f>
        <v xml:space="preserve">ملئ خزان الكاز لمنظومة الاطفاء </v>
      </c>
      <c r="I959" s="23"/>
      <c r="J959" s="23" t="s">
        <v>14</v>
      </c>
      <c r="K959" s="23" t="s">
        <v>13</v>
      </c>
      <c r="L959" s="32"/>
      <c r="M959" s="23"/>
    </row>
    <row r="960" spans="1:13" ht="75" customHeight="1" thickTop="1" thickBot="1">
      <c r="A960" s="23">
        <v>958</v>
      </c>
      <c r="B960" s="32">
        <f ca="1">IFERROR(__xludf.DUMMYFUNCTION("""COMPUTED_VALUE"""),46146.5076254745)</f>
        <v>46146.5076254745</v>
      </c>
      <c r="C960" s="33" t="str">
        <f ca="1">IFERROR(__xludf.DUMMYFUNCTION("""COMPUTED_VALUE"""),"المعملجي")</f>
        <v>المعملجي</v>
      </c>
      <c r="D960" s="33" t="str">
        <f ca="1">IFERROR(__xludf.DUMMYFUNCTION("""COMPUTED_VALUE"""),"سجاد تربية")</f>
        <v>سجاد تربية</v>
      </c>
      <c r="E960" s="23" t="str">
        <f ca="1">IFERROR(__xludf.DUMMYFUNCTION("""COMPUTED_VALUE"""),"قسم التربية والتعليم العالي")</f>
        <v>قسم التربية والتعليم العالي</v>
      </c>
      <c r="F960" s="23" t="str">
        <f ca="1">IFERROR(__xludf.DUMMYFUNCTION("""COMPUTED_VALUE"""),"B- روضة القمر")</f>
        <v>B- روضة القمر</v>
      </c>
      <c r="G960" s="23" t="str">
        <f ca="1">IFERROR(__xludf.DUMMYFUNCTION("""COMPUTED_VALUE"""),"الطابق الارضي")</f>
        <v>الطابق الارضي</v>
      </c>
      <c r="H960" s="23" t="str">
        <f ca="1">IFERROR(__xludf.DUMMYFUNCTION("""COMPUTED_VALUE"""),"صيانة حنفية ماء المنظومة ")</f>
        <v xml:space="preserve">صيانة حنفية ماء المنظومة </v>
      </c>
      <c r="I960" s="23"/>
      <c r="J960" s="23" t="s">
        <v>14</v>
      </c>
      <c r="K960" s="23" t="s">
        <v>13</v>
      </c>
      <c r="L960" s="32">
        <v>46147.338993263889</v>
      </c>
      <c r="M960" s="23"/>
    </row>
    <row r="961" spans="1:13" ht="75" customHeight="1" thickTop="1" thickBot="1">
      <c r="A961" s="25">
        <v>959</v>
      </c>
      <c r="B961" s="32">
        <f ca="1">IFERROR(__xludf.DUMMYFUNCTION("""COMPUTED_VALUE"""),46147.3861954166)</f>
        <v>46147.386195416599</v>
      </c>
      <c r="C961" s="33" t="str">
        <f ca="1">IFERROR(__xludf.DUMMYFUNCTION("""COMPUTED_VALUE"""),"المعملجي")</f>
        <v>المعملجي</v>
      </c>
      <c r="D961" s="33" t="str">
        <f ca="1">IFERROR(__xludf.DUMMYFUNCTION("""COMPUTED_VALUE"""),"سجاد تربية")</f>
        <v>سجاد تربية</v>
      </c>
      <c r="E961" s="23" t="str">
        <f ca="1">IFERROR(__xludf.DUMMYFUNCTION("""COMPUTED_VALUE"""),"قسم التربية والتعليم العالي")</f>
        <v>قسم التربية والتعليم العالي</v>
      </c>
      <c r="F961" s="23" t="str">
        <f ca="1">IFERROR(__xludf.DUMMYFUNCTION("""COMPUTED_VALUE"""),"B- روضة القمر")</f>
        <v>B- روضة القمر</v>
      </c>
      <c r="G961" s="23" t="str">
        <f ca="1">IFERROR(__xludf.DUMMYFUNCTION("""COMPUTED_VALUE"""),"السطح")</f>
        <v>السطح</v>
      </c>
      <c r="H961" s="23" t="str">
        <f ca="1">IFERROR(__xludf.DUMMYFUNCTION("""COMPUTED_VALUE"""),"لا يوجد ماء Ro")</f>
        <v>لا يوجد ماء Ro</v>
      </c>
      <c r="I961" s="23"/>
      <c r="J961" s="23" t="s">
        <v>14</v>
      </c>
      <c r="K961" s="23" t="s">
        <v>13</v>
      </c>
      <c r="L961" s="32">
        <v>46147.388722337964</v>
      </c>
      <c r="M961" s="23"/>
    </row>
    <row r="962" spans="1:13" ht="75" customHeight="1" thickTop="1" thickBot="1">
      <c r="A962" s="23">
        <v>960</v>
      </c>
      <c r="B962" s="32">
        <f ca="1">IFERROR(__xludf.DUMMYFUNCTION("""COMPUTED_VALUE"""),46149.3211056597)</f>
        <v>46149.321105659699</v>
      </c>
      <c r="C962" s="33" t="str">
        <f ca="1">IFERROR(__xludf.DUMMYFUNCTION("""COMPUTED_VALUE"""),"المعملجي")</f>
        <v>المعملجي</v>
      </c>
      <c r="D962" s="33" t="str">
        <f ca="1">IFERROR(__xludf.DUMMYFUNCTION("""COMPUTED_VALUE"""),"سجاد تربية")</f>
        <v>سجاد تربية</v>
      </c>
      <c r="E962" s="23" t="str">
        <f ca="1">IFERROR(__xludf.DUMMYFUNCTION("""COMPUTED_VALUE"""),"قسم التربية والتعليم العالي")</f>
        <v>قسم التربية والتعليم العالي</v>
      </c>
      <c r="F962" s="23" t="str">
        <f ca="1">IFERROR(__xludf.DUMMYFUNCTION("""COMPUTED_VALUE"""),"B- روضة القمر")</f>
        <v>B- روضة القمر</v>
      </c>
      <c r="G962" s="23" t="str">
        <f ca="1">IFERROR(__xludf.DUMMYFUNCTION("""COMPUTED_VALUE"""),"الطابق الثاني")</f>
        <v>الطابق الثاني</v>
      </c>
      <c r="H962" s="23" t="str">
        <f ca="1">IFERROR(__xludf.DUMMYFUNCTION("""COMPUTED_VALUE"""),"لا يوجد ماء في الحمامات")</f>
        <v>لا يوجد ماء في الحمامات</v>
      </c>
      <c r="I962" s="23"/>
      <c r="J962" s="23" t="s">
        <v>14</v>
      </c>
      <c r="K962" s="23" t="s">
        <v>13</v>
      </c>
      <c r="L962" s="32">
        <v>46149.346673842592</v>
      </c>
      <c r="M962" s="23"/>
    </row>
    <row r="963" spans="1:13" ht="75" customHeight="1" thickTop="1" thickBot="1">
      <c r="A963" s="25">
        <v>961</v>
      </c>
      <c r="B963" s="32">
        <f ca="1">IFERROR(__xludf.DUMMYFUNCTION("""COMPUTED_VALUE"""),46152.3823235532)</f>
        <v>46152.382323553204</v>
      </c>
      <c r="C963" s="33" t="str">
        <f ca="1">IFERROR(__xludf.DUMMYFUNCTION("""COMPUTED_VALUE"""),"المعملجي")</f>
        <v>المعملجي</v>
      </c>
      <c r="D963" s="33" t="str">
        <f ca="1">IFERROR(__xludf.DUMMYFUNCTION("""COMPUTED_VALUE"""),"سجاد تربية")</f>
        <v>سجاد تربية</v>
      </c>
      <c r="E963" s="23" t="str">
        <f ca="1">IFERROR(__xludf.DUMMYFUNCTION("""COMPUTED_VALUE"""),"قسم التربية والتعليم العالي")</f>
        <v>قسم التربية والتعليم العالي</v>
      </c>
      <c r="F963" s="23" t="str">
        <f ca="1">IFERROR(__xludf.DUMMYFUNCTION("""COMPUTED_VALUE"""),"الصحيات مقابل الالعاب ")</f>
        <v xml:space="preserve">الصحيات مقابل الالعاب </v>
      </c>
      <c r="G963" s="23" t="str">
        <f ca="1">IFERROR(__xludf.DUMMYFUNCTION("""COMPUTED_VALUE"""),"الطابق الارضي")</f>
        <v>الطابق الارضي</v>
      </c>
      <c r="H963" s="23" t="str">
        <f ca="1">IFERROR(__xludf.DUMMYFUNCTION("""COMPUTED_VALUE"""),"لا يوجد ماء")</f>
        <v>لا يوجد ماء</v>
      </c>
      <c r="I963" s="23"/>
      <c r="J963" s="23" t="s">
        <v>14</v>
      </c>
      <c r="K963" s="23" t="s">
        <v>13</v>
      </c>
      <c r="L963" s="32">
        <v>46152.414767048613</v>
      </c>
      <c r="M963" s="23"/>
    </row>
    <row r="964" spans="1:13" ht="75" customHeight="1" thickTop="1" thickBot="1">
      <c r="A964" s="23">
        <v>962</v>
      </c>
      <c r="B964" s="32">
        <f ca="1">IFERROR(__xludf.DUMMYFUNCTION("""COMPUTED_VALUE"""),46152.4348333912)</f>
        <v>46152.434833391198</v>
      </c>
      <c r="C964" s="33" t="str">
        <f ca="1">IFERROR(__xludf.DUMMYFUNCTION("""COMPUTED_VALUE"""),"المعملجي")</f>
        <v>المعملجي</v>
      </c>
      <c r="D964" s="33" t="str">
        <f ca="1">IFERROR(__xludf.DUMMYFUNCTION("""COMPUTED_VALUE"""),"وحدة الميكانيك")</f>
        <v>وحدة الميكانيك</v>
      </c>
      <c r="E964" s="23" t="str">
        <f ca="1">IFERROR(__xludf.DUMMYFUNCTION("""COMPUTED_VALUE"""),"قسم المشاريع الهندسية")</f>
        <v>قسم المشاريع الهندسية</v>
      </c>
      <c r="F964" s="23" t="str">
        <f ca="1">IFERROR(__xludf.DUMMYFUNCTION("""COMPUTED_VALUE"""),"C- ثانوية العميد بناية الاعدادية  (الاولى), D- ثانوية العميد بناية المتوسطة  (الثانية)")</f>
        <v>C- ثانوية العميد بناية الاعدادية  (الاولى), D- ثانوية العميد بناية المتوسطة  (الثانية)</v>
      </c>
      <c r="G964" s="23" t="str">
        <f ca="1">IFERROR(__xludf.DUMMYFUNCTION("""COMPUTED_VALUE"""),"السطح")</f>
        <v>السطح</v>
      </c>
      <c r="H964" s="23" t="str">
        <f ca="1">IFERROR(__xludf.DUMMYFUNCTION("""COMPUTED_VALUE"""),"غسل مضخة الاطفاء الثانوية ")</f>
        <v xml:space="preserve">غسل مضخة الاطفاء الثانوية </v>
      </c>
      <c r="I964" s="23"/>
      <c r="J964" s="23" t="s">
        <v>14</v>
      </c>
      <c r="K964" s="23" t="s">
        <v>13</v>
      </c>
      <c r="L964" s="32"/>
      <c r="M964" s="23"/>
    </row>
    <row r="965" spans="1:13" ht="75" customHeight="1" thickTop="1" thickBot="1">
      <c r="A965" s="25">
        <v>963</v>
      </c>
      <c r="B965" s="32">
        <f ca="1">IFERROR(__xludf.DUMMYFUNCTION("""COMPUTED_VALUE"""),46152.4352338888)</f>
        <v>46152.435233888798</v>
      </c>
      <c r="C965" s="33" t="str">
        <f ca="1">IFERROR(__xludf.DUMMYFUNCTION("""COMPUTED_VALUE"""),"المعملجي")</f>
        <v>المعملجي</v>
      </c>
      <c r="D965" s="33" t="str">
        <f ca="1">IFERROR(__xludf.DUMMYFUNCTION("""COMPUTED_VALUE"""),"وحدة الميكانيك")</f>
        <v>وحدة الميكانيك</v>
      </c>
      <c r="E965" s="23" t="str">
        <f ca="1">IFERROR(__xludf.DUMMYFUNCTION("""COMPUTED_VALUE"""),"قسم المشاريع الهندسية")</f>
        <v>قسم المشاريع الهندسية</v>
      </c>
      <c r="F965" s="23" t="str">
        <f ca="1">IFERROR(__xludf.DUMMYFUNCTION("""COMPUTED_VALUE"""),"E- ابتدائية العميد للبنات (الثالثة), F-  ابتدائية جود العميد للبنات (الرابعة)")</f>
        <v>E- ابتدائية العميد للبنات (الثالثة), F-  ابتدائية جود العميد للبنات (الرابعة)</v>
      </c>
      <c r="G965" s="23" t="str">
        <f ca="1">IFERROR(__xludf.DUMMYFUNCTION("""COMPUTED_VALUE"""),"السطح")</f>
        <v>السطح</v>
      </c>
      <c r="H965" s="23" t="str">
        <f ca="1">IFERROR(__xludf.DUMMYFUNCTION("""COMPUTED_VALUE"""),"غسل مضخة الاطفاء الثانوية ")</f>
        <v xml:space="preserve">غسل مضخة الاطفاء الثانوية </v>
      </c>
      <c r="I965" s="23"/>
      <c r="J965" s="23" t="s">
        <v>14</v>
      </c>
      <c r="K965" s="23" t="s">
        <v>13</v>
      </c>
      <c r="L965" s="32"/>
      <c r="M965" s="23"/>
    </row>
    <row r="966" spans="1:13" ht="75" customHeight="1" thickTop="1" thickBot="1">
      <c r="A966" s="23">
        <v>964</v>
      </c>
      <c r="B966" s="32">
        <f ca="1">IFERROR(__xludf.DUMMYFUNCTION("""COMPUTED_VALUE"""),46152.4356188425)</f>
        <v>46152.435618842501</v>
      </c>
      <c r="C966" s="33" t="str">
        <f ca="1">IFERROR(__xludf.DUMMYFUNCTION("""COMPUTED_VALUE"""),"المعملجي")</f>
        <v>المعملجي</v>
      </c>
      <c r="D966" s="33" t="str">
        <f ca="1">IFERROR(__xludf.DUMMYFUNCTION("""COMPUTED_VALUE"""),"وحدة الميكانيك")</f>
        <v>وحدة الميكانيك</v>
      </c>
      <c r="E966" s="23" t="str">
        <f ca="1">IFERROR(__xludf.DUMMYFUNCTION("""COMPUTED_VALUE"""),"قسم المشاريع الهندسية")</f>
        <v>قسم المشاريع الهندسية</v>
      </c>
      <c r="F966" s="23" t="str">
        <f ca="1">IFERROR(__xludf.DUMMYFUNCTION("""COMPUTED_VALUE"""),"H- ابتدائية القمر للبنات (الخامسة), I- ابتدائية الساقي للبنين (السادسة)")</f>
        <v>H- ابتدائية القمر للبنات (الخامسة), I- ابتدائية الساقي للبنين (السادسة)</v>
      </c>
      <c r="G966" s="23" t="str">
        <f ca="1">IFERROR(__xludf.DUMMYFUNCTION("""COMPUTED_VALUE"""),"السطح")</f>
        <v>السطح</v>
      </c>
      <c r="H966" s="23" t="str">
        <f ca="1">IFERROR(__xludf.DUMMYFUNCTION("""COMPUTED_VALUE"""),"غسل مضخة الاطفاء الثانوية ")</f>
        <v xml:space="preserve">غسل مضخة الاطفاء الثانوية </v>
      </c>
      <c r="I966" s="23"/>
      <c r="J966" s="23" t="s">
        <v>14</v>
      </c>
      <c r="K966" s="23" t="s">
        <v>13</v>
      </c>
      <c r="L966" s="32"/>
      <c r="M966" s="23"/>
    </row>
    <row r="967" spans="1:13" ht="75" customHeight="1" thickTop="1" thickBot="1">
      <c r="A967" s="25">
        <v>965</v>
      </c>
      <c r="B967" s="32">
        <f ca="1">IFERROR(__xludf.DUMMYFUNCTION("""COMPUTED_VALUE"""),46152.4358927661)</f>
        <v>46152.435892766101</v>
      </c>
      <c r="C967" s="33" t="str">
        <f ca="1">IFERROR(__xludf.DUMMYFUNCTION("""COMPUTED_VALUE"""),"المعملجي")</f>
        <v>المعملجي</v>
      </c>
      <c r="D967" s="33" t="str">
        <f ca="1">IFERROR(__xludf.DUMMYFUNCTION("""COMPUTED_VALUE"""),"وحدة الميكانيك")</f>
        <v>وحدة الميكانيك</v>
      </c>
      <c r="E967" s="23" t="str">
        <f ca="1">IFERROR(__xludf.DUMMYFUNCTION("""COMPUTED_VALUE"""),"قسم المشاريع الهندسية")</f>
        <v>قسم المشاريع الهندسية</v>
      </c>
      <c r="F967" s="23" t="str">
        <f ca="1">IFERROR(__xludf.DUMMYFUNCTION("""COMPUTED_VALUE"""),"B- روضة القمر, G- روضة الجود")</f>
        <v>B- روضة القمر, G- روضة الجود</v>
      </c>
      <c r="G967" s="23" t="str">
        <f ca="1">IFERROR(__xludf.DUMMYFUNCTION("""COMPUTED_VALUE"""),"السطح")</f>
        <v>السطح</v>
      </c>
      <c r="H967" s="23" t="str">
        <f ca="1">IFERROR(__xludf.DUMMYFUNCTION("""COMPUTED_VALUE"""),"غسل مضخة الاطفاء الثانوية ")</f>
        <v xml:space="preserve">غسل مضخة الاطفاء الثانوية </v>
      </c>
      <c r="I967" s="23"/>
      <c r="J967" s="23" t="s">
        <v>14</v>
      </c>
      <c r="K967" s="23" t="s">
        <v>13</v>
      </c>
      <c r="L967" s="32"/>
      <c r="M967" s="23"/>
    </row>
    <row r="968" spans="1:13" ht="75" customHeight="1" thickTop="1" thickBot="1">
      <c r="A968" s="23">
        <v>966</v>
      </c>
      <c r="B968" s="32">
        <f ca="1">IFERROR(__xludf.DUMMYFUNCTION("""COMPUTED_VALUE"""),46152.4362606597)</f>
        <v>46152.436260659699</v>
      </c>
      <c r="C968" s="33" t="str">
        <f ca="1">IFERROR(__xludf.DUMMYFUNCTION("""COMPUTED_VALUE"""),"المعملجي")</f>
        <v>المعملجي</v>
      </c>
      <c r="D968" s="33" t="str">
        <f ca="1">IFERROR(__xludf.DUMMYFUNCTION("""COMPUTED_VALUE"""),"وحدة الميكانيك")</f>
        <v>وحدة الميكانيك</v>
      </c>
      <c r="E968" s="23" t="str">
        <f ca="1">IFERROR(__xludf.DUMMYFUNCTION("""COMPUTED_VALUE"""),"قسم المشاريع الهندسية")</f>
        <v>قسم المشاريع الهندسية</v>
      </c>
      <c r="F968" s="23" t="str">
        <f ca="1">IFERROR(__xludf.DUMMYFUNCTION("""COMPUTED_VALUE"""),"A- المركز الثقافي")</f>
        <v>A- المركز الثقافي</v>
      </c>
      <c r="G968" s="23" t="str">
        <f ca="1">IFERROR(__xludf.DUMMYFUNCTION("""COMPUTED_VALUE"""),"السطح")</f>
        <v>السطح</v>
      </c>
      <c r="H968" s="23" t="str">
        <f ca="1">IFERROR(__xludf.DUMMYFUNCTION("""COMPUTED_VALUE"""),"غسل مضخة الاطفاء الثانوية ")</f>
        <v xml:space="preserve">غسل مضخة الاطفاء الثانوية </v>
      </c>
      <c r="I968" s="23"/>
      <c r="J968" s="23" t="s">
        <v>14</v>
      </c>
      <c r="K968" s="23" t="s">
        <v>13</v>
      </c>
      <c r="L968" s="32"/>
      <c r="M968" s="23"/>
    </row>
    <row r="969" spans="1:13" ht="75" customHeight="1" thickTop="1" thickBot="1">
      <c r="A969" s="25">
        <v>967</v>
      </c>
      <c r="B969" s="32">
        <f ca="1">IFERROR(__xludf.DUMMYFUNCTION("""COMPUTED_VALUE"""),46152.4494233796)</f>
        <v>46152.449423379599</v>
      </c>
      <c r="C969" s="33" t="str">
        <f ca="1">IFERROR(__xludf.DUMMYFUNCTION("""COMPUTED_VALUE"""),"المعملجي")</f>
        <v>المعملجي</v>
      </c>
      <c r="D969" s="33" t="str">
        <f ca="1">IFERROR(__xludf.DUMMYFUNCTION("""COMPUTED_VALUE"""),"وحدة الميكانيك")</f>
        <v>وحدة الميكانيك</v>
      </c>
      <c r="E969" s="23" t="str">
        <f ca="1">IFERROR(__xludf.DUMMYFUNCTION("""COMPUTED_VALUE"""),"قسم المشاريع الهندسية")</f>
        <v>قسم المشاريع الهندسية</v>
      </c>
      <c r="F969" s="23" t="str">
        <f ca="1">IFERROR(__xludf.DUMMYFUNCTION("""COMPUTED_VALUE"""),"B- روضة القمر, G- روضة الجود")</f>
        <v>B- روضة القمر, G- روضة الجود</v>
      </c>
      <c r="G969" s="23" t="str">
        <f ca="1">IFERROR(__xludf.DUMMYFUNCTION("""COMPUTED_VALUE"""),"السطح")</f>
        <v>السطح</v>
      </c>
      <c r="H969" s="23" t="str">
        <f ca="1">IFERROR(__xludf.DUMMYFUNCTION("""COMPUTED_VALUE"""),"غسل غرفة محطة الماء Ro")</f>
        <v>غسل غرفة محطة الماء Ro</v>
      </c>
      <c r="I969" s="23"/>
      <c r="J969" s="23" t="s">
        <v>14</v>
      </c>
      <c r="K969" s="23" t="s">
        <v>13</v>
      </c>
      <c r="L969" s="32"/>
      <c r="M969" s="23"/>
    </row>
    <row r="970" spans="1:13" ht="75" customHeight="1" thickTop="1" thickBot="1">
      <c r="A970" s="23">
        <v>968</v>
      </c>
      <c r="B970" s="32">
        <f ca="1">IFERROR(__xludf.DUMMYFUNCTION("""COMPUTED_VALUE"""),46153.5791412615)</f>
        <v>46153.5791412615</v>
      </c>
      <c r="C970" s="33" t="str">
        <f ca="1">IFERROR(__xludf.DUMMYFUNCTION("""COMPUTED_VALUE"""),"المعملجي")</f>
        <v>المعملجي</v>
      </c>
      <c r="D970" s="33" t="str">
        <f ca="1">IFERROR(__xludf.DUMMYFUNCTION("""COMPUTED_VALUE"""),"سجاد تربية")</f>
        <v>سجاد تربية</v>
      </c>
      <c r="E970" s="23" t="str">
        <f ca="1">IFERROR(__xludf.DUMMYFUNCTION("""COMPUTED_VALUE"""),"قسم التربية والتعليم العالي")</f>
        <v>قسم التربية والتعليم العالي</v>
      </c>
      <c r="F970" s="23" t="str">
        <f ca="1">IFERROR(__xludf.DUMMYFUNCTION("""COMPUTED_VALUE"""),"F-  ابتدائية جود العميد للبنات (الرابعة)")</f>
        <v>F-  ابتدائية جود العميد للبنات (الرابعة)</v>
      </c>
      <c r="G970" s="23" t="str">
        <f ca="1">IFERROR(__xludf.DUMMYFUNCTION("""COMPUTED_VALUE"""),"الطابق الارضي, ZONE B")</f>
        <v>الطابق الارضي, ZONE B</v>
      </c>
      <c r="H970" s="23" t="str">
        <f ca="1">IFERROR(__xludf.DUMMYFUNCTION("""COMPUTED_VALUE"""),"إضافة مسدس شطاف عدد 7")</f>
        <v>إضافة مسدس شطاف عدد 7</v>
      </c>
      <c r="I970" s="23"/>
      <c r="J970" s="23" t="s">
        <v>14</v>
      </c>
      <c r="K970" s="23" t="s">
        <v>13</v>
      </c>
      <c r="L970" s="32"/>
      <c r="M970" s="23"/>
    </row>
    <row r="971" spans="1:13" ht="75" customHeight="1" thickTop="1" thickBot="1">
      <c r="A971" s="25">
        <v>969</v>
      </c>
      <c r="B971" s="32">
        <f ca="1">IFERROR(__xludf.DUMMYFUNCTION("""COMPUTED_VALUE"""),46153.5796357291)</f>
        <v>46153.579635729096</v>
      </c>
      <c r="C971" s="33" t="str">
        <f ca="1">IFERROR(__xludf.DUMMYFUNCTION("""COMPUTED_VALUE"""),"المعملجي")</f>
        <v>المعملجي</v>
      </c>
      <c r="D971" s="33" t="str">
        <f ca="1">IFERROR(__xludf.DUMMYFUNCTION("""COMPUTED_VALUE"""),"سجاد تربية")</f>
        <v>سجاد تربية</v>
      </c>
      <c r="E971" s="23" t="str">
        <f ca="1">IFERROR(__xludf.DUMMYFUNCTION("""COMPUTED_VALUE"""),"قسم التربية والتعليم العالي")</f>
        <v>قسم التربية والتعليم العالي</v>
      </c>
      <c r="F971" s="23" t="str">
        <f ca="1">IFERROR(__xludf.DUMMYFUNCTION("""COMPUTED_VALUE"""),"F-  ابتدائية جود العميد للبنات (الرابعة)")</f>
        <v>F-  ابتدائية جود العميد للبنات (الرابعة)</v>
      </c>
      <c r="G971" s="23" t="str">
        <f ca="1">IFERROR(__xludf.DUMMYFUNCTION("""COMPUTED_VALUE"""),"الطابق الارضي, ZONE B")</f>
        <v>الطابق الارضي, ZONE B</v>
      </c>
      <c r="H971" s="23" t="str">
        <f ca="1">IFERROR(__xludf.DUMMYFUNCTION("""COMPUTED_VALUE"""),"تبديل كاك براد ماء عدد 3")</f>
        <v>تبديل كاك براد ماء عدد 3</v>
      </c>
      <c r="I971" s="23"/>
      <c r="J971" s="23" t="s">
        <v>14</v>
      </c>
      <c r="K971" s="23" t="s">
        <v>13</v>
      </c>
      <c r="L971" s="32"/>
      <c r="M971" s="23"/>
    </row>
    <row r="972" spans="1:13" ht="75" customHeight="1" thickTop="1" thickBot="1">
      <c r="A972" s="23">
        <v>970</v>
      </c>
      <c r="B972" s="32">
        <f ca="1">IFERROR(__xludf.DUMMYFUNCTION("""COMPUTED_VALUE"""),46153.5801144213)</f>
        <v>46153.580114421296</v>
      </c>
      <c r="C972" s="33" t="str">
        <f ca="1">IFERROR(__xludf.DUMMYFUNCTION("""COMPUTED_VALUE"""),"المعملجي")</f>
        <v>المعملجي</v>
      </c>
      <c r="D972" s="33" t="str">
        <f ca="1">IFERROR(__xludf.DUMMYFUNCTION("""COMPUTED_VALUE"""),"سجاد تربية")</f>
        <v>سجاد تربية</v>
      </c>
      <c r="E972" s="23" t="str">
        <f ca="1">IFERROR(__xludf.DUMMYFUNCTION("""COMPUTED_VALUE"""),"قسم التربية والتعليم العالي")</f>
        <v>قسم التربية والتعليم العالي</v>
      </c>
      <c r="F972" s="23" t="str">
        <f ca="1">IFERROR(__xludf.DUMMYFUNCTION("""COMPUTED_VALUE"""),"F-  ابتدائية جود العميد للبنات (الرابعة)")</f>
        <v>F-  ابتدائية جود العميد للبنات (الرابعة)</v>
      </c>
      <c r="G972" s="23" t="str">
        <f ca="1">IFERROR(__xludf.DUMMYFUNCTION("""COMPUTED_VALUE"""),"الطابق الاول, ZONE B")</f>
        <v>الطابق الاول, ZONE B</v>
      </c>
      <c r="H972" s="23" t="str">
        <f ca="1">IFERROR(__xludf.DUMMYFUNCTION("""COMPUTED_VALUE"""),"تبديل صوندة شطاف عدد 5")</f>
        <v>تبديل صوندة شطاف عدد 5</v>
      </c>
      <c r="I972" s="23"/>
      <c r="J972" s="23" t="s">
        <v>14</v>
      </c>
      <c r="K972" s="23" t="s">
        <v>13</v>
      </c>
      <c r="L972" s="32"/>
      <c r="M972" s="23"/>
    </row>
    <row r="973" spans="1:13" ht="75" customHeight="1" thickTop="1" thickBot="1">
      <c r="A973" s="25">
        <v>971</v>
      </c>
      <c r="B973" s="32">
        <f ca="1">IFERROR(__xludf.DUMMYFUNCTION("""COMPUTED_VALUE"""),46153.5805947685)</f>
        <v>46153.5805947685</v>
      </c>
      <c r="C973" s="33" t="str">
        <f ca="1">IFERROR(__xludf.DUMMYFUNCTION("""COMPUTED_VALUE"""),"المعملجي")</f>
        <v>المعملجي</v>
      </c>
      <c r="D973" s="33" t="str">
        <f ca="1">IFERROR(__xludf.DUMMYFUNCTION("""COMPUTED_VALUE"""),"سجاد تربية")</f>
        <v>سجاد تربية</v>
      </c>
      <c r="E973" s="23" t="str">
        <f ca="1">IFERROR(__xludf.DUMMYFUNCTION("""COMPUTED_VALUE"""),"قسم التربية والتعليم العالي")</f>
        <v>قسم التربية والتعليم العالي</v>
      </c>
      <c r="F973" s="23" t="str">
        <f ca="1">IFERROR(__xludf.DUMMYFUNCTION("""COMPUTED_VALUE"""),"F-  ابتدائية جود العميد للبنات (الرابعة)")</f>
        <v>F-  ابتدائية جود العميد للبنات (الرابعة)</v>
      </c>
      <c r="G973" s="23" t="str">
        <f ca="1">IFERROR(__xludf.DUMMYFUNCTION("""COMPUTED_VALUE"""),"الطابق الاول, ZONE A")</f>
        <v>الطابق الاول, ZONE A</v>
      </c>
      <c r="H973" s="23" t="str">
        <f ca="1">IFERROR(__xludf.DUMMYFUNCTION("""COMPUTED_VALUE"""),"فتح انسداد في الصحيات")</f>
        <v>فتح انسداد في الصحيات</v>
      </c>
      <c r="I973" s="23"/>
      <c r="J973" s="23" t="s">
        <v>14</v>
      </c>
      <c r="K973" s="23" t="s">
        <v>13</v>
      </c>
      <c r="L973" s="32"/>
      <c r="M973" s="23"/>
    </row>
    <row r="974" spans="1:13" ht="75" customHeight="1" thickTop="1" thickBot="1">
      <c r="A974" s="23">
        <v>972</v>
      </c>
      <c r="B974" s="32">
        <f ca="1">IFERROR(__xludf.DUMMYFUNCTION("""COMPUTED_VALUE"""),46153.5810401736)</f>
        <v>46153.581040173602</v>
      </c>
      <c r="C974" s="33" t="str">
        <f ca="1">IFERROR(__xludf.DUMMYFUNCTION("""COMPUTED_VALUE"""),"المعملجي")</f>
        <v>المعملجي</v>
      </c>
      <c r="D974" s="33" t="str">
        <f ca="1">IFERROR(__xludf.DUMMYFUNCTION("""COMPUTED_VALUE"""),"سجاد تربية")</f>
        <v>سجاد تربية</v>
      </c>
      <c r="E974" s="23" t="str">
        <f ca="1">IFERROR(__xludf.DUMMYFUNCTION("""COMPUTED_VALUE"""),"قسم التربية والتعليم العالي")</f>
        <v>قسم التربية والتعليم العالي</v>
      </c>
      <c r="F974" s="23" t="str">
        <f ca="1">IFERROR(__xludf.DUMMYFUNCTION("""COMPUTED_VALUE"""),"F-  ابتدائية جود العميد للبنات (الرابعة)")</f>
        <v>F-  ابتدائية جود العميد للبنات (الرابعة)</v>
      </c>
      <c r="G974" s="23" t="str">
        <f ca="1">IFERROR(__xludf.DUMMYFUNCTION("""COMPUTED_VALUE"""),"الطابق الثاني, ZONE A")</f>
        <v>الطابق الثاني, ZONE A</v>
      </c>
      <c r="H974" s="23" t="str">
        <f ca="1">IFERROR(__xludf.DUMMYFUNCTION("""COMPUTED_VALUE"""),"فتح انسداد ")</f>
        <v xml:space="preserve">فتح انسداد </v>
      </c>
      <c r="I974" s="23"/>
      <c r="J974" s="23" t="s">
        <v>14</v>
      </c>
      <c r="K974" s="23" t="s">
        <v>13</v>
      </c>
      <c r="L974" s="32"/>
      <c r="M974" s="23"/>
    </row>
    <row r="975" spans="1:13" ht="75" customHeight="1" thickTop="1" thickBot="1">
      <c r="A975" s="25">
        <v>973</v>
      </c>
      <c r="B975" s="32">
        <f ca="1">IFERROR(__xludf.DUMMYFUNCTION("""COMPUTED_VALUE"""),46153.5815303356)</f>
        <v>46153.581530335599</v>
      </c>
      <c r="C975" s="33" t="str">
        <f ca="1">IFERROR(__xludf.DUMMYFUNCTION("""COMPUTED_VALUE"""),"المعملجي")</f>
        <v>المعملجي</v>
      </c>
      <c r="D975" s="33" t="str">
        <f ca="1">IFERROR(__xludf.DUMMYFUNCTION("""COMPUTED_VALUE"""),"سجاد تربية")</f>
        <v>سجاد تربية</v>
      </c>
      <c r="E975" s="23" t="str">
        <f ca="1">IFERROR(__xludf.DUMMYFUNCTION("""COMPUTED_VALUE"""),"قسم التربية والتعليم العالي")</f>
        <v>قسم التربية والتعليم العالي</v>
      </c>
      <c r="F975" s="23" t="str">
        <f ca="1">IFERROR(__xludf.DUMMYFUNCTION("""COMPUTED_VALUE"""),"F-  ابتدائية جود العميد للبنات (الرابعة)")</f>
        <v>F-  ابتدائية جود العميد للبنات (الرابعة)</v>
      </c>
      <c r="G975" s="23" t="str">
        <f ca="1">IFERROR(__xludf.DUMMYFUNCTION("""COMPUTED_VALUE"""),"الطابق الارضي, ZONE B")</f>
        <v>الطابق الارضي, ZONE B</v>
      </c>
      <c r="H975" s="23" t="str">
        <f ca="1">IFERROR(__xludf.DUMMYFUNCTION("""COMPUTED_VALUE"""),"صيانة براد ماء ")</f>
        <v xml:space="preserve">صيانة براد ماء </v>
      </c>
      <c r="I975" s="23"/>
      <c r="J975" s="23" t="s">
        <v>14</v>
      </c>
      <c r="K975" s="23" t="s">
        <v>13</v>
      </c>
      <c r="L975" s="32"/>
      <c r="M975" s="23"/>
    </row>
    <row r="976" spans="1:13" ht="75" customHeight="1" thickTop="1" thickBot="1">
      <c r="A976" s="23">
        <v>974</v>
      </c>
      <c r="B976" s="32">
        <f ca="1">IFERROR(__xludf.DUMMYFUNCTION("""COMPUTED_VALUE"""),46153.5835015162)</f>
        <v>46153.583501516201</v>
      </c>
      <c r="C976" s="33" t="str">
        <f ca="1">IFERROR(__xludf.DUMMYFUNCTION("""COMPUTED_VALUE"""),"المعملجي")</f>
        <v>المعملجي</v>
      </c>
      <c r="D976" s="33" t="str">
        <f ca="1">IFERROR(__xludf.DUMMYFUNCTION("""COMPUTED_VALUE"""),"سجاد تربية")</f>
        <v>سجاد تربية</v>
      </c>
      <c r="E976" s="23" t="str">
        <f ca="1">IFERROR(__xludf.DUMMYFUNCTION("""COMPUTED_VALUE"""),"قسم التربية والتعليم العالي")</f>
        <v>قسم التربية والتعليم العالي</v>
      </c>
      <c r="F976" s="23" t="str">
        <f ca="1">IFERROR(__xludf.DUMMYFUNCTION("""COMPUTED_VALUE"""),"F-  ابتدائية جود العميد للبنات (الرابعة)")</f>
        <v>F-  ابتدائية جود العميد للبنات (الرابعة)</v>
      </c>
      <c r="G976" s="23" t="str">
        <f ca="1">IFERROR(__xludf.DUMMYFUNCTION("""COMPUTED_VALUE"""),"الطابق الاول, ZONE A")</f>
        <v>الطابق الاول, ZONE A</v>
      </c>
      <c r="H976" s="23" t="str">
        <f ca="1">IFERROR(__xludf.DUMMYFUNCTION("""COMPUTED_VALUE"""),"صيانة غربي")</f>
        <v>صيانة غربي</v>
      </c>
      <c r="I976" s="23"/>
      <c r="J976" s="23" t="s">
        <v>14</v>
      </c>
      <c r="K976" s="23" t="s">
        <v>13</v>
      </c>
      <c r="L976" s="32">
        <v>46153.734882372686</v>
      </c>
      <c r="M976" s="23"/>
    </row>
    <row r="977" spans="1:13" ht="75" customHeight="1" thickTop="1" thickBot="1">
      <c r="A977" s="25">
        <v>975</v>
      </c>
      <c r="B977" s="32">
        <f ca="1">IFERROR(__xludf.DUMMYFUNCTION("""COMPUTED_VALUE"""),46154.4892123842)</f>
        <v>46154.4892123842</v>
      </c>
      <c r="C977" s="33" t="str">
        <f ca="1">IFERROR(__xludf.DUMMYFUNCTION("""COMPUTED_VALUE"""),"المعملجي")</f>
        <v>المعملجي</v>
      </c>
      <c r="D977" s="33" t="str">
        <f ca="1">IFERROR(__xludf.DUMMYFUNCTION("""COMPUTED_VALUE"""),"وحدة الميكانيك")</f>
        <v>وحدة الميكانيك</v>
      </c>
      <c r="E977" s="23" t="str">
        <f ca="1">IFERROR(__xludf.DUMMYFUNCTION("""COMPUTED_VALUE"""),"قسم المشاريع الهندسية")</f>
        <v>قسم المشاريع الهندسية</v>
      </c>
      <c r="F977" s="23" t="str">
        <f ca="1">IFERROR(__xludf.DUMMYFUNCTION("""COMPUTED_VALUE"""),"I- ابتدائية الساقي للبنين (السادسة)")</f>
        <v>I- ابتدائية الساقي للبنين (السادسة)</v>
      </c>
      <c r="G977" s="23" t="str">
        <f ca="1">IFERROR(__xludf.DUMMYFUNCTION("""COMPUTED_VALUE"""),"السطح")</f>
        <v>السطح</v>
      </c>
      <c r="H977" s="23" t="str">
        <f ca="1">IFERROR(__xludf.DUMMYFUNCTION("""COMPUTED_VALUE"""),"لا يوجد ماء Ro")</f>
        <v>لا يوجد ماء Ro</v>
      </c>
      <c r="I977" s="23"/>
      <c r="J977" s="23" t="s">
        <v>14</v>
      </c>
      <c r="K977" s="23" t="s">
        <v>13</v>
      </c>
      <c r="L977" s="32"/>
      <c r="M977" s="23"/>
    </row>
    <row r="978" spans="1:13" ht="75" customHeight="1" thickTop="1" thickBot="1">
      <c r="A978" s="23">
        <v>976</v>
      </c>
      <c r="B978" s="32">
        <f ca="1">IFERROR(__xludf.DUMMYFUNCTION("""COMPUTED_VALUE"""),46154.4895666782)</f>
        <v>46154.489566678203</v>
      </c>
      <c r="C978" s="33" t="str">
        <f ca="1">IFERROR(__xludf.DUMMYFUNCTION("""COMPUTED_VALUE"""),"المعملجي")</f>
        <v>المعملجي</v>
      </c>
      <c r="D978" s="33" t="str">
        <f ca="1">IFERROR(__xludf.DUMMYFUNCTION("""COMPUTED_VALUE"""),"وحدة الميكانيك")</f>
        <v>وحدة الميكانيك</v>
      </c>
      <c r="E978" s="23" t="str">
        <f ca="1">IFERROR(__xludf.DUMMYFUNCTION("""COMPUTED_VALUE"""),"قسم المشاريع الهندسية")</f>
        <v>قسم المشاريع الهندسية</v>
      </c>
      <c r="F978" s="23" t="str">
        <f ca="1">IFERROR(__xludf.DUMMYFUNCTION("""COMPUTED_VALUE"""),"I- ابتدائية الساقي للبنين (السادسة)")</f>
        <v>I- ابتدائية الساقي للبنين (السادسة)</v>
      </c>
      <c r="G978" s="23" t="str">
        <f ca="1">IFERROR(__xludf.DUMMYFUNCTION("""COMPUTED_VALUE"""),"السطح")</f>
        <v>السطح</v>
      </c>
      <c r="H978" s="23" t="str">
        <f ca="1">IFERROR(__xludf.DUMMYFUNCTION("""COMPUTED_VALUE"""),"غسل غرفة محطة الماء Ro")</f>
        <v>غسل غرفة محطة الماء Ro</v>
      </c>
      <c r="I978" s="23"/>
      <c r="J978" s="23" t="s">
        <v>14</v>
      </c>
      <c r="K978" s="23" t="s">
        <v>13</v>
      </c>
      <c r="L978" s="32"/>
      <c r="M978" s="23"/>
    </row>
    <row r="979" spans="1:13" ht="75" customHeight="1" thickTop="1" thickBot="1">
      <c r="A979" s="25">
        <v>977</v>
      </c>
      <c r="B979" s="32">
        <f ca="1">IFERROR(__xludf.DUMMYFUNCTION("""COMPUTED_VALUE"""),46154.4899521296)</f>
        <v>46154.489952129603</v>
      </c>
      <c r="C979" s="33" t="str">
        <f ca="1">IFERROR(__xludf.DUMMYFUNCTION("""COMPUTED_VALUE"""),"المعملجي")</f>
        <v>المعملجي</v>
      </c>
      <c r="D979" s="33" t="str">
        <f ca="1">IFERROR(__xludf.DUMMYFUNCTION("""COMPUTED_VALUE"""),"سجاد تربية")</f>
        <v>سجاد تربية</v>
      </c>
      <c r="E979" s="23" t="str">
        <f ca="1">IFERROR(__xludf.DUMMYFUNCTION("""COMPUTED_VALUE"""),"قسم التربية والتعليم العالي")</f>
        <v>قسم التربية والتعليم العالي</v>
      </c>
      <c r="F979" s="23" t="str">
        <f ca="1">IFERROR(__xludf.DUMMYFUNCTION("""COMPUTED_VALUE"""),"الاستعلامات الرئيسية")</f>
        <v>الاستعلامات الرئيسية</v>
      </c>
      <c r="G979" s="23" t="str">
        <f ca="1">IFERROR(__xludf.DUMMYFUNCTION("""COMPUTED_VALUE"""),"الطابق الارضي")</f>
        <v>الطابق الارضي</v>
      </c>
      <c r="H979" s="23" t="str">
        <f ca="1">IFERROR(__xludf.DUMMYFUNCTION("""COMPUTED_VALUE"""),"تبديل كاك زاوية ثنائي")</f>
        <v>تبديل كاك زاوية ثنائي</v>
      </c>
      <c r="I979" s="23"/>
      <c r="J979" s="23" t="s">
        <v>14</v>
      </c>
      <c r="K979" s="23" t="s">
        <v>13</v>
      </c>
      <c r="L979" s="32"/>
      <c r="M979" s="23"/>
    </row>
    <row r="980" spans="1:13" ht="75" customHeight="1" thickTop="1" thickBot="1">
      <c r="A980" s="23">
        <v>978</v>
      </c>
      <c r="B980" s="32">
        <f ca="1">IFERROR(__xludf.DUMMYFUNCTION("""COMPUTED_VALUE"""),46154.4910605439)</f>
        <v>46154.4910605439</v>
      </c>
      <c r="C980" s="33" t="str">
        <f ca="1">IFERROR(__xludf.DUMMYFUNCTION("""COMPUTED_VALUE"""),"المعملجي")</f>
        <v>المعملجي</v>
      </c>
      <c r="D980" s="33" t="str">
        <f ca="1">IFERROR(__xludf.DUMMYFUNCTION("""COMPUTED_VALUE"""),"سجاد تربية")</f>
        <v>سجاد تربية</v>
      </c>
      <c r="E980" s="23" t="str">
        <f ca="1">IFERROR(__xludf.DUMMYFUNCTION("""COMPUTED_VALUE"""),"قسم التربية والتعليم العالي")</f>
        <v>قسم التربية والتعليم العالي</v>
      </c>
      <c r="F980" s="23" t="str">
        <f ca="1">IFERROR(__xludf.DUMMYFUNCTION("""COMPUTED_VALUE"""),"الاستعلامات الرئيسية")</f>
        <v>الاستعلامات الرئيسية</v>
      </c>
      <c r="G980" s="23" t="str">
        <f ca="1">IFERROR(__xludf.DUMMYFUNCTION("""COMPUTED_VALUE"""),"الطابق الارضي")</f>
        <v>الطابق الارضي</v>
      </c>
      <c r="H980" s="23" t="str">
        <f ca="1">IFERROR(__xludf.DUMMYFUNCTION("""COMPUTED_VALUE"""),"تبديل خلاط ماء ")</f>
        <v xml:space="preserve">تبديل خلاط ماء </v>
      </c>
      <c r="I980" s="23"/>
      <c r="J980" s="23" t="s">
        <v>14</v>
      </c>
      <c r="K980" s="23" t="s">
        <v>13</v>
      </c>
      <c r="L980" s="32"/>
      <c r="M980" s="23"/>
    </row>
    <row r="981" spans="1:13" ht="75" customHeight="1" thickTop="1" thickBot="1">
      <c r="A981" s="25">
        <v>979</v>
      </c>
      <c r="B981" s="32">
        <f ca="1">IFERROR(__xludf.DUMMYFUNCTION("""COMPUTED_VALUE"""),46155.3230202199)</f>
        <v>46155.323020219897</v>
      </c>
      <c r="C981" s="33" t="str">
        <f ca="1">IFERROR(__xludf.DUMMYFUNCTION("""COMPUTED_VALUE"""),"المعملجي")</f>
        <v>المعملجي</v>
      </c>
      <c r="D981" s="33" t="str">
        <f ca="1">IFERROR(__xludf.DUMMYFUNCTION("""COMPUTED_VALUE"""),"وحدة الميكانيك")</f>
        <v>وحدة الميكانيك</v>
      </c>
      <c r="E981" s="23" t="str">
        <f ca="1">IFERROR(__xludf.DUMMYFUNCTION("""COMPUTED_VALUE"""),"قسم المشاريع الهندسية")</f>
        <v>قسم المشاريع الهندسية</v>
      </c>
      <c r="F981" s="23" t="str">
        <f ca="1">IFERROR(__xludf.DUMMYFUNCTION("""COMPUTED_VALUE"""),"A- المركز الثقافي, J- ابتدائية الساقي للبنين الجانب الثاني (السابعة)")</f>
        <v>A- المركز الثقافي, J- ابتدائية الساقي للبنين الجانب الثاني (السابعة)</v>
      </c>
      <c r="G981" s="23" t="str">
        <f ca="1">IFERROR(__xludf.DUMMYFUNCTION("""COMPUTED_VALUE"""),"السطح")</f>
        <v>السطح</v>
      </c>
      <c r="H981" s="23" t="str">
        <f ca="1">IFERROR(__xludf.DUMMYFUNCTION("""COMPUTED_VALUE"""),"غسل مظخة الاطفاء الثانوية ")</f>
        <v xml:space="preserve">غسل مظخة الاطفاء الثانوية </v>
      </c>
      <c r="I981" s="23"/>
      <c r="J981" s="23" t="s">
        <v>14</v>
      </c>
      <c r="K981" s="23" t="s">
        <v>13</v>
      </c>
      <c r="L981" s="32"/>
      <c r="M981" s="23"/>
    </row>
    <row r="982" spans="1:13" ht="75" customHeight="1" thickTop="1" thickBot="1">
      <c r="A982" s="23">
        <v>980</v>
      </c>
      <c r="B982" s="32">
        <f ca="1">IFERROR(__xludf.DUMMYFUNCTION("""COMPUTED_VALUE"""),46155.3236448611)</f>
        <v>46155.323644861099</v>
      </c>
      <c r="C982" s="33" t="str">
        <f ca="1">IFERROR(__xludf.DUMMYFUNCTION("""COMPUTED_VALUE"""),"المعملجي")</f>
        <v>المعملجي</v>
      </c>
      <c r="D982" s="33" t="str">
        <f ca="1">IFERROR(__xludf.DUMMYFUNCTION("""COMPUTED_VALUE"""),"وحدة الميكانيك")</f>
        <v>وحدة الميكانيك</v>
      </c>
      <c r="E982" s="23" t="str">
        <f ca="1">IFERROR(__xludf.DUMMYFUNCTION("""COMPUTED_VALUE"""),"قسم المشاريع الهندسية")</f>
        <v>قسم المشاريع الهندسية</v>
      </c>
      <c r="F982" s="23" t="str">
        <f ca="1">IFERROR(__xludf.DUMMYFUNCTION("""COMPUTED_VALUE"""),"H- ابتدائية القمر للبنات (الخامسة), J- جامعة العميد (السابعة)")</f>
        <v>H- ابتدائية القمر للبنات (الخامسة), J- جامعة العميد (السابعة)</v>
      </c>
      <c r="G982" s="23" t="str">
        <f ca="1">IFERROR(__xludf.DUMMYFUNCTION("""COMPUTED_VALUE"""),"السطح")</f>
        <v>السطح</v>
      </c>
      <c r="H982" s="23" t="str">
        <f ca="1">IFERROR(__xludf.DUMMYFUNCTION("""COMPUTED_VALUE"""),"غسل غرفة محطة الماء Ro")</f>
        <v>غسل غرفة محطة الماء Ro</v>
      </c>
      <c r="I982" s="23"/>
      <c r="J982" s="23" t="s">
        <v>14</v>
      </c>
      <c r="K982" s="23" t="s">
        <v>13</v>
      </c>
      <c r="L982" s="32"/>
      <c r="M982" s="23"/>
    </row>
    <row r="983" spans="1:13" ht="75" customHeight="1" thickTop="1" thickBot="1">
      <c r="A983" s="25">
        <v>981</v>
      </c>
      <c r="B983" s="32">
        <f ca="1">IFERROR(__xludf.DUMMYFUNCTION("""COMPUTED_VALUE"""),46155.3420742592)</f>
        <v>46155.342074259199</v>
      </c>
      <c r="C983" s="33" t="str">
        <f ca="1">IFERROR(__xludf.DUMMYFUNCTION("""COMPUTED_VALUE"""),"المعملجي")</f>
        <v>المعملجي</v>
      </c>
      <c r="D983" s="33" t="str">
        <f ca="1">IFERROR(__xludf.DUMMYFUNCTION("""COMPUTED_VALUE"""),"سجاد تربية")</f>
        <v>سجاد تربية</v>
      </c>
      <c r="E983" s="23" t="str">
        <f ca="1">IFERROR(__xludf.DUMMYFUNCTION("""COMPUTED_VALUE"""),"قسم التربية والتعليم العالي")</f>
        <v>قسم التربية والتعليم العالي</v>
      </c>
      <c r="F983" s="23" t="str">
        <f ca="1">IFERROR(__xludf.DUMMYFUNCTION("""COMPUTED_VALUE"""),"F-  ابتدائية جود العميد للبنات (الرابعة)")</f>
        <v>F-  ابتدائية جود العميد للبنات (الرابعة)</v>
      </c>
      <c r="G983" s="23" t="str">
        <f ca="1">IFERROR(__xludf.DUMMYFUNCTION("""COMPUTED_VALUE"""),"السطح")</f>
        <v>السطح</v>
      </c>
      <c r="H983" s="23" t="str">
        <f ca="1">IFERROR(__xludf.DUMMYFUNCTION("""COMPUTED_VALUE"""),"Roلا يوجد ماء ")</f>
        <v xml:space="preserve">Roلا يوجد ماء </v>
      </c>
      <c r="I983" s="23"/>
      <c r="J983" s="23" t="s">
        <v>14</v>
      </c>
      <c r="K983" s="23" t="s">
        <v>13</v>
      </c>
      <c r="L983" s="32">
        <v>46155.558903599536</v>
      </c>
      <c r="M983" s="23"/>
    </row>
    <row r="984" spans="1:13" ht="75" customHeight="1" thickTop="1" thickBot="1">
      <c r="A984" s="23">
        <v>982</v>
      </c>
      <c r="B984" s="32">
        <f ca="1">IFERROR(__xludf.DUMMYFUNCTION("""COMPUTED_VALUE"""),46155.5646634259)</f>
        <v>46155.564663425903</v>
      </c>
      <c r="C984" s="33" t="str">
        <f ca="1">IFERROR(__xludf.DUMMYFUNCTION("""COMPUTED_VALUE"""),"المعملجي")</f>
        <v>المعملجي</v>
      </c>
      <c r="D984" s="33" t="str">
        <f ca="1">IFERROR(__xludf.DUMMYFUNCTION("""COMPUTED_VALUE"""),"سجاد تربية")</f>
        <v>سجاد تربية</v>
      </c>
      <c r="E984" s="23" t="str">
        <f ca="1">IFERROR(__xludf.DUMMYFUNCTION("""COMPUTED_VALUE"""),"قسم التربية والتعليم العالي")</f>
        <v>قسم التربية والتعليم العالي</v>
      </c>
      <c r="F984" s="23" t="str">
        <f ca="1">IFERROR(__xludf.DUMMYFUNCTION("""COMPUTED_VALUE"""),"F-  ابتدائية جود العميد للبنات (الرابعة)")</f>
        <v>F-  ابتدائية جود العميد للبنات (الرابعة)</v>
      </c>
      <c r="G984" s="23" t="str">
        <f ca="1">IFERROR(__xludf.DUMMYFUNCTION("""COMPUTED_VALUE"""),"الطابق الارضي")</f>
        <v>الطابق الارضي</v>
      </c>
      <c r="H984" s="23" t="str">
        <f ca="1">IFERROR(__xludf.DUMMYFUNCTION("""COMPUTED_VALUE"""),"صيانة خلاط ماء ")</f>
        <v xml:space="preserve">صيانة خلاط ماء </v>
      </c>
      <c r="I984" s="23"/>
      <c r="J984" s="23" t="s">
        <v>14</v>
      </c>
      <c r="K984" s="23" t="s">
        <v>13</v>
      </c>
      <c r="L984" s="32"/>
      <c r="M984" s="23"/>
    </row>
    <row r="985" spans="1:13" ht="75" customHeight="1" thickTop="1" thickBot="1">
      <c r="A985" s="25">
        <v>983</v>
      </c>
      <c r="B985" s="32">
        <f ca="1">IFERROR(__xludf.DUMMYFUNCTION("""COMPUTED_VALUE"""),46155.5650651967)</f>
        <v>46155.565065196701</v>
      </c>
      <c r="C985" s="33" t="str">
        <f ca="1">IFERROR(__xludf.DUMMYFUNCTION("""COMPUTED_VALUE"""),"المعملجي")</f>
        <v>المعملجي</v>
      </c>
      <c r="D985" s="33" t="str">
        <f ca="1">IFERROR(__xludf.DUMMYFUNCTION("""COMPUTED_VALUE"""),"سجاد تربية")</f>
        <v>سجاد تربية</v>
      </c>
      <c r="E985" s="23" t="str">
        <f ca="1">IFERROR(__xludf.DUMMYFUNCTION("""COMPUTED_VALUE"""),"قسم التربية والتعليم العالي")</f>
        <v>قسم التربية والتعليم العالي</v>
      </c>
      <c r="F985" s="23" t="str">
        <f ca="1">IFERROR(__xludf.DUMMYFUNCTION("""COMPUTED_VALUE"""),"F-  ابتدائية جود العميد للبنات (الرابعة)")</f>
        <v>F-  ابتدائية جود العميد للبنات (الرابعة)</v>
      </c>
      <c r="G985" s="23" t="str">
        <f ca="1">IFERROR(__xludf.DUMMYFUNCTION("""COMPUTED_VALUE"""),"الطابق الارضي")</f>
        <v>الطابق الارضي</v>
      </c>
      <c r="H985" s="23" t="str">
        <f ca="1">IFERROR(__xludf.DUMMYFUNCTION("""COMPUTED_VALUE"""),"تبديل قاعدة شطاف ")</f>
        <v xml:space="preserve">تبديل قاعدة شطاف </v>
      </c>
      <c r="I985" s="23"/>
      <c r="J985" s="23" t="s">
        <v>14</v>
      </c>
      <c r="K985" s="23" t="s">
        <v>13</v>
      </c>
      <c r="L985" s="32"/>
      <c r="M985" s="23"/>
    </row>
    <row r="986" spans="1:13" ht="75" customHeight="1" thickTop="1" thickBot="1">
      <c r="A986" s="23">
        <v>984</v>
      </c>
      <c r="B986" s="32">
        <f ca="1">IFERROR(__xludf.DUMMYFUNCTION("""COMPUTED_VALUE"""),46155.5653262963)</f>
        <v>46155.565326296302</v>
      </c>
      <c r="C986" s="33" t="str">
        <f ca="1">IFERROR(__xludf.DUMMYFUNCTION("""COMPUTED_VALUE"""),"المعملجي")</f>
        <v>المعملجي</v>
      </c>
      <c r="D986" s="33" t="str">
        <f ca="1">IFERROR(__xludf.DUMMYFUNCTION("""COMPUTED_VALUE"""),"سجاد تربية")</f>
        <v>سجاد تربية</v>
      </c>
      <c r="E986" s="23" t="str">
        <f ca="1">IFERROR(__xludf.DUMMYFUNCTION("""COMPUTED_VALUE"""),"قسم التربية والتعليم العالي")</f>
        <v>قسم التربية والتعليم العالي</v>
      </c>
      <c r="F986" s="23" t="str">
        <f ca="1">IFERROR(__xludf.DUMMYFUNCTION("""COMPUTED_VALUE"""),"G- روضة الجود")</f>
        <v>G- روضة الجود</v>
      </c>
      <c r="G986" s="23" t="str">
        <f ca="1">IFERROR(__xludf.DUMMYFUNCTION("""COMPUTED_VALUE"""),"الطابق الارضي")</f>
        <v>الطابق الارضي</v>
      </c>
      <c r="H986" s="23" t="str">
        <f ca="1">IFERROR(__xludf.DUMMYFUNCTION("""COMPUTED_VALUE"""),"تبديل صوندة شطاف ")</f>
        <v xml:space="preserve">تبديل صوندة شطاف </v>
      </c>
      <c r="I986" s="23"/>
      <c r="J986" s="23" t="s">
        <v>14</v>
      </c>
      <c r="K986" s="23" t="s">
        <v>13</v>
      </c>
      <c r="L986" s="32"/>
      <c r="M986" s="23"/>
    </row>
    <row r="987" spans="1:13" ht="75" customHeight="1" thickTop="1" thickBot="1">
      <c r="A987" s="25">
        <v>985</v>
      </c>
      <c r="B987" s="32">
        <f ca="1">IFERROR(__xludf.DUMMYFUNCTION("""COMPUTED_VALUE"""),46155.5661213657)</f>
        <v>46155.5661213657</v>
      </c>
      <c r="C987" s="33" t="str">
        <f ca="1">IFERROR(__xludf.DUMMYFUNCTION("""COMPUTED_VALUE"""),"المعملجي")</f>
        <v>المعملجي</v>
      </c>
      <c r="D987" s="33" t="str">
        <f ca="1">IFERROR(__xludf.DUMMYFUNCTION("""COMPUTED_VALUE"""),"سجاد تربية")</f>
        <v>سجاد تربية</v>
      </c>
      <c r="E987" s="23" t="str">
        <f ca="1">IFERROR(__xludf.DUMMYFUNCTION("""COMPUTED_VALUE"""),"قسم التربية والتعليم العالي")</f>
        <v>قسم التربية والتعليم العالي</v>
      </c>
      <c r="F987" s="23" t="str">
        <f ca="1">IFERROR(__xludf.DUMMYFUNCTION("""COMPUTED_VALUE"""),"G- روضة الجود")</f>
        <v>G- روضة الجود</v>
      </c>
      <c r="G987" s="23" t="str">
        <f ca="1">IFERROR(__xludf.DUMMYFUNCTION("""COMPUTED_VALUE"""),"الطابق الارضي")</f>
        <v>الطابق الارضي</v>
      </c>
      <c r="H987" s="23" t="str">
        <f ca="1">IFERROR(__xludf.DUMMYFUNCTION("""COMPUTED_VALUE"""),"صيانة فلاش حمامات")</f>
        <v>صيانة فلاش حمامات</v>
      </c>
      <c r="I987" s="23"/>
      <c r="J987" s="23" t="s">
        <v>14</v>
      </c>
      <c r="K987" s="23" t="s">
        <v>13</v>
      </c>
      <c r="L987" s="32">
        <v>46156.322982245372</v>
      </c>
      <c r="M987" s="23"/>
    </row>
    <row r="988" spans="1:13" ht="75" customHeight="1" thickTop="1" thickBot="1">
      <c r="A988" s="23">
        <v>986</v>
      </c>
      <c r="B988" s="32">
        <f ca="1">IFERROR(__xludf.DUMMYFUNCTION("""COMPUTED_VALUE"""),46156.3258137847)</f>
        <v>46156.325813784701</v>
      </c>
      <c r="C988" s="33" t="str">
        <f ca="1">IFERROR(__xludf.DUMMYFUNCTION("""COMPUTED_VALUE"""),"المعملجي")</f>
        <v>المعملجي</v>
      </c>
      <c r="D988" s="33" t="str">
        <f ca="1">IFERROR(__xludf.DUMMYFUNCTION("""COMPUTED_VALUE"""),"وحدة الميكانيك")</f>
        <v>وحدة الميكانيك</v>
      </c>
      <c r="E988" s="23" t="str">
        <f ca="1">IFERROR(__xludf.DUMMYFUNCTION("""COMPUTED_VALUE"""),"قسم التربية والتعليم العالي")</f>
        <v>قسم التربية والتعليم العالي</v>
      </c>
      <c r="F988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88" s="23" t="str">
        <f ca="1">IFERROR(__xludf.DUMMYFUNCTION("""COMPUTED_VALUE"""),"السطح")</f>
        <v>السطح</v>
      </c>
      <c r="H988" s="23" t="str">
        <f ca="1">IFERROR(__xludf.DUMMYFUNCTION("""COMPUTED_VALUE"""),"لا يوجد ماء Ro")</f>
        <v>لا يوجد ماء Ro</v>
      </c>
      <c r="I988" s="23"/>
      <c r="J988" s="23" t="s">
        <v>14</v>
      </c>
      <c r="K988" s="23" t="s">
        <v>13</v>
      </c>
      <c r="L988" s="32"/>
      <c r="M988" s="23"/>
    </row>
    <row r="989" spans="1:13" ht="75" customHeight="1" thickTop="1" thickBot="1">
      <c r="A989" s="25">
        <v>987</v>
      </c>
      <c r="B989" s="32">
        <f ca="1">IFERROR(__xludf.DUMMYFUNCTION("""COMPUTED_VALUE"""),46156.4095616088)</f>
        <v>46156.409561608802</v>
      </c>
      <c r="C989" s="33" t="str">
        <f ca="1">IFERROR(__xludf.DUMMYFUNCTION("""COMPUTED_VALUE"""),"المعملجي")</f>
        <v>المعملجي</v>
      </c>
      <c r="D989" s="33" t="str">
        <f ca="1">IFERROR(__xludf.DUMMYFUNCTION("""COMPUTED_VALUE"""),"سجاد تربية")</f>
        <v>سجاد تربية</v>
      </c>
      <c r="E989" s="23" t="str">
        <f ca="1">IFERROR(__xludf.DUMMYFUNCTION("""COMPUTED_VALUE"""),"قسم التربية والتعليم العالي")</f>
        <v>قسم التربية والتعليم العالي</v>
      </c>
      <c r="F989" s="23" t="str">
        <f ca="1">IFERROR(__xludf.DUMMYFUNCTION("""COMPUTED_VALUE"""),"G- روضة الجود")</f>
        <v>G- روضة الجود</v>
      </c>
      <c r="G989" s="23" t="str">
        <f ca="1">IFERROR(__xludf.DUMMYFUNCTION("""COMPUTED_VALUE"""),"السطح")</f>
        <v>السطح</v>
      </c>
      <c r="H989" s="23" t="str">
        <f ca="1">IFERROR(__xludf.DUMMYFUNCTION("""COMPUTED_VALUE"""),"Ro لا يوجد ماء ")</f>
        <v xml:space="preserve">Ro لا يوجد ماء </v>
      </c>
      <c r="I989" s="23"/>
      <c r="J989" s="23" t="s">
        <v>14</v>
      </c>
      <c r="K989" s="23" t="s">
        <v>13</v>
      </c>
      <c r="L989" s="32"/>
      <c r="M989" s="23"/>
    </row>
    <row r="990" spans="1:13" ht="75" customHeight="1" thickTop="1" thickBot="1">
      <c r="A990" s="23">
        <v>988</v>
      </c>
      <c r="B990" s="32">
        <f ca="1">IFERROR(__xludf.DUMMYFUNCTION("""COMPUTED_VALUE"""),46158.3504024421)</f>
        <v>46158.350402442098</v>
      </c>
      <c r="C990" s="33" t="str">
        <f ca="1">IFERROR(__xludf.DUMMYFUNCTION("""COMPUTED_VALUE"""),"المعملجي")</f>
        <v>المعملجي</v>
      </c>
      <c r="D990" s="33" t="str">
        <f ca="1">IFERROR(__xludf.DUMMYFUNCTION("""COMPUTED_VALUE"""),"وحدة الميكانيك")</f>
        <v>وحدة الميكانيك</v>
      </c>
      <c r="E990" s="23" t="str">
        <f ca="1">IFERROR(__xludf.DUMMYFUNCTION("""COMPUTED_VALUE"""),"قسم المشاريع الهندسية")</f>
        <v>قسم المشاريع الهندسية</v>
      </c>
      <c r="F990" s="23" t="str">
        <f ca="1">IFERROR(__xludf.DUMMYFUNCTION("""COMPUTED_VALUE"""),"C- ثانوية العميد بناية الاعدادية  (الاولى)")</f>
        <v>C- ثانوية العميد بناية الاعدادية  (الاولى)</v>
      </c>
      <c r="G990" s="23" t="str">
        <f ca="1">IFERROR(__xludf.DUMMYFUNCTION("""COMPUTED_VALUE"""),"السطح")</f>
        <v>السطح</v>
      </c>
      <c r="H990" s="23" t="str">
        <f ca="1">IFERROR(__xludf.DUMMYFUNCTION("""COMPUTED_VALUE"""),"Ro  لا يوجد ماء ")</f>
        <v xml:space="preserve">Ro  لا يوجد ماء </v>
      </c>
      <c r="I990" s="23"/>
      <c r="J990" s="23" t="s">
        <v>14</v>
      </c>
      <c r="K990" s="23" t="s">
        <v>13</v>
      </c>
      <c r="L990" s="32"/>
      <c r="M990" s="23"/>
    </row>
    <row r="991" spans="1:13" ht="75" customHeight="1" thickTop="1" thickBot="1">
      <c r="A991" s="25">
        <v>989</v>
      </c>
      <c r="B991" s="32">
        <f ca="1">IFERROR(__xludf.DUMMYFUNCTION("""COMPUTED_VALUE"""),46158.35073125)</f>
        <v>46158.350731250001</v>
      </c>
      <c r="C991" s="33" t="str">
        <f ca="1">IFERROR(__xludf.DUMMYFUNCTION("""COMPUTED_VALUE"""),"المعملجي")</f>
        <v>المعملجي</v>
      </c>
      <c r="D991" s="33" t="str">
        <f ca="1">IFERROR(__xludf.DUMMYFUNCTION("""COMPUTED_VALUE"""),"وحدة الميكانيك")</f>
        <v>وحدة الميكانيك</v>
      </c>
      <c r="E991" s="23" t="str">
        <f ca="1">IFERROR(__xludf.DUMMYFUNCTION("""COMPUTED_VALUE"""),"قسم المشاريع الهندسية")</f>
        <v>قسم المشاريع الهندسية</v>
      </c>
      <c r="F991" s="23" t="str">
        <f ca="1">IFERROR(__xludf.DUMMYFUNCTION("""COMPUTED_VALUE"""),"D- ثانوية العميد بناية المتوسطة  (الثانية)")</f>
        <v>D- ثانوية العميد بناية المتوسطة  (الثانية)</v>
      </c>
      <c r="G991" s="23" t="str">
        <f ca="1">IFERROR(__xludf.DUMMYFUNCTION("""COMPUTED_VALUE"""),"السطح")</f>
        <v>السطح</v>
      </c>
      <c r="H991" s="23" t="str">
        <f ca="1">IFERROR(__xludf.DUMMYFUNCTION("""COMPUTED_VALUE"""),"Ro لا يوجد ماء ")</f>
        <v xml:space="preserve">Ro لا يوجد ماء </v>
      </c>
      <c r="I991" s="23"/>
      <c r="J991" s="23" t="s">
        <v>14</v>
      </c>
      <c r="K991" s="23" t="s">
        <v>13</v>
      </c>
      <c r="L991" s="32"/>
      <c r="M991" s="23"/>
    </row>
    <row r="992" spans="1:13" ht="75" customHeight="1" thickTop="1" thickBot="1">
      <c r="A992" s="23">
        <v>990</v>
      </c>
      <c r="B992" s="32">
        <f ca="1">IFERROR(__xludf.DUMMYFUNCTION("""COMPUTED_VALUE"""),46158.3521437963)</f>
        <v>46158.352143796299</v>
      </c>
      <c r="C992" s="33" t="str">
        <f ca="1">IFERROR(__xludf.DUMMYFUNCTION("""COMPUTED_VALUE"""),"المعملجي")</f>
        <v>المعملجي</v>
      </c>
      <c r="D992" s="33" t="str">
        <f ca="1">IFERROR(__xludf.DUMMYFUNCTION("""COMPUTED_VALUE"""),"وحدة الميكانيك")</f>
        <v>وحدة الميكانيك</v>
      </c>
      <c r="E992" s="23" t="str">
        <f ca="1">IFERROR(__xludf.DUMMYFUNCTION("""COMPUTED_VALUE"""),"قسم المشاريع الهندسية")</f>
        <v>قسم المشاريع الهندسية</v>
      </c>
      <c r="F992" s="23" t="str">
        <f ca="1">IFERROR(__xludf.DUMMYFUNCTION("""COMPUTED_VALUE"""),"F-  ابتدائية جود العميد للبنات (الرابعة)")</f>
        <v>F-  ابتدائية جود العميد للبنات (الرابعة)</v>
      </c>
      <c r="G992" s="23" t="str">
        <f ca="1">IFERROR(__xludf.DUMMYFUNCTION("""COMPUTED_VALUE"""),"السطح")</f>
        <v>السطح</v>
      </c>
      <c r="H992" s="23" t="str">
        <f ca="1">IFERROR(__xludf.DUMMYFUNCTION("""COMPUTED_VALUE"""),"Ro لأ يوجد ماء ")</f>
        <v xml:space="preserve">Ro لأ يوجد ماء </v>
      </c>
      <c r="I992" s="23"/>
      <c r="J992" s="23" t="s">
        <v>14</v>
      </c>
      <c r="K992" s="23" t="s">
        <v>13</v>
      </c>
      <c r="L992" s="32"/>
      <c r="M992" s="23"/>
    </row>
    <row r="993" spans="1:13" ht="75" customHeight="1" thickTop="1" thickBot="1">
      <c r="A993" s="25">
        <v>991</v>
      </c>
      <c r="B993" s="32">
        <f ca="1">IFERROR(__xludf.DUMMYFUNCTION("""COMPUTED_VALUE"""),46158.389855162)</f>
        <v>46158.389855162</v>
      </c>
      <c r="C993" s="33" t="str">
        <f ca="1">IFERROR(__xludf.DUMMYFUNCTION("""COMPUTED_VALUE"""),"المعملجي")</f>
        <v>المعملجي</v>
      </c>
      <c r="D993" s="33" t="str">
        <f ca="1">IFERROR(__xludf.DUMMYFUNCTION("""COMPUTED_VALUE"""),"سجاد تربية")</f>
        <v>سجاد تربية</v>
      </c>
      <c r="E993" s="23" t="str">
        <f ca="1">IFERROR(__xludf.DUMMYFUNCTION("""COMPUTED_VALUE"""),"قسم التربية والتعليم العالي")</f>
        <v>قسم التربية والتعليم العالي</v>
      </c>
      <c r="F993" s="23" t="str">
        <f ca="1">IFERROR(__xludf.DUMMYFUNCTION("""COMPUTED_VALUE"""),"E- ابتدائية العميد للبنات (الثالثة)")</f>
        <v>E- ابتدائية العميد للبنات (الثالثة)</v>
      </c>
      <c r="G993" s="23" t="str">
        <f ca="1">IFERROR(__xludf.DUMMYFUNCTION("""COMPUTED_VALUE"""),"الطابق الاول")</f>
        <v>الطابق الاول</v>
      </c>
      <c r="H993" s="23" t="str">
        <f ca="1">IFERROR(__xludf.DUMMYFUNCTION("""COMPUTED_VALUE"""),"1:صيانة المغاسل 
2: صيانة صوندة الحامام ")</f>
        <v xml:space="preserve">1:صيانة المغاسل 
2: صيانة صوندة الحامام </v>
      </c>
      <c r="I993" s="23"/>
      <c r="J993" s="23" t="s">
        <v>14</v>
      </c>
      <c r="K993" s="23" t="s">
        <v>13</v>
      </c>
      <c r="L993" s="32">
        <v>46158.54142238426</v>
      </c>
      <c r="M993" s="23"/>
    </row>
    <row r="994" spans="1:13" ht="75" customHeight="1" thickTop="1" thickBot="1">
      <c r="A994" s="23">
        <v>992</v>
      </c>
      <c r="B994" s="32">
        <f ca="1">IFERROR(__xludf.DUMMYFUNCTION("""COMPUTED_VALUE"""),46158.3938869675)</f>
        <v>46158.393886967497</v>
      </c>
      <c r="C994" s="33" t="str">
        <f ca="1">IFERROR(__xludf.DUMMYFUNCTION("""COMPUTED_VALUE"""),"المعملجي")</f>
        <v>المعملجي</v>
      </c>
      <c r="D994" s="33" t="str">
        <f ca="1">IFERROR(__xludf.DUMMYFUNCTION("""COMPUTED_VALUE"""),"سجاد تربية")</f>
        <v>سجاد تربية</v>
      </c>
      <c r="E994" s="23" t="str">
        <f ca="1">IFERROR(__xludf.DUMMYFUNCTION("""COMPUTED_VALUE"""),"قسم التربية والتعليم العالي")</f>
        <v>قسم التربية والتعليم العالي</v>
      </c>
      <c r="F994" s="23" t="str">
        <f ca="1">IFERROR(__xludf.DUMMYFUNCTION("""COMPUTED_VALUE"""),"F-  ابتدائية جود العميد للبنات (الرابعة)")</f>
        <v>F-  ابتدائية جود العميد للبنات (الرابعة)</v>
      </c>
      <c r="G994" s="23"/>
      <c r="H994" s="23" t="str">
        <f ca="1">IFERROR(__xludf.DUMMYFUNCTION("""COMPUTED_VALUE"""),"1:حمامات الارضي لبغربي 
2:شباك الاول د
3:هزار سيراميك الساحة الخارجية 
4:خلاط مغسلة الصحيات الطابق الخارجي 
5:السقف الثانوي الطابق الثاني الخارجي 
6:غطاء سيفونة عدد 3
7:انسداد مغاسل المصلى 
8:معالجة وضع طفايات الحريق ")</f>
        <v xml:space="preserve">1:حمامات الارضي لبغربي 
2:شباك الاول د
3:هزار سيراميك الساحة الخارجية 
4:خلاط مغسلة الصحيات الطابق الخارجي 
5:السقف الثانوي الطابق الثاني الخارجي 
6:غطاء سيفونة عدد 3
7:انسداد مغاسل المصلى 
8:معالجة وضع طفايات الحريق </v>
      </c>
      <c r="I994" s="23"/>
      <c r="J994" s="23" t="s">
        <v>14</v>
      </c>
      <c r="K994" s="23" t="s">
        <v>13</v>
      </c>
      <c r="L994" s="32">
        <v>46158.541441967594</v>
      </c>
      <c r="M994" s="23"/>
    </row>
    <row r="995" spans="1:13" ht="75" customHeight="1" thickTop="1" thickBot="1">
      <c r="A995" s="25">
        <v>993</v>
      </c>
      <c r="B995" s="32">
        <f ca="1">IFERROR(__xludf.DUMMYFUNCTION("""COMPUTED_VALUE"""),46158.4522432986)</f>
        <v>46158.452243298598</v>
      </c>
      <c r="C995" s="33" t="str">
        <f ca="1">IFERROR(__xludf.DUMMYFUNCTION("""COMPUTED_VALUE"""),"المعملجي")</f>
        <v>المعملجي</v>
      </c>
      <c r="D995" s="33" t="str">
        <f ca="1">IFERROR(__xludf.DUMMYFUNCTION("""COMPUTED_VALUE"""),"سجاد تربية")</f>
        <v>سجاد تربية</v>
      </c>
      <c r="E995" s="23" t="str">
        <f ca="1">IFERROR(__xludf.DUMMYFUNCTION("""COMPUTED_VALUE"""),"قسم التربية والتعليم العالي")</f>
        <v>قسم التربية والتعليم العالي</v>
      </c>
      <c r="F995" s="23" t="str">
        <f ca="1">IFERROR(__xludf.DUMMYFUNCTION("""COMPUTED_VALUE"""),"F-  ابتدائية جود العميد للبنات (الرابعة)")</f>
        <v>F-  ابتدائية جود العميد للبنات (الرابعة)</v>
      </c>
      <c r="G995" s="23" t="str">
        <f ca="1">IFERROR(__xludf.DUMMYFUNCTION("""COMPUTED_VALUE"""),"الطابق الارضي")</f>
        <v>الطابق الارضي</v>
      </c>
      <c r="H995" s="23" t="str">
        <f ca="1">IFERROR(__xludf.DUMMYFUNCTION("""COMPUTED_VALUE"""),"صيانة خلاط ")</f>
        <v xml:space="preserve">صيانة خلاط </v>
      </c>
      <c r="I995" s="23"/>
      <c r="J995" s="23" t="s">
        <v>14</v>
      </c>
      <c r="K995" s="23" t="s">
        <v>13</v>
      </c>
      <c r="L995" s="32">
        <v>46158.541469502314</v>
      </c>
      <c r="M995" s="23"/>
    </row>
    <row r="996" spans="1:13" ht="75" customHeight="1" thickTop="1" thickBot="1">
      <c r="A996" s="23">
        <v>994</v>
      </c>
      <c r="B996" s="32">
        <f ca="1">IFERROR(__xludf.DUMMYFUNCTION("""COMPUTED_VALUE"""),46158.544956655)</f>
        <v>46158.544956655001</v>
      </c>
      <c r="C996" s="33" t="str">
        <f ca="1">IFERROR(__xludf.DUMMYFUNCTION("""COMPUTED_VALUE"""),"المعملجي")</f>
        <v>المعملجي</v>
      </c>
      <c r="D996" s="33" t="str">
        <f ca="1">IFERROR(__xludf.DUMMYFUNCTION("""COMPUTED_VALUE"""),"سجاد تربية")</f>
        <v>سجاد تربية</v>
      </c>
      <c r="E996" s="23" t="str">
        <f ca="1">IFERROR(__xludf.DUMMYFUNCTION("""COMPUTED_VALUE"""),"قسم التربية والتعليم العالي")</f>
        <v>قسم التربية والتعليم العالي</v>
      </c>
      <c r="F996" s="23" t="str">
        <f ca="1">IFERROR(__xludf.DUMMYFUNCTION("""COMPUTED_VALUE"""),"H- ابتدائية القمر للبنات (الخامسة)")</f>
        <v>H- ابتدائية القمر للبنات (الخامسة)</v>
      </c>
      <c r="G996" s="23" t="str">
        <f ca="1">IFERROR(__xludf.DUMMYFUNCTION("""COMPUTED_VALUE"""),"السطح")</f>
        <v>السطح</v>
      </c>
      <c r="H996" s="23" t="str">
        <f ca="1">IFERROR(__xludf.DUMMYFUNCTION("""COMPUTED_VALUE"""),"لا يوجد ماء ")</f>
        <v xml:space="preserve">لا يوجد ماء </v>
      </c>
      <c r="I996" s="23"/>
      <c r="J996" s="23" t="s">
        <v>14</v>
      </c>
      <c r="K996" s="23" t="s">
        <v>13</v>
      </c>
      <c r="L996" s="32">
        <v>46158.620336099542</v>
      </c>
      <c r="M996" s="23"/>
    </row>
    <row r="997" spans="1:13" ht="75" customHeight="1" thickTop="1" thickBot="1">
      <c r="A997" s="25">
        <v>995</v>
      </c>
      <c r="B997" s="32">
        <f ca="1">IFERROR(__xludf.DUMMYFUNCTION("""COMPUTED_VALUE"""),46160.3613040625)</f>
        <v>46160.361304062499</v>
      </c>
      <c r="C997" s="33" t="str">
        <f ca="1">IFERROR(__xludf.DUMMYFUNCTION("""COMPUTED_VALUE"""),"المعملجي")</f>
        <v>المعملجي</v>
      </c>
      <c r="D997" s="33" t="str">
        <f ca="1">IFERROR(__xludf.DUMMYFUNCTION("""COMPUTED_VALUE"""),"سجاد تربية")</f>
        <v>سجاد تربية</v>
      </c>
      <c r="E997" s="23" t="str">
        <f ca="1">IFERROR(__xludf.DUMMYFUNCTION("""COMPUTED_VALUE"""),"قسم التربية والتعليم العالي")</f>
        <v>قسم التربية والتعليم العالي</v>
      </c>
      <c r="F997" s="23" t="str">
        <f ca="1">IFERROR(__xludf.DUMMYFUNCTION("""COMPUTED_VALUE"""),"B- روضة القمر")</f>
        <v>B- روضة القمر</v>
      </c>
      <c r="G997" s="23" t="str">
        <f ca="1">IFERROR(__xludf.DUMMYFUNCTION("""COMPUTED_VALUE"""),"الطابق الثاني")</f>
        <v>الطابق الثاني</v>
      </c>
      <c r="H997" s="23" t="str">
        <f ca="1">IFERROR(__xludf.DUMMYFUNCTION("""COMPUTED_VALUE"""),"لا يوجد ماء ")</f>
        <v xml:space="preserve">لا يوجد ماء </v>
      </c>
      <c r="I997" s="23"/>
      <c r="J997" s="23" t="s">
        <v>14</v>
      </c>
      <c r="K997" s="23" t="s">
        <v>13</v>
      </c>
      <c r="L997" s="32">
        <v>46160.394726875005</v>
      </c>
      <c r="M997" s="23"/>
    </row>
    <row r="998" spans="1:13" ht="75" customHeight="1" thickTop="1" thickBot="1">
      <c r="A998" s="23">
        <v>996</v>
      </c>
      <c r="B998" s="32">
        <f ca="1">IFERROR(__xludf.DUMMYFUNCTION("""COMPUTED_VALUE"""),46160.3617404861)</f>
        <v>46160.3617404861</v>
      </c>
      <c r="C998" s="33" t="str">
        <f ca="1">IFERROR(__xludf.DUMMYFUNCTION("""COMPUTED_VALUE"""),"المعملجي")</f>
        <v>المعملجي</v>
      </c>
      <c r="D998" s="33" t="str">
        <f ca="1">IFERROR(__xludf.DUMMYFUNCTION("""COMPUTED_VALUE"""),"سجاد تربية")</f>
        <v>سجاد تربية</v>
      </c>
      <c r="E998" s="23" t="str">
        <f ca="1">IFERROR(__xludf.DUMMYFUNCTION("""COMPUTED_VALUE"""),"قسم التربية والتعليم العالي")</f>
        <v>قسم التربية والتعليم العالي</v>
      </c>
      <c r="F998" s="23" t="str">
        <f ca="1">IFERROR(__xludf.DUMMYFUNCTION("""COMPUTED_VALUE"""),"الصحيات مقابل المدرسة الاولى ")</f>
        <v xml:space="preserve">الصحيات مقابل المدرسة الاولى </v>
      </c>
      <c r="G998" s="23" t="str">
        <f ca="1">IFERROR(__xludf.DUMMYFUNCTION("""COMPUTED_VALUE"""),"الطابق الارضي")</f>
        <v>الطابق الارضي</v>
      </c>
      <c r="H998" s="23" t="str">
        <f ca="1">IFERROR(__xludf.DUMMYFUNCTION("""COMPUTED_VALUE"""),"لا يوجد ماء ")</f>
        <v xml:space="preserve">لا يوجد ماء </v>
      </c>
      <c r="I998" s="23"/>
      <c r="J998" s="23" t="s">
        <v>14</v>
      </c>
      <c r="K998" s="23" t="s">
        <v>13</v>
      </c>
      <c r="L998" s="32">
        <v>46160.394753159722</v>
      </c>
      <c r="M998" s="23"/>
    </row>
    <row r="999" spans="1:13" ht="75" customHeight="1" thickTop="1" thickBot="1">
      <c r="A999" s="25">
        <v>997</v>
      </c>
      <c r="B999" s="32">
        <f ca="1">IFERROR(__xludf.DUMMYFUNCTION("""COMPUTED_VALUE"""),46161.3716656018)</f>
        <v>46161.3716656018</v>
      </c>
      <c r="C999" s="33" t="str">
        <f ca="1">IFERROR(__xludf.DUMMYFUNCTION("""COMPUTED_VALUE"""),"المعملجي")</f>
        <v>المعملجي</v>
      </c>
      <c r="D999" s="33" t="str">
        <f ca="1">IFERROR(__xludf.DUMMYFUNCTION("""COMPUTED_VALUE"""),"وحدة الميكانيك")</f>
        <v>وحدة الميكانيك</v>
      </c>
      <c r="E999" s="23" t="str">
        <f ca="1">IFERROR(__xludf.DUMMYFUNCTION("""COMPUTED_VALUE"""),"قسم المشاريع الهندسية")</f>
        <v>قسم المشاريع الهندسية</v>
      </c>
      <c r="F999" s="23" t="str">
        <f ca="1">IFERROR(__xludf.DUMMYFUNCTION("""COMPUTED_VALUE"""),"G- روضة الجود")</f>
        <v>G- روضة الجود</v>
      </c>
      <c r="G999" s="23" t="str">
        <f ca="1">IFERROR(__xludf.DUMMYFUNCTION("""COMPUTED_VALUE"""),"الطابق الثاني")</f>
        <v>الطابق الثاني</v>
      </c>
      <c r="H999" s="23" t="str">
        <f ca="1">IFERROR(__xludf.DUMMYFUNCTION("""COMPUTED_VALUE"""),"صيانة صندوق فلاش ")</f>
        <v xml:space="preserve">صيانة صندوق فلاش </v>
      </c>
      <c r="I999" s="23"/>
      <c r="J999" s="23" t="s">
        <v>14</v>
      </c>
      <c r="K999" s="23" t="s">
        <v>13</v>
      </c>
      <c r="L999" s="32"/>
      <c r="M999" s="23"/>
    </row>
    <row r="1000" spans="1:13" ht="75" customHeight="1" thickTop="1" thickBot="1">
      <c r="A1000" s="23">
        <v>998</v>
      </c>
      <c r="B1000" s="32">
        <f ca="1">IFERROR(__xludf.DUMMYFUNCTION("""COMPUTED_VALUE"""),46161.3720653009)</f>
        <v>46161.3720653009</v>
      </c>
      <c r="C1000" s="33" t="str">
        <f ca="1">IFERROR(__xludf.DUMMYFUNCTION("""COMPUTED_VALUE"""),"المعملجي")</f>
        <v>المعملجي</v>
      </c>
      <c r="D1000" s="33" t="str">
        <f ca="1">IFERROR(__xludf.DUMMYFUNCTION("""COMPUTED_VALUE"""),"وحدة الميكانيك")</f>
        <v>وحدة الميكانيك</v>
      </c>
      <c r="E1000" s="23" t="str">
        <f ca="1">IFERROR(__xludf.DUMMYFUNCTION("""COMPUTED_VALUE"""),"قسم المشاريع الهندسية")</f>
        <v>قسم المشاريع الهندسية</v>
      </c>
      <c r="F1000" s="23" t="str">
        <f ca="1">IFERROR(__xludf.DUMMYFUNCTION("""COMPUTED_VALUE"""),"G- روضة الجود")</f>
        <v>G- روضة الجود</v>
      </c>
      <c r="G1000" s="23" t="str">
        <f ca="1">IFERROR(__xludf.DUMMYFUNCTION("""COMPUTED_VALUE"""),"الطابق الثاني")</f>
        <v>الطابق الثاني</v>
      </c>
      <c r="H1000" s="23" t="str">
        <f ca="1">IFERROR(__xludf.DUMMYFUNCTION("""COMPUTED_VALUE"""),"فتح انسداد في الصحيات ")</f>
        <v xml:space="preserve">فتح انسداد في الصحيات </v>
      </c>
      <c r="I1000" s="23"/>
      <c r="J1000" s="23" t="s">
        <v>14</v>
      </c>
      <c r="K1000" s="23" t="s">
        <v>13</v>
      </c>
      <c r="L1000" s="32"/>
      <c r="M1000" s="23"/>
    </row>
    <row r="1001" spans="1:13" ht="75" customHeight="1" thickTop="1" thickBot="1">
      <c r="A1001" s="25">
        <v>999</v>
      </c>
      <c r="B1001" s="32">
        <f ca="1">IFERROR(__xludf.DUMMYFUNCTION("""COMPUTED_VALUE"""),46161.3725761458)</f>
        <v>46161.372576145797</v>
      </c>
      <c r="C1001" s="33" t="str">
        <f ca="1">IFERROR(__xludf.DUMMYFUNCTION("""COMPUTED_VALUE"""),"المعملجي")</f>
        <v>المعملجي</v>
      </c>
      <c r="D1001" s="33" t="str">
        <f ca="1">IFERROR(__xludf.DUMMYFUNCTION("""COMPUTED_VALUE"""),"وحدة الميكانيك")</f>
        <v>وحدة الميكانيك</v>
      </c>
      <c r="E1001" s="23" t="str">
        <f ca="1">IFERROR(__xludf.DUMMYFUNCTION("""COMPUTED_VALUE"""),"قسم المشاريع الهندسية")</f>
        <v>قسم المشاريع الهندسية</v>
      </c>
      <c r="F1001" s="23" t="str">
        <f ca="1">IFERROR(__xludf.DUMMYFUNCTION("""COMPUTED_VALUE"""),"G- روضة الجود")</f>
        <v>G- روضة الجود</v>
      </c>
      <c r="G1001" s="23" t="str">
        <f ca="1">IFERROR(__xludf.DUMMYFUNCTION("""COMPUTED_VALUE"""),"الطابق الاول")</f>
        <v>الطابق الاول</v>
      </c>
      <c r="H1001" s="23" t="str">
        <f ca="1">IFERROR(__xludf.DUMMYFUNCTION("""COMPUTED_VALUE"""),"تبديل قاعدة شطاف ")</f>
        <v xml:space="preserve">تبديل قاعدة شطاف </v>
      </c>
      <c r="I1001" s="23"/>
      <c r="J1001" s="23" t="s">
        <v>14</v>
      </c>
      <c r="K1001" s="23" t="s">
        <v>13</v>
      </c>
      <c r="L1001" s="32"/>
      <c r="M1001" s="23"/>
    </row>
    <row r="1002" spans="1:13" ht="75" customHeight="1" thickTop="1" thickBot="1">
      <c r="A1002" s="23">
        <v>1000</v>
      </c>
      <c r="B1002" s="34">
        <f ca="1">IFERROR(__xludf.DUMMYFUNCTION("""COMPUTED_VALUE"""),46161.3733255324)</f>
        <v>46161.373325532397</v>
      </c>
      <c r="C1002" s="35" t="str">
        <f ca="1">IFERROR(__xludf.DUMMYFUNCTION("""COMPUTED_VALUE"""),"المعملجي")</f>
        <v>المعملجي</v>
      </c>
      <c r="D1002" s="35" t="str">
        <f ca="1">IFERROR(__xludf.DUMMYFUNCTION("""COMPUTED_VALUE"""),"وحدة الميكانيك")</f>
        <v>وحدة الميكانيك</v>
      </c>
      <c r="E1002" s="29" t="str">
        <f ca="1">IFERROR(__xludf.DUMMYFUNCTION("""COMPUTED_VALUE"""),"قسم المشاريع الهندسية")</f>
        <v>قسم المشاريع الهندسية</v>
      </c>
      <c r="F1002" s="29" t="str">
        <f ca="1">IFERROR(__xludf.DUMMYFUNCTION("""COMPUTED_VALUE"""),"H- ابتدائية القمر للبنات (الخامسة)")</f>
        <v>H- ابتدائية القمر للبنات (الخامسة)</v>
      </c>
      <c r="G1002" s="29" t="str">
        <f ca="1">IFERROR(__xludf.DUMMYFUNCTION("""COMPUTED_VALUE"""),"الطابق الارضي, ZONE B")</f>
        <v>الطابق الارضي, ZONE B</v>
      </c>
      <c r="H1002" s="29" t="str">
        <f ca="1">IFERROR(__xludf.DUMMYFUNCTION("""COMPUTED_VALUE"""),"فتح انسداد خرطوم مغسلة ")</f>
        <v xml:space="preserve">فتح انسداد خرطوم مغسلة </v>
      </c>
      <c r="I1002" s="29"/>
      <c r="J1002" s="29" t="s">
        <v>14</v>
      </c>
      <c r="K1002" s="29" t="s">
        <v>13</v>
      </c>
      <c r="L1002" s="34"/>
      <c r="M1002" s="29"/>
    </row>
    <row r="1003" spans="1:13" ht="75" customHeight="1" thickTop="1" thickBot="1">
      <c r="A1003" s="25">
        <v>1001</v>
      </c>
      <c r="B1003" s="34">
        <f ca="1">IFERROR(__xludf.DUMMYFUNCTION("""COMPUTED_VALUE"""),46161.3736788773)</f>
        <v>46161.373678877302</v>
      </c>
      <c r="C1003" s="35" t="str">
        <f ca="1">IFERROR(__xludf.DUMMYFUNCTION("""COMPUTED_VALUE"""),"المعملجي")</f>
        <v>المعملجي</v>
      </c>
      <c r="D1003" s="35" t="str">
        <f ca="1">IFERROR(__xludf.DUMMYFUNCTION("""COMPUTED_VALUE"""),"وحدة الميكانيك")</f>
        <v>وحدة الميكانيك</v>
      </c>
      <c r="E1003" s="29" t="str">
        <f ca="1">IFERROR(__xludf.DUMMYFUNCTION("""COMPUTED_VALUE"""),"قسم المشاريع الهندسية")</f>
        <v>قسم المشاريع الهندسية</v>
      </c>
      <c r="F1003" s="29" t="str">
        <f ca="1">IFERROR(__xludf.DUMMYFUNCTION("""COMPUTED_VALUE"""),"B- روضة القمر")</f>
        <v>B- روضة القمر</v>
      </c>
      <c r="G1003" s="29" t="str">
        <f ca="1">IFERROR(__xludf.DUMMYFUNCTION("""COMPUTED_VALUE"""),"الطابق الارضي")</f>
        <v>الطابق الارضي</v>
      </c>
      <c r="H1003" s="29" t="str">
        <f ca="1">IFERROR(__xludf.DUMMYFUNCTION("""COMPUTED_VALUE"""),"تبديل صندوق فلاش ")</f>
        <v xml:space="preserve">تبديل صندوق فلاش </v>
      </c>
      <c r="I1003" s="29"/>
      <c r="J1003" s="29" t="s">
        <v>14</v>
      </c>
      <c r="K1003" s="29" t="s">
        <v>13</v>
      </c>
      <c r="L1003" s="34"/>
      <c r="M1003" s="29"/>
    </row>
    <row r="1004" spans="1:13" ht="75" customHeight="1" thickTop="1" thickBot="1">
      <c r="A1004" s="23">
        <v>1002</v>
      </c>
      <c r="B1004" s="34">
        <f ca="1">IFERROR(__xludf.DUMMYFUNCTION("""COMPUTED_VALUE"""),46161.3740155324)</f>
        <v>46161.374015532398</v>
      </c>
      <c r="C1004" s="35" t="str">
        <f ca="1">IFERROR(__xludf.DUMMYFUNCTION("""COMPUTED_VALUE"""),"المعملجي")</f>
        <v>المعملجي</v>
      </c>
      <c r="D1004" s="35" t="str">
        <f ca="1">IFERROR(__xludf.DUMMYFUNCTION("""COMPUTED_VALUE"""),"وحدة الميكانيك")</f>
        <v>وحدة الميكانيك</v>
      </c>
      <c r="E1004" s="29" t="str">
        <f ca="1">IFERROR(__xludf.DUMMYFUNCTION("""COMPUTED_VALUE"""),"قسم المشاريع الهندسية")</f>
        <v>قسم المشاريع الهندسية</v>
      </c>
      <c r="F1004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04" s="29" t="str">
        <f ca="1">IFERROR(__xludf.DUMMYFUNCTION("""COMPUTED_VALUE"""),"السطح")</f>
        <v>السطح</v>
      </c>
      <c r="H1004" s="29" t="str">
        <f ca="1">IFERROR(__xludf.DUMMYFUNCTION("""COMPUTED_VALUE"""),"لا يوجد ماء Ro")</f>
        <v>لا يوجد ماء Ro</v>
      </c>
      <c r="I1004" s="29"/>
      <c r="J1004" s="29" t="s">
        <v>14</v>
      </c>
      <c r="K1004" s="29" t="s">
        <v>13</v>
      </c>
      <c r="L1004" s="34"/>
      <c r="M1004" s="29"/>
    </row>
    <row r="1005" spans="1:13" ht="75" customHeight="1" thickTop="1" thickBot="1">
      <c r="A1005" s="25">
        <v>1003</v>
      </c>
      <c r="B1005" s="34">
        <f ca="1">IFERROR(__xludf.DUMMYFUNCTION("""COMPUTED_VALUE"""),46161.374562199)</f>
        <v>46161.374562199002</v>
      </c>
      <c r="C1005" s="35" t="str">
        <f ca="1">IFERROR(__xludf.DUMMYFUNCTION("""COMPUTED_VALUE"""),"المعملجي")</f>
        <v>المعملجي</v>
      </c>
      <c r="D1005" s="35" t="str">
        <f ca="1">IFERROR(__xludf.DUMMYFUNCTION("""COMPUTED_VALUE"""),"وحدة الميكانيك")</f>
        <v>وحدة الميكانيك</v>
      </c>
      <c r="E1005" s="29" t="str">
        <f ca="1">IFERROR(__xludf.DUMMYFUNCTION("""COMPUTED_VALUE"""),"قسم المشاريع الهندسية")</f>
        <v>قسم المشاريع الهندسية</v>
      </c>
      <c r="F1005" s="29" t="str">
        <f ca="1">IFERROR(__xludf.DUMMYFUNCTION("""COMPUTED_VALUE"""),"B- روضة القمر")</f>
        <v>B- روضة القمر</v>
      </c>
      <c r="G1005" s="29" t="str">
        <f ca="1">IFERROR(__xludf.DUMMYFUNCTION("""COMPUTED_VALUE"""),"الطابق الاول")</f>
        <v>الطابق الاول</v>
      </c>
      <c r="H1005" s="29" t="str">
        <f ca="1">IFERROR(__xludf.DUMMYFUNCTION("""COMPUTED_VALUE"""),"صيانة صندوق فلاش ")</f>
        <v xml:space="preserve">صيانة صندوق فلاش </v>
      </c>
      <c r="I1005" s="29"/>
      <c r="J1005" s="29" t="s">
        <v>14</v>
      </c>
      <c r="K1005" s="29" t="s">
        <v>13</v>
      </c>
      <c r="L1005" s="34"/>
      <c r="M1005" s="29"/>
    </row>
    <row r="1006" spans="1:13" ht="75" customHeight="1" thickTop="1" thickBot="1">
      <c r="A1006" s="23">
        <v>1004</v>
      </c>
      <c r="B1006" s="34">
        <f ca="1">IFERROR(__xludf.DUMMYFUNCTION("""COMPUTED_VALUE"""),46161.3748972685)</f>
        <v>46161.374897268499</v>
      </c>
      <c r="C1006" s="35" t="str">
        <f ca="1">IFERROR(__xludf.DUMMYFUNCTION("""COMPUTED_VALUE"""),"المعملجي")</f>
        <v>المعملجي</v>
      </c>
      <c r="D1006" s="35" t="str">
        <f ca="1">IFERROR(__xludf.DUMMYFUNCTION("""COMPUTED_VALUE"""),"وحدة الميكانيك")</f>
        <v>وحدة الميكانيك</v>
      </c>
      <c r="E1006" s="29" t="str">
        <f ca="1">IFERROR(__xludf.DUMMYFUNCTION("""COMPUTED_VALUE"""),"قسم المشاريع الهندسية")</f>
        <v>قسم المشاريع الهندسية</v>
      </c>
      <c r="F1006" s="29" t="str">
        <f ca="1">IFERROR(__xludf.DUMMYFUNCTION("""COMPUTED_VALUE"""),"E- ابتدائية العميد للبنات (الثالثة)")</f>
        <v>E- ابتدائية العميد للبنات (الثالثة)</v>
      </c>
      <c r="G1006" s="29" t="str">
        <f ca="1">IFERROR(__xludf.DUMMYFUNCTION("""COMPUTED_VALUE"""),"السطح")</f>
        <v>السطح</v>
      </c>
      <c r="H1006" s="29" t="str">
        <f ca="1">IFERROR(__xludf.DUMMYFUNCTION("""COMPUTED_VALUE"""),"Ro لا يوجد ماء ")</f>
        <v xml:space="preserve">Ro لا يوجد ماء </v>
      </c>
      <c r="I1006" s="29"/>
      <c r="J1006" s="29" t="s">
        <v>14</v>
      </c>
      <c r="K1006" s="29" t="s">
        <v>13</v>
      </c>
      <c r="L1006" s="34">
        <v>46161.37517777778</v>
      </c>
      <c r="M1006" s="29"/>
    </row>
    <row r="1007" spans="1:13" ht="75" customHeight="1" thickTop="1" thickBot="1">
      <c r="A1007" s="25">
        <v>1005</v>
      </c>
      <c r="B1007" s="34">
        <f ca="1">IFERROR(__xludf.DUMMYFUNCTION("""COMPUTED_VALUE"""),46161.4756985879)</f>
        <v>46161.475698587899</v>
      </c>
      <c r="C1007" s="35" t="str">
        <f ca="1">IFERROR(__xludf.DUMMYFUNCTION("""COMPUTED_VALUE"""),"المعملجي")</f>
        <v>المعملجي</v>
      </c>
      <c r="D1007" s="35" t="str">
        <f ca="1">IFERROR(__xludf.DUMMYFUNCTION("""COMPUTED_VALUE"""),"سجاد تربية")</f>
        <v>سجاد تربية</v>
      </c>
      <c r="E1007" s="29" t="str">
        <f ca="1">IFERROR(__xludf.DUMMYFUNCTION("""COMPUTED_VALUE"""),"قسم التربية والتعليم العالي")</f>
        <v>قسم التربية والتعليم العالي</v>
      </c>
      <c r="F1007" s="29" t="str">
        <f ca="1">IFERROR(__xludf.DUMMYFUNCTION("""COMPUTED_VALUE"""),"H- ابتدائية القمر للبنات (الخامسة)")</f>
        <v>H- ابتدائية القمر للبنات (الخامسة)</v>
      </c>
      <c r="G1007" s="29" t="str">
        <f ca="1">IFERROR(__xludf.DUMMYFUNCTION("""COMPUTED_VALUE"""),"الطابق الارضي")</f>
        <v>الطابق الارضي</v>
      </c>
      <c r="H1007" s="29" t="str">
        <f ca="1">IFERROR(__xludf.DUMMYFUNCTION("""COMPUTED_VALUE"""),"انسداد في المغسلة ")</f>
        <v xml:space="preserve">انسداد في المغسلة </v>
      </c>
      <c r="I1007" s="29"/>
      <c r="J1007" s="29" t="s">
        <v>14</v>
      </c>
      <c r="K1007" s="29" t="s">
        <v>13</v>
      </c>
      <c r="L1007" s="34">
        <v>46161.490570706017</v>
      </c>
      <c r="M1007" s="29"/>
    </row>
    <row r="1008" spans="1:13" ht="75" customHeight="1" thickTop="1" thickBot="1">
      <c r="A1008" s="23">
        <v>1006</v>
      </c>
      <c r="B1008" s="34">
        <f ca="1">IFERROR(__xludf.DUMMYFUNCTION("""COMPUTED_VALUE"""),46167.4050244791)</f>
        <v>46167.4050244791</v>
      </c>
      <c r="C1008" s="35" t="str">
        <f ca="1">IFERROR(__xludf.DUMMYFUNCTION("""COMPUTED_VALUE"""),"المعملجي")</f>
        <v>المعملجي</v>
      </c>
      <c r="D1008" s="35" t="str">
        <f ca="1">IFERROR(__xludf.DUMMYFUNCTION("""COMPUTED_VALUE"""),"ابراهيم الخطابي")</f>
        <v>ابراهيم الخطابي</v>
      </c>
      <c r="E1008" s="29" t="str">
        <f ca="1">IFERROR(__xludf.DUMMYFUNCTION("""COMPUTED_VALUE"""),"مجموعة العميد التربوية, ")</f>
        <v xml:space="preserve">مجموعة العميد التربوية, </v>
      </c>
      <c r="F1008" s="29" t="str">
        <f ca="1">IFERROR(__xludf.DUMMYFUNCTION("""COMPUTED_VALUE"""),"H- ابتدائية القمر للبنات (الخامسة)")</f>
        <v>H- ابتدائية القمر للبنات (الخامسة)</v>
      </c>
      <c r="G1008" s="29" t="str">
        <f ca="1">IFERROR(__xludf.DUMMYFUNCTION("""COMPUTED_VALUE"""),"الطابق الارضي, خارجي")</f>
        <v>الطابق الارضي, خارجي</v>
      </c>
      <c r="H1008" s="29" t="str">
        <f ca="1">IFERROR(__xludf.DUMMYFUNCTION("""COMPUTED_VALUE"""),"صيانة خلاط المغسلة")</f>
        <v>صيانة خلاط المغسلة</v>
      </c>
      <c r="I1008" s="29"/>
      <c r="J1008" s="29" t="s">
        <v>14</v>
      </c>
      <c r="K1008" s="29" t="s">
        <v>13</v>
      </c>
      <c r="L1008" s="34">
        <v>46167.562063576392</v>
      </c>
      <c r="M1008" s="29"/>
    </row>
    <row r="1009" spans="1:13" ht="75" customHeight="1" thickTop="1" thickBot="1">
      <c r="A1009" s="25">
        <v>1007</v>
      </c>
      <c r="B1009" s="34">
        <f ca="1">IFERROR(__xludf.DUMMYFUNCTION("""COMPUTED_VALUE"""),46167.4056810416)</f>
        <v>46167.4056810416</v>
      </c>
      <c r="C1009" s="35" t="str">
        <f ca="1">IFERROR(__xludf.DUMMYFUNCTION("""COMPUTED_VALUE"""),"المعملجي")</f>
        <v>المعملجي</v>
      </c>
      <c r="D1009" s="35" t="str">
        <f ca="1">IFERROR(__xludf.DUMMYFUNCTION("""COMPUTED_VALUE"""),"ابراهيم الخطابي")</f>
        <v>ابراهيم الخطابي</v>
      </c>
      <c r="E1009" s="29" t="str">
        <f ca="1">IFERROR(__xludf.DUMMYFUNCTION("""COMPUTED_VALUE"""),"مجموعة العميد التربوية")</f>
        <v>مجموعة العميد التربوية</v>
      </c>
      <c r="F1009" s="29" t="str">
        <f ca="1">IFERROR(__xludf.DUMMYFUNCTION("""COMPUTED_VALUE"""),"H- ابتدائية القمر للبنات (الخامسة)")</f>
        <v>H- ابتدائية القمر للبنات (الخامسة)</v>
      </c>
      <c r="G1009" s="29" t="str">
        <f ca="1">IFERROR(__xludf.DUMMYFUNCTION("""COMPUTED_VALUE"""),"الطابق الارضي, الطابق الثاني")</f>
        <v>الطابق الارضي, الطابق الثاني</v>
      </c>
      <c r="H1009" s="29" t="str">
        <f ca="1">IFERROR(__xludf.DUMMYFUNCTION("""COMPUTED_VALUE"""),"صيانة برادات الماء وجود تسريب ")</f>
        <v xml:space="preserve">صيانة برادات الماء وجود تسريب </v>
      </c>
      <c r="I1009" s="29"/>
      <c r="J1009" s="29" t="s">
        <v>14</v>
      </c>
      <c r="K1009" s="29" t="s">
        <v>13</v>
      </c>
      <c r="L1009" s="34">
        <v>46174.498715231486</v>
      </c>
      <c r="M1009" s="29"/>
    </row>
    <row r="1010" spans="1:13" ht="75" customHeight="1" thickTop="1" thickBot="1">
      <c r="A1010" s="23">
        <v>1008</v>
      </c>
      <c r="B1010" s="34">
        <f ca="1">IFERROR(__xludf.DUMMYFUNCTION("""COMPUTED_VALUE"""),46172.3224131597)</f>
        <v>46172.322413159702</v>
      </c>
      <c r="C1010" s="35" t="str">
        <f ca="1">IFERROR(__xludf.DUMMYFUNCTION("""COMPUTED_VALUE"""),"المعملجي")</f>
        <v>المعملجي</v>
      </c>
      <c r="D1010" s="35" t="str">
        <f ca="1">IFERROR(__xludf.DUMMYFUNCTION("""COMPUTED_VALUE"""),"وحدة الميكانيك")</f>
        <v>وحدة الميكانيك</v>
      </c>
      <c r="E1010" s="29" t="str">
        <f ca="1">IFERROR(__xludf.DUMMYFUNCTION("""COMPUTED_VALUE"""),"قسم المشاريع الهندسية")</f>
        <v>قسم المشاريع الهندسية</v>
      </c>
      <c r="F1010" s="29" t="str">
        <f ca="1">IFERROR(__xludf.DUMMYFUNCTION("""COMPUTED_VALUE"""),"الاستعلامات الرئيسية")</f>
        <v>الاستعلامات الرئيسية</v>
      </c>
      <c r="G1010" s="29" t="str">
        <f ca="1">IFERROR(__xludf.DUMMYFUNCTION("""COMPUTED_VALUE"""),"الطابق الارضي")</f>
        <v>الطابق الارضي</v>
      </c>
      <c r="H1010" s="29" t="str">
        <f ca="1">IFERROR(__xludf.DUMMYFUNCTION("""COMPUTED_VALUE"""),"تبديل خرطوم مغسلة ")</f>
        <v xml:space="preserve">تبديل خرطوم مغسلة </v>
      </c>
      <c r="I1010" s="29"/>
      <c r="J1010" s="29" t="s">
        <v>14</v>
      </c>
      <c r="K1010" s="29" t="s">
        <v>13</v>
      </c>
      <c r="L1010" s="34"/>
      <c r="M1010" s="29"/>
    </row>
    <row r="1011" spans="1:13" ht="75" customHeight="1" thickTop="1" thickBot="1">
      <c r="A1011" s="25">
        <v>1009</v>
      </c>
      <c r="B1011" s="34">
        <f ca="1">IFERROR(__xludf.DUMMYFUNCTION("""COMPUTED_VALUE"""),46172.3245963657)</f>
        <v>46172.324596365703</v>
      </c>
      <c r="C1011" s="35" t="str">
        <f ca="1">IFERROR(__xludf.DUMMYFUNCTION("""COMPUTED_VALUE"""),"المعملجي")</f>
        <v>المعملجي</v>
      </c>
      <c r="D1011" s="35" t="str">
        <f ca="1">IFERROR(__xludf.DUMMYFUNCTION("""COMPUTED_VALUE"""),"وحدة الميكانيك")</f>
        <v>وحدة الميكانيك</v>
      </c>
      <c r="E1011" s="29" t="str">
        <f ca="1">IFERROR(__xludf.DUMMYFUNCTION("""COMPUTED_VALUE"""),"قسم المشاريع الهندسية")</f>
        <v>قسم المشاريع الهندسية</v>
      </c>
      <c r="F1011" s="29" t="str">
        <f ca="1">IFERROR(__xludf.DUMMYFUNCTION("""COMPUTED_VALUE"""),"H- ابتدائية القمر للبنات (الخامسة)")</f>
        <v>H- ابتدائية القمر للبنات (الخامسة)</v>
      </c>
      <c r="G1011" s="29" t="str">
        <f ca="1">IFERROR(__xludf.DUMMYFUNCTION("""COMPUTED_VALUE"""),"السطح")</f>
        <v>السطح</v>
      </c>
      <c r="H1011" s="29" t="str">
        <f ca="1">IFERROR(__xludf.DUMMYFUNCTION("""COMPUTED_VALUE"""),"غسل غرفة محطة الماء ")</f>
        <v xml:space="preserve">غسل غرفة محطة الماء </v>
      </c>
      <c r="I1011" s="29"/>
      <c r="J1011" s="29" t="s">
        <v>14</v>
      </c>
      <c r="K1011" s="29" t="s">
        <v>13</v>
      </c>
      <c r="L1011" s="34"/>
      <c r="M1011" s="29"/>
    </row>
    <row r="1012" spans="1:13" ht="75" customHeight="1" thickTop="1" thickBot="1">
      <c r="A1012" s="23">
        <v>1010</v>
      </c>
      <c r="B1012" s="34">
        <f ca="1">IFERROR(__xludf.DUMMYFUNCTION("""COMPUTED_VALUE"""),46172.383134155)</f>
        <v>46172.383134155003</v>
      </c>
      <c r="C1012" s="35" t="str">
        <f ca="1">IFERROR(__xludf.DUMMYFUNCTION("""COMPUTED_VALUE"""),"المعملجي")</f>
        <v>المعملجي</v>
      </c>
      <c r="D1012" s="35" t="str">
        <f ca="1">IFERROR(__xludf.DUMMYFUNCTION("""COMPUTED_VALUE"""),"ابو سجاد ")</f>
        <v xml:space="preserve">ابو سجاد </v>
      </c>
      <c r="E1012" s="29" t="str">
        <f ca="1">IFERROR(__xludf.DUMMYFUNCTION("""COMPUTED_VALUE"""),"مجموعة العميد التربوية")</f>
        <v>مجموعة العميد التربوية</v>
      </c>
      <c r="F1012" s="29" t="str">
        <f ca="1">IFERROR(__xludf.DUMMYFUNCTION("""COMPUTED_VALUE"""),"الصحيات مقابل البناية الاولى")</f>
        <v>الصحيات مقابل البناية الاولى</v>
      </c>
      <c r="G1012" s="29" t="str">
        <f ca="1">IFERROR(__xludf.DUMMYFUNCTION("""COMPUTED_VALUE"""),"الطابق الارضي")</f>
        <v>الطابق الارضي</v>
      </c>
      <c r="H1012" s="29" t="str">
        <f ca="1">IFERROR(__xludf.DUMMYFUNCTION("""COMPUTED_VALUE"""),"تبديل صوندة شطاف ")</f>
        <v xml:space="preserve">تبديل صوندة شطاف </v>
      </c>
      <c r="I1012" s="29"/>
      <c r="J1012" s="29" t="s">
        <v>14</v>
      </c>
      <c r="K1012" s="29" t="s">
        <v>13</v>
      </c>
      <c r="L1012" s="34">
        <v>46172.414272245369</v>
      </c>
      <c r="M1012" s="29"/>
    </row>
    <row r="1013" spans="1:13" ht="75" customHeight="1" thickTop="1" thickBot="1">
      <c r="A1013" s="25">
        <v>1011</v>
      </c>
      <c r="B1013" s="34">
        <f ca="1">IFERROR(__xludf.DUMMYFUNCTION("""COMPUTED_VALUE"""),46172.384007199)</f>
        <v>46172.384007198998</v>
      </c>
      <c r="C1013" s="35" t="str">
        <f ca="1">IFERROR(__xludf.DUMMYFUNCTION("""COMPUTED_VALUE"""),"المعملجي")</f>
        <v>المعملجي</v>
      </c>
      <c r="D1013" s="35" t="str">
        <f ca="1">IFERROR(__xludf.DUMMYFUNCTION("""COMPUTED_VALUE"""),"ابو سجاد ")</f>
        <v xml:space="preserve">ابو سجاد </v>
      </c>
      <c r="E1013" s="29" t="str">
        <f ca="1">IFERROR(__xludf.DUMMYFUNCTION("""COMPUTED_VALUE"""),"مجموعة العميد التربوية")</f>
        <v>مجموعة العميد التربوية</v>
      </c>
      <c r="F1013" s="29" t="str">
        <f ca="1">IFERROR(__xludf.DUMMYFUNCTION("""COMPUTED_VALUE"""),"الصحيات مقابل البناية الاولى")</f>
        <v>الصحيات مقابل البناية الاولى</v>
      </c>
      <c r="G1013" s="29" t="str">
        <f ca="1">IFERROR(__xludf.DUMMYFUNCTION("""COMPUTED_VALUE"""),"الطابق الارضي")</f>
        <v>الطابق الارضي</v>
      </c>
      <c r="H1013" s="29" t="str">
        <f ca="1">IFERROR(__xludf.DUMMYFUNCTION("""COMPUTED_VALUE"""),"انسداد في مغسلة ")</f>
        <v xml:space="preserve">انسداد في مغسلة </v>
      </c>
      <c r="I1013" s="29"/>
      <c r="J1013" s="29" t="s">
        <v>14</v>
      </c>
      <c r="K1013" s="29" t="s">
        <v>13</v>
      </c>
      <c r="L1013" s="34">
        <v>46172.414310868058</v>
      </c>
      <c r="M1013" s="29"/>
    </row>
    <row r="1014" spans="1:13" ht="75" customHeight="1" thickTop="1" thickBot="1">
      <c r="A1014" s="23">
        <v>1012</v>
      </c>
      <c r="B1014" s="34">
        <f ca="1">IFERROR(__xludf.DUMMYFUNCTION("""COMPUTED_VALUE"""),46172.3864813194)</f>
        <v>46172.386481319401</v>
      </c>
      <c r="C1014" s="35" t="str">
        <f ca="1">IFERROR(__xludf.DUMMYFUNCTION("""COMPUTED_VALUE"""),"المعملجي")</f>
        <v>المعملجي</v>
      </c>
      <c r="D1014" s="35" t="str">
        <f ca="1">IFERROR(__xludf.DUMMYFUNCTION("""COMPUTED_VALUE"""),"ابراهيم الخطابي")</f>
        <v>ابراهيم الخطابي</v>
      </c>
      <c r="E1014" s="29" t="str">
        <f ca="1">IFERROR(__xludf.DUMMYFUNCTION("""COMPUTED_VALUE"""),"مجموعة العميد التربوية")</f>
        <v>مجموعة العميد التربوية</v>
      </c>
      <c r="F1014" s="29" t="str">
        <f ca="1">IFERROR(__xludf.DUMMYFUNCTION("""COMPUTED_VALUE"""),"اطار الشاشة الرئيسية ")</f>
        <v xml:space="preserve">اطار الشاشة الرئيسية </v>
      </c>
      <c r="G1014" s="29" t="str">
        <f ca="1">IFERROR(__xludf.DUMMYFUNCTION("""COMPUTED_VALUE"""),"الطابق الارضي")</f>
        <v>الطابق الارضي</v>
      </c>
      <c r="H1014" s="29" t="str">
        <f ca="1">IFERROR(__xludf.DUMMYFUNCTION("""COMPUTED_VALUE"""),"صبغ برايمر ومعجون إطار الشاشة ")</f>
        <v xml:space="preserve">صبغ برايمر ومعجون إطار الشاشة </v>
      </c>
      <c r="I1014" s="29"/>
      <c r="J1014" s="29" t="s">
        <v>14</v>
      </c>
      <c r="K1014" s="29" t="s">
        <v>13</v>
      </c>
      <c r="L1014" s="34">
        <v>46172.414331423613</v>
      </c>
      <c r="M1014" s="29"/>
    </row>
    <row r="1015" spans="1:13" ht="75" customHeight="1" thickTop="1" thickBot="1">
      <c r="A1015" s="25">
        <v>1013</v>
      </c>
      <c r="B1015" s="34">
        <f ca="1">IFERROR(__xludf.DUMMYFUNCTION("""COMPUTED_VALUE"""),46173.3785278356)</f>
        <v>46173.378527835601</v>
      </c>
      <c r="C1015" s="35" t="str">
        <f ca="1">IFERROR(__xludf.DUMMYFUNCTION("""COMPUTED_VALUE"""),"المعملجي")</f>
        <v>المعملجي</v>
      </c>
      <c r="D1015" s="35" t="str">
        <f ca="1">IFERROR(__xludf.DUMMYFUNCTION("""COMPUTED_VALUE"""),"وحدة التبريد")</f>
        <v>وحدة التبريد</v>
      </c>
      <c r="E1015" s="29" t="str">
        <f ca="1">IFERROR(__xludf.DUMMYFUNCTION("""COMPUTED_VALUE"""),"قسم المشاريع الهندسية")</f>
        <v>قسم المشاريع الهندسية</v>
      </c>
      <c r="F1015" s="29" t="str">
        <f ca="1">IFERROR(__xludf.DUMMYFUNCTION("""COMPUTED_VALUE"""),"شعبة الصيانة")</f>
        <v>شعبة الصيانة</v>
      </c>
      <c r="G1015" s="29"/>
      <c r="H1015" s="29" t="str">
        <f ca="1">IFERROR(__xludf.DUMMYFUNCTION("""COMPUTED_VALUE"""),"ادامة وتنظيف منظومة الاطفاء الرئيسية ومضخات المياه ")</f>
        <v xml:space="preserve">ادامة وتنظيف منظومة الاطفاء الرئيسية ومضخات المياه </v>
      </c>
      <c r="I1015" s="29"/>
      <c r="J1015" s="29" t="s">
        <v>14</v>
      </c>
      <c r="K1015" s="29" t="s">
        <v>13</v>
      </c>
      <c r="L1015" s="34"/>
      <c r="M1015" s="29"/>
    </row>
    <row r="1016" spans="1:13" ht="75" customHeight="1" thickTop="1" thickBot="1">
      <c r="A1016" s="23">
        <v>1014</v>
      </c>
      <c r="B1016" s="34">
        <f ca="1">IFERROR(__xludf.DUMMYFUNCTION("""COMPUTED_VALUE"""),46173.3789289699)</f>
        <v>46173.378928969898</v>
      </c>
      <c r="C1016" s="35" t="str">
        <f ca="1">IFERROR(__xludf.DUMMYFUNCTION("""COMPUTED_VALUE"""),"المعملجي")</f>
        <v>المعملجي</v>
      </c>
      <c r="D1016" s="35" t="str">
        <f ca="1">IFERROR(__xludf.DUMMYFUNCTION("""COMPUTED_VALUE"""),"وحدة الميكانيك")</f>
        <v>وحدة الميكانيك</v>
      </c>
      <c r="E1016" s="29" t="str">
        <f ca="1">IFERROR(__xludf.DUMMYFUNCTION("""COMPUTED_VALUE"""),"قسم المشاريع الهندسية")</f>
        <v>قسم المشاريع الهندسية</v>
      </c>
      <c r="F1016" s="29" t="str">
        <f ca="1">IFERROR(__xludf.DUMMYFUNCTION("""COMPUTED_VALUE"""),"A- المركز الثقافي")</f>
        <v>A- المركز الثقافي</v>
      </c>
      <c r="G1016" s="29" t="str">
        <f ca="1">IFERROR(__xludf.DUMMYFUNCTION("""COMPUTED_VALUE"""),"السطح")</f>
        <v>السطح</v>
      </c>
      <c r="H1016" s="29" t="str">
        <f ca="1">IFERROR(__xludf.DUMMYFUNCTION("""COMPUTED_VALUE"""),"ادامة وتنظيف منظومة الاطفاء في البناية ")</f>
        <v xml:space="preserve">ادامة وتنظيف منظومة الاطفاء في البناية </v>
      </c>
      <c r="I1016" s="29"/>
      <c r="J1016" s="29" t="s">
        <v>14</v>
      </c>
      <c r="K1016" s="29" t="s">
        <v>13</v>
      </c>
      <c r="L1016" s="34"/>
      <c r="M1016" s="29"/>
    </row>
    <row r="1017" spans="1:13" ht="75" customHeight="1" thickTop="1" thickBot="1">
      <c r="A1017" s="25">
        <v>1015</v>
      </c>
      <c r="B1017" s="34">
        <f ca="1">IFERROR(__xludf.DUMMYFUNCTION("""COMPUTED_VALUE"""),46173.379101493)</f>
        <v>46173.379101493003</v>
      </c>
      <c r="C1017" s="35" t="str">
        <f ca="1">IFERROR(__xludf.DUMMYFUNCTION("""COMPUTED_VALUE"""),"المعملجي")</f>
        <v>المعملجي</v>
      </c>
      <c r="D1017" s="35" t="str">
        <f ca="1">IFERROR(__xludf.DUMMYFUNCTION("""COMPUTED_VALUE"""),"وحدة الميكانيك")</f>
        <v>وحدة الميكانيك</v>
      </c>
      <c r="E1017" s="29" t="str">
        <f ca="1">IFERROR(__xludf.DUMMYFUNCTION("""COMPUTED_VALUE"""),"قسم المشاريع الهندسية")</f>
        <v>قسم المشاريع الهندسية</v>
      </c>
      <c r="F1017" s="29" t="str">
        <f ca="1">IFERROR(__xludf.DUMMYFUNCTION("""COMPUTED_VALUE"""),"B- روضة القمر")</f>
        <v>B- روضة القمر</v>
      </c>
      <c r="G1017" s="29" t="str">
        <f ca="1">IFERROR(__xludf.DUMMYFUNCTION("""COMPUTED_VALUE"""),"السطح")</f>
        <v>السطح</v>
      </c>
      <c r="H1017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17" s="29"/>
      <c r="J1017" s="29" t="s">
        <v>14</v>
      </c>
      <c r="K1017" s="29" t="s">
        <v>13</v>
      </c>
      <c r="L1017" s="34"/>
      <c r="M1017" s="29"/>
    </row>
    <row r="1018" spans="1:13" ht="75" customHeight="1" thickTop="1" thickBot="1">
      <c r="A1018" s="23">
        <v>1016</v>
      </c>
      <c r="B1018" s="34">
        <f ca="1">IFERROR(__xludf.DUMMYFUNCTION("""COMPUTED_VALUE"""),46173.3793057291)</f>
        <v>46173.379305729097</v>
      </c>
      <c r="C1018" s="35" t="str">
        <f ca="1">IFERROR(__xludf.DUMMYFUNCTION("""COMPUTED_VALUE"""),"المعملجي")</f>
        <v>المعملجي</v>
      </c>
      <c r="D1018" s="35" t="str">
        <f ca="1">IFERROR(__xludf.DUMMYFUNCTION("""COMPUTED_VALUE"""),"وحدة الميكانيك")</f>
        <v>وحدة الميكانيك</v>
      </c>
      <c r="E1018" s="29" t="str">
        <f ca="1">IFERROR(__xludf.DUMMYFUNCTION("""COMPUTED_VALUE"""),"قسم المشاريع الهندسية")</f>
        <v>قسم المشاريع الهندسية</v>
      </c>
      <c r="F1018" s="29" t="str">
        <f ca="1">IFERROR(__xludf.DUMMYFUNCTION("""COMPUTED_VALUE"""),"G- روضة الجود")</f>
        <v>G- روضة الجود</v>
      </c>
      <c r="G1018" s="29" t="str">
        <f ca="1">IFERROR(__xludf.DUMMYFUNCTION("""COMPUTED_VALUE"""),"السطح")</f>
        <v>السطح</v>
      </c>
      <c r="H1018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18" s="29"/>
      <c r="J1018" s="29" t="s">
        <v>14</v>
      </c>
      <c r="K1018" s="29" t="s">
        <v>13</v>
      </c>
      <c r="L1018" s="34"/>
      <c r="M1018" s="29"/>
    </row>
    <row r="1019" spans="1:13" ht="75" customHeight="1" thickTop="1" thickBot="1">
      <c r="A1019" s="25">
        <v>1017</v>
      </c>
      <c r="B1019" s="34">
        <f ca="1">IFERROR(__xludf.DUMMYFUNCTION("""COMPUTED_VALUE"""),46173.3795063888)</f>
        <v>46173.379506388803</v>
      </c>
      <c r="C1019" s="35" t="str">
        <f ca="1">IFERROR(__xludf.DUMMYFUNCTION("""COMPUTED_VALUE"""),"المعملجي")</f>
        <v>المعملجي</v>
      </c>
      <c r="D1019" s="35" t="str">
        <f ca="1">IFERROR(__xludf.DUMMYFUNCTION("""COMPUTED_VALUE"""),"وحدة الميكانيك")</f>
        <v>وحدة الميكانيك</v>
      </c>
      <c r="E1019" s="29" t="str">
        <f ca="1">IFERROR(__xludf.DUMMYFUNCTION("""COMPUTED_VALUE"""),"قسم المشاريع الهندسية")</f>
        <v>قسم المشاريع الهندسية</v>
      </c>
      <c r="F1019" s="29" t="str">
        <f ca="1">IFERROR(__xludf.DUMMYFUNCTION("""COMPUTED_VALUE"""),"G- روضة الجود")</f>
        <v>G- روضة الجود</v>
      </c>
      <c r="G1019" s="29" t="str">
        <f ca="1">IFERROR(__xludf.DUMMYFUNCTION("""COMPUTED_VALUE"""),"السطح")</f>
        <v>السطح</v>
      </c>
      <c r="H1019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19" s="29"/>
      <c r="J1019" s="29" t="s">
        <v>14</v>
      </c>
      <c r="K1019" s="29" t="s">
        <v>13</v>
      </c>
      <c r="L1019" s="34"/>
      <c r="M1019" s="29"/>
    </row>
    <row r="1020" spans="1:13" ht="75" customHeight="1" thickTop="1" thickBot="1">
      <c r="A1020" s="23">
        <v>1018</v>
      </c>
      <c r="B1020" s="34">
        <f ca="1">IFERROR(__xludf.DUMMYFUNCTION("""COMPUTED_VALUE"""),46173.379675625)</f>
        <v>46173.379675625001</v>
      </c>
      <c r="C1020" s="35" t="str">
        <f ca="1">IFERROR(__xludf.DUMMYFUNCTION("""COMPUTED_VALUE"""),"المعملجي")</f>
        <v>المعملجي</v>
      </c>
      <c r="D1020" s="35" t="str">
        <f ca="1">IFERROR(__xludf.DUMMYFUNCTION("""COMPUTED_VALUE"""),"وحدة الميكانيك")</f>
        <v>وحدة الميكانيك</v>
      </c>
      <c r="E1020" s="29" t="str">
        <f ca="1">IFERROR(__xludf.DUMMYFUNCTION("""COMPUTED_VALUE"""),"قسم المشاريع الهندسية")</f>
        <v>قسم المشاريع الهندسية</v>
      </c>
      <c r="F1020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20" s="29" t="str">
        <f ca="1">IFERROR(__xludf.DUMMYFUNCTION("""COMPUTED_VALUE"""),"السطح")</f>
        <v>السطح</v>
      </c>
      <c r="H1020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0" s="29"/>
      <c r="J1020" s="29" t="s">
        <v>14</v>
      </c>
      <c r="K1020" s="29" t="s">
        <v>13</v>
      </c>
      <c r="L1020" s="34"/>
      <c r="M1020" s="29"/>
    </row>
    <row r="1021" spans="1:13" ht="75" customHeight="1" thickTop="1" thickBot="1">
      <c r="A1021" s="25">
        <v>1019</v>
      </c>
      <c r="B1021" s="34">
        <f ca="1">IFERROR(__xludf.DUMMYFUNCTION("""COMPUTED_VALUE"""),46173.3799638888)</f>
        <v>46173.379963888801</v>
      </c>
      <c r="C1021" s="35" t="str">
        <f ca="1">IFERROR(__xludf.DUMMYFUNCTION("""COMPUTED_VALUE"""),"المعملجي")</f>
        <v>المعملجي</v>
      </c>
      <c r="D1021" s="35" t="str">
        <f ca="1">IFERROR(__xludf.DUMMYFUNCTION("""COMPUTED_VALUE"""),"وحدة الميكانيك")</f>
        <v>وحدة الميكانيك</v>
      </c>
      <c r="E1021" s="29" t="str">
        <f ca="1">IFERROR(__xludf.DUMMYFUNCTION("""COMPUTED_VALUE"""),"قسم المشاريع الهندسية")</f>
        <v>قسم المشاريع الهندسية</v>
      </c>
      <c r="F1021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21" s="29" t="str">
        <f ca="1">IFERROR(__xludf.DUMMYFUNCTION("""COMPUTED_VALUE"""),"السطح")</f>
        <v>السطح</v>
      </c>
      <c r="H1021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1" s="29"/>
      <c r="J1021" s="29" t="s">
        <v>14</v>
      </c>
      <c r="K1021" s="29" t="s">
        <v>13</v>
      </c>
      <c r="L1021" s="34"/>
      <c r="M1021" s="29"/>
    </row>
    <row r="1022" spans="1:13" ht="75" customHeight="1" thickTop="1" thickBot="1">
      <c r="A1022" s="23">
        <v>1020</v>
      </c>
      <c r="B1022" s="34">
        <f ca="1">IFERROR(__xludf.DUMMYFUNCTION("""COMPUTED_VALUE"""),46173.3801783796)</f>
        <v>46173.380178379601</v>
      </c>
      <c r="C1022" s="35" t="str">
        <f ca="1">IFERROR(__xludf.DUMMYFUNCTION("""COMPUTED_VALUE"""),"المعملجي")</f>
        <v>المعملجي</v>
      </c>
      <c r="D1022" s="35" t="str">
        <f ca="1">IFERROR(__xludf.DUMMYFUNCTION("""COMPUTED_VALUE"""),"وحدة الميكانيك")</f>
        <v>وحدة الميكانيك</v>
      </c>
      <c r="E1022" s="29" t="str">
        <f ca="1">IFERROR(__xludf.DUMMYFUNCTION("""COMPUTED_VALUE"""),"قسم المشاريع الهندسية")</f>
        <v>قسم المشاريع الهندسية</v>
      </c>
      <c r="F1022" s="29" t="str">
        <f ca="1">IFERROR(__xludf.DUMMYFUNCTION("""COMPUTED_VALUE"""),"E- ابتدائية العميد للبنات (الثالثة)")</f>
        <v>E- ابتدائية العميد للبنات (الثالثة)</v>
      </c>
      <c r="G1022" s="29" t="str">
        <f ca="1">IFERROR(__xludf.DUMMYFUNCTION("""COMPUTED_VALUE"""),"السطح")</f>
        <v>السطح</v>
      </c>
      <c r="H1022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2" s="29"/>
      <c r="J1022" s="29" t="s">
        <v>14</v>
      </c>
      <c r="K1022" s="29" t="s">
        <v>13</v>
      </c>
      <c r="L1022" s="34"/>
      <c r="M1022" s="29"/>
    </row>
    <row r="1023" spans="1:13" ht="75" customHeight="1" thickTop="1" thickBot="1">
      <c r="A1023" s="25">
        <v>1021</v>
      </c>
      <c r="B1023" s="34">
        <f ca="1">IFERROR(__xludf.DUMMYFUNCTION("""COMPUTED_VALUE"""),46173.3803552893)</f>
        <v>46173.3803552893</v>
      </c>
      <c r="C1023" s="35" t="str">
        <f ca="1">IFERROR(__xludf.DUMMYFUNCTION("""COMPUTED_VALUE"""),"المعملجي")</f>
        <v>المعملجي</v>
      </c>
      <c r="D1023" s="35" t="str">
        <f ca="1">IFERROR(__xludf.DUMMYFUNCTION("""COMPUTED_VALUE"""),"وحدة الميكانيك")</f>
        <v>وحدة الميكانيك</v>
      </c>
      <c r="E1023" s="29" t="str">
        <f ca="1">IFERROR(__xludf.DUMMYFUNCTION("""COMPUTED_VALUE"""),"قسم المشاريع الهندسية")</f>
        <v>قسم المشاريع الهندسية</v>
      </c>
      <c r="F1023" s="29" t="str">
        <f ca="1">IFERROR(__xludf.DUMMYFUNCTION("""COMPUTED_VALUE"""),"F-  ابتدائية جود العميد للبنات (الرابعة)")</f>
        <v>F-  ابتدائية جود العميد للبنات (الرابعة)</v>
      </c>
      <c r="G1023" s="29" t="str">
        <f ca="1">IFERROR(__xludf.DUMMYFUNCTION("""COMPUTED_VALUE"""),"السطح")</f>
        <v>السطح</v>
      </c>
      <c r="H1023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3" s="29"/>
      <c r="J1023" s="29" t="s">
        <v>14</v>
      </c>
      <c r="K1023" s="29" t="s">
        <v>13</v>
      </c>
      <c r="L1023" s="34"/>
      <c r="M1023" s="29"/>
    </row>
    <row r="1024" spans="1:13" ht="75" customHeight="1" thickTop="1" thickBot="1">
      <c r="A1024" s="23">
        <v>1022</v>
      </c>
      <c r="B1024" s="34">
        <f ca="1">IFERROR(__xludf.DUMMYFUNCTION("""COMPUTED_VALUE"""),46173.3805232291)</f>
        <v>46173.380523229098</v>
      </c>
      <c r="C1024" s="35" t="str">
        <f ca="1">IFERROR(__xludf.DUMMYFUNCTION("""COMPUTED_VALUE"""),"المعملجي")</f>
        <v>المعملجي</v>
      </c>
      <c r="D1024" s="35" t="str">
        <f ca="1">IFERROR(__xludf.DUMMYFUNCTION("""COMPUTED_VALUE"""),"وحدة الميكانيك")</f>
        <v>وحدة الميكانيك</v>
      </c>
      <c r="E1024" s="29" t="str">
        <f ca="1">IFERROR(__xludf.DUMMYFUNCTION("""COMPUTED_VALUE"""),"قسم المشاريع الهندسية")</f>
        <v>قسم المشاريع الهندسية</v>
      </c>
      <c r="F1024" s="29" t="str">
        <f ca="1">IFERROR(__xludf.DUMMYFUNCTION("""COMPUTED_VALUE"""),"H- ابتدائية القمر للبنات (الخامسة)")</f>
        <v>H- ابتدائية القمر للبنات (الخامسة)</v>
      </c>
      <c r="G1024" s="29" t="str">
        <f ca="1">IFERROR(__xludf.DUMMYFUNCTION("""COMPUTED_VALUE"""),"السطح")</f>
        <v>السطح</v>
      </c>
      <c r="H1024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4" s="29"/>
      <c r="J1024" s="29" t="s">
        <v>14</v>
      </c>
      <c r="K1024" s="29" t="s">
        <v>13</v>
      </c>
      <c r="L1024" s="34"/>
      <c r="M1024" s="29"/>
    </row>
    <row r="1025" spans="1:13" ht="75" customHeight="1" thickTop="1" thickBot="1">
      <c r="A1025" s="25">
        <v>1023</v>
      </c>
      <c r="B1025" s="34">
        <f ca="1">IFERROR(__xludf.DUMMYFUNCTION("""COMPUTED_VALUE"""),46173.3807355208)</f>
        <v>46173.380735520797</v>
      </c>
      <c r="C1025" s="35" t="str">
        <f ca="1">IFERROR(__xludf.DUMMYFUNCTION("""COMPUTED_VALUE"""),"المعملجي")</f>
        <v>المعملجي</v>
      </c>
      <c r="D1025" s="35" t="str">
        <f ca="1">IFERROR(__xludf.DUMMYFUNCTION("""COMPUTED_VALUE"""),"وحدة الميكانيك")</f>
        <v>وحدة الميكانيك</v>
      </c>
      <c r="E1025" s="29" t="str">
        <f ca="1">IFERROR(__xludf.DUMMYFUNCTION("""COMPUTED_VALUE"""),"قسم المشاريع الهندسية")</f>
        <v>قسم المشاريع الهندسية</v>
      </c>
      <c r="F1025" s="29" t="str">
        <f ca="1">IFERROR(__xludf.DUMMYFUNCTION("""COMPUTED_VALUE"""),"I- ابتدائية الساقي للبنين (السادسة)")</f>
        <v>I- ابتدائية الساقي للبنين (السادسة)</v>
      </c>
      <c r="G1025" s="29" t="str">
        <f ca="1">IFERROR(__xludf.DUMMYFUNCTION("""COMPUTED_VALUE"""),"السطح")</f>
        <v>السطح</v>
      </c>
      <c r="H1025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5" s="29"/>
      <c r="J1025" s="29" t="s">
        <v>14</v>
      </c>
      <c r="K1025" s="29" t="s">
        <v>13</v>
      </c>
      <c r="L1025" s="34"/>
      <c r="M1025" s="29"/>
    </row>
    <row r="1026" spans="1:13" ht="75" customHeight="1" thickTop="1" thickBot="1">
      <c r="A1026" s="23">
        <v>1024</v>
      </c>
      <c r="B1026" s="34">
        <f ca="1">IFERROR(__xludf.DUMMYFUNCTION("""COMPUTED_VALUE"""),46173.3809445254)</f>
        <v>46173.380944525401</v>
      </c>
      <c r="C1026" s="35" t="str">
        <f ca="1">IFERROR(__xludf.DUMMYFUNCTION("""COMPUTED_VALUE"""),"المعملجي")</f>
        <v>المعملجي</v>
      </c>
      <c r="D1026" s="35" t="str">
        <f ca="1">IFERROR(__xludf.DUMMYFUNCTION("""COMPUTED_VALUE"""),"وحدة الميكانيك")</f>
        <v>وحدة الميكانيك</v>
      </c>
      <c r="E1026" s="29" t="str">
        <f ca="1">IFERROR(__xludf.DUMMYFUNCTION("""COMPUTED_VALUE"""),"قسم المشاريع الهندسية")</f>
        <v>قسم المشاريع الهندسية</v>
      </c>
      <c r="F1026" s="29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1026" s="29" t="str">
        <f ca="1">IFERROR(__xludf.DUMMYFUNCTION("""COMPUTED_VALUE"""),"السطح")</f>
        <v>السطح</v>
      </c>
      <c r="H1026" s="29" t="str">
        <f ca="1">IFERROR(__xludf.DUMMYFUNCTION("""COMPUTED_VALUE"""),"ادامة وتنظيف منظومة الاطفاء في البناية")</f>
        <v>ادامة وتنظيف منظومة الاطفاء في البناية</v>
      </c>
      <c r="I1026" s="29"/>
      <c r="J1026" s="29" t="s">
        <v>14</v>
      </c>
      <c r="K1026" s="29" t="s">
        <v>13</v>
      </c>
      <c r="L1026" s="34"/>
      <c r="M1026" s="29"/>
    </row>
    <row r="1027" spans="1:13" ht="75" customHeight="1" thickTop="1" thickBot="1">
      <c r="A1027" s="25">
        <v>1025</v>
      </c>
      <c r="B1027" s="34">
        <f ca="1">IFERROR(__xludf.DUMMYFUNCTION("""COMPUTED_VALUE"""),46173.3813750347)</f>
        <v>46173.381375034704</v>
      </c>
      <c r="C1027" s="35" t="str">
        <f ca="1">IFERROR(__xludf.DUMMYFUNCTION("""COMPUTED_VALUE"""),"المعملجي")</f>
        <v>المعملجي</v>
      </c>
      <c r="D1027" s="35" t="str">
        <f ca="1">IFERROR(__xludf.DUMMYFUNCTION("""COMPUTED_VALUE"""),"وحدة الميكانيك")</f>
        <v>وحدة الميكانيك</v>
      </c>
      <c r="E1027" s="29" t="str">
        <f ca="1">IFERROR(__xludf.DUMMYFUNCTION("""COMPUTED_VALUE"""),"قسم المشاريع الهندسية")</f>
        <v>قسم المشاريع الهندسية</v>
      </c>
      <c r="F1027" s="29" t="str">
        <f ca="1">IFERROR(__xludf.DUMMYFUNCTION("""COMPUTED_VALUE"""),"B- روضة القمر")</f>
        <v>B- روضة القمر</v>
      </c>
      <c r="G1027" s="29" t="str">
        <f ca="1">IFERROR(__xludf.DUMMYFUNCTION("""COMPUTED_VALUE"""),"السطح")</f>
        <v>السطح</v>
      </c>
      <c r="H1027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27" s="29"/>
      <c r="J1027" s="29" t="s">
        <v>14</v>
      </c>
      <c r="K1027" s="29" t="s">
        <v>13</v>
      </c>
      <c r="L1027" s="34"/>
      <c r="M1027" s="29"/>
    </row>
    <row r="1028" spans="1:13" ht="75" customHeight="1" thickTop="1" thickBot="1">
      <c r="A1028" s="23">
        <v>1026</v>
      </c>
      <c r="B1028" s="34">
        <f ca="1">IFERROR(__xludf.DUMMYFUNCTION("""COMPUTED_VALUE"""),46173.3815473842)</f>
        <v>46173.381547384197</v>
      </c>
      <c r="C1028" s="35" t="str">
        <f ca="1">IFERROR(__xludf.DUMMYFUNCTION("""COMPUTED_VALUE"""),"المعملجي")</f>
        <v>المعملجي</v>
      </c>
      <c r="D1028" s="35" t="str">
        <f ca="1">IFERROR(__xludf.DUMMYFUNCTION("""COMPUTED_VALUE"""),"وحدة الميكانيك")</f>
        <v>وحدة الميكانيك</v>
      </c>
      <c r="E1028" s="29" t="str">
        <f ca="1">IFERROR(__xludf.DUMMYFUNCTION("""COMPUTED_VALUE"""),"قسم المشاريع الهندسية")</f>
        <v>قسم المشاريع الهندسية</v>
      </c>
      <c r="F1028" s="29" t="str">
        <f ca="1">IFERROR(__xludf.DUMMYFUNCTION("""COMPUTED_VALUE"""),"G- روضة الجود")</f>
        <v>G- روضة الجود</v>
      </c>
      <c r="G1028" s="29" t="str">
        <f ca="1">IFERROR(__xludf.DUMMYFUNCTION("""COMPUTED_VALUE"""),"السطح")</f>
        <v>السطح</v>
      </c>
      <c r="H1028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28" s="29"/>
      <c r="J1028" s="29" t="s">
        <v>14</v>
      </c>
      <c r="K1028" s="29" t="s">
        <v>13</v>
      </c>
      <c r="L1028" s="34"/>
      <c r="M1028" s="29"/>
    </row>
    <row r="1029" spans="1:13" ht="75" customHeight="1" thickTop="1" thickBot="1">
      <c r="A1029" s="25">
        <v>1027</v>
      </c>
      <c r="B1029" s="34">
        <f ca="1">IFERROR(__xludf.DUMMYFUNCTION("""COMPUTED_VALUE"""),46173.3817116666)</f>
        <v>46173.381711666603</v>
      </c>
      <c r="C1029" s="35" t="str">
        <f ca="1">IFERROR(__xludf.DUMMYFUNCTION("""COMPUTED_VALUE"""),"المعملجي")</f>
        <v>المعملجي</v>
      </c>
      <c r="D1029" s="35" t="str">
        <f ca="1">IFERROR(__xludf.DUMMYFUNCTION("""COMPUTED_VALUE"""),"وحدة الميكانيك")</f>
        <v>وحدة الميكانيك</v>
      </c>
      <c r="E1029" s="29" t="str">
        <f ca="1">IFERROR(__xludf.DUMMYFUNCTION("""COMPUTED_VALUE"""),"قسم المشاريع الهندسية")</f>
        <v>قسم المشاريع الهندسية</v>
      </c>
      <c r="F1029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29" s="29" t="str">
        <f ca="1">IFERROR(__xludf.DUMMYFUNCTION("""COMPUTED_VALUE"""),"السطح")</f>
        <v>السطح</v>
      </c>
      <c r="H1029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29" s="29"/>
      <c r="J1029" s="29" t="s">
        <v>14</v>
      </c>
      <c r="K1029" s="29" t="s">
        <v>13</v>
      </c>
      <c r="L1029" s="34"/>
      <c r="M1029" s="29"/>
    </row>
    <row r="1030" spans="1:13" ht="75" customHeight="1" thickTop="1" thickBot="1">
      <c r="A1030" s="23">
        <v>1028</v>
      </c>
      <c r="B1030" s="34">
        <f ca="1">IFERROR(__xludf.DUMMYFUNCTION("""COMPUTED_VALUE"""),46173.3819066435)</f>
        <v>46173.381906643503</v>
      </c>
      <c r="C1030" s="35" t="str">
        <f ca="1">IFERROR(__xludf.DUMMYFUNCTION("""COMPUTED_VALUE"""),"المعملجي")</f>
        <v>المعملجي</v>
      </c>
      <c r="D1030" s="35" t="str">
        <f ca="1">IFERROR(__xludf.DUMMYFUNCTION("""COMPUTED_VALUE"""),"وحدة الميكانيك")</f>
        <v>وحدة الميكانيك</v>
      </c>
      <c r="E1030" s="29" t="str">
        <f ca="1">IFERROR(__xludf.DUMMYFUNCTION("""COMPUTED_VALUE"""),"قسم المشاريع الهندسية")</f>
        <v>قسم المشاريع الهندسية</v>
      </c>
      <c r="F1030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30" s="29" t="str">
        <f ca="1">IFERROR(__xludf.DUMMYFUNCTION("""COMPUTED_VALUE"""),"السطح")</f>
        <v>السطح</v>
      </c>
      <c r="H1030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30" s="29"/>
      <c r="J1030" s="29" t="s">
        <v>14</v>
      </c>
      <c r="K1030" s="29" t="s">
        <v>13</v>
      </c>
      <c r="L1030" s="34"/>
      <c r="M1030" s="29"/>
    </row>
    <row r="1031" spans="1:13" ht="75" customHeight="1" thickTop="1" thickBot="1">
      <c r="A1031" s="25">
        <v>1029</v>
      </c>
      <c r="B1031" s="34">
        <f ca="1">IFERROR(__xludf.DUMMYFUNCTION("""COMPUTED_VALUE"""),46173.3820910879)</f>
        <v>46173.3820910879</v>
      </c>
      <c r="C1031" s="35" t="str">
        <f ca="1">IFERROR(__xludf.DUMMYFUNCTION("""COMPUTED_VALUE"""),"المعملجي")</f>
        <v>المعملجي</v>
      </c>
      <c r="D1031" s="35" t="str">
        <f ca="1">IFERROR(__xludf.DUMMYFUNCTION("""COMPUTED_VALUE"""),"وحدة الميكانيك")</f>
        <v>وحدة الميكانيك</v>
      </c>
      <c r="E1031" s="29" t="str">
        <f ca="1">IFERROR(__xludf.DUMMYFUNCTION("""COMPUTED_VALUE"""),"قسم المشاريع الهندسية")</f>
        <v>قسم المشاريع الهندسية</v>
      </c>
      <c r="F1031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31" s="29" t="str">
        <f ca="1">IFERROR(__xludf.DUMMYFUNCTION("""COMPUTED_VALUE"""),"السطح")</f>
        <v>السطح</v>
      </c>
      <c r="H1031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31" s="29"/>
      <c r="J1031" s="29" t="s">
        <v>14</v>
      </c>
      <c r="K1031" s="29" t="s">
        <v>13</v>
      </c>
      <c r="L1031" s="34"/>
      <c r="M1031" s="29"/>
    </row>
    <row r="1032" spans="1:13" ht="75" customHeight="1" thickTop="1" thickBot="1">
      <c r="A1032" s="23">
        <v>1030</v>
      </c>
      <c r="B1032" s="34">
        <f ca="1">IFERROR(__xludf.DUMMYFUNCTION("""COMPUTED_VALUE"""),46173.3822869791)</f>
        <v>46173.382286979097</v>
      </c>
      <c r="C1032" s="35" t="str">
        <f ca="1">IFERROR(__xludf.DUMMYFUNCTION("""COMPUTED_VALUE"""),"المعملجي")</f>
        <v>المعملجي</v>
      </c>
      <c r="D1032" s="35" t="str">
        <f ca="1">IFERROR(__xludf.DUMMYFUNCTION("""COMPUTED_VALUE"""),"وحدة الميكانيك")</f>
        <v>وحدة الميكانيك</v>
      </c>
      <c r="E1032" s="29" t="str">
        <f ca="1">IFERROR(__xludf.DUMMYFUNCTION("""COMPUTED_VALUE"""),"قسم المشاريع الهندسية")</f>
        <v>قسم المشاريع الهندسية</v>
      </c>
      <c r="F1032" s="29" t="str">
        <f ca="1">IFERROR(__xludf.DUMMYFUNCTION("""COMPUTED_VALUE"""),"E- ابتدائية العميد للبنات (الثالثة)")</f>
        <v>E- ابتدائية العميد للبنات (الثالثة)</v>
      </c>
      <c r="G1032" s="29" t="str">
        <f ca="1">IFERROR(__xludf.DUMMYFUNCTION("""COMPUTED_VALUE"""),"السطح")</f>
        <v>السطح</v>
      </c>
      <c r="H1032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32" s="29"/>
      <c r="J1032" s="29" t="s">
        <v>14</v>
      </c>
      <c r="K1032" s="29" t="s">
        <v>13</v>
      </c>
      <c r="L1032" s="34"/>
      <c r="M1032" s="29"/>
    </row>
    <row r="1033" spans="1:13" ht="75" customHeight="1" thickTop="1" thickBot="1">
      <c r="A1033" s="25">
        <v>1031</v>
      </c>
      <c r="B1033" s="34">
        <f ca="1">IFERROR(__xludf.DUMMYFUNCTION("""COMPUTED_VALUE"""),46173.3825000347)</f>
        <v>46173.382500034699</v>
      </c>
      <c r="C1033" s="35" t="str">
        <f ca="1">IFERROR(__xludf.DUMMYFUNCTION("""COMPUTED_VALUE"""),"المعملجي")</f>
        <v>المعملجي</v>
      </c>
      <c r="D1033" s="35" t="str">
        <f ca="1">IFERROR(__xludf.DUMMYFUNCTION("""COMPUTED_VALUE"""),"وحدة الميكانيك")</f>
        <v>وحدة الميكانيك</v>
      </c>
      <c r="E1033" s="29" t="str">
        <f ca="1">IFERROR(__xludf.DUMMYFUNCTION("""COMPUTED_VALUE"""),"قسم المشاريع الهندسية")</f>
        <v>قسم المشاريع الهندسية</v>
      </c>
      <c r="F1033" s="29" t="str">
        <f ca="1">IFERROR(__xludf.DUMMYFUNCTION("""COMPUTED_VALUE"""),"F-  ابتدائية جود العميد للبنات (الرابعة)")</f>
        <v>F-  ابتدائية جود العميد للبنات (الرابعة)</v>
      </c>
      <c r="G1033" s="29" t="str">
        <f ca="1">IFERROR(__xludf.DUMMYFUNCTION("""COMPUTED_VALUE"""),"السطح")</f>
        <v>السطح</v>
      </c>
      <c r="H1033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33" s="29"/>
      <c r="J1033" s="29" t="s">
        <v>14</v>
      </c>
      <c r="K1033" s="29" t="s">
        <v>13</v>
      </c>
      <c r="L1033" s="34"/>
      <c r="M1033" s="29"/>
    </row>
    <row r="1034" spans="1:13" ht="75" customHeight="1" thickTop="1" thickBot="1">
      <c r="A1034" s="23">
        <v>1032</v>
      </c>
      <c r="B1034" s="34">
        <f ca="1">IFERROR(__xludf.DUMMYFUNCTION("""COMPUTED_VALUE"""),46173.3842041435)</f>
        <v>46173.384204143498</v>
      </c>
      <c r="C1034" s="35" t="str">
        <f ca="1">IFERROR(__xludf.DUMMYFUNCTION("""COMPUTED_VALUE"""),"المعملجي")</f>
        <v>المعملجي</v>
      </c>
      <c r="D1034" s="35" t="str">
        <f ca="1">IFERROR(__xludf.DUMMYFUNCTION("""COMPUTED_VALUE"""),"وحدة الميكانيك")</f>
        <v>وحدة الميكانيك</v>
      </c>
      <c r="E1034" s="29" t="str">
        <f ca="1">IFERROR(__xludf.DUMMYFUNCTION("""COMPUTED_VALUE"""),"قسم المشاريع الهندسية")</f>
        <v>قسم المشاريع الهندسية</v>
      </c>
      <c r="F1034" s="29" t="str">
        <f ca="1">IFERROR(__xludf.DUMMYFUNCTION("""COMPUTED_VALUE"""),"I- ابتدائية الساقي للبنين (السادسة)")</f>
        <v>I- ابتدائية الساقي للبنين (السادسة)</v>
      </c>
      <c r="G1034" s="29" t="str">
        <f ca="1">IFERROR(__xludf.DUMMYFUNCTION("""COMPUTED_VALUE"""),"السطح")</f>
        <v>السطح</v>
      </c>
      <c r="H1034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34" s="29"/>
      <c r="J1034" s="29" t="s">
        <v>14</v>
      </c>
      <c r="K1034" s="29" t="s">
        <v>13</v>
      </c>
      <c r="L1034" s="34"/>
      <c r="M1034" s="29"/>
    </row>
    <row r="1035" spans="1:13" ht="75" customHeight="1" thickTop="1" thickBot="1">
      <c r="A1035" s="25">
        <v>1033</v>
      </c>
      <c r="B1035" s="34">
        <f ca="1">IFERROR(__xludf.DUMMYFUNCTION("""COMPUTED_VALUE"""),46173.3843983101)</f>
        <v>46173.384398310103</v>
      </c>
      <c r="C1035" s="35" t="str">
        <f ca="1">IFERROR(__xludf.DUMMYFUNCTION("""COMPUTED_VALUE"""),"المعملجي")</f>
        <v>المعملجي</v>
      </c>
      <c r="D1035" s="35" t="str">
        <f ca="1">IFERROR(__xludf.DUMMYFUNCTION("""COMPUTED_VALUE"""),"وحدة الميكانيك")</f>
        <v>وحدة الميكانيك</v>
      </c>
      <c r="E1035" s="29" t="str">
        <f ca="1">IFERROR(__xludf.DUMMYFUNCTION("""COMPUTED_VALUE"""),"قسم المشاريع الهندسية")</f>
        <v>قسم المشاريع الهندسية</v>
      </c>
      <c r="F1035" s="29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1035" s="29" t="str">
        <f ca="1">IFERROR(__xludf.DUMMYFUNCTION("""COMPUTED_VALUE"""),"السطح")</f>
        <v>السطح</v>
      </c>
      <c r="H1035" s="29" t="str">
        <f ca="1">IFERROR(__xludf.DUMMYFUNCTION("""COMPUTED_VALUE"""),"ادامة وتنظيف منظومة تحلية المياه في البناية ")</f>
        <v xml:space="preserve">ادامة وتنظيف منظومة تحلية المياه في البناية </v>
      </c>
      <c r="I1035" s="29"/>
      <c r="J1035" s="29" t="s">
        <v>14</v>
      </c>
      <c r="K1035" s="29" t="s">
        <v>13</v>
      </c>
      <c r="L1035" s="34"/>
      <c r="M1035" s="29"/>
    </row>
    <row r="1036" spans="1:13" ht="75" customHeight="1" thickTop="1" thickBot="1">
      <c r="A1036" s="23">
        <v>1034</v>
      </c>
      <c r="B1036" s="34">
        <f ca="1">IFERROR(__xludf.DUMMYFUNCTION("""COMPUTED_VALUE"""),46173.3850698611)</f>
        <v>46173.385069861099</v>
      </c>
      <c r="C1036" s="35" t="str">
        <f ca="1">IFERROR(__xludf.DUMMYFUNCTION("""COMPUTED_VALUE"""),"المعملجي")</f>
        <v>المعملجي</v>
      </c>
      <c r="D1036" s="35" t="str">
        <f ca="1">IFERROR(__xludf.DUMMYFUNCTION("""COMPUTED_VALUE"""),"وحدة الميكانيك")</f>
        <v>وحدة الميكانيك</v>
      </c>
      <c r="E1036" s="29" t="str">
        <f ca="1">IFERROR(__xludf.DUMMYFUNCTION("""COMPUTED_VALUE"""),"قسم المشاريع الهندسية")</f>
        <v>قسم المشاريع الهندسية</v>
      </c>
      <c r="F1036" s="29" t="str">
        <f ca="1">IFERROR(__xludf.DUMMYFUNCTION("""COMPUTED_VALUE"""),"B- روضة القمر")</f>
        <v>B- روضة القمر</v>
      </c>
      <c r="G1036" s="29" t="str">
        <f ca="1">IFERROR(__xludf.DUMMYFUNCTION("""COMPUTED_VALUE"""),"السطح")</f>
        <v>السطح</v>
      </c>
      <c r="H1036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36" s="29"/>
      <c r="J1036" s="29" t="s">
        <v>14</v>
      </c>
      <c r="K1036" s="29" t="s">
        <v>13</v>
      </c>
      <c r="L1036" s="34"/>
      <c r="M1036" s="29"/>
    </row>
    <row r="1037" spans="1:13" ht="75" customHeight="1" thickTop="1" thickBot="1">
      <c r="A1037" s="25">
        <v>1035</v>
      </c>
      <c r="B1037" s="34">
        <f ca="1">IFERROR(__xludf.DUMMYFUNCTION("""COMPUTED_VALUE"""),46173.3852279166)</f>
        <v>46173.385227916602</v>
      </c>
      <c r="C1037" s="35" t="str">
        <f ca="1">IFERROR(__xludf.DUMMYFUNCTION("""COMPUTED_VALUE"""),"المعملجي")</f>
        <v>المعملجي</v>
      </c>
      <c r="D1037" s="35" t="str">
        <f ca="1">IFERROR(__xludf.DUMMYFUNCTION("""COMPUTED_VALUE"""),"وحدة الميكانيك")</f>
        <v>وحدة الميكانيك</v>
      </c>
      <c r="E1037" s="29" t="str">
        <f ca="1">IFERROR(__xludf.DUMMYFUNCTION("""COMPUTED_VALUE"""),"قسم المشاريع الهندسية")</f>
        <v>قسم المشاريع الهندسية</v>
      </c>
      <c r="F1037" s="29" t="str">
        <f ca="1">IFERROR(__xludf.DUMMYFUNCTION("""COMPUTED_VALUE"""),"G- روضة الجود")</f>
        <v>G- روضة الجود</v>
      </c>
      <c r="G1037" s="29" t="str">
        <f ca="1">IFERROR(__xludf.DUMMYFUNCTION("""COMPUTED_VALUE"""),"السطح")</f>
        <v>السطح</v>
      </c>
      <c r="H1037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37" s="29"/>
      <c r="J1037" s="29" t="s">
        <v>14</v>
      </c>
      <c r="K1037" s="29" t="s">
        <v>13</v>
      </c>
      <c r="L1037" s="34"/>
      <c r="M1037" s="29"/>
    </row>
    <row r="1038" spans="1:13" ht="75" customHeight="1" thickTop="1" thickBot="1">
      <c r="A1038" s="23">
        <v>1036</v>
      </c>
      <c r="B1038" s="34">
        <f ca="1">IFERROR(__xludf.DUMMYFUNCTION("""COMPUTED_VALUE"""),46173.385410787)</f>
        <v>46173.385410786999</v>
      </c>
      <c r="C1038" s="35" t="str">
        <f ca="1">IFERROR(__xludf.DUMMYFUNCTION("""COMPUTED_VALUE"""),"المعملجي")</f>
        <v>المعملجي</v>
      </c>
      <c r="D1038" s="35" t="str">
        <f ca="1">IFERROR(__xludf.DUMMYFUNCTION("""COMPUTED_VALUE"""),"وحدة الميكانيك")</f>
        <v>وحدة الميكانيك</v>
      </c>
      <c r="E1038" s="29" t="str">
        <f ca="1">IFERROR(__xludf.DUMMYFUNCTION("""COMPUTED_VALUE"""),"قسم المشاريع الهندسية")</f>
        <v>قسم المشاريع الهندسية</v>
      </c>
      <c r="F1038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38" s="29" t="str">
        <f ca="1">IFERROR(__xludf.DUMMYFUNCTION("""COMPUTED_VALUE"""),"السطح")</f>
        <v>السطح</v>
      </c>
      <c r="H1038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38" s="29"/>
      <c r="J1038" s="29" t="s">
        <v>14</v>
      </c>
      <c r="K1038" s="29" t="s">
        <v>13</v>
      </c>
      <c r="L1038" s="34"/>
      <c r="M1038" s="29"/>
    </row>
    <row r="1039" spans="1:13" ht="75" customHeight="1" thickTop="1" thickBot="1">
      <c r="A1039" s="25">
        <v>1037</v>
      </c>
      <c r="B1039" s="34">
        <f ca="1">IFERROR(__xludf.DUMMYFUNCTION("""COMPUTED_VALUE"""),46173.3855898148)</f>
        <v>46173.385589814803</v>
      </c>
      <c r="C1039" s="35" t="str">
        <f ca="1">IFERROR(__xludf.DUMMYFUNCTION("""COMPUTED_VALUE"""),"المعملجي")</f>
        <v>المعملجي</v>
      </c>
      <c r="D1039" s="35" t="str">
        <f ca="1">IFERROR(__xludf.DUMMYFUNCTION("""COMPUTED_VALUE"""),"وحدة الميكانيك")</f>
        <v>وحدة الميكانيك</v>
      </c>
      <c r="E1039" s="29" t="str">
        <f ca="1">IFERROR(__xludf.DUMMYFUNCTION("""COMPUTED_VALUE"""),"قسم المشاريع الهندسية")</f>
        <v>قسم المشاريع الهندسية</v>
      </c>
      <c r="F1039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39" s="29" t="str">
        <f ca="1">IFERROR(__xludf.DUMMYFUNCTION("""COMPUTED_VALUE"""),"السطح")</f>
        <v>السطح</v>
      </c>
      <c r="H1039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39" s="29"/>
      <c r="J1039" s="29" t="s">
        <v>14</v>
      </c>
      <c r="K1039" s="29" t="s">
        <v>13</v>
      </c>
      <c r="L1039" s="34"/>
      <c r="M1039" s="29"/>
    </row>
    <row r="1040" spans="1:13" ht="75" customHeight="1" thickTop="1" thickBot="1">
      <c r="A1040" s="23">
        <v>1038</v>
      </c>
      <c r="B1040" s="34">
        <f ca="1">IFERROR(__xludf.DUMMYFUNCTION("""COMPUTED_VALUE"""),46173.3857528472)</f>
        <v>46173.3857528472</v>
      </c>
      <c r="C1040" s="35" t="str">
        <f ca="1">IFERROR(__xludf.DUMMYFUNCTION("""COMPUTED_VALUE"""),"المعملجي")</f>
        <v>المعملجي</v>
      </c>
      <c r="D1040" s="35" t="str">
        <f ca="1">IFERROR(__xludf.DUMMYFUNCTION("""COMPUTED_VALUE"""),"وحدة الميكانيك")</f>
        <v>وحدة الميكانيك</v>
      </c>
      <c r="E1040" s="29" t="str">
        <f ca="1">IFERROR(__xludf.DUMMYFUNCTION("""COMPUTED_VALUE"""),"قسم المشاريع الهندسية")</f>
        <v>قسم المشاريع الهندسية</v>
      </c>
      <c r="F1040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40" s="29" t="str">
        <f ca="1">IFERROR(__xludf.DUMMYFUNCTION("""COMPUTED_VALUE"""),"السطح")</f>
        <v>السطح</v>
      </c>
      <c r="H1040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40" s="29"/>
      <c r="J1040" s="29" t="s">
        <v>14</v>
      </c>
      <c r="K1040" s="29" t="s">
        <v>13</v>
      </c>
      <c r="L1040" s="34"/>
      <c r="M1040" s="29"/>
    </row>
    <row r="1041" spans="1:13" ht="75" customHeight="1" thickTop="1" thickBot="1">
      <c r="A1041" s="25">
        <v>1039</v>
      </c>
      <c r="B1041" s="34">
        <f ca="1">IFERROR(__xludf.DUMMYFUNCTION("""COMPUTED_VALUE"""),46173.3859588541)</f>
        <v>46173.385958854102</v>
      </c>
      <c r="C1041" s="35" t="str">
        <f ca="1">IFERROR(__xludf.DUMMYFUNCTION("""COMPUTED_VALUE"""),"المعملجي")</f>
        <v>المعملجي</v>
      </c>
      <c r="D1041" s="35" t="str">
        <f ca="1">IFERROR(__xludf.DUMMYFUNCTION("""COMPUTED_VALUE"""),"وحدة الميكانيك")</f>
        <v>وحدة الميكانيك</v>
      </c>
      <c r="E1041" s="29" t="str">
        <f ca="1">IFERROR(__xludf.DUMMYFUNCTION("""COMPUTED_VALUE"""),"قسم المشاريع الهندسية")</f>
        <v>قسم المشاريع الهندسية</v>
      </c>
      <c r="F1041" s="29" t="str">
        <f ca="1">IFERROR(__xludf.DUMMYFUNCTION("""COMPUTED_VALUE"""),"E- ابتدائية العميد للبنات (الثالثة)")</f>
        <v>E- ابتدائية العميد للبنات (الثالثة)</v>
      </c>
      <c r="G1041" s="29" t="str">
        <f ca="1">IFERROR(__xludf.DUMMYFUNCTION("""COMPUTED_VALUE"""),"السطح")</f>
        <v>السطح</v>
      </c>
      <c r="H1041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41" s="29"/>
      <c r="J1041" s="29" t="s">
        <v>14</v>
      </c>
      <c r="K1041" s="29" t="s">
        <v>13</v>
      </c>
      <c r="L1041" s="34"/>
      <c r="M1041" s="29"/>
    </row>
    <row r="1042" spans="1:13" ht="75" customHeight="1" thickTop="1" thickBot="1">
      <c r="A1042" s="23">
        <v>1040</v>
      </c>
      <c r="B1042" s="34">
        <f ca="1">IFERROR(__xludf.DUMMYFUNCTION("""COMPUTED_VALUE"""),46173.3861829745)</f>
        <v>46173.3861829745</v>
      </c>
      <c r="C1042" s="35" t="str">
        <f ca="1">IFERROR(__xludf.DUMMYFUNCTION("""COMPUTED_VALUE"""),"المعملجي")</f>
        <v>المعملجي</v>
      </c>
      <c r="D1042" s="35" t="str">
        <f ca="1">IFERROR(__xludf.DUMMYFUNCTION("""COMPUTED_VALUE"""),"وحدة الميكانيك")</f>
        <v>وحدة الميكانيك</v>
      </c>
      <c r="E1042" s="29" t="str">
        <f ca="1">IFERROR(__xludf.DUMMYFUNCTION("""COMPUTED_VALUE"""),"قسم المشاريع الهندسية")</f>
        <v>قسم المشاريع الهندسية</v>
      </c>
      <c r="F1042" s="29" t="str">
        <f ca="1">IFERROR(__xludf.DUMMYFUNCTION("""COMPUTED_VALUE"""),"F-  ابتدائية جود العميد للبنات (الرابعة)")</f>
        <v>F-  ابتدائية جود العميد للبنات (الرابعة)</v>
      </c>
      <c r="G1042" s="29" t="str">
        <f ca="1">IFERROR(__xludf.DUMMYFUNCTION("""COMPUTED_VALUE"""),"السطح")</f>
        <v>السطح</v>
      </c>
      <c r="H1042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42" s="29"/>
      <c r="J1042" s="29" t="s">
        <v>14</v>
      </c>
      <c r="K1042" s="29" t="s">
        <v>13</v>
      </c>
      <c r="L1042" s="34"/>
      <c r="M1042" s="29"/>
    </row>
    <row r="1043" spans="1:13" ht="75" customHeight="1" thickTop="1" thickBot="1">
      <c r="A1043" s="25">
        <v>1041</v>
      </c>
      <c r="B1043" s="34">
        <f ca="1">IFERROR(__xludf.DUMMYFUNCTION("""COMPUTED_VALUE"""),46173.3863508564)</f>
        <v>46173.386350856403</v>
      </c>
      <c r="C1043" s="35" t="str">
        <f ca="1">IFERROR(__xludf.DUMMYFUNCTION("""COMPUTED_VALUE"""),"المعملجي")</f>
        <v>المعملجي</v>
      </c>
      <c r="D1043" s="35" t="str">
        <f ca="1">IFERROR(__xludf.DUMMYFUNCTION("""COMPUTED_VALUE"""),"وحدة الميكانيك")</f>
        <v>وحدة الميكانيك</v>
      </c>
      <c r="E1043" s="29" t="str">
        <f ca="1">IFERROR(__xludf.DUMMYFUNCTION("""COMPUTED_VALUE"""),"قسم المشاريع الهندسية")</f>
        <v>قسم المشاريع الهندسية</v>
      </c>
      <c r="F1043" s="29" t="str">
        <f ca="1">IFERROR(__xludf.DUMMYFUNCTION("""COMPUTED_VALUE"""),"H- ابتدائية القمر للبنات (الخامسة)")</f>
        <v>H- ابتدائية القمر للبنات (الخامسة)</v>
      </c>
      <c r="G1043" s="29" t="str">
        <f ca="1">IFERROR(__xludf.DUMMYFUNCTION("""COMPUTED_VALUE"""),"السطح")</f>
        <v>السطح</v>
      </c>
      <c r="H1043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43" s="29"/>
      <c r="J1043" s="29" t="s">
        <v>14</v>
      </c>
      <c r="K1043" s="29" t="s">
        <v>13</v>
      </c>
      <c r="L1043" s="34"/>
      <c r="M1043" s="29"/>
    </row>
    <row r="1044" spans="1:13" ht="75" customHeight="1" thickTop="1" thickBot="1">
      <c r="A1044" s="23">
        <v>1042</v>
      </c>
      <c r="B1044" s="34">
        <f ca="1">IFERROR(__xludf.DUMMYFUNCTION("""COMPUTED_VALUE"""),46173.3865207986)</f>
        <v>46173.386520798602</v>
      </c>
      <c r="C1044" s="35" t="str">
        <f ca="1">IFERROR(__xludf.DUMMYFUNCTION("""COMPUTED_VALUE"""),"المعملجي")</f>
        <v>المعملجي</v>
      </c>
      <c r="D1044" s="35" t="str">
        <f ca="1">IFERROR(__xludf.DUMMYFUNCTION("""COMPUTED_VALUE"""),"وحدة الميكانيك")</f>
        <v>وحدة الميكانيك</v>
      </c>
      <c r="E1044" s="29" t="str">
        <f ca="1">IFERROR(__xludf.DUMMYFUNCTION("""COMPUTED_VALUE"""),"قسم المشاريع الهندسية")</f>
        <v>قسم المشاريع الهندسية</v>
      </c>
      <c r="F1044" s="29" t="str">
        <f ca="1">IFERROR(__xludf.DUMMYFUNCTION("""COMPUTED_VALUE"""),"I- ابتدائية الساقي للبنين (السادسة)")</f>
        <v>I- ابتدائية الساقي للبنين (السادسة)</v>
      </c>
      <c r="G1044" s="29" t="str">
        <f ca="1">IFERROR(__xludf.DUMMYFUNCTION("""COMPUTED_VALUE"""),"السطح")</f>
        <v>السطح</v>
      </c>
      <c r="H1044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44" s="29"/>
      <c r="J1044" s="29" t="s">
        <v>14</v>
      </c>
      <c r="K1044" s="29" t="s">
        <v>13</v>
      </c>
      <c r="L1044" s="34"/>
      <c r="M1044" s="29"/>
    </row>
    <row r="1045" spans="1:13" ht="75" customHeight="1" thickTop="1" thickBot="1">
      <c r="A1045" s="25">
        <v>1043</v>
      </c>
      <c r="B1045" s="34">
        <f ca="1">IFERROR(__xludf.DUMMYFUNCTION("""COMPUTED_VALUE"""),46173.3868042361)</f>
        <v>46173.386804236099</v>
      </c>
      <c r="C1045" s="35" t="str">
        <f ca="1">IFERROR(__xludf.DUMMYFUNCTION("""COMPUTED_VALUE"""),"المعملجي")</f>
        <v>المعملجي</v>
      </c>
      <c r="D1045" s="35" t="str">
        <f ca="1">IFERROR(__xludf.DUMMYFUNCTION("""COMPUTED_VALUE"""),"وحدة الميكانيك")</f>
        <v>وحدة الميكانيك</v>
      </c>
      <c r="E1045" s="29" t="str">
        <f ca="1">IFERROR(__xludf.DUMMYFUNCTION("""COMPUTED_VALUE"""),"قسم المشاريع الهندسية")</f>
        <v>قسم المشاريع الهندسية</v>
      </c>
      <c r="F1045" s="29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1045" s="29" t="str">
        <f ca="1">IFERROR(__xludf.DUMMYFUNCTION("""COMPUTED_VALUE"""),"السطح")</f>
        <v>السطح</v>
      </c>
      <c r="H1045" s="29" t="str">
        <f ca="1">IFERROR(__xludf.DUMMYFUNCTION("""COMPUTED_VALUE"""),"تبديل الفلاتر والمواد الكيميائية الخاصة بمنظومة تحلية المياه في البناية ")</f>
        <v xml:space="preserve">تبديل الفلاتر والمواد الكيميائية الخاصة بمنظومة تحلية المياه في البناية </v>
      </c>
      <c r="I1045" s="29"/>
      <c r="J1045" s="29" t="s">
        <v>14</v>
      </c>
      <c r="K1045" s="29" t="s">
        <v>13</v>
      </c>
      <c r="L1045" s="34"/>
      <c r="M1045" s="29"/>
    </row>
    <row r="1046" spans="1:13" ht="75" customHeight="1" thickTop="1" thickBot="1">
      <c r="A1046" s="23">
        <v>1044</v>
      </c>
      <c r="B1046" s="34">
        <f ca="1">IFERROR(__xludf.DUMMYFUNCTION("""COMPUTED_VALUE"""),46173.3877607175)</f>
        <v>46173.387760717502</v>
      </c>
      <c r="C1046" s="35" t="str">
        <f ca="1">IFERROR(__xludf.DUMMYFUNCTION("""COMPUTED_VALUE"""),"المعملجي")</f>
        <v>المعملجي</v>
      </c>
      <c r="D1046" s="35" t="str">
        <f ca="1">IFERROR(__xludf.DUMMYFUNCTION("""COMPUTED_VALUE"""),"وحدة الميكانيك")</f>
        <v>وحدة الميكانيك</v>
      </c>
      <c r="E1046" s="29" t="str">
        <f ca="1">IFERROR(__xludf.DUMMYFUNCTION("""COMPUTED_VALUE"""),"قسم المشاريع الهندسية")</f>
        <v>قسم المشاريع الهندسية</v>
      </c>
      <c r="F1046" s="29" t="str">
        <f ca="1">IFERROR(__xludf.DUMMYFUNCTION("""COMPUTED_VALUE"""),"A- المركز الثقافي")</f>
        <v>A- المركز الثقافي</v>
      </c>
      <c r="G1046" s="29" t="str">
        <f ca="1">IFERROR(__xludf.DUMMYFUNCTION("""COMPUTED_VALUE"""),"الطابق الاول")</f>
        <v>الطابق الاول</v>
      </c>
      <c r="H1046" s="29" t="str">
        <f ca="1">IFERROR(__xludf.DUMMYFUNCTION("""COMPUTED_VALUE"""),"اضافة خزان مياه داخلي ومضخة بوستر لتبريد المياه الخاصة بصحيات رئاسة القسم")</f>
        <v>اضافة خزان مياه داخلي ومضخة بوستر لتبريد المياه الخاصة بصحيات رئاسة القسم</v>
      </c>
      <c r="I1046" s="29"/>
      <c r="J1046" s="29" t="s">
        <v>14</v>
      </c>
      <c r="K1046" s="29" t="s">
        <v>13</v>
      </c>
      <c r="L1046" s="34"/>
      <c r="M1046" s="29"/>
    </row>
    <row r="1047" spans="1:13" ht="75" customHeight="1" thickTop="1" thickBot="1">
      <c r="A1047" s="25">
        <v>1045</v>
      </c>
      <c r="B1047" s="34">
        <f ca="1">IFERROR(__xludf.DUMMYFUNCTION("""COMPUTED_VALUE"""),46173.503078912)</f>
        <v>46173.503078911999</v>
      </c>
      <c r="C1047" s="35" t="str">
        <f ca="1">IFERROR(__xludf.DUMMYFUNCTION("""COMPUTED_VALUE"""),"المعملجي")</f>
        <v>المعملجي</v>
      </c>
      <c r="D1047" s="35" t="str">
        <f ca="1">IFERROR(__xludf.DUMMYFUNCTION("""COMPUTED_VALUE"""),"ابو سجاد")</f>
        <v>ابو سجاد</v>
      </c>
      <c r="E1047" s="29" t="str">
        <f ca="1">IFERROR(__xludf.DUMMYFUNCTION("""COMPUTED_VALUE"""),"مجموعة العميد التربوية")</f>
        <v>مجموعة العميد التربوية</v>
      </c>
      <c r="F1047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47" s="29" t="str">
        <f ca="1">IFERROR(__xludf.DUMMYFUNCTION("""COMPUTED_VALUE"""),"الطابق الارضي, ZONE B")</f>
        <v>الطابق الارضي, ZONE B</v>
      </c>
      <c r="H1047" s="29" t="str">
        <f ca="1">IFERROR(__xludf.DUMMYFUNCTION("""COMPUTED_VALUE"""),"صيانة حنفية حمام")</f>
        <v>صيانة حنفية حمام</v>
      </c>
      <c r="I1047" s="29"/>
      <c r="J1047" s="29" t="s">
        <v>14</v>
      </c>
      <c r="K1047" s="29" t="s">
        <v>13</v>
      </c>
      <c r="L1047" s="34">
        <v>46174.498608530092</v>
      </c>
      <c r="M1047" s="29"/>
    </row>
    <row r="1048" spans="1:13" ht="75" customHeight="1" thickTop="1" thickBot="1">
      <c r="A1048" s="23">
        <v>1046</v>
      </c>
      <c r="B1048" s="34">
        <f ca="1">IFERROR(__xludf.DUMMYFUNCTION("""COMPUTED_VALUE"""),46173.6309527662)</f>
        <v>46173.630952766202</v>
      </c>
      <c r="C1048" s="35" t="str">
        <f ca="1">IFERROR(__xludf.DUMMYFUNCTION("""COMPUTED_VALUE"""),"المعملجي")</f>
        <v>المعملجي</v>
      </c>
      <c r="D1048" s="35" t="str">
        <f ca="1">IFERROR(__xludf.DUMMYFUNCTION("""COMPUTED_VALUE"""),"ابو سجاد ")</f>
        <v xml:space="preserve">ابو سجاد </v>
      </c>
      <c r="E1048" s="29" t="str">
        <f ca="1">IFERROR(__xludf.DUMMYFUNCTION("""COMPUTED_VALUE"""),"مجموعة العميد التربوية")</f>
        <v>مجموعة العميد التربوية</v>
      </c>
      <c r="F1048" s="29" t="str">
        <f ca="1">IFERROR(__xludf.DUMMYFUNCTION("""COMPUTED_VALUE"""),"A- المركز الثقافي")</f>
        <v>A- المركز الثقافي</v>
      </c>
      <c r="G1048" s="29" t="str">
        <f ca="1">IFERROR(__xludf.DUMMYFUNCTION("""COMPUTED_VALUE"""),"الطابق الثالث")</f>
        <v>الطابق الثالث</v>
      </c>
      <c r="H1048" s="29" t="str">
        <f ca="1">IFERROR(__xludf.DUMMYFUNCTION("""COMPUTED_VALUE"""),"صيانة حنفية ")</f>
        <v xml:space="preserve">صيانة حنفية </v>
      </c>
      <c r="I1048" s="29"/>
      <c r="J1048" s="29" t="s">
        <v>14</v>
      </c>
      <c r="K1048" s="29" t="s">
        <v>13</v>
      </c>
      <c r="L1048" s="34">
        <v>46173.631056875005</v>
      </c>
      <c r="M1048" s="29"/>
    </row>
    <row r="1049" spans="1:13" ht="75" customHeight="1" thickTop="1" thickBot="1">
      <c r="A1049" s="25">
        <v>1047</v>
      </c>
      <c r="B1049" s="34">
        <f ca="1">IFERROR(__xludf.DUMMYFUNCTION("""COMPUTED_VALUE"""),46179.357958287)</f>
        <v>46179.357958287001</v>
      </c>
      <c r="C1049" s="35" t="str">
        <f ca="1">IFERROR(__xludf.DUMMYFUNCTION("""COMPUTED_VALUE"""),"المعملجي")</f>
        <v>المعملجي</v>
      </c>
      <c r="D1049" s="35" t="str">
        <f ca="1">IFERROR(__xludf.DUMMYFUNCTION("""COMPUTED_VALUE"""),"ابو سجاد ")</f>
        <v xml:space="preserve">ابو سجاد </v>
      </c>
      <c r="E1049" s="29" t="str">
        <f ca="1">IFERROR(__xludf.DUMMYFUNCTION("""COMPUTED_VALUE"""),"مجموعة العميد التربوية")</f>
        <v>مجموعة العميد التربوية</v>
      </c>
      <c r="F1049" s="29" t="str">
        <f ca="1">IFERROR(__xludf.DUMMYFUNCTION("""COMPUTED_VALUE"""),"H- ابتدائية القمر للبنات (الخامسة)")</f>
        <v>H- ابتدائية القمر للبنات (الخامسة)</v>
      </c>
      <c r="G1049" s="29" t="str">
        <f ca="1">IFERROR(__xludf.DUMMYFUNCTION("""COMPUTED_VALUE"""),"السطح")</f>
        <v>السطح</v>
      </c>
      <c r="H1049" s="29" t="str">
        <f ca="1">IFERROR(__xludf.DUMMYFUNCTION("""COMPUTED_VALUE"""),"Ro لا يوجد ماء")</f>
        <v>Ro لا يوجد ماء</v>
      </c>
      <c r="I1049" s="29"/>
      <c r="J1049" s="29" t="s">
        <v>14</v>
      </c>
      <c r="K1049" s="29" t="s">
        <v>13</v>
      </c>
      <c r="L1049" s="34">
        <v>46179.437059456017</v>
      </c>
      <c r="M1049" s="29"/>
    </row>
    <row r="1050" spans="1:13" ht="75" customHeight="1" thickTop="1" thickBot="1">
      <c r="A1050" s="23">
        <v>1048</v>
      </c>
      <c r="B1050" s="34">
        <f ca="1">IFERROR(__xludf.DUMMYFUNCTION("""COMPUTED_VALUE"""),46179.433389456)</f>
        <v>46179.433389455997</v>
      </c>
      <c r="C1050" s="35" t="str">
        <f ca="1">IFERROR(__xludf.DUMMYFUNCTION("""COMPUTED_VALUE"""),"المعملجي")</f>
        <v>المعملجي</v>
      </c>
      <c r="D1050" s="35" t="str">
        <f ca="1">IFERROR(__xludf.DUMMYFUNCTION("""COMPUTED_VALUE"""),"ابو سجاد ")</f>
        <v xml:space="preserve">ابو سجاد </v>
      </c>
      <c r="E1050" s="29" t="str">
        <f ca="1">IFERROR(__xludf.DUMMYFUNCTION("""COMPUTED_VALUE"""),"مجموعة العميد التربوية")</f>
        <v>مجموعة العميد التربوية</v>
      </c>
      <c r="F1050" s="29" t="str">
        <f ca="1">IFERROR(__xludf.DUMMYFUNCTION("""COMPUTED_VALUE"""),"G- روضة الجود")</f>
        <v>G- روضة الجود</v>
      </c>
      <c r="G1050" s="29" t="str">
        <f ca="1">IFERROR(__xludf.DUMMYFUNCTION("""COMPUTED_VALUE"""),"السطح")</f>
        <v>السطح</v>
      </c>
      <c r="H1050" s="29" t="str">
        <f ca="1">IFERROR(__xludf.DUMMYFUNCTION("""COMPUTED_VALUE"""),"Ro لايوجد ماء")</f>
        <v>Ro لايوجد ماء</v>
      </c>
      <c r="I1050" s="29"/>
      <c r="J1050" s="29" t="s">
        <v>14</v>
      </c>
      <c r="K1050" s="29" t="s">
        <v>13</v>
      </c>
      <c r="L1050" s="34"/>
      <c r="M1050" s="29"/>
    </row>
    <row r="1051" spans="1:13" ht="75" customHeight="1" thickTop="1" thickBot="1">
      <c r="A1051" s="25">
        <v>1049</v>
      </c>
      <c r="B1051" s="34">
        <f ca="1">IFERROR(__xludf.DUMMYFUNCTION("""COMPUTED_VALUE"""),46181.4044297569)</f>
        <v>46181.404429756898</v>
      </c>
      <c r="C1051" s="35" t="str">
        <f ca="1">IFERROR(__xludf.DUMMYFUNCTION("""COMPUTED_VALUE"""),"المعملجي")</f>
        <v>المعملجي</v>
      </c>
      <c r="D1051" s="35" t="str">
        <f ca="1">IFERROR(__xludf.DUMMYFUNCTION("""COMPUTED_VALUE"""),"ابو سجاد ")</f>
        <v xml:space="preserve">ابو سجاد </v>
      </c>
      <c r="E1051" s="29" t="str">
        <f ca="1">IFERROR(__xludf.DUMMYFUNCTION("""COMPUTED_VALUE"""),"مجموعة العميد التربوية")</f>
        <v>مجموعة العميد التربوية</v>
      </c>
      <c r="F1051" s="29" t="str">
        <f ca="1">IFERROR(__xludf.DUMMYFUNCTION("""COMPUTED_VALUE"""),"B- روضة القمر")</f>
        <v>B- روضة القمر</v>
      </c>
      <c r="G1051" s="29" t="str">
        <f ca="1">IFERROR(__xludf.DUMMYFUNCTION("""COMPUTED_VALUE"""),"السطح")</f>
        <v>السطح</v>
      </c>
      <c r="H1051" s="29" t="str">
        <f ca="1">IFERROR(__xludf.DUMMYFUNCTION("""COMPUTED_VALUE"""),"Roلا يوجد ماء ")</f>
        <v xml:space="preserve">Roلا يوجد ماء </v>
      </c>
      <c r="I1051" s="29"/>
      <c r="J1051" s="29" t="s">
        <v>14</v>
      </c>
      <c r="K1051" s="29" t="s">
        <v>13</v>
      </c>
      <c r="L1051" s="34"/>
      <c r="M1051" s="29"/>
    </row>
    <row r="1052" spans="1:13" ht="75" customHeight="1" thickTop="1" thickBot="1">
      <c r="A1052" s="23">
        <v>1050</v>
      </c>
      <c r="B1052" s="34">
        <f ca="1">IFERROR(__xludf.DUMMYFUNCTION("""COMPUTED_VALUE"""),46181.4048392592)</f>
        <v>46181.404839259201</v>
      </c>
      <c r="C1052" s="35" t="str">
        <f ca="1">IFERROR(__xludf.DUMMYFUNCTION("""COMPUTED_VALUE"""),"المعملجي")</f>
        <v>المعملجي</v>
      </c>
      <c r="D1052" s="35" t="str">
        <f ca="1">IFERROR(__xludf.DUMMYFUNCTION("""COMPUTED_VALUE"""),"ابو سجاد ")</f>
        <v xml:space="preserve">ابو سجاد </v>
      </c>
      <c r="E1052" s="29" t="str">
        <f ca="1">IFERROR(__xludf.DUMMYFUNCTION("""COMPUTED_VALUE"""),"مجموعة العميد التربوية")</f>
        <v>مجموعة العميد التربوية</v>
      </c>
      <c r="F1052" s="29" t="str">
        <f ca="1">IFERROR(__xludf.DUMMYFUNCTION("""COMPUTED_VALUE"""),"J- ابتدائية الساقي للبنين الجانب الثاني (السابعة)")</f>
        <v>J- ابتدائية الساقي للبنين الجانب الثاني (السابعة)</v>
      </c>
      <c r="G1052" s="29" t="str">
        <f ca="1">IFERROR(__xludf.DUMMYFUNCTION("""COMPUTED_VALUE"""),"السطح")</f>
        <v>السطح</v>
      </c>
      <c r="H1052" s="29" t="str">
        <f ca="1">IFERROR(__xludf.DUMMYFUNCTION("""COMPUTED_VALUE"""),"Ro لا يوجد ماء ")</f>
        <v xml:space="preserve">Ro لا يوجد ماء </v>
      </c>
      <c r="I1052" s="29"/>
      <c r="J1052" s="29" t="s">
        <v>14</v>
      </c>
      <c r="K1052" s="29" t="s">
        <v>13</v>
      </c>
      <c r="L1052" s="34"/>
      <c r="M1052" s="29"/>
    </row>
    <row r="1053" spans="1:13" ht="75" customHeight="1" thickTop="1" thickBot="1">
      <c r="A1053" s="25">
        <v>1051</v>
      </c>
      <c r="B1053" s="34">
        <f ca="1">IFERROR(__xludf.DUMMYFUNCTION("""COMPUTED_VALUE"""),46181.4057308796)</f>
        <v>46181.405730879596</v>
      </c>
      <c r="C1053" s="35" t="str">
        <f ca="1">IFERROR(__xludf.DUMMYFUNCTION("""COMPUTED_VALUE"""),"المعملجي")</f>
        <v>المعملجي</v>
      </c>
      <c r="D1053" s="35" t="str">
        <f ca="1">IFERROR(__xludf.DUMMYFUNCTION("""COMPUTED_VALUE"""),"وحدة الميكانيك")</f>
        <v>وحدة الميكانيك</v>
      </c>
      <c r="E1053" s="29" t="str">
        <f ca="1">IFERROR(__xludf.DUMMYFUNCTION("""COMPUTED_VALUE"""),"قسم المشاريع الهندسية")</f>
        <v>قسم المشاريع الهندسية</v>
      </c>
      <c r="F1053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53" s="29" t="str">
        <f ca="1">IFERROR(__xludf.DUMMYFUNCTION("""COMPUTED_VALUE"""),"الطابق الاول, ZONE B")</f>
        <v>الطابق الاول, ZONE B</v>
      </c>
      <c r="H1053" s="29" t="str">
        <f ca="1">IFERROR(__xludf.DUMMYFUNCTION("""COMPUTED_VALUE"""),"صيانة صندوق فلاش ")</f>
        <v xml:space="preserve">صيانة صندوق فلاش </v>
      </c>
      <c r="I1053" s="29"/>
      <c r="J1053" s="29" t="s">
        <v>14</v>
      </c>
      <c r="K1053" s="29" t="s">
        <v>13</v>
      </c>
      <c r="L1053" s="34"/>
      <c r="M1053" s="29"/>
    </row>
    <row r="1054" spans="1:13" ht="75" customHeight="1" thickTop="1" thickBot="1">
      <c r="A1054" s="23">
        <v>1052</v>
      </c>
      <c r="B1054" s="34">
        <f ca="1">IFERROR(__xludf.DUMMYFUNCTION("""COMPUTED_VALUE"""),46181.4060797453)</f>
        <v>46181.406079745298</v>
      </c>
      <c r="C1054" s="35" t="str">
        <f ca="1">IFERROR(__xludf.DUMMYFUNCTION("""COMPUTED_VALUE"""),"المعملجي")</f>
        <v>المعملجي</v>
      </c>
      <c r="D1054" s="35" t="str">
        <f ca="1">IFERROR(__xludf.DUMMYFUNCTION("""COMPUTED_VALUE"""),"وحدة الميكانيك")</f>
        <v>وحدة الميكانيك</v>
      </c>
      <c r="E1054" s="29" t="str">
        <f ca="1">IFERROR(__xludf.DUMMYFUNCTION("""COMPUTED_VALUE"""),"قسم المشاريع الهندسية")</f>
        <v>قسم المشاريع الهندسية</v>
      </c>
      <c r="F1054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54" s="29" t="str">
        <f ca="1">IFERROR(__xludf.DUMMYFUNCTION("""COMPUTED_VALUE"""),"الطابق الثاني, ZONE B")</f>
        <v>الطابق الثاني, ZONE B</v>
      </c>
      <c r="H1054" s="29" t="str">
        <f ca="1">IFERROR(__xludf.DUMMYFUNCTION("""COMPUTED_VALUE"""),"صيانة قبق غربي ")</f>
        <v xml:space="preserve">صيانة قبق غربي </v>
      </c>
      <c r="I1054" s="29"/>
      <c r="J1054" s="29" t="s">
        <v>14</v>
      </c>
      <c r="K1054" s="29" t="s">
        <v>13</v>
      </c>
      <c r="L1054" s="34"/>
      <c r="M1054" s="29"/>
    </row>
    <row r="1055" spans="1:13" ht="75" customHeight="1" thickTop="1" thickBot="1">
      <c r="A1055" s="25">
        <v>1053</v>
      </c>
      <c r="B1055" s="34">
        <f ca="1">IFERROR(__xludf.DUMMYFUNCTION("""COMPUTED_VALUE"""),46181.4065021527)</f>
        <v>46181.406502152699</v>
      </c>
      <c r="C1055" s="35" t="str">
        <f ca="1">IFERROR(__xludf.DUMMYFUNCTION("""COMPUTED_VALUE"""),"المعملجي")</f>
        <v>المعملجي</v>
      </c>
      <c r="D1055" s="35" t="str">
        <f ca="1">IFERROR(__xludf.DUMMYFUNCTION("""COMPUTED_VALUE"""),"وحدة الميكانيك")</f>
        <v>وحدة الميكانيك</v>
      </c>
      <c r="E1055" s="29" t="str">
        <f ca="1">IFERROR(__xludf.DUMMYFUNCTION("""COMPUTED_VALUE"""),"قسم المشاريع الهندسية")</f>
        <v>قسم المشاريع الهندسية</v>
      </c>
      <c r="F1055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55" s="29" t="str">
        <f ca="1">IFERROR(__xludf.DUMMYFUNCTION("""COMPUTED_VALUE"""),"الطابق الاول, ZONE B")</f>
        <v>الطابق الاول, ZONE B</v>
      </c>
      <c r="H1055" s="29" t="str">
        <f ca="1">IFERROR(__xludf.DUMMYFUNCTION("""COMPUTED_VALUE"""),"صيانة صندوق فلاش ")</f>
        <v xml:space="preserve">صيانة صندوق فلاش </v>
      </c>
      <c r="I1055" s="29"/>
      <c r="J1055" s="29" t="s">
        <v>14</v>
      </c>
      <c r="K1055" s="29" t="s">
        <v>13</v>
      </c>
      <c r="L1055" s="34"/>
      <c r="M1055" s="29"/>
    </row>
    <row r="1056" spans="1:13" ht="75" customHeight="1" thickTop="1" thickBot="1">
      <c r="A1056" s="23">
        <v>1054</v>
      </c>
      <c r="B1056" s="34">
        <f ca="1">IFERROR(__xludf.DUMMYFUNCTION("""COMPUTED_VALUE"""),46182.5354783449)</f>
        <v>46182.5354783449</v>
      </c>
      <c r="C1056" s="35" t="str">
        <f ca="1">IFERROR(__xludf.DUMMYFUNCTION("""COMPUTED_VALUE"""),"المعملجي")</f>
        <v>المعملجي</v>
      </c>
      <c r="D1056" s="35" t="str">
        <f ca="1">IFERROR(__xludf.DUMMYFUNCTION("""COMPUTED_VALUE"""),"ابراهيم الخطابي")</f>
        <v>ابراهيم الخطابي</v>
      </c>
      <c r="E1056" s="29" t="str">
        <f ca="1">IFERROR(__xludf.DUMMYFUNCTION("""COMPUTED_VALUE"""),"مجموعة العميد التربوية")</f>
        <v>مجموعة العميد التربوية</v>
      </c>
      <c r="F1056" s="29" t="str">
        <f ca="1">IFERROR(__xludf.DUMMYFUNCTION("""COMPUTED_VALUE"""),"H- ابتدائية القمر للبنات (الخامسة)")</f>
        <v>H- ابتدائية القمر للبنات (الخامسة)</v>
      </c>
      <c r="G1056" s="29" t="str">
        <f ca="1">IFERROR(__xludf.DUMMYFUNCTION("""COMPUTED_VALUE"""),"الطابق الاول")</f>
        <v>الطابق الاول</v>
      </c>
      <c r="H1056" s="29" t="str">
        <f ca="1">IFERROR(__xludf.DUMMYFUNCTION("""COMPUTED_VALUE"""),"انسداد المغاسل الحمام الخارجي ")</f>
        <v xml:space="preserve">انسداد المغاسل الحمام الخارجي </v>
      </c>
      <c r="I1056" s="29"/>
      <c r="J1056" s="29" t="s">
        <v>14</v>
      </c>
      <c r="K1056" s="29" t="s">
        <v>13</v>
      </c>
      <c r="L1056" s="34">
        <v>46184.351343263887</v>
      </c>
      <c r="M1056" s="29"/>
    </row>
    <row r="1057" spans="1:13" ht="75" customHeight="1" thickTop="1" thickBot="1">
      <c r="A1057" s="25">
        <v>1055</v>
      </c>
      <c r="B1057" s="34">
        <f ca="1">IFERROR(__xludf.DUMMYFUNCTION("""COMPUTED_VALUE"""),46182.5360801157)</f>
        <v>46182.5360801157</v>
      </c>
      <c r="C1057" s="35" t="str">
        <f ca="1">IFERROR(__xludf.DUMMYFUNCTION("""COMPUTED_VALUE"""),"المعملجي")</f>
        <v>المعملجي</v>
      </c>
      <c r="D1057" s="35" t="str">
        <f ca="1">IFERROR(__xludf.DUMMYFUNCTION("""COMPUTED_VALUE"""),"ابراهيم الخطابي")</f>
        <v>ابراهيم الخطابي</v>
      </c>
      <c r="E1057" s="29" t="str">
        <f ca="1">IFERROR(__xludf.DUMMYFUNCTION("""COMPUTED_VALUE"""),"مجموعة العميد التربوية")</f>
        <v>مجموعة العميد التربوية</v>
      </c>
      <c r="F1057" s="29" t="str">
        <f ca="1">IFERROR(__xludf.DUMMYFUNCTION("""COMPUTED_VALUE"""),"F-  ابتدائية جود العميد للبنات (الرابعة)")</f>
        <v>F-  ابتدائية جود العميد للبنات (الرابعة)</v>
      </c>
      <c r="G1057" s="29" t="str">
        <f ca="1">IFERROR(__xludf.DUMMYFUNCTION("""COMPUTED_VALUE"""),"الطابق الثاني")</f>
        <v>الطابق الثاني</v>
      </c>
      <c r="H1057" s="29" t="str">
        <f ca="1">IFERROR(__xludf.DUMMYFUNCTION("""COMPUTED_VALUE"""),"تلف صوندةالبرادات ")</f>
        <v xml:space="preserve">تلف صوندةالبرادات </v>
      </c>
      <c r="I1057" s="29"/>
      <c r="J1057" s="29" t="s">
        <v>14</v>
      </c>
      <c r="K1057" s="29" t="s">
        <v>13</v>
      </c>
      <c r="L1057" s="34">
        <v>46184.366918333333</v>
      </c>
      <c r="M1057" s="29"/>
    </row>
    <row r="1058" spans="1:13" ht="75" customHeight="1" thickTop="1" thickBot="1">
      <c r="A1058" s="23">
        <v>1056</v>
      </c>
      <c r="B1058" s="34">
        <f ca="1">IFERROR(__xludf.DUMMYFUNCTION("""COMPUTED_VALUE"""),46183.434084155)</f>
        <v>46183.434084155</v>
      </c>
      <c r="C1058" s="35" t="str">
        <f ca="1">IFERROR(__xludf.DUMMYFUNCTION("""COMPUTED_VALUE"""),"المعملجي")</f>
        <v>المعملجي</v>
      </c>
      <c r="D1058" s="35" t="str">
        <f ca="1">IFERROR(__xludf.DUMMYFUNCTION("""COMPUTED_VALUE"""),"ابو سجاد ")</f>
        <v xml:space="preserve">ابو سجاد </v>
      </c>
      <c r="E1058" s="29" t="str">
        <f ca="1">IFERROR(__xludf.DUMMYFUNCTION("""COMPUTED_VALUE"""),"مجموعة العميد التربوية")</f>
        <v>مجموعة العميد التربوية</v>
      </c>
      <c r="F1058" s="29" t="str">
        <f ca="1">IFERROR(__xludf.DUMMYFUNCTION("""COMPUTED_VALUE"""),"كرفان الأمنية ")</f>
        <v xml:space="preserve">كرفان الأمنية </v>
      </c>
      <c r="G1058" s="29" t="str">
        <f ca="1">IFERROR(__xludf.DUMMYFUNCTION("""COMPUTED_VALUE"""),"الطابق الارضي")</f>
        <v>الطابق الارضي</v>
      </c>
      <c r="H1058" s="29" t="str">
        <f ca="1">IFERROR(__xludf.DUMMYFUNCTION("""COMPUTED_VALUE"""),"تأسيس أنبوب ماء للمغسلة")</f>
        <v>تأسيس أنبوب ماء للمغسلة</v>
      </c>
      <c r="I1058" s="29"/>
      <c r="J1058" s="29" t="s">
        <v>14</v>
      </c>
      <c r="K1058" s="29" t="s">
        <v>13</v>
      </c>
      <c r="L1058" s="34">
        <v>46183.495778796292</v>
      </c>
      <c r="M1058" s="29"/>
    </row>
    <row r="1059" spans="1:13" ht="75" customHeight="1" thickTop="1" thickBot="1">
      <c r="A1059" s="25">
        <v>1057</v>
      </c>
      <c r="B1059" s="34">
        <f ca="1">IFERROR(__xludf.DUMMYFUNCTION("""COMPUTED_VALUE"""),46184.4733810301)</f>
        <v>46184.473381030097</v>
      </c>
      <c r="C1059" s="35" t="str">
        <f ca="1">IFERROR(__xludf.DUMMYFUNCTION("""COMPUTED_VALUE"""),"المعملجي")</f>
        <v>المعملجي</v>
      </c>
      <c r="D1059" s="35" t="str">
        <f ca="1">IFERROR(__xludf.DUMMYFUNCTION("""COMPUTED_VALUE"""),"ابراهيم الخطابي")</f>
        <v>ابراهيم الخطابي</v>
      </c>
      <c r="E1059" s="29" t="str">
        <f ca="1">IFERROR(__xludf.DUMMYFUNCTION("""COMPUTED_VALUE"""),"مجموعة العميد التربوية")</f>
        <v>مجموعة العميد التربوية</v>
      </c>
      <c r="F1059" s="29" t="str">
        <f ca="1">IFERROR(__xludf.DUMMYFUNCTION("""COMPUTED_VALUE"""),"E- ابتدائية العميد للبنات (الثالثة)")</f>
        <v>E- ابتدائية العميد للبنات (الثالثة)</v>
      </c>
      <c r="G1059" s="29" t="str">
        <f ca="1">IFERROR(__xludf.DUMMYFUNCTION("""COMPUTED_VALUE"""),"الطابق الارضي")</f>
        <v>الطابق الارضي</v>
      </c>
      <c r="H1059" s="29" t="str">
        <f ca="1">IFERROR(__xludf.DUMMYFUNCTION("""COMPUTED_VALUE"""),"صيانة حمامات في الزون بي")</f>
        <v>صيانة حمامات في الزون بي</v>
      </c>
      <c r="I1059" s="29"/>
      <c r="J1059" s="29" t="s">
        <v>14</v>
      </c>
      <c r="K1059" s="29" t="s">
        <v>13</v>
      </c>
      <c r="L1059" s="34"/>
      <c r="M1059" s="29"/>
    </row>
    <row r="1060" spans="1:13" ht="75" customHeight="1" thickTop="1" thickBot="1">
      <c r="A1060" s="23">
        <v>1058</v>
      </c>
      <c r="B1060" s="34">
        <f ca="1">IFERROR(__xludf.DUMMYFUNCTION("""COMPUTED_VALUE"""),46184.473760868)</f>
        <v>46184.473760868001</v>
      </c>
      <c r="C1060" s="35" t="str">
        <f ca="1">IFERROR(__xludf.DUMMYFUNCTION("""COMPUTED_VALUE"""),"المعملجي")</f>
        <v>المعملجي</v>
      </c>
      <c r="D1060" s="35" t="str">
        <f ca="1">IFERROR(__xludf.DUMMYFUNCTION("""COMPUTED_VALUE"""),"ابراهيم الخطابي")</f>
        <v>ابراهيم الخطابي</v>
      </c>
      <c r="E1060" s="29" t="str">
        <f ca="1">IFERROR(__xludf.DUMMYFUNCTION("""COMPUTED_VALUE"""),"مجموعة العميد التربوية")</f>
        <v>مجموعة العميد التربوية</v>
      </c>
      <c r="F1060" s="29" t="str">
        <f ca="1">IFERROR(__xludf.DUMMYFUNCTION("""COMPUTED_VALUE"""),"E- ابتدائية العميد للبنات (الثالثة)")</f>
        <v>E- ابتدائية العميد للبنات (الثالثة)</v>
      </c>
      <c r="G1060" s="29" t="str">
        <f ca="1">IFERROR(__xludf.DUMMYFUNCTION("""COMPUTED_VALUE"""),"الطابق الارضي")</f>
        <v>الطابق الارضي</v>
      </c>
      <c r="H1060" s="29" t="str">
        <f ca="1">IFERROR(__xludf.DUMMYFUNCTION("""COMPUTED_VALUE"""),"صيانة حمام الادارة")</f>
        <v>صيانة حمام الادارة</v>
      </c>
      <c r="I1060" s="29"/>
      <c r="J1060" s="29" t="s">
        <v>14</v>
      </c>
      <c r="K1060" s="29" t="s">
        <v>13</v>
      </c>
      <c r="L1060" s="34"/>
      <c r="M1060" s="29"/>
    </row>
    <row r="1061" spans="1:13" ht="75" customHeight="1" thickTop="1" thickBot="1">
      <c r="A1061" s="25">
        <v>1059</v>
      </c>
      <c r="B1061" s="34">
        <f ca="1">IFERROR(__xludf.DUMMYFUNCTION("""COMPUTED_VALUE"""),46184.4749726273)</f>
        <v>46184.4749726273</v>
      </c>
      <c r="C1061" s="35" t="str">
        <f ca="1">IFERROR(__xludf.DUMMYFUNCTION("""COMPUTED_VALUE"""),"المعملجي")</f>
        <v>المعملجي</v>
      </c>
      <c r="D1061" s="35" t="str">
        <f ca="1">IFERROR(__xludf.DUMMYFUNCTION("""COMPUTED_VALUE"""),"ابراهيم الخطابي")</f>
        <v>ابراهيم الخطابي</v>
      </c>
      <c r="E1061" s="29" t="str">
        <f ca="1">IFERROR(__xludf.DUMMYFUNCTION("""COMPUTED_VALUE"""),"مجموعة العميد التربوية")</f>
        <v>مجموعة العميد التربوية</v>
      </c>
      <c r="F1061" s="29" t="str">
        <f ca="1">IFERROR(__xludf.DUMMYFUNCTION("""COMPUTED_VALUE"""),"E- ابتدائية العميد للبنات (الثالثة)")</f>
        <v>E- ابتدائية العميد للبنات (الثالثة)</v>
      </c>
      <c r="G1061" s="29" t="str">
        <f ca="1">IFERROR(__xludf.DUMMYFUNCTION("""COMPUTED_VALUE"""),"الطابق الارضي")</f>
        <v>الطابق الارضي</v>
      </c>
      <c r="H1061" s="29" t="str">
        <f ca="1">IFERROR(__xludf.DUMMYFUNCTION("""COMPUTED_VALUE"""),"صيانة غربي ")</f>
        <v xml:space="preserve">صيانة غربي </v>
      </c>
      <c r="I1061" s="29"/>
      <c r="J1061" s="29" t="s">
        <v>14</v>
      </c>
      <c r="K1061" s="29" t="s">
        <v>13</v>
      </c>
      <c r="L1061" s="34"/>
      <c r="M1061" s="29"/>
    </row>
    <row r="1062" spans="1:13" ht="75" customHeight="1" thickTop="1" thickBot="1">
      <c r="A1062" s="23">
        <v>1060</v>
      </c>
      <c r="B1062" s="34">
        <f ca="1">IFERROR(__xludf.DUMMYFUNCTION("""COMPUTED_VALUE"""),46184.4772392824)</f>
        <v>46184.477239282402</v>
      </c>
      <c r="C1062" s="35" t="str">
        <f ca="1">IFERROR(__xludf.DUMMYFUNCTION("""COMPUTED_VALUE"""),"المعملجي")</f>
        <v>المعملجي</v>
      </c>
      <c r="D1062" s="35" t="str">
        <f ca="1">IFERROR(__xludf.DUMMYFUNCTION("""COMPUTED_VALUE"""),"ابراهيم الخطابي")</f>
        <v>ابراهيم الخطابي</v>
      </c>
      <c r="E1062" s="29" t="str">
        <f ca="1">IFERROR(__xludf.DUMMYFUNCTION("""COMPUTED_VALUE"""),"مجموعة العميد التربوية")</f>
        <v>مجموعة العميد التربوية</v>
      </c>
      <c r="F1062" s="29" t="str">
        <f ca="1">IFERROR(__xludf.DUMMYFUNCTION("""COMPUTED_VALUE"""),"E- ابتدائية العميد للبنات (الثالثة)")</f>
        <v>E- ابتدائية العميد للبنات (الثالثة)</v>
      </c>
      <c r="G1062" s="29" t="str">
        <f ca="1">IFERROR(__xludf.DUMMYFUNCTION("""COMPUTED_VALUE"""),"الطابق الارضي, ZONE B")</f>
        <v>الطابق الارضي, ZONE B</v>
      </c>
      <c r="H1062" s="29" t="str">
        <f ca="1">IFERROR(__xludf.DUMMYFUNCTION("""COMPUTED_VALUE"""),"صيانة برادات التلاميذ")</f>
        <v>صيانة برادات التلاميذ</v>
      </c>
      <c r="I1062" s="29"/>
      <c r="J1062" s="29" t="s">
        <v>14</v>
      </c>
      <c r="K1062" s="29" t="s">
        <v>13</v>
      </c>
      <c r="L1062" s="34"/>
      <c r="M1062" s="29"/>
    </row>
    <row r="1063" spans="1:13" ht="75" customHeight="1" thickTop="1" thickBot="1">
      <c r="A1063" s="25">
        <v>1061</v>
      </c>
      <c r="B1063" s="34">
        <f ca="1">IFERROR(__xludf.DUMMYFUNCTION("""COMPUTED_VALUE"""),46184.4895363194)</f>
        <v>46184.489536319401</v>
      </c>
      <c r="C1063" s="35" t="str">
        <f ca="1">IFERROR(__xludf.DUMMYFUNCTION("""COMPUTED_VALUE"""),"المعملجي")</f>
        <v>المعملجي</v>
      </c>
      <c r="D1063" s="35" t="str">
        <f ca="1">IFERROR(__xludf.DUMMYFUNCTION("""COMPUTED_VALUE"""),"ابراهيم الخطابي")</f>
        <v>ابراهيم الخطابي</v>
      </c>
      <c r="E1063" s="29" t="str">
        <f ca="1">IFERROR(__xludf.DUMMYFUNCTION("""COMPUTED_VALUE"""),"مجموعة العميد التربوية")</f>
        <v>مجموعة العميد التربوية</v>
      </c>
      <c r="F1063" s="29" t="str">
        <f ca="1">IFERROR(__xludf.DUMMYFUNCTION("""COMPUTED_VALUE"""),"E- ابتدائية العميد للبنات (الثالثة)")</f>
        <v>E- ابتدائية العميد للبنات (الثالثة)</v>
      </c>
      <c r="G1063" s="29" t="str">
        <f ca="1">IFERROR(__xludf.DUMMYFUNCTION("""COMPUTED_VALUE"""),"الطابق الارضي")</f>
        <v>الطابق الارضي</v>
      </c>
      <c r="H1063" s="29" t="str">
        <f ca="1">IFERROR(__xludf.DUMMYFUNCTION("""COMPUTED_VALUE"""),"تبديل كاك زاوية ثنائي ")</f>
        <v xml:space="preserve">تبديل كاك زاوية ثنائي </v>
      </c>
      <c r="I1063" s="29"/>
      <c r="J1063" s="29" t="s">
        <v>14</v>
      </c>
      <c r="K1063" s="29" t="s">
        <v>13</v>
      </c>
      <c r="L1063" s="34"/>
      <c r="M1063" s="29"/>
    </row>
    <row r="1064" spans="1:13" ht="75" customHeight="1" thickTop="1" thickBot="1">
      <c r="A1064" s="23">
        <v>1062</v>
      </c>
      <c r="B1064" s="34">
        <f ca="1">IFERROR(__xludf.DUMMYFUNCTION("""COMPUTED_VALUE"""),46184.4953567361)</f>
        <v>46184.495356736101</v>
      </c>
      <c r="C1064" s="35" t="str">
        <f ca="1">IFERROR(__xludf.DUMMYFUNCTION("""COMPUTED_VALUE"""),"المعملجي")</f>
        <v>المعملجي</v>
      </c>
      <c r="D1064" s="35" t="str">
        <f ca="1">IFERROR(__xludf.DUMMYFUNCTION("""COMPUTED_VALUE"""),"ابراهيم الخطابي")</f>
        <v>ابراهيم الخطابي</v>
      </c>
      <c r="E1064" s="29" t="str">
        <f ca="1">IFERROR(__xludf.DUMMYFUNCTION("""COMPUTED_VALUE"""),"مجموعة العميد التربوية")</f>
        <v>مجموعة العميد التربوية</v>
      </c>
      <c r="F1064" s="29" t="str">
        <f ca="1">IFERROR(__xludf.DUMMYFUNCTION("""COMPUTED_VALUE"""),"G- روضة الجود")</f>
        <v>G- روضة الجود</v>
      </c>
      <c r="G1064" s="29" t="str">
        <f ca="1">IFERROR(__xludf.DUMMYFUNCTION("""COMPUTED_VALUE"""),"الطابق الارضي")</f>
        <v>الطابق الارضي</v>
      </c>
      <c r="H1064" s="29" t="str">
        <f ca="1">IFERROR(__xludf.DUMMYFUNCTION("""COMPUTED_VALUE"""),"إضافة مسدس ماء حمام الارضي")</f>
        <v>إضافة مسدس ماء حمام الارضي</v>
      </c>
      <c r="I1064" s="29"/>
      <c r="J1064" s="29" t="s">
        <v>14</v>
      </c>
      <c r="K1064" s="29" t="s">
        <v>13</v>
      </c>
      <c r="L1064" s="34"/>
      <c r="M1064" s="29"/>
    </row>
    <row r="1065" spans="1:13" ht="75" customHeight="1" thickTop="1" thickBot="1">
      <c r="A1065" s="25">
        <v>1063</v>
      </c>
      <c r="B1065" s="34">
        <f ca="1">IFERROR(__xludf.DUMMYFUNCTION("""COMPUTED_VALUE"""),46184.4960950925)</f>
        <v>46184.496095092501</v>
      </c>
      <c r="C1065" s="35" t="str">
        <f ca="1">IFERROR(__xludf.DUMMYFUNCTION("""COMPUTED_VALUE"""),"المعملجي")</f>
        <v>المعملجي</v>
      </c>
      <c r="D1065" s="35" t="str">
        <f ca="1">IFERROR(__xludf.DUMMYFUNCTION("""COMPUTED_VALUE"""),"ابراهيم الخطابي")</f>
        <v>ابراهيم الخطابي</v>
      </c>
      <c r="E1065" s="29" t="str">
        <f ca="1">IFERROR(__xludf.DUMMYFUNCTION("""COMPUTED_VALUE"""),"مجموعة العميد التربوية")</f>
        <v>مجموعة العميد التربوية</v>
      </c>
      <c r="F1065" s="29" t="str">
        <f ca="1">IFERROR(__xludf.DUMMYFUNCTION("""COMPUTED_VALUE"""),"G- روضة الجود")</f>
        <v>G- روضة الجود</v>
      </c>
      <c r="G1065" s="29" t="str">
        <f ca="1">IFERROR(__xludf.DUMMYFUNCTION("""COMPUTED_VALUE"""),"الطابق الثاني")</f>
        <v>الطابق الثاني</v>
      </c>
      <c r="H1065" s="29" t="str">
        <f ca="1">IFERROR(__xludf.DUMMYFUNCTION("""COMPUTED_VALUE"""),"إضافة مسدس ماء صف العسل")</f>
        <v>إضافة مسدس ماء صف العسل</v>
      </c>
      <c r="I1065" s="29"/>
      <c r="J1065" s="29" t="s">
        <v>14</v>
      </c>
      <c r="K1065" s="29" t="s">
        <v>13</v>
      </c>
      <c r="L1065" s="34"/>
      <c r="M1065" s="29"/>
    </row>
    <row r="1066" spans="1:13" ht="75" customHeight="1" thickTop="1" thickBot="1">
      <c r="A1066" s="23">
        <v>1064</v>
      </c>
      <c r="B1066" s="34">
        <f ca="1">IFERROR(__xludf.DUMMYFUNCTION("""COMPUTED_VALUE"""),46184.4966296296)</f>
        <v>46184.496629629597</v>
      </c>
      <c r="C1066" s="35" t="str">
        <f ca="1">IFERROR(__xludf.DUMMYFUNCTION("""COMPUTED_VALUE"""),"المعملجي")</f>
        <v>المعملجي</v>
      </c>
      <c r="D1066" s="35" t="str">
        <f ca="1">IFERROR(__xludf.DUMMYFUNCTION("""COMPUTED_VALUE"""),"ابراهيم الخطابي")</f>
        <v>ابراهيم الخطابي</v>
      </c>
      <c r="E1066" s="29" t="str">
        <f ca="1">IFERROR(__xludf.DUMMYFUNCTION("""COMPUTED_VALUE"""),"مجموعة العميد التربوية")</f>
        <v>مجموعة العميد التربوية</v>
      </c>
      <c r="F1066" s="29" t="str">
        <f ca="1">IFERROR(__xludf.DUMMYFUNCTION("""COMPUTED_VALUE"""),"G- روضة الجود")</f>
        <v>G- روضة الجود</v>
      </c>
      <c r="G1066" s="29" t="str">
        <f ca="1">IFERROR(__xludf.DUMMYFUNCTION("""COMPUTED_VALUE"""),"الطابق الثاني")</f>
        <v>الطابق الثاني</v>
      </c>
      <c r="H1066" s="29" t="str">
        <f ca="1">IFERROR(__xludf.DUMMYFUNCTION("""COMPUTED_VALUE"""),"صيانة مسدس ماء صف البنفسج")</f>
        <v>صيانة مسدس ماء صف البنفسج</v>
      </c>
      <c r="I1066" s="29"/>
      <c r="J1066" s="29" t="s">
        <v>14</v>
      </c>
      <c r="K1066" s="29" t="s">
        <v>13</v>
      </c>
      <c r="L1066" s="34"/>
      <c r="M1066" s="29"/>
    </row>
    <row r="1067" spans="1:13" ht="75" customHeight="1" thickTop="1" thickBot="1">
      <c r="A1067" s="25">
        <v>1065</v>
      </c>
      <c r="B1067" s="34">
        <f ca="1">IFERROR(__xludf.DUMMYFUNCTION("""COMPUTED_VALUE"""),46184.497849537)</f>
        <v>46184.497849537001</v>
      </c>
      <c r="C1067" s="35" t="str">
        <f ca="1">IFERROR(__xludf.DUMMYFUNCTION("""COMPUTED_VALUE"""),"المعملجي")</f>
        <v>المعملجي</v>
      </c>
      <c r="D1067" s="35" t="str">
        <f ca="1">IFERROR(__xludf.DUMMYFUNCTION("""COMPUTED_VALUE"""),"ابراهيم الخطابي")</f>
        <v>ابراهيم الخطابي</v>
      </c>
      <c r="E1067" s="29" t="str">
        <f ca="1">IFERROR(__xludf.DUMMYFUNCTION("""COMPUTED_VALUE"""),"مجموعة العميد التربوية")</f>
        <v>مجموعة العميد التربوية</v>
      </c>
      <c r="F1067" s="29" t="str">
        <f ca="1">IFERROR(__xludf.DUMMYFUNCTION("""COMPUTED_VALUE"""),"F-  ابتدائية جود العميد للبنات (الرابعة)")</f>
        <v>F-  ابتدائية جود العميد للبنات (الرابعة)</v>
      </c>
      <c r="G1067" s="29" t="str">
        <f ca="1">IFERROR(__xludf.DUMMYFUNCTION("""COMPUTED_VALUE"""),"الطابق الاول")</f>
        <v>الطابق الاول</v>
      </c>
      <c r="H1067" s="29" t="str">
        <f ca="1">IFERROR(__xludf.DUMMYFUNCTION("""COMPUTED_VALUE"""),"تبديل خرطوم مغسلة ")</f>
        <v xml:space="preserve">تبديل خرطوم مغسلة </v>
      </c>
      <c r="I1067" s="29"/>
      <c r="J1067" s="29" t="s">
        <v>14</v>
      </c>
      <c r="K1067" s="29" t="s">
        <v>13</v>
      </c>
      <c r="L1067" s="34"/>
      <c r="M1067" s="29"/>
    </row>
    <row r="1068" spans="1:13" ht="75" customHeight="1" thickTop="1" thickBot="1">
      <c r="A1068" s="23">
        <v>1066</v>
      </c>
      <c r="B1068" s="34">
        <f ca="1">IFERROR(__xludf.DUMMYFUNCTION("""COMPUTED_VALUE"""),46184.5002856018)</f>
        <v>46184.500285601804</v>
      </c>
      <c r="C1068" s="35" t="str">
        <f ca="1">IFERROR(__xludf.DUMMYFUNCTION("""COMPUTED_VALUE"""),"المعملجي")</f>
        <v>المعملجي</v>
      </c>
      <c r="D1068" s="35" t="str">
        <f ca="1">IFERROR(__xludf.DUMMYFUNCTION("""COMPUTED_VALUE"""),"ابراهيم الخطابي")</f>
        <v>ابراهيم الخطابي</v>
      </c>
      <c r="E1068" s="29" t="str">
        <f ca="1">IFERROR(__xludf.DUMMYFUNCTION("""COMPUTED_VALUE"""),"مجموعة العميد التربوية")</f>
        <v>مجموعة العميد التربوية</v>
      </c>
      <c r="F1068" s="29" t="str">
        <f ca="1">IFERROR(__xludf.DUMMYFUNCTION("""COMPUTED_VALUE"""),"F-  ابتدائية جود العميد للبنات (الرابعة)")</f>
        <v>F-  ابتدائية جود العميد للبنات (الرابعة)</v>
      </c>
      <c r="G1068" s="29" t="str">
        <f ca="1">IFERROR(__xludf.DUMMYFUNCTION("""COMPUTED_VALUE"""),"الطابق الثاني")</f>
        <v>الطابق الثاني</v>
      </c>
      <c r="H1068" s="29" t="str">
        <f ca="1">IFERROR(__xludf.DUMMYFUNCTION("""COMPUTED_VALUE"""),"تبديل كاك زاوية ثنائي ")</f>
        <v xml:space="preserve">تبديل كاك زاوية ثنائي </v>
      </c>
      <c r="I1068" s="29"/>
      <c r="J1068" s="29" t="s">
        <v>14</v>
      </c>
      <c r="K1068" s="29" t="s">
        <v>13</v>
      </c>
      <c r="L1068" s="34"/>
      <c r="M1068" s="29"/>
    </row>
    <row r="1069" spans="1:13" ht="75" customHeight="1" thickTop="1" thickBot="1">
      <c r="A1069" s="25">
        <v>1067</v>
      </c>
      <c r="B1069" s="34">
        <f ca="1">IFERROR(__xludf.DUMMYFUNCTION("""COMPUTED_VALUE"""),46184.500953449)</f>
        <v>46184.500953449002</v>
      </c>
      <c r="C1069" s="35" t="str">
        <f ca="1">IFERROR(__xludf.DUMMYFUNCTION("""COMPUTED_VALUE"""),"المعملجي")</f>
        <v>المعملجي</v>
      </c>
      <c r="D1069" s="35" t="str">
        <f ca="1">IFERROR(__xludf.DUMMYFUNCTION("""COMPUTED_VALUE"""),"ابراهيم الخطابي")</f>
        <v>ابراهيم الخطابي</v>
      </c>
      <c r="E1069" s="29" t="str">
        <f ca="1">IFERROR(__xludf.DUMMYFUNCTION("""COMPUTED_VALUE"""),"مجموعة العميد التربوية")</f>
        <v>مجموعة العميد التربوية</v>
      </c>
      <c r="F1069" s="29" t="str">
        <f ca="1">IFERROR(__xludf.DUMMYFUNCTION("""COMPUTED_VALUE"""),"F-  ابتدائية جود العميد للبنات (الرابعة)")</f>
        <v>F-  ابتدائية جود العميد للبنات (الرابعة)</v>
      </c>
      <c r="G1069" s="29" t="str">
        <f ca="1">IFERROR(__xludf.DUMMYFUNCTION("""COMPUTED_VALUE"""),"الطابق الاول")</f>
        <v>الطابق الاول</v>
      </c>
      <c r="H1069" s="29" t="str">
        <f ca="1">IFERROR(__xludf.DUMMYFUNCTION("""COMPUTED_VALUE"""),"تبديل ماسك شطاف")</f>
        <v>تبديل ماسك شطاف</v>
      </c>
      <c r="I1069" s="29"/>
      <c r="J1069" s="29" t="s">
        <v>14</v>
      </c>
      <c r="K1069" s="29" t="s">
        <v>13</v>
      </c>
      <c r="L1069" s="34"/>
      <c r="M1069" s="29"/>
    </row>
    <row r="1070" spans="1:13" ht="75" customHeight="1" thickTop="1" thickBot="1">
      <c r="A1070" s="23">
        <v>1068</v>
      </c>
      <c r="B1070" s="34">
        <f ca="1">IFERROR(__xludf.DUMMYFUNCTION("""COMPUTED_VALUE"""),46186.4275971296)</f>
        <v>46186.427597129601</v>
      </c>
      <c r="C1070" s="35" t="str">
        <f ca="1">IFERROR(__xludf.DUMMYFUNCTION("""COMPUTED_VALUE"""),"المعملجي")</f>
        <v>المعملجي</v>
      </c>
      <c r="D1070" s="35" t="str">
        <f ca="1">IFERROR(__xludf.DUMMYFUNCTION("""COMPUTED_VALUE"""),"ابراهيم الخطابي")</f>
        <v>ابراهيم الخطابي</v>
      </c>
      <c r="E1070" s="29" t="str">
        <f ca="1">IFERROR(__xludf.DUMMYFUNCTION("""COMPUTED_VALUE"""),"مجموعة العميد التربوية")</f>
        <v>مجموعة العميد التربوية</v>
      </c>
      <c r="F1070" s="29" t="str">
        <f ca="1">IFERROR(__xludf.DUMMYFUNCTION("""COMPUTED_VALUE"""),"F-  ابتدائية جود العميد للبنات (الرابعة)")</f>
        <v>F-  ابتدائية جود العميد للبنات (الرابعة)</v>
      </c>
      <c r="G1070" s="29" t="str">
        <f ca="1">IFERROR(__xludf.DUMMYFUNCTION("""COMPUTED_VALUE"""),"السطح")</f>
        <v>السطح</v>
      </c>
      <c r="H1070" s="29" t="str">
        <f ca="1">IFERROR(__xludf.DUMMYFUNCTION("""COMPUTED_VALUE"""),"Ro لا يوجد ماء ")</f>
        <v xml:space="preserve">Ro لا يوجد ماء </v>
      </c>
      <c r="I1070" s="29"/>
      <c r="J1070" s="29" t="s">
        <v>14</v>
      </c>
      <c r="K1070" s="29" t="s">
        <v>13</v>
      </c>
      <c r="L1070" s="34">
        <v>46186.430540150468</v>
      </c>
      <c r="M1070" s="29"/>
    </row>
    <row r="1071" spans="1:13" ht="75" customHeight="1" thickTop="1" thickBot="1">
      <c r="A1071" s="25">
        <v>1069</v>
      </c>
      <c r="B1071" s="34">
        <f ca="1">IFERROR(__xludf.DUMMYFUNCTION("""COMPUTED_VALUE"""),46187.4670020254)</f>
        <v>46187.467002025398</v>
      </c>
      <c r="C1071" s="35" t="str">
        <f ca="1">IFERROR(__xludf.DUMMYFUNCTION("""COMPUTED_VALUE"""),"المعملجي")</f>
        <v>المعملجي</v>
      </c>
      <c r="D1071" s="35" t="str">
        <f ca="1">IFERROR(__xludf.DUMMYFUNCTION("""COMPUTED_VALUE"""),"ابو سجاد ")</f>
        <v xml:space="preserve">ابو سجاد </v>
      </c>
      <c r="E1071" s="29" t="str">
        <f ca="1">IFERROR(__xludf.DUMMYFUNCTION("""COMPUTED_VALUE"""),"مجموعة العميد التربوية")</f>
        <v>مجموعة العميد التربوية</v>
      </c>
      <c r="F1071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71" s="29" t="str">
        <f ca="1">IFERROR(__xludf.DUMMYFUNCTION("""COMPUTED_VALUE"""),"الطابق الارضي, ZONE B")</f>
        <v>الطابق الارضي, ZONE B</v>
      </c>
      <c r="H1071" s="29" t="str">
        <f ca="1">IFERROR(__xludf.DUMMYFUNCTION("""COMPUTED_VALUE"""),"صيانة حنفية ")</f>
        <v xml:space="preserve">صيانة حنفية </v>
      </c>
      <c r="I1071" s="29"/>
      <c r="J1071" s="29" t="s">
        <v>14</v>
      </c>
      <c r="K1071" s="29" t="s">
        <v>13</v>
      </c>
      <c r="L1071" s="34">
        <v>46187.587535150466</v>
      </c>
      <c r="M1071" s="29"/>
    </row>
    <row r="1072" spans="1:13" ht="75" customHeight="1" thickTop="1" thickBot="1">
      <c r="A1072" s="23">
        <v>1070</v>
      </c>
      <c r="B1072" s="34">
        <f ca="1">IFERROR(__xludf.DUMMYFUNCTION("""COMPUTED_VALUE"""),46189.5400122338)</f>
        <v>46189.540012233803</v>
      </c>
      <c r="C1072" s="35" t="str">
        <f ca="1">IFERROR(__xludf.DUMMYFUNCTION("""COMPUTED_VALUE"""),"المعملجي")</f>
        <v>المعملجي</v>
      </c>
      <c r="D1072" s="35" t="str">
        <f ca="1">IFERROR(__xludf.DUMMYFUNCTION("""COMPUTED_VALUE"""),"ابراهيم الخطابي")</f>
        <v>ابراهيم الخطابي</v>
      </c>
      <c r="E1072" s="29" t="str">
        <f ca="1">IFERROR(__xludf.DUMMYFUNCTION("""COMPUTED_VALUE"""),"مجموعة العميد التربوية")</f>
        <v>مجموعة العميد التربوية</v>
      </c>
      <c r="F1072" s="29" t="str">
        <f ca="1">IFERROR(__xludf.DUMMYFUNCTION("""COMPUTED_VALUE"""),"H- ابتدائية القمر للبنات (الخامسة)")</f>
        <v>H- ابتدائية القمر للبنات (الخامسة)</v>
      </c>
      <c r="G1072" s="29" t="str">
        <f ca="1">IFERROR(__xludf.DUMMYFUNCTION("""COMPUTED_VALUE"""),"الطابق الارضي")</f>
        <v>الطابق الارضي</v>
      </c>
      <c r="H1072" s="29" t="str">
        <f ca="1">IFERROR(__xludf.DUMMYFUNCTION("""COMPUTED_VALUE"""),"صوندة الحمام  الداخلي تحتاج صيانة")</f>
        <v>صوندة الحمام  الداخلي تحتاج صيانة</v>
      </c>
      <c r="I1072" s="29"/>
      <c r="J1072" s="29" t="s">
        <v>14</v>
      </c>
      <c r="K1072" s="29" t="s">
        <v>13</v>
      </c>
      <c r="L1072" s="34">
        <v>46189.579608958331</v>
      </c>
      <c r="M1072" s="29"/>
    </row>
    <row r="1073" spans="1:13" ht="75" customHeight="1" thickTop="1" thickBot="1">
      <c r="A1073" s="25">
        <v>1071</v>
      </c>
      <c r="B1073" s="34">
        <f ca="1">IFERROR(__xludf.DUMMYFUNCTION("""COMPUTED_VALUE"""),46201.383062743)</f>
        <v>46201.383062743</v>
      </c>
      <c r="C1073" s="35" t="str">
        <f ca="1">IFERROR(__xludf.DUMMYFUNCTION("""COMPUTED_VALUE"""),"المعملجي")</f>
        <v>المعملجي</v>
      </c>
      <c r="D1073" s="35" t="str">
        <f ca="1">IFERROR(__xludf.DUMMYFUNCTION("""COMPUTED_VALUE"""),"ابراهيم الخطابي")</f>
        <v>ابراهيم الخطابي</v>
      </c>
      <c r="E1073" s="29" t="str">
        <f ca="1">IFERROR(__xludf.DUMMYFUNCTION("""COMPUTED_VALUE"""),"مجموعة العميد التربوية")</f>
        <v>مجموعة العميد التربوية</v>
      </c>
      <c r="F1073" s="29" t="str">
        <f ca="1">IFERROR(__xludf.DUMMYFUNCTION("""COMPUTED_VALUE"""),"E- ابتدائية العميد للبنات (الثالثة)")</f>
        <v>E- ابتدائية العميد للبنات (الثالثة)</v>
      </c>
      <c r="G1073" s="29" t="str">
        <f ca="1">IFERROR(__xludf.DUMMYFUNCTION("""COMPUTED_VALUE"""),"الطابق الاول")</f>
        <v>الطابق الاول</v>
      </c>
      <c r="H1073" s="29" t="str">
        <f ca="1">IFERROR(__xludf.DUMMYFUNCTION("""COMPUTED_VALUE"""),"صيانة حمام غربي")</f>
        <v>صيانة حمام غربي</v>
      </c>
      <c r="I1073" s="29"/>
      <c r="J1073" s="29" t="s">
        <v>14</v>
      </c>
      <c r="K1073" s="29" t="s">
        <v>13</v>
      </c>
      <c r="L1073" s="34">
        <v>46201.448813726849</v>
      </c>
      <c r="M1073" s="29"/>
    </row>
    <row r="1074" spans="1:13" ht="75" customHeight="1" thickTop="1" thickBot="1">
      <c r="A1074" s="23">
        <v>1072</v>
      </c>
      <c r="B1074" s="34">
        <f ca="1">IFERROR(__xludf.DUMMYFUNCTION("""COMPUTED_VALUE"""),46201.4421840277)</f>
        <v>46201.442184027699</v>
      </c>
      <c r="C1074" s="35" t="str">
        <f ca="1">IFERROR(__xludf.DUMMYFUNCTION("""COMPUTED_VALUE"""),"المعملجي")</f>
        <v>المعملجي</v>
      </c>
      <c r="D1074" s="35" t="str">
        <f ca="1">IFERROR(__xludf.DUMMYFUNCTION("""COMPUTED_VALUE"""),"وحدة التبريد")</f>
        <v>وحدة التبريد</v>
      </c>
      <c r="E1074" s="29" t="str">
        <f ca="1">IFERROR(__xludf.DUMMYFUNCTION("""COMPUTED_VALUE"""),"قسم المشاريع الهندسية")</f>
        <v>قسم المشاريع الهندسية</v>
      </c>
      <c r="F1074" s="29" t="str">
        <f ca="1">IFERROR(__xludf.DUMMYFUNCTION("""COMPUTED_VALUE"""),"A- المركز الثقافي")</f>
        <v>A- المركز الثقافي</v>
      </c>
      <c r="G1074" s="29" t="str">
        <f ca="1">IFERROR(__xludf.DUMMYFUNCTION("""COMPUTED_VALUE"""),"الطابق الارضي, الطابق الاول, الطابق الثاني, الطابق الثالث, الطابق الرابع")</f>
        <v>الطابق الارضي, الطابق الاول, الطابق الثاني, الطابق الثالث, الطابق الرابع</v>
      </c>
      <c r="H1074" s="29" t="str">
        <f ca="1">IFERROR(__xludf.DUMMYFUNCTION("""COMPUTED_VALUE"""),"إدامة وتنظيف  فلاتر vrf في البناية ")</f>
        <v xml:space="preserve">إدامة وتنظيف  فلاتر vrf في البناية </v>
      </c>
      <c r="I1074" s="29"/>
      <c r="J1074" s="29" t="s">
        <v>14</v>
      </c>
      <c r="K1074" s="29" t="s">
        <v>13</v>
      </c>
      <c r="L1074" s="34"/>
      <c r="M1074" s="29"/>
    </row>
    <row r="1075" spans="1:13" ht="75" customHeight="1" thickTop="1" thickBot="1">
      <c r="A1075" s="25">
        <v>1073</v>
      </c>
      <c r="B1075" s="34">
        <f ca="1">IFERROR(__xludf.DUMMYFUNCTION("""COMPUTED_VALUE"""),46201.4424103009)</f>
        <v>46201.442410300901</v>
      </c>
      <c r="C1075" s="35" t="str">
        <f ca="1">IFERROR(__xludf.DUMMYFUNCTION("""COMPUTED_VALUE"""),"المعملجي")</f>
        <v>المعملجي</v>
      </c>
      <c r="D1075" s="35" t="str">
        <f ca="1">IFERROR(__xludf.DUMMYFUNCTION("""COMPUTED_VALUE"""),"وحدة التبريد")</f>
        <v>وحدة التبريد</v>
      </c>
      <c r="E1075" s="29" t="str">
        <f ca="1">IFERROR(__xludf.DUMMYFUNCTION("""COMPUTED_VALUE"""),"قسم المشاريع الهندسية")</f>
        <v>قسم المشاريع الهندسية</v>
      </c>
      <c r="F1075" s="29" t="str">
        <f ca="1">IFERROR(__xludf.DUMMYFUNCTION("""COMPUTED_VALUE"""),"B- روضة القمر")</f>
        <v>B- روضة القمر</v>
      </c>
      <c r="G1075" s="29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1075" s="29" t="str">
        <f ca="1">IFERROR(__xludf.DUMMYFUNCTION("""COMPUTED_VALUE"""),"إدامة وتنظيف  فلاتر vrf في البناية")</f>
        <v>إدامة وتنظيف  فلاتر vrf في البناية</v>
      </c>
      <c r="I1075" s="29"/>
      <c r="J1075" s="29" t="s">
        <v>14</v>
      </c>
      <c r="K1075" s="29" t="s">
        <v>13</v>
      </c>
      <c r="L1075" s="34"/>
      <c r="M1075" s="29"/>
    </row>
    <row r="1076" spans="1:13" ht="75" customHeight="1" thickTop="1" thickBot="1">
      <c r="A1076" s="23">
        <v>1074</v>
      </c>
      <c r="B1076" s="34">
        <f ca="1">IFERROR(__xludf.DUMMYFUNCTION("""COMPUTED_VALUE"""),46201.4426204282)</f>
        <v>46201.442620428199</v>
      </c>
      <c r="C1076" s="35" t="str">
        <f ca="1">IFERROR(__xludf.DUMMYFUNCTION("""COMPUTED_VALUE"""),"المعملجي")</f>
        <v>المعملجي</v>
      </c>
      <c r="D1076" s="35" t="str">
        <f ca="1">IFERROR(__xludf.DUMMYFUNCTION("""COMPUTED_VALUE"""),"وحدة التبريد")</f>
        <v>وحدة التبريد</v>
      </c>
      <c r="E1076" s="29" t="str">
        <f ca="1">IFERROR(__xludf.DUMMYFUNCTION("""COMPUTED_VALUE"""),"قسم المشاريع الهندسية")</f>
        <v>قسم المشاريع الهندسية</v>
      </c>
      <c r="F1076" s="29" t="str">
        <f ca="1">IFERROR(__xludf.DUMMYFUNCTION("""COMPUTED_VALUE"""),"G- روضة الجود")</f>
        <v>G- روضة الجود</v>
      </c>
      <c r="G1076" s="29" t="str">
        <f ca="1">IFERROR(__xludf.DUMMYFUNCTION("""COMPUTED_VALUE"""),"الطابق الارضي, الطابق الاول, الطابق الثاني")</f>
        <v>الطابق الارضي, الطابق الاول, الطابق الثاني</v>
      </c>
      <c r="H1076" s="29" t="str">
        <f ca="1">IFERROR(__xludf.DUMMYFUNCTION("""COMPUTED_VALUE"""),"إدامة وتنظيف  فلاتر vrf في البناية")</f>
        <v>إدامة وتنظيف  فلاتر vrf في البناية</v>
      </c>
      <c r="I1076" s="29"/>
      <c r="J1076" s="29" t="s">
        <v>14</v>
      </c>
      <c r="K1076" s="29" t="s">
        <v>13</v>
      </c>
      <c r="L1076" s="34"/>
      <c r="M1076" s="29"/>
    </row>
    <row r="1077" spans="1:13" ht="75" customHeight="1" thickTop="1" thickBot="1">
      <c r="A1077" s="25">
        <v>1075</v>
      </c>
      <c r="B1077" s="34">
        <f ca="1">IFERROR(__xludf.DUMMYFUNCTION("""COMPUTED_VALUE"""),46201.4428406944)</f>
        <v>46201.442840694399</v>
      </c>
      <c r="C1077" s="35" t="str">
        <f ca="1">IFERROR(__xludf.DUMMYFUNCTION("""COMPUTED_VALUE"""),"المعملجي")</f>
        <v>المعملجي</v>
      </c>
      <c r="D1077" s="35" t="str">
        <f ca="1">IFERROR(__xludf.DUMMYFUNCTION("""COMPUTED_VALUE"""),"وحدة التبريد")</f>
        <v>وحدة التبريد</v>
      </c>
      <c r="E1077" s="29" t="str">
        <f ca="1">IFERROR(__xludf.DUMMYFUNCTION("""COMPUTED_VALUE"""),"قسم المشاريع الهندسية")</f>
        <v>قسم المشاريع الهندسية</v>
      </c>
      <c r="F1077" s="29" t="str">
        <f ca="1">IFERROR(__xludf.DUMMYFUNCTION("""COMPUTED_VALUE"""),"C- ثانوية العميد بناية الاعدادية  (الاولى)")</f>
        <v>C- ثانوية العميد بناية الاعدادية  (الاولى)</v>
      </c>
      <c r="G1077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77" s="29" t="str">
        <f ca="1">IFERROR(__xludf.DUMMYFUNCTION("""COMPUTED_VALUE"""),"إدامة وتنظيف  فلاتر vrf في البناية")</f>
        <v>إدامة وتنظيف  فلاتر vrf في البناية</v>
      </c>
      <c r="I1077" s="29"/>
      <c r="J1077" s="29" t="s">
        <v>14</v>
      </c>
      <c r="K1077" s="29" t="s">
        <v>13</v>
      </c>
      <c r="L1077" s="34"/>
      <c r="M1077" s="29"/>
    </row>
    <row r="1078" spans="1:13" ht="75" customHeight="1" thickTop="1" thickBot="1">
      <c r="A1078" s="23">
        <v>1076</v>
      </c>
      <c r="B1078" s="34">
        <f ca="1">IFERROR(__xludf.DUMMYFUNCTION("""COMPUTED_VALUE"""),46201.4430695833)</f>
        <v>46201.4430695833</v>
      </c>
      <c r="C1078" s="35" t="str">
        <f ca="1">IFERROR(__xludf.DUMMYFUNCTION("""COMPUTED_VALUE"""),"المعملجي")</f>
        <v>المعملجي</v>
      </c>
      <c r="D1078" s="35" t="str">
        <f ca="1">IFERROR(__xludf.DUMMYFUNCTION("""COMPUTED_VALUE"""),"وحدة التبريد")</f>
        <v>وحدة التبريد</v>
      </c>
      <c r="E1078" s="29" t="str">
        <f ca="1">IFERROR(__xludf.DUMMYFUNCTION("""COMPUTED_VALUE"""),"قسم المشاريع الهندسية")</f>
        <v>قسم المشاريع الهندسية</v>
      </c>
      <c r="F1078" s="29" t="str">
        <f ca="1">IFERROR(__xludf.DUMMYFUNCTION("""COMPUTED_VALUE"""),"D- ثانوية العميد بناية المتوسطة  (الثانية)")</f>
        <v>D- ثانوية العميد بناية المتوسطة  (الثانية)</v>
      </c>
      <c r="G1078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78" s="29" t="str">
        <f ca="1">IFERROR(__xludf.DUMMYFUNCTION("""COMPUTED_VALUE"""),"إدامة وتنظيف  فلاتر vrf في البناية")</f>
        <v>إدامة وتنظيف  فلاتر vrf في البناية</v>
      </c>
      <c r="I1078" s="29"/>
      <c r="J1078" s="29" t="s">
        <v>14</v>
      </c>
      <c r="K1078" s="29" t="s">
        <v>13</v>
      </c>
      <c r="L1078" s="34"/>
      <c r="M1078" s="29"/>
    </row>
    <row r="1079" spans="1:13" ht="75" customHeight="1" thickTop="1" thickBot="1">
      <c r="A1079" s="25">
        <v>1077</v>
      </c>
      <c r="B1079" s="34">
        <f ca="1">IFERROR(__xludf.DUMMYFUNCTION("""COMPUTED_VALUE"""),46201.4433510069)</f>
        <v>46201.443351006899</v>
      </c>
      <c r="C1079" s="35" t="str">
        <f ca="1">IFERROR(__xludf.DUMMYFUNCTION("""COMPUTED_VALUE"""),"المعملجي")</f>
        <v>المعملجي</v>
      </c>
      <c r="D1079" s="35" t="str">
        <f ca="1">IFERROR(__xludf.DUMMYFUNCTION("""COMPUTED_VALUE"""),"وحدة التبريد")</f>
        <v>وحدة التبريد</v>
      </c>
      <c r="E1079" s="29" t="str">
        <f ca="1">IFERROR(__xludf.DUMMYFUNCTION("""COMPUTED_VALUE"""),"قسم المشاريع الهندسية")</f>
        <v>قسم المشاريع الهندسية</v>
      </c>
      <c r="F1079" s="29" t="str">
        <f ca="1">IFERROR(__xludf.DUMMYFUNCTION("""COMPUTED_VALUE"""),"E- ابتدائية العميد للبنات (الثالثة)")</f>
        <v>E- ابتدائية العميد للبنات (الثالثة)</v>
      </c>
      <c r="G1079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79" s="29" t="str">
        <f ca="1">IFERROR(__xludf.DUMMYFUNCTION("""COMPUTED_VALUE"""),"إدامة وتنظيف  فلاتر vrf في البناية")</f>
        <v>إدامة وتنظيف  فلاتر vrf في البناية</v>
      </c>
      <c r="I1079" s="29"/>
      <c r="J1079" s="29" t="s">
        <v>14</v>
      </c>
      <c r="K1079" s="29" t="s">
        <v>13</v>
      </c>
      <c r="L1079" s="34"/>
      <c r="M1079" s="29"/>
    </row>
    <row r="1080" spans="1:13" ht="75" customHeight="1" thickTop="1" thickBot="1">
      <c r="A1080" s="23">
        <v>1078</v>
      </c>
      <c r="B1080" s="34">
        <f ca="1">IFERROR(__xludf.DUMMYFUNCTION("""COMPUTED_VALUE"""),46201.4440061342)</f>
        <v>46201.444006134203</v>
      </c>
      <c r="C1080" s="35" t="str">
        <f ca="1">IFERROR(__xludf.DUMMYFUNCTION("""COMPUTED_VALUE"""),"المعملجي")</f>
        <v>المعملجي</v>
      </c>
      <c r="D1080" s="35" t="str">
        <f ca="1">IFERROR(__xludf.DUMMYFUNCTION("""COMPUTED_VALUE"""),"وحدة التبريد")</f>
        <v>وحدة التبريد</v>
      </c>
      <c r="E1080" s="29" t="str">
        <f ca="1">IFERROR(__xludf.DUMMYFUNCTION("""COMPUTED_VALUE"""),"قسم المشاريع الهندسية")</f>
        <v>قسم المشاريع الهندسية</v>
      </c>
      <c r="F1080" s="29" t="str">
        <f ca="1">IFERROR(__xludf.DUMMYFUNCTION("""COMPUTED_VALUE"""),"F-  ابتدائية جود العميد للبنات (الرابعة)")</f>
        <v>F-  ابتدائية جود العميد للبنات (الرابعة)</v>
      </c>
      <c r="G1080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80" s="29" t="str">
        <f ca="1">IFERROR(__xludf.DUMMYFUNCTION("""COMPUTED_VALUE"""),"إدامة وتنظيف  فلاتر vrf في البناية")</f>
        <v>إدامة وتنظيف  فلاتر vrf في البناية</v>
      </c>
      <c r="I1080" s="29"/>
      <c r="J1080" s="29" t="s">
        <v>14</v>
      </c>
      <c r="K1080" s="29" t="s">
        <v>13</v>
      </c>
      <c r="L1080" s="34"/>
      <c r="M1080" s="29"/>
    </row>
    <row r="1081" spans="1:13" ht="75" customHeight="1" thickTop="1" thickBot="1">
      <c r="A1081" s="25">
        <v>1079</v>
      </c>
      <c r="B1081" s="34">
        <f ca="1">IFERROR(__xludf.DUMMYFUNCTION("""COMPUTED_VALUE"""),46201.4448613426)</f>
        <v>46201.444861342599</v>
      </c>
      <c r="C1081" s="35" t="str">
        <f ca="1">IFERROR(__xludf.DUMMYFUNCTION("""COMPUTED_VALUE"""),"المعملجي")</f>
        <v>المعملجي</v>
      </c>
      <c r="D1081" s="35" t="str">
        <f ca="1">IFERROR(__xludf.DUMMYFUNCTION("""COMPUTED_VALUE"""),"وحدة التبريد")</f>
        <v>وحدة التبريد</v>
      </c>
      <c r="E1081" s="29" t="str">
        <f ca="1">IFERROR(__xludf.DUMMYFUNCTION("""COMPUTED_VALUE"""),"قسم المشاريع الهندسية")</f>
        <v>قسم المشاريع الهندسية</v>
      </c>
      <c r="F1081" s="29" t="str">
        <f ca="1">IFERROR(__xludf.DUMMYFUNCTION("""COMPUTED_VALUE"""),"H- ابتدائية القمر للبنات (الخامسة)")</f>
        <v>H- ابتدائية القمر للبنات (الخامسة)</v>
      </c>
      <c r="G1081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81" s="29" t="str">
        <f ca="1">IFERROR(__xludf.DUMMYFUNCTION("""COMPUTED_VALUE"""),"إدامة وتنظيف  فلاتر vrf في البناية")</f>
        <v>إدامة وتنظيف  فلاتر vrf في البناية</v>
      </c>
      <c r="I1081" s="29"/>
      <c r="J1081" s="29" t="s">
        <v>14</v>
      </c>
      <c r="K1081" s="29" t="s">
        <v>13</v>
      </c>
      <c r="L1081" s="34"/>
      <c r="M1081" s="29"/>
    </row>
    <row r="1082" spans="1:13" ht="75" customHeight="1" thickTop="1" thickBot="1">
      <c r="A1082" s="23">
        <v>1080</v>
      </c>
      <c r="B1082" s="34">
        <f ca="1">IFERROR(__xludf.DUMMYFUNCTION("""COMPUTED_VALUE"""),46201.4452081134)</f>
        <v>46201.4452081134</v>
      </c>
      <c r="C1082" s="35" t="str">
        <f ca="1">IFERROR(__xludf.DUMMYFUNCTION("""COMPUTED_VALUE"""),"المعملجي")</f>
        <v>المعملجي</v>
      </c>
      <c r="D1082" s="35" t="str">
        <f ca="1">IFERROR(__xludf.DUMMYFUNCTION("""COMPUTED_VALUE"""),"وحدة التبريد")</f>
        <v>وحدة التبريد</v>
      </c>
      <c r="E1082" s="29" t="str">
        <f ca="1">IFERROR(__xludf.DUMMYFUNCTION("""COMPUTED_VALUE"""),"قسم المشاريع الهندسية")</f>
        <v>قسم المشاريع الهندسية</v>
      </c>
      <c r="F1082" s="29" t="str">
        <f ca="1">IFERROR(__xludf.DUMMYFUNCTION("""COMPUTED_VALUE"""),"I- ابتدائية الساقي للبنين (السادسة)")</f>
        <v>I- ابتدائية الساقي للبنين (السادسة)</v>
      </c>
      <c r="G1082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82" s="29" t="str">
        <f ca="1">IFERROR(__xludf.DUMMYFUNCTION("""COMPUTED_VALUE"""),"إدامة وتنظيف  فلاتر vrf في البناية")</f>
        <v>إدامة وتنظيف  فلاتر vrf في البناية</v>
      </c>
      <c r="I1082" s="29"/>
      <c r="J1082" s="29" t="s">
        <v>14</v>
      </c>
      <c r="K1082" s="29" t="s">
        <v>13</v>
      </c>
      <c r="L1082" s="34"/>
      <c r="M1082" s="29"/>
    </row>
    <row r="1083" spans="1:13" ht="75" customHeight="1" thickTop="1" thickBot="1">
      <c r="A1083" s="25">
        <v>1081</v>
      </c>
      <c r="B1083" s="34">
        <f ca="1">IFERROR(__xludf.DUMMYFUNCTION("""COMPUTED_VALUE"""),46201.4466502546)</f>
        <v>46201.446650254598</v>
      </c>
      <c r="C1083" s="35" t="str">
        <f ca="1">IFERROR(__xludf.DUMMYFUNCTION("""COMPUTED_VALUE"""),"المعملجي")</f>
        <v>المعملجي</v>
      </c>
      <c r="D1083" s="35" t="str">
        <f ca="1">IFERROR(__xludf.DUMMYFUNCTION("""COMPUTED_VALUE"""),"وحدة التبريد")</f>
        <v>وحدة التبريد</v>
      </c>
      <c r="E1083" s="29" t="str">
        <f ca="1">IFERROR(__xludf.DUMMYFUNCTION("""COMPUTED_VALUE"""),"قسم المشاريع الهندسية")</f>
        <v>قسم المشاريع الهندسية</v>
      </c>
      <c r="F1083" s="29" t="str">
        <f ca="1">IFERROR(__xludf.DUMMYFUNCTION("""COMPUTED_VALUE"""),"J- ابتدائية الساقي للبنين الجانب الثاني (السابعة), J- جامعة العميد (السابعة)")</f>
        <v>J- ابتدائية الساقي للبنين الجانب الثاني (السابعة), J- جامعة العميد (السابعة)</v>
      </c>
      <c r="G1083" s="29" t="str">
        <f ca="1">IFERROR(__xludf.DUMMYFUNCTION("""COMPUTED_VALUE"""),"الطابق الارضي, الطابق الاول, الطابق الثاني, ZONE A, ZONE B")</f>
        <v>الطابق الارضي, الطابق الاول, الطابق الثاني, ZONE A, ZONE B</v>
      </c>
      <c r="H1083" s="29" t="str">
        <f ca="1">IFERROR(__xludf.DUMMYFUNCTION("""COMPUTED_VALUE"""),"إدامة وتنظيف  فلاتر vrf في البناية")</f>
        <v>إدامة وتنظيف  فلاتر vrf في البناية</v>
      </c>
      <c r="I1083" s="29"/>
      <c r="J1083" s="29" t="s">
        <v>14</v>
      </c>
      <c r="K1083" s="29" t="s">
        <v>13</v>
      </c>
      <c r="L1083" s="34"/>
      <c r="M1083" s="29"/>
    </row>
    <row r="1084" spans="1:13" ht="75" customHeight="1" thickTop="1" thickBot="1">
      <c r="A1084" s="23">
        <v>1082</v>
      </c>
      <c r="B1084" s="34">
        <f ca="1">IFERROR(__xludf.DUMMYFUNCTION("""COMPUTED_VALUE"""),46201.4479005671)</f>
        <v>46201.447900567102</v>
      </c>
      <c r="C1084" s="35" t="str">
        <f ca="1">IFERROR(__xludf.DUMMYFUNCTION("""COMPUTED_VALUE"""),"المعملجي")</f>
        <v>المعملجي</v>
      </c>
      <c r="D1084" s="35" t="str">
        <f ca="1">IFERROR(__xludf.DUMMYFUNCTION("""COMPUTED_VALUE"""),"وحدة التبريد")</f>
        <v>وحدة التبريد</v>
      </c>
      <c r="E1084" s="29" t="str">
        <f ca="1">IFERROR(__xludf.DUMMYFUNCTION("""COMPUTED_VALUE"""),"قسم المشاريع الهندسية")</f>
        <v>قسم المشاريع الهندسية</v>
      </c>
      <c r="F1084" s="29" t="str">
        <f ca="1">IFERROR(__xludf.DUMMYFUNCTION("""COMPUTED_VALUE"""),"A- المركز الثقافي")</f>
        <v>A- المركز الثقافي</v>
      </c>
      <c r="G1084" s="29" t="str">
        <f ca="1">IFERROR(__xludf.DUMMYFUNCTION("""COMPUTED_VALUE"""),"الطابق الثاني, السطح")</f>
        <v>الطابق الثاني, السطح</v>
      </c>
      <c r="H1084" s="29" t="str">
        <f ca="1">IFERROR(__xludf.DUMMYFUNCTION("""COMPUTED_VALUE"""),"إدامة وتنظيف القطع الخارجية لمنظومات التبريد في البناية")</f>
        <v>إدامة وتنظيف القطع الخارجية لمنظومات التبريد في البناية</v>
      </c>
      <c r="I1084" s="29"/>
      <c r="J1084" s="29" t="s">
        <v>14</v>
      </c>
      <c r="K1084" s="29" t="s">
        <v>13</v>
      </c>
      <c r="L1084" s="34"/>
      <c r="M1084" s="29"/>
    </row>
    <row r="1085" spans="1:13" ht="75" customHeight="1" thickTop="1" thickBot="1">
      <c r="A1085" s="25">
        <v>1083</v>
      </c>
      <c r="B1085" s="34">
        <f ca="1">IFERROR(__xludf.DUMMYFUNCTION("""COMPUTED_VALUE"""),46202.3170924305)</f>
        <v>46202.317092430501</v>
      </c>
      <c r="C1085" s="35" t="str">
        <f ca="1">IFERROR(__xludf.DUMMYFUNCTION("""COMPUTED_VALUE"""),"المعملجي")</f>
        <v>المعملجي</v>
      </c>
      <c r="D1085" s="35" t="str">
        <f ca="1">IFERROR(__xludf.DUMMYFUNCTION("""COMPUTED_VALUE"""),"ابو سجاد ")</f>
        <v xml:space="preserve">ابو سجاد </v>
      </c>
      <c r="E1085" s="29" t="str">
        <f ca="1">IFERROR(__xludf.DUMMYFUNCTION("""COMPUTED_VALUE"""),"مجموعة العميد التربوية")</f>
        <v>مجموعة العميد التربوية</v>
      </c>
      <c r="F1085" s="29" t="str">
        <f ca="1">IFERROR(__xludf.DUMMYFUNCTION("""COMPUTED_VALUE"""),"I- ابتدائية الساقي للبنين (السادسة)")</f>
        <v>I- ابتدائية الساقي للبنين (السادسة)</v>
      </c>
      <c r="G1085" s="29" t="str">
        <f ca="1">IFERROR(__xludf.DUMMYFUNCTION("""COMPUTED_VALUE"""),"السطح")</f>
        <v>السطح</v>
      </c>
      <c r="H1085" s="29" t="str">
        <f ca="1">IFERROR(__xludf.DUMMYFUNCTION("""COMPUTED_VALUE"""),"Ro لايوجد ماء")</f>
        <v>Ro لايوجد ماء</v>
      </c>
      <c r="I1085" s="29"/>
      <c r="J1085" s="29" t="s">
        <v>14</v>
      </c>
      <c r="K1085" s="29" t="s">
        <v>13</v>
      </c>
      <c r="L1085" s="34">
        <v>46203.292530092593</v>
      </c>
      <c r="M1085" s="29"/>
    </row>
    <row r="1086" spans="1:13" ht="75" customHeight="1" thickTop="1" thickBot="1">
      <c r="A1086" s="23">
        <v>1084</v>
      </c>
      <c r="B1086" s="34">
        <f ca="1">IFERROR(__xludf.DUMMYFUNCTION("""COMPUTED_VALUE"""),46202.5046312963)</f>
        <v>46202.504631296302</v>
      </c>
      <c r="C1086" s="35" t="str">
        <f ca="1">IFERROR(__xludf.DUMMYFUNCTION("""COMPUTED_VALUE"""),"المعملجي")</f>
        <v>المعملجي</v>
      </c>
      <c r="D1086" s="35" t="str">
        <f ca="1">IFERROR(__xludf.DUMMYFUNCTION("""COMPUTED_VALUE"""),"ابو سجاد ")</f>
        <v xml:space="preserve">ابو سجاد </v>
      </c>
      <c r="E1086" s="29" t="str">
        <f ca="1">IFERROR(__xludf.DUMMYFUNCTION("""COMPUTED_VALUE"""),"مجموعة العميد التربوية")</f>
        <v>مجموعة العميد التربوية</v>
      </c>
      <c r="F1086" s="29" t="str">
        <f ca="1">IFERROR(__xludf.DUMMYFUNCTION("""COMPUTED_VALUE"""),"الصحيات مقابل المدرسة الاولى ")</f>
        <v xml:space="preserve">الصحيات مقابل المدرسة الاولى </v>
      </c>
      <c r="G1086" s="29" t="str">
        <f ca="1">IFERROR(__xludf.DUMMYFUNCTION("""COMPUTED_VALUE"""),"الطابق الارضي")</f>
        <v>الطابق الارضي</v>
      </c>
      <c r="H1086" s="29" t="str">
        <f ca="1">IFERROR(__xludf.DUMMYFUNCTION("""COMPUTED_VALUE"""),"تبديل صوندة شطاف ")</f>
        <v xml:space="preserve">تبديل صوندة شطاف </v>
      </c>
      <c r="I1086" s="29"/>
      <c r="J1086" s="29" t="s">
        <v>14</v>
      </c>
      <c r="K1086" s="29" t="s">
        <v>13</v>
      </c>
      <c r="L1086" s="34">
        <v>46203.303618298611</v>
      </c>
      <c r="M1086" s="29"/>
    </row>
    <row r="1087" spans="1:13" ht="75" customHeight="1" thickTop="1" thickBot="1">
      <c r="A1087" s="25">
        <v>1085</v>
      </c>
      <c r="B1087" s="34">
        <f ca="1">IFERROR(__xludf.DUMMYFUNCTION("""COMPUTED_VALUE"""),46203.2929425347)</f>
        <v>46203.292942534703</v>
      </c>
      <c r="C1087" s="35" t="str">
        <f ca="1">IFERROR(__xludf.DUMMYFUNCTION("""COMPUTED_VALUE"""),"المعملجي")</f>
        <v>المعملجي</v>
      </c>
      <c r="D1087" s="35" t="str">
        <f ca="1">IFERROR(__xludf.DUMMYFUNCTION("""COMPUTED_VALUE"""),"وحدة الميكانيك")</f>
        <v>وحدة الميكانيك</v>
      </c>
      <c r="E1087" s="29" t="str">
        <f ca="1">IFERROR(__xludf.DUMMYFUNCTION("""COMPUTED_VALUE"""),"قسم المشاريع الهندسية")</f>
        <v>قسم المشاريع الهندسية</v>
      </c>
      <c r="F1087" s="29" t="str">
        <f ca="1">IFERROR(__xludf.DUMMYFUNCTION("""COMPUTED_VALUE"""),"B- روضة القمر")</f>
        <v>B- روضة القمر</v>
      </c>
      <c r="G1087" s="29"/>
      <c r="H1087" s="29" t="str">
        <f ca="1">IFERROR(__xludf.DUMMYFUNCTION("""COMPUTED_VALUE"""),"لايوجد ماء RO")</f>
        <v>لايوجد ماء RO</v>
      </c>
      <c r="I1087" s="29"/>
      <c r="J1087" s="29" t="s">
        <v>14</v>
      </c>
      <c r="K1087" s="29" t="s">
        <v>13</v>
      </c>
      <c r="L1087" s="34">
        <v>46203.303620636572</v>
      </c>
      <c r="M1087" s="29"/>
    </row>
    <row r="1088" spans="1:13" ht="75" customHeight="1" thickTop="1" thickBot="1">
      <c r="A1088" s="23">
        <v>1086</v>
      </c>
      <c r="B1088" s="34">
        <f ca="1">IFERROR(__xludf.DUMMYFUNCTION("""COMPUTED_VALUE"""),46203.5907102893)</f>
        <v>46203.590710289303</v>
      </c>
      <c r="C1088" s="35" t="str">
        <f ca="1">IFERROR(__xludf.DUMMYFUNCTION("""COMPUTED_VALUE"""),"المعملجي")</f>
        <v>المعملجي</v>
      </c>
      <c r="D1088" s="35" t="str">
        <f ca="1">IFERROR(__xludf.DUMMYFUNCTION("""COMPUTED_VALUE"""),"ابو سجاد ")</f>
        <v xml:space="preserve">ابو سجاد </v>
      </c>
      <c r="E1088" s="29" t="str">
        <f ca="1">IFERROR(__xludf.DUMMYFUNCTION("""COMPUTED_VALUE"""),"مجموعة العميد التربوية")</f>
        <v>مجموعة العميد التربوية</v>
      </c>
      <c r="F1088" s="29" t="str">
        <f ca="1">IFERROR(__xludf.DUMMYFUNCTION("""COMPUTED_VALUE"""),"G- روضة الجود")</f>
        <v>G- روضة الجود</v>
      </c>
      <c r="G1088" s="29" t="str">
        <f ca="1">IFERROR(__xludf.DUMMYFUNCTION("""COMPUTED_VALUE"""),"الطابق الارضي")</f>
        <v>الطابق الارضي</v>
      </c>
      <c r="H1088" s="29" t="str">
        <f ca="1">IFERROR(__xludf.DUMMYFUNCTION("""COMPUTED_VALUE"""),"تبديل كاك سقي ")</f>
        <v xml:space="preserve">تبديل كاك سقي </v>
      </c>
      <c r="I1088" s="29"/>
      <c r="J1088" s="29" t="s">
        <v>14</v>
      </c>
      <c r="K1088" s="29" t="s">
        <v>13</v>
      </c>
      <c r="L1088" s="34">
        <v>46203.59144837963</v>
      </c>
      <c r="M1088" s="29"/>
    </row>
    <row r="1089" spans="1:13" ht="75" customHeight="1" thickTop="1" thickBot="1">
      <c r="A1089" s="25">
        <v>1087</v>
      </c>
      <c r="B1089" s="34">
        <f ca="1">IFERROR(__xludf.DUMMYFUNCTION("""COMPUTED_VALUE"""),46128.4938351736)</f>
        <v>46128.493835173598</v>
      </c>
      <c r="C1089" s="35" t="str">
        <f ca="1">IFERROR(__xludf.DUMMYFUNCTION("""COMPUTED_VALUE"""),"المعملجي")</f>
        <v>المعملجي</v>
      </c>
      <c r="D1089" s="35" t="str">
        <f ca="1">IFERROR(__xludf.DUMMYFUNCTION("""COMPUTED_VALUE"""),"سجاد تربية")</f>
        <v>سجاد تربية</v>
      </c>
      <c r="E1089" s="29" t="str">
        <f ca="1">IFERROR(__xludf.DUMMYFUNCTION("""COMPUTED_VALUE"""),"قسم التربية والتعليم العالي")</f>
        <v>قسم التربية والتعليم العالي</v>
      </c>
      <c r="F1089" s="29" t="str">
        <f ca="1">IFERROR(__xludf.DUMMYFUNCTION("""COMPUTED_VALUE"""),"E- ابتدائية العميد للبنات (الثالثة)")</f>
        <v>E- ابتدائية العميد للبنات (الثالثة)</v>
      </c>
      <c r="G1089" s="29"/>
      <c r="H1089" s="29" t="str">
        <f ca="1">IFERROR(__xludf.DUMMYFUNCTION("""COMPUTED_VALUE"""),"صيانة سيارة تنظيف ")</f>
        <v xml:space="preserve">صيانة سيارة تنظيف </v>
      </c>
      <c r="I1089" s="29"/>
      <c r="J1089" s="29"/>
      <c r="K1089" s="29" t="s">
        <v>90</v>
      </c>
      <c r="L1089" s="34">
        <v>46131.461855532412</v>
      </c>
      <c r="M1089" s="29"/>
    </row>
    <row r="1090" spans="1:13" ht="75" customHeight="1" thickTop="1" thickBot="1">
      <c r="A1090" s="23">
        <v>1088</v>
      </c>
      <c r="B1090" s="34">
        <f ca="1">IFERROR(__xludf.DUMMYFUNCTION("""COMPUTED_VALUE"""),46158.3884496296)</f>
        <v>46158.388449629601</v>
      </c>
      <c r="C1090" s="35" t="str">
        <f ca="1">IFERROR(__xludf.DUMMYFUNCTION("""COMPUTED_VALUE"""),"المعملجي")</f>
        <v>المعملجي</v>
      </c>
      <c r="D1090" s="35" t="str">
        <f ca="1">IFERROR(__xludf.DUMMYFUNCTION("""COMPUTED_VALUE"""),"سجاد تربية")</f>
        <v>سجاد تربية</v>
      </c>
      <c r="E1090" s="29" t="str">
        <f ca="1">IFERROR(__xludf.DUMMYFUNCTION("""COMPUTED_VALUE"""),"قسم التربية والتعليم العالي")</f>
        <v>قسم التربية والتعليم العالي</v>
      </c>
      <c r="F1090" s="29" t="str">
        <f ca="1">IFERROR(__xludf.DUMMYFUNCTION("""COMPUTED_VALUE"""),"I- ابتدائية الساقي للبنين (السادسة)")</f>
        <v>I- ابتدائية الساقي للبنين (السادسة)</v>
      </c>
      <c r="G1090" s="29" t="str">
        <f ca="1">IFERROR(__xludf.DUMMYFUNCTION("""COMPUTED_VALUE"""),"الطابق الثالث")</f>
        <v>الطابق الثالث</v>
      </c>
      <c r="H1090" s="29" t="str">
        <f ca="1">IFERROR(__xludf.DUMMYFUNCTION("""COMPUTED_VALUE"""),"1:صيانة بردات 
2:صيانة رحلات 
3:صيانة بردة الصف الثاني الطابق الثاني 
4:صيانة بردات الطابق الاول ")</f>
        <v xml:space="preserve">1:صيانة بردات 
2:صيانة رحلات 
3:صيانة بردة الصف الثاني الطابق الثاني 
4:صيانة بردات الطابق الاول </v>
      </c>
      <c r="I1090" s="29"/>
      <c r="J1090" s="29"/>
      <c r="K1090" s="29" t="s">
        <v>90</v>
      </c>
      <c r="L1090" s="34">
        <v>46160.393389930556</v>
      </c>
      <c r="M1090" s="29"/>
    </row>
    <row r="1091" spans="1:13" ht="75" customHeight="1" thickTop="1" thickBot="1">
      <c r="A1091" s="25">
        <v>1089</v>
      </c>
      <c r="B1091" s="34">
        <f ca="1">IFERROR(__xludf.DUMMYFUNCTION("""COMPUTED_VALUE"""),46189.5458610879)</f>
        <v>46189.5458610879</v>
      </c>
      <c r="C1091" s="35" t="str">
        <f ca="1">IFERROR(__xludf.DUMMYFUNCTION("""COMPUTED_VALUE"""),"المعملجي")</f>
        <v>المعملجي</v>
      </c>
      <c r="D1091" s="35" t="str">
        <f ca="1">IFERROR(__xludf.DUMMYFUNCTION("""COMPUTED_VALUE"""),"ابراهيم الخطابي")</f>
        <v>ابراهيم الخطابي</v>
      </c>
      <c r="E1091" s="29" t="str">
        <f ca="1">IFERROR(__xludf.DUMMYFUNCTION("""COMPUTED_VALUE"""),"مجموعة العميد التربوية")</f>
        <v>مجموعة العميد التربوية</v>
      </c>
      <c r="F1091" s="29" t="str">
        <f ca="1">IFERROR(__xludf.DUMMYFUNCTION("""COMPUTED_VALUE"""),"H- ابتدائية القمر للبنات (الخامسة)")</f>
        <v>H- ابتدائية القمر للبنات (الخامسة)</v>
      </c>
      <c r="G1091" s="29" t="str">
        <f ca="1">IFERROR(__xludf.DUMMYFUNCTION("""COMPUTED_VALUE"""),"الطابق الارضي")</f>
        <v>الطابق الارضي</v>
      </c>
      <c r="H1091" s="29" t="str">
        <f ca="1">IFERROR(__xludf.DUMMYFUNCTION("""COMPUTED_VALUE"""),"الصف الربع ب  / والخامس ج   تمزق ستائر ")</f>
        <v xml:space="preserve">الصف الربع ب  / والخامس ج   تمزق ستائر </v>
      </c>
      <c r="I1091" s="29"/>
      <c r="J1091" s="29"/>
      <c r="K1091" s="29" t="s">
        <v>90</v>
      </c>
      <c r="L1091" s="34">
        <v>46189.570940358797</v>
      </c>
      <c r="M1091" s="29"/>
    </row>
    <row r="1092" spans="1:13" ht="75" customHeight="1" thickTop="1" thickBot="1">
      <c r="A1092" s="23">
        <v>1090</v>
      </c>
      <c r="B1092" s="34">
        <f ca="1">IFERROR(__xludf.DUMMYFUNCTION("""COMPUTED_VALUE"""),46189.5478841666)</f>
        <v>46189.547884166597</v>
      </c>
      <c r="C1092" s="35" t="str">
        <f ca="1">IFERROR(__xludf.DUMMYFUNCTION("""COMPUTED_VALUE"""),"المعملجي")</f>
        <v>المعملجي</v>
      </c>
      <c r="D1092" s="35" t="str">
        <f ca="1">IFERROR(__xludf.DUMMYFUNCTION("""COMPUTED_VALUE"""),"ابراهيم الخطابي")</f>
        <v>ابراهيم الخطابي</v>
      </c>
      <c r="E1092" s="29" t="str">
        <f ca="1">IFERROR(__xludf.DUMMYFUNCTION("""COMPUTED_VALUE"""),"مجموعة العميد التربوية")</f>
        <v>مجموعة العميد التربوية</v>
      </c>
      <c r="F1092" s="29" t="str">
        <f ca="1">IFERROR(__xludf.DUMMYFUNCTION("""COMPUTED_VALUE"""),"H- ابتدائية القمر للبنات (الخامسة)")</f>
        <v>H- ابتدائية القمر للبنات (الخامسة)</v>
      </c>
      <c r="G1092" s="29" t="str">
        <f ca="1">IFERROR(__xludf.DUMMYFUNCTION("""COMPUTED_VALUE"""),"الطابق الارضي")</f>
        <v>الطابق الارضي</v>
      </c>
      <c r="H1092" s="29" t="str">
        <f ca="1">IFERROR(__xludf.DUMMYFUNCTION("""COMPUTED_VALUE"""),"الصف الربع د  عطل في سلسلة الستائر ")</f>
        <v xml:space="preserve">الصف الربع د  عطل في سلسلة الستائر </v>
      </c>
      <c r="I1092" s="29"/>
      <c r="J1092" s="29"/>
      <c r="K1092" s="29" t="s">
        <v>90</v>
      </c>
      <c r="L1092" s="34">
        <v>46189.57103525463</v>
      </c>
      <c r="M1092" s="29"/>
    </row>
    <row r="1093" spans="1:13" ht="75" customHeight="1" thickTop="1"/>
  </sheetData>
  <autoFilter ref="A2:A590" xr:uid="{00000000-0009-0000-0000-000000000000}"/>
  <conditionalFormatting sqref="B3:B1092">
    <cfRule type="expression" dxfId="9" priority="3">
      <formula>AND($B3&lt;&gt;"", TRIM($K3)="")</formula>
    </cfRule>
    <cfRule type="expression" dxfId="8" priority="4">
      <formula>INT($B3) &lt; TODAY()</formula>
    </cfRule>
    <cfRule type="expression" dxfId="7" priority="5">
      <formula>INT($B3) = TODAY()</formula>
    </cfRule>
  </conditionalFormatting>
  <conditionalFormatting sqref="K1:K1048576">
    <cfRule type="containsText" dxfId="6" priority="1" operator="containsText" text="منجز">
      <formula>NOT(ISERROR(SEARCH("منجز",K1)))</formula>
    </cfRule>
    <cfRule type="containsText" dxfId="5" priority="2" operator="containsText" text="منجز">
      <formula>NOT(ISERROR(SEARCH("منجز",K1)))</formula>
    </cfRule>
  </conditionalFormatting>
  <dataValidations count="2">
    <dataValidation type="list" allowBlank="1" sqref="K3:K1092" xr:uid="{23F42F95-62D7-4098-B332-A4C0B1B61931}">
      <formula1>"منجز,ملغي,تابع للتربية,مؤجل"</formula1>
    </dataValidation>
    <dataValidation type="list" allowBlank="1" sqref="J3:J1092" xr:uid="{58610B75-8B04-4C34-8DCB-C275846793FD}">
      <formula1>#REF!</formula1>
    </dataValidation>
  </dataValidations>
  <printOptions horizontalCentered="1"/>
  <pageMargins left="0.23622047244094491" right="0.23622047244094491" top="0.74803149606299213" bottom="0.35433070866141736" header="0.31496062992125984" footer="0.31496062992125984"/>
  <pageSetup scale="35" fitToHeight="0" orientation="portrait" useFirstPageNumber="1" r:id="rId1"/>
  <headerFooter>
    <oddHeader>&amp;C&amp;"Segoe UI Historic,غامق"&amp;20قسم المشاريع الهندسية
شعبة صيانة مجموعة العميد التربوية</oddHeader>
    <oddFooter>صفحة &amp;P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A653-CA5B-4FF4-B0E2-9418BD054917}">
  <sheetPr>
    <tabColor rgb="FF2ECC71"/>
    <outlinePr summaryBelow="0" summaryRight="0"/>
    <pageSetUpPr fitToPage="1"/>
  </sheetPr>
  <dimension ref="A1:N1166"/>
  <sheetViews>
    <sheetView showGridLines="0" rightToLeft="1" zoomScale="55" zoomScaleNormal="55" zoomScalePageLayoutView="85" workbookViewId="0">
      <pane xSplit="1" topLeftCell="B1" activePane="topRight" state="frozen"/>
      <selection pane="topRight" activeCell="P1" sqref="P1"/>
    </sheetView>
  </sheetViews>
  <sheetFormatPr defaultColWidth="12.5703125" defaultRowHeight="75" customHeight="1"/>
  <cols>
    <col min="1" max="1" width="9.28515625" style="36" customWidth="1"/>
    <col min="2" max="2" width="30.5703125" style="37" bestFit="1" customWidth="1"/>
    <col min="3" max="4" width="6" style="37" customWidth="1"/>
    <col min="5" max="5" width="14.42578125" style="36" bestFit="1" customWidth="1"/>
    <col min="6" max="6" width="45.28515625" style="36" bestFit="1" customWidth="1"/>
    <col min="7" max="7" width="36.140625" style="36" customWidth="1"/>
    <col min="8" max="8" width="65" style="38" customWidth="1"/>
    <col min="9" max="9" width="18.85546875" style="36" customWidth="1"/>
    <col min="10" max="10" width="10.7109375" style="36" customWidth="1"/>
    <col min="11" max="11" width="10" style="36" customWidth="1"/>
    <col min="12" max="12" width="30.5703125" style="36" bestFit="1" customWidth="1"/>
    <col min="13" max="13" width="18.85546875" style="36" customWidth="1"/>
    <col min="14" max="14" width="15.140625" hidden="1" customWidth="1"/>
  </cols>
  <sheetData>
    <row r="1" spans="1:14" ht="110.1" customHeight="1" thickBot="1"/>
    <row r="2" spans="1:14" ht="50.1" customHeight="1" thickTop="1" thickBot="1">
      <c r="A2" s="26" t="s">
        <v>76</v>
      </c>
      <c r="B2" s="26" t="s">
        <v>0</v>
      </c>
      <c r="C2" s="27" t="s">
        <v>1</v>
      </c>
      <c r="D2" s="27" t="s">
        <v>2</v>
      </c>
      <c r="E2" s="26" t="s">
        <v>3</v>
      </c>
      <c r="F2" s="26" t="s">
        <v>4</v>
      </c>
      <c r="G2" s="26" t="s">
        <v>17</v>
      </c>
      <c r="H2" s="26" t="s">
        <v>5</v>
      </c>
      <c r="I2" s="26" t="s">
        <v>6</v>
      </c>
      <c r="J2" s="28" t="s">
        <v>7</v>
      </c>
      <c r="K2" s="28" t="s">
        <v>8</v>
      </c>
      <c r="L2" s="28" t="s">
        <v>9</v>
      </c>
      <c r="M2" s="28" t="s">
        <v>10</v>
      </c>
      <c r="N2" s="1" t="s">
        <v>11</v>
      </c>
    </row>
    <row r="3" spans="1:14" ht="75" customHeight="1" thickTop="1" thickBot="1">
      <c r="A3" s="25">
        <v>1</v>
      </c>
      <c r="B3" s="30">
        <v>46113.381721585603</v>
      </c>
      <c r="C3" s="31" t="s">
        <v>97</v>
      </c>
      <c r="D3" s="31" t="s">
        <v>98</v>
      </c>
      <c r="E3" s="25" t="s">
        <v>99</v>
      </c>
      <c r="F3" s="25" t="s">
        <v>100</v>
      </c>
      <c r="G3" s="25" t="s">
        <v>101</v>
      </c>
      <c r="H3" s="39" t="s">
        <v>997</v>
      </c>
      <c r="I3" s="25"/>
      <c r="J3" s="25" t="s">
        <v>12</v>
      </c>
      <c r="K3" s="25" t="s">
        <v>13</v>
      </c>
      <c r="L3" s="30">
        <v>46113.382956319445</v>
      </c>
      <c r="M3" s="25"/>
      <c r="N3" s="2" t="s">
        <v>77</v>
      </c>
    </row>
    <row r="4" spans="1:14" ht="75" customHeight="1" thickTop="1" thickBot="1">
      <c r="A4" s="23">
        <v>2</v>
      </c>
      <c r="B4" s="32">
        <v>46113.382800995299</v>
      </c>
      <c r="C4" s="33" t="s">
        <v>97</v>
      </c>
      <c r="D4" s="31" t="s">
        <v>98</v>
      </c>
      <c r="E4" s="23" t="s">
        <v>99</v>
      </c>
      <c r="F4" s="23" t="s">
        <v>100</v>
      </c>
      <c r="G4" s="23" t="s">
        <v>101</v>
      </c>
      <c r="H4" s="23" t="s">
        <v>997</v>
      </c>
      <c r="I4" s="23"/>
      <c r="J4" s="23" t="s">
        <v>12</v>
      </c>
      <c r="K4" s="23" t="s">
        <v>13</v>
      </c>
      <c r="L4" s="32">
        <v>46113.382994444444</v>
      </c>
      <c r="M4" s="23"/>
      <c r="N4" s="2" t="s">
        <v>77</v>
      </c>
    </row>
    <row r="5" spans="1:14" ht="75" customHeight="1" thickTop="1" thickBot="1">
      <c r="A5" s="25">
        <v>3</v>
      </c>
      <c r="B5" s="32">
        <v>46113.383437199001</v>
      </c>
      <c r="C5" s="33" t="s">
        <v>97</v>
      </c>
      <c r="D5" s="31" t="s">
        <v>98</v>
      </c>
      <c r="E5" s="23" t="s">
        <v>99</v>
      </c>
      <c r="F5" s="23" t="s">
        <v>102</v>
      </c>
      <c r="G5" s="23" t="s">
        <v>103</v>
      </c>
      <c r="H5" s="23" t="s">
        <v>1007</v>
      </c>
      <c r="I5" s="23"/>
      <c r="J5" s="23" t="s">
        <v>16</v>
      </c>
      <c r="K5" s="23" t="s">
        <v>13</v>
      </c>
      <c r="L5" s="32">
        <v>46113.385148113426</v>
      </c>
      <c r="M5" s="23"/>
      <c r="N5" s="2" t="s">
        <v>77</v>
      </c>
    </row>
    <row r="6" spans="1:14" ht="75" customHeight="1" thickTop="1" thickBot="1">
      <c r="A6" s="23">
        <v>4</v>
      </c>
      <c r="B6" s="32">
        <v>46113.383991840201</v>
      </c>
      <c r="C6" s="33" t="s">
        <v>97</v>
      </c>
      <c r="D6" s="31" t="s">
        <v>98</v>
      </c>
      <c r="E6" s="23" t="s">
        <v>99</v>
      </c>
      <c r="F6" s="23" t="s">
        <v>102</v>
      </c>
      <c r="G6" s="23" t="s">
        <v>103</v>
      </c>
      <c r="H6" s="23" t="s">
        <v>1008</v>
      </c>
      <c r="I6" s="23"/>
      <c r="J6" s="23" t="s">
        <v>16</v>
      </c>
      <c r="K6" s="23" t="s">
        <v>13</v>
      </c>
      <c r="L6" s="32">
        <v>46113.385234189816</v>
      </c>
      <c r="M6" s="23"/>
      <c r="N6" s="2" t="s">
        <v>77</v>
      </c>
    </row>
    <row r="7" spans="1:14" ht="75" customHeight="1" thickTop="1" thickBot="1">
      <c r="A7" s="25">
        <v>5</v>
      </c>
      <c r="B7" s="32">
        <v>46113.384440439797</v>
      </c>
      <c r="C7" s="33" t="s">
        <v>97</v>
      </c>
      <c r="D7" s="31" t="s">
        <v>98</v>
      </c>
      <c r="E7" s="23" t="s">
        <v>99</v>
      </c>
      <c r="F7" s="23" t="s">
        <v>102</v>
      </c>
      <c r="G7" s="23" t="s">
        <v>104</v>
      </c>
      <c r="H7" s="23" t="s">
        <v>1008</v>
      </c>
      <c r="I7" s="23"/>
      <c r="J7" s="23" t="s">
        <v>16</v>
      </c>
      <c r="K7" s="23" t="s">
        <v>13</v>
      </c>
      <c r="L7" s="32">
        <v>46113.38531114583</v>
      </c>
      <c r="M7" s="23"/>
      <c r="N7" s="2" t="s">
        <v>77</v>
      </c>
    </row>
    <row r="8" spans="1:14" ht="75" customHeight="1" thickTop="1" thickBot="1">
      <c r="A8" s="23">
        <v>6</v>
      </c>
      <c r="B8" s="32">
        <v>46113.385003796197</v>
      </c>
      <c r="C8" s="33" t="s">
        <v>97</v>
      </c>
      <c r="D8" s="31" t="s">
        <v>98</v>
      </c>
      <c r="E8" s="23" t="s">
        <v>99</v>
      </c>
      <c r="F8" s="23" t="s">
        <v>102</v>
      </c>
      <c r="G8" s="23" t="s">
        <v>105</v>
      </c>
      <c r="H8" s="23" t="s">
        <v>1009</v>
      </c>
      <c r="I8" s="23"/>
      <c r="J8" s="23" t="s">
        <v>16</v>
      </c>
      <c r="K8" s="23" t="s">
        <v>13</v>
      </c>
      <c r="L8" s="32">
        <v>46113.38538310185</v>
      </c>
      <c r="M8" s="23"/>
      <c r="N8" s="2" t="s">
        <v>77</v>
      </c>
    </row>
    <row r="9" spans="1:14" ht="75" customHeight="1" thickTop="1" thickBot="1">
      <c r="A9" s="25">
        <v>7</v>
      </c>
      <c r="B9" s="32">
        <v>46113.386375856397</v>
      </c>
      <c r="C9" s="33" t="s">
        <v>97</v>
      </c>
      <c r="D9" s="31" t="s">
        <v>98</v>
      </c>
      <c r="E9" s="23" t="s">
        <v>99</v>
      </c>
      <c r="F9" s="23" t="s">
        <v>100</v>
      </c>
      <c r="G9" s="23" t="s">
        <v>106</v>
      </c>
      <c r="H9" s="23" t="s">
        <v>107</v>
      </c>
      <c r="I9" s="23"/>
      <c r="J9" s="23" t="s">
        <v>14</v>
      </c>
      <c r="K9" s="23" t="s">
        <v>13</v>
      </c>
      <c r="L9" s="32">
        <v>46113.386514432874</v>
      </c>
      <c r="M9" s="23"/>
      <c r="N9" s="2" t="s">
        <v>77</v>
      </c>
    </row>
    <row r="10" spans="1:14" ht="75" customHeight="1" thickTop="1" thickBot="1">
      <c r="A10" s="23">
        <v>8</v>
      </c>
      <c r="B10" s="32">
        <v>46113.524481284701</v>
      </c>
      <c r="C10" s="33" t="s">
        <v>97</v>
      </c>
      <c r="D10" s="31" t="s">
        <v>98</v>
      </c>
      <c r="E10" s="23" t="s">
        <v>99</v>
      </c>
      <c r="F10" s="23" t="s">
        <v>102</v>
      </c>
      <c r="G10" s="23" t="s">
        <v>108</v>
      </c>
      <c r="H10" s="23" t="s">
        <v>109</v>
      </c>
      <c r="I10" s="23"/>
      <c r="J10" s="23" t="s">
        <v>16</v>
      </c>
      <c r="K10" s="23" t="s">
        <v>13</v>
      </c>
      <c r="L10" s="32">
        <v>46113.534090694448</v>
      </c>
      <c r="M10" s="23"/>
      <c r="N10" s="2" t="s">
        <v>77</v>
      </c>
    </row>
    <row r="11" spans="1:14" ht="75" customHeight="1" thickTop="1" thickBot="1">
      <c r="A11" s="25">
        <v>9</v>
      </c>
      <c r="B11" s="32">
        <v>46113.531124004599</v>
      </c>
      <c r="C11" s="33" t="s">
        <v>97</v>
      </c>
      <c r="D11" s="31" t="s">
        <v>98</v>
      </c>
      <c r="E11" s="23" t="s">
        <v>99</v>
      </c>
      <c r="F11" s="23" t="s">
        <v>102</v>
      </c>
      <c r="G11" s="23" t="s">
        <v>110</v>
      </c>
      <c r="H11" s="23" t="s">
        <v>111</v>
      </c>
      <c r="I11" s="23"/>
      <c r="J11" s="23" t="s">
        <v>16</v>
      </c>
      <c r="K11" s="23" t="s">
        <v>13</v>
      </c>
      <c r="L11" s="32">
        <v>46113.534120335651</v>
      </c>
      <c r="M11" s="23"/>
      <c r="N11" s="2" t="s">
        <v>77</v>
      </c>
    </row>
    <row r="12" spans="1:14" ht="75" customHeight="1" thickTop="1" thickBot="1">
      <c r="A12" s="23">
        <v>10</v>
      </c>
      <c r="B12" s="32">
        <v>46113.531740208302</v>
      </c>
      <c r="C12" s="33" t="s">
        <v>97</v>
      </c>
      <c r="D12" s="31" t="s">
        <v>98</v>
      </c>
      <c r="E12" s="23" t="s">
        <v>99</v>
      </c>
      <c r="F12" s="23" t="s">
        <v>100</v>
      </c>
      <c r="G12" s="23" t="s">
        <v>110</v>
      </c>
      <c r="H12" s="23" t="s">
        <v>112</v>
      </c>
      <c r="I12" s="23"/>
      <c r="J12" s="23" t="s">
        <v>16</v>
      </c>
      <c r="K12" s="23" t="s">
        <v>13</v>
      </c>
      <c r="L12" s="32">
        <v>46113.534181469906</v>
      </c>
      <c r="M12" s="23"/>
      <c r="N12" s="2" t="s">
        <v>77</v>
      </c>
    </row>
    <row r="13" spans="1:14" ht="75" customHeight="1" thickTop="1" thickBot="1">
      <c r="A13" s="25">
        <v>11</v>
      </c>
      <c r="B13" s="32">
        <v>46113.532374710601</v>
      </c>
      <c r="C13" s="33" t="s">
        <v>97</v>
      </c>
      <c r="D13" s="31" t="s">
        <v>98</v>
      </c>
      <c r="E13" s="23" t="s">
        <v>99</v>
      </c>
      <c r="F13" s="23" t="s">
        <v>102</v>
      </c>
      <c r="G13" s="23" t="s">
        <v>106</v>
      </c>
      <c r="H13" s="23" t="s">
        <v>1010</v>
      </c>
      <c r="I13" s="23"/>
      <c r="J13" s="23" t="s">
        <v>16</v>
      </c>
      <c r="K13" s="23" t="s">
        <v>13</v>
      </c>
      <c r="L13" s="32">
        <v>46113.534217395834</v>
      </c>
      <c r="M13" s="23"/>
      <c r="N13" s="2" t="s">
        <v>77</v>
      </c>
    </row>
    <row r="14" spans="1:14" ht="75" customHeight="1" thickTop="1" thickBot="1">
      <c r="A14" s="23">
        <v>12</v>
      </c>
      <c r="B14" s="32">
        <v>46113.532883958302</v>
      </c>
      <c r="C14" s="33" t="s">
        <v>97</v>
      </c>
      <c r="D14" s="33" t="s">
        <v>98</v>
      </c>
      <c r="E14" s="23" t="s">
        <v>99</v>
      </c>
      <c r="F14" s="23" t="s">
        <v>100</v>
      </c>
      <c r="G14" s="23" t="s">
        <v>104</v>
      </c>
      <c r="H14" s="23" t="s">
        <v>1011</v>
      </c>
      <c r="I14" s="23"/>
      <c r="J14" s="23" t="s">
        <v>16</v>
      </c>
      <c r="K14" s="23" t="s">
        <v>13</v>
      </c>
      <c r="L14" s="32">
        <v>46113.534275208338</v>
      </c>
      <c r="M14" s="23"/>
      <c r="N14" s="2" t="s">
        <v>77</v>
      </c>
    </row>
    <row r="15" spans="1:14" ht="75" customHeight="1" thickTop="1" thickBot="1">
      <c r="A15" s="25">
        <v>13</v>
      </c>
      <c r="B15" s="32">
        <v>46113.5333435879</v>
      </c>
      <c r="C15" s="33" t="s">
        <v>97</v>
      </c>
      <c r="D15" s="33" t="s">
        <v>98</v>
      </c>
      <c r="E15" s="23" t="s">
        <v>99</v>
      </c>
      <c r="F15" s="23" t="s">
        <v>100</v>
      </c>
      <c r="G15" s="23" t="s">
        <v>103</v>
      </c>
      <c r="H15" s="23" t="s">
        <v>1012</v>
      </c>
      <c r="I15" s="23"/>
      <c r="J15" s="23" t="s">
        <v>16</v>
      </c>
      <c r="K15" s="23" t="s">
        <v>13</v>
      </c>
      <c r="L15" s="32">
        <v>46113.534317939819</v>
      </c>
      <c r="M15" s="23"/>
      <c r="N15" s="2" t="s">
        <v>77</v>
      </c>
    </row>
    <row r="16" spans="1:14" ht="75" customHeight="1" thickTop="1" thickBot="1">
      <c r="A16" s="23">
        <v>14</v>
      </c>
      <c r="B16" s="32">
        <v>46113.533891550898</v>
      </c>
      <c r="C16" s="33" t="s">
        <v>97</v>
      </c>
      <c r="D16" s="33" t="s">
        <v>98</v>
      </c>
      <c r="E16" s="23" t="s">
        <v>99</v>
      </c>
      <c r="F16" s="23" t="s">
        <v>100</v>
      </c>
      <c r="G16" s="23" t="s">
        <v>108</v>
      </c>
      <c r="H16" s="23" t="s">
        <v>1013</v>
      </c>
      <c r="I16" s="23"/>
      <c r="J16" s="23" t="s">
        <v>16</v>
      </c>
      <c r="K16" s="23" t="s">
        <v>13</v>
      </c>
      <c r="L16" s="32">
        <v>46113.534389791668</v>
      </c>
      <c r="M16" s="23"/>
      <c r="N16" s="2" t="s">
        <v>77</v>
      </c>
    </row>
    <row r="17" spans="1:14" ht="75" customHeight="1" thickTop="1" thickBot="1">
      <c r="A17" s="25">
        <v>15</v>
      </c>
      <c r="B17" s="32">
        <v>46113.535250740701</v>
      </c>
      <c r="C17" s="33" t="s">
        <v>97</v>
      </c>
      <c r="D17" s="33" t="s">
        <v>98</v>
      </c>
      <c r="E17" s="23" t="s">
        <v>99</v>
      </c>
      <c r="F17" s="23" t="s">
        <v>116</v>
      </c>
      <c r="G17" s="23" t="s">
        <v>106</v>
      </c>
      <c r="H17" s="23" t="s">
        <v>1014</v>
      </c>
      <c r="I17" s="23"/>
      <c r="J17" s="23" t="s">
        <v>16</v>
      </c>
      <c r="K17" s="23" t="s">
        <v>13</v>
      </c>
      <c r="L17" s="32">
        <v>46113.578767361112</v>
      </c>
      <c r="M17" s="23"/>
      <c r="N17" s="2" t="s">
        <v>77</v>
      </c>
    </row>
    <row r="18" spans="1:14" ht="75" customHeight="1" thickTop="1" thickBot="1">
      <c r="A18" s="23">
        <v>16</v>
      </c>
      <c r="B18" s="32">
        <v>46114.316723796197</v>
      </c>
      <c r="C18" s="33" t="s">
        <v>97</v>
      </c>
      <c r="D18" s="33" t="s">
        <v>98</v>
      </c>
      <c r="E18" s="23" t="s">
        <v>99</v>
      </c>
      <c r="F18" s="23" t="s">
        <v>116</v>
      </c>
      <c r="G18" s="23" t="s">
        <v>105</v>
      </c>
      <c r="H18" s="23" t="s">
        <v>1015</v>
      </c>
      <c r="I18" s="23"/>
      <c r="J18" s="23" t="s">
        <v>16</v>
      </c>
      <c r="K18" s="23" t="s">
        <v>13</v>
      </c>
      <c r="L18" s="32">
        <v>46114.320173020838</v>
      </c>
      <c r="M18" s="23"/>
      <c r="N18" s="2" t="s">
        <v>77</v>
      </c>
    </row>
    <row r="19" spans="1:14" ht="75" customHeight="1" thickTop="1" thickBot="1">
      <c r="A19" s="25">
        <v>17</v>
      </c>
      <c r="B19" s="32">
        <v>46114.3191201851</v>
      </c>
      <c r="C19" s="33" t="s">
        <v>97</v>
      </c>
      <c r="D19" s="33" t="s">
        <v>98</v>
      </c>
      <c r="E19" s="23" t="s">
        <v>99</v>
      </c>
      <c r="F19" s="23" t="s">
        <v>102</v>
      </c>
      <c r="G19" s="23" t="s">
        <v>101</v>
      </c>
      <c r="H19" s="23" t="s">
        <v>117</v>
      </c>
      <c r="I19" s="23"/>
      <c r="J19" s="23" t="s">
        <v>14</v>
      </c>
      <c r="K19" s="23" t="s">
        <v>13</v>
      </c>
      <c r="L19" s="32">
        <v>46114.320381030091</v>
      </c>
      <c r="M19" s="23"/>
      <c r="N19" s="2" t="s">
        <v>77</v>
      </c>
    </row>
    <row r="20" spans="1:14" ht="75" customHeight="1" thickTop="1" thickBot="1">
      <c r="A20" s="23">
        <v>18</v>
      </c>
      <c r="B20" s="32">
        <v>46114.319926620301</v>
      </c>
      <c r="C20" s="33" t="s">
        <v>97</v>
      </c>
      <c r="D20" s="33" t="s">
        <v>98</v>
      </c>
      <c r="E20" s="23" t="s">
        <v>99</v>
      </c>
      <c r="F20" s="23" t="s">
        <v>102</v>
      </c>
      <c r="G20" s="23" t="s">
        <v>106</v>
      </c>
      <c r="H20" s="23" t="s">
        <v>118</v>
      </c>
      <c r="I20" s="23"/>
      <c r="J20" s="23" t="s">
        <v>14</v>
      </c>
      <c r="K20" s="23" t="s">
        <v>13</v>
      </c>
      <c r="L20" s="32">
        <v>46114.320470740742</v>
      </c>
      <c r="M20" s="23"/>
      <c r="N20" s="2" t="s">
        <v>77</v>
      </c>
    </row>
    <row r="21" spans="1:14" ht="75" customHeight="1" thickTop="1" thickBot="1">
      <c r="A21" s="25">
        <v>19</v>
      </c>
      <c r="B21" s="32">
        <v>46114.321605752302</v>
      </c>
      <c r="C21" s="33" t="s">
        <v>97</v>
      </c>
      <c r="D21" s="33" t="s">
        <v>98</v>
      </c>
      <c r="E21" s="23" t="s">
        <v>99</v>
      </c>
      <c r="F21" s="23" t="s">
        <v>100</v>
      </c>
      <c r="G21" s="23" t="s">
        <v>119</v>
      </c>
      <c r="H21" s="23" t="s">
        <v>120</v>
      </c>
      <c r="I21" s="23"/>
      <c r="J21" s="23" t="s">
        <v>12</v>
      </c>
      <c r="K21" s="23" t="s">
        <v>13</v>
      </c>
      <c r="L21" s="32">
        <v>46114.321810150461</v>
      </c>
      <c r="M21" s="23"/>
      <c r="N21" s="2" t="s">
        <v>77</v>
      </c>
    </row>
    <row r="22" spans="1:14" ht="75" customHeight="1" thickTop="1" thickBot="1">
      <c r="A22" s="23">
        <v>20</v>
      </c>
      <c r="B22" s="32">
        <v>46114.459519085598</v>
      </c>
      <c r="C22" s="33" t="s">
        <v>97</v>
      </c>
      <c r="D22" s="33" t="s">
        <v>121</v>
      </c>
      <c r="E22" s="23" t="s">
        <v>122</v>
      </c>
      <c r="F22" s="23" t="s">
        <v>102</v>
      </c>
      <c r="G22" s="23" t="s">
        <v>104</v>
      </c>
      <c r="H22" s="23" t="s">
        <v>123</v>
      </c>
      <c r="I22" s="23"/>
      <c r="J22" s="23" t="s">
        <v>14</v>
      </c>
      <c r="K22" s="23" t="s">
        <v>13</v>
      </c>
      <c r="L22" s="32">
        <v>46114.488712893522</v>
      </c>
      <c r="M22" s="23"/>
      <c r="N22" s="2" t="s">
        <v>77</v>
      </c>
    </row>
    <row r="23" spans="1:14" ht="75" customHeight="1" thickTop="1" thickBot="1">
      <c r="A23" s="25">
        <v>21</v>
      </c>
      <c r="B23" s="32">
        <v>46114.4602687847</v>
      </c>
      <c r="C23" s="33" t="s">
        <v>97</v>
      </c>
      <c r="D23" s="33" t="s">
        <v>121</v>
      </c>
      <c r="E23" s="23" t="s">
        <v>122</v>
      </c>
      <c r="F23" s="23" t="s">
        <v>100</v>
      </c>
      <c r="G23" s="23" t="s">
        <v>981</v>
      </c>
      <c r="H23" s="23" t="s">
        <v>125</v>
      </c>
      <c r="I23" s="23"/>
      <c r="J23" s="23" t="s">
        <v>16</v>
      </c>
      <c r="K23" s="23" t="s">
        <v>13</v>
      </c>
      <c r="L23" s="32">
        <v>46116.361421249996</v>
      </c>
      <c r="M23" s="23"/>
      <c r="N23" s="2" t="s">
        <v>77</v>
      </c>
    </row>
    <row r="24" spans="1:14" ht="75" customHeight="1" thickTop="1" thickBot="1">
      <c r="A24" s="23">
        <v>22</v>
      </c>
      <c r="B24" s="32">
        <v>46114.511767777702</v>
      </c>
      <c r="C24" s="33" t="s">
        <v>97</v>
      </c>
      <c r="D24" s="33" t="s">
        <v>121</v>
      </c>
      <c r="E24" s="23" t="s">
        <v>122</v>
      </c>
      <c r="F24" s="23" t="s">
        <v>126</v>
      </c>
      <c r="G24" s="23" t="s">
        <v>127</v>
      </c>
      <c r="H24" s="23" t="s">
        <v>128</v>
      </c>
      <c r="I24" s="23"/>
      <c r="J24" s="23" t="s">
        <v>16</v>
      </c>
      <c r="K24" s="23" t="s">
        <v>13</v>
      </c>
      <c r="L24" s="32">
        <v>46114.574307083334</v>
      </c>
      <c r="M24" s="23"/>
      <c r="N24" s="2"/>
    </row>
    <row r="25" spans="1:14" ht="75" customHeight="1" thickTop="1" thickBot="1">
      <c r="A25" s="25">
        <v>23</v>
      </c>
      <c r="B25" s="32">
        <v>46116.474457546297</v>
      </c>
      <c r="C25" s="33" t="s">
        <v>97</v>
      </c>
      <c r="D25" s="33" t="s">
        <v>121</v>
      </c>
      <c r="E25" s="23" t="s">
        <v>122</v>
      </c>
      <c r="F25" s="23" t="s">
        <v>116</v>
      </c>
      <c r="G25" s="23" t="s">
        <v>106</v>
      </c>
      <c r="H25" s="23" t="s">
        <v>129</v>
      </c>
      <c r="I25" s="23"/>
      <c r="J25" s="23" t="s">
        <v>16</v>
      </c>
      <c r="K25" s="23" t="s">
        <v>13</v>
      </c>
      <c r="L25" s="32">
        <v>46116.514805613428</v>
      </c>
      <c r="M25" s="23"/>
      <c r="N25" s="2"/>
    </row>
    <row r="26" spans="1:14" ht="75" customHeight="1" thickTop="1" thickBot="1">
      <c r="A26" s="23">
        <v>24</v>
      </c>
      <c r="B26" s="32">
        <v>46116.567672789301</v>
      </c>
      <c r="C26" s="33" t="s">
        <v>97</v>
      </c>
      <c r="D26" s="33" t="s">
        <v>121</v>
      </c>
      <c r="E26" s="23" t="s">
        <v>122</v>
      </c>
      <c r="F26" s="23" t="s">
        <v>116</v>
      </c>
      <c r="G26" s="23" t="s">
        <v>130</v>
      </c>
      <c r="H26" s="23" t="s">
        <v>131</v>
      </c>
      <c r="I26" s="23"/>
      <c r="J26" s="23" t="s">
        <v>12</v>
      </c>
      <c r="K26" s="23" t="s">
        <v>13</v>
      </c>
      <c r="L26" s="32">
        <v>46117.555453020832</v>
      </c>
      <c r="M26" s="23"/>
      <c r="N26" s="2"/>
    </row>
    <row r="27" spans="1:14" ht="75" customHeight="1" thickTop="1" thickBot="1">
      <c r="A27" s="25">
        <v>25</v>
      </c>
      <c r="B27" s="32">
        <v>46116.599329791599</v>
      </c>
      <c r="C27" s="33" t="s">
        <v>97</v>
      </c>
      <c r="D27" s="33" t="s">
        <v>98</v>
      </c>
      <c r="E27" s="23" t="s">
        <v>99</v>
      </c>
      <c r="F27" s="23" t="s">
        <v>102</v>
      </c>
      <c r="G27" s="23" t="s">
        <v>101</v>
      </c>
      <c r="H27" s="23" t="s">
        <v>132</v>
      </c>
      <c r="I27" s="23"/>
      <c r="J27" s="23" t="s">
        <v>16</v>
      </c>
      <c r="K27" s="23" t="s">
        <v>13</v>
      </c>
      <c r="L27" s="32">
        <v>46116.604518726846</v>
      </c>
      <c r="M27" s="23"/>
      <c r="N27" s="2"/>
    </row>
    <row r="28" spans="1:14" ht="75" customHeight="1" thickTop="1" thickBot="1">
      <c r="A28" s="23">
        <v>26</v>
      </c>
      <c r="B28" s="32">
        <v>46116.601860706003</v>
      </c>
      <c r="C28" s="33" t="s">
        <v>97</v>
      </c>
      <c r="D28" s="33" t="s">
        <v>98</v>
      </c>
      <c r="E28" s="23" t="s">
        <v>99</v>
      </c>
      <c r="F28" s="23" t="s">
        <v>102</v>
      </c>
      <c r="G28" s="23" t="s">
        <v>101</v>
      </c>
      <c r="H28" s="23" t="s">
        <v>1016</v>
      </c>
      <c r="I28" s="23"/>
      <c r="J28" s="23" t="s">
        <v>16</v>
      </c>
      <c r="K28" s="23" t="s">
        <v>13</v>
      </c>
      <c r="L28" s="32">
        <v>46116.604573391203</v>
      </c>
      <c r="M28" s="23"/>
      <c r="N28" s="2"/>
    </row>
    <row r="29" spans="1:14" ht="75" customHeight="1" thickTop="1" thickBot="1">
      <c r="A29" s="25">
        <v>27</v>
      </c>
      <c r="B29" s="32">
        <v>46116.603088472199</v>
      </c>
      <c r="C29" s="33" t="s">
        <v>97</v>
      </c>
      <c r="D29" s="33" t="s">
        <v>98</v>
      </c>
      <c r="E29" s="23" t="s">
        <v>99</v>
      </c>
      <c r="F29" s="23" t="s">
        <v>102</v>
      </c>
      <c r="G29" s="23" t="s">
        <v>101</v>
      </c>
      <c r="H29" s="23" t="s">
        <v>1017</v>
      </c>
      <c r="I29" s="23"/>
      <c r="J29" s="23" t="s">
        <v>16</v>
      </c>
      <c r="K29" s="23" t="s">
        <v>13</v>
      </c>
      <c r="L29" s="32">
        <v>46116.604628611109</v>
      </c>
      <c r="M29" s="23"/>
      <c r="N29" s="2"/>
    </row>
    <row r="30" spans="1:14" ht="75" customHeight="1" thickTop="1" thickBot="1">
      <c r="A30" s="23">
        <v>28</v>
      </c>
      <c r="B30" s="32">
        <v>46116.604373506903</v>
      </c>
      <c r="C30" s="33" t="s">
        <v>97</v>
      </c>
      <c r="D30" s="33" t="s">
        <v>98</v>
      </c>
      <c r="E30" s="23" t="s">
        <v>99</v>
      </c>
      <c r="F30" s="23" t="s">
        <v>102</v>
      </c>
      <c r="G30" s="23" t="s">
        <v>101</v>
      </c>
      <c r="H30" s="23" t="s">
        <v>133</v>
      </c>
      <c r="I30" s="23"/>
      <c r="J30" s="23" t="s">
        <v>16</v>
      </c>
      <c r="K30" s="23" t="s">
        <v>13</v>
      </c>
      <c r="L30" s="32">
        <v>46116.604678125004</v>
      </c>
      <c r="M30" s="23"/>
      <c r="N30" s="2"/>
    </row>
    <row r="31" spans="1:14" ht="75" customHeight="1" thickTop="1" thickBot="1">
      <c r="A31" s="25">
        <v>29</v>
      </c>
      <c r="B31" s="32">
        <v>46116.606782962903</v>
      </c>
      <c r="C31" s="33" t="s">
        <v>97</v>
      </c>
      <c r="D31" s="33" t="s">
        <v>98</v>
      </c>
      <c r="E31" s="23" t="s">
        <v>99</v>
      </c>
      <c r="F31" s="23" t="s">
        <v>102</v>
      </c>
      <c r="G31" s="23" t="s">
        <v>106</v>
      </c>
      <c r="H31" s="23" t="s">
        <v>134</v>
      </c>
      <c r="I31" s="23"/>
      <c r="J31" s="23" t="s">
        <v>14</v>
      </c>
      <c r="K31" s="23" t="s">
        <v>13</v>
      </c>
      <c r="L31" s="32">
        <v>46116.607095277781</v>
      </c>
      <c r="M31" s="23"/>
      <c r="N31" s="2"/>
    </row>
    <row r="32" spans="1:14" ht="75" customHeight="1" thickTop="1" thickBot="1">
      <c r="A32" s="23">
        <v>30</v>
      </c>
      <c r="B32" s="32">
        <v>46116.608831064797</v>
      </c>
      <c r="C32" s="33" t="s">
        <v>97</v>
      </c>
      <c r="D32" s="33" t="s">
        <v>98</v>
      </c>
      <c r="E32" s="23" t="s">
        <v>99</v>
      </c>
      <c r="F32" s="23" t="s">
        <v>126</v>
      </c>
      <c r="G32" s="23" t="s">
        <v>101</v>
      </c>
      <c r="H32" s="23" t="s">
        <v>135</v>
      </c>
      <c r="I32" s="23"/>
      <c r="J32" s="23" t="s">
        <v>12</v>
      </c>
      <c r="K32" s="23" t="s">
        <v>13</v>
      </c>
      <c r="L32" s="32">
        <v>46116.61083853009</v>
      </c>
      <c r="M32" s="23"/>
      <c r="N32" s="2"/>
    </row>
    <row r="33" spans="1:14" ht="75" customHeight="1" thickTop="1" thickBot="1">
      <c r="A33" s="25">
        <v>31</v>
      </c>
      <c r="B33" s="32">
        <v>46116.609924571698</v>
      </c>
      <c r="C33" s="33" t="s">
        <v>97</v>
      </c>
      <c r="D33" s="33" t="s">
        <v>98</v>
      </c>
      <c r="E33" s="23" t="s">
        <v>99</v>
      </c>
      <c r="F33" s="23" t="s">
        <v>126</v>
      </c>
      <c r="G33" s="23" t="s">
        <v>101</v>
      </c>
      <c r="H33" s="23" t="s">
        <v>136</v>
      </c>
      <c r="I33" s="23"/>
      <c r="J33" s="23" t="s">
        <v>12</v>
      </c>
      <c r="K33" s="23" t="s">
        <v>13</v>
      </c>
      <c r="L33" s="32">
        <v>46116.610889201387</v>
      </c>
      <c r="M33" s="23"/>
      <c r="N33" s="2"/>
    </row>
    <row r="34" spans="1:14" ht="75" customHeight="1" thickTop="1" thickBot="1">
      <c r="A34" s="23">
        <v>32</v>
      </c>
      <c r="B34" s="32">
        <v>46116.610629259201</v>
      </c>
      <c r="C34" s="33" t="s">
        <v>97</v>
      </c>
      <c r="D34" s="33" t="s">
        <v>98</v>
      </c>
      <c r="E34" s="23" t="s">
        <v>99</v>
      </c>
      <c r="F34" s="23" t="s">
        <v>126</v>
      </c>
      <c r="G34" s="23" t="s">
        <v>101</v>
      </c>
      <c r="H34" s="23" t="s">
        <v>137</v>
      </c>
      <c r="I34" s="23"/>
      <c r="J34" s="23" t="s">
        <v>12</v>
      </c>
      <c r="K34" s="23" t="s">
        <v>13</v>
      </c>
      <c r="L34" s="32">
        <v>46116.610967071756</v>
      </c>
      <c r="M34" s="23"/>
      <c r="N34" s="2"/>
    </row>
    <row r="35" spans="1:14" ht="75" customHeight="1" thickTop="1" thickBot="1">
      <c r="A35" s="25">
        <v>33</v>
      </c>
      <c r="B35" s="32">
        <v>46117.444913437503</v>
      </c>
      <c r="C35" s="33" t="s">
        <v>97</v>
      </c>
      <c r="D35" s="33" t="s">
        <v>121</v>
      </c>
      <c r="E35" s="23" t="s">
        <v>122</v>
      </c>
      <c r="F35" s="23" t="s">
        <v>116</v>
      </c>
      <c r="G35" s="23" t="s">
        <v>138</v>
      </c>
      <c r="H35" s="23" t="s">
        <v>139</v>
      </c>
      <c r="I35" s="23"/>
      <c r="J35" s="23" t="s">
        <v>14</v>
      </c>
      <c r="K35" s="23" t="s">
        <v>13</v>
      </c>
      <c r="L35" s="32"/>
      <c r="M35" s="23"/>
      <c r="N35" s="2"/>
    </row>
    <row r="36" spans="1:14" ht="75" customHeight="1" thickTop="1" thickBot="1">
      <c r="A36" s="23">
        <v>34</v>
      </c>
      <c r="B36" s="32">
        <v>46117.4880121643</v>
      </c>
      <c r="C36" s="33" t="s">
        <v>97</v>
      </c>
      <c r="D36" s="33" t="s">
        <v>121</v>
      </c>
      <c r="E36" s="23" t="s">
        <v>122</v>
      </c>
      <c r="F36" s="23" t="s">
        <v>100</v>
      </c>
      <c r="G36" s="23" t="s">
        <v>140</v>
      </c>
      <c r="H36" s="23" t="s">
        <v>141</v>
      </c>
      <c r="I36" s="23"/>
      <c r="J36" s="23" t="s">
        <v>16</v>
      </c>
      <c r="K36" s="23" t="s">
        <v>13</v>
      </c>
      <c r="L36" s="32">
        <v>46118.483843692127</v>
      </c>
      <c r="M36" s="23"/>
      <c r="N36" s="2"/>
    </row>
    <row r="37" spans="1:14" ht="75" customHeight="1" thickTop="1" thickBot="1">
      <c r="A37" s="25">
        <v>35</v>
      </c>
      <c r="B37" s="32">
        <v>46117.507372893502</v>
      </c>
      <c r="C37" s="33" t="s">
        <v>97</v>
      </c>
      <c r="D37" s="33" t="s">
        <v>121</v>
      </c>
      <c r="E37" s="23" t="s">
        <v>122</v>
      </c>
      <c r="F37" s="23" t="s">
        <v>102</v>
      </c>
      <c r="G37" s="23" t="s">
        <v>127</v>
      </c>
      <c r="H37" s="23" t="s">
        <v>142</v>
      </c>
      <c r="I37" s="23"/>
      <c r="J37" s="23" t="s">
        <v>16</v>
      </c>
      <c r="K37" s="23" t="s">
        <v>13</v>
      </c>
      <c r="L37" s="32">
        <v>46118.483875497681</v>
      </c>
      <c r="M37" s="23"/>
      <c r="N37" s="2"/>
    </row>
    <row r="38" spans="1:14" ht="75" customHeight="1" thickTop="1" thickBot="1">
      <c r="A38" s="23">
        <v>36</v>
      </c>
      <c r="B38" s="32">
        <v>46117.6168080555</v>
      </c>
      <c r="C38" s="33" t="s">
        <v>97</v>
      </c>
      <c r="D38" s="33" t="s">
        <v>98</v>
      </c>
      <c r="E38" s="23" t="s">
        <v>99</v>
      </c>
      <c r="F38" s="23" t="s">
        <v>143</v>
      </c>
      <c r="G38" s="23" t="s">
        <v>106</v>
      </c>
      <c r="H38" s="23" t="s">
        <v>144</v>
      </c>
      <c r="I38" s="23"/>
      <c r="J38" s="23" t="s">
        <v>14</v>
      </c>
      <c r="K38" s="23" t="s">
        <v>13</v>
      </c>
      <c r="L38" s="32">
        <v>46117.619403518518</v>
      </c>
      <c r="M38" s="23"/>
      <c r="N38" s="2"/>
    </row>
    <row r="39" spans="1:14" ht="75" customHeight="1" thickTop="1" thickBot="1">
      <c r="A39" s="25">
        <v>37</v>
      </c>
      <c r="B39" s="32">
        <v>46117.618506238403</v>
      </c>
      <c r="C39" s="33" t="s">
        <v>97</v>
      </c>
      <c r="D39" s="33" t="s">
        <v>98</v>
      </c>
      <c r="E39" s="23" t="s">
        <v>99</v>
      </c>
      <c r="F39" s="23" t="s">
        <v>116</v>
      </c>
      <c r="G39" s="23" t="s">
        <v>108</v>
      </c>
      <c r="H39" s="23" t="s">
        <v>145</v>
      </c>
      <c r="I39" s="23"/>
      <c r="J39" s="23" t="s">
        <v>14</v>
      </c>
      <c r="K39" s="23" t="s">
        <v>13</v>
      </c>
      <c r="L39" s="32">
        <v>46117.619481817128</v>
      </c>
      <c r="M39" s="23"/>
      <c r="N39" s="2"/>
    </row>
    <row r="40" spans="1:14" ht="75" customHeight="1" thickTop="1" thickBot="1">
      <c r="A40" s="23">
        <v>38</v>
      </c>
      <c r="B40" s="32">
        <v>46117.6192599305</v>
      </c>
      <c r="C40" s="33" t="s">
        <v>97</v>
      </c>
      <c r="D40" s="33" t="s">
        <v>98</v>
      </c>
      <c r="E40" s="23" t="s">
        <v>99</v>
      </c>
      <c r="F40" s="23" t="s">
        <v>116</v>
      </c>
      <c r="G40" s="23" t="s">
        <v>108</v>
      </c>
      <c r="H40" s="23" t="s">
        <v>146</v>
      </c>
      <c r="I40" s="23"/>
      <c r="J40" s="23" t="s">
        <v>14</v>
      </c>
      <c r="K40" s="23" t="s">
        <v>13</v>
      </c>
      <c r="L40" s="32">
        <v>46117.619552569449</v>
      </c>
      <c r="M40" s="23"/>
      <c r="N40" s="2"/>
    </row>
    <row r="41" spans="1:14" ht="75" customHeight="1" thickTop="1" thickBot="1">
      <c r="A41" s="25">
        <v>39</v>
      </c>
      <c r="B41" s="32">
        <v>46117.621242893503</v>
      </c>
      <c r="C41" s="33" t="s">
        <v>97</v>
      </c>
      <c r="D41" s="33" t="s">
        <v>98</v>
      </c>
      <c r="E41" s="23" t="s">
        <v>99</v>
      </c>
      <c r="F41" s="23" t="s">
        <v>147</v>
      </c>
      <c r="G41" s="23" t="s">
        <v>101</v>
      </c>
      <c r="H41" s="23" t="s">
        <v>1018</v>
      </c>
      <c r="I41" s="23"/>
      <c r="J41" s="23" t="s">
        <v>16</v>
      </c>
      <c r="K41" s="23" t="s">
        <v>13</v>
      </c>
      <c r="L41" s="32">
        <v>46117.623989513886</v>
      </c>
      <c r="M41" s="23"/>
      <c r="N41" s="2"/>
    </row>
    <row r="42" spans="1:14" ht="75" customHeight="1" thickTop="1" thickBot="1">
      <c r="A42" s="23">
        <v>40</v>
      </c>
      <c r="B42" s="32">
        <v>46117.621853518503</v>
      </c>
      <c r="C42" s="33" t="s">
        <v>97</v>
      </c>
      <c r="D42" s="33" t="s">
        <v>98</v>
      </c>
      <c r="E42" s="23" t="s">
        <v>99</v>
      </c>
      <c r="F42" s="23" t="s">
        <v>102</v>
      </c>
      <c r="G42" s="23" t="s">
        <v>105</v>
      </c>
      <c r="H42" s="23" t="s">
        <v>149</v>
      </c>
      <c r="I42" s="23"/>
      <c r="J42" s="23" t="s">
        <v>16</v>
      </c>
      <c r="K42" s="23" t="s">
        <v>13</v>
      </c>
      <c r="L42" s="32">
        <v>46117.624041909723</v>
      </c>
      <c r="M42" s="23"/>
      <c r="N42" s="2"/>
    </row>
    <row r="43" spans="1:14" ht="75" customHeight="1" thickTop="1" thickBot="1">
      <c r="A43" s="25">
        <v>41</v>
      </c>
      <c r="B43" s="32">
        <v>46117.622388437499</v>
      </c>
      <c r="C43" s="33" t="s">
        <v>97</v>
      </c>
      <c r="D43" s="33" t="s">
        <v>98</v>
      </c>
      <c r="E43" s="23" t="s">
        <v>99</v>
      </c>
      <c r="F43" s="23" t="s">
        <v>150</v>
      </c>
      <c r="G43" s="23" t="s">
        <v>105</v>
      </c>
      <c r="H43" s="23" t="s">
        <v>151</v>
      </c>
      <c r="I43" s="23"/>
      <c r="J43" s="23" t="s">
        <v>16</v>
      </c>
      <c r="K43" s="23" t="s">
        <v>13</v>
      </c>
      <c r="L43" s="32">
        <v>46117.624087615739</v>
      </c>
      <c r="M43" s="23"/>
      <c r="N43" s="2"/>
    </row>
    <row r="44" spans="1:14" ht="75" customHeight="1" thickTop="1" thickBot="1">
      <c r="A44" s="23">
        <v>42</v>
      </c>
      <c r="B44" s="32">
        <v>46117.623090925903</v>
      </c>
      <c r="C44" s="33" t="s">
        <v>97</v>
      </c>
      <c r="D44" s="33" t="s">
        <v>98</v>
      </c>
      <c r="E44" s="23" t="s">
        <v>99</v>
      </c>
      <c r="F44" s="23" t="s">
        <v>116</v>
      </c>
      <c r="G44" s="23" t="s">
        <v>152</v>
      </c>
      <c r="H44" s="23" t="s">
        <v>153</v>
      </c>
      <c r="I44" s="23"/>
      <c r="J44" s="23" t="s">
        <v>16</v>
      </c>
      <c r="K44" s="23" t="s">
        <v>13</v>
      </c>
      <c r="L44" s="32">
        <v>46117.624133807869</v>
      </c>
      <c r="M44" s="23"/>
      <c r="N44" s="2"/>
    </row>
    <row r="45" spans="1:14" ht="75" customHeight="1" thickTop="1" thickBot="1">
      <c r="A45" s="25">
        <v>43</v>
      </c>
      <c r="B45" s="32">
        <v>46117.643894641202</v>
      </c>
      <c r="C45" s="33" t="s">
        <v>97</v>
      </c>
      <c r="D45" s="33" t="s">
        <v>98</v>
      </c>
      <c r="E45" s="23" t="s">
        <v>99</v>
      </c>
      <c r="F45" s="23" t="s">
        <v>126</v>
      </c>
      <c r="G45" s="23" t="s">
        <v>101</v>
      </c>
      <c r="H45" s="23" t="s">
        <v>154</v>
      </c>
      <c r="I45" s="23"/>
      <c r="J45" s="23" t="s">
        <v>12</v>
      </c>
      <c r="K45" s="23" t="s">
        <v>13</v>
      </c>
      <c r="L45" s="32">
        <v>46117.647855173607</v>
      </c>
      <c r="M45" s="23"/>
      <c r="N45" s="2"/>
    </row>
    <row r="46" spans="1:14" ht="75" customHeight="1" thickTop="1" thickBot="1">
      <c r="A46" s="23">
        <v>44</v>
      </c>
      <c r="B46" s="32">
        <v>46118.603572800901</v>
      </c>
      <c r="C46" s="33" t="s">
        <v>97</v>
      </c>
      <c r="D46" s="33" t="s">
        <v>98</v>
      </c>
      <c r="E46" s="23" t="s">
        <v>99</v>
      </c>
      <c r="F46" s="23" t="s">
        <v>102</v>
      </c>
      <c r="G46" s="23" t="s">
        <v>105</v>
      </c>
      <c r="H46" s="23" t="s">
        <v>1019</v>
      </c>
      <c r="I46" s="23"/>
      <c r="J46" s="23" t="s">
        <v>16</v>
      </c>
      <c r="K46" s="23" t="s">
        <v>13</v>
      </c>
      <c r="L46" s="32">
        <v>46118.605381805552</v>
      </c>
      <c r="M46" s="23"/>
      <c r="N46" s="2"/>
    </row>
    <row r="47" spans="1:14" ht="75" customHeight="1" thickTop="1" thickBot="1">
      <c r="A47" s="25">
        <v>45</v>
      </c>
      <c r="B47" s="32">
        <v>46118.6050298263</v>
      </c>
      <c r="C47" s="33" t="s">
        <v>97</v>
      </c>
      <c r="D47" s="33" t="s">
        <v>98</v>
      </c>
      <c r="E47" s="23" t="s">
        <v>99</v>
      </c>
      <c r="F47" s="23" t="s">
        <v>100</v>
      </c>
      <c r="G47" s="23" t="s">
        <v>108</v>
      </c>
      <c r="H47" s="23" t="s">
        <v>1020</v>
      </c>
      <c r="I47" s="23"/>
      <c r="J47" s="23" t="s">
        <v>16</v>
      </c>
      <c r="K47" s="23" t="s">
        <v>13</v>
      </c>
      <c r="L47" s="32">
        <v>46118.605445185181</v>
      </c>
      <c r="M47" s="23"/>
      <c r="N47" s="2"/>
    </row>
    <row r="48" spans="1:14" ht="75" customHeight="1" thickTop="1" thickBot="1">
      <c r="A48" s="23">
        <v>46</v>
      </c>
      <c r="B48" s="32">
        <v>46118.643113796199</v>
      </c>
      <c r="C48" s="33" t="s">
        <v>97</v>
      </c>
      <c r="D48" s="33" t="s">
        <v>98</v>
      </c>
      <c r="E48" s="23" t="s">
        <v>99</v>
      </c>
      <c r="F48" s="23" t="s">
        <v>126</v>
      </c>
      <c r="G48" s="23" t="s">
        <v>156</v>
      </c>
      <c r="H48" s="23" t="s">
        <v>1021</v>
      </c>
      <c r="I48" s="23"/>
      <c r="J48" s="23" t="s">
        <v>16</v>
      </c>
      <c r="K48" s="23" t="s">
        <v>13</v>
      </c>
      <c r="L48" s="32">
        <v>46118.646049143514</v>
      </c>
      <c r="M48" s="23"/>
      <c r="N48" s="2"/>
    </row>
    <row r="49" spans="1:14" ht="75" customHeight="1" thickTop="1" thickBot="1">
      <c r="A49" s="25">
        <v>47</v>
      </c>
      <c r="B49" s="32">
        <v>46118.643742766202</v>
      </c>
      <c r="C49" s="33" t="s">
        <v>97</v>
      </c>
      <c r="D49" s="33" t="s">
        <v>98</v>
      </c>
      <c r="E49" s="23" t="s">
        <v>99</v>
      </c>
      <c r="F49" s="23" t="s">
        <v>102</v>
      </c>
      <c r="G49" s="23" t="s">
        <v>108</v>
      </c>
      <c r="H49" s="23" t="s">
        <v>1022</v>
      </c>
      <c r="I49" s="23"/>
      <c r="J49" s="23" t="s">
        <v>16</v>
      </c>
      <c r="K49" s="23" t="s">
        <v>13</v>
      </c>
      <c r="L49" s="32">
        <v>46118.646081874998</v>
      </c>
      <c r="M49" s="23"/>
      <c r="N49" s="2"/>
    </row>
    <row r="50" spans="1:14" ht="75" customHeight="1" thickTop="1" thickBot="1">
      <c r="A50" s="23">
        <v>48</v>
      </c>
      <c r="B50" s="32">
        <v>46118.644544965202</v>
      </c>
      <c r="C50" s="33" t="s">
        <v>97</v>
      </c>
      <c r="D50" s="33" t="s">
        <v>98</v>
      </c>
      <c r="E50" s="23" t="s">
        <v>99</v>
      </c>
      <c r="F50" s="23" t="s">
        <v>157</v>
      </c>
      <c r="G50" s="23" t="s">
        <v>110</v>
      </c>
      <c r="H50" s="23" t="s">
        <v>158</v>
      </c>
      <c r="I50" s="23"/>
      <c r="J50" s="23" t="s">
        <v>16</v>
      </c>
      <c r="K50" s="23" t="s">
        <v>13</v>
      </c>
      <c r="L50" s="32">
        <v>46118.646161226847</v>
      </c>
      <c r="M50" s="23"/>
      <c r="N50" s="2"/>
    </row>
    <row r="51" spans="1:14" ht="75" customHeight="1" thickTop="1" thickBot="1">
      <c r="A51" s="25">
        <v>49</v>
      </c>
      <c r="B51" s="32">
        <v>46118.645243194398</v>
      </c>
      <c r="C51" s="33" t="s">
        <v>97</v>
      </c>
      <c r="D51" s="33" t="s">
        <v>98</v>
      </c>
      <c r="E51" s="23" t="s">
        <v>99</v>
      </c>
      <c r="F51" s="23" t="s">
        <v>159</v>
      </c>
      <c r="G51" s="23" t="s">
        <v>106</v>
      </c>
      <c r="H51" s="23" t="s">
        <v>160</v>
      </c>
      <c r="I51" s="23"/>
      <c r="J51" s="23" t="s">
        <v>16</v>
      </c>
      <c r="K51" s="23" t="s">
        <v>13</v>
      </c>
      <c r="L51" s="32">
        <v>46118.646234456013</v>
      </c>
      <c r="M51" s="23"/>
      <c r="N51" s="2"/>
    </row>
    <row r="52" spans="1:14" ht="75" customHeight="1" thickTop="1" thickBot="1">
      <c r="A52" s="23">
        <v>50</v>
      </c>
      <c r="B52" s="32">
        <v>46118.645906226797</v>
      </c>
      <c r="C52" s="33" t="s">
        <v>97</v>
      </c>
      <c r="D52" s="33" t="s">
        <v>98</v>
      </c>
      <c r="E52" s="23" t="s">
        <v>99</v>
      </c>
      <c r="F52" s="23" t="s">
        <v>100</v>
      </c>
      <c r="G52" s="23" t="s">
        <v>152</v>
      </c>
      <c r="H52" s="23" t="s">
        <v>161</v>
      </c>
      <c r="I52" s="23"/>
      <c r="J52" s="23" t="s">
        <v>16</v>
      </c>
      <c r="K52" s="23" t="s">
        <v>13</v>
      </c>
      <c r="L52" s="32">
        <v>46118.646245578704</v>
      </c>
      <c r="M52" s="23"/>
      <c r="N52" s="2"/>
    </row>
    <row r="53" spans="1:14" ht="75" customHeight="1" thickTop="1" thickBot="1">
      <c r="A53" s="25">
        <v>51</v>
      </c>
      <c r="B53" s="32">
        <v>46118.698170092503</v>
      </c>
      <c r="C53" s="33" t="s">
        <v>97</v>
      </c>
      <c r="D53" s="33" t="s">
        <v>98</v>
      </c>
      <c r="E53" s="23" t="s">
        <v>99</v>
      </c>
      <c r="F53" s="23" t="s">
        <v>126</v>
      </c>
      <c r="G53" s="23" t="s">
        <v>101</v>
      </c>
      <c r="H53" s="23" t="s">
        <v>162</v>
      </c>
      <c r="I53" s="23"/>
      <c r="J53" s="23" t="s">
        <v>12</v>
      </c>
      <c r="K53" s="23" t="s">
        <v>13</v>
      </c>
      <c r="L53" s="32">
        <v>46118.698351562503</v>
      </c>
      <c r="M53" s="23"/>
      <c r="N53" s="2" t="s">
        <v>77</v>
      </c>
    </row>
    <row r="54" spans="1:14" ht="75" customHeight="1" thickTop="1" thickBot="1">
      <c r="A54" s="23">
        <v>52</v>
      </c>
      <c r="B54" s="32">
        <v>46119.438647511502</v>
      </c>
      <c r="C54" s="33" t="s">
        <v>97</v>
      </c>
      <c r="D54" s="33" t="s">
        <v>121</v>
      </c>
      <c r="E54" s="23" t="s">
        <v>122</v>
      </c>
      <c r="F54" s="23" t="s">
        <v>102</v>
      </c>
      <c r="G54" s="23" t="s">
        <v>106</v>
      </c>
      <c r="H54" s="23" t="s">
        <v>163</v>
      </c>
      <c r="I54" s="23"/>
      <c r="J54" s="23" t="s">
        <v>16</v>
      </c>
      <c r="K54" s="23" t="s">
        <v>13</v>
      </c>
      <c r="L54" s="32">
        <v>46119.446549699074</v>
      </c>
      <c r="M54" s="23"/>
      <c r="N54" s="2" t="s">
        <v>77</v>
      </c>
    </row>
    <row r="55" spans="1:14" ht="75" customHeight="1" thickTop="1" thickBot="1">
      <c r="A55" s="25">
        <v>53</v>
      </c>
      <c r="B55" s="32">
        <v>46119.449361874998</v>
      </c>
      <c r="C55" s="33" t="s">
        <v>97</v>
      </c>
      <c r="D55" s="33" t="s">
        <v>121</v>
      </c>
      <c r="E55" s="23" t="s">
        <v>122</v>
      </c>
      <c r="F55" s="23" t="s">
        <v>102</v>
      </c>
      <c r="G55" s="23" t="s">
        <v>164</v>
      </c>
      <c r="H55" s="23" t="s">
        <v>1023</v>
      </c>
      <c r="I55" s="23"/>
      <c r="J55" s="23" t="s">
        <v>16</v>
      </c>
      <c r="K55" s="23" t="s">
        <v>13</v>
      </c>
      <c r="L55" s="32">
        <v>46119.692474768519</v>
      </c>
      <c r="M55" s="23"/>
      <c r="N55" s="2" t="s">
        <v>77</v>
      </c>
    </row>
    <row r="56" spans="1:14" ht="75" customHeight="1" thickTop="1" thickBot="1">
      <c r="A56" s="23">
        <v>54</v>
      </c>
      <c r="B56" s="32">
        <v>46119.474110393501</v>
      </c>
      <c r="C56" s="33" t="s">
        <v>97</v>
      </c>
      <c r="D56" s="33" t="s">
        <v>121</v>
      </c>
      <c r="E56" s="23" t="s">
        <v>122</v>
      </c>
      <c r="F56" s="23" t="s">
        <v>100</v>
      </c>
      <c r="G56" s="23" t="s">
        <v>106</v>
      </c>
      <c r="H56" s="23" t="s">
        <v>1024</v>
      </c>
      <c r="I56" s="23"/>
      <c r="J56" s="23" t="s">
        <v>16</v>
      </c>
      <c r="K56" s="23" t="s">
        <v>13</v>
      </c>
      <c r="L56" s="32">
        <v>46119.504431817128</v>
      </c>
      <c r="M56" s="23"/>
      <c r="N56" s="2" t="s">
        <v>77</v>
      </c>
    </row>
    <row r="57" spans="1:14" ht="75" customHeight="1" thickTop="1" thickBot="1">
      <c r="A57" s="25">
        <v>55</v>
      </c>
      <c r="B57" s="32">
        <v>46119.478340150403</v>
      </c>
      <c r="C57" s="33" t="s">
        <v>97</v>
      </c>
      <c r="D57" s="33" t="s">
        <v>121</v>
      </c>
      <c r="E57" s="23" t="s">
        <v>122</v>
      </c>
      <c r="F57" s="23" t="s">
        <v>165</v>
      </c>
      <c r="G57" s="23" t="s">
        <v>982</v>
      </c>
      <c r="H57" s="23" t="s">
        <v>165</v>
      </c>
      <c r="I57" s="23"/>
      <c r="J57" s="23" t="s">
        <v>16</v>
      </c>
      <c r="K57" s="23" t="s">
        <v>13</v>
      </c>
      <c r="L57" s="32">
        <v>46119.692419837964</v>
      </c>
      <c r="M57" s="23"/>
      <c r="N57" s="2" t="s">
        <v>77</v>
      </c>
    </row>
    <row r="58" spans="1:14" ht="75" customHeight="1" thickTop="1" thickBot="1">
      <c r="A58" s="23">
        <v>56</v>
      </c>
      <c r="B58" s="32">
        <v>46119.543180185101</v>
      </c>
      <c r="C58" s="33" t="s">
        <v>97</v>
      </c>
      <c r="D58" s="33" t="s">
        <v>121</v>
      </c>
      <c r="E58" s="23" t="s">
        <v>122</v>
      </c>
      <c r="F58" s="23" t="s">
        <v>100</v>
      </c>
      <c r="G58" s="23" t="s">
        <v>108</v>
      </c>
      <c r="H58" s="23" t="s">
        <v>166</v>
      </c>
      <c r="I58" s="23"/>
      <c r="J58" s="23" t="s">
        <v>14</v>
      </c>
      <c r="K58" s="23" t="s">
        <v>13</v>
      </c>
      <c r="L58" s="32">
        <v>46119.634662812503</v>
      </c>
      <c r="M58" s="23"/>
      <c r="N58" s="2" t="s">
        <v>77</v>
      </c>
    </row>
    <row r="59" spans="1:14" ht="75" customHeight="1" thickTop="1" thickBot="1">
      <c r="A59" s="25">
        <v>57</v>
      </c>
      <c r="B59" s="32">
        <v>46119.6003397569</v>
      </c>
      <c r="C59" s="33" t="s">
        <v>97</v>
      </c>
      <c r="D59" s="33" t="s">
        <v>98</v>
      </c>
      <c r="E59" s="23" t="s">
        <v>99</v>
      </c>
      <c r="F59" s="23" t="s">
        <v>100</v>
      </c>
      <c r="G59" s="23" t="s">
        <v>106</v>
      </c>
      <c r="H59" s="23" t="s">
        <v>1026</v>
      </c>
      <c r="I59" s="23"/>
      <c r="J59" s="23" t="s">
        <v>16</v>
      </c>
      <c r="K59" s="23" t="s">
        <v>13</v>
      </c>
      <c r="L59" s="32">
        <v>46119.617015324075</v>
      </c>
      <c r="M59" s="23"/>
      <c r="N59" s="2" t="s">
        <v>77</v>
      </c>
    </row>
    <row r="60" spans="1:14" ht="75" customHeight="1" thickTop="1" thickBot="1">
      <c r="A60" s="23">
        <v>58</v>
      </c>
      <c r="B60" s="32">
        <v>46119.601396539299</v>
      </c>
      <c r="C60" s="33" t="s">
        <v>97</v>
      </c>
      <c r="D60" s="33" t="s">
        <v>98</v>
      </c>
      <c r="E60" s="23" t="s">
        <v>99</v>
      </c>
      <c r="F60" s="23" t="s">
        <v>102</v>
      </c>
      <c r="G60" s="23" t="s">
        <v>103</v>
      </c>
      <c r="H60" s="23" t="s">
        <v>1025</v>
      </c>
      <c r="I60" s="23"/>
      <c r="J60" s="23" t="s">
        <v>16</v>
      </c>
      <c r="K60" s="23" t="s">
        <v>13</v>
      </c>
      <c r="L60" s="32">
        <v>46119.617071550922</v>
      </c>
      <c r="M60" s="23"/>
      <c r="N60" s="2" t="s">
        <v>77</v>
      </c>
    </row>
    <row r="61" spans="1:14" ht="75" customHeight="1" thickTop="1" thickBot="1">
      <c r="A61" s="25">
        <v>59</v>
      </c>
      <c r="B61" s="32">
        <v>46119.608343506901</v>
      </c>
      <c r="C61" s="33" t="s">
        <v>97</v>
      </c>
      <c r="D61" s="33" t="s">
        <v>98</v>
      </c>
      <c r="E61" s="23" t="s">
        <v>99</v>
      </c>
      <c r="F61" s="23" t="s">
        <v>102</v>
      </c>
      <c r="G61" s="23" t="s">
        <v>103</v>
      </c>
      <c r="H61" s="23" t="s">
        <v>167</v>
      </c>
      <c r="I61" s="23"/>
      <c r="J61" s="23" t="s">
        <v>16</v>
      </c>
      <c r="K61" s="23" t="s">
        <v>13</v>
      </c>
      <c r="L61" s="32">
        <v>46119.617650081018</v>
      </c>
      <c r="M61" s="23"/>
      <c r="N61" s="2" t="s">
        <v>77</v>
      </c>
    </row>
    <row r="62" spans="1:14" ht="75" customHeight="1" thickTop="1" thickBot="1">
      <c r="A62" s="23">
        <v>60</v>
      </c>
      <c r="B62" s="32">
        <v>46119.610792164298</v>
      </c>
      <c r="C62" s="33" t="s">
        <v>97</v>
      </c>
      <c r="D62" s="33" t="s">
        <v>98</v>
      </c>
      <c r="E62" s="23" t="s">
        <v>99</v>
      </c>
      <c r="F62" s="23" t="s">
        <v>116</v>
      </c>
      <c r="G62" s="23" t="s">
        <v>168</v>
      </c>
      <c r="H62" s="23" t="s">
        <v>169</v>
      </c>
      <c r="I62" s="23"/>
      <c r="J62" s="23" t="s">
        <v>16</v>
      </c>
      <c r="K62" s="23" t="s">
        <v>13</v>
      </c>
      <c r="L62" s="32">
        <v>46119.617680520838</v>
      </c>
      <c r="M62" s="23"/>
      <c r="N62" s="2" t="s">
        <v>77</v>
      </c>
    </row>
    <row r="63" spans="1:14" ht="75" customHeight="1" thickTop="1" thickBot="1">
      <c r="A63" s="25">
        <v>61</v>
      </c>
      <c r="B63" s="32">
        <v>46119.612071759198</v>
      </c>
      <c r="C63" s="33" t="s">
        <v>97</v>
      </c>
      <c r="D63" s="33" t="s">
        <v>98</v>
      </c>
      <c r="E63" s="23" t="s">
        <v>99</v>
      </c>
      <c r="F63" s="23" t="s">
        <v>102</v>
      </c>
      <c r="G63" s="23" t="s">
        <v>106</v>
      </c>
      <c r="H63" s="23" t="s">
        <v>1027</v>
      </c>
      <c r="I63" s="23"/>
      <c r="J63" s="23" t="s">
        <v>16</v>
      </c>
      <c r="K63" s="23" t="s">
        <v>13</v>
      </c>
      <c r="L63" s="32">
        <v>46119.617734629632</v>
      </c>
      <c r="M63" s="23"/>
      <c r="N63" s="2" t="s">
        <v>77</v>
      </c>
    </row>
    <row r="64" spans="1:14" ht="75" customHeight="1" thickTop="1" thickBot="1">
      <c r="A64" s="23">
        <v>62</v>
      </c>
      <c r="B64" s="32">
        <v>46119.613489050898</v>
      </c>
      <c r="C64" s="33" t="s">
        <v>97</v>
      </c>
      <c r="D64" s="33" t="s">
        <v>98</v>
      </c>
      <c r="E64" s="23" t="s">
        <v>99</v>
      </c>
      <c r="F64" s="23" t="s">
        <v>102</v>
      </c>
      <c r="G64" s="23" t="s">
        <v>103</v>
      </c>
      <c r="H64" s="23" t="s">
        <v>170</v>
      </c>
      <c r="I64" s="23"/>
      <c r="J64" s="23" t="s">
        <v>16</v>
      </c>
      <c r="K64" s="23" t="s">
        <v>13</v>
      </c>
      <c r="L64" s="32">
        <v>46119.617810902782</v>
      </c>
      <c r="M64" s="23"/>
      <c r="N64" s="2" t="s">
        <v>77</v>
      </c>
    </row>
    <row r="65" spans="1:14" ht="75" customHeight="1" thickTop="1" thickBot="1">
      <c r="A65" s="25">
        <v>63</v>
      </c>
      <c r="B65" s="32">
        <v>46119.6140469444</v>
      </c>
      <c r="C65" s="33" t="s">
        <v>97</v>
      </c>
      <c r="D65" s="33" t="s">
        <v>98</v>
      </c>
      <c r="E65" s="23" t="s">
        <v>99</v>
      </c>
      <c r="F65" s="23" t="s">
        <v>102</v>
      </c>
      <c r="G65" s="23" t="s">
        <v>103</v>
      </c>
      <c r="H65" s="23" t="s">
        <v>1028</v>
      </c>
      <c r="I65" s="23"/>
      <c r="J65" s="23" t="s">
        <v>16</v>
      </c>
      <c r="K65" s="23" t="s">
        <v>13</v>
      </c>
      <c r="L65" s="32">
        <v>46119.617900949073</v>
      </c>
      <c r="M65" s="23"/>
      <c r="N65" s="2" t="s">
        <v>77</v>
      </c>
    </row>
    <row r="66" spans="1:14" ht="75" customHeight="1" thickTop="1" thickBot="1">
      <c r="A66" s="23">
        <v>64</v>
      </c>
      <c r="B66" s="32">
        <v>46119.6146381828</v>
      </c>
      <c r="C66" s="33" t="s">
        <v>97</v>
      </c>
      <c r="D66" s="33" t="s">
        <v>98</v>
      </c>
      <c r="E66" s="23" t="s">
        <v>99</v>
      </c>
      <c r="F66" s="23" t="s">
        <v>126</v>
      </c>
      <c r="G66" s="23" t="s">
        <v>101</v>
      </c>
      <c r="H66" s="23" t="s">
        <v>171</v>
      </c>
      <c r="I66" s="23"/>
      <c r="J66" s="23" t="s">
        <v>16</v>
      </c>
      <c r="K66" s="23" t="s">
        <v>13</v>
      </c>
      <c r="L66" s="32">
        <v>46119.61797608796</v>
      </c>
      <c r="M66" s="23"/>
      <c r="N66" s="2" t="s">
        <v>77</v>
      </c>
    </row>
    <row r="67" spans="1:14" ht="75" customHeight="1" thickTop="1" thickBot="1">
      <c r="A67" s="25">
        <v>65</v>
      </c>
      <c r="B67" s="32">
        <v>46119.6160318865</v>
      </c>
      <c r="C67" s="33" t="s">
        <v>97</v>
      </c>
      <c r="D67" s="33" t="s">
        <v>98</v>
      </c>
      <c r="E67" s="23" t="s">
        <v>99</v>
      </c>
      <c r="F67" s="23" t="s">
        <v>100</v>
      </c>
      <c r="G67" s="23" t="s">
        <v>105</v>
      </c>
      <c r="H67" s="23" t="s">
        <v>1029</v>
      </c>
      <c r="I67" s="23"/>
      <c r="J67" s="23" t="s">
        <v>16</v>
      </c>
      <c r="K67" s="23" t="s">
        <v>13</v>
      </c>
      <c r="L67" s="32">
        <v>46119.618025266202</v>
      </c>
      <c r="M67" s="23"/>
      <c r="N67" s="2" t="s">
        <v>77</v>
      </c>
    </row>
    <row r="68" spans="1:14" ht="75" customHeight="1" thickTop="1" thickBot="1">
      <c r="A68" s="23">
        <v>66</v>
      </c>
      <c r="B68" s="32">
        <v>46119.616655439801</v>
      </c>
      <c r="C68" s="33" t="s">
        <v>97</v>
      </c>
      <c r="D68" s="33" t="s">
        <v>98</v>
      </c>
      <c r="E68" s="23" t="s">
        <v>99</v>
      </c>
      <c r="F68" s="23" t="s">
        <v>100</v>
      </c>
      <c r="G68" s="23" t="s">
        <v>105</v>
      </c>
      <c r="H68" s="23" t="s">
        <v>1030</v>
      </c>
      <c r="I68" s="23"/>
      <c r="J68" s="23" t="s">
        <v>16</v>
      </c>
      <c r="K68" s="23" t="s">
        <v>13</v>
      </c>
      <c r="L68" s="32">
        <v>46119.618070775468</v>
      </c>
      <c r="M68" s="23"/>
      <c r="N68" s="2" t="s">
        <v>77</v>
      </c>
    </row>
    <row r="69" spans="1:14" ht="75" customHeight="1" thickTop="1" thickBot="1">
      <c r="A69" s="25">
        <v>67</v>
      </c>
      <c r="B69" s="32">
        <v>46119.6438515509</v>
      </c>
      <c r="C69" s="33" t="s">
        <v>97</v>
      </c>
      <c r="D69" s="33" t="s">
        <v>98</v>
      </c>
      <c r="E69" s="23" t="s">
        <v>99</v>
      </c>
      <c r="F69" s="23" t="s">
        <v>102</v>
      </c>
      <c r="G69" s="23" t="s">
        <v>101</v>
      </c>
      <c r="H69" s="23" t="s">
        <v>172</v>
      </c>
      <c r="I69" s="23"/>
      <c r="J69" s="23" t="s">
        <v>12</v>
      </c>
      <c r="K69" s="23" t="s">
        <v>13</v>
      </c>
      <c r="L69" s="32">
        <v>46119.644050821764</v>
      </c>
      <c r="M69" s="23"/>
      <c r="N69" s="2" t="s">
        <v>77</v>
      </c>
    </row>
    <row r="70" spans="1:14" ht="75" customHeight="1" thickTop="1" thickBot="1">
      <c r="A70" s="23">
        <v>68</v>
      </c>
      <c r="B70" s="32">
        <v>46120.508497037001</v>
      </c>
      <c r="C70" s="33" t="s">
        <v>97</v>
      </c>
      <c r="D70" s="33" t="s">
        <v>272</v>
      </c>
      <c r="E70" s="23" t="s">
        <v>99</v>
      </c>
      <c r="F70" s="23" t="s">
        <v>126</v>
      </c>
      <c r="G70" s="23" t="s">
        <v>173</v>
      </c>
      <c r="H70" s="23" t="s">
        <v>174</v>
      </c>
      <c r="I70" s="23"/>
      <c r="J70" s="23" t="s">
        <v>16</v>
      </c>
      <c r="K70" s="23" t="s">
        <v>13</v>
      </c>
      <c r="L70" s="32">
        <v>46120.657077060183</v>
      </c>
      <c r="M70" s="23" t="s">
        <v>95</v>
      </c>
      <c r="N70" s="2" t="s">
        <v>77</v>
      </c>
    </row>
    <row r="71" spans="1:14" ht="75" customHeight="1" thickTop="1" thickBot="1">
      <c r="A71" s="25">
        <v>69</v>
      </c>
      <c r="B71" s="32">
        <v>46120.519562430498</v>
      </c>
      <c r="C71" s="33" t="s">
        <v>97</v>
      </c>
      <c r="D71" s="33" t="s">
        <v>121</v>
      </c>
      <c r="E71" s="23" t="s">
        <v>122</v>
      </c>
      <c r="F71" s="23" t="s">
        <v>102</v>
      </c>
      <c r="G71" s="23" t="s">
        <v>106</v>
      </c>
      <c r="H71" s="23" t="s">
        <v>175</v>
      </c>
      <c r="I71" s="23"/>
      <c r="J71" s="23" t="s">
        <v>16</v>
      </c>
      <c r="K71" s="23" t="s">
        <v>13</v>
      </c>
      <c r="L71" s="32">
        <v>46120.65709518519</v>
      </c>
      <c r="M71" s="23"/>
      <c r="N71" s="2" t="s">
        <v>77</v>
      </c>
    </row>
    <row r="72" spans="1:14" ht="75" customHeight="1" thickTop="1" thickBot="1">
      <c r="A72" s="23">
        <v>70</v>
      </c>
      <c r="B72" s="32">
        <v>46120.588084756899</v>
      </c>
      <c r="C72" s="33" t="s">
        <v>97</v>
      </c>
      <c r="D72" s="33" t="s">
        <v>98</v>
      </c>
      <c r="E72" s="23" t="s">
        <v>99</v>
      </c>
      <c r="F72" s="23" t="s">
        <v>100</v>
      </c>
      <c r="G72" s="23" t="s">
        <v>152</v>
      </c>
      <c r="H72" s="23" t="s">
        <v>1031</v>
      </c>
      <c r="I72" s="23"/>
      <c r="J72" s="23" t="s">
        <v>16</v>
      </c>
      <c r="K72" s="23" t="s">
        <v>13</v>
      </c>
      <c r="L72" s="32">
        <v>46120.590930798615</v>
      </c>
      <c r="M72" s="23"/>
      <c r="N72" s="2" t="s">
        <v>77</v>
      </c>
    </row>
    <row r="73" spans="1:14" ht="75" customHeight="1" thickTop="1" thickBot="1">
      <c r="A73" s="25">
        <v>71</v>
      </c>
      <c r="B73" s="32">
        <v>46120.589518993002</v>
      </c>
      <c r="C73" s="33" t="s">
        <v>97</v>
      </c>
      <c r="D73" s="33" t="s">
        <v>98</v>
      </c>
      <c r="E73" s="23" t="s">
        <v>99</v>
      </c>
      <c r="F73" s="23" t="s">
        <v>102</v>
      </c>
      <c r="G73" s="23" t="s">
        <v>168</v>
      </c>
      <c r="H73" s="23" t="s">
        <v>176</v>
      </c>
      <c r="I73" s="23"/>
      <c r="J73" s="23" t="s">
        <v>16</v>
      </c>
      <c r="K73" s="23" t="s">
        <v>13</v>
      </c>
      <c r="L73" s="32"/>
      <c r="M73" s="23"/>
      <c r="N73" s="2" t="s">
        <v>77</v>
      </c>
    </row>
    <row r="74" spans="1:14" ht="75" customHeight="1" thickTop="1" thickBot="1">
      <c r="A74" s="23">
        <v>72</v>
      </c>
      <c r="B74" s="32">
        <v>46120.590493634198</v>
      </c>
      <c r="C74" s="33" t="s">
        <v>97</v>
      </c>
      <c r="D74" s="33" t="s">
        <v>98</v>
      </c>
      <c r="E74" s="23" t="s">
        <v>99</v>
      </c>
      <c r="F74" s="23" t="s">
        <v>100</v>
      </c>
      <c r="G74" s="23" t="s">
        <v>108</v>
      </c>
      <c r="H74" s="23" t="s">
        <v>177</v>
      </c>
      <c r="I74" s="23"/>
      <c r="J74" s="23" t="s">
        <v>16</v>
      </c>
      <c r="K74" s="23" t="s">
        <v>13</v>
      </c>
      <c r="L74" s="32">
        <v>46120.64137302083</v>
      </c>
      <c r="M74" s="23"/>
      <c r="N74" s="2" t="s">
        <v>77</v>
      </c>
    </row>
    <row r="75" spans="1:14" ht="75" customHeight="1" thickTop="1" thickBot="1">
      <c r="A75" s="25">
        <v>73</v>
      </c>
      <c r="B75" s="32">
        <v>46120.601197256903</v>
      </c>
      <c r="C75" s="33" t="s">
        <v>97</v>
      </c>
      <c r="D75" s="33" t="s">
        <v>98</v>
      </c>
      <c r="E75" s="23" t="s">
        <v>99</v>
      </c>
      <c r="F75" s="23" t="s">
        <v>126</v>
      </c>
      <c r="G75" s="23" t="s">
        <v>101</v>
      </c>
      <c r="H75" s="23" t="s">
        <v>178</v>
      </c>
      <c r="I75" s="23"/>
      <c r="J75" s="23" t="s">
        <v>12</v>
      </c>
      <c r="K75" s="23" t="s">
        <v>13</v>
      </c>
      <c r="L75" s="32">
        <v>46120.602289143513</v>
      </c>
      <c r="M75" s="23"/>
      <c r="N75" s="2" t="s">
        <v>77</v>
      </c>
    </row>
    <row r="76" spans="1:14" ht="75" customHeight="1" thickTop="1" thickBot="1">
      <c r="A76" s="23">
        <v>74</v>
      </c>
      <c r="B76" s="32">
        <v>46120.602095844901</v>
      </c>
      <c r="C76" s="33" t="s">
        <v>97</v>
      </c>
      <c r="D76" s="33" t="s">
        <v>98</v>
      </c>
      <c r="E76" s="23" t="s">
        <v>99</v>
      </c>
      <c r="F76" s="23" t="s">
        <v>126</v>
      </c>
      <c r="G76" s="23" t="s">
        <v>106</v>
      </c>
      <c r="H76" s="23" t="s">
        <v>179</v>
      </c>
      <c r="I76" s="23"/>
      <c r="J76" s="23" t="s">
        <v>12</v>
      </c>
      <c r="K76" s="23" t="s">
        <v>13</v>
      </c>
      <c r="L76" s="32">
        <v>46120.602387511579</v>
      </c>
      <c r="M76" s="23"/>
      <c r="N76" s="2" t="s">
        <v>77</v>
      </c>
    </row>
    <row r="77" spans="1:14" ht="75" customHeight="1" thickTop="1" thickBot="1">
      <c r="A77" s="25">
        <v>75</v>
      </c>
      <c r="B77" s="32">
        <v>46121.341290428201</v>
      </c>
      <c r="C77" s="33" t="s">
        <v>97</v>
      </c>
      <c r="D77" s="33" t="s">
        <v>121</v>
      </c>
      <c r="E77" s="23" t="s">
        <v>122</v>
      </c>
      <c r="F77" s="23" t="s">
        <v>100</v>
      </c>
      <c r="G77" s="23" t="s">
        <v>180</v>
      </c>
      <c r="H77" s="23" t="s">
        <v>181</v>
      </c>
      <c r="I77" s="23"/>
      <c r="J77" s="23" t="s">
        <v>16</v>
      </c>
      <c r="K77" s="23" t="s">
        <v>13</v>
      </c>
      <c r="L77" s="32">
        <v>46121.528806458329</v>
      </c>
      <c r="M77" s="23"/>
      <c r="N77" s="2" t="s">
        <v>77</v>
      </c>
    </row>
    <row r="78" spans="1:14" ht="75" customHeight="1" thickTop="1" thickBot="1">
      <c r="A78" s="23">
        <v>76</v>
      </c>
      <c r="B78" s="32">
        <v>46121.345491944398</v>
      </c>
      <c r="C78" s="33" t="s">
        <v>97</v>
      </c>
      <c r="D78" s="33" t="s">
        <v>121</v>
      </c>
      <c r="E78" s="23" t="s">
        <v>122</v>
      </c>
      <c r="F78" s="23" t="s">
        <v>102</v>
      </c>
      <c r="G78" s="23" t="s">
        <v>108</v>
      </c>
      <c r="H78" s="23" t="s">
        <v>182</v>
      </c>
      <c r="I78" s="23"/>
      <c r="J78" s="23" t="s">
        <v>16</v>
      </c>
      <c r="K78" s="23" t="s">
        <v>13</v>
      </c>
      <c r="L78" s="32">
        <v>46121.516201712962</v>
      </c>
      <c r="M78" s="23"/>
      <c r="N78" s="2" t="s">
        <v>77</v>
      </c>
    </row>
    <row r="79" spans="1:14" ht="75" customHeight="1" thickTop="1" thickBot="1">
      <c r="A79" s="25">
        <v>77</v>
      </c>
      <c r="B79" s="32">
        <v>46121.545241435102</v>
      </c>
      <c r="C79" s="33" t="s">
        <v>97</v>
      </c>
      <c r="D79" s="33" t="s">
        <v>98</v>
      </c>
      <c r="E79" s="23" t="s">
        <v>99</v>
      </c>
      <c r="F79" s="23" t="s">
        <v>116</v>
      </c>
      <c r="G79" s="23" t="s">
        <v>168</v>
      </c>
      <c r="H79" s="23" t="s">
        <v>183</v>
      </c>
      <c r="I79" s="23"/>
      <c r="J79" s="23" t="s">
        <v>16</v>
      </c>
      <c r="K79" s="23" t="s">
        <v>13</v>
      </c>
      <c r="L79" s="32">
        <v>46121.555052048614</v>
      </c>
      <c r="M79" s="23"/>
      <c r="N79" s="2" t="s">
        <v>77</v>
      </c>
    </row>
    <row r="80" spans="1:14" ht="75" customHeight="1" thickTop="1" thickBot="1">
      <c r="A80" s="23">
        <v>78</v>
      </c>
      <c r="B80" s="32">
        <v>46121.546437279998</v>
      </c>
      <c r="C80" s="33" t="s">
        <v>97</v>
      </c>
      <c r="D80" s="33" t="s">
        <v>98</v>
      </c>
      <c r="E80" s="23" t="s">
        <v>99</v>
      </c>
      <c r="F80" s="23" t="s">
        <v>184</v>
      </c>
      <c r="G80" s="23" t="s">
        <v>106</v>
      </c>
      <c r="H80" s="23" t="s">
        <v>185</v>
      </c>
      <c r="I80" s="23"/>
      <c r="J80" s="23" t="s">
        <v>16</v>
      </c>
      <c r="K80" s="23" t="s">
        <v>13</v>
      </c>
      <c r="L80" s="32">
        <v>46121.555102800921</v>
      </c>
      <c r="M80" s="23"/>
      <c r="N80" s="2" t="s">
        <v>77</v>
      </c>
    </row>
    <row r="81" spans="1:14" ht="75" customHeight="1" thickTop="1" thickBot="1">
      <c r="A81" s="25">
        <v>79</v>
      </c>
      <c r="B81" s="32">
        <v>46121.547149490703</v>
      </c>
      <c r="C81" s="33" t="s">
        <v>97</v>
      </c>
      <c r="D81" s="33" t="s">
        <v>98</v>
      </c>
      <c r="E81" s="23" t="s">
        <v>99</v>
      </c>
      <c r="F81" s="23" t="s">
        <v>102</v>
      </c>
      <c r="G81" s="23" t="s">
        <v>104</v>
      </c>
      <c r="H81" s="23" t="s">
        <v>186</v>
      </c>
      <c r="I81" s="23"/>
      <c r="J81" s="23" t="s">
        <v>16</v>
      </c>
      <c r="K81" s="23" t="s">
        <v>13</v>
      </c>
      <c r="L81" s="32">
        <v>46121.55516314815</v>
      </c>
      <c r="M81" s="23"/>
      <c r="N81" s="2" t="s">
        <v>77</v>
      </c>
    </row>
    <row r="82" spans="1:14" ht="75" customHeight="1" thickTop="1" thickBot="1">
      <c r="A82" s="23">
        <v>80</v>
      </c>
      <c r="B82" s="32">
        <v>46121.548001435098</v>
      </c>
      <c r="C82" s="33" t="s">
        <v>97</v>
      </c>
      <c r="D82" s="33" t="s">
        <v>98</v>
      </c>
      <c r="E82" s="23" t="s">
        <v>99</v>
      </c>
      <c r="F82" s="23" t="s">
        <v>157</v>
      </c>
      <c r="G82" s="23" t="s">
        <v>105</v>
      </c>
      <c r="H82" s="23" t="s">
        <v>187</v>
      </c>
      <c r="I82" s="23"/>
      <c r="J82" s="23" t="s">
        <v>16</v>
      </c>
      <c r="K82" s="23" t="s">
        <v>13</v>
      </c>
      <c r="L82" s="32">
        <v>46121.55521953704</v>
      </c>
      <c r="M82" s="23"/>
      <c r="N82" s="2" t="s">
        <v>77</v>
      </c>
    </row>
    <row r="83" spans="1:14" ht="75" customHeight="1" thickTop="1" thickBot="1">
      <c r="A83" s="25">
        <v>81</v>
      </c>
      <c r="B83" s="32">
        <v>46121.5485456018</v>
      </c>
      <c r="C83" s="33" t="s">
        <v>97</v>
      </c>
      <c r="D83" s="33" t="s">
        <v>98</v>
      </c>
      <c r="E83" s="23" t="s">
        <v>99</v>
      </c>
      <c r="F83" s="23" t="s">
        <v>126</v>
      </c>
      <c r="G83" s="23" t="s">
        <v>127</v>
      </c>
      <c r="H83" s="23" t="s">
        <v>188</v>
      </c>
      <c r="I83" s="23"/>
      <c r="J83" s="23" t="s">
        <v>16</v>
      </c>
      <c r="K83" s="23" t="s">
        <v>13</v>
      </c>
      <c r="L83" s="32">
        <v>46121.555286168979</v>
      </c>
      <c r="M83" s="23"/>
      <c r="N83" s="2" t="s">
        <v>77</v>
      </c>
    </row>
    <row r="84" spans="1:14" ht="75" customHeight="1" thickTop="1" thickBot="1">
      <c r="A84" s="23">
        <v>82</v>
      </c>
      <c r="B84" s="32">
        <v>46121.549400555501</v>
      </c>
      <c r="C84" s="33" t="s">
        <v>97</v>
      </c>
      <c r="D84" s="33" t="s">
        <v>98</v>
      </c>
      <c r="E84" s="23" t="s">
        <v>99</v>
      </c>
      <c r="F84" s="23" t="s">
        <v>126</v>
      </c>
      <c r="G84" s="23" t="s">
        <v>156</v>
      </c>
      <c r="H84" s="23" t="s">
        <v>1032</v>
      </c>
      <c r="I84" s="23"/>
      <c r="J84" s="23" t="s">
        <v>16</v>
      </c>
      <c r="K84" s="23" t="s">
        <v>13</v>
      </c>
      <c r="L84" s="32">
        <v>46121.555336863428</v>
      </c>
      <c r="M84" s="23"/>
      <c r="N84" s="2" t="s">
        <v>77</v>
      </c>
    </row>
    <row r="85" spans="1:14" ht="75" customHeight="1" thickTop="1" thickBot="1">
      <c r="A85" s="25">
        <v>83</v>
      </c>
      <c r="B85" s="32">
        <v>46121.550107060102</v>
      </c>
      <c r="C85" s="33" t="s">
        <v>97</v>
      </c>
      <c r="D85" s="33" t="s">
        <v>98</v>
      </c>
      <c r="E85" s="23" t="s">
        <v>99</v>
      </c>
      <c r="F85" s="23" t="s">
        <v>102</v>
      </c>
      <c r="G85" s="23" t="s">
        <v>108</v>
      </c>
      <c r="H85" s="23" t="s">
        <v>1033</v>
      </c>
      <c r="I85" s="23"/>
      <c r="J85" s="23" t="s">
        <v>16</v>
      </c>
      <c r="K85" s="23" t="s">
        <v>13</v>
      </c>
      <c r="L85" s="32">
        <v>46121.555377962963</v>
      </c>
      <c r="M85" s="23"/>
      <c r="N85" s="2" t="s">
        <v>77</v>
      </c>
    </row>
    <row r="86" spans="1:14" ht="75" customHeight="1" thickTop="1" thickBot="1">
      <c r="A86" s="23">
        <v>84</v>
      </c>
      <c r="B86" s="32">
        <v>46121.552368449004</v>
      </c>
      <c r="C86" s="33" t="s">
        <v>97</v>
      </c>
      <c r="D86" s="33" t="s">
        <v>98</v>
      </c>
      <c r="E86" s="23" t="s">
        <v>99</v>
      </c>
      <c r="F86" s="23" t="s">
        <v>157</v>
      </c>
      <c r="G86" s="23" t="s">
        <v>105</v>
      </c>
      <c r="H86" s="23" t="s">
        <v>189</v>
      </c>
      <c r="I86" s="23"/>
      <c r="J86" s="23" t="s">
        <v>16</v>
      </c>
      <c r="K86" s="23" t="s">
        <v>13</v>
      </c>
      <c r="L86" s="32">
        <v>46121.555486504629</v>
      </c>
      <c r="M86" s="23"/>
      <c r="N86" s="2" t="s">
        <v>77</v>
      </c>
    </row>
    <row r="87" spans="1:14" ht="75" customHeight="1" thickTop="1" thickBot="1">
      <c r="A87" s="25">
        <v>85</v>
      </c>
      <c r="B87" s="32">
        <v>46121.5540372916</v>
      </c>
      <c r="C87" s="33" t="s">
        <v>97</v>
      </c>
      <c r="D87" s="33" t="s">
        <v>98</v>
      </c>
      <c r="E87" s="23" t="s">
        <v>99</v>
      </c>
      <c r="F87" s="23" t="s">
        <v>102</v>
      </c>
      <c r="G87" s="23" t="s">
        <v>152</v>
      </c>
      <c r="H87" s="23" t="s">
        <v>1034</v>
      </c>
      <c r="I87" s="23"/>
      <c r="J87" s="23" t="s">
        <v>16</v>
      </c>
      <c r="K87" s="23" t="s">
        <v>13</v>
      </c>
      <c r="L87" s="32">
        <v>46121.555528124998</v>
      </c>
      <c r="M87" s="23"/>
      <c r="N87" s="2" t="s">
        <v>77</v>
      </c>
    </row>
    <row r="88" spans="1:14" ht="75" customHeight="1" thickTop="1" thickBot="1">
      <c r="A88" s="23">
        <v>86</v>
      </c>
      <c r="B88" s="32">
        <v>46121.554705173599</v>
      </c>
      <c r="C88" s="33" t="s">
        <v>97</v>
      </c>
      <c r="D88" s="33" t="s">
        <v>98</v>
      </c>
      <c r="E88" s="23" t="s">
        <v>99</v>
      </c>
      <c r="F88" s="23" t="s">
        <v>102</v>
      </c>
      <c r="G88" s="23" t="s">
        <v>168</v>
      </c>
      <c r="H88" s="23" t="s">
        <v>176</v>
      </c>
      <c r="I88" s="23"/>
      <c r="J88" s="23" t="s">
        <v>16</v>
      </c>
      <c r="K88" s="23" t="s">
        <v>13</v>
      </c>
      <c r="L88" s="32">
        <v>46121.555576898143</v>
      </c>
      <c r="M88" s="23"/>
      <c r="N88" s="2" t="s">
        <v>77</v>
      </c>
    </row>
    <row r="89" spans="1:14" ht="75" customHeight="1" thickTop="1" thickBot="1">
      <c r="A89" s="25">
        <v>87</v>
      </c>
      <c r="B89" s="32">
        <v>46121.556733333302</v>
      </c>
      <c r="C89" s="33" t="s">
        <v>97</v>
      </c>
      <c r="D89" s="33" t="s">
        <v>98</v>
      </c>
      <c r="E89" s="23" t="s">
        <v>99</v>
      </c>
      <c r="F89" s="23" t="s">
        <v>126</v>
      </c>
      <c r="G89" s="23" t="s">
        <v>168</v>
      </c>
      <c r="H89" s="23" t="s">
        <v>190</v>
      </c>
      <c r="I89" s="23"/>
      <c r="J89" s="23" t="s">
        <v>12</v>
      </c>
      <c r="K89" s="23" t="s">
        <v>13</v>
      </c>
      <c r="L89" s="32">
        <v>46121.561280914349</v>
      </c>
      <c r="M89" s="23"/>
      <c r="N89" s="2" t="s">
        <v>77</v>
      </c>
    </row>
    <row r="90" spans="1:14" ht="75" customHeight="1" thickTop="1" thickBot="1">
      <c r="A90" s="23">
        <v>88</v>
      </c>
      <c r="B90" s="32">
        <v>46121.5586054745</v>
      </c>
      <c r="C90" s="33" t="s">
        <v>97</v>
      </c>
      <c r="D90" s="33" t="s">
        <v>98</v>
      </c>
      <c r="E90" s="23" t="s">
        <v>99</v>
      </c>
      <c r="F90" s="23" t="s">
        <v>100</v>
      </c>
      <c r="G90" s="23" t="s">
        <v>106</v>
      </c>
      <c r="H90" s="23" t="s">
        <v>191</v>
      </c>
      <c r="I90" s="23"/>
      <c r="J90" s="23" t="s">
        <v>12</v>
      </c>
      <c r="K90" s="23" t="s">
        <v>13</v>
      </c>
      <c r="L90" s="32">
        <v>46121.561350219912</v>
      </c>
      <c r="M90" s="23"/>
      <c r="N90" s="2" t="s">
        <v>77</v>
      </c>
    </row>
    <row r="91" spans="1:14" ht="75" customHeight="1" thickTop="1" thickBot="1">
      <c r="A91" s="25">
        <v>89</v>
      </c>
      <c r="B91" s="32">
        <v>46121.559699560101</v>
      </c>
      <c r="C91" s="33" t="s">
        <v>97</v>
      </c>
      <c r="D91" s="33" t="s">
        <v>98</v>
      </c>
      <c r="E91" s="23" t="s">
        <v>99</v>
      </c>
      <c r="F91" s="23" t="s">
        <v>116</v>
      </c>
      <c r="G91" s="23" t="s">
        <v>106</v>
      </c>
      <c r="H91" s="23" t="s">
        <v>192</v>
      </c>
      <c r="I91" s="23"/>
      <c r="J91" s="23" t="s">
        <v>14</v>
      </c>
      <c r="K91" s="23" t="s">
        <v>13</v>
      </c>
      <c r="L91" s="32">
        <v>46121.561414756943</v>
      </c>
      <c r="M91" s="23"/>
      <c r="N91" s="2" t="s">
        <v>77</v>
      </c>
    </row>
    <row r="92" spans="1:14" ht="75" customHeight="1" thickTop="1" thickBot="1">
      <c r="A92" s="23">
        <v>90</v>
      </c>
      <c r="B92" s="32">
        <v>46121.561159872603</v>
      </c>
      <c r="C92" s="33" t="s">
        <v>97</v>
      </c>
      <c r="D92" s="33" t="s">
        <v>98</v>
      </c>
      <c r="E92" s="23" t="s">
        <v>99</v>
      </c>
      <c r="F92" s="23" t="s">
        <v>102</v>
      </c>
      <c r="G92" s="23" t="s">
        <v>110</v>
      </c>
      <c r="H92" s="23" t="s">
        <v>193</v>
      </c>
      <c r="I92" s="23"/>
      <c r="J92" s="23" t="s">
        <v>14</v>
      </c>
      <c r="K92" s="23" t="s">
        <v>13</v>
      </c>
      <c r="L92" s="32">
        <v>46121.561454097224</v>
      </c>
      <c r="M92" s="23"/>
      <c r="N92" s="2" t="s">
        <v>77</v>
      </c>
    </row>
    <row r="93" spans="1:14" ht="75" customHeight="1" thickTop="1" thickBot="1">
      <c r="A93" s="25">
        <v>91</v>
      </c>
      <c r="B93" s="32">
        <v>46121.564533090197</v>
      </c>
      <c r="C93" s="33" t="s">
        <v>97</v>
      </c>
      <c r="D93" s="33" t="s">
        <v>98</v>
      </c>
      <c r="E93" s="23" t="s">
        <v>99</v>
      </c>
      <c r="F93" s="23" t="s">
        <v>102</v>
      </c>
      <c r="G93" s="23" t="s">
        <v>108</v>
      </c>
      <c r="H93" s="23" t="s">
        <v>194</v>
      </c>
      <c r="I93" s="23"/>
      <c r="J93" s="23" t="s">
        <v>16</v>
      </c>
      <c r="K93" s="23" t="s">
        <v>13</v>
      </c>
      <c r="L93" s="32">
        <v>46121.564693564811</v>
      </c>
      <c r="M93" s="23"/>
      <c r="N93" s="2" t="s">
        <v>77</v>
      </c>
    </row>
    <row r="94" spans="1:14" ht="75" customHeight="1" thickTop="1" thickBot="1">
      <c r="A94" s="23">
        <v>92</v>
      </c>
      <c r="B94" s="32">
        <v>46124.428308437498</v>
      </c>
      <c r="C94" s="33" t="s">
        <v>97</v>
      </c>
      <c r="D94" s="33" t="s">
        <v>121</v>
      </c>
      <c r="E94" s="23" t="s">
        <v>122</v>
      </c>
      <c r="F94" s="23" t="s">
        <v>116</v>
      </c>
      <c r="G94" s="23" t="s">
        <v>108</v>
      </c>
      <c r="H94" s="23" t="s">
        <v>195</v>
      </c>
      <c r="I94" s="23"/>
      <c r="J94" s="23" t="s">
        <v>14</v>
      </c>
      <c r="K94" s="23" t="s">
        <v>13</v>
      </c>
      <c r="L94" s="32">
        <v>46124.594591400462</v>
      </c>
      <c r="M94" s="23" t="s">
        <v>88</v>
      </c>
      <c r="N94" s="2" t="s">
        <v>77</v>
      </c>
    </row>
    <row r="95" spans="1:14" ht="75" customHeight="1" thickTop="1" thickBot="1">
      <c r="A95" s="25">
        <v>93</v>
      </c>
      <c r="B95" s="32">
        <v>46124.592629745297</v>
      </c>
      <c r="C95" s="33" t="s">
        <v>97</v>
      </c>
      <c r="D95" s="33" t="s">
        <v>98</v>
      </c>
      <c r="E95" s="23" t="s">
        <v>99</v>
      </c>
      <c r="F95" s="23" t="s">
        <v>126</v>
      </c>
      <c r="G95" s="23" t="s">
        <v>101</v>
      </c>
      <c r="H95" s="23" t="s">
        <v>983</v>
      </c>
      <c r="I95" s="23"/>
      <c r="J95" s="23" t="s">
        <v>12</v>
      </c>
      <c r="K95" s="23" t="s">
        <v>13</v>
      </c>
      <c r="L95" s="32">
        <v>46124.595693553245</v>
      </c>
      <c r="M95" s="23"/>
      <c r="N95" s="2" t="s">
        <v>77</v>
      </c>
    </row>
    <row r="96" spans="1:14" ht="75" customHeight="1" thickTop="1" thickBot="1">
      <c r="A96" s="23">
        <v>94</v>
      </c>
      <c r="B96" s="32">
        <v>46124.595387407397</v>
      </c>
      <c r="C96" s="33" t="s">
        <v>97</v>
      </c>
      <c r="D96" s="33" t="s">
        <v>98</v>
      </c>
      <c r="E96" s="23" t="s">
        <v>99</v>
      </c>
      <c r="F96" s="23" t="s">
        <v>102</v>
      </c>
      <c r="G96" s="23" t="s">
        <v>106</v>
      </c>
      <c r="H96" s="23" t="s">
        <v>984</v>
      </c>
      <c r="I96" s="23"/>
      <c r="J96" s="23" t="s">
        <v>12</v>
      </c>
      <c r="K96" s="23" t="s">
        <v>13</v>
      </c>
      <c r="L96" s="32">
        <v>46124.595737407406</v>
      </c>
      <c r="M96" s="23"/>
      <c r="N96" s="2" t="s">
        <v>77</v>
      </c>
    </row>
    <row r="97" spans="1:14" ht="75" customHeight="1" thickTop="1" thickBot="1">
      <c r="A97" s="25">
        <v>95</v>
      </c>
      <c r="B97" s="32">
        <v>46124.597294143503</v>
      </c>
      <c r="C97" s="33" t="s">
        <v>97</v>
      </c>
      <c r="D97" s="33" t="s">
        <v>98</v>
      </c>
      <c r="E97" s="23" t="s">
        <v>99</v>
      </c>
      <c r="F97" s="23" t="s">
        <v>116</v>
      </c>
      <c r="G97" s="23" t="s">
        <v>124</v>
      </c>
      <c r="H97" s="23" t="s">
        <v>1035</v>
      </c>
      <c r="I97" s="23"/>
      <c r="J97" s="23" t="s">
        <v>16</v>
      </c>
      <c r="K97" s="23" t="s">
        <v>13</v>
      </c>
      <c r="L97" s="32">
        <v>46124.612333773148</v>
      </c>
      <c r="M97" s="23"/>
      <c r="N97" s="2" t="s">
        <v>77</v>
      </c>
    </row>
    <row r="98" spans="1:14" ht="75" customHeight="1" thickTop="1" thickBot="1">
      <c r="A98" s="23">
        <v>96</v>
      </c>
      <c r="B98" s="32">
        <v>46124.599023750001</v>
      </c>
      <c r="C98" s="33" t="s">
        <v>97</v>
      </c>
      <c r="D98" s="33" t="s">
        <v>98</v>
      </c>
      <c r="E98" s="23" t="s">
        <v>99</v>
      </c>
      <c r="F98" s="23" t="s">
        <v>100</v>
      </c>
      <c r="G98" s="23" t="s">
        <v>152</v>
      </c>
      <c r="H98" s="23" t="s">
        <v>161</v>
      </c>
      <c r="I98" s="23"/>
      <c r="J98" s="23" t="s">
        <v>16</v>
      </c>
      <c r="K98" s="23" t="s">
        <v>13</v>
      </c>
      <c r="L98" s="32"/>
      <c r="M98" s="23"/>
      <c r="N98" s="2" t="s">
        <v>77</v>
      </c>
    </row>
    <row r="99" spans="1:14" ht="75" customHeight="1" thickTop="1" thickBot="1">
      <c r="A99" s="25">
        <v>97</v>
      </c>
      <c r="B99" s="32">
        <v>46124.599762789301</v>
      </c>
      <c r="C99" s="33" t="s">
        <v>97</v>
      </c>
      <c r="D99" s="33" t="s">
        <v>98</v>
      </c>
      <c r="E99" s="23" t="s">
        <v>99</v>
      </c>
      <c r="F99" s="23" t="s">
        <v>102</v>
      </c>
      <c r="G99" s="23" t="s">
        <v>168</v>
      </c>
      <c r="H99" s="23" t="s">
        <v>1036</v>
      </c>
      <c r="I99" s="23"/>
      <c r="J99" s="23" t="s">
        <v>16</v>
      </c>
      <c r="K99" s="23" t="s">
        <v>13</v>
      </c>
      <c r="L99" s="32"/>
      <c r="M99" s="23"/>
      <c r="N99" s="2" t="s">
        <v>77</v>
      </c>
    </row>
    <row r="100" spans="1:14" ht="75" customHeight="1" thickTop="1" thickBot="1">
      <c r="A100" s="23">
        <v>98</v>
      </c>
      <c r="B100" s="32">
        <v>46124.600664548598</v>
      </c>
      <c r="C100" s="33" t="s">
        <v>97</v>
      </c>
      <c r="D100" s="33" t="s">
        <v>98</v>
      </c>
      <c r="E100" s="23" t="s">
        <v>99</v>
      </c>
      <c r="F100" s="23" t="s">
        <v>102</v>
      </c>
      <c r="G100" s="23" t="s">
        <v>106</v>
      </c>
      <c r="H100" s="23" t="s">
        <v>1037</v>
      </c>
      <c r="I100" s="23"/>
      <c r="J100" s="23" t="s">
        <v>16</v>
      </c>
      <c r="K100" s="23" t="s">
        <v>13</v>
      </c>
      <c r="L100" s="32"/>
      <c r="M100" s="23"/>
      <c r="N100" s="2" t="s">
        <v>77</v>
      </c>
    </row>
    <row r="101" spans="1:14" ht="75" customHeight="1" thickTop="1" thickBot="1">
      <c r="A101" s="25">
        <v>99</v>
      </c>
      <c r="B101" s="32">
        <v>46124.617937974501</v>
      </c>
      <c r="C101" s="33" t="s">
        <v>97</v>
      </c>
      <c r="D101" s="33" t="s">
        <v>98</v>
      </c>
      <c r="E101" s="23" t="s">
        <v>99</v>
      </c>
      <c r="F101" s="23" t="s">
        <v>102</v>
      </c>
      <c r="G101" s="23" t="s">
        <v>196</v>
      </c>
      <c r="H101" s="23" t="s">
        <v>1038</v>
      </c>
      <c r="I101" s="23"/>
      <c r="J101" s="23" t="s">
        <v>16</v>
      </c>
      <c r="K101" s="23" t="s">
        <v>13</v>
      </c>
      <c r="L101" s="32">
        <v>46124.63054543981</v>
      </c>
      <c r="M101" s="23"/>
      <c r="N101" s="2" t="s">
        <v>77</v>
      </c>
    </row>
    <row r="102" spans="1:14" ht="75" customHeight="1" thickTop="1" thickBot="1">
      <c r="A102" s="23">
        <v>100</v>
      </c>
      <c r="B102" s="32">
        <v>46124.619324398103</v>
      </c>
      <c r="C102" s="33" t="s">
        <v>97</v>
      </c>
      <c r="D102" s="33" t="s">
        <v>98</v>
      </c>
      <c r="E102" s="23" t="s">
        <v>99</v>
      </c>
      <c r="F102" s="23" t="s">
        <v>116</v>
      </c>
      <c r="G102" s="23" t="s">
        <v>106</v>
      </c>
      <c r="H102" s="23" t="s">
        <v>1039</v>
      </c>
      <c r="I102" s="23"/>
      <c r="J102" s="23" t="s">
        <v>16</v>
      </c>
      <c r="K102" s="23" t="s">
        <v>13</v>
      </c>
      <c r="L102" s="32">
        <v>46124.630589618057</v>
      </c>
      <c r="M102" s="23"/>
      <c r="N102" s="2" t="s">
        <v>77</v>
      </c>
    </row>
    <row r="103" spans="1:14" ht="75" customHeight="1" thickTop="1" thickBot="1">
      <c r="A103" s="25">
        <v>101</v>
      </c>
      <c r="B103" s="32">
        <v>46124.620891712897</v>
      </c>
      <c r="C103" s="33" t="s">
        <v>97</v>
      </c>
      <c r="D103" s="33" t="s">
        <v>98</v>
      </c>
      <c r="E103" s="23" t="s">
        <v>99</v>
      </c>
      <c r="F103" s="23" t="s">
        <v>116</v>
      </c>
      <c r="G103" s="23" t="s">
        <v>168</v>
      </c>
      <c r="H103" s="23" t="s">
        <v>1040</v>
      </c>
      <c r="I103" s="23"/>
      <c r="J103" s="23" t="s">
        <v>16</v>
      </c>
      <c r="K103" s="23" t="s">
        <v>13</v>
      </c>
      <c r="L103" s="32">
        <v>46124.630699143519</v>
      </c>
      <c r="M103" s="23"/>
      <c r="N103" s="2" t="s">
        <v>77</v>
      </c>
    </row>
    <row r="104" spans="1:14" ht="75" customHeight="1" thickTop="1" thickBot="1">
      <c r="A104" s="23">
        <v>102</v>
      </c>
      <c r="B104" s="32">
        <v>46124.621852939803</v>
      </c>
      <c r="C104" s="33" t="s">
        <v>97</v>
      </c>
      <c r="D104" s="33" t="s">
        <v>98</v>
      </c>
      <c r="E104" s="23" t="s">
        <v>99</v>
      </c>
      <c r="F104" s="23" t="s">
        <v>116</v>
      </c>
      <c r="G104" s="23" t="s">
        <v>108</v>
      </c>
      <c r="H104" s="23" t="s">
        <v>1041</v>
      </c>
      <c r="I104" s="23"/>
      <c r="J104" s="23" t="s">
        <v>16</v>
      </c>
      <c r="K104" s="23" t="s">
        <v>13</v>
      </c>
      <c r="L104" s="32">
        <v>46124.630741284724</v>
      </c>
      <c r="M104" s="23"/>
      <c r="N104" s="2" t="s">
        <v>77</v>
      </c>
    </row>
    <row r="105" spans="1:14" ht="75" customHeight="1" thickTop="1" thickBot="1">
      <c r="A105" s="25">
        <v>103</v>
      </c>
      <c r="B105" s="32">
        <v>46124.6230192824</v>
      </c>
      <c r="C105" s="33" t="s">
        <v>97</v>
      </c>
      <c r="D105" s="33" t="s">
        <v>98</v>
      </c>
      <c r="E105" s="23" t="s">
        <v>99</v>
      </c>
      <c r="F105" s="23" t="s">
        <v>116</v>
      </c>
      <c r="G105" s="23" t="s">
        <v>106</v>
      </c>
      <c r="H105" s="23" t="s">
        <v>1042</v>
      </c>
      <c r="I105" s="23"/>
      <c r="J105" s="23" t="s">
        <v>16</v>
      </c>
      <c r="K105" s="23" t="s">
        <v>13</v>
      </c>
      <c r="L105" s="32">
        <v>46124.630796400466</v>
      </c>
      <c r="M105" s="23"/>
      <c r="N105" s="2" t="s">
        <v>77</v>
      </c>
    </row>
    <row r="106" spans="1:14" ht="75" customHeight="1" thickTop="1" thickBot="1">
      <c r="A106" s="23">
        <v>104</v>
      </c>
      <c r="B106" s="32">
        <v>46124.623956446703</v>
      </c>
      <c r="C106" s="33" t="s">
        <v>97</v>
      </c>
      <c r="D106" s="33" t="s">
        <v>98</v>
      </c>
      <c r="E106" s="23" t="s">
        <v>99</v>
      </c>
      <c r="F106" s="23" t="s">
        <v>116</v>
      </c>
      <c r="G106" s="23" t="s">
        <v>108</v>
      </c>
      <c r="H106" s="23" t="s">
        <v>1043</v>
      </c>
      <c r="I106" s="23"/>
      <c r="J106" s="23" t="s">
        <v>16</v>
      </c>
      <c r="K106" s="23" t="s">
        <v>13</v>
      </c>
      <c r="L106" s="32">
        <v>46124.630840787038</v>
      </c>
      <c r="M106" s="23"/>
      <c r="N106" s="2" t="s">
        <v>77</v>
      </c>
    </row>
    <row r="107" spans="1:14" ht="75" customHeight="1" thickTop="1" thickBot="1">
      <c r="A107" s="25">
        <v>105</v>
      </c>
      <c r="B107" s="32">
        <v>46124.624501828701</v>
      </c>
      <c r="C107" s="33" t="s">
        <v>97</v>
      </c>
      <c r="D107" s="33" t="s">
        <v>98</v>
      </c>
      <c r="E107" s="23" t="s">
        <v>99</v>
      </c>
      <c r="F107" s="23" t="s">
        <v>102</v>
      </c>
      <c r="G107" s="23" t="s">
        <v>105</v>
      </c>
      <c r="H107" s="23" t="s">
        <v>1044</v>
      </c>
      <c r="I107" s="23"/>
      <c r="J107" s="23" t="s">
        <v>16</v>
      </c>
      <c r="K107" s="23" t="s">
        <v>13</v>
      </c>
      <c r="L107" s="32">
        <v>46124.63089487268</v>
      </c>
      <c r="M107" s="23"/>
      <c r="N107" s="2" t="s">
        <v>77</v>
      </c>
    </row>
    <row r="108" spans="1:14" ht="75" customHeight="1" thickTop="1" thickBot="1">
      <c r="A108" s="23">
        <v>106</v>
      </c>
      <c r="B108" s="32">
        <v>46124.625046018497</v>
      </c>
      <c r="C108" s="33" t="s">
        <v>97</v>
      </c>
      <c r="D108" s="33" t="s">
        <v>98</v>
      </c>
      <c r="E108" s="23" t="s">
        <v>99</v>
      </c>
      <c r="F108" s="23" t="s">
        <v>116</v>
      </c>
      <c r="G108" s="23" t="s">
        <v>198</v>
      </c>
      <c r="H108" s="23" t="s">
        <v>1045</v>
      </c>
      <c r="I108" s="23"/>
      <c r="J108" s="23" t="s">
        <v>16</v>
      </c>
      <c r="K108" s="23" t="s">
        <v>13</v>
      </c>
      <c r="L108" s="32">
        <v>46124.630956712965</v>
      </c>
      <c r="M108" s="23"/>
      <c r="N108" s="2" t="s">
        <v>77</v>
      </c>
    </row>
    <row r="109" spans="1:14" ht="75" customHeight="1" thickTop="1" thickBot="1">
      <c r="A109" s="25">
        <v>107</v>
      </c>
      <c r="B109" s="32">
        <v>46124.625588067101</v>
      </c>
      <c r="C109" s="33" t="s">
        <v>97</v>
      </c>
      <c r="D109" s="33" t="s">
        <v>98</v>
      </c>
      <c r="E109" s="23" t="s">
        <v>99</v>
      </c>
      <c r="F109" s="23" t="s">
        <v>116</v>
      </c>
      <c r="G109" s="23" t="s">
        <v>152</v>
      </c>
      <c r="H109" s="23" t="s">
        <v>200</v>
      </c>
      <c r="I109" s="23"/>
      <c r="J109" s="23" t="s">
        <v>16</v>
      </c>
      <c r="K109" s="23" t="s">
        <v>13</v>
      </c>
      <c r="L109" s="32">
        <v>46124.631011608799</v>
      </c>
      <c r="M109" s="23"/>
      <c r="N109" s="2" t="s">
        <v>77</v>
      </c>
    </row>
    <row r="110" spans="1:14" ht="75" customHeight="1" thickTop="1" thickBot="1">
      <c r="A110" s="23">
        <v>108</v>
      </c>
      <c r="B110" s="32">
        <v>46124.626037430498</v>
      </c>
      <c r="C110" s="33" t="s">
        <v>97</v>
      </c>
      <c r="D110" s="33" t="s">
        <v>98</v>
      </c>
      <c r="E110" s="23" t="s">
        <v>99</v>
      </c>
      <c r="F110" s="23" t="s">
        <v>116</v>
      </c>
      <c r="G110" s="23" t="s">
        <v>168</v>
      </c>
      <c r="H110" s="23" t="s">
        <v>201</v>
      </c>
      <c r="I110" s="23"/>
      <c r="J110" s="23" t="s">
        <v>16</v>
      </c>
      <c r="K110" s="23" t="s">
        <v>13</v>
      </c>
      <c r="L110" s="32">
        <v>46124.631060173611</v>
      </c>
      <c r="M110" s="23"/>
      <c r="N110" s="2" t="s">
        <v>77</v>
      </c>
    </row>
    <row r="111" spans="1:14" ht="75" customHeight="1" thickTop="1" thickBot="1">
      <c r="A111" s="25">
        <v>109</v>
      </c>
      <c r="B111" s="32">
        <v>46124.626540404999</v>
      </c>
      <c r="C111" s="33" t="s">
        <v>97</v>
      </c>
      <c r="D111" s="33" t="s">
        <v>98</v>
      </c>
      <c r="E111" s="23" t="s">
        <v>99</v>
      </c>
      <c r="F111" s="23" t="s">
        <v>116</v>
      </c>
      <c r="G111" s="23" t="s">
        <v>103</v>
      </c>
      <c r="H111" s="23" t="s">
        <v>202</v>
      </c>
      <c r="I111" s="23"/>
      <c r="J111" s="23" t="s">
        <v>16</v>
      </c>
      <c r="K111" s="23" t="s">
        <v>13</v>
      </c>
      <c r="L111" s="32">
        <v>46124.631132314811</v>
      </c>
      <c r="M111" s="23"/>
      <c r="N111" s="2" t="s">
        <v>77</v>
      </c>
    </row>
    <row r="112" spans="1:14" ht="75" customHeight="1" thickTop="1" thickBot="1">
      <c r="A112" s="23">
        <v>110</v>
      </c>
      <c r="B112" s="32">
        <v>46124.627072476796</v>
      </c>
      <c r="C112" s="33" t="s">
        <v>97</v>
      </c>
      <c r="D112" s="33" t="s">
        <v>98</v>
      </c>
      <c r="E112" s="23" t="s">
        <v>99</v>
      </c>
      <c r="F112" s="23" t="s">
        <v>116</v>
      </c>
      <c r="G112" s="23" t="s">
        <v>124</v>
      </c>
      <c r="H112" s="23" t="s">
        <v>203</v>
      </c>
      <c r="I112" s="23"/>
      <c r="J112" s="23" t="s">
        <v>16</v>
      </c>
      <c r="K112" s="23" t="s">
        <v>13</v>
      </c>
      <c r="L112" s="32">
        <v>46124.631184942133</v>
      </c>
      <c r="M112" s="23"/>
      <c r="N112" s="2" t="s">
        <v>77</v>
      </c>
    </row>
    <row r="113" spans="1:14" ht="75" customHeight="1" thickTop="1" thickBot="1">
      <c r="A113" s="25">
        <v>111</v>
      </c>
      <c r="B113" s="32">
        <v>46124.627553738399</v>
      </c>
      <c r="C113" s="33" t="s">
        <v>97</v>
      </c>
      <c r="D113" s="33" t="s">
        <v>98</v>
      </c>
      <c r="E113" s="23" t="s">
        <v>99</v>
      </c>
      <c r="F113" s="23" t="s">
        <v>116</v>
      </c>
      <c r="G113" s="23" t="s">
        <v>108</v>
      </c>
      <c r="H113" s="23" t="s">
        <v>1046</v>
      </c>
      <c r="I113" s="23"/>
      <c r="J113" s="23" t="s">
        <v>16</v>
      </c>
      <c r="K113" s="23" t="s">
        <v>13</v>
      </c>
      <c r="L113" s="32">
        <v>46124.6312305787</v>
      </c>
      <c r="M113" s="23"/>
      <c r="N113" s="2" t="s">
        <v>77</v>
      </c>
    </row>
    <row r="114" spans="1:14" ht="75" customHeight="1" thickTop="1" thickBot="1">
      <c r="A114" s="23">
        <v>112</v>
      </c>
      <c r="B114" s="32">
        <v>46124.627968854104</v>
      </c>
      <c r="C114" s="33" t="s">
        <v>97</v>
      </c>
      <c r="D114" s="33" t="s">
        <v>98</v>
      </c>
      <c r="E114" s="23" t="s">
        <v>99</v>
      </c>
      <c r="F114" s="23" t="s">
        <v>116</v>
      </c>
      <c r="G114" s="23" t="s">
        <v>108</v>
      </c>
      <c r="H114" s="23" t="s">
        <v>1047</v>
      </c>
      <c r="I114" s="23"/>
      <c r="J114" s="23" t="s">
        <v>16</v>
      </c>
      <c r="K114" s="23" t="s">
        <v>13</v>
      </c>
      <c r="L114" s="32">
        <v>46124.631293252314</v>
      </c>
      <c r="M114" s="23"/>
      <c r="N114" s="2" t="s">
        <v>77</v>
      </c>
    </row>
    <row r="115" spans="1:14" ht="75" customHeight="1" thickTop="1" thickBot="1">
      <c r="A115" s="25">
        <v>113</v>
      </c>
      <c r="B115" s="32">
        <v>46124.6284578587</v>
      </c>
      <c r="C115" s="33" t="s">
        <v>97</v>
      </c>
      <c r="D115" s="33" t="s">
        <v>98</v>
      </c>
      <c r="E115" s="23" t="s">
        <v>99</v>
      </c>
      <c r="F115" s="23" t="s">
        <v>116</v>
      </c>
      <c r="G115" s="23" t="s">
        <v>206</v>
      </c>
      <c r="H115" s="23" t="s">
        <v>1048</v>
      </c>
      <c r="I115" s="23"/>
      <c r="J115" s="23" t="s">
        <v>16</v>
      </c>
      <c r="K115" s="23" t="s">
        <v>13</v>
      </c>
      <c r="L115" s="32">
        <v>46124.631338680556</v>
      </c>
      <c r="M115" s="23"/>
      <c r="N115" s="2" t="s">
        <v>77</v>
      </c>
    </row>
    <row r="116" spans="1:14" ht="75" customHeight="1" thickTop="1" thickBot="1">
      <c r="A116" s="23">
        <v>114</v>
      </c>
      <c r="B116" s="32">
        <v>46124.628966817101</v>
      </c>
      <c r="C116" s="33" t="s">
        <v>97</v>
      </c>
      <c r="D116" s="33" t="s">
        <v>98</v>
      </c>
      <c r="E116" s="23" t="s">
        <v>99</v>
      </c>
      <c r="F116" s="23" t="s">
        <v>116</v>
      </c>
      <c r="G116" s="23" t="s">
        <v>152</v>
      </c>
      <c r="H116" s="23" t="s">
        <v>1049</v>
      </c>
      <c r="I116" s="23"/>
      <c r="J116" s="23" t="s">
        <v>16</v>
      </c>
      <c r="K116" s="23" t="s">
        <v>13</v>
      </c>
      <c r="L116" s="32">
        <v>46124.631420729165</v>
      </c>
      <c r="M116" s="23"/>
      <c r="N116" s="2" t="s">
        <v>77</v>
      </c>
    </row>
    <row r="117" spans="1:14" ht="75" customHeight="1" thickTop="1" thickBot="1">
      <c r="A117" s="25">
        <v>115</v>
      </c>
      <c r="B117" s="32">
        <v>46124.629453136498</v>
      </c>
      <c r="C117" s="33" t="s">
        <v>97</v>
      </c>
      <c r="D117" s="33" t="s">
        <v>98</v>
      </c>
      <c r="E117" s="23" t="s">
        <v>99</v>
      </c>
      <c r="F117" s="23" t="s">
        <v>100</v>
      </c>
      <c r="G117" s="23" t="s">
        <v>108</v>
      </c>
      <c r="H117" s="23" t="s">
        <v>1050</v>
      </c>
      <c r="I117" s="23"/>
      <c r="J117" s="23" t="s">
        <v>16</v>
      </c>
      <c r="K117" s="23" t="s">
        <v>13</v>
      </c>
      <c r="L117" s="32">
        <v>46124.631472395835</v>
      </c>
      <c r="M117" s="23"/>
      <c r="N117" s="2" t="s">
        <v>77</v>
      </c>
    </row>
    <row r="118" spans="1:14" ht="75" customHeight="1" thickTop="1" thickBot="1">
      <c r="A118" s="23">
        <v>116</v>
      </c>
      <c r="B118" s="32">
        <v>46124.630243981403</v>
      </c>
      <c r="C118" s="33" t="s">
        <v>97</v>
      </c>
      <c r="D118" s="33" t="s">
        <v>98</v>
      </c>
      <c r="E118" s="23" t="s">
        <v>99</v>
      </c>
      <c r="F118" s="23" t="s">
        <v>102</v>
      </c>
      <c r="G118" s="23" t="s">
        <v>108</v>
      </c>
      <c r="H118" s="23" t="s">
        <v>209</v>
      </c>
      <c r="I118" s="23"/>
      <c r="J118" s="23" t="s">
        <v>16</v>
      </c>
      <c r="K118" s="23" t="s">
        <v>13</v>
      </c>
      <c r="L118" s="32">
        <v>46124.631515949077</v>
      </c>
      <c r="M118" s="23"/>
      <c r="N118" s="2" t="s">
        <v>77</v>
      </c>
    </row>
    <row r="119" spans="1:14" ht="75" customHeight="1" thickTop="1" thickBot="1">
      <c r="A119" s="25">
        <v>117</v>
      </c>
      <c r="B119" s="32">
        <v>46125.434268356403</v>
      </c>
      <c r="C119" s="33" t="s">
        <v>97</v>
      </c>
      <c r="D119" s="33" t="s">
        <v>98</v>
      </c>
      <c r="E119" s="23" t="s">
        <v>99</v>
      </c>
      <c r="F119" s="23" t="s">
        <v>116</v>
      </c>
      <c r="G119" s="23" t="s">
        <v>168</v>
      </c>
      <c r="H119" s="23" t="s">
        <v>1051</v>
      </c>
      <c r="I119" s="23"/>
      <c r="J119" s="23" t="s">
        <v>16</v>
      </c>
      <c r="K119" s="23" t="s">
        <v>13</v>
      </c>
      <c r="L119" s="32">
        <v>46125.440491250003</v>
      </c>
      <c r="M119" s="23"/>
      <c r="N119" s="2" t="s">
        <v>77</v>
      </c>
    </row>
    <row r="120" spans="1:14" ht="75" customHeight="1" thickTop="1" thickBot="1">
      <c r="A120" s="23">
        <v>118</v>
      </c>
      <c r="B120" s="32">
        <v>46125.435294548603</v>
      </c>
      <c r="C120" s="33" t="s">
        <v>97</v>
      </c>
      <c r="D120" s="33" t="s">
        <v>98</v>
      </c>
      <c r="E120" s="23" t="s">
        <v>99</v>
      </c>
      <c r="F120" s="23" t="s">
        <v>100</v>
      </c>
      <c r="G120" s="23" t="s">
        <v>104</v>
      </c>
      <c r="H120" s="23" t="s">
        <v>1041</v>
      </c>
      <c r="I120" s="23"/>
      <c r="J120" s="23" t="s">
        <v>16</v>
      </c>
      <c r="K120" s="23" t="s">
        <v>13</v>
      </c>
      <c r="L120" s="32">
        <v>46125.440572025458</v>
      </c>
      <c r="M120" s="23"/>
      <c r="N120" s="2" t="s">
        <v>77</v>
      </c>
    </row>
    <row r="121" spans="1:14" ht="75" customHeight="1" thickTop="1" thickBot="1">
      <c r="A121" s="25">
        <v>119</v>
      </c>
      <c r="B121" s="32">
        <v>46125.436924340203</v>
      </c>
      <c r="C121" s="33" t="s">
        <v>97</v>
      </c>
      <c r="D121" s="33" t="s">
        <v>98</v>
      </c>
      <c r="E121" s="23" t="s">
        <v>99</v>
      </c>
      <c r="F121" s="23" t="s">
        <v>100</v>
      </c>
      <c r="G121" s="23" t="s">
        <v>104</v>
      </c>
      <c r="H121" s="23" t="s">
        <v>210</v>
      </c>
      <c r="I121" s="23"/>
      <c r="J121" s="23" t="s">
        <v>16</v>
      </c>
      <c r="K121" s="23" t="s">
        <v>13</v>
      </c>
      <c r="L121" s="32">
        <v>46125.440660312495</v>
      </c>
      <c r="M121" s="23"/>
      <c r="N121" s="2" t="s">
        <v>77</v>
      </c>
    </row>
    <row r="122" spans="1:14" ht="75" customHeight="1" thickTop="1" thickBot="1">
      <c r="A122" s="23">
        <v>120</v>
      </c>
      <c r="B122" s="32">
        <v>46125.437510312498</v>
      </c>
      <c r="C122" s="33" t="s">
        <v>97</v>
      </c>
      <c r="D122" s="33" t="s">
        <v>98</v>
      </c>
      <c r="E122" s="23" t="s">
        <v>99</v>
      </c>
      <c r="F122" s="23" t="s">
        <v>102</v>
      </c>
      <c r="G122" s="23" t="s">
        <v>103</v>
      </c>
      <c r="H122" s="23" t="s">
        <v>1052</v>
      </c>
      <c r="I122" s="23"/>
      <c r="J122" s="23" t="s">
        <v>16</v>
      </c>
      <c r="K122" s="23" t="s">
        <v>13</v>
      </c>
      <c r="L122" s="32">
        <v>46125.440792222224</v>
      </c>
      <c r="M122" s="23"/>
      <c r="N122" s="2" t="s">
        <v>77</v>
      </c>
    </row>
    <row r="123" spans="1:14" ht="75" customHeight="1" thickTop="1" thickBot="1">
      <c r="A123" s="25">
        <v>121</v>
      </c>
      <c r="B123" s="32">
        <v>46125.438269444399</v>
      </c>
      <c r="C123" s="33" t="s">
        <v>97</v>
      </c>
      <c r="D123" s="33" t="s">
        <v>98</v>
      </c>
      <c r="E123" s="23" t="s">
        <v>99</v>
      </c>
      <c r="F123" s="23" t="s">
        <v>102</v>
      </c>
      <c r="G123" s="23" t="s">
        <v>103</v>
      </c>
      <c r="H123" s="23" t="s">
        <v>1053</v>
      </c>
      <c r="I123" s="23"/>
      <c r="J123" s="23" t="s">
        <v>16</v>
      </c>
      <c r="K123" s="23" t="s">
        <v>13</v>
      </c>
      <c r="L123" s="32">
        <v>46125.440862233794</v>
      </c>
      <c r="M123" s="23"/>
      <c r="N123" s="2" t="s">
        <v>77</v>
      </c>
    </row>
    <row r="124" spans="1:14" ht="75" customHeight="1" thickTop="1" thickBot="1">
      <c r="A124" s="23">
        <v>122</v>
      </c>
      <c r="B124" s="32">
        <v>46125.450010763801</v>
      </c>
      <c r="C124" s="33" t="s">
        <v>97</v>
      </c>
      <c r="D124" s="33" t="s">
        <v>98</v>
      </c>
      <c r="E124" s="23" t="s">
        <v>99</v>
      </c>
      <c r="F124" s="23" t="s">
        <v>102</v>
      </c>
      <c r="G124" s="23" t="s">
        <v>103</v>
      </c>
      <c r="H124" s="23" t="s">
        <v>211</v>
      </c>
      <c r="I124" s="23"/>
      <c r="J124" s="23" t="s">
        <v>16</v>
      </c>
      <c r="K124" s="23" t="s">
        <v>13</v>
      </c>
      <c r="L124" s="32">
        <v>46125.453659305553</v>
      </c>
      <c r="M124" s="23"/>
      <c r="N124" s="2" t="s">
        <v>77</v>
      </c>
    </row>
    <row r="125" spans="1:14" ht="75" customHeight="1" thickTop="1" thickBot="1">
      <c r="A125" s="25">
        <v>123</v>
      </c>
      <c r="B125" s="32">
        <v>46125.450977187502</v>
      </c>
      <c r="C125" s="33" t="s">
        <v>97</v>
      </c>
      <c r="D125" s="33" t="s">
        <v>98</v>
      </c>
      <c r="E125" s="23" t="s">
        <v>99</v>
      </c>
      <c r="F125" s="23" t="s">
        <v>116</v>
      </c>
      <c r="G125" s="23" t="s">
        <v>106</v>
      </c>
      <c r="H125" s="23" t="s">
        <v>212</v>
      </c>
      <c r="I125" s="23"/>
      <c r="J125" s="23" t="s">
        <v>16</v>
      </c>
      <c r="K125" s="23" t="s">
        <v>13</v>
      </c>
      <c r="L125" s="32">
        <v>46125.453688576388</v>
      </c>
      <c r="M125" s="23"/>
      <c r="N125" s="2" t="s">
        <v>77</v>
      </c>
    </row>
    <row r="126" spans="1:14" ht="75" customHeight="1" thickTop="1" thickBot="1">
      <c r="A126" s="23">
        <v>124</v>
      </c>
      <c r="B126" s="32">
        <v>46125.4532856597</v>
      </c>
      <c r="C126" s="33" t="s">
        <v>97</v>
      </c>
      <c r="D126" s="33" t="s">
        <v>98</v>
      </c>
      <c r="E126" s="23" t="s">
        <v>99</v>
      </c>
      <c r="F126" s="23" t="s">
        <v>102</v>
      </c>
      <c r="G126" s="23" t="s">
        <v>108</v>
      </c>
      <c r="H126" s="23" t="s">
        <v>213</v>
      </c>
      <c r="I126" s="23"/>
      <c r="J126" s="23" t="s">
        <v>16</v>
      </c>
      <c r="K126" s="23" t="s">
        <v>13</v>
      </c>
      <c r="L126" s="32">
        <v>46125.453774212961</v>
      </c>
      <c r="M126" s="23"/>
      <c r="N126" s="2" t="s">
        <v>77</v>
      </c>
    </row>
    <row r="127" spans="1:14" ht="75" customHeight="1" thickTop="1" thickBot="1">
      <c r="A127" s="25">
        <v>125</v>
      </c>
      <c r="B127" s="32">
        <v>46125.488220844898</v>
      </c>
      <c r="C127" s="33" t="s">
        <v>97</v>
      </c>
      <c r="D127" s="33" t="s">
        <v>214</v>
      </c>
      <c r="E127" s="23" t="s">
        <v>122</v>
      </c>
      <c r="F127" s="23" t="s">
        <v>126</v>
      </c>
      <c r="G127" s="23" t="s">
        <v>106</v>
      </c>
      <c r="H127" s="23" t="s">
        <v>215</v>
      </c>
      <c r="I127" s="23"/>
      <c r="J127" s="23" t="s">
        <v>16</v>
      </c>
      <c r="K127" s="23" t="s">
        <v>13</v>
      </c>
      <c r="L127" s="32">
        <v>46125.534419456017</v>
      </c>
      <c r="M127" s="23"/>
      <c r="N127" s="2" t="s">
        <v>77</v>
      </c>
    </row>
    <row r="128" spans="1:14" ht="75" customHeight="1" thickTop="1" thickBot="1">
      <c r="A128" s="23">
        <v>126</v>
      </c>
      <c r="B128" s="32">
        <v>46125.588174097204</v>
      </c>
      <c r="C128" s="33" t="s">
        <v>97</v>
      </c>
      <c r="D128" s="33" t="s">
        <v>98</v>
      </c>
      <c r="E128" s="23" t="s">
        <v>99</v>
      </c>
      <c r="F128" s="23" t="s">
        <v>116</v>
      </c>
      <c r="G128" s="23" t="s">
        <v>106</v>
      </c>
      <c r="H128" s="23" t="s">
        <v>1122</v>
      </c>
      <c r="I128" s="23"/>
      <c r="J128" s="23" t="s">
        <v>14</v>
      </c>
      <c r="K128" s="23" t="s">
        <v>13</v>
      </c>
      <c r="L128" s="32">
        <v>46125.588366041666</v>
      </c>
      <c r="M128" s="23"/>
      <c r="N128" s="2" t="s">
        <v>77</v>
      </c>
    </row>
    <row r="129" spans="1:14" ht="75" customHeight="1" thickTop="1" thickBot="1">
      <c r="A129" s="25">
        <v>127</v>
      </c>
      <c r="B129" s="32">
        <v>46126.393543923601</v>
      </c>
      <c r="C129" s="33" t="s">
        <v>97</v>
      </c>
      <c r="D129" s="33" t="s">
        <v>121</v>
      </c>
      <c r="E129" s="23" t="s">
        <v>122</v>
      </c>
      <c r="F129" s="23" t="s">
        <v>116</v>
      </c>
      <c r="G129" s="23" t="s">
        <v>216</v>
      </c>
      <c r="H129" s="23" t="s">
        <v>217</v>
      </c>
      <c r="I129" s="23"/>
      <c r="J129" s="23" t="s">
        <v>16</v>
      </c>
      <c r="K129" s="23" t="s">
        <v>13</v>
      </c>
      <c r="L129" s="32">
        <v>46126.446841296296</v>
      </c>
      <c r="M129" s="23"/>
      <c r="N129" s="2" t="s">
        <v>77</v>
      </c>
    </row>
    <row r="130" spans="1:14" ht="75" customHeight="1" thickTop="1" thickBot="1">
      <c r="A130" s="23">
        <v>128</v>
      </c>
      <c r="B130" s="32">
        <v>46126.395315879599</v>
      </c>
      <c r="C130" s="33" t="s">
        <v>97</v>
      </c>
      <c r="D130" s="33" t="s">
        <v>121</v>
      </c>
      <c r="E130" s="23" t="s">
        <v>122</v>
      </c>
      <c r="F130" s="23" t="s">
        <v>126</v>
      </c>
      <c r="G130" s="23" t="s">
        <v>218</v>
      </c>
      <c r="H130" s="23" t="s">
        <v>219</v>
      </c>
      <c r="I130" s="23"/>
      <c r="J130" s="23" t="s">
        <v>16</v>
      </c>
      <c r="K130" s="23" t="s">
        <v>13</v>
      </c>
      <c r="L130" s="32">
        <v>46126.446979826389</v>
      </c>
      <c r="M130" s="23"/>
      <c r="N130" s="2" t="s">
        <v>77</v>
      </c>
    </row>
    <row r="131" spans="1:14" ht="75" customHeight="1" thickTop="1" thickBot="1">
      <c r="A131" s="25">
        <v>129</v>
      </c>
      <c r="B131" s="32">
        <v>46126.405881967497</v>
      </c>
      <c r="C131" s="33" t="s">
        <v>97</v>
      </c>
      <c r="D131" s="33" t="s">
        <v>121</v>
      </c>
      <c r="E131" s="23" t="s">
        <v>122</v>
      </c>
      <c r="F131" s="23" t="s">
        <v>116</v>
      </c>
      <c r="G131" s="23" t="s">
        <v>156</v>
      </c>
      <c r="H131" s="23" t="s">
        <v>220</v>
      </c>
      <c r="I131" s="23"/>
      <c r="J131" s="23" t="s">
        <v>16</v>
      </c>
      <c r="K131" s="23" t="s">
        <v>13</v>
      </c>
      <c r="L131" s="32">
        <v>46127.376290335647</v>
      </c>
      <c r="M131" s="23"/>
      <c r="N131" s="2" t="s">
        <v>77</v>
      </c>
    </row>
    <row r="132" spans="1:14" ht="75" customHeight="1" thickTop="1" thickBot="1">
      <c r="A132" s="23">
        <v>130</v>
      </c>
      <c r="B132" s="32">
        <v>46127.588794073999</v>
      </c>
      <c r="C132" s="33" t="s">
        <v>97</v>
      </c>
      <c r="D132" s="33" t="s">
        <v>98</v>
      </c>
      <c r="E132" s="23" t="s">
        <v>99</v>
      </c>
      <c r="F132" s="23" t="s">
        <v>116</v>
      </c>
      <c r="G132" s="23" t="s">
        <v>104</v>
      </c>
      <c r="H132" s="23" t="s">
        <v>1054</v>
      </c>
      <c r="I132" s="23"/>
      <c r="J132" s="23" t="s">
        <v>16</v>
      </c>
      <c r="K132" s="23" t="s">
        <v>13</v>
      </c>
      <c r="L132" s="32">
        <v>46127.599957928236</v>
      </c>
      <c r="M132" s="23"/>
      <c r="N132" s="2" t="s">
        <v>77</v>
      </c>
    </row>
    <row r="133" spans="1:14" ht="75" customHeight="1" thickTop="1" thickBot="1">
      <c r="A133" s="25">
        <v>131</v>
      </c>
      <c r="B133" s="32">
        <v>46127.606138148098</v>
      </c>
      <c r="C133" s="33" t="s">
        <v>97</v>
      </c>
      <c r="D133" s="33" t="s">
        <v>98</v>
      </c>
      <c r="E133" s="23" t="s">
        <v>99</v>
      </c>
      <c r="F133" s="23" t="s">
        <v>126</v>
      </c>
      <c r="G133" s="23" t="s">
        <v>152</v>
      </c>
      <c r="H133" s="23" t="s">
        <v>221</v>
      </c>
      <c r="I133" s="23"/>
      <c r="J133" s="23" t="s">
        <v>16</v>
      </c>
      <c r="K133" s="23" t="s">
        <v>13</v>
      </c>
      <c r="L133" s="32">
        <v>46127.637726516201</v>
      </c>
      <c r="M133" s="23"/>
      <c r="N133" s="2" t="s">
        <v>77</v>
      </c>
    </row>
    <row r="134" spans="1:14" ht="75" customHeight="1" thickTop="1" thickBot="1">
      <c r="A134" s="23">
        <v>132</v>
      </c>
      <c r="B134" s="32">
        <v>46127.607050381899</v>
      </c>
      <c r="C134" s="33" t="s">
        <v>97</v>
      </c>
      <c r="D134" s="33" t="s">
        <v>98</v>
      </c>
      <c r="E134" s="23" t="s">
        <v>99</v>
      </c>
      <c r="F134" s="23" t="s">
        <v>116</v>
      </c>
      <c r="G134" s="23" t="s">
        <v>106</v>
      </c>
      <c r="H134" s="23" t="s">
        <v>222</v>
      </c>
      <c r="I134" s="23"/>
      <c r="J134" s="23" t="s">
        <v>16</v>
      </c>
      <c r="K134" s="23" t="s">
        <v>13</v>
      </c>
      <c r="L134" s="32">
        <v>46127.637643668982</v>
      </c>
      <c r="M134" s="23"/>
      <c r="N134" s="2" t="s">
        <v>77</v>
      </c>
    </row>
    <row r="135" spans="1:14" ht="75" customHeight="1" thickTop="1" thickBot="1">
      <c r="A135" s="25">
        <v>133</v>
      </c>
      <c r="B135" s="32">
        <v>46127.607767986097</v>
      </c>
      <c r="C135" s="33" t="s">
        <v>97</v>
      </c>
      <c r="D135" s="33" t="s">
        <v>98</v>
      </c>
      <c r="E135" s="23" t="s">
        <v>99</v>
      </c>
      <c r="F135" s="23" t="s">
        <v>126</v>
      </c>
      <c r="G135" s="23" t="s">
        <v>106</v>
      </c>
      <c r="H135" s="23" t="s">
        <v>223</v>
      </c>
      <c r="I135" s="23"/>
      <c r="J135" s="23" t="s">
        <v>16</v>
      </c>
      <c r="K135" s="23" t="s">
        <v>13</v>
      </c>
      <c r="L135" s="32">
        <v>46127.637564456018</v>
      </c>
      <c r="M135" s="23"/>
      <c r="N135" s="2" t="s">
        <v>77</v>
      </c>
    </row>
    <row r="136" spans="1:14" ht="75" customHeight="1" thickTop="1" thickBot="1">
      <c r="A136" s="23">
        <v>134</v>
      </c>
      <c r="B136" s="32">
        <v>46127.608972453701</v>
      </c>
      <c r="C136" s="33" t="s">
        <v>97</v>
      </c>
      <c r="D136" s="33" t="s">
        <v>98</v>
      </c>
      <c r="E136" s="23" t="s">
        <v>99</v>
      </c>
      <c r="F136" s="23" t="s">
        <v>102</v>
      </c>
      <c r="G136" s="23" t="s">
        <v>224</v>
      </c>
      <c r="H136" s="23" t="s">
        <v>225</v>
      </c>
      <c r="I136" s="23"/>
      <c r="J136" s="23" t="s">
        <v>16</v>
      </c>
      <c r="K136" s="23" t="s">
        <v>13</v>
      </c>
      <c r="L136" s="32">
        <v>46127.637486400461</v>
      </c>
      <c r="M136" s="23"/>
      <c r="N136" s="2" t="s">
        <v>77</v>
      </c>
    </row>
    <row r="137" spans="1:14" ht="75" customHeight="1" thickTop="1" thickBot="1">
      <c r="A137" s="25">
        <v>135</v>
      </c>
      <c r="B137" s="32">
        <v>46127.609666886499</v>
      </c>
      <c r="C137" s="33" t="s">
        <v>97</v>
      </c>
      <c r="D137" s="33" t="s">
        <v>98</v>
      </c>
      <c r="E137" s="23" t="s">
        <v>99</v>
      </c>
      <c r="F137" s="23" t="s">
        <v>102</v>
      </c>
      <c r="G137" s="23" t="s">
        <v>152</v>
      </c>
      <c r="H137" s="23" t="s">
        <v>226</v>
      </c>
      <c r="I137" s="23"/>
      <c r="J137" s="23" t="s">
        <v>16</v>
      </c>
      <c r="K137" s="23" t="s">
        <v>13</v>
      </c>
      <c r="L137" s="32">
        <v>46127.637444120366</v>
      </c>
      <c r="M137" s="23"/>
      <c r="N137" s="2" t="s">
        <v>77</v>
      </c>
    </row>
    <row r="138" spans="1:14" ht="75" customHeight="1" thickTop="1" thickBot="1">
      <c r="A138" s="23">
        <v>136</v>
      </c>
      <c r="B138" s="32">
        <v>46127.610342488399</v>
      </c>
      <c r="C138" s="33" t="s">
        <v>97</v>
      </c>
      <c r="D138" s="33" t="s">
        <v>98</v>
      </c>
      <c r="E138" s="23" t="s">
        <v>99</v>
      </c>
      <c r="F138" s="23" t="s">
        <v>102</v>
      </c>
      <c r="G138" s="23" t="s">
        <v>224</v>
      </c>
      <c r="H138" s="23" t="s">
        <v>227</v>
      </c>
      <c r="I138" s="23"/>
      <c r="J138" s="23" t="s">
        <v>16</v>
      </c>
      <c r="K138" s="23" t="s">
        <v>13</v>
      </c>
      <c r="L138" s="32">
        <v>46127.637373935184</v>
      </c>
      <c r="M138" s="23"/>
      <c r="N138" s="2" t="s">
        <v>77</v>
      </c>
    </row>
    <row r="139" spans="1:14" ht="75" customHeight="1" thickTop="1" thickBot="1">
      <c r="A139" s="25">
        <v>137</v>
      </c>
      <c r="B139" s="32">
        <v>46127.610916296297</v>
      </c>
      <c r="C139" s="33" t="s">
        <v>97</v>
      </c>
      <c r="D139" s="33" t="s">
        <v>98</v>
      </c>
      <c r="E139" s="23" t="s">
        <v>99</v>
      </c>
      <c r="F139" s="23" t="s">
        <v>102</v>
      </c>
      <c r="G139" s="23" t="s">
        <v>224</v>
      </c>
      <c r="H139" s="23" t="s">
        <v>228</v>
      </c>
      <c r="I139" s="23"/>
      <c r="J139" s="23" t="s">
        <v>16</v>
      </c>
      <c r="K139" s="23" t="s">
        <v>13</v>
      </c>
      <c r="L139" s="32">
        <v>46127.637297534719</v>
      </c>
      <c r="M139" s="23"/>
      <c r="N139" s="2" t="s">
        <v>77</v>
      </c>
    </row>
    <row r="140" spans="1:14" ht="75" customHeight="1" thickTop="1" thickBot="1">
      <c r="A140" s="23">
        <v>138</v>
      </c>
      <c r="B140" s="32">
        <v>46127.611514837903</v>
      </c>
      <c r="C140" s="33" t="s">
        <v>97</v>
      </c>
      <c r="D140" s="33" t="s">
        <v>98</v>
      </c>
      <c r="E140" s="23" t="s">
        <v>99</v>
      </c>
      <c r="F140" s="23" t="s">
        <v>102</v>
      </c>
      <c r="G140" s="23" t="s">
        <v>152</v>
      </c>
      <c r="H140" s="23" t="s">
        <v>229</v>
      </c>
      <c r="I140" s="23"/>
      <c r="J140" s="23" t="s">
        <v>16</v>
      </c>
      <c r="K140" s="23" t="s">
        <v>13</v>
      </c>
      <c r="L140" s="32">
        <v>46127.637249976848</v>
      </c>
      <c r="M140" s="23"/>
      <c r="N140" s="2" t="s">
        <v>77</v>
      </c>
    </row>
    <row r="141" spans="1:14" ht="75" customHeight="1" thickTop="1" thickBot="1">
      <c r="A141" s="25">
        <v>139</v>
      </c>
      <c r="B141" s="32">
        <v>46127.612085104098</v>
      </c>
      <c r="C141" s="33" t="s">
        <v>97</v>
      </c>
      <c r="D141" s="33" t="s">
        <v>98</v>
      </c>
      <c r="E141" s="23" t="s">
        <v>99</v>
      </c>
      <c r="F141" s="23" t="s">
        <v>102</v>
      </c>
      <c r="G141" s="23" t="s">
        <v>230</v>
      </c>
      <c r="H141" s="23" t="s">
        <v>231</v>
      </c>
      <c r="I141" s="23"/>
      <c r="J141" s="23" t="s">
        <v>16</v>
      </c>
      <c r="K141" s="23" t="s">
        <v>13</v>
      </c>
      <c r="L141" s="32">
        <v>46127.63684486111</v>
      </c>
      <c r="M141" s="23"/>
      <c r="N141" s="2" t="s">
        <v>77</v>
      </c>
    </row>
    <row r="142" spans="1:14" ht="75" customHeight="1" thickTop="1" thickBot="1">
      <c r="A142" s="23">
        <v>140</v>
      </c>
      <c r="B142" s="32">
        <v>46127.612857465203</v>
      </c>
      <c r="C142" s="33" t="s">
        <v>97</v>
      </c>
      <c r="D142" s="33" t="s">
        <v>98</v>
      </c>
      <c r="E142" s="23" t="s">
        <v>99</v>
      </c>
      <c r="F142" s="23" t="s">
        <v>102</v>
      </c>
      <c r="G142" s="23" t="s">
        <v>106</v>
      </c>
      <c r="H142" s="23" t="s">
        <v>232</v>
      </c>
      <c r="I142" s="23"/>
      <c r="J142" s="23" t="s">
        <v>16</v>
      </c>
      <c r="K142" s="23" t="s">
        <v>13</v>
      </c>
      <c r="L142" s="32">
        <v>46127.636798321764</v>
      </c>
      <c r="M142" s="23"/>
      <c r="N142" s="2" t="s">
        <v>77</v>
      </c>
    </row>
    <row r="143" spans="1:14" ht="75" customHeight="1" thickTop="1" thickBot="1">
      <c r="A143" s="25">
        <v>141</v>
      </c>
      <c r="B143" s="32">
        <v>46127.6137910416</v>
      </c>
      <c r="C143" s="33" t="s">
        <v>97</v>
      </c>
      <c r="D143" s="33" t="s">
        <v>98</v>
      </c>
      <c r="E143" s="23" t="s">
        <v>99</v>
      </c>
      <c r="F143" s="23" t="s">
        <v>126</v>
      </c>
      <c r="G143" s="23" t="s">
        <v>156</v>
      </c>
      <c r="H143" s="23" t="s">
        <v>233</v>
      </c>
      <c r="I143" s="23"/>
      <c r="J143" s="23" t="s">
        <v>16</v>
      </c>
      <c r="K143" s="23" t="s">
        <v>13</v>
      </c>
      <c r="L143" s="32">
        <v>46127.636769618053</v>
      </c>
      <c r="M143" s="23"/>
      <c r="N143" s="2" t="s">
        <v>77</v>
      </c>
    </row>
    <row r="144" spans="1:14" ht="75" customHeight="1" thickTop="1" thickBot="1">
      <c r="A144" s="23">
        <v>142</v>
      </c>
      <c r="B144" s="32">
        <v>46127.614384617998</v>
      </c>
      <c r="C144" s="33" t="s">
        <v>97</v>
      </c>
      <c r="D144" s="33" t="s">
        <v>98</v>
      </c>
      <c r="E144" s="23" t="s">
        <v>99</v>
      </c>
      <c r="F144" s="23" t="s">
        <v>116</v>
      </c>
      <c r="G144" s="23" t="s">
        <v>106</v>
      </c>
      <c r="H144" s="23" t="s">
        <v>234</v>
      </c>
      <c r="I144" s="23"/>
      <c r="J144" s="23" t="s">
        <v>16</v>
      </c>
      <c r="K144" s="23" t="s">
        <v>13</v>
      </c>
      <c r="L144" s="32">
        <v>46127.636706215279</v>
      </c>
      <c r="M144" s="23"/>
      <c r="N144" s="2" t="s">
        <v>77</v>
      </c>
    </row>
    <row r="145" spans="1:14" ht="75" customHeight="1" thickTop="1" thickBot="1">
      <c r="A145" s="25">
        <v>143</v>
      </c>
      <c r="B145" s="32">
        <v>46127.615612268499</v>
      </c>
      <c r="C145" s="33" t="s">
        <v>97</v>
      </c>
      <c r="D145" s="33" t="s">
        <v>98</v>
      </c>
      <c r="E145" s="23" t="s">
        <v>99</v>
      </c>
      <c r="F145" s="23" t="s">
        <v>126</v>
      </c>
      <c r="G145" s="23" t="s">
        <v>106</v>
      </c>
      <c r="H145" s="23" t="s">
        <v>235</v>
      </c>
      <c r="I145" s="23"/>
      <c r="J145" s="23" t="s">
        <v>16</v>
      </c>
      <c r="K145" s="23" t="s">
        <v>13</v>
      </c>
      <c r="L145" s="32">
        <v>46127.636592893519</v>
      </c>
      <c r="M145" s="23"/>
      <c r="N145" s="2" t="s">
        <v>77</v>
      </c>
    </row>
    <row r="146" spans="1:14" ht="75" customHeight="1" thickTop="1" thickBot="1">
      <c r="A146" s="23">
        <v>144</v>
      </c>
      <c r="B146" s="32">
        <v>46127.616586782402</v>
      </c>
      <c r="C146" s="33" t="s">
        <v>97</v>
      </c>
      <c r="D146" s="33" t="s">
        <v>98</v>
      </c>
      <c r="E146" s="23" t="s">
        <v>99</v>
      </c>
      <c r="F146" s="23" t="s">
        <v>126</v>
      </c>
      <c r="G146" s="23" t="s">
        <v>106</v>
      </c>
      <c r="H146" s="23" t="s">
        <v>236</v>
      </c>
      <c r="I146" s="23"/>
      <c r="J146" s="23" t="s">
        <v>16</v>
      </c>
      <c r="K146" s="23" t="s">
        <v>13</v>
      </c>
      <c r="L146" s="32">
        <v>46127.636519513893</v>
      </c>
      <c r="M146" s="23"/>
      <c r="N146" s="2" t="s">
        <v>78</v>
      </c>
    </row>
    <row r="147" spans="1:14" ht="75" customHeight="1" thickTop="1" thickBot="1">
      <c r="A147" s="25">
        <v>145</v>
      </c>
      <c r="B147" s="32">
        <v>46127.617445856398</v>
      </c>
      <c r="C147" s="33" t="s">
        <v>97</v>
      </c>
      <c r="D147" s="33" t="s">
        <v>98</v>
      </c>
      <c r="E147" s="23" t="s">
        <v>99</v>
      </c>
      <c r="F147" s="23" t="s">
        <v>100</v>
      </c>
      <c r="G147" s="23" t="s">
        <v>104</v>
      </c>
      <c r="H147" s="23" t="s">
        <v>237</v>
      </c>
      <c r="I147" s="23"/>
      <c r="J147" s="23" t="s">
        <v>16</v>
      </c>
      <c r="K147" s="23" t="s">
        <v>13</v>
      </c>
      <c r="L147" s="32">
        <v>46127.6364612037</v>
      </c>
      <c r="M147" s="23"/>
      <c r="N147" s="2" t="s">
        <v>77</v>
      </c>
    </row>
    <row r="148" spans="1:14" ht="75" customHeight="1" thickTop="1" thickBot="1">
      <c r="A148" s="23">
        <v>146</v>
      </c>
      <c r="B148" s="32">
        <v>46127.618480520803</v>
      </c>
      <c r="C148" s="33" t="s">
        <v>97</v>
      </c>
      <c r="D148" s="33" t="s">
        <v>98</v>
      </c>
      <c r="E148" s="23" t="s">
        <v>99</v>
      </c>
      <c r="F148" s="23" t="s">
        <v>100</v>
      </c>
      <c r="G148" s="23" t="s">
        <v>168</v>
      </c>
      <c r="H148" s="23" t="s">
        <v>238</v>
      </c>
      <c r="I148" s="23"/>
      <c r="J148" s="23" t="s">
        <v>16</v>
      </c>
      <c r="K148" s="23" t="s">
        <v>13</v>
      </c>
      <c r="L148" s="32">
        <v>46127.636418888884</v>
      </c>
      <c r="M148" s="23"/>
      <c r="N148" s="2" t="s">
        <v>77</v>
      </c>
    </row>
    <row r="149" spans="1:14" ht="75" customHeight="1" thickTop="1" thickBot="1">
      <c r="A149" s="25">
        <v>147</v>
      </c>
      <c r="B149" s="32">
        <v>46127.619421932803</v>
      </c>
      <c r="C149" s="33" t="s">
        <v>97</v>
      </c>
      <c r="D149" s="33" t="s">
        <v>98</v>
      </c>
      <c r="E149" s="23" t="s">
        <v>99</v>
      </c>
      <c r="F149" s="23" t="s">
        <v>100</v>
      </c>
      <c r="G149" s="23" t="s">
        <v>103</v>
      </c>
      <c r="H149" s="23" t="s">
        <v>1055</v>
      </c>
      <c r="I149" s="23"/>
      <c r="J149" s="23" t="s">
        <v>16</v>
      </c>
      <c r="K149" s="23" t="s">
        <v>13</v>
      </c>
      <c r="L149" s="32">
        <v>46127.636319305559</v>
      </c>
      <c r="M149" s="23"/>
      <c r="N149" s="2" t="s">
        <v>77</v>
      </c>
    </row>
    <row r="150" spans="1:14" ht="75" customHeight="1" thickTop="1" thickBot="1">
      <c r="A150" s="23">
        <v>148</v>
      </c>
      <c r="B150" s="32">
        <v>46127.621023333297</v>
      </c>
      <c r="C150" s="33" t="s">
        <v>97</v>
      </c>
      <c r="D150" s="33" t="s">
        <v>98</v>
      </c>
      <c r="E150" s="23" t="s">
        <v>99</v>
      </c>
      <c r="F150" s="23" t="s">
        <v>100</v>
      </c>
      <c r="G150" s="23" t="s">
        <v>108</v>
      </c>
      <c r="H150" s="23" t="s">
        <v>1056</v>
      </c>
      <c r="I150" s="23"/>
      <c r="J150" s="23" t="s">
        <v>16</v>
      </c>
      <c r="K150" s="23" t="s">
        <v>13</v>
      </c>
      <c r="L150" s="32">
        <v>46127.636269641203</v>
      </c>
      <c r="M150" s="23"/>
      <c r="N150" s="2" t="s">
        <v>77</v>
      </c>
    </row>
    <row r="151" spans="1:14" ht="75" customHeight="1" thickTop="1" thickBot="1">
      <c r="A151" s="25">
        <v>149</v>
      </c>
      <c r="B151" s="32">
        <v>46127.6216164004</v>
      </c>
      <c r="C151" s="33" t="s">
        <v>97</v>
      </c>
      <c r="D151" s="33" t="s">
        <v>98</v>
      </c>
      <c r="E151" s="23" t="s">
        <v>99</v>
      </c>
      <c r="F151" s="23" t="s">
        <v>100</v>
      </c>
      <c r="G151" s="23" t="s">
        <v>108</v>
      </c>
      <c r="H151" s="23" t="s">
        <v>1057</v>
      </c>
      <c r="I151" s="23"/>
      <c r="J151" s="23" t="s">
        <v>16</v>
      </c>
      <c r="K151" s="23" t="s">
        <v>13</v>
      </c>
      <c r="L151" s="32">
        <v>46127.63622158565</v>
      </c>
      <c r="M151" s="23"/>
      <c r="N151" s="2" t="s">
        <v>77</v>
      </c>
    </row>
    <row r="152" spans="1:14" ht="75" customHeight="1" thickTop="1" thickBot="1">
      <c r="A152" s="23">
        <v>150</v>
      </c>
      <c r="B152" s="32">
        <v>46127.622331064798</v>
      </c>
      <c r="C152" s="33" t="s">
        <v>97</v>
      </c>
      <c r="D152" s="33" t="s">
        <v>98</v>
      </c>
      <c r="E152" s="23" t="s">
        <v>99</v>
      </c>
      <c r="F152" s="23" t="s">
        <v>100</v>
      </c>
      <c r="G152" s="23" t="s">
        <v>105</v>
      </c>
      <c r="H152" s="23" t="s">
        <v>1058</v>
      </c>
      <c r="I152" s="23"/>
      <c r="J152" s="23" t="s">
        <v>16</v>
      </c>
      <c r="K152" s="23" t="s">
        <v>13</v>
      </c>
      <c r="L152" s="32">
        <v>46127.636123263888</v>
      </c>
      <c r="M152" s="23"/>
      <c r="N152" s="2" t="s">
        <v>77</v>
      </c>
    </row>
    <row r="153" spans="1:14" ht="75" customHeight="1" thickTop="1" thickBot="1">
      <c r="A153" s="25">
        <v>151</v>
      </c>
      <c r="B153" s="32">
        <v>46127.622964456001</v>
      </c>
      <c r="C153" s="33" t="s">
        <v>97</v>
      </c>
      <c r="D153" s="33" t="s">
        <v>98</v>
      </c>
      <c r="E153" s="23" t="s">
        <v>99</v>
      </c>
      <c r="F153" s="23" t="s">
        <v>100</v>
      </c>
      <c r="G153" s="23" t="s">
        <v>104</v>
      </c>
      <c r="H153" s="23" t="s">
        <v>1059</v>
      </c>
      <c r="I153" s="23"/>
      <c r="J153" s="23" t="s">
        <v>16</v>
      </c>
      <c r="K153" s="23" t="s">
        <v>13</v>
      </c>
      <c r="L153" s="32">
        <v>46127.636058888893</v>
      </c>
      <c r="M153" s="23"/>
      <c r="N153" s="2" t="s">
        <v>77</v>
      </c>
    </row>
    <row r="154" spans="1:14" ht="75" customHeight="1" thickTop="1" thickBot="1">
      <c r="A154" s="23">
        <v>152</v>
      </c>
      <c r="B154" s="32">
        <v>46127.623575810103</v>
      </c>
      <c r="C154" s="33" t="s">
        <v>97</v>
      </c>
      <c r="D154" s="33" t="s">
        <v>98</v>
      </c>
      <c r="E154" s="23" t="s">
        <v>99</v>
      </c>
      <c r="F154" s="23" t="s">
        <v>100</v>
      </c>
      <c r="G154" s="23" t="s">
        <v>104</v>
      </c>
      <c r="H154" s="23" t="s">
        <v>1060</v>
      </c>
      <c r="I154" s="23"/>
      <c r="J154" s="23" t="s">
        <v>16</v>
      </c>
      <c r="K154" s="23" t="s">
        <v>13</v>
      </c>
      <c r="L154" s="32">
        <v>46127.636012812502</v>
      </c>
      <c r="M154" s="23"/>
      <c r="N154" s="2"/>
    </row>
    <row r="155" spans="1:14" ht="75" customHeight="1" thickTop="1" thickBot="1">
      <c r="A155" s="25">
        <v>153</v>
      </c>
      <c r="B155" s="32">
        <v>46127.624128796197</v>
      </c>
      <c r="C155" s="33" t="s">
        <v>97</v>
      </c>
      <c r="D155" s="33" t="s">
        <v>98</v>
      </c>
      <c r="E155" s="23" t="s">
        <v>99</v>
      </c>
      <c r="F155" s="23" t="s">
        <v>100</v>
      </c>
      <c r="G155" s="23" t="s">
        <v>106</v>
      </c>
      <c r="H155" s="23" t="s">
        <v>1061</v>
      </c>
      <c r="I155" s="23"/>
      <c r="J155" s="23" t="s">
        <v>16</v>
      </c>
      <c r="K155" s="23" t="s">
        <v>13</v>
      </c>
      <c r="L155" s="32">
        <v>46127.635954224534</v>
      </c>
      <c r="M155" s="23"/>
      <c r="N155" s="2"/>
    </row>
    <row r="156" spans="1:14" ht="75" customHeight="1" thickTop="1" thickBot="1">
      <c r="A156" s="23">
        <v>154</v>
      </c>
      <c r="B156" s="32">
        <v>46127.624694930499</v>
      </c>
      <c r="C156" s="33" t="s">
        <v>97</v>
      </c>
      <c r="D156" s="33" t="s">
        <v>98</v>
      </c>
      <c r="E156" s="23" t="s">
        <v>99</v>
      </c>
      <c r="F156" s="23" t="s">
        <v>126</v>
      </c>
      <c r="G156" s="23" t="s">
        <v>224</v>
      </c>
      <c r="H156" s="23" t="s">
        <v>239</v>
      </c>
      <c r="I156" s="23"/>
      <c r="J156" s="23" t="s">
        <v>16</v>
      </c>
      <c r="K156" s="23" t="s">
        <v>13</v>
      </c>
      <c r="L156" s="32">
        <v>46127.635860555558</v>
      </c>
      <c r="M156" s="23"/>
      <c r="N156" s="2"/>
    </row>
    <row r="157" spans="1:14" ht="75" customHeight="1" thickTop="1" thickBot="1">
      <c r="A157" s="25">
        <v>155</v>
      </c>
      <c r="B157" s="32">
        <v>46127.625680520803</v>
      </c>
      <c r="C157" s="33" t="s">
        <v>97</v>
      </c>
      <c r="D157" s="33" t="s">
        <v>98</v>
      </c>
      <c r="E157" s="23" t="s">
        <v>99</v>
      </c>
      <c r="F157" s="23" t="s">
        <v>126</v>
      </c>
      <c r="G157" s="23" t="s">
        <v>105</v>
      </c>
      <c r="H157" s="23" t="s">
        <v>240</v>
      </c>
      <c r="I157" s="23"/>
      <c r="J157" s="23" t="s">
        <v>16</v>
      </c>
      <c r="K157" s="23" t="s">
        <v>13</v>
      </c>
      <c r="L157" s="32">
        <v>46127.635794108792</v>
      </c>
      <c r="M157" s="23"/>
      <c r="N157" s="2"/>
    </row>
    <row r="158" spans="1:14" ht="75" customHeight="1" thickTop="1" thickBot="1">
      <c r="A158" s="23">
        <v>156</v>
      </c>
      <c r="B158" s="32">
        <v>46127.6302456134</v>
      </c>
      <c r="C158" s="33" t="s">
        <v>97</v>
      </c>
      <c r="D158" s="33" t="s">
        <v>98</v>
      </c>
      <c r="E158" s="23" t="s">
        <v>99</v>
      </c>
      <c r="F158" s="23" t="s">
        <v>126</v>
      </c>
      <c r="G158" s="23" t="s">
        <v>168</v>
      </c>
      <c r="H158" s="23" t="s">
        <v>241</v>
      </c>
      <c r="I158" s="23"/>
      <c r="J158" s="23" t="s">
        <v>16</v>
      </c>
      <c r="K158" s="23" t="s">
        <v>13</v>
      </c>
      <c r="L158" s="32">
        <v>46127.635744502317</v>
      </c>
      <c r="M158" s="23"/>
      <c r="N158" s="2"/>
    </row>
    <row r="159" spans="1:14" ht="75" customHeight="1" thickTop="1" thickBot="1">
      <c r="A159" s="25">
        <v>157</v>
      </c>
      <c r="B159" s="32">
        <v>46127.630805358698</v>
      </c>
      <c r="C159" s="33" t="s">
        <v>97</v>
      </c>
      <c r="D159" s="33" t="s">
        <v>98</v>
      </c>
      <c r="E159" s="23" t="s">
        <v>99</v>
      </c>
      <c r="F159" s="23" t="s">
        <v>126</v>
      </c>
      <c r="G159" s="23" t="s">
        <v>105</v>
      </c>
      <c r="H159" s="23" t="s">
        <v>242</v>
      </c>
      <c r="I159" s="23"/>
      <c r="J159" s="23" t="s">
        <v>16</v>
      </c>
      <c r="K159" s="23" t="s">
        <v>13</v>
      </c>
      <c r="L159" s="32">
        <v>46127.635720914353</v>
      </c>
      <c r="M159" s="23"/>
      <c r="N159" s="2"/>
    </row>
    <row r="160" spans="1:14" ht="75" customHeight="1" thickTop="1" thickBot="1">
      <c r="A160" s="23">
        <v>158</v>
      </c>
      <c r="B160" s="32">
        <v>46127.631372395801</v>
      </c>
      <c r="C160" s="33" t="s">
        <v>97</v>
      </c>
      <c r="D160" s="33" t="s">
        <v>98</v>
      </c>
      <c r="E160" s="23" t="s">
        <v>99</v>
      </c>
      <c r="F160" s="23" t="s">
        <v>126</v>
      </c>
      <c r="G160" s="23" t="s">
        <v>152</v>
      </c>
      <c r="H160" s="23" t="s">
        <v>243</v>
      </c>
      <c r="I160" s="23"/>
      <c r="J160" s="23" t="s">
        <v>16</v>
      </c>
      <c r="K160" s="23" t="s">
        <v>13</v>
      </c>
      <c r="L160" s="32">
        <v>46127.635630185185</v>
      </c>
      <c r="M160" s="23"/>
      <c r="N160" s="2"/>
    </row>
    <row r="161" spans="1:14" ht="75" customHeight="1" thickTop="1" thickBot="1">
      <c r="A161" s="25">
        <v>159</v>
      </c>
      <c r="B161" s="32">
        <v>46127.632602349498</v>
      </c>
      <c r="C161" s="33" t="s">
        <v>97</v>
      </c>
      <c r="D161" s="33" t="s">
        <v>98</v>
      </c>
      <c r="E161" s="23" t="s">
        <v>99</v>
      </c>
      <c r="F161" s="23" t="s">
        <v>102</v>
      </c>
      <c r="G161" s="23" t="s">
        <v>108</v>
      </c>
      <c r="H161" s="23" t="s">
        <v>244</v>
      </c>
      <c r="I161" s="23"/>
      <c r="J161" s="23" t="s">
        <v>16</v>
      </c>
      <c r="K161" s="23" t="s">
        <v>13</v>
      </c>
      <c r="L161" s="32">
        <v>46127.635571018516</v>
      </c>
      <c r="M161" s="23"/>
      <c r="N161" s="2"/>
    </row>
    <row r="162" spans="1:14" ht="75" customHeight="1" thickTop="1" thickBot="1">
      <c r="A162" s="23">
        <v>160</v>
      </c>
      <c r="B162" s="32">
        <v>46127.633081388798</v>
      </c>
      <c r="C162" s="33" t="s">
        <v>97</v>
      </c>
      <c r="D162" s="33" t="s">
        <v>98</v>
      </c>
      <c r="E162" s="23" t="s">
        <v>99</v>
      </c>
      <c r="F162" s="23" t="s">
        <v>102</v>
      </c>
      <c r="G162" s="23" t="s">
        <v>104</v>
      </c>
      <c r="H162" s="23" t="s">
        <v>245</v>
      </c>
      <c r="I162" s="23"/>
      <c r="J162" s="23" t="s">
        <v>16</v>
      </c>
      <c r="K162" s="23" t="s">
        <v>13</v>
      </c>
      <c r="L162" s="32">
        <v>46127.635513854169</v>
      </c>
      <c r="M162" s="23"/>
      <c r="N162" s="2"/>
    </row>
    <row r="163" spans="1:14" ht="75" customHeight="1" thickTop="1" thickBot="1">
      <c r="A163" s="25">
        <v>161</v>
      </c>
      <c r="B163" s="32">
        <v>46127.633918368003</v>
      </c>
      <c r="C163" s="33" t="s">
        <v>97</v>
      </c>
      <c r="D163" s="33" t="s">
        <v>98</v>
      </c>
      <c r="E163" s="23" t="s">
        <v>99</v>
      </c>
      <c r="F163" s="23" t="s">
        <v>102</v>
      </c>
      <c r="G163" s="23" t="s">
        <v>104</v>
      </c>
      <c r="H163" s="23" t="s">
        <v>246</v>
      </c>
      <c r="I163" s="23"/>
      <c r="J163" s="23" t="s">
        <v>16</v>
      </c>
      <c r="K163" s="23" t="s">
        <v>13</v>
      </c>
      <c r="L163" s="32">
        <v>46127.635433553238</v>
      </c>
      <c r="M163" s="23"/>
      <c r="N163" s="2"/>
    </row>
    <row r="164" spans="1:14" ht="75" customHeight="1" thickTop="1" thickBot="1">
      <c r="A164" s="23">
        <v>162</v>
      </c>
      <c r="B164" s="32">
        <v>46127.634653229099</v>
      </c>
      <c r="C164" s="33" t="s">
        <v>97</v>
      </c>
      <c r="D164" s="33" t="s">
        <v>98</v>
      </c>
      <c r="E164" s="23" t="s">
        <v>99</v>
      </c>
      <c r="F164" s="23" t="s">
        <v>102</v>
      </c>
      <c r="G164" s="23" t="s">
        <v>103</v>
      </c>
      <c r="H164" s="23" t="s">
        <v>247</v>
      </c>
      <c r="I164" s="23"/>
      <c r="J164" s="23" t="s">
        <v>16</v>
      </c>
      <c r="K164" s="23" t="s">
        <v>13</v>
      </c>
      <c r="L164" s="32">
        <v>46127.635372002318</v>
      </c>
      <c r="M164" s="23"/>
      <c r="N164" s="2"/>
    </row>
    <row r="165" spans="1:14" ht="75" customHeight="1" thickTop="1" thickBot="1">
      <c r="A165" s="25">
        <v>163</v>
      </c>
      <c r="B165" s="32">
        <v>46127.635145277702</v>
      </c>
      <c r="C165" s="33" t="s">
        <v>97</v>
      </c>
      <c r="D165" s="31" t="s">
        <v>98</v>
      </c>
      <c r="E165" s="23" t="s">
        <v>99</v>
      </c>
      <c r="F165" s="23" t="s">
        <v>102</v>
      </c>
      <c r="G165" s="23" t="s">
        <v>168</v>
      </c>
      <c r="H165" s="23" t="s">
        <v>248</v>
      </c>
      <c r="I165" s="23"/>
      <c r="J165" s="23" t="s">
        <v>16</v>
      </c>
      <c r="K165" s="23" t="s">
        <v>13</v>
      </c>
      <c r="L165" s="32">
        <v>46127.635306516204</v>
      </c>
      <c r="M165" s="23"/>
      <c r="N165" s="2"/>
    </row>
    <row r="166" spans="1:14" ht="75" customHeight="1" thickTop="1" thickBot="1">
      <c r="A166" s="23">
        <v>164</v>
      </c>
      <c r="B166" s="32">
        <v>46131.419558831003</v>
      </c>
      <c r="C166" s="33" t="s">
        <v>97</v>
      </c>
      <c r="D166" s="33" t="s">
        <v>121</v>
      </c>
      <c r="E166" s="23" t="s">
        <v>122</v>
      </c>
      <c r="F166" s="23" t="s">
        <v>100</v>
      </c>
      <c r="G166" s="23" t="s">
        <v>249</v>
      </c>
      <c r="H166" s="23" t="s">
        <v>250</v>
      </c>
      <c r="I166" s="23"/>
      <c r="J166" s="23" t="s">
        <v>14</v>
      </c>
      <c r="K166" s="23" t="s">
        <v>13</v>
      </c>
      <c r="L166" s="32">
        <v>46132.585284120374</v>
      </c>
      <c r="M166" s="23" t="s">
        <v>96</v>
      </c>
      <c r="N166" s="2"/>
    </row>
    <row r="167" spans="1:14" ht="75" customHeight="1" thickTop="1" thickBot="1">
      <c r="A167" s="25">
        <v>165</v>
      </c>
      <c r="B167" s="32">
        <v>46134.480489803202</v>
      </c>
      <c r="C167" s="33" t="s">
        <v>97</v>
      </c>
      <c r="D167" s="33" t="s">
        <v>214</v>
      </c>
      <c r="E167" s="23" t="s">
        <v>122</v>
      </c>
      <c r="F167" s="23" t="s">
        <v>116</v>
      </c>
      <c r="G167" s="23" t="s">
        <v>152</v>
      </c>
      <c r="H167" s="23" t="s">
        <v>251</v>
      </c>
      <c r="I167" s="23"/>
      <c r="J167" s="23" t="s">
        <v>16</v>
      </c>
      <c r="K167" s="23" t="s">
        <v>13</v>
      </c>
      <c r="L167" s="32">
        <v>46134.548786678242</v>
      </c>
      <c r="M167" s="23"/>
      <c r="N167" s="2"/>
    </row>
    <row r="168" spans="1:14" ht="75" customHeight="1" thickTop="1" thickBot="1">
      <c r="A168" s="23">
        <v>166</v>
      </c>
      <c r="B168" s="32">
        <v>46158.459983425899</v>
      </c>
      <c r="C168" s="33" t="s">
        <v>97</v>
      </c>
      <c r="D168" s="33" t="s">
        <v>121</v>
      </c>
      <c r="E168" s="23" t="s">
        <v>122</v>
      </c>
      <c r="F168" s="23" t="s">
        <v>252</v>
      </c>
      <c r="G168" s="23" t="s">
        <v>101</v>
      </c>
      <c r="H168" s="23" t="s">
        <v>985</v>
      </c>
      <c r="I168" s="23"/>
      <c r="J168" s="23" t="s">
        <v>12</v>
      </c>
      <c r="K168" s="23" t="s">
        <v>13</v>
      </c>
      <c r="L168" s="32">
        <v>46204.443450185187</v>
      </c>
      <c r="M168" s="23"/>
      <c r="N168" s="2"/>
    </row>
    <row r="169" spans="1:14" ht="75" customHeight="1" thickTop="1" thickBot="1">
      <c r="A169" s="25">
        <v>167</v>
      </c>
      <c r="B169" s="32">
        <v>46158.489611898098</v>
      </c>
      <c r="C169" s="33" t="s">
        <v>97</v>
      </c>
      <c r="D169" s="33" t="s">
        <v>121</v>
      </c>
      <c r="E169" s="23" t="s">
        <v>122</v>
      </c>
      <c r="F169" s="23" t="s">
        <v>126</v>
      </c>
      <c r="G169" s="23" t="s">
        <v>253</v>
      </c>
      <c r="H169" s="23" t="s">
        <v>254</v>
      </c>
      <c r="I169" s="23"/>
      <c r="J169" s="23" t="s">
        <v>16</v>
      </c>
      <c r="K169" s="23" t="s">
        <v>13</v>
      </c>
      <c r="L169" s="32">
        <v>46158.561694641205</v>
      </c>
      <c r="M169" s="23"/>
      <c r="N169" s="2"/>
    </row>
    <row r="170" spans="1:14" ht="75" customHeight="1" thickTop="1" thickBot="1">
      <c r="A170" s="23">
        <v>168</v>
      </c>
      <c r="B170" s="32">
        <v>46193.335081493002</v>
      </c>
      <c r="C170" s="33" t="s">
        <v>97</v>
      </c>
      <c r="D170" s="33" t="s">
        <v>121</v>
      </c>
      <c r="E170" s="23" t="s">
        <v>122</v>
      </c>
      <c r="F170" s="23" t="s">
        <v>116</v>
      </c>
      <c r="G170" s="23" t="s">
        <v>103</v>
      </c>
      <c r="H170" s="23" t="s">
        <v>255</v>
      </c>
      <c r="I170" s="23"/>
      <c r="J170" s="23" t="s">
        <v>16</v>
      </c>
      <c r="K170" s="23" t="s">
        <v>13</v>
      </c>
      <c r="L170" s="32">
        <v>46193.497730474541</v>
      </c>
      <c r="M170" s="23"/>
      <c r="N170" s="2"/>
    </row>
    <row r="171" spans="1:14" ht="75" customHeight="1" thickTop="1" thickBot="1">
      <c r="A171" s="25">
        <v>169</v>
      </c>
      <c r="B171" s="32">
        <v>46193.336474363401</v>
      </c>
      <c r="C171" s="33" t="s">
        <v>97</v>
      </c>
      <c r="D171" s="33" t="s">
        <v>121</v>
      </c>
      <c r="E171" s="23" t="s">
        <v>122</v>
      </c>
      <c r="F171" s="23" t="s">
        <v>126</v>
      </c>
      <c r="G171" s="23" t="s">
        <v>106</v>
      </c>
      <c r="H171" s="23" t="s">
        <v>256</v>
      </c>
      <c r="I171" s="23"/>
      <c r="J171" s="23" t="s">
        <v>16</v>
      </c>
      <c r="K171" s="23" t="s">
        <v>13</v>
      </c>
      <c r="L171" s="32">
        <v>46193.497756192126</v>
      </c>
      <c r="M171" s="23"/>
      <c r="N171" s="2"/>
    </row>
    <row r="172" spans="1:14" ht="75" customHeight="1" thickTop="1" thickBot="1">
      <c r="A172" s="23">
        <v>170</v>
      </c>
      <c r="B172" s="32">
        <v>46193.338282291603</v>
      </c>
      <c r="C172" s="33" t="s">
        <v>97</v>
      </c>
      <c r="D172" s="33" t="s">
        <v>121</v>
      </c>
      <c r="E172" s="23" t="s">
        <v>122</v>
      </c>
      <c r="F172" s="23" t="s">
        <v>116</v>
      </c>
      <c r="G172" s="23" t="s">
        <v>103</v>
      </c>
      <c r="H172" s="23" t="s">
        <v>257</v>
      </c>
      <c r="I172" s="23"/>
      <c r="J172" s="23" t="s">
        <v>16</v>
      </c>
      <c r="K172" s="23" t="s">
        <v>13</v>
      </c>
      <c r="L172" s="32">
        <v>46193.497774409727</v>
      </c>
      <c r="M172" s="23"/>
      <c r="N172" s="2"/>
    </row>
    <row r="173" spans="1:14" ht="75" customHeight="1" thickTop="1" thickBot="1">
      <c r="A173" s="25">
        <v>171</v>
      </c>
      <c r="B173" s="32">
        <v>46204.414529155001</v>
      </c>
      <c r="C173" s="33" t="s">
        <v>97</v>
      </c>
      <c r="D173" s="33" t="s">
        <v>272</v>
      </c>
      <c r="E173" s="23" t="s">
        <v>99</v>
      </c>
      <c r="F173" s="23" t="s">
        <v>116</v>
      </c>
      <c r="G173" s="23" t="s">
        <v>110</v>
      </c>
      <c r="H173" s="23" t="s">
        <v>258</v>
      </c>
      <c r="I173" s="23"/>
      <c r="J173" s="23" t="s">
        <v>14</v>
      </c>
      <c r="K173" s="23" t="s">
        <v>13</v>
      </c>
      <c r="L173" s="32">
        <v>46204.442327951387</v>
      </c>
      <c r="M173" s="23"/>
      <c r="N173" s="2"/>
    </row>
    <row r="174" spans="1:14" ht="75" customHeight="1" thickTop="1" thickBot="1">
      <c r="A174" s="23">
        <v>172</v>
      </c>
      <c r="B174" s="32">
        <v>46204.415464548598</v>
      </c>
      <c r="C174" s="33" t="s">
        <v>97</v>
      </c>
      <c r="D174" s="33" t="s">
        <v>272</v>
      </c>
      <c r="E174" s="23" t="s">
        <v>99</v>
      </c>
      <c r="F174" s="23" t="s">
        <v>259</v>
      </c>
      <c r="G174" s="23" t="s">
        <v>260</v>
      </c>
      <c r="H174" s="23" t="s">
        <v>261</v>
      </c>
      <c r="I174" s="23"/>
      <c r="J174" s="23" t="s">
        <v>14</v>
      </c>
      <c r="K174" s="23" t="s">
        <v>13</v>
      </c>
      <c r="L174" s="32">
        <v>46204.442490972222</v>
      </c>
      <c r="M174" s="23"/>
      <c r="N174" s="2"/>
    </row>
    <row r="175" spans="1:14" ht="75" customHeight="1" thickTop="1" thickBot="1">
      <c r="A175" s="25">
        <v>173</v>
      </c>
      <c r="B175" s="32">
        <v>46204.416447905001</v>
      </c>
      <c r="C175" s="33" t="s">
        <v>97</v>
      </c>
      <c r="D175" s="33" t="s">
        <v>272</v>
      </c>
      <c r="E175" s="23" t="s">
        <v>122</v>
      </c>
      <c r="F175" s="23" t="s">
        <v>262</v>
      </c>
      <c r="G175" s="23" t="s">
        <v>262</v>
      </c>
      <c r="H175" s="23" t="s">
        <v>263</v>
      </c>
      <c r="I175" s="23"/>
      <c r="J175" s="23" t="s">
        <v>14</v>
      </c>
      <c r="K175" s="23" t="s">
        <v>13</v>
      </c>
      <c r="L175" s="32">
        <v>46204.44262642361</v>
      </c>
      <c r="M175" s="23"/>
      <c r="N175" s="2"/>
    </row>
    <row r="176" spans="1:14" ht="75" customHeight="1" thickTop="1" thickBot="1">
      <c r="A176" s="23">
        <v>174</v>
      </c>
      <c r="B176" s="32">
        <v>46204.417072129603</v>
      </c>
      <c r="C176" s="33" t="s">
        <v>97</v>
      </c>
      <c r="D176" s="33" t="s">
        <v>272</v>
      </c>
      <c r="E176" s="23" t="s">
        <v>99</v>
      </c>
      <c r="F176" s="23" t="s">
        <v>101</v>
      </c>
      <c r="G176" s="23" t="s">
        <v>101</v>
      </c>
      <c r="H176" s="23" t="s">
        <v>264</v>
      </c>
      <c r="I176" s="23"/>
      <c r="J176" s="23" t="s">
        <v>14</v>
      </c>
      <c r="K176" s="23" t="s">
        <v>13</v>
      </c>
      <c r="L176" s="32">
        <v>46204.442731921299</v>
      </c>
      <c r="M176" s="23"/>
      <c r="N176" s="2"/>
    </row>
    <row r="177" spans="1:14" ht="75" customHeight="1" thickTop="1" thickBot="1">
      <c r="A177" s="25">
        <v>175</v>
      </c>
      <c r="B177" s="32">
        <v>46204.418077789298</v>
      </c>
      <c r="C177" s="33" t="s">
        <v>97</v>
      </c>
      <c r="D177" s="33" t="s">
        <v>272</v>
      </c>
      <c r="E177" s="23" t="s">
        <v>99</v>
      </c>
      <c r="F177" s="23" t="s">
        <v>259</v>
      </c>
      <c r="G177" s="23" t="s">
        <v>265</v>
      </c>
      <c r="H177" s="23" t="s">
        <v>266</v>
      </c>
      <c r="I177" s="23"/>
      <c r="J177" s="23" t="s">
        <v>14</v>
      </c>
      <c r="K177" s="23" t="s">
        <v>13</v>
      </c>
      <c r="L177" s="32">
        <v>46204.442905185184</v>
      </c>
      <c r="M177" s="23"/>
      <c r="N177" s="2"/>
    </row>
    <row r="178" spans="1:14" ht="75" customHeight="1" thickTop="1" thickBot="1">
      <c r="A178" s="23">
        <v>176</v>
      </c>
      <c r="B178" s="32">
        <v>46204.418550150403</v>
      </c>
      <c r="C178" s="33" t="s">
        <v>97</v>
      </c>
      <c r="D178" s="33" t="s">
        <v>272</v>
      </c>
      <c r="E178" s="23" t="s">
        <v>99</v>
      </c>
      <c r="F178" s="23" t="s">
        <v>116</v>
      </c>
      <c r="G178" s="23" t="s">
        <v>152</v>
      </c>
      <c r="H178" s="23" t="s">
        <v>267</v>
      </c>
      <c r="I178" s="23"/>
      <c r="J178" s="23" t="s">
        <v>14</v>
      </c>
      <c r="K178" s="23" t="s">
        <v>13</v>
      </c>
      <c r="L178" s="32">
        <v>46204.442989641204</v>
      </c>
      <c r="M178" s="23"/>
      <c r="N178" s="2"/>
    </row>
    <row r="179" spans="1:14" ht="75" customHeight="1" thickTop="1" thickBot="1">
      <c r="A179" s="25">
        <v>177</v>
      </c>
      <c r="B179" s="32">
        <v>46204.419249756902</v>
      </c>
      <c r="C179" s="33" t="s">
        <v>97</v>
      </c>
      <c r="D179" s="33" t="s">
        <v>272</v>
      </c>
      <c r="E179" s="23" t="s">
        <v>99</v>
      </c>
      <c r="F179" s="23" t="s">
        <v>102</v>
      </c>
      <c r="G179" s="23" t="s">
        <v>110</v>
      </c>
      <c r="H179" s="23" t="s">
        <v>268</v>
      </c>
      <c r="I179" s="23"/>
      <c r="J179" s="23" t="s">
        <v>14</v>
      </c>
      <c r="K179" s="23" t="s">
        <v>13</v>
      </c>
      <c r="L179" s="32">
        <v>46204.443101041667</v>
      </c>
      <c r="M179" s="23"/>
      <c r="N179" s="2" t="s">
        <v>77</v>
      </c>
    </row>
    <row r="180" spans="1:14" ht="75" customHeight="1" thickTop="1" thickBot="1">
      <c r="A180" s="23">
        <v>178</v>
      </c>
      <c r="B180" s="32">
        <v>46204.4197340393</v>
      </c>
      <c r="C180" s="33" t="s">
        <v>97</v>
      </c>
      <c r="D180" s="33" t="s">
        <v>272</v>
      </c>
      <c r="E180" s="23" t="s">
        <v>99</v>
      </c>
      <c r="F180" s="23" t="s">
        <v>102</v>
      </c>
      <c r="G180" s="23" t="s">
        <v>981</v>
      </c>
      <c r="H180" s="23" t="s">
        <v>270</v>
      </c>
      <c r="I180" s="23"/>
      <c r="J180" s="23" t="s">
        <v>14</v>
      </c>
      <c r="K180" s="23" t="s">
        <v>13</v>
      </c>
      <c r="L180" s="32">
        <v>46204.443186574077</v>
      </c>
      <c r="M180" s="23"/>
      <c r="N180" s="2" t="s">
        <v>79</v>
      </c>
    </row>
    <row r="181" spans="1:14" ht="75" customHeight="1" thickTop="1" thickBot="1">
      <c r="A181" s="25">
        <v>179</v>
      </c>
      <c r="B181" s="32">
        <v>46204.420880428203</v>
      </c>
      <c r="C181" s="33" t="s">
        <v>97</v>
      </c>
      <c r="D181" s="33" t="s">
        <v>272</v>
      </c>
      <c r="E181" s="23" t="s">
        <v>99</v>
      </c>
      <c r="F181" s="23" t="s">
        <v>259</v>
      </c>
      <c r="G181" s="23" t="s">
        <v>265</v>
      </c>
      <c r="H181" s="23" t="s">
        <v>271</v>
      </c>
      <c r="I181" s="23"/>
      <c r="J181" s="23" t="s">
        <v>14</v>
      </c>
      <c r="K181" s="23" t="s">
        <v>13</v>
      </c>
      <c r="L181" s="32">
        <v>46204.443387789353</v>
      </c>
      <c r="M181" s="23"/>
      <c r="N181" s="2" t="s">
        <v>77</v>
      </c>
    </row>
    <row r="182" spans="1:14" ht="75" customHeight="1" thickTop="1" thickBot="1">
      <c r="A182" s="23">
        <v>180</v>
      </c>
      <c r="B182" s="32">
        <v>46204.421459375</v>
      </c>
      <c r="C182" s="33" t="s">
        <v>97</v>
      </c>
      <c r="D182" s="33" t="s">
        <v>272</v>
      </c>
      <c r="E182" s="23" t="s">
        <v>99</v>
      </c>
      <c r="F182" s="23" t="s">
        <v>102</v>
      </c>
      <c r="G182" s="23" t="s">
        <v>110</v>
      </c>
      <c r="H182" s="23" t="s">
        <v>273</v>
      </c>
      <c r="I182" s="23"/>
      <c r="J182" s="23" t="s">
        <v>14</v>
      </c>
      <c r="K182" s="23" t="s">
        <v>13</v>
      </c>
      <c r="L182" s="32">
        <v>46204.443275821759</v>
      </c>
      <c r="M182" s="23"/>
      <c r="N182" s="2" t="s">
        <v>77</v>
      </c>
    </row>
    <row r="183" spans="1:14" ht="75" customHeight="1" thickTop="1" thickBot="1">
      <c r="A183" s="25">
        <v>181</v>
      </c>
      <c r="B183" s="32">
        <v>46204.421995162003</v>
      </c>
      <c r="C183" s="33" t="s">
        <v>97</v>
      </c>
      <c r="D183" s="33" t="s">
        <v>272</v>
      </c>
      <c r="E183" s="23" t="s">
        <v>99</v>
      </c>
      <c r="F183" s="23" t="s">
        <v>159</v>
      </c>
      <c r="G183" s="23" t="s">
        <v>981</v>
      </c>
      <c r="H183" s="23" t="s">
        <v>274</v>
      </c>
      <c r="I183" s="23"/>
      <c r="J183" s="23" t="s">
        <v>14</v>
      </c>
      <c r="K183" s="23" t="s">
        <v>13</v>
      </c>
      <c r="L183" s="32">
        <v>46204.443546782408</v>
      </c>
      <c r="M183" s="23"/>
      <c r="N183" s="2" t="s">
        <v>77</v>
      </c>
    </row>
    <row r="184" spans="1:14" ht="75" customHeight="1" thickTop="1" thickBot="1">
      <c r="A184" s="23">
        <v>182</v>
      </c>
      <c r="B184" s="32">
        <v>46204.4304720254</v>
      </c>
      <c r="C184" s="33" t="s">
        <v>97</v>
      </c>
      <c r="D184" s="33" t="s">
        <v>272</v>
      </c>
      <c r="E184" s="23" t="s">
        <v>99</v>
      </c>
      <c r="F184" s="23" t="s">
        <v>259</v>
      </c>
      <c r="G184" s="23" t="s">
        <v>265</v>
      </c>
      <c r="H184" s="23" t="s">
        <v>1123</v>
      </c>
      <c r="I184" s="23"/>
      <c r="J184" s="23" t="s">
        <v>14</v>
      </c>
      <c r="K184" s="23" t="s">
        <v>13</v>
      </c>
      <c r="L184" s="32">
        <v>46204.443722824071</v>
      </c>
      <c r="M184" s="23"/>
      <c r="N184" s="2" t="s">
        <v>77</v>
      </c>
    </row>
    <row r="185" spans="1:14" ht="75" customHeight="1" thickTop="1" thickBot="1">
      <c r="A185" s="25">
        <v>183</v>
      </c>
      <c r="B185" s="32">
        <v>46204.431748206</v>
      </c>
      <c r="C185" s="33" t="s">
        <v>97</v>
      </c>
      <c r="D185" s="33" t="s">
        <v>272</v>
      </c>
      <c r="E185" s="23" t="s">
        <v>99</v>
      </c>
      <c r="F185" s="23" t="s">
        <v>150</v>
      </c>
      <c r="G185" s="23" t="s">
        <v>180</v>
      </c>
      <c r="H185" s="23" t="s">
        <v>275</v>
      </c>
      <c r="I185" s="23"/>
      <c r="J185" s="23" t="s">
        <v>14</v>
      </c>
      <c r="K185" s="23" t="s">
        <v>13</v>
      </c>
      <c r="L185" s="32">
        <v>46204.443802071764</v>
      </c>
      <c r="M185" s="23"/>
      <c r="N185" s="2" t="s">
        <v>77</v>
      </c>
    </row>
    <row r="186" spans="1:14" ht="75" customHeight="1" thickTop="1" thickBot="1">
      <c r="A186" s="23">
        <v>184</v>
      </c>
      <c r="B186" s="32">
        <v>46204.432814722197</v>
      </c>
      <c r="C186" s="33" t="s">
        <v>97</v>
      </c>
      <c r="D186" s="33" t="s">
        <v>272</v>
      </c>
      <c r="E186" s="23" t="s">
        <v>99</v>
      </c>
      <c r="F186" s="23" t="s">
        <v>126</v>
      </c>
      <c r="G186" s="23" t="s">
        <v>276</v>
      </c>
      <c r="H186" s="23" t="s">
        <v>277</v>
      </c>
      <c r="I186" s="23"/>
      <c r="J186" s="23" t="s">
        <v>14</v>
      </c>
      <c r="K186" s="23" t="s">
        <v>13</v>
      </c>
      <c r="L186" s="32">
        <v>46204.443846412032</v>
      </c>
      <c r="M186" s="23"/>
      <c r="N186" s="2" t="s">
        <v>77</v>
      </c>
    </row>
    <row r="187" spans="1:14" ht="75" customHeight="1" thickTop="1" thickBot="1">
      <c r="A187" s="25">
        <v>185</v>
      </c>
      <c r="B187" s="32">
        <v>46204.433927685102</v>
      </c>
      <c r="C187" s="33" t="s">
        <v>97</v>
      </c>
      <c r="D187" s="33" t="s">
        <v>272</v>
      </c>
      <c r="E187" s="23" t="s">
        <v>99</v>
      </c>
      <c r="F187" s="23" t="s">
        <v>157</v>
      </c>
      <c r="G187" s="23" t="s">
        <v>981</v>
      </c>
      <c r="H187" s="23" t="s">
        <v>278</v>
      </c>
      <c r="I187" s="23"/>
      <c r="J187" s="23" t="s">
        <v>14</v>
      </c>
      <c r="K187" s="23" t="s">
        <v>13</v>
      </c>
      <c r="L187" s="32">
        <v>46204.44389505787</v>
      </c>
      <c r="M187" s="23"/>
      <c r="N187" s="2" t="s">
        <v>77</v>
      </c>
    </row>
    <row r="188" spans="1:14" ht="75" customHeight="1" thickTop="1" thickBot="1">
      <c r="A188" s="23">
        <v>186</v>
      </c>
      <c r="B188" s="32">
        <v>46204.434599166598</v>
      </c>
      <c r="C188" s="33" t="s">
        <v>97</v>
      </c>
      <c r="D188" s="33" t="s">
        <v>272</v>
      </c>
      <c r="E188" s="23" t="s">
        <v>99</v>
      </c>
      <c r="F188" s="23" t="s">
        <v>157</v>
      </c>
      <c r="G188" s="23" t="s">
        <v>110</v>
      </c>
      <c r="H188" s="23" t="s">
        <v>279</v>
      </c>
      <c r="I188" s="23"/>
      <c r="J188" s="23" t="s">
        <v>14</v>
      </c>
      <c r="K188" s="23" t="s">
        <v>13</v>
      </c>
      <c r="L188" s="32">
        <v>46204.443963078702</v>
      </c>
      <c r="M188" s="23"/>
      <c r="N188" s="2" t="s">
        <v>77</v>
      </c>
    </row>
    <row r="189" spans="1:14" ht="75" customHeight="1" thickTop="1" thickBot="1">
      <c r="A189" s="25">
        <v>187</v>
      </c>
      <c r="B189" s="32">
        <v>46204.435211273099</v>
      </c>
      <c r="C189" s="33" t="s">
        <v>97</v>
      </c>
      <c r="D189" s="33" t="s">
        <v>272</v>
      </c>
      <c r="E189" s="23" t="s">
        <v>99</v>
      </c>
      <c r="F189" s="23" t="s">
        <v>116</v>
      </c>
      <c r="G189" s="23" t="s">
        <v>981</v>
      </c>
      <c r="H189" s="23" t="s">
        <v>280</v>
      </c>
      <c r="I189" s="23"/>
      <c r="J189" s="23" t="s">
        <v>14</v>
      </c>
      <c r="K189" s="23" t="s">
        <v>13</v>
      </c>
      <c r="L189" s="32">
        <v>46204.444008587961</v>
      </c>
      <c r="M189" s="23"/>
      <c r="N189" s="2" t="s">
        <v>80</v>
      </c>
    </row>
    <row r="190" spans="1:14" ht="75" customHeight="1" thickTop="1" thickBot="1">
      <c r="A190" s="23">
        <v>188</v>
      </c>
      <c r="B190" s="32">
        <v>46204.4358353356</v>
      </c>
      <c r="C190" s="33" t="s">
        <v>97</v>
      </c>
      <c r="D190" s="33" t="s">
        <v>272</v>
      </c>
      <c r="E190" s="23" t="s">
        <v>99</v>
      </c>
      <c r="F190" s="23" t="s">
        <v>157</v>
      </c>
      <c r="G190" s="23" t="s">
        <v>108</v>
      </c>
      <c r="H190" s="23" t="s">
        <v>281</v>
      </c>
      <c r="I190" s="23"/>
      <c r="J190" s="23" t="s">
        <v>14</v>
      </c>
      <c r="K190" s="23" t="s">
        <v>13</v>
      </c>
      <c r="L190" s="32">
        <v>46204.44406577546</v>
      </c>
      <c r="M190" s="23"/>
      <c r="N190" s="2" t="s">
        <v>77</v>
      </c>
    </row>
    <row r="191" spans="1:14" ht="75" customHeight="1" thickTop="1" thickBot="1">
      <c r="A191" s="25">
        <v>189</v>
      </c>
      <c r="B191" s="32">
        <v>46204.436817534697</v>
      </c>
      <c r="C191" s="33" t="s">
        <v>97</v>
      </c>
      <c r="D191" s="33" t="s">
        <v>272</v>
      </c>
      <c r="E191" s="23" t="s">
        <v>99</v>
      </c>
      <c r="F191" s="23" t="s">
        <v>126</v>
      </c>
      <c r="G191" s="23" t="s">
        <v>282</v>
      </c>
      <c r="H191" s="23" t="s">
        <v>283</v>
      </c>
      <c r="I191" s="23"/>
      <c r="J191" s="23" t="s">
        <v>14</v>
      </c>
      <c r="K191" s="23" t="s">
        <v>13</v>
      </c>
      <c r="L191" s="32">
        <v>46204.444113182872</v>
      </c>
      <c r="M191" s="23"/>
      <c r="N191" s="2" t="s">
        <v>77</v>
      </c>
    </row>
    <row r="192" spans="1:14" ht="75" customHeight="1" thickTop="1" thickBot="1">
      <c r="A192" s="23">
        <v>190</v>
      </c>
      <c r="B192" s="32">
        <v>46204.437172719903</v>
      </c>
      <c r="C192" s="33" t="s">
        <v>97</v>
      </c>
      <c r="D192" s="33" t="s">
        <v>272</v>
      </c>
      <c r="E192" s="23" t="s">
        <v>99</v>
      </c>
      <c r="F192" s="23" t="s">
        <v>116</v>
      </c>
      <c r="G192" s="23" t="s">
        <v>108</v>
      </c>
      <c r="H192" s="23" t="s">
        <v>284</v>
      </c>
      <c r="I192" s="23"/>
      <c r="J192" s="23" t="s">
        <v>14</v>
      </c>
      <c r="K192" s="23" t="s">
        <v>13</v>
      </c>
      <c r="L192" s="32">
        <v>46204.444175949073</v>
      </c>
      <c r="M192" s="23"/>
      <c r="N192" s="2" t="s">
        <v>77</v>
      </c>
    </row>
    <row r="193" spans="1:14" ht="75" customHeight="1" thickTop="1" thickBot="1">
      <c r="A193" s="25">
        <v>191</v>
      </c>
      <c r="B193" s="32">
        <v>46204.437595011499</v>
      </c>
      <c r="C193" s="33" t="s">
        <v>97</v>
      </c>
      <c r="D193" s="33" t="s">
        <v>272</v>
      </c>
      <c r="E193" s="23" t="s">
        <v>99</v>
      </c>
      <c r="F193" s="23" t="s">
        <v>116</v>
      </c>
      <c r="G193" s="23" t="s">
        <v>108</v>
      </c>
      <c r="H193" s="23" t="s">
        <v>285</v>
      </c>
      <c r="I193" s="23"/>
      <c r="J193" s="23" t="s">
        <v>14</v>
      </c>
      <c r="K193" s="23" t="s">
        <v>13</v>
      </c>
      <c r="L193" s="32">
        <v>46204.444202893515</v>
      </c>
      <c r="M193" s="23"/>
      <c r="N193" s="2" t="s">
        <v>77</v>
      </c>
    </row>
    <row r="194" spans="1:14" ht="75" customHeight="1" thickTop="1" thickBot="1">
      <c r="A194" s="23">
        <v>192</v>
      </c>
      <c r="B194" s="32">
        <v>46204.438723136504</v>
      </c>
      <c r="C194" s="33" t="s">
        <v>97</v>
      </c>
      <c r="D194" s="33" t="s">
        <v>272</v>
      </c>
      <c r="E194" s="23" t="s">
        <v>99</v>
      </c>
      <c r="F194" s="23" t="s">
        <v>286</v>
      </c>
      <c r="G194" s="23" t="s">
        <v>101</v>
      </c>
      <c r="H194" s="23" t="s">
        <v>287</v>
      </c>
      <c r="I194" s="23"/>
      <c r="J194" s="23" t="s">
        <v>14</v>
      </c>
      <c r="K194" s="23" t="s">
        <v>13</v>
      </c>
      <c r="L194" s="32">
        <v>46204.444246655097</v>
      </c>
      <c r="M194" s="23"/>
      <c r="N194" s="2" t="s">
        <v>77</v>
      </c>
    </row>
    <row r="195" spans="1:14" ht="75" customHeight="1" thickTop="1" thickBot="1">
      <c r="A195" s="25">
        <v>193</v>
      </c>
      <c r="B195" s="32">
        <v>46204.439794259197</v>
      </c>
      <c r="C195" s="33" t="s">
        <v>97</v>
      </c>
      <c r="D195" s="33" t="s">
        <v>272</v>
      </c>
      <c r="E195" s="23" t="s">
        <v>99</v>
      </c>
      <c r="F195" s="23" t="s">
        <v>102</v>
      </c>
      <c r="G195" s="23" t="s">
        <v>110</v>
      </c>
      <c r="H195" s="23" t="s">
        <v>1124</v>
      </c>
      <c r="I195" s="23"/>
      <c r="J195" s="23" t="s">
        <v>14</v>
      </c>
      <c r="K195" s="23" t="s">
        <v>13</v>
      </c>
      <c r="L195" s="32">
        <v>46204.444299143521</v>
      </c>
      <c r="M195" s="23"/>
      <c r="N195" s="2" t="s">
        <v>77</v>
      </c>
    </row>
    <row r="196" spans="1:14" ht="75" customHeight="1" thickTop="1" thickBot="1">
      <c r="A196" s="23">
        <v>194</v>
      </c>
      <c r="B196" s="32">
        <v>46204.440381134198</v>
      </c>
      <c r="C196" s="33" t="s">
        <v>97</v>
      </c>
      <c r="D196" s="33" t="s">
        <v>272</v>
      </c>
      <c r="E196" s="23" t="s">
        <v>99</v>
      </c>
      <c r="F196" s="23" t="s">
        <v>157</v>
      </c>
      <c r="G196" s="23" t="s">
        <v>108</v>
      </c>
      <c r="H196" s="23" t="s">
        <v>1125</v>
      </c>
      <c r="I196" s="23"/>
      <c r="J196" s="23" t="s">
        <v>14</v>
      </c>
      <c r="K196" s="23" t="s">
        <v>13</v>
      </c>
      <c r="L196" s="32">
        <v>46204.444371261576</v>
      </c>
      <c r="M196" s="23"/>
      <c r="N196" s="2" t="s">
        <v>77</v>
      </c>
    </row>
    <row r="197" spans="1:14" ht="75" customHeight="1" thickTop="1" thickBot="1">
      <c r="A197" s="25">
        <v>195</v>
      </c>
      <c r="B197" s="32">
        <v>46204.441162372597</v>
      </c>
      <c r="C197" s="33" t="s">
        <v>97</v>
      </c>
      <c r="D197" s="33" t="s">
        <v>272</v>
      </c>
      <c r="E197" s="23" t="s">
        <v>99</v>
      </c>
      <c r="F197" s="23" t="s">
        <v>100</v>
      </c>
      <c r="G197" s="23" t="s">
        <v>108</v>
      </c>
      <c r="H197" s="23" t="s">
        <v>288</v>
      </c>
      <c r="I197" s="23"/>
      <c r="J197" s="23" t="s">
        <v>14</v>
      </c>
      <c r="K197" s="23" t="s">
        <v>13</v>
      </c>
      <c r="L197" s="32">
        <v>46204.444418472223</v>
      </c>
      <c r="M197" s="23"/>
      <c r="N197" s="2" t="s">
        <v>77</v>
      </c>
    </row>
    <row r="198" spans="1:14" ht="75" customHeight="1" thickTop="1" thickBot="1">
      <c r="A198" s="23">
        <v>196</v>
      </c>
      <c r="B198" s="32">
        <v>46204.441586168898</v>
      </c>
      <c r="C198" s="33" t="s">
        <v>97</v>
      </c>
      <c r="D198" s="33" t="s">
        <v>272</v>
      </c>
      <c r="E198" s="23" t="s">
        <v>99</v>
      </c>
      <c r="F198" s="23" t="s">
        <v>102</v>
      </c>
      <c r="G198" s="23" t="s">
        <v>206</v>
      </c>
      <c r="H198" s="23" t="s">
        <v>289</v>
      </c>
      <c r="I198" s="23"/>
      <c r="J198" s="23" t="s">
        <v>14</v>
      </c>
      <c r="K198" s="23" t="s">
        <v>13</v>
      </c>
      <c r="L198" s="32">
        <v>46204.444501805556</v>
      </c>
      <c r="M198" s="23"/>
      <c r="N198" s="2" t="s">
        <v>77</v>
      </c>
    </row>
    <row r="199" spans="1:14" ht="75" customHeight="1" thickTop="1" thickBot="1">
      <c r="A199" s="25">
        <v>197</v>
      </c>
      <c r="B199" s="32">
        <v>46204.441975694397</v>
      </c>
      <c r="C199" s="33" t="s">
        <v>97</v>
      </c>
      <c r="D199" s="33" t="s">
        <v>272</v>
      </c>
      <c r="E199" s="23" t="s">
        <v>99</v>
      </c>
      <c r="F199" s="23" t="s">
        <v>100</v>
      </c>
      <c r="G199" s="23" t="s">
        <v>106</v>
      </c>
      <c r="H199" s="23" t="s">
        <v>290</v>
      </c>
      <c r="I199" s="23"/>
      <c r="J199" s="23" t="s">
        <v>14</v>
      </c>
      <c r="K199" s="23" t="s">
        <v>13</v>
      </c>
      <c r="L199" s="32">
        <v>46204.444520104167</v>
      </c>
      <c r="M199" s="23"/>
      <c r="N199" s="2" t="s">
        <v>77</v>
      </c>
    </row>
    <row r="200" spans="1:14" ht="75" customHeight="1" thickTop="1" thickBot="1">
      <c r="A200" s="23">
        <v>198</v>
      </c>
      <c r="B200" s="32">
        <v>46204.442465323998</v>
      </c>
      <c r="C200" s="33" t="s">
        <v>97</v>
      </c>
      <c r="D200" s="33" t="s">
        <v>272</v>
      </c>
      <c r="E200" s="23" t="s">
        <v>99</v>
      </c>
      <c r="F200" s="23" t="s">
        <v>157</v>
      </c>
      <c r="G200" s="23" t="s">
        <v>206</v>
      </c>
      <c r="H200" s="23" t="s">
        <v>291</v>
      </c>
      <c r="I200" s="23"/>
      <c r="J200" s="23" t="s">
        <v>14</v>
      </c>
      <c r="K200" s="23" t="s">
        <v>13</v>
      </c>
      <c r="L200" s="32">
        <v>46204.444591944441</v>
      </c>
      <c r="M200" s="23"/>
      <c r="N200" s="2" t="s">
        <v>77</v>
      </c>
    </row>
    <row r="201" spans="1:14" ht="75" customHeight="1" thickTop="1" thickBot="1">
      <c r="A201" s="25">
        <v>199</v>
      </c>
      <c r="B201" s="32">
        <v>46204.4436026736</v>
      </c>
      <c r="C201" s="33" t="s">
        <v>97</v>
      </c>
      <c r="D201" s="33" t="s">
        <v>272</v>
      </c>
      <c r="E201" s="23" t="s">
        <v>99</v>
      </c>
      <c r="F201" s="23" t="s">
        <v>100</v>
      </c>
      <c r="G201" s="23" t="s">
        <v>108</v>
      </c>
      <c r="H201" s="23" t="s">
        <v>292</v>
      </c>
      <c r="I201" s="23"/>
      <c r="J201" s="23" t="s">
        <v>14</v>
      </c>
      <c r="K201" s="23" t="s">
        <v>13</v>
      </c>
      <c r="L201" s="32">
        <v>46204.444689583332</v>
      </c>
      <c r="M201" s="23"/>
      <c r="N201" s="2" t="s">
        <v>77</v>
      </c>
    </row>
    <row r="202" spans="1:14" ht="75" customHeight="1" thickTop="1" thickBot="1">
      <c r="A202" s="23">
        <v>200</v>
      </c>
      <c r="B202" s="32">
        <v>46204.444071585604</v>
      </c>
      <c r="C202" s="33" t="s">
        <v>97</v>
      </c>
      <c r="D202" s="33" t="s">
        <v>272</v>
      </c>
      <c r="E202" s="23" t="s">
        <v>99</v>
      </c>
      <c r="F202" s="23" t="s">
        <v>102</v>
      </c>
      <c r="G202" s="23" t="s">
        <v>104</v>
      </c>
      <c r="H202" s="23" t="s">
        <v>293</v>
      </c>
      <c r="I202" s="23"/>
      <c r="J202" s="23" t="s">
        <v>14</v>
      </c>
      <c r="K202" s="23" t="s">
        <v>13</v>
      </c>
      <c r="L202" s="32">
        <v>46204.444725787034</v>
      </c>
      <c r="M202" s="23"/>
      <c r="N202" s="2" t="s">
        <v>81</v>
      </c>
    </row>
    <row r="203" spans="1:14" ht="75" customHeight="1" thickTop="1" thickBot="1">
      <c r="A203" s="25">
        <v>201</v>
      </c>
      <c r="B203" s="32">
        <v>46204.444503715204</v>
      </c>
      <c r="C203" s="33" t="s">
        <v>97</v>
      </c>
      <c r="D203" s="33" t="s">
        <v>272</v>
      </c>
      <c r="E203" s="23" t="s">
        <v>99</v>
      </c>
      <c r="F203" s="23" t="s">
        <v>126</v>
      </c>
      <c r="G203" s="23" t="s">
        <v>168</v>
      </c>
      <c r="H203" s="23" t="s">
        <v>294</v>
      </c>
      <c r="I203" s="23"/>
      <c r="J203" s="23" t="s">
        <v>14</v>
      </c>
      <c r="K203" s="23" t="s">
        <v>13</v>
      </c>
      <c r="L203" s="32">
        <v>46204.44476668982</v>
      </c>
      <c r="M203" s="23"/>
      <c r="N203" s="2" t="s">
        <v>81</v>
      </c>
    </row>
    <row r="204" spans="1:14" ht="75" customHeight="1" thickTop="1" thickBot="1">
      <c r="A204" s="23">
        <v>202</v>
      </c>
      <c r="B204" s="32">
        <v>46204.444831944398</v>
      </c>
      <c r="C204" s="33" t="s">
        <v>97</v>
      </c>
      <c r="D204" s="33" t="s">
        <v>272</v>
      </c>
      <c r="E204" s="23" t="s">
        <v>99</v>
      </c>
      <c r="F204" s="23" t="s">
        <v>126</v>
      </c>
      <c r="G204" s="23" t="s">
        <v>110</v>
      </c>
      <c r="H204" s="23" t="s">
        <v>295</v>
      </c>
      <c r="I204" s="23"/>
      <c r="J204" s="23" t="s">
        <v>14</v>
      </c>
      <c r="K204" s="23" t="s">
        <v>13</v>
      </c>
      <c r="L204" s="32">
        <v>46204.44522681713</v>
      </c>
      <c r="M204" s="23"/>
      <c r="N204" s="2" t="s">
        <v>82</v>
      </c>
    </row>
    <row r="205" spans="1:14" ht="75" customHeight="1" thickTop="1" thickBot="1">
      <c r="A205" s="25">
        <v>203</v>
      </c>
      <c r="B205" s="32">
        <v>46204.4459273842</v>
      </c>
      <c r="C205" s="33" t="s">
        <v>97</v>
      </c>
      <c r="D205" s="33" t="s">
        <v>272</v>
      </c>
      <c r="E205" s="23" t="s">
        <v>99</v>
      </c>
      <c r="F205" s="23" t="s">
        <v>100</v>
      </c>
      <c r="G205" s="23" t="s">
        <v>110</v>
      </c>
      <c r="H205" s="23" t="s">
        <v>296</v>
      </c>
      <c r="I205" s="23"/>
      <c r="J205" s="23" t="s">
        <v>14</v>
      </c>
      <c r="K205" s="23" t="s">
        <v>13</v>
      </c>
      <c r="L205" s="32"/>
      <c r="M205" s="23"/>
      <c r="N205" s="2" t="s">
        <v>81</v>
      </c>
    </row>
    <row r="206" spans="1:14" ht="75" customHeight="1" thickTop="1" thickBot="1">
      <c r="A206" s="23">
        <v>204</v>
      </c>
      <c r="B206" s="32">
        <v>46204.446576574002</v>
      </c>
      <c r="C206" s="33" t="s">
        <v>97</v>
      </c>
      <c r="D206" s="33" t="s">
        <v>272</v>
      </c>
      <c r="E206" s="23" t="s">
        <v>99</v>
      </c>
      <c r="F206" s="23" t="s">
        <v>126</v>
      </c>
      <c r="G206" s="23" t="s">
        <v>198</v>
      </c>
      <c r="H206" s="23" t="s">
        <v>297</v>
      </c>
      <c r="I206" s="23"/>
      <c r="J206" s="23" t="s">
        <v>14</v>
      </c>
      <c r="K206" s="23" t="s">
        <v>13</v>
      </c>
      <c r="L206" s="32"/>
      <c r="M206" s="23"/>
      <c r="N206" s="2" t="s">
        <v>77</v>
      </c>
    </row>
    <row r="207" spans="1:14" ht="75" customHeight="1" thickTop="1" thickBot="1">
      <c r="A207" s="25">
        <v>205</v>
      </c>
      <c r="B207" s="32">
        <v>46204.447023414301</v>
      </c>
      <c r="C207" s="33" t="s">
        <v>97</v>
      </c>
      <c r="D207" s="33" t="s">
        <v>272</v>
      </c>
      <c r="E207" s="23" t="s">
        <v>99</v>
      </c>
      <c r="F207" s="23" t="s">
        <v>116</v>
      </c>
      <c r="G207" s="23" t="s">
        <v>981</v>
      </c>
      <c r="H207" s="23" t="s">
        <v>298</v>
      </c>
      <c r="I207" s="23"/>
      <c r="J207" s="23" t="s">
        <v>14</v>
      </c>
      <c r="K207" s="23" t="s">
        <v>13</v>
      </c>
      <c r="L207" s="32"/>
      <c r="M207" s="23"/>
      <c r="N207" s="2" t="s">
        <v>77</v>
      </c>
    </row>
    <row r="208" spans="1:14" ht="75" customHeight="1" thickTop="1" thickBot="1">
      <c r="A208" s="23">
        <v>206</v>
      </c>
      <c r="B208" s="32">
        <v>46204.448149571697</v>
      </c>
      <c r="C208" s="33" t="s">
        <v>97</v>
      </c>
      <c r="D208" s="33" t="s">
        <v>272</v>
      </c>
      <c r="E208" s="23" t="s">
        <v>99</v>
      </c>
      <c r="F208" s="23" t="s">
        <v>100</v>
      </c>
      <c r="G208" s="23" t="s">
        <v>108</v>
      </c>
      <c r="H208" s="23" t="s">
        <v>299</v>
      </c>
      <c r="I208" s="23"/>
      <c r="J208" s="23" t="s">
        <v>14</v>
      </c>
      <c r="K208" s="23" t="s">
        <v>13</v>
      </c>
      <c r="L208" s="32"/>
      <c r="M208" s="23"/>
      <c r="N208" s="2" t="s">
        <v>77</v>
      </c>
    </row>
    <row r="209" spans="1:14" ht="75" customHeight="1" thickTop="1" thickBot="1">
      <c r="A209" s="25">
        <v>207</v>
      </c>
      <c r="B209" s="32">
        <v>46204.448558750002</v>
      </c>
      <c r="C209" s="33" t="s">
        <v>97</v>
      </c>
      <c r="D209" s="33" t="s">
        <v>272</v>
      </c>
      <c r="E209" s="23" t="s">
        <v>99</v>
      </c>
      <c r="F209" s="23" t="s">
        <v>100</v>
      </c>
      <c r="G209" s="23" t="s">
        <v>106</v>
      </c>
      <c r="H209" s="23" t="s">
        <v>300</v>
      </c>
      <c r="I209" s="23"/>
      <c r="J209" s="23" t="s">
        <v>14</v>
      </c>
      <c r="K209" s="23" t="s">
        <v>13</v>
      </c>
      <c r="L209" s="32"/>
      <c r="M209" s="23"/>
      <c r="N209" s="2" t="s">
        <v>77</v>
      </c>
    </row>
    <row r="210" spans="1:14" ht="75" customHeight="1" thickTop="1" thickBot="1">
      <c r="A210" s="23">
        <v>208</v>
      </c>
      <c r="B210" s="32">
        <v>46204.449048726798</v>
      </c>
      <c r="C210" s="33" t="s">
        <v>97</v>
      </c>
      <c r="D210" s="33" t="s">
        <v>272</v>
      </c>
      <c r="E210" s="23" t="s">
        <v>99</v>
      </c>
      <c r="F210" s="23" t="s">
        <v>100</v>
      </c>
      <c r="G210" s="23" t="s">
        <v>196</v>
      </c>
      <c r="H210" s="23" t="s">
        <v>302</v>
      </c>
      <c r="I210" s="23"/>
      <c r="J210" s="23" t="s">
        <v>14</v>
      </c>
      <c r="K210" s="23" t="s">
        <v>13</v>
      </c>
      <c r="L210" s="32">
        <v>46204.466695219904</v>
      </c>
      <c r="M210" s="23"/>
      <c r="N210" s="2" t="s">
        <v>77</v>
      </c>
    </row>
    <row r="211" spans="1:14" ht="75" customHeight="1" thickTop="1" thickBot="1">
      <c r="A211" s="25">
        <v>209</v>
      </c>
      <c r="B211" s="32">
        <v>46204.449161180499</v>
      </c>
      <c r="C211" s="33" t="s">
        <v>97</v>
      </c>
      <c r="D211" s="33" t="s">
        <v>395</v>
      </c>
      <c r="E211" s="23" t="s">
        <v>99</v>
      </c>
      <c r="F211" s="23" t="s">
        <v>100</v>
      </c>
      <c r="G211" s="23" t="s">
        <v>180</v>
      </c>
      <c r="H211" s="23" t="s">
        <v>301</v>
      </c>
      <c r="I211" s="23"/>
      <c r="J211" s="23" t="s">
        <v>16</v>
      </c>
      <c r="K211" s="23" t="s">
        <v>13</v>
      </c>
      <c r="L211" s="32">
        <v>46204.466584374997</v>
      </c>
      <c r="M211" s="23"/>
      <c r="N211" s="2" t="s">
        <v>77</v>
      </c>
    </row>
    <row r="212" spans="1:14" ht="75" customHeight="1" thickTop="1" thickBot="1">
      <c r="A212" s="23">
        <v>210</v>
      </c>
      <c r="B212" s="32">
        <v>46204.449689317102</v>
      </c>
      <c r="C212" s="33" t="s">
        <v>97</v>
      </c>
      <c r="D212" s="33" t="s">
        <v>272</v>
      </c>
      <c r="E212" s="23" t="s">
        <v>99</v>
      </c>
      <c r="F212" s="23" t="s">
        <v>126</v>
      </c>
      <c r="G212" s="23" t="s">
        <v>168</v>
      </c>
      <c r="H212" s="23" t="s">
        <v>303</v>
      </c>
      <c r="I212" s="23"/>
      <c r="J212" s="23" t="s">
        <v>14</v>
      </c>
      <c r="K212" s="23" t="s">
        <v>13</v>
      </c>
      <c r="L212" s="32">
        <v>46204.466753449073</v>
      </c>
      <c r="M212" s="23"/>
      <c r="N212" s="2" t="s">
        <v>83</v>
      </c>
    </row>
    <row r="213" spans="1:14" ht="75" customHeight="1" thickTop="1" thickBot="1">
      <c r="A213" s="25">
        <v>211</v>
      </c>
      <c r="B213" s="32">
        <v>46204.450080543902</v>
      </c>
      <c r="C213" s="33" t="s">
        <v>97</v>
      </c>
      <c r="D213" s="33" t="s">
        <v>272</v>
      </c>
      <c r="E213" s="23" t="s">
        <v>99</v>
      </c>
      <c r="F213" s="23" t="s">
        <v>126</v>
      </c>
      <c r="G213" s="23" t="s">
        <v>168</v>
      </c>
      <c r="H213" s="23" t="s">
        <v>303</v>
      </c>
      <c r="I213" s="23"/>
      <c r="J213" s="23" t="s">
        <v>14</v>
      </c>
      <c r="K213" s="23" t="s">
        <v>13</v>
      </c>
      <c r="L213" s="32">
        <v>46204.466803761577</v>
      </c>
      <c r="M213" s="23"/>
      <c r="N213" s="2" t="s">
        <v>77</v>
      </c>
    </row>
    <row r="214" spans="1:14" ht="75" customHeight="1" thickTop="1" thickBot="1">
      <c r="A214" s="23">
        <v>212</v>
      </c>
      <c r="B214" s="32">
        <v>46204.450543437502</v>
      </c>
      <c r="C214" s="33" t="s">
        <v>97</v>
      </c>
      <c r="D214" s="33" t="s">
        <v>272</v>
      </c>
      <c r="E214" s="23" t="s">
        <v>99</v>
      </c>
      <c r="F214" s="23" t="s">
        <v>126</v>
      </c>
      <c r="G214" s="23" t="s">
        <v>106</v>
      </c>
      <c r="H214" s="23" t="s">
        <v>304</v>
      </c>
      <c r="I214" s="23"/>
      <c r="J214" s="23" t="s">
        <v>14</v>
      </c>
      <c r="K214" s="23" t="s">
        <v>13</v>
      </c>
      <c r="L214" s="32">
        <v>46204.466931516203</v>
      </c>
      <c r="M214" s="23"/>
      <c r="N214" s="2" t="s">
        <v>77</v>
      </c>
    </row>
    <row r="215" spans="1:14" ht="75" customHeight="1" thickTop="1" thickBot="1">
      <c r="A215" s="25">
        <v>213</v>
      </c>
      <c r="B215" s="32">
        <v>46204.451005543902</v>
      </c>
      <c r="C215" s="33" t="s">
        <v>97</v>
      </c>
      <c r="D215" s="33" t="s">
        <v>272</v>
      </c>
      <c r="E215" s="23" t="s">
        <v>99</v>
      </c>
      <c r="F215" s="23" t="s">
        <v>126</v>
      </c>
      <c r="G215" s="23" t="s">
        <v>110</v>
      </c>
      <c r="H215" s="23" t="s">
        <v>305</v>
      </c>
      <c r="I215" s="23"/>
      <c r="J215" s="23" t="s">
        <v>14</v>
      </c>
      <c r="K215" s="23" t="s">
        <v>13</v>
      </c>
      <c r="L215" s="32">
        <v>46204.467054780092</v>
      </c>
      <c r="M215" s="23"/>
      <c r="N215" s="2" t="s">
        <v>77</v>
      </c>
    </row>
    <row r="216" spans="1:14" ht="75" customHeight="1" thickTop="1" thickBot="1">
      <c r="A216" s="23">
        <v>214</v>
      </c>
      <c r="B216" s="32">
        <v>46204.451339988402</v>
      </c>
      <c r="C216" s="33" t="s">
        <v>97</v>
      </c>
      <c r="D216" s="33" t="s">
        <v>272</v>
      </c>
      <c r="E216" s="23" t="s">
        <v>99</v>
      </c>
      <c r="F216" s="23" t="s">
        <v>116</v>
      </c>
      <c r="G216" s="23" t="s">
        <v>106</v>
      </c>
      <c r="H216" s="23" t="s">
        <v>306</v>
      </c>
      <c r="I216" s="23"/>
      <c r="J216" s="23" t="s">
        <v>14</v>
      </c>
      <c r="K216" s="23" t="s">
        <v>13</v>
      </c>
      <c r="L216" s="32">
        <v>46204.467376932866</v>
      </c>
      <c r="M216" s="23"/>
      <c r="N216" s="2" t="s">
        <v>77</v>
      </c>
    </row>
    <row r="217" spans="1:14" ht="75" customHeight="1" thickTop="1" thickBot="1">
      <c r="A217" s="25">
        <v>215</v>
      </c>
      <c r="B217" s="32">
        <v>46204.452136805499</v>
      </c>
      <c r="C217" s="33" t="s">
        <v>97</v>
      </c>
      <c r="D217" s="33" t="s">
        <v>272</v>
      </c>
      <c r="E217" s="23" t="s">
        <v>99</v>
      </c>
      <c r="F217" s="23" t="s">
        <v>126</v>
      </c>
      <c r="G217" s="23" t="s">
        <v>110</v>
      </c>
      <c r="H217" s="23" t="s">
        <v>307</v>
      </c>
      <c r="I217" s="23"/>
      <c r="J217" s="23" t="s">
        <v>14</v>
      </c>
      <c r="K217" s="23" t="s">
        <v>13</v>
      </c>
      <c r="L217" s="32">
        <v>46204.467563298611</v>
      </c>
      <c r="M217" s="23"/>
      <c r="N217" s="2" t="s">
        <v>77</v>
      </c>
    </row>
    <row r="218" spans="1:14" ht="75" customHeight="1" thickTop="1" thickBot="1">
      <c r="A218" s="23">
        <v>216</v>
      </c>
      <c r="B218" s="32">
        <v>46204.453137094897</v>
      </c>
      <c r="C218" s="33" t="s">
        <v>97</v>
      </c>
      <c r="D218" s="33" t="s">
        <v>272</v>
      </c>
      <c r="E218" s="23" t="s">
        <v>99</v>
      </c>
      <c r="F218" s="23" t="s">
        <v>126</v>
      </c>
      <c r="G218" s="23" t="s">
        <v>110</v>
      </c>
      <c r="H218" s="23" t="s">
        <v>308</v>
      </c>
      <c r="I218" s="23"/>
      <c r="J218" s="23" t="s">
        <v>14</v>
      </c>
      <c r="K218" s="23" t="s">
        <v>13</v>
      </c>
      <c r="L218" s="32">
        <v>46204.467648761572</v>
      </c>
      <c r="M218" s="23"/>
      <c r="N218" s="2" t="s">
        <v>77</v>
      </c>
    </row>
    <row r="219" spans="1:14" ht="75" customHeight="1" thickTop="1" thickBot="1">
      <c r="A219" s="25">
        <v>217</v>
      </c>
      <c r="B219" s="32">
        <v>46204.453463067097</v>
      </c>
      <c r="C219" s="33" t="s">
        <v>97</v>
      </c>
      <c r="D219" s="33" t="s">
        <v>272</v>
      </c>
      <c r="E219" s="23" t="s">
        <v>99</v>
      </c>
      <c r="F219" s="23" t="s">
        <v>126</v>
      </c>
      <c r="G219" s="23" t="s">
        <v>110</v>
      </c>
      <c r="H219" s="23" t="s">
        <v>309</v>
      </c>
      <c r="I219" s="23"/>
      <c r="J219" s="23" t="s">
        <v>14</v>
      </c>
      <c r="K219" s="23" t="s">
        <v>13</v>
      </c>
      <c r="L219" s="32">
        <v>46204.467867916668</v>
      </c>
      <c r="M219" s="23"/>
      <c r="N219" s="2" t="s">
        <v>77</v>
      </c>
    </row>
    <row r="220" spans="1:14" ht="75" customHeight="1" thickTop="1" thickBot="1">
      <c r="A220" s="23">
        <v>218</v>
      </c>
      <c r="B220" s="32">
        <v>46204.453817268499</v>
      </c>
      <c r="C220" s="33" t="s">
        <v>97</v>
      </c>
      <c r="D220" s="33" t="s">
        <v>272</v>
      </c>
      <c r="E220" s="23" t="s">
        <v>99</v>
      </c>
      <c r="F220" s="23" t="s">
        <v>102</v>
      </c>
      <c r="G220" s="23" t="s">
        <v>981</v>
      </c>
      <c r="H220" s="23" t="s">
        <v>310</v>
      </c>
      <c r="I220" s="23"/>
      <c r="J220" s="23" t="s">
        <v>14</v>
      </c>
      <c r="K220" s="23" t="s">
        <v>13</v>
      </c>
      <c r="L220" s="32">
        <v>46204.467933321765</v>
      </c>
      <c r="M220" s="23"/>
      <c r="N220" s="2" t="s">
        <v>77</v>
      </c>
    </row>
    <row r="221" spans="1:14" ht="75" customHeight="1" thickTop="1" thickBot="1">
      <c r="A221" s="25">
        <v>219</v>
      </c>
      <c r="B221" s="32">
        <v>46204.454053923597</v>
      </c>
      <c r="C221" s="33" t="s">
        <v>97</v>
      </c>
      <c r="D221" s="33" t="s">
        <v>272</v>
      </c>
      <c r="E221" s="23" t="s">
        <v>99</v>
      </c>
      <c r="F221" s="23" t="s">
        <v>116</v>
      </c>
      <c r="G221" s="23" t="s">
        <v>260</v>
      </c>
      <c r="H221" s="23" t="s">
        <v>311</v>
      </c>
      <c r="I221" s="23"/>
      <c r="J221" s="23" t="s">
        <v>14</v>
      </c>
      <c r="K221" s="23" t="s">
        <v>13</v>
      </c>
      <c r="L221" s="32">
        <v>46204.468037384257</v>
      </c>
      <c r="M221" s="23"/>
      <c r="N221" s="2" t="s">
        <v>77</v>
      </c>
    </row>
    <row r="222" spans="1:14" ht="75" customHeight="1" thickTop="1" thickBot="1">
      <c r="A222" s="23">
        <v>220</v>
      </c>
      <c r="B222" s="32">
        <v>46204.454243171203</v>
      </c>
      <c r="C222" s="33" t="s">
        <v>97</v>
      </c>
      <c r="D222" s="33" t="s">
        <v>272</v>
      </c>
      <c r="E222" s="23" t="s">
        <v>99</v>
      </c>
      <c r="F222" s="23" t="s">
        <v>116</v>
      </c>
      <c r="G222" s="23" t="s">
        <v>106</v>
      </c>
      <c r="H222" s="23" t="s">
        <v>312</v>
      </c>
      <c r="I222" s="23"/>
      <c r="J222" s="23" t="s">
        <v>14</v>
      </c>
      <c r="K222" s="23" t="s">
        <v>13</v>
      </c>
      <c r="L222" s="32">
        <v>46204.468746539351</v>
      </c>
      <c r="M222" s="23"/>
      <c r="N222" s="2" t="s">
        <v>77</v>
      </c>
    </row>
    <row r="223" spans="1:14" ht="75" customHeight="1" thickTop="1" thickBot="1">
      <c r="A223" s="25">
        <v>221</v>
      </c>
      <c r="B223" s="32">
        <v>46204.454553275398</v>
      </c>
      <c r="C223" s="33" t="s">
        <v>97</v>
      </c>
      <c r="D223" s="33" t="s">
        <v>272</v>
      </c>
      <c r="E223" s="23" t="s">
        <v>99</v>
      </c>
      <c r="F223" s="23" t="s">
        <v>116</v>
      </c>
      <c r="G223" s="23" t="s">
        <v>981</v>
      </c>
      <c r="H223" s="23" t="s">
        <v>313</v>
      </c>
      <c r="I223" s="23"/>
      <c r="J223" s="23" t="s">
        <v>14</v>
      </c>
      <c r="K223" s="23" t="s">
        <v>13</v>
      </c>
      <c r="L223" s="32">
        <v>46204.468159710646</v>
      </c>
      <c r="M223" s="23"/>
      <c r="N223" s="2" t="s">
        <v>77</v>
      </c>
    </row>
    <row r="224" spans="1:14" ht="75" customHeight="1" thickTop="1" thickBot="1">
      <c r="A224" s="23">
        <v>222</v>
      </c>
      <c r="B224" s="32">
        <v>46204.454558090198</v>
      </c>
      <c r="C224" s="33" t="s">
        <v>97</v>
      </c>
      <c r="D224" s="33" t="s">
        <v>272</v>
      </c>
      <c r="E224" s="23" t="s">
        <v>99</v>
      </c>
      <c r="F224" s="23" t="s">
        <v>102</v>
      </c>
      <c r="G224" s="23" t="s">
        <v>110</v>
      </c>
      <c r="H224" s="23" t="s">
        <v>314</v>
      </c>
      <c r="I224" s="23"/>
      <c r="J224" s="23" t="s">
        <v>14</v>
      </c>
      <c r="K224" s="23" t="s">
        <v>13</v>
      </c>
      <c r="L224" s="32">
        <v>46204.468263576389</v>
      </c>
      <c r="M224" s="23"/>
      <c r="N224" s="2" t="s">
        <v>77</v>
      </c>
    </row>
    <row r="225" spans="1:14" ht="75" customHeight="1" thickTop="1" thickBot="1">
      <c r="A225" s="25">
        <v>223</v>
      </c>
      <c r="B225" s="32">
        <v>46204.454929814798</v>
      </c>
      <c r="C225" s="33" t="s">
        <v>97</v>
      </c>
      <c r="D225" s="33" t="s">
        <v>272</v>
      </c>
      <c r="E225" s="23" t="s">
        <v>99</v>
      </c>
      <c r="F225" s="23" t="s">
        <v>102</v>
      </c>
      <c r="G225" s="23" t="s">
        <v>110</v>
      </c>
      <c r="H225" s="23" t="s">
        <v>315</v>
      </c>
      <c r="I225" s="23"/>
      <c r="J225" s="23" t="s">
        <v>14</v>
      </c>
      <c r="K225" s="23" t="s">
        <v>13</v>
      </c>
      <c r="L225" s="32">
        <v>46204.468296678242</v>
      </c>
      <c r="M225" s="23"/>
      <c r="N225" s="2" t="s">
        <v>77</v>
      </c>
    </row>
    <row r="226" spans="1:14" ht="75" customHeight="1" thickTop="1" thickBot="1">
      <c r="A226" s="23">
        <v>224</v>
      </c>
      <c r="B226" s="32">
        <v>46204.455270323997</v>
      </c>
      <c r="C226" s="33" t="s">
        <v>97</v>
      </c>
      <c r="D226" s="33" t="s">
        <v>272</v>
      </c>
      <c r="E226" s="23" t="s">
        <v>99</v>
      </c>
      <c r="F226" s="23" t="s">
        <v>116</v>
      </c>
      <c r="G226" s="23" t="s">
        <v>108</v>
      </c>
      <c r="H226" s="23" t="s">
        <v>316</v>
      </c>
      <c r="I226" s="23"/>
      <c r="J226" s="23" t="s">
        <v>14</v>
      </c>
      <c r="K226" s="23" t="s">
        <v>13</v>
      </c>
      <c r="L226" s="32">
        <v>46204.468402037033</v>
      </c>
      <c r="M226" s="23"/>
      <c r="N226" s="2" t="s">
        <v>77</v>
      </c>
    </row>
    <row r="227" spans="1:14" ht="75" customHeight="1" thickTop="1" thickBot="1">
      <c r="A227" s="25">
        <v>225</v>
      </c>
      <c r="B227" s="32">
        <v>46204.455560231399</v>
      </c>
      <c r="C227" s="33" t="s">
        <v>97</v>
      </c>
      <c r="D227" s="33" t="s">
        <v>272</v>
      </c>
      <c r="E227" s="23" t="s">
        <v>99</v>
      </c>
      <c r="F227" s="23" t="s">
        <v>100</v>
      </c>
      <c r="G227" s="23" t="s">
        <v>106</v>
      </c>
      <c r="H227" s="23" t="s">
        <v>317</v>
      </c>
      <c r="I227" s="23"/>
      <c r="J227" s="23" t="s">
        <v>14</v>
      </c>
      <c r="K227" s="23" t="s">
        <v>13</v>
      </c>
      <c r="L227" s="32">
        <v>46204.468523553238</v>
      </c>
      <c r="M227" s="23"/>
      <c r="N227" s="2" t="s">
        <v>77</v>
      </c>
    </row>
    <row r="228" spans="1:14" ht="75" customHeight="1" thickTop="1" thickBot="1">
      <c r="A228" s="23">
        <v>226</v>
      </c>
      <c r="B228" s="32">
        <v>46204.4557485763</v>
      </c>
      <c r="C228" s="33" t="s">
        <v>97</v>
      </c>
      <c r="D228" s="33" t="s">
        <v>272</v>
      </c>
      <c r="E228" s="23" t="s">
        <v>99</v>
      </c>
      <c r="F228" s="23" t="s">
        <v>102</v>
      </c>
      <c r="G228" s="23" t="s">
        <v>110</v>
      </c>
      <c r="H228" s="23" t="s">
        <v>318</v>
      </c>
      <c r="I228" s="23"/>
      <c r="J228" s="23" t="s">
        <v>14</v>
      </c>
      <c r="K228" s="23" t="s">
        <v>13</v>
      </c>
      <c r="L228" s="32">
        <v>46204.468572928236</v>
      </c>
      <c r="M228" s="23"/>
      <c r="N228" s="2" t="s">
        <v>77</v>
      </c>
    </row>
    <row r="229" spans="1:14" ht="75" customHeight="1" thickTop="1" thickBot="1">
      <c r="A229" s="25">
        <v>227</v>
      </c>
      <c r="B229" s="32">
        <v>46204.456072708301</v>
      </c>
      <c r="C229" s="33" t="s">
        <v>97</v>
      </c>
      <c r="D229" s="33" t="s">
        <v>272</v>
      </c>
      <c r="E229" s="23" t="s">
        <v>99</v>
      </c>
      <c r="F229" s="23" t="s">
        <v>102</v>
      </c>
      <c r="G229" s="23" t="s">
        <v>110</v>
      </c>
      <c r="H229" s="23" t="s">
        <v>319</v>
      </c>
      <c r="I229" s="23"/>
      <c r="J229" s="23" t="s">
        <v>14</v>
      </c>
      <c r="K229" s="23" t="s">
        <v>13</v>
      </c>
      <c r="L229" s="32">
        <v>46204.468626400463</v>
      </c>
      <c r="M229" s="23"/>
      <c r="N229" s="2" t="s">
        <v>77</v>
      </c>
    </row>
    <row r="230" spans="1:14" ht="75" customHeight="1" thickTop="1" thickBot="1">
      <c r="A230" s="23">
        <v>228</v>
      </c>
      <c r="B230" s="32">
        <v>46204.456108414299</v>
      </c>
      <c r="C230" s="33" t="s">
        <v>97</v>
      </c>
      <c r="D230" s="33" t="s">
        <v>272</v>
      </c>
      <c r="E230" s="23" t="s">
        <v>99</v>
      </c>
      <c r="F230" s="23" t="s">
        <v>116</v>
      </c>
      <c r="G230" s="23" t="s">
        <v>119</v>
      </c>
      <c r="H230" s="23" t="s">
        <v>1126</v>
      </c>
      <c r="I230" s="23"/>
      <c r="J230" s="23" t="s">
        <v>14</v>
      </c>
      <c r="K230" s="23" t="s">
        <v>13</v>
      </c>
      <c r="L230" s="32">
        <v>46204.468731168978</v>
      </c>
      <c r="M230" s="23"/>
      <c r="N230" s="2" t="s">
        <v>77</v>
      </c>
    </row>
    <row r="231" spans="1:14" ht="75" customHeight="1" thickTop="1" thickBot="1">
      <c r="A231" s="25">
        <v>229</v>
      </c>
      <c r="B231" s="32">
        <v>46204.456472453698</v>
      </c>
      <c r="C231" s="33" t="s">
        <v>97</v>
      </c>
      <c r="D231" s="33" t="s">
        <v>272</v>
      </c>
      <c r="E231" s="23" t="s">
        <v>99</v>
      </c>
      <c r="F231" s="23" t="s">
        <v>100</v>
      </c>
      <c r="G231" s="23" t="s">
        <v>106</v>
      </c>
      <c r="H231" s="23" t="s">
        <v>320</v>
      </c>
      <c r="I231" s="23"/>
      <c r="J231" s="23" t="s">
        <v>14</v>
      </c>
      <c r="K231" s="23" t="s">
        <v>13</v>
      </c>
      <c r="L231" s="32">
        <v>46204.468782592594</v>
      </c>
      <c r="M231" s="23"/>
      <c r="N231" s="2" t="s">
        <v>77</v>
      </c>
    </row>
    <row r="232" spans="1:14" ht="75" customHeight="1" thickTop="1" thickBot="1">
      <c r="A232" s="23">
        <v>230</v>
      </c>
      <c r="B232" s="32">
        <v>46204.456603032399</v>
      </c>
      <c r="C232" s="33" t="s">
        <v>97</v>
      </c>
      <c r="D232" s="33" t="s">
        <v>272</v>
      </c>
      <c r="E232" s="23" t="s">
        <v>99</v>
      </c>
      <c r="F232" s="23" t="s">
        <v>116</v>
      </c>
      <c r="G232" s="23" t="s">
        <v>180</v>
      </c>
      <c r="H232" s="23" t="s">
        <v>321</v>
      </c>
      <c r="I232" s="23"/>
      <c r="J232" s="23" t="s">
        <v>14</v>
      </c>
      <c r="K232" s="23" t="s">
        <v>13</v>
      </c>
      <c r="L232" s="32">
        <v>46204.46894590278</v>
      </c>
      <c r="M232" s="23"/>
      <c r="N232" s="2" t="s">
        <v>84</v>
      </c>
    </row>
    <row r="233" spans="1:14" ht="75" customHeight="1" thickTop="1" thickBot="1">
      <c r="A233" s="25">
        <v>231</v>
      </c>
      <c r="B233" s="32">
        <v>46204.456842407402</v>
      </c>
      <c r="C233" s="33" t="s">
        <v>97</v>
      </c>
      <c r="D233" s="33" t="s">
        <v>272</v>
      </c>
      <c r="E233" s="23" t="s">
        <v>99</v>
      </c>
      <c r="F233" s="23" t="s">
        <v>102</v>
      </c>
      <c r="G233" s="23" t="s">
        <v>101</v>
      </c>
      <c r="H233" s="23" t="s">
        <v>322</v>
      </c>
      <c r="I233" s="23"/>
      <c r="J233" s="23" t="s">
        <v>14</v>
      </c>
      <c r="K233" s="23" t="s">
        <v>13</v>
      </c>
      <c r="L233" s="32">
        <v>46204.468984421299</v>
      </c>
      <c r="M233" s="23"/>
      <c r="N233" s="2" t="s">
        <v>77</v>
      </c>
    </row>
    <row r="234" spans="1:14" ht="75" customHeight="1" thickTop="1" thickBot="1">
      <c r="A234" s="23">
        <v>232</v>
      </c>
      <c r="B234" s="32">
        <v>46204.457415798599</v>
      </c>
      <c r="C234" s="33" t="s">
        <v>97</v>
      </c>
      <c r="D234" s="33" t="s">
        <v>272</v>
      </c>
      <c r="E234" s="23" t="s">
        <v>99</v>
      </c>
      <c r="F234" s="23" t="s">
        <v>150</v>
      </c>
      <c r="G234" s="23" t="s">
        <v>981</v>
      </c>
      <c r="H234" s="23" t="s">
        <v>323</v>
      </c>
      <c r="I234" s="23"/>
      <c r="J234" s="23" t="s">
        <v>14</v>
      </c>
      <c r="K234" s="23" t="s">
        <v>13</v>
      </c>
      <c r="L234" s="32">
        <v>46204.469038391202</v>
      </c>
      <c r="M234" s="23"/>
      <c r="N234" s="2" t="s">
        <v>77</v>
      </c>
    </row>
    <row r="235" spans="1:14" ht="75" customHeight="1" thickTop="1" thickBot="1">
      <c r="A235" s="25">
        <v>233</v>
      </c>
      <c r="B235" s="32">
        <v>46204.457753888797</v>
      </c>
      <c r="C235" s="33" t="s">
        <v>97</v>
      </c>
      <c r="D235" s="33" t="s">
        <v>272</v>
      </c>
      <c r="E235" s="23" t="s">
        <v>99</v>
      </c>
      <c r="F235" s="23" t="s">
        <v>116</v>
      </c>
      <c r="G235" s="23" t="s">
        <v>981</v>
      </c>
      <c r="H235" s="23" t="s">
        <v>324</v>
      </c>
      <c r="I235" s="23"/>
      <c r="J235" s="23" t="s">
        <v>14</v>
      </c>
      <c r="K235" s="23" t="s">
        <v>13</v>
      </c>
      <c r="L235" s="32">
        <v>46204.469116064814</v>
      </c>
      <c r="M235" s="23"/>
      <c r="N235" s="2" t="s">
        <v>77</v>
      </c>
    </row>
    <row r="236" spans="1:14" ht="75" customHeight="1" thickTop="1" thickBot="1">
      <c r="A236" s="23">
        <v>234</v>
      </c>
      <c r="B236" s="32">
        <v>46204.457973460601</v>
      </c>
      <c r="C236" s="33" t="s">
        <v>97</v>
      </c>
      <c r="D236" s="33" t="s">
        <v>272</v>
      </c>
      <c r="E236" s="23" t="s">
        <v>99</v>
      </c>
      <c r="F236" s="23" t="s">
        <v>325</v>
      </c>
      <c r="G236" s="23" t="s">
        <v>326</v>
      </c>
      <c r="H236" s="23" t="s">
        <v>1127</v>
      </c>
      <c r="I236" s="23"/>
      <c r="J236" s="23" t="s">
        <v>14</v>
      </c>
      <c r="K236" s="23" t="s">
        <v>13</v>
      </c>
      <c r="L236" s="32">
        <v>46204.469167002317</v>
      </c>
      <c r="M236" s="23"/>
      <c r="N236" s="2" t="s">
        <v>77</v>
      </c>
    </row>
    <row r="237" spans="1:14" ht="75" customHeight="1" thickTop="1" thickBot="1">
      <c r="A237" s="25">
        <v>235</v>
      </c>
      <c r="B237" s="32">
        <v>46204.458222187401</v>
      </c>
      <c r="C237" s="33" t="s">
        <v>97</v>
      </c>
      <c r="D237" s="33" t="s">
        <v>272</v>
      </c>
      <c r="E237" s="23" t="s">
        <v>99</v>
      </c>
      <c r="F237" s="23" t="s">
        <v>286</v>
      </c>
      <c r="G237" s="23" t="s">
        <v>981</v>
      </c>
      <c r="H237" s="23" t="s">
        <v>1128</v>
      </c>
      <c r="I237" s="23"/>
      <c r="J237" s="23" t="s">
        <v>14</v>
      </c>
      <c r="K237" s="23" t="s">
        <v>13</v>
      </c>
      <c r="L237" s="32">
        <v>46204.469223854168</v>
      </c>
      <c r="M237" s="23"/>
      <c r="N237" s="2" t="s">
        <v>77</v>
      </c>
    </row>
    <row r="238" spans="1:14" ht="75" customHeight="1" thickTop="1" thickBot="1">
      <c r="A238" s="23">
        <v>236</v>
      </c>
      <c r="B238" s="32">
        <v>46204.458551122603</v>
      </c>
      <c r="C238" s="33" t="s">
        <v>97</v>
      </c>
      <c r="D238" s="33" t="s">
        <v>272</v>
      </c>
      <c r="E238" s="23" t="s">
        <v>99</v>
      </c>
      <c r="F238" s="23" t="s">
        <v>100</v>
      </c>
      <c r="G238" s="23" t="s">
        <v>981</v>
      </c>
      <c r="H238" s="23" t="s">
        <v>1129</v>
      </c>
      <c r="I238" s="23"/>
      <c r="J238" s="23" t="s">
        <v>14</v>
      </c>
      <c r="K238" s="23" t="s">
        <v>13</v>
      </c>
      <c r="L238" s="32">
        <v>46204.469283495375</v>
      </c>
      <c r="M238" s="23"/>
      <c r="N238" s="2" t="s">
        <v>77</v>
      </c>
    </row>
    <row r="239" spans="1:14" ht="75" customHeight="1" thickTop="1" thickBot="1">
      <c r="A239" s="25">
        <v>237</v>
      </c>
      <c r="B239" s="32">
        <v>46204.458870080998</v>
      </c>
      <c r="C239" s="33" t="s">
        <v>97</v>
      </c>
      <c r="D239" s="33" t="s">
        <v>272</v>
      </c>
      <c r="E239" s="23" t="s">
        <v>99</v>
      </c>
      <c r="F239" s="23" t="s">
        <v>150</v>
      </c>
      <c r="G239" s="23" t="s">
        <v>327</v>
      </c>
      <c r="H239" s="23" t="s">
        <v>328</v>
      </c>
      <c r="I239" s="23"/>
      <c r="J239" s="23" t="s">
        <v>14</v>
      </c>
      <c r="K239" s="23" t="s">
        <v>13</v>
      </c>
      <c r="L239" s="32">
        <v>46204.469375729168</v>
      </c>
      <c r="M239" s="23"/>
      <c r="N239" s="2" t="s">
        <v>77</v>
      </c>
    </row>
    <row r="240" spans="1:14" ht="75" customHeight="1" thickTop="1" thickBot="1">
      <c r="A240" s="23">
        <v>238</v>
      </c>
      <c r="B240" s="32">
        <v>46204.459103819398</v>
      </c>
      <c r="C240" s="33" t="s">
        <v>97</v>
      </c>
      <c r="D240" s="33" t="s">
        <v>272</v>
      </c>
      <c r="E240" s="23" t="s">
        <v>99</v>
      </c>
      <c r="F240" s="23" t="s">
        <v>116</v>
      </c>
      <c r="G240" s="23" t="s">
        <v>329</v>
      </c>
      <c r="H240" s="23" t="s">
        <v>330</v>
      </c>
      <c r="I240" s="23"/>
      <c r="J240" s="23" t="s">
        <v>14</v>
      </c>
      <c r="K240" s="23" t="s">
        <v>13</v>
      </c>
      <c r="L240" s="32">
        <v>46204.469438043983</v>
      </c>
      <c r="M240" s="23"/>
      <c r="N240" s="2" t="s">
        <v>77</v>
      </c>
    </row>
    <row r="241" spans="1:14" ht="75" customHeight="1" thickTop="1" thickBot="1">
      <c r="A241" s="25">
        <v>239</v>
      </c>
      <c r="B241" s="32">
        <v>46204.459436064797</v>
      </c>
      <c r="C241" s="33" t="s">
        <v>97</v>
      </c>
      <c r="D241" s="33" t="s">
        <v>272</v>
      </c>
      <c r="E241" s="23" t="s">
        <v>99</v>
      </c>
      <c r="F241" s="23" t="s">
        <v>102</v>
      </c>
      <c r="G241" s="23" t="s">
        <v>981</v>
      </c>
      <c r="H241" s="23" t="s">
        <v>331</v>
      </c>
      <c r="I241" s="23"/>
      <c r="J241" s="23" t="s">
        <v>14</v>
      </c>
      <c r="K241" s="23" t="s">
        <v>13</v>
      </c>
      <c r="L241" s="32">
        <v>46204.498326597226</v>
      </c>
      <c r="M241" s="23"/>
      <c r="N241" s="2"/>
    </row>
    <row r="242" spans="1:14" ht="75" customHeight="1" thickTop="1" thickBot="1">
      <c r="A242" s="23">
        <v>240</v>
      </c>
      <c r="B242" s="32">
        <v>46204.459833587898</v>
      </c>
      <c r="C242" s="33" t="s">
        <v>97</v>
      </c>
      <c r="D242" s="33" t="s">
        <v>272</v>
      </c>
      <c r="E242" s="23" t="s">
        <v>99</v>
      </c>
      <c r="F242" s="23" t="s">
        <v>102</v>
      </c>
      <c r="G242" s="23" t="s">
        <v>110</v>
      </c>
      <c r="H242" s="23" t="s">
        <v>332</v>
      </c>
      <c r="I242" s="23"/>
      <c r="J242" s="23" t="s">
        <v>14</v>
      </c>
      <c r="K242" s="23" t="s">
        <v>13</v>
      </c>
      <c r="L242" s="32">
        <v>46204.49841649305</v>
      </c>
      <c r="M242" s="23"/>
      <c r="N242" s="2"/>
    </row>
    <row r="243" spans="1:14" ht="75" customHeight="1" thickTop="1" thickBot="1">
      <c r="A243" s="25">
        <v>241</v>
      </c>
      <c r="B243" s="32">
        <v>46204.460123391204</v>
      </c>
      <c r="C243" s="33" t="s">
        <v>97</v>
      </c>
      <c r="D243" s="33" t="s">
        <v>272</v>
      </c>
      <c r="E243" s="23" t="s">
        <v>99</v>
      </c>
      <c r="F243" s="23" t="s">
        <v>286</v>
      </c>
      <c r="G243" s="23" t="s">
        <v>110</v>
      </c>
      <c r="H243" s="23" t="s">
        <v>333</v>
      </c>
      <c r="I243" s="23"/>
      <c r="J243" s="23" t="s">
        <v>14</v>
      </c>
      <c r="K243" s="23" t="s">
        <v>13</v>
      </c>
      <c r="L243" s="32">
        <v>46204.498480567127</v>
      </c>
      <c r="M243" s="23"/>
      <c r="N243" s="2"/>
    </row>
    <row r="244" spans="1:14" ht="75" customHeight="1" thickTop="1" thickBot="1">
      <c r="A244" s="23">
        <v>242</v>
      </c>
      <c r="B244" s="32">
        <v>46204.461093356404</v>
      </c>
      <c r="C244" s="33" t="s">
        <v>97</v>
      </c>
      <c r="D244" s="33" t="s">
        <v>272</v>
      </c>
      <c r="E244" s="23" t="s">
        <v>99</v>
      </c>
      <c r="F244" s="23" t="s">
        <v>102</v>
      </c>
      <c r="G244" s="23" t="s">
        <v>110</v>
      </c>
      <c r="H244" s="23" t="s">
        <v>334</v>
      </c>
      <c r="I244" s="23"/>
      <c r="J244" s="23" t="s">
        <v>14</v>
      </c>
      <c r="K244" s="23" t="s">
        <v>13</v>
      </c>
      <c r="L244" s="32">
        <v>46204.498557372688</v>
      </c>
      <c r="M244" s="23"/>
      <c r="N244" s="2"/>
    </row>
    <row r="245" spans="1:14" ht="75" customHeight="1" thickTop="1" thickBot="1">
      <c r="A245" s="25">
        <v>243</v>
      </c>
      <c r="B245" s="32">
        <v>46204.461410150398</v>
      </c>
      <c r="C245" s="33" t="s">
        <v>97</v>
      </c>
      <c r="D245" s="33" t="s">
        <v>272</v>
      </c>
      <c r="E245" s="23" t="s">
        <v>99</v>
      </c>
      <c r="F245" s="23" t="s">
        <v>116</v>
      </c>
      <c r="G245" s="23" t="s">
        <v>108</v>
      </c>
      <c r="H245" s="23" t="s">
        <v>335</v>
      </c>
      <c r="I245" s="23"/>
      <c r="J245" s="23" t="s">
        <v>14</v>
      </c>
      <c r="K245" s="23" t="s">
        <v>13</v>
      </c>
      <c r="L245" s="32">
        <v>46204.522192418983</v>
      </c>
      <c r="M245" s="23"/>
      <c r="N245" s="2"/>
    </row>
    <row r="246" spans="1:14" ht="75" customHeight="1" thickTop="1" thickBot="1">
      <c r="A246" s="23">
        <v>244</v>
      </c>
      <c r="B246" s="32">
        <v>46204.461848530002</v>
      </c>
      <c r="C246" s="33" t="s">
        <v>97</v>
      </c>
      <c r="D246" s="33" t="s">
        <v>272</v>
      </c>
      <c r="E246" s="23" t="s">
        <v>99</v>
      </c>
      <c r="F246" s="23" t="s">
        <v>159</v>
      </c>
      <c r="G246" s="23" t="s">
        <v>981</v>
      </c>
      <c r="H246" s="23" t="s">
        <v>1126</v>
      </c>
      <c r="I246" s="23"/>
      <c r="J246" s="23" t="s">
        <v>14</v>
      </c>
      <c r="K246" s="23" t="s">
        <v>13</v>
      </c>
      <c r="L246" s="32">
        <v>46204.5222081713</v>
      </c>
      <c r="M246" s="23"/>
      <c r="N246" s="2"/>
    </row>
    <row r="247" spans="1:14" ht="75" customHeight="1" thickTop="1" thickBot="1">
      <c r="A247" s="25">
        <v>245</v>
      </c>
      <c r="B247" s="32">
        <v>46204.461998368002</v>
      </c>
      <c r="C247" s="33" t="s">
        <v>97</v>
      </c>
      <c r="D247" s="33" t="s">
        <v>272</v>
      </c>
      <c r="E247" s="23" t="s">
        <v>99</v>
      </c>
      <c r="F247" s="23" t="s">
        <v>336</v>
      </c>
      <c r="G247" s="23" t="s">
        <v>101</v>
      </c>
      <c r="H247" s="23" t="s">
        <v>337</v>
      </c>
      <c r="I247" s="23"/>
      <c r="J247" s="23" t="s">
        <v>14</v>
      </c>
      <c r="K247" s="23" t="s">
        <v>13</v>
      </c>
      <c r="L247" s="32">
        <v>46204.522222789354</v>
      </c>
      <c r="M247" s="23"/>
      <c r="N247" s="2"/>
    </row>
    <row r="248" spans="1:14" ht="75" customHeight="1" thickTop="1" thickBot="1">
      <c r="A248" s="23">
        <v>246</v>
      </c>
      <c r="B248" s="32">
        <v>46204.462281076303</v>
      </c>
      <c r="C248" s="33" t="s">
        <v>97</v>
      </c>
      <c r="D248" s="33" t="s">
        <v>272</v>
      </c>
      <c r="E248" s="23" t="s">
        <v>99</v>
      </c>
      <c r="F248" s="23" t="s">
        <v>102</v>
      </c>
      <c r="G248" s="23" t="s">
        <v>110</v>
      </c>
      <c r="H248" s="23" t="s">
        <v>338</v>
      </c>
      <c r="I248" s="23"/>
      <c r="J248" s="23" t="s">
        <v>14</v>
      </c>
      <c r="K248" s="23" t="s">
        <v>13</v>
      </c>
      <c r="L248" s="32">
        <v>46204.522239270838</v>
      </c>
      <c r="M248" s="23"/>
      <c r="N248" s="2"/>
    </row>
    <row r="249" spans="1:14" ht="75" customHeight="1" thickTop="1" thickBot="1">
      <c r="A249" s="25">
        <v>247</v>
      </c>
      <c r="B249" s="32">
        <v>46204.462530729099</v>
      </c>
      <c r="C249" s="33" t="s">
        <v>97</v>
      </c>
      <c r="D249" s="33" t="s">
        <v>272</v>
      </c>
      <c r="E249" s="23" t="s">
        <v>99</v>
      </c>
      <c r="F249" s="23" t="s">
        <v>100</v>
      </c>
      <c r="G249" s="23" t="s">
        <v>106</v>
      </c>
      <c r="H249" s="23" t="s">
        <v>339</v>
      </c>
      <c r="I249" s="23"/>
      <c r="J249" s="23" t="s">
        <v>14</v>
      </c>
      <c r="K249" s="23" t="s">
        <v>13</v>
      </c>
      <c r="L249" s="32">
        <v>46204.522605127313</v>
      </c>
      <c r="M249" s="23"/>
      <c r="N249" s="2"/>
    </row>
    <row r="250" spans="1:14" ht="75" customHeight="1" thickTop="1" thickBot="1">
      <c r="A250" s="23">
        <v>248</v>
      </c>
      <c r="B250" s="32">
        <v>46204.462593888798</v>
      </c>
      <c r="C250" s="33" t="s">
        <v>97</v>
      </c>
      <c r="D250" s="33" t="s">
        <v>272</v>
      </c>
      <c r="E250" s="23" t="s">
        <v>99</v>
      </c>
      <c r="F250" s="23" t="s">
        <v>102</v>
      </c>
      <c r="G250" s="23" t="s">
        <v>168</v>
      </c>
      <c r="H250" s="23" t="s">
        <v>340</v>
      </c>
      <c r="I250" s="23"/>
      <c r="J250" s="23" t="s">
        <v>14</v>
      </c>
      <c r="K250" s="23" t="s">
        <v>13</v>
      </c>
      <c r="L250" s="32">
        <v>46204.522631354164</v>
      </c>
      <c r="M250" s="23"/>
      <c r="N250" s="2"/>
    </row>
    <row r="251" spans="1:14" ht="75" customHeight="1" thickTop="1" thickBot="1">
      <c r="A251" s="25">
        <v>249</v>
      </c>
      <c r="B251" s="32">
        <v>46204.463136018501</v>
      </c>
      <c r="C251" s="33" t="s">
        <v>97</v>
      </c>
      <c r="D251" s="33" t="s">
        <v>272</v>
      </c>
      <c r="E251" s="23" t="s">
        <v>99</v>
      </c>
      <c r="F251" s="23" t="s">
        <v>102</v>
      </c>
      <c r="G251" s="23" t="s">
        <v>110</v>
      </c>
      <c r="H251" s="23" t="s">
        <v>341</v>
      </c>
      <c r="I251" s="23"/>
      <c r="J251" s="23" t="s">
        <v>14</v>
      </c>
      <c r="K251" s="23" t="s">
        <v>13</v>
      </c>
      <c r="L251" s="32">
        <v>46204.52275773148</v>
      </c>
      <c r="M251" s="23"/>
      <c r="N251" s="2"/>
    </row>
    <row r="252" spans="1:14" ht="75" customHeight="1" thickTop="1" thickBot="1">
      <c r="A252" s="23">
        <v>250</v>
      </c>
      <c r="B252" s="32">
        <v>46204.463519236102</v>
      </c>
      <c r="C252" s="33" t="s">
        <v>97</v>
      </c>
      <c r="D252" s="33" t="s">
        <v>272</v>
      </c>
      <c r="E252" s="23" t="s">
        <v>99</v>
      </c>
      <c r="F252" s="23" t="s">
        <v>102</v>
      </c>
      <c r="G252" s="23" t="s">
        <v>110</v>
      </c>
      <c r="H252" s="23" t="s">
        <v>319</v>
      </c>
      <c r="I252" s="23"/>
      <c r="J252" s="23" t="s">
        <v>14</v>
      </c>
      <c r="K252" s="23" t="s">
        <v>13</v>
      </c>
      <c r="L252" s="32">
        <v>46204.52290019676</v>
      </c>
      <c r="M252" s="23"/>
      <c r="N252" s="2"/>
    </row>
    <row r="253" spans="1:14" ht="75" customHeight="1" thickTop="1" thickBot="1">
      <c r="A253" s="25">
        <v>251</v>
      </c>
      <c r="B253" s="32">
        <v>46204.463704016198</v>
      </c>
      <c r="C253" s="33" t="s">
        <v>97</v>
      </c>
      <c r="D253" s="33" t="s">
        <v>272</v>
      </c>
      <c r="E253" s="23" t="s">
        <v>99</v>
      </c>
      <c r="F253" s="23" t="s">
        <v>102</v>
      </c>
      <c r="G253" s="23" t="s">
        <v>110</v>
      </c>
      <c r="H253" s="23" t="s">
        <v>1130</v>
      </c>
      <c r="I253" s="23"/>
      <c r="J253" s="23" t="s">
        <v>14</v>
      </c>
      <c r="K253" s="23" t="s">
        <v>13</v>
      </c>
      <c r="L253" s="32">
        <v>46204.522931122687</v>
      </c>
      <c r="M253" s="23"/>
      <c r="N253" s="2"/>
    </row>
    <row r="254" spans="1:14" ht="75" customHeight="1" thickTop="1" thickBot="1">
      <c r="A254" s="23">
        <v>252</v>
      </c>
      <c r="B254" s="32">
        <v>46204.4638220833</v>
      </c>
      <c r="C254" s="33" t="s">
        <v>97</v>
      </c>
      <c r="D254" s="33" t="s">
        <v>272</v>
      </c>
      <c r="E254" s="23" t="s">
        <v>99</v>
      </c>
      <c r="F254" s="23" t="s">
        <v>102</v>
      </c>
      <c r="G254" s="23" t="s">
        <v>110</v>
      </c>
      <c r="H254" s="23" t="s">
        <v>342</v>
      </c>
      <c r="I254" s="23"/>
      <c r="J254" s="23" t="s">
        <v>14</v>
      </c>
      <c r="K254" s="23" t="s">
        <v>13</v>
      </c>
      <c r="L254" s="32">
        <v>46204.522949421298</v>
      </c>
      <c r="M254" s="23"/>
      <c r="N254" s="2"/>
    </row>
    <row r="255" spans="1:14" ht="75" customHeight="1" thickTop="1" thickBot="1">
      <c r="A255" s="25">
        <v>253</v>
      </c>
      <c r="B255" s="32">
        <v>46204.464128831001</v>
      </c>
      <c r="C255" s="33" t="s">
        <v>97</v>
      </c>
      <c r="D255" s="33" t="s">
        <v>272</v>
      </c>
      <c r="E255" s="23" t="s">
        <v>99</v>
      </c>
      <c r="F255" s="23" t="s">
        <v>102</v>
      </c>
      <c r="G255" s="23" t="s">
        <v>110</v>
      </c>
      <c r="H255" s="23" t="s">
        <v>343</v>
      </c>
      <c r="I255" s="23"/>
      <c r="J255" s="23" t="s">
        <v>14</v>
      </c>
      <c r="K255" s="23" t="s">
        <v>13</v>
      </c>
      <c r="L255" s="32">
        <v>46204.52298303241</v>
      </c>
      <c r="M255" s="23"/>
      <c r="N255" s="2" t="s">
        <v>85</v>
      </c>
    </row>
    <row r="256" spans="1:14" ht="75" customHeight="1" thickTop="1" thickBot="1">
      <c r="A256" s="23">
        <v>254</v>
      </c>
      <c r="B256" s="32">
        <v>46204.464179502298</v>
      </c>
      <c r="C256" s="33" t="s">
        <v>97</v>
      </c>
      <c r="D256" s="33" t="s">
        <v>272</v>
      </c>
      <c r="E256" s="23" t="s">
        <v>99</v>
      </c>
      <c r="F256" s="23" t="s">
        <v>102</v>
      </c>
      <c r="G256" s="23" t="s">
        <v>110</v>
      </c>
      <c r="H256" s="23" t="s">
        <v>344</v>
      </c>
      <c r="I256" s="23"/>
      <c r="J256" s="23" t="s">
        <v>14</v>
      </c>
      <c r="K256" s="23" t="s">
        <v>13</v>
      </c>
      <c r="L256" s="32">
        <v>46204.523029467593</v>
      </c>
      <c r="M256" s="23"/>
      <c r="N256" s="2" t="s">
        <v>85</v>
      </c>
    </row>
    <row r="257" spans="1:14" ht="75" customHeight="1" thickTop="1" thickBot="1">
      <c r="A257" s="25">
        <v>255</v>
      </c>
      <c r="B257" s="32">
        <v>46204.464679594901</v>
      </c>
      <c r="C257" s="33" t="s">
        <v>97</v>
      </c>
      <c r="D257" s="33" t="s">
        <v>272</v>
      </c>
      <c r="E257" s="23" t="s">
        <v>99</v>
      </c>
      <c r="F257" s="23" t="s">
        <v>116</v>
      </c>
      <c r="G257" s="23" t="s">
        <v>345</v>
      </c>
      <c r="H257" s="23" t="s">
        <v>346</v>
      </c>
      <c r="I257" s="23"/>
      <c r="J257" s="23" t="s">
        <v>14</v>
      </c>
      <c r="K257" s="23" t="s">
        <v>13</v>
      </c>
      <c r="L257" s="32">
        <v>46204.523051944445</v>
      </c>
      <c r="M257" s="23"/>
      <c r="N257" s="2" t="s">
        <v>77</v>
      </c>
    </row>
    <row r="258" spans="1:14" ht="75" customHeight="1" thickTop="1" thickBot="1">
      <c r="A258" s="23">
        <v>256</v>
      </c>
      <c r="B258" s="32">
        <v>46204.465202303203</v>
      </c>
      <c r="C258" s="33" t="s">
        <v>97</v>
      </c>
      <c r="D258" s="33" t="s">
        <v>272</v>
      </c>
      <c r="E258" s="23" t="s">
        <v>99</v>
      </c>
      <c r="F258" s="23" t="s">
        <v>102</v>
      </c>
      <c r="G258" s="23" t="s">
        <v>101</v>
      </c>
      <c r="H258" s="23" t="s">
        <v>347</v>
      </c>
      <c r="I258" s="23"/>
      <c r="J258" s="23" t="s">
        <v>14</v>
      </c>
      <c r="K258" s="23" t="s">
        <v>13</v>
      </c>
      <c r="L258" s="32">
        <v>46204.523073761578</v>
      </c>
      <c r="M258" s="23"/>
      <c r="N258" s="2" t="s">
        <v>77</v>
      </c>
    </row>
    <row r="259" spans="1:14" ht="75" customHeight="1" thickTop="1" thickBot="1">
      <c r="A259" s="25">
        <v>257</v>
      </c>
      <c r="B259" s="32">
        <v>46204.465692754602</v>
      </c>
      <c r="C259" s="33" t="s">
        <v>97</v>
      </c>
      <c r="D259" s="33" t="s">
        <v>272</v>
      </c>
      <c r="E259" s="23" t="s">
        <v>99</v>
      </c>
      <c r="F259" s="23" t="s">
        <v>102</v>
      </c>
      <c r="G259" s="23" t="s">
        <v>110</v>
      </c>
      <c r="H259" s="23" t="s">
        <v>1131</v>
      </c>
      <c r="I259" s="23"/>
      <c r="J259" s="23" t="s">
        <v>14</v>
      </c>
      <c r="K259" s="23" t="s">
        <v>13</v>
      </c>
      <c r="L259" s="32">
        <v>46204.523297905092</v>
      </c>
      <c r="M259" s="23"/>
      <c r="N259" s="2" t="s">
        <v>77</v>
      </c>
    </row>
    <row r="260" spans="1:14" ht="75" customHeight="1" thickTop="1" thickBot="1">
      <c r="A260" s="23">
        <v>258</v>
      </c>
      <c r="B260" s="32">
        <v>46204.466201851799</v>
      </c>
      <c r="C260" s="33" t="s">
        <v>97</v>
      </c>
      <c r="D260" s="33" t="s">
        <v>272</v>
      </c>
      <c r="E260" s="23" t="s">
        <v>99</v>
      </c>
      <c r="F260" s="23" t="s">
        <v>102</v>
      </c>
      <c r="G260" s="23" t="s">
        <v>101</v>
      </c>
      <c r="H260" s="23" t="s">
        <v>348</v>
      </c>
      <c r="I260" s="23"/>
      <c r="J260" s="23" t="s">
        <v>14</v>
      </c>
      <c r="K260" s="23" t="s">
        <v>13</v>
      </c>
      <c r="L260" s="32">
        <v>46204.523140138888</v>
      </c>
      <c r="M260" s="23"/>
      <c r="N260" s="2" t="s">
        <v>77</v>
      </c>
    </row>
    <row r="261" spans="1:14" ht="75" customHeight="1" thickTop="1" thickBot="1">
      <c r="A261" s="25">
        <v>259</v>
      </c>
      <c r="B261" s="32">
        <v>46204.466232442101</v>
      </c>
      <c r="C261" s="33" t="s">
        <v>97</v>
      </c>
      <c r="D261" s="33" t="s">
        <v>272</v>
      </c>
      <c r="E261" s="23" t="s">
        <v>99</v>
      </c>
      <c r="F261" s="23" t="s">
        <v>349</v>
      </c>
      <c r="G261" s="23" t="s">
        <v>350</v>
      </c>
      <c r="H261" s="23" t="s">
        <v>351</v>
      </c>
      <c r="I261" s="23"/>
      <c r="J261" s="23" t="s">
        <v>14</v>
      </c>
      <c r="K261" s="23" t="s">
        <v>13</v>
      </c>
      <c r="L261" s="32">
        <v>46204.523172037036</v>
      </c>
      <c r="M261" s="23"/>
      <c r="N261" s="2" t="s">
        <v>77</v>
      </c>
    </row>
    <row r="262" spans="1:14" ht="75" customHeight="1" thickTop="1" thickBot="1">
      <c r="A262" s="23">
        <v>260</v>
      </c>
      <c r="B262" s="32">
        <v>46204.466539236098</v>
      </c>
      <c r="C262" s="33" t="s">
        <v>97</v>
      </c>
      <c r="D262" s="33" t="s">
        <v>272</v>
      </c>
      <c r="E262" s="23" t="s">
        <v>99</v>
      </c>
      <c r="F262" s="23" t="s">
        <v>116</v>
      </c>
      <c r="G262" s="23" t="s">
        <v>106</v>
      </c>
      <c r="H262" s="23" t="s">
        <v>353</v>
      </c>
      <c r="I262" s="23"/>
      <c r="J262" s="23" t="s">
        <v>14</v>
      </c>
      <c r="K262" s="23" t="s">
        <v>13</v>
      </c>
      <c r="L262" s="32">
        <v>46204.523209074076</v>
      </c>
      <c r="M262" s="23"/>
      <c r="N262" s="2" t="s">
        <v>77</v>
      </c>
    </row>
    <row r="263" spans="1:14" ht="75" customHeight="1" thickTop="1" thickBot="1">
      <c r="A263" s="25">
        <v>261</v>
      </c>
      <c r="B263" s="32">
        <v>46204.466828472199</v>
      </c>
      <c r="C263" s="33" t="s">
        <v>97</v>
      </c>
      <c r="D263" s="33" t="s">
        <v>272</v>
      </c>
      <c r="E263" s="23" t="s">
        <v>99</v>
      </c>
      <c r="F263" s="23" t="s">
        <v>100</v>
      </c>
      <c r="G263" s="23" t="s">
        <v>110</v>
      </c>
      <c r="H263" s="23" t="s">
        <v>354</v>
      </c>
      <c r="I263" s="23"/>
      <c r="J263" s="23" t="s">
        <v>14</v>
      </c>
      <c r="K263" s="23" t="s">
        <v>13</v>
      </c>
      <c r="L263" s="32">
        <v>46204.523233217595</v>
      </c>
      <c r="M263" s="23"/>
      <c r="N263" s="2" t="s">
        <v>77</v>
      </c>
    </row>
    <row r="264" spans="1:14" ht="75" customHeight="1" thickTop="1" thickBot="1">
      <c r="A264" s="23">
        <v>262</v>
      </c>
      <c r="B264" s="32">
        <v>46204.466989432804</v>
      </c>
      <c r="C264" s="33" t="s">
        <v>97</v>
      </c>
      <c r="D264" s="33" t="s">
        <v>272</v>
      </c>
      <c r="E264" s="23" t="s">
        <v>99</v>
      </c>
      <c r="F264" s="23" t="s">
        <v>150</v>
      </c>
      <c r="G264" s="23" t="s">
        <v>981</v>
      </c>
      <c r="H264" s="23" t="s">
        <v>355</v>
      </c>
      <c r="I264" s="23"/>
      <c r="J264" s="23" t="s">
        <v>14</v>
      </c>
      <c r="K264" s="23" t="s">
        <v>13</v>
      </c>
      <c r="L264" s="32">
        <v>46204.523255370368</v>
      </c>
      <c r="M264" s="23"/>
      <c r="N264" s="2" t="s">
        <v>77</v>
      </c>
    </row>
    <row r="265" spans="1:14" ht="75" customHeight="1" thickTop="1" thickBot="1">
      <c r="A265" s="25">
        <v>263</v>
      </c>
      <c r="B265" s="32">
        <v>46204.467207962902</v>
      </c>
      <c r="C265" s="33" t="s">
        <v>97</v>
      </c>
      <c r="D265" s="33" t="s">
        <v>272</v>
      </c>
      <c r="E265" s="23" t="s">
        <v>99</v>
      </c>
      <c r="F265" s="23" t="s">
        <v>102</v>
      </c>
      <c r="G265" s="23" t="s">
        <v>110</v>
      </c>
      <c r="H265" s="23" t="s">
        <v>356</v>
      </c>
      <c r="I265" s="23"/>
      <c r="J265" s="23" t="s">
        <v>14</v>
      </c>
      <c r="K265" s="23" t="s">
        <v>13</v>
      </c>
      <c r="L265" s="32">
        <v>46204.523286724536</v>
      </c>
      <c r="M265" s="23"/>
      <c r="N265" s="2" t="s">
        <v>77</v>
      </c>
    </row>
    <row r="266" spans="1:14" ht="75" customHeight="1" thickTop="1" thickBot="1">
      <c r="A266" s="23">
        <v>264</v>
      </c>
      <c r="B266" s="32">
        <v>46204.467566377301</v>
      </c>
      <c r="C266" s="33" t="s">
        <v>97</v>
      </c>
      <c r="D266" s="33" t="s">
        <v>272</v>
      </c>
      <c r="E266" s="23" t="s">
        <v>99</v>
      </c>
      <c r="F266" s="23" t="s">
        <v>102</v>
      </c>
      <c r="G266" s="23" t="s">
        <v>110</v>
      </c>
      <c r="H266" s="23" t="s">
        <v>357</v>
      </c>
      <c r="I266" s="23"/>
      <c r="J266" s="23" t="s">
        <v>14</v>
      </c>
      <c r="K266" s="23" t="s">
        <v>13</v>
      </c>
      <c r="L266" s="32">
        <v>46204.524092106483</v>
      </c>
      <c r="M266" s="23"/>
      <c r="N266" s="2" t="s">
        <v>77</v>
      </c>
    </row>
    <row r="267" spans="1:14" ht="75" customHeight="1" thickTop="1" thickBot="1">
      <c r="A267" s="25">
        <v>265</v>
      </c>
      <c r="B267" s="32">
        <v>46204.468084988403</v>
      </c>
      <c r="C267" s="33" t="s">
        <v>97</v>
      </c>
      <c r="D267" s="33" t="s">
        <v>272</v>
      </c>
      <c r="E267" s="23" t="s">
        <v>99</v>
      </c>
      <c r="F267" s="23" t="s">
        <v>1132</v>
      </c>
      <c r="G267" s="23" t="s">
        <v>981</v>
      </c>
      <c r="H267" s="23" t="s">
        <v>358</v>
      </c>
      <c r="I267" s="23"/>
      <c r="J267" s="23" t="s">
        <v>14</v>
      </c>
      <c r="K267" s="23" t="s">
        <v>13</v>
      </c>
      <c r="L267" s="32">
        <v>46204.524117986111</v>
      </c>
      <c r="M267" s="23"/>
      <c r="N267" s="2" t="s">
        <v>77</v>
      </c>
    </row>
    <row r="268" spans="1:14" ht="75" customHeight="1" thickTop="1" thickBot="1">
      <c r="A268" s="23">
        <v>266</v>
      </c>
      <c r="B268" s="32">
        <v>46204.468432175898</v>
      </c>
      <c r="C268" s="33" t="s">
        <v>97</v>
      </c>
      <c r="D268" s="33" t="s">
        <v>272</v>
      </c>
      <c r="E268" s="23" t="s">
        <v>99</v>
      </c>
      <c r="F268" s="23" t="s">
        <v>1132</v>
      </c>
      <c r="G268" s="23" t="s">
        <v>981</v>
      </c>
      <c r="H268" s="23" t="s">
        <v>359</v>
      </c>
      <c r="I268" s="23" t="s">
        <v>360</v>
      </c>
      <c r="J268" s="23" t="s">
        <v>14</v>
      </c>
      <c r="K268" s="23" t="s">
        <v>13</v>
      </c>
      <c r="L268" s="32">
        <v>46204.524144594907</v>
      </c>
      <c r="M268" s="23"/>
      <c r="N268" s="2" t="s">
        <v>77</v>
      </c>
    </row>
    <row r="269" spans="1:14" ht="75" customHeight="1" thickTop="1" thickBot="1">
      <c r="A269" s="25">
        <v>267</v>
      </c>
      <c r="B269" s="32">
        <v>46204.468838541601</v>
      </c>
      <c r="C269" s="33" t="s">
        <v>97</v>
      </c>
      <c r="D269" s="33" t="s">
        <v>272</v>
      </c>
      <c r="E269" s="23" t="s">
        <v>99</v>
      </c>
      <c r="F269" s="23" t="s">
        <v>126</v>
      </c>
      <c r="G269" s="23" t="s">
        <v>110</v>
      </c>
      <c r="H269" s="23" t="s">
        <v>361</v>
      </c>
      <c r="I269" s="23"/>
      <c r="J269" s="23" t="s">
        <v>14</v>
      </c>
      <c r="K269" s="23" t="s">
        <v>13</v>
      </c>
      <c r="L269" s="32">
        <v>46204.524174895836</v>
      </c>
      <c r="M269" s="23"/>
      <c r="N269" s="2" t="s">
        <v>77</v>
      </c>
    </row>
    <row r="270" spans="1:14" ht="75" customHeight="1" thickTop="1" thickBot="1">
      <c r="A270" s="23">
        <v>268</v>
      </c>
      <c r="B270" s="32">
        <v>46204.469174143502</v>
      </c>
      <c r="C270" s="33" t="s">
        <v>97</v>
      </c>
      <c r="D270" s="33" t="s">
        <v>272</v>
      </c>
      <c r="E270" s="23" t="s">
        <v>99</v>
      </c>
      <c r="F270" s="23" t="s">
        <v>116</v>
      </c>
      <c r="G270" s="23" t="s">
        <v>106</v>
      </c>
      <c r="H270" s="23" t="s">
        <v>362</v>
      </c>
      <c r="I270" s="23"/>
      <c r="J270" s="23" t="s">
        <v>14</v>
      </c>
      <c r="K270" s="23" t="s">
        <v>13</v>
      </c>
      <c r="L270" s="32">
        <v>46204.524204861111</v>
      </c>
      <c r="M270" s="23"/>
      <c r="N270" s="2" t="s">
        <v>80</v>
      </c>
    </row>
    <row r="271" spans="1:14" ht="75" customHeight="1" thickTop="1" thickBot="1">
      <c r="A271" s="25">
        <v>269</v>
      </c>
      <c r="B271" s="32">
        <v>46204.469190277698</v>
      </c>
      <c r="C271" s="33" t="s">
        <v>97</v>
      </c>
      <c r="D271" s="33" t="s">
        <v>272</v>
      </c>
      <c r="E271" s="23" t="s">
        <v>99</v>
      </c>
      <c r="F271" s="23" t="s">
        <v>116</v>
      </c>
      <c r="G271" s="23" t="s">
        <v>106</v>
      </c>
      <c r="H271" s="23" t="s">
        <v>363</v>
      </c>
      <c r="I271" s="23"/>
      <c r="J271" s="23" t="s">
        <v>14</v>
      </c>
      <c r="K271" s="23" t="s">
        <v>13</v>
      </c>
      <c r="L271" s="32">
        <v>46204.524225856483</v>
      </c>
      <c r="M271" s="23"/>
      <c r="N271" s="2" t="s">
        <v>77</v>
      </c>
    </row>
    <row r="272" spans="1:14" ht="75" customHeight="1" thickTop="1" thickBot="1">
      <c r="A272" s="23">
        <v>270</v>
      </c>
      <c r="B272" s="32">
        <v>46204.469668819402</v>
      </c>
      <c r="C272" s="33" t="s">
        <v>97</v>
      </c>
      <c r="D272" s="33" t="s">
        <v>272</v>
      </c>
      <c r="E272" s="23" t="s">
        <v>99</v>
      </c>
      <c r="F272" s="23" t="s">
        <v>100</v>
      </c>
      <c r="G272" s="23" t="s">
        <v>152</v>
      </c>
      <c r="H272" s="23" t="s">
        <v>364</v>
      </c>
      <c r="I272" s="23"/>
      <c r="J272" s="23" t="s">
        <v>14</v>
      </c>
      <c r="K272" s="23" t="s">
        <v>13</v>
      </c>
      <c r="L272" s="32">
        <v>46204.524259039354</v>
      </c>
      <c r="M272" s="23"/>
      <c r="N272" s="2" t="s">
        <v>77</v>
      </c>
    </row>
    <row r="273" spans="1:14" ht="75" customHeight="1" thickTop="1" thickBot="1">
      <c r="A273" s="25">
        <v>271</v>
      </c>
      <c r="B273" s="32">
        <v>46204.470194247602</v>
      </c>
      <c r="C273" s="33" t="s">
        <v>97</v>
      </c>
      <c r="D273" s="33" t="s">
        <v>272</v>
      </c>
      <c r="E273" s="23" t="s">
        <v>99</v>
      </c>
      <c r="F273" s="23" t="s">
        <v>116</v>
      </c>
      <c r="G273" s="23" t="s">
        <v>365</v>
      </c>
      <c r="H273" s="23" t="s">
        <v>366</v>
      </c>
      <c r="I273" s="23"/>
      <c r="J273" s="23" t="s">
        <v>14</v>
      </c>
      <c r="K273" s="23" t="s">
        <v>13</v>
      </c>
      <c r="L273" s="32">
        <v>46204.524282025464</v>
      </c>
      <c r="M273" s="23"/>
      <c r="N273" s="2" t="s">
        <v>77</v>
      </c>
    </row>
    <row r="274" spans="1:14" ht="75" customHeight="1" thickTop="1" thickBot="1">
      <c r="A274" s="23">
        <v>272</v>
      </c>
      <c r="B274" s="32">
        <v>46204.471229189803</v>
      </c>
      <c r="C274" s="33" t="s">
        <v>97</v>
      </c>
      <c r="D274" s="33" t="s">
        <v>272</v>
      </c>
      <c r="E274" s="23" t="s">
        <v>99</v>
      </c>
      <c r="F274" s="23" t="s">
        <v>367</v>
      </c>
      <c r="G274" s="23" t="s">
        <v>101</v>
      </c>
      <c r="H274" s="23" t="s">
        <v>368</v>
      </c>
      <c r="I274" s="23"/>
      <c r="J274" s="23" t="s">
        <v>14</v>
      </c>
      <c r="K274" s="23" t="s">
        <v>13</v>
      </c>
      <c r="L274" s="32">
        <v>46204.524314282404</v>
      </c>
      <c r="M274" s="23"/>
      <c r="N274" s="2" t="s">
        <v>77</v>
      </c>
    </row>
    <row r="275" spans="1:14" ht="75" customHeight="1" thickTop="1" thickBot="1">
      <c r="A275" s="25">
        <v>273</v>
      </c>
      <c r="B275" s="32">
        <v>46204.471698483801</v>
      </c>
      <c r="C275" s="33" t="s">
        <v>97</v>
      </c>
      <c r="D275" s="33" t="s">
        <v>272</v>
      </c>
      <c r="E275" s="23" t="s">
        <v>99</v>
      </c>
      <c r="F275" s="23" t="s">
        <v>116</v>
      </c>
      <c r="G275" s="23" t="s">
        <v>106</v>
      </c>
      <c r="H275" s="23" t="s">
        <v>369</v>
      </c>
      <c r="I275" s="23"/>
      <c r="J275" s="23" t="s">
        <v>14</v>
      </c>
      <c r="K275" s="23" t="s">
        <v>13</v>
      </c>
      <c r="L275" s="32">
        <v>46204.524355648144</v>
      </c>
      <c r="M275" s="23"/>
      <c r="N275" s="2" t="s">
        <v>77</v>
      </c>
    </row>
    <row r="276" spans="1:14" ht="75" customHeight="1" thickTop="1" thickBot="1">
      <c r="A276" s="23">
        <v>274</v>
      </c>
      <c r="B276" s="32">
        <v>46204.471954942099</v>
      </c>
      <c r="C276" s="33" t="s">
        <v>97</v>
      </c>
      <c r="D276" s="33" t="s">
        <v>407</v>
      </c>
      <c r="E276" s="23" t="s">
        <v>99</v>
      </c>
      <c r="F276" s="23" t="s">
        <v>102</v>
      </c>
      <c r="G276" s="23" t="s">
        <v>108</v>
      </c>
      <c r="H276" s="23" t="s">
        <v>370</v>
      </c>
      <c r="I276" s="23"/>
      <c r="J276" s="23" t="s">
        <v>14</v>
      </c>
      <c r="K276" s="23" t="s">
        <v>13</v>
      </c>
      <c r="L276" s="32">
        <v>46204.524370671294</v>
      </c>
      <c r="M276" s="23"/>
      <c r="N276" s="2" t="s">
        <v>77</v>
      </c>
    </row>
    <row r="277" spans="1:14" ht="75" customHeight="1" thickTop="1" thickBot="1">
      <c r="A277" s="25">
        <v>275</v>
      </c>
      <c r="B277" s="32">
        <v>46204.472087141199</v>
      </c>
      <c r="C277" s="33" t="s">
        <v>97</v>
      </c>
      <c r="D277" s="33" t="s">
        <v>272</v>
      </c>
      <c r="E277" s="23" t="s">
        <v>99</v>
      </c>
      <c r="F277" s="23" t="s">
        <v>116</v>
      </c>
      <c r="G277" s="23" t="s">
        <v>152</v>
      </c>
      <c r="H277" s="23" t="s">
        <v>371</v>
      </c>
      <c r="I277" s="23"/>
      <c r="J277" s="23" t="s">
        <v>14</v>
      </c>
      <c r="K277" s="23" t="s">
        <v>13</v>
      </c>
      <c r="L277" s="32">
        <v>46204.524394583335</v>
      </c>
      <c r="M277" s="23"/>
      <c r="N277" s="2" t="s">
        <v>77</v>
      </c>
    </row>
    <row r="278" spans="1:14" ht="75" customHeight="1" thickTop="1" thickBot="1">
      <c r="A278" s="23">
        <v>276</v>
      </c>
      <c r="B278" s="32">
        <v>46204.472497025403</v>
      </c>
      <c r="C278" s="33" t="s">
        <v>97</v>
      </c>
      <c r="D278" s="33" t="s">
        <v>272</v>
      </c>
      <c r="E278" s="23" t="s">
        <v>99</v>
      </c>
      <c r="F278" s="23" t="s">
        <v>116</v>
      </c>
      <c r="G278" s="23" t="s">
        <v>104</v>
      </c>
      <c r="H278" s="23" t="s">
        <v>372</v>
      </c>
      <c r="I278" s="23"/>
      <c r="J278" s="23" t="s">
        <v>14</v>
      </c>
      <c r="K278" s="23" t="s">
        <v>13</v>
      </c>
      <c r="L278" s="32">
        <v>46204.529704085653</v>
      </c>
      <c r="M278" s="23"/>
      <c r="N278" s="2" t="s">
        <v>77</v>
      </c>
    </row>
    <row r="279" spans="1:14" ht="75" customHeight="1" thickTop="1" thickBot="1">
      <c r="A279" s="25">
        <v>277</v>
      </c>
      <c r="B279" s="32">
        <v>46204.473402268501</v>
      </c>
      <c r="C279" s="33" t="s">
        <v>97</v>
      </c>
      <c r="D279" s="33" t="s">
        <v>272</v>
      </c>
      <c r="E279" s="23" t="s">
        <v>99</v>
      </c>
      <c r="F279" s="23" t="s">
        <v>126</v>
      </c>
      <c r="G279" s="23" t="s">
        <v>373</v>
      </c>
      <c r="H279" s="23" t="s">
        <v>374</v>
      </c>
      <c r="I279" s="23"/>
      <c r="J279" s="23" t="s">
        <v>14</v>
      </c>
      <c r="K279" s="23" t="s">
        <v>13</v>
      </c>
      <c r="L279" s="32">
        <v>46204.529726782406</v>
      </c>
      <c r="M279" s="23"/>
      <c r="N279" s="2" t="s">
        <v>77</v>
      </c>
    </row>
    <row r="280" spans="1:14" ht="75" customHeight="1" thickTop="1" thickBot="1">
      <c r="A280" s="23">
        <v>278</v>
      </c>
      <c r="B280" s="32">
        <v>46204.473737928201</v>
      </c>
      <c r="C280" s="33" t="s">
        <v>97</v>
      </c>
      <c r="D280" s="33" t="s">
        <v>272</v>
      </c>
      <c r="E280" s="23" t="s">
        <v>99</v>
      </c>
      <c r="F280" s="23" t="s">
        <v>126</v>
      </c>
      <c r="G280" s="23" t="s">
        <v>108</v>
      </c>
      <c r="H280" s="23" t="s">
        <v>375</v>
      </c>
      <c r="I280" s="23"/>
      <c r="J280" s="23" t="s">
        <v>14</v>
      </c>
      <c r="K280" s="23" t="s">
        <v>13</v>
      </c>
      <c r="L280" s="32">
        <v>46204.52974824074</v>
      </c>
      <c r="M280" s="23"/>
      <c r="N280" s="2" t="s">
        <v>77</v>
      </c>
    </row>
    <row r="281" spans="1:14" ht="75" customHeight="1" thickTop="1" thickBot="1">
      <c r="A281" s="25">
        <v>279</v>
      </c>
      <c r="B281" s="32">
        <v>46204.474295798602</v>
      </c>
      <c r="C281" s="33" t="s">
        <v>97</v>
      </c>
      <c r="D281" s="33" t="s">
        <v>272</v>
      </c>
      <c r="E281" s="23" t="s">
        <v>99</v>
      </c>
      <c r="F281" s="23" t="s">
        <v>376</v>
      </c>
      <c r="G281" s="23" t="s">
        <v>101</v>
      </c>
      <c r="H281" s="23" t="s">
        <v>377</v>
      </c>
      <c r="I281" s="23"/>
      <c r="J281" s="23" t="s">
        <v>14</v>
      </c>
      <c r="K281" s="23" t="s">
        <v>13</v>
      </c>
      <c r="L281" s="32">
        <v>46204.529765335647</v>
      </c>
      <c r="M281" s="23"/>
      <c r="N281" s="2" t="s">
        <v>77</v>
      </c>
    </row>
    <row r="282" spans="1:14" ht="75" customHeight="1" thickTop="1" thickBot="1">
      <c r="A282" s="23">
        <v>280</v>
      </c>
      <c r="B282" s="32">
        <v>46204.4755435763</v>
      </c>
      <c r="C282" s="33" t="s">
        <v>97</v>
      </c>
      <c r="D282" s="33" t="s">
        <v>395</v>
      </c>
      <c r="E282" s="23" t="s">
        <v>99</v>
      </c>
      <c r="F282" s="23" t="s">
        <v>100</v>
      </c>
      <c r="G282" s="23" t="s">
        <v>104</v>
      </c>
      <c r="H282" s="23" t="s">
        <v>113</v>
      </c>
      <c r="I282" s="23"/>
      <c r="J282" s="23" t="s">
        <v>16</v>
      </c>
      <c r="K282" s="23" t="s">
        <v>13</v>
      </c>
      <c r="L282" s="32">
        <v>46204.529787071762</v>
      </c>
      <c r="M282" s="23"/>
      <c r="N282" s="2" t="s">
        <v>77</v>
      </c>
    </row>
    <row r="283" spans="1:14" ht="75" customHeight="1" thickTop="1" thickBot="1">
      <c r="A283" s="25">
        <v>281</v>
      </c>
      <c r="B283" s="32">
        <v>46204.475734861102</v>
      </c>
      <c r="C283" s="33" t="s">
        <v>97</v>
      </c>
      <c r="D283" s="33" t="s">
        <v>272</v>
      </c>
      <c r="E283" s="23" t="s">
        <v>99</v>
      </c>
      <c r="F283" s="23" t="s">
        <v>116</v>
      </c>
      <c r="G283" s="23" t="s">
        <v>196</v>
      </c>
      <c r="H283" s="23" t="s">
        <v>378</v>
      </c>
      <c r="I283" s="23"/>
      <c r="J283" s="23" t="s">
        <v>14</v>
      </c>
      <c r="K283" s="23" t="s">
        <v>13</v>
      </c>
      <c r="L283" s="32">
        <v>46204.52980960648</v>
      </c>
      <c r="M283" s="23"/>
      <c r="N283" s="2" t="s">
        <v>77</v>
      </c>
    </row>
    <row r="284" spans="1:14" ht="75" customHeight="1" thickTop="1" thickBot="1">
      <c r="A284" s="23">
        <v>282</v>
      </c>
      <c r="B284" s="32">
        <v>46204.475980486102</v>
      </c>
      <c r="C284" s="33" t="s">
        <v>97</v>
      </c>
      <c r="D284" s="33" t="s">
        <v>395</v>
      </c>
      <c r="E284" s="23" t="s">
        <v>99</v>
      </c>
      <c r="F284" s="23" t="s">
        <v>100</v>
      </c>
      <c r="G284" s="23" t="s">
        <v>103</v>
      </c>
      <c r="H284" s="23" t="s">
        <v>114</v>
      </c>
      <c r="I284" s="23"/>
      <c r="J284" s="23" t="s">
        <v>16</v>
      </c>
      <c r="K284" s="23" t="s">
        <v>13</v>
      </c>
      <c r="L284" s="32">
        <v>46204.529831932872</v>
      </c>
      <c r="M284" s="23"/>
      <c r="N284" s="2" t="s">
        <v>77</v>
      </c>
    </row>
    <row r="285" spans="1:14" ht="75" customHeight="1" thickTop="1" thickBot="1">
      <c r="A285" s="25">
        <v>283</v>
      </c>
      <c r="B285" s="32">
        <v>46204.476277476802</v>
      </c>
      <c r="C285" s="33" t="s">
        <v>97</v>
      </c>
      <c r="D285" s="33" t="s">
        <v>272</v>
      </c>
      <c r="E285" s="23" t="s">
        <v>99</v>
      </c>
      <c r="F285" s="23" t="s">
        <v>376</v>
      </c>
      <c r="G285" s="23" t="s">
        <v>101</v>
      </c>
      <c r="H285" s="23" t="s">
        <v>379</v>
      </c>
      <c r="I285" s="23"/>
      <c r="J285" s="23" t="s">
        <v>14</v>
      </c>
      <c r="K285" s="23" t="s">
        <v>13</v>
      </c>
      <c r="L285" s="32">
        <v>46204.52986386574</v>
      </c>
      <c r="M285" s="23"/>
      <c r="N285" s="2" t="s">
        <v>77</v>
      </c>
    </row>
    <row r="286" spans="1:14" ht="75" customHeight="1" thickTop="1" thickBot="1">
      <c r="A286" s="23">
        <v>284</v>
      </c>
      <c r="B286" s="32">
        <v>46204.476919340203</v>
      </c>
      <c r="C286" s="33" t="s">
        <v>97</v>
      </c>
      <c r="D286" s="33" t="s">
        <v>272</v>
      </c>
      <c r="E286" s="23" t="s">
        <v>99</v>
      </c>
      <c r="F286" s="23" t="s">
        <v>116</v>
      </c>
      <c r="G286" s="23" t="s">
        <v>380</v>
      </c>
      <c r="H286" s="23" t="s">
        <v>381</v>
      </c>
      <c r="I286" s="23"/>
      <c r="J286" s="23" t="s">
        <v>14</v>
      </c>
      <c r="K286" s="23" t="s">
        <v>13</v>
      </c>
      <c r="L286" s="32">
        <v>46204.52990543982</v>
      </c>
      <c r="M286" s="23"/>
      <c r="N286" s="2" t="s">
        <v>77</v>
      </c>
    </row>
    <row r="287" spans="1:14" ht="75" customHeight="1" thickTop="1" thickBot="1">
      <c r="A287" s="25">
        <v>285</v>
      </c>
      <c r="B287" s="32">
        <v>46204.477185196702</v>
      </c>
      <c r="C287" s="33" t="s">
        <v>97</v>
      </c>
      <c r="D287" s="33" t="s">
        <v>272</v>
      </c>
      <c r="E287" s="23" t="s">
        <v>99</v>
      </c>
      <c r="F287" s="23" t="s">
        <v>286</v>
      </c>
      <c r="G287" s="23" t="s">
        <v>981</v>
      </c>
      <c r="H287" s="23" t="s">
        <v>382</v>
      </c>
      <c r="I287" s="23"/>
      <c r="J287" s="23" t="s">
        <v>14</v>
      </c>
      <c r="K287" s="23" t="s">
        <v>13</v>
      </c>
      <c r="L287" s="32">
        <v>46204.529949965276</v>
      </c>
      <c r="M287" s="23"/>
      <c r="N287" s="2" t="s">
        <v>77</v>
      </c>
    </row>
    <row r="288" spans="1:14" ht="75" customHeight="1" thickTop="1" thickBot="1">
      <c r="A288" s="23">
        <v>286</v>
      </c>
      <c r="B288" s="32">
        <v>46204.477394456</v>
      </c>
      <c r="C288" s="33" t="s">
        <v>97</v>
      </c>
      <c r="D288" s="33" t="s">
        <v>395</v>
      </c>
      <c r="E288" s="23" t="s">
        <v>99</v>
      </c>
      <c r="F288" s="23" t="s">
        <v>100</v>
      </c>
      <c r="G288" s="23" t="s">
        <v>108</v>
      </c>
      <c r="H288" s="23" t="s">
        <v>115</v>
      </c>
      <c r="I288" s="23"/>
      <c r="J288" s="23" t="s">
        <v>16</v>
      </c>
      <c r="K288" s="23" t="s">
        <v>13</v>
      </c>
      <c r="L288" s="32">
        <v>46204.52996399306</v>
      </c>
      <c r="M288" s="23"/>
      <c r="N288" s="2" t="s">
        <v>86</v>
      </c>
    </row>
    <row r="289" spans="1:14" ht="75" customHeight="1" thickTop="1" thickBot="1">
      <c r="A289" s="25">
        <v>287</v>
      </c>
      <c r="B289" s="32">
        <v>46204.477901643499</v>
      </c>
      <c r="C289" s="33" t="s">
        <v>97</v>
      </c>
      <c r="D289" s="33" t="s">
        <v>272</v>
      </c>
      <c r="E289" s="23" t="s">
        <v>99</v>
      </c>
      <c r="F289" s="23" t="s">
        <v>101</v>
      </c>
      <c r="G289" s="23" t="s">
        <v>101</v>
      </c>
      <c r="H289" s="23" t="s">
        <v>383</v>
      </c>
      <c r="I289" s="23"/>
      <c r="J289" s="23" t="s">
        <v>14</v>
      </c>
      <c r="K289" s="23" t="s">
        <v>13</v>
      </c>
      <c r="L289" s="32">
        <v>46204.530018113423</v>
      </c>
      <c r="M289" s="23"/>
      <c r="N289" s="2" t="s">
        <v>86</v>
      </c>
    </row>
    <row r="290" spans="1:14" ht="75" customHeight="1" thickTop="1" thickBot="1">
      <c r="A290" s="23">
        <v>288</v>
      </c>
      <c r="B290" s="32">
        <v>46204.478162615698</v>
      </c>
      <c r="C290" s="33" t="s">
        <v>97</v>
      </c>
      <c r="D290" s="33" t="s">
        <v>272</v>
      </c>
      <c r="E290" s="23" t="s">
        <v>99</v>
      </c>
      <c r="F290" s="23" t="s">
        <v>116</v>
      </c>
      <c r="G290" s="23" t="s">
        <v>384</v>
      </c>
      <c r="H290" s="23" t="s">
        <v>385</v>
      </c>
      <c r="I290" s="23"/>
      <c r="J290" s="23" t="s">
        <v>14</v>
      </c>
      <c r="K290" s="23" t="s">
        <v>13</v>
      </c>
      <c r="L290" s="32">
        <v>46204.530029502319</v>
      </c>
      <c r="M290" s="23"/>
      <c r="N290" s="2" t="s">
        <v>77</v>
      </c>
    </row>
    <row r="291" spans="1:14" ht="75" customHeight="1" thickTop="1" thickBot="1">
      <c r="A291" s="25">
        <v>289</v>
      </c>
      <c r="B291" s="32">
        <v>46204.478658472202</v>
      </c>
      <c r="C291" s="33" t="s">
        <v>97</v>
      </c>
      <c r="D291" s="33" t="s">
        <v>272</v>
      </c>
      <c r="E291" s="23" t="s">
        <v>99</v>
      </c>
      <c r="F291" s="23" t="s">
        <v>116</v>
      </c>
      <c r="G291" s="23" t="s">
        <v>384</v>
      </c>
      <c r="H291" s="23" t="s">
        <v>386</v>
      </c>
      <c r="I291" s="23"/>
      <c r="J291" s="23" t="s">
        <v>14</v>
      </c>
      <c r="K291" s="23" t="s">
        <v>13</v>
      </c>
      <c r="L291" s="32">
        <v>46204.530092858797</v>
      </c>
      <c r="M291" s="23"/>
      <c r="N291" s="2" t="s">
        <v>77</v>
      </c>
    </row>
    <row r="292" spans="1:14" ht="75" customHeight="1" thickTop="1" thickBot="1">
      <c r="A292" s="23">
        <v>290</v>
      </c>
      <c r="B292" s="32">
        <v>46204.478801319397</v>
      </c>
      <c r="C292" s="33" t="s">
        <v>97</v>
      </c>
      <c r="D292" s="33" t="s">
        <v>272</v>
      </c>
      <c r="E292" s="23" t="s">
        <v>99</v>
      </c>
      <c r="F292" s="23" t="s">
        <v>126</v>
      </c>
      <c r="G292" s="23" t="s">
        <v>180</v>
      </c>
      <c r="H292" s="23" t="s">
        <v>387</v>
      </c>
      <c r="I292" s="23"/>
      <c r="J292" s="23" t="s">
        <v>14</v>
      </c>
      <c r="K292" s="23" t="s">
        <v>13</v>
      </c>
      <c r="L292" s="32">
        <v>46204.530110011576</v>
      </c>
      <c r="M292" s="23"/>
      <c r="N292" s="2" t="s">
        <v>77</v>
      </c>
    </row>
    <row r="293" spans="1:14" ht="75" customHeight="1" thickTop="1" thickBot="1">
      <c r="A293" s="25">
        <v>291</v>
      </c>
      <c r="B293" s="32">
        <v>46204.479100937497</v>
      </c>
      <c r="C293" s="33" t="s">
        <v>97</v>
      </c>
      <c r="D293" s="33" t="s">
        <v>272</v>
      </c>
      <c r="E293" s="23" t="s">
        <v>99</v>
      </c>
      <c r="F293" s="23" t="s">
        <v>116</v>
      </c>
      <c r="G293" s="23" t="s">
        <v>388</v>
      </c>
      <c r="H293" s="23" t="s">
        <v>389</v>
      </c>
      <c r="I293" s="23"/>
      <c r="J293" s="23" t="s">
        <v>14</v>
      </c>
      <c r="K293" s="23" t="s">
        <v>13</v>
      </c>
      <c r="L293" s="32">
        <v>46204.530131053238</v>
      </c>
      <c r="M293" s="23"/>
      <c r="N293" s="2" t="s">
        <v>77</v>
      </c>
    </row>
    <row r="294" spans="1:14" ht="75" customHeight="1" thickTop="1" thickBot="1">
      <c r="A294" s="23">
        <v>292</v>
      </c>
      <c r="B294" s="32">
        <v>46204.479143599499</v>
      </c>
      <c r="C294" s="33" t="s">
        <v>97</v>
      </c>
      <c r="D294" s="33" t="s">
        <v>395</v>
      </c>
      <c r="E294" s="23" t="s">
        <v>99</v>
      </c>
      <c r="F294" s="23" t="s">
        <v>116</v>
      </c>
      <c r="G294" s="23" t="s">
        <v>981</v>
      </c>
      <c r="H294" s="23" t="s">
        <v>390</v>
      </c>
      <c r="I294" s="23"/>
      <c r="J294" s="23" t="s">
        <v>16</v>
      </c>
      <c r="K294" s="23" t="s">
        <v>13</v>
      </c>
      <c r="L294" s="32">
        <v>46204.530148287042</v>
      </c>
      <c r="M294" s="23"/>
      <c r="N294" s="2" t="s">
        <v>77</v>
      </c>
    </row>
    <row r="295" spans="1:14" ht="75" customHeight="1" thickTop="1" thickBot="1">
      <c r="A295" s="25">
        <v>293</v>
      </c>
      <c r="B295" s="32">
        <v>46204.479438923598</v>
      </c>
      <c r="C295" s="33" t="s">
        <v>97</v>
      </c>
      <c r="D295" s="33" t="s">
        <v>272</v>
      </c>
      <c r="E295" s="23" t="s">
        <v>99</v>
      </c>
      <c r="F295" s="23" t="s">
        <v>126</v>
      </c>
      <c r="G295" s="23" t="s">
        <v>173</v>
      </c>
      <c r="H295" s="23" t="s">
        <v>391</v>
      </c>
      <c r="I295" s="23" t="s">
        <v>352</v>
      </c>
      <c r="J295" s="23" t="s">
        <v>14</v>
      </c>
      <c r="K295" s="23" t="s">
        <v>13</v>
      </c>
      <c r="L295" s="32">
        <v>46204.530195266205</v>
      </c>
      <c r="M295" s="23"/>
      <c r="N295" s="2" t="s">
        <v>77</v>
      </c>
    </row>
    <row r="296" spans="1:14" ht="75" customHeight="1" thickTop="1" thickBot="1">
      <c r="A296" s="23">
        <v>294</v>
      </c>
      <c r="B296" s="32">
        <v>46204.479555972197</v>
      </c>
      <c r="C296" s="33" t="s">
        <v>97</v>
      </c>
      <c r="D296" s="33" t="s">
        <v>272</v>
      </c>
      <c r="E296" s="23" t="s">
        <v>99</v>
      </c>
      <c r="F296" s="23" t="s">
        <v>116</v>
      </c>
      <c r="G296" s="23" t="s">
        <v>168</v>
      </c>
      <c r="H296" s="23" t="s">
        <v>392</v>
      </c>
      <c r="I296" s="23"/>
      <c r="J296" s="23" t="s">
        <v>14</v>
      </c>
      <c r="K296" s="23" t="s">
        <v>13</v>
      </c>
      <c r="L296" s="32">
        <v>46204.530208506942</v>
      </c>
      <c r="M296" s="23"/>
      <c r="N296" s="2" t="s">
        <v>77</v>
      </c>
    </row>
    <row r="297" spans="1:14" ht="75" customHeight="1" thickTop="1" thickBot="1">
      <c r="A297" s="25">
        <v>295</v>
      </c>
      <c r="B297" s="32">
        <v>46204.480016180503</v>
      </c>
      <c r="C297" s="33" t="s">
        <v>97</v>
      </c>
      <c r="D297" s="33" t="s">
        <v>272</v>
      </c>
      <c r="E297" s="23" t="s">
        <v>99</v>
      </c>
      <c r="F297" s="23" t="s">
        <v>116</v>
      </c>
      <c r="G297" s="23" t="s">
        <v>106</v>
      </c>
      <c r="H297" s="23" t="s">
        <v>393</v>
      </c>
      <c r="I297" s="23"/>
      <c r="J297" s="23" t="s">
        <v>14</v>
      </c>
      <c r="K297" s="23" t="s">
        <v>13</v>
      </c>
      <c r="L297" s="32">
        <v>46204.53028467593</v>
      </c>
      <c r="M297" s="23"/>
      <c r="N297" s="2" t="s">
        <v>77</v>
      </c>
    </row>
    <row r="298" spans="1:14" ht="75" customHeight="1" thickTop="1" thickBot="1">
      <c r="A298" s="23">
        <v>296</v>
      </c>
      <c r="B298" s="32">
        <v>46204.480210497597</v>
      </c>
      <c r="C298" s="33" t="s">
        <v>97</v>
      </c>
      <c r="D298" s="33" t="s">
        <v>272</v>
      </c>
      <c r="E298" s="23" t="s">
        <v>99</v>
      </c>
      <c r="F298" s="23" t="s">
        <v>286</v>
      </c>
      <c r="G298" s="23" t="s">
        <v>110</v>
      </c>
      <c r="H298" s="23" t="s">
        <v>394</v>
      </c>
      <c r="I298" s="23" t="s">
        <v>352</v>
      </c>
      <c r="J298" s="23" t="s">
        <v>14</v>
      </c>
      <c r="K298" s="23" t="s">
        <v>13</v>
      </c>
      <c r="L298" s="32">
        <v>46204.53025841435</v>
      </c>
      <c r="M298" s="23"/>
      <c r="N298" s="2" t="s">
        <v>77</v>
      </c>
    </row>
    <row r="299" spans="1:14" ht="75" customHeight="1" thickTop="1" thickBot="1">
      <c r="A299" s="25">
        <v>297</v>
      </c>
      <c r="B299" s="32">
        <v>46204.480383784699</v>
      </c>
      <c r="C299" s="33" t="s">
        <v>97</v>
      </c>
      <c r="D299" s="33" t="s">
        <v>395</v>
      </c>
      <c r="E299" s="23" t="s">
        <v>99</v>
      </c>
      <c r="F299" s="23" t="s">
        <v>102</v>
      </c>
      <c r="G299" s="23" t="s">
        <v>152</v>
      </c>
      <c r="H299" s="23" t="s">
        <v>396</v>
      </c>
      <c r="I299" s="23"/>
      <c r="J299" s="23" t="s">
        <v>16</v>
      </c>
      <c r="K299" s="23" t="s">
        <v>13</v>
      </c>
      <c r="L299" s="32">
        <v>46204.530301874998</v>
      </c>
      <c r="M299" s="23"/>
      <c r="N299" s="2" t="s">
        <v>77</v>
      </c>
    </row>
    <row r="300" spans="1:14" ht="75" customHeight="1" thickTop="1" thickBot="1">
      <c r="A300" s="23">
        <v>298</v>
      </c>
      <c r="B300" s="32">
        <v>46204.4804634838</v>
      </c>
      <c r="C300" s="33" t="s">
        <v>97</v>
      </c>
      <c r="D300" s="33" t="s">
        <v>397</v>
      </c>
      <c r="E300" s="23" t="s">
        <v>99</v>
      </c>
      <c r="F300" s="23" t="s">
        <v>398</v>
      </c>
      <c r="G300" s="23" t="s">
        <v>399</v>
      </c>
      <c r="H300" s="23" t="s">
        <v>400</v>
      </c>
      <c r="I300" s="23"/>
      <c r="J300" s="23" t="s">
        <v>12</v>
      </c>
      <c r="K300" s="23" t="s">
        <v>13</v>
      </c>
      <c r="L300" s="32">
        <v>46204.530359328703</v>
      </c>
      <c r="M300" s="23"/>
      <c r="N300" s="2" t="s">
        <v>77</v>
      </c>
    </row>
    <row r="301" spans="1:14" ht="75" customHeight="1" thickTop="1" thickBot="1">
      <c r="A301" s="25">
        <v>299</v>
      </c>
      <c r="B301" s="32">
        <v>46204.480482361098</v>
      </c>
      <c r="C301" s="33" t="s">
        <v>97</v>
      </c>
      <c r="D301" s="33" t="s">
        <v>272</v>
      </c>
      <c r="E301" s="23" t="s">
        <v>99</v>
      </c>
      <c r="F301" s="23" t="s">
        <v>116</v>
      </c>
      <c r="G301" s="23" t="s">
        <v>106</v>
      </c>
      <c r="H301" s="23" t="s">
        <v>401</v>
      </c>
      <c r="I301" s="23"/>
      <c r="J301" s="23" t="s">
        <v>14</v>
      </c>
      <c r="K301" s="23" t="s">
        <v>13</v>
      </c>
      <c r="L301" s="32">
        <v>46204.530385034726</v>
      </c>
      <c r="M301" s="23"/>
      <c r="N301" s="2" t="s">
        <v>77</v>
      </c>
    </row>
    <row r="302" spans="1:14" ht="75" customHeight="1" thickTop="1" thickBot="1">
      <c r="A302" s="23">
        <v>300</v>
      </c>
      <c r="B302" s="32">
        <v>46204.4808469907</v>
      </c>
      <c r="C302" s="33" t="s">
        <v>97</v>
      </c>
      <c r="D302" s="33" t="s">
        <v>272</v>
      </c>
      <c r="E302" s="23" t="s">
        <v>99</v>
      </c>
      <c r="F302" s="23" t="s">
        <v>102</v>
      </c>
      <c r="G302" s="23" t="s">
        <v>108</v>
      </c>
      <c r="H302" s="23" t="s">
        <v>402</v>
      </c>
      <c r="I302" s="23"/>
      <c r="J302" s="23" t="s">
        <v>14</v>
      </c>
      <c r="K302" s="23" t="s">
        <v>13</v>
      </c>
      <c r="L302" s="32">
        <v>46204.530406030091</v>
      </c>
      <c r="M302" s="23"/>
      <c r="N302" s="2" t="s">
        <v>77</v>
      </c>
    </row>
    <row r="303" spans="1:14" ht="75" customHeight="1" thickTop="1" thickBot="1">
      <c r="A303" s="25">
        <v>301</v>
      </c>
      <c r="B303" s="32">
        <v>46204.4812597337</v>
      </c>
      <c r="C303" s="33" t="s">
        <v>97</v>
      </c>
      <c r="D303" s="33" t="s">
        <v>272</v>
      </c>
      <c r="E303" s="23" t="s">
        <v>99</v>
      </c>
      <c r="F303" s="23" t="s">
        <v>102</v>
      </c>
      <c r="G303" s="23" t="s">
        <v>108</v>
      </c>
      <c r="H303" s="23" t="s">
        <v>403</v>
      </c>
      <c r="I303" s="23"/>
      <c r="J303" s="23" t="s">
        <v>14</v>
      </c>
      <c r="K303" s="23" t="s">
        <v>13</v>
      </c>
      <c r="L303" s="32">
        <v>46204.530458877314</v>
      </c>
      <c r="M303" s="23"/>
      <c r="N303" s="2" t="s">
        <v>77</v>
      </c>
    </row>
    <row r="304" spans="1:14" ht="75" customHeight="1" thickTop="1" thickBot="1">
      <c r="A304" s="23">
        <v>302</v>
      </c>
      <c r="B304" s="32">
        <v>46204.481326180503</v>
      </c>
      <c r="C304" s="33" t="s">
        <v>97</v>
      </c>
      <c r="D304" s="33" t="s">
        <v>395</v>
      </c>
      <c r="E304" s="23" t="s">
        <v>99</v>
      </c>
      <c r="F304" s="23" t="s">
        <v>116</v>
      </c>
      <c r="G304" s="23" t="s">
        <v>152</v>
      </c>
      <c r="H304" s="23" t="s">
        <v>404</v>
      </c>
      <c r="I304" s="23"/>
      <c r="J304" s="23" t="s">
        <v>16</v>
      </c>
      <c r="K304" s="23" t="s">
        <v>13</v>
      </c>
      <c r="L304" s="32">
        <v>46204.530487175929</v>
      </c>
      <c r="M304" s="23"/>
      <c r="N304" s="2" t="s">
        <v>77</v>
      </c>
    </row>
    <row r="305" spans="1:14" ht="75" customHeight="1" thickTop="1" thickBot="1">
      <c r="A305" s="25">
        <v>303</v>
      </c>
      <c r="B305" s="32">
        <v>46204.481531573998</v>
      </c>
      <c r="C305" s="33" t="s">
        <v>97</v>
      </c>
      <c r="D305" s="33" t="s">
        <v>272</v>
      </c>
      <c r="E305" s="23" t="s">
        <v>99</v>
      </c>
      <c r="F305" s="23" t="s">
        <v>286</v>
      </c>
      <c r="G305" s="23" t="s">
        <v>110</v>
      </c>
      <c r="H305" s="23" t="s">
        <v>405</v>
      </c>
      <c r="I305" s="23" t="s">
        <v>352</v>
      </c>
      <c r="J305" s="23" t="s">
        <v>14</v>
      </c>
      <c r="K305" s="23" t="s">
        <v>13</v>
      </c>
      <c r="L305" s="32">
        <v>46204.530503020833</v>
      </c>
      <c r="M305" s="23"/>
      <c r="N305" s="2" t="s">
        <v>77</v>
      </c>
    </row>
    <row r="306" spans="1:14" ht="75" customHeight="1" thickTop="1" thickBot="1">
      <c r="A306" s="23">
        <v>304</v>
      </c>
      <c r="B306" s="32">
        <v>46204.481882372602</v>
      </c>
      <c r="C306" s="33" t="s">
        <v>97</v>
      </c>
      <c r="D306" s="33" t="s">
        <v>272</v>
      </c>
      <c r="E306" s="23" t="s">
        <v>99</v>
      </c>
      <c r="F306" s="23" t="s">
        <v>102</v>
      </c>
      <c r="G306" s="23" t="s">
        <v>110</v>
      </c>
      <c r="H306" s="23" t="s">
        <v>1133</v>
      </c>
      <c r="I306" s="23"/>
      <c r="J306" s="23" t="s">
        <v>14</v>
      </c>
      <c r="K306" s="23" t="s">
        <v>13</v>
      </c>
      <c r="L306" s="32">
        <v>46204.530558645834</v>
      </c>
      <c r="M306" s="23"/>
      <c r="N306" s="2" t="s">
        <v>77</v>
      </c>
    </row>
    <row r="307" spans="1:14" ht="75" customHeight="1" thickTop="1" thickBot="1">
      <c r="A307" s="25">
        <v>305</v>
      </c>
      <c r="B307" s="32">
        <v>46204.4818940162</v>
      </c>
      <c r="C307" s="33" t="s">
        <v>97</v>
      </c>
      <c r="D307" s="33" t="s">
        <v>395</v>
      </c>
      <c r="E307" s="23" t="s">
        <v>99</v>
      </c>
      <c r="F307" s="23" t="s">
        <v>116</v>
      </c>
      <c r="G307" s="23" t="s">
        <v>108</v>
      </c>
      <c r="H307" s="23" t="s">
        <v>406</v>
      </c>
      <c r="I307" s="23"/>
      <c r="J307" s="23" t="s">
        <v>16</v>
      </c>
      <c r="K307" s="23" t="s">
        <v>13</v>
      </c>
      <c r="L307" s="32">
        <v>46204.530578229169</v>
      </c>
      <c r="M307" s="23"/>
      <c r="N307" s="2" t="s">
        <v>77</v>
      </c>
    </row>
    <row r="308" spans="1:14" ht="75" customHeight="1" thickTop="1" thickBot="1">
      <c r="A308" s="23">
        <v>306</v>
      </c>
      <c r="B308" s="32">
        <v>46204.482104756898</v>
      </c>
      <c r="C308" s="33" t="s">
        <v>97</v>
      </c>
      <c r="D308" s="33" t="s">
        <v>407</v>
      </c>
      <c r="E308" s="23" t="s">
        <v>99</v>
      </c>
      <c r="F308" s="23" t="s">
        <v>399</v>
      </c>
      <c r="G308" s="23" t="s">
        <v>398</v>
      </c>
      <c r="H308" s="23" t="s">
        <v>408</v>
      </c>
      <c r="I308" s="23"/>
      <c r="J308" s="23" t="s">
        <v>38</v>
      </c>
      <c r="K308" s="23" t="s">
        <v>13</v>
      </c>
      <c r="L308" s="32">
        <v>46204.530619618061</v>
      </c>
      <c r="M308" s="23"/>
      <c r="N308" s="2" t="s">
        <v>77</v>
      </c>
    </row>
    <row r="309" spans="1:14" ht="75" customHeight="1" thickTop="1" thickBot="1">
      <c r="A309" s="25">
        <v>307</v>
      </c>
      <c r="B309" s="32">
        <v>46204.482183344902</v>
      </c>
      <c r="C309" s="33" t="s">
        <v>97</v>
      </c>
      <c r="D309" s="33" t="s">
        <v>272</v>
      </c>
      <c r="E309" s="23" t="s">
        <v>99</v>
      </c>
      <c r="F309" s="23" t="s">
        <v>126</v>
      </c>
      <c r="G309" s="23" t="s">
        <v>198</v>
      </c>
      <c r="H309" s="23" t="s">
        <v>409</v>
      </c>
      <c r="I309" s="23"/>
      <c r="J309" s="23" t="s">
        <v>14</v>
      </c>
      <c r="K309" s="23" t="s">
        <v>13</v>
      </c>
      <c r="L309" s="32">
        <v>46204.530650636574</v>
      </c>
      <c r="M309" s="23"/>
      <c r="N309" s="2" t="s">
        <v>77</v>
      </c>
    </row>
    <row r="310" spans="1:14" ht="75" customHeight="1" thickTop="1" thickBot="1">
      <c r="A310" s="23">
        <v>308</v>
      </c>
      <c r="B310" s="32">
        <v>46204.482466631896</v>
      </c>
      <c r="C310" s="33" t="s">
        <v>97</v>
      </c>
      <c r="D310" s="33" t="s">
        <v>395</v>
      </c>
      <c r="E310" s="23" t="s">
        <v>99</v>
      </c>
      <c r="F310" s="23" t="s">
        <v>102</v>
      </c>
      <c r="G310" s="23" t="s">
        <v>127</v>
      </c>
      <c r="H310" s="23" t="s">
        <v>410</v>
      </c>
      <c r="I310" s="23"/>
      <c r="J310" s="23" t="s">
        <v>16</v>
      </c>
      <c r="K310" s="23" t="s">
        <v>13</v>
      </c>
      <c r="L310" s="32">
        <v>46204.530741076393</v>
      </c>
      <c r="M310" s="23"/>
      <c r="N310" s="2" t="s">
        <v>77</v>
      </c>
    </row>
    <row r="311" spans="1:14" ht="75" customHeight="1" thickTop="1" thickBot="1">
      <c r="A311" s="25">
        <v>309</v>
      </c>
      <c r="B311" s="32">
        <v>46204.482522835599</v>
      </c>
      <c r="C311" s="33" t="s">
        <v>97</v>
      </c>
      <c r="D311" s="33" t="s">
        <v>272</v>
      </c>
      <c r="E311" s="23" t="s">
        <v>99</v>
      </c>
      <c r="F311" s="23" t="s">
        <v>286</v>
      </c>
      <c r="G311" s="23" t="s">
        <v>981</v>
      </c>
      <c r="H311" s="23" t="s">
        <v>411</v>
      </c>
      <c r="I311" s="23" t="s">
        <v>412</v>
      </c>
      <c r="J311" s="23" t="s">
        <v>14</v>
      </c>
      <c r="K311" s="23" t="s">
        <v>13</v>
      </c>
      <c r="L311" s="32">
        <v>46204.530747604163</v>
      </c>
      <c r="M311" s="23"/>
      <c r="N311" s="2" t="s">
        <v>77</v>
      </c>
    </row>
    <row r="312" spans="1:14" ht="75" customHeight="1" thickTop="1" thickBot="1">
      <c r="A312" s="23">
        <v>310</v>
      </c>
      <c r="B312" s="32">
        <v>46204.482557384203</v>
      </c>
      <c r="C312" s="33" t="s">
        <v>97</v>
      </c>
      <c r="D312" s="33" t="s">
        <v>272</v>
      </c>
      <c r="E312" s="23" t="s">
        <v>99</v>
      </c>
      <c r="F312" s="23" t="s">
        <v>116</v>
      </c>
      <c r="G312" s="23" t="s">
        <v>106</v>
      </c>
      <c r="H312" s="23" t="s">
        <v>413</v>
      </c>
      <c r="I312" s="23"/>
      <c r="J312" s="23" t="s">
        <v>14</v>
      </c>
      <c r="K312" s="23" t="s">
        <v>13</v>
      </c>
      <c r="L312" s="32">
        <v>46204.530837800921</v>
      </c>
      <c r="M312" s="23"/>
      <c r="N312" s="2" t="s">
        <v>77</v>
      </c>
    </row>
    <row r="313" spans="1:14" ht="75" customHeight="1" thickTop="1" thickBot="1">
      <c r="A313" s="25">
        <v>311</v>
      </c>
      <c r="B313" s="32">
        <v>46204.482954837898</v>
      </c>
      <c r="C313" s="33" t="s">
        <v>97</v>
      </c>
      <c r="D313" s="33" t="s">
        <v>407</v>
      </c>
      <c r="E313" s="23" t="s">
        <v>99</v>
      </c>
      <c r="F313" s="23" t="s">
        <v>398</v>
      </c>
      <c r="G313" s="23" t="s">
        <v>398</v>
      </c>
      <c r="H313" s="23" t="s">
        <v>414</v>
      </c>
      <c r="I313" s="23"/>
      <c r="J313" s="23" t="s">
        <v>38</v>
      </c>
      <c r="K313" s="23" t="s">
        <v>13</v>
      </c>
      <c r="L313" s="32">
        <v>46204.53081142361</v>
      </c>
      <c r="M313" s="23"/>
      <c r="N313" s="2" t="s">
        <v>77</v>
      </c>
    </row>
    <row r="314" spans="1:14" ht="75" customHeight="1" thickTop="1" thickBot="1">
      <c r="A314" s="23">
        <v>312</v>
      </c>
      <c r="B314" s="32">
        <v>46204.483121527701</v>
      </c>
      <c r="C314" s="33" t="s">
        <v>97</v>
      </c>
      <c r="D314" s="33" t="s">
        <v>272</v>
      </c>
      <c r="E314" s="23" t="s">
        <v>99</v>
      </c>
      <c r="F314" s="23" t="s">
        <v>102</v>
      </c>
      <c r="G314" s="23" t="s">
        <v>110</v>
      </c>
      <c r="H314" s="23" t="s">
        <v>415</v>
      </c>
      <c r="I314" s="23"/>
      <c r="J314" s="23" t="s">
        <v>14</v>
      </c>
      <c r="K314" s="23" t="s">
        <v>13</v>
      </c>
      <c r="L314" s="32">
        <v>46204.530825335649</v>
      </c>
      <c r="M314" s="23"/>
      <c r="N314" s="2" t="s">
        <v>77</v>
      </c>
    </row>
    <row r="315" spans="1:14" ht="75" customHeight="1" thickTop="1" thickBot="1">
      <c r="A315" s="25">
        <v>313</v>
      </c>
      <c r="B315" s="32">
        <v>46204.483145300903</v>
      </c>
      <c r="C315" s="33" t="s">
        <v>97</v>
      </c>
      <c r="D315" s="33" t="s">
        <v>395</v>
      </c>
      <c r="E315" s="23" t="s">
        <v>99</v>
      </c>
      <c r="F315" s="23" t="s">
        <v>102</v>
      </c>
      <c r="G315" s="23" t="s">
        <v>101</v>
      </c>
      <c r="H315" s="23" t="s">
        <v>416</v>
      </c>
      <c r="I315" s="23"/>
      <c r="J315" s="23" t="s">
        <v>16</v>
      </c>
      <c r="K315" s="23" t="s">
        <v>13</v>
      </c>
      <c r="L315" s="32">
        <v>46204.530883645828</v>
      </c>
      <c r="M315" s="23"/>
      <c r="N315" s="2" t="s">
        <v>77</v>
      </c>
    </row>
    <row r="316" spans="1:14" ht="75" customHeight="1" thickTop="1" thickBot="1">
      <c r="A316" s="23">
        <v>314</v>
      </c>
      <c r="B316" s="32">
        <v>46204.483692627298</v>
      </c>
      <c r="C316" s="33" t="s">
        <v>97</v>
      </c>
      <c r="D316" s="33" t="s">
        <v>395</v>
      </c>
      <c r="E316" s="23" t="s">
        <v>99</v>
      </c>
      <c r="F316" s="23" t="s">
        <v>102</v>
      </c>
      <c r="G316" s="23" t="s">
        <v>101</v>
      </c>
      <c r="H316" s="23" t="s">
        <v>417</v>
      </c>
      <c r="I316" s="23"/>
      <c r="J316" s="23" t="s">
        <v>16</v>
      </c>
      <c r="K316" s="23" t="s">
        <v>13</v>
      </c>
      <c r="L316" s="32">
        <v>46204.53089898148</v>
      </c>
      <c r="M316" s="23"/>
      <c r="N316" s="2" t="s">
        <v>77</v>
      </c>
    </row>
    <row r="317" spans="1:14" ht="75" customHeight="1" thickTop="1" thickBot="1">
      <c r="A317" s="25">
        <v>315</v>
      </c>
      <c r="B317" s="32">
        <v>46204.483839884197</v>
      </c>
      <c r="C317" s="33" t="s">
        <v>97</v>
      </c>
      <c r="D317" s="33" t="s">
        <v>407</v>
      </c>
      <c r="E317" s="23" t="s">
        <v>99</v>
      </c>
      <c r="F317" s="23" t="s">
        <v>398</v>
      </c>
      <c r="G317" s="23" t="s">
        <v>398</v>
      </c>
      <c r="H317" s="23" t="s">
        <v>418</v>
      </c>
      <c r="I317" s="23"/>
      <c r="J317" s="23" t="s">
        <v>38</v>
      </c>
      <c r="K317" s="23" t="s">
        <v>13</v>
      </c>
      <c r="L317" s="32">
        <v>46204.531000092597</v>
      </c>
      <c r="M317" s="23"/>
      <c r="N317" s="2" t="s">
        <v>77</v>
      </c>
    </row>
    <row r="318" spans="1:14" ht="75" customHeight="1" thickTop="1" thickBot="1">
      <c r="A318" s="23">
        <v>316</v>
      </c>
      <c r="B318" s="32">
        <v>46204.4838949189</v>
      </c>
      <c r="C318" s="33" t="s">
        <v>97</v>
      </c>
      <c r="D318" s="33" t="s">
        <v>272</v>
      </c>
      <c r="E318" s="23" t="s">
        <v>99</v>
      </c>
      <c r="F318" s="23" t="s">
        <v>126</v>
      </c>
      <c r="G318" s="23" t="s">
        <v>981</v>
      </c>
      <c r="H318" s="23" t="s">
        <v>419</v>
      </c>
      <c r="I318" s="23" t="s">
        <v>420</v>
      </c>
      <c r="J318" s="23" t="s">
        <v>14</v>
      </c>
      <c r="K318" s="23" t="s">
        <v>13</v>
      </c>
      <c r="L318" s="32">
        <v>46204.531008657403</v>
      </c>
      <c r="M318" s="23"/>
      <c r="N318" s="2" t="s">
        <v>77</v>
      </c>
    </row>
    <row r="319" spans="1:14" ht="75" customHeight="1" thickTop="1" thickBot="1">
      <c r="A319" s="25">
        <v>317</v>
      </c>
      <c r="B319" s="32">
        <v>46204.483934120297</v>
      </c>
      <c r="C319" s="33" t="s">
        <v>97</v>
      </c>
      <c r="D319" s="33" t="s">
        <v>272</v>
      </c>
      <c r="E319" s="23" t="s">
        <v>99</v>
      </c>
      <c r="F319" s="23" t="s">
        <v>100</v>
      </c>
      <c r="G319" s="23" t="s">
        <v>981</v>
      </c>
      <c r="H319" s="23" t="s">
        <v>421</v>
      </c>
      <c r="I319" s="23"/>
      <c r="J319" s="23" t="s">
        <v>14</v>
      </c>
      <c r="K319" s="23" t="s">
        <v>13</v>
      </c>
      <c r="L319" s="32">
        <v>46204.531118935185</v>
      </c>
      <c r="M319" s="23"/>
      <c r="N319" s="2" t="s">
        <v>77</v>
      </c>
    </row>
    <row r="320" spans="1:14" ht="75" customHeight="1" thickTop="1" thickBot="1">
      <c r="A320" s="23">
        <v>318</v>
      </c>
      <c r="B320" s="32">
        <v>46204.484610243002</v>
      </c>
      <c r="C320" s="33" t="s">
        <v>97</v>
      </c>
      <c r="D320" s="33" t="s">
        <v>395</v>
      </c>
      <c r="E320" s="23" t="s">
        <v>99</v>
      </c>
      <c r="F320" s="23" t="s">
        <v>102</v>
      </c>
      <c r="G320" s="23" t="s">
        <v>101</v>
      </c>
      <c r="H320" s="23" t="s">
        <v>422</v>
      </c>
      <c r="I320" s="23"/>
      <c r="J320" s="23" t="s">
        <v>16</v>
      </c>
      <c r="K320" s="23" t="s">
        <v>13</v>
      </c>
      <c r="L320" s="32">
        <v>46204.531138541672</v>
      </c>
      <c r="M320" s="23"/>
      <c r="N320" s="2" t="s">
        <v>77</v>
      </c>
    </row>
    <row r="321" spans="1:14" ht="75" customHeight="1" thickTop="1" thickBot="1">
      <c r="A321" s="25">
        <v>319</v>
      </c>
      <c r="B321" s="32">
        <v>46204.484649178201</v>
      </c>
      <c r="C321" s="33" t="s">
        <v>97</v>
      </c>
      <c r="D321" s="33" t="s">
        <v>272</v>
      </c>
      <c r="E321" s="23" t="s">
        <v>99</v>
      </c>
      <c r="F321" s="23" t="s">
        <v>116</v>
      </c>
      <c r="G321" s="23" t="s">
        <v>981</v>
      </c>
      <c r="H321" s="23" t="s">
        <v>423</v>
      </c>
      <c r="I321" s="23"/>
      <c r="J321" s="23" t="s">
        <v>14</v>
      </c>
      <c r="K321" s="23" t="s">
        <v>13</v>
      </c>
      <c r="L321" s="32">
        <v>46204.531186678243</v>
      </c>
      <c r="M321" s="23"/>
      <c r="N321" s="2" t="s">
        <v>77</v>
      </c>
    </row>
    <row r="322" spans="1:14" s="22" customFormat="1" ht="75" customHeight="1" thickTop="1" thickBot="1">
      <c r="A322" s="23">
        <v>320</v>
      </c>
      <c r="B322" s="32">
        <v>46204.4847332754</v>
      </c>
      <c r="C322" s="33" t="s">
        <v>97</v>
      </c>
      <c r="D322" s="33" t="s">
        <v>407</v>
      </c>
      <c r="E322" s="23" t="s">
        <v>99</v>
      </c>
      <c r="F322" s="23" t="s">
        <v>398</v>
      </c>
      <c r="G322" s="23" t="s">
        <v>398</v>
      </c>
      <c r="H322" s="23" t="s">
        <v>424</v>
      </c>
      <c r="I322" s="23"/>
      <c r="J322" s="23" t="s">
        <v>38</v>
      </c>
      <c r="K322" s="23" t="s">
        <v>13</v>
      </c>
      <c r="L322" s="32"/>
      <c r="M322" s="23"/>
      <c r="N322" s="2"/>
    </row>
    <row r="323" spans="1:14" ht="75" customHeight="1" thickTop="1" thickBot="1">
      <c r="A323" s="25">
        <v>321</v>
      </c>
      <c r="B323" s="32">
        <v>46204.484922962904</v>
      </c>
      <c r="C323" s="33" t="s">
        <v>97</v>
      </c>
      <c r="D323" s="33" t="s">
        <v>272</v>
      </c>
      <c r="E323" s="23" t="s">
        <v>99</v>
      </c>
      <c r="F323" s="23" t="s">
        <v>286</v>
      </c>
      <c r="G323" s="23" t="s">
        <v>981</v>
      </c>
      <c r="H323" s="23" t="s">
        <v>425</v>
      </c>
      <c r="I323" s="23" t="s">
        <v>426</v>
      </c>
      <c r="J323" s="23" t="s">
        <v>14</v>
      </c>
      <c r="K323" s="23" t="s">
        <v>13</v>
      </c>
      <c r="L323" s="32">
        <v>46204.531205520834</v>
      </c>
      <c r="M323" s="23"/>
      <c r="N323" s="24"/>
    </row>
    <row r="324" spans="1:14" ht="75" customHeight="1" thickTop="1" thickBot="1">
      <c r="A324" s="23">
        <v>322</v>
      </c>
      <c r="B324" s="32">
        <v>46204.485155844901</v>
      </c>
      <c r="C324" s="33" t="s">
        <v>97</v>
      </c>
      <c r="D324" s="33" t="s">
        <v>272</v>
      </c>
      <c r="E324" s="23" t="s">
        <v>99</v>
      </c>
      <c r="F324" s="23" t="s">
        <v>126</v>
      </c>
      <c r="G324" s="23" t="s">
        <v>106</v>
      </c>
      <c r="H324" s="23" t="s">
        <v>427</v>
      </c>
      <c r="I324" s="23"/>
      <c r="J324" s="23" t="s">
        <v>14</v>
      </c>
      <c r="K324" s="23" t="s">
        <v>13</v>
      </c>
      <c r="L324" s="32">
        <v>46204.531217372685</v>
      </c>
      <c r="M324" s="23"/>
      <c r="N324" s="24"/>
    </row>
    <row r="325" spans="1:14" ht="75" customHeight="1" thickTop="1" thickBot="1">
      <c r="A325" s="25">
        <v>323</v>
      </c>
      <c r="B325" s="32">
        <v>46204.485409212903</v>
      </c>
      <c r="C325" s="33" t="s">
        <v>97</v>
      </c>
      <c r="D325" s="33" t="s">
        <v>272</v>
      </c>
      <c r="E325" s="23" t="s">
        <v>99</v>
      </c>
      <c r="F325" s="23" t="s">
        <v>126</v>
      </c>
      <c r="G325" s="23" t="s">
        <v>110</v>
      </c>
      <c r="H325" s="23" t="s">
        <v>428</v>
      </c>
      <c r="I325" s="23"/>
      <c r="J325" s="23" t="s">
        <v>14</v>
      </c>
      <c r="K325" s="23" t="s">
        <v>13</v>
      </c>
      <c r="L325" s="32">
        <v>46204.531264722224</v>
      </c>
      <c r="M325" s="23"/>
      <c r="N325" s="24"/>
    </row>
    <row r="326" spans="1:14" ht="75" customHeight="1" thickTop="1" thickBot="1">
      <c r="A326" s="23">
        <v>324</v>
      </c>
      <c r="B326" s="32">
        <v>46204.485412511502</v>
      </c>
      <c r="C326" s="33" t="s">
        <v>97</v>
      </c>
      <c r="D326" s="33" t="s">
        <v>395</v>
      </c>
      <c r="E326" s="23" t="s">
        <v>99</v>
      </c>
      <c r="F326" s="23" t="s">
        <v>102</v>
      </c>
      <c r="G326" s="23" t="s">
        <v>101</v>
      </c>
      <c r="H326" s="23" t="s">
        <v>133</v>
      </c>
      <c r="I326" s="23"/>
      <c r="J326" s="23" t="s">
        <v>16</v>
      </c>
      <c r="K326" s="23" t="s">
        <v>13</v>
      </c>
      <c r="L326" s="32">
        <v>46204.531307141202</v>
      </c>
      <c r="M326" s="23"/>
      <c r="N326" s="24"/>
    </row>
    <row r="327" spans="1:14" ht="75" customHeight="1" thickTop="1" thickBot="1">
      <c r="A327" s="25">
        <v>325</v>
      </c>
      <c r="B327" s="32">
        <v>46204.485738252297</v>
      </c>
      <c r="C327" s="33" t="s">
        <v>97</v>
      </c>
      <c r="D327" s="33" t="s">
        <v>272</v>
      </c>
      <c r="E327" s="23" t="s">
        <v>99</v>
      </c>
      <c r="F327" s="23" t="s">
        <v>429</v>
      </c>
      <c r="G327" s="23" t="s">
        <v>981</v>
      </c>
      <c r="H327" s="23" t="s">
        <v>430</v>
      </c>
      <c r="I327" s="23"/>
      <c r="J327" s="23" t="s">
        <v>14</v>
      </c>
      <c r="K327" s="23" t="s">
        <v>13</v>
      </c>
      <c r="L327" s="32">
        <v>46204.53132829861</v>
      </c>
      <c r="M327" s="23"/>
      <c r="N327" s="24"/>
    </row>
    <row r="328" spans="1:14" ht="75" customHeight="1" thickTop="1" thickBot="1">
      <c r="A328" s="23">
        <v>326</v>
      </c>
      <c r="B328" s="32">
        <v>46204.485916608799</v>
      </c>
      <c r="C328" s="33" t="s">
        <v>97</v>
      </c>
      <c r="D328" s="33" t="s">
        <v>407</v>
      </c>
      <c r="E328" s="23" t="s">
        <v>99</v>
      </c>
      <c r="F328" s="23" t="s">
        <v>398</v>
      </c>
      <c r="G328" s="23" t="s">
        <v>398</v>
      </c>
      <c r="H328" s="23" t="s">
        <v>431</v>
      </c>
      <c r="I328" s="23" t="s">
        <v>432</v>
      </c>
      <c r="J328" s="23" t="s">
        <v>38</v>
      </c>
      <c r="K328" s="23" t="s">
        <v>13</v>
      </c>
      <c r="L328" s="32">
        <v>46204.531388136573</v>
      </c>
      <c r="M328" s="23"/>
      <c r="N328" s="24"/>
    </row>
    <row r="329" spans="1:14" ht="75" customHeight="1" thickTop="1" thickBot="1">
      <c r="A329" s="25">
        <v>327</v>
      </c>
      <c r="B329" s="32">
        <v>46204.486713530001</v>
      </c>
      <c r="C329" s="33" t="s">
        <v>97</v>
      </c>
      <c r="D329" s="33" t="s">
        <v>272</v>
      </c>
      <c r="E329" s="23" t="s">
        <v>99</v>
      </c>
      <c r="F329" s="23" t="s">
        <v>433</v>
      </c>
      <c r="G329" s="23" t="s">
        <v>101</v>
      </c>
      <c r="H329" s="23" t="s">
        <v>434</v>
      </c>
      <c r="I329" s="23"/>
      <c r="J329" s="23" t="s">
        <v>14</v>
      </c>
      <c r="K329" s="23" t="s">
        <v>13</v>
      </c>
      <c r="L329" s="32">
        <v>46204.531404965281</v>
      </c>
      <c r="M329" s="23"/>
      <c r="N329" s="24"/>
    </row>
    <row r="330" spans="1:14" ht="75" customHeight="1" thickTop="1" thickBot="1">
      <c r="A330" s="23">
        <v>328</v>
      </c>
      <c r="B330" s="32">
        <v>46204.486981921298</v>
      </c>
      <c r="C330" s="33" t="s">
        <v>97</v>
      </c>
      <c r="D330" s="33" t="s">
        <v>272</v>
      </c>
      <c r="E330" s="23" t="s">
        <v>99</v>
      </c>
      <c r="F330" s="23" t="s">
        <v>102</v>
      </c>
      <c r="G330" s="23" t="s">
        <v>110</v>
      </c>
      <c r="H330" s="23" t="s">
        <v>435</v>
      </c>
      <c r="I330" s="23"/>
      <c r="J330" s="23" t="s">
        <v>14</v>
      </c>
      <c r="K330" s="23" t="s">
        <v>13</v>
      </c>
      <c r="L330" s="32">
        <v>46204.531478483797</v>
      </c>
      <c r="M330" s="23"/>
      <c r="N330" s="24"/>
    </row>
    <row r="331" spans="1:14" ht="75" customHeight="1" thickTop="1" thickBot="1">
      <c r="A331" s="25">
        <v>329</v>
      </c>
      <c r="B331" s="32">
        <v>46204.4870780208</v>
      </c>
      <c r="C331" s="33" t="s">
        <v>97</v>
      </c>
      <c r="D331" s="33" t="s">
        <v>395</v>
      </c>
      <c r="E331" s="23" t="s">
        <v>99</v>
      </c>
      <c r="F331" s="23" t="s">
        <v>116</v>
      </c>
      <c r="G331" s="23" t="s">
        <v>152</v>
      </c>
      <c r="H331" s="23" t="s">
        <v>436</v>
      </c>
      <c r="I331" s="23"/>
      <c r="J331" s="23" t="s">
        <v>16</v>
      </c>
      <c r="K331" s="23" t="s">
        <v>13</v>
      </c>
      <c r="L331" s="32">
        <v>46204.531544456018</v>
      </c>
      <c r="M331" s="23"/>
      <c r="N331" s="24"/>
    </row>
    <row r="332" spans="1:14" ht="75" customHeight="1" thickTop="1" thickBot="1">
      <c r="A332" s="23">
        <v>330</v>
      </c>
      <c r="B332" s="32">
        <v>46204.487265868003</v>
      </c>
      <c r="C332" s="33" t="s">
        <v>97</v>
      </c>
      <c r="D332" s="33" t="s">
        <v>272</v>
      </c>
      <c r="E332" s="23" t="s">
        <v>99</v>
      </c>
      <c r="F332" s="23" t="s">
        <v>116</v>
      </c>
      <c r="G332" s="23" t="s">
        <v>106</v>
      </c>
      <c r="H332" s="23" t="s">
        <v>437</v>
      </c>
      <c r="I332" s="23"/>
      <c r="J332" s="23" t="s">
        <v>14</v>
      </c>
      <c r="K332" s="23" t="s">
        <v>13</v>
      </c>
      <c r="L332" s="32">
        <v>46204.531476412041</v>
      </c>
      <c r="M332" s="23"/>
      <c r="N332" s="24"/>
    </row>
    <row r="333" spans="1:14" ht="75" customHeight="1" thickTop="1" thickBot="1">
      <c r="A333" s="25">
        <v>331</v>
      </c>
      <c r="B333" s="32">
        <v>46204.4874787152</v>
      </c>
      <c r="C333" s="33" t="s">
        <v>97</v>
      </c>
      <c r="D333" s="33" t="s">
        <v>272</v>
      </c>
      <c r="E333" s="23" t="s">
        <v>99</v>
      </c>
      <c r="F333" s="23" t="s">
        <v>286</v>
      </c>
      <c r="G333" s="23" t="s">
        <v>981</v>
      </c>
      <c r="H333" s="23" t="s">
        <v>438</v>
      </c>
      <c r="I333" s="23"/>
      <c r="J333" s="23" t="s">
        <v>14</v>
      </c>
      <c r="K333" s="23" t="s">
        <v>13</v>
      </c>
      <c r="L333" s="32">
        <v>46204.531602685187</v>
      </c>
      <c r="M333" s="23"/>
      <c r="N333" s="24"/>
    </row>
    <row r="334" spans="1:14" ht="75" customHeight="1" thickTop="1" thickBot="1">
      <c r="A334" s="23">
        <v>332</v>
      </c>
      <c r="B334" s="32">
        <v>46204.487822164301</v>
      </c>
      <c r="C334" s="33" t="s">
        <v>97</v>
      </c>
      <c r="D334" s="33" t="s">
        <v>272</v>
      </c>
      <c r="E334" s="23" t="s">
        <v>99</v>
      </c>
      <c r="F334" s="23" t="s">
        <v>102</v>
      </c>
      <c r="G334" s="23" t="s">
        <v>110</v>
      </c>
      <c r="H334" s="23" t="s">
        <v>439</v>
      </c>
      <c r="I334" s="23"/>
      <c r="J334" s="23" t="s">
        <v>14</v>
      </c>
      <c r="K334" s="23" t="s">
        <v>13</v>
      </c>
      <c r="L334" s="32">
        <v>46204.531613935185</v>
      </c>
      <c r="M334" s="23"/>
      <c r="N334" s="24"/>
    </row>
    <row r="335" spans="1:14" ht="75" customHeight="1" thickTop="1" thickBot="1">
      <c r="A335" s="25">
        <v>333</v>
      </c>
      <c r="B335" s="32">
        <v>46204.487899317101</v>
      </c>
      <c r="C335" s="33" t="s">
        <v>97</v>
      </c>
      <c r="D335" s="33" t="s">
        <v>395</v>
      </c>
      <c r="E335" s="23" t="s">
        <v>99</v>
      </c>
      <c r="F335" s="23" t="s">
        <v>150</v>
      </c>
      <c r="G335" s="23" t="s">
        <v>981</v>
      </c>
      <c r="H335" s="23" t="s">
        <v>440</v>
      </c>
      <c r="I335" s="23"/>
      <c r="J335" s="23" t="s">
        <v>16</v>
      </c>
      <c r="K335" s="23" t="s">
        <v>13</v>
      </c>
      <c r="L335" s="32">
        <v>46204.531630046295</v>
      </c>
      <c r="M335" s="23"/>
      <c r="N335" s="24"/>
    </row>
    <row r="336" spans="1:14" ht="75" customHeight="1" thickTop="1" thickBot="1">
      <c r="A336" s="23">
        <v>334</v>
      </c>
      <c r="B336" s="32">
        <v>46204.4879861226</v>
      </c>
      <c r="C336" s="33" t="s">
        <v>97</v>
      </c>
      <c r="D336" s="33" t="s">
        <v>272</v>
      </c>
      <c r="E336" s="23" t="s">
        <v>99</v>
      </c>
      <c r="F336" s="23" t="s">
        <v>265</v>
      </c>
      <c r="G336" s="23" t="s">
        <v>265</v>
      </c>
      <c r="H336" s="23" t="s">
        <v>441</v>
      </c>
      <c r="I336" s="23" t="s">
        <v>426</v>
      </c>
      <c r="J336" s="23" t="s">
        <v>14</v>
      </c>
      <c r="K336" s="23" t="s">
        <v>13</v>
      </c>
      <c r="L336" s="32">
        <v>46204.531676423612</v>
      </c>
      <c r="M336" s="23"/>
      <c r="N336" s="24"/>
    </row>
    <row r="337" spans="1:14" ht="75" customHeight="1" thickTop="1" thickBot="1">
      <c r="A337" s="25">
        <v>335</v>
      </c>
      <c r="B337" s="32">
        <v>46204.488169166601</v>
      </c>
      <c r="C337" s="33" t="s">
        <v>97</v>
      </c>
      <c r="D337" s="33" t="s">
        <v>272</v>
      </c>
      <c r="E337" s="23" t="s">
        <v>99</v>
      </c>
      <c r="F337" s="23" t="s">
        <v>126</v>
      </c>
      <c r="G337" s="23" t="s">
        <v>442</v>
      </c>
      <c r="H337" s="23" t="s">
        <v>443</v>
      </c>
      <c r="I337" s="23"/>
      <c r="J337" s="23" t="s">
        <v>14</v>
      </c>
      <c r="K337" s="23" t="s">
        <v>13</v>
      </c>
      <c r="L337" s="32">
        <v>46204.531698472223</v>
      </c>
      <c r="M337" s="23"/>
      <c r="N337" s="24"/>
    </row>
    <row r="338" spans="1:14" ht="75" customHeight="1" thickTop="1" thickBot="1">
      <c r="A338" s="23">
        <v>336</v>
      </c>
      <c r="B338" s="32">
        <v>46204.488539108803</v>
      </c>
      <c r="C338" s="33" t="s">
        <v>97</v>
      </c>
      <c r="D338" s="33" t="s">
        <v>395</v>
      </c>
      <c r="E338" s="23" t="s">
        <v>99</v>
      </c>
      <c r="F338" s="23" t="s">
        <v>102</v>
      </c>
      <c r="G338" s="23" t="s">
        <v>198</v>
      </c>
      <c r="H338" s="23" t="s">
        <v>444</v>
      </c>
      <c r="I338" s="23"/>
      <c r="J338" s="23" t="s">
        <v>16</v>
      </c>
      <c r="K338" s="23" t="s">
        <v>13</v>
      </c>
      <c r="L338" s="32">
        <v>46204.531717650461</v>
      </c>
      <c r="M338" s="23"/>
      <c r="N338" s="24"/>
    </row>
    <row r="339" spans="1:14" ht="75" customHeight="1" thickTop="1" thickBot="1">
      <c r="A339" s="25">
        <v>337</v>
      </c>
      <c r="B339" s="32">
        <v>46204.488559571699</v>
      </c>
      <c r="C339" s="33" t="s">
        <v>97</v>
      </c>
      <c r="D339" s="33" t="s">
        <v>272</v>
      </c>
      <c r="E339" s="23" t="s">
        <v>99</v>
      </c>
      <c r="F339" s="23" t="s">
        <v>102</v>
      </c>
      <c r="G339" s="23" t="s">
        <v>110</v>
      </c>
      <c r="H339" s="23" t="s">
        <v>445</v>
      </c>
      <c r="I339" s="23" t="s">
        <v>446</v>
      </c>
      <c r="J339" s="23" t="s">
        <v>14</v>
      </c>
      <c r="K339" s="23" t="s">
        <v>13</v>
      </c>
      <c r="L339" s="32">
        <v>46204.531732962962</v>
      </c>
      <c r="M339" s="23"/>
      <c r="N339" s="24"/>
    </row>
    <row r="340" spans="1:14" ht="75" customHeight="1" thickTop="1" thickBot="1">
      <c r="A340" s="23">
        <v>338</v>
      </c>
      <c r="B340" s="32">
        <v>46204.488624756901</v>
      </c>
      <c r="C340" s="33" t="s">
        <v>97</v>
      </c>
      <c r="D340" s="31" t="s">
        <v>272</v>
      </c>
      <c r="E340" s="23" t="s">
        <v>99</v>
      </c>
      <c r="F340" s="23" t="s">
        <v>126</v>
      </c>
      <c r="G340" s="23" t="s">
        <v>110</v>
      </c>
      <c r="H340" s="23" t="s">
        <v>447</v>
      </c>
      <c r="I340" s="23"/>
      <c r="J340" s="23" t="s">
        <v>14</v>
      </c>
      <c r="K340" s="23" t="s">
        <v>13</v>
      </c>
      <c r="L340" s="32">
        <v>46204.531771527778</v>
      </c>
      <c r="M340" s="23"/>
      <c r="N340" s="24"/>
    </row>
    <row r="341" spans="1:14" ht="75" customHeight="1" thickTop="1" thickBot="1">
      <c r="A341" s="25">
        <v>339</v>
      </c>
      <c r="B341" s="32">
        <v>46204.488730324003</v>
      </c>
      <c r="C341" s="33" t="s">
        <v>97</v>
      </c>
      <c r="D341" s="33" t="s">
        <v>407</v>
      </c>
      <c r="E341" s="23" t="s">
        <v>99</v>
      </c>
      <c r="F341" s="23" t="s">
        <v>398</v>
      </c>
      <c r="G341" s="23" t="s">
        <v>398</v>
      </c>
      <c r="H341" s="23" t="s">
        <v>448</v>
      </c>
      <c r="I341" s="23"/>
      <c r="J341" s="23" t="s">
        <v>38</v>
      </c>
      <c r="K341" s="23" t="s">
        <v>13</v>
      </c>
      <c r="L341" s="32">
        <v>46204.531902488423</v>
      </c>
      <c r="M341" s="23"/>
      <c r="N341" s="24"/>
    </row>
    <row r="342" spans="1:14" ht="75" customHeight="1" thickTop="1" thickBot="1">
      <c r="A342" s="23">
        <v>340</v>
      </c>
      <c r="B342" s="32">
        <v>46204.489238668903</v>
      </c>
      <c r="C342" s="33" t="s">
        <v>97</v>
      </c>
      <c r="D342" s="33" t="s">
        <v>272</v>
      </c>
      <c r="E342" s="23" t="s">
        <v>99</v>
      </c>
      <c r="F342" s="23" t="s">
        <v>449</v>
      </c>
      <c r="G342" s="23" t="s">
        <v>101</v>
      </c>
      <c r="H342" s="23" t="s">
        <v>450</v>
      </c>
      <c r="I342" s="23"/>
      <c r="J342" s="23" t="s">
        <v>14</v>
      </c>
      <c r="K342" s="23" t="s">
        <v>13</v>
      </c>
      <c r="L342" s="32">
        <v>46204.531921168978</v>
      </c>
      <c r="M342" s="23"/>
      <c r="N342" s="24"/>
    </row>
    <row r="343" spans="1:14" ht="75" customHeight="1" thickTop="1" thickBot="1">
      <c r="A343" s="25">
        <v>341</v>
      </c>
      <c r="B343" s="32">
        <v>46204.4892642708</v>
      </c>
      <c r="C343" s="33" t="s">
        <v>97</v>
      </c>
      <c r="D343" s="33" t="s">
        <v>395</v>
      </c>
      <c r="E343" s="23" t="s">
        <v>99</v>
      </c>
      <c r="F343" s="23" t="s">
        <v>102</v>
      </c>
      <c r="G343" s="23" t="s">
        <v>101</v>
      </c>
      <c r="H343" s="23" t="s">
        <v>148</v>
      </c>
      <c r="I343" s="23"/>
      <c r="J343" s="23" t="s">
        <v>16</v>
      </c>
      <c r="K343" s="23" t="s">
        <v>13</v>
      </c>
      <c r="L343" s="32">
        <v>46204.531966574075</v>
      </c>
      <c r="M343" s="23"/>
      <c r="N343" s="24"/>
    </row>
    <row r="344" spans="1:14" ht="75" customHeight="1" thickTop="1" thickBot="1">
      <c r="A344" s="23">
        <v>342</v>
      </c>
      <c r="B344" s="32">
        <v>46204.489319166598</v>
      </c>
      <c r="C344" s="33" t="s">
        <v>97</v>
      </c>
      <c r="D344" s="33" t="s">
        <v>272</v>
      </c>
      <c r="E344" s="23" t="s">
        <v>99</v>
      </c>
      <c r="F344" s="23" t="s">
        <v>265</v>
      </c>
      <c r="G344" s="23" t="s">
        <v>265</v>
      </c>
      <c r="H344" s="23" t="s">
        <v>451</v>
      </c>
      <c r="I344" s="23"/>
      <c r="J344" s="23" t="s">
        <v>14</v>
      </c>
      <c r="K344" s="23" t="s">
        <v>13</v>
      </c>
      <c r="L344" s="32">
        <v>46204.531986770831</v>
      </c>
      <c r="M344" s="23"/>
      <c r="N344" s="24"/>
    </row>
    <row r="345" spans="1:14" ht="75" customHeight="1" thickTop="1" thickBot="1">
      <c r="A345" s="25">
        <v>343</v>
      </c>
      <c r="B345" s="32">
        <v>46204.489772581001</v>
      </c>
      <c r="C345" s="33" t="s">
        <v>97</v>
      </c>
      <c r="D345" s="33" t="s">
        <v>272</v>
      </c>
      <c r="E345" s="23" t="s">
        <v>99</v>
      </c>
      <c r="F345" s="23" t="s">
        <v>126</v>
      </c>
      <c r="G345" s="23" t="s">
        <v>110</v>
      </c>
      <c r="H345" s="23" t="s">
        <v>452</v>
      </c>
      <c r="I345" s="23"/>
      <c r="J345" s="23" t="s">
        <v>14</v>
      </c>
      <c r="K345" s="23" t="s">
        <v>13</v>
      </c>
      <c r="L345" s="32">
        <v>46204.532035462966</v>
      </c>
      <c r="M345" s="23"/>
      <c r="N345" s="24"/>
    </row>
    <row r="346" spans="1:14" ht="75" customHeight="1" thickTop="1" thickBot="1">
      <c r="A346" s="23">
        <v>344</v>
      </c>
      <c r="B346" s="32">
        <v>46204.490177742999</v>
      </c>
      <c r="C346" s="33" t="s">
        <v>97</v>
      </c>
      <c r="D346" s="33" t="s">
        <v>407</v>
      </c>
      <c r="E346" s="23" t="s">
        <v>99</v>
      </c>
      <c r="F346" s="23" t="s">
        <v>398</v>
      </c>
      <c r="G346" s="23" t="s">
        <v>398</v>
      </c>
      <c r="H346" s="23" t="s">
        <v>453</v>
      </c>
      <c r="I346" s="23"/>
      <c r="J346" s="23" t="s">
        <v>38</v>
      </c>
      <c r="K346" s="23" t="s">
        <v>13</v>
      </c>
      <c r="L346" s="32">
        <v>46204.532051967588</v>
      </c>
      <c r="M346" s="23"/>
      <c r="N346" s="24"/>
    </row>
    <row r="347" spans="1:14" ht="75" customHeight="1" thickTop="1" thickBot="1">
      <c r="A347" s="25">
        <v>345</v>
      </c>
      <c r="B347" s="32">
        <v>46204.4902309143</v>
      </c>
      <c r="C347" s="33" t="s">
        <v>97</v>
      </c>
      <c r="D347" s="33" t="s">
        <v>272</v>
      </c>
      <c r="E347" s="23" t="s">
        <v>99</v>
      </c>
      <c r="F347" s="23" t="s">
        <v>454</v>
      </c>
      <c r="G347" s="23" t="s">
        <v>101</v>
      </c>
      <c r="H347" s="23" t="s">
        <v>455</v>
      </c>
      <c r="I347" s="23"/>
      <c r="J347" s="23" t="s">
        <v>14</v>
      </c>
      <c r="K347" s="23" t="s">
        <v>13</v>
      </c>
      <c r="L347" s="32">
        <v>46204.532165138888</v>
      </c>
      <c r="M347" s="23"/>
      <c r="N347" s="24"/>
    </row>
    <row r="348" spans="1:14" ht="75" customHeight="1" thickTop="1" thickBot="1">
      <c r="A348" s="23">
        <v>346</v>
      </c>
      <c r="B348" s="32">
        <v>46204.490422754599</v>
      </c>
      <c r="C348" s="33" t="s">
        <v>97</v>
      </c>
      <c r="D348" s="33" t="s">
        <v>395</v>
      </c>
      <c r="E348" s="23" t="s">
        <v>99</v>
      </c>
      <c r="F348" s="23" t="s">
        <v>100</v>
      </c>
      <c r="G348" s="23" t="s">
        <v>108</v>
      </c>
      <c r="H348" s="23" t="s">
        <v>1062</v>
      </c>
      <c r="I348" s="23"/>
      <c r="J348" s="23" t="s">
        <v>16</v>
      </c>
      <c r="K348" s="23" t="s">
        <v>13</v>
      </c>
      <c r="L348" s="32">
        <v>46204.532111030094</v>
      </c>
      <c r="M348" s="23"/>
      <c r="N348" s="24"/>
    </row>
    <row r="349" spans="1:14" ht="75" customHeight="1" thickTop="1" thickBot="1">
      <c r="A349" s="25">
        <v>347</v>
      </c>
      <c r="B349" s="32">
        <v>46204.490596886499</v>
      </c>
      <c r="C349" s="33" t="s">
        <v>97</v>
      </c>
      <c r="D349" s="33" t="s">
        <v>272</v>
      </c>
      <c r="E349" s="23" t="s">
        <v>99</v>
      </c>
      <c r="F349" s="23" t="s">
        <v>456</v>
      </c>
      <c r="G349" s="23" t="s">
        <v>457</v>
      </c>
      <c r="H349" s="23" t="s">
        <v>458</v>
      </c>
      <c r="I349" s="23"/>
      <c r="J349" s="23" t="s">
        <v>14</v>
      </c>
      <c r="K349" s="23" t="s">
        <v>13</v>
      </c>
      <c r="L349" s="32">
        <v>46204.532174143518</v>
      </c>
      <c r="M349" s="23"/>
      <c r="N349" s="24"/>
    </row>
    <row r="350" spans="1:14" ht="75" customHeight="1" thickTop="1" thickBot="1">
      <c r="A350" s="23">
        <v>348</v>
      </c>
      <c r="B350" s="32">
        <v>46204.4907106713</v>
      </c>
      <c r="C350" s="33" t="s">
        <v>97</v>
      </c>
      <c r="D350" s="33" t="s">
        <v>272</v>
      </c>
      <c r="E350" s="23" t="s">
        <v>99</v>
      </c>
      <c r="F350" s="23" t="s">
        <v>1132</v>
      </c>
      <c r="G350" s="23" t="s">
        <v>981</v>
      </c>
      <c r="H350" s="23" t="s">
        <v>1134</v>
      </c>
      <c r="I350" s="23"/>
      <c r="J350" s="23" t="s">
        <v>14</v>
      </c>
      <c r="K350" s="23" t="s">
        <v>13</v>
      </c>
      <c r="L350" s="32">
        <v>46204.532219849541</v>
      </c>
      <c r="M350" s="23"/>
      <c r="N350" s="24"/>
    </row>
    <row r="351" spans="1:14" ht="75" customHeight="1" thickTop="1" thickBot="1">
      <c r="A351" s="25">
        <v>349</v>
      </c>
      <c r="B351" s="32">
        <v>46204.491110404997</v>
      </c>
      <c r="C351" s="33" t="s">
        <v>97</v>
      </c>
      <c r="D351" s="33" t="s">
        <v>272</v>
      </c>
      <c r="E351" s="23" t="s">
        <v>99</v>
      </c>
      <c r="F351" s="23" t="s">
        <v>126</v>
      </c>
      <c r="G351" s="23" t="s">
        <v>106</v>
      </c>
      <c r="H351" s="23" t="s">
        <v>459</v>
      </c>
      <c r="I351" s="23"/>
      <c r="J351" s="23" t="s">
        <v>14</v>
      </c>
      <c r="K351" s="23" t="s">
        <v>13</v>
      </c>
      <c r="L351" s="32">
        <v>46204.532229849538</v>
      </c>
      <c r="M351" s="23"/>
      <c r="N351" s="24"/>
    </row>
    <row r="352" spans="1:14" ht="75" customHeight="1" thickTop="1" thickBot="1">
      <c r="A352" s="23">
        <v>350</v>
      </c>
      <c r="B352" s="32">
        <v>46204.491166435102</v>
      </c>
      <c r="C352" s="33" t="s">
        <v>97</v>
      </c>
      <c r="D352" s="33" t="s">
        <v>407</v>
      </c>
      <c r="E352" s="23" t="s">
        <v>99</v>
      </c>
      <c r="F352" s="23" t="s">
        <v>398</v>
      </c>
      <c r="G352" s="23" t="s">
        <v>398</v>
      </c>
      <c r="H352" s="23" t="s">
        <v>460</v>
      </c>
      <c r="I352" s="23"/>
      <c r="J352" s="23" t="s">
        <v>38</v>
      </c>
      <c r="K352" s="23" t="s">
        <v>13</v>
      </c>
      <c r="L352" s="32">
        <v>46204.532283171298</v>
      </c>
      <c r="M352" s="23"/>
      <c r="N352" s="24"/>
    </row>
    <row r="353" spans="1:14" ht="75" customHeight="1" thickTop="1" thickBot="1">
      <c r="A353" s="25">
        <v>351</v>
      </c>
      <c r="B353" s="32">
        <v>46204.491305752301</v>
      </c>
      <c r="C353" s="33" t="s">
        <v>97</v>
      </c>
      <c r="D353" s="33" t="s">
        <v>395</v>
      </c>
      <c r="E353" s="23" t="s">
        <v>99</v>
      </c>
      <c r="F353" s="23" t="s">
        <v>102</v>
      </c>
      <c r="G353" s="23" t="s">
        <v>105</v>
      </c>
      <c r="H353" s="23" t="s">
        <v>155</v>
      </c>
      <c r="I353" s="23"/>
      <c r="J353" s="23" t="s">
        <v>16</v>
      </c>
      <c r="K353" s="23" t="s">
        <v>13</v>
      </c>
      <c r="L353" s="32">
        <v>46204.532319224541</v>
      </c>
      <c r="M353" s="23"/>
      <c r="N353" s="24"/>
    </row>
    <row r="354" spans="1:14" ht="75" customHeight="1" thickTop="1" thickBot="1">
      <c r="A354" s="23">
        <v>352</v>
      </c>
      <c r="B354" s="32">
        <v>46204.491502905003</v>
      </c>
      <c r="C354" s="33" t="s">
        <v>97</v>
      </c>
      <c r="D354" s="33" t="s">
        <v>272</v>
      </c>
      <c r="E354" s="23" t="s">
        <v>99</v>
      </c>
      <c r="F354" s="23" t="s">
        <v>461</v>
      </c>
      <c r="G354" s="23" t="s">
        <v>124</v>
      </c>
      <c r="H354" s="23" t="s">
        <v>462</v>
      </c>
      <c r="I354" s="23"/>
      <c r="J354" s="23" t="s">
        <v>14</v>
      </c>
      <c r="K354" s="23" t="s">
        <v>13</v>
      </c>
      <c r="L354" s="32">
        <v>46204.532343842591</v>
      </c>
      <c r="M354" s="23"/>
      <c r="N354" s="24"/>
    </row>
    <row r="355" spans="1:14" ht="75" customHeight="1" thickTop="1" thickBot="1">
      <c r="A355" s="25">
        <v>353</v>
      </c>
      <c r="B355" s="32">
        <v>46204.491640150402</v>
      </c>
      <c r="C355" s="33" t="s">
        <v>97</v>
      </c>
      <c r="D355" s="33" t="s">
        <v>272</v>
      </c>
      <c r="E355" s="23" t="s">
        <v>99</v>
      </c>
      <c r="F355" s="23" t="s">
        <v>463</v>
      </c>
      <c r="G355" s="23" t="s">
        <v>463</v>
      </c>
      <c r="H355" s="23" t="s">
        <v>464</v>
      </c>
      <c r="I355" s="23" t="s">
        <v>465</v>
      </c>
      <c r="J355" s="23" t="s">
        <v>14</v>
      </c>
      <c r="K355" s="23" t="s">
        <v>13</v>
      </c>
      <c r="L355" s="32">
        <v>46204.529419421291</v>
      </c>
      <c r="M355" s="23"/>
      <c r="N355" s="24"/>
    </row>
    <row r="356" spans="1:14" ht="75" customHeight="1" thickTop="1" thickBot="1">
      <c r="A356" s="23">
        <v>354</v>
      </c>
      <c r="B356" s="32">
        <v>46204.491895937499</v>
      </c>
      <c r="C356" s="33" t="s">
        <v>97</v>
      </c>
      <c r="D356" s="33" t="s">
        <v>272</v>
      </c>
      <c r="E356" s="23" t="s">
        <v>99</v>
      </c>
      <c r="F356" s="23" t="s">
        <v>102</v>
      </c>
      <c r="G356" s="23" t="s">
        <v>206</v>
      </c>
      <c r="H356" s="23" t="s">
        <v>466</v>
      </c>
      <c r="I356" s="23"/>
      <c r="J356" s="23" t="s">
        <v>14</v>
      </c>
      <c r="K356" s="23" t="s">
        <v>13</v>
      </c>
      <c r="L356" s="32">
        <v>46204.529400972227</v>
      </c>
      <c r="M356" s="23"/>
      <c r="N356" s="24"/>
    </row>
    <row r="357" spans="1:14" ht="75" customHeight="1" thickTop="1" thickBot="1">
      <c r="A357" s="25">
        <v>355</v>
      </c>
      <c r="B357" s="32">
        <v>46204.491939918902</v>
      </c>
      <c r="C357" s="33" t="s">
        <v>97</v>
      </c>
      <c r="D357" s="33" t="s">
        <v>395</v>
      </c>
      <c r="E357" s="23" t="s">
        <v>99</v>
      </c>
      <c r="F357" s="23" t="s">
        <v>126</v>
      </c>
      <c r="G357" s="23" t="s">
        <v>156</v>
      </c>
      <c r="H357" s="23" t="s">
        <v>467</v>
      </c>
      <c r="I357" s="23"/>
      <c r="J357" s="23" t="s">
        <v>16</v>
      </c>
      <c r="K357" s="23" t="s">
        <v>13</v>
      </c>
      <c r="L357" s="32">
        <v>46204.498000277774</v>
      </c>
      <c r="M357" s="23"/>
      <c r="N357" s="24"/>
    </row>
    <row r="358" spans="1:14" ht="75" customHeight="1" thickTop="1" thickBot="1">
      <c r="A358" s="23">
        <v>356</v>
      </c>
      <c r="B358" s="32">
        <v>46204.492322812497</v>
      </c>
      <c r="C358" s="33" t="s">
        <v>97</v>
      </c>
      <c r="D358" s="33" t="s">
        <v>272</v>
      </c>
      <c r="E358" s="23" t="s">
        <v>99</v>
      </c>
      <c r="F358" s="23" t="s">
        <v>463</v>
      </c>
      <c r="G358" s="23" t="s">
        <v>463</v>
      </c>
      <c r="H358" s="23" t="s">
        <v>464</v>
      </c>
      <c r="I358" s="23"/>
      <c r="J358" s="23" t="s">
        <v>14</v>
      </c>
      <c r="K358" s="23" t="s">
        <v>13</v>
      </c>
      <c r="L358" s="32">
        <v>46204.498028483795</v>
      </c>
      <c r="M358" s="23"/>
      <c r="N358" s="24"/>
    </row>
    <row r="359" spans="1:14" ht="75" customHeight="1" thickTop="1" thickBot="1">
      <c r="A359" s="25">
        <v>357</v>
      </c>
      <c r="B359" s="32">
        <v>46204.492601446698</v>
      </c>
      <c r="C359" s="33" t="s">
        <v>97</v>
      </c>
      <c r="D359" s="33" t="s">
        <v>395</v>
      </c>
      <c r="E359" s="23" t="s">
        <v>99</v>
      </c>
      <c r="F359" s="23" t="s">
        <v>102</v>
      </c>
      <c r="G359" s="23" t="s">
        <v>108</v>
      </c>
      <c r="H359" s="23" t="s">
        <v>1063</v>
      </c>
      <c r="I359" s="23"/>
      <c r="J359" s="23" t="s">
        <v>16</v>
      </c>
      <c r="K359" s="23" t="s">
        <v>13</v>
      </c>
      <c r="L359" s="32">
        <v>46204.529312546292</v>
      </c>
      <c r="M359" s="23"/>
    </row>
    <row r="360" spans="1:14" ht="75" customHeight="1" thickTop="1" thickBot="1">
      <c r="A360" s="23">
        <v>358</v>
      </c>
      <c r="B360" s="32">
        <v>46204.492659953699</v>
      </c>
      <c r="C360" s="33" t="s">
        <v>97</v>
      </c>
      <c r="D360" s="33" t="s">
        <v>272</v>
      </c>
      <c r="E360" s="23" t="s">
        <v>99</v>
      </c>
      <c r="F360" s="23" t="s">
        <v>102</v>
      </c>
      <c r="G360" s="23" t="s">
        <v>981</v>
      </c>
      <c r="H360" s="23" t="s">
        <v>1135</v>
      </c>
      <c r="I360" s="23"/>
      <c r="J360" s="23" t="s">
        <v>14</v>
      </c>
      <c r="K360" s="23" t="s">
        <v>13</v>
      </c>
      <c r="L360" s="32">
        <v>46204.529273252316</v>
      </c>
      <c r="M360" s="23"/>
    </row>
    <row r="361" spans="1:14" ht="75" customHeight="1" thickTop="1" thickBot="1">
      <c r="A361" s="25">
        <v>359</v>
      </c>
      <c r="B361" s="32">
        <v>46204.4929149768</v>
      </c>
      <c r="C361" s="33" t="s">
        <v>97</v>
      </c>
      <c r="D361" s="33" t="s">
        <v>272</v>
      </c>
      <c r="E361" s="23" t="s">
        <v>99</v>
      </c>
      <c r="F361" s="23" t="s">
        <v>126</v>
      </c>
      <c r="G361" s="23" t="s">
        <v>106</v>
      </c>
      <c r="H361" s="23" t="s">
        <v>468</v>
      </c>
      <c r="I361" s="23"/>
      <c r="J361" s="23" t="s">
        <v>14</v>
      </c>
      <c r="K361" s="23" t="s">
        <v>13</v>
      </c>
      <c r="L361" s="32">
        <v>46204.529168703702</v>
      </c>
      <c r="M361" s="23"/>
    </row>
    <row r="362" spans="1:14" ht="75" customHeight="1" thickTop="1" thickBot="1">
      <c r="A362" s="23">
        <v>360</v>
      </c>
      <c r="B362" s="32">
        <v>46204.4929603009</v>
      </c>
      <c r="C362" s="33" t="s">
        <v>97</v>
      </c>
      <c r="D362" s="33" t="s">
        <v>272</v>
      </c>
      <c r="E362" s="23" t="s">
        <v>99</v>
      </c>
      <c r="F362" s="23" t="s">
        <v>102</v>
      </c>
      <c r="G362" s="23" t="s">
        <v>110</v>
      </c>
      <c r="H362" s="23" t="s">
        <v>469</v>
      </c>
      <c r="I362" s="23"/>
      <c r="J362" s="23" t="s">
        <v>14</v>
      </c>
      <c r="K362" s="23" t="s">
        <v>13</v>
      </c>
      <c r="L362" s="32">
        <v>46204.529114641206</v>
      </c>
      <c r="M362" s="23"/>
    </row>
    <row r="363" spans="1:14" ht="75" customHeight="1" thickTop="1" thickBot="1">
      <c r="A363" s="25">
        <v>361</v>
      </c>
      <c r="B363" s="32">
        <v>46204.493434282398</v>
      </c>
      <c r="C363" s="33" t="s">
        <v>97</v>
      </c>
      <c r="D363" s="33" t="s">
        <v>395</v>
      </c>
      <c r="E363" s="23" t="s">
        <v>99</v>
      </c>
      <c r="F363" s="23" t="s">
        <v>157</v>
      </c>
      <c r="G363" s="23" t="s">
        <v>110</v>
      </c>
      <c r="H363" s="23" t="s">
        <v>1064</v>
      </c>
      <c r="I363" s="23"/>
      <c r="J363" s="23" t="s">
        <v>16</v>
      </c>
      <c r="K363" s="23" t="s">
        <v>13</v>
      </c>
      <c r="L363" s="32">
        <v>46204.529097789353</v>
      </c>
      <c r="M363" s="23"/>
    </row>
    <row r="364" spans="1:14" ht="75" customHeight="1" thickTop="1" thickBot="1">
      <c r="A364" s="23">
        <v>362</v>
      </c>
      <c r="B364" s="32">
        <v>46204.4934356597</v>
      </c>
      <c r="C364" s="33" t="s">
        <v>97</v>
      </c>
      <c r="D364" s="33" t="s">
        <v>272</v>
      </c>
      <c r="E364" s="23" t="s">
        <v>99</v>
      </c>
      <c r="F364" s="23" t="s">
        <v>102</v>
      </c>
      <c r="G364" s="23" t="s">
        <v>110</v>
      </c>
      <c r="H364" s="23" t="s">
        <v>470</v>
      </c>
      <c r="I364" s="23"/>
      <c r="J364" s="23" t="s">
        <v>14</v>
      </c>
      <c r="K364" s="23" t="s">
        <v>13</v>
      </c>
      <c r="L364" s="32">
        <v>46204.529045833333</v>
      </c>
      <c r="M364" s="23"/>
    </row>
    <row r="365" spans="1:14" ht="75" customHeight="1" thickTop="1" thickBot="1">
      <c r="A365" s="25">
        <v>363</v>
      </c>
      <c r="B365" s="32">
        <v>46204.493728923597</v>
      </c>
      <c r="C365" s="33" t="s">
        <v>97</v>
      </c>
      <c r="D365" s="33" t="s">
        <v>272</v>
      </c>
      <c r="E365" s="23" t="s">
        <v>99</v>
      </c>
      <c r="F365" s="23" t="s">
        <v>102</v>
      </c>
      <c r="G365" s="23" t="s">
        <v>110</v>
      </c>
      <c r="H365" s="23" t="s">
        <v>471</v>
      </c>
      <c r="I365" s="23"/>
      <c r="J365" s="23" t="s">
        <v>14</v>
      </c>
      <c r="K365" s="23" t="s">
        <v>13</v>
      </c>
      <c r="L365" s="32">
        <v>46204.528999930553</v>
      </c>
      <c r="M365" s="23"/>
    </row>
    <row r="366" spans="1:14" ht="75" customHeight="1" thickTop="1" thickBot="1">
      <c r="A366" s="23">
        <v>364</v>
      </c>
      <c r="B366" s="32">
        <v>46204.494263171197</v>
      </c>
      <c r="C366" s="33" t="s">
        <v>97</v>
      </c>
      <c r="D366" s="33" t="s">
        <v>272</v>
      </c>
      <c r="E366" s="23" t="s">
        <v>99</v>
      </c>
      <c r="F366" s="23" t="s">
        <v>472</v>
      </c>
      <c r="G366" s="23" t="s">
        <v>472</v>
      </c>
      <c r="H366" s="23" t="s">
        <v>472</v>
      </c>
      <c r="I366" s="23"/>
      <c r="J366" s="23" t="s">
        <v>14</v>
      </c>
      <c r="K366" s="23" t="s">
        <v>13</v>
      </c>
      <c r="L366" s="32">
        <v>46204.528957083334</v>
      </c>
      <c r="M366" s="23"/>
    </row>
    <row r="367" spans="1:14" ht="75" customHeight="1" thickTop="1" thickBot="1">
      <c r="A367" s="25">
        <v>365</v>
      </c>
      <c r="B367" s="32">
        <v>46204.494319189798</v>
      </c>
      <c r="C367" s="33" t="s">
        <v>97</v>
      </c>
      <c r="D367" s="33" t="s">
        <v>272</v>
      </c>
      <c r="E367" s="23" t="s">
        <v>99</v>
      </c>
      <c r="F367" s="23" t="s">
        <v>101</v>
      </c>
      <c r="G367" s="23" t="s">
        <v>101</v>
      </c>
      <c r="H367" s="23" t="s">
        <v>473</v>
      </c>
      <c r="I367" s="23"/>
      <c r="J367" s="23" t="s">
        <v>14</v>
      </c>
      <c r="K367" s="23" t="s">
        <v>13</v>
      </c>
      <c r="L367" s="32">
        <v>46204.528935567127</v>
      </c>
      <c r="M367" s="23"/>
    </row>
    <row r="368" spans="1:14" ht="75" customHeight="1" thickTop="1" thickBot="1">
      <c r="A368" s="23">
        <v>366</v>
      </c>
      <c r="B368" s="32">
        <v>46204.494359745302</v>
      </c>
      <c r="C368" s="33" t="s">
        <v>97</v>
      </c>
      <c r="D368" s="33" t="s">
        <v>395</v>
      </c>
      <c r="E368" s="23" t="s">
        <v>99</v>
      </c>
      <c r="F368" s="23" t="s">
        <v>102</v>
      </c>
      <c r="G368" s="23" t="s">
        <v>127</v>
      </c>
      <c r="H368" s="23" t="s">
        <v>160</v>
      </c>
      <c r="I368" s="23"/>
      <c r="J368" s="23" t="s">
        <v>16</v>
      </c>
      <c r="K368" s="23" t="s">
        <v>13</v>
      </c>
      <c r="L368" s="32">
        <v>46204.528888020832</v>
      </c>
      <c r="M368" s="23"/>
    </row>
    <row r="369" spans="1:13" ht="75" customHeight="1" thickTop="1" thickBot="1">
      <c r="A369" s="25">
        <v>367</v>
      </c>
      <c r="B369" s="32">
        <v>46204.494698807801</v>
      </c>
      <c r="C369" s="33" t="s">
        <v>97</v>
      </c>
      <c r="D369" s="33" t="s">
        <v>272</v>
      </c>
      <c r="E369" s="23" t="s">
        <v>99</v>
      </c>
      <c r="F369" s="23" t="s">
        <v>100</v>
      </c>
      <c r="G369" s="23" t="s">
        <v>168</v>
      </c>
      <c r="H369" s="23" t="s">
        <v>474</v>
      </c>
      <c r="I369" s="23"/>
      <c r="J369" s="23" t="s">
        <v>14</v>
      </c>
      <c r="K369" s="23" t="s">
        <v>13</v>
      </c>
      <c r="L369" s="32">
        <v>46204.52884697917</v>
      </c>
      <c r="M369" s="23"/>
    </row>
    <row r="370" spans="1:13" ht="75" customHeight="1" thickTop="1" thickBot="1">
      <c r="A370" s="23">
        <v>368</v>
      </c>
      <c r="B370" s="32">
        <v>46204.4950501157</v>
      </c>
      <c r="C370" s="33" t="s">
        <v>97</v>
      </c>
      <c r="D370" s="33" t="s">
        <v>272</v>
      </c>
      <c r="E370" s="23" t="s">
        <v>99</v>
      </c>
      <c r="F370" s="23" t="s">
        <v>100</v>
      </c>
      <c r="G370" s="23" t="s">
        <v>463</v>
      </c>
      <c r="H370" s="23" t="s">
        <v>475</v>
      </c>
      <c r="I370" s="23"/>
      <c r="J370" s="23" t="s">
        <v>14</v>
      </c>
      <c r="K370" s="23" t="s">
        <v>13</v>
      </c>
      <c r="L370" s="32">
        <v>46204.528793263889</v>
      </c>
      <c r="M370" s="23"/>
    </row>
    <row r="371" spans="1:13" ht="75" customHeight="1" thickTop="1" thickBot="1">
      <c r="A371" s="25">
        <v>369</v>
      </c>
      <c r="B371" s="32">
        <v>46204.495233576301</v>
      </c>
      <c r="C371" s="33" t="s">
        <v>97</v>
      </c>
      <c r="D371" s="33" t="s">
        <v>395</v>
      </c>
      <c r="E371" s="23" t="s">
        <v>99</v>
      </c>
      <c r="F371" s="23" t="s">
        <v>100</v>
      </c>
      <c r="G371" s="23" t="s">
        <v>152</v>
      </c>
      <c r="H371" s="23" t="s">
        <v>476</v>
      </c>
      <c r="I371" s="23"/>
      <c r="J371" s="23" t="s">
        <v>16</v>
      </c>
      <c r="K371" s="23" t="s">
        <v>13</v>
      </c>
      <c r="L371" s="32">
        <v>46204.528722083334</v>
      </c>
      <c r="M371" s="23"/>
    </row>
    <row r="372" spans="1:13" ht="75" customHeight="1" thickTop="1" thickBot="1">
      <c r="A372" s="23">
        <v>370</v>
      </c>
      <c r="B372" s="32">
        <v>46204.495250416599</v>
      </c>
      <c r="C372" s="33" t="s">
        <v>97</v>
      </c>
      <c r="D372" s="33" t="s">
        <v>272</v>
      </c>
      <c r="E372" s="23" t="s">
        <v>99</v>
      </c>
      <c r="F372" s="23" t="s">
        <v>100</v>
      </c>
      <c r="G372" s="23" t="s">
        <v>365</v>
      </c>
      <c r="H372" s="23" t="s">
        <v>477</v>
      </c>
      <c r="I372" s="23"/>
      <c r="J372" s="23" t="s">
        <v>14</v>
      </c>
      <c r="K372" s="23" t="s">
        <v>13</v>
      </c>
      <c r="L372" s="32">
        <v>46204.528665891208</v>
      </c>
      <c r="M372" s="23"/>
    </row>
    <row r="373" spans="1:13" ht="75" customHeight="1" thickTop="1" thickBot="1">
      <c r="A373" s="25">
        <v>371</v>
      </c>
      <c r="B373" s="32">
        <v>46204.495578564798</v>
      </c>
      <c r="C373" s="33" t="s">
        <v>97</v>
      </c>
      <c r="D373" s="31" t="s">
        <v>272</v>
      </c>
      <c r="E373" s="23" t="s">
        <v>99</v>
      </c>
      <c r="F373" s="23" t="s">
        <v>100</v>
      </c>
      <c r="G373" s="23" t="s">
        <v>463</v>
      </c>
      <c r="H373" s="23" t="s">
        <v>478</v>
      </c>
      <c r="I373" s="23"/>
      <c r="J373" s="23" t="s">
        <v>14</v>
      </c>
      <c r="K373" s="23" t="s">
        <v>13</v>
      </c>
      <c r="L373" s="32">
        <v>46204.528612893519</v>
      </c>
      <c r="M373" s="23"/>
    </row>
    <row r="374" spans="1:13" ht="75" customHeight="1" thickTop="1" thickBot="1">
      <c r="A374" s="23">
        <v>372</v>
      </c>
      <c r="B374" s="32">
        <v>46204.495688750001</v>
      </c>
      <c r="C374" s="33" t="s">
        <v>97</v>
      </c>
      <c r="D374" s="33" t="s">
        <v>272</v>
      </c>
      <c r="E374" s="23" t="s">
        <v>99</v>
      </c>
      <c r="F374" s="23" t="s">
        <v>116</v>
      </c>
      <c r="G374" s="23" t="s">
        <v>106</v>
      </c>
      <c r="H374" s="23" t="s">
        <v>479</v>
      </c>
      <c r="I374" s="23"/>
      <c r="J374" s="23" t="s">
        <v>14</v>
      </c>
      <c r="K374" s="23" t="s">
        <v>13</v>
      </c>
      <c r="L374" s="32">
        <v>46204.528591782408</v>
      </c>
      <c r="M374" s="23"/>
    </row>
    <row r="375" spans="1:13" ht="75" customHeight="1" thickTop="1" thickBot="1">
      <c r="A375" s="25">
        <v>373</v>
      </c>
      <c r="B375" s="32">
        <v>46204.496478599503</v>
      </c>
      <c r="C375" s="33" t="s">
        <v>97</v>
      </c>
      <c r="D375" s="33" t="s">
        <v>272</v>
      </c>
      <c r="E375" s="23" t="s">
        <v>99</v>
      </c>
      <c r="F375" s="23" t="s">
        <v>102</v>
      </c>
      <c r="G375" s="23" t="s">
        <v>108</v>
      </c>
      <c r="H375" s="23" t="s">
        <v>480</v>
      </c>
      <c r="I375" s="23"/>
      <c r="J375" s="23" t="s">
        <v>14</v>
      </c>
      <c r="K375" s="23" t="s">
        <v>13</v>
      </c>
      <c r="L375" s="32">
        <v>46204.528538611106</v>
      </c>
      <c r="M375" s="23"/>
    </row>
    <row r="376" spans="1:13" ht="75" customHeight="1" thickTop="1" thickBot="1">
      <c r="A376" s="23">
        <v>374</v>
      </c>
      <c r="B376" s="32">
        <v>46204.496512986101</v>
      </c>
      <c r="C376" s="33" t="s">
        <v>97</v>
      </c>
      <c r="D376" s="33" t="s">
        <v>395</v>
      </c>
      <c r="E376" s="23" t="s">
        <v>99</v>
      </c>
      <c r="F376" s="23" t="s">
        <v>100</v>
      </c>
      <c r="G376" s="23" t="s">
        <v>105</v>
      </c>
      <c r="H376" s="23" t="s">
        <v>481</v>
      </c>
      <c r="I376" s="23"/>
      <c r="J376" s="23" t="s">
        <v>16</v>
      </c>
      <c r="K376" s="23" t="s">
        <v>13</v>
      </c>
      <c r="L376" s="32">
        <v>46204.528386678241</v>
      </c>
      <c r="M376" s="23"/>
    </row>
    <row r="377" spans="1:13" ht="75" customHeight="1" thickTop="1" thickBot="1">
      <c r="A377" s="25">
        <v>375</v>
      </c>
      <c r="B377" s="32">
        <v>46204.496843460598</v>
      </c>
      <c r="C377" s="33" t="s">
        <v>97</v>
      </c>
      <c r="D377" s="33" t="s">
        <v>272</v>
      </c>
      <c r="E377" s="23" t="s">
        <v>99</v>
      </c>
      <c r="F377" s="23" t="s">
        <v>102</v>
      </c>
      <c r="G377" s="23" t="s">
        <v>110</v>
      </c>
      <c r="H377" s="23" t="s">
        <v>482</v>
      </c>
      <c r="I377" s="23"/>
      <c r="J377" s="23" t="s">
        <v>14</v>
      </c>
      <c r="K377" s="23" t="s">
        <v>13</v>
      </c>
      <c r="L377" s="32">
        <v>46204.528329988425</v>
      </c>
      <c r="M377" s="23"/>
    </row>
    <row r="378" spans="1:13" ht="75" customHeight="1" thickTop="1" thickBot="1">
      <c r="A378" s="23">
        <v>376</v>
      </c>
      <c r="B378" s="32">
        <v>46204.4971997338</v>
      </c>
      <c r="C378" s="33" t="s">
        <v>97</v>
      </c>
      <c r="D378" s="33" t="s">
        <v>272</v>
      </c>
      <c r="E378" s="23" t="s">
        <v>99</v>
      </c>
      <c r="F378" s="23" t="s">
        <v>102</v>
      </c>
      <c r="G378" s="23" t="s">
        <v>108</v>
      </c>
      <c r="H378" s="23" t="s">
        <v>483</v>
      </c>
      <c r="I378" s="23"/>
      <c r="J378" s="23" t="s">
        <v>14</v>
      </c>
      <c r="K378" s="23" t="s">
        <v>13</v>
      </c>
      <c r="L378" s="32">
        <v>46204.52829923611</v>
      </c>
      <c r="M378" s="23"/>
    </row>
    <row r="379" spans="1:13" ht="75" customHeight="1" thickTop="1" thickBot="1">
      <c r="A379" s="25">
        <v>377</v>
      </c>
      <c r="B379" s="32">
        <v>46204.497667245298</v>
      </c>
      <c r="C379" s="33" t="s">
        <v>97</v>
      </c>
      <c r="D379" s="33" t="s">
        <v>272</v>
      </c>
      <c r="E379" s="23" t="s">
        <v>99</v>
      </c>
      <c r="F379" s="23" t="s">
        <v>449</v>
      </c>
      <c r="G379" s="23" t="s">
        <v>101</v>
      </c>
      <c r="H379" s="23" t="s">
        <v>484</v>
      </c>
      <c r="I379" s="23"/>
      <c r="J379" s="23" t="s">
        <v>14</v>
      </c>
      <c r="K379" s="23" t="s">
        <v>13</v>
      </c>
      <c r="L379" s="32">
        <v>46204.528276655095</v>
      </c>
      <c r="M379" s="23"/>
    </row>
    <row r="380" spans="1:13" ht="75" customHeight="1" thickTop="1" thickBot="1">
      <c r="A380" s="23">
        <v>378</v>
      </c>
      <c r="B380" s="32">
        <v>46204.498134178197</v>
      </c>
      <c r="C380" s="33" t="s">
        <v>97</v>
      </c>
      <c r="D380" s="33" t="s">
        <v>272</v>
      </c>
      <c r="E380" s="23" t="s">
        <v>99</v>
      </c>
      <c r="F380" s="23" t="s">
        <v>100</v>
      </c>
      <c r="G380" s="23" t="s">
        <v>168</v>
      </c>
      <c r="H380" s="23" t="s">
        <v>485</v>
      </c>
      <c r="I380" s="23"/>
      <c r="J380" s="23" t="s">
        <v>14</v>
      </c>
      <c r="K380" s="23" t="s">
        <v>13</v>
      </c>
      <c r="L380" s="32">
        <v>46204.528211840283</v>
      </c>
      <c r="M380" s="23"/>
    </row>
    <row r="381" spans="1:13" ht="75" customHeight="1" thickTop="1" thickBot="1">
      <c r="A381" s="25">
        <v>379</v>
      </c>
      <c r="B381" s="32">
        <v>46204.498315243</v>
      </c>
      <c r="C381" s="33" t="s">
        <v>97</v>
      </c>
      <c r="D381" s="33" t="s">
        <v>395</v>
      </c>
      <c r="E381" s="23" t="s">
        <v>99</v>
      </c>
      <c r="F381" s="23" t="s">
        <v>100</v>
      </c>
      <c r="G381" s="23" t="s">
        <v>105</v>
      </c>
      <c r="H381" s="23" t="s">
        <v>486</v>
      </c>
      <c r="I381" s="23"/>
      <c r="J381" s="23" t="s">
        <v>16</v>
      </c>
      <c r="K381" s="23" t="s">
        <v>13</v>
      </c>
      <c r="L381" s="32">
        <v>46204.528185578703</v>
      </c>
      <c r="M381" s="23"/>
    </row>
    <row r="382" spans="1:13" ht="75" customHeight="1" thickTop="1" thickBot="1">
      <c r="A382" s="23">
        <v>380</v>
      </c>
      <c r="B382" s="32">
        <v>46204.498541782399</v>
      </c>
      <c r="C382" s="33" t="s">
        <v>97</v>
      </c>
      <c r="D382" s="33" t="s">
        <v>272</v>
      </c>
      <c r="E382" s="23" t="s">
        <v>99</v>
      </c>
      <c r="F382" s="23" t="s">
        <v>100</v>
      </c>
      <c r="G382" s="23" t="s">
        <v>103</v>
      </c>
      <c r="H382" s="23" t="s">
        <v>487</v>
      </c>
      <c r="I382" s="23"/>
      <c r="J382" s="23" t="s">
        <v>14</v>
      </c>
      <c r="K382" s="23" t="s">
        <v>13</v>
      </c>
      <c r="L382" s="32">
        <v>46204.528163078707</v>
      </c>
      <c r="M382" s="23"/>
    </row>
    <row r="383" spans="1:13" ht="75" customHeight="1" thickTop="1" thickBot="1">
      <c r="A383" s="25">
        <v>381</v>
      </c>
      <c r="B383" s="32">
        <v>46204.498955625</v>
      </c>
      <c r="C383" s="33" t="s">
        <v>97</v>
      </c>
      <c r="D383" s="33" t="s">
        <v>272</v>
      </c>
      <c r="E383" s="23" t="s">
        <v>99</v>
      </c>
      <c r="F383" s="23" t="s">
        <v>116</v>
      </c>
      <c r="G383" s="23" t="s">
        <v>106</v>
      </c>
      <c r="H383" s="23" t="s">
        <v>488</v>
      </c>
      <c r="I383" s="23"/>
      <c r="J383" s="23" t="s">
        <v>14</v>
      </c>
      <c r="K383" s="23" t="s">
        <v>13</v>
      </c>
      <c r="L383" s="32">
        <v>46204.528113136577</v>
      </c>
      <c r="M383" s="23"/>
    </row>
    <row r="384" spans="1:13" ht="75" customHeight="1" thickTop="1" thickBot="1">
      <c r="A384" s="23">
        <v>382</v>
      </c>
      <c r="B384" s="32">
        <v>46204.499309942097</v>
      </c>
      <c r="C384" s="33" t="s">
        <v>97</v>
      </c>
      <c r="D384" s="33" t="s">
        <v>272</v>
      </c>
      <c r="E384" s="23" t="s">
        <v>99</v>
      </c>
      <c r="F384" s="23" t="s">
        <v>116</v>
      </c>
      <c r="G384" s="23" t="s">
        <v>108</v>
      </c>
      <c r="H384" s="23" t="s">
        <v>489</v>
      </c>
      <c r="I384" s="23"/>
      <c r="J384" s="23" t="s">
        <v>14</v>
      </c>
      <c r="K384" s="23" t="s">
        <v>13</v>
      </c>
      <c r="L384" s="32">
        <v>46204.528002916668</v>
      </c>
      <c r="M384" s="23"/>
    </row>
    <row r="385" spans="1:13" ht="75" customHeight="1" thickTop="1" thickBot="1">
      <c r="A385" s="25">
        <v>383</v>
      </c>
      <c r="B385" s="32">
        <v>46204.499841782403</v>
      </c>
      <c r="C385" s="33" t="s">
        <v>97</v>
      </c>
      <c r="D385" s="33" t="s">
        <v>395</v>
      </c>
      <c r="E385" s="23" t="s">
        <v>99</v>
      </c>
      <c r="F385" s="23" t="s">
        <v>102</v>
      </c>
      <c r="G385" s="23" t="s">
        <v>101</v>
      </c>
      <c r="H385" s="23" t="s">
        <v>171</v>
      </c>
      <c r="I385" s="23"/>
      <c r="J385" s="23" t="s">
        <v>16</v>
      </c>
      <c r="K385" s="23" t="s">
        <v>13</v>
      </c>
      <c r="L385" s="32">
        <v>46204.527978761573</v>
      </c>
      <c r="M385" s="23"/>
    </row>
    <row r="386" spans="1:13" ht="75" customHeight="1" thickTop="1" thickBot="1">
      <c r="A386" s="23">
        <v>384</v>
      </c>
      <c r="B386" s="32">
        <v>46204.499899861097</v>
      </c>
      <c r="C386" s="33" t="s">
        <v>97</v>
      </c>
      <c r="D386" s="31" t="s">
        <v>272</v>
      </c>
      <c r="E386" s="23" t="s">
        <v>99</v>
      </c>
      <c r="F386" s="23" t="s">
        <v>126</v>
      </c>
      <c r="G386" s="23" t="s">
        <v>106</v>
      </c>
      <c r="H386" s="23" t="s">
        <v>490</v>
      </c>
      <c r="I386" s="23"/>
      <c r="J386" s="23" t="s">
        <v>14</v>
      </c>
      <c r="K386" s="23" t="s">
        <v>13</v>
      </c>
      <c r="L386" s="32">
        <v>46204.527931354169</v>
      </c>
      <c r="M386" s="23"/>
    </row>
    <row r="387" spans="1:13" ht="75" customHeight="1" thickTop="1" thickBot="1">
      <c r="A387" s="25">
        <v>385</v>
      </c>
      <c r="B387" s="32">
        <v>46204.500346944398</v>
      </c>
      <c r="C387" s="33" t="s">
        <v>97</v>
      </c>
      <c r="D387" s="33" t="s">
        <v>272</v>
      </c>
      <c r="E387" s="23" t="s">
        <v>99</v>
      </c>
      <c r="F387" s="23" t="s">
        <v>116</v>
      </c>
      <c r="G387" s="23" t="s">
        <v>104</v>
      </c>
      <c r="H387" s="23" t="s">
        <v>491</v>
      </c>
      <c r="I387" s="23"/>
      <c r="J387" s="23" t="s">
        <v>14</v>
      </c>
      <c r="K387" s="23" t="s">
        <v>13</v>
      </c>
      <c r="L387" s="32">
        <v>46204.527904398143</v>
      </c>
      <c r="M387" s="23"/>
    </row>
    <row r="388" spans="1:13" ht="75" customHeight="1" thickTop="1" thickBot="1">
      <c r="A388" s="23">
        <v>386</v>
      </c>
      <c r="B388" s="32">
        <v>46204.500684965198</v>
      </c>
      <c r="C388" s="33" t="s">
        <v>97</v>
      </c>
      <c r="D388" s="33" t="s">
        <v>272</v>
      </c>
      <c r="E388" s="23" t="s">
        <v>99</v>
      </c>
      <c r="F388" s="23" t="s">
        <v>116</v>
      </c>
      <c r="G388" s="23" t="s">
        <v>106</v>
      </c>
      <c r="H388" s="23" t="s">
        <v>492</v>
      </c>
      <c r="I388" s="23"/>
      <c r="J388" s="23" t="s">
        <v>14</v>
      </c>
      <c r="K388" s="23" t="s">
        <v>13</v>
      </c>
      <c r="L388" s="32">
        <v>46204.527850925922</v>
      </c>
      <c r="M388" s="23"/>
    </row>
    <row r="389" spans="1:13" ht="75" customHeight="1" thickTop="1" thickBot="1">
      <c r="A389" s="25">
        <v>387</v>
      </c>
      <c r="B389" s="32">
        <v>46204.501243159699</v>
      </c>
      <c r="C389" s="33" t="s">
        <v>97</v>
      </c>
      <c r="D389" s="33" t="s">
        <v>395</v>
      </c>
      <c r="E389" s="23" t="s">
        <v>99</v>
      </c>
      <c r="F389" s="23" t="s">
        <v>102</v>
      </c>
      <c r="G389" s="23" t="s">
        <v>103</v>
      </c>
      <c r="H389" s="23" t="s">
        <v>493</v>
      </c>
      <c r="I389" s="23"/>
      <c r="J389" s="23" t="s">
        <v>16</v>
      </c>
      <c r="K389" s="23" t="s">
        <v>13</v>
      </c>
      <c r="L389" s="32">
        <v>46204.527789328698</v>
      </c>
      <c r="M389" s="23"/>
    </row>
    <row r="390" spans="1:13" ht="75" customHeight="1" thickTop="1" thickBot="1">
      <c r="A390" s="23">
        <v>388</v>
      </c>
      <c r="B390" s="32">
        <v>46204.501336620298</v>
      </c>
      <c r="C390" s="33" t="s">
        <v>97</v>
      </c>
      <c r="D390" s="33" t="s">
        <v>272</v>
      </c>
      <c r="E390" s="23" t="s">
        <v>99</v>
      </c>
      <c r="F390" s="23" t="s">
        <v>116</v>
      </c>
      <c r="G390" s="23" t="s">
        <v>106</v>
      </c>
      <c r="H390" s="23" t="s">
        <v>494</v>
      </c>
      <c r="I390" s="23"/>
      <c r="J390" s="23" t="s">
        <v>14</v>
      </c>
      <c r="K390" s="23" t="s">
        <v>13</v>
      </c>
      <c r="L390" s="32">
        <v>46204.527764942133</v>
      </c>
      <c r="M390" s="23"/>
    </row>
    <row r="391" spans="1:13" ht="75" customHeight="1" thickTop="1" thickBot="1">
      <c r="A391" s="25">
        <v>389</v>
      </c>
      <c r="B391" s="32">
        <v>46204.5015170486</v>
      </c>
      <c r="C391" s="33" t="s">
        <v>97</v>
      </c>
      <c r="D391" s="33" t="s">
        <v>272</v>
      </c>
      <c r="E391" s="23" t="s">
        <v>99</v>
      </c>
      <c r="F391" s="23" t="s">
        <v>116</v>
      </c>
      <c r="G391" s="23" t="s">
        <v>981</v>
      </c>
      <c r="H391" s="23" t="s">
        <v>495</v>
      </c>
      <c r="I391" s="23"/>
      <c r="J391" s="23" t="s">
        <v>14</v>
      </c>
      <c r="K391" s="23" t="s">
        <v>13</v>
      </c>
      <c r="L391" s="32">
        <v>46204.527701435189</v>
      </c>
      <c r="M391" s="23"/>
    </row>
    <row r="392" spans="1:13" ht="75" customHeight="1" thickTop="1" thickBot="1">
      <c r="A392" s="23">
        <v>390</v>
      </c>
      <c r="B392" s="32">
        <v>46204.501686331001</v>
      </c>
      <c r="C392" s="33" t="s">
        <v>97</v>
      </c>
      <c r="D392" s="33" t="s">
        <v>272</v>
      </c>
      <c r="E392" s="23" t="s">
        <v>99</v>
      </c>
      <c r="F392" s="23" t="s">
        <v>116</v>
      </c>
      <c r="G392" s="23" t="s">
        <v>106</v>
      </c>
      <c r="H392" s="23" t="s">
        <v>496</v>
      </c>
      <c r="I392" s="23"/>
      <c r="J392" s="23" t="s">
        <v>14</v>
      </c>
      <c r="K392" s="23" t="s">
        <v>13</v>
      </c>
      <c r="L392" s="32">
        <v>46204.527664155088</v>
      </c>
      <c r="M392" s="23"/>
    </row>
    <row r="393" spans="1:13" ht="75" customHeight="1" thickTop="1" thickBot="1">
      <c r="A393" s="25">
        <v>391</v>
      </c>
      <c r="B393" s="32">
        <v>46204.502021759203</v>
      </c>
      <c r="C393" s="33" t="s">
        <v>97</v>
      </c>
      <c r="D393" s="31" t="s">
        <v>272</v>
      </c>
      <c r="E393" s="23" t="s">
        <v>99</v>
      </c>
      <c r="F393" s="23" t="s">
        <v>102</v>
      </c>
      <c r="G393" s="23" t="s">
        <v>110</v>
      </c>
      <c r="H393" s="23" t="s">
        <v>497</v>
      </c>
      <c r="I393" s="23"/>
      <c r="J393" s="23" t="s">
        <v>14</v>
      </c>
      <c r="K393" s="23" t="s">
        <v>13</v>
      </c>
      <c r="L393" s="32">
        <v>46204.527667893519</v>
      </c>
      <c r="M393" s="23"/>
    </row>
    <row r="394" spans="1:13" ht="75" customHeight="1" thickTop="1" thickBot="1">
      <c r="A394" s="23">
        <v>392</v>
      </c>
      <c r="B394" s="32">
        <v>46204.502112905</v>
      </c>
      <c r="C394" s="33" t="s">
        <v>97</v>
      </c>
      <c r="D394" s="31" t="s">
        <v>395</v>
      </c>
      <c r="E394" s="23" t="s">
        <v>99</v>
      </c>
      <c r="F394" s="23" t="s">
        <v>102</v>
      </c>
      <c r="G394" s="23" t="s">
        <v>103</v>
      </c>
      <c r="H394" s="23" t="s">
        <v>170</v>
      </c>
      <c r="I394" s="23"/>
      <c r="J394" s="23" t="s">
        <v>16</v>
      </c>
      <c r="K394" s="23" t="s">
        <v>13</v>
      </c>
      <c r="L394" s="32">
        <v>46204.527571412036</v>
      </c>
      <c r="M394" s="23"/>
    </row>
    <row r="395" spans="1:13" ht="75" customHeight="1" thickTop="1" thickBot="1">
      <c r="A395" s="25">
        <v>393</v>
      </c>
      <c r="B395" s="32">
        <v>46204.5023708101</v>
      </c>
      <c r="C395" s="33" t="s">
        <v>97</v>
      </c>
      <c r="D395" s="33" t="s">
        <v>407</v>
      </c>
      <c r="E395" s="23" t="s">
        <v>99</v>
      </c>
      <c r="F395" s="23" t="s">
        <v>398</v>
      </c>
      <c r="G395" s="23" t="s">
        <v>398</v>
      </c>
      <c r="H395" s="23" t="s">
        <v>498</v>
      </c>
      <c r="I395" s="23"/>
      <c r="J395" s="23" t="s">
        <v>38</v>
      </c>
      <c r="K395" s="23" t="s">
        <v>13</v>
      </c>
      <c r="L395" s="32">
        <v>46204.52752398148</v>
      </c>
      <c r="M395" s="23"/>
    </row>
    <row r="396" spans="1:13" ht="75" customHeight="1" thickTop="1" thickBot="1">
      <c r="A396" s="23">
        <v>394</v>
      </c>
      <c r="B396" s="32">
        <v>46204.502606747599</v>
      </c>
      <c r="C396" s="33" t="s">
        <v>97</v>
      </c>
      <c r="D396" s="33" t="s">
        <v>272</v>
      </c>
      <c r="E396" s="23" t="s">
        <v>99</v>
      </c>
      <c r="F396" s="23" t="s">
        <v>102</v>
      </c>
      <c r="G396" s="23" t="s">
        <v>110</v>
      </c>
      <c r="H396" s="23" t="s">
        <v>499</v>
      </c>
      <c r="I396" s="23"/>
      <c r="J396" s="23" t="s">
        <v>14</v>
      </c>
      <c r="K396" s="23" t="s">
        <v>13</v>
      </c>
      <c r="L396" s="32">
        <v>46204.52745819444</v>
      </c>
      <c r="M396" s="23"/>
    </row>
    <row r="397" spans="1:13" ht="75" customHeight="1" thickTop="1" thickBot="1">
      <c r="A397" s="25">
        <v>395</v>
      </c>
      <c r="B397" s="32">
        <v>46204.502844803203</v>
      </c>
      <c r="C397" s="33" t="s">
        <v>97</v>
      </c>
      <c r="D397" s="33" t="s">
        <v>272</v>
      </c>
      <c r="E397" s="23" t="s">
        <v>99</v>
      </c>
      <c r="F397" s="23" t="s">
        <v>126</v>
      </c>
      <c r="G397" s="23" t="s">
        <v>981</v>
      </c>
      <c r="H397" s="23" t="s">
        <v>500</v>
      </c>
      <c r="I397" s="23"/>
      <c r="J397" s="23" t="s">
        <v>14</v>
      </c>
      <c r="K397" s="23" t="s">
        <v>13</v>
      </c>
      <c r="L397" s="32">
        <v>46204.527413923613</v>
      </c>
      <c r="M397" s="23"/>
    </row>
    <row r="398" spans="1:13" ht="75" customHeight="1" thickTop="1" thickBot="1">
      <c r="A398" s="23">
        <v>396</v>
      </c>
      <c r="B398" s="32">
        <v>46204.502952905001</v>
      </c>
      <c r="C398" s="33" t="s">
        <v>97</v>
      </c>
      <c r="D398" s="33" t="s">
        <v>272</v>
      </c>
      <c r="E398" s="23" t="s">
        <v>99</v>
      </c>
      <c r="F398" s="23" t="s">
        <v>116</v>
      </c>
      <c r="G398" s="23" t="s">
        <v>106</v>
      </c>
      <c r="H398" s="23" t="s">
        <v>501</v>
      </c>
      <c r="I398" s="23"/>
      <c r="J398" s="23" t="s">
        <v>14</v>
      </c>
      <c r="K398" s="23" t="s">
        <v>13</v>
      </c>
      <c r="L398" s="32">
        <v>46204.527370925927</v>
      </c>
      <c r="M398" s="23"/>
    </row>
    <row r="399" spans="1:13" ht="75" customHeight="1" thickTop="1" thickBot="1">
      <c r="A399" s="25">
        <v>397</v>
      </c>
      <c r="B399" s="32">
        <v>46204.504913865698</v>
      </c>
      <c r="C399" s="33" t="s">
        <v>97</v>
      </c>
      <c r="D399" s="33" t="s">
        <v>272</v>
      </c>
      <c r="E399" s="23" t="s">
        <v>99</v>
      </c>
      <c r="F399" s="23" t="s">
        <v>286</v>
      </c>
      <c r="G399" s="23" t="s">
        <v>981</v>
      </c>
      <c r="H399" s="23" t="s">
        <v>502</v>
      </c>
      <c r="I399" s="23"/>
      <c r="J399" s="23" t="s">
        <v>14</v>
      </c>
      <c r="K399" s="23" t="s">
        <v>13</v>
      </c>
      <c r="L399" s="32">
        <v>46204.527310659723</v>
      </c>
      <c r="M399" s="23"/>
    </row>
    <row r="400" spans="1:13" ht="75" customHeight="1" thickTop="1" thickBot="1">
      <c r="A400" s="23">
        <v>398</v>
      </c>
      <c r="B400" s="32">
        <v>46204.505900902703</v>
      </c>
      <c r="C400" s="33" t="s">
        <v>97</v>
      </c>
      <c r="D400" s="33" t="s">
        <v>395</v>
      </c>
      <c r="E400" s="23" t="s">
        <v>99</v>
      </c>
      <c r="F400" s="23" t="s">
        <v>102</v>
      </c>
      <c r="G400" s="23" t="s">
        <v>106</v>
      </c>
      <c r="H400" s="23" t="s">
        <v>1027</v>
      </c>
      <c r="I400" s="23"/>
      <c r="J400" s="23" t="s">
        <v>16</v>
      </c>
      <c r="K400" s="23" t="s">
        <v>13</v>
      </c>
      <c r="L400" s="32">
        <v>46204.527269652783</v>
      </c>
      <c r="M400" s="23"/>
    </row>
    <row r="401" spans="1:13" ht="75" customHeight="1" thickTop="1" thickBot="1">
      <c r="A401" s="25">
        <v>399</v>
      </c>
      <c r="B401" s="32">
        <v>46204.506094062497</v>
      </c>
      <c r="C401" s="33" t="s">
        <v>97</v>
      </c>
      <c r="D401" s="33" t="s">
        <v>272</v>
      </c>
      <c r="E401" s="23" t="s">
        <v>99</v>
      </c>
      <c r="F401" s="23" t="s">
        <v>286</v>
      </c>
      <c r="G401" s="23" t="s">
        <v>981</v>
      </c>
      <c r="H401" s="23" t="s">
        <v>503</v>
      </c>
      <c r="I401" s="23"/>
      <c r="J401" s="23" t="s">
        <v>14</v>
      </c>
      <c r="K401" s="23" t="s">
        <v>13</v>
      </c>
      <c r="L401" s="32">
        <v>46204.527219953699</v>
      </c>
      <c r="M401" s="23"/>
    </row>
    <row r="402" spans="1:13" ht="75" customHeight="1" thickTop="1" thickBot="1">
      <c r="A402" s="23">
        <v>400</v>
      </c>
      <c r="B402" s="32">
        <v>46204.506601134199</v>
      </c>
      <c r="C402" s="33" t="s">
        <v>97</v>
      </c>
      <c r="D402" s="33" t="s">
        <v>272</v>
      </c>
      <c r="E402" s="23" t="s">
        <v>99</v>
      </c>
      <c r="F402" s="23" t="s">
        <v>286</v>
      </c>
      <c r="G402" s="23" t="s">
        <v>981</v>
      </c>
      <c r="H402" s="23" t="s">
        <v>504</v>
      </c>
      <c r="I402" s="23"/>
      <c r="J402" s="23" t="s">
        <v>14</v>
      </c>
      <c r="K402" s="23" t="s">
        <v>13</v>
      </c>
      <c r="L402" s="32">
        <v>46204.527179143523</v>
      </c>
      <c r="M402" s="23"/>
    </row>
    <row r="403" spans="1:13" ht="75" customHeight="1" thickTop="1" thickBot="1">
      <c r="A403" s="25">
        <v>401</v>
      </c>
      <c r="B403" s="32">
        <v>46204.5066319791</v>
      </c>
      <c r="C403" s="33" t="s">
        <v>97</v>
      </c>
      <c r="D403" s="33" t="s">
        <v>395</v>
      </c>
      <c r="E403" s="23" t="s">
        <v>99</v>
      </c>
      <c r="F403" s="23" t="s">
        <v>116</v>
      </c>
      <c r="G403" s="23" t="s">
        <v>168</v>
      </c>
      <c r="H403" s="23" t="s">
        <v>169</v>
      </c>
      <c r="I403" s="23"/>
      <c r="J403" s="23" t="s">
        <v>16</v>
      </c>
      <c r="K403" s="23" t="s">
        <v>13</v>
      </c>
      <c r="L403" s="32">
        <v>46204.527131423616</v>
      </c>
      <c r="M403" s="23"/>
    </row>
    <row r="404" spans="1:13" ht="75" customHeight="1" thickTop="1" thickBot="1">
      <c r="A404" s="23">
        <v>402</v>
      </c>
      <c r="B404" s="32">
        <v>46204.506653738397</v>
      </c>
      <c r="C404" s="33" t="s">
        <v>97</v>
      </c>
      <c r="D404" s="33" t="s">
        <v>407</v>
      </c>
      <c r="E404" s="23" t="s">
        <v>99</v>
      </c>
      <c r="F404" s="23" t="s">
        <v>398</v>
      </c>
      <c r="G404" s="23" t="s">
        <v>398</v>
      </c>
      <c r="H404" s="23" t="s">
        <v>505</v>
      </c>
      <c r="I404" s="23"/>
      <c r="J404" s="23" t="s">
        <v>38</v>
      </c>
      <c r="K404" s="23" t="s">
        <v>13</v>
      </c>
      <c r="L404" s="32">
        <v>46204.527087939816</v>
      </c>
      <c r="M404" s="23"/>
    </row>
    <row r="405" spans="1:13" ht="75" customHeight="1" thickTop="1" thickBot="1">
      <c r="A405" s="25">
        <v>403</v>
      </c>
      <c r="B405" s="32">
        <v>46204.507305787003</v>
      </c>
      <c r="C405" s="33" t="s">
        <v>97</v>
      </c>
      <c r="D405" s="33" t="s">
        <v>395</v>
      </c>
      <c r="E405" s="23" t="s">
        <v>99</v>
      </c>
      <c r="F405" s="23" t="s">
        <v>102</v>
      </c>
      <c r="G405" s="23" t="s">
        <v>103</v>
      </c>
      <c r="H405" s="23" t="s">
        <v>1066</v>
      </c>
      <c r="I405" s="23"/>
      <c r="J405" s="23" t="s">
        <v>16</v>
      </c>
      <c r="K405" s="23" t="s">
        <v>13</v>
      </c>
      <c r="L405" s="32">
        <v>46204.52704833333</v>
      </c>
      <c r="M405" s="23"/>
    </row>
    <row r="406" spans="1:13" ht="75" customHeight="1" thickTop="1" thickBot="1">
      <c r="A406" s="23">
        <v>404</v>
      </c>
      <c r="B406" s="32">
        <v>46204.508315115701</v>
      </c>
      <c r="C406" s="33" t="s">
        <v>97</v>
      </c>
      <c r="D406" s="33" t="s">
        <v>272</v>
      </c>
      <c r="E406" s="23" t="s">
        <v>99</v>
      </c>
      <c r="F406" s="23" t="s">
        <v>102</v>
      </c>
      <c r="G406" s="23" t="s">
        <v>110</v>
      </c>
      <c r="H406" s="23" t="s">
        <v>506</v>
      </c>
      <c r="I406" s="23"/>
      <c r="J406" s="23" t="s">
        <v>14</v>
      </c>
      <c r="K406" s="23" t="s">
        <v>13</v>
      </c>
      <c r="L406" s="32">
        <v>46204.527004976851</v>
      </c>
      <c r="M406" s="23"/>
    </row>
    <row r="407" spans="1:13" ht="75" customHeight="1" thickTop="1" thickBot="1">
      <c r="A407" s="25">
        <v>405</v>
      </c>
      <c r="B407" s="32">
        <v>46204.509050509201</v>
      </c>
      <c r="C407" s="33" t="s">
        <v>97</v>
      </c>
      <c r="D407" s="33" t="s">
        <v>272</v>
      </c>
      <c r="E407" s="23" t="s">
        <v>99</v>
      </c>
      <c r="F407" s="23" t="s">
        <v>457</v>
      </c>
      <c r="G407" s="23" t="s">
        <v>265</v>
      </c>
      <c r="H407" s="23" t="s">
        <v>507</v>
      </c>
      <c r="I407" s="23"/>
      <c r="J407" s="23" t="s">
        <v>14</v>
      </c>
      <c r="K407" s="23" t="s">
        <v>13</v>
      </c>
      <c r="L407" s="32">
        <v>46204.526926539351</v>
      </c>
      <c r="M407" s="23"/>
    </row>
    <row r="408" spans="1:13" ht="75" customHeight="1" thickTop="1" thickBot="1">
      <c r="A408" s="23">
        <v>406</v>
      </c>
      <c r="B408" s="32">
        <v>46204.509592106398</v>
      </c>
      <c r="C408" s="33" t="s">
        <v>97</v>
      </c>
      <c r="D408" s="33" t="s">
        <v>272</v>
      </c>
      <c r="E408" s="23" t="s">
        <v>99</v>
      </c>
      <c r="F408" s="23" t="s">
        <v>265</v>
      </c>
      <c r="G408" s="23" t="s">
        <v>265</v>
      </c>
      <c r="H408" s="23" t="s">
        <v>508</v>
      </c>
      <c r="I408" s="23"/>
      <c r="J408" s="23" t="s">
        <v>14</v>
      </c>
      <c r="K408" s="23" t="s">
        <v>13</v>
      </c>
      <c r="L408" s="32">
        <v>46204.526880358797</v>
      </c>
      <c r="M408" s="23"/>
    </row>
    <row r="409" spans="1:13" ht="75" customHeight="1" thickTop="1" thickBot="1">
      <c r="A409" s="25">
        <v>407</v>
      </c>
      <c r="B409" s="32">
        <v>46204.510125706001</v>
      </c>
      <c r="C409" s="33" t="s">
        <v>97</v>
      </c>
      <c r="D409" s="33" t="s">
        <v>272</v>
      </c>
      <c r="E409" s="23" t="s">
        <v>99</v>
      </c>
      <c r="F409" s="23" t="s">
        <v>286</v>
      </c>
      <c r="G409" s="23" t="s">
        <v>981</v>
      </c>
      <c r="H409" s="23" t="s">
        <v>1136</v>
      </c>
      <c r="I409" s="23"/>
      <c r="J409" s="23" t="s">
        <v>14</v>
      </c>
      <c r="K409" s="23" t="s">
        <v>13</v>
      </c>
      <c r="L409" s="32">
        <v>46204.526836863428</v>
      </c>
      <c r="M409" s="23"/>
    </row>
    <row r="410" spans="1:13" ht="75" customHeight="1" thickTop="1" thickBot="1">
      <c r="A410" s="23">
        <v>408</v>
      </c>
      <c r="B410" s="32">
        <v>46204.510488923603</v>
      </c>
      <c r="C410" s="33" t="s">
        <v>97</v>
      </c>
      <c r="D410" s="33" t="s">
        <v>395</v>
      </c>
      <c r="E410" s="23" t="s">
        <v>99</v>
      </c>
      <c r="F410" s="23" t="s">
        <v>102</v>
      </c>
      <c r="G410" s="23" t="s">
        <v>103</v>
      </c>
      <c r="H410" s="23" t="s">
        <v>1065</v>
      </c>
      <c r="I410" s="23"/>
      <c r="J410" s="23" t="s">
        <v>16</v>
      </c>
      <c r="K410" s="23" t="s">
        <v>13</v>
      </c>
      <c r="L410" s="32">
        <v>46204.52677679398</v>
      </c>
      <c r="M410" s="23"/>
    </row>
    <row r="411" spans="1:13" ht="75" customHeight="1" thickTop="1" thickBot="1">
      <c r="A411" s="25">
        <v>409</v>
      </c>
      <c r="B411" s="32">
        <v>46204.510692661999</v>
      </c>
      <c r="C411" s="33" t="s">
        <v>97</v>
      </c>
      <c r="D411" s="33" t="s">
        <v>272</v>
      </c>
      <c r="E411" s="23" t="s">
        <v>99</v>
      </c>
      <c r="F411" s="23" t="s">
        <v>461</v>
      </c>
      <c r="G411" s="23" t="s">
        <v>981</v>
      </c>
      <c r="H411" s="23" t="s">
        <v>509</v>
      </c>
      <c r="I411" s="23"/>
      <c r="J411" s="23" t="s">
        <v>14</v>
      </c>
      <c r="K411" s="23" t="s">
        <v>13</v>
      </c>
      <c r="L411" s="32">
        <v>46204.526724525465</v>
      </c>
      <c r="M411" s="23"/>
    </row>
    <row r="412" spans="1:13" ht="75" customHeight="1" thickTop="1" thickBot="1">
      <c r="A412" s="23">
        <v>410</v>
      </c>
      <c r="B412" s="32">
        <v>46204.511212870297</v>
      </c>
      <c r="C412" s="33" t="s">
        <v>97</v>
      </c>
      <c r="D412" s="33" t="s">
        <v>272</v>
      </c>
      <c r="E412" s="23" t="s">
        <v>99</v>
      </c>
      <c r="F412" s="23" t="s">
        <v>510</v>
      </c>
      <c r="G412" s="23" t="s">
        <v>101</v>
      </c>
      <c r="H412" s="23" t="s">
        <v>511</v>
      </c>
      <c r="I412" s="23"/>
      <c r="J412" s="23" t="s">
        <v>14</v>
      </c>
      <c r="K412" s="23" t="s">
        <v>13</v>
      </c>
      <c r="L412" s="32">
        <v>46204.526682847223</v>
      </c>
      <c r="M412" s="23"/>
    </row>
    <row r="413" spans="1:13" ht="75" customHeight="1" thickTop="1" thickBot="1">
      <c r="A413" s="25">
        <v>411</v>
      </c>
      <c r="B413" s="32">
        <v>46204.5115484259</v>
      </c>
      <c r="C413" s="33" t="s">
        <v>97</v>
      </c>
      <c r="D413" s="33" t="s">
        <v>272</v>
      </c>
      <c r="E413" s="23" t="s">
        <v>99</v>
      </c>
      <c r="F413" s="23" t="s">
        <v>150</v>
      </c>
      <c r="G413" s="23" t="s">
        <v>124</v>
      </c>
      <c r="H413" s="23" t="s">
        <v>512</v>
      </c>
      <c r="I413" s="23"/>
      <c r="J413" s="23" t="s">
        <v>14</v>
      </c>
      <c r="K413" s="23" t="s">
        <v>13</v>
      </c>
      <c r="L413" s="32">
        <v>46204.526680474533</v>
      </c>
      <c r="M413" s="23"/>
    </row>
    <row r="414" spans="1:13" ht="75" customHeight="1" thickTop="1" thickBot="1">
      <c r="A414" s="23">
        <v>412</v>
      </c>
      <c r="B414" s="32">
        <v>46204.511816261504</v>
      </c>
      <c r="C414" s="33" t="s">
        <v>97</v>
      </c>
      <c r="D414" s="33" t="s">
        <v>272</v>
      </c>
      <c r="E414" s="23" t="s">
        <v>99</v>
      </c>
      <c r="F414" s="23" t="s">
        <v>100</v>
      </c>
      <c r="G414" s="23" t="s">
        <v>442</v>
      </c>
      <c r="H414" s="23" t="s">
        <v>513</v>
      </c>
      <c r="I414" s="23"/>
      <c r="J414" s="23" t="s">
        <v>14</v>
      </c>
      <c r="K414" s="23" t="s">
        <v>13</v>
      </c>
      <c r="L414" s="32">
        <v>46204.526611226851</v>
      </c>
      <c r="M414" s="23"/>
    </row>
    <row r="415" spans="1:13" ht="75" customHeight="1" thickTop="1" thickBot="1">
      <c r="A415" s="25">
        <v>413</v>
      </c>
      <c r="B415" s="32">
        <v>46204.512096006903</v>
      </c>
      <c r="C415" s="33" t="s">
        <v>97</v>
      </c>
      <c r="D415" s="33" t="s">
        <v>407</v>
      </c>
      <c r="E415" s="23" t="s">
        <v>99</v>
      </c>
      <c r="F415" s="23" t="s">
        <v>398</v>
      </c>
      <c r="G415" s="23" t="s">
        <v>398</v>
      </c>
      <c r="H415" s="23" t="s">
        <v>514</v>
      </c>
      <c r="I415" s="23"/>
      <c r="J415" s="23" t="s">
        <v>38</v>
      </c>
      <c r="K415" s="23" t="s">
        <v>13</v>
      </c>
      <c r="L415" s="32">
        <v>46204.526591018519</v>
      </c>
      <c r="M415" s="23"/>
    </row>
    <row r="416" spans="1:13" ht="75" customHeight="1" thickTop="1" thickBot="1">
      <c r="A416" s="23">
        <v>414</v>
      </c>
      <c r="B416" s="32">
        <v>46204.512159201302</v>
      </c>
      <c r="C416" s="33" t="s">
        <v>97</v>
      </c>
      <c r="D416" s="33" t="s">
        <v>272</v>
      </c>
      <c r="E416" s="23" t="s">
        <v>99</v>
      </c>
      <c r="F416" s="23" t="s">
        <v>116</v>
      </c>
      <c r="G416" s="23" t="s">
        <v>106</v>
      </c>
      <c r="H416" s="23" t="s">
        <v>515</v>
      </c>
      <c r="I416" s="23"/>
      <c r="J416" s="23" t="s">
        <v>14</v>
      </c>
      <c r="K416" s="23" t="s">
        <v>13</v>
      </c>
      <c r="L416" s="32">
        <v>46204.526554050928</v>
      </c>
      <c r="M416" s="23"/>
    </row>
    <row r="417" spans="1:13" ht="75" customHeight="1" thickTop="1" thickBot="1">
      <c r="A417" s="25">
        <v>415</v>
      </c>
      <c r="B417" s="32">
        <v>46204.512369999997</v>
      </c>
      <c r="C417" s="33" t="s">
        <v>97</v>
      </c>
      <c r="D417" s="33" t="s">
        <v>272</v>
      </c>
      <c r="E417" s="23" t="s">
        <v>99</v>
      </c>
      <c r="F417" s="23" t="s">
        <v>102</v>
      </c>
      <c r="G417" s="23" t="s">
        <v>110</v>
      </c>
      <c r="H417" s="23" t="s">
        <v>507</v>
      </c>
      <c r="I417" s="23" t="s">
        <v>516</v>
      </c>
      <c r="J417" s="23" t="s">
        <v>14</v>
      </c>
      <c r="K417" s="23" t="s">
        <v>13</v>
      </c>
      <c r="L417" s="32">
        <v>46204.526515358797</v>
      </c>
      <c r="M417" s="23"/>
    </row>
    <row r="418" spans="1:13" ht="75" customHeight="1" thickTop="1" thickBot="1">
      <c r="A418" s="23">
        <v>416</v>
      </c>
      <c r="B418" s="32">
        <v>46204.512529270803</v>
      </c>
      <c r="C418" s="33" t="s">
        <v>97</v>
      </c>
      <c r="D418" s="33" t="s">
        <v>272</v>
      </c>
      <c r="E418" s="23" t="s">
        <v>99</v>
      </c>
      <c r="F418" s="23" t="s">
        <v>102</v>
      </c>
      <c r="G418" s="23" t="s">
        <v>110</v>
      </c>
      <c r="H418" s="23" t="s">
        <v>517</v>
      </c>
      <c r="I418" s="23"/>
      <c r="J418" s="23" t="s">
        <v>14</v>
      </c>
      <c r="K418" s="23" t="s">
        <v>13</v>
      </c>
      <c r="L418" s="32">
        <v>46204.526474733793</v>
      </c>
      <c r="M418" s="23"/>
    </row>
    <row r="419" spans="1:13" ht="75" customHeight="1" thickTop="1" thickBot="1">
      <c r="A419" s="25">
        <v>417</v>
      </c>
      <c r="B419" s="32">
        <v>46204.512858819398</v>
      </c>
      <c r="C419" s="33" t="s">
        <v>97</v>
      </c>
      <c r="D419" s="33" t="s">
        <v>272</v>
      </c>
      <c r="E419" s="23" t="s">
        <v>99</v>
      </c>
      <c r="F419" s="23" t="s">
        <v>102</v>
      </c>
      <c r="G419" s="23" t="s">
        <v>110</v>
      </c>
      <c r="H419" s="23" t="s">
        <v>518</v>
      </c>
      <c r="I419" s="23"/>
      <c r="J419" s="23" t="s">
        <v>14</v>
      </c>
      <c r="K419" s="23" t="s">
        <v>13</v>
      </c>
      <c r="L419" s="32">
        <v>46204.52645020833</v>
      </c>
      <c r="M419" s="23"/>
    </row>
    <row r="420" spans="1:13" ht="75" customHeight="1" thickTop="1" thickBot="1">
      <c r="A420" s="23">
        <v>418</v>
      </c>
      <c r="B420" s="32">
        <v>46204.512968750001</v>
      </c>
      <c r="C420" s="33" t="s">
        <v>97</v>
      </c>
      <c r="D420" s="33" t="s">
        <v>272</v>
      </c>
      <c r="E420" s="23" t="s">
        <v>99</v>
      </c>
      <c r="F420" s="23" t="s">
        <v>519</v>
      </c>
      <c r="G420" s="23" t="s">
        <v>101</v>
      </c>
      <c r="H420" s="23" t="s">
        <v>520</v>
      </c>
      <c r="I420" s="23"/>
      <c r="J420" s="23" t="s">
        <v>14</v>
      </c>
      <c r="K420" s="23" t="s">
        <v>13</v>
      </c>
      <c r="L420" s="32">
        <v>46204.526397777779</v>
      </c>
      <c r="M420" s="23"/>
    </row>
    <row r="421" spans="1:13" ht="75" customHeight="1" thickTop="1" thickBot="1">
      <c r="A421" s="25">
        <v>419</v>
      </c>
      <c r="B421" s="32">
        <v>46204.513266307797</v>
      </c>
      <c r="C421" s="33" t="s">
        <v>97</v>
      </c>
      <c r="D421" s="33" t="s">
        <v>272</v>
      </c>
      <c r="E421" s="23" t="s">
        <v>99</v>
      </c>
      <c r="F421" s="23" t="s">
        <v>116</v>
      </c>
      <c r="G421" s="23" t="s">
        <v>106</v>
      </c>
      <c r="H421" s="23" t="s">
        <v>521</v>
      </c>
      <c r="I421" s="23"/>
      <c r="J421" s="23" t="s">
        <v>14</v>
      </c>
      <c r="K421" s="23" t="s">
        <v>13</v>
      </c>
      <c r="L421" s="32">
        <v>46204.526389120372</v>
      </c>
      <c r="M421" s="23"/>
    </row>
    <row r="422" spans="1:13" ht="75" customHeight="1" thickTop="1" thickBot="1">
      <c r="A422" s="23">
        <v>420</v>
      </c>
      <c r="B422" s="32">
        <v>46204.513341226797</v>
      </c>
      <c r="C422" s="33" t="s">
        <v>97</v>
      </c>
      <c r="D422" s="33" t="s">
        <v>272</v>
      </c>
      <c r="E422" s="23" t="s">
        <v>99</v>
      </c>
      <c r="F422" s="23" t="s">
        <v>126</v>
      </c>
      <c r="G422" s="23" t="s">
        <v>110</v>
      </c>
      <c r="H422" s="23" t="s">
        <v>522</v>
      </c>
      <c r="I422" s="23"/>
      <c r="J422" s="23" t="s">
        <v>14</v>
      </c>
      <c r="K422" s="23" t="s">
        <v>13</v>
      </c>
      <c r="L422" s="32">
        <v>46204.526335034723</v>
      </c>
      <c r="M422" s="23"/>
    </row>
    <row r="423" spans="1:13" ht="75" customHeight="1" thickTop="1" thickBot="1">
      <c r="A423" s="25">
        <v>421</v>
      </c>
      <c r="B423" s="32">
        <v>46204.513638761498</v>
      </c>
      <c r="C423" s="33" t="s">
        <v>97</v>
      </c>
      <c r="D423" s="33" t="s">
        <v>272</v>
      </c>
      <c r="E423" s="23" t="s">
        <v>99</v>
      </c>
      <c r="F423" s="23" t="s">
        <v>102</v>
      </c>
      <c r="G423" s="23" t="s">
        <v>110</v>
      </c>
      <c r="H423" s="23" t="s">
        <v>1139</v>
      </c>
      <c r="I423" s="23"/>
      <c r="J423" s="23" t="s">
        <v>14</v>
      </c>
      <c r="K423" s="23" t="s">
        <v>13</v>
      </c>
      <c r="L423" s="32">
        <v>46204.526288634261</v>
      </c>
      <c r="M423" s="23"/>
    </row>
    <row r="424" spans="1:13" ht="75" customHeight="1" thickTop="1" thickBot="1">
      <c r="A424" s="23">
        <v>422</v>
      </c>
      <c r="B424" s="32">
        <v>46204.513890347203</v>
      </c>
      <c r="C424" s="33" t="s">
        <v>97</v>
      </c>
      <c r="D424" s="33" t="s">
        <v>272</v>
      </c>
      <c r="E424" s="23" t="s">
        <v>99</v>
      </c>
      <c r="F424" s="23" t="s">
        <v>126</v>
      </c>
      <c r="G424" s="23" t="s">
        <v>180</v>
      </c>
      <c r="H424" s="23" t="s">
        <v>1140</v>
      </c>
      <c r="I424" s="23"/>
      <c r="J424" s="23" t="s">
        <v>14</v>
      </c>
      <c r="K424" s="23" t="s">
        <v>13</v>
      </c>
      <c r="L424" s="32">
        <v>46204.526272893519</v>
      </c>
      <c r="M424" s="23"/>
    </row>
    <row r="425" spans="1:13" ht="75" customHeight="1" thickTop="1" thickBot="1">
      <c r="A425" s="25">
        <v>423</v>
      </c>
      <c r="B425" s="32">
        <v>46204.514213703696</v>
      </c>
      <c r="C425" s="33" t="s">
        <v>97</v>
      </c>
      <c r="D425" s="33" t="s">
        <v>272</v>
      </c>
      <c r="E425" s="23" t="s">
        <v>99</v>
      </c>
      <c r="F425" s="23" t="s">
        <v>100</v>
      </c>
      <c r="G425" s="23" t="s">
        <v>110</v>
      </c>
      <c r="H425" s="23" t="s">
        <v>1137</v>
      </c>
      <c r="I425" s="23"/>
      <c r="J425" s="23" t="s">
        <v>14</v>
      </c>
      <c r="K425" s="23" t="s">
        <v>13</v>
      </c>
      <c r="L425" s="32">
        <v>46204.526208206022</v>
      </c>
      <c r="M425" s="23"/>
    </row>
    <row r="426" spans="1:13" ht="75" customHeight="1" thickTop="1" thickBot="1">
      <c r="A426" s="23">
        <v>424</v>
      </c>
      <c r="B426" s="32">
        <v>46204.514308240701</v>
      </c>
      <c r="C426" s="33" t="s">
        <v>97</v>
      </c>
      <c r="D426" s="33" t="s">
        <v>272</v>
      </c>
      <c r="E426" s="23" t="s">
        <v>99</v>
      </c>
      <c r="F426" s="23" t="s">
        <v>102</v>
      </c>
      <c r="G426" s="23" t="s">
        <v>981</v>
      </c>
      <c r="H426" s="23" t="s">
        <v>1141</v>
      </c>
      <c r="I426" s="23"/>
      <c r="J426" s="23" t="s">
        <v>14</v>
      </c>
      <c r="K426" s="23" t="s">
        <v>13</v>
      </c>
      <c r="L426" s="32">
        <v>46204.526162662034</v>
      </c>
      <c r="M426" s="23"/>
    </row>
    <row r="427" spans="1:13" ht="75" customHeight="1" thickTop="1" thickBot="1">
      <c r="A427" s="25">
        <v>425</v>
      </c>
      <c r="B427" s="32">
        <v>46204.5146427777</v>
      </c>
      <c r="C427" s="33" t="s">
        <v>97</v>
      </c>
      <c r="D427" s="33" t="s">
        <v>272</v>
      </c>
      <c r="E427" s="23" t="s">
        <v>99</v>
      </c>
      <c r="F427" s="23" t="s">
        <v>116</v>
      </c>
      <c r="G427" s="23" t="s">
        <v>110</v>
      </c>
      <c r="H427" s="23" t="s">
        <v>1142</v>
      </c>
      <c r="I427" s="23"/>
      <c r="J427" s="23" t="s">
        <v>14</v>
      </c>
      <c r="K427" s="23" t="s">
        <v>13</v>
      </c>
      <c r="L427" s="32">
        <v>46204.526101342592</v>
      </c>
      <c r="M427" s="23"/>
    </row>
    <row r="428" spans="1:13" ht="75" customHeight="1" thickTop="1" thickBot="1">
      <c r="A428" s="23">
        <v>426</v>
      </c>
      <c r="B428" s="32">
        <v>46204.514829826301</v>
      </c>
      <c r="C428" s="33" t="s">
        <v>97</v>
      </c>
      <c r="D428" s="33" t="s">
        <v>272</v>
      </c>
      <c r="E428" s="23" t="s">
        <v>99</v>
      </c>
      <c r="F428" s="23" t="s">
        <v>101</v>
      </c>
      <c r="G428" s="23" t="s">
        <v>101</v>
      </c>
      <c r="H428" s="23" t="s">
        <v>1143</v>
      </c>
      <c r="I428" s="23"/>
      <c r="J428" s="23" t="s">
        <v>14</v>
      </c>
      <c r="K428" s="23" t="s">
        <v>13</v>
      </c>
      <c r="L428" s="32">
        <v>46204.526062442128</v>
      </c>
      <c r="M428" s="23"/>
    </row>
    <row r="429" spans="1:13" ht="75" customHeight="1" thickTop="1" thickBot="1">
      <c r="A429" s="25">
        <v>427</v>
      </c>
      <c r="B429" s="32">
        <v>46204.515111330998</v>
      </c>
      <c r="C429" s="33" t="s">
        <v>97</v>
      </c>
      <c r="D429" s="33" t="s">
        <v>272</v>
      </c>
      <c r="E429" s="23" t="s">
        <v>99</v>
      </c>
      <c r="F429" s="23" t="s">
        <v>376</v>
      </c>
      <c r="G429" s="23" t="s">
        <v>101</v>
      </c>
      <c r="H429" s="23" t="s">
        <v>1144</v>
      </c>
      <c r="I429" s="23"/>
      <c r="J429" s="23" t="s">
        <v>14</v>
      </c>
      <c r="K429" s="23" t="s">
        <v>13</v>
      </c>
      <c r="L429" s="32">
        <v>46204.525994236115</v>
      </c>
      <c r="M429" s="23"/>
    </row>
    <row r="430" spans="1:13" ht="75" customHeight="1" thickTop="1" thickBot="1">
      <c r="A430" s="23">
        <v>428</v>
      </c>
      <c r="B430" s="32">
        <v>46204.515547187497</v>
      </c>
      <c r="C430" s="33" t="s">
        <v>97</v>
      </c>
      <c r="D430" s="33" t="s">
        <v>272</v>
      </c>
      <c r="E430" s="23" t="s">
        <v>99</v>
      </c>
      <c r="F430" s="23" t="s">
        <v>116</v>
      </c>
      <c r="G430" s="23" t="s">
        <v>981</v>
      </c>
      <c r="H430" s="23" t="s">
        <v>1145</v>
      </c>
      <c r="I430" s="23"/>
      <c r="J430" s="23" t="s">
        <v>14</v>
      </c>
      <c r="K430" s="23" t="s">
        <v>13</v>
      </c>
      <c r="L430" s="32">
        <v>46204.525931793978</v>
      </c>
      <c r="M430" s="23"/>
    </row>
    <row r="431" spans="1:13" ht="75" customHeight="1" thickTop="1" thickBot="1">
      <c r="A431" s="25">
        <v>429</v>
      </c>
      <c r="B431" s="32">
        <v>46204.515607395799</v>
      </c>
      <c r="C431" s="33" t="s">
        <v>97</v>
      </c>
      <c r="D431" s="33" t="s">
        <v>272</v>
      </c>
      <c r="E431" s="23" t="s">
        <v>99</v>
      </c>
      <c r="F431" s="23" t="s">
        <v>101</v>
      </c>
      <c r="G431" s="23" t="s">
        <v>101</v>
      </c>
      <c r="H431" s="23" t="s">
        <v>523</v>
      </c>
      <c r="I431" s="23"/>
      <c r="J431" s="23" t="s">
        <v>14</v>
      </c>
      <c r="K431" s="23" t="s">
        <v>13</v>
      </c>
      <c r="L431" s="32">
        <v>46204.525854675929</v>
      </c>
      <c r="M431" s="23"/>
    </row>
    <row r="432" spans="1:13" ht="75" customHeight="1" thickTop="1" thickBot="1">
      <c r="A432" s="23">
        <v>430</v>
      </c>
      <c r="B432" s="32">
        <v>46204.515921273101</v>
      </c>
      <c r="C432" s="33" t="s">
        <v>97</v>
      </c>
      <c r="D432" s="33" t="s">
        <v>546</v>
      </c>
      <c r="E432" s="23" t="s">
        <v>99</v>
      </c>
      <c r="F432" s="23" t="s">
        <v>100</v>
      </c>
      <c r="G432" s="23" t="s">
        <v>998</v>
      </c>
      <c r="H432" s="23" t="s">
        <v>524</v>
      </c>
      <c r="I432" s="23"/>
      <c r="J432" s="23" t="s">
        <v>12</v>
      </c>
      <c r="K432" s="23" t="s">
        <v>13</v>
      </c>
      <c r="L432" s="32">
        <v>46204.525788576386</v>
      </c>
      <c r="M432" s="23"/>
    </row>
    <row r="433" spans="1:13" ht="75" customHeight="1" thickTop="1" thickBot="1">
      <c r="A433" s="25">
        <v>431</v>
      </c>
      <c r="B433" s="32">
        <v>46204.515964930499</v>
      </c>
      <c r="C433" s="33" t="s">
        <v>97</v>
      </c>
      <c r="D433" s="33" t="s">
        <v>272</v>
      </c>
      <c r="E433" s="23" t="s">
        <v>99</v>
      </c>
      <c r="F433" s="23" t="s">
        <v>126</v>
      </c>
      <c r="G433" s="23" t="s">
        <v>525</v>
      </c>
      <c r="H433" s="23" t="s">
        <v>1146</v>
      </c>
      <c r="I433" s="23"/>
      <c r="J433" s="23" t="s">
        <v>14</v>
      </c>
      <c r="K433" s="23" t="s">
        <v>13</v>
      </c>
      <c r="L433" s="32">
        <v>46204.52571574074</v>
      </c>
      <c r="M433" s="23"/>
    </row>
    <row r="434" spans="1:13" ht="75" customHeight="1" thickTop="1" thickBot="1">
      <c r="A434" s="23">
        <v>432</v>
      </c>
      <c r="B434" s="32">
        <v>46204.516219479097</v>
      </c>
      <c r="C434" s="33" t="s">
        <v>97</v>
      </c>
      <c r="D434" s="33" t="s">
        <v>272</v>
      </c>
      <c r="E434" s="23" t="s">
        <v>99</v>
      </c>
      <c r="F434" s="23" t="s">
        <v>126</v>
      </c>
      <c r="G434" s="23" t="s">
        <v>106</v>
      </c>
      <c r="H434" s="23" t="s">
        <v>1147</v>
      </c>
      <c r="I434" s="23"/>
      <c r="J434" s="23" t="s">
        <v>14</v>
      </c>
      <c r="K434" s="23" t="s">
        <v>13</v>
      </c>
      <c r="L434" s="32">
        <v>46204.525702777777</v>
      </c>
      <c r="M434" s="23"/>
    </row>
    <row r="435" spans="1:13" ht="75" customHeight="1" thickTop="1" thickBot="1">
      <c r="A435" s="25">
        <v>433</v>
      </c>
      <c r="B435" s="32">
        <v>46204.516297025402</v>
      </c>
      <c r="C435" s="33" t="s">
        <v>97</v>
      </c>
      <c r="D435" s="33" t="s">
        <v>272</v>
      </c>
      <c r="E435" s="23" t="s">
        <v>99</v>
      </c>
      <c r="F435" s="23" t="s">
        <v>116</v>
      </c>
      <c r="G435" s="23" t="s">
        <v>526</v>
      </c>
      <c r="H435" s="23" t="s">
        <v>1148</v>
      </c>
      <c r="I435" s="23"/>
      <c r="J435" s="23" t="s">
        <v>14</v>
      </c>
      <c r="K435" s="23" t="s">
        <v>13</v>
      </c>
      <c r="L435" s="32">
        <v>46204.525671747688</v>
      </c>
      <c r="M435" s="23"/>
    </row>
    <row r="436" spans="1:13" ht="75" customHeight="1" thickTop="1" thickBot="1">
      <c r="A436" s="23">
        <v>434</v>
      </c>
      <c r="B436" s="32">
        <v>46204.516621423601</v>
      </c>
      <c r="C436" s="33" t="s">
        <v>97</v>
      </c>
      <c r="D436" s="33" t="s">
        <v>272</v>
      </c>
      <c r="E436" s="23" t="s">
        <v>99</v>
      </c>
      <c r="F436" s="23" t="s">
        <v>116</v>
      </c>
      <c r="G436" s="23" t="s">
        <v>108</v>
      </c>
      <c r="H436" s="23" t="s">
        <v>1149</v>
      </c>
      <c r="I436" s="23"/>
      <c r="J436" s="23" t="s">
        <v>14</v>
      </c>
      <c r="K436" s="23" t="s">
        <v>13</v>
      </c>
      <c r="L436" s="32">
        <v>46204.527326261574</v>
      </c>
      <c r="M436" s="23"/>
    </row>
    <row r="437" spans="1:13" ht="75" customHeight="1" thickTop="1" thickBot="1">
      <c r="A437" s="25">
        <v>435</v>
      </c>
      <c r="B437" s="32">
        <v>46204.516996435101</v>
      </c>
      <c r="C437" s="33" t="s">
        <v>97</v>
      </c>
      <c r="D437" s="33" t="s">
        <v>546</v>
      </c>
      <c r="E437" s="23" t="s">
        <v>99</v>
      </c>
      <c r="F437" s="23" t="s">
        <v>527</v>
      </c>
      <c r="G437" s="23" t="s">
        <v>981</v>
      </c>
      <c r="H437" s="23" t="s">
        <v>528</v>
      </c>
      <c r="I437" s="23" t="s">
        <v>529</v>
      </c>
      <c r="J437" s="23" t="s">
        <v>12</v>
      </c>
      <c r="K437" s="23" t="s">
        <v>13</v>
      </c>
      <c r="L437" s="32">
        <v>46204.52558976852</v>
      </c>
      <c r="M437" s="23"/>
    </row>
    <row r="438" spans="1:13" ht="75" customHeight="1" thickTop="1" thickBot="1">
      <c r="A438" s="23">
        <v>436</v>
      </c>
      <c r="B438" s="32">
        <v>46204.517145590202</v>
      </c>
      <c r="C438" s="33" t="s">
        <v>97</v>
      </c>
      <c r="D438" s="33" t="s">
        <v>272</v>
      </c>
      <c r="E438" s="23" t="s">
        <v>99</v>
      </c>
      <c r="F438" s="23" t="s">
        <v>102</v>
      </c>
      <c r="G438" s="23" t="s">
        <v>981</v>
      </c>
      <c r="H438" s="23" t="s">
        <v>530</v>
      </c>
      <c r="I438" s="23"/>
      <c r="J438" s="23" t="s">
        <v>14</v>
      </c>
      <c r="K438" s="23" t="s">
        <v>13</v>
      </c>
      <c r="L438" s="32">
        <v>46204.525520671297</v>
      </c>
      <c r="M438" s="23"/>
    </row>
    <row r="439" spans="1:13" ht="75" customHeight="1" thickTop="1" thickBot="1">
      <c r="A439" s="25">
        <v>437</v>
      </c>
      <c r="B439" s="32">
        <v>46204.517396203701</v>
      </c>
      <c r="C439" s="33" t="s">
        <v>97</v>
      </c>
      <c r="D439" s="33" t="s">
        <v>272</v>
      </c>
      <c r="E439" s="23" t="s">
        <v>99</v>
      </c>
      <c r="F439" s="23" t="s">
        <v>102</v>
      </c>
      <c r="G439" s="23" t="s">
        <v>110</v>
      </c>
      <c r="H439" s="23" t="s">
        <v>531</v>
      </c>
      <c r="I439" s="23"/>
      <c r="J439" s="23" t="s">
        <v>14</v>
      </c>
      <c r="K439" s="23" t="s">
        <v>13</v>
      </c>
      <c r="L439" s="32">
        <v>46204.525480972225</v>
      </c>
      <c r="M439" s="23"/>
    </row>
    <row r="440" spans="1:13" ht="75" customHeight="1" thickTop="1" thickBot="1">
      <c r="A440" s="23">
        <v>438</v>
      </c>
      <c r="B440" s="32">
        <v>46204.517496029999</v>
      </c>
      <c r="C440" s="33" t="s">
        <v>97</v>
      </c>
      <c r="D440" s="33" t="s">
        <v>546</v>
      </c>
      <c r="E440" s="23" t="s">
        <v>99</v>
      </c>
      <c r="F440" s="23" t="s">
        <v>159</v>
      </c>
      <c r="G440" s="23" t="s">
        <v>981</v>
      </c>
      <c r="H440" s="23" t="s">
        <v>528</v>
      </c>
      <c r="I440" s="23"/>
      <c r="J440" s="23" t="s">
        <v>12</v>
      </c>
      <c r="K440" s="23" t="s">
        <v>13</v>
      </c>
      <c r="L440" s="32">
        <v>46204.525398599537</v>
      </c>
      <c r="M440" s="23"/>
    </row>
    <row r="441" spans="1:13" ht="75" customHeight="1" thickTop="1" thickBot="1">
      <c r="A441" s="25">
        <v>439</v>
      </c>
      <c r="B441" s="32">
        <v>46204.517808680503</v>
      </c>
      <c r="C441" s="33" t="s">
        <v>97</v>
      </c>
      <c r="D441" s="33" t="s">
        <v>272</v>
      </c>
      <c r="E441" s="23" t="s">
        <v>99</v>
      </c>
      <c r="F441" s="23" t="s">
        <v>102</v>
      </c>
      <c r="G441" s="23" t="s">
        <v>365</v>
      </c>
      <c r="H441" s="23" t="s">
        <v>532</v>
      </c>
      <c r="I441" s="23"/>
      <c r="J441" s="23" t="s">
        <v>14</v>
      </c>
      <c r="K441" s="23" t="s">
        <v>13</v>
      </c>
      <c r="L441" s="32">
        <v>46204.525354432873</v>
      </c>
      <c r="M441" s="23"/>
    </row>
    <row r="442" spans="1:13" ht="75" customHeight="1" thickTop="1" thickBot="1">
      <c r="A442" s="23">
        <v>440</v>
      </c>
      <c r="B442" s="32">
        <v>46204.518188414302</v>
      </c>
      <c r="C442" s="33" t="s">
        <v>97</v>
      </c>
      <c r="D442" s="33" t="s">
        <v>272</v>
      </c>
      <c r="E442" s="23" t="s">
        <v>99</v>
      </c>
      <c r="F442" s="23" t="s">
        <v>102</v>
      </c>
      <c r="G442" s="23" t="s">
        <v>106</v>
      </c>
      <c r="H442" s="23" t="s">
        <v>1150</v>
      </c>
      <c r="I442" s="23"/>
      <c r="J442" s="23" t="s">
        <v>14</v>
      </c>
      <c r="K442" s="23" t="s">
        <v>13</v>
      </c>
      <c r="L442" s="32">
        <v>46204.525334189813</v>
      </c>
      <c r="M442" s="23"/>
    </row>
    <row r="443" spans="1:13" ht="75" customHeight="1" thickTop="1" thickBot="1">
      <c r="A443" s="25">
        <v>441</v>
      </c>
      <c r="B443" s="32">
        <v>46204.518431817101</v>
      </c>
      <c r="C443" s="33" t="s">
        <v>97</v>
      </c>
      <c r="D443" s="33" t="s">
        <v>272</v>
      </c>
      <c r="E443" s="23" t="s">
        <v>99</v>
      </c>
      <c r="F443" s="23" t="s">
        <v>102</v>
      </c>
      <c r="G443" s="23" t="s">
        <v>110</v>
      </c>
      <c r="H443" s="23" t="s">
        <v>272</v>
      </c>
      <c r="I443" s="23"/>
      <c r="J443" s="23" t="s">
        <v>14</v>
      </c>
      <c r="K443" s="23" t="s">
        <v>13</v>
      </c>
      <c r="L443" s="32">
        <v>46204.525253703701</v>
      </c>
      <c r="M443" s="23"/>
    </row>
    <row r="444" spans="1:13" ht="75" customHeight="1" thickTop="1" thickBot="1">
      <c r="A444" s="23">
        <v>442</v>
      </c>
      <c r="B444" s="32">
        <v>46204.518810879599</v>
      </c>
      <c r="C444" s="33" t="s">
        <v>97</v>
      </c>
      <c r="D444" s="33" t="s">
        <v>546</v>
      </c>
      <c r="E444" s="23" t="s">
        <v>99</v>
      </c>
      <c r="F444" s="23" t="s">
        <v>533</v>
      </c>
      <c r="G444" s="23" t="s">
        <v>534</v>
      </c>
      <c r="H444" s="23" t="s">
        <v>535</v>
      </c>
      <c r="I444" s="23"/>
      <c r="J444" s="23" t="s">
        <v>12</v>
      </c>
      <c r="K444" s="23" t="s">
        <v>13</v>
      </c>
      <c r="L444" s="32">
        <v>46204.525193263893</v>
      </c>
      <c r="M444" s="23"/>
    </row>
    <row r="445" spans="1:13" ht="75" customHeight="1" thickTop="1" thickBot="1">
      <c r="A445" s="25">
        <v>443</v>
      </c>
      <c r="B445" s="32">
        <v>46204.518870694403</v>
      </c>
      <c r="C445" s="33" t="s">
        <v>97</v>
      </c>
      <c r="D445" s="33" t="s">
        <v>272</v>
      </c>
      <c r="E445" s="23" t="s">
        <v>99</v>
      </c>
      <c r="F445" s="23" t="s">
        <v>376</v>
      </c>
      <c r="G445" s="23" t="s">
        <v>101</v>
      </c>
      <c r="H445" s="23" t="s">
        <v>536</v>
      </c>
      <c r="I445" s="23"/>
      <c r="J445" s="23" t="s">
        <v>14</v>
      </c>
      <c r="K445" s="23" t="s">
        <v>13</v>
      </c>
      <c r="L445" s="32">
        <v>46204.525149212961</v>
      </c>
      <c r="M445" s="23"/>
    </row>
    <row r="446" spans="1:13" ht="75" customHeight="1" thickTop="1" thickBot="1">
      <c r="A446" s="23">
        <v>444</v>
      </c>
      <c r="B446" s="32">
        <v>46204.519484039301</v>
      </c>
      <c r="C446" s="33" t="s">
        <v>97</v>
      </c>
      <c r="D446" s="33" t="s">
        <v>272</v>
      </c>
      <c r="E446" s="23" t="s">
        <v>99</v>
      </c>
      <c r="F446" s="23" t="s">
        <v>265</v>
      </c>
      <c r="G446" s="23" t="s">
        <v>101</v>
      </c>
      <c r="H446" s="23" t="s">
        <v>537</v>
      </c>
      <c r="I446" s="23"/>
      <c r="J446" s="23" t="s">
        <v>14</v>
      </c>
      <c r="K446" s="23" t="s">
        <v>13</v>
      </c>
      <c r="L446" s="32">
        <v>46204.525094340279</v>
      </c>
      <c r="M446" s="23"/>
    </row>
    <row r="447" spans="1:13" ht="75" customHeight="1" thickTop="1" thickBot="1">
      <c r="A447" s="25">
        <v>445</v>
      </c>
      <c r="B447" s="32">
        <v>46204.519637453697</v>
      </c>
      <c r="C447" s="33" t="s">
        <v>97</v>
      </c>
      <c r="D447" s="33" t="s">
        <v>546</v>
      </c>
      <c r="E447" s="23" t="s">
        <v>99</v>
      </c>
      <c r="F447" s="23" t="s">
        <v>126</v>
      </c>
      <c r="G447" s="23" t="s">
        <v>534</v>
      </c>
      <c r="H447" s="23" t="s">
        <v>538</v>
      </c>
      <c r="I447" s="23"/>
      <c r="J447" s="23" t="s">
        <v>12</v>
      </c>
      <c r="K447" s="23" t="s">
        <v>13</v>
      </c>
      <c r="L447" s="32">
        <v>46204.525067337963</v>
      </c>
      <c r="M447" s="23"/>
    </row>
    <row r="448" spans="1:13" ht="75" customHeight="1" thickTop="1" thickBot="1">
      <c r="A448" s="23">
        <v>446</v>
      </c>
      <c r="B448" s="32">
        <v>46204.520058367998</v>
      </c>
      <c r="C448" s="33" t="s">
        <v>97</v>
      </c>
      <c r="D448" s="33" t="s">
        <v>272</v>
      </c>
      <c r="E448" s="23" t="s">
        <v>99</v>
      </c>
      <c r="F448" s="23" t="s">
        <v>116</v>
      </c>
      <c r="G448" s="23" t="s">
        <v>108</v>
      </c>
      <c r="H448" s="23" t="s">
        <v>1151</v>
      </c>
      <c r="I448" s="23"/>
      <c r="J448" s="23" t="s">
        <v>14</v>
      </c>
      <c r="K448" s="23" t="s">
        <v>13</v>
      </c>
      <c r="L448" s="32">
        <v>46204.524710601851</v>
      </c>
      <c r="M448" s="23"/>
    </row>
    <row r="449" spans="1:13" ht="75" customHeight="1" thickTop="1" thickBot="1">
      <c r="A449" s="25">
        <v>447</v>
      </c>
      <c r="B449" s="32">
        <v>46204.520509340196</v>
      </c>
      <c r="C449" s="33" t="s">
        <v>97</v>
      </c>
      <c r="D449" s="33" t="s">
        <v>546</v>
      </c>
      <c r="E449" s="23" t="s">
        <v>99</v>
      </c>
      <c r="F449" s="23" t="s">
        <v>126</v>
      </c>
      <c r="G449" s="23" t="s">
        <v>539</v>
      </c>
      <c r="H449" s="23" t="s">
        <v>540</v>
      </c>
      <c r="I449" s="23"/>
      <c r="J449" s="23" t="s">
        <v>12</v>
      </c>
      <c r="K449" s="23" t="s">
        <v>13</v>
      </c>
      <c r="L449" s="32">
        <v>46204.524655057874</v>
      </c>
      <c r="M449" s="23"/>
    </row>
    <row r="450" spans="1:13" ht="75" customHeight="1" thickTop="1" thickBot="1">
      <c r="A450" s="23">
        <v>448</v>
      </c>
      <c r="B450" s="32">
        <v>46204.520527083303</v>
      </c>
      <c r="C450" s="33" t="s">
        <v>97</v>
      </c>
      <c r="D450" s="33" t="s">
        <v>272</v>
      </c>
      <c r="E450" s="23" t="s">
        <v>99</v>
      </c>
      <c r="F450" s="23" t="s">
        <v>102</v>
      </c>
      <c r="G450" s="23" t="s">
        <v>262</v>
      </c>
      <c r="H450" s="23" t="s">
        <v>541</v>
      </c>
      <c r="I450" s="23"/>
      <c r="J450" s="23" t="s">
        <v>14</v>
      </c>
      <c r="K450" s="23" t="s">
        <v>13</v>
      </c>
      <c r="L450" s="32">
        <v>46204.524594930554</v>
      </c>
      <c r="M450" s="23"/>
    </row>
    <row r="451" spans="1:13" ht="75" customHeight="1" thickTop="1" thickBot="1">
      <c r="A451" s="25">
        <v>449</v>
      </c>
      <c r="B451" s="32">
        <v>46204.520763067099</v>
      </c>
      <c r="C451" s="33" t="s">
        <v>97</v>
      </c>
      <c r="D451" s="33" t="s">
        <v>272</v>
      </c>
      <c r="E451" s="23" t="s">
        <v>99</v>
      </c>
      <c r="F451" s="23" t="s">
        <v>116</v>
      </c>
      <c r="G451" s="23" t="s">
        <v>108</v>
      </c>
      <c r="H451" s="23" t="s">
        <v>542</v>
      </c>
      <c r="I451" s="23"/>
      <c r="J451" s="23" t="s">
        <v>14</v>
      </c>
      <c r="K451" s="23" t="s">
        <v>13</v>
      </c>
      <c r="L451" s="32">
        <v>46204.524441493057</v>
      </c>
      <c r="M451" s="23"/>
    </row>
    <row r="452" spans="1:13" ht="75" customHeight="1" thickTop="1" thickBot="1">
      <c r="A452" s="23">
        <v>450</v>
      </c>
      <c r="B452" s="32">
        <v>46204.5213083333</v>
      </c>
      <c r="C452" s="33" t="s">
        <v>97</v>
      </c>
      <c r="D452" s="33" t="s">
        <v>272</v>
      </c>
      <c r="E452" s="23" t="s">
        <v>99</v>
      </c>
      <c r="F452" s="23" t="s">
        <v>102</v>
      </c>
      <c r="G452" s="23" t="s">
        <v>152</v>
      </c>
      <c r="H452" s="23" t="s">
        <v>1152</v>
      </c>
      <c r="I452" s="23"/>
      <c r="J452" s="23" t="s">
        <v>14</v>
      </c>
      <c r="K452" s="23" t="s">
        <v>13</v>
      </c>
      <c r="L452" s="32">
        <v>46204.52437914352</v>
      </c>
      <c r="M452" s="23"/>
    </row>
    <row r="453" spans="1:13" ht="75" customHeight="1" thickTop="1" thickBot="1">
      <c r="A453" s="25">
        <v>451</v>
      </c>
      <c r="B453" s="32">
        <v>46204.521530011501</v>
      </c>
      <c r="C453" s="33" t="s">
        <v>97</v>
      </c>
      <c r="D453" s="33" t="s">
        <v>546</v>
      </c>
      <c r="E453" s="23" t="s">
        <v>99</v>
      </c>
      <c r="F453" s="23" t="s">
        <v>543</v>
      </c>
      <c r="G453" s="23" t="s">
        <v>101</v>
      </c>
      <c r="H453" s="23" t="s">
        <v>999</v>
      </c>
      <c r="I453" s="23"/>
      <c r="J453" s="23" t="s">
        <v>12</v>
      </c>
      <c r="K453" s="23" t="s">
        <v>13</v>
      </c>
      <c r="L453" s="32">
        <v>46204.523958865742</v>
      </c>
      <c r="M453" s="23"/>
    </row>
    <row r="454" spans="1:13" ht="75" customHeight="1" thickTop="1" thickBot="1">
      <c r="A454" s="23">
        <v>452</v>
      </c>
      <c r="B454" s="32">
        <v>46204.521749097199</v>
      </c>
      <c r="C454" s="33" t="s">
        <v>97</v>
      </c>
      <c r="D454" s="33" t="s">
        <v>272</v>
      </c>
      <c r="E454" s="23" t="s">
        <v>99</v>
      </c>
      <c r="F454" s="23" t="s">
        <v>126</v>
      </c>
      <c r="G454" s="23" t="s">
        <v>110</v>
      </c>
      <c r="H454" s="23" t="s">
        <v>1153</v>
      </c>
      <c r="I454" s="23"/>
      <c r="J454" s="23" t="s">
        <v>14</v>
      </c>
      <c r="K454" s="23" t="s">
        <v>13</v>
      </c>
      <c r="L454" s="32">
        <v>46204.523859583336</v>
      </c>
      <c r="M454" s="23"/>
    </row>
    <row r="455" spans="1:13" ht="75" customHeight="1" thickTop="1" thickBot="1">
      <c r="A455" s="25">
        <v>453</v>
      </c>
      <c r="B455" s="32">
        <v>46204.522213969904</v>
      </c>
      <c r="C455" s="33" t="s">
        <v>97</v>
      </c>
      <c r="D455" s="33" t="s">
        <v>546</v>
      </c>
      <c r="E455" s="23" t="s">
        <v>99</v>
      </c>
      <c r="F455" s="23" t="s">
        <v>101</v>
      </c>
      <c r="G455" s="23" t="s">
        <v>101</v>
      </c>
      <c r="H455" s="23" t="s">
        <v>544</v>
      </c>
      <c r="I455" s="23"/>
      <c r="J455" s="23" t="s">
        <v>12</v>
      </c>
      <c r="K455" s="23" t="s">
        <v>13</v>
      </c>
      <c r="L455" s="32">
        <v>46204.523810185186</v>
      </c>
      <c r="M455" s="23"/>
    </row>
    <row r="456" spans="1:13" ht="75" customHeight="1" thickTop="1" thickBot="1">
      <c r="A456" s="23">
        <v>454</v>
      </c>
      <c r="B456" s="32">
        <v>46204.522231053197</v>
      </c>
      <c r="C456" s="33" t="s">
        <v>97</v>
      </c>
      <c r="D456" s="33" t="s">
        <v>272</v>
      </c>
      <c r="E456" s="23" t="s">
        <v>99</v>
      </c>
      <c r="F456" s="23" t="s">
        <v>519</v>
      </c>
      <c r="G456" s="23" t="s">
        <v>101</v>
      </c>
      <c r="H456" s="23" t="s">
        <v>545</v>
      </c>
      <c r="I456" s="23"/>
      <c r="J456" s="23" t="s">
        <v>14</v>
      </c>
      <c r="K456" s="23" t="s">
        <v>13</v>
      </c>
      <c r="L456" s="32">
        <v>46204.523745011575</v>
      </c>
      <c r="M456" s="23"/>
    </row>
    <row r="457" spans="1:13" ht="75" customHeight="1" thickTop="1" thickBot="1">
      <c r="A457" s="25">
        <v>455</v>
      </c>
      <c r="B457" s="32">
        <v>46204.522874525399</v>
      </c>
      <c r="C457" s="33" t="s">
        <v>97</v>
      </c>
      <c r="D457" s="33" t="s">
        <v>272</v>
      </c>
      <c r="E457" s="23" t="s">
        <v>99</v>
      </c>
      <c r="F457" s="23" t="s">
        <v>116</v>
      </c>
      <c r="G457" s="23" t="s">
        <v>108</v>
      </c>
      <c r="H457" s="23" t="s">
        <v>272</v>
      </c>
      <c r="I457" s="23"/>
      <c r="J457" s="23" t="s">
        <v>14</v>
      </c>
      <c r="K457" s="23" t="s">
        <v>13</v>
      </c>
      <c r="L457" s="32">
        <v>46204.523700266203</v>
      </c>
      <c r="M457" s="23"/>
    </row>
    <row r="458" spans="1:13" ht="75" customHeight="1" thickTop="1" thickBot="1">
      <c r="A458" s="23">
        <v>456</v>
      </c>
      <c r="B458" s="32">
        <v>46204.523308298601</v>
      </c>
      <c r="C458" s="33" t="s">
        <v>97</v>
      </c>
      <c r="D458" s="33" t="s">
        <v>546</v>
      </c>
      <c r="E458" s="23" t="s">
        <v>99</v>
      </c>
      <c r="F458" s="23" t="s">
        <v>100</v>
      </c>
      <c r="G458" s="23" t="s">
        <v>547</v>
      </c>
      <c r="H458" s="23" t="s">
        <v>548</v>
      </c>
      <c r="I458" s="23"/>
      <c r="J458" s="23" t="s">
        <v>12</v>
      </c>
      <c r="K458" s="23" t="s">
        <v>13</v>
      </c>
      <c r="L458" s="32">
        <v>46204.535712627316</v>
      </c>
      <c r="M458" s="23"/>
    </row>
    <row r="459" spans="1:13" ht="75" customHeight="1" thickTop="1" thickBot="1">
      <c r="A459" s="25">
        <v>457</v>
      </c>
      <c r="B459" s="32">
        <v>46204.523348194401</v>
      </c>
      <c r="C459" s="33" t="s">
        <v>97</v>
      </c>
      <c r="D459" s="33" t="s">
        <v>272</v>
      </c>
      <c r="E459" s="23" t="s">
        <v>99</v>
      </c>
      <c r="F459" s="23" t="s">
        <v>102</v>
      </c>
      <c r="G459" s="23" t="s">
        <v>549</v>
      </c>
      <c r="H459" s="23" t="s">
        <v>550</v>
      </c>
      <c r="I459" s="23"/>
      <c r="J459" s="23" t="s">
        <v>14</v>
      </c>
      <c r="K459" s="23" t="s">
        <v>13</v>
      </c>
      <c r="L459" s="32">
        <v>46204.53565774305</v>
      </c>
      <c r="M459" s="23"/>
    </row>
    <row r="460" spans="1:13" ht="75" customHeight="1" thickTop="1" thickBot="1">
      <c r="A460" s="23">
        <v>458</v>
      </c>
      <c r="B460" s="32">
        <v>46204.523671932802</v>
      </c>
      <c r="C460" s="33" t="s">
        <v>97</v>
      </c>
      <c r="D460" s="33" t="s">
        <v>272</v>
      </c>
      <c r="E460" s="23" t="s">
        <v>99</v>
      </c>
      <c r="F460" s="23" t="s">
        <v>116</v>
      </c>
      <c r="G460" s="23" t="s">
        <v>106</v>
      </c>
      <c r="H460" s="23" t="s">
        <v>551</v>
      </c>
      <c r="I460" s="23"/>
      <c r="J460" s="23" t="s">
        <v>14</v>
      </c>
      <c r="K460" s="23" t="s">
        <v>13</v>
      </c>
      <c r="L460" s="32">
        <v>46204.53560959491</v>
      </c>
      <c r="M460" s="23"/>
    </row>
    <row r="461" spans="1:13" ht="75" customHeight="1" thickTop="1" thickBot="1">
      <c r="A461" s="25">
        <v>459</v>
      </c>
      <c r="B461" s="32">
        <v>46204.524230775402</v>
      </c>
      <c r="C461" s="33" t="s">
        <v>97</v>
      </c>
      <c r="D461" s="33" t="s">
        <v>272</v>
      </c>
      <c r="E461" s="23" t="s">
        <v>99</v>
      </c>
      <c r="F461" s="23" t="s">
        <v>100</v>
      </c>
      <c r="G461" s="23" t="s">
        <v>152</v>
      </c>
      <c r="H461" s="23" t="s">
        <v>552</v>
      </c>
      <c r="I461" s="23"/>
      <c r="J461" s="23" t="s">
        <v>14</v>
      </c>
      <c r="K461" s="23" t="s">
        <v>13</v>
      </c>
      <c r="L461" s="32">
        <v>46204.535561504628</v>
      </c>
      <c r="M461" s="23"/>
    </row>
    <row r="462" spans="1:13" ht="75" customHeight="1" thickTop="1" thickBot="1">
      <c r="A462" s="23">
        <v>460</v>
      </c>
      <c r="B462" s="32">
        <v>46204.524584016202</v>
      </c>
      <c r="C462" s="33" t="s">
        <v>97</v>
      </c>
      <c r="D462" s="33" t="s">
        <v>272</v>
      </c>
      <c r="E462" s="23" t="s">
        <v>99</v>
      </c>
      <c r="F462" s="23" t="s">
        <v>100</v>
      </c>
      <c r="G462" s="23" t="s">
        <v>106</v>
      </c>
      <c r="H462" s="23" t="s">
        <v>553</v>
      </c>
      <c r="I462" s="23"/>
      <c r="J462" s="23" t="s">
        <v>14</v>
      </c>
      <c r="K462" s="23" t="s">
        <v>13</v>
      </c>
      <c r="L462" s="32">
        <v>46204.535520624995</v>
      </c>
      <c r="M462" s="23"/>
    </row>
    <row r="463" spans="1:13" ht="75" customHeight="1" thickTop="1" thickBot="1">
      <c r="A463" s="25">
        <v>461</v>
      </c>
      <c r="B463" s="32">
        <v>46204.524614733797</v>
      </c>
      <c r="C463" s="33" t="s">
        <v>97</v>
      </c>
      <c r="D463" s="33" t="s">
        <v>546</v>
      </c>
      <c r="E463" s="23" t="s">
        <v>99</v>
      </c>
      <c r="F463" s="23" t="s">
        <v>543</v>
      </c>
      <c r="G463" s="23" t="s">
        <v>101</v>
      </c>
      <c r="H463" s="23" t="s">
        <v>554</v>
      </c>
      <c r="I463" s="23"/>
      <c r="J463" s="23" t="s">
        <v>12</v>
      </c>
      <c r="K463" s="23" t="s">
        <v>13</v>
      </c>
      <c r="L463" s="32">
        <v>46204.535412268524</v>
      </c>
      <c r="M463" s="23"/>
    </row>
    <row r="464" spans="1:13" ht="75" customHeight="1" thickTop="1" thickBot="1">
      <c r="A464" s="23">
        <v>462</v>
      </c>
      <c r="B464" s="32">
        <v>46204.525046192102</v>
      </c>
      <c r="C464" s="33" t="s">
        <v>97</v>
      </c>
      <c r="D464" s="33" t="s">
        <v>272</v>
      </c>
      <c r="E464" s="23" t="s">
        <v>99</v>
      </c>
      <c r="F464" s="23" t="s">
        <v>100</v>
      </c>
      <c r="G464" s="23" t="s">
        <v>106</v>
      </c>
      <c r="H464" s="23" t="s">
        <v>555</v>
      </c>
      <c r="I464" s="23"/>
      <c r="J464" s="23" t="s">
        <v>14</v>
      </c>
      <c r="K464" s="23" t="s">
        <v>13</v>
      </c>
      <c r="L464" s="32">
        <v>46204.535341238428</v>
      </c>
      <c r="M464" s="23"/>
    </row>
    <row r="465" spans="1:13" ht="75" customHeight="1" thickTop="1" thickBot="1">
      <c r="A465" s="25">
        <v>463</v>
      </c>
      <c r="B465" s="32">
        <v>46204.5252307638</v>
      </c>
      <c r="C465" s="33" t="s">
        <v>97</v>
      </c>
      <c r="D465" s="33" t="s">
        <v>546</v>
      </c>
      <c r="E465" s="23" t="s">
        <v>99</v>
      </c>
      <c r="F465" s="23" t="s">
        <v>126</v>
      </c>
      <c r="G465" s="23" t="s">
        <v>106</v>
      </c>
      <c r="H465" s="23" t="s">
        <v>556</v>
      </c>
      <c r="I465" s="23"/>
      <c r="J465" s="23" t="s">
        <v>12</v>
      </c>
      <c r="K465" s="23" t="s">
        <v>13</v>
      </c>
      <c r="L465" s="32">
        <v>46204.535299537034</v>
      </c>
      <c r="M465" s="23"/>
    </row>
    <row r="466" spans="1:13" ht="75" customHeight="1" thickTop="1" thickBot="1">
      <c r="A466" s="23">
        <v>464</v>
      </c>
      <c r="B466" s="32">
        <v>46204.525293784704</v>
      </c>
      <c r="C466" s="33" t="s">
        <v>97</v>
      </c>
      <c r="D466" s="33" t="s">
        <v>272</v>
      </c>
      <c r="E466" s="23" t="s">
        <v>99</v>
      </c>
      <c r="F466" s="23" t="s">
        <v>286</v>
      </c>
      <c r="G466" s="23" t="s">
        <v>110</v>
      </c>
      <c r="H466" s="23" t="s">
        <v>557</v>
      </c>
      <c r="I466" s="23"/>
      <c r="J466" s="23" t="s">
        <v>14</v>
      </c>
      <c r="K466" s="23" t="s">
        <v>13</v>
      </c>
      <c r="L466" s="32">
        <v>46204.53525262732</v>
      </c>
      <c r="M466" s="23"/>
    </row>
    <row r="467" spans="1:13" ht="75" customHeight="1" thickTop="1" thickBot="1">
      <c r="A467" s="25">
        <v>465</v>
      </c>
      <c r="B467" s="32">
        <v>46204.526420324</v>
      </c>
      <c r="C467" s="33" t="s">
        <v>97</v>
      </c>
      <c r="D467" s="33" t="s">
        <v>395</v>
      </c>
      <c r="E467" s="23" t="s">
        <v>99</v>
      </c>
      <c r="F467" s="23" t="s">
        <v>102</v>
      </c>
      <c r="G467" s="23" t="s">
        <v>106</v>
      </c>
      <c r="H467" s="23" t="s">
        <v>1067</v>
      </c>
      <c r="I467" s="23"/>
      <c r="J467" s="23" t="s">
        <v>16</v>
      </c>
      <c r="K467" s="23" t="s">
        <v>13</v>
      </c>
      <c r="L467" s="32">
        <v>46204.535173854165</v>
      </c>
      <c r="M467" s="23"/>
    </row>
    <row r="468" spans="1:13" ht="75" customHeight="1" thickTop="1" thickBot="1">
      <c r="A468" s="23">
        <v>466</v>
      </c>
      <c r="B468" s="32">
        <v>46204.526690648097</v>
      </c>
      <c r="C468" s="33" t="s">
        <v>97</v>
      </c>
      <c r="D468" s="33" t="s">
        <v>546</v>
      </c>
      <c r="E468" s="23" t="s">
        <v>99</v>
      </c>
      <c r="F468" s="23" t="s">
        <v>558</v>
      </c>
      <c r="G468" s="23" t="s">
        <v>398</v>
      </c>
      <c r="H468" s="23" t="s">
        <v>559</v>
      </c>
      <c r="I468" s="23"/>
      <c r="J468" s="23" t="s">
        <v>12</v>
      </c>
      <c r="K468" s="23" t="s">
        <v>13</v>
      </c>
      <c r="L468" s="32">
        <v>46204.535117569445</v>
      </c>
      <c r="M468" s="23"/>
    </row>
    <row r="469" spans="1:13" ht="75" customHeight="1" thickTop="1" thickBot="1">
      <c r="A469" s="25">
        <v>467</v>
      </c>
      <c r="B469" s="32">
        <v>46204.527077337902</v>
      </c>
      <c r="C469" s="33" t="s">
        <v>97</v>
      </c>
      <c r="D469" s="33" t="s">
        <v>272</v>
      </c>
      <c r="E469" s="23" t="s">
        <v>99</v>
      </c>
      <c r="F469" s="23" t="s">
        <v>102</v>
      </c>
      <c r="G469" s="23" t="s">
        <v>110</v>
      </c>
      <c r="H469" s="23" t="s">
        <v>560</v>
      </c>
      <c r="I469" s="23"/>
      <c r="J469" s="23" t="s">
        <v>14</v>
      </c>
      <c r="K469" s="23" t="s">
        <v>13</v>
      </c>
      <c r="L469" s="32">
        <v>46204.535079907408</v>
      </c>
      <c r="M469" s="23"/>
    </row>
    <row r="470" spans="1:13" ht="75" customHeight="1" thickTop="1" thickBot="1">
      <c r="A470" s="23">
        <v>468</v>
      </c>
      <c r="B470" s="32">
        <v>46204.527122442101</v>
      </c>
      <c r="C470" s="33" t="s">
        <v>97</v>
      </c>
      <c r="D470" s="33" t="s">
        <v>546</v>
      </c>
      <c r="E470" s="23" t="s">
        <v>99</v>
      </c>
      <c r="F470" s="23" t="s">
        <v>100</v>
      </c>
      <c r="G470" s="23" t="s">
        <v>130</v>
      </c>
      <c r="H470" s="23" t="s">
        <v>561</v>
      </c>
      <c r="I470" s="23"/>
      <c r="J470" s="23" t="s">
        <v>12</v>
      </c>
      <c r="K470" s="23" t="s">
        <v>13</v>
      </c>
      <c r="L470" s="32">
        <v>46204.535010937499</v>
      </c>
      <c r="M470" s="23"/>
    </row>
    <row r="471" spans="1:13" ht="75" customHeight="1" thickTop="1" thickBot="1">
      <c r="A471" s="25">
        <v>469</v>
      </c>
      <c r="B471" s="32">
        <v>46204.527367083298</v>
      </c>
      <c r="C471" s="33" t="s">
        <v>97</v>
      </c>
      <c r="D471" s="33" t="s">
        <v>395</v>
      </c>
      <c r="E471" s="23" t="s">
        <v>99</v>
      </c>
      <c r="F471" s="23" t="s">
        <v>126</v>
      </c>
      <c r="G471" s="23" t="s">
        <v>110</v>
      </c>
      <c r="H471" s="23" t="s">
        <v>562</v>
      </c>
      <c r="I471" s="23"/>
      <c r="J471" s="23" t="s">
        <v>16</v>
      </c>
      <c r="K471" s="23" t="s">
        <v>13</v>
      </c>
      <c r="L471" s="32">
        <v>46204.534920648148</v>
      </c>
      <c r="M471" s="23"/>
    </row>
    <row r="472" spans="1:13" ht="75" customHeight="1" thickTop="1" thickBot="1">
      <c r="A472" s="23">
        <v>470</v>
      </c>
      <c r="B472" s="32">
        <v>46204.527521076299</v>
      </c>
      <c r="C472" s="33" t="s">
        <v>97</v>
      </c>
      <c r="D472" s="33" t="s">
        <v>546</v>
      </c>
      <c r="E472" s="23" t="s">
        <v>99</v>
      </c>
      <c r="F472" s="23" t="s">
        <v>126</v>
      </c>
      <c r="G472" s="23" t="s">
        <v>110</v>
      </c>
      <c r="H472" s="23" t="s">
        <v>563</v>
      </c>
      <c r="I472" s="23" t="s">
        <v>564</v>
      </c>
      <c r="J472" s="23" t="s">
        <v>12</v>
      </c>
      <c r="K472" s="23" t="s">
        <v>13</v>
      </c>
      <c r="L472" s="32">
        <v>46204.534862523149</v>
      </c>
      <c r="M472" s="23"/>
    </row>
    <row r="473" spans="1:13" ht="75" customHeight="1" thickTop="1" thickBot="1">
      <c r="A473" s="25">
        <v>471</v>
      </c>
      <c r="B473" s="32">
        <v>46204.527924560098</v>
      </c>
      <c r="C473" s="33" t="s">
        <v>97</v>
      </c>
      <c r="D473" s="33" t="s">
        <v>395</v>
      </c>
      <c r="E473" s="23" t="s">
        <v>99</v>
      </c>
      <c r="F473" s="23" t="s">
        <v>116</v>
      </c>
      <c r="G473" s="23" t="s">
        <v>156</v>
      </c>
      <c r="H473" s="23" t="s">
        <v>565</v>
      </c>
      <c r="I473" s="23"/>
      <c r="J473" s="23" t="s">
        <v>16</v>
      </c>
      <c r="K473" s="23" t="s">
        <v>13</v>
      </c>
      <c r="L473" s="32">
        <v>46204.534844895832</v>
      </c>
      <c r="M473" s="23"/>
    </row>
    <row r="474" spans="1:13" ht="75" customHeight="1" thickTop="1" thickBot="1">
      <c r="A474" s="23">
        <v>472</v>
      </c>
      <c r="B474" s="32">
        <v>46204.527982175903</v>
      </c>
      <c r="C474" s="33" t="s">
        <v>97</v>
      </c>
      <c r="D474" s="33" t="s">
        <v>546</v>
      </c>
      <c r="E474" s="23" t="s">
        <v>99</v>
      </c>
      <c r="F474" s="23" t="s">
        <v>102</v>
      </c>
      <c r="G474" s="23" t="s">
        <v>106</v>
      </c>
      <c r="H474" s="23" t="s">
        <v>566</v>
      </c>
      <c r="I474" s="23"/>
      <c r="J474" s="23" t="s">
        <v>12</v>
      </c>
      <c r="K474" s="23" t="s">
        <v>13</v>
      </c>
      <c r="L474" s="32">
        <v>46204.534780636575</v>
      </c>
      <c r="M474" s="23"/>
    </row>
    <row r="475" spans="1:13" ht="75" customHeight="1" thickTop="1" thickBot="1">
      <c r="A475" s="25">
        <v>473</v>
      </c>
      <c r="B475" s="32">
        <v>46204.528075543902</v>
      </c>
      <c r="C475" s="33" t="s">
        <v>97</v>
      </c>
      <c r="D475" s="33" t="s">
        <v>272</v>
      </c>
      <c r="E475" s="23" t="s">
        <v>99</v>
      </c>
      <c r="F475" s="23" t="s">
        <v>116</v>
      </c>
      <c r="G475" s="23" t="s">
        <v>567</v>
      </c>
      <c r="H475" s="23" t="s">
        <v>1138</v>
      </c>
      <c r="I475" s="23"/>
      <c r="J475" s="23" t="s">
        <v>14</v>
      </c>
      <c r="K475" s="23" t="s">
        <v>13</v>
      </c>
      <c r="L475" s="32">
        <v>46204.534741388889</v>
      </c>
      <c r="M475" s="23"/>
    </row>
    <row r="476" spans="1:13" ht="75" customHeight="1" thickTop="1" thickBot="1">
      <c r="A476" s="23">
        <v>474</v>
      </c>
      <c r="B476" s="32">
        <v>46204.528621701298</v>
      </c>
      <c r="C476" s="33" t="s">
        <v>97</v>
      </c>
      <c r="D476" s="33" t="s">
        <v>395</v>
      </c>
      <c r="E476" s="23" t="s">
        <v>99</v>
      </c>
      <c r="F476" s="23" t="s">
        <v>102</v>
      </c>
      <c r="G476" s="23" t="s">
        <v>127</v>
      </c>
      <c r="H476" s="23" t="s">
        <v>568</v>
      </c>
      <c r="I476" s="23"/>
      <c r="J476" s="23" t="s">
        <v>16</v>
      </c>
      <c r="K476" s="23" t="s">
        <v>13</v>
      </c>
      <c r="L476" s="32">
        <v>46204.534700092598</v>
      </c>
      <c r="M476" s="23"/>
    </row>
    <row r="477" spans="1:13" ht="75" customHeight="1" thickTop="1" thickBot="1">
      <c r="A477" s="25">
        <v>475</v>
      </c>
      <c r="B477" s="32">
        <v>46204.529186550899</v>
      </c>
      <c r="C477" s="33" t="s">
        <v>97</v>
      </c>
      <c r="D477" s="33" t="s">
        <v>395</v>
      </c>
      <c r="E477" s="23" t="s">
        <v>99</v>
      </c>
      <c r="F477" s="23" t="s">
        <v>157</v>
      </c>
      <c r="G477" s="23" t="s">
        <v>105</v>
      </c>
      <c r="H477" s="23" t="s">
        <v>187</v>
      </c>
      <c r="I477" s="23"/>
      <c r="J477" s="23" t="s">
        <v>16</v>
      </c>
      <c r="K477" s="23" t="s">
        <v>13</v>
      </c>
      <c r="L477" s="32">
        <v>46204.534677719908</v>
      </c>
      <c r="M477" s="23"/>
    </row>
    <row r="478" spans="1:13" ht="75" customHeight="1" thickTop="1" thickBot="1">
      <c r="A478" s="23">
        <v>476</v>
      </c>
      <c r="B478" s="32">
        <v>46204.530006793902</v>
      </c>
      <c r="C478" s="33" t="s">
        <v>97</v>
      </c>
      <c r="D478" s="33" t="s">
        <v>395</v>
      </c>
      <c r="E478" s="23" t="s">
        <v>99</v>
      </c>
      <c r="F478" s="23" t="s">
        <v>102</v>
      </c>
      <c r="G478" s="23" t="s">
        <v>108</v>
      </c>
      <c r="H478" s="23" t="s">
        <v>569</v>
      </c>
      <c r="I478" s="23"/>
      <c r="J478" s="23" t="s">
        <v>16</v>
      </c>
      <c r="K478" s="23" t="s">
        <v>13</v>
      </c>
      <c r="L478" s="32">
        <v>46204.53467090278</v>
      </c>
      <c r="M478" s="23"/>
    </row>
    <row r="479" spans="1:13" ht="75" customHeight="1" thickTop="1" thickBot="1">
      <c r="A479" s="25">
        <v>477</v>
      </c>
      <c r="B479" s="32">
        <v>46204.530122581004</v>
      </c>
      <c r="C479" s="33" t="s">
        <v>97</v>
      </c>
      <c r="D479" s="33" t="s">
        <v>272</v>
      </c>
      <c r="E479" s="23" t="s">
        <v>99</v>
      </c>
      <c r="F479" s="23" t="s">
        <v>102</v>
      </c>
      <c r="G479" s="23" t="s">
        <v>108</v>
      </c>
      <c r="H479" s="23" t="s">
        <v>1154</v>
      </c>
      <c r="I479" s="23"/>
      <c r="J479" s="23" t="s">
        <v>14</v>
      </c>
      <c r="K479" s="23" t="s">
        <v>13</v>
      </c>
      <c r="L479" s="32">
        <v>46204.53461412037</v>
      </c>
      <c r="M479" s="23"/>
    </row>
    <row r="480" spans="1:13" ht="75" customHeight="1" thickTop="1" thickBot="1">
      <c r="A480" s="23">
        <v>478</v>
      </c>
      <c r="B480" s="32">
        <v>46204.530460624897</v>
      </c>
      <c r="C480" s="33" t="s">
        <v>97</v>
      </c>
      <c r="D480" s="33" t="s">
        <v>272</v>
      </c>
      <c r="E480" s="23" t="s">
        <v>99</v>
      </c>
      <c r="F480" s="23" t="s">
        <v>100</v>
      </c>
      <c r="G480" s="23" t="s">
        <v>110</v>
      </c>
      <c r="H480" s="23" t="s">
        <v>570</v>
      </c>
      <c r="I480" s="23"/>
      <c r="J480" s="23" t="s">
        <v>14</v>
      </c>
      <c r="K480" s="23" t="s">
        <v>13</v>
      </c>
      <c r="L480" s="32">
        <v>46204.534400405093</v>
      </c>
      <c r="M480" s="23"/>
    </row>
    <row r="481" spans="1:13" ht="75" customHeight="1" thickTop="1" thickBot="1">
      <c r="A481" s="25">
        <v>479</v>
      </c>
      <c r="B481" s="32">
        <v>46204.530510798599</v>
      </c>
      <c r="C481" s="33" t="s">
        <v>97</v>
      </c>
      <c r="D481" s="33" t="s">
        <v>395</v>
      </c>
      <c r="E481" s="23" t="s">
        <v>99</v>
      </c>
      <c r="F481" s="23" t="s">
        <v>102</v>
      </c>
      <c r="G481" s="23" t="s">
        <v>104</v>
      </c>
      <c r="H481" s="23" t="s">
        <v>571</v>
      </c>
      <c r="I481" s="23"/>
      <c r="J481" s="23" t="s">
        <v>16</v>
      </c>
      <c r="K481" s="23" t="s">
        <v>13</v>
      </c>
      <c r="L481" s="32">
        <v>46204.534366990745</v>
      </c>
      <c r="M481" s="23"/>
    </row>
    <row r="482" spans="1:13" ht="75" customHeight="1" thickTop="1" thickBot="1">
      <c r="A482" s="23">
        <v>480</v>
      </c>
      <c r="B482" s="32">
        <v>46204.530812442099</v>
      </c>
      <c r="C482" s="33" t="s">
        <v>97</v>
      </c>
      <c r="D482" s="33" t="s">
        <v>272</v>
      </c>
      <c r="E482" s="23" t="s">
        <v>99</v>
      </c>
      <c r="F482" s="23" t="s">
        <v>116</v>
      </c>
      <c r="G482" s="23" t="s">
        <v>106</v>
      </c>
      <c r="H482" s="23" t="s">
        <v>1155</v>
      </c>
      <c r="I482" s="23"/>
      <c r="J482" s="23" t="s">
        <v>14</v>
      </c>
      <c r="K482" s="23" t="s">
        <v>13</v>
      </c>
      <c r="L482" s="32">
        <v>46204.5343478125</v>
      </c>
      <c r="M482" s="23"/>
    </row>
    <row r="483" spans="1:13" ht="75" customHeight="1" thickTop="1" thickBot="1">
      <c r="A483" s="25">
        <v>481</v>
      </c>
      <c r="B483" s="32">
        <v>46204.531297569403</v>
      </c>
      <c r="C483" s="33" t="s">
        <v>97</v>
      </c>
      <c r="D483" s="33" t="s">
        <v>272</v>
      </c>
      <c r="E483" s="23" t="s">
        <v>99</v>
      </c>
      <c r="F483" s="23" t="s">
        <v>126</v>
      </c>
      <c r="G483" s="23" t="s">
        <v>572</v>
      </c>
      <c r="H483" s="23" t="s">
        <v>1156</v>
      </c>
      <c r="I483" s="23"/>
      <c r="J483" s="23" t="s">
        <v>14</v>
      </c>
      <c r="K483" s="23" t="s">
        <v>13</v>
      </c>
      <c r="L483" s="32">
        <v>46204.5342556713</v>
      </c>
      <c r="M483" s="23"/>
    </row>
    <row r="484" spans="1:13" ht="75" customHeight="1" thickTop="1" thickBot="1">
      <c r="A484" s="23">
        <v>482</v>
      </c>
      <c r="B484" s="32">
        <v>46204.531478703699</v>
      </c>
      <c r="C484" s="33" t="s">
        <v>97</v>
      </c>
      <c r="D484" s="33" t="s">
        <v>395</v>
      </c>
      <c r="E484" s="23" t="s">
        <v>99</v>
      </c>
      <c r="F484" s="23" t="s">
        <v>116</v>
      </c>
      <c r="G484" s="23" t="s">
        <v>168</v>
      </c>
      <c r="H484" s="23" t="s">
        <v>573</v>
      </c>
      <c r="I484" s="23"/>
      <c r="J484" s="23" t="s">
        <v>16</v>
      </c>
      <c r="K484" s="23" t="s">
        <v>13</v>
      </c>
      <c r="L484" s="32">
        <v>46204.534120682874</v>
      </c>
      <c r="M484" s="23"/>
    </row>
    <row r="485" spans="1:13" ht="75" customHeight="1" thickTop="1" thickBot="1">
      <c r="A485" s="25">
        <v>483</v>
      </c>
      <c r="B485" s="32">
        <v>46204.531647847201</v>
      </c>
      <c r="C485" s="33" t="s">
        <v>97</v>
      </c>
      <c r="D485" s="33" t="s">
        <v>272</v>
      </c>
      <c r="E485" s="23" t="s">
        <v>99</v>
      </c>
      <c r="F485" s="23" t="s">
        <v>100</v>
      </c>
      <c r="G485" s="23" t="s">
        <v>152</v>
      </c>
      <c r="H485" s="23" t="s">
        <v>1157</v>
      </c>
      <c r="I485" s="23"/>
      <c r="J485" s="23" t="s">
        <v>14</v>
      </c>
      <c r="K485" s="23" t="s">
        <v>13</v>
      </c>
      <c r="L485" s="32">
        <v>46204.534092731483</v>
      </c>
      <c r="M485" s="23"/>
    </row>
    <row r="486" spans="1:13" ht="75" customHeight="1" thickTop="1" thickBot="1">
      <c r="A486" s="23">
        <v>484</v>
      </c>
      <c r="B486" s="32">
        <v>46204.531716493002</v>
      </c>
      <c r="C486" s="33" t="s">
        <v>97</v>
      </c>
      <c r="D486" s="33" t="s">
        <v>546</v>
      </c>
      <c r="E486" s="23" t="s">
        <v>99</v>
      </c>
      <c r="F486" s="23" t="s">
        <v>126</v>
      </c>
      <c r="G486" s="23" t="s">
        <v>168</v>
      </c>
      <c r="H486" s="23" t="s">
        <v>574</v>
      </c>
      <c r="I486" s="23"/>
      <c r="J486" s="23" t="s">
        <v>12</v>
      </c>
      <c r="K486" s="23" t="s">
        <v>13</v>
      </c>
      <c r="L486" s="32">
        <v>46204.534039270831</v>
      </c>
      <c r="M486" s="23"/>
    </row>
    <row r="487" spans="1:13" ht="75" customHeight="1" thickTop="1" thickBot="1">
      <c r="A487" s="25">
        <v>485</v>
      </c>
      <c r="B487" s="32">
        <v>46204.531934548599</v>
      </c>
      <c r="C487" s="33" t="s">
        <v>97</v>
      </c>
      <c r="D487" s="33" t="s">
        <v>272</v>
      </c>
      <c r="E487" s="23" t="s">
        <v>99</v>
      </c>
      <c r="F487" s="23" t="s">
        <v>100</v>
      </c>
      <c r="G487" s="23" t="s">
        <v>168</v>
      </c>
      <c r="H487" s="23" t="s">
        <v>1158</v>
      </c>
      <c r="I487" s="23"/>
      <c r="J487" s="23" t="s">
        <v>14</v>
      </c>
      <c r="K487" s="23" t="s">
        <v>13</v>
      </c>
      <c r="L487" s="32">
        <v>46204.533957025458</v>
      </c>
      <c r="M487" s="23"/>
    </row>
    <row r="488" spans="1:13" ht="75" customHeight="1" thickTop="1" thickBot="1">
      <c r="A488" s="23">
        <v>486</v>
      </c>
      <c r="B488" s="32">
        <v>46204.532195567102</v>
      </c>
      <c r="C488" s="33" t="s">
        <v>97</v>
      </c>
      <c r="D488" s="33" t="s">
        <v>395</v>
      </c>
      <c r="E488" s="23" t="s">
        <v>99</v>
      </c>
      <c r="F488" s="23" t="s">
        <v>102</v>
      </c>
      <c r="G488" s="23" t="s">
        <v>575</v>
      </c>
      <c r="H488" s="23" t="s">
        <v>576</v>
      </c>
      <c r="I488" s="23"/>
      <c r="J488" s="23" t="s">
        <v>16</v>
      </c>
      <c r="K488" s="23" t="s">
        <v>13</v>
      </c>
      <c r="L488" s="32">
        <v>46204.533901388888</v>
      </c>
      <c r="M488" s="23"/>
    </row>
    <row r="489" spans="1:13" ht="75" customHeight="1" thickTop="1" thickBot="1">
      <c r="A489" s="25">
        <v>487</v>
      </c>
      <c r="B489" s="32">
        <v>46204.532253067096</v>
      </c>
      <c r="C489" s="33" t="s">
        <v>97</v>
      </c>
      <c r="D489" s="33" t="s">
        <v>546</v>
      </c>
      <c r="E489" s="23" t="s">
        <v>99</v>
      </c>
      <c r="F489" s="23" t="s">
        <v>543</v>
      </c>
      <c r="G489" s="23" t="s">
        <v>101</v>
      </c>
      <c r="H489" s="23" t="s">
        <v>577</v>
      </c>
      <c r="I489" s="23"/>
      <c r="J489" s="23" t="s">
        <v>12</v>
      </c>
      <c r="K489" s="23" t="s">
        <v>13</v>
      </c>
      <c r="L489" s="32">
        <v>46204.533860370371</v>
      </c>
      <c r="M489" s="23"/>
    </row>
    <row r="490" spans="1:13" ht="75" customHeight="1" thickTop="1" thickBot="1">
      <c r="A490" s="23">
        <v>488</v>
      </c>
      <c r="B490" s="32">
        <v>46204.532342407401</v>
      </c>
      <c r="C490" s="33" t="s">
        <v>97</v>
      </c>
      <c r="D490" s="33" t="s">
        <v>272</v>
      </c>
      <c r="E490" s="23" t="s">
        <v>99</v>
      </c>
      <c r="F490" s="23" t="s">
        <v>100</v>
      </c>
      <c r="G490" s="23" t="s">
        <v>152</v>
      </c>
      <c r="H490" s="23" t="s">
        <v>1159</v>
      </c>
      <c r="I490" s="23"/>
      <c r="J490" s="23" t="s">
        <v>14</v>
      </c>
      <c r="K490" s="23" t="s">
        <v>13</v>
      </c>
      <c r="L490" s="32">
        <v>46204.533757442128</v>
      </c>
      <c r="M490" s="23"/>
    </row>
    <row r="491" spans="1:13" ht="75" customHeight="1" thickTop="1" thickBot="1">
      <c r="A491" s="25">
        <v>489</v>
      </c>
      <c r="B491" s="32">
        <v>46204.532698287003</v>
      </c>
      <c r="C491" s="33" t="s">
        <v>97</v>
      </c>
      <c r="D491" s="33" t="s">
        <v>546</v>
      </c>
      <c r="E491" s="23" t="s">
        <v>99</v>
      </c>
      <c r="F491" s="23" t="s">
        <v>461</v>
      </c>
      <c r="G491" s="23" t="s">
        <v>130</v>
      </c>
      <c r="H491" s="23" t="s">
        <v>578</v>
      </c>
      <c r="I491" s="23" t="s">
        <v>564</v>
      </c>
      <c r="J491" s="23" t="s">
        <v>12</v>
      </c>
      <c r="K491" s="23" t="s">
        <v>13</v>
      </c>
      <c r="L491" s="32">
        <v>46204.5337434838</v>
      </c>
      <c r="M491" s="23"/>
    </row>
    <row r="492" spans="1:13" ht="75" customHeight="1" thickTop="1" thickBot="1">
      <c r="A492" s="23">
        <v>490</v>
      </c>
      <c r="B492" s="32">
        <v>46204.532740972201</v>
      </c>
      <c r="C492" s="33" t="s">
        <v>97</v>
      </c>
      <c r="D492" s="33" t="s">
        <v>272</v>
      </c>
      <c r="E492" s="23" t="s">
        <v>99</v>
      </c>
      <c r="F492" s="23" t="s">
        <v>100</v>
      </c>
      <c r="G492" s="23" t="s">
        <v>168</v>
      </c>
      <c r="H492" s="23" t="s">
        <v>1160</v>
      </c>
      <c r="I492" s="23"/>
      <c r="J492" s="23" t="s">
        <v>14</v>
      </c>
      <c r="K492" s="23" t="s">
        <v>13</v>
      </c>
      <c r="L492" s="32">
        <v>46204.533694467595</v>
      </c>
      <c r="M492" s="23"/>
    </row>
    <row r="493" spans="1:13" ht="75" customHeight="1" thickTop="1" thickBot="1">
      <c r="A493" s="25">
        <v>491</v>
      </c>
      <c r="B493" s="32">
        <v>46204.5327598726</v>
      </c>
      <c r="C493" s="33" t="s">
        <v>97</v>
      </c>
      <c r="D493" s="33" t="s">
        <v>395</v>
      </c>
      <c r="E493" s="23" t="s">
        <v>99</v>
      </c>
      <c r="F493" s="23" t="s">
        <v>100</v>
      </c>
      <c r="G493" s="23" t="s">
        <v>106</v>
      </c>
      <c r="H493" s="23" t="s">
        <v>579</v>
      </c>
      <c r="I493" s="23"/>
      <c r="J493" s="23" t="s">
        <v>16</v>
      </c>
      <c r="K493" s="23" t="s">
        <v>13</v>
      </c>
      <c r="L493" s="32">
        <v>46204.533626724537</v>
      </c>
      <c r="M493" s="23"/>
    </row>
    <row r="494" spans="1:13" ht="75" customHeight="1" thickTop="1" thickBot="1">
      <c r="A494" s="23">
        <v>492</v>
      </c>
      <c r="B494" s="32">
        <v>46204.533172106399</v>
      </c>
      <c r="C494" s="33" t="s">
        <v>97</v>
      </c>
      <c r="D494" s="33" t="s">
        <v>272</v>
      </c>
      <c r="E494" s="23" t="s">
        <v>99</v>
      </c>
      <c r="F494" s="23" t="s">
        <v>100</v>
      </c>
      <c r="G494" s="23" t="s">
        <v>168</v>
      </c>
      <c r="H494" s="23" t="s">
        <v>1161</v>
      </c>
      <c r="I494" s="23"/>
      <c r="J494" s="23" t="s">
        <v>14</v>
      </c>
      <c r="K494" s="23" t="s">
        <v>13</v>
      </c>
      <c r="L494" s="32">
        <v>46204.533613506945</v>
      </c>
      <c r="M494" s="23"/>
    </row>
    <row r="495" spans="1:13" ht="75" customHeight="1" thickTop="1" thickBot="1">
      <c r="A495" s="25">
        <v>493</v>
      </c>
      <c r="B495" s="32">
        <v>46204.533501573998</v>
      </c>
      <c r="C495" s="33" t="s">
        <v>97</v>
      </c>
      <c r="D495" s="33" t="s">
        <v>272</v>
      </c>
      <c r="E495" s="23" t="s">
        <v>99</v>
      </c>
      <c r="F495" s="23" t="s">
        <v>100</v>
      </c>
      <c r="G495" s="23" t="s">
        <v>365</v>
      </c>
      <c r="H495" s="23" t="s">
        <v>580</v>
      </c>
      <c r="I495" s="23"/>
      <c r="J495" s="23" t="s">
        <v>14</v>
      </c>
      <c r="K495" s="23" t="s">
        <v>13</v>
      </c>
      <c r="L495" s="32">
        <v>46204.53639927083</v>
      </c>
      <c r="M495" s="23"/>
    </row>
    <row r="496" spans="1:13" ht="75" customHeight="1" thickTop="1" thickBot="1">
      <c r="A496" s="23">
        <v>494</v>
      </c>
      <c r="B496" s="32">
        <v>46204.533655821702</v>
      </c>
      <c r="C496" s="33" t="s">
        <v>97</v>
      </c>
      <c r="D496" s="33" t="s">
        <v>395</v>
      </c>
      <c r="E496" s="23" t="s">
        <v>99</v>
      </c>
      <c r="F496" s="23" t="s">
        <v>100</v>
      </c>
      <c r="G496" s="23" t="s">
        <v>106</v>
      </c>
      <c r="H496" s="23" t="s">
        <v>579</v>
      </c>
      <c r="I496" s="23"/>
      <c r="J496" s="23" t="s">
        <v>16</v>
      </c>
      <c r="K496" s="23" t="s">
        <v>13</v>
      </c>
      <c r="L496" s="32">
        <v>46204.536379675927</v>
      </c>
      <c r="M496" s="23"/>
    </row>
    <row r="497" spans="1:13" ht="75" customHeight="1" thickTop="1" thickBot="1">
      <c r="A497" s="25">
        <v>495</v>
      </c>
      <c r="B497" s="32">
        <v>46204.533853136498</v>
      </c>
      <c r="C497" s="33" t="s">
        <v>97</v>
      </c>
      <c r="D497" s="33" t="s">
        <v>272</v>
      </c>
      <c r="E497" s="23" t="s">
        <v>99</v>
      </c>
      <c r="F497" s="23" t="s">
        <v>159</v>
      </c>
      <c r="G497" s="23" t="s">
        <v>981</v>
      </c>
      <c r="H497" s="23" t="s">
        <v>1162</v>
      </c>
      <c r="I497" s="23"/>
      <c r="J497" s="23" t="s">
        <v>14</v>
      </c>
      <c r="K497" s="23" t="s">
        <v>13</v>
      </c>
      <c r="L497" s="32">
        <v>46204.536382662038</v>
      </c>
      <c r="M497" s="23"/>
    </row>
    <row r="498" spans="1:13" ht="75" customHeight="1" thickTop="1" thickBot="1">
      <c r="A498" s="23">
        <v>496</v>
      </c>
      <c r="B498" s="32">
        <v>46204.533930219899</v>
      </c>
      <c r="C498" s="33" t="s">
        <v>97</v>
      </c>
      <c r="D498" s="33" t="s">
        <v>546</v>
      </c>
      <c r="E498" s="23" t="s">
        <v>99</v>
      </c>
      <c r="F498" s="23" t="s">
        <v>116</v>
      </c>
      <c r="G498" s="23" t="s">
        <v>457</v>
      </c>
      <c r="H498" s="23" t="s">
        <v>581</v>
      </c>
      <c r="I498" s="23"/>
      <c r="J498" s="23" t="s">
        <v>12</v>
      </c>
      <c r="K498" s="23" t="s">
        <v>13</v>
      </c>
      <c r="L498" s="32">
        <v>46204.536269687502</v>
      </c>
      <c r="M498" s="23"/>
    </row>
    <row r="499" spans="1:13" ht="75" customHeight="1" thickTop="1" thickBot="1">
      <c r="A499" s="25">
        <v>497</v>
      </c>
      <c r="B499" s="32">
        <v>46204.534107974498</v>
      </c>
      <c r="C499" s="33" t="s">
        <v>97</v>
      </c>
      <c r="D499" s="33" t="s">
        <v>272</v>
      </c>
      <c r="E499" s="23" t="s">
        <v>99</v>
      </c>
      <c r="F499" s="23" t="s">
        <v>116</v>
      </c>
      <c r="G499" s="23" t="s">
        <v>180</v>
      </c>
      <c r="H499" s="23" t="s">
        <v>1163</v>
      </c>
      <c r="I499" s="23"/>
      <c r="J499" s="23" t="s">
        <v>14</v>
      </c>
      <c r="K499" s="23" t="s">
        <v>13</v>
      </c>
      <c r="L499" s="32">
        <v>46204.53622011574</v>
      </c>
      <c r="M499" s="23"/>
    </row>
    <row r="500" spans="1:13" ht="75" customHeight="1" thickTop="1" thickBot="1">
      <c r="A500" s="23">
        <v>498</v>
      </c>
      <c r="B500" s="32">
        <v>46204.534171261497</v>
      </c>
      <c r="C500" s="33" t="s">
        <v>97</v>
      </c>
      <c r="D500" s="33" t="s">
        <v>395</v>
      </c>
      <c r="E500" s="23" t="s">
        <v>99</v>
      </c>
      <c r="F500" s="23" t="s">
        <v>102</v>
      </c>
      <c r="G500" s="23" t="s">
        <v>103</v>
      </c>
      <c r="H500" s="23" t="s">
        <v>209</v>
      </c>
      <c r="I500" s="23"/>
      <c r="J500" s="23" t="s">
        <v>16</v>
      </c>
      <c r="K500" s="23" t="s">
        <v>13</v>
      </c>
      <c r="L500" s="32">
        <v>46204.536205821758</v>
      </c>
      <c r="M500" s="23"/>
    </row>
    <row r="501" spans="1:13" ht="75" customHeight="1" thickTop="1" thickBot="1">
      <c r="A501" s="25">
        <v>499</v>
      </c>
      <c r="B501" s="32">
        <v>46204.534445844904</v>
      </c>
      <c r="C501" s="33" t="s">
        <v>97</v>
      </c>
      <c r="D501" s="33" t="s">
        <v>272</v>
      </c>
      <c r="E501" s="23" t="s">
        <v>99</v>
      </c>
      <c r="F501" s="23" t="s">
        <v>116</v>
      </c>
      <c r="G501" s="23" t="s">
        <v>180</v>
      </c>
      <c r="H501" s="23" t="s">
        <v>582</v>
      </c>
      <c r="I501" s="23"/>
      <c r="J501" s="23" t="s">
        <v>14</v>
      </c>
      <c r="K501" s="23" t="s">
        <v>13</v>
      </c>
      <c r="L501" s="32">
        <v>46204.536154837959</v>
      </c>
      <c r="M501" s="23"/>
    </row>
    <row r="502" spans="1:13" ht="75" customHeight="1" thickTop="1" thickBot="1">
      <c r="A502" s="23">
        <v>500</v>
      </c>
      <c r="B502" s="32">
        <v>46204.534582928201</v>
      </c>
      <c r="C502" s="33" t="s">
        <v>97</v>
      </c>
      <c r="D502" s="33" t="s">
        <v>546</v>
      </c>
      <c r="E502" s="23" t="s">
        <v>99</v>
      </c>
      <c r="F502" s="23" t="s">
        <v>116</v>
      </c>
      <c r="G502" s="23" t="s">
        <v>106</v>
      </c>
      <c r="H502" s="23" t="s">
        <v>583</v>
      </c>
      <c r="I502" s="23"/>
      <c r="J502" s="23" t="s">
        <v>12</v>
      </c>
      <c r="K502" s="23" t="s">
        <v>13</v>
      </c>
      <c r="L502" s="32">
        <v>46204.536105289357</v>
      </c>
      <c r="M502" s="23"/>
    </row>
    <row r="503" spans="1:13" ht="75" customHeight="1" thickTop="1" thickBot="1">
      <c r="A503" s="25">
        <v>501</v>
      </c>
      <c r="B503" s="32">
        <v>46204.534754722197</v>
      </c>
      <c r="C503" s="33" t="s">
        <v>97</v>
      </c>
      <c r="D503" s="33" t="s">
        <v>272</v>
      </c>
      <c r="E503" s="23" t="s">
        <v>99</v>
      </c>
      <c r="F503" s="23" t="s">
        <v>116</v>
      </c>
      <c r="G503" s="23" t="s">
        <v>108</v>
      </c>
      <c r="H503" s="23" t="s">
        <v>584</v>
      </c>
      <c r="I503" s="23"/>
      <c r="J503" s="23" t="s">
        <v>14</v>
      </c>
      <c r="K503" s="23" t="s">
        <v>13</v>
      </c>
      <c r="L503" s="32">
        <v>46204.536063252315</v>
      </c>
      <c r="M503" s="23"/>
    </row>
    <row r="504" spans="1:13" ht="75" customHeight="1" thickTop="1" thickBot="1">
      <c r="A504" s="23">
        <v>502</v>
      </c>
      <c r="B504" s="32">
        <v>46204.534937037002</v>
      </c>
      <c r="C504" s="33" t="s">
        <v>97</v>
      </c>
      <c r="D504" s="33" t="s">
        <v>395</v>
      </c>
      <c r="E504" s="23" t="s">
        <v>99</v>
      </c>
      <c r="F504" s="23" t="s">
        <v>100</v>
      </c>
      <c r="G504" s="23" t="s">
        <v>108</v>
      </c>
      <c r="H504" s="23" t="s">
        <v>1068</v>
      </c>
      <c r="I504" s="23"/>
      <c r="J504" s="23" t="s">
        <v>16</v>
      </c>
      <c r="K504" s="23" t="s">
        <v>13</v>
      </c>
      <c r="L504" s="32">
        <v>46204.536026562499</v>
      </c>
      <c r="M504" s="23"/>
    </row>
    <row r="505" spans="1:13" ht="75" customHeight="1" thickTop="1" thickBot="1">
      <c r="A505" s="25">
        <v>503</v>
      </c>
      <c r="B505" s="32">
        <v>46204.535266122599</v>
      </c>
      <c r="C505" s="33" t="s">
        <v>97</v>
      </c>
      <c r="D505" s="33" t="s">
        <v>272</v>
      </c>
      <c r="E505" s="23" t="s">
        <v>99</v>
      </c>
      <c r="F505" s="23" t="s">
        <v>100</v>
      </c>
      <c r="G505" s="23" t="s">
        <v>152</v>
      </c>
      <c r="H505" s="23" t="s">
        <v>585</v>
      </c>
      <c r="I505" s="23"/>
      <c r="J505" s="23" t="s">
        <v>14</v>
      </c>
      <c r="K505" s="23" t="s">
        <v>13</v>
      </c>
      <c r="L505" s="32">
        <v>46204.535991469907</v>
      </c>
      <c r="M505" s="23"/>
    </row>
    <row r="506" spans="1:13" ht="75" customHeight="1" thickTop="1" thickBot="1">
      <c r="A506" s="23">
        <v>504</v>
      </c>
      <c r="B506" s="32">
        <v>46204.535566111103</v>
      </c>
      <c r="C506" s="33" t="s">
        <v>97</v>
      </c>
      <c r="D506" s="33" t="s">
        <v>395</v>
      </c>
      <c r="E506" s="23" t="s">
        <v>99</v>
      </c>
      <c r="F506" s="23" t="s">
        <v>116</v>
      </c>
      <c r="G506" s="23" t="s">
        <v>152</v>
      </c>
      <c r="H506" s="23" t="s">
        <v>208</v>
      </c>
      <c r="I506" s="23"/>
      <c r="J506" s="23" t="s">
        <v>16</v>
      </c>
      <c r="K506" s="23" t="s">
        <v>13</v>
      </c>
      <c r="L506" s="32">
        <v>46204.535928171295</v>
      </c>
      <c r="M506" s="23"/>
    </row>
    <row r="507" spans="1:13" ht="75" customHeight="1" thickTop="1" thickBot="1">
      <c r="A507" s="25">
        <v>505</v>
      </c>
      <c r="B507" s="32">
        <v>46204.5355667939</v>
      </c>
      <c r="C507" s="33" t="s">
        <v>97</v>
      </c>
      <c r="D507" s="33" t="s">
        <v>546</v>
      </c>
      <c r="E507" s="23" t="s">
        <v>99</v>
      </c>
      <c r="F507" s="23" t="s">
        <v>102</v>
      </c>
      <c r="G507" s="23" t="s">
        <v>130</v>
      </c>
      <c r="H507" s="23" t="s">
        <v>586</v>
      </c>
      <c r="I507" s="23"/>
      <c r="J507" s="23" t="s">
        <v>14</v>
      </c>
      <c r="K507" s="23" t="s">
        <v>13</v>
      </c>
      <c r="L507" s="32">
        <v>46204.5358853125</v>
      </c>
      <c r="M507" s="23"/>
    </row>
    <row r="508" spans="1:13" ht="75" customHeight="1" thickTop="1" thickBot="1">
      <c r="A508" s="23">
        <v>506</v>
      </c>
      <c r="B508" s="32">
        <v>46204.535696573999</v>
      </c>
      <c r="C508" s="33" t="s">
        <v>97</v>
      </c>
      <c r="D508" s="33" t="s">
        <v>272</v>
      </c>
      <c r="E508" s="23" t="s">
        <v>99</v>
      </c>
      <c r="F508" s="23" t="s">
        <v>102</v>
      </c>
      <c r="G508" s="23" t="s">
        <v>168</v>
      </c>
      <c r="H508" s="23" t="s">
        <v>587</v>
      </c>
      <c r="I508" s="23"/>
      <c r="J508" s="23" t="s">
        <v>14</v>
      </c>
      <c r="K508" s="23" t="s">
        <v>13</v>
      </c>
      <c r="L508" s="32">
        <v>46204.535808148154</v>
      </c>
      <c r="M508" s="23"/>
    </row>
    <row r="509" spans="1:13" ht="75" customHeight="1" thickTop="1" thickBot="1">
      <c r="A509" s="25">
        <v>507</v>
      </c>
      <c r="B509" s="32">
        <v>46204.536016539299</v>
      </c>
      <c r="C509" s="33" t="s">
        <v>97</v>
      </c>
      <c r="D509" s="33" t="s">
        <v>546</v>
      </c>
      <c r="E509" s="23" t="s">
        <v>99</v>
      </c>
      <c r="F509" s="23" t="s">
        <v>100</v>
      </c>
      <c r="G509" s="23" t="s">
        <v>110</v>
      </c>
      <c r="H509" s="23" t="s">
        <v>588</v>
      </c>
      <c r="I509" s="23"/>
      <c r="J509" s="23" t="s">
        <v>12</v>
      </c>
      <c r="K509" s="23" t="s">
        <v>13</v>
      </c>
      <c r="L509" s="32">
        <v>46204.53649353009</v>
      </c>
      <c r="M509" s="23"/>
    </row>
    <row r="510" spans="1:13" ht="75" customHeight="1" thickTop="1" thickBot="1">
      <c r="A510" s="23">
        <v>508</v>
      </c>
      <c r="B510" s="32">
        <v>46204.536021134198</v>
      </c>
      <c r="C510" s="33" t="s">
        <v>97</v>
      </c>
      <c r="D510" s="33" t="s">
        <v>272</v>
      </c>
      <c r="E510" s="23" t="s">
        <v>99</v>
      </c>
      <c r="F510" s="23" t="s">
        <v>100</v>
      </c>
      <c r="G510" s="23" t="s">
        <v>152</v>
      </c>
      <c r="H510" s="23" t="s">
        <v>589</v>
      </c>
      <c r="I510" s="23"/>
      <c r="J510" s="23" t="s">
        <v>14</v>
      </c>
      <c r="K510" s="23" t="s">
        <v>13</v>
      </c>
      <c r="L510" s="32">
        <v>46204.536570949072</v>
      </c>
      <c r="M510" s="23"/>
    </row>
    <row r="511" spans="1:13" ht="75" customHeight="1" thickTop="1" thickBot="1">
      <c r="A511" s="25">
        <v>509</v>
      </c>
      <c r="B511" s="32">
        <v>46204.536035833298</v>
      </c>
      <c r="C511" s="33" t="s">
        <v>97</v>
      </c>
      <c r="D511" s="33" t="s">
        <v>395</v>
      </c>
      <c r="E511" s="23" t="s">
        <v>99</v>
      </c>
      <c r="F511" s="23" t="s">
        <v>116</v>
      </c>
      <c r="G511" s="23" t="s">
        <v>108</v>
      </c>
      <c r="H511" s="23" t="s">
        <v>207</v>
      </c>
      <c r="I511" s="23"/>
      <c r="J511" s="23" t="s">
        <v>16</v>
      </c>
      <c r="K511" s="23" t="s">
        <v>13</v>
      </c>
      <c r="L511" s="32">
        <v>46204.536596747683</v>
      </c>
      <c r="M511" s="23"/>
    </row>
    <row r="512" spans="1:13" ht="75" customHeight="1" thickTop="1" thickBot="1">
      <c r="A512" s="23">
        <v>510</v>
      </c>
      <c r="B512" s="32">
        <v>46204.536461655</v>
      </c>
      <c r="C512" s="33" t="s">
        <v>97</v>
      </c>
      <c r="D512" s="33" t="s">
        <v>272</v>
      </c>
      <c r="E512" s="23" t="s">
        <v>99</v>
      </c>
      <c r="F512" s="23" t="s">
        <v>102</v>
      </c>
      <c r="G512" s="23" t="s">
        <v>104</v>
      </c>
      <c r="H512" s="23" t="s">
        <v>590</v>
      </c>
      <c r="I512" s="23"/>
      <c r="J512" s="23" t="s">
        <v>14</v>
      </c>
      <c r="K512" s="23" t="s">
        <v>13</v>
      </c>
      <c r="L512" s="32">
        <v>46204.536619317128</v>
      </c>
      <c r="M512" s="23"/>
    </row>
    <row r="513" spans="1:13" ht="75" customHeight="1" thickTop="1" thickBot="1">
      <c r="A513" s="25">
        <v>511</v>
      </c>
      <c r="B513" s="32">
        <v>46204.536561435103</v>
      </c>
      <c r="C513" s="33" t="s">
        <v>97</v>
      </c>
      <c r="D513" s="33" t="s">
        <v>395</v>
      </c>
      <c r="E513" s="23" t="s">
        <v>99</v>
      </c>
      <c r="F513" s="23" t="s">
        <v>116</v>
      </c>
      <c r="G513" s="23" t="s">
        <v>108</v>
      </c>
      <c r="H513" s="23" t="s">
        <v>205</v>
      </c>
      <c r="I513" s="23"/>
      <c r="J513" s="23" t="s">
        <v>16</v>
      </c>
      <c r="K513" s="23" t="s">
        <v>13</v>
      </c>
      <c r="L513" s="32">
        <v>46204.536771701387</v>
      </c>
      <c r="M513" s="23"/>
    </row>
    <row r="514" spans="1:13" ht="75" customHeight="1" thickTop="1" thickBot="1">
      <c r="A514" s="23">
        <v>512</v>
      </c>
      <c r="B514" s="32">
        <v>46204.536748668899</v>
      </c>
      <c r="C514" s="33" t="s">
        <v>97</v>
      </c>
      <c r="D514" s="33" t="s">
        <v>546</v>
      </c>
      <c r="E514" s="23" t="s">
        <v>99</v>
      </c>
      <c r="F514" s="23" t="s">
        <v>102</v>
      </c>
      <c r="G514" s="23" t="s">
        <v>110</v>
      </c>
      <c r="H514" s="23" t="s">
        <v>591</v>
      </c>
      <c r="I514" s="23"/>
      <c r="J514" s="23" t="s">
        <v>12</v>
      </c>
      <c r="K514" s="23" t="s">
        <v>13</v>
      </c>
      <c r="L514" s="32">
        <v>46204.536837430554</v>
      </c>
      <c r="M514" s="23"/>
    </row>
    <row r="515" spans="1:13" ht="75" customHeight="1" thickTop="1" thickBot="1">
      <c r="A515" s="25">
        <v>513</v>
      </c>
      <c r="B515" s="32">
        <v>46204.536786805496</v>
      </c>
      <c r="C515" s="33" t="s">
        <v>97</v>
      </c>
      <c r="D515" s="33" t="s">
        <v>272</v>
      </c>
      <c r="E515" s="23" t="s">
        <v>99</v>
      </c>
      <c r="F515" s="23" t="s">
        <v>100</v>
      </c>
      <c r="G515" s="23" t="s">
        <v>981</v>
      </c>
      <c r="H515" s="23" t="s">
        <v>592</v>
      </c>
      <c r="I515" s="23"/>
      <c r="J515" s="23" t="s">
        <v>14</v>
      </c>
      <c r="K515" s="23" t="s">
        <v>13</v>
      </c>
      <c r="L515" s="32">
        <v>46204.536886041664</v>
      </c>
      <c r="M515" s="23"/>
    </row>
    <row r="516" spans="1:13" ht="75" customHeight="1" thickTop="1" thickBot="1">
      <c r="A516" s="23">
        <v>514</v>
      </c>
      <c r="B516" s="32">
        <v>46204.5369755555</v>
      </c>
      <c r="C516" s="33" t="s">
        <v>97</v>
      </c>
      <c r="D516" s="33" t="s">
        <v>395</v>
      </c>
      <c r="E516" s="23" t="s">
        <v>99</v>
      </c>
      <c r="F516" s="23" t="s">
        <v>116</v>
      </c>
      <c r="G516" s="23" t="s">
        <v>108</v>
      </c>
      <c r="H516" s="23" t="s">
        <v>204</v>
      </c>
      <c r="I516" s="23"/>
      <c r="J516" s="23" t="s">
        <v>16</v>
      </c>
      <c r="K516" s="23" t="s">
        <v>13</v>
      </c>
      <c r="L516" s="32">
        <v>46204.536979837962</v>
      </c>
      <c r="M516" s="23"/>
    </row>
    <row r="517" spans="1:13" ht="75" customHeight="1" thickTop="1" thickBot="1">
      <c r="A517" s="25">
        <v>515</v>
      </c>
      <c r="B517" s="32">
        <v>46204.537093368002</v>
      </c>
      <c r="C517" s="33" t="s">
        <v>97</v>
      </c>
      <c r="D517" s="33" t="s">
        <v>272</v>
      </c>
      <c r="E517" s="23" t="s">
        <v>99</v>
      </c>
      <c r="F517" s="23" t="s">
        <v>100</v>
      </c>
      <c r="G517" s="23" t="s">
        <v>168</v>
      </c>
      <c r="H517" s="23" t="s">
        <v>593</v>
      </c>
      <c r="I517" s="23"/>
      <c r="J517" s="23" t="s">
        <v>14</v>
      </c>
      <c r="K517" s="23" t="s">
        <v>13</v>
      </c>
      <c r="L517" s="32">
        <v>46204.537058194444</v>
      </c>
      <c r="M517" s="23"/>
    </row>
    <row r="518" spans="1:13" ht="75" customHeight="1" thickTop="1" thickBot="1">
      <c r="A518" s="23">
        <v>516</v>
      </c>
      <c r="B518" s="32">
        <v>46204.5372256712</v>
      </c>
      <c r="C518" s="33" t="s">
        <v>97</v>
      </c>
      <c r="D518" s="33" t="s">
        <v>546</v>
      </c>
      <c r="E518" s="23" t="s">
        <v>99</v>
      </c>
      <c r="F518" s="23" t="s">
        <v>126</v>
      </c>
      <c r="G518" s="23" t="s">
        <v>981</v>
      </c>
      <c r="H518" s="23" t="s">
        <v>594</v>
      </c>
      <c r="I518" s="23"/>
      <c r="J518" s="23" t="s">
        <v>12</v>
      </c>
      <c r="K518" s="23" t="s">
        <v>13</v>
      </c>
      <c r="L518" s="32">
        <v>46204.537073298612</v>
      </c>
      <c r="M518" s="23"/>
    </row>
    <row r="519" spans="1:13" ht="75" customHeight="1" thickTop="1" thickBot="1">
      <c r="A519" s="25">
        <v>517</v>
      </c>
      <c r="B519" s="32">
        <v>46204.537414305501</v>
      </c>
      <c r="C519" s="33" t="s">
        <v>97</v>
      </c>
      <c r="D519" s="33" t="s">
        <v>272</v>
      </c>
      <c r="E519" s="23" t="s">
        <v>99</v>
      </c>
      <c r="F519" s="23" t="s">
        <v>116</v>
      </c>
      <c r="G519" s="23" t="s">
        <v>108</v>
      </c>
      <c r="H519" s="23" t="s">
        <v>595</v>
      </c>
      <c r="I519" s="23"/>
      <c r="J519" s="23" t="s">
        <v>14</v>
      </c>
      <c r="K519" s="23" t="s">
        <v>13</v>
      </c>
      <c r="L519" s="32">
        <v>46204.537119791668</v>
      </c>
      <c r="M519" s="23"/>
    </row>
    <row r="520" spans="1:13" ht="75" customHeight="1" thickTop="1" thickBot="1">
      <c r="A520" s="23">
        <v>518</v>
      </c>
      <c r="B520" s="32">
        <v>46204.5376713773</v>
      </c>
      <c r="C520" s="33" t="s">
        <v>97</v>
      </c>
      <c r="D520" s="33" t="s">
        <v>395</v>
      </c>
      <c r="E520" s="23" t="s">
        <v>99</v>
      </c>
      <c r="F520" s="23" t="s">
        <v>116</v>
      </c>
      <c r="G520" s="23" t="s">
        <v>124</v>
      </c>
      <c r="H520" s="23" t="s">
        <v>203</v>
      </c>
      <c r="I520" s="23"/>
      <c r="J520" s="23" t="s">
        <v>16</v>
      </c>
      <c r="K520" s="23" t="s">
        <v>13</v>
      </c>
      <c r="L520" s="32">
        <v>46204.537191469906</v>
      </c>
      <c r="M520" s="23"/>
    </row>
    <row r="521" spans="1:13" ht="75" customHeight="1" thickTop="1" thickBot="1">
      <c r="A521" s="25">
        <v>519</v>
      </c>
      <c r="B521" s="32">
        <v>46204.537891134198</v>
      </c>
      <c r="C521" s="33" t="s">
        <v>97</v>
      </c>
      <c r="D521" s="33" t="s">
        <v>546</v>
      </c>
      <c r="E521" s="23" t="s">
        <v>99</v>
      </c>
      <c r="F521" s="23" t="s">
        <v>126</v>
      </c>
      <c r="G521" s="23" t="s">
        <v>106</v>
      </c>
      <c r="H521" s="23" t="s">
        <v>596</v>
      </c>
      <c r="I521" s="23"/>
      <c r="J521" s="23" t="s">
        <v>12</v>
      </c>
      <c r="K521" s="23" t="s">
        <v>13</v>
      </c>
      <c r="L521" s="32">
        <v>46204.537228900459</v>
      </c>
      <c r="M521" s="23"/>
    </row>
    <row r="522" spans="1:13" ht="75" customHeight="1" thickTop="1" thickBot="1">
      <c r="A522" s="23">
        <v>520</v>
      </c>
      <c r="B522" s="32">
        <v>46204.537913205997</v>
      </c>
      <c r="C522" s="33" t="s">
        <v>97</v>
      </c>
      <c r="D522" s="33" t="s">
        <v>272</v>
      </c>
      <c r="E522" s="23" t="s">
        <v>99</v>
      </c>
      <c r="F522" s="23" t="s">
        <v>157</v>
      </c>
      <c r="G522" s="23" t="s">
        <v>597</v>
      </c>
      <c r="H522" s="23" t="s">
        <v>598</v>
      </c>
      <c r="I522" s="23"/>
      <c r="J522" s="23" t="s">
        <v>14</v>
      </c>
      <c r="K522" s="23" t="s">
        <v>13</v>
      </c>
      <c r="L522" s="32">
        <v>46204.537253148148</v>
      </c>
      <c r="M522" s="23"/>
    </row>
    <row r="523" spans="1:13" ht="75" customHeight="1" thickTop="1" thickBot="1">
      <c r="A523" s="25">
        <v>521</v>
      </c>
      <c r="B523" s="32">
        <v>46204.538255011503</v>
      </c>
      <c r="C523" s="33" t="s">
        <v>97</v>
      </c>
      <c r="D523" s="33" t="s">
        <v>272</v>
      </c>
      <c r="E523" s="23" t="s">
        <v>99</v>
      </c>
      <c r="F523" s="23" t="s">
        <v>100</v>
      </c>
      <c r="G523" s="23" t="s">
        <v>599</v>
      </c>
      <c r="H523" s="23" t="s">
        <v>600</v>
      </c>
      <c r="I523" s="23"/>
      <c r="J523" s="23" t="s">
        <v>14</v>
      </c>
      <c r="K523" s="23" t="s">
        <v>13</v>
      </c>
      <c r="L523" s="32">
        <v>46204.537302141209</v>
      </c>
      <c r="M523" s="23"/>
    </row>
    <row r="524" spans="1:13" ht="75" customHeight="1" thickTop="1" thickBot="1">
      <c r="A524" s="23">
        <v>522</v>
      </c>
      <c r="B524" s="32">
        <v>46204.538496562498</v>
      </c>
      <c r="C524" s="33" t="s">
        <v>97</v>
      </c>
      <c r="D524" s="33" t="s">
        <v>546</v>
      </c>
      <c r="E524" s="23" t="s">
        <v>99</v>
      </c>
      <c r="F524" s="23" t="s">
        <v>126</v>
      </c>
      <c r="G524" s="23" t="s">
        <v>110</v>
      </c>
      <c r="H524" s="23" t="s">
        <v>601</v>
      </c>
      <c r="I524" s="23"/>
      <c r="J524" s="23" t="s">
        <v>12</v>
      </c>
      <c r="K524" s="23" t="s">
        <v>13</v>
      </c>
      <c r="L524" s="32">
        <v>46204.537317939816</v>
      </c>
      <c r="M524" s="23"/>
    </row>
    <row r="525" spans="1:13" ht="75" customHeight="1" thickTop="1" thickBot="1">
      <c r="A525" s="25">
        <v>523</v>
      </c>
      <c r="B525" s="32">
        <v>46204.538733449001</v>
      </c>
      <c r="C525" s="33" t="s">
        <v>97</v>
      </c>
      <c r="D525" s="33" t="s">
        <v>395</v>
      </c>
      <c r="E525" s="23" t="s">
        <v>99</v>
      </c>
      <c r="F525" s="23" t="s">
        <v>116</v>
      </c>
      <c r="G525" s="23" t="s">
        <v>103</v>
      </c>
      <c r="H525" s="23" t="s">
        <v>202</v>
      </c>
      <c r="I525" s="23"/>
      <c r="J525" s="23" t="s">
        <v>16</v>
      </c>
      <c r="K525" s="23" t="s">
        <v>13</v>
      </c>
      <c r="L525" s="32">
        <v>46204.537366122684</v>
      </c>
      <c r="M525" s="23"/>
    </row>
    <row r="526" spans="1:13" ht="75" customHeight="1" thickTop="1" thickBot="1">
      <c r="A526" s="23">
        <v>524</v>
      </c>
      <c r="B526" s="32">
        <v>46204.538897742998</v>
      </c>
      <c r="C526" s="33" t="s">
        <v>97</v>
      </c>
      <c r="D526" s="33" t="s">
        <v>272</v>
      </c>
      <c r="E526" s="23" t="s">
        <v>99</v>
      </c>
      <c r="F526" s="23" t="s">
        <v>126</v>
      </c>
      <c r="G526" s="23" t="s">
        <v>206</v>
      </c>
      <c r="H526" s="23" t="s">
        <v>602</v>
      </c>
      <c r="I526" s="23"/>
      <c r="J526" s="23" t="s">
        <v>14</v>
      </c>
      <c r="K526" s="23" t="s">
        <v>13</v>
      </c>
      <c r="L526" s="32">
        <v>46204.537407835647</v>
      </c>
      <c r="M526" s="23"/>
    </row>
    <row r="527" spans="1:13" ht="75" customHeight="1" thickTop="1" thickBot="1">
      <c r="A527" s="25">
        <v>525</v>
      </c>
      <c r="B527" s="32">
        <v>46204.539243993</v>
      </c>
      <c r="C527" s="33" t="s">
        <v>97</v>
      </c>
      <c r="D527" s="33" t="s">
        <v>272</v>
      </c>
      <c r="E527" s="23" t="s">
        <v>99</v>
      </c>
      <c r="F527" s="23" t="s">
        <v>126</v>
      </c>
      <c r="G527" s="23" t="s">
        <v>106</v>
      </c>
      <c r="H527" s="23" t="s">
        <v>272</v>
      </c>
      <c r="I527" s="23"/>
      <c r="J527" s="23" t="s">
        <v>14</v>
      </c>
      <c r="K527" s="23" t="s">
        <v>13</v>
      </c>
      <c r="L527" s="32">
        <v>46204.537485810186</v>
      </c>
      <c r="M527" s="23"/>
    </row>
    <row r="528" spans="1:13" ht="75" customHeight="1" thickTop="1" thickBot="1">
      <c r="A528" s="23">
        <v>526</v>
      </c>
      <c r="B528" s="32">
        <v>46204.539373368003</v>
      </c>
      <c r="C528" s="33" t="s">
        <v>97</v>
      </c>
      <c r="D528" s="33" t="s">
        <v>395</v>
      </c>
      <c r="E528" s="23" t="s">
        <v>99</v>
      </c>
      <c r="F528" s="23" t="s">
        <v>116</v>
      </c>
      <c r="G528" s="23" t="s">
        <v>168</v>
      </c>
      <c r="H528" s="23" t="s">
        <v>201</v>
      </c>
      <c r="I528" s="23"/>
      <c r="J528" s="23" t="s">
        <v>16</v>
      </c>
      <c r="K528" s="23" t="s">
        <v>13</v>
      </c>
      <c r="L528" s="32">
        <v>46204.537509259259</v>
      </c>
      <c r="M528" s="23"/>
    </row>
    <row r="529" spans="1:13" ht="75" customHeight="1" thickTop="1" thickBot="1">
      <c r="A529" s="25">
        <v>527</v>
      </c>
      <c r="B529" s="32">
        <v>46204.539517685102</v>
      </c>
      <c r="C529" s="33" t="s">
        <v>97</v>
      </c>
      <c r="D529" s="33" t="s">
        <v>272</v>
      </c>
      <c r="E529" s="23" t="s">
        <v>99</v>
      </c>
      <c r="F529" s="23" t="s">
        <v>126</v>
      </c>
      <c r="G529" s="23" t="s">
        <v>152</v>
      </c>
      <c r="H529" s="23" t="s">
        <v>603</v>
      </c>
      <c r="I529" s="23"/>
      <c r="J529" s="23" t="s">
        <v>14</v>
      </c>
      <c r="K529" s="23" t="s">
        <v>13</v>
      </c>
      <c r="L529" s="32">
        <v>46204.537559351855</v>
      </c>
      <c r="M529" s="23"/>
    </row>
    <row r="530" spans="1:13" ht="75" customHeight="1" thickTop="1" thickBot="1">
      <c r="A530" s="23">
        <v>528</v>
      </c>
      <c r="B530" s="32">
        <v>46204.539603043901</v>
      </c>
      <c r="C530" s="33" t="s">
        <v>97</v>
      </c>
      <c r="D530" s="33" t="s">
        <v>546</v>
      </c>
      <c r="E530" s="23" t="s">
        <v>99</v>
      </c>
      <c r="F530" s="23" t="s">
        <v>102</v>
      </c>
      <c r="G530" s="23" t="s">
        <v>106</v>
      </c>
      <c r="H530" s="23" t="s">
        <v>604</v>
      </c>
      <c r="I530" s="23"/>
      <c r="J530" s="23" t="s">
        <v>12</v>
      </c>
      <c r="K530" s="23" t="s">
        <v>13</v>
      </c>
      <c r="L530" s="32">
        <v>46204.537578738426</v>
      </c>
      <c r="M530" s="23"/>
    </row>
    <row r="531" spans="1:13" ht="75" customHeight="1" thickTop="1" thickBot="1">
      <c r="A531" s="25">
        <v>529</v>
      </c>
      <c r="B531" s="32">
        <v>46204.539836585602</v>
      </c>
      <c r="C531" s="33" t="s">
        <v>97</v>
      </c>
      <c r="D531" s="33" t="s">
        <v>272</v>
      </c>
      <c r="E531" s="23" t="s">
        <v>99</v>
      </c>
      <c r="F531" s="23" t="s">
        <v>102</v>
      </c>
      <c r="G531" s="23" t="s">
        <v>152</v>
      </c>
      <c r="H531" s="23" t="s">
        <v>1164</v>
      </c>
      <c r="I531" s="23"/>
      <c r="J531" s="23" t="s">
        <v>14</v>
      </c>
      <c r="K531" s="23" t="s">
        <v>13</v>
      </c>
      <c r="L531" s="32">
        <v>46204.53767633102</v>
      </c>
      <c r="M531" s="23"/>
    </row>
    <row r="532" spans="1:13" ht="75" customHeight="1" thickTop="1" thickBot="1">
      <c r="A532" s="23">
        <v>530</v>
      </c>
      <c r="B532" s="32">
        <v>46204.5398478356</v>
      </c>
      <c r="C532" s="33" t="s">
        <v>97</v>
      </c>
      <c r="D532" s="33" t="s">
        <v>395</v>
      </c>
      <c r="E532" s="23" t="s">
        <v>99</v>
      </c>
      <c r="F532" s="23" t="s">
        <v>116</v>
      </c>
      <c r="G532" s="23" t="s">
        <v>106</v>
      </c>
      <c r="H532" s="23" t="s">
        <v>199</v>
      </c>
      <c r="I532" s="23"/>
      <c r="J532" s="23" t="s">
        <v>16</v>
      </c>
      <c r="K532" s="23" t="s">
        <v>13</v>
      </c>
      <c r="L532" s="32">
        <v>46204.537736041668</v>
      </c>
      <c r="M532" s="23"/>
    </row>
    <row r="533" spans="1:13" ht="75" customHeight="1" thickTop="1" thickBot="1">
      <c r="A533" s="25">
        <v>531</v>
      </c>
      <c r="B533" s="32">
        <v>46204.540116701297</v>
      </c>
      <c r="C533" s="33" t="s">
        <v>97</v>
      </c>
      <c r="D533" s="33" t="s">
        <v>546</v>
      </c>
      <c r="E533" s="23" t="s">
        <v>99</v>
      </c>
      <c r="F533" s="23" t="s">
        <v>100</v>
      </c>
      <c r="G533" s="23" t="s">
        <v>152</v>
      </c>
      <c r="H533" s="23" t="s">
        <v>605</v>
      </c>
      <c r="I533" s="23"/>
      <c r="J533" s="23" t="s">
        <v>12</v>
      </c>
      <c r="K533" s="23" t="s">
        <v>13</v>
      </c>
      <c r="L533" s="32">
        <v>46204.537748645831</v>
      </c>
      <c r="M533" s="23"/>
    </row>
    <row r="534" spans="1:13" ht="75" customHeight="1" thickTop="1" thickBot="1">
      <c r="A534" s="23">
        <v>532</v>
      </c>
      <c r="B534" s="32">
        <v>46204.540297060099</v>
      </c>
      <c r="C534" s="33" t="s">
        <v>97</v>
      </c>
      <c r="D534" s="33" t="s">
        <v>272</v>
      </c>
      <c r="E534" s="23" t="s">
        <v>99</v>
      </c>
      <c r="F534" s="23" t="s">
        <v>126</v>
      </c>
      <c r="G534" s="23" t="s">
        <v>606</v>
      </c>
      <c r="H534" s="23" t="s">
        <v>607</v>
      </c>
      <c r="I534" s="23"/>
      <c r="J534" s="23" t="s">
        <v>14</v>
      </c>
      <c r="K534" s="23" t="s">
        <v>13</v>
      </c>
      <c r="L534" s="32">
        <v>46204.537798634265</v>
      </c>
      <c r="M534" s="23"/>
    </row>
    <row r="535" spans="1:13" ht="75" customHeight="1" thickTop="1" thickBot="1">
      <c r="A535" s="25">
        <v>533</v>
      </c>
      <c r="B535" s="32">
        <v>46204.5406640277</v>
      </c>
      <c r="C535" s="33" t="s">
        <v>97</v>
      </c>
      <c r="D535" s="33" t="s">
        <v>272</v>
      </c>
      <c r="E535" s="23" t="s">
        <v>99</v>
      </c>
      <c r="F535" s="23" t="s">
        <v>100</v>
      </c>
      <c r="G535" s="23" t="s">
        <v>152</v>
      </c>
      <c r="H535" s="23" t="s">
        <v>608</v>
      </c>
      <c r="I535" s="23"/>
      <c r="J535" s="23" t="s">
        <v>14</v>
      </c>
      <c r="K535" s="23" t="s">
        <v>13</v>
      </c>
      <c r="L535" s="32">
        <v>46204.537815578704</v>
      </c>
      <c r="M535" s="23"/>
    </row>
    <row r="536" spans="1:13" ht="75" customHeight="1" thickTop="1" thickBot="1">
      <c r="A536" s="23">
        <v>534</v>
      </c>
      <c r="B536" s="32">
        <v>46204.540824131902</v>
      </c>
      <c r="C536" s="33" t="s">
        <v>97</v>
      </c>
      <c r="D536" s="33" t="s">
        <v>395</v>
      </c>
      <c r="E536" s="23" t="s">
        <v>99</v>
      </c>
      <c r="F536" s="23" t="s">
        <v>102</v>
      </c>
      <c r="G536" s="23" t="s">
        <v>124</v>
      </c>
      <c r="H536" s="23" t="s">
        <v>197</v>
      </c>
      <c r="I536" s="23"/>
      <c r="J536" s="23" t="s">
        <v>16</v>
      </c>
      <c r="K536" s="23" t="s">
        <v>13</v>
      </c>
      <c r="L536" s="32">
        <v>46204.537840011573</v>
      </c>
      <c r="M536" s="23"/>
    </row>
    <row r="537" spans="1:13" ht="75" customHeight="1" thickTop="1" thickBot="1">
      <c r="A537" s="25">
        <v>535</v>
      </c>
      <c r="B537" s="32">
        <v>46204.541145648102</v>
      </c>
      <c r="C537" s="33" t="s">
        <v>97</v>
      </c>
      <c r="D537" s="33" t="s">
        <v>546</v>
      </c>
      <c r="E537" s="23" t="s">
        <v>99</v>
      </c>
      <c r="F537" s="23" t="s">
        <v>102</v>
      </c>
      <c r="G537" s="23" t="s">
        <v>609</v>
      </c>
      <c r="H537" s="23" t="s">
        <v>1000</v>
      </c>
      <c r="I537" s="23"/>
      <c r="J537" s="23" t="s">
        <v>12</v>
      </c>
      <c r="K537" s="23" t="s">
        <v>13</v>
      </c>
      <c r="L537" s="32">
        <v>46204.537857002317</v>
      </c>
      <c r="M537" s="23"/>
    </row>
    <row r="538" spans="1:13" ht="75" customHeight="1" thickTop="1" thickBot="1">
      <c r="A538" s="23">
        <v>536</v>
      </c>
      <c r="B538" s="32">
        <v>46204.541480902699</v>
      </c>
      <c r="C538" s="33" t="s">
        <v>97</v>
      </c>
      <c r="D538" s="33" t="s">
        <v>272</v>
      </c>
      <c r="E538" s="23" t="s">
        <v>99</v>
      </c>
      <c r="F538" s="23" t="s">
        <v>100</v>
      </c>
      <c r="G538" s="23" t="s">
        <v>106</v>
      </c>
      <c r="H538" s="23" t="s">
        <v>610</v>
      </c>
      <c r="I538" s="23"/>
      <c r="J538" s="23" t="s">
        <v>14</v>
      </c>
      <c r="K538" s="23" t="s">
        <v>13</v>
      </c>
      <c r="L538" s="32">
        <v>46204.537920312505</v>
      </c>
      <c r="M538" s="23"/>
    </row>
    <row r="539" spans="1:13" ht="75" customHeight="1" thickTop="1" thickBot="1">
      <c r="A539" s="25">
        <v>537</v>
      </c>
      <c r="B539" s="32">
        <v>46204.541794583303</v>
      </c>
      <c r="C539" s="33" t="s">
        <v>97</v>
      </c>
      <c r="D539" s="33" t="s">
        <v>395</v>
      </c>
      <c r="E539" s="23" t="s">
        <v>99</v>
      </c>
      <c r="F539" s="23" t="s">
        <v>126</v>
      </c>
      <c r="G539" s="23" t="s">
        <v>108</v>
      </c>
      <c r="H539" s="23" t="s">
        <v>221</v>
      </c>
      <c r="I539" s="23"/>
      <c r="J539" s="23" t="s">
        <v>16</v>
      </c>
      <c r="K539" s="23" t="s">
        <v>13</v>
      </c>
      <c r="L539" s="32">
        <v>46204.537986145835</v>
      </c>
      <c r="M539" s="23"/>
    </row>
    <row r="540" spans="1:13" ht="75" customHeight="1" thickTop="1" thickBot="1">
      <c r="A540" s="23">
        <v>538</v>
      </c>
      <c r="B540" s="32">
        <v>46204.541799421197</v>
      </c>
      <c r="C540" s="33" t="s">
        <v>97</v>
      </c>
      <c r="D540" s="33" t="s">
        <v>272</v>
      </c>
      <c r="E540" s="23" t="s">
        <v>99</v>
      </c>
      <c r="F540" s="23" t="s">
        <v>102</v>
      </c>
      <c r="G540" s="23" t="s">
        <v>108</v>
      </c>
      <c r="H540" s="23" t="s">
        <v>611</v>
      </c>
      <c r="I540" s="23"/>
      <c r="J540" s="23" t="s">
        <v>14</v>
      </c>
      <c r="K540" s="23" t="s">
        <v>13</v>
      </c>
      <c r="L540" s="32">
        <v>46204.538004108792</v>
      </c>
      <c r="M540" s="23"/>
    </row>
    <row r="541" spans="1:13" ht="75" customHeight="1" thickTop="1" thickBot="1">
      <c r="A541" s="25">
        <v>539</v>
      </c>
      <c r="B541" s="32">
        <v>46204.542065833302</v>
      </c>
      <c r="C541" s="33" t="s">
        <v>97</v>
      </c>
      <c r="D541" s="33" t="s">
        <v>546</v>
      </c>
      <c r="E541" s="23" t="s">
        <v>99</v>
      </c>
      <c r="F541" s="23" t="s">
        <v>612</v>
      </c>
      <c r="G541" s="23" t="s">
        <v>612</v>
      </c>
      <c r="H541" s="23" t="s">
        <v>1001</v>
      </c>
      <c r="I541" s="23"/>
      <c r="J541" s="23" t="s">
        <v>12</v>
      </c>
      <c r="K541" s="23" t="s">
        <v>13</v>
      </c>
      <c r="L541" s="32">
        <v>46204.538050578703</v>
      </c>
      <c r="M541" s="23"/>
    </row>
    <row r="542" spans="1:13" ht="75" customHeight="1" thickTop="1" thickBot="1">
      <c r="A542" s="23">
        <v>540</v>
      </c>
      <c r="B542" s="32">
        <v>46204.542376701298</v>
      </c>
      <c r="C542" s="33" t="s">
        <v>97</v>
      </c>
      <c r="D542" s="33" t="s">
        <v>395</v>
      </c>
      <c r="E542" s="23" t="s">
        <v>99</v>
      </c>
      <c r="F542" s="23" t="s">
        <v>116</v>
      </c>
      <c r="G542" s="23" t="s">
        <v>106</v>
      </c>
      <c r="H542" s="23" t="s">
        <v>613</v>
      </c>
      <c r="I542" s="23"/>
      <c r="J542" s="23" t="s">
        <v>16</v>
      </c>
      <c r="K542" s="23" t="s">
        <v>13</v>
      </c>
      <c r="L542" s="32">
        <v>46204.538062685184</v>
      </c>
      <c r="M542" s="23"/>
    </row>
    <row r="543" spans="1:13" ht="75" customHeight="1" thickTop="1" thickBot="1">
      <c r="A543" s="25">
        <v>541</v>
      </c>
      <c r="B543" s="32">
        <v>46204.542650115698</v>
      </c>
      <c r="C543" s="33" t="s">
        <v>97</v>
      </c>
      <c r="D543" s="33" t="s">
        <v>407</v>
      </c>
      <c r="E543" s="23" t="s">
        <v>99</v>
      </c>
      <c r="F543" s="23" t="s">
        <v>100</v>
      </c>
      <c r="G543" s="23" t="s">
        <v>152</v>
      </c>
      <c r="H543" s="23" t="s">
        <v>614</v>
      </c>
      <c r="I543" s="23"/>
      <c r="J543" s="23" t="s">
        <v>38</v>
      </c>
      <c r="K543" s="23" t="s">
        <v>13</v>
      </c>
      <c r="L543" s="32">
        <v>46204.538109745372</v>
      </c>
      <c r="M543" s="23"/>
    </row>
    <row r="544" spans="1:13" ht="75" customHeight="1" thickTop="1" thickBot="1">
      <c r="A544" s="23">
        <v>542</v>
      </c>
      <c r="B544" s="32">
        <v>46204.543086805497</v>
      </c>
      <c r="C544" s="33" t="s">
        <v>97</v>
      </c>
      <c r="D544" s="33" t="s">
        <v>395</v>
      </c>
      <c r="E544" s="23" t="s">
        <v>99</v>
      </c>
      <c r="F544" s="23" t="s">
        <v>126</v>
      </c>
      <c r="G544" s="23" t="s">
        <v>156</v>
      </c>
      <c r="H544" s="23" t="s">
        <v>233</v>
      </c>
      <c r="I544" s="23"/>
      <c r="J544" s="23" t="s">
        <v>16</v>
      </c>
      <c r="K544" s="23" t="s">
        <v>13</v>
      </c>
      <c r="L544" s="32">
        <v>46204.538402164355</v>
      </c>
      <c r="M544" s="23"/>
    </row>
    <row r="545" spans="1:13" ht="75" customHeight="1" thickTop="1" thickBot="1">
      <c r="A545" s="25">
        <v>543</v>
      </c>
      <c r="B545" s="32">
        <v>46204.543217279999</v>
      </c>
      <c r="C545" s="33" t="s">
        <v>97</v>
      </c>
      <c r="D545" s="33" t="s">
        <v>546</v>
      </c>
      <c r="E545" s="23" t="s">
        <v>99</v>
      </c>
      <c r="F545" s="23" t="s">
        <v>126</v>
      </c>
      <c r="G545" s="23" t="s">
        <v>156</v>
      </c>
      <c r="H545" s="23" t="s">
        <v>615</v>
      </c>
      <c r="I545" s="23"/>
      <c r="J545" s="23" t="s">
        <v>12</v>
      </c>
      <c r="K545" s="23" t="s">
        <v>13</v>
      </c>
      <c r="L545" s="32">
        <v>46204.538416342592</v>
      </c>
      <c r="M545" s="23"/>
    </row>
    <row r="546" spans="1:13" ht="75" customHeight="1" thickTop="1" thickBot="1">
      <c r="A546" s="23">
        <v>544</v>
      </c>
      <c r="B546" s="32">
        <v>46204.543571805501</v>
      </c>
      <c r="C546" s="33" t="s">
        <v>97</v>
      </c>
      <c r="D546" s="33" t="s">
        <v>395</v>
      </c>
      <c r="E546" s="23" t="s">
        <v>99</v>
      </c>
      <c r="F546" s="23" t="s">
        <v>116</v>
      </c>
      <c r="G546" s="23" t="s">
        <v>106</v>
      </c>
      <c r="H546" s="23" t="s">
        <v>234</v>
      </c>
      <c r="I546" s="23"/>
      <c r="J546" s="23" t="s">
        <v>16</v>
      </c>
      <c r="K546" s="23" t="s">
        <v>13</v>
      </c>
      <c r="L546" s="32">
        <v>46204.538468229162</v>
      </c>
      <c r="M546" s="23"/>
    </row>
    <row r="547" spans="1:13" ht="75" customHeight="1" thickTop="1" thickBot="1">
      <c r="A547" s="25">
        <v>545</v>
      </c>
      <c r="B547" s="32">
        <v>46204.543942743003</v>
      </c>
      <c r="C547" s="33" t="s">
        <v>97</v>
      </c>
      <c r="D547" s="33" t="s">
        <v>546</v>
      </c>
      <c r="E547" s="23" t="s">
        <v>99</v>
      </c>
      <c r="F547" s="23" t="s">
        <v>461</v>
      </c>
      <c r="G547" s="23" t="s">
        <v>106</v>
      </c>
      <c r="H547" s="23" t="s">
        <v>616</v>
      </c>
      <c r="I547" s="23"/>
      <c r="J547" s="23" t="s">
        <v>12</v>
      </c>
      <c r="K547" s="23" t="s">
        <v>13</v>
      </c>
      <c r="L547" s="32">
        <v>46204.538513761574</v>
      </c>
      <c r="M547" s="23"/>
    </row>
    <row r="548" spans="1:13" ht="75" customHeight="1" thickTop="1" thickBot="1">
      <c r="A548" s="23">
        <v>546</v>
      </c>
      <c r="B548" s="32">
        <v>46204.544710763803</v>
      </c>
      <c r="C548" s="33" t="s">
        <v>97</v>
      </c>
      <c r="D548" s="33" t="s">
        <v>272</v>
      </c>
      <c r="E548" s="23" t="s">
        <v>99</v>
      </c>
      <c r="F548" s="23" t="s">
        <v>116</v>
      </c>
      <c r="G548" s="23" t="s">
        <v>206</v>
      </c>
      <c r="H548" s="23" t="s">
        <v>617</v>
      </c>
      <c r="I548" s="23"/>
      <c r="J548" s="23" t="s">
        <v>14</v>
      </c>
      <c r="K548" s="23" t="s">
        <v>13</v>
      </c>
      <c r="L548" s="32">
        <v>46204.538723437501</v>
      </c>
      <c r="M548" s="23"/>
    </row>
    <row r="549" spans="1:13" ht="75" customHeight="1" thickTop="1" thickBot="1">
      <c r="A549" s="25">
        <v>547</v>
      </c>
      <c r="B549" s="32">
        <v>46204.545079409698</v>
      </c>
      <c r="C549" s="33" t="s">
        <v>97</v>
      </c>
      <c r="D549" s="33" t="s">
        <v>272</v>
      </c>
      <c r="E549" s="23" t="s">
        <v>99</v>
      </c>
      <c r="F549" s="23" t="s">
        <v>618</v>
      </c>
      <c r="G549" s="23" t="s">
        <v>981</v>
      </c>
      <c r="H549" s="23" t="s">
        <v>619</v>
      </c>
      <c r="I549" s="23"/>
      <c r="J549" s="23" t="s">
        <v>14</v>
      </c>
      <c r="K549" s="23" t="s">
        <v>13</v>
      </c>
      <c r="L549" s="32">
        <v>46204.538745648148</v>
      </c>
      <c r="M549" s="23"/>
    </row>
    <row r="550" spans="1:13" ht="75" customHeight="1" thickTop="1" thickBot="1">
      <c r="A550" s="23">
        <v>548</v>
      </c>
      <c r="B550" s="32">
        <v>46204.545124317097</v>
      </c>
      <c r="C550" s="33" t="s">
        <v>97</v>
      </c>
      <c r="D550" s="33" t="s">
        <v>546</v>
      </c>
      <c r="E550" s="23" t="s">
        <v>99</v>
      </c>
      <c r="F550" s="23" t="s">
        <v>100</v>
      </c>
      <c r="G550" s="23" t="s">
        <v>106</v>
      </c>
      <c r="H550" s="23" t="s">
        <v>620</v>
      </c>
      <c r="I550" s="23"/>
      <c r="J550" s="23" t="s">
        <v>12</v>
      </c>
      <c r="K550" s="23" t="s">
        <v>13</v>
      </c>
      <c r="L550" s="32">
        <v>46204.538783136573</v>
      </c>
      <c r="M550" s="23"/>
    </row>
    <row r="551" spans="1:13" ht="75" customHeight="1" thickTop="1" thickBot="1">
      <c r="A551" s="25">
        <v>549</v>
      </c>
      <c r="B551" s="32">
        <v>46204.545423738396</v>
      </c>
      <c r="C551" s="33" t="s">
        <v>97</v>
      </c>
      <c r="D551" s="33" t="s">
        <v>272</v>
      </c>
      <c r="E551" s="23" t="s">
        <v>99</v>
      </c>
      <c r="F551" s="23" t="s">
        <v>102</v>
      </c>
      <c r="G551" s="23" t="s">
        <v>106</v>
      </c>
      <c r="H551" s="23" t="s">
        <v>621</v>
      </c>
      <c r="I551" s="23"/>
      <c r="J551" s="23" t="s">
        <v>14</v>
      </c>
      <c r="K551" s="23" t="s">
        <v>13</v>
      </c>
      <c r="L551" s="32">
        <v>46204.53880829861</v>
      </c>
      <c r="M551" s="23"/>
    </row>
    <row r="552" spans="1:13" ht="75" customHeight="1" thickTop="1" thickBot="1">
      <c r="A552" s="23">
        <v>550</v>
      </c>
      <c r="B552" s="32">
        <v>46204.545837129597</v>
      </c>
      <c r="C552" s="33" t="s">
        <v>97</v>
      </c>
      <c r="D552" s="33" t="s">
        <v>395</v>
      </c>
      <c r="E552" s="23" t="s">
        <v>99</v>
      </c>
      <c r="F552" s="23" t="s">
        <v>126</v>
      </c>
      <c r="G552" s="23" t="s">
        <v>106</v>
      </c>
      <c r="H552" s="23" t="s">
        <v>235</v>
      </c>
      <c r="I552" s="23"/>
      <c r="J552" s="23" t="s">
        <v>16</v>
      </c>
      <c r="K552" s="23" t="s">
        <v>13</v>
      </c>
      <c r="L552" s="32">
        <v>46204.538882280089</v>
      </c>
      <c r="M552" s="23"/>
    </row>
    <row r="553" spans="1:13" ht="75" customHeight="1" thickTop="1" thickBot="1">
      <c r="A553" s="25">
        <v>551</v>
      </c>
      <c r="B553" s="32">
        <v>46204.545846701301</v>
      </c>
      <c r="C553" s="33" t="s">
        <v>97</v>
      </c>
      <c r="D553" s="33" t="s">
        <v>272</v>
      </c>
      <c r="E553" s="23" t="s">
        <v>99</v>
      </c>
      <c r="F553" s="23" t="s">
        <v>102</v>
      </c>
      <c r="G553" s="23" t="s">
        <v>442</v>
      </c>
      <c r="H553" s="23" t="s">
        <v>622</v>
      </c>
      <c r="I553" s="23"/>
      <c r="J553" s="23" t="s">
        <v>14</v>
      </c>
      <c r="K553" s="23" t="s">
        <v>13</v>
      </c>
      <c r="L553" s="32"/>
      <c r="M553" s="23"/>
    </row>
    <row r="554" spans="1:13" ht="75" customHeight="1" thickTop="1" thickBot="1">
      <c r="A554" s="23">
        <v>552</v>
      </c>
      <c r="B554" s="32">
        <v>46204.546374154997</v>
      </c>
      <c r="C554" s="33" t="s">
        <v>97</v>
      </c>
      <c r="D554" s="33" t="s">
        <v>272</v>
      </c>
      <c r="E554" s="23" t="s">
        <v>99</v>
      </c>
      <c r="F554" s="23" t="s">
        <v>102</v>
      </c>
      <c r="G554" s="23" t="s">
        <v>110</v>
      </c>
      <c r="H554" s="23" t="s">
        <v>623</v>
      </c>
      <c r="I554" s="23"/>
      <c r="J554" s="23" t="s">
        <v>14</v>
      </c>
      <c r="K554" s="23" t="s">
        <v>13</v>
      </c>
      <c r="L554" s="32">
        <v>46204.538923275468</v>
      </c>
      <c r="M554" s="23"/>
    </row>
    <row r="555" spans="1:13" ht="75" customHeight="1" thickTop="1" thickBot="1">
      <c r="A555" s="25">
        <v>553</v>
      </c>
      <c r="B555" s="32">
        <v>46204.546461608799</v>
      </c>
      <c r="C555" s="33" t="s">
        <v>97</v>
      </c>
      <c r="D555" s="33" t="s">
        <v>546</v>
      </c>
      <c r="E555" s="23" t="s">
        <v>99</v>
      </c>
      <c r="F555" s="23" t="s">
        <v>116</v>
      </c>
      <c r="G555" s="23" t="s">
        <v>624</v>
      </c>
      <c r="H555" s="23" t="s">
        <v>1002</v>
      </c>
      <c r="I555" s="23"/>
      <c r="J555" s="23" t="s">
        <v>12</v>
      </c>
      <c r="K555" s="23" t="s">
        <v>13</v>
      </c>
      <c r="L555" s="32"/>
      <c r="M555" s="23"/>
    </row>
    <row r="556" spans="1:13" ht="75" customHeight="1" thickTop="1" thickBot="1">
      <c r="A556" s="23">
        <v>554</v>
      </c>
      <c r="B556" s="32">
        <v>46204.546679351799</v>
      </c>
      <c r="C556" s="33" t="s">
        <v>97</v>
      </c>
      <c r="D556" s="33" t="s">
        <v>272</v>
      </c>
      <c r="E556" s="23" t="s">
        <v>99</v>
      </c>
      <c r="F556" s="23" t="s">
        <v>286</v>
      </c>
      <c r="G556" s="23" t="s">
        <v>110</v>
      </c>
      <c r="H556" s="23" t="s">
        <v>625</v>
      </c>
      <c r="I556" s="23"/>
      <c r="J556" s="23" t="s">
        <v>14</v>
      </c>
      <c r="K556" s="23" t="s">
        <v>13</v>
      </c>
      <c r="L556" s="32"/>
      <c r="M556" s="23"/>
    </row>
    <row r="557" spans="1:13" ht="75" customHeight="1" thickTop="1" thickBot="1">
      <c r="A557" s="25">
        <v>555</v>
      </c>
      <c r="B557" s="32">
        <v>46204.547065648097</v>
      </c>
      <c r="C557" s="33" t="s">
        <v>97</v>
      </c>
      <c r="D557" s="33" t="s">
        <v>272</v>
      </c>
      <c r="E557" s="23" t="s">
        <v>99</v>
      </c>
      <c r="F557" s="23" t="s">
        <v>102</v>
      </c>
      <c r="G557" s="23" t="s">
        <v>981</v>
      </c>
      <c r="H557" s="23" t="s">
        <v>1165</v>
      </c>
      <c r="I557" s="23"/>
      <c r="J557" s="23" t="s">
        <v>14</v>
      </c>
      <c r="K557" s="23" t="s">
        <v>13</v>
      </c>
      <c r="L557" s="32">
        <v>46204.539070462968</v>
      </c>
      <c r="M557" s="23"/>
    </row>
    <row r="558" spans="1:13" ht="75" customHeight="1" thickTop="1" thickBot="1">
      <c r="A558" s="23">
        <v>556</v>
      </c>
      <c r="B558" s="32">
        <v>46204.547487395801</v>
      </c>
      <c r="C558" s="33" t="s">
        <v>97</v>
      </c>
      <c r="D558" s="33" t="s">
        <v>272</v>
      </c>
      <c r="E558" s="23" t="s">
        <v>99</v>
      </c>
      <c r="F558" s="23" t="s">
        <v>102</v>
      </c>
      <c r="G558" s="23" t="s">
        <v>110</v>
      </c>
      <c r="H558" s="23" t="s">
        <v>626</v>
      </c>
      <c r="I558" s="23"/>
      <c r="J558" s="23" t="s">
        <v>14</v>
      </c>
      <c r="K558" s="23" t="s">
        <v>13</v>
      </c>
      <c r="L558" s="32"/>
      <c r="M558" s="23"/>
    </row>
    <row r="559" spans="1:13" ht="75" customHeight="1" thickTop="1" thickBot="1">
      <c r="A559" s="25">
        <v>557</v>
      </c>
      <c r="B559" s="32">
        <v>46204.547551469899</v>
      </c>
      <c r="C559" s="33" t="s">
        <v>97</v>
      </c>
      <c r="D559" s="33" t="s">
        <v>546</v>
      </c>
      <c r="E559" s="23" t="s">
        <v>99</v>
      </c>
      <c r="F559" s="23" t="s">
        <v>116</v>
      </c>
      <c r="G559" s="23" t="s">
        <v>168</v>
      </c>
      <c r="H559" s="23" t="s">
        <v>627</v>
      </c>
      <c r="I559" s="23"/>
      <c r="J559" s="23" t="s">
        <v>12</v>
      </c>
      <c r="K559" s="23" t="s">
        <v>13</v>
      </c>
      <c r="L559" s="32"/>
      <c r="M559" s="23"/>
    </row>
    <row r="560" spans="1:13" ht="75" customHeight="1" thickTop="1" thickBot="1">
      <c r="A560" s="23">
        <v>558</v>
      </c>
      <c r="B560" s="32">
        <v>46204.547864884204</v>
      </c>
      <c r="C560" s="33" t="s">
        <v>97</v>
      </c>
      <c r="D560" s="33" t="s">
        <v>395</v>
      </c>
      <c r="E560" s="23" t="s">
        <v>99</v>
      </c>
      <c r="F560" s="23" t="s">
        <v>100</v>
      </c>
      <c r="G560" s="23" t="s">
        <v>104</v>
      </c>
      <c r="H560" s="23" t="s">
        <v>237</v>
      </c>
      <c r="I560" s="23"/>
      <c r="J560" s="23" t="s">
        <v>16</v>
      </c>
      <c r="K560" s="23" t="s">
        <v>13</v>
      </c>
      <c r="L560" s="32"/>
      <c r="M560" s="23"/>
    </row>
    <row r="561" spans="1:13" ht="75" customHeight="1" thickTop="1" thickBot="1">
      <c r="A561" s="25">
        <v>559</v>
      </c>
      <c r="B561" s="32">
        <v>46204.547868761503</v>
      </c>
      <c r="C561" s="33" t="s">
        <v>97</v>
      </c>
      <c r="D561" s="33" t="s">
        <v>272</v>
      </c>
      <c r="E561" s="23" t="s">
        <v>99</v>
      </c>
      <c r="F561" s="23" t="s">
        <v>116</v>
      </c>
      <c r="G561" s="23" t="s">
        <v>108</v>
      </c>
      <c r="H561" s="23" t="s">
        <v>628</v>
      </c>
      <c r="I561" s="23"/>
      <c r="J561" s="23" t="s">
        <v>14</v>
      </c>
      <c r="K561" s="23" t="s">
        <v>13</v>
      </c>
      <c r="L561" s="32"/>
      <c r="M561" s="23"/>
    </row>
    <row r="562" spans="1:13" ht="75" customHeight="1" thickTop="1" thickBot="1">
      <c r="A562" s="23">
        <v>560</v>
      </c>
      <c r="B562" s="32">
        <v>46204.548307117999</v>
      </c>
      <c r="C562" s="33" t="s">
        <v>97</v>
      </c>
      <c r="D562" s="33" t="s">
        <v>272</v>
      </c>
      <c r="E562" s="23" t="s">
        <v>99</v>
      </c>
      <c r="F562" s="23" t="s">
        <v>1132</v>
      </c>
      <c r="G562" s="23" t="s">
        <v>180</v>
      </c>
      <c r="H562" s="23" t="s">
        <v>629</v>
      </c>
      <c r="I562" s="23"/>
      <c r="J562" s="23" t="s">
        <v>14</v>
      </c>
      <c r="K562" s="23" t="s">
        <v>13</v>
      </c>
      <c r="L562" s="32"/>
      <c r="M562" s="23"/>
    </row>
    <row r="563" spans="1:13" ht="75" customHeight="1" thickTop="1" thickBot="1">
      <c r="A563" s="25">
        <v>561</v>
      </c>
      <c r="B563" s="32">
        <v>46204.548380092499</v>
      </c>
      <c r="C563" s="33" t="s">
        <v>97</v>
      </c>
      <c r="D563" s="33" t="s">
        <v>395</v>
      </c>
      <c r="E563" s="23" t="s">
        <v>99</v>
      </c>
      <c r="F563" s="23" t="s">
        <v>100</v>
      </c>
      <c r="G563" s="23" t="s">
        <v>168</v>
      </c>
      <c r="H563" s="23" t="s">
        <v>238</v>
      </c>
      <c r="I563" s="23"/>
      <c r="J563" s="23" t="s">
        <v>16</v>
      </c>
      <c r="K563" s="23" t="s">
        <v>13</v>
      </c>
      <c r="L563" s="32"/>
      <c r="M563" s="23"/>
    </row>
    <row r="564" spans="1:13" ht="75" customHeight="1" thickTop="1" thickBot="1">
      <c r="A564" s="23">
        <v>562</v>
      </c>
      <c r="B564" s="32">
        <v>46204.549243055502</v>
      </c>
      <c r="C564" s="33" t="s">
        <v>97</v>
      </c>
      <c r="D564" s="33" t="s">
        <v>272</v>
      </c>
      <c r="E564" s="23" t="s">
        <v>99</v>
      </c>
      <c r="F564" s="23" t="s">
        <v>126</v>
      </c>
      <c r="G564" s="23" t="s">
        <v>110</v>
      </c>
      <c r="H564" s="23" t="s">
        <v>630</v>
      </c>
      <c r="I564" s="23"/>
      <c r="J564" s="23" t="s">
        <v>14</v>
      </c>
      <c r="K564" s="23" t="s">
        <v>13</v>
      </c>
      <c r="L564" s="32"/>
      <c r="M564" s="23"/>
    </row>
    <row r="565" spans="1:13" ht="75" customHeight="1" thickTop="1" thickBot="1">
      <c r="A565" s="25">
        <v>563</v>
      </c>
      <c r="B565" s="32">
        <v>46204.549603298598</v>
      </c>
      <c r="C565" s="33" t="s">
        <v>97</v>
      </c>
      <c r="D565" s="33" t="s">
        <v>272</v>
      </c>
      <c r="E565" s="23" t="s">
        <v>99</v>
      </c>
      <c r="F565" s="23" t="s">
        <v>102</v>
      </c>
      <c r="G565" s="23" t="s">
        <v>110</v>
      </c>
      <c r="H565" s="23" t="s">
        <v>631</v>
      </c>
      <c r="I565" s="23"/>
      <c r="J565" s="23" t="s">
        <v>14</v>
      </c>
      <c r="K565" s="23" t="s">
        <v>13</v>
      </c>
      <c r="L565" s="32">
        <v>46204.539124189818</v>
      </c>
      <c r="M565" s="23"/>
    </row>
    <row r="566" spans="1:13" ht="75" customHeight="1" thickTop="1" thickBot="1">
      <c r="A566" s="23">
        <v>564</v>
      </c>
      <c r="B566" s="32">
        <v>46204.549905601802</v>
      </c>
      <c r="C566" s="33" t="s">
        <v>97</v>
      </c>
      <c r="D566" s="33" t="s">
        <v>272</v>
      </c>
      <c r="E566" s="23" t="s">
        <v>99</v>
      </c>
      <c r="F566" s="23" t="s">
        <v>102</v>
      </c>
      <c r="G566" s="23" t="s">
        <v>110</v>
      </c>
      <c r="H566" s="23" t="s">
        <v>632</v>
      </c>
      <c r="I566" s="23"/>
      <c r="J566" s="23" t="s">
        <v>14</v>
      </c>
      <c r="K566" s="23" t="s">
        <v>13</v>
      </c>
      <c r="L566" s="32">
        <v>46204.539126400465</v>
      </c>
      <c r="M566" s="23"/>
    </row>
    <row r="567" spans="1:13" ht="75" customHeight="1" thickTop="1" thickBot="1">
      <c r="A567" s="25">
        <v>565</v>
      </c>
      <c r="B567" s="32">
        <v>46204.550066064803</v>
      </c>
      <c r="C567" s="33" t="s">
        <v>97</v>
      </c>
      <c r="D567" s="33" t="s">
        <v>395</v>
      </c>
      <c r="E567" s="23" t="s">
        <v>99</v>
      </c>
      <c r="F567" s="23" t="s">
        <v>100</v>
      </c>
      <c r="G567" s="23" t="s">
        <v>105</v>
      </c>
      <c r="H567" s="23" t="s">
        <v>1069</v>
      </c>
      <c r="I567" s="23"/>
      <c r="J567" s="23" t="s">
        <v>16</v>
      </c>
      <c r="K567" s="23" t="s">
        <v>13</v>
      </c>
      <c r="L567" s="32">
        <v>46204.539135439816</v>
      </c>
      <c r="M567" s="23"/>
    </row>
    <row r="568" spans="1:13" ht="75" customHeight="1" thickTop="1" thickBot="1">
      <c r="A568" s="23">
        <v>566</v>
      </c>
      <c r="B568" s="32">
        <v>46204.550898379603</v>
      </c>
      <c r="C568" s="33" t="s">
        <v>97</v>
      </c>
      <c r="D568" s="33" t="s">
        <v>395</v>
      </c>
      <c r="E568" s="23" t="s">
        <v>99</v>
      </c>
      <c r="F568" s="23" t="s">
        <v>100</v>
      </c>
      <c r="G568" s="23" t="s">
        <v>104</v>
      </c>
      <c r="H568" s="23" t="s">
        <v>1060</v>
      </c>
      <c r="I568" s="23"/>
      <c r="J568" s="23" t="s">
        <v>16</v>
      </c>
      <c r="K568" s="23" t="s">
        <v>13</v>
      </c>
      <c r="L568" s="32">
        <v>46204.539163645837</v>
      </c>
      <c r="M568" s="23"/>
    </row>
    <row r="569" spans="1:13" ht="75" customHeight="1" thickTop="1" thickBot="1">
      <c r="A569" s="25">
        <v>567</v>
      </c>
      <c r="B569" s="32">
        <v>46204.551704965197</v>
      </c>
      <c r="C569" s="33" t="s">
        <v>97</v>
      </c>
      <c r="D569" s="33" t="s">
        <v>395</v>
      </c>
      <c r="E569" s="23" t="s">
        <v>99</v>
      </c>
      <c r="F569" s="23" t="s">
        <v>100</v>
      </c>
      <c r="G569" s="23" t="s">
        <v>101</v>
      </c>
      <c r="H569" s="23" t="s">
        <v>634</v>
      </c>
      <c r="I569" s="23"/>
      <c r="J569" s="23" t="s">
        <v>16</v>
      </c>
      <c r="K569" s="23" t="s">
        <v>13</v>
      </c>
      <c r="L569" s="32">
        <v>46204.539207638889</v>
      </c>
      <c r="M569" s="23"/>
    </row>
    <row r="570" spans="1:13" ht="75" customHeight="1" thickTop="1" thickBot="1">
      <c r="A570" s="23">
        <v>568</v>
      </c>
      <c r="B570" s="32">
        <v>46204.551706261504</v>
      </c>
      <c r="C570" s="33" t="s">
        <v>97</v>
      </c>
      <c r="D570" s="33" t="s">
        <v>272</v>
      </c>
      <c r="E570" s="23" t="s">
        <v>99</v>
      </c>
      <c r="F570" s="23" t="s">
        <v>633</v>
      </c>
      <c r="G570" s="23" t="s">
        <v>110</v>
      </c>
      <c r="H570" s="23" t="s">
        <v>1166</v>
      </c>
      <c r="I570" s="23"/>
      <c r="J570" s="23" t="s">
        <v>14</v>
      </c>
      <c r="K570" s="23" t="s">
        <v>13</v>
      </c>
      <c r="L570" s="32">
        <v>46204.539241736114</v>
      </c>
      <c r="M570" s="23"/>
    </row>
    <row r="571" spans="1:13" ht="75" customHeight="1" thickTop="1" thickBot="1">
      <c r="A571" s="25">
        <v>569</v>
      </c>
      <c r="B571" s="32">
        <v>46204.552152638797</v>
      </c>
      <c r="C571" s="33" t="s">
        <v>97</v>
      </c>
      <c r="D571" s="33" t="s">
        <v>272</v>
      </c>
      <c r="E571" s="23" t="s">
        <v>99</v>
      </c>
      <c r="F571" s="23" t="s">
        <v>100</v>
      </c>
      <c r="G571" s="23" t="s">
        <v>106</v>
      </c>
      <c r="H571" s="23" t="s">
        <v>1167</v>
      </c>
      <c r="I571" s="23"/>
      <c r="J571" s="23" t="s">
        <v>14</v>
      </c>
      <c r="K571" s="23" t="s">
        <v>13</v>
      </c>
      <c r="L571" s="32">
        <v>46204.539215775461</v>
      </c>
      <c r="M571" s="23"/>
    </row>
    <row r="572" spans="1:13" ht="75" customHeight="1" thickTop="1" thickBot="1">
      <c r="A572" s="23">
        <v>570</v>
      </c>
      <c r="B572" s="32">
        <v>46204.552715358703</v>
      </c>
      <c r="C572" s="33" t="s">
        <v>97</v>
      </c>
      <c r="D572" s="33" t="s">
        <v>272</v>
      </c>
      <c r="E572" s="23" t="s">
        <v>99</v>
      </c>
      <c r="F572" s="23" t="s">
        <v>116</v>
      </c>
      <c r="G572" s="23" t="s">
        <v>108</v>
      </c>
      <c r="H572" s="23" t="s">
        <v>635</v>
      </c>
      <c r="I572" s="23"/>
      <c r="J572" s="23"/>
      <c r="K572" s="23" t="s">
        <v>13</v>
      </c>
      <c r="L572" s="32">
        <v>46204.539241990744</v>
      </c>
      <c r="M572" s="23"/>
    </row>
    <row r="573" spans="1:13" ht="75" customHeight="1" thickTop="1" thickBot="1">
      <c r="A573" s="25">
        <v>571</v>
      </c>
      <c r="B573" s="32">
        <v>46204.552831400397</v>
      </c>
      <c r="C573" s="33" t="s">
        <v>97</v>
      </c>
      <c r="D573" s="33" t="s">
        <v>395</v>
      </c>
      <c r="E573" s="23" t="s">
        <v>99</v>
      </c>
      <c r="F573" s="23" t="s">
        <v>102</v>
      </c>
      <c r="G573" s="23" t="s">
        <v>575</v>
      </c>
      <c r="H573" s="23" t="s">
        <v>1173</v>
      </c>
      <c r="I573" s="23"/>
      <c r="J573" s="23"/>
      <c r="K573" s="23" t="s">
        <v>13</v>
      </c>
      <c r="L573" s="32">
        <v>46204.539282812504</v>
      </c>
      <c r="M573" s="23"/>
    </row>
    <row r="574" spans="1:13" ht="75" customHeight="1" thickTop="1" thickBot="1">
      <c r="A574" s="23">
        <v>572</v>
      </c>
      <c r="B574" s="32">
        <v>46204.552964861097</v>
      </c>
      <c r="C574" s="33" t="s">
        <v>97</v>
      </c>
      <c r="D574" s="33" t="s">
        <v>272</v>
      </c>
      <c r="E574" s="23" t="s">
        <v>99</v>
      </c>
      <c r="F574" s="23" t="s">
        <v>102</v>
      </c>
      <c r="G574" s="23" t="s">
        <v>110</v>
      </c>
      <c r="H574" s="23" t="s">
        <v>636</v>
      </c>
      <c r="I574" s="23"/>
      <c r="J574" s="23"/>
      <c r="K574" s="23" t="s">
        <v>13</v>
      </c>
      <c r="L574" s="32">
        <v>46204.539559467594</v>
      </c>
      <c r="M574" s="23"/>
    </row>
    <row r="575" spans="1:13" ht="75" customHeight="1" thickTop="1" thickBot="1">
      <c r="A575" s="25">
        <v>573</v>
      </c>
      <c r="B575" s="32">
        <v>46204.5533245486</v>
      </c>
      <c r="C575" s="33" t="s">
        <v>97</v>
      </c>
      <c r="D575" s="33" t="s">
        <v>272</v>
      </c>
      <c r="E575" s="23" t="s">
        <v>99</v>
      </c>
      <c r="F575" s="23" t="s">
        <v>100</v>
      </c>
      <c r="G575" s="23" t="s">
        <v>110</v>
      </c>
      <c r="H575" s="23" t="s">
        <v>1174</v>
      </c>
      <c r="I575" s="23"/>
      <c r="J575" s="23"/>
      <c r="K575" s="23" t="s">
        <v>13</v>
      </c>
      <c r="L575" s="32">
        <v>46204.539667743054</v>
      </c>
      <c r="M575" s="23"/>
    </row>
    <row r="576" spans="1:13" ht="75" customHeight="1" thickTop="1" thickBot="1">
      <c r="A576" s="23">
        <v>574</v>
      </c>
      <c r="B576" s="32">
        <v>46204.553597638798</v>
      </c>
      <c r="C576" s="33" t="s">
        <v>97</v>
      </c>
      <c r="D576" s="33" t="s">
        <v>395</v>
      </c>
      <c r="E576" s="23" t="s">
        <v>99</v>
      </c>
      <c r="F576" s="23" t="s">
        <v>100</v>
      </c>
      <c r="G576" s="23" t="s">
        <v>101</v>
      </c>
      <c r="H576" s="23" t="s">
        <v>637</v>
      </c>
      <c r="I576" s="23"/>
      <c r="J576" s="23"/>
      <c r="K576" s="23" t="s">
        <v>13</v>
      </c>
      <c r="L576" s="32"/>
      <c r="M576" s="23"/>
    </row>
    <row r="577" spans="1:13" ht="75" customHeight="1" thickTop="1" thickBot="1">
      <c r="A577" s="25">
        <v>575</v>
      </c>
      <c r="B577" s="32">
        <v>46204.553665775398</v>
      </c>
      <c r="C577" s="33" t="s">
        <v>97</v>
      </c>
      <c r="D577" s="33" t="s">
        <v>272</v>
      </c>
      <c r="E577" s="23" t="s">
        <v>99</v>
      </c>
      <c r="F577" s="23" t="s">
        <v>100</v>
      </c>
      <c r="G577" s="23" t="s">
        <v>168</v>
      </c>
      <c r="H577" s="23" t="s">
        <v>638</v>
      </c>
      <c r="I577" s="23"/>
      <c r="J577" s="23"/>
      <c r="K577" s="23" t="s">
        <v>13</v>
      </c>
      <c r="L577" s="32"/>
      <c r="M577" s="23"/>
    </row>
    <row r="578" spans="1:13" ht="75" customHeight="1" thickTop="1" thickBot="1">
      <c r="A578" s="23">
        <v>576</v>
      </c>
      <c r="B578" s="32">
        <v>46204.554123981397</v>
      </c>
      <c r="C578" s="33" t="s">
        <v>97</v>
      </c>
      <c r="D578" s="33" t="s">
        <v>272</v>
      </c>
      <c r="E578" s="23" t="s">
        <v>99</v>
      </c>
      <c r="F578" s="23" t="s">
        <v>116</v>
      </c>
      <c r="G578" s="23" t="s">
        <v>345</v>
      </c>
      <c r="H578" s="23" t="s">
        <v>1175</v>
      </c>
      <c r="I578" s="23"/>
      <c r="J578" s="23"/>
      <c r="K578" s="23" t="s">
        <v>13</v>
      </c>
      <c r="L578" s="32"/>
      <c r="M578" s="23"/>
    </row>
    <row r="579" spans="1:13" ht="75" customHeight="1" thickTop="1" thickBot="1">
      <c r="A579" s="25">
        <v>577</v>
      </c>
      <c r="B579" s="32">
        <v>46204.554257673597</v>
      </c>
      <c r="C579" s="33" t="s">
        <v>97</v>
      </c>
      <c r="D579" s="33" t="s">
        <v>395</v>
      </c>
      <c r="E579" s="23" t="s">
        <v>99</v>
      </c>
      <c r="F579" s="23" t="s">
        <v>116</v>
      </c>
      <c r="G579" s="23" t="s">
        <v>108</v>
      </c>
      <c r="H579" s="23" t="s">
        <v>639</v>
      </c>
      <c r="I579" s="23"/>
      <c r="J579" s="23"/>
      <c r="K579" s="23" t="s">
        <v>13</v>
      </c>
      <c r="L579" s="32">
        <v>46204.539705381947</v>
      </c>
      <c r="M579" s="23"/>
    </row>
    <row r="580" spans="1:13" ht="75" customHeight="1" thickTop="1" thickBot="1">
      <c r="A580" s="23">
        <v>578</v>
      </c>
      <c r="B580" s="32">
        <v>46204.554423645801</v>
      </c>
      <c r="C580" s="33" t="s">
        <v>97</v>
      </c>
      <c r="D580" s="33" t="s">
        <v>272</v>
      </c>
      <c r="E580" s="23" t="s">
        <v>99</v>
      </c>
      <c r="F580" s="23" t="s">
        <v>102</v>
      </c>
      <c r="G580" s="23" t="s">
        <v>110</v>
      </c>
      <c r="H580" s="23" t="s">
        <v>640</v>
      </c>
      <c r="I580" s="23"/>
      <c r="J580" s="23"/>
      <c r="K580" s="23" t="s">
        <v>13</v>
      </c>
      <c r="L580" s="32">
        <v>46204.53968642361</v>
      </c>
      <c r="M580" s="23"/>
    </row>
    <row r="581" spans="1:13" ht="75" customHeight="1" thickTop="1" thickBot="1">
      <c r="A581" s="25">
        <v>579</v>
      </c>
      <c r="B581" s="32">
        <v>46204.554553911999</v>
      </c>
      <c r="C581" s="33" t="s">
        <v>97</v>
      </c>
      <c r="D581" s="33" t="s">
        <v>395</v>
      </c>
      <c r="E581" s="23" t="s">
        <v>99</v>
      </c>
      <c r="F581" s="23" t="s">
        <v>102</v>
      </c>
      <c r="G581" s="23" t="s">
        <v>981</v>
      </c>
      <c r="H581" s="23" t="s">
        <v>641</v>
      </c>
      <c r="I581" s="23"/>
      <c r="J581" s="23"/>
      <c r="K581" s="23" t="s">
        <v>13</v>
      </c>
      <c r="L581" s="32">
        <v>46204.539729201388</v>
      </c>
      <c r="M581" s="23"/>
    </row>
    <row r="582" spans="1:13" ht="75" customHeight="1" thickTop="1" thickBot="1">
      <c r="A582" s="23">
        <v>580</v>
      </c>
      <c r="B582" s="32">
        <v>46204.554778865699</v>
      </c>
      <c r="C582" s="33" t="s">
        <v>97</v>
      </c>
      <c r="D582" s="33" t="s">
        <v>395</v>
      </c>
      <c r="E582" s="23" t="s">
        <v>99</v>
      </c>
      <c r="F582" s="23" t="s">
        <v>100</v>
      </c>
      <c r="G582" s="23" t="s">
        <v>103</v>
      </c>
      <c r="H582" s="23" t="s">
        <v>642</v>
      </c>
      <c r="I582" s="23"/>
      <c r="J582" s="23"/>
      <c r="K582" s="23" t="s">
        <v>13</v>
      </c>
      <c r="L582" s="32">
        <v>46204.539745034723</v>
      </c>
      <c r="M582" s="23"/>
    </row>
    <row r="583" spans="1:13" ht="75" customHeight="1" thickTop="1" thickBot="1">
      <c r="A583" s="25">
        <v>581</v>
      </c>
      <c r="B583" s="32">
        <v>46204.555103032399</v>
      </c>
      <c r="C583" s="33" t="s">
        <v>97</v>
      </c>
      <c r="D583" s="33" t="s">
        <v>272</v>
      </c>
      <c r="E583" s="23" t="s">
        <v>99</v>
      </c>
      <c r="F583" s="23" t="s">
        <v>116</v>
      </c>
      <c r="G583" s="23" t="s">
        <v>981</v>
      </c>
      <c r="H583" s="23" t="s">
        <v>643</v>
      </c>
      <c r="I583" s="23"/>
      <c r="J583" s="23"/>
      <c r="K583" s="23" t="s">
        <v>13</v>
      </c>
      <c r="L583" s="32">
        <v>46204.539792569441</v>
      </c>
      <c r="M583" s="23"/>
    </row>
    <row r="584" spans="1:13" ht="75" customHeight="1" thickTop="1" thickBot="1">
      <c r="A584" s="23">
        <v>582</v>
      </c>
      <c r="B584" s="32">
        <v>46204.555177557799</v>
      </c>
      <c r="C584" s="33" t="s">
        <v>97</v>
      </c>
      <c r="D584" s="33" t="s">
        <v>395</v>
      </c>
      <c r="E584" s="23" t="s">
        <v>99</v>
      </c>
      <c r="F584" s="23" t="s">
        <v>100</v>
      </c>
      <c r="G584" s="23" t="s">
        <v>108</v>
      </c>
      <c r="H584" s="23" t="s">
        <v>644</v>
      </c>
      <c r="I584" s="23"/>
      <c r="J584" s="23"/>
      <c r="K584" s="23" t="s">
        <v>13</v>
      </c>
      <c r="L584" s="32">
        <v>46204.539830300928</v>
      </c>
      <c r="M584" s="23"/>
    </row>
    <row r="585" spans="1:13" ht="75" customHeight="1" thickTop="1" thickBot="1">
      <c r="A585" s="25">
        <v>583</v>
      </c>
      <c r="B585" s="32">
        <v>46204.555283564798</v>
      </c>
      <c r="C585" s="33" t="s">
        <v>97</v>
      </c>
      <c r="D585" s="33" t="s">
        <v>395</v>
      </c>
      <c r="E585" s="23" t="s">
        <v>99</v>
      </c>
      <c r="F585" s="23" t="s">
        <v>116</v>
      </c>
      <c r="G585" s="23" t="s">
        <v>104</v>
      </c>
      <c r="H585" s="23" t="s">
        <v>645</v>
      </c>
      <c r="I585" s="23"/>
      <c r="J585" s="23"/>
      <c r="K585" s="23" t="s">
        <v>13</v>
      </c>
      <c r="L585" s="32">
        <v>46204.539885069447</v>
      </c>
      <c r="M585" s="23"/>
    </row>
    <row r="586" spans="1:13" ht="75" customHeight="1" thickTop="1" thickBot="1">
      <c r="A586" s="23">
        <v>584</v>
      </c>
      <c r="B586" s="32">
        <v>46204.555712141198</v>
      </c>
      <c r="C586" s="33" t="s">
        <v>97</v>
      </c>
      <c r="D586" s="33" t="s">
        <v>395</v>
      </c>
      <c r="E586" s="23" t="s">
        <v>99</v>
      </c>
      <c r="F586" s="23" t="s">
        <v>102</v>
      </c>
      <c r="G586" s="23" t="s">
        <v>105</v>
      </c>
      <c r="H586" s="23" t="s">
        <v>646</v>
      </c>
      <c r="I586" s="23"/>
      <c r="J586" s="23"/>
      <c r="K586" s="23" t="s">
        <v>13</v>
      </c>
      <c r="L586" s="32">
        <v>46204.539925821759</v>
      </c>
      <c r="M586" s="23"/>
    </row>
    <row r="587" spans="1:13" ht="75" customHeight="1" thickTop="1" thickBot="1">
      <c r="A587" s="25">
        <v>585</v>
      </c>
      <c r="B587" s="32">
        <v>46204.5559229629</v>
      </c>
      <c r="C587" s="33" t="s">
        <v>97</v>
      </c>
      <c r="D587" s="33" t="s">
        <v>395</v>
      </c>
      <c r="E587" s="23" t="s">
        <v>99</v>
      </c>
      <c r="F587" s="23" t="s">
        <v>116</v>
      </c>
      <c r="G587" s="23" t="s">
        <v>981</v>
      </c>
      <c r="H587" s="23" t="s">
        <v>647</v>
      </c>
      <c r="I587" s="23"/>
      <c r="J587" s="23"/>
      <c r="K587" s="23" t="s">
        <v>13</v>
      </c>
      <c r="L587" s="32">
        <v>46204.539956631939</v>
      </c>
      <c r="M587" s="23"/>
    </row>
    <row r="588" spans="1:13" ht="75" customHeight="1" thickTop="1" thickBot="1">
      <c r="A588" s="23">
        <v>586</v>
      </c>
      <c r="B588" s="32">
        <v>46204.555926157402</v>
      </c>
      <c r="C588" s="33" t="s">
        <v>97</v>
      </c>
      <c r="D588" s="33" t="s">
        <v>272</v>
      </c>
      <c r="E588" s="23" t="s">
        <v>99</v>
      </c>
      <c r="F588" s="23" t="s">
        <v>126</v>
      </c>
      <c r="G588" s="23" t="s">
        <v>981</v>
      </c>
      <c r="H588" s="23" t="s">
        <v>648</v>
      </c>
      <c r="I588" s="23"/>
      <c r="J588" s="23"/>
      <c r="K588" s="23" t="s">
        <v>13</v>
      </c>
      <c r="L588" s="32">
        <v>46204.540014953702</v>
      </c>
      <c r="M588" s="23"/>
    </row>
    <row r="589" spans="1:13" ht="75" customHeight="1" thickTop="1" thickBot="1">
      <c r="A589" s="25">
        <v>587</v>
      </c>
      <c r="B589" s="32">
        <v>46204.556288055501</v>
      </c>
      <c r="C589" s="33" t="s">
        <v>97</v>
      </c>
      <c r="D589" s="33" t="s">
        <v>272</v>
      </c>
      <c r="E589" s="23" t="s">
        <v>99</v>
      </c>
      <c r="F589" s="23" t="s">
        <v>100</v>
      </c>
      <c r="G589" s="23" t="s">
        <v>119</v>
      </c>
      <c r="H589" s="23" t="s">
        <v>649</v>
      </c>
      <c r="I589" s="23"/>
      <c r="J589" s="23"/>
      <c r="K589" s="23" t="s">
        <v>13</v>
      </c>
      <c r="L589" s="32">
        <v>46204.540030821758</v>
      </c>
      <c r="M589" s="23"/>
    </row>
    <row r="590" spans="1:13" ht="75" customHeight="1" thickTop="1" thickBot="1">
      <c r="A590" s="23">
        <v>588</v>
      </c>
      <c r="B590" s="32">
        <v>46204.556376539302</v>
      </c>
      <c r="C590" s="33" t="s">
        <v>97</v>
      </c>
      <c r="D590" s="33" t="s">
        <v>395</v>
      </c>
      <c r="E590" s="23" t="s">
        <v>99</v>
      </c>
      <c r="F590" s="23" t="s">
        <v>102</v>
      </c>
      <c r="G590" s="23" t="s">
        <v>103</v>
      </c>
      <c r="H590" s="23" t="s">
        <v>650</v>
      </c>
      <c r="I590" s="23"/>
      <c r="J590" s="23"/>
      <c r="K590" s="23" t="s">
        <v>13</v>
      </c>
      <c r="L590" s="32">
        <v>46204.540077118058</v>
      </c>
      <c r="M590" s="23"/>
    </row>
    <row r="591" spans="1:13" ht="75" customHeight="1" thickTop="1" thickBot="1">
      <c r="A591" s="25">
        <v>589</v>
      </c>
      <c r="B591" s="32">
        <v>46204.556586956001</v>
      </c>
      <c r="C591" s="33" t="s">
        <v>97</v>
      </c>
      <c r="D591" s="33" t="s">
        <v>395</v>
      </c>
      <c r="E591" s="23" t="s">
        <v>99</v>
      </c>
      <c r="F591" s="23" t="s">
        <v>116</v>
      </c>
      <c r="G591" s="23" t="s">
        <v>103</v>
      </c>
      <c r="H591" s="23" t="s">
        <v>651</v>
      </c>
      <c r="I591" s="23"/>
      <c r="J591" s="23"/>
      <c r="K591" s="23" t="s">
        <v>13</v>
      </c>
      <c r="L591" s="32">
        <v>46204.540090439812</v>
      </c>
      <c r="M591" s="23"/>
    </row>
    <row r="592" spans="1:13" ht="75" customHeight="1" thickTop="1" thickBot="1">
      <c r="A592" s="23">
        <v>590</v>
      </c>
      <c r="B592" s="32">
        <v>46204.557049861098</v>
      </c>
      <c r="C592" s="33" t="s">
        <v>97</v>
      </c>
      <c r="D592" s="33" t="s">
        <v>395</v>
      </c>
      <c r="E592" s="23" t="s">
        <v>99</v>
      </c>
      <c r="F592" s="23" t="s">
        <v>102</v>
      </c>
      <c r="G592" s="23" t="s">
        <v>196</v>
      </c>
      <c r="H592" s="23" t="s">
        <v>652</v>
      </c>
      <c r="I592" s="23"/>
      <c r="J592" s="23"/>
      <c r="K592" s="23" t="s">
        <v>13</v>
      </c>
      <c r="L592" s="32">
        <v>46204.540206863428</v>
      </c>
      <c r="M592" s="23"/>
    </row>
    <row r="593" spans="1:13" ht="75" customHeight="1" thickTop="1" thickBot="1">
      <c r="A593" s="25">
        <v>591</v>
      </c>
      <c r="B593" s="32">
        <v>46204.557235335596</v>
      </c>
      <c r="C593" s="33" t="s">
        <v>97</v>
      </c>
      <c r="D593" s="33" t="s">
        <v>395</v>
      </c>
      <c r="E593" s="23" t="s">
        <v>99</v>
      </c>
      <c r="F593" s="23" t="s">
        <v>116</v>
      </c>
      <c r="G593" s="23" t="s">
        <v>103</v>
      </c>
      <c r="H593" s="23" t="s">
        <v>653</v>
      </c>
      <c r="I593" s="23"/>
      <c r="J593" s="23"/>
      <c r="K593" s="23" t="s">
        <v>13</v>
      </c>
      <c r="L593" s="32">
        <v>46204.540212106484</v>
      </c>
      <c r="M593" s="23"/>
    </row>
    <row r="594" spans="1:13" ht="75" customHeight="1" thickTop="1" thickBot="1">
      <c r="A594" s="23">
        <v>592</v>
      </c>
      <c r="B594" s="32">
        <v>46204.557553668899</v>
      </c>
      <c r="C594" s="33" t="s">
        <v>97</v>
      </c>
      <c r="D594" s="33" t="s">
        <v>272</v>
      </c>
      <c r="E594" s="23" t="s">
        <v>99</v>
      </c>
      <c r="F594" s="23" t="s">
        <v>116</v>
      </c>
      <c r="G594" s="23" t="s">
        <v>101</v>
      </c>
      <c r="H594" s="23" t="s">
        <v>654</v>
      </c>
      <c r="I594" s="23"/>
      <c r="J594" s="23"/>
      <c r="K594" s="23" t="s">
        <v>13</v>
      </c>
      <c r="L594" s="32">
        <v>46204.540238298607</v>
      </c>
      <c r="M594" s="23"/>
    </row>
    <row r="595" spans="1:13" ht="75" customHeight="1" thickTop="1" thickBot="1">
      <c r="A595" s="25">
        <v>593</v>
      </c>
      <c r="B595" s="32">
        <v>46204.557779212897</v>
      </c>
      <c r="C595" s="33" t="s">
        <v>97</v>
      </c>
      <c r="D595" s="33" t="s">
        <v>395</v>
      </c>
      <c r="E595" s="23" t="s">
        <v>99</v>
      </c>
      <c r="F595" s="23" t="s">
        <v>102</v>
      </c>
      <c r="G595" s="23" t="s">
        <v>104</v>
      </c>
      <c r="H595" s="23" t="s">
        <v>655</v>
      </c>
      <c r="I595" s="23"/>
      <c r="J595" s="23"/>
      <c r="K595" s="23" t="s">
        <v>13</v>
      </c>
      <c r="L595" s="32">
        <v>46204.540281712965</v>
      </c>
      <c r="M595" s="23"/>
    </row>
    <row r="596" spans="1:13" ht="75" customHeight="1" thickTop="1" thickBot="1">
      <c r="A596" s="23">
        <v>594</v>
      </c>
      <c r="B596" s="32">
        <v>46204.5578898495</v>
      </c>
      <c r="C596" s="33" t="s">
        <v>97</v>
      </c>
      <c r="D596" s="33" t="s">
        <v>272</v>
      </c>
      <c r="E596" s="23" t="s">
        <v>99</v>
      </c>
      <c r="F596" s="23" t="s">
        <v>102</v>
      </c>
      <c r="G596" s="23" t="s">
        <v>981</v>
      </c>
      <c r="H596" s="23" t="s">
        <v>656</v>
      </c>
      <c r="I596" s="23"/>
      <c r="J596" s="23"/>
      <c r="K596" s="23" t="s">
        <v>13</v>
      </c>
      <c r="L596" s="32">
        <v>46204.540298958338</v>
      </c>
      <c r="M596" s="23"/>
    </row>
    <row r="597" spans="1:13" ht="75" customHeight="1" thickTop="1" thickBot="1">
      <c r="A597" s="25">
        <v>595</v>
      </c>
      <c r="B597" s="32">
        <v>46204.557901388798</v>
      </c>
      <c r="C597" s="33" t="s">
        <v>97</v>
      </c>
      <c r="D597" s="33" t="s">
        <v>395</v>
      </c>
      <c r="E597" s="23" t="s">
        <v>99</v>
      </c>
      <c r="F597" s="23" t="s">
        <v>116</v>
      </c>
      <c r="G597" s="23" t="s">
        <v>103</v>
      </c>
      <c r="H597" s="23" t="s">
        <v>657</v>
      </c>
      <c r="I597" s="23"/>
      <c r="J597" s="23"/>
      <c r="K597" s="23" t="s">
        <v>13</v>
      </c>
      <c r="L597" s="32">
        <v>46204.540347731483</v>
      </c>
      <c r="M597" s="23"/>
    </row>
    <row r="598" spans="1:13" ht="75" customHeight="1" thickTop="1" thickBot="1">
      <c r="A598" s="23">
        <v>596</v>
      </c>
      <c r="B598" s="32">
        <v>46204.558402546201</v>
      </c>
      <c r="C598" s="33" t="s">
        <v>97</v>
      </c>
      <c r="D598" s="33" t="s">
        <v>272</v>
      </c>
      <c r="E598" s="23" t="s">
        <v>99</v>
      </c>
      <c r="F598" s="23" t="s">
        <v>116</v>
      </c>
      <c r="G598" s="23" t="s">
        <v>106</v>
      </c>
      <c r="H598" s="23" t="s">
        <v>658</v>
      </c>
      <c r="I598" s="23"/>
      <c r="J598" s="23"/>
      <c r="K598" s="23" t="s">
        <v>13</v>
      </c>
      <c r="L598" s="32">
        <v>46204.540401712962</v>
      </c>
      <c r="M598" s="23"/>
    </row>
    <row r="599" spans="1:13" ht="75" customHeight="1" thickTop="1" thickBot="1">
      <c r="A599" s="25">
        <v>597</v>
      </c>
      <c r="B599" s="32">
        <v>46204.558511967502</v>
      </c>
      <c r="C599" s="33" t="s">
        <v>97</v>
      </c>
      <c r="D599" s="33" t="s">
        <v>395</v>
      </c>
      <c r="E599" s="23" t="s">
        <v>99</v>
      </c>
      <c r="F599" s="23" t="s">
        <v>102</v>
      </c>
      <c r="G599" s="23" t="s">
        <v>106</v>
      </c>
      <c r="H599" s="23" t="s">
        <v>659</v>
      </c>
      <c r="I599" s="23"/>
      <c r="J599" s="23"/>
      <c r="K599" s="23" t="s">
        <v>13</v>
      </c>
      <c r="L599" s="32">
        <v>46204.540407615743</v>
      </c>
      <c r="M599" s="23"/>
    </row>
    <row r="600" spans="1:13" ht="75" customHeight="1" thickTop="1" thickBot="1">
      <c r="A600" s="23">
        <v>598</v>
      </c>
      <c r="B600" s="32">
        <v>46204.5585608564</v>
      </c>
      <c r="C600" s="33" t="s">
        <v>97</v>
      </c>
      <c r="D600" s="33" t="s">
        <v>395</v>
      </c>
      <c r="E600" s="23" t="s">
        <v>99</v>
      </c>
      <c r="F600" s="23" t="s">
        <v>126</v>
      </c>
      <c r="G600" s="23" t="s">
        <v>106</v>
      </c>
      <c r="H600" s="23" t="s">
        <v>660</v>
      </c>
      <c r="I600" s="23"/>
      <c r="J600" s="23"/>
      <c r="K600" s="23" t="s">
        <v>13</v>
      </c>
      <c r="L600" s="32">
        <v>46204.540429814813</v>
      </c>
      <c r="M600" s="23"/>
    </row>
    <row r="601" spans="1:13" ht="75" customHeight="1" thickTop="1" thickBot="1">
      <c r="A601" s="25">
        <v>599</v>
      </c>
      <c r="B601" s="32">
        <v>46204.558913240697</v>
      </c>
      <c r="C601" s="33" t="s">
        <v>97</v>
      </c>
      <c r="D601" s="33" t="s">
        <v>272</v>
      </c>
      <c r="E601" s="23" t="s">
        <v>99</v>
      </c>
      <c r="F601" s="23" t="s">
        <v>100</v>
      </c>
      <c r="G601" s="23" t="s">
        <v>152</v>
      </c>
      <c r="H601" s="23" t="s">
        <v>661</v>
      </c>
      <c r="I601" s="23"/>
      <c r="J601" s="23"/>
      <c r="K601" s="23" t="s">
        <v>13</v>
      </c>
      <c r="L601" s="32">
        <v>46204.540477974537</v>
      </c>
      <c r="M601" s="23"/>
    </row>
    <row r="602" spans="1:13" ht="75" customHeight="1" thickTop="1" thickBot="1">
      <c r="A602" s="23">
        <v>600</v>
      </c>
      <c r="B602" s="32">
        <v>46204.559045960603</v>
      </c>
      <c r="C602" s="33" t="s">
        <v>97</v>
      </c>
      <c r="D602" s="33" t="s">
        <v>395</v>
      </c>
      <c r="E602" s="23" t="s">
        <v>99</v>
      </c>
      <c r="F602" s="23" t="s">
        <v>102</v>
      </c>
      <c r="G602" s="23" t="s">
        <v>106</v>
      </c>
      <c r="H602" s="23" t="s">
        <v>662</v>
      </c>
      <c r="I602" s="23"/>
      <c r="J602" s="23"/>
      <c r="K602" s="23" t="s">
        <v>13</v>
      </c>
      <c r="L602" s="32">
        <v>46204.5474134838</v>
      </c>
      <c r="M602" s="23"/>
    </row>
    <row r="603" spans="1:13" ht="75" customHeight="1" thickTop="1" thickBot="1">
      <c r="A603" s="25">
        <v>601</v>
      </c>
      <c r="B603" s="32">
        <v>46204.559274895801</v>
      </c>
      <c r="C603" s="33" t="s">
        <v>97</v>
      </c>
      <c r="D603" s="33" t="s">
        <v>395</v>
      </c>
      <c r="E603" s="23" t="s">
        <v>99</v>
      </c>
      <c r="F603" s="23" t="s">
        <v>116</v>
      </c>
      <c r="G603" s="23" t="s">
        <v>108</v>
      </c>
      <c r="H603" s="23" t="s">
        <v>663</v>
      </c>
      <c r="I603" s="23"/>
      <c r="J603" s="23"/>
      <c r="K603" s="23" t="s">
        <v>13</v>
      </c>
      <c r="L603" s="32">
        <v>46204.547429953702</v>
      </c>
      <c r="M603" s="23"/>
    </row>
    <row r="604" spans="1:13" ht="75" customHeight="1" thickTop="1" thickBot="1">
      <c r="A604" s="23">
        <v>602</v>
      </c>
      <c r="B604" s="32">
        <v>46204.559311030003</v>
      </c>
      <c r="C604" s="33" t="s">
        <v>97</v>
      </c>
      <c r="D604" s="33" t="s">
        <v>272</v>
      </c>
      <c r="E604" s="23" t="s">
        <v>99</v>
      </c>
      <c r="F604" s="23" t="s">
        <v>100</v>
      </c>
      <c r="G604" s="23" t="s">
        <v>152</v>
      </c>
      <c r="H604" s="23" t="s">
        <v>664</v>
      </c>
      <c r="I604" s="23"/>
      <c r="J604" s="23"/>
      <c r="K604" s="23" t="s">
        <v>13</v>
      </c>
      <c r="L604" s="32">
        <v>46204.547450671293</v>
      </c>
      <c r="M604" s="23"/>
    </row>
    <row r="605" spans="1:13" ht="75" customHeight="1" thickTop="1" thickBot="1">
      <c r="A605" s="25">
        <v>603</v>
      </c>
      <c r="B605" s="32">
        <v>46204.5596198032</v>
      </c>
      <c r="C605" s="33" t="s">
        <v>97</v>
      </c>
      <c r="D605" s="33" t="s">
        <v>395</v>
      </c>
      <c r="E605" s="23" t="s">
        <v>99</v>
      </c>
      <c r="F605" s="23" t="s">
        <v>102</v>
      </c>
      <c r="G605" s="23" t="s">
        <v>103</v>
      </c>
      <c r="H605" s="23" t="s">
        <v>665</v>
      </c>
      <c r="I605" s="23"/>
      <c r="J605" s="23"/>
      <c r="K605" s="23" t="s">
        <v>13</v>
      </c>
      <c r="L605" s="32">
        <v>46204.547470266203</v>
      </c>
      <c r="M605" s="23"/>
    </row>
    <row r="606" spans="1:13" ht="75" customHeight="1" thickTop="1" thickBot="1">
      <c r="A606" s="23">
        <v>604</v>
      </c>
      <c r="B606" s="32">
        <v>46204.559776296301</v>
      </c>
      <c r="C606" s="33" t="s">
        <v>97</v>
      </c>
      <c r="D606" s="33" t="s">
        <v>272</v>
      </c>
      <c r="E606" s="23" t="s">
        <v>99</v>
      </c>
      <c r="F606" s="23" t="s">
        <v>102</v>
      </c>
      <c r="G606" s="23" t="s">
        <v>110</v>
      </c>
      <c r="H606" s="23" t="s">
        <v>666</v>
      </c>
      <c r="I606" s="23"/>
      <c r="J606" s="23"/>
      <c r="K606" s="23" t="s">
        <v>13</v>
      </c>
      <c r="L606" s="32">
        <v>46204.547519305561</v>
      </c>
      <c r="M606" s="23"/>
    </row>
    <row r="607" spans="1:13" ht="75" customHeight="1" thickTop="1" thickBot="1">
      <c r="A607" s="25">
        <v>605</v>
      </c>
      <c r="B607" s="32">
        <v>46204.5602069097</v>
      </c>
      <c r="C607" s="33" t="s">
        <v>97</v>
      </c>
      <c r="D607" s="33" t="s">
        <v>395</v>
      </c>
      <c r="E607" s="23" t="s">
        <v>99</v>
      </c>
      <c r="F607" s="23" t="s">
        <v>116</v>
      </c>
      <c r="G607" s="23" t="s">
        <v>196</v>
      </c>
      <c r="H607" s="23" t="s">
        <v>667</v>
      </c>
      <c r="I607" s="23"/>
      <c r="J607" s="23"/>
      <c r="K607" s="23" t="s">
        <v>13</v>
      </c>
      <c r="L607" s="32">
        <v>46204.547535081016</v>
      </c>
      <c r="M607" s="23"/>
    </row>
    <row r="608" spans="1:13" ht="75" customHeight="1" thickTop="1" thickBot="1">
      <c r="A608" s="23">
        <v>606</v>
      </c>
      <c r="B608" s="32">
        <v>46204.5602464236</v>
      </c>
      <c r="C608" s="33" t="s">
        <v>97</v>
      </c>
      <c r="D608" s="33" t="s">
        <v>272</v>
      </c>
      <c r="E608" s="23" t="s">
        <v>99</v>
      </c>
      <c r="F608" s="23" t="s">
        <v>100</v>
      </c>
      <c r="G608" s="23" t="s">
        <v>442</v>
      </c>
      <c r="H608" s="23" t="s">
        <v>668</v>
      </c>
      <c r="I608" s="23"/>
      <c r="J608" s="23"/>
      <c r="K608" s="23" t="s">
        <v>13</v>
      </c>
      <c r="L608" s="32">
        <v>46204.547572916665</v>
      </c>
      <c r="M608" s="23"/>
    </row>
    <row r="609" spans="1:13" ht="75" customHeight="1" thickTop="1" thickBot="1">
      <c r="A609" s="25">
        <v>607</v>
      </c>
      <c r="B609" s="32">
        <v>46204.560336701303</v>
      </c>
      <c r="C609" s="33" t="s">
        <v>97</v>
      </c>
      <c r="D609" s="33" t="s">
        <v>395</v>
      </c>
      <c r="E609" s="23" t="s">
        <v>99</v>
      </c>
      <c r="F609" s="23" t="s">
        <v>102</v>
      </c>
      <c r="G609" s="23" t="s">
        <v>103</v>
      </c>
      <c r="H609" s="23" t="s">
        <v>669</v>
      </c>
      <c r="I609" s="23"/>
      <c r="J609" s="23"/>
      <c r="K609" s="23" t="s">
        <v>13</v>
      </c>
      <c r="L609" s="32">
        <v>46204.547629733795</v>
      </c>
      <c r="M609" s="23"/>
    </row>
    <row r="610" spans="1:13" ht="75" customHeight="1" thickTop="1" thickBot="1">
      <c r="A610" s="23">
        <v>608</v>
      </c>
      <c r="B610" s="32">
        <v>46204.560409224498</v>
      </c>
      <c r="C610" s="33" t="s">
        <v>97</v>
      </c>
      <c r="D610" s="33" t="s">
        <v>395</v>
      </c>
      <c r="E610" s="23" t="s">
        <v>99</v>
      </c>
      <c r="F610" s="23" t="s">
        <v>116</v>
      </c>
      <c r="G610" s="23" t="s">
        <v>106</v>
      </c>
      <c r="H610" s="23" t="s">
        <v>670</v>
      </c>
      <c r="I610" s="23"/>
      <c r="J610" s="23"/>
      <c r="K610" s="23" t="s">
        <v>13</v>
      </c>
      <c r="L610" s="32">
        <v>46204.547641585646</v>
      </c>
      <c r="M610" s="23"/>
    </row>
    <row r="611" spans="1:13" ht="75" customHeight="1" thickTop="1" thickBot="1">
      <c r="A611" s="25">
        <v>609</v>
      </c>
      <c r="B611" s="32">
        <v>46204.560575080999</v>
      </c>
      <c r="C611" s="33" t="s">
        <v>97</v>
      </c>
      <c r="D611" s="33" t="s">
        <v>272</v>
      </c>
      <c r="E611" s="23" t="s">
        <v>99</v>
      </c>
      <c r="F611" s="23" t="s">
        <v>116</v>
      </c>
      <c r="G611" s="23" t="s">
        <v>101</v>
      </c>
      <c r="H611" s="23" t="s">
        <v>654</v>
      </c>
      <c r="I611" s="23"/>
      <c r="J611" s="23"/>
      <c r="K611" s="23" t="s">
        <v>13</v>
      </c>
      <c r="L611" s="32">
        <v>46204.547687569444</v>
      </c>
      <c r="M611" s="23"/>
    </row>
    <row r="612" spans="1:13" ht="75" customHeight="1" thickTop="1" thickBot="1">
      <c r="A612" s="23">
        <v>610</v>
      </c>
      <c r="B612" s="32">
        <v>46204.560812986099</v>
      </c>
      <c r="C612" s="33" t="s">
        <v>97</v>
      </c>
      <c r="D612" s="33" t="s">
        <v>395</v>
      </c>
      <c r="E612" s="23" t="s">
        <v>99</v>
      </c>
      <c r="F612" s="23" t="s">
        <v>102</v>
      </c>
      <c r="G612" s="23" t="s">
        <v>104</v>
      </c>
      <c r="H612" s="23" t="s">
        <v>671</v>
      </c>
      <c r="I612" s="23"/>
      <c r="J612" s="23"/>
      <c r="K612" s="23" t="s">
        <v>13</v>
      </c>
      <c r="L612" s="32">
        <v>46204.547730034727</v>
      </c>
      <c r="M612" s="23"/>
    </row>
    <row r="613" spans="1:13" ht="75" customHeight="1" thickTop="1" thickBot="1">
      <c r="A613" s="25">
        <v>611</v>
      </c>
      <c r="B613" s="32">
        <v>46204.560817465201</v>
      </c>
      <c r="C613" s="33" t="s">
        <v>97</v>
      </c>
      <c r="D613" s="33" t="s">
        <v>395</v>
      </c>
      <c r="E613" s="23" t="s">
        <v>99</v>
      </c>
      <c r="F613" s="23" t="s">
        <v>116</v>
      </c>
      <c r="G613" s="23" t="s">
        <v>108</v>
      </c>
      <c r="H613" s="23" t="s">
        <v>672</v>
      </c>
      <c r="I613" s="23"/>
      <c r="J613" s="23"/>
      <c r="K613" s="23" t="s">
        <v>13</v>
      </c>
      <c r="L613" s="32">
        <v>46204.547742812501</v>
      </c>
      <c r="M613" s="23"/>
    </row>
    <row r="614" spans="1:13" ht="75" customHeight="1" thickTop="1" thickBot="1">
      <c r="A614" s="23">
        <v>612</v>
      </c>
      <c r="B614" s="32">
        <v>46204.560831793897</v>
      </c>
      <c r="C614" s="33" t="s">
        <v>97</v>
      </c>
      <c r="D614" s="33" t="s">
        <v>395</v>
      </c>
      <c r="E614" s="23" t="s">
        <v>99</v>
      </c>
      <c r="F614" s="23" t="s">
        <v>116</v>
      </c>
      <c r="G614" s="23" t="s">
        <v>152</v>
      </c>
      <c r="H614" s="23" t="s">
        <v>673</v>
      </c>
      <c r="I614" s="23"/>
      <c r="J614" s="23"/>
      <c r="K614" s="23" t="s">
        <v>13</v>
      </c>
      <c r="L614" s="32">
        <v>46204.548119340281</v>
      </c>
      <c r="M614" s="23"/>
    </row>
    <row r="615" spans="1:13" ht="75" customHeight="1" thickTop="1" thickBot="1">
      <c r="A615" s="25">
        <v>613</v>
      </c>
      <c r="B615" s="32">
        <v>46204.560884259197</v>
      </c>
      <c r="C615" s="33" t="s">
        <v>97</v>
      </c>
      <c r="D615" s="33" t="s">
        <v>272</v>
      </c>
      <c r="E615" s="23" t="s">
        <v>99</v>
      </c>
      <c r="F615" s="23" t="s">
        <v>102</v>
      </c>
      <c r="G615" s="23" t="s">
        <v>168</v>
      </c>
      <c r="H615" s="23" t="s">
        <v>674</v>
      </c>
      <c r="I615" s="23"/>
      <c r="J615" s="23"/>
      <c r="K615" s="23" t="s">
        <v>13</v>
      </c>
      <c r="L615" s="32">
        <v>46204.548162696759</v>
      </c>
      <c r="M615" s="23"/>
    </row>
    <row r="616" spans="1:13" ht="75" customHeight="1" thickTop="1" thickBot="1">
      <c r="A616" s="23">
        <v>614</v>
      </c>
      <c r="B616" s="32">
        <v>46204.561383043903</v>
      </c>
      <c r="C616" s="33" t="s">
        <v>97</v>
      </c>
      <c r="D616" s="33" t="s">
        <v>395</v>
      </c>
      <c r="E616" s="23" t="s">
        <v>99</v>
      </c>
      <c r="F616" s="23" t="s">
        <v>116</v>
      </c>
      <c r="G616" s="23" t="s">
        <v>106</v>
      </c>
      <c r="H616" s="23" t="s">
        <v>675</v>
      </c>
      <c r="I616" s="23"/>
      <c r="J616" s="23"/>
      <c r="K616" s="23" t="s">
        <v>13</v>
      </c>
      <c r="L616" s="32">
        <v>46204.548184085652</v>
      </c>
      <c r="M616" s="23"/>
    </row>
    <row r="617" spans="1:13" ht="75" customHeight="1" thickTop="1" thickBot="1">
      <c r="A617" s="25">
        <v>615</v>
      </c>
      <c r="B617" s="32">
        <v>46204.5614839583</v>
      </c>
      <c r="C617" s="33" t="s">
        <v>97</v>
      </c>
      <c r="D617" s="33" t="s">
        <v>395</v>
      </c>
      <c r="E617" s="23" t="s">
        <v>99</v>
      </c>
      <c r="F617" s="23" t="s">
        <v>116</v>
      </c>
      <c r="G617" s="23" t="s">
        <v>104</v>
      </c>
      <c r="H617" s="23" t="s">
        <v>676</v>
      </c>
      <c r="I617" s="23"/>
      <c r="J617" s="23"/>
      <c r="K617" s="23" t="s">
        <v>13</v>
      </c>
      <c r="L617" s="32">
        <v>46204.548198958335</v>
      </c>
      <c r="M617" s="23"/>
    </row>
    <row r="618" spans="1:13" ht="75" customHeight="1" thickTop="1" thickBot="1">
      <c r="A618" s="23">
        <v>616</v>
      </c>
      <c r="B618" s="32">
        <v>46204.561489710599</v>
      </c>
      <c r="C618" s="33" t="s">
        <v>97</v>
      </c>
      <c r="D618" s="33" t="s">
        <v>272</v>
      </c>
      <c r="E618" s="23" t="s">
        <v>99</v>
      </c>
      <c r="F618" s="23" t="s">
        <v>102</v>
      </c>
      <c r="G618" s="23" t="s">
        <v>104</v>
      </c>
      <c r="H618" s="23" t="s">
        <v>677</v>
      </c>
      <c r="I618" s="23"/>
      <c r="J618" s="23"/>
      <c r="K618" s="23" t="s">
        <v>13</v>
      </c>
      <c r="L618" s="32">
        <v>46204.548295000001</v>
      </c>
      <c r="M618" s="23"/>
    </row>
    <row r="619" spans="1:13" ht="75" customHeight="1" thickTop="1" thickBot="1">
      <c r="A619" s="25">
        <v>617</v>
      </c>
      <c r="B619" s="32">
        <v>46204.561530486098</v>
      </c>
      <c r="C619" s="33" t="s">
        <v>97</v>
      </c>
      <c r="D619" s="33" t="s">
        <v>395</v>
      </c>
      <c r="E619" s="23" t="s">
        <v>99</v>
      </c>
      <c r="F619" s="23" t="s">
        <v>116</v>
      </c>
      <c r="G619" s="23" t="s">
        <v>152</v>
      </c>
      <c r="H619" s="23" t="s">
        <v>678</v>
      </c>
      <c r="I619" s="23"/>
      <c r="J619" s="23"/>
      <c r="K619" s="23" t="s">
        <v>13</v>
      </c>
      <c r="L619" s="32">
        <v>46204.548259374998</v>
      </c>
      <c r="M619" s="23"/>
    </row>
    <row r="620" spans="1:13" ht="75" customHeight="1" thickTop="1" thickBot="1">
      <c r="A620" s="23">
        <v>618</v>
      </c>
      <c r="B620" s="32">
        <v>46204.561749687498</v>
      </c>
      <c r="C620" s="33" t="s">
        <v>97</v>
      </c>
      <c r="D620" s="33" t="s">
        <v>272</v>
      </c>
      <c r="E620" s="23" t="s">
        <v>99</v>
      </c>
      <c r="F620" s="23" t="s">
        <v>116</v>
      </c>
      <c r="G620" s="23" t="s">
        <v>101</v>
      </c>
      <c r="H620" s="23" t="s">
        <v>679</v>
      </c>
      <c r="I620" s="23"/>
      <c r="J620" s="23"/>
      <c r="K620" s="23" t="s">
        <v>13</v>
      </c>
      <c r="L620" s="32">
        <v>46204.548277326394</v>
      </c>
      <c r="M620" s="23"/>
    </row>
    <row r="621" spans="1:13" ht="75" customHeight="1" thickTop="1" thickBot="1">
      <c r="A621" s="25">
        <v>619</v>
      </c>
      <c r="B621" s="32">
        <v>46204.562104571698</v>
      </c>
      <c r="C621" s="33" t="s">
        <v>97</v>
      </c>
      <c r="D621" s="33" t="s">
        <v>395</v>
      </c>
      <c r="E621" s="23" t="s">
        <v>99</v>
      </c>
      <c r="F621" s="23" t="s">
        <v>126</v>
      </c>
      <c r="G621" s="23" t="s">
        <v>168</v>
      </c>
      <c r="H621" s="23" t="s">
        <v>1070</v>
      </c>
      <c r="I621" s="23"/>
      <c r="J621" s="23" t="s">
        <v>16</v>
      </c>
      <c r="K621" s="23" t="s">
        <v>13</v>
      </c>
      <c r="L621" s="32">
        <v>46204.779594178239</v>
      </c>
      <c r="M621" s="23"/>
    </row>
    <row r="622" spans="1:13" ht="75" customHeight="1" thickTop="1" thickBot="1">
      <c r="A622" s="23">
        <v>620</v>
      </c>
      <c r="B622" s="32">
        <v>46204.562340601798</v>
      </c>
      <c r="C622" s="33" t="s">
        <v>97</v>
      </c>
      <c r="D622" s="33" t="s">
        <v>272</v>
      </c>
      <c r="E622" s="23" t="s">
        <v>99</v>
      </c>
      <c r="F622" s="23" t="s">
        <v>116</v>
      </c>
      <c r="G622" s="23" t="s">
        <v>101</v>
      </c>
      <c r="H622" s="23" t="s">
        <v>680</v>
      </c>
      <c r="I622" s="23"/>
      <c r="J622" s="23" t="s">
        <v>14</v>
      </c>
      <c r="K622" s="23" t="s">
        <v>13</v>
      </c>
      <c r="L622" s="32">
        <v>46204.779886099539</v>
      </c>
      <c r="M622" s="23"/>
    </row>
    <row r="623" spans="1:13" ht="75" customHeight="1" thickTop="1" thickBot="1">
      <c r="A623" s="25">
        <v>621</v>
      </c>
      <c r="B623" s="32">
        <v>46204.562347418898</v>
      </c>
      <c r="C623" s="33" t="s">
        <v>97</v>
      </c>
      <c r="D623" s="33" t="s">
        <v>395</v>
      </c>
      <c r="E623" s="23" t="s">
        <v>99</v>
      </c>
      <c r="F623" s="23" t="s">
        <v>100</v>
      </c>
      <c r="G623" s="23" t="s">
        <v>124</v>
      </c>
      <c r="H623" s="23" t="s">
        <v>1071</v>
      </c>
      <c r="I623" s="23"/>
      <c r="J623" s="23" t="s">
        <v>16</v>
      </c>
      <c r="K623" s="23" t="s">
        <v>13</v>
      </c>
      <c r="L623" s="32">
        <v>46204.780062511578</v>
      </c>
      <c r="M623" s="23"/>
    </row>
    <row r="624" spans="1:13" ht="75" customHeight="1" thickTop="1" thickBot="1">
      <c r="A624" s="23">
        <v>622</v>
      </c>
      <c r="B624" s="32">
        <v>46204.562708738398</v>
      </c>
      <c r="C624" s="33" t="s">
        <v>97</v>
      </c>
      <c r="D624" s="33" t="s">
        <v>272</v>
      </c>
      <c r="E624" s="23" t="s">
        <v>99</v>
      </c>
      <c r="F624" s="23" t="s">
        <v>102</v>
      </c>
      <c r="G624" s="23" t="s">
        <v>152</v>
      </c>
      <c r="H624" s="23" t="s">
        <v>681</v>
      </c>
      <c r="I624" s="23"/>
      <c r="J624" s="23" t="s">
        <v>14</v>
      </c>
      <c r="K624" s="23" t="s">
        <v>13</v>
      </c>
      <c r="L624" s="32">
        <v>46204.780152129628</v>
      </c>
      <c r="M624" s="23"/>
    </row>
    <row r="625" spans="1:13" ht="75" customHeight="1" thickTop="1" thickBot="1">
      <c r="A625" s="25">
        <v>623</v>
      </c>
      <c r="B625" s="32">
        <v>46204.562774884202</v>
      </c>
      <c r="C625" s="33" t="s">
        <v>97</v>
      </c>
      <c r="D625" s="33" t="s">
        <v>395</v>
      </c>
      <c r="E625" s="23" t="s">
        <v>99</v>
      </c>
      <c r="F625" s="23" t="s">
        <v>100</v>
      </c>
      <c r="G625" s="23" t="s">
        <v>103</v>
      </c>
      <c r="H625" s="23" t="s">
        <v>1072</v>
      </c>
      <c r="I625" s="23"/>
      <c r="J625" s="23" t="s">
        <v>16</v>
      </c>
      <c r="K625" s="23" t="s">
        <v>13</v>
      </c>
      <c r="L625" s="32">
        <v>46204.780300925922</v>
      </c>
      <c r="M625" s="23"/>
    </row>
    <row r="626" spans="1:13" ht="75" customHeight="1" thickTop="1" thickBot="1">
      <c r="A626" s="23">
        <v>624</v>
      </c>
      <c r="B626" s="32">
        <v>46204.5629631712</v>
      </c>
      <c r="C626" s="33" t="s">
        <v>97</v>
      </c>
      <c r="D626" s="33" t="s">
        <v>395</v>
      </c>
      <c r="E626" s="23" t="s">
        <v>99</v>
      </c>
      <c r="F626" s="23" t="s">
        <v>157</v>
      </c>
      <c r="G626" s="23" t="s">
        <v>101</v>
      </c>
      <c r="H626" s="23" t="s">
        <v>682</v>
      </c>
      <c r="I626" s="23"/>
      <c r="J626" s="23" t="s">
        <v>16</v>
      </c>
      <c r="K626" s="23" t="s">
        <v>13</v>
      </c>
      <c r="L626" s="32">
        <v>46204.780399930554</v>
      </c>
      <c r="M626" s="23"/>
    </row>
    <row r="627" spans="1:13" ht="75" customHeight="1" thickTop="1" thickBot="1">
      <c r="A627" s="25">
        <v>625</v>
      </c>
      <c r="B627" s="32">
        <v>46204.562991423598</v>
      </c>
      <c r="C627" s="33" t="s">
        <v>97</v>
      </c>
      <c r="D627" s="33" t="s">
        <v>395</v>
      </c>
      <c r="E627" s="23" t="s">
        <v>99</v>
      </c>
      <c r="F627" s="23" t="s">
        <v>102</v>
      </c>
      <c r="G627" s="23" t="s">
        <v>108</v>
      </c>
      <c r="H627" s="23" t="s">
        <v>683</v>
      </c>
      <c r="I627" s="23"/>
      <c r="J627" s="23" t="s">
        <v>16</v>
      </c>
      <c r="K627" s="23" t="s">
        <v>13</v>
      </c>
      <c r="L627" s="32">
        <v>46204.780514988423</v>
      </c>
      <c r="M627" s="23"/>
    </row>
    <row r="628" spans="1:13" ht="75" customHeight="1" thickTop="1" thickBot="1">
      <c r="A628" s="23">
        <v>626</v>
      </c>
      <c r="B628" s="32">
        <v>46204.563028356402</v>
      </c>
      <c r="C628" s="33" t="s">
        <v>97</v>
      </c>
      <c r="D628" s="33" t="s">
        <v>272</v>
      </c>
      <c r="E628" s="23" t="s">
        <v>99</v>
      </c>
      <c r="F628" s="23" t="s">
        <v>102</v>
      </c>
      <c r="G628" s="23" t="s">
        <v>152</v>
      </c>
      <c r="H628" s="23" t="s">
        <v>986</v>
      </c>
      <c r="I628" s="23"/>
      <c r="J628" s="23" t="s">
        <v>15</v>
      </c>
      <c r="K628" s="23" t="s">
        <v>13</v>
      </c>
      <c r="L628" s="32">
        <v>46204.7806647338</v>
      </c>
      <c r="M628" s="23"/>
    </row>
    <row r="629" spans="1:13" ht="75" customHeight="1" thickTop="1" thickBot="1">
      <c r="A629" s="25">
        <v>627</v>
      </c>
      <c r="B629" s="32">
        <v>46204.5634379166</v>
      </c>
      <c r="C629" s="33" t="s">
        <v>97</v>
      </c>
      <c r="D629" s="33" t="s">
        <v>395</v>
      </c>
      <c r="E629" s="23" t="s">
        <v>99</v>
      </c>
      <c r="F629" s="23" t="s">
        <v>126</v>
      </c>
      <c r="G629" s="23" t="s">
        <v>198</v>
      </c>
      <c r="H629" s="23" t="s">
        <v>1073</v>
      </c>
      <c r="I629" s="23"/>
      <c r="J629" s="23" t="s">
        <v>16</v>
      </c>
      <c r="K629" s="23" t="s">
        <v>13</v>
      </c>
      <c r="L629" s="32">
        <v>46204.780889062502</v>
      </c>
      <c r="M629" s="23"/>
    </row>
    <row r="630" spans="1:13" ht="75" customHeight="1" thickTop="1" thickBot="1">
      <c r="A630" s="23">
        <v>628</v>
      </c>
      <c r="B630" s="32">
        <v>46204.563624849499</v>
      </c>
      <c r="C630" s="33" t="s">
        <v>97</v>
      </c>
      <c r="D630" s="33" t="s">
        <v>395</v>
      </c>
      <c r="E630" s="23" t="s">
        <v>99</v>
      </c>
      <c r="F630" s="23" t="s">
        <v>100</v>
      </c>
      <c r="G630" s="23" t="s">
        <v>106</v>
      </c>
      <c r="H630" s="23" t="s">
        <v>684</v>
      </c>
      <c r="I630" s="23"/>
      <c r="J630" s="23" t="s">
        <v>16</v>
      </c>
      <c r="K630" s="23" t="s">
        <v>13</v>
      </c>
      <c r="L630" s="32">
        <v>46204.780979618052</v>
      </c>
      <c r="M630" s="23"/>
    </row>
    <row r="631" spans="1:13" ht="75" customHeight="1" thickTop="1" thickBot="1">
      <c r="A631" s="25">
        <v>629</v>
      </c>
      <c r="B631" s="32">
        <v>46204.563905196701</v>
      </c>
      <c r="C631" s="33" t="s">
        <v>97</v>
      </c>
      <c r="D631" s="33" t="s">
        <v>395</v>
      </c>
      <c r="E631" s="23" t="s">
        <v>99</v>
      </c>
      <c r="F631" s="23" t="s">
        <v>100</v>
      </c>
      <c r="G631" s="23" t="s">
        <v>108</v>
      </c>
      <c r="H631" s="23" t="s">
        <v>685</v>
      </c>
      <c r="I631" s="23"/>
      <c r="J631" s="23" t="s">
        <v>16</v>
      </c>
      <c r="K631" s="23" t="s">
        <v>13</v>
      </c>
      <c r="L631" s="32">
        <v>46204.781063750001</v>
      </c>
      <c r="M631" s="23"/>
    </row>
    <row r="632" spans="1:13" ht="75" customHeight="1" thickTop="1" thickBot="1">
      <c r="A632" s="23">
        <v>630</v>
      </c>
      <c r="B632" s="32">
        <v>46204.563916886502</v>
      </c>
      <c r="C632" s="33" t="s">
        <v>97</v>
      </c>
      <c r="D632" s="33" t="s">
        <v>272</v>
      </c>
      <c r="E632" s="23" t="s">
        <v>99</v>
      </c>
      <c r="F632" s="23" t="s">
        <v>100</v>
      </c>
      <c r="G632" s="23" t="s">
        <v>152</v>
      </c>
      <c r="H632" s="23" t="s">
        <v>686</v>
      </c>
      <c r="I632" s="23"/>
      <c r="J632" s="23" t="s">
        <v>14</v>
      </c>
      <c r="K632" s="23" t="s">
        <v>13</v>
      </c>
      <c r="L632" s="32">
        <v>46204.781142222222</v>
      </c>
      <c r="M632" s="23"/>
    </row>
    <row r="633" spans="1:13" ht="75" customHeight="1" thickTop="1" thickBot="1">
      <c r="A633" s="25">
        <v>631</v>
      </c>
      <c r="B633" s="32">
        <v>46204.564050231398</v>
      </c>
      <c r="C633" s="33" t="s">
        <v>97</v>
      </c>
      <c r="D633" s="33" t="s">
        <v>395</v>
      </c>
      <c r="E633" s="23" t="s">
        <v>99</v>
      </c>
      <c r="F633" s="23" t="s">
        <v>102</v>
      </c>
      <c r="G633" s="23" t="s">
        <v>206</v>
      </c>
      <c r="H633" s="23" t="s">
        <v>1075</v>
      </c>
      <c r="I633" s="23"/>
      <c r="J633" s="23" t="s">
        <v>16</v>
      </c>
      <c r="K633" s="23" t="s">
        <v>13</v>
      </c>
      <c r="L633" s="32">
        <v>46204.781236747687</v>
      </c>
      <c r="M633" s="23"/>
    </row>
    <row r="634" spans="1:13" ht="75" customHeight="1" thickTop="1" thickBot="1">
      <c r="A634" s="23">
        <v>632</v>
      </c>
      <c r="B634" s="32">
        <v>46204.564236550897</v>
      </c>
      <c r="C634" s="33" t="s">
        <v>97</v>
      </c>
      <c r="D634" s="33" t="s">
        <v>395</v>
      </c>
      <c r="E634" s="23" t="s">
        <v>99</v>
      </c>
      <c r="F634" s="23" t="s">
        <v>116</v>
      </c>
      <c r="G634" s="23" t="s">
        <v>106</v>
      </c>
      <c r="H634" s="23" t="s">
        <v>687</v>
      </c>
      <c r="I634" s="23"/>
      <c r="J634" s="23" t="s">
        <v>16</v>
      </c>
      <c r="K634" s="23" t="s">
        <v>13</v>
      </c>
      <c r="L634" s="32">
        <v>46204.781363217597</v>
      </c>
      <c r="M634" s="23"/>
    </row>
    <row r="635" spans="1:13" ht="75" customHeight="1" thickTop="1" thickBot="1">
      <c r="A635" s="25">
        <v>633</v>
      </c>
      <c r="B635" s="32">
        <v>46204.5645483564</v>
      </c>
      <c r="C635" s="33" t="s">
        <v>97</v>
      </c>
      <c r="D635" s="33" t="s">
        <v>272</v>
      </c>
      <c r="E635" s="23" t="s">
        <v>99</v>
      </c>
      <c r="F635" s="23" t="s">
        <v>102</v>
      </c>
      <c r="G635" s="23" t="s">
        <v>152</v>
      </c>
      <c r="H635" s="23" t="s">
        <v>987</v>
      </c>
      <c r="I635" s="23"/>
      <c r="J635" s="23" t="s">
        <v>15</v>
      </c>
      <c r="K635" s="23" t="s">
        <v>13</v>
      </c>
      <c r="L635" s="32">
        <v>46204.781650358796</v>
      </c>
      <c r="M635" s="23"/>
    </row>
    <row r="636" spans="1:13" ht="75" customHeight="1" thickTop="1" thickBot="1">
      <c r="A636" s="23">
        <v>634</v>
      </c>
      <c r="B636" s="32">
        <v>46204.564559455997</v>
      </c>
      <c r="C636" s="33" t="s">
        <v>97</v>
      </c>
      <c r="D636" s="33" t="s">
        <v>395</v>
      </c>
      <c r="E636" s="23" t="s">
        <v>99</v>
      </c>
      <c r="F636" s="23" t="s">
        <v>102</v>
      </c>
      <c r="G636" s="23" t="s">
        <v>269</v>
      </c>
      <c r="H636" s="23" t="s">
        <v>1074</v>
      </c>
      <c r="I636" s="23"/>
      <c r="J636" s="23" t="s">
        <v>16</v>
      </c>
      <c r="K636" s="23" t="s">
        <v>13</v>
      </c>
      <c r="L636" s="32">
        <v>46204.781793888891</v>
      </c>
      <c r="M636" s="23"/>
    </row>
    <row r="637" spans="1:13" ht="75" customHeight="1" thickTop="1" thickBot="1">
      <c r="A637" s="25">
        <v>635</v>
      </c>
      <c r="B637" s="32">
        <v>46204.564863854102</v>
      </c>
      <c r="C637" s="33" t="s">
        <v>97</v>
      </c>
      <c r="D637" s="33" t="s">
        <v>272</v>
      </c>
      <c r="E637" s="23" t="s">
        <v>99</v>
      </c>
      <c r="F637" s="23" t="s">
        <v>116</v>
      </c>
      <c r="G637" s="23" t="s">
        <v>152</v>
      </c>
      <c r="H637" s="23" t="s">
        <v>988</v>
      </c>
      <c r="I637" s="23"/>
      <c r="J637" s="23" t="s">
        <v>15</v>
      </c>
      <c r="K637" s="23" t="s">
        <v>13</v>
      </c>
      <c r="L637" s="32">
        <v>46204.78188923611</v>
      </c>
      <c r="M637" s="23"/>
    </row>
    <row r="638" spans="1:13" ht="75" customHeight="1" thickTop="1" thickBot="1">
      <c r="A638" s="23">
        <v>636</v>
      </c>
      <c r="B638" s="32">
        <v>46204.565109317104</v>
      </c>
      <c r="C638" s="33" t="s">
        <v>97</v>
      </c>
      <c r="D638" s="33" t="s">
        <v>395</v>
      </c>
      <c r="E638" s="23" t="s">
        <v>99</v>
      </c>
      <c r="F638" s="23" t="s">
        <v>116</v>
      </c>
      <c r="G638" s="23" t="s">
        <v>108</v>
      </c>
      <c r="H638" s="23" t="s">
        <v>1076</v>
      </c>
      <c r="I638" s="23"/>
      <c r="J638" s="23" t="s">
        <v>16</v>
      </c>
      <c r="K638" s="23" t="s">
        <v>13</v>
      </c>
      <c r="L638" s="32">
        <v>46204.781973622681</v>
      </c>
      <c r="M638" s="23"/>
    </row>
    <row r="639" spans="1:13" ht="75" customHeight="1" thickTop="1" thickBot="1">
      <c r="A639" s="25">
        <v>637</v>
      </c>
      <c r="B639" s="32">
        <v>46204.565341527697</v>
      </c>
      <c r="C639" s="33" t="s">
        <v>97</v>
      </c>
      <c r="D639" s="33" t="s">
        <v>272</v>
      </c>
      <c r="E639" s="23" t="s">
        <v>99</v>
      </c>
      <c r="F639" s="23" t="s">
        <v>100</v>
      </c>
      <c r="G639" s="23" t="s">
        <v>152</v>
      </c>
      <c r="H639" s="23" t="s">
        <v>989</v>
      </c>
      <c r="I639" s="23"/>
      <c r="J639" s="23" t="s">
        <v>15</v>
      </c>
      <c r="K639" s="23" t="s">
        <v>13</v>
      </c>
      <c r="L639" s="32">
        <v>46204.78208344907</v>
      </c>
      <c r="M639" s="23"/>
    </row>
    <row r="640" spans="1:13" ht="75" customHeight="1" thickTop="1" thickBot="1">
      <c r="A640" s="23">
        <v>638</v>
      </c>
      <c r="B640" s="32">
        <v>46204.5656079861</v>
      </c>
      <c r="C640" s="33" t="s">
        <v>97</v>
      </c>
      <c r="D640" s="33" t="s">
        <v>395</v>
      </c>
      <c r="E640" s="23" t="s">
        <v>99</v>
      </c>
      <c r="F640" s="23" t="s">
        <v>102</v>
      </c>
      <c r="G640" s="23" t="s">
        <v>108</v>
      </c>
      <c r="H640" s="23" t="s">
        <v>1077</v>
      </c>
      <c r="I640" s="23"/>
      <c r="J640" s="23" t="s">
        <v>16</v>
      </c>
      <c r="K640" s="23" t="s">
        <v>13</v>
      </c>
      <c r="L640" s="32">
        <v>46204.782210682868</v>
      </c>
      <c r="M640" s="23"/>
    </row>
    <row r="641" spans="1:13" ht="75" customHeight="1" thickTop="1" thickBot="1">
      <c r="A641" s="25">
        <v>639</v>
      </c>
      <c r="B641" s="32">
        <v>46204.565780636498</v>
      </c>
      <c r="C641" s="33" t="s">
        <v>97</v>
      </c>
      <c r="D641" s="33" t="s">
        <v>272</v>
      </c>
      <c r="E641" s="23" t="s">
        <v>99</v>
      </c>
      <c r="F641" s="23" t="s">
        <v>102</v>
      </c>
      <c r="G641" s="23" t="s">
        <v>110</v>
      </c>
      <c r="H641" s="23" t="s">
        <v>688</v>
      </c>
      <c r="I641" s="23"/>
      <c r="J641" s="23" t="s">
        <v>14</v>
      </c>
      <c r="K641" s="23" t="s">
        <v>13</v>
      </c>
      <c r="L641" s="32">
        <v>46204.782372939815</v>
      </c>
      <c r="M641" s="23"/>
    </row>
    <row r="642" spans="1:13" ht="75" customHeight="1" thickTop="1" thickBot="1">
      <c r="A642" s="23">
        <v>640</v>
      </c>
      <c r="B642" s="32">
        <v>46204.565788460597</v>
      </c>
      <c r="C642" s="33" t="s">
        <v>97</v>
      </c>
      <c r="D642" s="33" t="s">
        <v>395</v>
      </c>
      <c r="E642" s="23" t="s">
        <v>99</v>
      </c>
      <c r="F642" s="23" t="s">
        <v>116</v>
      </c>
      <c r="G642" s="23" t="s">
        <v>106</v>
      </c>
      <c r="H642" s="23" t="s">
        <v>1078</v>
      </c>
      <c r="I642" s="23"/>
      <c r="J642" s="23" t="s">
        <v>16</v>
      </c>
      <c r="K642" s="23" t="s">
        <v>13</v>
      </c>
      <c r="L642" s="32">
        <v>46204.782443958335</v>
      </c>
      <c r="M642" s="23"/>
    </row>
    <row r="643" spans="1:13" ht="75" customHeight="1" thickTop="1" thickBot="1">
      <c r="A643" s="25">
        <v>641</v>
      </c>
      <c r="B643" s="32">
        <v>46204.565987661997</v>
      </c>
      <c r="C643" s="33" t="s">
        <v>97</v>
      </c>
      <c r="D643" s="33" t="s">
        <v>395</v>
      </c>
      <c r="E643" s="23" t="s">
        <v>99</v>
      </c>
      <c r="F643" s="23" t="s">
        <v>100</v>
      </c>
      <c r="G643" s="23" t="s">
        <v>108</v>
      </c>
      <c r="H643" s="23" t="s">
        <v>1079</v>
      </c>
      <c r="I643" s="23"/>
      <c r="J643" s="23" t="s">
        <v>16</v>
      </c>
      <c r="K643" s="23" t="s">
        <v>13</v>
      </c>
      <c r="L643" s="32">
        <v>46204.782572094904</v>
      </c>
      <c r="M643" s="23"/>
    </row>
    <row r="644" spans="1:13" ht="75" customHeight="1" thickTop="1" thickBot="1">
      <c r="A644" s="23">
        <v>642</v>
      </c>
      <c r="B644" s="32">
        <v>46204.566152580999</v>
      </c>
      <c r="C644" s="33" t="s">
        <v>97</v>
      </c>
      <c r="D644" s="33" t="s">
        <v>395</v>
      </c>
      <c r="E644" s="23" t="s">
        <v>99</v>
      </c>
      <c r="F644" s="23" t="s">
        <v>102</v>
      </c>
      <c r="G644" s="23" t="s">
        <v>104</v>
      </c>
      <c r="H644" s="23" t="s">
        <v>1080</v>
      </c>
      <c r="I644" s="23"/>
      <c r="J644" s="23" t="s">
        <v>16</v>
      </c>
      <c r="K644" s="23" t="s">
        <v>13</v>
      </c>
      <c r="L644" s="32">
        <v>46204.789818831021</v>
      </c>
      <c r="M644" s="23"/>
    </row>
    <row r="645" spans="1:13" ht="75" customHeight="1" thickTop="1" thickBot="1">
      <c r="A645" s="25">
        <v>643</v>
      </c>
      <c r="B645" s="32">
        <v>46204.566172268504</v>
      </c>
      <c r="C645" s="33" t="s">
        <v>97</v>
      </c>
      <c r="D645" s="33" t="s">
        <v>395</v>
      </c>
      <c r="E645" s="23" t="s">
        <v>99</v>
      </c>
      <c r="F645" s="23" t="s">
        <v>116</v>
      </c>
      <c r="G645" s="23" t="s">
        <v>106</v>
      </c>
      <c r="H645" s="23" t="s">
        <v>1081</v>
      </c>
      <c r="I645" s="23"/>
      <c r="J645" s="23" t="s">
        <v>16</v>
      </c>
      <c r="K645" s="23" t="s">
        <v>13</v>
      </c>
      <c r="L645" s="32">
        <v>46204.78990664352</v>
      </c>
      <c r="M645" s="23"/>
    </row>
    <row r="646" spans="1:13" ht="75" customHeight="1" thickTop="1" thickBot="1">
      <c r="A646" s="23">
        <v>644</v>
      </c>
      <c r="B646" s="32">
        <v>46204.566280740699</v>
      </c>
      <c r="C646" s="33" t="s">
        <v>97</v>
      </c>
      <c r="D646" s="33" t="s">
        <v>272</v>
      </c>
      <c r="E646" s="23" t="s">
        <v>99</v>
      </c>
      <c r="F646" s="23" t="s">
        <v>102</v>
      </c>
      <c r="G646" s="23" t="s">
        <v>106</v>
      </c>
      <c r="H646" s="23" t="s">
        <v>990</v>
      </c>
      <c r="I646" s="23"/>
      <c r="J646" s="23" t="s">
        <v>15</v>
      </c>
      <c r="K646" s="23" t="s">
        <v>13</v>
      </c>
      <c r="L646" s="32">
        <v>46204.790012997684</v>
      </c>
      <c r="M646" s="23"/>
    </row>
    <row r="647" spans="1:13" ht="75" customHeight="1" thickTop="1" thickBot="1">
      <c r="A647" s="25">
        <v>645</v>
      </c>
      <c r="B647" s="32">
        <v>46204.566493124898</v>
      </c>
      <c r="C647" s="33" t="s">
        <v>97</v>
      </c>
      <c r="D647" s="33" t="s">
        <v>395</v>
      </c>
      <c r="E647" s="23" t="s">
        <v>99</v>
      </c>
      <c r="F647" s="23" t="s">
        <v>100</v>
      </c>
      <c r="G647" s="23" t="s">
        <v>103</v>
      </c>
      <c r="H647" s="23" t="s">
        <v>689</v>
      </c>
      <c r="I647" s="23"/>
      <c r="J647" s="23" t="s">
        <v>16</v>
      </c>
      <c r="K647" s="23" t="s">
        <v>13</v>
      </c>
      <c r="L647" s="32">
        <v>46204.790099027778</v>
      </c>
      <c r="M647" s="23"/>
    </row>
    <row r="648" spans="1:13" ht="75" customHeight="1" thickTop="1" thickBot="1">
      <c r="A648" s="23">
        <v>646</v>
      </c>
      <c r="B648" s="32">
        <v>46204.566627685097</v>
      </c>
      <c r="C648" s="33" t="s">
        <v>97</v>
      </c>
      <c r="D648" s="33" t="s">
        <v>395</v>
      </c>
      <c r="E648" s="23" t="s">
        <v>99</v>
      </c>
      <c r="F648" s="23" t="s">
        <v>102</v>
      </c>
      <c r="G648" s="23" t="s">
        <v>981</v>
      </c>
      <c r="H648" s="23" t="s">
        <v>1082</v>
      </c>
      <c r="I648" s="23"/>
      <c r="J648" s="23" t="s">
        <v>16</v>
      </c>
      <c r="K648" s="23" t="s">
        <v>13</v>
      </c>
      <c r="L648" s="32">
        <v>46204.790179988428</v>
      </c>
      <c r="M648" s="23"/>
    </row>
    <row r="649" spans="1:13" ht="75" customHeight="1" thickTop="1" thickBot="1">
      <c r="A649" s="25">
        <v>647</v>
      </c>
      <c r="B649" s="32">
        <v>46204.566689861102</v>
      </c>
      <c r="C649" s="33" t="s">
        <v>97</v>
      </c>
      <c r="D649" s="33" t="s">
        <v>272</v>
      </c>
      <c r="E649" s="23" t="s">
        <v>99</v>
      </c>
      <c r="F649" s="23" t="s">
        <v>102</v>
      </c>
      <c r="G649" s="23" t="s">
        <v>152</v>
      </c>
      <c r="H649" s="23" t="s">
        <v>1083</v>
      </c>
      <c r="I649" s="23"/>
      <c r="J649" s="23" t="s">
        <v>16</v>
      </c>
      <c r="K649" s="23" t="s">
        <v>13</v>
      </c>
      <c r="L649" s="32">
        <v>46204.790248078702</v>
      </c>
      <c r="M649" s="23"/>
    </row>
    <row r="650" spans="1:13" ht="75" customHeight="1" thickTop="1" thickBot="1">
      <c r="A650" s="23">
        <v>648</v>
      </c>
      <c r="B650" s="32">
        <v>46204.567074907398</v>
      </c>
      <c r="C650" s="33" t="s">
        <v>97</v>
      </c>
      <c r="D650" s="33" t="s">
        <v>272</v>
      </c>
      <c r="E650" s="23" t="s">
        <v>99</v>
      </c>
      <c r="F650" s="23" t="s">
        <v>102</v>
      </c>
      <c r="G650" s="23" t="s">
        <v>106</v>
      </c>
      <c r="H650" s="23" t="s">
        <v>991</v>
      </c>
      <c r="I650" s="23"/>
      <c r="J650" s="23" t="s">
        <v>15</v>
      </c>
      <c r="K650" s="23" t="s">
        <v>13</v>
      </c>
      <c r="L650" s="32">
        <v>46204.790372337964</v>
      </c>
      <c r="M650" s="23"/>
    </row>
    <row r="651" spans="1:13" ht="75" customHeight="1" thickTop="1" thickBot="1">
      <c r="A651" s="25">
        <v>649</v>
      </c>
      <c r="B651" s="32">
        <v>46204.567138992999</v>
      </c>
      <c r="C651" s="33" t="s">
        <v>97</v>
      </c>
      <c r="D651" s="33" t="s">
        <v>395</v>
      </c>
      <c r="E651" s="23" t="s">
        <v>99</v>
      </c>
      <c r="F651" s="23" t="s">
        <v>116</v>
      </c>
      <c r="G651" s="23" t="s">
        <v>152</v>
      </c>
      <c r="H651" s="23" t="s">
        <v>690</v>
      </c>
      <c r="I651" s="23"/>
      <c r="J651" s="23" t="s">
        <v>16</v>
      </c>
      <c r="K651" s="23" t="s">
        <v>13</v>
      </c>
      <c r="L651" s="32">
        <v>46204.790614780097</v>
      </c>
      <c r="M651" s="23"/>
    </row>
    <row r="652" spans="1:13" ht="75" customHeight="1" thickTop="1" thickBot="1">
      <c r="A652" s="23">
        <v>650</v>
      </c>
      <c r="B652" s="32">
        <v>46204.567238564799</v>
      </c>
      <c r="C652" s="33" t="s">
        <v>97</v>
      </c>
      <c r="D652" s="33" t="s">
        <v>395</v>
      </c>
      <c r="E652" s="23" t="s">
        <v>99</v>
      </c>
      <c r="F652" s="23" t="s">
        <v>102</v>
      </c>
      <c r="G652" s="23" t="s">
        <v>124</v>
      </c>
      <c r="H652" s="23" t="s">
        <v>691</v>
      </c>
      <c r="I652" s="23"/>
      <c r="J652" s="23" t="s">
        <v>16</v>
      </c>
      <c r="K652" s="23" t="s">
        <v>13</v>
      </c>
      <c r="L652" s="32">
        <v>46204.790705173611</v>
      </c>
      <c r="M652" s="23"/>
    </row>
    <row r="653" spans="1:13" ht="75" customHeight="1" thickTop="1" thickBot="1">
      <c r="A653" s="25">
        <v>651</v>
      </c>
      <c r="B653" s="32">
        <v>46204.567287175902</v>
      </c>
      <c r="C653" s="33" t="s">
        <v>97</v>
      </c>
      <c r="D653" s="33" t="s">
        <v>395</v>
      </c>
      <c r="E653" s="23" t="s">
        <v>99</v>
      </c>
      <c r="F653" s="23" t="s">
        <v>116</v>
      </c>
      <c r="G653" s="23" t="s">
        <v>196</v>
      </c>
      <c r="H653" s="23" t="s">
        <v>1084</v>
      </c>
      <c r="I653" s="23"/>
      <c r="J653" s="23" t="s">
        <v>16</v>
      </c>
      <c r="K653" s="23" t="s">
        <v>13</v>
      </c>
      <c r="L653" s="32">
        <v>46204.790792326385</v>
      </c>
      <c r="M653" s="23"/>
    </row>
    <row r="654" spans="1:13" ht="75" customHeight="1" thickTop="1" thickBot="1">
      <c r="A654" s="23">
        <v>652</v>
      </c>
      <c r="B654" s="32">
        <v>46204.567479583297</v>
      </c>
      <c r="C654" s="33" t="s">
        <v>97</v>
      </c>
      <c r="D654" s="33" t="s">
        <v>395</v>
      </c>
      <c r="E654" s="23" t="s">
        <v>99</v>
      </c>
      <c r="F654" s="23" t="s">
        <v>116</v>
      </c>
      <c r="G654" s="23" t="s">
        <v>101</v>
      </c>
      <c r="H654" s="23" t="s">
        <v>692</v>
      </c>
      <c r="I654" s="23"/>
      <c r="J654" s="23" t="s">
        <v>16</v>
      </c>
      <c r="K654" s="23" t="s">
        <v>13</v>
      </c>
      <c r="L654" s="32">
        <v>46204.790905451388</v>
      </c>
      <c r="M654" s="23"/>
    </row>
    <row r="655" spans="1:13" ht="75" customHeight="1" thickTop="1" thickBot="1">
      <c r="A655" s="25">
        <v>653</v>
      </c>
      <c r="B655" s="32">
        <v>46204.567482036997</v>
      </c>
      <c r="C655" s="33" t="s">
        <v>97</v>
      </c>
      <c r="D655" s="33" t="s">
        <v>272</v>
      </c>
      <c r="E655" s="23" t="s">
        <v>99</v>
      </c>
      <c r="F655" s="23" t="s">
        <v>116</v>
      </c>
      <c r="G655" s="23" t="s">
        <v>108</v>
      </c>
      <c r="H655" s="23" t="s">
        <v>992</v>
      </c>
      <c r="I655" s="23"/>
      <c r="J655" s="23" t="s">
        <v>15</v>
      </c>
      <c r="K655" s="23" t="s">
        <v>13</v>
      </c>
      <c r="L655" s="32">
        <v>46204.791010821762</v>
      </c>
      <c r="M655" s="23"/>
    </row>
    <row r="656" spans="1:13" ht="75" customHeight="1" thickTop="1" thickBot="1">
      <c r="A656" s="23">
        <v>654</v>
      </c>
      <c r="B656" s="32">
        <v>46204.567802881902</v>
      </c>
      <c r="C656" s="33" t="s">
        <v>97</v>
      </c>
      <c r="D656" s="33" t="s">
        <v>395</v>
      </c>
      <c r="E656" s="23" t="s">
        <v>99</v>
      </c>
      <c r="F656" s="23" t="s">
        <v>126</v>
      </c>
      <c r="G656" s="23" t="s">
        <v>106</v>
      </c>
      <c r="H656" s="23" t="s">
        <v>1085</v>
      </c>
      <c r="I656" s="23"/>
      <c r="J656" s="23" t="s">
        <v>16</v>
      </c>
      <c r="K656" s="23" t="s">
        <v>13</v>
      </c>
      <c r="L656" s="32">
        <v>46204.791112025458</v>
      </c>
      <c r="M656" s="23"/>
    </row>
    <row r="657" spans="1:13" ht="75" customHeight="1" thickTop="1" thickBot="1">
      <c r="A657" s="25">
        <v>655</v>
      </c>
      <c r="B657" s="32">
        <v>46204.567833738402</v>
      </c>
      <c r="C657" s="33" t="s">
        <v>97</v>
      </c>
      <c r="D657" s="33" t="s">
        <v>395</v>
      </c>
      <c r="E657" s="23" t="s">
        <v>99</v>
      </c>
      <c r="F657" s="23" t="s">
        <v>116</v>
      </c>
      <c r="G657" s="23" t="s">
        <v>104</v>
      </c>
      <c r="H657" s="23" t="s">
        <v>693</v>
      </c>
      <c r="I657" s="23"/>
      <c r="J657" s="23" t="s">
        <v>16</v>
      </c>
      <c r="K657" s="23" t="s">
        <v>13</v>
      </c>
      <c r="L657" s="32">
        <v>46204.791244120366</v>
      </c>
      <c r="M657" s="23"/>
    </row>
    <row r="658" spans="1:13" ht="75" customHeight="1" thickTop="1" thickBot="1">
      <c r="A658" s="23">
        <v>656</v>
      </c>
      <c r="B658" s="32">
        <v>46204.568034652701</v>
      </c>
      <c r="C658" s="33" t="s">
        <v>97</v>
      </c>
      <c r="D658" s="33" t="s">
        <v>395</v>
      </c>
      <c r="E658" s="23" t="s">
        <v>99</v>
      </c>
      <c r="F658" s="23" t="s">
        <v>102</v>
      </c>
      <c r="G658" s="23" t="s">
        <v>104</v>
      </c>
      <c r="H658" s="23" t="s">
        <v>1086</v>
      </c>
      <c r="I658" s="23"/>
      <c r="J658" s="23" t="s">
        <v>16</v>
      </c>
      <c r="K658" s="23" t="s">
        <v>13</v>
      </c>
      <c r="L658" s="32">
        <v>46204.791298032404</v>
      </c>
      <c r="M658" s="23"/>
    </row>
    <row r="659" spans="1:13" ht="75" customHeight="1" thickTop="1" thickBot="1">
      <c r="A659" s="25">
        <v>657</v>
      </c>
      <c r="B659" s="32">
        <v>46204.568151203697</v>
      </c>
      <c r="C659" s="33" t="s">
        <v>97</v>
      </c>
      <c r="D659" s="33" t="s">
        <v>272</v>
      </c>
      <c r="E659" s="23" t="s">
        <v>99</v>
      </c>
      <c r="F659" s="23" t="s">
        <v>116</v>
      </c>
      <c r="G659" s="23" t="s">
        <v>101</v>
      </c>
      <c r="H659" s="23" t="s">
        <v>1168</v>
      </c>
      <c r="I659" s="23"/>
      <c r="J659" s="23" t="s">
        <v>14</v>
      </c>
      <c r="K659" s="23" t="s">
        <v>13</v>
      </c>
      <c r="L659" s="32">
        <v>46204.79141907407</v>
      </c>
      <c r="M659" s="23"/>
    </row>
    <row r="660" spans="1:13" ht="75" customHeight="1" thickTop="1" thickBot="1">
      <c r="A660" s="23">
        <v>658</v>
      </c>
      <c r="B660" s="32">
        <v>46204.568297279999</v>
      </c>
      <c r="C660" s="33" t="s">
        <v>97</v>
      </c>
      <c r="D660" s="31" t="s">
        <v>395</v>
      </c>
      <c r="E660" s="23" t="s">
        <v>99</v>
      </c>
      <c r="F660" s="23" t="s">
        <v>100</v>
      </c>
      <c r="G660" s="23" t="s">
        <v>106</v>
      </c>
      <c r="H660" s="23" t="s">
        <v>1087</v>
      </c>
      <c r="I660" s="23"/>
      <c r="J660" s="23" t="s">
        <v>16</v>
      </c>
      <c r="K660" s="23" t="s">
        <v>13</v>
      </c>
      <c r="L660" s="32">
        <v>46204.791518599537</v>
      </c>
      <c r="M660" s="23"/>
    </row>
    <row r="661" spans="1:13" ht="75" customHeight="1" thickTop="1" thickBot="1">
      <c r="A661" s="25">
        <v>659</v>
      </c>
      <c r="B661" s="32">
        <v>46204.568406979102</v>
      </c>
      <c r="C661" s="33" t="s">
        <v>97</v>
      </c>
      <c r="D661" s="31" t="s">
        <v>395</v>
      </c>
      <c r="E661" s="23" t="s">
        <v>99</v>
      </c>
      <c r="F661" s="23" t="s">
        <v>116</v>
      </c>
      <c r="G661" s="23" t="s">
        <v>124</v>
      </c>
      <c r="H661" s="23" t="s">
        <v>694</v>
      </c>
      <c r="I661" s="23"/>
      <c r="J661" s="23" t="s">
        <v>16</v>
      </c>
      <c r="K661" s="23" t="s">
        <v>13</v>
      </c>
      <c r="L661" s="32">
        <v>46204.791601851852</v>
      </c>
      <c r="M661" s="23"/>
    </row>
    <row r="662" spans="1:13" ht="75" customHeight="1" thickTop="1" thickBot="1">
      <c r="A662" s="23">
        <v>660</v>
      </c>
      <c r="B662" s="32">
        <v>46204.568431631902</v>
      </c>
      <c r="C662" s="33" t="s">
        <v>97</v>
      </c>
      <c r="D662" s="31" t="s">
        <v>272</v>
      </c>
      <c r="E662" s="23" t="s">
        <v>99</v>
      </c>
      <c r="F662" s="23" t="s">
        <v>102</v>
      </c>
      <c r="G662" s="23" t="s">
        <v>110</v>
      </c>
      <c r="H662" s="23" t="s">
        <v>695</v>
      </c>
      <c r="I662" s="23"/>
      <c r="J662" s="23" t="s">
        <v>14</v>
      </c>
      <c r="K662" s="23" t="s">
        <v>13</v>
      </c>
      <c r="L662" s="32">
        <v>46204.791869351851</v>
      </c>
      <c r="M662" s="23"/>
    </row>
    <row r="663" spans="1:13" ht="75" customHeight="1" thickTop="1" thickBot="1">
      <c r="A663" s="25">
        <v>661</v>
      </c>
      <c r="B663" s="32">
        <v>46204.5685585069</v>
      </c>
      <c r="C663" s="33" t="s">
        <v>97</v>
      </c>
      <c r="D663" s="31" t="s">
        <v>395</v>
      </c>
      <c r="E663" s="23" t="s">
        <v>99</v>
      </c>
      <c r="F663" s="23" t="s">
        <v>102</v>
      </c>
      <c r="G663" s="23" t="s">
        <v>103</v>
      </c>
      <c r="H663" s="23" t="s">
        <v>696</v>
      </c>
      <c r="I663" s="23"/>
      <c r="J663" s="23" t="s">
        <v>16</v>
      </c>
      <c r="K663" s="23" t="s">
        <v>13</v>
      </c>
      <c r="L663" s="32">
        <v>46204.791969525468</v>
      </c>
      <c r="M663" s="23"/>
    </row>
    <row r="664" spans="1:13" ht="75" customHeight="1" thickTop="1" thickBot="1">
      <c r="A664" s="23">
        <v>662</v>
      </c>
      <c r="B664" s="32">
        <v>46204.568694641202</v>
      </c>
      <c r="C664" s="33" t="s">
        <v>97</v>
      </c>
      <c r="D664" s="31" t="s">
        <v>272</v>
      </c>
      <c r="E664" s="23" t="s">
        <v>99</v>
      </c>
      <c r="F664" s="23" t="s">
        <v>102</v>
      </c>
      <c r="G664" s="23" t="s">
        <v>110</v>
      </c>
      <c r="H664" s="23" t="s">
        <v>697</v>
      </c>
      <c r="I664" s="23"/>
      <c r="J664" s="23" t="s">
        <v>14</v>
      </c>
      <c r="K664" s="23" t="s">
        <v>13</v>
      </c>
      <c r="L664" s="32">
        <v>46204.792149317131</v>
      </c>
      <c r="M664" s="23"/>
    </row>
    <row r="665" spans="1:13" ht="75" customHeight="1" thickTop="1" thickBot="1">
      <c r="A665" s="25">
        <v>663</v>
      </c>
      <c r="B665" s="32">
        <v>46204.568695104099</v>
      </c>
      <c r="C665" s="33" t="s">
        <v>97</v>
      </c>
      <c r="D665" s="31" t="s">
        <v>395</v>
      </c>
      <c r="E665" s="23" t="s">
        <v>99</v>
      </c>
      <c r="F665" s="23" t="s">
        <v>100</v>
      </c>
      <c r="G665" s="23" t="s">
        <v>106</v>
      </c>
      <c r="H665" s="23" t="s">
        <v>698</v>
      </c>
      <c r="I665" s="23"/>
      <c r="J665" s="23" t="s">
        <v>16</v>
      </c>
      <c r="K665" s="23" t="s">
        <v>13</v>
      </c>
      <c r="L665" s="32">
        <v>46204.792241886578</v>
      </c>
      <c r="M665" s="23"/>
    </row>
    <row r="666" spans="1:13" ht="75" customHeight="1" thickTop="1" thickBot="1">
      <c r="A666" s="23">
        <v>664</v>
      </c>
      <c r="B666" s="32">
        <v>46204.568933761497</v>
      </c>
      <c r="C666" s="33" t="s">
        <v>97</v>
      </c>
      <c r="D666" s="31" t="s">
        <v>272</v>
      </c>
      <c r="E666" s="23" t="s">
        <v>99</v>
      </c>
      <c r="F666" s="23" t="s">
        <v>102</v>
      </c>
      <c r="G666" s="23" t="s">
        <v>110</v>
      </c>
      <c r="H666" s="23" t="s">
        <v>699</v>
      </c>
      <c r="I666" s="23"/>
      <c r="J666" s="23" t="s">
        <v>14</v>
      </c>
      <c r="K666" s="23" t="s">
        <v>13</v>
      </c>
      <c r="L666" s="32">
        <v>46204.792557673616</v>
      </c>
      <c r="M666" s="23"/>
    </row>
    <row r="667" spans="1:13" ht="75" customHeight="1" thickTop="1" thickBot="1">
      <c r="A667" s="25">
        <v>665</v>
      </c>
      <c r="B667" s="32">
        <v>46204.568974571703</v>
      </c>
      <c r="C667" s="33" t="s">
        <v>97</v>
      </c>
      <c r="D667" s="31" t="s">
        <v>395</v>
      </c>
      <c r="E667" s="23" t="s">
        <v>99</v>
      </c>
      <c r="F667" s="23" t="s">
        <v>102</v>
      </c>
      <c r="G667" s="23" t="s">
        <v>101</v>
      </c>
      <c r="H667" s="23" t="s">
        <v>700</v>
      </c>
      <c r="I667" s="23"/>
      <c r="J667" s="23" t="s">
        <v>16</v>
      </c>
      <c r="K667" s="23" t="s">
        <v>13</v>
      </c>
      <c r="L667" s="32">
        <v>46204.792642858796</v>
      </c>
      <c r="M667" s="23"/>
    </row>
    <row r="668" spans="1:13" ht="75" customHeight="1" thickTop="1" thickBot="1">
      <c r="A668" s="23">
        <v>666</v>
      </c>
      <c r="B668" s="32">
        <v>46204.569046956</v>
      </c>
      <c r="C668" s="33" t="s">
        <v>97</v>
      </c>
      <c r="D668" s="31" t="s">
        <v>395</v>
      </c>
      <c r="E668" s="23" t="s">
        <v>99</v>
      </c>
      <c r="F668" s="23" t="s">
        <v>116</v>
      </c>
      <c r="G668" s="23" t="s">
        <v>103</v>
      </c>
      <c r="H668" s="23" t="s">
        <v>701</v>
      </c>
      <c r="I668" s="23"/>
      <c r="J668" s="23" t="s">
        <v>16</v>
      </c>
      <c r="K668" s="23" t="s">
        <v>13</v>
      </c>
      <c r="L668" s="32">
        <v>46204.792725196763</v>
      </c>
      <c r="M668" s="23"/>
    </row>
    <row r="669" spans="1:13" ht="75" customHeight="1" thickTop="1" thickBot="1">
      <c r="A669" s="25">
        <v>667</v>
      </c>
      <c r="B669" s="32">
        <v>46204.569369224497</v>
      </c>
      <c r="C669" s="33" t="s">
        <v>97</v>
      </c>
      <c r="D669" s="31" t="s">
        <v>272</v>
      </c>
      <c r="E669" s="23" t="s">
        <v>99</v>
      </c>
      <c r="F669" s="23" t="s">
        <v>102</v>
      </c>
      <c r="G669" s="23" t="s">
        <v>110</v>
      </c>
      <c r="H669" s="23" t="s">
        <v>702</v>
      </c>
      <c r="I669" s="23"/>
      <c r="J669" s="23" t="s">
        <v>14</v>
      </c>
      <c r="K669" s="23" t="s">
        <v>13</v>
      </c>
      <c r="L669" s="32">
        <v>46204.792828726851</v>
      </c>
      <c r="M669" s="23"/>
    </row>
    <row r="670" spans="1:13" ht="75" customHeight="1" thickTop="1" thickBot="1">
      <c r="A670" s="23">
        <v>668</v>
      </c>
      <c r="B670" s="32">
        <v>46204.569415323997</v>
      </c>
      <c r="C670" s="33" t="s">
        <v>97</v>
      </c>
      <c r="D670" s="31" t="s">
        <v>395</v>
      </c>
      <c r="E670" s="23" t="s">
        <v>99</v>
      </c>
      <c r="F670" s="23" t="s">
        <v>100</v>
      </c>
      <c r="G670" s="23" t="s">
        <v>106</v>
      </c>
      <c r="H670" s="23" t="s">
        <v>703</v>
      </c>
      <c r="I670" s="23"/>
      <c r="J670" s="23" t="s">
        <v>16</v>
      </c>
      <c r="K670" s="23" t="s">
        <v>13</v>
      </c>
      <c r="L670" s="32">
        <v>46204.792911145836</v>
      </c>
      <c r="M670" s="23"/>
    </row>
    <row r="671" spans="1:13" ht="75" customHeight="1" thickTop="1" thickBot="1">
      <c r="A671" s="25">
        <v>669</v>
      </c>
      <c r="B671" s="32">
        <v>46204.5699873958</v>
      </c>
      <c r="C671" s="33" t="s">
        <v>97</v>
      </c>
      <c r="D671" s="31" t="s">
        <v>395</v>
      </c>
      <c r="E671" s="23" t="s">
        <v>99</v>
      </c>
      <c r="F671" s="23" t="s">
        <v>102</v>
      </c>
      <c r="G671" s="23" t="s">
        <v>103</v>
      </c>
      <c r="H671" s="23" t="s">
        <v>704</v>
      </c>
      <c r="I671" s="23"/>
      <c r="J671" s="23" t="s">
        <v>16</v>
      </c>
      <c r="K671" s="23" t="s">
        <v>13</v>
      </c>
      <c r="L671" s="32">
        <v>46204.792988437504</v>
      </c>
      <c r="M671" s="23"/>
    </row>
    <row r="672" spans="1:13" ht="75" customHeight="1" thickTop="1" thickBot="1">
      <c r="A672" s="23">
        <v>670</v>
      </c>
      <c r="B672" s="32">
        <v>46204.5700104629</v>
      </c>
      <c r="C672" s="33" t="s">
        <v>97</v>
      </c>
      <c r="D672" s="31" t="s">
        <v>272</v>
      </c>
      <c r="E672" s="23" t="s">
        <v>99</v>
      </c>
      <c r="F672" s="23" t="s">
        <v>116</v>
      </c>
      <c r="G672" s="23" t="s">
        <v>101</v>
      </c>
      <c r="H672" s="23" t="s">
        <v>705</v>
      </c>
      <c r="I672" s="23"/>
      <c r="J672" s="23" t="s">
        <v>14</v>
      </c>
      <c r="K672" s="23" t="s">
        <v>13</v>
      </c>
      <c r="L672" s="32">
        <v>46204.79307216435</v>
      </c>
      <c r="M672" s="23"/>
    </row>
    <row r="673" spans="1:13" ht="75" customHeight="1" thickTop="1" thickBot="1">
      <c r="A673" s="25">
        <v>671</v>
      </c>
      <c r="B673" s="32">
        <v>46204.5703255439</v>
      </c>
      <c r="C673" s="33" t="s">
        <v>97</v>
      </c>
      <c r="D673" s="31" t="s">
        <v>272</v>
      </c>
      <c r="E673" s="23" t="s">
        <v>99</v>
      </c>
      <c r="F673" s="23" t="s">
        <v>102</v>
      </c>
      <c r="G673" s="23" t="s">
        <v>110</v>
      </c>
      <c r="H673" s="23" t="s">
        <v>706</v>
      </c>
      <c r="I673" s="23"/>
      <c r="J673" s="23" t="s">
        <v>14</v>
      </c>
      <c r="K673" s="23" t="s">
        <v>13</v>
      </c>
      <c r="L673" s="32">
        <v>46204.793164861112</v>
      </c>
      <c r="M673" s="23"/>
    </row>
    <row r="674" spans="1:13" ht="75" customHeight="1" thickTop="1" thickBot="1">
      <c r="A674" s="23">
        <v>672</v>
      </c>
      <c r="B674" s="32">
        <v>46204.570598553197</v>
      </c>
      <c r="C674" s="33" t="s">
        <v>97</v>
      </c>
      <c r="D674" s="31" t="s">
        <v>395</v>
      </c>
      <c r="E674" s="23" t="s">
        <v>99</v>
      </c>
      <c r="F674" s="23" t="s">
        <v>100</v>
      </c>
      <c r="G674" s="23" t="s">
        <v>106</v>
      </c>
      <c r="H674" s="23" t="s">
        <v>707</v>
      </c>
      <c r="I674" s="23"/>
      <c r="J674" s="23" t="s">
        <v>16</v>
      </c>
      <c r="K674" s="23" t="s">
        <v>13</v>
      </c>
      <c r="L674" s="32">
        <v>46204.793231990741</v>
      </c>
      <c r="M674" s="23"/>
    </row>
    <row r="675" spans="1:13" ht="75" customHeight="1" thickTop="1" thickBot="1">
      <c r="A675" s="25">
        <v>673</v>
      </c>
      <c r="B675" s="32">
        <v>46204.570635729098</v>
      </c>
      <c r="C675" s="33" t="s">
        <v>97</v>
      </c>
      <c r="D675" s="31" t="s">
        <v>272</v>
      </c>
      <c r="E675" s="23" t="s">
        <v>99</v>
      </c>
      <c r="F675" s="23" t="s">
        <v>102</v>
      </c>
      <c r="G675" s="23" t="s">
        <v>110</v>
      </c>
      <c r="H675" s="23" t="s">
        <v>1169</v>
      </c>
      <c r="I675" s="23"/>
      <c r="J675" s="23" t="s">
        <v>14</v>
      </c>
      <c r="K675" s="23" t="s">
        <v>13</v>
      </c>
      <c r="L675" s="32">
        <v>46204.793351122687</v>
      </c>
      <c r="M675" s="23"/>
    </row>
    <row r="676" spans="1:13" ht="75" customHeight="1" thickTop="1" thickBot="1">
      <c r="A676" s="23">
        <v>674</v>
      </c>
      <c r="B676" s="32">
        <v>46204.571011018503</v>
      </c>
      <c r="C676" s="33" t="s">
        <v>97</v>
      </c>
      <c r="D676" s="31" t="s">
        <v>395</v>
      </c>
      <c r="E676" s="23" t="s">
        <v>99</v>
      </c>
      <c r="F676" s="23" t="s">
        <v>100</v>
      </c>
      <c r="G676" s="23" t="s">
        <v>106</v>
      </c>
      <c r="H676" s="23" t="s">
        <v>708</v>
      </c>
      <c r="I676" s="23"/>
      <c r="J676" s="23" t="s">
        <v>16</v>
      </c>
      <c r="K676" s="23" t="s">
        <v>13</v>
      </c>
      <c r="L676" s="32">
        <v>46204.793419733796</v>
      </c>
      <c r="M676" s="23"/>
    </row>
    <row r="677" spans="1:13" ht="75" customHeight="1" thickTop="1" thickBot="1">
      <c r="A677" s="25">
        <v>675</v>
      </c>
      <c r="B677" s="32">
        <v>46204.571048784703</v>
      </c>
      <c r="C677" s="33" t="s">
        <v>97</v>
      </c>
      <c r="D677" s="31" t="s">
        <v>272</v>
      </c>
      <c r="E677" s="23" t="s">
        <v>99</v>
      </c>
      <c r="F677" s="23" t="s">
        <v>116</v>
      </c>
      <c r="G677" s="23" t="s">
        <v>101</v>
      </c>
      <c r="H677" s="23" t="s">
        <v>1170</v>
      </c>
      <c r="I677" s="23"/>
      <c r="J677" s="23" t="s">
        <v>14</v>
      </c>
      <c r="K677" s="23" t="s">
        <v>13</v>
      </c>
      <c r="L677" s="32">
        <v>46204.79350453704</v>
      </c>
      <c r="M677" s="23"/>
    </row>
    <row r="678" spans="1:13" ht="75" customHeight="1" thickTop="1" thickBot="1">
      <c r="A678" s="23">
        <v>676</v>
      </c>
      <c r="B678" s="32">
        <v>46204.571297083297</v>
      </c>
      <c r="C678" s="33" t="s">
        <v>97</v>
      </c>
      <c r="D678" s="31" t="s">
        <v>395</v>
      </c>
      <c r="E678" s="23" t="s">
        <v>99</v>
      </c>
      <c r="F678" s="23" t="s">
        <v>116</v>
      </c>
      <c r="G678" s="23" t="s">
        <v>101</v>
      </c>
      <c r="H678" s="23" t="s">
        <v>709</v>
      </c>
      <c r="I678" s="23"/>
      <c r="J678" s="23" t="s">
        <v>16</v>
      </c>
      <c r="K678" s="23" t="s">
        <v>13</v>
      </c>
      <c r="L678" s="32">
        <v>46204.793576828699</v>
      </c>
      <c r="M678" s="23"/>
    </row>
    <row r="679" spans="1:13" ht="75" customHeight="1" thickTop="1" thickBot="1">
      <c r="A679" s="25">
        <v>677</v>
      </c>
      <c r="B679" s="32">
        <v>46204.571391111102</v>
      </c>
      <c r="C679" s="33" t="s">
        <v>97</v>
      </c>
      <c r="D679" s="31" t="s">
        <v>395</v>
      </c>
      <c r="E679" s="23" t="s">
        <v>99</v>
      </c>
      <c r="F679" s="23" t="s">
        <v>100</v>
      </c>
      <c r="G679" s="23" t="s">
        <v>106</v>
      </c>
      <c r="H679" s="23" t="s">
        <v>710</v>
      </c>
      <c r="I679" s="23"/>
      <c r="J679" s="23" t="s">
        <v>16</v>
      </c>
      <c r="K679" s="23" t="s">
        <v>13</v>
      </c>
      <c r="L679" s="32">
        <v>46204.793654328707</v>
      </c>
      <c r="M679" s="23"/>
    </row>
    <row r="680" spans="1:13" ht="75" customHeight="1" thickTop="1" thickBot="1">
      <c r="A680" s="23">
        <v>678</v>
      </c>
      <c r="B680" s="32">
        <v>46204.5716934027</v>
      </c>
      <c r="C680" s="33" t="s">
        <v>97</v>
      </c>
      <c r="D680" s="31" t="s">
        <v>272</v>
      </c>
      <c r="E680" s="23" t="s">
        <v>99</v>
      </c>
      <c r="F680" s="23" t="s">
        <v>100</v>
      </c>
      <c r="G680" s="23" t="s">
        <v>168</v>
      </c>
      <c r="H680" s="23" t="s">
        <v>993</v>
      </c>
      <c r="I680" s="23"/>
      <c r="J680" s="23" t="s">
        <v>15</v>
      </c>
      <c r="K680" s="23" t="s">
        <v>13</v>
      </c>
      <c r="L680" s="32">
        <v>46204.793738368055</v>
      </c>
      <c r="M680" s="23"/>
    </row>
    <row r="681" spans="1:13" ht="75" customHeight="1" thickTop="1" thickBot="1">
      <c r="A681" s="25">
        <v>679</v>
      </c>
      <c r="B681" s="32">
        <v>46204.571716446699</v>
      </c>
      <c r="C681" s="33" t="s">
        <v>97</v>
      </c>
      <c r="D681" s="31" t="s">
        <v>395</v>
      </c>
      <c r="E681" s="23" t="s">
        <v>99</v>
      </c>
      <c r="F681" s="23" t="s">
        <v>116</v>
      </c>
      <c r="G681" s="23" t="s">
        <v>101</v>
      </c>
      <c r="H681" s="23" t="s">
        <v>711</v>
      </c>
      <c r="I681" s="23"/>
      <c r="J681" s="23" t="s">
        <v>16</v>
      </c>
      <c r="K681" s="23" t="s">
        <v>13</v>
      </c>
      <c r="L681" s="32">
        <v>46204.793872905095</v>
      </c>
      <c r="M681" s="23"/>
    </row>
    <row r="682" spans="1:13" ht="75" customHeight="1" thickTop="1" thickBot="1">
      <c r="A682" s="23">
        <v>680</v>
      </c>
      <c r="B682" s="32">
        <v>46204.571927430501</v>
      </c>
      <c r="C682" s="33" t="s">
        <v>97</v>
      </c>
      <c r="D682" s="31" t="s">
        <v>395</v>
      </c>
      <c r="E682" s="23" t="s">
        <v>99</v>
      </c>
      <c r="F682" s="23" t="s">
        <v>100</v>
      </c>
      <c r="G682" s="23" t="s">
        <v>106</v>
      </c>
      <c r="H682" s="23" t="s">
        <v>712</v>
      </c>
      <c r="I682" s="23"/>
      <c r="J682" s="23" t="s">
        <v>16</v>
      </c>
      <c r="K682" s="23" t="s">
        <v>13</v>
      </c>
      <c r="L682" s="32">
        <v>46204.794010659723</v>
      </c>
      <c r="M682" s="23"/>
    </row>
    <row r="683" spans="1:13" ht="75" customHeight="1" thickTop="1" thickBot="1">
      <c r="A683" s="25">
        <v>681</v>
      </c>
      <c r="B683" s="32">
        <v>46204.572146493003</v>
      </c>
      <c r="C683" s="33" t="s">
        <v>97</v>
      </c>
      <c r="D683" s="31" t="s">
        <v>272</v>
      </c>
      <c r="E683" s="23" t="s">
        <v>99</v>
      </c>
      <c r="F683" s="23" t="s">
        <v>102</v>
      </c>
      <c r="G683" s="23" t="s">
        <v>104</v>
      </c>
      <c r="H683" s="23" t="s">
        <v>994</v>
      </c>
      <c r="I683" s="23"/>
      <c r="J683" s="23" t="s">
        <v>15</v>
      </c>
      <c r="K683" s="23" t="s">
        <v>13</v>
      </c>
      <c r="L683" s="32">
        <v>46204.8044246875</v>
      </c>
      <c r="M683" s="23"/>
    </row>
    <row r="684" spans="1:13" ht="75" customHeight="1" thickTop="1" thickBot="1">
      <c r="A684" s="23">
        <v>682</v>
      </c>
      <c r="B684" s="32">
        <v>46204.572283969901</v>
      </c>
      <c r="C684" s="33" t="s">
        <v>97</v>
      </c>
      <c r="D684" s="31" t="s">
        <v>395</v>
      </c>
      <c r="E684" s="23" t="s">
        <v>99</v>
      </c>
      <c r="F684" s="23" t="s">
        <v>116</v>
      </c>
      <c r="G684" s="23" t="s">
        <v>108</v>
      </c>
      <c r="H684" s="23" t="s">
        <v>713</v>
      </c>
      <c r="I684" s="23"/>
      <c r="J684" s="23" t="s">
        <v>16</v>
      </c>
      <c r="K684" s="23" t="s">
        <v>13</v>
      </c>
      <c r="L684" s="32">
        <v>46204.804611493055</v>
      </c>
      <c r="M684" s="23"/>
    </row>
    <row r="685" spans="1:13" ht="75" customHeight="1" thickTop="1" thickBot="1">
      <c r="A685" s="25">
        <v>683</v>
      </c>
      <c r="B685" s="32">
        <v>46204.5723341782</v>
      </c>
      <c r="C685" s="33" t="s">
        <v>97</v>
      </c>
      <c r="D685" s="31" t="s">
        <v>395</v>
      </c>
      <c r="E685" s="23" t="s">
        <v>99</v>
      </c>
      <c r="F685" s="23" t="s">
        <v>102</v>
      </c>
      <c r="G685" s="23" t="s">
        <v>463</v>
      </c>
      <c r="H685" s="23" t="s">
        <v>714</v>
      </c>
      <c r="I685" s="23"/>
      <c r="J685" s="23" t="s">
        <v>16</v>
      </c>
      <c r="K685" s="23" t="s">
        <v>13</v>
      </c>
      <c r="L685" s="32">
        <v>46204.804687037038</v>
      </c>
      <c r="M685" s="23"/>
    </row>
    <row r="686" spans="1:13" ht="75" customHeight="1" thickTop="1" thickBot="1">
      <c r="A686" s="23">
        <v>684</v>
      </c>
      <c r="B686" s="32">
        <v>46204.5723629282</v>
      </c>
      <c r="C686" s="33" t="s">
        <v>97</v>
      </c>
      <c r="D686" s="31" t="s">
        <v>395</v>
      </c>
      <c r="E686" s="23" t="s">
        <v>99</v>
      </c>
      <c r="F686" s="23" t="s">
        <v>100</v>
      </c>
      <c r="G686" s="23" t="s">
        <v>104</v>
      </c>
      <c r="H686" s="23" t="s">
        <v>715</v>
      </c>
      <c r="I686" s="23"/>
      <c r="J686" s="23" t="s">
        <v>16</v>
      </c>
      <c r="K686" s="23" t="s">
        <v>13</v>
      </c>
      <c r="L686" s="32">
        <v>46204.804811585651</v>
      </c>
      <c r="M686" s="23"/>
    </row>
    <row r="687" spans="1:13" ht="75" customHeight="1" thickTop="1" thickBot="1">
      <c r="A687" s="25">
        <v>685</v>
      </c>
      <c r="B687" s="32">
        <v>46204.5725695601</v>
      </c>
      <c r="C687" s="33" t="s">
        <v>97</v>
      </c>
      <c r="D687" s="31" t="s">
        <v>272</v>
      </c>
      <c r="E687" s="23" t="s">
        <v>99</v>
      </c>
      <c r="F687" s="23" t="s">
        <v>116</v>
      </c>
      <c r="G687" s="23" t="s">
        <v>152</v>
      </c>
      <c r="H687" s="23" t="s">
        <v>995</v>
      </c>
      <c r="I687" s="23"/>
      <c r="J687" s="23" t="s">
        <v>15</v>
      </c>
      <c r="K687" s="23" t="s">
        <v>13</v>
      </c>
      <c r="L687" s="32">
        <v>46204.804935856482</v>
      </c>
      <c r="M687" s="23"/>
    </row>
    <row r="688" spans="1:13" ht="75" customHeight="1" thickTop="1" thickBot="1">
      <c r="A688" s="23">
        <v>686</v>
      </c>
      <c r="B688" s="32">
        <v>46204.5727454398</v>
      </c>
      <c r="C688" s="33" t="s">
        <v>97</v>
      </c>
      <c r="D688" s="31" t="s">
        <v>395</v>
      </c>
      <c r="E688" s="23" t="s">
        <v>99</v>
      </c>
      <c r="F688" s="23" t="s">
        <v>102</v>
      </c>
      <c r="G688" s="23" t="s">
        <v>108</v>
      </c>
      <c r="H688" s="23" t="s">
        <v>1088</v>
      </c>
      <c r="I688" s="23"/>
      <c r="J688" s="23" t="s">
        <v>16</v>
      </c>
      <c r="K688" s="23" t="s">
        <v>13</v>
      </c>
      <c r="L688" s="32">
        <v>46204.805034687495</v>
      </c>
      <c r="M688" s="23"/>
    </row>
    <row r="689" spans="1:13" ht="75" customHeight="1" thickTop="1" thickBot="1">
      <c r="A689" s="25">
        <v>687</v>
      </c>
      <c r="B689" s="32">
        <v>46204.573015370297</v>
      </c>
      <c r="C689" s="33" t="s">
        <v>97</v>
      </c>
      <c r="D689" s="31" t="s">
        <v>272</v>
      </c>
      <c r="E689" s="23" t="s">
        <v>99</v>
      </c>
      <c r="F689" s="23" t="s">
        <v>102</v>
      </c>
      <c r="G689" s="23" t="s">
        <v>110</v>
      </c>
      <c r="H689" s="23" t="s">
        <v>716</v>
      </c>
      <c r="I689" s="23"/>
      <c r="J689" s="23" t="s">
        <v>14</v>
      </c>
      <c r="K689" s="23" t="s">
        <v>13</v>
      </c>
      <c r="L689" s="32">
        <v>46204.80511671296</v>
      </c>
      <c r="M689" s="23"/>
    </row>
    <row r="690" spans="1:13" ht="75" customHeight="1" thickTop="1" thickBot="1">
      <c r="A690" s="23">
        <v>688</v>
      </c>
      <c r="B690" s="32">
        <v>46204.573131597201</v>
      </c>
      <c r="C690" s="33" t="s">
        <v>97</v>
      </c>
      <c r="D690" s="31" t="s">
        <v>395</v>
      </c>
      <c r="E690" s="23" t="s">
        <v>99</v>
      </c>
      <c r="F690" s="23" t="s">
        <v>102</v>
      </c>
      <c r="G690" s="23" t="s">
        <v>104</v>
      </c>
      <c r="H690" s="23" t="s">
        <v>717</v>
      </c>
      <c r="I690" s="23"/>
      <c r="J690" s="23" t="s">
        <v>16</v>
      </c>
      <c r="K690" s="23" t="s">
        <v>13</v>
      </c>
      <c r="L690" s="32">
        <v>46204.805233252315</v>
      </c>
      <c r="M690" s="23"/>
    </row>
    <row r="691" spans="1:13" ht="75" customHeight="1" thickTop="1" thickBot="1">
      <c r="A691" s="25">
        <v>689</v>
      </c>
      <c r="B691" s="32">
        <v>46204.573326192098</v>
      </c>
      <c r="C691" s="33" t="s">
        <v>97</v>
      </c>
      <c r="D691" s="31" t="s">
        <v>272</v>
      </c>
      <c r="E691" s="23" t="s">
        <v>99</v>
      </c>
      <c r="F691" s="23" t="s">
        <v>116</v>
      </c>
      <c r="G691" s="23" t="s">
        <v>101</v>
      </c>
      <c r="H691" s="23" t="s">
        <v>718</v>
      </c>
      <c r="I691" s="23"/>
      <c r="J691" s="23" t="s">
        <v>14</v>
      </c>
      <c r="K691" s="23" t="s">
        <v>13</v>
      </c>
      <c r="L691" s="32">
        <v>46204.805355717588</v>
      </c>
      <c r="M691" s="23"/>
    </row>
    <row r="692" spans="1:13" ht="75" customHeight="1" thickTop="1" thickBot="1">
      <c r="A692" s="23">
        <v>690</v>
      </c>
      <c r="B692" s="32">
        <v>46204.573446168899</v>
      </c>
      <c r="C692" s="33" t="s">
        <v>97</v>
      </c>
      <c r="D692" s="31" t="s">
        <v>395</v>
      </c>
      <c r="E692" s="23" t="s">
        <v>99</v>
      </c>
      <c r="F692" s="23" t="s">
        <v>100</v>
      </c>
      <c r="G692" s="23" t="s">
        <v>104</v>
      </c>
      <c r="H692" s="23" t="s">
        <v>719</v>
      </c>
      <c r="I692" s="23"/>
      <c r="J692" s="23" t="s">
        <v>16</v>
      </c>
      <c r="K692" s="23" t="s">
        <v>13</v>
      </c>
      <c r="L692" s="32">
        <v>46204.805437476854</v>
      </c>
      <c r="M692" s="23"/>
    </row>
    <row r="693" spans="1:13" ht="75" customHeight="1" thickTop="1" thickBot="1">
      <c r="A693" s="25">
        <v>691</v>
      </c>
      <c r="B693" s="32">
        <v>46204.573524548599</v>
      </c>
      <c r="C693" s="33" t="s">
        <v>97</v>
      </c>
      <c r="D693" s="31" t="s">
        <v>395</v>
      </c>
      <c r="E693" s="23" t="s">
        <v>99</v>
      </c>
      <c r="F693" s="23" t="s">
        <v>116</v>
      </c>
      <c r="G693" s="23" t="s">
        <v>104</v>
      </c>
      <c r="H693" s="23" t="s">
        <v>720</v>
      </c>
      <c r="I693" s="23"/>
      <c r="J693" s="23" t="s">
        <v>16</v>
      </c>
      <c r="K693" s="23" t="s">
        <v>13</v>
      </c>
      <c r="L693" s="32">
        <v>46204.805731250002</v>
      </c>
      <c r="M693" s="23"/>
    </row>
    <row r="694" spans="1:13" ht="75" customHeight="1" thickTop="1" thickBot="1">
      <c r="A694" s="23">
        <v>692</v>
      </c>
      <c r="B694" s="32">
        <v>46204.573532083297</v>
      </c>
      <c r="C694" s="33" t="s">
        <v>97</v>
      </c>
      <c r="D694" s="31" t="s">
        <v>395</v>
      </c>
      <c r="E694" s="23" t="s">
        <v>99</v>
      </c>
      <c r="F694" s="23" t="s">
        <v>102</v>
      </c>
      <c r="G694" s="23" t="s">
        <v>106</v>
      </c>
      <c r="H694" s="23" t="s">
        <v>721</v>
      </c>
      <c r="I694" s="23"/>
      <c r="J694" s="23" t="s">
        <v>16</v>
      </c>
      <c r="K694" s="23" t="s">
        <v>13</v>
      </c>
      <c r="L694" s="32">
        <v>46204.805824467592</v>
      </c>
      <c r="M694" s="23"/>
    </row>
    <row r="695" spans="1:13" ht="75" customHeight="1" thickTop="1" thickBot="1">
      <c r="A695" s="25">
        <v>693</v>
      </c>
      <c r="B695" s="32">
        <v>46204.573700833302</v>
      </c>
      <c r="C695" s="33" t="s">
        <v>97</v>
      </c>
      <c r="D695" s="31" t="s">
        <v>272</v>
      </c>
      <c r="E695" s="23" t="s">
        <v>99</v>
      </c>
      <c r="F695" s="23" t="s">
        <v>100</v>
      </c>
      <c r="G695" s="23" t="s">
        <v>168</v>
      </c>
      <c r="H695" s="23" t="s">
        <v>996</v>
      </c>
      <c r="I695" s="23"/>
      <c r="J695" s="23" t="s">
        <v>15</v>
      </c>
      <c r="K695" s="23" t="s">
        <v>13</v>
      </c>
      <c r="L695" s="32">
        <v>46204.805987708329</v>
      </c>
      <c r="M695" s="23"/>
    </row>
    <row r="696" spans="1:13" ht="75" customHeight="1" thickTop="1" thickBot="1">
      <c r="A696" s="23">
        <v>694</v>
      </c>
      <c r="B696" s="32">
        <v>46204.573986469899</v>
      </c>
      <c r="C696" s="33" t="s">
        <v>97</v>
      </c>
      <c r="D696" s="31" t="s">
        <v>395</v>
      </c>
      <c r="E696" s="23" t="s">
        <v>99</v>
      </c>
      <c r="F696" s="23" t="s">
        <v>100</v>
      </c>
      <c r="G696" s="23" t="s">
        <v>104</v>
      </c>
      <c r="H696" s="23" t="s">
        <v>722</v>
      </c>
      <c r="I696" s="23"/>
      <c r="J696" s="23" t="s">
        <v>16</v>
      </c>
      <c r="K696" s="23" t="s">
        <v>13</v>
      </c>
      <c r="L696" s="32">
        <v>46204.806238807869</v>
      </c>
      <c r="M696" s="23"/>
    </row>
    <row r="697" spans="1:13" ht="75" customHeight="1" thickTop="1" thickBot="1">
      <c r="A697" s="25">
        <v>695</v>
      </c>
      <c r="B697" s="32">
        <v>46204.574092210598</v>
      </c>
      <c r="C697" s="33" t="s">
        <v>97</v>
      </c>
      <c r="D697" s="31" t="s">
        <v>272</v>
      </c>
      <c r="E697" s="23" t="s">
        <v>99</v>
      </c>
      <c r="F697" s="23" t="s">
        <v>116</v>
      </c>
      <c r="G697" s="23" t="s">
        <v>101</v>
      </c>
      <c r="H697" s="23" t="s">
        <v>705</v>
      </c>
      <c r="I697" s="23"/>
      <c r="J697" s="23" t="s">
        <v>14</v>
      </c>
      <c r="K697" s="23" t="s">
        <v>13</v>
      </c>
      <c r="L697" s="32">
        <v>46204.806233622687</v>
      </c>
      <c r="M697" s="23"/>
    </row>
    <row r="698" spans="1:13" ht="75" customHeight="1" thickTop="1" thickBot="1">
      <c r="A698" s="23">
        <v>696</v>
      </c>
      <c r="B698" s="32">
        <v>46204.574301446701</v>
      </c>
      <c r="C698" s="33" t="s">
        <v>97</v>
      </c>
      <c r="D698" s="31" t="s">
        <v>395</v>
      </c>
      <c r="E698" s="23" t="s">
        <v>99</v>
      </c>
      <c r="F698" s="23" t="s">
        <v>116</v>
      </c>
      <c r="G698" s="23" t="s">
        <v>104</v>
      </c>
      <c r="H698" s="23" t="s">
        <v>723</v>
      </c>
      <c r="I698" s="23"/>
      <c r="J698" s="23" t="s">
        <v>16</v>
      </c>
      <c r="K698" s="23" t="s">
        <v>13</v>
      </c>
      <c r="L698" s="32">
        <v>46204.806321215277</v>
      </c>
      <c r="M698" s="23"/>
    </row>
    <row r="699" spans="1:13" ht="75" customHeight="1" thickTop="1" thickBot="1">
      <c r="A699" s="25">
        <v>697</v>
      </c>
      <c r="B699" s="32">
        <v>46204.574407650398</v>
      </c>
      <c r="C699" s="33" t="s">
        <v>97</v>
      </c>
      <c r="D699" s="31" t="s">
        <v>395</v>
      </c>
      <c r="E699" s="23" t="s">
        <v>99</v>
      </c>
      <c r="F699" s="23" t="s">
        <v>126</v>
      </c>
      <c r="G699" s="23" t="s">
        <v>106</v>
      </c>
      <c r="H699" s="23" t="s">
        <v>724</v>
      </c>
      <c r="I699" s="23"/>
      <c r="J699" s="23" t="s">
        <v>16</v>
      </c>
      <c r="K699" s="23" t="s">
        <v>13</v>
      </c>
      <c r="L699" s="32">
        <v>46204.806403356481</v>
      </c>
      <c r="M699" s="23"/>
    </row>
    <row r="700" spans="1:13" ht="75" customHeight="1" thickTop="1" thickBot="1">
      <c r="A700" s="23">
        <v>698</v>
      </c>
      <c r="B700" s="32">
        <v>46204.574559062501</v>
      </c>
      <c r="C700" s="33" t="s">
        <v>97</v>
      </c>
      <c r="D700" s="31" t="s">
        <v>395</v>
      </c>
      <c r="E700" s="23" t="s">
        <v>99</v>
      </c>
      <c r="F700" s="23" t="s">
        <v>100</v>
      </c>
      <c r="G700" s="23" t="s">
        <v>104</v>
      </c>
      <c r="H700" s="23" t="s">
        <v>726</v>
      </c>
      <c r="I700" s="23"/>
      <c r="J700" s="23" t="s">
        <v>16</v>
      </c>
      <c r="K700" s="23" t="s">
        <v>13</v>
      </c>
      <c r="L700" s="32">
        <v>46204.806761666667</v>
      </c>
      <c r="M700" s="23"/>
    </row>
    <row r="701" spans="1:13" ht="75" customHeight="1" thickTop="1" thickBot="1">
      <c r="A701" s="25">
        <v>699</v>
      </c>
      <c r="B701" s="32">
        <v>46204.574694178198</v>
      </c>
      <c r="C701" s="33" t="s">
        <v>97</v>
      </c>
      <c r="D701" s="31" t="s">
        <v>272</v>
      </c>
      <c r="E701" s="23" t="s">
        <v>99</v>
      </c>
      <c r="F701" s="23" t="s">
        <v>102</v>
      </c>
      <c r="G701" s="23" t="s">
        <v>101</v>
      </c>
      <c r="H701" s="23" t="s">
        <v>725</v>
      </c>
      <c r="I701" s="23"/>
      <c r="J701" s="23" t="s">
        <v>16</v>
      </c>
      <c r="K701" s="23" t="s">
        <v>13</v>
      </c>
      <c r="L701" s="32">
        <v>46204.80650244213</v>
      </c>
      <c r="M701" s="23"/>
    </row>
    <row r="702" spans="1:13" ht="75" customHeight="1" thickTop="1" thickBot="1">
      <c r="A702" s="23">
        <v>700</v>
      </c>
      <c r="B702" s="32">
        <v>46204.574821921196</v>
      </c>
      <c r="C702" s="33" t="s">
        <v>97</v>
      </c>
      <c r="D702" s="31" t="s">
        <v>395</v>
      </c>
      <c r="E702" s="23" t="s">
        <v>99</v>
      </c>
      <c r="F702" s="23" t="s">
        <v>126</v>
      </c>
      <c r="G702" s="23" t="s">
        <v>152</v>
      </c>
      <c r="H702" s="23" t="s">
        <v>727</v>
      </c>
      <c r="I702" s="23"/>
      <c r="J702" s="23" t="s">
        <v>16</v>
      </c>
      <c r="K702" s="23" t="s">
        <v>13</v>
      </c>
      <c r="L702" s="32">
        <v>46204.806889004627</v>
      </c>
      <c r="M702" s="23"/>
    </row>
    <row r="703" spans="1:13" ht="75" customHeight="1" thickTop="1" thickBot="1">
      <c r="A703" s="25">
        <v>701</v>
      </c>
      <c r="B703" s="32">
        <v>46204.575064282399</v>
      </c>
      <c r="C703" s="33" t="s">
        <v>97</v>
      </c>
      <c r="D703" s="31" t="s">
        <v>395</v>
      </c>
      <c r="E703" s="23" t="s">
        <v>99</v>
      </c>
      <c r="F703" s="23" t="s">
        <v>102</v>
      </c>
      <c r="G703" s="23" t="s">
        <v>108</v>
      </c>
      <c r="H703" s="23" t="s">
        <v>728</v>
      </c>
      <c r="I703" s="23"/>
      <c r="J703" s="23" t="s">
        <v>16</v>
      </c>
      <c r="K703" s="23" t="s">
        <v>13</v>
      </c>
      <c r="L703" s="32">
        <v>46204.806962060189</v>
      </c>
      <c r="M703" s="23"/>
    </row>
    <row r="704" spans="1:13" ht="75" customHeight="1" thickTop="1" thickBot="1">
      <c r="A704" s="23">
        <v>702</v>
      </c>
      <c r="B704" s="32">
        <v>46204.575139745299</v>
      </c>
      <c r="C704" s="33" t="s">
        <v>97</v>
      </c>
      <c r="D704" s="31" t="s">
        <v>272</v>
      </c>
      <c r="E704" s="23" t="s">
        <v>99</v>
      </c>
      <c r="F704" s="23" t="s">
        <v>116</v>
      </c>
      <c r="G704" s="23" t="s">
        <v>101</v>
      </c>
      <c r="H704" s="23" t="s">
        <v>705</v>
      </c>
      <c r="I704" s="23"/>
      <c r="J704" s="23" t="s">
        <v>14</v>
      </c>
      <c r="K704" s="23" t="s">
        <v>13</v>
      </c>
      <c r="L704" s="32">
        <v>46204.807036689817</v>
      </c>
      <c r="M704" s="23"/>
    </row>
    <row r="705" spans="1:13" ht="75" customHeight="1" thickTop="1" thickBot="1">
      <c r="A705" s="25">
        <v>703</v>
      </c>
      <c r="B705" s="32">
        <v>46204.575198807797</v>
      </c>
      <c r="C705" s="33" t="s">
        <v>97</v>
      </c>
      <c r="D705" s="31" t="s">
        <v>395</v>
      </c>
      <c r="E705" s="23" t="s">
        <v>99</v>
      </c>
      <c r="F705" s="23" t="s">
        <v>116</v>
      </c>
      <c r="G705" s="23" t="s">
        <v>103</v>
      </c>
      <c r="H705" s="23" t="s">
        <v>1089</v>
      </c>
      <c r="I705" s="23"/>
      <c r="J705" s="23" t="s">
        <v>16</v>
      </c>
      <c r="K705" s="23" t="s">
        <v>13</v>
      </c>
      <c r="L705" s="32">
        <v>46204.807184571764</v>
      </c>
      <c r="M705" s="23"/>
    </row>
    <row r="706" spans="1:13" ht="75" customHeight="1" thickTop="1" thickBot="1">
      <c r="A706" s="23">
        <v>704</v>
      </c>
      <c r="B706" s="32">
        <v>46204.575278599499</v>
      </c>
      <c r="C706" s="33" t="s">
        <v>97</v>
      </c>
      <c r="D706" s="31" t="s">
        <v>395</v>
      </c>
      <c r="E706" s="23" t="s">
        <v>99</v>
      </c>
      <c r="F706" s="23" t="s">
        <v>102</v>
      </c>
      <c r="G706" s="23" t="s">
        <v>106</v>
      </c>
      <c r="H706" s="23" t="s">
        <v>729</v>
      </c>
      <c r="I706" s="23"/>
      <c r="J706" s="23" t="s">
        <v>16</v>
      </c>
      <c r="K706" s="23" t="s">
        <v>13</v>
      </c>
      <c r="L706" s="32">
        <v>46204.807492291671</v>
      </c>
      <c r="M706" s="23"/>
    </row>
    <row r="707" spans="1:13" ht="75" customHeight="1" thickTop="1" thickBot="1">
      <c r="A707" s="25">
        <v>705</v>
      </c>
      <c r="B707" s="32">
        <v>46204.575450833298</v>
      </c>
      <c r="C707" s="33" t="s">
        <v>97</v>
      </c>
      <c r="D707" s="31" t="s">
        <v>272</v>
      </c>
      <c r="E707" s="23" t="s">
        <v>99</v>
      </c>
      <c r="F707" s="23" t="s">
        <v>116</v>
      </c>
      <c r="G707" s="23" t="s">
        <v>101</v>
      </c>
      <c r="H707" s="23" t="s">
        <v>1171</v>
      </c>
      <c r="I707" s="23"/>
      <c r="J707" s="23" t="s">
        <v>14</v>
      </c>
      <c r="K707" s="23" t="s">
        <v>13</v>
      </c>
      <c r="L707" s="32">
        <v>46204.807569027776</v>
      </c>
      <c r="M707" s="23"/>
    </row>
    <row r="708" spans="1:13" ht="75" customHeight="1" thickTop="1" thickBot="1">
      <c r="A708" s="23">
        <v>706</v>
      </c>
      <c r="B708" s="32">
        <v>46204.575637928203</v>
      </c>
      <c r="C708" s="33" t="s">
        <v>97</v>
      </c>
      <c r="D708" s="31" t="s">
        <v>395</v>
      </c>
      <c r="E708" s="23" t="s">
        <v>99</v>
      </c>
      <c r="F708" s="23" t="s">
        <v>116</v>
      </c>
      <c r="G708" s="23" t="s">
        <v>124</v>
      </c>
      <c r="H708" s="23" t="s">
        <v>730</v>
      </c>
      <c r="I708" s="23"/>
      <c r="J708" s="23" t="s">
        <v>16</v>
      </c>
      <c r="K708" s="23" t="s">
        <v>13</v>
      </c>
      <c r="L708" s="32">
        <v>46204.807660254628</v>
      </c>
      <c r="M708" s="23"/>
    </row>
    <row r="709" spans="1:13" ht="75" customHeight="1" thickTop="1" thickBot="1">
      <c r="A709" s="25">
        <v>707</v>
      </c>
      <c r="B709" s="32">
        <v>46204.575663032403</v>
      </c>
      <c r="C709" s="33" t="s">
        <v>97</v>
      </c>
      <c r="D709" s="31" t="s">
        <v>395</v>
      </c>
      <c r="E709" s="23" t="s">
        <v>99</v>
      </c>
      <c r="F709" s="23" t="s">
        <v>102</v>
      </c>
      <c r="G709" s="23" t="s">
        <v>104</v>
      </c>
      <c r="H709" s="23" t="s">
        <v>731</v>
      </c>
      <c r="I709" s="23"/>
      <c r="J709" s="23" t="s">
        <v>16</v>
      </c>
      <c r="K709" s="23" t="s">
        <v>13</v>
      </c>
      <c r="L709" s="32">
        <v>46204.807761516204</v>
      </c>
      <c r="M709" s="23"/>
    </row>
    <row r="710" spans="1:13" ht="75" customHeight="1" thickTop="1" thickBot="1">
      <c r="A710" s="23">
        <v>708</v>
      </c>
      <c r="B710" s="32">
        <v>46204.575766608701</v>
      </c>
      <c r="C710" s="33" t="s">
        <v>97</v>
      </c>
      <c r="D710" s="31" t="s">
        <v>395</v>
      </c>
      <c r="E710" s="23" t="s">
        <v>99</v>
      </c>
      <c r="F710" s="23" t="s">
        <v>463</v>
      </c>
      <c r="G710" s="23" t="s">
        <v>463</v>
      </c>
      <c r="H710" s="23" t="s">
        <v>732</v>
      </c>
      <c r="I710" s="23"/>
      <c r="J710" s="23" t="s">
        <v>16</v>
      </c>
      <c r="K710" s="23" t="s">
        <v>13</v>
      </c>
      <c r="L710" s="32">
        <v>46204.807852696758</v>
      </c>
      <c r="M710" s="23"/>
    </row>
    <row r="711" spans="1:13" ht="75" customHeight="1" thickTop="1" thickBot="1">
      <c r="A711" s="25">
        <v>709</v>
      </c>
      <c r="B711" s="32">
        <v>46204.575877256902</v>
      </c>
      <c r="C711" s="33" t="s">
        <v>97</v>
      </c>
      <c r="D711" s="31" t="s">
        <v>272</v>
      </c>
      <c r="E711" s="23" t="s">
        <v>99</v>
      </c>
      <c r="F711" s="23" t="s">
        <v>116</v>
      </c>
      <c r="G711" s="23" t="s">
        <v>101</v>
      </c>
      <c r="H711" s="23" t="s">
        <v>733</v>
      </c>
      <c r="I711" s="23"/>
      <c r="J711" s="23" t="s">
        <v>14</v>
      </c>
      <c r="K711" s="23" t="s">
        <v>13</v>
      </c>
      <c r="L711" s="32">
        <v>46204.808065381949</v>
      </c>
      <c r="M711" s="23"/>
    </row>
    <row r="712" spans="1:13" ht="75" customHeight="1" thickTop="1" thickBot="1">
      <c r="A712" s="23">
        <v>710</v>
      </c>
      <c r="B712" s="32">
        <v>46204.576164710597</v>
      </c>
      <c r="C712" s="33" t="s">
        <v>97</v>
      </c>
      <c r="D712" s="31" t="s">
        <v>395</v>
      </c>
      <c r="E712" s="23" t="s">
        <v>99</v>
      </c>
      <c r="F712" s="23" t="s">
        <v>126</v>
      </c>
      <c r="G712" s="23" t="s">
        <v>110</v>
      </c>
      <c r="H712" s="23" t="s">
        <v>734</v>
      </c>
      <c r="I712" s="23"/>
      <c r="J712" s="23" t="s">
        <v>16</v>
      </c>
      <c r="K712" s="23" t="s">
        <v>13</v>
      </c>
      <c r="L712" s="32">
        <v>46204.808119189816</v>
      </c>
      <c r="M712" s="23"/>
    </row>
    <row r="713" spans="1:13" ht="75" customHeight="1" thickTop="1" thickBot="1">
      <c r="A713" s="25">
        <v>711</v>
      </c>
      <c r="B713" s="32">
        <v>46204.576215057801</v>
      </c>
      <c r="C713" s="33" t="s">
        <v>97</v>
      </c>
      <c r="D713" s="31" t="s">
        <v>272</v>
      </c>
      <c r="E713" s="23" t="s">
        <v>99</v>
      </c>
      <c r="F713" s="23" t="s">
        <v>102</v>
      </c>
      <c r="G713" s="23" t="s">
        <v>110</v>
      </c>
      <c r="H713" s="23" t="s">
        <v>735</v>
      </c>
      <c r="I713" s="23"/>
      <c r="J713" s="23" t="s">
        <v>14</v>
      </c>
      <c r="K713" s="23" t="s">
        <v>13</v>
      </c>
      <c r="L713" s="32">
        <v>46204.808296145835</v>
      </c>
      <c r="M713" s="23"/>
    </row>
    <row r="714" spans="1:13" ht="75" customHeight="1" thickTop="1" thickBot="1">
      <c r="A714" s="23">
        <v>712</v>
      </c>
      <c r="B714" s="32">
        <v>46204.576226006902</v>
      </c>
      <c r="C714" s="33" t="s">
        <v>97</v>
      </c>
      <c r="D714" s="31" t="s">
        <v>395</v>
      </c>
      <c r="E714" s="23" t="s">
        <v>99</v>
      </c>
      <c r="F714" s="23" t="s">
        <v>102</v>
      </c>
      <c r="G714" s="23" t="s">
        <v>104</v>
      </c>
      <c r="H714" s="23" t="s">
        <v>736</v>
      </c>
      <c r="I714" s="23"/>
      <c r="J714" s="23" t="s">
        <v>16</v>
      </c>
      <c r="K714" s="23" t="s">
        <v>13</v>
      </c>
      <c r="L714" s="32">
        <v>46204.808425150462</v>
      </c>
      <c r="M714" s="23"/>
    </row>
    <row r="715" spans="1:13" ht="75" customHeight="1" thickTop="1" thickBot="1">
      <c r="A715" s="25">
        <v>713</v>
      </c>
      <c r="B715" s="32">
        <v>46204.576285763796</v>
      </c>
      <c r="C715" s="33" t="s">
        <v>97</v>
      </c>
      <c r="D715" s="31" t="s">
        <v>395</v>
      </c>
      <c r="E715" s="23" t="s">
        <v>99</v>
      </c>
      <c r="F715" s="23" t="s">
        <v>116</v>
      </c>
      <c r="G715" s="23" t="s">
        <v>103</v>
      </c>
      <c r="H715" s="23" t="s">
        <v>1090</v>
      </c>
      <c r="I715" s="23"/>
      <c r="J715" s="23" t="s">
        <v>16</v>
      </c>
      <c r="K715" s="23" t="s">
        <v>13</v>
      </c>
      <c r="L715" s="32">
        <v>46204.808498252314</v>
      </c>
      <c r="M715" s="23"/>
    </row>
    <row r="716" spans="1:13" ht="75" customHeight="1" thickTop="1" thickBot="1">
      <c r="A716" s="23">
        <v>714</v>
      </c>
      <c r="B716" s="32">
        <v>46204.576638553197</v>
      </c>
      <c r="C716" s="33" t="s">
        <v>97</v>
      </c>
      <c r="D716" s="31" t="s">
        <v>395</v>
      </c>
      <c r="E716" s="23" t="s">
        <v>99</v>
      </c>
      <c r="F716" s="23" t="s">
        <v>100</v>
      </c>
      <c r="G716" s="23" t="s">
        <v>106</v>
      </c>
      <c r="H716" s="23" t="s">
        <v>737</v>
      </c>
      <c r="I716" s="23"/>
      <c r="J716" s="23" t="s">
        <v>16</v>
      </c>
      <c r="K716" s="23" t="s">
        <v>13</v>
      </c>
      <c r="L716" s="32">
        <v>46204.80856503472</v>
      </c>
      <c r="M716" s="23"/>
    </row>
    <row r="717" spans="1:13" ht="75" customHeight="1" thickTop="1" thickBot="1">
      <c r="A717" s="25">
        <v>715</v>
      </c>
      <c r="B717" s="32">
        <v>46204.576818229099</v>
      </c>
      <c r="C717" s="33" t="s">
        <v>97</v>
      </c>
      <c r="D717" s="31" t="s">
        <v>272</v>
      </c>
      <c r="E717" s="23" t="s">
        <v>99</v>
      </c>
      <c r="F717" s="23" t="s">
        <v>116</v>
      </c>
      <c r="G717" s="23" t="s">
        <v>981</v>
      </c>
      <c r="H717" s="23" t="s">
        <v>1091</v>
      </c>
      <c r="I717" s="23"/>
      <c r="J717" s="23" t="s">
        <v>16</v>
      </c>
      <c r="K717" s="23" t="s">
        <v>13</v>
      </c>
      <c r="L717" s="32">
        <v>46204.808641331023</v>
      </c>
      <c r="M717" s="23"/>
    </row>
    <row r="718" spans="1:13" ht="75" customHeight="1" thickTop="1" thickBot="1">
      <c r="A718" s="23">
        <v>716</v>
      </c>
      <c r="B718" s="32">
        <v>46204.576975115699</v>
      </c>
      <c r="C718" s="33" t="s">
        <v>97</v>
      </c>
      <c r="D718" s="31" t="s">
        <v>395</v>
      </c>
      <c r="E718" s="23" t="s">
        <v>99</v>
      </c>
      <c r="F718" s="23" t="s">
        <v>100</v>
      </c>
      <c r="G718" s="23" t="s">
        <v>124</v>
      </c>
      <c r="H718" s="23" t="s">
        <v>738</v>
      </c>
      <c r="I718" s="23"/>
      <c r="J718" s="23" t="s">
        <v>16</v>
      </c>
      <c r="K718" s="23" t="s">
        <v>13</v>
      </c>
      <c r="L718" s="32">
        <v>46204.808887754625</v>
      </c>
      <c r="M718" s="23"/>
    </row>
    <row r="719" spans="1:13" ht="75" customHeight="1" thickTop="1" thickBot="1">
      <c r="A719" s="25">
        <v>717</v>
      </c>
      <c r="B719" s="32">
        <v>46204.577141215203</v>
      </c>
      <c r="C719" s="33" t="s">
        <v>97</v>
      </c>
      <c r="D719" s="31" t="s">
        <v>272</v>
      </c>
      <c r="E719" s="23" t="s">
        <v>99</v>
      </c>
      <c r="F719" s="23" t="s">
        <v>116</v>
      </c>
      <c r="G719" s="23" t="s">
        <v>101</v>
      </c>
      <c r="H719" s="23" t="s">
        <v>739</v>
      </c>
      <c r="I719" s="23"/>
      <c r="J719" s="23" t="s">
        <v>14</v>
      </c>
      <c r="K719" s="23" t="s">
        <v>13</v>
      </c>
      <c r="L719" s="32">
        <v>46204.809004270835</v>
      </c>
      <c r="M719" s="23"/>
    </row>
    <row r="720" spans="1:13" ht="75" customHeight="1" thickTop="1" thickBot="1">
      <c r="A720" s="23">
        <v>718</v>
      </c>
      <c r="B720" s="32">
        <v>46204.577157071697</v>
      </c>
      <c r="C720" s="33" t="s">
        <v>97</v>
      </c>
      <c r="D720" s="31" t="s">
        <v>395</v>
      </c>
      <c r="E720" s="23" t="s">
        <v>99</v>
      </c>
      <c r="F720" s="23" t="s">
        <v>126</v>
      </c>
      <c r="G720" s="23" t="s">
        <v>106</v>
      </c>
      <c r="H720" s="23" t="s">
        <v>740</v>
      </c>
      <c r="I720" s="23"/>
      <c r="J720" s="23" t="s">
        <v>16</v>
      </c>
      <c r="K720" s="23" t="s">
        <v>13</v>
      </c>
      <c r="L720" s="32">
        <v>46204.809082256943</v>
      </c>
      <c r="M720" s="23"/>
    </row>
    <row r="721" spans="1:13" ht="75" customHeight="1" thickTop="1" thickBot="1">
      <c r="A721" s="25">
        <v>719</v>
      </c>
      <c r="B721" s="32">
        <v>46204.577767002302</v>
      </c>
      <c r="C721" s="33" t="s">
        <v>97</v>
      </c>
      <c r="D721" s="31" t="s">
        <v>395</v>
      </c>
      <c r="E721" s="23" t="s">
        <v>99</v>
      </c>
      <c r="F721" s="23" t="s">
        <v>102</v>
      </c>
      <c r="G721" s="23" t="s">
        <v>105</v>
      </c>
      <c r="H721" s="23" t="s">
        <v>741</v>
      </c>
      <c r="I721" s="23"/>
      <c r="J721" s="23" t="s">
        <v>16</v>
      </c>
      <c r="K721" s="23" t="s">
        <v>13</v>
      </c>
      <c r="L721" s="32">
        <v>46204.809148495369</v>
      </c>
      <c r="M721" s="23"/>
    </row>
    <row r="722" spans="1:13" ht="75" customHeight="1" thickTop="1" thickBot="1">
      <c r="A722" s="23">
        <v>720</v>
      </c>
      <c r="B722" s="32">
        <v>46204.5778448032</v>
      </c>
      <c r="C722" s="33" t="s">
        <v>97</v>
      </c>
      <c r="D722" s="31" t="s">
        <v>395</v>
      </c>
      <c r="E722" s="23" t="s">
        <v>99</v>
      </c>
      <c r="F722" s="23" t="s">
        <v>100</v>
      </c>
      <c r="G722" s="23" t="s">
        <v>104</v>
      </c>
      <c r="H722" s="23" t="s">
        <v>742</v>
      </c>
      <c r="I722" s="23"/>
      <c r="J722" s="23" t="s">
        <v>16</v>
      </c>
      <c r="K722" s="23" t="s">
        <v>13</v>
      </c>
      <c r="L722" s="32">
        <v>46204.809222847223</v>
      </c>
      <c r="M722" s="23"/>
    </row>
    <row r="723" spans="1:13" ht="75" customHeight="1" thickTop="1" thickBot="1">
      <c r="A723" s="25">
        <v>721</v>
      </c>
      <c r="B723" s="32">
        <v>46204.578312141202</v>
      </c>
      <c r="C723" s="33" t="s">
        <v>97</v>
      </c>
      <c r="D723" s="31" t="s">
        <v>395</v>
      </c>
      <c r="E723" s="23" t="s">
        <v>99</v>
      </c>
      <c r="F723" s="23" t="s">
        <v>102</v>
      </c>
      <c r="G723" s="23" t="s">
        <v>104</v>
      </c>
      <c r="H723" s="23" t="s">
        <v>743</v>
      </c>
      <c r="I723" s="23"/>
      <c r="J723" s="23" t="s">
        <v>16</v>
      </c>
      <c r="K723" s="23" t="s">
        <v>13</v>
      </c>
      <c r="L723" s="32">
        <v>46204.809306053241</v>
      </c>
      <c r="M723" s="23"/>
    </row>
    <row r="724" spans="1:13" ht="75" customHeight="1" thickTop="1" thickBot="1">
      <c r="A724" s="23">
        <v>722</v>
      </c>
      <c r="B724" s="32">
        <v>46204.579278067104</v>
      </c>
      <c r="C724" s="33" t="s">
        <v>97</v>
      </c>
      <c r="D724" s="31" t="s">
        <v>395</v>
      </c>
      <c r="E724" s="23" t="s">
        <v>99</v>
      </c>
      <c r="F724" s="23" t="s">
        <v>100</v>
      </c>
      <c r="G724" s="23" t="s">
        <v>108</v>
      </c>
      <c r="H724" s="23" t="s">
        <v>744</v>
      </c>
      <c r="I724" s="23"/>
      <c r="J724" s="23" t="s">
        <v>16</v>
      </c>
      <c r="K724" s="23" t="s">
        <v>13</v>
      </c>
      <c r="L724" s="32">
        <v>46204.809400127313</v>
      </c>
      <c r="M724" s="23"/>
    </row>
    <row r="725" spans="1:13" ht="75" customHeight="1" thickTop="1" thickBot="1">
      <c r="A725" s="25">
        <v>723</v>
      </c>
      <c r="B725" s="32">
        <v>46204.579542928201</v>
      </c>
      <c r="C725" s="33" t="s">
        <v>97</v>
      </c>
      <c r="D725" s="31" t="s">
        <v>272</v>
      </c>
      <c r="E725" s="23" t="s">
        <v>99</v>
      </c>
      <c r="F725" s="23" t="s">
        <v>116</v>
      </c>
      <c r="G725" s="23" t="s">
        <v>101</v>
      </c>
      <c r="H725" s="23" t="s">
        <v>1172</v>
      </c>
      <c r="I725" s="23"/>
      <c r="J725" s="23" t="s">
        <v>14</v>
      </c>
      <c r="K725" s="23" t="s">
        <v>13</v>
      </c>
      <c r="L725" s="32">
        <v>46204.809536493056</v>
      </c>
      <c r="M725" s="23"/>
    </row>
    <row r="726" spans="1:13" ht="75" customHeight="1" thickTop="1" thickBot="1">
      <c r="A726" s="23">
        <v>724</v>
      </c>
      <c r="B726" s="32">
        <v>46204.580029698998</v>
      </c>
      <c r="C726" s="33" t="s">
        <v>97</v>
      </c>
      <c r="D726" s="31" t="s">
        <v>272</v>
      </c>
      <c r="E726" s="23" t="s">
        <v>99</v>
      </c>
      <c r="F726" s="23" t="s">
        <v>116</v>
      </c>
      <c r="G726" s="23" t="s">
        <v>101</v>
      </c>
      <c r="H726" s="23" t="s">
        <v>745</v>
      </c>
      <c r="I726" s="23"/>
      <c r="J726" s="23" t="s">
        <v>16</v>
      </c>
      <c r="K726" s="23" t="s">
        <v>13</v>
      </c>
      <c r="L726" s="32">
        <v>46204.809636238424</v>
      </c>
      <c r="M726" s="23"/>
    </row>
    <row r="727" spans="1:13" ht="75" customHeight="1" thickTop="1" thickBot="1">
      <c r="A727" s="25">
        <v>725</v>
      </c>
      <c r="B727" s="32">
        <v>46204.580552523097</v>
      </c>
      <c r="C727" s="33" t="s">
        <v>97</v>
      </c>
      <c r="D727" s="31" t="s">
        <v>272</v>
      </c>
      <c r="E727" s="23" t="s">
        <v>99</v>
      </c>
      <c r="F727" s="23" t="s">
        <v>116</v>
      </c>
      <c r="G727" s="23" t="s">
        <v>101</v>
      </c>
      <c r="H727" s="23" t="s">
        <v>746</v>
      </c>
      <c r="I727" s="23"/>
      <c r="J727" s="23" t="s">
        <v>16</v>
      </c>
      <c r="K727" s="23" t="s">
        <v>13</v>
      </c>
      <c r="L727" s="32">
        <v>46204.815457685181</v>
      </c>
      <c r="M727" s="23"/>
    </row>
    <row r="728" spans="1:13" ht="75" customHeight="1" thickTop="1" thickBot="1">
      <c r="A728" s="23">
        <v>726</v>
      </c>
      <c r="B728" s="32">
        <v>46204.672238113402</v>
      </c>
      <c r="C728" s="33" t="s">
        <v>97</v>
      </c>
      <c r="D728" s="31" t="s">
        <v>546</v>
      </c>
      <c r="E728" s="23" t="s">
        <v>99</v>
      </c>
      <c r="F728" s="23" t="s">
        <v>157</v>
      </c>
      <c r="G728" s="23" t="s">
        <v>110</v>
      </c>
      <c r="H728" s="23" t="s">
        <v>747</v>
      </c>
      <c r="I728" s="23"/>
      <c r="J728" s="23" t="s">
        <v>12</v>
      </c>
      <c r="K728" s="23" t="s">
        <v>13</v>
      </c>
      <c r="L728" s="32">
        <v>46204.815496747688</v>
      </c>
      <c r="M728" s="23"/>
    </row>
    <row r="729" spans="1:13" ht="75" customHeight="1" thickTop="1" thickBot="1">
      <c r="A729" s="25">
        <v>727</v>
      </c>
      <c r="B729" s="32">
        <v>46204.673139409701</v>
      </c>
      <c r="C729" s="33" t="s">
        <v>97</v>
      </c>
      <c r="D729" s="31" t="s">
        <v>546</v>
      </c>
      <c r="E729" s="23" t="s">
        <v>99</v>
      </c>
      <c r="F729" s="23" t="s">
        <v>150</v>
      </c>
      <c r="G729" s="23" t="s">
        <v>110</v>
      </c>
      <c r="H729" s="23" t="s">
        <v>748</v>
      </c>
      <c r="I729" s="23"/>
      <c r="J729" s="23" t="s">
        <v>12</v>
      </c>
      <c r="K729" s="23" t="s">
        <v>13</v>
      </c>
      <c r="L729" s="32">
        <v>46204.815509398148</v>
      </c>
      <c r="M729" s="23"/>
    </row>
    <row r="730" spans="1:13" ht="75" customHeight="1" thickTop="1" thickBot="1">
      <c r="A730" s="23">
        <v>728</v>
      </c>
      <c r="B730" s="32">
        <v>46204.674523287002</v>
      </c>
      <c r="C730" s="33" t="s">
        <v>97</v>
      </c>
      <c r="D730" s="31" t="s">
        <v>546</v>
      </c>
      <c r="E730" s="23" t="s">
        <v>99</v>
      </c>
      <c r="F730" s="23" t="s">
        <v>749</v>
      </c>
      <c r="G730" s="23" t="s">
        <v>152</v>
      </c>
      <c r="H730" s="23" t="s">
        <v>750</v>
      </c>
      <c r="I730" s="23"/>
      <c r="J730" s="23" t="s">
        <v>12</v>
      </c>
      <c r="K730" s="23" t="s">
        <v>13</v>
      </c>
      <c r="L730" s="32">
        <v>46204.815538449075</v>
      </c>
      <c r="M730" s="23"/>
    </row>
    <row r="731" spans="1:13" ht="75" customHeight="1" thickTop="1" thickBot="1">
      <c r="A731" s="25">
        <v>729</v>
      </c>
      <c r="B731" s="32">
        <v>46204.675414120298</v>
      </c>
      <c r="C731" s="33" t="s">
        <v>97</v>
      </c>
      <c r="D731" s="31" t="s">
        <v>546</v>
      </c>
      <c r="E731" s="23" t="s">
        <v>99</v>
      </c>
      <c r="F731" s="23" t="s">
        <v>116</v>
      </c>
      <c r="G731" s="23" t="s">
        <v>152</v>
      </c>
      <c r="H731" s="23" t="s">
        <v>751</v>
      </c>
      <c r="I731" s="23"/>
      <c r="J731" s="23" t="s">
        <v>12</v>
      </c>
      <c r="K731" s="23" t="s">
        <v>13</v>
      </c>
      <c r="L731" s="32">
        <v>46204.815602534727</v>
      </c>
      <c r="M731" s="23"/>
    </row>
    <row r="732" spans="1:13" ht="75" customHeight="1" thickTop="1" thickBot="1">
      <c r="A732" s="23">
        <v>730</v>
      </c>
      <c r="B732" s="32">
        <v>46204.676362708298</v>
      </c>
      <c r="C732" s="33" t="s">
        <v>97</v>
      </c>
      <c r="D732" s="31" t="s">
        <v>546</v>
      </c>
      <c r="E732" s="23" t="s">
        <v>99</v>
      </c>
      <c r="F732" s="23" t="s">
        <v>116</v>
      </c>
      <c r="G732" s="23" t="s">
        <v>106</v>
      </c>
      <c r="H732" s="23" t="s">
        <v>752</v>
      </c>
      <c r="I732" s="23"/>
      <c r="J732" s="23" t="s">
        <v>12</v>
      </c>
      <c r="K732" s="23" t="s">
        <v>13</v>
      </c>
      <c r="L732" s="32">
        <v>46204.815627627315</v>
      </c>
      <c r="M732" s="23"/>
    </row>
    <row r="733" spans="1:13" ht="75" customHeight="1" thickTop="1" thickBot="1">
      <c r="A733" s="25">
        <v>731</v>
      </c>
      <c r="B733" s="32">
        <v>46204.6791554745</v>
      </c>
      <c r="C733" s="33" t="s">
        <v>97</v>
      </c>
      <c r="D733" s="31" t="s">
        <v>546</v>
      </c>
      <c r="E733" s="23" t="s">
        <v>99</v>
      </c>
      <c r="F733" s="23" t="s">
        <v>100</v>
      </c>
      <c r="G733" s="23" t="s">
        <v>106</v>
      </c>
      <c r="H733" s="23" t="s">
        <v>1003</v>
      </c>
      <c r="I733" s="23"/>
      <c r="J733" s="23" t="s">
        <v>12</v>
      </c>
      <c r="K733" s="23" t="s">
        <v>13</v>
      </c>
      <c r="L733" s="32">
        <v>46204.815642557871</v>
      </c>
      <c r="M733" s="23"/>
    </row>
    <row r="734" spans="1:13" ht="75" customHeight="1" thickTop="1" thickBot="1">
      <c r="A734" s="23">
        <v>732</v>
      </c>
      <c r="B734" s="32">
        <v>46204.679814351803</v>
      </c>
      <c r="C734" s="33" t="s">
        <v>97</v>
      </c>
      <c r="D734" s="31" t="s">
        <v>546</v>
      </c>
      <c r="E734" s="23" t="s">
        <v>99</v>
      </c>
      <c r="F734" s="23" t="s">
        <v>116</v>
      </c>
      <c r="G734" s="23" t="s">
        <v>152</v>
      </c>
      <c r="H734" s="23" t="s">
        <v>753</v>
      </c>
      <c r="I734" s="23"/>
      <c r="J734" s="23" t="s">
        <v>12</v>
      </c>
      <c r="K734" s="23" t="s">
        <v>13</v>
      </c>
      <c r="L734" s="32">
        <v>46204.815678900464</v>
      </c>
      <c r="M734" s="23"/>
    </row>
    <row r="735" spans="1:13" ht="75" customHeight="1" thickTop="1" thickBot="1">
      <c r="A735" s="25">
        <v>733</v>
      </c>
      <c r="B735" s="32">
        <v>46204.6804722222</v>
      </c>
      <c r="C735" s="33" t="s">
        <v>97</v>
      </c>
      <c r="D735" s="31" t="s">
        <v>546</v>
      </c>
      <c r="E735" s="23" t="s">
        <v>99</v>
      </c>
      <c r="F735" s="23" t="s">
        <v>116</v>
      </c>
      <c r="G735" s="23" t="s">
        <v>106</v>
      </c>
      <c r="H735" s="23" t="s">
        <v>754</v>
      </c>
      <c r="I735" s="23"/>
      <c r="J735" s="23" t="s">
        <v>12</v>
      </c>
      <c r="K735" s="23" t="s">
        <v>13</v>
      </c>
      <c r="L735" s="32">
        <v>46204.815702175925</v>
      </c>
      <c r="M735" s="23"/>
    </row>
    <row r="736" spans="1:13" ht="75" customHeight="1" thickTop="1" thickBot="1">
      <c r="A736" s="23">
        <v>734</v>
      </c>
      <c r="B736" s="32">
        <v>46204.681465717498</v>
      </c>
      <c r="C736" s="33" t="s">
        <v>97</v>
      </c>
      <c r="D736" s="31" t="s">
        <v>546</v>
      </c>
      <c r="E736" s="23" t="s">
        <v>99</v>
      </c>
      <c r="F736" s="23" t="s">
        <v>116</v>
      </c>
      <c r="G736" s="23" t="s">
        <v>152</v>
      </c>
      <c r="H736" s="23" t="s">
        <v>1004</v>
      </c>
      <c r="I736" s="23"/>
      <c r="J736" s="23" t="s">
        <v>12</v>
      </c>
      <c r="K736" s="23" t="s">
        <v>13</v>
      </c>
      <c r="L736" s="32">
        <v>46204.815721701394</v>
      </c>
      <c r="M736" s="23"/>
    </row>
    <row r="737" spans="1:13" ht="75" customHeight="1" thickTop="1" thickBot="1">
      <c r="A737" s="25">
        <v>735</v>
      </c>
      <c r="B737" s="32">
        <v>46204.682546655</v>
      </c>
      <c r="C737" s="33" t="s">
        <v>97</v>
      </c>
      <c r="D737" s="31" t="s">
        <v>546</v>
      </c>
      <c r="E737" s="23" t="s">
        <v>99</v>
      </c>
      <c r="F737" s="23" t="s">
        <v>116</v>
      </c>
      <c r="G737" s="23" t="s">
        <v>152</v>
      </c>
      <c r="H737" s="23" t="s">
        <v>755</v>
      </c>
      <c r="I737" s="23"/>
      <c r="J737" s="23" t="s">
        <v>12</v>
      </c>
      <c r="K737" s="23" t="s">
        <v>13</v>
      </c>
      <c r="L737" s="32">
        <v>46204.815771365742</v>
      </c>
      <c r="M737" s="23"/>
    </row>
    <row r="738" spans="1:13" ht="75" customHeight="1" thickTop="1" thickBot="1">
      <c r="A738" s="23">
        <v>736</v>
      </c>
      <c r="B738" s="32">
        <v>46204.683302117999</v>
      </c>
      <c r="C738" s="33" t="s">
        <v>97</v>
      </c>
      <c r="D738" s="31" t="s">
        <v>546</v>
      </c>
      <c r="E738" s="23" t="s">
        <v>99</v>
      </c>
      <c r="F738" s="23" t="s">
        <v>116</v>
      </c>
      <c r="G738" s="23" t="s">
        <v>106</v>
      </c>
      <c r="H738" s="23" t="s">
        <v>756</v>
      </c>
      <c r="I738" s="23"/>
      <c r="J738" s="23" t="s">
        <v>12</v>
      </c>
      <c r="K738" s="23" t="s">
        <v>13</v>
      </c>
      <c r="L738" s="32">
        <v>46204.815827604165</v>
      </c>
      <c r="M738" s="23"/>
    </row>
    <row r="739" spans="1:13" ht="75" customHeight="1" thickTop="1" thickBot="1">
      <c r="A739" s="25">
        <v>737</v>
      </c>
      <c r="B739" s="32">
        <v>46204.685140983798</v>
      </c>
      <c r="C739" s="33" t="s">
        <v>97</v>
      </c>
      <c r="D739" s="31" t="s">
        <v>546</v>
      </c>
      <c r="E739" s="23" t="s">
        <v>99</v>
      </c>
      <c r="F739" s="23" t="s">
        <v>102</v>
      </c>
      <c r="G739" s="23" t="s">
        <v>106</v>
      </c>
      <c r="H739" s="23" t="s">
        <v>757</v>
      </c>
      <c r="I739" s="23"/>
      <c r="J739" s="23" t="s">
        <v>12</v>
      </c>
      <c r="K739" s="23" t="s">
        <v>13</v>
      </c>
      <c r="L739" s="32">
        <v>46204.815866701392</v>
      </c>
      <c r="M739" s="23"/>
    </row>
    <row r="740" spans="1:13" ht="75" customHeight="1" thickTop="1" thickBot="1">
      <c r="A740" s="23">
        <v>738</v>
      </c>
      <c r="B740" s="32">
        <v>46204.6859508333</v>
      </c>
      <c r="C740" s="33" t="s">
        <v>97</v>
      </c>
      <c r="D740" s="31" t="s">
        <v>546</v>
      </c>
      <c r="E740" s="23" t="s">
        <v>99</v>
      </c>
      <c r="F740" s="23" t="s">
        <v>262</v>
      </c>
      <c r="G740" s="23" t="s">
        <v>262</v>
      </c>
      <c r="H740" s="23" t="s">
        <v>758</v>
      </c>
      <c r="I740" s="23"/>
      <c r="J740" s="23" t="s">
        <v>38</v>
      </c>
      <c r="K740" s="23" t="s">
        <v>13</v>
      </c>
      <c r="L740" s="32">
        <v>46204.815888773148</v>
      </c>
      <c r="M740" s="23"/>
    </row>
    <row r="741" spans="1:13" ht="75" customHeight="1" thickTop="1" thickBot="1">
      <c r="A741" s="25">
        <v>739</v>
      </c>
      <c r="B741" s="32">
        <v>46204.686370023097</v>
      </c>
      <c r="C741" s="33" t="s">
        <v>97</v>
      </c>
      <c r="D741" s="31" t="s">
        <v>546</v>
      </c>
      <c r="E741" s="23" t="s">
        <v>99</v>
      </c>
      <c r="F741" s="23" t="s">
        <v>126</v>
      </c>
      <c r="G741" s="23" t="s">
        <v>110</v>
      </c>
      <c r="H741" s="23" t="s">
        <v>759</v>
      </c>
      <c r="I741" s="23"/>
      <c r="J741" s="23" t="s">
        <v>12</v>
      </c>
      <c r="K741" s="23" t="s">
        <v>13</v>
      </c>
      <c r="L741" s="32">
        <v>46204.815913379629</v>
      </c>
      <c r="M741" s="23"/>
    </row>
    <row r="742" spans="1:13" ht="75" customHeight="1" thickTop="1" thickBot="1">
      <c r="A742" s="23">
        <v>740</v>
      </c>
      <c r="B742" s="32">
        <v>46204.687606712898</v>
      </c>
      <c r="C742" s="33" t="s">
        <v>97</v>
      </c>
      <c r="D742" s="31" t="s">
        <v>546</v>
      </c>
      <c r="E742" s="23" t="s">
        <v>99</v>
      </c>
      <c r="F742" s="23" t="s">
        <v>126</v>
      </c>
      <c r="G742" s="23" t="s">
        <v>106</v>
      </c>
      <c r="H742" s="23" t="s">
        <v>760</v>
      </c>
      <c r="I742" s="23"/>
      <c r="J742" s="23" t="s">
        <v>12</v>
      </c>
      <c r="K742" s="23" t="s">
        <v>13</v>
      </c>
      <c r="L742" s="32">
        <v>46204.815935856481</v>
      </c>
      <c r="M742" s="23"/>
    </row>
    <row r="743" spans="1:13" ht="75" customHeight="1" thickTop="1" thickBot="1">
      <c r="A743" s="25">
        <v>741</v>
      </c>
      <c r="B743" s="32">
        <v>46204.688439710597</v>
      </c>
      <c r="C743" s="33" t="s">
        <v>97</v>
      </c>
      <c r="D743" s="31" t="s">
        <v>546</v>
      </c>
      <c r="E743" s="23" t="s">
        <v>99</v>
      </c>
      <c r="F743" s="23" t="s">
        <v>116</v>
      </c>
      <c r="G743" s="23" t="s">
        <v>106</v>
      </c>
      <c r="H743" s="23" t="s">
        <v>761</v>
      </c>
      <c r="I743" s="23"/>
      <c r="J743" s="23" t="s">
        <v>12</v>
      </c>
      <c r="K743" s="23" t="s">
        <v>13</v>
      </c>
      <c r="L743" s="32">
        <v>46204.815957418978</v>
      </c>
      <c r="M743" s="23"/>
    </row>
    <row r="744" spans="1:13" ht="75" customHeight="1" thickTop="1" thickBot="1">
      <c r="A744" s="23">
        <v>742</v>
      </c>
      <c r="B744" s="32">
        <v>46204.6891641435</v>
      </c>
      <c r="C744" s="33" t="s">
        <v>97</v>
      </c>
      <c r="D744" s="31" t="s">
        <v>546</v>
      </c>
      <c r="E744" s="23" t="s">
        <v>99</v>
      </c>
      <c r="F744" s="23" t="s">
        <v>100</v>
      </c>
      <c r="G744" s="23" t="s">
        <v>106</v>
      </c>
      <c r="H744" s="23" t="s">
        <v>762</v>
      </c>
      <c r="I744" s="23"/>
      <c r="J744" s="23" t="s">
        <v>12</v>
      </c>
      <c r="K744" s="23" t="s">
        <v>13</v>
      </c>
      <c r="L744" s="32">
        <v>46204.815975173609</v>
      </c>
      <c r="M744" s="23"/>
    </row>
    <row r="745" spans="1:13" ht="75" customHeight="1" thickTop="1" thickBot="1">
      <c r="A745" s="25">
        <v>743</v>
      </c>
      <c r="B745" s="32">
        <v>46204.692592812498</v>
      </c>
      <c r="C745" s="33" t="s">
        <v>97</v>
      </c>
      <c r="D745" s="31" t="s">
        <v>546</v>
      </c>
      <c r="E745" s="23" t="s">
        <v>99</v>
      </c>
      <c r="F745" s="23" t="s">
        <v>102</v>
      </c>
      <c r="G745" s="23" t="s">
        <v>981</v>
      </c>
      <c r="H745" s="23" t="s">
        <v>763</v>
      </c>
      <c r="I745" s="23"/>
      <c r="J745" s="23" t="s">
        <v>12</v>
      </c>
      <c r="K745" s="23" t="s">
        <v>13</v>
      </c>
      <c r="L745" s="32">
        <v>46204.816020844912</v>
      </c>
      <c r="M745" s="23"/>
    </row>
    <row r="746" spans="1:13" ht="75" customHeight="1" thickTop="1" thickBot="1">
      <c r="A746" s="23">
        <v>744</v>
      </c>
      <c r="B746" s="32">
        <v>46204.693235416598</v>
      </c>
      <c r="C746" s="33" t="s">
        <v>97</v>
      </c>
      <c r="D746" s="31" t="s">
        <v>546</v>
      </c>
      <c r="E746" s="23" t="s">
        <v>99</v>
      </c>
      <c r="F746" s="23" t="s">
        <v>100</v>
      </c>
      <c r="G746" s="23" t="s">
        <v>981</v>
      </c>
      <c r="H746" s="23" t="s">
        <v>764</v>
      </c>
      <c r="I746" s="23"/>
      <c r="J746" s="23" t="s">
        <v>12</v>
      </c>
      <c r="K746" s="23" t="s">
        <v>13</v>
      </c>
      <c r="L746" s="32">
        <v>46204.816045150466</v>
      </c>
      <c r="M746" s="23"/>
    </row>
    <row r="747" spans="1:13" ht="75" customHeight="1" thickTop="1" thickBot="1">
      <c r="A747" s="25">
        <v>745</v>
      </c>
      <c r="B747" s="32">
        <v>46204.693850925898</v>
      </c>
      <c r="C747" s="33" t="s">
        <v>97</v>
      </c>
      <c r="D747" s="31" t="s">
        <v>546</v>
      </c>
      <c r="E747" s="23" t="s">
        <v>99</v>
      </c>
      <c r="F747" s="23" t="s">
        <v>116</v>
      </c>
      <c r="G747" s="23" t="s">
        <v>110</v>
      </c>
      <c r="H747" s="23" t="s">
        <v>765</v>
      </c>
      <c r="I747" s="23"/>
      <c r="J747" s="23" t="s">
        <v>12</v>
      </c>
      <c r="K747" s="23" t="s">
        <v>13</v>
      </c>
      <c r="L747" s="32">
        <v>46204.816061458332</v>
      </c>
      <c r="M747" s="23"/>
    </row>
    <row r="748" spans="1:13" ht="75" customHeight="1" thickTop="1" thickBot="1">
      <c r="A748" s="23">
        <v>746</v>
      </c>
      <c r="B748" s="32">
        <v>46204.696444756897</v>
      </c>
      <c r="C748" s="33" t="s">
        <v>97</v>
      </c>
      <c r="D748" s="31" t="s">
        <v>546</v>
      </c>
      <c r="E748" s="23" t="s">
        <v>99</v>
      </c>
      <c r="F748" s="23" t="s">
        <v>100</v>
      </c>
      <c r="G748" s="23" t="s">
        <v>106</v>
      </c>
      <c r="H748" s="23" t="s">
        <v>766</v>
      </c>
      <c r="I748" s="23"/>
      <c r="J748" s="23" t="s">
        <v>12</v>
      </c>
      <c r="K748" s="23" t="s">
        <v>13</v>
      </c>
      <c r="L748" s="32">
        <v>46204.816096585651</v>
      </c>
      <c r="M748" s="23"/>
    </row>
    <row r="749" spans="1:13" ht="75" customHeight="1" thickTop="1" thickBot="1">
      <c r="A749" s="25">
        <v>747</v>
      </c>
      <c r="B749" s="32">
        <v>46204.697456446702</v>
      </c>
      <c r="C749" s="33" t="s">
        <v>97</v>
      </c>
      <c r="D749" s="31" t="s">
        <v>546</v>
      </c>
      <c r="E749" s="23" t="s">
        <v>99</v>
      </c>
      <c r="F749" s="23" t="s">
        <v>116</v>
      </c>
      <c r="G749" s="23" t="s">
        <v>106</v>
      </c>
      <c r="H749" s="23" t="s">
        <v>767</v>
      </c>
      <c r="I749" s="23"/>
      <c r="J749" s="23" t="s">
        <v>12</v>
      </c>
      <c r="K749" s="23" t="s">
        <v>13</v>
      </c>
      <c r="L749" s="32">
        <v>46204.816115428242</v>
      </c>
      <c r="M749" s="23"/>
    </row>
    <row r="750" spans="1:13" ht="75" customHeight="1" thickTop="1" thickBot="1">
      <c r="A750" s="23">
        <v>748</v>
      </c>
      <c r="B750" s="32">
        <v>46204.698279363402</v>
      </c>
      <c r="C750" s="33" t="s">
        <v>97</v>
      </c>
      <c r="D750" s="31" t="s">
        <v>546</v>
      </c>
      <c r="E750" s="23" t="s">
        <v>99</v>
      </c>
      <c r="F750" s="23" t="s">
        <v>126</v>
      </c>
      <c r="G750" s="23" t="s">
        <v>110</v>
      </c>
      <c r="H750" s="23" t="s">
        <v>768</v>
      </c>
      <c r="I750" s="23"/>
      <c r="J750" s="23" t="s">
        <v>12</v>
      </c>
      <c r="K750" s="23" t="s">
        <v>13</v>
      </c>
      <c r="L750" s="32">
        <v>46204.816160428236</v>
      </c>
      <c r="M750" s="23"/>
    </row>
    <row r="751" spans="1:13" ht="75" customHeight="1" thickTop="1" thickBot="1">
      <c r="A751" s="25">
        <v>749</v>
      </c>
      <c r="B751" s="32">
        <v>46204.6998191319</v>
      </c>
      <c r="C751" s="33" t="s">
        <v>97</v>
      </c>
      <c r="D751" s="31" t="s">
        <v>546</v>
      </c>
      <c r="E751" s="23" t="s">
        <v>99</v>
      </c>
      <c r="F751" s="23" t="s">
        <v>100</v>
      </c>
      <c r="G751" s="23" t="s">
        <v>106</v>
      </c>
      <c r="H751" s="23" t="s">
        <v>1005</v>
      </c>
      <c r="I751" s="23"/>
      <c r="J751" s="23" t="s">
        <v>12</v>
      </c>
      <c r="K751" s="23" t="s">
        <v>13</v>
      </c>
      <c r="L751" s="32">
        <v>46204.816177407411</v>
      </c>
      <c r="M751" s="23"/>
    </row>
    <row r="752" spans="1:13" ht="75" customHeight="1" thickTop="1" thickBot="1">
      <c r="A752" s="23">
        <v>750</v>
      </c>
      <c r="B752" s="32">
        <v>46204.700450242999</v>
      </c>
      <c r="C752" s="33" t="s">
        <v>97</v>
      </c>
      <c r="D752" s="31" t="s">
        <v>546</v>
      </c>
      <c r="E752" s="23" t="s">
        <v>99</v>
      </c>
      <c r="F752" s="23" t="s">
        <v>100</v>
      </c>
      <c r="G752" s="23" t="s">
        <v>981</v>
      </c>
      <c r="H752" s="23" t="s">
        <v>769</v>
      </c>
      <c r="I752" s="23"/>
      <c r="J752" s="23" t="s">
        <v>12</v>
      </c>
      <c r="K752" s="23" t="s">
        <v>13</v>
      </c>
      <c r="L752" s="32">
        <v>46204.816200000001</v>
      </c>
      <c r="M752" s="23"/>
    </row>
    <row r="753" spans="1:13" ht="75" customHeight="1" thickTop="1" thickBot="1">
      <c r="A753" s="25">
        <v>751</v>
      </c>
      <c r="B753" s="32">
        <v>46204.7011532291</v>
      </c>
      <c r="C753" s="33" t="s">
        <v>97</v>
      </c>
      <c r="D753" s="31" t="s">
        <v>546</v>
      </c>
      <c r="E753" s="23" t="s">
        <v>99</v>
      </c>
      <c r="F753" s="23" t="s">
        <v>461</v>
      </c>
      <c r="G753" s="23" t="s">
        <v>130</v>
      </c>
      <c r="H753" s="23" t="s">
        <v>770</v>
      </c>
      <c r="I753" s="23"/>
      <c r="J753" s="23" t="s">
        <v>12</v>
      </c>
      <c r="K753" s="23" t="s">
        <v>13</v>
      </c>
      <c r="L753" s="32">
        <v>46204.816224074078</v>
      </c>
      <c r="M753" s="23"/>
    </row>
    <row r="754" spans="1:13" ht="75" customHeight="1" thickTop="1" thickBot="1">
      <c r="A754" s="23">
        <v>752</v>
      </c>
      <c r="B754" s="32">
        <v>46204.703875717503</v>
      </c>
      <c r="C754" s="33" t="s">
        <v>97</v>
      </c>
      <c r="D754" s="31" t="s">
        <v>395</v>
      </c>
      <c r="E754" s="23" t="s">
        <v>99</v>
      </c>
      <c r="F754" s="23" t="s">
        <v>102</v>
      </c>
      <c r="G754" s="23" t="s">
        <v>103</v>
      </c>
      <c r="H754" s="23" t="s">
        <v>771</v>
      </c>
      <c r="I754" s="23"/>
      <c r="J754" s="23" t="s">
        <v>16</v>
      </c>
      <c r="K754" s="23" t="s">
        <v>13</v>
      </c>
      <c r="L754" s="32">
        <v>46204.816285104171</v>
      </c>
      <c r="M754" s="23"/>
    </row>
    <row r="755" spans="1:13" ht="75" customHeight="1" thickTop="1" thickBot="1">
      <c r="A755" s="25">
        <v>753</v>
      </c>
      <c r="B755" s="32">
        <v>46204.709191793903</v>
      </c>
      <c r="C755" s="33" t="s">
        <v>97</v>
      </c>
      <c r="D755" s="31" t="s">
        <v>546</v>
      </c>
      <c r="E755" s="23" t="s">
        <v>99</v>
      </c>
      <c r="F755" s="23" t="s">
        <v>116</v>
      </c>
      <c r="G755" s="23" t="s">
        <v>981</v>
      </c>
      <c r="H755" s="23" t="s">
        <v>763</v>
      </c>
      <c r="I755" s="23"/>
      <c r="J755" s="23" t="s">
        <v>12</v>
      </c>
      <c r="K755" s="23" t="s">
        <v>13</v>
      </c>
      <c r="L755" s="32">
        <v>46204.816888518515</v>
      </c>
      <c r="M755" s="23"/>
    </row>
    <row r="756" spans="1:13" ht="75" customHeight="1" thickTop="1" thickBot="1">
      <c r="A756" s="23">
        <v>754</v>
      </c>
      <c r="B756" s="32">
        <v>46204.710209259203</v>
      </c>
      <c r="C756" s="33" t="s">
        <v>97</v>
      </c>
      <c r="D756" s="31" t="s">
        <v>546</v>
      </c>
      <c r="E756" s="23" t="s">
        <v>99</v>
      </c>
      <c r="F756" s="23" t="s">
        <v>126</v>
      </c>
      <c r="G756" s="23" t="s">
        <v>981</v>
      </c>
      <c r="H756" s="23" t="s">
        <v>763</v>
      </c>
      <c r="I756" s="23"/>
      <c r="J756" s="23" t="s">
        <v>12</v>
      </c>
      <c r="K756" s="23" t="s">
        <v>13</v>
      </c>
      <c r="L756" s="32">
        <v>46204.816909305555</v>
      </c>
      <c r="M756" s="23"/>
    </row>
    <row r="757" spans="1:13" ht="75" customHeight="1" thickTop="1" thickBot="1">
      <c r="A757" s="25">
        <v>755</v>
      </c>
      <c r="B757" s="32">
        <v>46204.710700601798</v>
      </c>
      <c r="C757" s="33" t="s">
        <v>97</v>
      </c>
      <c r="D757" s="31" t="s">
        <v>546</v>
      </c>
      <c r="E757" s="23" t="s">
        <v>99</v>
      </c>
      <c r="F757" s="23" t="s">
        <v>286</v>
      </c>
      <c r="G757" s="23" t="s">
        <v>110</v>
      </c>
      <c r="H757" s="23" t="s">
        <v>772</v>
      </c>
      <c r="I757" s="23"/>
      <c r="J757" s="23" t="s">
        <v>12</v>
      </c>
      <c r="K757" s="23" t="s">
        <v>13</v>
      </c>
      <c r="L757" s="32">
        <v>46204.816956238428</v>
      </c>
      <c r="M757" s="23"/>
    </row>
    <row r="758" spans="1:13" ht="75" customHeight="1" thickTop="1" thickBot="1">
      <c r="A758" s="23">
        <v>756</v>
      </c>
      <c r="B758" s="32">
        <v>46204.711600786999</v>
      </c>
      <c r="C758" s="33" t="s">
        <v>97</v>
      </c>
      <c r="D758" s="31" t="s">
        <v>546</v>
      </c>
      <c r="E758" s="23" t="s">
        <v>99</v>
      </c>
      <c r="F758" s="23" t="s">
        <v>102</v>
      </c>
      <c r="G758" s="23" t="s">
        <v>106</v>
      </c>
      <c r="H758" s="23" t="s">
        <v>773</v>
      </c>
      <c r="I758" s="23"/>
      <c r="J758" s="23" t="s">
        <v>12</v>
      </c>
      <c r="K758" s="23" t="s">
        <v>13</v>
      </c>
      <c r="L758" s="32">
        <v>46204.816974571761</v>
      </c>
      <c r="M758" s="23"/>
    </row>
    <row r="759" spans="1:13" ht="75" customHeight="1" thickTop="1" thickBot="1">
      <c r="A759" s="25">
        <v>757</v>
      </c>
      <c r="B759" s="32">
        <v>46204.712799421199</v>
      </c>
      <c r="C759" s="33" t="s">
        <v>97</v>
      </c>
      <c r="D759" s="31" t="s">
        <v>546</v>
      </c>
      <c r="E759" s="23" t="s">
        <v>99</v>
      </c>
      <c r="F759" s="23" t="s">
        <v>116</v>
      </c>
      <c r="G759" s="23" t="s">
        <v>106</v>
      </c>
      <c r="H759" s="23" t="s">
        <v>774</v>
      </c>
      <c r="I759" s="23"/>
      <c r="J759" s="23" t="s">
        <v>12</v>
      </c>
      <c r="K759" s="23" t="s">
        <v>13</v>
      </c>
      <c r="L759" s="32">
        <v>46204.817027164347</v>
      </c>
      <c r="M759" s="23"/>
    </row>
    <row r="760" spans="1:13" ht="75" customHeight="1" thickTop="1" thickBot="1">
      <c r="A760" s="23">
        <v>758</v>
      </c>
      <c r="B760" s="32">
        <v>46204.713850786997</v>
      </c>
      <c r="C760" s="33" t="s">
        <v>97</v>
      </c>
      <c r="D760" s="31" t="s">
        <v>546</v>
      </c>
      <c r="E760" s="23" t="s">
        <v>99</v>
      </c>
      <c r="F760" s="23" t="s">
        <v>775</v>
      </c>
      <c r="G760" s="23" t="s">
        <v>110</v>
      </c>
      <c r="H760" s="23" t="s">
        <v>776</v>
      </c>
      <c r="I760" s="23"/>
      <c r="J760" s="23" t="s">
        <v>12</v>
      </c>
      <c r="K760" s="23" t="s">
        <v>13</v>
      </c>
      <c r="L760" s="32">
        <v>46204.817051724538</v>
      </c>
      <c r="M760" s="23"/>
    </row>
    <row r="761" spans="1:13" ht="75" customHeight="1" thickTop="1" thickBot="1">
      <c r="A761" s="25">
        <v>759</v>
      </c>
      <c r="B761" s="32">
        <v>46204.714613888798</v>
      </c>
      <c r="C761" s="33" t="s">
        <v>97</v>
      </c>
      <c r="D761" s="31" t="s">
        <v>546</v>
      </c>
      <c r="E761" s="23" t="s">
        <v>99</v>
      </c>
      <c r="F761" s="23" t="s">
        <v>102</v>
      </c>
      <c r="G761" s="23" t="s">
        <v>106</v>
      </c>
      <c r="H761" s="23" t="s">
        <v>777</v>
      </c>
      <c r="I761" s="23"/>
      <c r="J761" s="23" t="s">
        <v>12</v>
      </c>
      <c r="K761" s="23" t="s">
        <v>13</v>
      </c>
      <c r="L761" s="32">
        <v>46204.817096550927</v>
      </c>
      <c r="M761" s="23"/>
    </row>
    <row r="762" spans="1:13" ht="75" customHeight="1" thickTop="1" thickBot="1">
      <c r="A762" s="23">
        <v>760</v>
      </c>
      <c r="B762" s="32">
        <v>46204.715110416597</v>
      </c>
      <c r="C762" s="33" t="s">
        <v>97</v>
      </c>
      <c r="D762" s="33" t="s">
        <v>546</v>
      </c>
      <c r="E762" s="23" t="s">
        <v>99</v>
      </c>
      <c r="F762" s="23" t="s">
        <v>461</v>
      </c>
      <c r="G762" s="23" t="s">
        <v>130</v>
      </c>
      <c r="H762" s="23" t="s">
        <v>778</v>
      </c>
      <c r="I762" s="23"/>
      <c r="J762" s="23" t="s">
        <v>12</v>
      </c>
      <c r="K762" s="23" t="s">
        <v>13</v>
      </c>
      <c r="L762" s="32">
        <v>46204.81707607639</v>
      </c>
      <c r="M762" s="23"/>
    </row>
    <row r="763" spans="1:13" ht="75" customHeight="1" thickTop="1" thickBot="1">
      <c r="A763" s="25">
        <v>761</v>
      </c>
      <c r="B763" s="32">
        <v>46204.715655046297</v>
      </c>
      <c r="C763" s="33" t="s">
        <v>97</v>
      </c>
      <c r="D763" s="31" t="s">
        <v>546</v>
      </c>
      <c r="E763" s="23" t="s">
        <v>99</v>
      </c>
      <c r="F763" s="23" t="s">
        <v>286</v>
      </c>
      <c r="G763" s="23" t="s">
        <v>779</v>
      </c>
      <c r="H763" s="23" t="s">
        <v>780</v>
      </c>
      <c r="I763" s="23"/>
      <c r="J763" s="23" t="s">
        <v>12</v>
      </c>
      <c r="K763" s="23" t="s">
        <v>13</v>
      </c>
      <c r="L763" s="32">
        <v>46204.818880729166</v>
      </c>
      <c r="M763" s="23"/>
    </row>
    <row r="764" spans="1:13" ht="75" customHeight="1" thickTop="1" thickBot="1">
      <c r="A764" s="23">
        <v>762</v>
      </c>
      <c r="B764" s="32">
        <v>46204.717112337901</v>
      </c>
      <c r="C764" s="33" t="s">
        <v>97</v>
      </c>
      <c r="D764" s="31" t="s">
        <v>546</v>
      </c>
      <c r="E764" s="23" t="s">
        <v>99</v>
      </c>
      <c r="F764" s="23" t="s">
        <v>126</v>
      </c>
      <c r="G764" s="23" t="s">
        <v>262</v>
      </c>
      <c r="H764" s="23" t="s">
        <v>781</v>
      </c>
      <c r="I764" s="23"/>
      <c r="J764" s="23" t="s">
        <v>12</v>
      </c>
      <c r="K764" s="23" t="s">
        <v>13</v>
      </c>
      <c r="L764" s="32">
        <v>46204.81894813657</v>
      </c>
      <c r="M764" s="23"/>
    </row>
    <row r="765" spans="1:13" ht="75" customHeight="1" thickTop="1" thickBot="1">
      <c r="A765" s="25">
        <v>763</v>
      </c>
      <c r="B765" s="32">
        <v>46204.717977812499</v>
      </c>
      <c r="C765" s="33" t="s">
        <v>97</v>
      </c>
      <c r="D765" s="31" t="s">
        <v>546</v>
      </c>
      <c r="E765" s="23" t="s">
        <v>99</v>
      </c>
      <c r="F765" s="23" t="s">
        <v>633</v>
      </c>
      <c r="G765" s="23" t="s">
        <v>110</v>
      </c>
      <c r="H765" s="23" t="s">
        <v>782</v>
      </c>
      <c r="I765" s="23"/>
      <c r="J765" s="23" t="s">
        <v>12</v>
      </c>
      <c r="K765" s="23" t="s">
        <v>13</v>
      </c>
      <c r="L765" s="32">
        <v>46204.819017777772</v>
      </c>
      <c r="M765" s="23"/>
    </row>
    <row r="766" spans="1:13" ht="75" customHeight="1" thickTop="1" thickBot="1">
      <c r="A766" s="23">
        <v>764</v>
      </c>
      <c r="B766" s="32">
        <v>46204.719029166597</v>
      </c>
      <c r="C766" s="33" t="s">
        <v>97</v>
      </c>
      <c r="D766" s="31" t="s">
        <v>546</v>
      </c>
      <c r="E766" s="23" t="s">
        <v>99</v>
      </c>
      <c r="F766" s="23" t="s">
        <v>116</v>
      </c>
      <c r="G766" s="23" t="s">
        <v>152</v>
      </c>
      <c r="H766" s="23" t="s">
        <v>783</v>
      </c>
      <c r="I766" s="23"/>
      <c r="J766" s="23" t="s">
        <v>12</v>
      </c>
      <c r="K766" s="23" t="s">
        <v>13</v>
      </c>
      <c r="L766" s="32">
        <v>46204.819140451393</v>
      </c>
      <c r="M766" s="23"/>
    </row>
    <row r="767" spans="1:13" ht="75" customHeight="1" thickTop="1" thickBot="1">
      <c r="A767" s="25">
        <v>765</v>
      </c>
      <c r="B767" s="32">
        <v>46204.719526238398</v>
      </c>
      <c r="C767" s="33" t="s">
        <v>97</v>
      </c>
      <c r="D767" s="31" t="s">
        <v>546</v>
      </c>
      <c r="E767" s="23" t="s">
        <v>99</v>
      </c>
      <c r="F767" s="23" t="s">
        <v>100</v>
      </c>
      <c r="G767" s="23" t="s">
        <v>106</v>
      </c>
      <c r="H767" s="23" t="s">
        <v>784</v>
      </c>
      <c r="I767" s="23"/>
      <c r="J767" s="23" t="s">
        <v>12</v>
      </c>
      <c r="K767" s="23" t="s">
        <v>13</v>
      </c>
      <c r="L767" s="32">
        <v>46204.819177685189</v>
      </c>
      <c r="M767" s="23"/>
    </row>
    <row r="768" spans="1:13" ht="75" customHeight="1" thickTop="1" thickBot="1">
      <c r="A768" s="23">
        <v>766</v>
      </c>
      <c r="B768" s="32">
        <v>46204.7205065046</v>
      </c>
      <c r="C768" s="33" t="s">
        <v>97</v>
      </c>
      <c r="D768" s="31" t="s">
        <v>546</v>
      </c>
      <c r="E768" s="23" t="s">
        <v>99</v>
      </c>
      <c r="F768" s="23" t="s">
        <v>157</v>
      </c>
      <c r="G768" s="23" t="s">
        <v>981</v>
      </c>
      <c r="H768" s="23" t="s">
        <v>785</v>
      </c>
      <c r="I768" s="23"/>
      <c r="J768" s="23" t="s">
        <v>12</v>
      </c>
      <c r="K768" s="23" t="s">
        <v>13</v>
      </c>
      <c r="L768" s="32">
        <v>46204.819235567134</v>
      </c>
      <c r="M768" s="23"/>
    </row>
    <row r="769" spans="1:13" ht="75" customHeight="1" thickTop="1" thickBot="1">
      <c r="A769" s="25">
        <v>767</v>
      </c>
      <c r="B769" s="32">
        <v>46204.721340555501</v>
      </c>
      <c r="C769" s="33" t="s">
        <v>97</v>
      </c>
      <c r="D769" s="31" t="s">
        <v>546</v>
      </c>
      <c r="E769" s="23" t="s">
        <v>99</v>
      </c>
      <c r="F769" s="23" t="s">
        <v>150</v>
      </c>
      <c r="G769" s="23" t="s">
        <v>981</v>
      </c>
      <c r="H769" s="23" t="s">
        <v>786</v>
      </c>
      <c r="I769" s="23"/>
      <c r="J769" s="23" t="s">
        <v>12</v>
      </c>
      <c r="K769" s="23" t="s">
        <v>13</v>
      </c>
      <c r="L769" s="32">
        <v>46204.81927821759</v>
      </c>
      <c r="M769" s="23"/>
    </row>
    <row r="770" spans="1:13" ht="75" customHeight="1" thickTop="1" thickBot="1">
      <c r="A770" s="23">
        <v>768</v>
      </c>
      <c r="B770" s="32">
        <v>46204.721835428201</v>
      </c>
      <c r="C770" s="33" t="s">
        <v>97</v>
      </c>
      <c r="D770" s="31" t="s">
        <v>546</v>
      </c>
      <c r="E770" s="23" t="s">
        <v>99</v>
      </c>
      <c r="F770" s="23" t="s">
        <v>100</v>
      </c>
      <c r="G770" s="23" t="s">
        <v>106</v>
      </c>
      <c r="H770" s="23" t="s">
        <v>787</v>
      </c>
      <c r="I770" s="23"/>
      <c r="J770" s="23" t="s">
        <v>12</v>
      </c>
      <c r="K770" s="23" t="s">
        <v>13</v>
      </c>
      <c r="L770" s="32">
        <v>46204.819355254629</v>
      </c>
      <c r="M770" s="23"/>
    </row>
    <row r="771" spans="1:13" ht="75" customHeight="1" thickTop="1" thickBot="1">
      <c r="A771" s="25">
        <v>769</v>
      </c>
      <c r="B771" s="32">
        <v>46204.726139154998</v>
      </c>
      <c r="C771" s="33" t="s">
        <v>97</v>
      </c>
      <c r="D771" s="31" t="s">
        <v>546</v>
      </c>
      <c r="E771" s="23" t="s">
        <v>99</v>
      </c>
      <c r="F771" s="23" t="s">
        <v>126</v>
      </c>
      <c r="G771" s="23" t="s">
        <v>262</v>
      </c>
      <c r="H771" s="23" t="s">
        <v>788</v>
      </c>
      <c r="I771" s="23"/>
      <c r="J771" s="23" t="s">
        <v>12</v>
      </c>
      <c r="K771" s="23" t="s">
        <v>13</v>
      </c>
      <c r="L771" s="32">
        <v>46204.819400428241</v>
      </c>
      <c r="M771" s="23"/>
    </row>
    <row r="772" spans="1:13" ht="75" customHeight="1" thickTop="1" thickBot="1">
      <c r="A772" s="23">
        <v>770</v>
      </c>
      <c r="B772" s="32">
        <v>46204.726461354097</v>
      </c>
      <c r="C772" s="33" t="s">
        <v>97</v>
      </c>
      <c r="D772" s="31" t="s">
        <v>546</v>
      </c>
      <c r="E772" s="23" t="s">
        <v>99</v>
      </c>
      <c r="F772" s="23" t="s">
        <v>126</v>
      </c>
      <c r="G772" s="23" t="s">
        <v>110</v>
      </c>
      <c r="H772" s="23" t="s">
        <v>789</v>
      </c>
      <c r="I772" s="23"/>
      <c r="J772" s="23" t="s">
        <v>12</v>
      </c>
      <c r="K772" s="23" t="s">
        <v>13</v>
      </c>
      <c r="L772" s="32">
        <v>46204.818826689814</v>
      </c>
      <c r="M772" s="23"/>
    </row>
    <row r="773" spans="1:13" ht="75" customHeight="1" thickTop="1" thickBot="1">
      <c r="A773" s="25">
        <v>771</v>
      </c>
      <c r="B773" s="32">
        <v>46204.726977488397</v>
      </c>
      <c r="C773" s="33" t="s">
        <v>97</v>
      </c>
      <c r="D773" s="31" t="s">
        <v>546</v>
      </c>
      <c r="E773" s="23" t="s">
        <v>99</v>
      </c>
      <c r="F773" s="23" t="s">
        <v>102</v>
      </c>
      <c r="G773" s="23" t="s">
        <v>106</v>
      </c>
      <c r="H773" s="23" t="s">
        <v>790</v>
      </c>
      <c r="I773" s="23"/>
      <c r="J773" s="23" t="s">
        <v>12</v>
      </c>
      <c r="K773" s="23" t="s">
        <v>13</v>
      </c>
      <c r="L773" s="32">
        <v>46204.818306932866</v>
      </c>
      <c r="M773" s="23"/>
    </row>
    <row r="774" spans="1:13" ht="75" customHeight="1" thickTop="1" thickBot="1">
      <c r="A774" s="23">
        <v>772</v>
      </c>
      <c r="B774" s="32">
        <v>46204.7281387615</v>
      </c>
      <c r="C774" s="33" t="s">
        <v>97</v>
      </c>
      <c r="D774" s="31" t="s">
        <v>546</v>
      </c>
      <c r="E774" s="23" t="s">
        <v>99</v>
      </c>
      <c r="F774" s="23" t="s">
        <v>100</v>
      </c>
      <c r="G774" s="23" t="s">
        <v>106</v>
      </c>
      <c r="H774" s="23" t="s">
        <v>791</v>
      </c>
      <c r="I774" s="23"/>
      <c r="J774" s="23" t="s">
        <v>12</v>
      </c>
      <c r="K774" s="23" t="s">
        <v>13</v>
      </c>
      <c r="L774" s="32">
        <v>46204.818588715279</v>
      </c>
      <c r="M774" s="23"/>
    </row>
    <row r="775" spans="1:13" ht="75" customHeight="1" thickTop="1" thickBot="1">
      <c r="A775" s="25">
        <v>773</v>
      </c>
      <c r="B775" s="32">
        <v>46204.741808773098</v>
      </c>
      <c r="C775" s="33" t="s">
        <v>97</v>
      </c>
      <c r="D775" s="31" t="s">
        <v>546</v>
      </c>
      <c r="E775" s="23" t="s">
        <v>99</v>
      </c>
      <c r="F775" s="23" t="s">
        <v>102</v>
      </c>
      <c r="G775" s="23" t="s">
        <v>110</v>
      </c>
      <c r="H775" s="23" t="s">
        <v>792</v>
      </c>
      <c r="I775" s="23"/>
      <c r="J775" s="23" t="s">
        <v>12</v>
      </c>
      <c r="K775" s="23" t="s">
        <v>13</v>
      </c>
      <c r="L775" s="32">
        <v>46204.818636574069</v>
      </c>
      <c r="M775" s="23"/>
    </row>
    <row r="776" spans="1:13" ht="75" customHeight="1" thickTop="1" thickBot="1">
      <c r="A776" s="23">
        <v>774</v>
      </c>
      <c r="B776" s="32">
        <v>46204.742221388798</v>
      </c>
      <c r="C776" s="33" t="s">
        <v>97</v>
      </c>
      <c r="D776" s="31" t="s">
        <v>546</v>
      </c>
      <c r="E776" s="23" t="s">
        <v>99</v>
      </c>
      <c r="F776" s="23" t="s">
        <v>100</v>
      </c>
      <c r="G776" s="23" t="s">
        <v>130</v>
      </c>
      <c r="H776" s="23" t="s">
        <v>793</v>
      </c>
      <c r="I776" s="23"/>
      <c r="J776" s="23" t="s">
        <v>12</v>
      </c>
      <c r="K776" s="23" t="s">
        <v>13</v>
      </c>
      <c r="L776" s="32">
        <v>46204.818664004633</v>
      </c>
      <c r="M776" s="23"/>
    </row>
    <row r="777" spans="1:13" ht="75" customHeight="1" thickTop="1" thickBot="1">
      <c r="A777" s="25">
        <v>775</v>
      </c>
      <c r="B777" s="32">
        <v>46204.742895787</v>
      </c>
      <c r="C777" s="33" t="s">
        <v>97</v>
      </c>
      <c r="D777" s="31" t="s">
        <v>546</v>
      </c>
      <c r="E777" s="23" t="s">
        <v>99</v>
      </c>
      <c r="F777" s="23" t="s">
        <v>102</v>
      </c>
      <c r="G777" s="23" t="s">
        <v>106</v>
      </c>
      <c r="H777" s="23" t="s">
        <v>794</v>
      </c>
      <c r="I777" s="23"/>
      <c r="J777" s="23" t="s">
        <v>12</v>
      </c>
      <c r="K777" s="23" t="s">
        <v>13</v>
      </c>
      <c r="L777" s="32">
        <v>46204.818680219905</v>
      </c>
      <c r="M777" s="23"/>
    </row>
    <row r="778" spans="1:13" ht="75" customHeight="1" thickTop="1" thickBot="1">
      <c r="A778" s="23">
        <v>776</v>
      </c>
      <c r="B778" s="32">
        <v>46204.743478298602</v>
      </c>
      <c r="C778" s="33" t="s">
        <v>97</v>
      </c>
      <c r="D778" s="31" t="s">
        <v>546</v>
      </c>
      <c r="E778" s="23" t="s">
        <v>99</v>
      </c>
      <c r="F778" s="23" t="s">
        <v>116</v>
      </c>
      <c r="G778" s="23" t="s">
        <v>795</v>
      </c>
      <c r="H778" s="23" t="s">
        <v>796</v>
      </c>
      <c r="I778" s="23"/>
      <c r="J778" s="23" t="s">
        <v>12</v>
      </c>
      <c r="K778" s="23" t="s">
        <v>13</v>
      </c>
      <c r="L778" s="32">
        <v>46204.818717627313</v>
      </c>
      <c r="M778" s="23"/>
    </row>
    <row r="779" spans="1:13" ht="75" customHeight="1" thickTop="1" thickBot="1">
      <c r="A779" s="25">
        <v>777</v>
      </c>
      <c r="B779" s="32">
        <v>46204.743856307803</v>
      </c>
      <c r="C779" s="33" t="s">
        <v>97</v>
      </c>
      <c r="D779" s="31" t="s">
        <v>546</v>
      </c>
      <c r="E779" s="23" t="s">
        <v>99</v>
      </c>
      <c r="F779" s="23" t="s">
        <v>461</v>
      </c>
      <c r="G779" s="23" t="s">
        <v>130</v>
      </c>
      <c r="H779" s="23" t="s">
        <v>797</v>
      </c>
      <c r="I779" s="23"/>
      <c r="J779" s="23" t="s">
        <v>12</v>
      </c>
      <c r="K779" s="23" t="s">
        <v>13</v>
      </c>
      <c r="L779" s="32">
        <v>46204.81876952546</v>
      </c>
      <c r="M779" s="23"/>
    </row>
    <row r="780" spans="1:13" ht="75" customHeight="1" thickTop="1" thickBot="1">
      <c r="A780" s="23">
        <v>778</v>
      </c>
      <c r="B780" s="32">
        <v>46204.744619942103</v>
      </c>
      <c r="C780" s="33" t="s">
        <v>97</v>
      </c>
      <c r="D780" s="31" t="s">
        <v>546</v>
      </c>
      <c r="E780" s="23" t="s">
        <v>99</v>
      </c>
      <c r="F780" s="23" t="s">
        <v>126</v>
      </c>
      <c r="G780" s="23" t="s">
        <v>106</v>
      </c>
      <c r="H780" s="23" t="s">
        <v>798</v>
      </c>
      <c r="I780" s="23"/>
      <c r="J780" s="23" t="s">
        <v>12</v>
      </c>
      <c r="K780" s="23" t="s">
        <v>13</v>
      </c>
      <c r="L780" s="32">
        <v>46204.819440289357</v>
      </c>
      <c r="M780" s="23"/>
    </row>
    <row r="781" spans="1:13" ht="75" customHeight="1" thickTop="1" thickBot="1">
      <c r="A781" s="25">
        <v>779</v>
      </c>
      <c r="B781" s="32">
        <v>46204.745494907402</v>
      </c>
      <c r="C781" s="33" t="s">
        <v>97</v>
      </c>
      <c r="D781" s="31" t="s">
        <v>395</v>
      </c>
      <c r="E781" s="23" t="s">
        <v>99</v>
      </c>
      <c r="F781" s="23" t="s">
        <v>100</v>
      </c>
      <c r="G781" s="23" t="s">
        <v>106</v>
      </c>
      <c r="H781" s="23" t="s">
        <v>1006</v>
      </c>
      <c r="I781" s="23"/>
      <c r="J781" s="23" t="s">
        <v>12</v>
      </c>
      <c r="K781" s="23" t="s">
        <v>13</v>
      </c>
      <c r="L781" s="32">
        <v>46204.819460023151</v>
      </c>
      <c r="M781" s="23"/>
    </row>
    <row r="782" spans="1:13" ht="75" customHeight="1" thickTop="1" thickBot="1">
      <c r="A782" s="23">
        <v>780</v>
      </c>
      <c r="B782" s="32">
        <v>46204.745828437401</v>
      </c>
      <c r="C782" s="33" t="s">
        <v>97</v>
      </c>
      <c r="D782" s="31" t="s">
        <v>395</v>
      </c>
      <c r="E782" s="23" t="s">
        <v>99</v>
      </c>
      <c r="F782" s="23" t="s">
        <v>100</v>
      </c>
      <c r="G782" s="23" t="s">
        <v>106</v>
      </c>
      <c r="H782" s="23" t="s">
        <v>799</v>
      </c>
      <c r="I782" s="23"/>
      <c r="J782" s="23" t="s">
        <v>16</v>
      </c>
      <c r="K782" s="23" t="s">
        <v>13</v>
      </c>
      <c r="L782" s="32">
        <v>46204.819480949074</v>
      </c>
      <c r="M782" s="23"/>
    </row>
    <row r="783" spans="1:13" ht="75" customHeight="1" thickTop="1" thickBot="1">
      <c r="A783" s="25">
        <v>781</v>
      </c>
      <c r="B783" s="32">
        <v>46204.7461738657</v>
      </c>
      <c r="C783" s="33" t="s">
        <v>97</v>
      </c>
      <c r="D783" s="31" t="s">
        <v>395</v>
      </c>
      <c r="E783" s="23" t="s">
        <v>99</v>
      </c>
      <c r="F783" s="23" t="s">
        <v>100</v>
      </c>
      <c r="G783" s="23" t="s">
        <v>106</v>
      </c>
      <c r="H783" s="23" t="s">
        <v>800</v>
      </c>
      <c r="I783" s="23"/>
      <c r="J783" s="23" t="s">
        <v>16</v>
      </c>
      <c r="K783" s="23" t="s">
        <v>13</v>
      </c>
      <c r="L783" s="32">
        <v>46204.819500104168</v>
      </c>
      <c r="M783" s="23"/>
    </row>
    <row r="784" spans="1:13" ht="75" customHeight="1" thickTop="1" thickBot="1">
      <c r="A784" s="23">
        <v>782</v>
      </c>
      <c r="B784" s="32">
        <v>46204.746610648101</v>
      </c>
      <c r="C784" s="33" t="s">
        <v>97</v>
      </c>
      <c r="D784" s="31" t="s">
        <v>395</v>
      </c>
      <c r="E784" s="23" t="s">
        <v>99</v>
      </c>
      <c r="F784" s="23" t="s">
        <v>100</v>
      </c>
      <c r="G784" s="23" t="s">
        <v>106</v>
      </c>
      <c r="H784" s="23" t="s">
        <v>801</v>
      </c>
      <c r="I784" s="23"/>
      <c r="J784" s="23" t="s">
        <v>16</v>
      </c>
      <c r="K784" s="23" t="s">
        <v>13</v>
      </c>
      <c r="L784" s="32">
        <v>46204.819520949073</v>
      </c>
      <c r="M784" s="23"/>
    </row>
    <row r="785" spans="1:13" ht="75" customHeight="1" thickTop="1" thickBot="1">
      <c r="A785" s="25">
        <v>783</v>
      </c>
      <c r="B785" s="32">
        <v>46204.747065856398</v>
      </c>
      <c r="C785" s="33" t="s">
        <v>97</v>
      </c>
      <c r="D785" s="31" t="s">
        <v>395</v>
      </c>
      <c r="E785" s="23" t="s">
        <v>99</v>
      </c>
      <c r="F785" s="23" t="s">
        <v>100</v>
      </c>
      <c r="G785" s="23" t="s">
        <v>106</v>
      </c>
      <c r="H785" s="23" t="s">
        <v>802</v>
      </c>
      <c r="I785" s="23"/>
      <c r="J785" s="23" t="s">
        <v>16</v>
      </c>
      <c r="K785" s="23" t="s">
        <v>13</v>
      </c>
      <c r="L785" s="32">
        <v>46204.819536979165</v>
      </c>
      <c r="M785" s="23"/>
    </row>
    <row r="786" spans="1:13" ht="75" customHeight="1" thickTop="1" thickBot="1">
      <c r="A786" s="23">
        <v>784</v>
      </c>
      <c r="B786" s="32">
        <v>46204.748711157401</v>
      </c>
      <c r="C786" s="33" t="s">
        <v>97</v>
      </c>
      <c r="D786" s="31" t="s">
        <v>395</v>
      </c>
      <c r="E786" s="23" t="s">
        <v>99</v>
      </c>
      <c r="F786" s="23" t="s">
        <v>100</v>
      </c>
      <c r="G786" s="23" t="s">
        <v>365</v>
      </c>
      <c r="H786" s="23" t="s">
        <v>803</v>
      </c>
      <c r="I786" s="23"/>
      <c r="J786" s="23" t="s">
        <v>16</v>
      </c>
      <c r="K786" s="23" t="s">
        <v>13</v>
      </c>
      <c r="L786" s="32">
        <v>46204.819561493059</v>
      </c>
      <c r="M786" s="23"/>
    </row>
    <row r="787" spans="1:13" ht="75" customHeight="1" thickTop="1" thickBot="1">
      <c r="A787" s="25">
        <v>785</v>
      </c>
      <c r="B787" s="32">
        <v>46204.749057557798</v>
      </c>
      <c r="C787" s="33" t="s">
        <v>97</v>
      </c>
      <c r="D787" s="31" t="s">
        <v>395</v>
      </c>
      <c r="E787" s="23" t="s">
        <v>99</v>
      </c>
      <c r="F787" s="23" t="s">
        <v>100</v>
      </c>
      <c r="G787" s="23" t="s">
        <v>106</v>
      </c>
      <c r="H787" s="23" t="s">
        <v>804</v>
      </c>
      <c r="I787" s="23"/>
      <c r="J787" s="23" t="s">
        <v>16</v>
      </c>
      <c r="K787" s="23" t="s">
        <v>13</v>
      </c>
      <c r="L787" s="32">
        <v>46204.819577013885</v>
      </c>
      <c r="M787" s="23"/>
    </row>
    <row r="788" spans="1:13" ht="75" customHeight="1" thickTop="1" thickBot="1">
      <c r="A788" s="23">
        <v>786</v>
      </c>
      <c r="B788" s="32">
        <v>46204.749429895797</v>
      </c>
      <c r="C788" s="33" t="s">
        <v>97</v>
      </c>
      <c r="D788" s="31" t="s">
        <v>395</v>
      </c>
      <c r="E788" s="23" t="s">
        <v>99</v>
      </c>
      <c r="F788" s="23" t="s">
        <v>100</v>
      </c>
      <c r="G788" s="23" t="s">
        <v>106</v>
      </c>
      <c r="H788" s="23" t="s">
        <v>805</v>
      </c>
      <c r="I788" s="23"/>
      <c r="J788" s="23" t="s">
        <v>16</v>
      </c>
      <c r="K788" s="23" t="s">
        <v>13</v>
      </c>
      <c r="L788" s="32">
        <v>46204.81964188657</v>
      </c>
      <c r="M788" s="23"/>
    </row>
    <row r="789" spans="1:13" ht="75" customHeight="1" thickTop="1" thickBot="1">
      <c r="A789" s="25">
        <v>787</v>
      </c>
      <c r="B789" s="32">
        <v>46204.749756226804</v>
      </c>
      <c r="C789" s="33" t="s">
        <v>97</v>
      </c>
      <c r="D789" s="31" t="s">
        <v>395</v>
      </c>
      <c r="E789" s="23" t="s">
        <v>99</v>
      </c>
      <c r="F789" s="23" t="s">
        <v>100</v>
      </c>
      <c r="G789" s="23" t="s">
        <v>106</v>
      </c>
      <c r="H789" s="23" t="s">
        <v>806</v>
      </c>
      <c r="I789" s="23"/>
      <c r="J789" s="23" t="s">
        <v>16</v>
      </c>
      <c r="K789" s="23" t="s">
        <v>13</v>
      </c>
      <c r="L789" s="32">
        <v>46204.819661064816</v>
      </c>
      <c r="M789" s="23"/>
    </row>
    <row r="790" spans="1:13" ht="75" customHeight="1" thickTop="1" thickBot="1">
      <c r="A790" s="23">
        <v>788</v>
      </c>
      <c r="B790" s="32">
        <v>46204.750127557803</v>
      </c>
      <c r="C790" s="33" t="s">
        <v>97</v>
      </c>
      <c r="D790" s="31" t="s">
        <v>395</v>
      </c>
      <c r="E790" s="23" t="s">
        <v>99</v>
      </c>
      <c r="F790" s="23" t="s">
        <v>102</v>
      </c>
      <c r="G790" s="23" t="s">
        <v>106</v>
      </c>
      <c r="H790" s="23" t="s">
        <v>807</v>
      </c>
      <c r="I790" s="23"/>
      <c r="J790" s="23" t="s">
        <v>16</v>
      </c>
      <c r="K790" s="23" t="s">
        <v>13</v>
      </c>
      <c r="L790" s="32">
        <v>46204.819683229165</v>
      </c>
      <c r="M790" s="23"/>
    </row>
    <row r="791" spans="1:13" ht="75" customHeight="1" thickTop="1" thickBot="1">
      <c r="A791" s="25">
        <v>789</v>
      </c>
      <c r="B791" s="32">
        <v>46204.750484872602</v>
      </c>
      <c r="C791" s="33" t="s">
        <v>97</v>
      </c>
      <c r="D791" s="31" t="s">
        <v>395</v>
      </c>
      <c r="E791" s="23" t="s">
        <v>99</v>
      </c>
      <c r="F791" s="23" t="s">
        <v>100</v>
      </c>
      <c r="G791" s="23" t="s">
        <v>106</v>
      </c>
      <c r="H791" s="23" t="s">
        <v>808</v>
      </c>
      <c r="I791" s="23"/>
      <c r="J791" s="23" t="s">
        <v>16</v>
      </c>
      <c r="K791" s="23" t="s">
        <v>13</v>
      </c>
      <c r="L791" s="32">
        <v>46204.819698831023</v>
      </c>
      <c r="M791" s="23"/>
    </row>
    <row r="792" spans="1:13" ht="75" customHeight="1" thickTop="1" thickBot="1">
      <c r="A792" s="23">
        <v>790</v>
      </c>
      <c r="B792" s="32">
        <v>46204.750866793896</v>
      </c>
      <c r="C792" s="33" t="s">
        <v>97</v>
      </c>
      <c r="D792" s="31" t="s">
        <v>395</v>
      </c>
      <c r="E792" s="23" t="s">
        <v>99</v>
      </c>
      <c r="F792" s="23" t="s">
        <v>102</v>
      </c>
      <c r="G792" s="23" t="s">
        <v>152</v>
      </c>
      <c r="H792" s="23" t="s">
        <v>809</v>
      </c>
      <c r="I792" s="23"/>
      <c r="J792" s="23" t="s">
        <v>16</v>
      </c>
      <c r="K792" s="23" t="s">
        <v>13</v>
      </c>
      <c r="L792" s="32">
        <v>46204.819734953708</v>
      </c>
      <c r="M792" s="23"/>
    </row>
    <row r="793" spans="1:13" ht="75" customHeight="1" thickTop="1" thickBot="1">
      <c r="A793" s="25">
        <v>791</v>
      </c>
      <c r="B793" s="32">
        <v>46204.754355717501</v>
      </c>
      <c r="C793" s="33" t="s">
        <v>97</v>
      </c>
      <c r="D793" s="31" t="s">
        <v>395</v>
      </c>
      <c r="E793" s="23" t="s">
        <v>99</v>
      </c>
      <c r="F793" s="23" t="s">
        <v>102</v>
      </c>
      <c r="G793" s="23" t="s">
        <v>106</v>
      </c>
      <c r="H793" s="23" t="s">
        <v>810</v>
      </c>
      <c r="I793" s="23"/>
      <c r="J793" s="23" t="s">
        <v>16</v>
      </c>
      <c r="K793" s="23" t="s">
        <v>13</v>
      </c>
      <c r="L793" s="32">
        <v>46204.819753668984</v>
      </c>
      <c r="M793" s="23"/>
    </row>
    <row r="794" spans="1:13" ht="75" customHeight="1" thickTop="1" thickBot="1">
      <c r="A794" s="23">
        <v>792</v>
      </c>
      <c r="B794" s="32">
        <v>46204.755570173598</v>
      </c>
      <c r="C794" s="33" t="s">
        <v>97</v>
      </c>
      <c r="D794" s="31" t="s">
        <v>395</v>
      </c>
      <c r="E794" s="23" t="s">
        <v>99</v>
      </c>
      <c r="F794" s="23" t="s">
        <v>100</v>
      </c>
      <c r="G794" s="23" t="s">
        <v>198</v>
      </c>
      <c r="H794" s="23" t="s">
        <v>1092</v>
      </c>
      <c r="I794" s="23"/>
      <c r="J794" s="23" t="s">
        <v>16</v>
      </c>
      <c r="K794" s="23" t="s">
        <v>13</v>
      </c>
      <c r="L794" s="32">
        <v>46204.819801631944</v>
      </c>
      <c r="M794" s="23"/>
    </row>
    <row r="795" spans="1:13" ht="75" customHeight="1" thickTop="1" thickBot="1">
      <c r="A795" s="25">
        <v>793</v>
      </c>
      <c r="B795" s="32">
        <v>46204.755982939801</v>
      </c>
      <c r="C795" s="33" t="s">
        <v>97</v>
      </c>
      <c r="D795" s="31" t="s">
        <v>395</v>
      </c>
      <c r="E795" s="23" t="s">
        <v>99</v>
      </c>
      <c r="F795" s="23" t="s">
        <v>102</v>
      </c>
      <c r="G795" s="23" t="s">
        <v>152</v>
      </c>
      <c r="H795" s="23" t="s">
        <v>1093</v>
      </c>
      <c r="I795" s="23"/>
      <c r="J795" s="23" t="s">
        <v>16</v>
      </c>
      <c r="K795" s="23" t="s">
        <v>13</v>
      </c>
      <c r="L795" s="32">
        <v>46204.819829074069</v>
      </c>
      <c r="M795" s="23"/>
    </row>
    <row r="796" spans="1:13" ht="75" customHeight="1" thickTop="1" thickBot="1">
      <c r="A796" s="23">
        <v>794</v>
      </c>
      <c r="B796" s="32">
        <v>46204.756657557802</v>
      </c>
      <c r="C796" s="33" t="s">
        <v>97</v>
      </c>
      <c r="D796" s="31" t="s">
        <v>395</v>
      </c>
      <c r="E796" s="23" t="s">
        <v>99</v>
      </c>
      <c r="F796" s="23" t="s">
        <v>102</v>
      </c>
      <c r="G796" s="23" t="s">
        <v>152</v>
      </c>
      <c r="H796" s="23" t="s">
        <v>811</v>
      </c>
      <c r="I796" s="23"/>
      <c r="J796" s="23" t="s">
        <v>16</v>
      </c>
      <c r="K796" s="23" t="s">
        <v>13</v>
      </c>
      <c r="L796" s="32">
        <v>46204.819839305557</v>
      </c>
      <c r="M796" s="23"/>
    </row>
    <row r="797" spans="1:13" ht="75" customHeight="1" thickTop="1" thickBot="1">
      <c r="A797" s="25">
        <v>795</v>
      </c>
      <c r="B797" s="32">
        <v>46204.803743182798</v>
      </c>
      <c r="C797" s="33" t="s">
        <v>97</v>
      </c>
      <c r="D797" s="31" t="s">
        <v>395</v>
      </c>
      <c r="E797" s="23" t="s">
        <v>99</v>
      </c>
      <c r="F797" s="23" t="s">
        <v>100</v>
      </c>
      <c r="G797" s="23" t="s">
        <v>106</v>
      </c>
      <c r="H797" s="23" t="s">
        <v>1094</v>
      </c>
      <c r="I797" s="23"/>
      <c r="J797" s="23" t="s">
        <v>16</v>
      </c>
      <c r="K797" s="23" t="s">
        <v>13</v>
      </c>
      <c r="L797" s="32">
        <v>46204.819859293981</v>
      </c>
      <c r="M797" s="23"/>
    </row>
    <row r="798" spans="1:13" ht="75" customHeight="1" thickTop="1" thickBot="1">
      <c r="A798" s="23">
        <v>796</v>
      </c>
      <c r="B798" s="32">
        <v>46204.804272962901</v>
      </c>
      <c r="C798" s="33" t="s">
        <v>97</v>
      </c>
      <c r="D798" s="31" t="s">
        <v>395</v>
      </c>
      <c r="E798" s="23" t="s">
        <v>99</v>
      </c>
      <c r="F798" s="23" t="s">
        <v>102</v>
      </c>
      <c r="G798" s="23" t="s">
        <v>106</v>
      </c>
      <c r="H798" s="23" t="s">
        <v>1095</v>
      </c>
      <c r="I798" s="23"/>
      <c r="J798" s="23" t="s">
        <v>16</v>
      </c>
      <c r="K798" s="23" t="s">
        <v>13</v>
      </c>
      <c r="L798" s="32">
        <v>46204.819873680557</v>
      </c>
      <c r="M798" s="23"/>
    </row>
    <row r="799" spans="1:13" ht="75" customHeight="1" thickTop="1" thickBot="1">
      <c r="A799" s="25">
        <v>797</v>
      </c>
      <c r="B799" s="32">
        <v>46204.804696597203</v>
      </c>
      <c r="C799" s="33" t="s">
        <v>97</v>
      </c>
      <c r="D799" s="31" t="s">
        <v>395</v>
      </c>
      <c r="E799" s="23" t="s">
        <v>99</v>
      </c>
      <c r="F799" s="23" t="s">
        <v>102</v>
      </c>
      <c r="G799" s="23" t="s">
        <v>106</v>
      </c>
      <c r="H799" s="23" t="s">
        <v>1096</v>
      </c>
      <c r="I799" s="23"/>
      <c r="J799" s="23" t="s">
        <v>16</v>
      </c>
      <c r="K799" s="23" t="s">
        <v>13</v>
      </c>
      <c r="L799" s="32">
        <v>46204.820466412042</v>
      </c>
      <c r="M799" s="23"/>
    </row>
    <row r="800" spans="1:13" ht="75" customHeight="1" thickTop="1" thickBot="1">
      <c r="A800" s="23">
        <v>798</v>
      </c>
      <c r="B800" s="32">
        <v>46204.805126550898</v>
      </c>
      <c r="C800" s="33" t="s">
        <v>97</v>
      </c>
      <c r="D800" s="31" t="s">
        <v>395</v>
      </c>
      <c r="E800" s="23" t="s">
        <v>99</v>
      </c>
      <c r="F800" s="23" t="s">
        <v>102</v>
      </c>
      <c r="G800" s="23" t="s">
        <v>106</v>
      </c>
      <c r="H800" s="23" t="s">
        <v>812</v>
      </c>
      <c r="I800" s="23"/>
      <c r="J800" s="23" t="s">
        <v>16</v>
      </c>
      <c r="K800" s="23" t="s">
        <v>13</v>
      </c>
      <c r="L800" s="32">
        <v>46204.820407164356</v>
      </c>
      <c r="M800" s="23"/>
    </row>
    <row r="801" spans="1:13" ht="75" customHeight="1" thickTop="1" thickBot="1">
      <c r="A801" s="25">
        <v>799</v>
      </c>
      <c r="B801" s="32">
        <v>46204.805520231399</v>
      </c>
      <c r="C801" s="33" t="s">
        <v>97</v>
      </c>
      <c r="D801" s="31" t="s">
        <v>395</v>
      </c>
      <c r="E801" s="23" t="s">
        <v>99</v>
      </c>
      <c r="F801" s="23" t="s">
        <v>102</v>
      </c>
      <c r="G801" s="23" t="s">
        <v>198</v>
      </c>
      <c r="H801" s="23" t="s">
        <v>813</v>
      </c>
      <c r="I801" s="23"/>
      <c r="J801" s="23" t="s">
        <v>16</v>
      </c>
      <c r="K801" s="23" t="s">
        <v>13</v>
      </c>
      <c r="L801" s="32">
        <v>46204.820385625004</v>
      </c>
      <c r="M801" s="23"/>
    </row>
    <row r="802" spans="1:13" ht="75" customHeight="1" thickTop="1" thickBot="1">
      <c r="A802" s="23">
        <v>800</v>
      </c>
      <c r="B802" s="32">
        <v>46204.805854178201</v>
      </c>
      <c r="C802" s="33" t="s">
        <v>97</v>
      </c>
      <c r="D802" s="31" t="s">
        <v>395</v>
      </c>
      <c r="E802" s="23" t="s">
        <v>99</v>
      </c>
      <c r="F802" s="23" t="s">
        <v>126</v>
      </c>
      <c r="G802" s="23" t="s">
        <v>106</v>
      </c>
      <c r="H802" s="23" t="s">
        <v>814</v>
      </c>
      <c r="I802" s="23"/>
      <c r="J802" s="23" t="s">
        <v>16</v>
      </c>
      <c r="K802" s="23" t="s">
        <v>13</v>
      </c>
      <c r="L802" s="32">
        <v>46204.820482627314</v>
      </c>
      <c r="M802" s="23"/>
    </row>
    <row r="803" spans="1:13" ht="75" customHeight="1" thickTop="1" thickBot="1">
      <c r="A803" s="25">
        <v>801</v>
      </c>
      <c r="B803" s="32">
        <v>46204.806352453699</v>
      </c>
      <c r="C803" s="33" t="s">
        <v>97</v>
      </c>
      <c r="D803" s="31" t="s">
        <v>395</v>
      </c>
      <c r="E803" s="23" t="s">
        <v>99</v>
      </c>
      <c r="F803" s="23" t="s">
        <v>116</v>
      </c>
      <c r="G803" s="23" t="s">
        <v>103</v>
      </c>
      <c r="H803" s="23" t="s">
        <v>815</v>
      </c>
      <c r="I803" s="23"/>
      <c r="J803" s="23" t="s">
        <v>16</v>
      </c>
      <c r="K803" s="23" t="s">
        <v>13</v>
      </c>
      <c r="L803" s="32">
        <v>46204.820530902776</v>
      </c>
      <c r="M803" s="23"/>
    </row>
    <row r="804" spans="1:13" ht="75" customHeight="1" thickTop="1" thickBot="1">
      <c r="A804" s="23">
        <v>802</v>
      </c>
      <c r="B804" s="32">
        <v>46204.806792696698</v>
      </c>
      <c r="C804" s="33" t="s">
        <v>97</v>
      </c>
      <c r="D804" s="31" t="s">
        <v>395</v>
      </c>
      <c r="E804" s="23" t="s">
        <v>99</v>
      </c>
      <c r="F804" s="23" t="s">
        <v>102</v>
      </c>
      <c r="G804" s="23" t="s">
        <v>106</v>
      </c>
      <c r="H804" s="23" t="s">
        <v>1097</v>
      </c>
      <c r="I804" s="23"/>
      <c r="J804" s="23" t="s">
        <v>16</v>
      </c>
      <c r="K804" s="23" t="s">
        <v>13</v>
      </c>
      <c r="L804" s="32">
        <v>46204.820385740742</v>
      </c>
      <c r="M804" s="23"/>
    </row>
    <row r="805" spans="1:13" ht="75" customHeight="1" thickTop="1" thickBot="1">
      <c r="A805" s="25">
        <v>803</v>
      </c>
      <c r="B805" s="32">
        <v>46204.807353587901</v>
      </c>
      <c r="C805" s="33" t="s">
        <v>97</v>
      </c>
      <c r="D805" s="31" t="s">
        <v>395</v>
      </c>
      <c r="E805" s="23" t="s">
        <v>99</v>
      </c>
      <c r="F805" s="23" t="s">
        <v>150</v>
      </c>
      <c r="G805" s="23" t="s">
        <v>816</v>
      </c>
      <c r="H805" s="23" t="s">
        <v>817</v>
      </c>
      <c r="I805" s="23"/>
      <c r="J805" s="23" t="s">
        <v>16</v>
      </c>
      <c r="K805" s="23" t="s">
        <v>13</v>
      </c>
      <c r="L805" s="32">
        <v>46204.820580092593</v>
      </c>
      <c r="M805" s="23"/>
    </row>
    <row r="806" spans="1:13" ht="75" customHeight="1" thickTop="1" thickBot="1">
      <c r="A806" s="23">
        <v>804</v>
      </c>
      <c r="B806" s="32">
        <v>46204.807771666601</v>
      </c>
      <c r="C806" s="33" t="s">
        <v>97</v>
      </c>
      <c r="D806" s="31" t="s">
        <v>395</v>
      </c>
      <c r="E806" s="23" t="s">
        <v>99</v>
      </c>
      <c r="F806" s="23" t="s">
        <v>102</v>
      </c>
      <c r="G806" s="23" t="s">
        <v>106</v>
      </c>
      <c r="H806" s="23" t="s">
        <v>1098</v>
      </c>
      <c r="I806" s="23"/>
      <c r="J806" s="23" t="s">
        <v>16</v>
      </c>
      <c r="K806" s="23" t="s">
        <v>13</v>
      </c>
      <c r="L806" s="32">
        <v>46204.8203387963</v>
      </c>
      <c r="M806" s="23"/>
    </row>
    <row r="807" spans="1:13" ht="75" customHeight="1" thickTop="1" thickBot="1">
      <c r="A807" s="25">
        <v>805</v>
      </c>
      <c r="B807" s="32">
        <v>46204.808138078697</v>
      </c>
      <c r="C807" s="33" t="s">
        <v>97</v>
      </c>
      <c r="D807" s="31" t="s">
        <v>395</v>
      </c>
      <c r="E807" s="23" t="s">
        <v>99</v>
      </c>
      <c r="F807" s="23" t="s">
        <v>102</v>
      </c>
      <c r="G807" s="23" t="s">
        <v>106</v>
      </c>
      <c r="H807" s="23" t="s">
        <v>818</v>
      </c>
      <c r="I807" s="23"/>
      <c r="J807" s="23" t="s">
        <v>16</v>
      </c>
      <c r="K807" s="23" t="s">
        <v>13</v>
      </c>
      <c r="L807" s="32">
        <v>46204.820318599537</v>
      </c>
      <c r="M807" s="23"/>
    </row>
    <row r="808" spans="1:13" ht="75" customHeight="1" thickTop="1" thickBot="1">
      <c r="A808" s="23">
        <v>806</v>
      </c>
      <c r="B808" s="32">
        <v>46204.808466018498</v>
      </c>
      <c r="C808" s="33" t="s">
        <v>97</v>
      </c>
      <c r="D808" s="31" t="s">
        <v>395</v>
      </c>
      <c r="E808" s="23" t="s">
        <v>99</v>
      </c>
      <c r="F808" s="23" t="s">
        <v>102</v>
      </c>
      <c r="G808" s="23" t="s">
        <v>152</v>
      </c>
      <c r="H808" s="23" t="s">
        <v>1099</v>
      </c>
      <c r="I808" s="23"/>
      <c r="J808" s="23" t="s">
        <v>16</v>
      </c>
      <c r="K808" s="23" t="s">
        <v>13</v>
      </c>
      <c r="L808" s="32">
        <v>46204.820637673613</v>
      </c>
      <c r="M808" s="23"/>
    </row>
    <row r="809" spans="1:13" ht="75" customHeight="1" thickTop="1" thickBot="1">
      <c r="A809" s="25">
        <v>807</v>
      </c>
      <c r="B809" s="32">
        <v>46204.808900370299</v>
      </c>
      <c r="C809" s="33" t="s">
        <v>97</v>
      </c>
      <c r="D809" s="31" t="s">
        <v>395</v>
      </c>
      <c r="E809" s="23" t="s">
        <v>99</v>
      </c>
      <c r="F809" s="23" t="s">
        <v>102</v>
      </c>
      <c r="G809" s="23" t="s">
        <v>198</v>
      </c>
      <c r="H809" s="23" t="s">
        <v>1092</v>
      </c>
      <c r="I809" s="23"/>
      <c r="J809" s="23" t="s">
        <v>16</v>
      </c>
      <c r="K809" s="23" t="s">
        <v>13</v>
      </c>
      <c r="L809" s="32">
        <v>46204.820276018523</v>
      </c>
      <c r="M809" s="23"/>
    </row>
    <row r="810" spans="1:13" ht="75" customHeight="1" thickTop="1" thickBot="1">
      <c r="A810" s="23">
        <v>808</v>
      </c>
      <c r="B810" s="32">
        <v>46204.8093016087</v>
      </c>
      <c r="C810" s="33" t="s">
        <v>97</v>
      </c>
      <c r="D810" s="31" t="s">
        <v>395</v>
      </c>
      <c r="E810" s="23" t="s">
        <v>99</v>
      </c>
      <c r="F810" s="23" t="s">
        <v>126</v>
      </c>
      <c r="G810" s="23" t="s">
        <v>152</v>
      </c>
      <c r="H810" s="23" t="s">
        <v>1100</v>
      </c>
      <c r="I810" s="23"/>
      <c r="J810" s="23" t="s">
        <v>16</v>
      </c>
      <c r="K810" s="23" t="s">
        <v>13</v>
      </c>
      <c r="L810" s="32">
        <v>46204.820260810186</v>
      </c>
      <c r="M810" s="23"/>
    </row>
    <row r="811" spans="1:13" ht="75" customHeight="1" thickTop="1" thickBot="1">
      <c r="A811" s="25">
        <v>809</v>
      </c>
      <c r="B811" s="32">
        <v>46204.809689606402</v>
      </c>
      <c r="C811" s="33" t="s">
        <v>97</v>
      </c>
      <c r="D811" s="31" t="s">
        <v>395</v>
      </c>
      <c r="E811" s="23" t="s">
        <v>99</v>
      </c>
      <c r="F811" s="23" t="s">
        <v>126</v>
      </c>
      <c r="G811" s="23" t="s">
        <v>152</v>
      </c>
      <c r="H811" s="23" t="s">
        <v>1101</v>
      </c>
      <c r="I811" s="23"/>
      <c r="J811" s="23" t="s">
        <v>16</v>
      </c>
      <c r="K811" s="23" t="s">
        <v>13</v>
      </c>
      <c r="L811" s="32">
        <v>46204.820240451387</v>
      </c>
      <c r="M811" s="23"/>
    </row>
    <row r="812" spans="1:13" ht="75" customHeight="1" thickTop="1" thickBot="1">
      <c r="A812" s="23">
        <v>810</v>
      </c>
      <c r="B812" s="32">
        <v>46204.810136423599</v>
      </c>
      <c r="C812" s="33" t="s">
        <v>97</v>
      </c>
      <c r="D812" s="31" t="s">
        <v>395</v>
      </c>
      <c r="E812" s="23" t="s">
        <v>99</v>
      </c>
      <c r="F812" s="23" t="s">
        <v>126</v>
      </c>
      <c r="G812" s="23" t="s">
        <v>819</v>
      </c>
      <c r="H812" s="23" t="s">
        <v>1102</v>
      </c>
      <c r="I812" s="23"/>
      <c r="J812" s="23" t="s">
        <v>16</v>
      </c>
      <c r="K812" s="23" t="s">
        <v>13</v>
      </c>
      <c r="L812" s="32">
        <v>46204.818461342591</v>
      </c>
      <c r="M812" s="23"/>
    </row>
    <row r="813" spans="1:13" ht="75" customHeight="1" thickTop="1" thickBot="1">
      <c r="A813" s="25">
        <v>811</v>
      </c>
      <c r="B813" s="32">
        <v>46204.810456076302</v>
      </c>
      <c r="C813" s="33" t="s">
        <v>97</v>
      </c>
      <c r="D813" s="31" t="s">
        <v>395</v>
      </c>
      <c r="E813" s="23" t="s">
        <v>99</v>
      </c>
      <c r="F813" s="23" t="s">
        <v>126</v>
      </c>
      <c r="G813" s="23" t="s">
        <v>168</v>
      </c>
      <c r="H813" s="23" t="s">
        <v>1103</v>
      </c>
      <c r="I813" s="23"/>
      <c r="J813" s="23" t="s">
        <v>16</v>
      </c>
      <c r="K813" s="23" t="s">
        <v>13</v>
      </c>
      <c r="L813" s="32">
        <v>46204.820190775463</v>
      </c>
      <c r="M813" s="23"/>
    </row>
    <row r="814" spans="1:13" ht="75" customHeight="1" thickTop="1" thickBot="1">
      <c r="A814" s="23">
        <v>812</v>
      </c>
      <c r="B814" s="32">
        <v>46204.810756828701</v>
      </c>
      <c r="C814" s="33" t="s">
        <v>97</v>
      </c>
      <c r="D814" s="31" t="s">
        <v>395</v>
      </c>
      <c r="E814" s="23" t="s">
        <v>99</v>
      </c>
      <c r="F814" s="23" t="s">
        <v>126</v>
      </c>
      <c r="G814" s="23" t="s">
        <v>152</v>
      </c>
      <c r="H814" s="23" t="s">
        <v>1104</v>
      </c>
      <c r="I814" s="23"/>
      <c r="J814" s="23" t="s">
        <v>16</v>
      </c>
      <c r="K814" s="23" t="s">
        <v>13</v>
      </c>
      <c r="L814" s="32">
        <v>46204.820167789352</v>
      </c>
      <c r="M814" s="23"/>
    </row>
    <row r="815" spans="1:13" ht="75" customHeight="1" thickTop="1" thickBot="1">
      <c r="A815" s="25">
        <v>813</v>
      </c>
      <c r="B815" s="32">
        <v>46204.811213831003</v>
      </c>
      <c r="C815" s="33" t="s">
        <v>97</v>
      </c>
      <c r="D815" s="31" t="s">
        <v>395</v>
      </c>
      <c r="E815" s="23" t="s">
        <v>99</v>
      </c>
      <c r="F815" s="23" t="s">
        <v>126</v>
      </c>
      <c r="G815" s="23" t="s">
        <v>820</v>
      </c>
      <c r="H815" s="23" t="s">
        <v>1105</v>
      </c>
      <c r="I815" s="23"/>
      <c r="J815" s="23" t="s">
        <v>16</v>
      </c>
      <c r="K815" s="23" t="s">
        <v>13</v>
      </c>
      <c r="L815" s="32">
        <v>46204.820148101848</v>
      </c>
      <c r="M815" s="23"/>
    </row>
    <row r="816" spans="1:13" ht="75" customHeight="1" thickTop="1" thickBot="1">
      <c r="A816" s="23">
        <v>814</v>
      </c>
      <c r="B816" s="32">
        <v>46204.811673935103</v>
      </c>
      <c r="C816" s="33" t="s">
        <v>97</v>
      </c>
      <c r="D816" s="31" t="s">
        <v>395</v>
      </c>
      <c r="E816" s="23" t="s">
        <v>99</v>
      </c>
      <c r="F816" s="23" t="s">
        <v>126</v>
      </c>
      <c r="G816" s="23" t="s">
        <v>365</v>
      </c>
      <c r="H816" s="23" t="s">
        <v>1106</v>
      </c>
      <c r="I816" s="23"/>
      <c r="J816" s="23" t="s">
        <v>16</v>
      </c>
      <c r="K816" s="23" t="s">
        <v>13</v>
      </c>
      <c r="L816" s="32">
        <v>46204.820128425927</v>
      </c>
      <c r="M816" s="23"/>
    </row>
    <row r="817" spans="1:13" ht="75" customHeight="1" thickTop="1" thickBot="1">
      <c r="A817" s="25">
        <v>815</v>
      </c>
      <c r="B817" s="32">
        <v>46204.812085532401</v>
      </c>
      <c r="C817" s="33" t="s">
        <v>97</v>
      </c>
      <c r="D817" s="31" t="s">
        <v>395</v>
      </c>
      <c r="E817" s="23" t="s">
        <v>99</v>
      </c>
      <c r="F817" s="23" t="s">
        <v>126</v>
      </c>
      <c r="G817" s="23" t="s">
        <v>152</v>
      </c>
      <c r="H817" s="23" t="s">
        <v>821</v>
      </c>
      <c r="I817" s="23"/>
      <c r="J817" s="23" t="s">
        <v>16</v>
      </c>
      <c r="K817" s="23" t="s">
        <v>13</v>
      </c>
      <c r="L817" s="32">
        <v>46204.820109224536</v>
      </c>
      <c r="M817" s="23"/>
    </row>
    <row r="818" spans="1:13" ht="75" customHeight="1" thickTop="1" thickBot="1">
      <c r="A818" s="23">
        <v>816</v>
      </c>
      <c r="B818" s="32">
        <v>46204.812449027697</v>
      </c>
      <c r="C818" s="33" t="s">
        <v>97</v>
      </c>
      <c r="D818" s="31" t="s">
        <v>395</v>
      </c>
      <c r="E818" s="23" t="s">
        <v>99</v>
      </c>
      <c r="F818" s="23" t="s">
        <v>126</v>
      </c>
      <c r="G818" s="23" t="s">
        <v>152</v>
      </c>
      <c r="H818" s="23" t="s">
        <v>822</v>
      </c>
      <c r="I818" s="23"/>
      <c r="J818" s="23" t="s">
        <v>16</v>
      </c>
      <c r="K818" s="23" t="s">
        <v>13</v>
      </c>
      <c r="L818" s="32">
        <v>46204.820089699075</v>
      </c>
      <c r="M818" s="23"/>
    </row>
    <row r="819" spans="1:13" ht="75" customHeight="1" thickTop="1" thickBot="1">
      <c r="A819" s="25">
        <v>817</v>
      </c>
      <c r="B819" s="32">
        <v>46204.812845474502</v>
      </c>
      <c r="C819" s="33" t="s">
        <v>97</v>
      </c>
      <c r="D819" s="31" t="s">
        <v>395</v>
      </c>
      <c r="E819" s="23" t="s">
        <v>99</v>
      </c>
      <c r="F819" s="23" t="s">
        <v>126</v>
      </c>
      <c r="G819" s="23" t="s">
        <v>152</v>
      </c>
      <c r="H819" s="23" t="s">
        <v>823</v>
      </c>
      <c r="I819" s="23"/>
      <c r="J819" s="23" t="s">
        <v>16</v>
      </c>
      <c r="K819" s="23" t="s">
        <v>13</v>
      </c>
      <c r="L819" s="32">
        <v>46204.820068252317</v>
      </c>
      <c r="M819" s="23"/>
    </row>
    <row r="820" spans="1:13" ht="75" customHeight="1" thickTop="1" thickBot="1">
      <c r="A820" s="23">
        <v>818</v>
      </c>
      <c r="B820" s="32">
        <v>46204.813172152702</v>
      </c>
      <c r="C820" s="33" t="s">
        <v>97</v>
      </c>
      <c r="D820" s="31" t="s">
        <v>395</v>
      </c>
      <c r="E820" s="23" t="s">
        <v>99</v>
      </c>
      <c r="F820" s="23" t="s">
        <v>126</v>
      </c>
      <c r="G820" s="23" t="s">
        <v>168</v>
      </c>
      <c r="H820" s="23" t="s">
        <v>824</v>
      </c>
      <c r="I820" s="23"/>
      <c r="J820" s="23" t="s">
        <v>16</v>
      </c>
      <c r="K820" s="23" t="s">
        <v>13</v>
      </c>
      <c r="L820" s="32">
        <v>46204.820051840274</v>
      </c>
      <c r="M820" s="23"/>
    </row>
    <row r="821" spans="1:13" ht="75" customHeight="1" thickTop="1" thickBot="1">
      <c r="A821" s="25">
        <v>819</v>
      </c>
      <c r="B821" s="32">
        <v>46204.813592199003</v>
      </c>
      <c r="C821" s="33" t="s">
        <v>97</v>
      </c>
      <c r="D821" s="31" t="s">
        <v>395</v>
      </c>
      <c r="E821" s="23" t="s">
        <v>99</v>
      </c>
      <c r="F821" s="23" t="s">
        <v>126</v>
      </c>
      <c r="G821" s="23" t="s">
        <v>1109</v>
      </c>
      <c r="H821" s="23" t="s">
        <v>1107</v>
      </c>
      <c r="I821" s="23"/>
      <c r="J821" s="23" t="s">
        <v>16</v>
      </c>
      <c r="K821" s="23" t="s">
        <v>13</v>
      </c>
      <c r="L821" s="32">
        <v>46204.820014722223</v>
      </c>
      <c r="M821" s="23"/>
    </row>
    <row r="822" spans="1:13" ht="75" customHeight="1" thickTop="1" thickBot="1">
      <c r="A822" s="23">
        <v>820</v>
      </c>
      <c r="B822" s="32">
        <v>46204.8140630208</v>
      </c>
      <c r="C822" s="33" t="s">
        <v>97</v>
      </c>
      <c r="D822" s="31" t="s">
        <v>395</v>
      </c>
      <c r="E822" s="23" t="s">
        <v>99</v>
      </c>
      <c r="F822" s="23" t="s">
        <v>126</v>
      </c>
      <c r="G822" s="23" t="s">
        <v>1108</v>
      </c>
      <c r="H822" s="23" t="s">
        <v>1107</v>
      </c>
      <c r="I822" s="23"/>
      <c r="J822" s="23" t="s">
        <v>16</v>
      </c>
      <c r="K822" s="23" t="s">
        <v>13</v>
      </c>
      <c r="L822" s="32">
        <v>46204.819995844911</v>
      </c>
      <c r="M822" s="23"/>
    </row>
    <row r="823" spans="1:13" ht="75" customHeight="1" thickTop="1" thickBot="1">
      <c r="A823" s="25">
        <v>821</v>
      </c>
      <c r="B823" s="32">
        <v>46204.814358194402</v>
      </c>
      <c r="C823" s="33" t="s">
        <v>97</v>
      </c>
      <c r="D823" s="31" t="s">
        <v>395</v>
      </c>
      <c r="E823" s="23" t="s">
        <v>99</v>
      </c>
      <c r="F823" s="23" t="s">
        <v>126</v>
      </c>
      <c r="G823" s="23" t="s">
        <v>1110</v>
      </c>
      <c r="H823" s="23" t="s">
        <v>1107</v>
      </c>
      <c r="I823" s="23"/>
      <c r="J823" s="23" t="s">
        <v>16</v>
      </c>
      <c r="K823" s="23" t="s">
        <v>13</v>
      </c>
      <c r="L823" s="32">
        <v>46204.819994016201</v>
      </c>
      <c r="M823" s="23"/>
    </row>
    <row r="824" spans="1:13" ht="75" customHeight="1" thickTop="1" thickBot="1">
      <c r="A824" s="23">
        <v>822</v>
      </c>
      <c r="B824" s="32">
        <v>46204.8149750347</v>
      </c>
      <c r="C824" s="33" t="s">
        <v>97</v>
      </c>
      <c r="D824" s="31" t="s">
        <v>395</v>
      </c>
      <c r="E824" s="23" t="s">
        <v>99</v>
      </c>
      <c r="F824" s="23" t="s">
        <v>126</v>
      </c>
      <c r="G824" s="23" t="s">
        <v>106</v>
      </c>
      <c r="H824" s="23" t="s">
        <v>1107</v>
      </c>
      <c r="I824" s="23"/>
      <c r="J824" s="23" t="s">
        <v>16</v>
      </c>
      <c r="K824" s="23" t="s">
        <v>13</v>
      </c>
      <c r="L824" s="32">
        <v>46204.819978425927</v>
      </c>
      <c r="M824" s="23"/>
    </row>
    <row r="825" spans="1:13" ht="75" customHeight="1" thickTop="1" thickBot="1">
      <c r="A825" s="25">
        <v>823</v>
      </c>
      <c r="B825" s="32">
        <v>46204.857371932798</v>
      </c>
      <c r="C825" s="33" t="s">
        <v>97</v>
      </c>
      <c r="D825" s="31" t="s">
        <v>395</v>
      </c>
      <c r="E825" s="23" t="s">
        <v>99</v>
      </c>
      <c r="F825" s="23" t="s">
        <v>102</v>
      </c>
      <c r="G825" s="23" t="s">
        <v>104</v>
      </c>
      <c r="H825" s="23" t="s">
        <v>743</v>
      </c>
      <c r="I825" s="23"/>
      <c r="J825" s="23" t="s">
        <v>16</v>
      </c>
      <c r="K825" s="23" t="s">
        <v>13</v>
      </c>
      <c r="L825" s="32">
        <v>46204.895172048607</v>
      </c>
      <c r="M825" s="23"/>
    </row>
    <row r="826" spans="1:13" ht="75" customHeight="1" thickTop="1" thickBot="1">
      <c r="A826" s="23">
        <v>824</v>
      </c>
      <c r="B826" s="32">
        <v>46204.857894976798</v>
      </c>
      <c r="C826" s="33" t="s">
        <v>97</v>
      </c>
      <c r="D826" s="31" t="s">
        <v>395</v>
      </c>
      <c r="E826" s="23" t="s">
        <v>99</v>
      </c>
      <c r="F826" s="23" t="s">
        <v>102</v>
      </c>
      <c r="G826" s="23" t="s">
        <v>103</v>
      </c>
      <c r="H826" s="23" t="s">
        <v>771</v>
      </c>
      <c r="I826" s="23"/>
      <c r="J826" s="23" t="s">
        <v>16</v>
      </c>
      <c r="K826" s="23" t="s">
        <v>13</v>
      </c>
      <c r="L826" s="32">
        <v>46204.895192951386</v>
      </c>
      <c r="M826" s="23"/>
    </row>
    <row r="827" spans="1:13" ht="75" customHeight="1" thickTop="1" thickBot="1">
      <c r="A827" s="25">
        <v>825</v>
      </c>
      <c r="B827" s="32">
        <v>46204.858447557803</v>
      </c>
      <c r="C827" s="33" t="s">
        <v>97</v>
      </c>
      <c r="D827" s="31" t="s">
        <v>395</v>
      </c>
      <c r="E827" s="23" t="s">
        <v>99</v>
      </c>
      <c r="F827" s="23" t="s">
        <v>102</v>
      </c>
      <c r="G827" s="23" t="s">
        <v>103</v>
      </c>
      <c r="H827" s="23" t="s">
        <v>825</v>
      </c>
      <c r="I827" s="23"/>
      <c r="J827" s="23" t="s">
        <v>16</v>
      </c>
      <c r="K827" s="23" t="s">
        <v>13</v>
      </c>
      <c r="L827" s="32">
        <v>46204.895356180554</v>
      </c>
      <c r="M827" s="23"/>
    </row>
    <row r="828" spans="1:13" ht="75" customHeight="1" thickTop="1" thickBot="1">
      <c r="A828" s="23">
        <v>826</v>
      </c>
      <c r="B828" s="32">
        <v>46204.859141585599</v>
      </c>
      <c r="C828" s="33" t="s">
        <v>97</v>
      </c>
      <c r="D828" s="31" t="s">
        <v>395</v>
      </c>
      <c r="E828" s="23" t="s">
        <v>99</v>
      </c>
      <c r="F828" s="23" t="s">
        <v>100</v>
      </c>
      <c r="G828" s="23" t="s">
        <v>108</v>
      </c>
      <c r="H828" s="23" t="s">
        <v>826</v>
      </c>
      <c r="I828" s="23"/>
      <c r="J828" s="23" t="s">
        <v>16</v>
      </c>
      <c r="K828" s="23" t="s">
        <v>13</v>
      </c>
      <c r="L828" s="32">
        <v>46204.895374004627</v>
      </c>
      <c r="M828" s="23"/>
    </row>
    <row r="829" spans="1:13" ht="75" customHeight="1" thickTop="1" thickBot="1">
      <c r="A829" s="25">
        <v>827</v>
      </c>
      <c r="B829" s="32">
        <v>46204.859432499899</v>
      </c>
      <c r="C829" s="33" t="s">
        <v>97</v>
      </c>
      <c r="D829" s="31" t="s">
        <v>395</v>
      </c>
      <c r="E829" s="23" t="s">
        <v>99</v>
      </c>
      <c r="F829" s="23" t="s">
        <v>159</v>
      </c>
      <c r="G829" s="23" t="s">
        <v>106</v>
      </c>
      <c r="H829" s="23" t="s">
        <v>827</v>
      </c>
      <c r="I829" s="23"/>
      <c r="J829" s="23" t="s">
        <v>16</v>
      </c>
      <c r="K829" s="23" t="s">
        <v>13</v>
      </c>
      <c r="L829" s="32">
        <v>46204.895486956018</v>
      </c>
      <c r="M829" s="23"/>
    </row>
    <row r="830" spans="1:13" ht="75" customHeight="1" thickTop="1" thickBot="1">
      <c r="A830" s="23">
        <v>828</v>
      </c>
      <c r="B830" s="32">
        <v>46204.860175370297</v>
      </c>
      <c r="C830" s="33" t="s">
        <v>97</v>
      </c>
      <c r="D830" s="31" t="s">
        <v>395</v>
      </c>
      <c r="E830" s="23" t="s">
        <v>99</v>
      </c>
      <c r="F830" s="23" t="s">
        <v>116</v>
      </c>
      <c r="G830" s="23" t="s">
        <v>119</v>
      </c>
      <c r="H830" s="23" t="s">
        <v>828</v>
      </c>
      <c r="I830" s="23"/>
      <c r="J830" s="23" t="s">
        <v>16</v>
      </c>
      <c r="K830" s="23" t="s">
        <v>13</v>
      </c>
      <c r="L830" s="32">
        <v>46204.895624594908</v>
      </c>
      <c r="M830" s="23"/>
    </row>
    <row r="831" spans="1:13" ht="75" customHeight="1" thickTop="1" thickBot="1">
      <c r="A831" s="25">
        <v>829</v>
      </c>
      <c r="B831" s="32">
        <v>46204.8612887731</v>
      </c>
      <c r="C831" s="33" t="s">
        <v>97</v>
      </c>
      <c r="D831" s="31" t="s">
        <v>395</v>
      </c>
      <c r="E831" s="23" t="s">
        <v>99</v>
      </c>
      <c r="F831" s="23" t="s">
        <v>102</v>
      </c>
      <c r="G831" s="23" t="s">
        <v>108</v>
      </c>
      <c r="H831" s="23" t="s">
        <v>829</v>
      </c>
      <c r="I831" s="23"/>
      <c r="J831" s="23" t="s">
        <v>16</v>
      </c>
      <c r="K831" s="23" t="s">
        <v>13</v>
      </c>
      <c r="L831" s="32">
        <v>46204.895732152778</v>
      </c>
      <c r="M831" s="23"/>
    </row>
    <row r="832" spans="1:13" ht="75" customHeight="1" thickTop="1" thickBot="1">
      <c r="A832" s="23">
        <v>830</v>
      </c>
      <c r="B832" s="32">
        <v>46204.862025925897</v>
      </c>
      <c r="C832" s="33" t="s">
        <v>97</v>
      </c>
      <c r="D832" s="31" t="s">
        <v>395</v>
      </c>
      <c r="E832" s="23" t="s">
        <v>99</v>
      </c>
      <c r="F832" s="23" t="s">
        <v>116</v>
      </c>
      <c r="G832" s="23" t="s">
        <v>104</v>
      </c>
      <c r="H832" s="23" t="s">
        <v>830</v>
      </c>
      <c r="I832" s="23"/>
      <c r="J832" s="23" t="s">
        <v>16</v>
      </c>
      <c r="K832" s="23" t="s">
        <v>13</v>
      </c>
      <c r="L832" s="32">
        <v>46204.895836006945</v>
      </c>
      <c r="M832" s="23"/>
    </row>
    <row r="833" spans="1:13" ht="75" customHeight="1" thickTop="1" thickBot="1">
      <c r="A833" s="25">
        <v>831</v>
      </c>
      <c r="B833" s="32">
        <v>46204.862179698997</v>
      </c>
      <c r="C833" s="33" t="s">
        <v>97</v>
      </c>
      <c r="D833" s="31" t="s">
        <v>395</v>
      </c>
      <c r="E833" s="23" t="s">
        <v>99</v>
      </c>
      <c r="F833" s="23" t="s">
        <v>100</v>
      </c>
      <c r="G833" s="23" t="s">
        <v>101</v>
      </c>
      <c r="H833" s="23" t="s">
        <v>831</v>
      </c>
      <c r="I833" s="23"/>
      <c r="J833" s="23" t="s">
        <v>16</v>
      </c>
      <c r="K833" s="23" t="s">
        <v>13</v>
      </c>
      <c r="L833" s="32">
        <v>46204.895877395829</v>
      </c>
      <c r="M833" s="23"/>
    </row>
    <row r="834" spans="1:13" ht="75" customHeight="1" thickTop="1" thickBot="1">
      <c r="A834" s="23">
        <v>832</v>
      </c>
      <c r="B834" s="32">
        <v>46204.862527685102</v>
      </c>
      <c r="C834" s="33" t="s">
        <v>97</v>
      </c>
      <c r="D834" s="31" t="s">
        <v>395</v>
      </c>
      <c r="E834" s="23" t="s">
        <v>99</v>
      </c>
      <c r="F834" s="23" t="s">
        <v>116</v>
      </c>
      <c r="G834" s="23" t="s">
        <v>168</v>
      </c>
      <c r="H834" s="23" t="s">
        <v>832</v>
      </c>
      <c r="I834" s="23"/>
      <c r="J834" s="23" t="s">
        <v>16</v>
      </c>
      <c r="K834" s="23" t="s">
        <v>13</v>
      </c>
      <c r="L834" s="32">
        <v>46204.895967870369</v>
      </c>
      <c r="M834" s="23"/>
    </row>
    <row r="835" spans="1:13" ht="75" customHeight="1" thickTop="1" thickBot="1">
      <c r="A835" s="25">
        <v>833</v>
      </c>
      <c r="B835" s="32">
        <v>46204.862731377303</v>
      </c>
      <c r="C835" s="33" t="s">
        <v>97</v>
      </c>
      <c r="D835" s="31" t="s">
        <v>395</v>
      </c>
      <c r="E835" s="23" t="s">
        <v>99</v>
      </c>
      <c r="F835" s="23" t="s">
        <v>102</v>
      </c>
      <c r="G835" s="23" t="s">
        <v>108</v>
      </c>
      <c r="H835" s="23" t="s">
        <v>833</v>
      </c>
      <c r="I835" s="23"/>
      <c r="J835" s="23" t="s">
        <v>16</v>
      </c>
      <c r="K835" s="23" t="s">
        <v>13</v>
      </c>
      <c r="L835" s="32">
        <v>46204.896025034723</v>
      </c>
      <c r="M835" s="23"/>
    </row>
    <row r="836" spans="1:13" ht="75" customHeight="1" thickTop="1" thickBot="1">
      <c r="A836" s="23">
        <v>834</v>
      </c>
      <c r="B836" s="32">
        <v>46204.862982152699</v>
      </c>
      <c r="C836" s="33" t="s">
        <v>97</v>
      </c>
      <c r="D836" s="31" t="s">
        <v>395</v>
      </c>
      <c r="E836" s="23" t="s">
        <v>99</v>
      </c>
      <c r="F836" s="23" t="s">
        <v>102</v>
      </c>
      <c r="G836" s="23" t="s">
        <v>101</v>
      </c>
      <c r="H836" s="23" t="s">
        <v>834</v>
      </c>
      <c r="I836" s="23"/>
      <c r="J836" s="23" t="s">
        <v>16</v>
      </c>
      <c r="K836" s="23" t="s">
        <v>13</v>
      </c>
      <c r="L836" s="32">
        <v>46204.896068958333</v>
      </c>
      <c r="M836" s="23"/>
    </row>
    <row r="837" spans="1:13" ht="75" customHeight="1" thickTop="1" thickBot="1">
      <c r="A837" s="25">
        <v>835</v>
      </c>
      <c r="B837" s="32">
        <v>46204.863184548602</v>
      </c>
      <c r="C837" s="33" t="s">
        <v>97</v>
      </c>
      <c r="D837" s="31" t="s">
        <v>395</v>
      </c>
      <c r="E837" s="23" t="s">
        <v>99</v>
      </c>
      <c r="F837" s="23" t="s">
        <v>102</v>
      </c>
      <c r="G837" s="23" t="s">
        <v>108</v>
      </c>
      <c r="H837" s="23" t="s">
        <v>835</v>
      </c>
      <c r="I837" s="23"/>
      <c r="J837" s="23" t="s">
        <v>16</v>
      </c>
      <c r="K837" s="23" t="s">
        <v>13</v>
      </c>
      <c r="L837" s="32">
        <v>46204.896137175921</v>
      </c>
      <c r="M837" s="23"/>
    </row>
    <row r="838" spans="1:13" ht="75" customHeight="1" thickTop="1" thickBot="1">
      <c r="A838" s="23">
        <v>836</v>
      </c>
      <c r="B838" s="32">
        <v>46204.863679641203</v>
      </c>
      <c r="C838" s="33" t="s">
        <v>97</v>
      </c>
      <c r="D838" s="31" t="s">
        <v>395</v>
      </c>
      <c r="E838" s="23" t="s">
        <v>99</v>
      </c>
      <c r="F838" s="23" t="s">
        <v>100</v>
      </c>
      <c r="G838" s="23" t="s">
        <v>152</v>
      </c>
      <c r="H838" s="23" t="s">
        <v>836</v>
      </c>
      <c r="I838" s="23"/>
      <c r="J838" s="23" t="s">
        <v>16</v>
      </c>
      <c r="K838" s="23" t="s">
        <v>13</v>
      </c>
      <c r="L838" s="32">
        <v>46204.896334652774</v>
      </c>
      <c r="M838" s="23"/>
    </row>
    <row r="839" spans="1:13" ht="75" customHeight="1" thickTop="1" thickBot="1">
      <c r="A839" s="25">
        <v>837</v>
      </c>
      <c r="B839" s="32">
        <v>46204.864200162003</v>
      </c>
      <c r="C839" s="33" t="s">
        <v>97</v>
      </c>
      <c r="D839" s="31" t="s">
        <v>395</v>
      </c>
      <c r="E839" s="23" t="s">
        <v>99</v>
      </c>
      <c r="F839" s="23" t="s">
        <v>102</v>
      </c>
      <c r="G839" s="23" t="s">
        <v>198</v>
      </c>
      <c r="H839" s="23" t="s">
        <v>837</v>
      </c>
      <c r="I839" s="23"/>
      <c r="J839" s="23" t="s">
        <v>16</v>
      </c>
      <c r="K839" s="23" t="s">
        <v>13</v>
      </c>
      <c r="L839" s="32">
        <v>46204.896409062501</v>
      </c>
      <c r="M839" s="23"/>
    </row>
    <row r="840" spans="1:13" ht="75" customHeight="1" thickTop="1" thickBot="1">
      <c r="A840" s="23">
        <v>838</v>
      </c>
      <c r="B840" s="32">
        <v>46204.864745810097</v>
      </c>
      <c r="C840" s="33" t="s">
        <v>97</v>
      </c>
      <c r="D840" s="31" t="s">
        <v>395</v>
      </c>
      <c r="E840" s="23" t="s">
        <v>99</v>
      </c>
      <c r="F840" s="23" t="s">
        <v>100</v>
      </c>
      <c r="G840" s="23" t="s">
        <v>108</v>
      </c>
      <c r="H840" s="23" t="s">
        <v>838</v>
      </c>
      <c r="I840" s="23"/>
      <c r="J840" s="23" t="s">
        <v>16</v>
      </c>
      <c r="K840" s="23" t="s">
        <v>13</v>
      </c>
      <c r="L840" s="32">
        <v>46204.896494236113</v>
      </c>
      <c r="M840" s="23"/>
    </row>
    <row r="841" spans="1:13" ht="75" customHeight="1" thickTop="1" thickBot="1">
      <c r="A841" s="25">
        <v>839</v>
      </c>
      <c r="B841" s="32">
        <v>46204.8648507986</v>
      </c>
      <c r="C841" s="33" t="s">
        <v>97</v>
      </c>
      <c r="D841" s="31" t="s">
        <v>395</v>
      </c>
      <c r="E841" s="23" t="s">
        <v>99</v>
      </c>
      <c r="F841" s="23" t="s">
        <v>102</v>
      </c>
      <c r="G841" s="23" t="s">
        <v>105</v>
      </c>
      <c r="H841" s="23" t="s">
        <v>1111</v>
      </c>
      <c r="I841" s="23"/>
      <c r="J841" s="23" t="s">
        <v>16</v>
      </c>
      <c r="K841" s="23" t="s">
        <v>13</v>
      </c>
      <c r="L841" s="32">
        <v>46204.896553865736</v>
      </c>
      <c r="M841" s="23"/>
    </row>
    <row r="842" spans="1:13" ht="75" customHeight="1" thickTop="1" thickBot="1">
      <c r="A842" s="23">
        <v>840</v>
      </c>
      <c r="B842" s="32">
        <v>46204.8651598379</v>
      </c>
      <c r="C842" s="33" t="s">
        <v>97</v>
      </c>
      <c r="D842" s="31" t="s">
        <v>395</v>
      </c>
      <c r="E842" s="23" t="s">
        <v>99</v>
      </c>
      <c r="F842" s="23" t="s">
        <v>100</v>
      </c>
      <c r="G842" s="23" t="s">
        <v>103</v>
      </c>
      <c r="H842" s="23" t="s">
        <v>839</v>
      </c>
      <c r="I842" s="23"/>
      <c r="J842" s="23" t="s">
        <v>16</v>
      </c>
      <c r="K842" s="23" t="s">
        <v>13</v>
      </c>
      <c r="L842" s="32">
        <v>46204.896642395834</v>
      </c>
      <c r="M842" s="23"/>
    </row>
    <row r="843" spans="1:13" ht="75" customHeight="1" thickTop="1" thickBot="1">
      <c r="A843" s="25">
        <v>841</v>
      </c>
      <c r="B843" s="32">
        <v>46204.865375682799</v>
      </c>
      <c r="C843" s="33" t="s">
        <v>97</v>
      </c>
      <c r="D843" s="31" t="s">
        <v>395</v>
      </c>
      <c r="E843" s="23" t="s">
        <v>99</v>
      </c>
      <c r="F843" s="23" t="s">
        <v>100</v>
      </c>
      <c r="G843" s="23" t="s">
        <v>106</v>
      </c>
      <c r="H843" s="23" t="s">
        <v>840</v>
      </c>
      <c r="I843" s="23"/>
      <c r="J843" s="23" t="s">
        <v>16</v>
      </c>
      <c r="K843" s="23" t="s">
        <v>13</v>
      </c>
      <c r="L843" s="32">
        <v>46204.896677951387</v>
      </c>
      <c r="M843" s="23"/>
    </row>
    <row r="844" spans="1:13" ht="75" customHeight="1" thickTop="1" thickBot="1">
      <c r="A844" s="23">
        <v>842</v>
      </c>
      <c r="B844" s="32">
        <v>46204.865601145801</v>
      </c>
      <c r="C844" s="33" t="s">
        <v>97</v>
      </c>
      <c r="D844" s="31" t="s">
        <v>395</v>
      </c>
      <c r="E844" s="23" t="s">
        <v>99</v>
      </c>
      <c r="F844" s="23" t="s">
        <v>100</v>
      </c>
      <c r="G844" s="23" t="s">
        <v>104</v>
      </c>
      <c r="H844" s="23" t="s">
        <v>841</v>
      </c>
      <c r="I844" s="23"/>
      <c r="J844" s="23" t="s">
        <v>16</v>
      </c>
      <c r="K844" s="23" t="s">
        <v>13</v>
      </c>
      <c r="L844" s="32">
        <v>46204.896755578702</v>
      </c>
      <c r="M844" s="23"/>
    </row>
    <row r="845" spans="1:13" ht="75" customHeight="1" thickTop="1" thickBot="1">
      <c r="A845" s="25">
        <v>843</v>
      </c>
      <c r="B845" s="32">
        <v>46204.865975370303</v>
      </c>
      <c r="C845" s="33" t="s">
        <v>97</v>
      </c>
      <c r="D845" s="31" t="s">
        <v>395</v>
      </c>
      <c r="E845" s="23" t="s">
        <v>99</v>
      </c>
      <c r="F845" s="23" t="s">
        <v>100</v>
      </c>
      <c r="G845" s="23" t="s">
        <v>106</v>
      </c>
      <c r="H845" s="23" t="s">
        <v>1112</v>
      </c>
      <c r="I845" s="23"/>
      <c r="J845" s="23" t="s">
        <v>16</v>
      </c>
      <c r="K845" s="23" t="s">
        <v>13</v>
      </c>
      <c r="L845" s="32">
        <v>46204.896859687498</v>
      </c>
      <c r="M845" s="23"/>
    </row>
    <row r="846" spans="1:13" ht="75" customHeight="1" thickTop="1" thickBot="1">
      <c r="A846" s="23">
        <v>844</v>
      </c>
      <c r="B846" s="32">
        <v>46204.866323414302</v>
      </c>
      <c r="C846" s="33" t="s">
        <v>97</v>
      </c>
      <c r="D846" s="31" t="s">
        <v>395</v>
      </c>
      <c r="E846" s="23" t="s">
        <v>99</v>
      </c>
      <c r="F846" s="23" t="s">
        <v>100</v>
      </c>
      <c r="G846" s="23" t="s">
        <v>104</v>
      </c>
      <c r="H846" s="23" t="s">
        <v>1113</v>
      </c>
      <c r="I846" s="23"/>
      <c r="J846" s="23" t="s">
        <v>16</v>
      </c>
      <c r="K846" s="23" t="s">
        <v>13</v>
      </c>
      <c r="L846" s="32">
        <v>46204.896933981479</v>
      </c>
      <c r="M846" s="23"/>
    </row>
    <row r="847" spans="1:13" ht="75" customHeight="1" thickTop="1" thickBot="1">
      <c r="A847" s="25">
        <v>845</v>
      </c>
      <c r="B847" s="32">
        <v>46204.866506573999</v>
      </c>
      <c r="C847" s="33" t="s">
        <v>97</v>
      </c>
      <c r="D847" s="31" t="s">
        <v>395</v>
      </c>
      <c r="E847" s="23" t="s">
        <v>99</v>
      </c>
      <c r="F847" s="23" t="s">
        <v>116</v>
      </c>
      <c r="G847" s="23" t="s">
        <v>106</v>
      </c>
      <c r="H847" s="23" t="s">
        <v>1114</v>
      </c>
      <c r="I847" s="23"/>
      <c r="J847" s="23" t="s">
        <v>16</v>
      </c>
      <c r="K847" s="23" t="s">
        <v>13</v>
      </c>
      <c r="L847" s="32">
        <v>46204.896990046298</v>
      </c>
      <c r="M847" s="23"/>
    </row>
    <row r="848" spans="1:13" ht="75" customHeight="1" thickTop="1" thickBot="1">
      <c r="A848" s="23">
        <v>846</v>
      </c>
      <c r="B848" s="32">
        <v>46204.866786145802</v>
      </c>
      <c r="C848" s="33" t="s">
        <v>97</v>
      </c>
      <c r="D848" s="31" t="s">
        <v>395</v>
      </c>
      <c r="E848" s="23" t="s">
        <v>99</v>
      </c>
      <c r="F848" s="23" t="s">
        <v>100</v>
      </c>
      <c r="G848" s="23" t="s">
        <v>104</v>
      </c>
      <c r="H848" s="23" t="s">
        <v>1115</v>
      </c>
      <c r="I848" s="23"/>
      <c r="J848" s="23" t="s">
        <v>16</v>
      </c>
      <c r="K848" s="23" t="s">
        <v>13</v>
      </c>
      <c r="L848" s="32">
        <v>46204.897062881944</v>
      </c>
      <c r="M848" s="23"/>
    </row>
    <row r="849" spans="1:13" ht="75" customHeight="1" thickTop="1" thickBot="1">
      <c r="A849" s="25">
        <v>847</v>
      </c>
      <c r="B849" s="32">
        <v>46204.8672435763</v>
      </c>
      <c r="C849" s="33" t="s">
        <v>97</v>
      </c>
      <c r="D849" s="31" t="s">
        <v>395</v>
      </c>
      <c r="E849" s="23" t="s">
        <v>99</v>
      </c>
      <c r="F849" s="23" t="s">
        <v>100</v>
      </c>
      <c r="G849" s="23" t="s">
        <v>104</v>
      </c>
      <c r="H849" s="23" t="s">
        <v>842</v>
      </c>
      <c r="I849" s="23"/>
      <c r="J849" s="23" t="s">
        <v>16</v>
      </c>
      <c r="K849" s="23" t="s">
        <v>13</v>
      </c>
      <c r="L849" s="32">
        <v>46204.89718226852</v>
      </c>
      <c r="M849" s="23"/>
    </row>
    <row r="850" spans="1:13" ht="75" customHeight="1" thickTop="1" thickBot="1">
      <c r="A850" s="23">
        <v>848</v>
      </c>
      <c r="B850" s="32">
        <v>46204.867373773101</v>
      </c>
      <c r="C850" s="33" t="s">
        <v>97</v>
      </c>
      <c r="D850" s="31" t="s">
        <v>395</v>
      </c>
      <c r="E850" s="23" t="s">
        <v>99</v>
      </c>
      <c r="F850" s="23" t="s">
        <v>116</v>
      </c>
      <c r="G850" s="23" t="s">
        <v>152</v>
      </c>
      <c r="H850" s="23" t="s">
        <v>843</v>
      </c>
      <c r="I850" s="23"/>
      <c r="J850" s="23" t="s">
        <v>16</v>
      </c>
      <c r="K850" s="23" t="s">
        <v>13</v>
      </c>
      <c r="L850" s="32">
        <v>46204.897268564819</v>
      </c>
      <c r="M850" s="23"/>
    </row>
    <row r="851" spans="1:13" ht="75" customHeight="1" thickTop="1" thickBot="1">
      <c r="A851" s="25">
        <v>849</v>
      </c>
      <c r="B851" s="32">
        <v>46204.867627361098</v>
      </c>
      <c r="C851" s="33" t="s">
        <v>97</v>
      </c>
      <c r="D851" s="31" t="s">
        <v>395</v>
      </c>
      <c r="E851" s="23" t="s">
        <v>99</v>
      </c>
      <c r="F851" s="23" t="s">
        <v>100</v>
      </c>
      <c r="G851" s="23" t="s">
        <v>104</v>
      </c>
      <c r="H851" s="23" t="s">
        <v>844</v>
      </c>
      <c r="I851" s="23"/>
      <c r="J851" s="23" t="s">
        <v>16</v>
      </c>
      <c r="K851" s="23" t="s">
        <v>13</v>
      </c>
      <c r="L851" s="32">
        <v>46204.897337951392</v>
      </c>
      <c r="M851" s="23"/>
    </row>
    <row r="852" spans="1:13" ht="75" customHeight="1" thickTop="1" thickBot="1">
      <c r="A852" s="23">
        <v>850</v>
      </c>
      <c r="B852" s="32">
        <v>46204.867806875001</v>
      </c>
      <c r="C852" s="33" t="s">
        <v>97</v>
      </c>
      <c r="D852" s="31" t="s">
        <v>395</v>
      </c>
      <c r="E852" s="23" t="s">
        <v>99</v>
      </c>
      <c r="F852" s="23" t="s">
        <v>116</v>
      </c>
      <c r="G852" s="23" t="s">
        <v>152</v>
      </c>
      <c r="H852" s="23" t="s">
        <v>1116</v>
      </c>
      <c r="I852" s="23"/>
      <c r="J852" s="23" t="s">
        <v>16</v>
      </c>
      <c r="K852" s="23" t="s">
        <v>13</v>
      </c>
      <c r="L852" s="32">
        <v>46204.897382337964</v>
      </c>
      <c r="M852" s="23"/>
    </row>
    <row r="853" spans="1:13" ht="75" customHeight="1" thickTop="1" thickBot="1">
      <c r="A853" s="25">
        <v>851</v>
      </c>
      <c r="B853" s="32">
        <v>46204.868020046197</v>
      </c>
      <c r="C853" s="33" t="s">
        <v>97</v>
      </c>
      <c r="D853" s="31" t="s">
        <v>395</v>
      </c>
      <c r="E853" s="23" t="s">
        <v>99</v>
      </c>
      <c r="F853" s="23" t="s">
        <v>100</v>
      </c>
      <c r="G853" s="23" t="s">
        <v>103</v>
      </c>
      <c r="H853" s="23" t="s">
        <v>845</v>
      </c>
      <c r="I853" s="23"/>
      <c r="J853" s="23" t="s">
        <v>16</v>
      </c>
      <c r="K853" s="23" t="s">
        <v>13</v>
      </c>
      <c r="L853" s="32">
        <v>46204.897418078705</v>
      </c>
      <c r="M853" s="23"/>
    </row>
    <row r="854" spans="1:13" ht="75" customHeight="1" thickTop="1" thickBot="1">
      <c r="A854" s="23">
        <v>852</v>
      </c>
      <c r="B854" s="32">
        <v>46204.8682100925</v>
      </c>
      <c r="C854" s="33" t="s">
        <v>97</v>
      </c>
      <c r="D854" s="31" t="s">
        <v>395</v>
      </c>
      <c r="E854" s="23" t="s">
        <v>99</v>
      </c>
      <c r="F854" s="23" t="s">
        <v>116</v>
      </c>
      <c r="G854" s="23" t="s">
        <v>106</v>
      </c>
      <c r="H854" s="23" t="s">
        <v>846</v>
      </c>
      <c r="I854" s="23"/>
      <c r="J854" s="23" t="s">
        <v>16</v>
      </c>
      <c r="K854" s="23" t="s">
        <v>13</v>
      </c>
      <c r="L854" s="32">
        <v>46204.897493171295</v>
      </c>
      <c r="M854" s="23"/>
    </row>
    <row r="855" spans="1:13" ht="75" customHeight="1" thickTop="1" thickBot="1">
      <c r="A855" s="25">
        <v>853</v>
      </c>
      <c r="B855" s="32">
        <v>46204.868543877303</v>
      </c>
      <c r="C855" s="33" t="s">
        <v>97</v>
      </c>
      <c r="D855" s="31" t="s">
        <v>395</v>
      </c>
      <c r="E855" s="23" t="s">
        <v>99</v>
      </c>
      <c r="F855" s="23" t="s">
        <v>100</v>
      </c>
      <c r="G855" s="23" t="s">
        <v>103</v>
      </c>
      <c r="H855" s="23" t="s">
        <v>847</v>
      </c>
      <c r="I855" s="23"/>
      <c r="J855" s="23" t="s">
        <v>16</v>
      </c>
      <c r="K855" s="23" t="s">
        <v>13</v>
      </c>
      <c r="L855" s="32">
        <v>46204.89753519676</v>
      </c>
      <c r="M855" s="23"/>
    </row>
    <row r="856" spans="1:13" ht="75" customHeight="1" thickTop="1" thickBot="1">
      <c r="A856" s="23">
        <v>854</v>
      </c>
      <c r="B856" s="32">
        <v>46204.868827997598</v>
      </c>
      <c r="C856" s="33" t="s">
        <v>97</v>
      </c>
      <c r="D856" s="31" t="s">
        <v>395</v>
      </c>
      <c r="E856" s="23" t="s">
        <v>99</v>
      </c>
      <c r="F856" s="23" t="s">
        <v>102</v>
      </c>
      <c r="G856" s="23" t="s">
        <v>848</v>
      </c>
      <c r="H856" s="23" t="s">
        <v>849</v>
      </c>
      <c r="I856" s="23"/>
      <c r="J856" s="23" t="s">
        <v>16</v>
      </c>
      <c r="K856" s="23" t="s">
        <v>13</v>
      </c>
      <c r="L856" s="32">
        <v>46204.897641099538</v>
      </c>
      <c r="M856" s="23"/>
    </row>
    <row r="857" spans="1:13" ht="75" customHeight="1" thickTop="1" thickBot="1">
      <c r="A857" s="25">
        <v>855</v>
      </c>
      <c r="B857" s="32">
        <v>46204.869379432799</v>
      </c>
      <c r="C857" s="33" t="s">
        <v>97</v>
      </c>
      <c r="D857" s="31" t="s">
        <v>395</v>
      </c>
      <c r="E857" s="23" t="s">
        <v>99</v>
      </c>
      <c r="F857" s="23" t="s">
        <v>100</v>
      </c>
      <c r="G857" s="23" t="s">
        <v>103</v>
      </c>
      <c r="H857" s="23" t="s">
        <v>850</v>
      </c>
      <c r="I857" s="23"/>
      <c r="J857" s="23" t="s">
        <v>16</v>
      </c>
      <c r="K857" s="23" t="s">
        <v>13</v>
      </c>
      <c r="L857" s="32">
        <v>46204.897702268514</v>
      </c>
      <c r="M857" s="23"/>
    </row>
    <row r="858" spans="1:13" ht="75" customHeight="1" thickTop="1" thickBot="1">
      <c r="A858" s="23">
        <v>856</v>
      </c>
      <c r="B858" s="32">
        <v>46204.869792962898</v>
      </c>
      <c r="C858" s="33" t="s">
        <v>97</v>
      </c>
      <c r="D858" s="31" t="s">
        <v>395</v>
      </c>
      <c r="E858" s="23" t="s">
        <v>99</v>
      </c>
      <c r="F858" s="23" t="s">
        <v>100</v>
      </c>
      <c r="G858" s="23" t="s">
        <v>103</v>
      </c>
      <c r="H858" s="23" t="s">
        <v>851</v>
      </c>
      <c r="I858" s="23"/>
      <c r="J858" s="23" t="s">
        <v>16</v>
      </c>
      <c r="K858" s="23" t="s">
        <v>13</v>
      </c>
      <c r="L858" s="32">
        <v>46204.897741354165</v>
      </c>
      <c r="M858" s="23"/>
    </row>
    <row r="859" spans="1:13" ht="75" customHeight="1" thickTop="1" thickBot="1">
      <c r="A859" s="25">
        <v>857</v>
      </c>
      <c r="B859" s="32">
        <v>46204.869941701298</v>
      </c>
      <c r="C859" s="33" t="s">
        <v>97</v>
      </c>
      <c r="D859" s="31" t="s">
        <v>395</v>
      </c>
      <c r="E859" s="23" t="s">
        <v>99</v>
      </c>
      <c r="F859" s="23" t="s">
        <v>116</v>
      </c>
      <c r="G859" s="23" t="s">
        <v>106</v>
      </c>
      <c r="H859" s="23" t="s">
        <v>852</v>
      </c>
      <c r="I859" s="23"/>
      <c r="J859" s="23" t="s">
        <v>16</v>
      </c>
      <c r="K859" s="23" t="s">
        <v>13</v>
      </c>
      <c r="L859" s="32">
        <v>46204.897781250002</v>
      </c>
      <c r="M859" s="23"/>
    </row>
    <row r="860" spans="1:13" ht="75" customHeight="1" thickTop="1" thickBot="1">
      <c r="A860" s="23">
        <v>858</v>
      </c>
      <c r="B860" s="32">
        <v>46204.870474247597</v>
      </c>
      <c r="C860" s="33" t="s">
        <v>97</v>
      </c>
      <c r="D860" s="31" t="s">
        <v>395</v>
      </c>
      <c r="E860" s="23" t="s">
        <v>99</v>
      </c>
      <c r="F860" s="23" t="s">
        <v>100</v>
      </c>
      <c r="G860" s="23" t="s">
        <v>103</v>
      </c>
      <c r="H860" s="23" t="s">
        <v>853</v>
      </c>
      <c r="I860" s="23"/>
      <c r="J860" s="23" t="s">
        <v>16</v>
      </c>
      <c r="K860" s="23" t="s">
        <v>13</v>
      </c>
      <c r="L860" s="32">
        <v>46204.897929687504</v>
      </c>
      <c r="M860" s="23"/>
    </row>
    <row r="861" spans="1:13" ht="75" customHeight="1" thickTop="1" thickBot="1">
      <c r="A861" s="25">
        <v>859</v>
      </c>
      <c r="B861" s="32">
        <v>46204.871129849504</v>
      </c>
      <c r="C861" s="33" t="s">
        <v>97</v>
      </c>
      <c r="D861" s="31" t="s">
        <v>395</v>
      </c>
      <c r="E861" s="23" t="s">
        <v>99</v>
      </c>
      <c r="F861" s="23" t="s">
        <v>100</v>
      </c>
      <c r="G861" s="23" t="s">
        <v>103</v>
      </c>
      <c r="H861" s="23" t="s">
        <v>854</v>
      </c>
      <c r="I861" s="23"/>
      <c r="J861" s="23" t="s">
        <v>16</v>
      </c>
      <c r="K861" s="23" t="s">
        <v>13</v>
      </c>
      <c r="L861" s="32">
        <v>46204.898026504627</v>
      </c>
      <c r="M861" s="23"/>
    </row>
    <row r="862" spans="1:13" ht="75" customHeight="1" thickTop="1" thickBot="1">
      <c r="A862" s="23">
        <v>860</v>
      </c>
      <c r="B862" s="32">
        <v>46204.8725194328</v>
      </c>
      <c r="C862" s="33" t="s">
        <v>97</v>
      </c>
      <c r="D862" s="31" t="s">
        <v>395</v>
      </c>
      <c r="E862" s="23" t="s">
        <v>99</v>
      </c>
      <c r="F862" s="23" t="s">
        <v>100</v>
      </c>
      <c r="G862" s="23" t="s">
        <v>103</v>
      </c>
      <c r="H862" s="23" t="s">
        <v>854</v>
      </c>
      <c r="I862" s="23"/>
      <c r="J862" s="23" t="s">
        <v>16</v>
      </c>
      <c r="K862" s="23" t="s">
        <v>13</v>
      </c>
      <c r="L862" s="32">
        <v>46204.898115706019</v>
      </c>
      <c r="M862" s="23"/>
    </row>
    <row r="863" spans="1:13" ht="75" customHeight="1" thickTop="1" thickBot="1">
      <c r="A863" s="25">
        <v>861</v>
      </c>
      <c r="B863" s="32">
        <v>46204.872905775403</v>
      </c>
      <c r="C863" s="33" t="s">
        <v>97</v>
      </c>
      <c r="D863" s="31" t="s">
        <v>395</v>
      </c>
      <c r="E863" s="23" t="s">
        <v>99</v>
      </c>
      <c r="F863" s="23" t="s">
        <v>100</v>
      </c>
      <c r="G863" s="23" t="s">
        <v>103</v>
      </c>
      <c r="H863" s="23" t="s">
        <v>855</v>
      </c>
      <c r="I863" s="23"/>
      <c r="J863" s="23" t="s">
        <v>16</v>
      </c>
      <c r="K863" s="23" t="s">
        <v>13</v>
      </c>
      <c r="L863" s="32">
        <v>46204.89818640046</v>
      </c>
      <c r="M863" s="23"/>
    </row>
    <row r="864" spans="1:13" ht="75" customHeight="1" thickTop="1" thickBot="1">
      <c r="A864" s="23">
        <v>862</v>
      </c>
      <c r="B864" s="32">
        <v>46204.873319502301</v>
      </c>
      <c r="C864" s="33" t="s">
        <v>97</v>
      </c>
      <c r="D864" s="31" t="s">
        <v>395</v>
      </c>
      <c r="E864" s="23" t="s">
        <v>99</v>
      </c>
      <c r="F864" s="23" t="s">
        <v>100</v>
      </c>
      <c r="G864" s="23" t="s">
        <v>103</v>
      </c>
      <c r="H864" s="23" t="s">
        <v>856</v>
      </c>
      <c r="I864" s="23"/>
      <c r="J864" s="23" t="s">
        <v>16</v>
      </c>
      <c r="K864" s="23" t="s">
        <v>13</v>
      </c>
      <c r="L864" s="32">
        <v>46204.898306215277</v>
      </c>
      <c r="M864" s="23"/>
    </row>
    <row r="865" spans="1:13" ht="75" customHeight="1" thickTop="1" thickBot="1">
      <c r="A865" s="25">
        <v>863</v>
      </c>
      <c r="B865" s="32">
        <v>46204.8737857175</v>
      </c>
      <c r="C865" s="33" t="s">
        <v>97</v>
      </c>
      <c r="D865" s="31" t="s">
        <v>395</v>
      </c>
      <c r="E865" s="23" t="s">
        <v>99</v>
      </c>
      <c r="F865" s="23" t="s">
        <v>100</v>
      </c>
      <c r="G865" s="23" t="s">
        <v>108</v>
      </c>
      <c r="H865" s="23" t="s">
        <v>857</v>
      </c>
      <c r="I865" s="23"/>
      <c r="J865" s="23" t="s">
        <v>16</v>
      </c>
      <c r="K865" s="23" t="s">
        <v>13</v>
      </c>
      <c r="L865" s="32">
        <v>46204.898398263889</v>
      </c>
      <c r="M865" s="23"/>
    </row>
    <row r="866" spans="1:13" ht="75" customHeight="1" thickTop="1" thickBot="1">
      <c r="A866" s="23">
        <v>864</v>
      </c>
      <c r="B866" s="32">
        <v>46204.874244351799</v>
      </c>
      <c r="C866" s="33" t="s">
        <v>97</v>
      </c>
      <c r="D866" s="31" t="s">
        <v>395</v>
      </c>
      <c r="E866" s="23" t="s">
        <v>99</v>
      </c>
      <c r="F866" s="23" t="s">
        <v>102</v>
      </c>
      <c r="G866" s="23" t="s">
        <v>108</v>
      </c>
      <c r="H866" s="23" t="s">
        <v>858</v>
      </c>
      <c r="I866" s="23"/>
      <c r="J866" s="23" t="s">
        <v>16</v>
      </c>
      <c r="K866" s="23" t="s">
        <v>13</v>
      </c>
      <c r="L866" s="32">
        <v>46204.898474849542</v>
      </c>
      <c r="M866" s="23"/>
    </row>
    <row r="867" spans="1:13" ht="75" customHeight="1" thickTop="1" thickBot="1">
      <c r="A867" s="25">
        <v>865</v>
      </c>
      <c r="B867" s="32">
        <v>46204.877552812497</v>
      </c>
      <c r="C867" s="33" t="s">
        <v>97</v>
      </c>
      <c r="D867" s="31" t="s">
        <v>395</v>
      </c>
      <c r="E867" s="23" t="s">
        <v>99</v>
      </c>
      <c r="F867" s="23" t="s">
        <v>102</v>
      </c>
      <c r="G867" s="23" t="s">
        <v>108</v>
      </c>
      <c r="H867" s="23" t="s">
        <v>858</v>
      </c>
      <c r="I867" s="23"/>
      <c r="J867" s="23" t="s">
        <v>16</v>
      </c>
      <c r="K867" s="23" t="s">
        <v>13</v>
      </c>
      <c r="L867" s="32">
        <v>46204.898583993054</v>
      </c>
      <c r="M867" s="23"/>
    </row>
    <row r="868" spans="1:13" ht="75" customHeight="1" thickTop="1" thickBot="1">
      <c r="A868" s="23">
        <v>866</v>
      </c>
      <c r="B868" s="32">
        <v>46204.877972604103</v>
      </c>
      <c r="C868" s="33" t="s">
        <v>97</v>
      </c>
      <c r="D868" s="31" t="s">
        <v>395</v>
      </c>
      <c r="E868" s="23" t="s">
        <v>99</v>
      </c>
      <c r="F868" s="23" t="s">
        <v>102</v>
      </c>
      <c r="G868" s="23" t="s">
        <v>108</v>
      </c>
      <c r="H868" s="23" t="s">
        <v>859</v>
      </c>
      <c r="I868" s="23"/>
      <c r="J868" s="23" t="s">
        <v>16</v>
      </c>
      <c r="K868" s="23" t="s">
        <v>13</v>
      </c>
      <c r="L868" s="32">
        <v>46204.898635497681</v>
      </c>
      <c r="M868" s="23"/>
    </row>
    <row r="869" spans="1:13" ht="75" customHeight="1" thickTop="1" thickBot="1">
      <c r="A869" s="25">
        <v>867</v>
      </c>
      <c r="B869" s="32">
        <v>46204.878501597203</v>
      </c>
      <c r="C869" s="33" t="s">
        <v>97</v>
      </c>
      <c r="D869" s="31" t="s">
        <v>395</v>
      </c>
      <c r="E869" s="23" t="s">
        <v>99</v>
      </c>
      <c r="F869" s="23" t="s">
        <v>102</v>
      </c>
      <c r="G869" s="23" t="s">
        <v>104</v>
      </c>
      <c r="H869" s="23" t="s">
        <v>860</v>
      </c>
      <c r="I869" s="23"/>
      <c r="J869" s="23" t="s">
        <v>16</v>
      </c>
      <c r="K869" s="23" t="s">
        <v>13</v>
      </c>
      <c r="L869" s="32">
        <v>46204.898728541666</v>
      </c>
      <c r="M869" s="23"/>
    </row>
    <row r="870" spans="1:13" ht="75" customHeight="1" thickTop="1" thickBot="1">
      <c r="A870" s="23">
        <v>868</v>
      </c>
      <c r="B870" s="32">
        <v>46204.879012685102</v>
      </c>
      <c r="C870" s="33" t="s">
        <v>97</v>
      </c>
      <c r="D870" s="31" t="s">
        <v>395</v>
      </c>
      <c r="E870" s="23" t="s">
        <v>99</v>
      </c>
      <c r="F870" s="23" t="s">
        <v>102</v>
      </c>
      <c r="G870" s="23" t="s">
        <v>104</v>
      </c>
      <c r="H870" s="23" t="s">
        <v>861</v>
      </c>
      <c r="I870" s="23"/>
      <c r="J870" s="23" t="s">
        <v>16</v>
      </c>
      <c r="K870" s="23" t="s">
        <v>13</v>
      </c>
      <c r="L870" s="32">
        <v>46204.900984571759</v>
      </c>
      <c r="M870" s="23"/>
    </row>
    <row r="871" spans="1:13" ht="75" customHeight="1" thickTop="1" thickBot="1">
      <c r="A871" s="25">
        <v>869</v>
      </c>
      <c r="B871" s="32">
        <v>46204.880467117997</v>
      </c>
      <c r="C871" s="33" t="s">
        <v>97</v>
      </c>
      <c r="D871" s="31" t="s">
        <v>395</v>
      </c>
      <c r="E871" s="23" t="s">
        <v>99</v>
      </c>
      <c r="F871" s="23" t="s">
        <v>102</v>
      </c>
      <c r="G871" s="23" t="s">
        <v>103</v>
      </c>
      <c r="H871" s="23" t="s">
        <v>862</v>
      </c>
      <c r="I871" s="23"/>
      <c r="J871" s="23" t="s">
        <v>16</v>
      </c>
      <c r="K871" s="23" t="s">
        <v>13</v>
      </c>
      <c r="L871" s="32">
        <v>46204.901024699073</v>
      </c>
      <c r="M871" s="23"/>
    </row>
    <row r="872" spans="1:13" ht="75" customHeight="1" thickTop="1" thickBot="1">
      <c r="A872" s="23">
        <v>870</v>
      </c>
      <c r="B872" s="32">
        <v>46204.880786412003</v>
      </c>
      <c r="C872" s="33" t="s">
        <v>97</v>
      </c>
      <c r="D872" s="31" t="s">
        <v>395</v>
      </c>
      <c r="E872" s="23" t="s">
        <v>99</v>
      </c>
      <c r="F872" s="23" t="s">
        <v>102</v>
      </c>
      <c r="G872" s="23" t="s">
        <v>103</v>
      </c>
      <c r="H872" s="23" t="s">
        <v>863</v>
      </c>
      <c r="I872" s="23"/>
      <c r="J872" s="23" t="s">
        <v>16</v>
      </c>
      <c r="K872" s="23" t="s">
        <v>13</v>
      </c>
      <c r="L872" s="32">
        <v>46204.901079733798</v>
      </c>
      <c r="M872" s="23"/>
    </row>
    <row r="873" spans="1:13" ht="75" customHeight="1" thickTop="1" thickBot="1">
      <c r="A873" s="25">
        <v>871</v>
      </c>
      <c r="B873" s="32">
        <v>46204.881228159698</v>
      </c>
      <c r="C873" s="33" t="s">
        <v>97</v>
      </c>
      <c r="D873" s="31" t="s">
        <v>395</v>
      </c>
      <c r="E873" s="23" t="s">
        <v>99</v>
      </c>
      <c r="F873" s="23" t="s">
        <v>102</v>
      </c>
      <c r="G873" s="23" t="s">
        <v>103</v>
      </c>
      <c r="H873" s="23" t="s">
        <v>864</v>
      </c>
      <c r="I873" s="23"/>
      <c r="J873" s="23" t="s">
        <v>16</v>
      </c>
      <c r="K873" s="23" t="s">
        <v>13</v>
      </c>
      <c r="L873" s="32">
        <v>46204.901193472222</v>
      </c>
      <c r="M873" s="23"/>
    </row>
    <row r="874" spans="1:13" ht="75" customHeight="1" thickTop="1" thickBot="1">
      <c r="A874" s="23">
        <v>872</v>
      </c>
      <c r="B874" s="32">
        <v>46204.8815962152</v>
      </c>
      <c r="C874" s="33" t="s">
        <v>97</v>
      </c>
      <c r="D874" s="31" t="s">
        <v>395</v>
      </c>
      <c r="E874" s="23" t="s">
        <v>99</v>
      </c>
      <c r="F874" s="23" t="s">
        <v>102</v>
      </c>
      <c r="G874" s="23" t="s">
        <v>103</v>
      </c>
      <c r="H874" s="23" t="s">
        <v>865</v>
      </c>
      <c r="I874" s="23"/>
      <c r="J874" s="23" t="s">
        <v>16</v>
      </c>
      <c r="K874" s="23" t="s">
        <v>13</v>
      </c>
      <c r="L874" s="32">
        <v>46204.901227974537</v>
      </c>
      <c r="M874" s="23"/>
    </row>
    <row r="875" spans="1:13" ht="75" customHeight="1" thickTop="1" thickBot="1">
      <c r="A875" s="25">
        <v>873</v>
      </c>
      <c r="B875" s="32">
        <v>46204.882051527697</v>
      </c>
      <c r="C875" s="33" t="s">
        <v>97</v>
      </c>
      <c r="D875" s="31" t="s">
        <v>395</v>
      </c>
      <c r="E875" s="23" t="s">
        <v>99</v>
      </c>
      <c r="F875" s="23" t="s">
        <v>126</v>
      </c>
      <c r="G875" s="23" t="s">
        <v>152</v>
      </c>
      <c r="H875" s="23" t="s">
        <v>866</v>
      </c>
      <c r="I875" s="23"/>
      <c r="J875" s="23" t="s">
        <v>16</v>
      </c>
      <c r="K875" s="23" t="s">
        <v>13</v>
      </c>
      <c r="L875" s="32">
        <v>46204.90129061343</v>
      </c>
      <c r="M875" s="23"/>
    </row>
    <row r="876" spans="1:13" ht="75" customHeight="1" thickTop="1" thickBot="1">
      <c r="A876" s="23">
        <v>874</v>
      </c>
      <c r="B876" s="32">
        <v>46204.8824481134</v>
      </c>
      <c r="C876" s="33" t="s">
        <v>97</v>
      </c>
      <c r="D876" s="31" t="s">
        <v>395</v>
      </c>
      <c r="E876" s="23" t="s">
        <v>99</v>
      </c>
      <c r="F876" s="23" t="s">
        <v>126</v>
      </c>
      <c r="G876" s="23" t="s">
        <v>152</v>
      </c>
      <c r="H876" s="23" t="s">
        <v>867</v>
      </c>
      <c r="I876" s="23"/>
      <c r="J876" s="23" t="s">
        <v>16</v>
      </c>
      <c r="K876" s="23" t="s">
        <v>13</v>
      </c>
      <c r="L876" s="32">
        <v>46204.90135226852</v>
      </c>
      <c r="M876" s="23"/>
    </row>
    <row r="877" spans="1:13" ht="75" customHeight="1" thickTop="1" thickBot="1">
      <c r="A877" s="25">
        <v>875</v>
      </c>
      <c r="B877" s="32">
        <v>46204.882845949003</v>
      </c>
      <c r="C877" s="33" t="s">
        <v>97</v>
      </c>
      <c r="D877" s="31" t="s">
        <v>395</v>
      </c>
      <c r="E877" s="23" t="s">
        <v>99</v>
      </c>
      <c r="F877" s="23" t="s">
        <v>126</v>
      </c>
      <c r="G877" s="23" t="s">
        <v>168</v>
      </c>
      <c r="H877" s="23" t="s">
        <v>868</v>
      </c>
      <c r="I877" s="23"/>
      <c r="J877" s="23" t="s">
        <v>16</v>
      </c>
      <c r="K877" s="23" t="s">
        <v>13</v>
      </c>
      <c r="L877" s="32">
        <v>46204.901428043981</v>
      </c>
      <c r="M877" s="23"/>
    </row>
    <row r="878" spans="1:13" ht="75" customHeight="1" thickTop="1" thickBot="1">
      <c r="A878" s="23">
        <v>876</v>
      </c>
      <c r="B878" s="32">
        <v>46204.883168113403</v>
      </c>
      <c r="C878" s="33" t="s">
        <v>97</v>
      </c>
      <c r="D878" s="31" t="s">
        <v>395</v>
      </c>
      <c r="E878" s="23" t="s">
        <v>99</v>
      </c>
      <c r="F878" s="23" t="s">
        <v>126</v>
      </c>
      <c r="G878" s="23" t="s">
        <v>168</v>
      </c>
      <c r="H878" s="23" t="s">
        <v>869</v>
      </c>
      <c r="I878" s="23"/>
      <c r="J878" s="23" t="s">
        <v>16</v>
      </c>
      <c r="K878" s="23" t="s">
        <v>13</v>
      </c>
      <c r="L878" s="32">
        <v>46204.90147232639</v>
      </c>
      <c r="M878" s="23"/>
    </row>
    <row r="879" spans="1:13" ht="75" customHeight="1" thickTop="1" thickBot="1">
      <c r="A879" s="25">
        <v>877</v>
      </c>
      <c r="B879" s="32">
        <v>46204.883485196697</v>
      </c>
      <c r="C879" s="33" t="s">
        <v>97</v>
      </c>
      <c r="D879" s="31" t="s">
        <v>395</v>
      </c>
      <c r="E879" s="23" t="s">
        <v>99</v>
      </c>
      <c r="F879" s="23" t="s">
        <v>126</v>
      </c>
      <c r="G879" s="23" t="s">
        <v>442</v>
      </c>
      <c r="H879" s="23" t="s">
        <v>1117</v>
      </c>
      <c r="I879" s="23"/>
      <c r="J879" s="23" t="s">
        <v>16</v>
      </c>
      <c r="K879" s="23" t="s">
        <v>13</v>
      </c>
      <c r="L879" s="32">
        <v>46204.901562789353</v>
      </c>
      <c r="M879" s="23"/>
    </row>
    <row r="880" spans="1:13" ht="75" customHeight="1" thickTop="1" thickBot="1">
      <c r="A880" s="23">
        <v>878</v>
      </c>
      <c r="B880" s="32">
        <v>46204.88426603</v>
      </c>
      <c r="C880" s="33" t="s">
        <v>97</v>
      </c>
      <c r="D880" s="31" t="s">
        <v>395</v>
      </c>
      <c r="E880" s="23" t="s">
        <v>99</v>
      </c>
      <c r="F880" s="23" t="s">
        <v>116</v>
      </c>
      <c r="G880" s="23" t="s">
        <v>106</v>
      </c>
      <c r="H880" s="23" t="s">
        <v>840</v>
      </c>
      <c r="I880" s="23"/>
      <c r="J880" s="23" t="s">
        <v>16</v>
      </c>
      <c r="K880" s="23" t="s">
        <v>13</v>
      </c>
      <c r="L880" s="32">
        <v>46204.901607175925</v>
      </c>
      <c r="M880" s="23"/>
    </row>
    <row r="881" spans="1:13" ht="75" customHeight="1" thickTop="1" thickBot="1">
      <c r="A881" s="25">
        <v>879</v>
      </c>
      <c r="B881" s="32">
        <v>46204.884617083299</v>
      </c>
      <c r="C881" s="33" t="s">
        <v>97</v>
      </c>
      <c r="D881" s="31" t="s">
        <v>395</v>
      </c>
      <c r="E881" s="23" t="s">
        <v>99</v>
      </c>
      <c r="F881" s="23" t="s">
        <v>116</v>
      </c>
      <c r="G881" s="23" t="s">
        <v>106</v>
      </c>
      <c r="H881" s="40" t="s">
        <v>870</v>
      </c>
      <c r="I881" s="23"/>
      <c r="J881" s="23" t="s">
        <v>16</v>
      </c>
      <c r="K881" s="23" t="s">
        <v>13</v>
      </c>
      <c r="L881" s="32">
        <v>46204.901698946764</v>
      </c>
      <c r="M881" s="23"/>
    </row>
    <row r="882" spans="1:13" ht="75" customHeight="1" thickTop="1" thickBot="1">
      <c r="A882" s="23">
        <v>880</v>
      </c>
      <c r="B882" s="32">
        <v>46204.884962152697</v>
      </c>
      <c r="C882" s="33" t="s">
        <v>97</v>
      </c>
      <c r="D882" s="31" t="s">
        <v>395</v>
      </c>
      <c r="E882" s="23" t="s">
        <v>99</v>
      </c>
      <c r="F882" s="23" t="s">
        <v>116</v>
      </c>
      <c r="G882" s="23" t="s">
        <v>106</v>
      </c>
      <c r="H882" s="40" t="s">
        <v>1112</v>
      </c>
      <c r="I882" s="23"/>
      <c r="J882" s="23" t="s">
        <v>16</v>
      </c>
      <c r="K882" s="23" t="s">
        <v>13</v>
      </c>
      <c r="L882" s="32">
        <v>46204.90174681713</v>
      </c>
      <c r="M882" s="23"/>
    </row>
    <row r="883" spans="1:13" ht="75" customHeight="1" thickTop="1" thickBot="1">
      <c r="A883" s="25">
        <v>881</v>
      </c>
      <c r="B883" s="32">
        <v>46204.8854091666</v>
      </c>
      <c r="C883" s="33" t="s">
        <v>97</v>
      </c>
      <c r="D883" s="31" t="s">
        <v>395</v>
      </c>
      <c r="E883" s="23" t="s">
        <v>99</v>
      </c>
      <c r="F883" s="23" t="s">
        <v>116</v>
      </c>
      <c r="G883" s="23" t="s">
        <v>106</v>
      </c>
      <c r="H883" s="23" t="s">
        <v>1114</v>
      </c>
      <c r="I883" s="23"/>
      <c r="J883" s="23" t="s">
        <v>16</v>
      </c>
      <c r="K883" s="23" t="s">
        <v>13</v>
      </c>
      <c r="L883" s="32">
        <v>46204.90184071759</v>
      </c>
      <c r="M883" s="23"/>
    </row>
    <row r="884" spans="1:13" ht="75" customHeight="1" thickTop="1" thickBot="1">
      <c r="A884" s="23">
        <v>882</v>
      </c>
      <c r="B884" s="32">
        <v>46204.885851504601</v>
      </c>
      <c r="C884" s="33" t="s">
        <v>97</v>
      </c>
      <c r="D884" s="31" t="s">
        <v>395</v>
      </c>
      <c r="E884" s="23" t="s">
        <v>99</v>
      </c>
      <c r="F884" s="23" t="s">
        <v>116</v>
      </c>
      <c r="G884" s="23" t="s">
        <v>152</v>
      </c>
      <c r="H884" s="23" t="s">
        <v>871</v>
      </c>
      <c r="I884" s="23"/>
      <c r="J884" s="23" t="s">
        <v>16</v>
      </c>
      <c r="K884" s="23" t="s">
        <v>13</v>
      </c>
      <c r="L884" s="32">
        <v>46204.901878749995</v>
      </c>
      <c r="M884" s="23"/>
    </row>
    <row r="885" spans="1:13" ht="75" customHeight="1" thickTop="1" thickBot="1">
      <c r="A885" s="25">
        <v>883</v>
      </c>
      <c r="B885" s="32">
        <v>46204.886308703703</v>
      </c>
      <c r="C885" s="33" t="s">
        <v>97</v>
      </c>
      <c r="D885" s="31" t="s">
        <v>395</v>
      </c>
      <c r="E885" s="23" t="s">
        <v>99</v>
      </c>
      <c r="F885" s="23" t="s">
        <v>116</v>
      </c>
      <c r="G885" s="23" t="s">
        <v>152</v>
      </c>
      <c r="H885" s="23" t="s">
        <v>872</v>
      </c>
      <c r="I885" s="23"/>
      <c r="J885" s="23" t="s">
        <v>16</v>
      </c>
      <c r="K885" s="23" t="s">
        <v>13</v>
      </c>
      <c r="L885" s="32">
        <v>46204.901962048607</v>
      </c>
      <c r="M885" s="23"/>
    </row>
    <row r="886" spans="1:13" ht="75" customHeight="1" thickTop="1" thickBot="1">
      <c r="A886" s="23">
        <v>884</v>
      </c>
      <c r="B886" s="32">
        <v>46204.8867455324</v>
      </c>
      <c r="C886" s="33" t="s">
        <v>97</v>
      </c>
      <c r="D886" s="31" t="s">
        <v>395</v>
      </c>
      <c r="E886" s="23" t="s">
        <v>99</v>
      </c>
      <c r="F886" s="23" t="s">
        <v>116</v>
      </c>
      <c r="G886" s="23" t="s">
        <v>106</v>
      </c>
      <c r="H886" s="23" t="s">
        <v>873</v>
      </c>
      <c r="I886" s="23"/>
      <c r="J886" s="23" t="s">
        <v>16</v>
      </c>
      <c r="K886" s="23" t="s">
        <v>13</v>
      </c>
      <c r="L886" s="32">
        <v>46204.902019143519</v>
      </c>
      <c r="M886" s="23"/>
    </row>
    <row r="887" spans="1:13" ht="75" customHeight="1" thickTop="1" thickBot="1">
      <c r="A887" s="25">
        <v>885</v>
      </c>
      <c r="B887" s="32">
        <v>46204.887062696696</v>
      </c>
      <c r="C887" s="33" t="s">
        <v>97</v>
      </c>
      <c r="D887" s="31" t="s">
        <v>395</v>
      </c>
      <c r="E887" s="23" t="s">
        <v>99</v>
      </c>
      <c r="F887" s="23" t="s">
        <v>116</v>
      </c>
      <c r="G887" s="23" t="s">
        <v>106</v>
      </c>
      <c r="H887" s="23" t="s">
        <v>846</v>
      </c>
      <c r="I887" s="23"/>
      <c r="J887" s="23" t="s">
        <v>16</v>
      </c>
      <c r="K887" s="23" t="s">
        <v>13</v>
      </c>
      <c r="L887" s="32">
        <v>46204.902093275465</v>
      </c>
      <c r="M887" s="23"/>
    </row>
    <row r="888" spans="1:13" ht="75" customHeight="1" thickTop="1" thickBot="1">
      <c r="A888" s="23">
        <v>886</v>
      </c>
      <c r="B888" s="32">
        <v>46204.887496678202</v>
      </c>
      <c r="C888" s="33" t="s">
        <v>97</v>
      </c>
      <c r="D888" s="31" t="s">
        <v>395</v>
      </c>
      <c r="E888" s="23" t="s">
        <v>99</v>
      </c>
      <c r="F888" s="23" t="s">
        <v>102</v>
      </c>
      <c r="G888" s="23" t="s">
        <v>101</v>
      </c>
      <c r="H888" s="23" t="s">
        <v>849</v>
      </c>
      <c r="I888" s="23"/>
      <c r="J888" s="23" t="s">
        <v>16</v>
      </c>
      <c r="K888" s="23" t="s">
        <v>13</v>
      </c>
      <c r="L888" s="32">
        <v>46204.902161296297</v>
      </c>
      <c r="M888" s="23"/>
    </row>
    <row r="889" spans="1:13" ht="75" customHeight="1" thickTop="1" thickBot="1">
      <c r="A889" s="25">
        <v>887</v>
      </c>
      <c r="B889" s="32">
        <v>46204.887859513801</v>
      </c>
      <c r="C889" s="33" t="s">
        <v>97</v>
      </c>
      <c r="D889" s="31" t="s">
        <v>395</v>
      </c>
      <c r="E889" s="23" t="s">
        <v>99</v>
      </c>
      <c r="F889" s="23" t="s">
        <v>116</v>
      </c>
      <c r="G889" s="23" t="s">
        <v>106</v>
      </c>
      <c r="H889" s="23" t="s">
        <v>852</v>
      </c>
      <c r="I889" s="23"/>
      <c r="J889" s="23" t="s">
        <v>16</v>
      </c>
      <c r="K889" s="23" t="s">
        <v>13</v>
      </c>
      <c r="L889" s="32">
        <v>46204.902213055553</v>
      </c>
      <c r="M889" s="23"/>
    </row>
    <row r="890" spans="1:13" ht="75" customHeight="1" thickTop="1" thickBot="1">
      <c r="A890" s="23">
        <v>888</v>
      </c>
      <c r="B890" s="32">
        <v>46204.888152187501</v>
      </c>
      <c r="C890" s="33" t="s">
        <v>97</v>
      </c>
      <c r="D890" s="31" t="s">
        <v>395</v>
      </c>
      <c r="E890" s="23" t="s">
        <v>99</v>
      </c>
      <c r="F890" s="23" t="s">
        <v>116</v>
      </c>
      <c r="G890" s="23" t="s">
        <v>106</v>
      </c>
      <c r="H890" s="23" t="s">
        <v>874</v>
      </c>
      <c r="I890" s="23"/>
      <c r="J890" s="23" t="s">
        <v>16</v>
      </c>
      <c r="K890" s="23" t="s">
        <v>13</v>
      </c>
      <c r="L890" s="32">
        <v>46204.902338472224</v>
      </c>
      <c r="M890" s="23"/>
    </row>
    <row r="891" spans="1:13" ht="75" customHeight="1" thickTop="1" thickBot="1">
      <c r="A891" s="25">
        <v>889</v>
      </c>
      <c r="B891" s="32">
        <v>46204.888887094901</v>
      </c>
      <c r="C891" s="33" t="s">
        <v>97</v>
      </c>
      <c r="D891" s="31" t="s">
        <v>395</v>
      </c>
      <c r="E891" s="23" t="s">
        <v>99</v>
      </c>
      <c r="F891" s="23" t="s">
        <v>100</v>
      </c>
      <c r="G891" s="23" t="s">
        <v>101</v>
      </c>
      <c r="H891" s="23" t="s">
        <v>875</v>
      </c>
      <c r="I891" s="23"/>
      <c r="J891" s="23" t="s">
        <v>16</v>
      </c>
      <c r="K891" s="23" t="s">
        <v>13</v>
      </c>
      <c r="L891" s="32">
        <v>46204.902382754633</v>
      </c>
      <c r="M891" s="23"/>
    </row>
    <row r="892" spans="1:13" ht="75" customHeight="1" thickTop="1" thickBot="1">
      <c r="A892" s="23">
        <v>890</v>
      </c>
      <c r="B892" s="32">
        <v>46204.889262997604</v>
      </c>
      <c r="C892" s="33" t="s">
        <v>97</v>
      </c>
      <c r="D892" s="31" t="s">
        <v>395</v>
      </c>
      <c r="E892" s="23" t="s">
        <v>99</v>
      </c>
      <c r="F892" s="23" t="s">
        <v>102</v>
      </c>
      <c r="G892" s="23" t="s">
        <v>152</v>
      </c>
      <c r="H892" s="23" t="s">
        <v>876</v>
      </c>
      <c r="I892" s="23"/>
      <c r="J892" s="23" t="s">
        <v>16</v>
      </c>
      <c r="K892" s="23" t="s">
        <v>13</v>
      </c>
      <c r="L892" s="32">
        <v>46204.90244568287</v>
      </c>
      <c r="M892" s="23"/>
    </row>
    <row r="893" spans="1:13" ht="75" customHeight="1" thickTop="1" thickBot="1">
      <c r="A893" s="25">
        <v>891</v>
      </c>
      <c r="B893" s="32">
        <v>46204.889673553203</v>
      </c>
      <c r="C893" s="33" t="s">
        <v>97</v>
      </c>
      <c r="D893" s="31" t="s">
        <v>395</v>
      </c>
      <c r="E893" s="23" t="s">
        <v>99</v>
      </c>
      <c r="F893" s="23" t="s">
        <v>116</v>
      </c>
      <c r="G893" s="23" t="s">
        <v>442</v>
      </c>
      <c r="H893" s="23" t="s">
        <v>877</v>
      </c>
      <c r="I893" s="23"/>
      <c r="J893" s="23" t="s">
        <v>16</v>
      </c>
      <c r="K893" s="23" t="s">
        <v>13</v>
      </c>
      <c r="L893" s="32">
        <v>46204.902620497684</v>
      </c>
      <c r="M893" s="23"/>
    </row>
    <row r="894" spans="1:13" ht="75" customHeight="1" thickTop="1" thickBot="1">
      <c r="A894" s="23">
        <v>892</v>
      </c>
      <c r="B894" s="32">
        <v>46204.890062916602</v>
      </c>
      <c r="C894" s="33" t="s">
        <v>97</v>
      </c>
      <c r="D894" s="31" t="s">
        <v>395</v>
      </c>
      <c r="E894" s="23" t="s">
        <v>99</v>
      </c>
      <c r="F894" s="23" t="s">
        <v>102</v>
      </c>
      <c r="G894" s="23" t="s">
        <v>106</v>
      </c>
      <c r="H894" s="23" t="s">
        <v>878</v>
      </c>
      <c r="I894" s="23"/>
      <c r="J894" s="23" t="s">
        <v>16</v>
      </c>
      <c r="K894" s="23" t="s">
        <v>13</v>
      </c>
      <c r="L894" s="32">
        <v>46204.902688206013</v>
      </c>
      <c r="M894" s="23"/>
    </row>
    <row r="895" spans="1:13" ht="75" customHeight="1" thickTop="1" thickBot="1">
      <c r="A895" s="25">
        <v>893</v>
      </c>
      <c r="B895" s="32">
        <v>46204.892744814802</v>
      </c>
      <c r="C895" s="33" t="s">
        <v>97</v>
      </c>
      <c r="D895" s="31" t="s">
        <v>395</v>
      </c>
      <c r="E895" s="23" t="s">
        <v>99</v>
      </c>
      <c r="F895" s="23" t="s">
        <v>102</v>
      </c>
      <c r="G895" s="23" t="s">
        <v>106</v>
      </c>
      <c r="H895" s="23" t="s">
        <v>878</v>
      </c>
      <c r="I895" s="23"/>
      <c r="J895" s="23" t="s">
        <v>16</v>
      </c>
      <c r="K895" s="23" t="s">
        <v>13</v>
      </c>
      <c r="L895" s="32">
        <v>46204.902753750001</v>
      </c>
      <c r="M895" s="23"/>
    </row>
    <row r="896" spans="1:13" ht="75" customHeight="1" thickTop="1" thickBot="1">
      <c r="A896" s="23">
        <v>894</v>
      </c>
      <c r="B896" s="32">
        <v>46204.893272581001</v>
      </c>
      <c r="C896" s="33" t="s">
        <v>97</v>
      </c>
      <c r="D896" s="31" t="s">
        <v>395</v>
      </c>
      <c r="E896" s="23" t="s">
        <v>99</v>
      </c>
      <c r="F896" s="23" t="s">
        <v>100</v>
      </c>
      <c r="G896" s="23" t="s">
        <v>108</v>
      </c>
      <c r="H896" s="23" t="s">
        <v>879</v>
      </c>
      <c r="I896" s="23"/>
      <c r="J896" s="23" t="s">
        <v>16</v>
      </c>
      <c r="K896" s="23" t="s">
        <v>13</v>
      </c>
      <c r="L896" s="32">
        <v>46204.902806134254</v>
      </c>
      <c r="M896" s="23"/>
    </row>
    <row r="897" spans="1:13" ht="75" customHeight="1" thickTop="1" thickBot="1">
      <c r="A897" s="25">
        <v>895</v>
      </c>
      <c r="B897" s="32">
        <v>46204.893581631899</v>
      </c>
      <c r="C897" s="33" t="s">
        <v>97</v>
      </c>
      <c r="D897" s="31" t="s">
        <v>395</v>
      </c>
      <c r="E897" s="23" t="s">
        <v>99</v>
      </c>
      <c r="F897" s="23" t="s">
        <v>100</v>
      </c>
      <c r="G897" s="23" t="s">
        <v>108</v>
      </c>
      <c r="H897" s="23" t="s">
        <v>880</v>
      </c>
      <c r="I897" s="23"/>
      <c r="J897" s="23" t="s">
        <v>16</v>
      </c>
      <c r="K897" s="23" t="s">
        <v>13</v>
      </c>
      <c r="L897" s="32">
        <v>46204.902903055554</v>
      </c>
      <c r="M897" s="23"/>
    </row>
    <row r="898" spans="1:13" ht="75" customHeight="1" thickTop="1" thickBot="1">
      <c r="A898" s="23">
        <v>896</v>
      </c>
      <c r="B898" s="32">
        <v>46204.893942442097</v>
      </c>
      <c r="C898" s="33" t="s">
        <v>97</v>
      </c>
      <c r="D898" s="31" t="s">
        <v>395</v>
      </c>
      <c r="E898" s="23" t="s">
        <v>99</v>
      </c>
      <c r="F898" s="23" t="s">
        <v>100</v>
      </c>
      <c r="G898" s="23" t="s">
        <v>106</v>
      </c>
      <c r="H898" s="23" t="s">
        <v>881</v>
      </c>
      <c r="I898" s="23"/>
      <c r="J898" s="23" t="s">
        <v>16</v>
      </c>
      <c r="K898" s="23" t="s">
        <v>13</v>
      </c>
      <c r="L898" s="32">
        <v>46204.903084305552</v>
      </c>
      <c r="M898" s="23"/>
    </row>
    <row r="899" spans="1:13" ht="75" customHeight="1" thickTop="1" thickBot="1">
      <c r="A899" s="25">
        <v>897</v>
      </c>
      <c r="B899" s="32">
        <v>46204.894284976799</v>
      </c>
      <c r="C899" s="33" t="s">
        <v>97</v>
      </c>
      <c r="D899" s="31" t="s">
        <v>395</v>
      </c>
      <c r="E899" s="23" t="s">
        <v>99</v>
      </c>
      <c r="F899" s="23" t="s">
        <v>116</v>
      </c>
      <c r="G899" s="23" t="s">
        <v>124</v>
      </c>
      <c r="H899" s="23" t="s">
        <v>882</v>
      </c>
      <c r="I899" s="23"/>
      <c r="J899" s="23" t="s">
        <v>16</v>
      </c>
      <c r="K899" s="23" t="s">
        <v>13</v>
      </c>
      <c r="L899" s="32">
        <v>46204.903126643519</v>
      </c>
      <c r="M899" s="23"/>
    </row>
    <row r="900" spans="1:13" ht="75" customHeight="1" thickTop="1" thickBot="1">
      <c r="A900" s="23">
        <v>898</v>
      </c>
      <c r="B900" s="32">
        <v>46204.894635995297</v>
      </c>
      <c r="C900" s="33" t="s">
        <v>97</v>
      </c>
      <c r="D900" s="31" t="s">
        <v>395</v>
      </c>
      <c r="E900" s="23" t="s">
        <v>99</v>
      </c>
      <c r="F900" s="23" t="s">
        <v>116</v>
      </c>
      <c r="G900" s="23" t="s">
        <v>104</v>
      </c>
      <c r="H900" s="23" t="s">
        <v>883</v>
      </c>
      <c r="I900" s="23"/>
      <c r="J900" s="23" t="s">
        <v>16</v>
      </c>
      <c r="K900" s="23" t="s">
        <v>13</v>
      </c>
      <c r="L900" s="32">
        <v>46204.90318793981</v>
      </c>
      <c r="M900" s="23"/>
    </row>
    <row r="901" spans="1:13" ht="75" customHeight="1" thickTop="1" thickBot="1">
      <c r="A901" s="25">
        <v>899</v>
      </c>
      <c r="B901" s="32">
        <v>46204.895152291603</v>
      </c>
      <c r="C901" s="33" t="s">
        <v>97</v>
      </c>
      <c r="D901" s="31" t="s">
        <v>395</v>
      </c>
      <c r="E901" s="23" t="s">
        <v>99</v>
      </c>
      <c r="F901" s="23" t="s">
        <v>116</v>
      </c>
      <c r="G901" s="23" t="s">
        <v>103</v>
      </c>
      <c r="H901" s="23" t="s">
        <v>884</v>
      </c>
      <c r="I901" s="23"/>
      <c r="J901" s="23" t="s">
        <v>16</v>
      </c>
      <c r="K901" s="23" t="s">
        <v>13</v>
      </c>
      <c r="L901" s="32">
        <v>46204.903282812498</v>
      </c>
      <c r="M901" s="23"/>
    </row>
    <row r="902" spans="1:13" ht="75" customHeight="1" thickTop="1" thickBot="1">
      <c r="A902" s="23">
        <v>900</v>
      </c>
      <c r="B902" s="32">
        <v>46204.895510868002</v>
      </c>
      <c r="C902" s="33" t="s">
        <v>97</v>
      </c>
      <c r="D902" s="31" t="s">
        <v>395</v>
      </c>
      <c r="E902" s="23" t="s">
        <v>99</v>
      </c>
      <c r="F902" s="23" t="s">
        <v>116</v>
      </c>
      <c r="G902" s="23" t="s">
        <v>152</v>
      </c>
      <c r="H902" s="23" t="s">
        <v>885</v>
      </c>
      <c r="I902" s="23"/>
      <c r="J902" s="23" t="s">
        <v>16</v>
      </c>
      <c r="K902" s="23" t="s">
        <v>13</v>
      </c>
      <c r="L902" s="32">
        <v>46204.903322106482</v>
      </c>
      <c r="M902" s="23"/>
    </row>
    <row r="903" spans="1:13" ht="75" customHeight="1" thickTop="1" thickBot="1">
      <c r="A903" s="25">
        <v>901</v>
      </c>
      <c r="B903" s="32">
        <v>46204.895907175902</v>
      </c>
      <c r="C903" s="33" t="s">
        <v>97</v>
      </c>
      <c r="D903" s="31" t="s">
        <v>395</v>
      </c>
      <c r="E903" s="23" t="s">
        <v>99</v>
      </c>
      <c r="F903" s="23" t="s">
        <v>102</v>
      </c>
      <c r="G903" s="23" t="s">
        <v>196</v>
      </c>
      <c r="H903" s="23" t="s">
        <v>886</v>
      </c>
      <c r="I903" s="23"/>
      <c r="J903" s="23" t="s">
        <v>16</v>
      </c>
      <c r="K903" s="23" t="s">
        <v>13</v>
      </c>
      <c r="L903" s="32">
        <v>46204.90337886574</v>
      </c>
      <c r="M903" s="23"/>
    </row>
    <row r="904" spans="1:13" ht="75" customHeight="1" thickTop="1" thickBot="1">
      <c r="A904" s="23">
        <v>902</v>
      </c>
      <c r="B904" s="32">
        <v>46204.896270092497</v>
      </c>
      <c r="C904" s="33" t="s">
        <v>97</v>
      </c>
      <c r="D904" s="31" t="s">
        <v>395</v>
      </c>
      <c r="E904" s="23" t="s">
        <v>99</v>
      </c>
      <c r="F904" s="23" t="s">
        <v>102</v>
      </c>
      <c r="G904" s="23" t="s">
        <v>104</v>
      </c>
      <c r="H904" s="23" t="s">
        <v>887</v>
      </c>
      <c r="I904" s="23"/>
      <c r="J904" s="23" t="s">
        <v>16</v>
      </c>
      <c r="K904" s="23" t="s">
        <v>13</v>
      </c>
      <c r="L904" s="32">
        <v>46204.903486261574</v>
      </c>
      <c r="M904" s="23"/>
    </row>
    <row r="905" spans="1:13" ht="75" customHeight="1" thickTop="1" thickBot="1">
      <c r="A905" s="25">
        <v>903</v>
      </c>
      <c r="B905" s="32">
        <v>46204.896671215203</v>
      </c>
      <c r="C905" s="33" t="s">
        <v>97</v>
      </c>
      <c r="D905" s="31" t="s">
        <v>395</v>
      </c>
      <c r="E905" s="23" t="s">
        <v>99</v>
      </c>
      <c r="F905" s="23" t="s">
        <v>102</v>
      </c>
      <c r="G905" s="23" t="s">
        <v>124</v>
      </c>
      <c r="H905" s="23" t="s">
        <v>888</v>
      </c>
      <c r="I905" s="23"/>
      <c r="J905" s="23" t="s">
        <v>16</v>
      </c>
      <c r="K905" s="23" t="s">
        <v>13</v>
      </c>
      <c r="L905" s="32">
        <v>46204.90354752315</v>
      </c>
      <c r="M905" s="23"/>
    </row>
    <row r="906" spans="1:13" ht="75" customHeight="1" thickTop="1" thickBot="1">
      <c r="A906" s="23">
        <v>904</v>
      </c>
      <c r="B906" s="32">
        <v>46204.897063344899</v>
      </c>
      <c r="C906" s="33" t="s">
        <v>97</v>
      </c>
      <c r="D906" s="31" t="s">
        <v>395</v>
      </c>
      <c r="E906" s="23" t="s">
        <v>99</v>
      </c>
      <c r="F906" s="23" t="s">
        <v>126</v>
      </c>
      <c r="G906" s="23" t="s">
        <v>106</v>
      </c>
      <c r="H906" s="23" t="s">
        <v>889</v>
      </c>
      <c r="I906" s="23"/>
      <c r="J906" s="23" t="s">
        <v>16</v>
      </c>
      <c r="K906" s="23" t="s">
        <v>13</v>
      </c>
      <c r="L906" s="32">
        <v>46204.903627430554</v>
      </c>
      <c r="M906" s="23"/>
    </row>
    <row r="907" spans="1:13" ht="75" customHeight="1" thickTop="1" thickBot="1">
      <c r="A907" s="25">
        <v>905</v>
      </c>
      <c r="B907" s="32">
        <v>46204.897361597199</v>
      </c>
      <c r="C907" s="33" t="s">
        <v>97</v>
      </c>
      <c r="D907" s="31" t="s">
        <v>395</v>
      </c>
      <c r="E907" s="23" t="s">
        <v>99</v>
      </c>
      <c r="F907" s="23" t="s">
        <v>126</v>
      </c>
      <c r="G907" s="23" t="s">
        <v>106</v>
      </c>
      <c r="H907" s="23" t="s">
        <v>890</v>
      </c>
      <c r="I907" s="23"/>
      <c r="J907" s="23" t="s">
        <v>16</v>
      </c>
      <c r="K907" s="23" t="s">
        <v>13</v>
      </c>
      <c r="L907" s="32">
        <v>46204.904993275464</v>
      </c>
      <c r="M907" s="23"/>
    </row>
    <row r="908" spans="1:13" ht="75" customHeight="1" thickTop="1" thickBot="1">
      <c r="A908" s="23">
        <v>906</v>
      </c>
      <c r="B908" s="32">
        <v>46204.897781029998</v>
      </c>
      <c r="C908" s="33" t="s">
        <v>97</v>
      </c>
      <c r="D908" s="31" t="s">
        <v>395</v>
      </c>
      <c r="E908" s="23" t="s">
        <v>99</v>
      </c>
      <c r="F908" s="23" t="s">
        <v>126</v>
      </c>
      <c r="G908" s="23" t="s">
        <v>106</v>
      </c>
      <c r="H908" s="23" t="s">
        <v>891</v>
      </c>
      <c r="I908" s="23"/>
      <c r="J908" s="23" t="s">
        <v>16</v>
      </c>
      <c r="K908" s="23" t="s">
        <v>13</v>
      </c>
      <c r="L908" s="32">
        <v>46204.90506020833</v>
      </c>
      <c r="M908" s="23"/>
    </row>
    <row r="909" spans="1:13" ht="75" customHeight="1" thickTop="1" thickBot="1">
      <c r="A909" s="25">
        <v>907</v>
      </c>
      <c r="B909" s="32">
        <v>46204.898114166601</v>
      </c>
      <c r="C909" s="33" t="s">
        <v>97</v>
      </c>
      <c r="D909" s="31" t="s">
        <v>395</v>
      </c>
      <c r="E909" s="23" t="s">
        <v>99</v>
      </c>
      <c r="F909" s="23" t="s">
        <v>126</v>
      </c>
      <c r="G909" s="23" t="s">
        <v>106</v>
      </c>
      <c r="H909" s="23" t="s">
        <v>892</v>
      </c>
      <c r="I909" s="23"/>
      <c r="J909" s="23" t="s">
        <v>16</v>
      </c>
      <c r="K909" s="23" t="s">
        <v>13</v>
      </c>
      <c r="L909" s="32">
        <v>46204.905189687503</v>
      </c>
      <c r="M909" s="23"/>
    </row>
    <row r="910" spans="1:13" ht="75" customHeight="1" thickTop="1" thickBot="1">
      <c r="A910" s="23">
        <v>908</v>
      </c>
      <c r="B910" s="32">
        <v>46204.898450590197</v>
      </c>
      <c r="C910" s="33" t="s">
        <v>97</v>
      </c>
      <c r="D910" s="31" t="s">
        <v>395</v>
      </c>
      <c r="E910" s="23" t="s">
        <v>99</v>
      </c>
      <c r="F910" s="23" t="s">
        <v>126</v>
      </c>
      <c r="G910" s="23" t="s">
        <v>106</v>
      </c>
      <c r="H910" s="23" t="s">
        <v>893</v>
      </c>
      <c r="I910" s="23"/>
      <c r="J910" s="23" t="s">
        <v>16</v>
      </c>
      <c r="K910" s="23" t="s">
        <v>13</v>
      </c>
      <c r="L910" s="32">
        <v>46204.905261793981</v>
      </c>
      <c r="M910" s="23"/>
    </row>
    <row r="911" spans="1:13" ht="75" customHeight="1" thickTop="1" thickBot="1">
      <c r="A911" s="25">
        <v>909</v>
      </c>
      <c r="B911" s="32">
        <v>46204.898903449</v>
      </c>
      <c r="C911" s="33" t="s">
        <v>97</v>
      </c>
      <c r="D911" s="31" t="s">
        <v>395</v>
      </c>
      <c r="E911" s="23" t="s">
        <v>99</v>
      </c>
      <c r="F911" s="23" t="s">
        <v>126</v>
      </c>
      <c r="G911" s="23" t="s">
        <v>106</v>
      </c>
      <c r="H911" s="23" t="s">
        <v>894</v>
      </c>
      <c r="I911" s="23"/>
      <c r="J911" s="23" t="s">
        <v>16</v>
      </c>
      <c r="K911" s="23" t="s">
        <v>13</v>
      </c>
      <c r="L911" s="32">
        <v>46204.905348530097</v>
      </c>
      <c r="M911" s="23"/>
    </row>
    <row r="912" spans="1:13" ht="75" customHeight="1" thickTop="1" thickBot="1">
      <c r="A912" s="23">
        <v>910</v>
      </c>
      <c r="B912" s="32">
        <v>46204.899458125001</v>
      </c>
      <c r="C912" s="33" t="s">
        <v>97</v>
      </c>
      <c r="D912" s="31" t="s">
        <v>395</v>
      </c>
      <c r="E912" s="23" t="s">
        <v>99</v>
      </c>
      <c r="F912" s="23" t="s">
        <v>126</v>
      </c>
      <c r="G912" s="23" t="s">
        <v>101</v>
      </c>
      <c r="H912" s="23" t="s">
        <v>895</v>
      </c>
      <c r="I912" s="23"/>
      <c r="J912" s="23" t="s">
        <v>16</v>
      </c>
      <c r="K912" s="23" t="s">
        <v>13</v>
      </c>
      <c r="L912" s="32">
        <v>46204.905415740737</v>
      </c>
      <c r="M912" s="23"/>
    </row>
    <row r="913" spans="1:13" ht="75" customHeight="1" thickTop="1" thickBot="1">
      <c r="A913" s="25">
        <v>911</v>
      </c>
      <c r="B913" s="32">
        <v>46204.899807384201</v>
      </c>
      <c r="C913" s="33" t="s">
        <v>97</v>
      </c>
      <c r="D913" s="31" t="s">
        <v>395</v>
      </c>
      <c r="E913" s="23" t="s">
        <v>99</v>
      </c>
      <c r="F913" s="23" t="s">
        <v>126</v>
      </c>
      <c r="G913" s="23" t="s">
        <v>101</v>
      </c>
      <c r="H913" s="23" t="s">
        <v>896</v>
      </c>
      <c r="I913" s="23"/>
      <c r="J913" s="23" t="s">
        <v>16</v>
      </c>
      <c r="K913" s="23" t="s">
        <v>13</v>
      </c>
      <c r="L913" s="32">
        <v>46204.905464178242</v>
      </c>
      <c r="M913" s="23"/>
    </row>
    <row r="914" spans="1:13" ht="75" customHeight="1" thickTop="1" thickBot="1">
      <c r="A914" s="23">
        <v>912</v>
      </c>
      <c r="B914" s="32">
        <v>46204.900130104099</v>
      </c>
      <c r="C914" s="33" t="s">
        <v>97</v>
      </c>
      <c r="D914" s="31" t="s">
        <v>395</v>
      </c>
      <c r="E914" s="23" t="s">
        <v>99</v>
      </c>
      <c r="F914" s="23" t="s">
        <v>126</v>
      </c>
      <c r="G914" s="23" t="s">
        <v>101</v>
      </c>
      <c r="H914" s="23" t="s">
        <v>897</v>
      </c>
      <c r="I914" s="23"/>
      <c r="J914" s="23" t="s">
        <v>16</v>
      </c>
      <c r="K914" s="23" t="s">
        <v>13</v>
      </c>
      <c r="L914" s="32">
        <v>46204.905544861111</v>
      </c>
      <c r="M914" s="23"/>
    </row>
    <row r="915" spans="1:13" ht="75" customHeight="1" thickTop="1" thickBot="1">
      <c r="A915" s="25">
        <v>913</v>
      </c>
      <c r="B915" s="32">
        <v>46204.900464837898</v>
      </c>
      <c r="C915" s="33" t="s">
        <v>97</v>
      </c>
      <c r="D915" s="33" t="s">
        <v>395</v>
      </c>
      <c r="E915" s="23" t="s">
        <v>99</v>
      </c>
      <c r="F915" s="23" t="s">
        <v>126</v>
      </c>
      <c r="G915" s="23" t="s">
        <v>101</v>
      </c>
      <c r="H915" s="23" t="s">
        <v>898</v>
      </c>
      <c r="I915" s="23"/>
      <c r="J915" s="23" t="s">
        <v>16</v>
      </c>
      <c r="K915" s="23" t="s">
        <v>13</v>
      </c>
      <c r="L915" s="32">
        <v>46204.905590833332</v>
      </c>
      <c r="M915" s="23"/>
    </row>
    <row r="916" spans="1:13" ht="75" customHeight="1" thickTop="1" thickBot="1">
      <c r="A916" s="23">
        <v>914</v>
      </c>
      <c r="B916" s="32">
        <v>46204.900803506898</v>
      </c>
      <c r="C916" s="33" t="s">
        <v>97</v>
      </c>
      <c r="D916" s="31" t="s">
        <v>395</v>
      </c>
      <c r="E916" s="23" t="s">
        <v>99</v>
      </c>
      <c r="F916" s="23" t="s">
        <v>126</v>
      </c>
      <c r="G916" s="23" t="s">
        <v>101</v>
      </c>
      <c r="H916" s="23" t="s">
        <v>899</v>
      </c>
      <c r="I916" s="23"/>
      <c r="J916" s="23" t="s">
        <v>16</v>
      </c>
      <c r="K916" s="23" t="s">
        <v>13</v>
      </c>
      <c r="L916" s="32">
        <v>46204.905690173611</v>
      </c>
      <c r="M916" s="23"/>
    </row>
    <row r="917" spans="1:13" ht="75" customHeight="1" thickTop="1" thickBot="1">
      <c r="A917" s="25">
        <v>915</v>
      </c>
      <c r="B917" s="32">
        <v>46204.901183043898</v>
      </c>
      <c r="C917" s="33" t="s">
        <v>97</v>
      </c>
      <c r="D917" s="31" t="s">
        <v>395</v>
      </c>
      <c r="E917" s="23" t="s">
        <v>99</v>
      </c>
      <c r="F917" s="23" t="s">
        <v>126</v>
      </c>
      <c r="G917" s="23" t="s">
        <v>101</v>
      </c>
      <c r="H917" s="23" t="s">
        <v>900</v>
      </c>
      <c r="I917" s="23"/>
      <c r="J917" s="23" t="s">
        <v>16</v>
      </c>
      <c r="K917" s="23" t="s">
        <v>13</v>
      </c>
      <c r="L917" s="32">
        <v>46204.905730474537</v>
      </c>
      <c r="M917" s="23"/>
    </row>
    <row r="918" spans="1:13" ht="75" customHeight="1" thickTop="1" thickBot="1">
      <c r="A918" s="23">
        <v>916</v>
      </c>
      <c r="B918" s="32">
        <v>46204.901573935102</v>
      </c>
      <c r="C918" s="33" t="s">
        <v>97</v>
      </c>
      <c r="D918" s="31" t="s">
        <v>395</v>
      </c>
      <c r="E918" s="23" t="s">
        <v>99</v>
      </c>
      <c r="F918" s="23" t="s">
        <v>102</v>
      </c>
      <c r="G918" s="23" t="s">
        <v>101</v>
      </c>
      <c r="H918" s="23" t="s">
        <v>901</v>
      </c>
      <c r="I918" s="23"/>
      <c r="J918" s="23" t="s">
        <v>16</v>
      </c>
      <c r="K918" s="23" t="s">
        <v>13</v>
      </c>
      <c r="L918" s="32">
        <v>46204.905781493057</v>
      </c>
      <c r="M918" s="23"/>
    </row>
    <row r="919" spans="1:13" ht="75" customHeight="1" thickTop="1" thickBot="1">
      <c r="A919" s="25">
        <v>917</v>
      </c>
      <c r="B919" s="32">
        <v>46204.901867916597</v>
      </c>
      <c r="C919" s="33" t="s">
        <v>97</v>
      </c>
      <c r="D919" s="31" t="s">
        <v>395</v>
      </c>
      <c r="E919" s="23" t="s">
        <v>99</v>
      </c>
      <c r="F919" s="23" t="s">
        <v>126</v>
      </c>
      <c r="G919" s="23" t="s">
        <v>101</v>
      </c>
      <c r="H919" s="23" t="s">
        <v>902</v>
      </c>
      <c r="I919" s="23"/>
      <c r="J919" s="23" t="s">
        <v>16</v>
      </c>
      <c r="K919" s="23" t="s">
        <v>13</v>
      </c>
      <c r="L919" s="32">
        <v>46204.90584269676</v>
      </c>
      <c r="M919" s="23"/>
    </row>
    <row r="920" spans="1:13" ht="75" customHeight="1" thickTop="1" thickBot="1">
      <c r="A920" s="23">
        <v>918</v>
      </c>
      <c r="B920" s="32">
        <v>46204.902146053202</v>
      </c>
      <c r="C920" s="33" t="s">
        <v>97</v>
      </c>
      <c r="D920" s="31" t="s">
        <v>395</v>
      </c>
      <c r="E920" s="23" t="s">
        <v>99</v>
      </c>
      <c r="F920" s="23" t="s">
        <v>116</v>
      </c>
      <c r="G920" s="23" t="s">
        <v>106</v>
      </c>
      <c r="H920" s="23" t="s">
        <v>903</v>
      </c>
      <c r="I920" s="23"/>
      <c r="J920" s="23" t="s">
        <v>16</v>
      </c>
      <c r="K920" s="23" t="s">
        <v>13</v>
      </c>
      <c r="L920" s="32">
        <v>46204.905894398151</v>
      </c>
      <c r="M920" s="23"/>
    </row>
    <row r="921" spans="1:13" ht="75" customHeight="1" thickTop="1" thickBot="1">
      <c r="A921" s="25">
        <v>919</v>
      </c>
      <c r="B921" s="32">
        <v>46204.902456064803</v>
      </c>
      <c r="C921" s="33" t="s">
        <v>97</v>
      </c>
      <c r="D921" s="31" t="s">
        <v>395</v>
      </c>
      <c r="E921" s="23" t="s">
        <v>99</v>
      </c>
      <c r="F921" s="23" t="s">
        <v>116</v>
      </c>
      <c r="G921" s="23" t="s">
        <v>106</v>
      </c>
      <c r="H921" s="23" t="s">
        <v>904</v>
      </c>
      <c r="I921" s="23"/>
      <c r="J921" s="23" t="s">
        <v>16</v>
      </c>
      <c r="K921" s="23" t="s">
        <v>13</v>
      </c>
      <c r="L921" s="32">
        <v>46204.906211782407</v>
      </c>
      <c r="M921" s="23"/>
    </row>
    <row r="922" spans="1:13" ht="75" customHeight="1" thickTop="1" thickBot="1">
      <c r="A922" s="23">
        <v>920</v>
      </c>
      <c r="B922" s="32">
        <v>46204.902884317104</v>
      </c>
      <c r="C922" s="33" t="s">
        <v>97</v>
      </c>
      <c r="D922" s="31" t="s">
        <v>395</v>
      </c>
      <c r="E922" s="23" t="s">
        <v>99</v>
      </c>
      <c r="F922" s="23" t="s">
        <v>100</v>
      </c>
      <c r="G922" s="23" t="s">
        <v>106</v>
      </c>
      <c r="H922" s="23" t="s">
        <v>905</v>
      </c>
      <c r="I922" s="23"/>
      <c r="J922" s="23" t="s">
        <v>16</v>
      </c>
      <c r="K922" s="23" t="s">
        <v>13</v>
      </c>
      <c r="L922" s="32">
        <v>46204.906301724535</v>
      </c>
      <c r="M922" s="23"/>
    </row>
    <row r="923" spans="1:13" ht="75" customHeight="1" thickTop="1" thickBot="1">
      <c r="A923" s="25">
        <v>921</v>
      </c>
      <c r="B923" s="32">
        <v>46204.907917823999</v>
      </c>
      <c r="C923" s="33" t="s">
        <v>97</v>
      </c>
      <c r="D923" s="31" t="s">
        <v>395</v>
      </c>
      <c r="E923" s="23" t="s">
        <v>99</v>
      </c>
      <c r="F923" s="23" t="s">
        <v>102</v>
      </c>
      <c r="G923" s="23" t="s">
        <v>108</v>
      </c>
      <c r="H923" s="23" t="s">
        <v>906</v>
      </c>
      <c r="I923" s="23"/>
      <c r="J923" s="23" t="s">
        <v>16</v>
      </c>
      <c r="K923" s="23" t="s">
        <v>13</v>
      </c>
      <c r="L923" s="32">
        <v>46204.906359340283</v>
      </c>
      <c r="M923" s="23"/>
    </row>
    <row r="924" spans="1:13" ht="75" customHeight="1" thickTop="1" thickBot="1">
      <c r="A924" s="23">
        <v>922</v>
      </c>
      <c r="B924" s="32">
        <v>46204.908968310097</v>
      </c>
      <c r="C924" s="33" t="s">
        <v>97</v>
      </c>
      <c r="D924" s="31" t="s">
        <v>395</v>
      </c>
      <c r="E924" s="23" t="s">
        <v>99</v>
      </c>
      <c r="F924" s="23" t="s">
        <v>102</v>
      </c>
      <c r="G924" s="23" t="s">
        <v>104</v>
      </c>
      <c r="H924" s="23" t="s">
        <v>907</v>
      </c>
      <c r="I924" s="23"/>
      <c r="J924" s="23" t="s">
        <v>16</v>
      </c>
      <c r="K924" s="23" t="s">
        <v>13</v>
      </c>
      <c r="L924" s="32">
        <v>46204.906395486112</v>
      </c>
      <c r="M924" s="23"/>
    </row>
    <row r="925" spans="1:13" ht="75" customHeight="1" thickTop="1" thickBot="1">
      <c r="A925" s="25">
        <v>923</v>
      </c>
      <c r="B925" s="32">
        <v>46204.921671087897</v>
      </c>
      <c r="C925" s="33" t="s">
        <v>97</v>
      </c>
      <c r="D925" s="31" t="s">
        <v>395</v>
      </c>
      <c r="E925" s="23" t="s">
        <v>99</v>
      </c>
      <c r="F925" s="23" t="s">
        <v>102</v>
      </c>
      <c r="G925" s="23" t="s">
        <v>104</v>
      </c>
      <c r="H925" s="23" t="s">
        <v>908</v>
      </c>
      <c r="I925" s="23"/>
      <c r="J925" s="23" t="s">
        <v>16</v>
      </c>
      <c r="K925" s="23" t="s">
        <v>13</v>
      </c>
      <c r="L925" s="32">
        <v>46204.906438437501</v>
      </c>
      <c r="M925" s="23"/>
    </row>
    <row r="926" spans="1:13" ht="75" customHeight="1" thickTop="1" thickBot="1">
      <c r="A926" s="23">
        <v>924</v>
      </c>
      <c r="B926" s="32">
        <v>46204.922306145803</v>
      </c>
      <c r="C926" s="33" t="s">
        <v>97</v>
      </c>
      <c r="D926" s="31" t="s">
        <v>395</v>
      </c>
      <c r="E926" s="23" t="s">
        <v>99</v>
      </c>
      <c r="F926" s="23" t="s">
        <v>116</v>
      </c>
      <c r="G926" s="23" t="s">
        <v>106</v>
      </c>
      <c r="H926" s="23" t="s">
        <v>909</v>
      </c>
      <c r="I926" s="23"/>
      <c r="J926" s="23" t="s">
        <v>16</v>
      </c>
      <c r="K926" s="23" t="s">
        <v>13</v>
      </c>
      <c r="L926" s="32">
        <v>46204.906490520836</v>
      </c>
      <c r="M926" s="23"/>
    </row>
    <row r="927" spans="1:13" ht="75" customHeight="1" thickTop="1" thickBot="1">
      <c r="A927" s="25">
        <v>925</v>
      </c>
      <c r="B927" s="32">
        <v>46204.922673773101</v>
      </c>
      <c r="C927" s="33" t="s">
        <v>97</v>
      </c>
      <c r="D927" s="31" t="s">
        <v>395</v>
      </c>
      <c r="E927" s="23" t="s">
        <v>99</v>
      </c>
      <c r="F927" s="23" t="s">
        <v>126</v>
      </c>
      <c r="G927" s="23" t="s">
        <v>106</v>
      </c>
      <c r="H927" s="23" t="s">
        <v>910</v>
      </c>
      <c r="I927" s="23"/>
      <c r="J927" s="23" t="s">
        <v>16</v>
      </c>
      <c r="K927" s="23" t="s">
        <v>13</v>
      </c>
      <c r="L927" s="32">
        <v>46204.906591666666</v>
      </c>
      <c r="M927" s="23"/>
    </row>
    <row r="928" spans="1:13" ht="75" customHeight="1" thickTop="1" thickBot="1">
      <c r="A928" s="23">
        <v>926</v>
      </c>
      <c r="B928" s="32">
        <v>46204.923008252299</v>
      </c>
      <c r="C928" s="33" t="s">
        <v>97</v>
      </c>
      <c r="D928" s="31" t="s">
        <v>395</v>
      </c>
      <c r="E928" s="23" t="s">
        <v>99</v>
      </c>
      <c r="F928" s="23" t="s">
        <v>100</v>
      </c>
      <c r="G928" s="23" t="s">
        <v>106</v>
      </c>
      <c r="H928" s="23" t="s">
        <v>911</v>
      </c>
      <c r="I928" s="23"/>
      <c r="J928" s="23" t="s">
        <v>16</v>
      </c>
      <c r="K928" s="23" t="s">
        <v>13</v>
      </c>
      <c r="L928" s="32">
        <v>46204.906661944449</v>
      </c>
      <c r="M928" s="23"/>
    </row>
    <row r="929" spans="1:13" ht="75" customHeight="1" thickTop="1" thickBot="1">
      <c r="A929" s="25">
        <v>927</v>
      </c>
      <c r="B929" s="32">
        <v>46204.923329224497</v>
      </c>
      <c r="C929" s="33" t="s">
        <v>97</v>
      </c>
      <c r="D929" s="31" t="s">
        <v>395</v>
      </c>
      <c r="E929" s="23" t="s">
        <v>99</v>
      </c>
      <c r="F929" s="23" t="s">
        <v>126</v>
      </c>
      <c r="G929" s="23" t="s">
        <v>106</v>
      </c>
      <c r="H929" s="23" t="s">
        <v>1118</v>
      </c>
      <c r="I929" s="23"/>
      <c r="J929" s="23" t="s">
        <v>16</v>
      </c>
      <c r="K929" s="23" t="s">
        <v>13</v>
      </c>
      <c r="L929" s="32">
        <v>46204.906710347219</v>
      </c>
      <c r="M929" s="23"/>
    </row>
    <row r="930" spans="1:13" ht="75" customHeight="1" thickTop="1" thickBot="1">
      <c r="A930" s="23">
        <v>928</v>
      </c>
      <c r="B930" s="32">
        <v>46204.924214513798</v>
      </c>
      <c r="C930" s="33" t="s">
        <v>97</v>
      </c>
      <c r="D930" s="31" t="s">
        <v>395</v>
      </c>
      <c r="E930" s="23" t="s">
        <v>99</v>
      </c>
      <c r="F930" s="23" t="s">
        <v>126</v>
      </c>
      <c r="G930" s="23" t="s">
        <v>106</v>
      </c>
      <c r="H930" s="23" t="s">
        <v>912</v>
      </c>
      <c r="I930" s="23"/>
      <c r="J930" s="23" t="s">
        <v>16</v>
      </c>
      <c r="K930" s="23" t="s">
        <v>13</v>
      </c>
      <c r="L930" s="32">
        <v>46204.906745671295</v>
      </c>
      <c r="M930" s="23"/>
    </row>
    <row r="931" spans="1:13" ht="75" customHeight="1" thickTop="1" thickBot="1">
      <c r="A931" s="25">
        <v>929</v>
      </c>
      <c r="B931" s="32">
        <v>46204.924563310102</v>
      </c>
      <c r="C931" s="33" t="s">
        <v>97</v>
      </c>
      <c r="D931" s="31" t="s">
        <v>395</v>
      </c>
      <c r="E931" s="23" t="s">
        <v>99</v>
      </c>
      <c r="F931" s="23" t="s">
        <v>100</v>
      </c>
      <c r="G931" s="23" t="s">
        <v>104</v>
      </c>
      <c r="H931" s="23" t="s">
        <v>913</v>
      </c>
      <c r="I931" s="23"/>
      <c r="J931" s="23" t="s">
        <v>16</v>
      </c>
      <c r="K931" s="23" t="s">
        <v>13</v>
      </c>
      <c r="L931" s="32">
        <v>46204.906791620371</v>
      </c>
      <c r="M931" s="23"/>
    </row>
    <row r="932" spans="1:13" ht="75" customHeight="1" thickTop="1" thickBot="1">
      <c r="A932" s="23">
        <v>930</v>
      </c>
      <c r="B932" s="32">
        <v>46204.9248580208</v>
      </c>
      <c r="C932" s="33" t="s">
        <v>97</v>
      </c>
      <c r="D932" s="31" t="s">
        <v>395</v>
      </c>
      <c r="E932" s="23" t="s">
        <v>99</v>
      </c>
      <c r="F932" s="23" t="s">
        <v>100</v>
      </c>
      <c r="G932" s="23" t="s">
        <v>108</v>
      </c>
      <c r="H932" s="23" t="s">
        <v>914</v>
      </c>
      <c r="I932" s="23"/>
      <c r="J932" s="23" t="s">
        <v>16</v>
      </c>
      <c r="K932" s="23" t="s">
        <v>13</v>
      </c>
      <c r="L932" s="32">
        <v>46204.90688170139</v>
      </c>
      <c r="M932" s="23"/>
    </row>
    <row r="933" spans="1:13" ht="75" customHeight="1" thickTop="1" thickBot="1">
      <c r="A933" s="25">
        <v>931</v>
      </c>
      <c r="B933" s="32">
        <v>46204.925260520802</v>
      </c>
      <c r="C933" s="33" t="s">
        <v>97</v>
      </c>
      <c r="D933" s="31" t="s">
        <v>395</v>
      </c>
      <c r="E933" s="23" t="s">
        <v>99</v>
      </c>
      <c r="F933" s="23" t="s">
        <v>100</v>
      </c>
      <c r="G933" s="23" t="s">
        <v>103</v>
      </c>
      <c r="H933" s="23" t="s">
        <v>915</v>
      </c>
      <c r="I933" s="23"/>
      <c r="J933" s="23" t="s">
        <v>16</v>
      </c>
      <c r="K933" s="23" t="s">
        <v>13</v>
      </c>
      <c r="L933" s="32">
        <v>46204.906965462964</v>
      </c>
      <c r="M933" s="23"/>
    </row>
    <row r="934" spans="1:13" ht="75" customHeight="1" thickTop="1" thickBot="1">
      <c r="A934" s="23">
        <v>932</v>
      </c>
      <c r="B934" s="32">
        <v>46204.925573067099</v>
      </c>
      <c r="C934" s="33" t="s">
        <v>97</v>
      </c>
      <c r="D934" s="31" t="s">
        <v>395</v>
      </c>
      <c r="E934" s="23" t="s">
        <v>99</v>
      </c>
      <c r="F934" s="23" t="s">
        <v>100</v>
      </c>
      <c r="G934" s="23" t="s">
        <v>103</v>
      </c>
      <c r="H934" s="23" t="s">
        <v>916</v>
      </c>
      <c r="I934" s="23"/>
      <c r="J934" s="23" t="s">
        <v>16</v>
      </c>
      <c r="K934" s="23" t="s">
        <v>13</v>
      </c>
      <c r="L934" s="32">
        <v>46204.907072557871</v>
      </c>
      <c r="M934" s="23"/>
    </row>
    <row r="935" spans="1:13" ht="75" customHeight="1" thickTop="1" thickBot="1">
      <c r="A935" s="25">
        <v>933</v>
      </c>
      <c r="B935" s="32">
        <v>46204.925941689798</v>
      </c>
      <c r="C935" s="33" t="s">
        <v>97</v>
      </c>
      <c r="D935" s="31" t="s">
        <v>395</v>
      </c>
      <c r="E935" s="23" t="s">
        <v>99</v>
      </c>
      <c r="F935" s="23" t="s">
        <v>116</v>
      </c>
      <c r="G935" s="23" t="s">
        <v>124</v>
      </c>
      <c r="H935" s="23" t="s">
        <v>917</v>
      </c>
      <c r="I935" s="23"/>
      <c r="J935" s="23" t="s">
        <v>16</v>
      </c>
      <c r="K935" s="23" t="s">
        <v>13</v>
      </c>
      <c r="L935" s="32">
        <v>46204.907191006947</v>
      </c>
      <c r="M935" s="23"/>
    </row>
    <row r="936" spans="1:13" ht="75" customHeight="1" thickTop="1" thickBot="1">
      <c r="A936" s="23">
        <v>934</v>
      </c>
      <c r="B936" s="32">
        <v>46204.926353865703</v>
      </c>
      <c r="C936" s="33" t="s">
        <v>97</v>
      </c>
      <c r="D936" s="31" t="s">
        <v>395</v>
      </c>
      <c r="E936" s="23" t="s">
        <v>99</v>
      </c>
      <c r="F936" s="23" t="s">
        <v>116</v>
      </c>
      <c r="G936" s="23" t="s">
        <v>104</v>
      </c>
      <c r="H936" s="23" t="s">
        <v>1119</v>
      </c>
      <c r="I936" s="23"/>
      <c r="J936" s="23" t="s">
        <v>16</v>
      </c>
      <c r="K936" s="23" t="s">
        <v>13</v>
      </c>
      <c r="L936" s="32">
        <v>46204.907242361107</v>
      </c>
      <c r="M936" s="23"/>
    </row>
    <row r="937" spans="1:13" ht="75" customHeight="1" thickTop="1" thickBot="1">
      <c r="A937" s="25">
        <v>935</v>
      </c>
      <c r="B937" s="32">
        <v>46204.926684988401</v>
      </c>
      <c r="C937" s="33" t="s">
        <v>97</v>
      </c>
      <c r="D937" s="31" t="s">
        <v>395</v>
      </c>
      <c r="E937" s="23" t="s">
        <v>99</v>
      </c>
      <c r="F937" s="23" t="s">
        <v>116</v>
      </c>
      <c r="G937" s="23" t="s">
        <v>104</v>
      </c>
      <c r="H937" s="23" t="s">
        <v>1119</v>
      </c>
      <c r="I937" s="23"/>
      <c r="J937" s="23" t="s">
        <v>16</v>
      </c>
      <c r="K937" s="23" t="s">
        <v>13</v>
      </c>
      <c r="L937" s="32">
        <v>46204.907436145833</v>
      </c>
      <c r="M937" s="23"/>
    </row>
    <row r="938" spans="1:13" ht="75" customHeight="1" thickTop="1" thickBot="1">
      <c r="A938" s="23">
        <v>936</v>
      </c>
      <c r="B938" s="32">
        <v>46204.927060173599</v>
      </c>
      <c r="C938" s="33" t="s">
        <v>97</v>
      </c>
      <c r="D938" s="31" t="s">
        <v>395</v>
      </c>
      <c r="E938" s="23" t="s">
        <v>99</v>
      </c>
      <c r="F938" s="23" t="s">
        <v>116</v>
      </c>
      <c r="G938" s="23" t="s">
        <v>104</v>
      </c>
      <c r="H938" s="23" t="s">
        <v>918</v>
      </c>
      <c r="I938" s="23"/>
      <c r="J938" s="23" t="s">
        <v>16</v>
      </c>
      <c r="K938" s="23" t="s">
        <v>13</v>
      </c>
      <c r="L938" s="32">
        <v>46204.907521759262</v>
      </c>
      <c r="M938" s="23"/>
    </row>
    <row r="939" spans="1:13" ht="75" customHeight="1" thickTop="1" thickBot="1">
      <c r="A939" s="25">
        <v>937</v>
      </c>
      <c r="B939" s="32">
        <v>46204.927433391204</v>
      </c>
      <c r="C939" s="33" t="s">
        <v>97</v>
      </c>
      <c r="D939" s="31" t="s">
        <v>395</v>
      </c>
      <c r="E939" s="23" t="s">
        <v>99</v>
      </c>
      <c r="F939" s="23" t="s">
        <v>102</v>
      </c>
      <c r="G939" s="23" t="s">
        <v>124</v>
      </c>
      <c r="H939" s="23" t="s">
        <v>919</v>
      </c>
      <c r="I939" s="23"/>
      <c r="J939" s="23" t="s">
        <v>16</v>
      </c>
      <c r="K939" s="23" t="s">
        <v>13</v>
      </c>
      <c r="L939" s="32">
        <v>46204.907591875002</v>
      </c>
      <c r="M939" s="23"/>
    </row>
    <row r="940" spans="1:13" ht="75" customHeight="1" thickTop="1" thickBot="1">
      <c r="A940" s="23">
        <v>938</v>
      </c>
      <c r="B940" s="32">
        <v>46204.927956215201</v>
      </c>
      <c r="C940" s="33" t="s">
        <v>97</v>
      </c>
      <c r="D940" s="31" t="s">
        <v>395</v>
      </c>
      <c r="E940" s="23" t="s">
        <v>99</v>
      </c>
      <c r="F940" s="23" t="s">
        <v>102</v>
      </c>
      <c r="G940" s="23" t="s">
        <v>106</v>
      </c>
      <c r="H940" s="23" t="s">
        <v>920</v>
      </c>
      <c r="I940" s="23"/>
      <c r="J940" s="23" t="s">
        <v>16</v>
      </c>
      <c r="K940" s="23" t="s">
        <v>13</v>
      </c>
      <c r="L940" s="32">
        <v>46204.908028935184</v>
      </c>
      <c r="M940" s="23"/>
    </row>
    <row r="941" spans="1:13" ht="75" customHeight="1" thickTop="1" thickBot="1">
      <c r="A941" s="25">
        <v>939</v>
      </c>
      <c r="B941" s="32">
        <v>46204.928550543897</v>
      </c>
      <c r="C941" s="33" t="s">
        <v>97</v>
      </c>
      <c r="D941" s="31" t="s">
        <v>395</v>
      </c>
      <c r="E941" s="23" t="s">
        <v>99</v>
      </c>
      <c r="F941" s="23" t="s">
        <v>102</v>
      </c>
      <c r="G941" s="23" t="s">
        <v>106</v>
      </c>
      <c r="H941" s="23" t="s">
        <v>921</v>
      </c>
      <c r="I941" s="23"/>
      <c r="J941" s="23" t="s">
        <v>16</v>
      </c>
      <c r="K941" s="23" t="s">
        <v>13</v>
      </c>
      <c r="L941" s="32">
        <v>46204.908101168985</v>
      </c>
      <c r="M941" s="23"/>
    </row>
    <row r="942" spans="1:13" ht="75" customHeight="1" thickTop="1" thickBot="1">
      <c r="A942" s="23">
        <v>940</v>
      </c>
      <c r="B942" s="32">
        <v>46204.928936180499</v>
      </c>
      <c r="C942" s="33" t="s">
        <v>97</v>
      </c>
      <c r="D942" s="31" t="s">
        <v>395</v>
      </c>
      <c r="E942" s="23" t="s">
        <v>99</v>
      </c>
      <c r="F942" s="23" t="s">
        <v>102</v>
      </c>
      <c r="G942" s="23" t="s">
        <v>106</v>
      </c>
      <c r="H942" s="23" t="s">
        <v>922</v>
      </c>
      <c r="I942" s="23"/>
      <c r="J942" s="23" t="s">
        <v>16</v>
      </c>
      <c r="K942" s="23" t="s">
        <v>13</v>
      </c>
      <c r="L942" s="32">
        <v>46204.908151805561</v>
      </c>
      <c r="M942" s="23"/>
    </row>
    <row r="943" spans="1:13" ht="75" customHeight="1" thickTop="1" thickBot="1">
      <c r="A943" s="25">
        <v>941</v>
      </c>
      <c r="B943" s="32">
        <v>46204.933843333303</v>
      </c>
      <c r="C943" s="33" t="s">
        <v>97</v>
      </c>
      <c r="D943" s="31" t="s">
        <v>395</v>
      </c>
      <c r="E943" s="23" t="s">
        <v>99</v>
      </c>
      <c r="F943" s="23" t="s">
        <v>102</v>
      </c>
      <c r="G943" s="23" t="s">
        <v>152</v>
      </c>
      <c r="H943" s="23" t="s">
        <v>923</v>
      </c>
      <c r="I943" s="23"/>
      <c r="J943" s="23" t="s">
        <v>16</v>
      </c>
      <c r="K943" s="23" t="s">
        <v>13</v>
      </c>
      <c r="L943" s="32">
        <v>46204.908232638889</v>
      </c>
      <c r="M943" s="23"/>
    </row>
    <row r="944" spans="1:13" ht="75" customHeight="1" thickTop="1" thickBot="1">
      <c r="A944" s="23">
        <v>942</v>
      </c>
      <c r="B944" s="32">
        <v>46204.934178437499</v>
      </c>
      <c r="C944" s="33" t="s">
        <v>97</v>
      </c>
      <c r="D944" s="31" t="s">
        <v>395</v>
      </c>
      <c r="E944" s="23" t="s">
        <v>99</v>
      </c>
      <c r="F944" s="23" t="s">
        <v>102</v>
      </c>
      <c r="G944" s="23" t="s">
        <v>152</v>
      </c>
      <c r="H944" s="23" t="s">
        <v>924</v>
      </c>
      <c r="I944" s="23"/>
      <c r="J944" s="23" t="s">
        <v>16</v>
      </c>
      <c r="K944" s="23" t="s">
        <v>13</v>
      </c>
      <c r="L944" s="32">
        <v>46204.908304004624</v>
      </c>
      <c r="M944" s="23"/>
    </row>
    <row r="945" spans="1:13" ht="75" customHeight="1" thickTop="1" thickBot="1">
      <c r="A945" s="25">
        <v>943</v>
      </c>
      <c r="B945" s="32">
        <v>46204.934500810101</v>
      </c>
      <c r="C945" s="33" t="s">
        <v>97</v>
      </c>
      <c r="D945" s="31" t="s">
        <v>395</v>
      </c>
      <c r="E945" s="23" t="s">
        <v>99</v>
      </c>
      <c r="F945" s="23" t="s">
        <v>116</v>
      </c>
      <c r="G945" s="23" t="s">
        <v>106</v>
      </c>
      <c r="H945" s="23" t="s">
        <v>852</v>
      </c>
      <c r="I945" s="23"/>
      <c r="J945" s="23" t="s">
        <v>16</v>
      </c>
      <c r="K945" s="23" t="s">
        <v>13</v>
      </c>
      <c r="L945" s="32">
        <v>46204.908358159722</v>
      </c>
      <c r="M945" s="23"/>
    </row>
    <row r="946" spans="1:13" ht="75" customHeight="1" thickTop="1" thickBot="1">
      <c r="A946" s="23">
        <v>944</v>
      </c>
      <c r="B946" s="32">
        <v>46204.934558032401</v>
      </c>
      <c r="C946" s="33" t="s">
        <v>97</v>
      </c>
      <c r="D946" s="31" t="s">
        <v>395</v>
      </c>
      <c r="E946" s="23" t="s">
        <v>99</v>
      </c>
      <c r="F946" s="23" t="s">
        <v>116</v>
      </c>
      <c r="G946" s="23" t="s">
        <v>106</v>
      </c>
      <c r="H946" s="23" t="s">
        <v>925</v>
      </c>
      <c r="I946" s="23"/>
      <c r="J946" s="23" t="s">
        <v>16</v>
      </c>
      <c r="K946" s="23" t="s">
        <v>13</v>
      </c>
      <c r="L946" s="32">
        <v>46204.908413680554</v>
      </c>
      <c r="M946" s="23"/>
    </row>
    <row r="947" spans="1:13" ht="75" customHeight="1" thickTop="1" thickBot="1">
      <c r="A947" s="25">
        <v>945</v>
      </c>
      <c r="B947" s="32">
        <v>46204.935244305503</v>
      </c>
      <c r="C947" s="33" t="s">
        <v>97</v>
      </c>
      <c r="D947" s="31" t="s">
        <v>395</v>
      </c>
      <c r="E947" s="23" t="s">
        <v>99</v>
      </c>
      <c r="F947" s="23" t="s">
        <v>116</v>
      </c>
      <c r="G947" s="23" t="s">
        <v>106</v>
      </c>
      <c r="H947" s="23" t="s">
        <v>926</v>
      </c>
      <c r="I947" s="23"/>
      <c r="J947" s="23" t="s">
        <v>16</v>
      </c>
      <c r="K947" s="23" t="s">
        <v>13</v>
      </c>
      <c r="L947" s="32">
        <v>46204.908450810181</v>
      </c>
      <c r="M947" s="23"/>
    </row>
    <row r="948" spans="1:13" ht="75" customHeight="1" thickTop="1" thickBot="1">
      <c r="A948" s="23">
        <v>946</v>
      </c>
      <c r="B948" s="32">
        <v>46204.935534456003</v>
      </c>
      <c r="C948" s="33" t="s">
        <v>97</v>
      </c>
      <c r="D948" s="31" t="s">
        <v>395</v>
      </c>
      <c r="E948" s="23" t="s">
        <v>99</v>
      </c>
      <c r="F948" s="23" t="s">
        <v>116</v>
      </c>
      <c r="G948" s="23" t="s">
        <v>106</v>
      </c>
      <c r="H948" s="23" t="s">
        <v>927</v>
      </c>
      <c r="I948" s="23"/>
      <c r="J948" s="23" t="s">
        <v>16</v>
      </c>
      <c r="K948" s="23" t="s">
        <v>13</v>
      </c>
      <c r="L948" s="32">
        <v>46204.908488912042</v>
      </c>
      <c r="M948" s="23"/>
    </row>
    <row r="949" spans="1:13" ht="75" customHeight="1" thickTop="1" thickBot="1">
      <c r="A949" s="25">
        <v>947</v>
      </c>
      <c r="B949" s="32">
        <v>46204.935916654998</v>
      </c>
      <c r="C949" s="33" t="s">
        <v>97</v>
      </c>
      <c r="D949" s="31" t="s">
        <v>395</v>
      </c>
      <c r="E949" s="23" t="s">
        <v>99</v>
      </c>
      <c r="F949" s="23" t="s">
        <v>116</v>
      </c>
      <c r="G949" s="23" t="s">
        <v>152</v>
      </c>
      <c r="H949" s="23" t="s">
        <v>1120</v>
      </c>
      <c r="I949" s="23"/>
      <c r="J949" s="23" t="s">
        <v>16</v>
      </c>
      <c r="K949" s="23" t="s">
        <v>13</v>
      </c>
      <c r="L949" s="32">
        <v>46204.908520856479</v>
      </c>
      <c r="M949" s="23"/>
    </row>
    <row r="950" spans="1:13" ht="75" customHeight="1" thickTop="1" thickBot="1">
      <c r="A950" s="23">
        <v>948</v>
      </c>
      <c r="B950" s="32">
        <v>46204.936638993</v>
      </c>
      <c r="C950" s="33" t="s">
        <v>97</v>
      </c>
      <c r="D950" s="31" t="s">
        <v>395</v>
      </c>
      <c r="E950" s="23" t="s">
        <v>99</v>
      </c>
      <c r="F950" s="23" t="s">
        <v>116</v>
      </c>
      <c r="G950" s="23" t="s">
        <v>106</v>
      </c>
      <c r="H950" s="23" t="s">
        <v>873</v>
      </c>
      <c r="I950" s="23"/>
      <c r="J950" s="23" t="s">
        <v>16</v>
      </c>
      <c r="K950" s="23" t="s">
        <v>13</v>
      </c>
      <c r="L950" s="32">
        <v>46204.908568344908</v>
      </c>
      <c r="M950" s="23"/>
    </row>
    <row r="951" spans="1:13" ht="75" customHeight="1" thickTop="1" thickBot="1">
      <c r="A951" s="25">
        <v>949</v>
      </c>
      <c r="B951" s="32">
        <v>46204.937090729101</v>
      </c>
      <c r="C951" s="33" t="s">
        <v>97</v>
      </c>
      <c r="D951" s="31" t="s">
        <v>395</v>
      </c>
      <c r="E951" s="23" t="s">
        <v>99</v>
      </c>
      <c r="F951" s="23" t="s">
        <v>157</v>
      </c>
      <c r="G951" s="23" t="s">
        <v>101</v>
      </c>
      <c r="H951" s="23" t="s">
        <v>928</v>
      </c>
      <c r="I951" s="23"/>
      <c r="J951" s="23" t="s">
        <v>16</v>
      </c>
      <c r="K951" s="23" t="s">
        <v>13</v>
      </c>
      <c r="L951" s="32">
        <v>46204.908609282407</v>
      </c>
      <c r="M951" s="23"/>
    </row>
    <row r="952" spans="1:13" ht="75" customHeight="1" thickTop="1" thickBot="1">
      <c r="A952" s="23">
        <v>950</v>
      </c>
      <c r="B952" s="32">
        <v>46204.937409791601</v>
      </c>
      <c r="C952" s="33" t="s">
        <v>97</v>
      </c>
      <c r="D952" s="31" t="s">
        <v>395</v>
      </c>
      <c r="E952" s="23" t="s">
        <v>99</v>
      </c>
      <c r="F952" s="23" t="s">
        <v>116</v>
      </c>
      <c r="G952" s="23" t="s">
        <v>104</v>
      </c>
      <c r="H952" s="23" t="s">
        <v>877</v>
      </c>
      <c r="I952" s="23"/>
      <c r="J952" s="23" t="s">
        <v>16</v>
      </c>
      <c r="K952" s="23" t="s">
        <v>13</v>
      </c>
      <c r="L952" s="32">
        <v>46204.938231840279</v>
      </c>
      <c r="M952" s="23"/>
    </row>
    <row r="953" spans="1:13" ht="75" customHeight="1" thickTop="1" thickBot="1">
      <c r="A953" s="25">
        <v>951</v>
      </c>
      <c r="B953" s="32">
        <v>46204.937423761497</v>
      </c>
      <c r="C953" s="33" t="s">
        <v>97</v>
      </c>
      <c r="D953" s="31" t="s">
        <v>395</v>
      </c>
      <c r="E953" s="23" t="s">
        <v>99</v>
      </c>
      <c r="F953" s="23" t="s">
        <v>100</v>
      </c>
      <c r="G953" s="23" t="s">
        <v>106</v>
      </c>
      <c r="H953" s="23" t="s">
        <v>929</v>
      </c>
      <c r="I953" s="23"/>
      <c r="J953" s="23" t="s">
        <v>16</v>
      </c>
      <c r="K953" s="23" t="s">
        <v>13</v>
      </c>
      <c r="L953" s="32">
        <v>46204.938384907407</v>
      </c>
      <c r="M953" s="23"/>
    </row>
    <row r="954" spans="1:13" ht="75" customHeight="1" thickTop="1" thickBot="1">
      <c r="A954" s="23">
        <v>952</v>
      </c>
      <c r="B954" s="32">
        <v>46204.937706087898</v>
      </c>
      <c r="C954" s="33" t="s">
        <v>97</v>
      </c>
      <c r="D954" s="31" t="s">
        <v>395</v>
      </c>
      <c r="E954" s="23" t="s">
        <v>99</v>
      </c>
      <c r="F954" s="23" t="s">
        <v>102</v>
      </c>
      <c r="G954" s="23" t="s">
        <v>106</v>
      </c>
      <c r="H954" s="23" t="s">
        <v>930</v>
      </c>
      <c r="I954" s="23"/>
      <c r="J954" s="23" t="s">
        <v>16</v>
      </c>
      <c r="K954" s="23" t="s">
        <v>13</v>
      </c>
      <c r="L954" s="32">
        <v>46204.938430983791</v>
      </c>
      <c r="M954" s="23"/>
    </row>
    <row r="955" spans="1:13" ht="75" customHeight="1" thickTop="1" thickBot="1">
      <c r="A955" s="25">
        <v>953</v>
      </c>
      <c r="B955" s="32">
        <v>46204.9378926504</v>
      </c>
      <c r="C955" s="33" t="s">
        <v>97</v>
      </c>
      <c r="D955" s="31" t="s">
        <v>395</v>
      </c>
      <c r="E955" s="23" t="s">
        <v>99</v>
      </c>
      <c r="F955" s="23" t="s">
        <v>102</v>
      </c>
      <c r="G955" s="23" t="s">
        <v>106</v>
      </c>
      <c r="H955" s="23" t="s">
        <v>878</v>
      </c>
      <c r="I955" s="23"/>
      <c r="J955" s="23" t="s">
        <v>16</v>
      </c>
      <c r="K955" s="23" t="s">
        <v>13</v>
      </c>
      <c r="L955" s="32">
        <v>46204.938532581014</v>
      </c>
      <c r="M955" s="23"/>
    </row>
    <row r="956" spans="1:13" ht="75" customHeight="1" thickTop="1" thickBot="1">
      <c r="A956" s="23">
        <v>954</v>
      </c>
      <c r="B956" s="32">
        <v>46204.938038344902</v>
      </c>
      <c r="C956" s="33" t="s">
        <v>97</v>
      </c>
      <c r="D956" s="31" t="s">
        <v>395</v>
      </c>
      <c r="E956" s="23" t="s">
        <v>99</v>
      </c>
      <c r="F956" s="23" t="s">
        <v>102</v>
      </c>
      <c r="G956" s="23" t="s">
        <v>106</v>
      </c>
      <c r="H956" s="23" t="s">
        <v>931</v>
      </c>
      <c r="I956" s="23"/>
      <c r="J956" s="23" t="s">
        <v>16</v>
      </c>
      <c r="K956" s="23" t="s">
        <v>13</v>
      </c>
      <c r="L956" s="32">
        <v>46204.938584467593</v>
      </c>
      <c r="M956" s="23"/>
    </row>
    <row r="957" spans="1:13" ht="75" customHeight="1" thickTop="1" thickBot="1">
      <c r="A957" s="25">
        <v>955</v>
      </c>
      <c r="B957" s="32">
        <v>46204.9385162615</v>
      </c>
      <c r="C957" s="33" t="s">
        <v>97</v>
      </c>
      <c r="D957" s="31" t="s">
        <v>395</v>
      </c>
      <c r="E957" s="23" t="s">
        <v>99</v>
      </c>
      <c r="F957" s="23" t="s">
        <v>102</v>
      </c>
      <c r="G957" s="23" t="s">
        <v>106</v>
      </c>
      <c r="H957" s="23" t="s">
        <v>932</v>
      </c>
      <c r="I957" s="23"/>
      <c r="J957" s="23" t="s">
        <v>16</v>
      </c>
      <c r="K957" s="23" t="s">
        <v>13</v>
      </c>
      <c r="L957" s="32">
        <v>46204.938630763892</v>
      </c>
      <c r="M957" s="23"/>
    </row>
    <row r="958" spans="1:13" ht="75" customHeight="1" thickTop="1" thickBot="1">
      <c r="A958" s="23">
        <v>956</v>
      </c>
      <c r="B958" s="32">
        <v>46204.938699201302</v>
      </c>
      <c r="C958" s="33" t="s">
        <v>97</v>
      </c>
      <c r="D958" s="31" t="s">
        <v>395</v>
      </c>
      <c r="E958" s="23" t="s">
        <v>99</v>
      </c>
      <c r="F958" s="23" t="s">
        <v>100</v>
      </c>
      <c r="G958" s="23" t="s">
        <v>108</v>
      </c>
      <c r="H958" s="23" t="s">
        <v>879</v>
      </c>
      <c r="I958" s="23"/>
      <c r="J958" s="23" t="s">
        <v>16</v>
      </c>
      <c r="K958" s="23" t="s">
        <v>13</v>
      </c>
      <c r="L958" s="32">
        <v>46204.938754953706</v>
      </c>
      <c r="M958" s="23"/>
    </row>
    <row r="959" spans="1:13" ht="75" customHeight="1" thickTop="1" thickBot="1">
      <c r="A959" s="25">
        <v>957</v>
      </c>
      <c r="B959" s="32">
        <v>46204.938796886498</v>
      </c>
      <c r="C959" s="33" t="s">
        <v>97</v>
      </c>
      <c r="D959" s="31" t="s">
        <v>395</v>
      </c>
      <c r="E959" s="23" t="s">
        <v>99</v>
      </c>
      <c r="F959" s="23" t="s">
        <v>102</v>
      </c>
      <c r="G959" s="23" t="s">
        <v>152</v>
      </c>
      <c r="H959" s="23" t="s">
        <v>933</v>
      </c>
      <c r="I959" s="23"/>
      <c r="J959" s="23" t="s">
        <v>16</v>
      </c>
      <c r="K959" s="23" t="s">
        <v>13</v>
      </c>
      <c r="L959" s="32">
        <v>46204.938775995368</v>
      </c>
      <c r="M959" s="23"/>
    </row>
    <row r="960" spans="1:13" ht="75" customHeight="1" thickTop="1" thickBot="1">
      <c r="A960" s="23">
        <v>958</v>
      </c>
      <c r="B960" s="32">
        <v>46204.939119062503</v>
      </c>
      <c r="C960" s="33" t="s">
        <v>97</v>
      </c>
      <c r="D960" s="31" t="s">
        <v>395</v>
      </c>
      <c r="E960" s="23" t="s">
        <v>99</v>
      </c>
      <c r="F960" s="23" t="s">
        <v>126</v>
      </c>
      <c r="G960" s="23" t="s">
        <v>101</v>
      </c>
      <c r="H960" s="23" t="s">
        <v>934</v>
      </c>
      <c r="I960" s="23"/>
      <c r="J960" s="23" t="s">
        <v>16</v>
      </c>
      <c r="K960" s="23" t="s">
        <v>13</v>
      </c>
      <c r="L960" s="32">
        <v>46204.938867245372</v>
      </c>
      <c r="M960" s="23"/>
    </row>
    <row r="961" spans="1:13" ht="75" customHeight="1" thickTop="1" thickBot="1">
      <c r="A961" s="25">
        <v>959</v>
      </c>
      <c r="B961" s="32">
        <v>46204.939650624998</v>
      </c>
      <c r="C961" s="33" t="s">
        <v>97</v>
      </c>
      <c r="D961" s="31" t="s">
        <v>395</v>
      </c>
      <c r="E961" s="23" t="s">
        <v>99</v>
      </c>
      <c r="F961" s="23" t="s">
        <v>100</v>
      </c>
      <c r="G961" s="23" t="s">
        <v>106</v>
      </c>
      <c r="H961" s="23" t="s">
        <v>881</v>
      </c>
      <c r="I961" s="23"/>
      <c r="J961" s="23" t="s">
        <v>16</v>
      </c>
      <c r="K961" s="23" t="s">
        <v>13</v>
      </c>
      <c r="L961" s="32">
        <v>46204.938968518516</v>
      </c>
      <c r="M961" s="23"/>
    </row>
    <row r="962" spans="1:13" ht="75" customHeight="1" thickTop="1" thickBot="1">
      <c r="A962" s="23">
        <v>960</v>
      </c>
      <c r="B962" s="32">
        <v>46204.939675312497</v>
      </c>
      <c r="C962" s="33" t="s">
        <v>97</v>
      </c>
      <c r="D962" s="31" t="s">
        <v>395</v>
      </c>
      <c r="E962" s="23" t="s">
        <v>99</v>
      </c>
      <c r="F962" s="23" t="s">
        <v>116</v>
      </c>
      <c r="G962" s="23" t="s">
        <v>106</v>
      </c>
      <c r="H962" s="23" t="s">
        <v>935</v>
      </c>
      <c r="I962" s="23"/>
      <c r="J962" s="23" t="s">
        <v>16</v>
      </c>
      <c r="K962" s="23" t="s">
        <v>13</v>
      </c>
      <c r="L962" s="32">
        <v>46204.939015034717</v>
      </c>
      <c r="M962" s="23"/>
    </row>
    <row r="963" spans="1:13" ht="75" customHeight="1" thickTop="1" thickBot="1">
      <c r="A963" s="25">
        <v>961</v>
      </c>
      <c r="B963" s="32">
        <v>46204.940053553197</v>
      </c>
      <c r="C963" s="33" t="s">
        <v>97</v>
      </c>
      <c r="D963" s="31" t="s">
        <v>395</v>
      </c>
      <c r="E963" s="23" t="s">
        <v>99</v>
      </c>
      <c r="F963" s="23" t="s">
        <v>116</v>
      </c>
      <c r="G963" s="23" t="s">
        <v>103</v>
      </c>
      <c r="H963" s="23" t="s">
        <v>936</v>
      </c>
      <c r="I963" s="23"/>
      <c r="J963" s="23" t="s">
        <v>16</v>
      </c>
      <c r="K963" s="23" t="s">
        <v>13</v>
      </c>
      <c r="L963" s="32">
        <v>46204.939063240745</v>
      </c>
      <c r="M963" s="23"/>
    </row>
    <row r="964" spans="1:13" ht="75" customHeight="1" thickTop="1" thickBot="1">
      <c r="A964" s="23">
        <v>962</v>
      </c>
      <c r="B964" s="32">
        <v>46204.940400115702</v>
      </c>
      <c r="C964" s="33" t="s">
        <v>97</v>
      </c>
      <c r="D964" s="31" t="s">
        <v>395</v>
      </c>
      <c r="E964" s="23" t="s">
        <v>99</v>
      </c>
      <c r="F964" s="23" t="s">
        <v>116</v>
      </c>
      <c r="G964" s="23" t="s">
        <v>152</v>
      </c>
      <c r="H964" s="23" t="s">
        <v>937</v>
      </c>
      <c r="I964" s="23"/>
      <c r="J964" s="23" t="s">
        <v>16</v>
      </c>
      <c r="K964" s="23" t="s">
        <v>13</v>
      </c>
      <c r="L964" s="32">
        <v>46204.939108148144</v>
      </c>
      <c r="M964" s="23"/>
    </row>
    <row r="965" spans="1:13" ht="75" customHeight="1" thickTop="1" thickBot="1">
      <c r="A965" s="25">
        <v>963</v>
      </c>
      <c r="B965" s="32">
        <v>46204.940696238402</v>
      </c>
      <c r="C965" s="33" t="s">
        <v>97</v>
      </c>
      <c r="D965" s="31" t="s">
        <v>395</v>
      </c>
      <c r="E965" s="23" t="s">
        <v>99</v>
      </c>
      <c r="F965" s="23" t="s">
        <v>116</v>
      </c>
      <c r="G965" s="23" t="s">
        <v>105</v>
      </c>
      <c r="H965" s="23" t="s">
        <v>882</v>
      </c>
      <c r="I965" s="23"/>
      <c r="J965" s="23" t="s">
        <v>16</v>
      </c>
      <c r="K965" s="23" t="s">
        <v>13</v>
      </c>
      <c r="L965" s="32">
        <v>46204.939154641208</v>
      </c>
      <c r="M965" s="23"/>
    </row>
    <row r="966" spans="1:13" ht="75" customHeight="1" thickTop="1" thickBot="1">
      <c r="A966" s="23">
        <v>964</v>
      </c>
      <c r="B966" s="32">
        <v>46204.941057847202</v>
      </c>
      <c r="C966" s="33" t="s">
        <v>97</v>
      </c>
      <c r="D966" s="31" t="s">
        <v>395</v>
      </c>
      <c r="E966" s="23" t="s">
        <v>99</v>
      </c>
      <c r="F966" s="23" t="s">
        <v>116</v>
      </c>
      <c r="G966" s="23" t="s">
        <v>103</v>
      </c>
      <c r="H966" s="23" t="s">
        <v>938</v>
      </c>
      <c r="I966" s="23"/>
      <c r="J966" s="23" t="s">
        <v>16</v>
      </c>
      <c r="K966" s="23" t="s">
        <v>13</v>
      </c>
      <c r="L966" s="32">
        <v>46204.939170706013</v>
      </c>
      <c r="M966" s="23"/>
    </row>
    <row r="967" spans="1:13" ht="75" customHeight="1" thickTop="1" thickBot="1">
      <c r="A967" s="25">
        <v>965</v>
      </c>
      <c r="B967" s="32">
        <v>46204.9412595717</v>
      </c>
      <c r="C967" s="33" t="s">
        <v>97</v>
      </c>
      <c r="D967" s="31" t="s">
        <v>395</v>
      </c>
      <c r="E967" s="23" t="s">
        <v>99</v>
      </c>
      <c r="F967" s="23" t="s">
        <v>116</v>
      </c>
      <c r="G967" s="23" t="s">
        <v>105</v>
      </c>
      <c r="H967" s="23" t="s">
        <v>884</v>
      </c>
      <c r="I967" s="23"/>
      <c r="J967" s="23" t="s">
        <v>16</v>
      </c>
      <c r="K967" s="23" t="s">
        <v>13</v>
      </c>
      <c r="L967" s="32">
        <v>46204.939265034722</v>
      </c>
      <c r="M967" s="23"/>
    </row>
    <row r="968" spans="1:13" ht="75" customHeight="1" thickTop="1" thickBot="1">
      <c r="A968" s="23">
        <v>966</v>
      </c>
      <c r="B968" s="32">
        <v>46204.941382511497</v>
      </c>
      <c r="C968" s="33" t="s">
        <v>97</v>
      </c>
      <c r="D968" s="31" t="s">
        <v>395</v>
      </c>
      <c r="E968" s="23" t="s">
        <v>99</v>
      </c>
      <c r="F968" s="23" t="s">
        <v>116</v>
      </c>
      <c r="G968" s="23" t="s">
        <v>103</v>
      </c>
      <c r="H968" s="23" t="s">
        <v>938</v>
      </c>
      <c r="I968" s="23"/>
      <c r="J968" s="23" t="s">
        <v>16</v>
      </c>
      <c r="K968" s="23" t="s">
        <v>13</v>
      </c>
      <c r="L968" s="32">
        <v>46204.93935291667</v>
      </c>
      <c r="M968" s="23"/>
    </row>
    <row r="969" spans="1:13" ht="75" customHeight="1" thickTop="1" thickBot="1">
      <c r="A969" s="25">
        <v>967</v>
      </c>
      <c r="B969" s="32">
        <v>46204.941710972198</v>
      </c>
      <c r="C969" s="33" t="s">
        <v>97</v>
      </c>
      <c r="D969" s="31" t="s">
        <v>395</v>
      </c>
      <c r="E969" s="23" t="s">
        <v>99</v>
      </c>
      <c r="F969" s="23" t="s">
        <v>100</v>
      </c>
      <c r="G969" s="23" t="s">
        <v>101</v>
      </c>
      <c r="H969" s="23" t="s">
        <v>939</v>
      </c>
      <c r="I969" s="23"/>
      <c r="J969" s="23" t="s">
        <v>16</v>
      </c>
      <c r="K969" s="23" t="s">
        <v>13</v>
      </c>
      <c r="L969" s="32">
        <v>46204.939405567129</v>
      </c>
      <c r="M969" s="23"/>
    </row>
    <row r="970" spans="1:13" ht="75" customHeight="1" thickTop="1" thickBot="1">
      <c r="A970" s="23">
        <v>968</v>
      </c>
      <c r="B970" s="32">
        <v>46204.941805324001</v>
      </c>
      <c r="C970" s="33" t="s">
        <v>97</v>
      </c>
      <c r="D970" s="33" t="s">
        <v>395</v>
      </c>
      <c r="E970" s="23" t="s">
        <v>99</v>
      </c>
      <c r="F970" s="23" t="s">
        <v>116</v>
      </c>
      <c r="G970" s="23" t="s">
        <v>152</v>
      </c>
      <c r="H970" s="23" t="s">
        <v>885</v>
      </c>
      <c r="I970" s="23"/>
      <c r="J970" s="23" t="s">
        <v>16</v>
      </c>
      <c r="K970" s="23" t="s">
        <v>13</v>
      </c>
      <c r="L970" s="32">
        <v>46204.939421620365</v>
      </c>
      <c r="M970" s="23"/>
    </row>
    <row r="971" spans="1:13" ht="75" customHeight="1" thickTop="1" thickBot="1">
      <c r="A971" s="25">
        <v>969</v>
      </c>
      <c r="B971" s="32">
        <v>46204.9419858564</v>
      </c>
      <c r="C971" s="33" t="s">
        <v>97</v>
      </c>
      <c r="D971" s="31" t="s">
        <v>395</v>
      </c>
      <c r="E971" s="23" t="s">
        <v>99</v>
      </c>
      <c r="F971" s="23" t="s">
        <v>102</v>
      </c>
      <c r="G971" s="23" t="s">
        <v>108</v>
      </c>
      <c r="H971" s="23" t="s">
        <v>940</v>
      </c>
      <c r="I971" s="23"/>
      <c r="J971" s="23" t="s">
        <v>16</v>
      </c>
      <c r="K971" s="23" t="s">
        <v>13</v>
      </c>
      <c r="L971" s="32">
        <v>46204.93952112268</v>
      </c>
      <c r="M971" s="23"/>
    </row>
    <row r="972" spans="1:13" ht="75" customHeight="1" thickTop="1" thickBot="1">
      <c r="A972" s="23">
        <v>970</v>
      </c>
      <c r="B972" s="32">
        <v>46204.9422809143</v>
      </c>
      <c r="C972" s="33" t="s">
        <v>97</v>
      </c>
      <c r="D972" s="31" t="s">
        <v>395</v>
      </c>
      <c r="E972" s="23" t="s">
        <v>99</v>
      </c>
      <c r="F972" s="23" t="s">
        <v>100</v>
      </c>
      <c r="G972" s="23" t="s">
        <v>152</v>
      </c>
      <c r="H972" s="23" t="s">
        <v>941</v>
      </c>
      <c r="I972" s="23"/>
      <c r="J972" s="23" t="s">
        <v>16</v>
      </c>
      <c r="K972" s="23" t="s">
        <v>13</v>
      </c>
      <c r="L972" s="32">
        <v>46204.939577094905</v>
      </c>
      <c r="M972" s="23"/>
    </row>
    <row r="973" spans="1:13" ht="75" customHeight="1" thickTop="1" thickBot="1">
      <c r="A973" s="25">
        <v>971</v>
      </c>
      <c r="B973" s="32">
        <v>46204.942530636501</v>
      </c>
      <c r="C973" s="33" t="s">
        <v>97</v>
      </c>
      <c r="D973" s="33" t="s">
        <v>395</v>
      </c>
      <c r="E973" s="23" t="s">
        <v>99</v>
      </c>
      <c r="F973" s="23" t="s">
        <v>102</v>
      </c>
      <c r="G973" s="23" t="s">
        <v>196</v>
      </c>
      <c r="H973" s="23" t="s">
        <v>886</v>
      </c>
      <c r="I973" s="23"/>
      <c r="J973" s="23" t="s">
        <v>16</v>
      </c>
      <c r="K973" s="23" t="s">
        <v>13</v>
      </c>
      <c r="L973" s="32">
        <v>46204.939613518523</v>
      </c>
      <c r="M973" s="23"/>
    </row>
    <row r="974" spans="1:13" ht="75" customHeight="1" thickTop="1" thickBot="1">
      <c r="A974" s="23">
        <v>972</v>
      </c>
      <c r="B974" s="32">
        <v>46204.942661041598</v>
      </c>
      <c r="C974" s="33" t="s">
        <v>97</v>
      </c>
      <c r="D974" s="31" t="s">
        <v>395</v>
      </c>
      <c r="E974" s="23" t="s">
        <v>99</v>
      </c>
      <c r="F974" s="23" t="s">
        <v>102</v>
      </c>
      <c r="G974" s="23" t="s">
        <v>106</v>
      </c>
      <c r="H974" s="23" t="s">
        <v>942</v>
      </c>
      <c r="I974" s="23"/>
      <c r="J974" s="23" t="s">
        <v>16</v>
      </c>
      <c r="K974" s="23" t="s">
        <v>13</v>
      </c>
      <c r="L974" s="32">
        <v>46204.939682800927</v>
      </c>
      <c r="M974" s="23"/>
    </row>
    <row r="975" spans="1:13" ht="75" customHeight="1" thickTop="1" thickBot="1">
      <c r="A975" s="25">
        <v>973</v>
      </c>
      <c r="B975" s="32">
        <v>46204.942988310097</v>
      </c>
      <c r="C975" s="33" t="s">
        <v>97</v>
      </c>
      <c r="D975" s="31" t="s">
        <v>395</v>
      </c>
      <c r="E975" s="23" t="s">
        <v>99</v>
      </c>
      <c r="F975" s="23" t="s">
        <v>100</v>
      </c>
      <c r="G975" s="23" t="s">
        <v>104</v>
      </c>
      <c r="H975" s="23" t="s">
        <v>943</v>
      </c>
      <c r="I975" s="23"/>
      <c r="J975" s="23" t="s">
        <v>16</v>
      </c>
      <c r="K975" s="23" t="s">
        <v>13</v>
      </c>
      <c r="L975" s="32">
        <v>46204.939744444448</v>
      </c>
      <c r="M975" s="23"/>
    </row>
    <row r="976" spans="1:13" ht="75" customHeight="1" thickTop="1" thickBot="1">
      <c r="A976" s="23">
        <v>974</v>
      </c>
      <c r="B976" s="32">
        <v>46204.943112904999</v>
      </c>
      <c r="C976" s="33" t="s">
        <v>97</v>
      </c>
      <c r="D976" s="33" t="s">
        <v>395</v>
      </c>
      <c r="E976" s="23" t="s">
        <v>99</v>
      </c>
      <c r="F976" s="23" t="s">
        <v>102</v>
      </c>
      <c r="G976" s="23" t="s">
        <v>104</v>
      </c>
      <c r="H976" s="23" t="s">
        <v>887</v>
      </c>
      <c r="I976" s="23"/>
      <c r="J976" s="23" t="s">
        <v>16</v>
      </c>
      <c r="K976" s="23" t="s">
        <v>13</v>
      </c>
      <c r="L976" s="32">
        <v>46204.939786006944</v>
      </c>
      <c r="M976" s="23"/>
    </row>
    <row r="977" spans="1:13" ht="75" customHeight="1" thickTop="1" thickBot="1">
      <c r="A977" s="25">
        <v>975</v>
      </c>
      <c r="B977" s="32">
        <v>46204.943405590202</v>
      </c>
      <c r="C977" s="33" t="s">
        <v>97</v>
      </c>
      <c r="D977" s="31" t="s">
        <v>395</v>
      </c>
      <c r="E977" s="23" t="s">
        <v>99</v>
      </c>
      <c r="F977" s="23" t="s">
        <v>126</v>
      </c>
      <c r="G977" s="23" t="s">
        <v>944</v>
      </c>
      <c r="H977" s="23" t="s">
        <v>945</v>
      </c>
      <c r="I977" s="23"/>
      <c r="J977" s="23" t="s">
        <v>16</v>
      </c>
      <c r="K977" s="23" t="s">
        <v>13</v>
      </c>
      <c r="L977" s="32">
        <v>46204.964879872685</v>
      </c>
      <c r="M977" s="23"/>
    </row>
    <row r="978" spans="1:13" ht="75" customHeight="1" thickTop="1" thickBot="1">
      <c r="A978" s="23">
        <v>976</v>
      </c>
      <c r="B978" s="32">
        <v>46204.943659317098</v>
      </c>
      <c r="C978" s="33" t="s">
        <v>97</v>
      </c>
      <c r="D978" s="33" t="s">
        <v>395</v>
      </c>
      <c r="E978" s="23" t="s">
        <v>99</v>
      </c>
      <c r="F978" s="23" t="s">
        <v>116</v>
      </c>
      <c r="G978" s="23" t="s">
        <v>108</v>
      </c>
      <c r="H978" s="23" t="s">
        <v>946</v>
      </c>
      <c r="I978" s="23"/>
      <c r="J978" s="23" t="s">
        <v>16</v>
      </c>
      <c r="K978" s="23" t="s">
        <v>13</v>
      </c>
      <c r="L978" s="32">
        <v>46205.359321921293</v>
      </c>
      <c r="M978" s="23"/>
    </row>
    <row r="979" spans="1:13" ht="75" customHeight="1" thickTop="1" thickBot="1">
      <c r="A979" s="25">
        <v>977</v>
      </c>
      <c r="B979" s="32">
        <v>46204.943690277702</v>
      </c>
      <c r="C979" s="33" t="s">
        <v>97</v>
      </c>
      <c r="D979" s="33" t="s">
        <v>395</v>
      </c>
      <c r="E979" s="23" t="s">
        <v>99</v>
      </c>
      <c r="F979" s="23" t="s">
        <v>126</v>
      </c>
      <c r="G979" s="23" t="s">
        <v>106</v>
      </c>
      <c r="H979" s="23" t="s">
        <v>889</v>
      </c>
      <c r="I979" s="23"/>
      <c r="J979" s="23" t="s">
        <v>16</v>
      </c>
      <c r="K979" s="23" t="s">
        <v>13</v>
      </c>
      <c r="L979" s="32">
        <v>46205.359467222224</v>
      </c>
      <c r="M979" s="23"/>
    </row>
    <row r="980" spans="1:13" ht="75" customHeight="1" thickTop="1" thickBot="1">
      <c r="A980" s="23">
        <v>978</v>
      </c>
      <c r="B980" s="32">
        <v>46204.943969062399</v>
      </c>
      <c r="C980" s="33" t="s">
        <v>97</v>
      </c>
      <c r="D980" s="31" t="s">
        <v>395</v>
      </c>
      <c r="E980" s="23" t="s">
        <v>99</v>
      </c>
      <c r="F980" s="23" t="s">
        <v>116</v>
      </c>
      <c r="G980" s="23" t="s">
        <v>152</v>
      </c>
      <c r="H980" s="23" t="s">
        <v>947</v>
      </c>
      <c r="I980" s="23"/>
      <c r="J980" s="23" t="s">
        <v>16</v>
      </c>
      <c r="K980" s="23" t="s">
        <v>13</v>
      </c>
      <c r="L980" s="32">
        <v>46205.359487372683</v>
      </c>
      <c r="M980" s="23"/>
    </row>
    <row r="981" spans="1:13" ht="75" customHeight="1" thickTop="1" thickBot="1">
      <c r="A981" s="25">
        <v>979</v>
      </c>
      <c r="B981" s="32">
        <v>46204.944232858797</v>
      </c>
      <c r="C981" s="33" t="s">
        <v>97</v>
      </c>
      <c r="D981" s="33" t="s">
        <v>395</v>
      </c>
      <c r="E981" s="23" t="s">
        <v>99</v>
      </c>
      <c r="F981" s="23" t="s">
        <v>126</v>
      </c>
      <c r="G981" s="23" t="s">
        <v>106</v>
      </c>
      <c r="H981" s="23" t="s">
        <v>890</v>
      </c>
      <c r="I981" s="23"/>
      <c r="J981" s="23" t="s">
        <v>16</v>
      </c>
      <c r="K981" s="23" t="s">
        <v>13</v>
      </c>
      <c r="L981" s="32">
        <v>46205.359528368055</v>
      </c>
      <c r="M981" s="23"/>
    </row>
    <row r="982" spans="1:13" ht="75" customHeight="1" thickTop="1" thickBot="1">
      <c r="A982" s="23">
        <v>980</v>
      </c>
      <c r="B982" s="32">
        <v>46204.944307152698</v>
      </c>
      <c r="C982" s="33" t="s">
        <v>97</v>
      </c>
      <c r="D982" s="33" t="s">
        <v>395</v>
      </c>
      <c r="E982" s="23" t="s">
        <v>99</v>
      </c>
      <c r="F982" s="23" t="s">
        <v>116</v>
      </c>
      <c r="G982" s="23" t="s">
        <v>152</v>
      </c>
      <c r="H982" s="23" t="s">
        <v>948</v>
      </c>
      <c r="I982" s="23"/>
      <c r="J982" s="23" t="s">
        <v>16</v>
      </c>
      <c r="K982" s="23" t="s">
        <v>13</v>
      </c>
      <c r="L982" s="32">
        <v>46205.359548136577</v>
      </c>
      <c r="M982" s="23"/>
    </row>
    <row r="983" spans="1:13" ht="75" customHeight="1" thickTop="1" thickBot="1">
      <c r="A983" s="25">
        <v>981</v>
      </c>
      <c r="B983" s="32">
        <v>46204.9447192476</v>
      </c>
      <c r="C983" s="33" t="s">
        <v>97</v>
      </c>
      <c r="D983" s="33" t="s">
        <v>395</v>
      </c>
      <c r="E983" s="23" t="s">
        <v>99</v>
      </c>
      <c r="F983" s="23" t="s">
        <v>126</v>
      </c>
      <c r="G983" s="23" t="s">
        <v>106</v>
      </c>
      <c r="H983" s="23" t="s">
        <v>891</v>
      </c>
      <c r="I983" s="23"/>
      <c r="J983" s="23" t="s">
        <v>16</v>
      </c>
      <c r="K983" s="23" t="s">
        <v>13</v>
      </c>
      <c r="L983" s="32">
        <v>46205.359578692129</v>
      </c>
      <c r="M983" s="23"/>
    </row>
    <row r="984" spans="1:13" ht="75" customHeight="1" thickTop="1" thickBot="1">
      <c r="A984" s="23">
        <v>982</v>
      </c>
      <c r="B984" s="32">
        <v>46204.944841307799</v>
      </c>
      <c r="C984" s="33" t="s">
        <v>97</v>
      </c>
      <c r="D984" s="33" t="s">
        <v>395</v>
      </c>
      <c r="E984" s="23" t="s">
        <v>99</v>
      </c>
      <c r="F984" s="23" t="s">
        <v>150</v>
      </c>
      <c r="G984" s="23" t="s">
        <v>101</v>
      </c>
      <c r="H984" s="23" t="s">
        <v>949</v>
      </c>
      <c r="I984" s="23"/>
      <c r="J984" s="23" t="s">
        <v>16</v>
      </c>
      <c r="K984" s="23" t="s">
        <v>13</v>
      </c>
      <c r="L984" s="32">
        <v>46205.35960520833</v>
      </c>
      <c r="M984" s="23"/>
    </row>
    <row r="985" spans="1:13" ht="75" customHeight="1" thickTop="1" thickBot="1">
      <c r="A985" s="25">
        <v>983</v>
      </c>
      <c r="B985" s="32">
        <v>46204.945115902701</v>
      </c>
      <c r="C985" s="33" t="s">
        <v>97</v>
      </c>
      <c r="D985" s="31" t="s">
        <v>395</v>
      </c>
      <c r="E985" s="23" t="s">
        <v>99</v>
      </c>
      <c r="F985" s="23" t="s">
        <v>126</v>
      </c>
      <c r="G985" s="23" t="s">
        <v>152</v>
      </c>
      <c r="H985" s="23" t="s">
        <v>950</v>
      </c>
      <c r="I985" s="23"/>
      <c r="J985" s="23" t="s">
        <v>16</v>
      </c>
      <c r="K985" s="23" t="s">
        <v>13</v>
      </c>
      <c r="L985" s="32">
        <v>46205.359653206018</v>
      </c>
      <c r="M985" s="23"/>
    </row>
    <row r="986" spans="1:13" ht="75" customHeight="1" thickTop="1" thickBot="1">
      <c r="A986" s="23">
        <v>984</v>
      </c>
      <c r="B986" s="32">
        <v>46204.945259305503</v>
      </c>
      <c r="C986" s="33" t="s">
        <v>97</v>
      </c>
      <c r="D986" s="31" t="s">
        <v>395</v>
      </c>
      <c r="E986" s="23" t="s">
        <v>99</v>
      </c>
      <c r="F986" s="23" t="s">
        <v>126</v>
      </c>
      <c r="G986" s="23" t="s">
        <v>106</v>
      </c>
      <c r="H986" s="23" t="s">
        <v>892</v>
      </c>
      <c r="I986" s="23"/>
      <c r="J986" s="23" t="s">
        <v>16</v>
      </c>
      <c r="K986" s="23" t="s">
        <v>13</v>
      </c>
      <c r="L986" s="32">
        <v>46205.359675</v>
      </c>
      <c r="M986" s="23"/>
    </row>
    <row r="987" spans="1:13" ht="75" customHeight="1" thickTop="1" thickBot="1">
      <c r="A987" s="25">
        <v>985</v>
      </c>
      <c r="B987" s="32">
        <v>46204.945449212901</v>
      </c>
      <c r="C987" s="33" t="s">
        <v>97</v>
      </c>
      <c r="D987" s="33" t="s">
        <v>395</v>
      </c>
      <c r="E987" s="23" t="s">
        <v>99</v>
      </c>
      <c r="F987" s="23" t="s">
        <v>126</v>
      </c>
      <c r="G987" s="23" t="s">
        <v>152</v>
      </c>
      <c r="H987" s="23" t="s">
        <v>951</v>
      </c>
      <c r="I987" s="23"/>
      <c r="J987" s="23" t="s">
        <v>16</v>
      </c>
      <c r="K987" s="23" t="s">
        <v>13</v>
      </c>
      <c r="L987" s="32">
        <v>46205.359689201388</v>
      </c>
      <c r="M987" s="23"/>
    </row>
    <row r="988" spans="1:13" ht="75" customHeight="1" thickTop="1" thickBot="1">
      <c r="A988" s="23">
        <v>986</v>
      </c>
      <c r="B988" s="32">
        <v>46204.945792106402</v>
      </c>
      <c r="C988" s="33" t="s">
        <v>97</v>
      </c>
      <c r="D988" s="33" t="s">
        <v>395</v>
      </c>
      <c r="E988" s="23" t="s">
        <v>99</v>
      </c>
      <c r="F988" s="23" t="s">
        <v>126</v>
      </c>
      <c r="G988" s="23" t="s">
        <v>106</v>
      </c>
      <c r="H988" s="23" t="s">
        <v>952</v>
      </c>
      <c r="I988" s="23"/>
      <c r="J988" s="23" t="s">
        <v>16</v>
      </c>
      <c r="K988" s="23" t="s">
        <v>13</v>
      </c>
      <c r="L988" s="32">
        <v>46205.35972331019</v>
      </c>
      <c r="M988" s="23"/>
    </row>
    <row r="989" spans="1:13" ht="75" customHeight="1" thickTop="1" thickBot="1">
      <c r="A989" s="25">
        <v>987</v>
      </c>
      <c r="B989" s="32">
        <v>46204.946093599501</v>
      </c>
      <c r="C989" s="33" t="s">
        <v>97</v>
      </c>
      <c r="D989" s="33" t="s">
        <v>395</v>
      </c>
      <c r="E989" s="23" t="s">
        <v>99</v>
      </c>
      <c r="F989" s="23" t="s">
        <v>100</v>
      </c>
      <c r="G989" s="23" t="s">
        <v>104</v>
      </c>
      <c r="H989" s="23" t="s">
        <v>953</v>
      </c>
      <c r="I989" s="23"/>
      <c r="J989" s="23" t="s">
        <v>16</v>
      </c>
      <c r="K989" s="23" t="s">
        <v>13</v>
      </c>
      <c r="L989" s="32">
        <v>46205.359741944441</v>
      </c>
      <c r="M989" s="23"/>
    </row>
    <row r="990" spans="1:13" ht="75" customHeight="1" thickTop="1" thickBot="1">
      <c r="A990" s="23">
        <v>988</v>
      </c>
      <c r="B990" s="32">
        <v>46204.946354328698</v>
      </c>
      <c r="C990" s="33" t="s">
        <v>97</v>
      </c>
      <c r="D990" s="33" t="s">
        <v>395</v>
      </c>
      <c r="E990" s="23" t="s">
        <v>99</v>
      </c>
      <c r="F990" s="23" t="s">
        <v>100</v>
      </c>
      <c r="G990" s="23" t="s">
        <v>103</v>
      </c>
      <c r="H990" s="23" t="s">
        <v>954</v>
      </c>
      <c r="I990" s="23"/>
      <c r="J990" s="23" t="s">
        <v>16</v>
      </c>
      <c r="K990" s="23" t="s">
        <v>13</v>
      </c>
      <c r="L990" s="32">
        <v>46205.359776377314</v>
      </c>
      <c r="M990" s="23"/>
    </row>
    <row r="991" spans="1:13" ht="75" customHeight="1" thickTop="1" thickBot="1">
      <c r="A991" s="25">
        <v>989</v>
      </c>
      <c r="B991" s="32">
        <v>46204.946743194399</v>
      </c>
      <c r="C991" s="33" t="s">
        <v>97</v>
      </c>
      <c r="D991" s="31" t="s">
        <v>395</v>
      </c>
      <c r="E991" s="23" t="s">
        <v>99</v>
      </c>
      <c r="F991" s="23" t="s">
        <v>100</v>
      </c>
      <c r="G991" s="23" t="s">
        <v>106</v>
      </c>
      <c r="H991" s="23" t="s">
        <v>955</v>
      </c>
      <c r="I991" s="23"/>
      <c r="J991" s="23" t="s">
        <v>16</v>
      </c>
      <c r="K991" s="23" t="s">
        <v>13</v>
      </c>
      <c r="L991" s="32">
        <v>46205.359807187502</v>
      </c>
      <c r="M991" s="23"/>
    </row>
    <row r="992" spans="1:13" ht="75" customHeight="1" thickTop="1" thickBot="1">
      <c r="A992" s="23">
        <v>990</v>
      </c>
      <c r="B992" s="32">
        <v>46204.947055879602</v>
      </c>
      <c r="C992" s="33" t="s">
        <v>97</v>
      </c>
      <c r="D992" s="33" t="s">
        <v>395</v>
      </c>
      <c r="E992" s="23" t="s">
        <v>99</v>
      </c>
      <c r="F992" s="23" t="s">
        <v>100</v>
      </c>
      <c r="G992" s="23" t="s">
        <v>152</v>
      </c>
      <c r="H992" s="23" t="s">
        <v>956</v>
      </c>
      <c r="I992" s="23"/>
      <c r="J992" s="23" t="s">
        <v>16</v>
      </c>
      <c r="K992" s="23" t="s">
        <v>13</v>
      </c>
      <c r="L992" s="32">
        <v>46205.359810775466</v>
      </c>
      <c r="M992" s="23"/>
    </row>
    <row r="993" spans="1:13" ht="75" customHeight="1" thickTop="1" thickBot="1">
      <c r="A993" s="25">
        <v>991</v>
      </c>
      <c r="B993" s="32">
        <v>46204.947310046198</v>
      </c>
      <c r="C993" s="33" t="s">
        <v>97</v>
      </c>
      <c r="D993" s="31" t="s">
        <v>395</v>
      </c>
      <c r="E993" s="23" t="s">
        <v>99</v>
      </c>
      <c r="F993" s="23" t="s">
        <v>100</v>
      </c>
      <c r="G993" s="23" t="s">
        <v>152</v>
      </c>
      <c r="H993" s="23" t="s">
        <v>957</v>
      </c>
      <c r="I993" s="23"/>
      <c r="J993" s="23" t="s">
        <v>16</v>
      </c>
      <c r="K993" s="23" t="s">
        <v>13</v>
      </c>
      <c r="L993" s="32">
        <v>46205.359821678241</v>
      </c>
      <c r="M993" s="23"/>
    </row>
    <row r="994" spans="1:13" ht="75" customHeight="1" thickTop="1" thickBot="1">
      <c r="A994" s="23">
        <v>992</v>
      </c>
      <c r="B994" s="32">
        <v>46204.947561076297</v>
      </c>
      <c r="C994" s="33" t="s">
        <v>97</v>
      </c>
      <c r="D994" s="33" t="s">
        <v>395</v>
      </c>
      <c r="E994" s="23" t="s">
        <v>99</v>
      </c>
      <c r="F994" s="23" t="s">
        <v>100</v>
      </c>
      <c r="G994" s="23" t="s">
        <v>106</v>
      </c>
      <c r="H994" s="23" t="s">
        <v>958</v>
      </c>
      <c r="I994" s="23"/>
      <c r="J994" s="23" t="s">
        <v>16</v>
      </c>
      <c r="K994" s="23" t="s">
        <v>13</v>
      </c>
      <c r="L994" s="32">
        <v>46205.359874976857</v>
      </c>
      <c r="M994" s="23"/>
    </row>
    <row r="995" spans="1:13" ht="75" customHeight="1" thickTop="1" thickBot="1">
      <c r="A995" s="25">
        <v>993</v>
      </c>
      <c r="B995" s="32">
        <v>46204.947893194403</v>
      </c>
      <c r="C995" s="33" t="s">
        <v>97</v>
      </c>
      <c r="D995" s="31" t="s">
        <v>395</v>
      </c>
      <c r="E995" s="23" t="s">
        <v>99</v>
      </c>
      <c r="F995" s="23" t="s">
        <v>100</v>
      </c>
      <c r="G995" s="23" t="s">
        <v>108</v>
      </c>
      <c r="H995" s="23" t="s">
        <v>959</v>
      </c>
      <c r="I995" s="23"/>
      <c r="J995" s="23" t="s">
        <v>16</v>
      </c>
      <c r="K995" s="23" t="s">
        <v>13</v>
      </c>
      <c r="L995" s="32">
        <v>46205.359897187504</v>
      </c>
      <c r="M995" s="23"/>
    </row>
    <row r="996" spans="1:13" ht="75" customHeight="1" thickTop="1" thickBot="1">
      <c r="A996" s="23">
        <v>994</v>
      </c>
      <c r="B996" s="32">
        <v>46204.949591041601</v>
      </c>
      <c r="C996" s="33" t="s">
        <v>97</v>
      </c>
      <c r="D996" s="33" t="s">
        <v>395</v>
      </c>
      <c r="E996" s="23" t="s">
        <v>99</v>
      </c>
      <c r="F996" s="23" t="s">
        <v>116</v>
      </c>
      <c r="G996" s="23" t="s">
        <v>101</v>
      </c>
      <c r="H996" s="23" t="s">
        <v>960</v>
      </c>
      <c r="I996" s="23"/>
      <c r="J996" s="23" t="s">
        <v>16</v>
      </c>
      <c r="K996" s="23" t="s">
        <v>13</v>
      </c>
      <c r="L996" s="32">
        <v>46205.35996913194</v>
      </c>
      <c r="M996" s="23"/>
    </row>
    <row r="997" spans="1:13" ht="75" customHeight="1" thickTop="1" thickBot="1">
      <c r="A997" s="25">
        <v>995</v>
      </c>
      <c r="B997" s="32">
        <v>46204.949921006897</v>
      </c>
      <c r="C997" s="33" t="s">
        <v>97</v>
      </c>
      <c r="D997" s="33" t="s">
        <v>395</v>
      </c>
      <c r="E997" s="23" t="s">
        <v>99</v>
      </c>
      <c r="F997" s="23" t="s">
        <v>116</v>
      </c>
      <c r="G997" s="23" t="s">
        <v>106</v>
      </c>
      <c r="H997" s="23" t="s">
        <v>961</v>
      </c>
      <c r="I997" s="23"/>
      <c r="J997" s="23" t="s">
        <v>16</v>
      </c>
      <c r="K997" s="23" t="s">
        <v>13</v>
      </c>
      <c r="L997" s="32">
        <v>46205.359950775462</v>
      </c>
      <c r="M997" s="23"/>
    </row>
    <row r="998" spans="1:13" ht="75" customHeight="1" thickTop="1" thickBot="1">
      <c r="A998" s="23">
        <v>996</v>
      </c>
      <c r="B998" s="32">
        <v>46204.9503557754</v>
      </c>
      <c r="C998" s="33" t="s">
        <v>97</v>
      </c>
      <c r="D998" s="31" t="s">
        <v>395</v>
      </c>
      <c r="E998" s="23" t="s">
        <v>99</v>
      </c>
      <c r="F998" s="23" t="s">
        <v>100</v>
      </c>
      <c r="G998" s="23" t="s">
        <v>168</v>
      </c>
      <c r="H998" s="23" t="s">
        <v>962</v>
      </c>
      <c r="I998" s="23"/>
      <c r="J998" s="23" t="s">
        <v>16</v>
      </c>
      <c r="K998" s="23" t="s">
        <v>13</v>
      </c>
      <c r="L998" s="32">
        <v>46205.360016851853</v>
      </c>
      <c r="M998" s="23"/>
    </row>
    <row r="999" spans="1:13" ht="75" customHeight="1" thickTop="1" thickBot="1">
      <c r="A999" s="25">
        <v>997</v>
      </c>
      <c r="B999" s="32">
        <v>46204.950717337902</v>
      </c>
      <c r="C999" s="33" t="s">
        <v>97</v>
      </c>
      <c r="D999" s="33" t="s">
        <v>395</v>
      </c>
      <c r="E999" s="23" t="s">
        <v>99</v>
      </c>
      <c r="F999" s="23" t="s">
        <v>100</v>
      </c>
      <c r="G999" s="23" t="s">
        <v>168</v>
      </c>
      <c r="H999" s="23" t="s">
        <v>963</v>
      </c>
      <c r="I999" s="23"/>
      <c r="J999" s="23" t="s">
        <v>16</v>
      </c>
      <c r="K999" s="23" t="s">
        <v>13</v>
      </c>
      <c r="L999" s="32">
        <v>46205.358955925927</v>
      </c>
      <c r="M999" s="23"/>
    </row>
    <row r="1000" spans="1:13" ht="75" customHeight="1" thickTop="1" thickBot="1">
      <c r="A1000" s="23">
        <v>998</v>
      </c>
      <c r="B1000" s="32">
        <v>46204.951062442102</v>
      </c>
      <c r="C1000" s="33" t="s">
        <v>97</v>
      </c>
      <c r="D1000" s="33" t="s">
        <v>395</v>
      </c>
      <c r="E1000" s="23" t="s">
        <v>99</v>
      </c>
      <c r="F1000" s="23" t="s">
        <v>100</v>
      </c>
      <c r="G1000" s="23" t="s">
        <v>168</v>
      </c>
      <c r="H1000" s="23" t="s">
        <v>964</v>
      </c>
      <c r="I1000" s="23"/>
      <c r="J1000" s="23" t="s">
        <v>16</v>
      </c>
      <c r="K1000" s="23" t="s">
        <v>13</v>
      </c>
      <c r="L1000" s="32"/>
      <c r="M1000" s="23"/>
    </row>
    <row r="1001" spans="1:13" ht="75" customHeight="1" thickTop="1" thickBot="1">
      <c r="A1001" s="25">
        <v>999</v>
      </c>
      <c r="B1001" s="32">
        <v>46204.951368796203</v>
      </c>
      <c r="C1001" s="33" t="s">
        <v>97</v>
      </c>
      <c r="D1001" s="31" t="s">
        <v>395</v>
      </c>
      <c r="E1001" s="23" t="s">
        <v>99</v>
      </c>
      <c r="F1001" s="23" t="s">
        <v>100</v>
      </c>
      <c r="G1001" s="23" t="s">
        <v>168</v>
      </c>
      <c r="H1001" s="23" t="s">
        <v>965</v>
      </c>
      <c r="I1001" s="23"/>
      <c r="J1001" s="23" t="s">
        <v>16</v>
      </c>
      <c r="K1001" s="23" t="s">
        <v>13</v>
      </c>
      <c r="L1001" s="32"/>
      <c r="M1001" s="23"/>
    </row>
    <row r="1002" spans="1:13" ht="75" customHeight="1" thickTop="1" thickBot="1">
      <c r="A1002" s="23">
        <v>1000</v>
      </c>
      <c r="B1002" s="34">
        <v>46204.951964386499</v>
      </c>
      <c r="C1002" s="35" t="s">
        <v>97</v>
      </c>
      <c r="D1002" s="33" t="s">
        <v>395</v>
      </c>
      <c r="E1002" s="29" t="s">
        <v>99</v>
      </c>
      <c r="F1002" s="29" t="s">
        <v>102</v>
      </c>
      <c r="G1002" s="29" t="s">
        <v>567</v>
      </c>
      <c r="H1002" s="29" t="s">
        <v>966</v>
      </c>
      <c r="I1002" s="29"/>
      <c r="J1002" s="29" t="s">
        <v>16</v>
      </c>
      <c r="K1002" s="29" t="s">
        <v>13</v>
      </c>
      <c r="L1002" s="34"/>
      <c r="M1002" s="29"/>
    </row>
    <row r="1003" spans="1:13" ht="75" customHeight="1" thickTop="1" thickBot="1">
      <c r="A1003" s="25">
        <v>1001</v>
      </c>
      <c r="B1003" s="34">
        <v>46204.952285358799</v>
      </c>
      <c r="C1003" s="35" t="s">
        <v>97</v>
      </c>
      <c r="D1003" s="31" t="s">
        <v>395</v>
      </c>
      <c r="E1003" s="29" t="s">
        <v>99</v>
      </c>
      <c r="F1003" s="29" t="s">
        <v>116</v>
      </c>
      <c r="G1003" s="29" t="s">
        <v>106</v>
      </c>
      <c r="H1003" s="29" t="s">
        <v>967</v>
      </c>
      <c r="I1003" s="29"/>
      <c r="J1003" s="29" t="s">
        <v>16</v>
      </c>
      <c r="K1003" s="29" t="s">
        <v>13</v>
      </c>
      <c r="L1003" s="34"/>
      <c r="M1003" s="29"/>
    </row>
    <row r="1004" spans="1:13" ht="75" customHeight="1" thickTop="1" thickBot="1">
      <c r="A1004" s="23">
        <v>1002</v>
      </c>
      <c r="B1004" s="34">
        <v>46204.952538634199</v>
      </c>
      <c r="C1004" s="35" t="s">
        <v>97</v>
      </c>
      <c r="D1004" s="33" t="s">
        <v>395</v>
      </c>
      <c r="E1004" s="29" t="s">
        <v>99</v>
      </c>
      <c r="F1004" s="29" t="s">
        <v>116</v>
      </c>
      <c r="G1004" s="29" t="s">
        <v>106</v>
      </c>
      <c r="H1004" s="29" t="s">
        <v>968</v>
      </c>
      <c r="I1004" s="29"/>
      <c r="J1004" s="29" t="s">
        <v>16</v>
      </c>
      <c r="K1004" s="29" t="s">
        <v>13</v>
      </c>
      <c r="L1004" s="34"/>
      <c r="M1004" s="29"/>
    </row>
    <row r="1005" spans="1:13" ht="75" customHeight="1" thickTop="1" thickBot="1">
      <c r="A1005" s="25">
        <v>1003</v>
      </c>
      <c r="B1005" s="34">
        <v>46204.952800856401</v>
      </c>
      <c r="C1005" s="35" t="s">
        <v>97</v>
      </c>
      <c r="D1005" s="31" t="s">
        <v>395</v>
      </c>
      <c r="E1005" s="29" t="s">
        <v>99</v>
      </c>
      <c r="F1005" s="29" t="s">
        <v>116</v>
      </c>
      <c r="G1005" s="29" t="s">
        <v>106</v>
      </c>
      <c r="H1005" s="29" t="s">
        <v>969</v>
      </c>
      <c r="I1005" s="29"/>
      <c r="J1005" s="29" t="s">
        <v>16</v>
      </c>
      <c r="K1005" s="29" t="s">
        <v>13</v>
      </c>
      <c r="L1005" s="34"/>
      <c r="M1005" s="29"/>
    </row>
    <row r="1006" spans="1:13" ht="75" customHeight="1" thickTop="1" thickBot="1">
      <c r="A1006" s="23">
        <v>1004</v>
      </c>
      <c r="B1006" s="34">
        <v>46204.953059722196</v>
      </c>
      <c r="C1006" s="35" t="s">
        <v>97</v>
      </c>
      <c r="D1006" s="33" t="s">
        <v>395</v>
      </c>
      <c r="E1006" s="29" t="s">
        <v>99</v>
      </c>
      <c r="F1006" s="29" t="s">
        <v>102</v>
      </c>
      <c r="G1006" s="29" t="s">
        <v>106</v>
      </c>
      <c r="H1006" s="29" t="s">
        <v>970</v>
      </c>
      <c r="I1006" s="29"/>
      <c r="J1006" s="29" t="s">
        <v>16</v>
      </c>
      <c r="K1006" s="29" t="s">
        <v>13</v>
      </c>
      <c r="L1006" s="34"/>
      <c r="M1006" s="29"/>
    </row>
    <row r="1007" spans="1:13" ht="75" customHeight="1" thickTop="1" thickBot="1">
      <c r="A1007" s="25">
        <v>1005</v>
      </c>
      <c r="B1007" s="34">
        <v>46204.953389536997</v>
      </c>
      <c r="C1007" s="35" t="s">
        <v>97</v>
      </c>
      <c r="D1007" s="33" t="s">
        <v>395</v>
      </c>
      <c r="E1007" s="29" t="s">
        <v>99</v>
      </c>
      <c r="F1007" s="29" t="s">
        <v>116</v>
      </c>
      <c r="G1007" s="29" t="s">
        <v>101</v>
      </c>
      <c r="H1007" s="29" t="s">
        <v>971</v>
      </c>
      <c r="I1007" s="29"/>
      <c r="J1007" s="29" t="s">
        <v>16</v>
      </c>
      <c r="K1007" s="29" t="s">
        <v>13</v>
      </c>
      <c r="L1007" s="34"/>
      <c r="M1007" s="29"/>
    </row>
    <row r="1008" spans="1:13" ht="75" customHeight="1" thickTop="1" thickBot="1">
      <c r="A1008" s="23">
        <v>1006</v>
      </c>
      <c r="B1008" s="34">
        <v>46204.953668287002</v>
      </c>
      <c r="C1008" s="35" t="s">
        <v>97</v>
      </c>
      <c r="D1008" s="31" t="s">
        <v>395</v>
      </c>
      <c r="E1008" s="29" t="s">
        <v>99</v>
      </c>
      <c r="F1008" s="29" t="s">
        <v>102</v>
      </c>
      <c r="G1008" s="29" t="s">
        <v>108</v>
      </c>
      <c r="H1008" s="29" t="s">
        <v>972</v>
      </c>
      <c r="I1008" s="29"/>
      <c r="J1008" s="29" t="s">
        <v>16</v>
      </c>
      <c r="K1008" s="29" t="s">
        <v>13</v>
      </c>
      <c r="L1008" s="34"/>
      <c r="M1008" s="29"/>
    </row>
    <row r="1009" spans="1:13" ht="75" customHeight="1" thickTop="1" thickBot="1">
      <c r="A1009" s="25">
        <v>1007</v>
      </c>
      <c r="B1009" s="34">
        <v>46204.953993402698</v>
      </c>
      <c r="C1009" s="35" t="s">
        <v>97</v>
      </c>
      <c r="D1009" s="33" t="s">
        <v>395</v>
      </c>
      <c r="E1009" s="29" t="s">
        <v>99</v>
      </c>
      <c r="F1009" s="29" t="s">
        <v>102</v>
      </c>
      <c r="G1009" s="29" t="s">
        <v>104</v>
      </c>
      <c r="H1009" s="29" t="s">
        <v>973</v>
      </c>
      <c r="I1009" s="29"/>
      <c r="J1009" s="29" t="s">
        <v>16</v>
      </c>
      <c r="K1009" s="29" t="s">
        <v>13</v>
      </c>
      <c r="L1009" s="34"/>
      <c r="M1009" s="29"/>
    </row>
    <row r="1010" spans="1:13" ht="75" customHeight="1" thickTop="1" thickBot="1">
      <c r="A1010" s="23">
        <v>1008</v>
      </c>
      <c r="B1010" s="34">
        <v>46204.954278819401</v>
      </c>
      <c r="C1010" s="35" t="s">
        <v>97</v>
      </c>
      <c r="D1010" s="33" t="s">
        <v>395</v>
      </c>
      <c r="E1010" s="29" t="s">
        <v>99</v>
      </c>
      <c r="F1010" s="29" t="s">
        <v>102</v>
      </c>
      <c r="G1010" s="29" t="s">
        <v>152</v>
      </c>
      <c r="H1010" s="29" t="s">
        <v>974</v>
      </c>
      <c r="I1010" s="29"/>
      <c r="J1010" s="29" t="s">
        <v>16</v>
      </c>
      <c r="K1010" s="29" t="s">
        <v>13</v>
      </c>
      <c r="L1010" s="34"/>
      <c r="M1010" s="29"/>
    </row>
    <row r="1011" spans="1:13" ht="75" customHeight="1" thickTop="1" thickBot="1">
      <c r="A1011" s="25">
        <v>1009</v>
      </c>
      <c r="B1011" s="34">
        <v>46204.954657314804</v>
      </c>
      <c r="C1011" s="35" t="s">
        <v>97</v>
      </c>
      <c r="D1011" s="33" t="s">
        <v>395</v>
      </c>
      <c r="E1011" s="29" t="s">
        <v>99</v>
      </c>
      <c r="F1011" s="29" t="s">
        <v>100</v>
      </c>
      <c r="G1011" s="29" t="s">
        <v>103</v>
      </c>
      <c r="H1011" s="29" t="s">
        <v>975</v>
      </c>
      <c r="I1011" s="29"/>
      <c r="J1011" s="29" t="s">
        <v>16</v>
      </c>
      <c r="K1011" s="29" t="s">
        <v>13</v>
      </c>
      <c r="L1011" s="34"/>
      <c r="M1011" s="29"/>
    </row>
    <row r="1012" spans="1:13" ht="75" customHeight="1" thickTop="1" thickBot="1">
      <c r="A1012" s="23">
        <v>1010</v>
      </c>
      <c r="B1012" s="34">
        <v>46204.954981979099</v>
      </c>
      <c r="C1012" s="35" t="s">
        <v>97</v>
      </c>
      <c r="D1012" s="31" t="s">
        <v>395</v>
      </c>
      <c r="E1012" s="29" t="s">
        <v>99</v>
      </c>
      <c r="F1012" s="29" t="s">
        <v>100</v>
      </c>
      <c r="G1012" s="29" t="s">
        <v>168</v>
      </c>
      <c r="H1012" s="29" t="s">
        <v>976</v>
      </c>
      <c r="I1012" s="29"/>
      <c r="J1012" s="29" t="s">
        <v>16</v>
      </c>
      <c r="K1012" s="29" t="s">
        <v>13</v>
      </c>
      <c r="L1012" s="34"/>
      <c r="M1012" s="29"/>
    </row>
    <row r="1013" spans="1:13" ht="75" customHeight="1" thickTop="1" thickBot="1">
      <c r="A1013" s="25">
        <v>1011</v>
      </c>
      <c r="B1013" s="34">
        <v>46204.955285092503</v>
      </c>
      <c r="C1013" s="35" t="s">
        <v>97</v>
      </c>
      <c r="D1013" s="33" t="s">
        <v>395</v>
      </c>
      <c r="E1013" s="29" t="s">
        <v>99</v>
      </c>
      <c r="F1013" s="29" t="s">
        <v>100</v>
      </c>
      <c r="G1013" s="29" t="s">
        <v>103</v>
      </c>
      <c r="H1013" s="29" t="s">
        <v>977</v>
      </c>
      <c r="I1013" s="29"/>
      <c r="J1013" s="29" t="s">
        <v>16</v>
      </c>
      <c r="K1013" s="29" t="s">
        <v>13</v>
      </c>
      <c r="L1013" s="34"/>
      <c r="M1013" s="29"/>
    </row>
    <row r="1014" spans="1:13" ht="75" customHeight="1" thickTop="1" thickBot="1">
      <c r="A1014" s="23">
        <v>1012</v>
      </c>
      <c r="B1014" s="34">
        <v>46204.955757604097</v>
      </c>
      <c r="C1014" s="35" t="s">
        <v>97</v>
      </c>
      <c r="D1014" s="33" t="s">
        <v>395</v>
      </c>
      <c r="E1014" s="29" t="s">
        <v>99</v>
      </c>
      <c r="F1014" s="29" t="s">
        <v>100</v>
      </c>
      <c r="G1014" s="29" t="s">
        <v>567</v>
      </c>
      <c r="H1014" s="29" t="s">
        <v>978</v>
      </c>
      <c r="I1014" s="29"/>
      <c r="J1014" s="29" t="s">
        <v>16</v>
      </c>
      <c r="K1014" s="29" t="s">
        <v>13</v>
      </c>
      <c r="L1014" s="34"/>
      <c r="M1014" s="29"/>
    </row>
    <row r="1015" spans="1:13" ht="75" customHeight="1" thickTop="1" thickBot="1">
      <c r="A1015" s="25">
        <v>1013</v>
      </c>
      <c r="B1015" s="34">
        <v>46204.956147476798</v>
      </c>
      <c r="C1015" s="35" t="s">
        <v>97</v>
      </c>
      <c r="D1015" s="31" t="s">
        <v>395</v>
      </c>
      <c r="E1015" s="29" t="s">
        <v>99</v>
      </c>
      <c r="F1015" s="29" t="s">
        <v>102</v>
      </c>
      <c r="G1015" s="29" t="s">
        <v>108</v>
      </c>
      <c r="H1015" s="29" t="s">
        <v>1121</v>
      </c>
      <c r="I1015" s="29"/>
      <c r="J1015" s="29" t="s">
        <v>16</v>
      </c>
      <c r="K1015" s="29" t="s">
        <v>13</v>
      </c>
      <c r="L1015" s="34"/>
      <c r="M1015" s="29"/>
    </row>
    <row r="1016" spans="1:13" ht="75" customHeight="1" thickTop="1" thickBot="1">
      <c r="A1016" s="23">
        <v>1014</v>
      </c>
      <c r="B1016" s="34">
        <v>46204.956460300898</v>
      </c>
      <c r="C1016" s="35" t="s">
        <v>97</v>
      </c>
      <c r="D1016" s="33" t="s">
        <v>395</v>
      </c>
      <c r="E1016" s="29" t="s">
        <v>99</v>
      </c>
      <c r="F1016" s="29" t="s">
        <v>102</v>
      </c>
      <c r="G1016" s="29" t="s">
        <v>104</v>
      </c>
      <c r="H1016" s="29" t="s">
        <v>979</v>
      </c>
      <c r="I1016" s="29"/>
      <c r="J1016" s="29" t="s">
        <v>16</v>
      </c>
      <c r="K1016" s="29" t="s">
        <v>13</v>
      </c>
      <c r="L1016" s="34"/>
      <c r="M1016" s="29"/>
    </row>
    <row r="1017" spans="1:13" ht="75" customHeight="1" thickTop="1" thickBot="1">
      <c r="A1017" s="25">
        <v>1015</v>
      </c>
      <c r="B1017" s="34">
        <v>46204.956803715198</v>
      </c>
      <c r="C1017" s="35" t="s">
        <v>97</v>
      </c>
      <c r="D1017" s="31" t="s">
        <v>395</v>
      </c>
      <c r="E1017" s="29" t="s">
        <v>99</v>
      </c>
      <c r="F1017" s="29" t="s">
        <v>102</v>
      </c>
      <c r="G1017" s="29" t="s">
        <v>108</v>
      </c>
      <c r="H1017" s="29" t="s">
        <v>980</v>
      </c>
      <c r="I1017" s="29"/>
      <c r="J1017" s="29" t="s">
        <v>16</v>
      </c>
      <c r="K1017" s="29" t="s">
        <v>13</v>
      </c>
      <c r="L1017" s="34"/>
      <c r="M1017" s="29"/>
    </row>
    <row r="1018" spans="1:13" ht="75" customHeight="1" thickTop="1" thickBot="1">
      <c r="A1018" s="23">
        <v>1016</v>
      </c>
      <c r="B1018" s="34"/>
      <c r="C1018" s="35"/>
      <c r="D1018" s="35"/>
      <c r="E1018" s="29"/>
      <c r="F1018" s="29"/>
      <c r="G1018" s="29"/>
      <c r="H1018" s="29"/>
      <c r="I1018" s="29"/>
      <c r="J1018" s="29"/>
      <c r="K1018" s="29"/>
      <c r="L1018" s="34"/>
      <c r="M1018" s="29"/>
    </row>
    <row r="1019" spans="1:13" ht="75" customHeight="1" thickTop="1" thickBot="1">
      <c r="A1019" s="25">
        <v>1017</v>
      </c>
      <c r="B1019" s="34"/>
      <c r="C1019" s="35"/>
      <c r="D1019" s="35"/>
      <c r="E1019" s="29"/>
      <c r="F1019" s="29"/>
      <c r="G1019" s="29"/>
      <c r="H1019" s="29"/>
      <c r="I1019" s="29"/>
      <c r="J1019" s="29"/>
      <c r="K1019" s="29"/>
      <c r="L1019" s="34"/>
      <c r="M1019" s="29"/>
    </row>
    <row r="1020" spans="1:13" ht="75" customHeight="1" thickTop="1" thickBot="1">
      <c r="A1020" s="23">
        <v>1018</v>
      </c>
      <c r="B1020" s="34"/>
      <c r="C1020" s="35"/>
      <c r="D1020" s="35"/>
      <c r="E1020" s="29"/>
      <c r="F1020" s="29"/>
      <c r="G1020" s="29"/>
      <c r="H1020" s="29"/>
      <c r="I1020" s="29"/>
      <c r="J1020" s="29"/>
      <c r="K1020" s="29"/>
      <c r="L1020" s="34"/>
      <c r="M1020" s="29"/>
    </row>
    <row r="1021" spans="1:13" ht="75" customHeight="1" thickTop="1" thickBot="1">
      <c r="A1021" s="25">
        <v>1019</v>
      </c>
      <c r="B1021" s="34"/>
      <c r="C1021" s="35"/>
      <c r="D1021" s="35"/>
      <c r="E1021" s="29"/>
      <c r="F1021" s="29"/>
      <c r="G1021" s="29"/>
      <c r="H1021" s="29"/>
      <c r="I1021" s="29"/>
      <c r="J1021" s="29"/>
      <c r="K1021" s="29"/>
      <c r="L1021" s="34"/>
      <c r="M1021" s="29"/>
    </row>
    <row r="1022" spans="1:13" ht="75" customHeight="1" thickTop="1" thickBot="1">
      <c r="A1022" s="23">
        <v>1020</v>
      </c>
      <c r="B1022" s="34"/>
      <c r="C1022" s="35"/>
      <c r="D1022" s="35"/>
      <c r="E1022" s="29"/>
      <c r="F1022" s="29"/>
      <c r="G1022" s="29"/>
      <c r="H1022" s="29"/>
      <c r="I1022" s="29"/>
      <c r="J1022" s="29"/>
      <c r="K1022" s="29"/>
      <c r="L1022" s="34"/>
      <c r="M1022" s="29"/>
    </row>
    <row r="1023" spans="1:13" ht="75" customHeight="1" thickTop="1" thickBot="1">
      <c r="A1023" s="25">
        <v>1021</v>
      </c>
      <c r="B1023" s="34"/>
      <c r="C1023" s="35"/>
      <c r="D1023" s="35"/>
      <c r="E1023" s="29"/>
      <c r="F1023" s="29"/>
      <c r="G1023" s="29"/>
      <c r="H1023" s="29"/>
      <c r="I1023" s="29"/>
      <c r="J1023" s="29"/>
      <c r="K1023" s="29"/>
      <c r="L1023" s="34"/>
      <c r="M1023" s="29"/>
    </row>
    <row r="1024" spans="1:13" ht="75" customHeight="1" thickTop="1" thickBot="1">
      <c r="A1024" s="23">
        <v>1022</v>
      </c>
      <c r="B1024" s="34"/>
      <c r="C1024" s="35"/>
      <c r="D1024" s="35"/>
      <c r="E1024" s="29"/>
      <c r="F1024" s="29"/>
      <c r="G1024" s="29"/>
      <c r="H1024" s="29"/>
      <c r="I1024" s="29"/>
      <c r="J1024" s="29"/>
      <c r="K1024" s="29"/>
      <c r="L1024" s="34"/>
      <c r="M1024" s="29"/>
    </row>
    <row r="1025" spans="1:13" ht="75" customHeight="1" thickTop="1" thickBot="1">
      <c r="A1025" s="25">
        <v>1023</v>
      </c>
      <c r="B1025" s="34"/>
      <c r="C1025" s="35"/>
      <c r="D1025" s="35"/>
      <c r="E1025" s="29"/>
      <c r="F1025" s="29"/>
      <c r="G1025" s="29"/>
      <c r="H1025" s="29"/>
      <c r="I1025" s="29"/>
      <c r="J1025" s="29"/>
      <c r="K1025" s="29"/>
      <c r="L1025" s="34"/>
      <c r="M1025" s="29"/>
    </row>
    <row r="1026" spans="1:13" ht="75" customHeight="1" thickTop="1" thickBot="1">
      <c r="A1026" s="23">
        <v>1024</v>
      </c>
      <c r="B1026" s="34"/>
      <c r="C1026" s="35"/>
      <c r="D1026" s="35"/>
      <c r="E1026" s="29"/>
      <c r="F1026" s="29"/>
      <c r="G1026" s="29"/>
      <c r="H1026" s="29"/>
      <c r="I1026" s="29"/>
      <c r="J1026" s="29"/>
      <c r="K1026" s="29"/>
      <c r="L1026" s="34"/>
      <c r="M1026" s="29"/>
    </row>
    <row r="1027" spans="1:13" ht="75" customHeight="1" thickTop="1" thickBot="1">
      <c r="A1027" s="25">
        <v>1025</v>
      </c>
      <c r="B1027" s="34"/>
      <c r="C1027" s="35"/>
      <c r="D1027" s="35"/>
      <c r="E1027" s="29"/>
      <c r="F1027" s="29"/>
      <c r="G1027" s="29"/>
      <c r="H1027" s="29"/>
      <c r="I1027" s="29"/>
      <c r="J1027" s="29"/>
      <c r="K1027" s="29"/>
      <c r="L1027" s="34"/>
      <c r="M1027" s="29"/>
    </row>
    <row r="1028" spans="1:13" ht="75" customHeight="1" thickTop="1" thickBot="1">
      <c r="A1028" s="23">
        <v>1026</v>
      </c>
      <c r="B1028" s="34"/>
      <c r="C1028" s="35"/>
      <c r="D1028" s="35"/>
      <c r="E1028" s="29"/>
      <c r="F1028" s="29"/>
      <c r="G1028" s="29"/>
      <c r="H1028" s="29"/>
      <c r="I1028" s="29"/>
      <c r="J1028" s="29"/>
      <c r="K1028" s="29"/>
      <c r="L1028" s="34"/>
      <c r="M1028" s="29"/>
    </row>
    <row r="1029" spans="1:13" ht="75" customHeight="1" thickTop="1" thickBot="1">
      <c r="A1029" s="25">
        <v>1027</v>
      </c>
      <c r="B1029" s="34"/>
      <c r="C1029" s="35"/>
      <c r="D1029" s="35"/>
      <c r="E1029" s="29"/>
      <c r="F1029" s="29"/>
      <c r="G1029" s="29"/>
      <c r="H1029" s="29"/>
      <c r="I1029" s="29"/>
      <c r="J1029" s="29"/>
      <c r="K1029" s="29"/>
      <c r="L1029" s="34"/>
      <c r="M1029" s="29"/>
    </row>
    <row r="1030" spans="1:13" ht="75" customHeight="1" thickTop="1" thickBot="1">
      <c r="A1030" s="23">
        <v>1028</v>
      </c>
      <c r="B1030" s="34"/>
      <c r="C1030" s="35"/>
      <c r="D1030" s="35"/>
      <c r="E1030" s="29"/>
      <c r="F1030" s="29"/>
      <c r="G1030" s="29"/>
      <c r="H1030" s="29"/>
      <c r="I1030" s="29"/>
      <c r="J1030" s="29"/>
      <c r="K1030" s="29"/>
      <c r="L1030" s="34"/>
      <c r="M1030" s="29"/>
    </row>
    <row r="1031" spans="1:13" ht="75" customHeight="1" thickTop="1" thickBot="1">
      <c r="A1031" s="25">
        <v>1029</v>
      </c>
      <c r="B1031" s="34"/>
      <c r="C1031" s="35"/>
      <c r="D1031" s="35"/>
      <c r="E1031" s="29"/>
      <c r="F1031" s="29"/>
      <c r="G1031" s="29"/>
      <c r="H1031" s="29"/>
      <c r="I1031" s="29"/>
      <c r="J1031" s="29"/>
      <c r="K1031" s="29"/>
      <c r="L1031" s="34"/>
      <c r="M1031" s="29"/>
    </row>
    <row r="1032" spans="1:13" ht="75" customHeight="1" thickTop="1" thickBot="1">
      <c r="A1032" s="23">
        <v>1030</v>
      </c>
      <c r="B1032" s="34"/>
      <c r="C1032" s="35"/>
      <c r="D1032" s="35"/>
      <c r="E1032" s="29"/>
      <c r="F1032" s="29"/>
      <c r="G1032" s="29"/>
      <c r="H1032" s="29"/>
      <c r="I1032" s="29"/>
      <c r="J1032" s="29"/>
      <c r="K1032" s="29"/>
      <c r="L1032" s="34"/>
      <c r="M1032" s="29"/>
    </row>
    <row r="1033" spans="1:13" ht="75" customHeight="1" thickTop="1" thickBot="1">
      <c r="A1033" s="25">
        <v>1031</v>
      </c>
      <c r="B1033" s="34"/>
      <c r="C1033" s="35"/>
      <c r="D1033" s="35"/>
      <c r="E1033" s="29"/>
      <c r="F1033" s="29"/>
      <c r="G1033" s="29"/>
      <c r="H1033" s="29"/>
      <c r="I1033" s="29"/>
      <c r="J1033" s="29"/>
      <c r="K1033" s="29"/>
      <c r="L1033" s="34"/>
      <c r="M1033" s="29"/>
    </row>
    <row r="1034" spans="1:13" ht="75" customHeight="1" thickTop="1" thickBot="1">
      <c r="A1034" s="23">
        <v>1032</v>
      </c>
      <c r="B1034" s="34"/>
      <c r="C1034" s="35"/>
      <c r="D1034" s="35"/>
      <c r="E1034" s="29"/>
      <c r="F1034" s="29"/>
      <c r="G1034" s="29"/>
      <c r="H1034" s="29"/>
      <c r="I1034" s="29"/>
      <c r="J1034" s="29"/>
      <c r="K1034" s="29"/>
      <c r="L1034" s="34"/>
      <c r="M1034" s="29"/>
    </row>
    <row r="1035" spans="1:13" ht="75" customHeight="1" thickTop="1" thickBot="1">
      <c r="A1035" s="25">
        <v>1033</v>
      </c>
      <c r="B1035" s="34"/>
      <c r="C1035" s="35"/>
      <c r="D1035" s="35"/>
      <c r="E1035" s="29"/>
      <c r="F1035" s="29"/>
      <c r="G1035" s="29"/>
      <c r="H1035" s="29"/>
      <c r="I1035" s="29"/>
      <c r="J1035" s="29"/>
      <c r="K1035" s="29"/>
      <c r="L1035" s="34"/>
      <c r="M1035" s="29"/>
    </row>
    <row r="1036" spans="1:13" ht="75" customHeight="1" thickTop="1" thickBot="1">
      <c r="A1036" s="23">
        <v>1034</v>
      </c>
      <c r="B1036" s="34"/>
      <c r="C1036" s="35"/>
      <c r="D1036" s="35"/>
      <c r="E1036" s="29"/>
      <c r="F1036" s="29"/>
      <c r="G1036" s="29"/>
      <c r="H1036" s="29"/>
      <c r="I1036" s="29"/>
      <c r="J1036" s="29"/>
      <c r="K1036" s="29"/>
      <c r="L1036" s="34"/>
      <c r="M1036" s="29"/>
    </row>
    <row r="1037" spans="1:13" ht="75" customHeight="1" thickTop="1" thickBot="1">
      <c r="A1037" s="25">
        <v>1035</v>
      </c>
      <c r="B1037" s="34"/>
      <c r="C1037" s="35"/>
      <c r="D1037" s="35"/>
      <c r="E1037" s="29"/>
      <c r="F1037" s="29"/>
      <c r="G1037" s="29"/>
      <c r="H1037" s="29"/>
      <c r="I1037" s="29"/>
      <c r="J1037" s="29"/>
      <c r="K1037" s="29"/>
      <c r="L1037" s="34"/>
      <c r="M1037" s="29"/>
    </row>
    <row r="1038" spans="1:13" ht="75" customHeight="1" thickTop="1" thickBot="1">
      <c r="A1038" s="23">
        <v>1036</v>
      </c>
      <c r="B1038" s="34"/>
      <c r="C1038" s="35"/>
      <c r="D1038" s="35"/>
      <c r="E1038" s="29"/>
      <c r="F1038" s="29"/>
      <c r="G1038" s="29"/>
      <c r="H1038" s="29"/>
      <c r="I1038" s="29"/>
      <c r="J1038" s="29"/>
      <c r="K1038" s="29"/>
      <c r="L1038" s="34"/>
      <c r="M1038" s="29"/>
    </row>
    <row r="1039" spans="1:13" ht="75" customHeight="1" thickTop="1" thickBot="1">
      <c r="A1039" s="25">
        <v>1037</v>
      </c>
      <c r="B1039" s="34"/>
      <c r="C1039" s="35"/>
      <c r="D1039" s="35"/>
      <c r="E1039" s="29"/>
      <c r="F1039" s="29"/>
      <c r="G1039" s="29"/>
      <c r="H1039" s="29"/>
      <c r="I1039" s="29"/>
      <c r="J1039" s="29"/>
      <c r="K1039" s="29"/>
      <c r="L1039" s="34"/>
      <c r="M1039" s="29"/>
    </row>
    <row r="1040" spans="1:13" ht="75" customHeight="1" thickTop="1" thickBot="1">
      <c r="A1040" s="23">
        <v>1038</v>
      </c>
      <c r="B1040" s="34"/>
      <c r="C1040" s="35"/>
      <c r="D1040" s="35"/>
      <c r="E1040" s="29"/>
      <c r="F1040" s="29"/>
      <c r="G1040" s="29"/>
      <c r="H1040" s="29"/>
      <c r="I1040" s="29"/>
      <c r="J1040" s="29"/>
      <c r="K1040" s="29"/>
      <c r="L1040" s="34"/>
      <c r="M1040" s="29"/>
    </row>
    <row r="1041" spans="1:13" ht="75" customHeight="1" thickTop="1" thickBot="1">
      <c r="A1041" s="25">
        <v>1039</v>
      </c>
      <c r="B1041" s="34"/>
      <c r="C1041" s="35"/>
      <c r="D1041" s="35"/>
      <c r="E1041" s="29"/>
      <c r="F1041" s="29"/>
      <c r="G1041" s="29"/>
      <c r="H1041" s="29"/>
      <c r="I1041" s="29"/>
      <c r="J1041" s="29"/>
      <c r="K1041" s="29"/>
      <c r="L1041" s="34"/>
      <c r="M1041" s="29"/>
    </row>
    <row r="1042" spans="1:13" ht="75" customHeight="1" thickTop="1" thickBot="1">
      <c r="A1042" s="23">
        <v>1040</v>
      </c>
      <c r="B1042" s="34"/>
      <c r="C1042" s="35"/>
      <c r="D1042" s="35"/>
      <c r="E1042" s="29"/>
      <c r="F1042" s="29"/>
      <c r="G1042" s="29"/>
      <c r="H1042" s="29"/>
      <c r="I1042" s="29"/>
      <c r="J1042" s="29"/>
      <c r="K1042" s="29"/>
      <c r="L1042" s="34"/>
      <c r="M1042" s="29"/>
    </row>
    <row r="1043" spans="1:13" ht="75" customHeight="1" thickTop="1" thickBot="1">
      <c r="A1043" s="25">
        <v>1041</v>
      </c>
      <c r="B1043" s="34"/>
      <c r="C1043" s="35"/>
      <c r="D1043" s="35"/>
      <c r="E1043" s="29"/>
      <c r="F1043" s="29"/>
      <c r="G1043" s="29"/>
      <c r="H1043" s="29"/>
      <c r="I1043" s="29"/>
      <c r="J1043" s="29"/>
      <c r="K1043" s="29"/>
      <c r="L1043" s="34"/>
      <c r="M1043" s="29"/>
    </row>
    <row r="1044" spans="1:13" ht="75" customHeight="1" thickTop="1" thickBot="1">
      <c r="A1044" s="23">
        <v>1042</v>
      </c>
      <c r="B1044" s="34"/>
      <c r="C1044" s="35"/>
      <c r="D1044" s="35"/>
      <c r="E1044" s="29"/>
      <c r="F1044" s="29"/>
      <c r="G1044" s="29"/>
      <c r="H1044" s="29"/>
      <c r="I1044" s="29"/>
      <c r="J1044" s="29"/>
      <c r="K1044" s="29"/>
      <c r="L1044" s="34"/>
      <c r="M1044" s="29"/>
    </row>
    <row r="1045" spans="1:13" ht="75" customHeight="1" thickTop="1" thickBot="1">
      <c r="A1045" s="25">
        <v>1043</v>
      </c>
      <c r="B1045" s="34"/>
      <c r="C1045" s="35"/>
      <c r="D1045" s="35"/>
      <c r="E1045" s="29"/>
      <c r="F1045" s="29"/>
      <c r="G1045" s="29"/>
      <c r="H1045" s="29"/>
      <c r="I1045" s="29"/>
      <c r="J1045" s="29"/>
      <c r="K1045" s="29"/>
      <c r="L1045" s="34"/>
      <c r="M1045" s="29"/>
    </row>
    <row r="1046" spans="1:13" ht="75" customHeight="1" thickTop="1" thickBot="1">
      <c r="A1046" s="23">
        <v>1044</v>
      </c>
      <c r="B1046" s="34"/>
      <c r="C1046" s="35"/>
      <c r="D1046" s="35"/>
      <c r="E1046" s="29"/>
      <c r="F1046" s="29"/>
      <c r="G1046" s="29"/>
      <c r="H1046" s="29"/>
      <c r="I1046" s="29"/>
      <c r="J1046" s="29"/>
      <c r="K1046" s="29"/>
      <c r="L1046" s="34"/>
      <c r="M1046" s="29"/>
    </row>
    <row r="1047" spans="1:13" ht="75" customHeight="1" thickTop="1" thickBot="1">
      <c r="A1047" s="25">
        <v>1045</v>
      </c>
      <c r="B1047" s="34"/>
      <c r="C1047" s="35"/>
      <c r="D1047" s="35"/>
      <c r="E1047" s="29"/>
      <c r="F1047" s="29"/>
      <c r="G1047" s="29"/>
      <c r="H1047" s="29"/>
      <c r="I1047" s="29"/>
      <c r="J1047" s="29"/>
      <c r="K1047" s="29"/>
      <c r="L1047" s="34"/>
      <c r="M1047" s="29"/>
    </row>
    <row r="1048" spans="1:13" ht="75" customHeight="1" thickTop="1" thickBot="1">
      <c r="A1048" s="23">
        <v>1046</v>
      </c>
      <c r="B1048" s="34"/>
      <c r="C1048" s="35"/>
      <c r="D1048" s="35"/>
      <c r="E1048" s="29"/>
      <c r="F1048" s="29"/>
      <c r="G1048" s="29"/>
      <c r="H1048" s="29"/>
      <c r="I1048" s="29"/>
      <c r="J1048" s="29"/>
      <c r="K1048" s="29"/>
      <c r="L1048" s="34"/>
      <c r="M1048" s="29"/>
    </row>
    <row r="1049" spans="1:13" ht="75" customHeight="1" thickTop="1" thickBot="1">
      <c r="A1049" s="25">
        <v>1047</v>
      </c>
      <c r="B1049" s="34"/>
      <c r="C1049" s="35"/>
      <c r="D1049" s="35"/>
      <c r="E1049" s="29"/>
      <c r="F1049" s="29"/>
      <c r="G1049" s="29"/>
      <c r="H1049" s="29"/>
      <c r="I1049" s="29"/>
      <c r="J1049" s="29"/>
      <c r="K1049" s="29"/>
      <c r="L1049" s="34"/>
      <c r="M1049" s="29"/>
    </row>
    <row r="1050" spans="1:13" ht="75" customHeight="1" thickTop="1" thickBot="1">
      <c r="A1050" s="23">
        <v>1048</v>
      </c>
      <c r="B1050" s="34"/>
      <c r="C1050" s="35"/>
      <c r="D1050" s="35"/>
      <c r="E1050" s="29"/>
      <c r="F1050" s="29"/>
      <c r="G1050" s="29"/>
      <c r="H1050" s="29"/>
      <c r="I1050" s="29"/>
      <c r="J1050" s="29"/>
      <c r="K1050" s="29"/>
      <c r="L1050" s="34"/>
      <c r="M1050" s="29"/>
    </row>
    <row r="1051" spans="1:13" ht="75" customHeight="1" thickTop="1" thickBot="1">
      <c r="A1051" s="25">
        <v>1049</v>
      </c>
      <c r="B1051" s="34"/>
      <c r="C1051" s="35"/>
      <c r="D1051" s="35"/>
      <c r="E1051" s="29"/>
      <c r="F1051" s="29"/>
      <c r="G1051" s="29"/>
      <c r="H1051" s="29"/>
      <c r="I1051" s="29"/>
      <c r="J1051" s="29"/>
      <c r="K1051" s="29"/>
      <c r="L1051" s="34"/>
      <c r="M1051" s="29"/>
    </row>
    <row r="1052" spans="1:13" ht="75" customHeight="1" thickTop="1" thickBot="1">
      <c r="A1052" s="23">
        <v>1050</v>
      </c>
      <c r="B1052" s="34"/>
      <c r="C1052" s="35"/>
      <c r="D1052" s="35"/>
      <c r="E1052" s="29"/>
      <c r="F1052" s="29"/>
      <c r="G1052" s="29"/>
      <c r="H1052" s="29"/>
      <c r="I1052" s="29"/>
      <c r="J1052" s="29"/>
      <c r="K1052" s="29"/>
      <c r="L1052" s="34"/>
      <c r="M1052" s="29"/>
    </row>
    <row r="1053" spans="1:13" ht="75" customHeight="1" thickTop="1" thickBot="1">
      <c r="A1053" s="25">
        <v>1051</v>
      </c>
      <c r="B1053" s="34"/>
      <c r="C1053" s="35"/>
      <c r="D1053" s="35"/>
      <c r="E1053" s="29"/>
      <c r="F1053" s="29"/>
      <c r="G1053" s="29"/>
      <c r="H1053" s="29"/>
      <c r="I1053" s="29"/>
      <c r="J1053" s="29"/>
      <c r="K1053" s="29"/>
      <c r="L1053" s="34"/>
      <c r="M1053" s="29"/>
    </row>
    <row r="1054" spans="1:13" ht="75" customHeight="1" thickTop="1" thickBot="1">
      <c r="A1054" s="23">
        <v>1052</v>
      </c>
      <c r="B1054" s="34"/>
      <c r="C1054" s="35"/>
      <c r="D1054" s="35"/>
      <c r="E1054" s="29"/>
      <c r="F1054" s="29"/>
      <c r="G1054" s="29"/>
      <c r="H1054" s="29"/>
      <c r="I1054" s="29"/>
      <c r="J1054" s="29"/>
      <c r="K1054" s="29"/>
      <c r="L1054" s="34"/>
      <c r="M1054" s="29"/>
    </row>
    <row r="1055" spans="1:13" ht="75" customHeight="1" thickTop="1" thickBot="1">
      <c r="A1055" s="25">
        <v>1053</v>
      </c>
      <c r="B1055" s="34"/>
      <c r="C1055" s="35"/>
      <c r="D1055" s="35"/>
      <c r="E1055" s="29"/>
      <c r="F1055" s="29"/>
      <c r="G1055" s="29"/>
      <c r="H1055" s="29"/>
      <c r="I1055" s="29"/>
      <c r="J1055" s="29"/>
      <c r="K1055" s="29"/>
      <c r="L1055" s="34"/>
      <c r="M1055" s="29"/>
    </row>
    <row r="1056" spans="1:13" ht="75" customHeight="1" thickTop="1" thickBot="1">
      <c r="A1056" s="23">
        <v>1054</v>
      </c>
      <c r="B1056" s="34"/>
      <c r="C1056" s="35"/>
      <c r="D1056" s="35"/>
      <c r="E1056" s="29"/>
      <c r="F1056" s="29"/>
      <c r="G1056" s="29"/>
      <c r="H1056" s="29"/>
      <c r="I1056" s="29"/>
      <c r="J1056" s="29"/>
      <c r="K1056" s="29"/>
      <c r="L1056" s="34"/>
      <c r="M1056" s="29"/>
    </row>
    <row r="1057" spans="1:13" ht="75" customHeight="1" thickTop="1" thickBot="1">
      <c r="A1057" s="25">
        <v>1055</v>
      </c>
      <c r="B1057" s="34"/>
      <c r="C1057" s="35"/>
      <c r="D1057" s="35"/>
      <c r="E1057" s="29"/>
      <c r="F1057" s="29"/>
      <c r="G1057" s="29"/>
      <c r="H1057" s="29"/>
      <c r="I1057" s="29"/>
      <c r="J1057" s="29"/>
      <c r="K1057" s="29"/>
      <c r="L1057" s="34"/>
      <c r="M1057" s="29"/>
    </row>
    <row r="1058" spans="1:13" ht="75" customHeight="1" thickTop="1" thickBot="1">
      <c r="A1058" s="23">
        <v>1056</v>
      </c>
      <c r="B1058" s="34"/>
      <c r="C1058" s="35"/>
      <c r="D1058" s="35"/>
      <c r="E1058" s="29"/>
      <c r="F1058" s="29"/>
      <c r="G1058" s="29"/>
      <c r="H1058" s="29"/>
      <c r="I1058" s="29"/>
      <c r="J1058" s="29"/>
      <c r="K1058" s="29"/>
      <c r="L1058" s="34"/>
      <c r="M1058" s="29"/>
    </row>
    <row r="1059" spans="1:13" ht="75" customHeight="1" thickTop="1" thickBot="1">
      <c r="A1059" s="25">
        <v>1057</v>
      </c>
      <c r="B1059" s="34"/>
      <c r="C1059" s="35"/>
      <c r="D1059" s="35"/>
      <c r="E1059" s="29"/>
      <c r="F1059" s="29"/>
      <c r="G1059" s="29"/>
      <c r="H1059" s="29"/>
      <c r="I1059" s="29"/>
      <c r="J1059" s="29"/>
      <c r="K1059" s="29"/>
      <c r="L1059" s="34"/>
      <c r="M1059" s="29"/>
    </row>
    <row r="1060" spans="1:13" ht="75" customHeight="1" thickTop="1" thickBot="1">
      <c r="A1060" s="23">
        <v>1058</v>
      </c>
      <c r="B1060" s="34"/>
      <c r="C1060" s="35"/>
      <c r="D1060" s="35"/>
      <c r="E1060" s="29"/>
      <c r="F1060" s="29"/>
      <c r="G1060" s="29"/>
      <c r="H1060" s="29"/>
      <c r="I1060" s="29"/>
      <c r="J1060" s="29"/>
      <c r="K1060" s="29"/>
      <c r="L1060" s="34"/>
      <c r="M1060" s="29"/>
    </row>
    <row r="1061" spans="1:13" ht="75" customHeight="1" thickTop="1" thickBot="1">
      <c r="A1061" s="25">
        <v>1059</v>
      </c>
      <c r="B1061" s="34"/>
      <c r="C1061" s="35"/>
      <c r="D1061" s="35"/>
      <c r="E1061" s="29"/>
      <c r="F1061" s="29"/>
      <c r="G1061" s="29"/>
      <c r="H1061" s="29"/>
      <c r="I1061" s="29"/>
      <c r="J1061" s="29"/>
      <c r="K1061" s="29"/>
      <c r="L1061" s="34"/>
      <c r="M1061" s="29"/>
    </row>
    <row r="1062" spans="1:13" ht="75" customHeight="1" thickTop="1" thickBot="1">
      <c r="A1062" s="23">
        <v>1060</v>
      </c>
      <c r="B1062" s="34"/>
      <c r="C1062" s="35"/>
      <c r="D1062" s="35"/>
      <c r="E1062" s="29"/>
      <c r="F1062" s="29"/>
      <c r="G1062" s="29"/>
      <c r="H1062" s="29"/>
      <c r="I1062" s="29"/>
      <c r="J1062" s="29"/>
      <c r="K1062" s="29"/>
      <c r="L1062" s="34"/>
      <c r="M1062" s="29"/>
    </row>
    <row r="1063" spans="1:13" ht="75" customHeight="1" thickTop="1" thickBot="1">
      <c r="A1063" s="25">
        <v>1061</v>
      </c>
      <c r="B1063" s="34"/>
      <c r="C1063" s="35"/>
      <c r="D1063" s="35"/>
      <c r="E1063" s="29"/>
      <c r="F1063" s="29"/>
      <c r="G1063" s="29"/>
      <c r="H1063" s="29"/>
      <c r="I1063" s="29"/>
      <c r="J1063" s="29"/>
      <c r="K1063" s="29"/>
      <c r="L1063" s="34"/>
      <c r="M1063" s="29"/>
    </row>
    <row r="1064" spans="1:13" ht="75" customHeight="1" thickTop="1" thickBot="1">
      <c r="A1064" s="23">
        <v>1062</v>
      </c>
      <c r="B1064" s="34"/>
      <c r="C1064" s="35"/>
      <c r="D1064" s="35"/>
      <c r="E1064" s="29"/>
      <c r="F1064" s="29"/>
      <c r="G1064" s="29"/>
      <c r="H1064" s="29"/>
      <c r="I1064" s="29"/>
      <c r="J1064" s="29"/>
      <c r="K1064" s="29"/>
      <c r="L1064" s="34"/>
      <c r="M1064" s="29"/>
    </row>
    <row r="1065" spans="1:13" ht="75" customHeight="1" thickTop="1" thickBot="1">
      <c r="A1065" s="25">
        <v>1063</v>
      </c>
      <c r="B1065" s="34"/>
      <c r="C1065" s="35"/>
      <c r="D1065" s="35"/>
      <c r="E1065" s="29"/>
      <c r="F1065" s="29"/>
      <c r="G1065" s="29"/>
      <c r="H1065" s="29"/>
      <c r="I1065" s="29"/>
      <c r="J1065" s="29"/>
      <c r="K1065" s="29"/>
      <c r="L1065" s="34"/>
      <c r="M1065" s="29"/>
    </row>
    <row r="1066" spans="1:13" ht="75" customHeight="1" thickTop="1" thickBot="1">
      <c r="A1066" s="23">
        <v>1064</v>
      </c>
      <c r="B1066" s="34"/>
      <c r="C1066" s="35"/>
      <c r="D1066" s="35"/>
      <c r="E1066" s="29"/>
      <c r="F1066" s="29"/>
      <c r="G1066" s="29"/>
      <c r="H1066" s="29"/>
      <c r="I1066" s="29"/>
      <c r="J1066" s="29"/>
      <c r="K1066" s="29"/>
      <c r="L1066" s="34"/>
      <c r="M1066" s="29"/>
    </row>
    <row r="1067" spans="1:13" ht="75" customHeight="1" thickTop="1" thickBot="1">
      <c r="A1067" s="25">
        <v>1065</v>
      </c>
      <c r="B1067" s="34"/>
      <c r="C1067" s="35"/>
      <c r="D1067" s="35"/>
      <c r="E1067" s="29"/>
      <c r="F1067" s="29"/>
      <c r="G1067" s="29"/>
      <c r="H1067" s="29"/>
      <c r="I1067" s="29"/>
      <c r="J1067" s="29"/>
      <c r="K1067" s="29"/>
      <c r="L1067" s="34"/>
      <c r="M1067" s="29"/>
    </row>
    <row r="1068" spans="1:13" ht="75" customHeight="1" thickTop="1" thickBot="1">
      <c r="A1068" s="23">
        <v>1066</v>
      </c>
      <c r="B1068" s="34"/>
      <c r="C1068" s="35"/>
      <c r="D1068" s="35"/>
      <c r="E1068" s="29"/>
      <c r="F1068" s="29"/>
      <c r="G1068" s="29"/>
      <c r="H1068" s="29"/>
      <c r="I1068" s="29"/>
      <c r="J1068" s="29"/>
      <c r="K1068" s="29"/>
      <c r="L1068" s="34"/>
      <c r="M1068" s="29"/>
    </row>
    <row r="1069" spans="1:13" ht="75" customHeight="1" thickTop="1" thickBot="1">
      <c r="A1069" s="25">
        <v>1067</v>
      </c>
      <c r="B1069" s="34"/>
      <c r="C1069" s="35"/>
      <c r="D1069" s="35"/>
      <c r="E1069" s="29"/>
      <c r="F1069" s="29"/>
      <c r="G1069" s="29"/>
      <c r="H1069" s="29"/>
      <c r="I1069" s="29"/>
      <c r="J1069" s="29"/>
      <c r="K1069" s="29"/>
      <c r="L1069" s="34"/>
      <c r="M1069" s="29"/>
    </row>
    <row r="1070" spans="1:13" ht="75" customHeight="1" thickTop="1" thickBot="1">
      <c r="A1070" s="23">
        <v>1068</v>
      </c>
      <c r="B1070" s="34"/>
      <c r="C1070" s="35"/>
      <c r="D1070" s="35"/>
      <c r="E1070" s="29"/>
      <c r="F1070" s="29"/>
      <c r="G1070" s="29"/>
      <c r="H1070" s="29"/>
      <c r="I1070" s="29"/>
      <c r="J1070" s="29"/>
      <c r="K1070" s="29"/>
      <c r="L1070" s="34"/>
      <c r="M1070" s="29"/>
    </row>
    <row r="1071" spans="1:13" ht="75" customHeight="1" thickTop="1" thickBot="1">
      <c r="A1071" s="25">
        <v>1069</v>
      </c>
      <c r="B1071" s="34"/>
      <c r="C1071" s="35"/>
      <c r="D1071" s="35"/>
      <c r="E1071" s="29"/>
      <c r="F1071" s="29"/>
      <c r="G1071" s="29"/>
      <c r="H1071" s="29"/>
      <c r="I1071" s="29"/>
      <c r="J1071" s="29"/>
      <c r="K1071" s="29"/>
      <c r="L1071" s="34"/>
      <c r="M1071" s="29"/>
    </row>
    <row r="1072" spans="1:13" ht="75" customHeight="1" thickTop="1" thickBot="1">
      <c r="A1072" s="23">
        <v>1070</v>
      </c>
      <c r="B1072" s="34"/>
      <c r="C1072" s="35"/>
      <c r="D1072" s="35"/>
      <c r="E1072" s="29"/>
      <c r="F1072" s="29"/>
      <c r="G1072" s="29"/>
      <c r="H1072" s="29"/>
      <c r="I1072" s="29"/>
      <c r="J1072" s="29"/>
      <c r="K1072" s="29"/>
      <c r="L1072" s="34"/>
      <c r="M1072" s="29"/>
    </row>
    <row r="1073" spans="1:13" ht="75" customHeight="1" thickTop="1" thickBot="1">
      <c r="A1073" s="25">
        <v>1071</v>
      </c>
      <c r="B1073" s="34"/>
      <c r="C1073" s="35"/>
      <c r="D1073" s="35"/>
      <c r="E1073" s="29"/>
      <c r="F1073" s="29"/>
      <c r="G1073" s="29"/>
      <c r="H1073" s="29"/>
      <c r="I1073" s="29"/>
      <c r="J1073" s="29"/>
      <c r="K1073" s="29"/>
      <c r="L1073" s="34"/>
      <c r="M1073" s="29"/>
    </row>
    <row r="1074" spans="1:13" ht="75" customHeight="1" thickTop="1" thickBot="1">
      <c r="A1074" s="23">
        <v>1072</v>
      </c>
      <c r="B1074" s="34"/>
      <c r="C1074" s="35"/>
      <c r="D1074" s="35"/>
      <c r="E1074" s="29"/>
      <c r="F1074" s="29"/>
      <c r="G1074" s="29"/>
      <c r="H1074" s="29"/>
      <c r="I1074" s="29"/>
      <c r="J1074" s="29"/>
      <c r="K1074" s="29"/>
      <c r="L1074" s="34"/>
      <c r="M1074" s="29"/>
    </row>
    <row r="1075" spans="1:13" ht="75" customHeight="1" thickTop="1" thickBot="1">
      <c r="A1075" s="25">
        <v>1073</v>
      </c>
      <c r="B1075" s="34"/>
      <c r="C1075" s="35"/>
      <c r="D1075" s="35"/>
      <c r="E1075" s="29"/>
      <c r="F1075" s="29"/>
      <c r="G1075" s="29"/>
      <c r="H1075" s="29"/>
      <c r="I1075" s="29"/>
      <c r="J1075" s="29"/>
      <c r="K1075" s="29"/>
      <c r="L1075" s="34"/>
      <c r="M1075" s="29"/>
    </row>
    <row r="1076" spans="1:13" ht="75" customHeight="1" thickTop="1" thickBot="1">
      <c r="A1076" s="23">
        <v>1074</v>
      </c>
      <c r="B1076" s="34"/>
      <c r="C1076" s="35"/>
      <c r="D1076" s="35"/>
      <c r="E1076" s="29"/>
      <c r="F1076" s="29"/>
      <c r="G1076" s="29"/>
      <c r="H1076" s="29"/>
      <c r="I1076" s="29"/>
      <c r="J1076" s="29"/>
      <c r="K1076" s="29"/>
      <c r="L1076" s="34"/>
      <c r="M1076" s="29"/>
    </row>
    <row r="1077" spans="1:13" ht="75" customHeight="1" thickTop="1" thickBot="1">
      <c r="A1077" s="25">
        <v>1075</v>
      </c>
      <c r="B1077" s="34"/>
      <c r="C1077" s="35"/>
      <c r="D1077" s="35"/>
      <c r="E1077" s="29"/>
      <c r="F1077" s="29"/>
      <c r="G1077" s="29"/>
      <c r="H1077" s="29"/>
      <c r="I1077" s="29"/>
      <c r="J1077" s="29"/>
      <c r="K1077" s="29"/>
      <c r="L1077" s="34"/>
      <c r="M1077" s="29"/>
    </row>
    <row r="1078" spans="1:13" ht="75" customHeight="1" thickTop="1" thickBot="1">
      <c r="A1078" s="23">
        <v>1076</v>
      </c>
      <c r="B1078" s="34"/>
      <c r="C1078" s="35"/>
      <c r="D1078" s="35"/>
      <c r="E1078" s="29"/>
      <c r="F1078" s="29"/>
      <c r="G1078" s="29"/>
      <c r="H1078" s="29"/>
      <c r="I1078" s="29"/>
      <c r="J1078" s="29"/>
      <c r="K1078" s="29"/>
      <c r="L1078" s="34"/>
      <c r="M1078" s="29"/>
    </row>
    <row r="1079" spans="1:13" ht="75" customHeight="1" thickTop="1" thickBot="1">
      <c r="A1079" s="25">
        <v>1077</v>
      </c>
      <c r="B1079" s="34"/>
      <c r="C1079" s="35"/>
      <c r="D1079" s="35"/>
      <c r="E1079" s="29"/>
      <c r="F1079" s="29"/>
      <c r="G1079" s="29"/>
      <c r="H1079" s="29"/>
      <c r="I1079" s="29"/>
      <c r="J1079" s="29"/>
      <c r="K1079" s="29"/>
      <c r="L1079" s="34"/>
      <c r="M1079" s="29"/>
    </row>
    <row r="1080" spans="1:13" ht="75" customHeight="1" thickTop="1" thickBot="1">
      <c r="A1080" s="23">
        <v>1078</v>
      </c>
      <c r="B1080" s="34"/>
      <c r="C1080" s="35"/>
      <c r="D1080" s="35"/>
      <c r="E1080" s="29"/>
      <c r="F1080" s="29"/>
      <c r="G1080" s="29"/>
      <c r="H1080" s="29"/>
      <c r="I1080" s="29"/>
      <c r="J1080" s="29"/>
      <c r="K1080" s="29"/>
      <c r="L1080" s="34"/>
      <c r="M1080" s="29"/>
    </row>
    <row r="1081" spans="1:13" ht="75" customHeight="1" thickTop="1" thickBot="1">
      <c r="A1081" s="25">
        <v>1079</v>
      </c>
      <c r="B1081" s="34"/>
      <c r="C1081" s="35"/>
      <c r="D1081" s="35"/>
      <c r="E1081" s="29"/>
      <c r="F1081" s="29"/>
      <c r="G1081" s="29"/>
      <c r="H1081" s="29"/>
      <c r="I1081" s="29"/>
      <c r="J1081" s="29"/>
      <c r="K1081" s="29"/>
      <c r="L1081" s="34"/>
      <c r="M1081" s="29"/>
    </row>
    <row r="1082" spans="1:13" ht="75" customHeight="1" thickTop="1" thickBot="1">
      <c r="A1082" s="23">
        <v>1080</v>
      </c>
      <c r="B1082" s="34"/>
      <c r="C1082" s="35"/>
      <c r="D1082" s="35"/>
      <c r="E1082" s="29"/>
      <c r="F1082" s="29"/>
      <c r="G1082" s="29"/>
      <c r="H1082" s="29"/>
      <c r="I1082" s="29"/>
      <c r="J1082" s="29"/>
      <c r="K1082" s="29"/>
      <c r="L1082" s="34"/>
      <c r="M1082" s="29"/>
    </row>
    <row r="1083" spans="1:13" ht="75" customHeight="1" thickTop="1" thickBot="1">
      <c r="A1083" s="25">
        <v>1081</v>
      </c>
      <c r="B1083" s="34"/>
      <c r="C1083" s="35"/>
      <c r="D1083" s="35"/>
      <c r="E1083" s="29"/>
      <c r="F1083" s="29"/>
      <c r="G1083" s="29"/>
      <c r="H1083" s="29"/>
      <c r="I1083" s="29"/>
      <c r="J1083" s="29"/>
      <c r="K1083" s="29"/>
      <c r="L1083" s="34"/>
      <c r="M1083" s="29"/>
    </row>
    <row r="1084" spans="1:13" ht="75" customHeight="1" thickTop="1" thickBot="1">
      <c r="A1084" s="23">
        <v>1082</v>
      </c>
      <c r="B1084" s="34"/>
      <c r="C1084" s="35"/>
      <c r="D1084" s="35"/>
      <c r="E1084" s="29"/>
      <c r="F1084" s="29"/>
      <c r="G1084" s="29"/>
      <c r="H1084" s="29"/>
      <c r="I1084" s="29"/>
      <c r="J1084" s="29"/>
      <c r="K1084" s="29"/>
      <c r="L1084" s="34"/>
      <c r="M1084" s="29"/>
    </row>
    <row r="1085" spans="1:13" ht="75" customHeight="1" thickTop="1" thickBot="1">
      <c r="A1085" s="25">
        <v>1083</v>
      </c>
      <c r="B1085" s="34"/>
      <c r="C1085" s="35"/>
      <c r="D1085" s="35"/>
      <c r="E1085" s="29"/>
      <c r="F1085" s="29"/>
      <c r="G1085" s="29"/>
      <c r="H1085" s="29"/>
      <c r="I1085" s="29"/>
      <c r="J1085" s="29"/>
      <c r="K1085" s="29"/>
      <c r="L1085" s="34"/>
      <c r="M1085" s="29"/>
    </row>
    <row r="1086" spans="1:13" ht="75" customHeight="1" thickTop="1" thickBot="1">
      <c r="A1086" s="23">
        <v>1084</v>
      </c>
      <c r="B1086" s="34"/>
      <c r="C1086" s="35"/>
      <c r="D1086" s="35"/>
      <c r="E1086" s="29"/>
      <c r="F1086" s="29"/>
      <c r="G1086" s="29"/>
      <c r="H1086" s="29"/>
      <c r="I1086" s="29"/>
      <c r="J1086" s="29"/>
      <c r="K1086" s="29"/>
      <c r="L1086" s="34"/>
      <c r="M1086" s="29"/>
    </row>
    <row r="1087" spans="1:13" ht="75" customHeight="1" thickTop="1" thickBot="1">
      <c r="A1087" s="25">
        <v>1085</v>
      </c>
      <c r="B1087" s="34"/>
      <c r="C1087" s="35"/>
      <c r="D1087" s="35"/>
      <c r="E1087" s="29"/>
      <c r="F1087" s="29"/>
      <c r="G1087" s="29"/>
      <c r="H1087" s="29"/>
      <c r="I1087" s="29"/>
      <c r="J1087" s="29"/>
      <c r="K1087" s="29"/>
      <c r="L1087" s="34"/>
      <c r="M1087" s="29"/>
    </row>
    <row r="1088" spans="1:13" ht="75" customHeight="1" thickTop="1" thickBot="1">
      <c r="A1088" s="23">
        <v>1086</v>
      </c>
      <c r="B1088" s="34"/>
      <c r="C1088" s="35"/>
      <c r="D1088" s="35"/>
      <c r="E1088" s="29"/>
      <c r="F1088" s="29"/>
      <c r="G1088" s="29"/>
      <c r="H1088" s="29"/>
      <c r="I1088" s="29"/>
      <c r="J1088" s="29"/>
      <c r="K1088" s="29"/>
      <c r="L1088" s="34"/>
      <c r="M1088" s="29"/>
    </row>
    <row r="1089" spans="1:13" ht="75" customHeight="1" thickTop="1" thickBot="1">
      <c r="A1089" s="25">
        <v>1087</v>
      </c>
      <c r="B1089" s="34"/>
      <c r="C1089" s="35"/>
      <c r="D1089" s="35"/>
      <c r="E1089" s="29"/>
      <c r="F1089" s="29"/>
      <c r="G1089" s="29"/>
      <c r="H1089" s="29"/>
      <c r="I1089" s="29"/>
      <c r="J1089" s="29"/>
      <c r="K1089" s="29"/>
      <c r="L1089" s="34"/>
      <c r="M1089" s="29"/>
    </row>
    <row r="1090" spans="1:13" ht="75" customHeight="1" thickTop="1" thickBot="1">
      <c r="A1090" s="23">
        <v>1088</v>
      </c>
      <c r="B1090" s="34"/>
      <c r="C1090" s="35"/>
      <c r="D1090" s="35"/>
      <c r="E1090" s="29"/>
      <c r="F1090" s="29"/>
      <c r="G1090" s="29"/>
      <c r="H1090" s="29"/>
      <c r="I1090" s="29"/>
      <c r="J1090" s="29"/>
      <c r="K1090" s="29"/>
      <c r="L1090" s="34"/>
      <c r="M1090" s="29"/>
    </row>
    <row r="1091" spans="1:13" ht="75" customHeight="1" thickTop="1" thickBot="1">
      <c r="A1091" s="25">
        <v>1089</v>
      </c>
      <c r="B1091" s="34"/>
      <c r="C1091" s="35"/>
      <c r="D1091" s="35"/>
      <c r="E1091" s="29"/>
      <c r="F1091" s="29"/>
      <c r="G1091" s="29"/>
      <c r="H1091" s="29"/>
      <c r="I1091" s="29"/>
      <c r="J1091" s="29"/>
      <c r="K1091" s="29"/>
      <c r="L1091" s="34"/>
      <c r="M1091" s="29"/>
    </row>
    <row r="1092" spans="1:13" ht="75" customHeight="1" thickTop="1" thickBot="1">
      <c r="A1092" s="23">
        <v>1090</v>
      </c>
      <c r="B1092" s="34"/>
      <c r="C1092" s="35"/>
      <c r="D1092" s="35"/>
      <c r="E1092" s="29"/>
      <c r="F1092" s="29"/>
      <c r="G1092" s="29"/>
      <c r="H1092" s="29"/>
      <c r="I1092" s="29"/>
      <c r="J1092" s="29"/>
      <c r="K1092" s="29"/>
      <c r="L1092" s="34"/>
      <c r="M1092" s="29"/>
    </row>
    <row r="1093" spans="1:13" ht="75" customHeight="1" thickTop="1" thickBot="1">
      <c r="A1093" s="25">
        <v>1091</v>
      </c>
      <c r="B1093" s="32"/>
      <c r="C1093" s="33"/>
      <c r="D1093" s="33"/>
      <c r="E1093" s="23"/>
      <c r="F1093" s="23"/>
      <c r="G1093" s="23"/>
      <c r="H1093" s="23"/>
      <c r="I1093" s="23"/>
      <c r="J1093" s="23"/>
      <c r="K1093" s="23"/>
      <c r="L1093" s="32"/>
      <c r="M1093" s="23"/>
    </row>
    <row r="1094" spans="1:13" ht="75" customHeight="1" thickTop="1" thickBot="1">
      <c r="A1094" s="23">
        <v>1092</v>
      </c>
      <c r="B1094" s="32"/>
      <c r="C1094" s="33"/>
      <c r="D1094" s="33"/>
      <c r="E1094" s="23"/>
      <c r="F1094" s="23"/>
      <c r="G1094" s="23"/>
      <c r="H1094" s="23"/>
      <c r="I1094" s="23"/>
      <c r="J1094" s="23"/>
      <c r="K1094" s="23"/>
      <c r="L1094" s="32"/>
      <c r="M1094" s="23"/>
    </row>
    <row r="1095" spans="1:13" ht="75" customHeight="1" thickTop="1" thickBot="1">
      <c r="A1095" s="25">
        <v>1093</v>
      </c>
      <c r="B1095" s="32"/>
      <c r="C1095" s="33"/>
      <c r="D1095" s="33"/>
      <c r="E1095" s="23"/>
      <c r="F1095" s="23"/>
      <c r="G1095" s="23"/>
      <c r="H1095" s="23"/>
      <c r="I1095" s="23"/>
      <c r="J1095" s="23"/>
      <c r="K1095" s="23"/>
      <c r="L1095" s="32"/>
      <c r="M1095" s="23"/>
    </row>
    <row r="1096" spans="1:13" ht="75" customHeight="1" thickTop="1" thickBot="1">
      <c r="A1096" s="23">
        <v>1094</v>
      </c>
      <c r="B1096" s="32"/>
      <c r="C1096" s="33"/>
      <c r="D1096" s="33"/>
      <c r="E1096" s="23"/>
      <c r="F1096" s="23"/>
      <c r="G1096" s="23"/>
      <c r="H1096" s="23"/>
      <c r="I1096" s="23"/>
      <c r="J1096" s="23"/>
      <c r="K1096" s="23"/>
      <c r="L1096" s="32"/>
      <c r="M1096" s="23"/>
    </row>
    <row r="1097" spans="1:13" ht="75" customHeight="1" thickTop="1" thickBot="1">
      <c r="A1097" s="25">
        <v>1095</v>
      </c>
      <c r="B1097" s="32"/>
      <c r="C1097" s="33"/>
      <c r="D1097" s="33"/>
      <c r="E1097" s="23"/>
      <c r="F1097" s="23"/>
      <c r="G1097" s="23"/>
      <c r="H1097" s="23"/>
      <c r="I1097" s="23"/>
      <c r="J1097" s="23"/>
      <c r="K1097" s="23"/>
      <c r="L1097" s="32"/>
      <c r="M1097" s="23"/>
    </row>
    <row r="1098" spans="1:13" ht="75" customHeight="1" thickTop="1" thickBot="1">
      <c r="A1098" s="23">
        <v>1096</v>
      </c>
      <c r="B1098" s="32"/>
      <c r="C1098" s="33"/>
      <c r="D1098" s="33"/>
      <c r="E1098" s="23"/>
      <c r="F1098" s="23"/>
      <c r="G1098" s="23"/>
      <c r="H1098" s="23"/>
      <c r="I1098" s="23"/>
      <c r="J1098" s="23"/>
      <c r="K1098" s="23"/>
      <c r="L1098" s="32"/>
      <c r="M1098" s="23"/>
    </row>
    <row r="1099" spans="1:13" ht="75" customHeight="1" thickTop="1" thickBot="1">
      <c r="A1099" s="25">
        <v>1097</v>
      </c>
      <c r="B1099" s="32"/>
      <c r="C1099" s="33"/>
      <c r="D1099" s="33"/>
      <c r="E1099" s="23"/>
      <c r="F1099" s="23"/>
      <c r="G1099" s="23"/>
      <c r="H1099" s="23"/>
      <c r="I1099" s="23"/>
      <c r="J1099" s="23"/>
      <c r="K1099" s="23"/>
      <c r="L1099" s="32"/>
      <c r="M1099" s="23"/>
    </row>
    <row r="1100" spans="1:13" ht="75" customHeight="1" thickTop="1" thickBot="1">
      <c r="A1100" s="23">
        <v>1098</v>
      </c>
      <c r="B1100" s="32"/>
      <c r="C1100" s="33"/>
      <c r="D1100" s="33"/>
      <c r="E1100" s="23"/>
      <c r="F1100" s="23"/>
      <c r="G1100" s="23"/>
      <c r="H1100" s="23"/>
      <c r="I1100" s="23"/>
      <c r="J1100" s="23"/>
      <c r="K1100" s="23"/>
      <c r="L1100" s="32"/>
      <c r="M1100" s="23"/>
    </row>
    <row r="1101" spans="1:13" ht="75" customHeight="1" thickTop="1" thickBot="1">
      <c r="A1101" s="25">
        <v>1099</v>
      </c>
      <c r="B1101" s="32"/>
      <c r="C1101" s="33"/>
      <c r="D1101" s="33"/>
      <c r="E1101" s="23"/>
      <c r="F1101" s="23"/>
      <c r="G1101" s="23"/>
      <c r="H1101" s="23"/>
      <c r="I1101" s="23"/>
      <c r="J1101" s="23"/>
      <c r="K1101" s="23"/>
      <c r="L1101" s="32"/>
      <c r="M1101" s="23"/>
    </row>
    <row r="1102" spans="1:13" ht="75" customHeight="1" thickTop="1" thickBot="1">
      <c r="A1102" s="23">
        <v>1100</v>
      </c>
      <c r="B1102" s="32"/>
      <c r="C1102" s="33"/>
      <c r="D1102" s="33"/>
      <c r="E1102" s="23"/>
      <c r="F1102" s="23"/>
      <c r="G1102" s="23"/>
      <c r="H1102" s="23"/>
      <c r="I1102" s="23"/>
      <c r="J1102" s="23"/>
      <c r="K1102" s="23"/>
      <c r="L1102" s="32"/>
      <c r="M1102" s="23"/>
    </row>
    <row r="1103" spans="1:13" ht="75" customHeight="1" thickTop="1" thickBot="1">
      <c r="A1103" s="25">
        <v>1101</v>
      </c>
      <c r="B1103" s="32"/>
      <c r="C1103" s="33"/>
      <c r="D1103" s="33"/>
      <c r="E1103" s="23"/>
      <c r="F1103" s="23"/>
      <c r="G1103" s="23"/>
      <c r="H1103" s="23"/>
      <c r="I1103" s="23"/>
      <c r="J1103" s="23"/>
      <c r="K1103" s="23"/>
      <c r="L1103" s="32"/>
      <c r="M1103" s="23"/>
    </row>
    <row r="1104" spans="1:13" ht="75" customHeight="1" thickTop="1" thickBot="1">
      <c r="A1104" s="23">
        <v>1102</v>
      </c>
      <c r="B1104" s="32"/>
      <c r="C1104" s="33"/>
      <c r="D1104" s="33"/>
      <c r="E1104" s="23"/>
      <c r="F1104" s="23"/>
      <c r="G1104" s="23"/>
      <c r="H1104" s="23"/>
      <c r="I1104" s="23"/>
      <c r="J1104" s="23"/>
      <c r="K1104" s="23"/>
      <c r="L1104" s="32"/>
      <c r="M1104" s="23"/>
    </row>
    <row r="1105" spans="1:13" ht="75" customHeight="1" thickTop="1" thickBot="1">
      <c r="A1105" s="25">
        <v>1103</v>
      </c>
      <c r="B1105" s="32"/>
      <c r="C1105" s="33"/>
      <c r="D1105" s="33"/>
      <c r="E1105" s="23"/>
      <c r="F1105" s="23"/>
      <c r="G1105" s="23"/>
      <c r="H1105" s="23"/>
      <c r="I1105" s="23"/>
      <c r="J1105" s="23"/>
      <c r="K1105" s="23"/>
      <c r="L1105" s="32"/>
      <c r="M1105" s="23"/>
    </row>
    <row r="1106" spans="1:13" ht="75" customHeight="1" thickTop="1" thickBot="1">
      <c r="A1106" s="23">
        <v>1104</v>
      </c>
      <c r="B1106" s="32"/>
      <c r="C1106" s="33"/>
      <c r="D1106" s="33"/>
      <c r="E1106" s="23"/>
      <c r="F1106" s="23"/>
      <c r="G1106" s="23"/>
      <c r="H1106" s="23"/>
      <c r="I1106" s="23"/>
      <c r="J1106" s="23"/>
      <c r="K1106" s="23"/>
      <c r="L1106" s="32"/>
      <c r="M1106" s="23"/>
    </row>
    <row r="1107" spans="1:13" ht="75" customHeight="1" thickTop="1" thickBot="1">
      <c r="A1107" s="25">
        <v>1105</v>
      </c>
      <c r="B1107" s="32"/>
      <c r="C1107" s="33"/>
      <c r="D1107" s="33"/>
      <c r="E1107" s="23"/>
      <c r="F1107" s="23"/>
      <c r="G1107" s="23"/>
      <c r="H1107" s="23"/>
      <c r="I1107" s="23"/>
      <c r="J1107" s="23"/>
      <c r="K1107" s="23"/>
      <c r="L1107" s="32"/>
      <c r="M1107" s="23"/>
    </row>
    <row r="1108" spans="1:13" ht="75" customHeight="1" thickTop="1" thickBot="1">
      <c r="A1108" s="23">
        <v>1106</v>
      </c>
      <c r="B1108" s="32"/>
      <c r="C1108" s="33"/>
      <c r="D1108" s="33"/>
      <c r="E1108" s="23"/>
      <c r="F1108" s="23"/>
      <c r="G1108" s="23"/>
      <c r="H1108" s="23"/>
      <c r="I1108" s="23"/>
      <c r="J1108" s="23"/>
      <c r="K1108" s="23"/>
      <c r="L1108" s="32"/>
      <c r="M1108" s="23"/>
    </row>
    <row r="1109" spans="1:13" ht="75" customHeight="1" thickTop="1" thickBot="1">
      <c r="A1109" s="25">
        <v>1107</v>
      </c>
      <c r="B1109" s="32"/>
      <c r="C1109" s="33"/>
      <c r="D1109" s="33"/>
      <c r="E1109" s="23"/>
      <c r="F1109" s="23"/>
      <c r="G1109" s="23"/>
      <c r="H1109" s="23"/>
      <c r="I1109" s="23"/>
      <c r="J1109" s="23"/>
      <c r="K1109" s="23"/>
      <c r="L1109" s="32"/>
      <c r="M1109" s="23"/>
    </row>
    <row r="1110" spans="1:13" ht="75" customHeight="1" thickTop="1" thickBot="1">
      <c r="A1110" s="23">
        <v>1108</v>
      </c>
      <c r="B1110" s="32"/>
      <c r="C1110" s="33"/>
      <c r="D1110" s="33"/>
      <c r="E1110" s="23"/>
      <c r="F1110" s="23"/>
      <c r="G1110" s="23"/>
      <c r="H1110" s="23"/>
      <c r="I1110" s="23"/>
      <c r="J1110" s="23"/>
      <c r="K1110" s="23"/>
      <c r="L1110" s="32"/>
      <c r="M1110" s="23"/>
    </row>
    <row r="1111" spans="1:13" ht="75" customHeight="1" thickTop="1" thickBot="1">
      <c r="A1111" s="25">
        <v>1109</v>
      </c>
      <c r="B1111" s="32"/>
      <c r="C1111" s="33"/>
      <c r="D1111" s="33"/>
      <c r="E1111" s="23"/>
      <c r="F1111" s="23"/>
      <c r="G1111" s="23"/>
      <c r="H1111" s="23"/>
      <c r="I1111" s="23"/>
      <c r="J1111" s="23"/>
      <c r="K1111" s="23"/>
      <c r="L1111" s="32"/>
      <c r="M1111" s="23"/>
    </row>
    <row r="1112" spans="1:13" ht="75" customHeight="1" thickTop="1" thickBot="1">
      <c r="A1112" s="23">
        <v>1110</v>
      </c>
      <c r="B1112" s="32"/>
      <c r="C1112" s="33"/>
      <c r="D1112" s="33"/>
      <c r="E1112" s="23"/>
      <c r="F1112" s="23"/>
      <c r="G1112" s="23"/>
      <c r="H1112" s="23"/>
      <c r="I1112" s="23"/>
      <c r="J1112" s="23"/>
      <c r="K1112" s="23"/>
      <c r="L1112" s="32"/>
      <c r="M1112" s="23"/>
    </row>
    <row r="1113" spans="1:13" ht="75" customHeight="1" thickTop="1" thickBot="1">
      <c r="A1113" s="25">
        <v>1111</v>
      </c>
      <c r="B1113" s="32"/>
      <c r="C1113" s="33"/>
      <c r="D1113" s="33"/>
      <c r="E1113" s="23"/>
      <c r="F1113" s="23"/>
      <c r="G1113" s="23"/>
      <c r="H1113" s="23"/>
      <c r="I1113" s="23"/>
      <c r="J1113" s="23"/>
      <c r="K1113" s="23"/>
      <c r="L1113" s="32"/>
      <c r="M1113" s="23"/>
    </row>
    <row r="1114" spans="1:13" ht="75" customHeight="1" thickTop="1" thickBot="1">
      <c r="A1114" s="23">
        <v>1112</v>
      </c>
      <c r="B1114" s="32"/>
      <c r="C1114" s="33"/>
      <c r="D1114" s="33"/>
      <c r="E1114" s="23"/>
      <c r="F1114" s="23"/>
      <c r="G1114" s="23"/>
      <c r="H1114" s="23"/>
      <c r="I1114" s="23"/>
      <c r="J1114" s="23"/>
      <c r="K1114" s="23"/>
      <c r="L1114" s="32"/>
      <c r="M1114" s="23"/>
    </row>
    <row r="1115" spans="1:13" ht="75" customHeight="1" thickTop="1" thickBot="1">
      <c r="A1115" s="25">
        <v>1113</v>
      </c>
      <c r="B1115" s="32"/>
      <c r="C1115" s="33"/>
      <c r="D1115" s="33"/>
      <c r="E1115" s="23"/>
      <c r="F1115" s="23"/>
      <c r="G1115" s="23"/>
      <c r="H1115" s="23"/>
      <c r="I1115" s="23"/>
      <c r="J1115" s="23"/>
      <c r="K1115" s="23"/>
      <c r="L1115" s="32"/>
      <c r="M1115" s="23"/>
    </row>
    <row r="1116" spans="1:13" ht="75" customHeight="1" thickTop="1" thickBot="1">
      <c r="A1116" s="23">
        <v>1114</v>
      </c>
      <c r="B1116" s="32"/>
      <c r="C1116" s="33"/>
      <c r="D1116" s="33"/>
      <c r="E1116" s="23"/>
      <c r="F1116" s="23"/>
      <c r="G1116" s="23"/>
      <c r="H1116" s="23"/>
      <c r="I1116" s="23"/>
      <c r="J1116" s="23"/>
      <c r="K1116" s="23"/>
      <c r="L1116" s="32"/>
      <c r="M1116" s="23"/>
    </row>
    <row r="1117" spans="1:13" ht="75" customHeight="1" thickTop="1" thickBot="1">
      <c r="A1117" s="25">
        <v>1115</v>
      </c>
      <c r="B1117" s="32"/>
      <c r="C1117" s="33"/>
      <c r="D1117" s="33"/>
      <c r="E1117" s="23"/>
      <c r="F1117" s="23"/>
      <c r="G1117" s="23"/>
      <c r="H1117" s="23"/>
      <c r="I1117" s="23"/>
      <c r="J1117" s="23"/>
      <c r="K1117" s="23"/>
      <c r="L1117" s="32"/>
      <c r="M1117" s="23"/>
    </row>
    <row r="1118" spans="1:13" ht="75" customHeight="1" thickTop="1" thickBot="1">
      <c r="A1118" s="23">
        <v>1116</v>
      </c>
      <c r="B1118" s="32"/>
      <c r="C1118" s="33"/>
      <c r="D1118" s="33"/>
      <c r="E1118" s="23"/>
      <c r="F1118" s="23"/>
      <c r="G1118" s="23"/>
      <c r="H1118" s="23"/>
      <c r="I1118" s="23"/>
      <c r="J1118" s="23"/>
      <c r="K1118" s="23"/>
      <c r="L1118" s="32"/>
      <c r="M1118" s="23"/>
    </row>
    <row r="1119" spans="1:13" ht="75" customHeight="1" thickTop="1" thickBot="1">
      <c r="A1119" s="25">
        <v>1117</v>
      </c>
      <c r="B1119" s="32"/>
      <c r="C1119" s="33"/>
      <c r="D1119" s="33"/>
      <c r="E1119" s="23"/>
      <c r="F1119" s="23"/>
      <c r="G1119" s="23"/>
      <c r="H1119" s="23"/>
      <c r="I1119" s="23"/>
      <c r="J1119" s="23"/>
      <c r="K1119" s="23"/>
      <c r="L1119" s="32"/>
      <c r="M1119" s="23"/>
    </row>
    <row r="1120" spans="1:13" ht="75" customHeight="1" thickTop="1" thickBot="1">
      <c r="A1120" s="23">
        <v>1118</v>
      </c>
      <c r="B1120" s="32"/>
      <c r="C1120" s="33"/>
      <c r="D1120" s="33"/>
      <c r="E1120" s="23"/>
      <c r="F1120" s="23"/>
      <c r="G1120" s="23"/>
      <c r="H1120" s="23"/>
      <c r="I1120" s="23"/>
      <c r="J1120" s="23"/>
      <c r="K1120" s="23"/>
      <c r="L1120" s="32"/>
      <c r="M1120" s="23"/>
    </row>
    <row r="1121" spans="1:13" ht="75" customHeight="1" thickTop="1" thickBot="1">
      <c r="A1121" s="25">
        <v>1119</v>
      </c>
      <c r="B1121" s="32"/>
      <c r="C1121" s="33"/>
      <c r="D1121" s="33"/>
      <c r="E1121" s="23"/>
      <c r="F1121" s="23"/>
      <c r="G1121" s="23"/>
      <c r="H1121" s="23"/>
      <c r="I1121" s="23"/>
      <c r="J1121" s="23"/>
      <c r="K1121" s="23"/>
      <c r="L1121" s="32"/>
      <c r="M1121" s="23"/>
    </row>
    <row r="1122" spans="1:13" ht="75" customHeight="1" thickTop="1" thickBot="1">
      <c r="A1122" s="23">
        <v>1120</v>
      </c>
      <c r="B1122" s="32"/>
      <c r="C1122" s="33"/>
      <c r="D1122" s="33"/>
      <c r="E1122" s="23"/>
      <c r="F1122" s="23"/>
      <c r="G1122" s="23"/>
      <c r="H1122" s="23"/>
      <c r="I1122" s="23"/>
      <c r="J1122" s="23"/>
      <c r="K1122" s="23"/>
      <c r="L1122" s="32"/>
      <c r="M1122" s="23"/>
    </row>
    <row r="1123" spans="1:13" ht="75" customHeight="1" thickTop="1" thickBot="1">
      <c r="A1123" s="25">
        <v>1121</v>
      </c>
      <c r="B1123" s="32"/>
      <c r="C1123" s="33"/>
      <c r="D1123" s="33"/>
      <c r="E1123" s="23"/>
      <c r="F1123" s="23"/>
      <c r="G1123" s="23"/>
      <c r="H1123" s="23"/>
      <c r="I1123" s="23"/>
      <c r="J1123" s="23"/>
      <c r="K1123" s="23"/>
      <c r="L1123" s="32"/>
      <c r="M1123" s="23"/>
    </row>
    <row r="1124" spans="1:13" ht="75" customHeight="1" thickTop="1" thickBot="1">
      <c r="A1124" s="23">
        <v>1122</v>
      </c>
      <c r="B1124" s="32"/>
      <c r="C1124" s="33"/>
      <c r="D1124" s="33"/>
      <c r="E1124" s="23"/>
      <c r="F1124" s="23"/>
      <c r="G1124" s="23"/>
      <c r="H1124" s="23"/>
      <c r="I1124" s="23"/>
      <c r="J1124" s="23"/>
      <c r="K1124" s="23"/>
      <c r="L1124" s="32"/>
      <c r="M1124" s="23"/>
    </row>
    <row r="1125" spans="1:13" ht="75" customHeight="1" thickTop="1" thickBot="1">
      <c r="A1125" s="25">
        <v>1123</v>
      </c>
      <c r="B1125" s="32"/>
      <c r="C1125" s="33"/>
      <c r="D1125" s="33"/>
      <c r="E1125" s="23"/>
      <c r="F1125" s="23"/>
      <c r="G1125" s="23"/>
      <c r="H1125" s="23"/>
      <c r="I1125" s="23"/>
      <c r="J1125" s="23"/>
      <c r="K1125" s="23"/>
      <c r="L1125" s="32"/>
      <c r="M1125" s="23"/>
    </row>
    <row r="1126" spans="1:13" ht="75" customHeight="1" thickTop="1" thickBot="1">
      <c r="A1126" s="23">
        <v>1124</v>
      </c>
      <c r="B1126" s="32"/>
      <c r="C1126" s="33"/>
      <c r="D1126" s="33"/>
      <c r="E1126" s="23"/>
      <c r="F1126" s="23"/>
      <c r="G1126" s="23"/>
      <c r="H1126" s="23"/>
      <c r="I1126" s="23"/>
      <c r="J1126" s="23"/>
      <c r="K1126" s="23"/>
      <c r="L1126" s="32"/>
      <c r="M1126" s="23"/>
    </row>
    <row r="1127" spans="1:13" ht="75" customHeight="1" thickTop="1" thickBot="1">
      <c r="A1127" s="25">
        <v>1125</v>
      </c>
      <c r="B1127" s="32"/>
      <c r="C1127" s="33"/>
      <c r="D1127" s="33"/>
      <c r="E1127" s="23"/>
      <c r="F1127" s="23"/>
      <c r="G1127" s="23"/>
      <c r="H1127" s="23"/>
      <c r="I1127" s="23"/>
      <c r="J1127" s="23"/>
      <c r="K1127" s="23"/>
      <c r="L1127" s="32"/>
      <c r="M1127" s="23"/>
    </row>
    <row r="1128" spans="1:13" ht="75" customHeight="1" thickTop="1" thickBot="1">
      <c r="A1128" s="23">
        <v>1126</v>
      </c>
      <c r="B1128" s="32"/>
      <c r="C1128" s="33"/>
      <c r="D1128" s="33"/>
      <c r="E1128" s="23"/>
      <c r="F1128" s="23"/>
      <c r="G1128" s="23"/>
      <c r="H1128" s="23"/>
      <c r="I1128" s="23"/>
      <c r="J1128" s="23"/>
      <c r="K1128" s="23"/>
      <c r="L1128" s="32"/>
      <c r="M1128" s="23"/>
    </row>
    <row r="1129" spans="1:13" ht="75" customHeight="1" thickTop="1" thickBot="1">
      <c r="A1129" s="25">
        <v>1127</v>
      </c>
      <c r="B1129" s="32"/>
      <c r="C1129" s="33"/>
      <c r="D1129" s="33"/>
      <c r="E1129" s="23"/>
      <c r="F1129" s="23"/>
      <c r="G1129" s="23"/>
      <c r="H1129" s="23"/>
      <c r="I1129" s="23"/>
      <c r="J1129" s="23"/>
      <c r="K1129" s="23"/>
      <c r="L1129" s="32"/>
      <c r="M1129" s="23"/>
    </row>
    <row r="1130" spans="1:13" ht="75" customHeight="1" thickTop="1" thickBot="1">
      <c r="A1130" s="23">
        <v>1128</v>
      </c>
      <c r="B1130" s="32"/>
      <c r="C1130" s="33"/>
      <c r="D1130" s="33"/>
      <c r="E1130" s="23"/>
      <c r="F1130" s="23"/>
      <c r="G1130" s="23"/>
      <c r="H1130" s="23"/>
      <c r="I1130" s="23"/>
      <c r="J1130" s="23"/>
      <c r="K1130" s="23"/>
      <c r="L1130" s="32"/>
      <c r="M1130" s="23"/>
    </row>
    <row r="1131" spans="1:13" ht="75" customHeight="1" thickTop="1" thickBot="1">
      <c r="A1131" s="23"/>
      <c r="B1131" s="32"/>
      <c r="C1131" s="33"/>
      <c r="D1131" s="33"/>
      <c r="E1131" s="23"/>
      <c r="F1131" s="23"/>
      <c r="G1131" s="23"/>
      <c r="H1131" s="23"/>
      <c r="I1131" s="23"/>
      <c r="J1131" s="23"/>
      <c r="K1131" s="23"/>
      <c r="L1131" s="32"/>
      <c r="M1131" s="23"/>
    </row>
    <row r="1132" spans="1:13" ht="75" customHeight="1" thickTop="1" thickBot="1">
      <c r="A1132" s="23"/>
      <c r="B1132" s="32"/>
      <c r="C1132" s="33"/>
      <c r="D1132" s="33"/>
      <c r="E1132" s="23"/>
      <c r="F1132" s="23"/>
      <c r="G1132" s="23"/>
      <c r="H1132" s="23"/>
      <c r="I1132" s="23"/>
      <c r="J1132" s="23"/>
      <c r="K1132" s="23"/>
      <c r="L1132" s="32"/>
      <c r="M1132" s="23"/>
    </row>
    <row r="1133" spans="1:13" ht="75" customHeight="1" thickTop="1" thickBot="1">
      <c r="A1133" s="23"/>
      <c r="B1133" s="32"/>
      <c r="C1133" s="33"/>
      <c r="D1133" s="33"/>
      <c r="E1133" s="23"/>
      <c r="F1133" s="23"/>
      <c r="G1133" s="23"/>
      <c r="H1133" s="23"/>
      <c r="I1133" s="23"/>
      <c r="J1133" s="23"/>
      <c r="K1133" s="23"/>
      <c r="L1133" s="32"/>
      <c r="M1133" s="23"/>
    </row>
    <row r="1134" spans="1:13" ht="75" customHeight="1" thickTop="1" thickBot="1">
      <c r="A1134" s="23"/>
      <c r="B1134" s="32"/>
      <c r="C1134" s="33"/>
      <c r="D1134" s="33"/>
      <c r="E1134" s="23"/>
      <c r="F1134" s="23"/>
      <c r="G1134" s="23"/>
      <c r="H1134" s="23"/>
      <c r="I1134" s="23"/>
      <c r="J1134" s="23"/>
      <c r="K1134" s="23"/>
      <c r="L1134" s="32"/>
      <c r="M1134" s="23"/>
    </row>
    <row r="1135" spans="1:13" ht="75" customHeight="1" thickTop="1" thickBot="1">
      <c r="A1135" s="23"/>
      <c r="B1135" s="32"/>
      <c r="C1135" s="33"/>
      <c r="D1135" s="33"/>
      <c r="E1135" s="23"/>
      <c r="F1135" s="23"/>
      <c r="G1135" s="23"/>
      <c r="H1135" s="23"/>
      <c r="I1135" s="23"/>
      <c r="J1135" s="23"/>
      <c r="K1135" s="23"/>
      <c r="L1135" s="32"/>
      <c r="M1135" s="23"/>
    </row>
    <row r="1136" spans="1:13" ht="75" customHeight="1" thickTop="1" thickBot="1">
      <c r="A1136" s="23"/>
      <c r="B1136" s="32"/>
      <c r="C1136" s="33"/>
      <c r="D1136" s="33"/>
      <c r="E1136" s="23"/>
      <c r="F1136" s="23"/>
      <c r="G1136" s="23"/>
      <c r="H1136" s="23"/>
      <c r="I1136" s="23"/>
      <c r="J1136" s="23"/>
      <c r="K1136" s="23"/>
      <c r="L1136" s="32"/>
      <c r="M1136" s="23"/>
    </row>
    <row r="1137" spans="1:13" ht="75" customHeight="1" thickTop="1" thickBot="1">
      <c r="A1137" s="23"/>
      <c r="B1137" s="32"/>
      <c r="C1137" s="33"/>
      <c r="D1137" s="33"/>
      <c r="E1137" s="23"/>
      <c r="F1137" s="23"/>
      <c r="G1137" s="23"/>
      <c r="H1137" s="23"/>
      <c r="I1137" s="23"/>
      <c r="J1137" s="23"/>
      <c r="K1137" s="23"/>
      <c r="L1137" s="32"/>
      <c r="M1137" s="23"/>
    </row>
    <row r="1138" spans="1:13" ht="75" customHeight="1" thickTop="1" thickBot="1">
      <c r="A1138" s="23"/>
      <c r="B1138" s="32"/>
      <c r="C1138" s="33"/>
      <c r="D1138" s="33"/>
      <c r="E1138" s="23"/>
      <c r="F1138" s="23"/>
      <c r="G1138" s="23"/>
      <c r="H1138" s="23"/>
      <c r="I1138" s="23"/>
      <c r="J1138" s="23"/>
      <c r="K1138" s="23"/>
      <c r="L1138" s="32"/>
      <c r="M1138" s="23"/>
    </row>
    <row r="1139" spans="1:13" ht="75" customHeight="1" thickTop="1" thickBot="1">
      <c r="A1139" s="23"/>
      <c r="B1139" s="32"/>
      <c r="C1139" s="33"/>
      <c r="D1139" s="33"/>
      <c r="E1139" s="23"/>
      <c r="F1139" s="23"/>
      <c r="G1139" s="23"/>
      <c r="H1139" s="23"/>
      <c r="I1139" s="23"/>
      <c r="J1139" s="23"/>
      <c r="K1139" s="23"/>
      <c r="L1139" s="32"/>
      <c r="M1139" s="23"/>
    </row>
    <row r="1140" spans="1:13" ht="75" customHeight="1" thickTop="1" thickBot="1">
      <c r="A1140" s="23"/>
      <c r="B1140" s="32"/>
      <c r="C1140" s="33"/>
      <c r="D1140" s="33"/>
      <c r="E1140" s="23"/>
      <c r="F1140" s="23"/>
      <c r="G1140" s="23"/>
      <c r="H1140" s="23"/>
      <c r="I1140" s="23"/>
      <c r="J1140" s="23"/>
      <c r="K1140" s="23"/>
      <c r="L1140" s="32"/>
      <c r="M1140" s="23"/>
    </row>
    <row r="1141" spans="1:13" ht="75" customHeight="1" thickTop="1" thickBot="1">
      <c r="A1141" s="23"/>
      <c r="B1141" s="32"/>
      <c r="C1141" s="33"/>
      <c r="D1141" s="33"/>
      <c r="E1141" s="23"/>
      <c r="F1141" s="23"/>
      <c r="G1141" s="23"/>
      <c r="H1141" s="23"/>
      <c r="I1141" s="23"/>
      <c r="J1141" s="23"/>
      <c r="K1141" s="23"/>
      <c r="L1141" s="32"/>
      <c r="M1141" s="23"/>
    </row>
    <row r="1142" spans="1:13" ht="75" customHeight="1" thickTop="1" thickBot="1">
      <c r="A1142" s="23"/>
      <c r="B1142" s="32"/>
      <c r="C1142" s="33"/>
      <c r="D1142" s="33"/>
      <c r="E1142" s="23"/>
      <c r="F1142" s="23"/>
      <c r="G1142" s="23"/>
      <c r="H1142" s="23"/>
      <c r="I1142" s="23"/>
      <c r="J1142" s="23"/>
      <c r="K1142" s="23"/>
      <c r="L1142" s="32"/>
      <c r="M1142" s="23"/>
    </row>
    <row r="1143" spans="1:13" ht="75" customHeight="1" thickTop="1" thickBot="1">
      <c r="A1143" s="23"/>
      <c r="B1143" s="32"/>
      <c r="C1143" s="33"/>
      <c r="D1143" s="33"/>
      <c r="E1143" s="23"/>
      <c r="F1143" s="23"/>
      <c r="G1143" s="23"/>
      <c r="H1143" s="23"/>
      <c r="I1143" s="23"/>
      <c r="J1143" s="23"/>
      <c r="K1143" s="23"/>
      <c r="L1143" s="32"/>
      <c r="M1143" s="23"/>
    </row>
    <row r="1144" spans="1:13" ht="75" customHeight="1" thickTop="1" thickBot="1">
      <c r="A1144" s="23"/>
      <c r="B1144" s="32"/>
      <c r="C1144" s="33"/>
      <c r="D1144" s="33"/>
      <c r="E1144" s="23"/>
      <c r="F1144" s="23"/>
      <c r="G1144" s="23"/>
      <c r="H1144" s="23"/>
      <c r="I1144" s="23"/>
      <c r="J1144" s="23"/>
      <c r="K1144" s="23"/>
      <c r="L1144" s="32"/>
      <c r="M1144" s="23"/>
    </row>
    <row r="1145" spans="1:13" ht="75" customHeight="1" thickTop="1" thickBot="1">
      <c r="A1145" s="23"/>
      <c r="B1145" s="32"/>
      <c r="C1145" s="33"/>
      <c r="D1145" s="33"/>
      <c r="E1145" s="23"/>
      <c r="F1145" s="23"/>
      <c r="G1145" s="23"/>
      <c r="H1145" s="23"/>
      <c r="I1145" s="23"/>
      <c r="J1145" s="23"/>
      <c r="K1145" s="23"/>
      <c r="L1145" s="32"/>
      <c r="M1145" s="23"/>
    </row>
    <row r="1146" spans="1:13" ht="75" customHeight="1" thickTop="1" thickBot="1">
      <c r="A1146" s="23"/>
      <c r="B1146" s="32"/>
      <c r="C1146" s="33"/>
      <c r="D1146" s="33"/>
      <c r="E1146" s="23"/>
      <c r="F1146" s="23"/>
      <c r="G1146" s="23"/>
      <c r="H1146" s="23"/>
      <c r="I1146" s="23"/>
      <c r="J1146" s="23"/>
      <c r="K1146" s="23"/>
      <c r="L1146" s="32"/>
      <c r="M1146" s="23"/>
    </row>
    <row r="1147" spans="1:13" ht="75" customHeight="1" thickTop="1" thickBot="1">
      <c r="A1147" s="23"/>
      <c r="B1147" s="32"/>
      <c r="C1147" s="33"/>
      <c r="D1147" s="33"/>
      <c r="E1147" s="23"/>
      <c r="F1147" s="23"/>
      <c r="G1147" s="23"/>
      <c r="H1147" s="23"/>
      <c r="I1147" s="23"/>
      <c r="J1147" s="23"/>
      <c r="K1147" s="23"/>
      <c r="L1147" s="32"/>
      <c r="M1147" s="23"/>
    </row>
    <row r="1148" spans="1:13" ht="75" customHeight="1" thickTop="1" thickBot="1">
      <c r="A1148" s="23"/>
      <c r="B1148" s="32"/>
      <c r="C1148" s="33"/>
      <c r="D1148" s="33"/>
      <c r="E1148" s="23"/>
      <c r="F1148" s="23"/>
      <c r="G1148" s="23"/>
      <c r="H1148" s="23"/>
      <c r="I1148" s="23"/>
      <c r="J1148" s="23"/>
      <c r="K1148" s="23"/>
      <c r="L1148" s="32"/>
      <c r="M1148" s="23"/>
    </row>
    <row r="1149" spans="1:13" ht="75" customHeight="1" thickTop="1" thickBot="1">
      <c r="A1149" s="23"/>
      <c r="B1149" s="32"/>
      <c r="C1149" s="33"/>
      <c r="D1149" s="33"/>
      <c r="E1149" s="23"/>
      <c r="F1149" s="23"/>
      <c r="G1149" s="23"/>
      <c r="H1149" s="23"/>
      <c r="I1149" s="23"/>
      <c r="J1149" s="23"/>
      <c r="K1149" s="23"/>
      <c r="L1149" s="32"/>
      <c r="M1149" s="23"/>
    </row>
    <row r="1150" spans="1:13" ht="75" customHeight="1" thickTop="1" thickBot="1">
      <c r="A1150" s="23"/>
      <c r="B1150" s="32"/>
      <c r="C1150" s="33"/>
      <c r="D1150" s="33"/>
      <c r="E1150" s="23"/>
      <c r="F1150" s="23"/>
      <c r="G1150" s="23"/>
      <c r="H1150" s="23"/>
      <c r="I1150" s="23"/>
      <c r="J1150" s="23"/>
      <c r="K1150" s="23"/>
      <c r="L1150" s="32"/>
      <c r="M1150" s="23"/>
    </row>
    <row r="1151" spans="1:13" ht="75" customHeight="1" thickTop="1" thickBot="1">
      <c r="A1151" s="23"/>
      <c r="B1151" s="32"/>
      <c r="C1151" s="33"/>
      <c r="D1151" s="33"/>
      <c r="E1151" s="23"/>
      <c r="F1151" s="23"/>
      <c r="G1151" s="23"/>
      <c r="H1151" s="23"/>
      <c r="I1151" s="23"/>
      <c r="J1151" s="23"/>
      <c r="K1151" s="23"/>
      <c r="L1151" s="32"/>
      <c r="M1151" s="23"/>
    </row>
    <row r="1152" spans="1:13" ht="75" customHeight="1" thickTop="1" thickBot="1">
      <c r="A1152" s="23"/>
      <c r="B1152" s="32"/>
      <c r="C1152" s="33"/>
      <c r="D1152" s="33"/>
      <c r="E1152" s="23"/>
      <c r="F1152" s="23"/>
      <c r="G1152" s="23"/>
      <c r="H1152" s="23"/>
      <c r="I1152" s="23"/>
      <c r="J1152" s="23"/>
      <c r="K1152" s="23"/>
      <c r="L1152" s="32"/>
      <c r="M1152" s="23"/>
    </row>
    <row r="1153" spans="1:13" ht="75" customHeight="1" thickTop="1" thickBot="1">
      <c r="A1153" s="23"/>
      <c r="B1153" s="32"/>
      <c r="C1153" s="33"/>
      <c r="D1153" s="33"/>
      <c r="E1153" s="23"/>
      <c r="F1153" s="23"/>
      <c r="G1153" s="23"/>
      <c r="H1153" s="23"/>
      <c r="I1153" s="23"/>
      <c r="J1153" s="23"/>
      <c r="K1153" s="23"/>
      <c r="L1153" s="32"/>
      <c r="M1153" s="23"/>
    </row>
    <row r="1154" spans="1:13" ht="75" customHeight="1" thickTop="1" thickBot="1">
      <c r="A1154" s="23"/>
      <c r="B1154" s="32"/>
      <c r="C1154" s="33"/>
      <c r="D1154" s="33"/>
      <c r="E1154" s="23"/>
      <c r="F1154" s="23"/>
      <c r="G1154" s="23"/>
      <c r="H1154" s="23"/>
      <c r="I1154" s="23"/>
      <c r="J1154" s="23"/>
      <c r="K1154" s="23"/>
      <c r="L1154" s="32"/>
      <c r="M1154" s="23"/>
    </row>
    <row r="1155" spans="1:13" ht="75" customHeight="1" thickTop="1" thickBot="1">
      <c r="A1155" s="23"/>
      <c r="B1155" s="32"/>
      <c r="C1155" s="33"/>
      <c r="D1155" s="33"/>
      <c r="E1155" s="23"/>
      <c r="F1155" s="23"/>
      <c r="G1155" s="23"/>
      <c r="H1155" s="23"/>
      <c r="I1155" s="23"/>
      <c r="J1155" s="23"/>
      <c r="K1155" s="23"/>
      <c r="L1155" s="32"/>
      <c r="M1155" s="23"/>
    </row>
    <row r="1156" spans="1:13" ht="75" customHeight="1" thickTop="1" thickBot="1">
      <c r="A1156" s="23"/>
      <c r="B1156" s="32"/>
      <c r="C1156" s="33"/>
      <c r="D1156" s="33"/>
      <c r="E1156" s="23"/>
      <c r="F1156" s="23"/>
      <c r="G1156" s="23"/>
      <c r="H1156" s="23"/>
      <c r="I1156" s="23"/>
      <c r="J1156" s="23"/>
      <c r="K1156" s="23"/>
      <c r="L1156" s="32"/>
      <c r="M1156" s="23"/>
    </row>
    <row r="1157" spans="1:13" ht="75" customHeight="1" thickTop="1" thickBot="1">
      <c r="A1157" s="23"/>
      <c r="B1157" s="32"/>
      <c r="C1157" s="33"/>
      <c r="D1157" s="33"/>
      <c r="E1157" s="23"/>
      <c r="F1157" s="23"/>
      <c r="G1157" s="23"/>
      <c r="H1157" s="23"/>
      <c r="I1157" s="23"/>
      <c r="J1157" s="23"/>
      <c r="K1157" s="23"/>
      <c r="L1157" s="32"/>
      <c r="M1157" s="23"/>
    </row>
    <row r="1158" spans="1:13" ht="75" customHeight="1" thickTop="1" thickBot="1">
      <c r="A1158" s="23"/>
      <c r="B1158" s="32"/>
      <c r="C1158" s="33"/>
      <c r="D1158" s="33"/>
      <c r="E1158" s="23"/>
      <c r="F1158" s="23"/>
      <c r="G1158" s="23"/>
      <c r="H1158" s="23"/>
      <c r="I1158" s="23"/>
      <c r="J1158" s="23"/>
      <c r="K1158" s="23"/>
      <c r="L1158" s="32"/>
      <c r="M1158" s="23"/>
    </row>
    <row r="1159" spans="1:13" ht="75" customHeight="1" thickTop="1" thickBot="1">
      <c r="A1159" s="23"/>
      <c r="B1159" s="32"/>
      <c r="C1159" s="33"/>
      <c r="D1159" s="33"/>
      <c r="E1159" s="23"/>
      <c r="F1159" s="23"/>
      <c r="G1159" s="23"/>
      <c r="H1159" s="23"/>
      <c r="I1159" s="23"/>
      <c r="J1159" s="23"/>
      <c r="K1159" s="23"/>
      <c r="L1159" s="32"/>
      <c r="M1159" s="23"/>
    </row>
    <row r="1160" spans="1:13" ht="75" customHeight="1" thickTop="1" thickBot="1">
      <c r="A1160" s="23"/>
      <c r="B1160" s="32"/>
      <c r="C1160" s="33"/>
      <c r="D1160" s="33"/>
      <c r="E1160" s="23"/>
      <c r="F1160" s="23"/>
      <c r="G1160" s="23"/>
      <c r="H1160" s="23"/>
      <c r="I1160" s="23"/>
      <c r="J1160" s="23"/>
      <c r="K1160" s="23"/>
      <c r="L1160" s="32"/>
      <c r="M1160" s="23"/>
    </row>
    <row r="1161" spans="1:13" ht="75" customHeight="1" thickTop="1" thickBot="1">
      <c r="A1161" s="23"/>
      <c r="B1161" s="32"/>
      <c r="C1161" s="33"/>
      <c r="D1161" s="33"/>
      <c r="E1161" s="23"/>
      <c r="F1161" s="23"/>
      <c r="G1161" s="23"/>
      <c r="H1161" s="23"/>
      <c r="I1161" s="23"/>
      <c r="J1161" s="23"/>
      <c r="K1161" s="23"/>
      <c r="L1161" s="32"/>
      <c r="M1161" s="23"/>
    </row>
    <row r="1162" spans="1:13" ht="75" customHeight="1" thickTop="1" thickBot="1">
      <c r="A1162" s="23"/>
      <c r="B1162" s="32"/>
      <c r="C1162" s="33"/>
      <c r="D1162" s="33"/>
      <c r="E1162" s="23"/>
      <c r="F1162" s="23"/>
      <c r="G1162" s="23"/>
      <c r="H1162" s="23"/>
      <c r="I1162" s="23"/>
      <c r="J1162" s="23"/>
      <c r="K1162" s="23"/>
      <c r="L1162" s="32"/>
      <c r="M1162" s="23"/>
    </row>
    <row r="1163" spans="1:13" ht="75" customHeight="1" thickTop="1" thickBot="1">
      <c r="B1163" s="32"/>
      <c r="C1163" s="33"/>
      <c r="D1163" s="33"/>
      <c r="E1163" s="23"/>
      <c r="F1163" s="23"/>
      <c r="G1163" s="23"/>
      <c r="H1163" s="23"/>
      <c r="I1163" s="23"/>
      <c r="J1163" s="23"/>
      <c r="K1163" s="23"/>
      <c r="L1163" s="32"/>
      <c r="M1163" s="23"/>
    </row>
    <row r="1164" spans="1:13" ht="75" customHeight="1" thickTop="1" thickBot="1">
      <c r="B1164" s="32"/>
      <c r="C1164" s="33"/>
      <c r="D1164" s="33"/>
      <c r="E1164" s="23"/>
      <c r="F1164" s="23"/>
      <c r="G1164" s="23"/>
      <c r="H1164" s="23"/>
      <c r="I1164" s="23"/>
      <c r="J1164" s="23"/>
      <c r="K1164" s="23"/>
      <c r="L1164" s="32"/>
      <c r="M1164" s="23"/>
    </row>
    <row r="1165" spans="1:13" ht="75" customHeight="1" thickTop="1" thickBot="1">
      <c r="B1165" s="32"/>
      <c r="C1165" s="33"/>
      <c r="D1165" s="33"/>
      <c r="E1165" s="23"/>
      <c r="F1165" s="23"/>
      <c r="G1165" s="23"/>
      <c r="H1165" s="23"/>
      <c r="I1165" s="23"/>
      <c r="J1165" s="23"/>
      <c r="K1165" s="23"/>
      <c r="L1165" s="32"/>
      <c r="M1165" s="23"/>
    </row>
    <row r="1166" spans="1:13" ht="75" customHeight="1" thickTop="1"/>
  </sheetData>
  <autoFilter ref="A2:A590" xr:uid="{00000000-0009-0000-0000-000000000000}"/>
  <conditionalFormatting sqref="B3:B1165">
    <cfRule type="expression" dxfId="4" priority="3">
      <formula>AND($B3&lt;&gt;"", TRIM($K3)="")</formula>
    </cfRule>
    <cfRule type="expression" dxfId="3" priority="4">
      <formula>INT($B3) &lt; TODAY()</formula>
    </cfRule>
    <cfRule type="expression" dxfId="2" priority="5">
      <formula>INT($B3) = TODAY()</formula>
    </cfRule>
  </conditionalFormatting>
  <conditionalFormatting sqref="K1:K1048576">
    <cfRule type="containsText" dxfId="1" priority="1" operator="containsText" text="منجز">
      <formula>NOT(ISERROR(SEARCH("منجز",K1)))</formula>
    </cfRule>
    <cfRule type="containsText" dxfId="0" priority="2" operator="containsText" text="منجز">
      <formula>NOT(ISERROR(SEARCH("منجز",K1)))</formula>
    </cfRule>
  </conditionalFormatting>
  <dataValidations count="2">
    <dataValidation type="list" allowBlank="1" sqref="J3:J1092" xr:uid="{1F9137EC-AF3D-4075-86F2-16420A5055A4}">
      <formula1>#REF!</formula1>
    </dataValidation>
    <dataValidation type="list" allowBlank="1" sqref="K3:K1092" xr:uid="{4C9303DC-9E9D-4BCE-BD46-2C0F8D6BB680}">
      <formula1>"منجز,ملغي,تابع للتربية,مؤجل"</formula1>
    </dataValidation>
  </dataValidations>
  <printOptions horizontalCentered="1"/>
  <pageMargins left="0.23622047244094491" right="0.23622047244094491" top="0.78740157480314965" bottom="0.35433070866141736" header="0.31496062992125984" footer="0.31496062992125984"/>
  <pageSetup scale="34" fitToHeight="0" orientation="portrait" useFirstPageNumber="1" r:id="rId1"/>
  <headerFooter>
    <oddHeader>&amp;C&amp;"Segoe UI Historic,عادي"&amp;20قسم المشاريع الهندسية
شعبة صيانة مجموعة العميد التربوية&amp;Rالاعمال المنجزة :- 1015</oddHeader>
    <oddFooter>صفحة &amp;P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59B6"/>
    <outlinePr summaryBelow="0" summaryRight="0"/>
  </sheetPr>
  <dimension ref="A1:I99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46.7109375" customWidth="1"/>
    <col min="3" max="3" width="18.5703125" customWidth="1"/>
    <col min="6" max="9" width="19.42578125" customWidth="1"/>
  </cols>
  <sheetData>
    <row r="1" spans="1:9" ht="22.5" customHeight="1">
      <c r="A1" s="3" t="s">
        <v>26</v>
      </c>
      <c r="B1" s="3" t="s">
        <v>27</v>
      </c>
      <c r="C1" s="4" t="s">
        <v>28</v>
      </c>
      <c r="D1" s="3" t="s">
        <v>29</v>
      </c>
      <c r="E1" s="3" t="s">
        <v>18</v>
      </c>
      <c r="F1" s="4" t="s">
        <v>30</v>
      </c>
      <c r="G1" s="5" t="s">
        <v>31</v>
      </c>
      <c r="H1" s="5" t="s">
        <v>32</v>
      </c>
      <c r="I1" s="5" t="s">
        <v>33</v>
      </c>
    </row>
    <row r="2" spans="1:9" ht="22.5" customHeight="1">
      <c r="A2" s="6" t="s">
        <v>34</v>
      </c>
      <c r="B2" s="7" t="s">
        <v>35</v>
      </c>
      <c r="C2" s="8" t="s">
        <v>36</v>
      </c>
      <c r="D2" s="9" t="s">
        <v>37</v>
      </c>
      <c r="E2" s="9"/>
      <c r="F2" s="9">
        <v>9647747440755</v>
      </c>
      <c r="G2" s="10" t="s">
        <v>38</v>
      </c>
      <c r="H2" s="9"/>
      <c r="I2" s="11" t="s">
        <v>12</v>
      </c>
    </row>
    <row r="3" spans="1:9" ht="22.5" customHeight="1">
      <c r="A3" s="12" t="s">
        <v>39</v>
      </c>
      <c r="B3" s="13" t="s">
        <v>40</v>
      </c>
      <c r="C3" s="8" t="s">
        <v>36</v>
      </c>
      <c r="D3" s="9" t="s">
        <v>37</v>
      </c>
      <c r="E3" s="9"/>
      <c r="F3" s="9">
        <v>9647804966740</v>
      </c>
      <c r="G3" s="10" t="s">
        <v>14</v>
      </c>
      <c r="H3" s="9"/>
      <c r="I3" s="11" t="s">
        <v>14</v>
      </c>
    </row>
    <row r="4" spans="1:9" ht="22.5" customHeight="1">
      <c r="A4" s="12" t="s">
        <v>41</v>
      </c>
      <c r="B4" s="13" t="s">
        <v>42</v>
      </c>
      <c r="C4" s="8" t="s">
        <v>36</v>
      </c>
      <c r="D4" s="9" t="s">
        <v>37</v>
      </c>
      <c r="E4" s="9"/>
      <c r="F4" s="9">
        <v>9647744774982</v>
      </c>
      <c r="G4" s="10" t="s">
        <v>14</v>
      </c>
      <c r="H4" s="9"/>
      <c r="I4" s="11" t="s">
        <v>16</v>
      </c>
    </row>
    <row r="5" spans="1:9" ht="22.5" customHeight="1">
      <c r="A5" s="6" t="s">
        <v>43</v>
      </c>
      <c r="B5" s="7" t="s">
        <v>35</v>
      </c>
      <c r="C5" s="8" t="s">
        <v>36</v>
      </c>
      <c r="D5" s="9" t="s">
        <v>37</v>
      </c>
      <c r="E5" s="9"/>
      <c r="F5" s="9">
        <v>9647830414470</v>
      </c>
      <c r="G5" s="10" t="s">
        <v>14</v>
      </c>
      <c r="H5" s="9"/>
      <c r="I5" s="11" t="s">
        <v>15</v>
      </c>
    </row>
    <row r="6" spans="1:9" ht="22.5" customHeight="1">
      <c r="A6" s="12" t="s">
        <v>44</v>
      </c>
      <c r="B6" s="13" t="s">
        <v>35</v>
      </c>
      <c r="C6" s="8" t="s">
        <v>36</v>
      </c>
      <c r="D6" s="9" t="s">
        <v>37</v>
      </c>
      <c r="E6" s="9"/>
      <c r="F6" s="9">
        <v>9647719830876</v>
      </c>
      <c r="G6" s="10" t="s">
        <v>14</v>
      </c>
      <c r="H6" s="9"/>
      <c r="I6" s="11" t="s">
        <v>38</v>
      </c>
    </row>
    <row r="7" spans="1:9" ht="22.5" customHeight="1">
      <c r="A7" s="12" t="s">
        <v>45</v>
      </c>
      <c r="B7" s="13" t="s">
        <v>24</v>
      </c>
      <c r="C7" s="8" t="s">
        <v>36</v>
      </c>
      <c r="D7" s="9" t="s">
        <v>37</v>
      </c>
      <c r="E7" s="9"/>
      <c r="F7" s="9">
        <v>9647713071204</v>
      </c>
      <c r="G7" s="10" t="s">
        <v>16</v>
      </c>
      <c r="H7" s="9"/>
      <c r="I7" s="11" t="s">
        <v>25</v>
      </c>
    </row>
    <row r="8" spans="1:9" ht="22.5" customHeight="1">
      <c r="A8" s="12" t="s">
        <v>46</v>
      </c>
      <c r="B8" s="13" t="s">
        <v>35</v>
      </c>
      <c r="C8" s="8" t="s">
        <v>36</v>
      </c>
      <c r="D8" s="9" t="s">
        <v>37</v>
      </c>
      <c r="E8" s="9"/>
      <c r="F8" s="9">
        <v>9647800031322</v>
      </c>
      <c r="G8" s="10" t="s">
        <v>16</v>
      </c>
      <c r="H8" s="9"/>
      <c r="I8" s="11" t="s">
        <v>23</v>
      </c>
    </row>
    <row r="9" spans="1:9" ht="22.5" customHeight="1">
      <c r="A9" s="12" t="s">
        <v>47</v>
      </c>
      <c r="B9" s="13" t="s">
        <v>35</v>
      </c>
      <c r="C9" s="8" t="s">
        <v>36</v>
      </c>
      <c r="D9" s="9" t="s">
        <v>37</v>
      </c>
      <c r="E9" s="9"/>
      <c r="F9" s="9">
        <v>9647719155809</v>
      </c>
      <c r="G9" s="10" t="s">
        <v>16</v>
      </c>
      <c r="H9" s="9"/>
      <c r="I9" s="11" t="s">
        <v>48</v>
      </c>
    </row>
    <row r="10" spans="1:9" ht="22.5" customHeight="1">
      <c r="A10" s="12" t="s">
        <v>49</v>
      </c>
      <c r="B10" s="13" t="s">
        <v>50</v>
      </c>
      <c r="C10" s="8" t="s">
        <v>36</v>
      </c>
      <c r="D10" s="9" t="s">
        <v>37</v>
      </c>
      <c r="E10" s="9"/>
      <c r="F10" s="9">
        <v>9647730888623</v>
      </c>
      <c r="G10" s="10" t="s">
        <v>12</v>
      </c>
      <c r="H10" s="9"/>
    </row>
    <row r="11" spans="1:9" ht="22.5" customHeight="1">
      <c r="A11" s="12" t="s">
        <v>51</v>
      </c>
      <c r="B11" s="13" t="s">
        <v>52</v>
      </c>
      <c r="C11" s="8" t="s">
        <v>36</v>
      </c>
      <c r="D11" s="9" t="s">
        <v>37</v>
      </c>
      <c r="E11" s="9"/>
      <c r="F11" s="9">
        <v>9647825475204</v>
      </c>
      <c r="G11" s="10" t="s">
        <v>12</v>
      </c>
      <c r="H11" s="9"/>
    </row>
    <row r="12" spans="1:9" ht="22.5" customHeight="1">
      <c r="A12" s="12" t="s">
        <v>53</v>
      </c>
      <c r="B12" s="14" t="s">
        <v>21</v>
      </c>
      <c r="C12" s="8" t="s">
        <v>36</v>
      </c>
      <c r="D12" s="9" t="s">
        <v>37</v>
      </c>
      <c r="E12" s="9"/>
      <c r="F12" s="9">
        <v>9647735559707</v>
      </c>
      <c r="G12" s="10" t="s">
        <v>12</v>
      </c>
      <c r="H12" s="9"/>
    </row>
    <row r="13" spans="1:9" ht="22.5" customHeight="1">
      <c r="A13" s="12" t="s">
        <v>54</v>
      </c>
      <c r="B13" s="13" t="s">
        <v>35</v>
      </c>
      <c r="C13" s="8" t="s">
        <v>36</v>
      </c>
      <c r="D13" s="9" t="s">
        <v>37</v>
      </c>
      <c r="E13" s="9"/>
      <c r="F13" s="9">
        <v>9647802331887</v>
      </c>
      <c r="G13" s="10" t="s">
        <v>12</v>
      </c>
      <c r="H13" s="9"/>
      <c r="I13" s="11"/>
    </row>
    <row r="14" spans="1:9" ht="22.5" customHeight="1">
      <c r="A14" s="6" t="s">
        <v>55</v>
      </c>
      <c r="B14" s="7" t="s">
        <v>35</v>
      </c>
      <c r="C14" s="8" t="s">
        <v>36</v>
      </c>
      <c r="D14" s="9" t="s">
        <v>37</v>
      </c>
      <c r="E14" s="9"/>
      <c r="F14" s="9">
        <v>9647817773219</v>
      </c>
      <c r="G14" s="10" t="s">
        <v>12</v>
      </c>
      <c r="H14" s="9"/>
    </row>
    <row r="15" spans="1:9" ht="22.5" customHeight="1">
      <c r="A15" s="6" t="s">
        <v>56</v>
      </c>
      <c r="B15" s="7" t="s">
        <v>35</v>
      </c>
      <c r="C15" s="8" t="s">
        <v>36</v>
      </c>
      <c r="D15" s="9" t="s">
        <v>37</v>
      </c>
      <c r="E15" s="9"/>
      <c r="F15" s="9">
        <v>9647700479006</v>
      </c>
      <c r="G15" s="10" t="s">
        <v>12</v>
      </c>
      <c r="H15" s="9"/>
    </row>
    <row r="16" spans="1:9" ht="22.5" customHeight="1">
      <c r="A16" s="12" t="s">
        <v>57</v>
      </c>
      <c r="B16" s="14" t="s">
        <v>19</v>
      </c>
      <c r="C16" s="8" t="s">
        <v>58</v>
      </c>
      <c r="D16" s="9" t="s">
        <v>37</v>
      </c>
      <c r="E16" s="9" t="s">
        <v>59</v>
      </c>
      <c r="F16" s="15" t="s">
        <v>60</v>
      </c>
      <c r="G16" s="10" t="s">
        <v>25</v>
      </c>
      <c r="H16" s="15"/>
    </row>
    <row r="17" spans="1:9" ht="22.5" customHeight="1">
      <c r="A17" s="6" t="s">
        <v>57</v>
      </c>
      <c r="B17" s="16" t="s">
        <v>19</v>
      </c>
      <c r="C17" s="8" t="s">
        <v>36</v>
      </c>
      <c r="D17" s="9" t="s">
        <v>37</v>
      </c>
      <c r="E17" s="9" t="s">
        <v>61</v>
      </c>
      <c r="F17" s="9"/>
      <c r="G17" s="10" t="s">
        <v>25</v>
      </c>
      <c r="H17" s="9"/>
    </row>
    <row r="18" spans="1:9" ht="22.5" customHeight="1">
      <c r="A18" s="12" t="s">
        <v>62</v>
      </c>
      <c r="B18" s="13" t="s">
        <v>63</v>
      </c>
      <c r="C18" s="8" t="s">
        <v>36</v>
      </c>
      <c r="D18" s="9" t="s">
        <v>37</v>
      </c>
      <c r="E18" s="9"/>
      <c r="F18" s="9"/>
      <c r="G18" s="10" t="s">
        <v>25</v>
      </c>
      <c r="H18" s="9"/>
      <c r="I18" s="11"/>
    </row>
    <row r="19" spans="1:9" ht="22.5" customHeight="1">
      <c r="A19" s="12" t="s">
        <v>64</v>
      </c>
      <c r="B19" s="13" t="s">
        <v>35</v>
      </c>
      <c r="C19" s="8" t="s">
        <v>36</v>
      </c>
      <c r="D19" s="9" t="s">
        <v>37</v>
      </c>
      <c r="E19" s="9"/>
      <c r="F19" s="9">
        <v>9647715317444</v>
      </c>
      <c r="G19" s="10" t="s">
        <v>12</v>
      </c>
      <c r="H19" s="9"/>
      <c r="I19" s="11"/>
    </row>
    <row r="20" spans="1:9" ht="22.5" customHeight="1">
      <c r="A20" s="12" t="s">
        <v>65</v>
      </c>
      <c r="B20" s="13" t="s">
        <v>66</v>
      </c>
      <c r="C20" s="8" t="s">
        <v>36</v>
      </c>
      <c r="D20" s="9" t="s">
        <v>37</v>
      </c>
      <c r="E20" s="9"/>
      <c r="F20" s="9"/>
      <c r="G20" s="10" t="s">
        <v>25</v>
      </c>
      <c r="H20" s="9"/>
      <c r="I20" s="11"/>
    </row>
    <row r="21" spans="1:9" ht="22.5" customHeight="1">
      <c r="A21" s="12" t="s">
        <v>67</v>
      </c>
      <c r="B21" s="13" t="s">
        <v>68</v>
      </c>
      <c r="C21" s="8" t="s">
        <v>36</v>
      </c>
      <c r="D21" s="9" t="s">
        <v>37</v>
      </c>
      <c r="E21" s="9"/>
      <c r="F21" s="9"/>
      <c r="G21" s="10" t="s">
        <v>25</v>
      </c>
      <c r="H21" s="9"/>
      <c r="I21" s="11"/>
    </row>
    <row r="22" spans="1:9" ht="22.5" customHeight="1">
      <c r="A22" s="12"/>
      <c r="B22" s="13"/>
      <c r="C22" s="8"/>
      <c r="D22" s="9"/>
      <c r="E22" s="9"/>
      <c r="F22" s="9"/>
      <c r="G22" s="10" t="s">
        <v>23</v>
      </c>
      <c r="H22" s="9"/>
      <c r="I22" s="11"/>
    </row>
    <row r="23" spans="1:9" ht="22.5" customHeight="1">
      <c r="A23" s="12" t="s">
        <v>69</v>
      </c>
      <c r="B23" s="13" t="s">
        <v>20</v>
      </c>
      <c r="C23" s="8" t="s">
        <v>36</v>
      </c>
      <c r="D23" s="9" t="s">
        <v>37</v>
      </c>
      <c r="E23" s="9"/>
      <c r="F23" s="9"/>
      <c r="G23" s="10" t="s">
        <v>23</v>
      </c>
      <c r="H23" s="9"/>
      <c r="I23" s="11"/>
    </row>
    <row r="24" spans="1:9" ht="22.5" customHeight="1">
      <c r="A24" s="12" t="s">
        <v>70</v>
      </c>
      <c r="B24" s="13" t="s">
        <v>22</v>
      </c>
      <c r="C24" s="8" t="s">
        <v>36</v>
      </c>
      <c r="D24" s="9" t="s">
        <v>37</v>
      </c>
      <c r="E24" s="9"/>
      <c r="F24" s="9"/>
      <c r="G24" s="10" t="s">
        <v>23</v>
      </c>
      <c r="H24" s="9"/>
      <c r="I24" s="11"/>
    </row>
    <row r="25" spans="1:9" ht="22.5" customHeight="1">
      <c r="A25" s="12" t="s">
        <v>71</v>
      </c>
      <c r="B25" s="13" t="s">
        <v>72</v>
      </c>
      <c r="C25" s="8" t="s">
        <v>36</v>
      </c>
      <c r="D25" s="9"/>
      <c r="E25" s="9"/>
      <c r="F25" s="9"/>
      <c r="G25" s="10" t="s">
        <v>23</v>
      </c>
      <c r="H25" s="9"/>
      <c r="I25" s="11"/>
    </row>
    <row r="26" spans="1:9" ht="22.5" customHeight="1">
      <c r="A26" s="6" t="s">
        <v>73</v>
      </c>
      <c r="B26" s="7" t="s">
        <v>35</v>
      </c>
      <c r="C26" s="8" t="s">
        <v>36</v>
      </c>
      <c r="D26" s="9" t="s">
        <v>37</v>
      </c>
      <c r="E26" s="9"/>
      <c r="F26" s="9">
        <v>9647825457007</v>
      </c>
      <c r="G26" s="10" t="s">
        <v>15</v>
      </c>
      <c r="H26" s="9"/>
      <c r="I26" s="11"/>
    </row>
    <row r="27" spans="1:9" ht="22.5" customHeight="1">
      <c r="A27" s="6" t="s">
        <v>74</v>
      </c>
      <c r="B27" s="7" t="s">
        <v>35</v>
      </c>
      <c r="C27" s="8" t="s">
        <v>36</v>
      </c>
      <c r="D27" s="9" t="s">
        <v>37</v>
      </c>
      <c r="E27" s="9"/>
      <c r="F27" s="9">
        <v>9647711625371</v>
      </c>
      <c r="G27" s="10" t="s">
        <v>15</v>
      </c>
      <c r="H27" s="9"/>
      <c r="I27" s="11"/>
    </row>
    <row r="28" spans="1:9" ht="22.5" customHeight="1">
      <c r="A28" s="6" t="s">
        <v>75</v>
      </c>
      <c r="B28" s="7" t="s">
        <v>35</v>
      </c>
      <c r="C28" s="8" t="s">
        <v>36</v>
      </c>
      <c r="D28" s="9" t="s">
        <v>37</v>
      </c>
      <c r="E28" s="9"/>
      <c r="F28" s="9">
        <v>9647709701094</v>
      </c>
      <c r="G28" s="10" t="s">
        <v>15</v>
      </c>
      <c r="H28" s="9"/>
      <c r="I28" s="11"/>
    </row>
    <row r="29" spans="1:9" ht="22.5" customHeight="1">
      <c r="A29" s="12" t="s">
        <v>53</v>
      </c>
      <c r="B29" s="14" t="s">
        <v>21</v>
      </c>
      <c r="C29" s="8" t="s">
        <v>36</v>
      </c>
      <c r="D29" s="9" t="s">
        <v>37</v>
      </c>
      <c r="E29" s="9"/>
      <c r="F29" s="9"/>
      <c r="G29" s="10" t="s">
        <v>48</v>
      </c>
      <c r="H29" s="9"/>
      <c r="I29" s="11"/>
    </row>
    <row r="30" spans="1:9" ht="22.5" customHeight="1">
      <c r="A30" s="6" t="s">
        <v>53</v>
      </c>
      <c r="B30" s="17" t="s">
        <v>21</v>
      </c>
      <c r="C30" s="8" t="s">
        <v>58</v>
      </c>
      <c r="D30" s="9"/>
      <c r="E30" s="9"/>
      <c r="F30" s="9"/>
      <c r="G30" s="10" t="s">
        <v>48</v>
      </c>
      <c r="H30" s="9"/>
      <c r="I30" s="11"/>
    </row>
    <row r="31" spans="1:9" ht="22.5" customHeight="1">
      <c r="A31" s="18"/>
      <c r="B31" s="19"/>
      <c r="C31" s="20"/>
      <c r="D31" s="11"/>
      <c r="E31" s="11"/>
      <c r="F31" s="11"/>
      <c r="G31" s="21"/>
      <c r="H31" s="11"/>
      <c r="I31" s="11"/>
    </row>
    <row r="32" spans="1:9" ht="22.5" customHeight="1">
      <c r="A32" s="18"/>
      <c r="B32" s="19"/>
      <c r="C32" s="20"/>
      <c r="D32" s="11"/>
      <c r="E32" s="11"/>
      <c r="F32" s="11"/>
      <c r="G32" s="21"/>
      <c r="H32" s="11"/>
      <c r="I32" s="11"/>
    </row>
    <row r="33" spans="1:9" ht="22.5" customHeight="1">
      <c r="A33" s="18"/>
      <c r="B33" s="19"/>
      <c r="C33" s="20"/>
      <c r="D33" s="11"/>
      <c r="E33" s="11"/>
      <c r="F33" s="11"/>
      <c r="G33" s="21"/>
      <c r="H33" s="11"/>
      <c r="I33" s="11"/>
    </row>
    <row r="34" spans="1:9" ht="22.5" customHeight="1">
      <c r="A34" s="18"/>
      <c r="B34" s="19"/>
      <c r="C34" s="20"/>
      <c r="D34" s="11"/>
      <c r="E34" s="11"/>
      <c r="F34" s="11"/>
      <c r="G34" s="21"/>
      <c r="H34" s="11"/>
      <c r="I34" s="11"/>
    </row>
    <row r="35" spans="1:9" ht="22.5" customHeight="1">
      <c r="A35" s="18"/>
      <c r="B35" s="19"/>
      <c r="C35" s="20"/>
      <c r="D35" s="11"/>
      <c r="E35" s="11"/>
      <c r="F35" s="11"/>
      <c r="G35" s="21"/>
      <c r="H35" s="11"/>
      <c r="I35" s="11"/>
    </row>
    <row r="36" spans="1:9" ht="22.5" customHeight="1">
      <c r="A36" s="18"/>
      <c r="B36" s="19"/>
      <c r="C36" s="20"/>
      <c r="D36" s="11"/>
      <c r="E36" s="11"/>
      <c r="F36" s="11"/>
      <c r="G36" s="21"/>
      <c r="H36" s="11"/>
      <c r="I36" s="11"/>
    </row>
    <row r="37" spans="1:9" ht="22.5" customHeight="1">
      <c r="A37" s="18"/>
      <c r="B37" s="19"/>
      <c r="C37" s="20"/>
      <c r="D37" s="11"/>
      <c r="E37" s="11"/>
      <c r="F37" s="11"/>
      <c r="G37" s="21"/>
      <c r="H37" s="11"/>
      <c r="I37" s="11"/>
    </row>
    <row r="38" spans="1:9" ht="22.5" customHeight="1">
      <c r="A38" s="18"/>
      <c r="B38" s="19"/>
      <c r="C38" s="20"/>
      <c r="D38" s="11"/>
      <c r="E38" s="11"/>
      <c r="F38" s="11"/>
      <c r="G38" s="21"/>
      <c r="H38" s="11"/>
      <c r="I38" s="11"/>
    </row>
    <row r="39" spans="1:9" ht="22.5" customHeight="1">
      <c r="A39" s="18"/>
      <c r="B39" s="19"/>
      <c r="C39" s="20"/>
      <c r="D39" s="11"/>
      <c r="E39" s="11"/>
      <c r="F39" s="11"/>
      <c r="G39" s="21"/>
      <c r="H39" s="11"/>
      <c r="I39" s="11"/>
    </row>
    <row r="40" spans="1:9" ht="22.5" customHeight="1">
      <c r="A40" s="18"/>
      <c r="B40" s="19"/>
      <c r="C40" s="20"/>
      <c r="D40" s="11"/>
      <c r="E40" s="11"/>
      <c r="F40" s="11"/>
      <c r="G40" s="21"/>
      <c r="H40" s="11"/>
      <c r="I40" s="11"/>
    </row>
    <row r="41" spans="1:9" ht="22.5" customHeight="1">
      <c r="A41" s="18"/>
      <c r="B41" s="19"/>
      <c r="C41" s="20"/>
      <c r="D41" s="11"/>
      <c r="E41" s="11"/>
      <c r="F41" s="11"/>
      <c r="G41" s="21"/>
      <c r="H41" s="11"/>
      <c r="I41" s="11"/>
    </row>
    <row r="42" spans="1:9" ht="22.5" customHeight="1">
      <c r="A42" s="18"/>
      <c r="B42" s="19"/>
      <c r="C42" s="20"/>
      <c r="D42" s="11"/>
      <c r="E42" s="11"/>
      <c r="F42" s="11"/>
      <c r="G42" s="21"/>
      <c r="H42" s="11"/>
      <c r="I42" s="11"/>
    </row>
    <row r="43" spans="1:9" ht="22.5" customHeight="1">
      <c r="A43" s="18"/>
      <c r="B43" s="19"/>
      <c r="C43" s="20"/>
      <c r="D43" s="11"/>
      <c r="E43" s="11"/>
      <c r="F43" s="11"/>
      <c r="G43" s="21"/>
      <c r="H43" s="11"/>
      <c r="I43" s="11"/>
    </row>
    <row r="44" spans="1:9" ht="22.5" customHeight="1">
      <c r="A44" s="18"/>
      <c r="B44" s="19"/>
      <c r="C44" s="20"/>
      <c r="D44" s="11"/>
      <c r="E44" s="11"/>
      <c r="F44" s="11"/>
      <c r="G44" s="21"/>
      <c r="H44" s="11"/>
      <c r="I44" s="11"/>
    </row>
    <row r="45" spans="1:9" ht="22.5" customHeight="1">
      <c r="A45" s="18"/>
      <c r="B45" s="19"/>
      <c r="C45" s="20"/>
      <c r="D45" s="11"/>
      <c r="E45" s="11"/>
      <c r="F45" s="11"/>
      <c r="G45" s="21"/>
      <c r="H45" s="11"/>
      <c r="I45" s="11"/>
    </row>
    <row r="46" spans="1:9" ht="22.5" customHeight="1">
      <c r="A46" s="18"/>
      <c r="B46" s="19"/>
      <c r="C46" s="20"/>
      <c r="D46" s="11"/>
      <c r="E46" s="11"/>
      <c r="F46" s="11"/>
      <c r="G46" s="21"/>
      <c r="H46" s="11"/>
      <c r="I46" s="11"/>
    </row>
    <row r="47" spans="1:9" ht="22.5" customHeight="1">
      <c r="A47" s="18"/>
      <c r="B47" s="19"/>
      <c r="C47" s="20"/>
      <c r="D47" s="11"/>
      <c r="E47" s="11"/>
      <c r="F47" s="11"/>
      <c r="G47" s="21"/>
      <c r="H47" s="11"/>
      <c r="I47" s="11"/>
    </row>
    <row r="48" spans="1:9" ht="22.5" customHeight="1">
      <c r="A48" s="18"/>
      <c r="B48" s="19"/>
      <c r="C48" s="20"/>
      <c r="D48" s="11"/>
      <c r="E48" s="11"/>
      <c r="F48" s="11"/>
      <c r="G48" s="21"/>
      <c r="H48" s="11"/>
      <c r="I48" s="11"/>
    </row>
    <row r="49" spans="1:9" ht="22.5" customHeight="1">
      <c r="A49" s="18"/>
      <c r="B49" s="19"/>
      <c r="C49" s="20"/>
      <c r="D49" s="11"/>
      <c r="E49" s="11"/>
      <c r="F49" s="11"/>
      <c r="G49" s="21"/>
      <c r="H49" s="11"/>
      <c r="I49" s="11"/>
    </row>
    <row r="50" spans="1:9" ht="22.5" customHeight="1">
      <c r="A50" s="18"/>
      <c r="B50" s="19"/>
      <c r="C50" s="20"/>
      <c r="D50" s="11"/>
      <c r="E50" s="11"/>
      <c r="F50" s="11"/>
      <c r="G50" s="21"/>
      <c r="H50" s="11"/>
      <c r="I50" s="11"/>
    </row>
    <row r="51" spans="1:9" ht="22.5" customHeight="1">
      <c r="A51" s="18"/>
      <c r="B51" s="19"/>
      <c r="C51" s="20"/>
      <c r="D51" s="11"/>
      <c r="E51" s="11"/>
      <c r="F51" s="11"/>
      <c r="G51" s="21"/>
      <c r="H51" s="11"/>
      <c r="I51" s="11"/>
    </row>
    <row r="52" spans="1:9" ht="22.5" customHeight="1">
      <c r="A52" s="18"/>
      <c r="B52" s="19"/>
      <c r="C52" s="20"/>
      <c r="D52" s="11"/>
      <c r="E52" s="11"/>
      <c r="F52" s="11"/>
      <c r="G52" s="21"/>
      <c r="H52" s="11"/>
      <c r="I52" s="11"/>
    </row>
    <row r="53" spans="1:9" ht="22.5" customHeight="1">
      <c r="A53" s="18"/>
      <c r="B53" s="19"/>
      <c r="C53" s="20"/>
      <c r="D53" s="11"/>
      <c r="E53" s="11"/>
      <c r="F53" s="11"/>
      <c r="G53" s="21"/>
      <c r="H53" s="11"/>
      <c r="I53" s="11"/>
    </row>
    <row r="54" spans="1:9" ht="22.5" customHeight="1">
      <c r="A54" s="18"/>
      <c r="B54" s="19"/>
      <c r="C54" s="20"/>
      <c r="D54" s="11"/>
      <c r="E54" s="11"/>
      <c r="F54" s="11"/>
      <c r="G54" s="21"/>
      <c r="H54" s="11"/>
      <c r="I54" s="11"/>
    </row>
    <row r="55" spans="1:9" ht="22.5" customHeight="1">
      <c r="A55" s="18"/>
      <c r="B55" s="19"/>
      <c r="C55" s="20"/>
      <c r="D55" s="11"/>
      <c r="E55" s="11"/>
      <c r="F55" s="11"/>
      <c r="G55" s="21"/>
      <c r="H55" s="11"/>
      <c r="I55" s="11"/>
    </row>
    <row r="56" spans="1:9" ht="22.5" customHeight="1">
      <c r="A56" s="18"/>
      <c r="B56" s="19"/>
      <c r="C56" s="20"/>
      <c r="D56" s="11"/>
      <c r="E56" s="11"/>
      <c r="F56" s="11"/>
      <c r="G56" s="21"/>
      <c r="H56" s="11"/>
      <c r="I56" s="11"/>
    </row>
    <row r="57" spans="1:9" ht="22.5" customHeight="1">
      <c r="A57" s="18"/>
      <c r="B57" s="19"/>
      <c r="C57" s="20"/>
      <c r="D57" s="11"/>
      <c r="E57" s="11"/>
      <c r="F57" s="11"/>
      <c r="G57" s="21"/>
      <c r="H57" s="11"/>
      <c r="I57" s="11"/>
    </row>
    <row r="58" spans="1:9" ht="22.5" customHeight="1">
      <c r="A58" s="18"/>
      <c r="B58" s="19"/>
      <c r="C58" s="20"/>
      <c r="D58" s="11"/>
      <c r="E58" s="11"/>
      <c r="F58" s="11"/>
      <c r="G58" s="21"/>
      <c r="H58" s="11"/>
      <c r="I58" s="11"/>
    </row>
    <row r="59" spans="1:9" ht="22.5" customHeight="1">
      <c r="A59" s="18"/>
      <c r="B59" s="19"/>
      <c r="C59" s="20"/>
      <c r="D59" s="11"/>
      <c r="E59" s="11"/>
      <c r="F59" s="11"/>
      <c r="G59" s="21"/>
      <c r="H59" s="11"/>
      <c r="I59" s="11"/>
    </row>
    <row r="60" spans="1:9" ht="22.5" customHeight="1">
      <c r="A60" s="18"/>
      <c r="B60" s="19"/>
      <c r="C60" s="20"/>
      <c r="D60" s="11"/>
      <c r="E60" s="11"/>
      <c r="F60" s="11"/>
      <c r="G60" s="21"/>
      <c r="H60" s="11"/>
      <c r="I60" s="11"/>
    </row>
    <row r="61" spans="1:9" ht="22.5" customHeight="1">
      <c r="A61" s="18"/>
      <c r="B61" s="19"/>
      <c r="C61" s="20"/>
      <c r="D61" s="11"/>
      <c r="E61" s="11"/>
      <c r="F61" s="11"/>
      <c r="G61" s="21"/>
      <c r="H61" s="11"/>
      <c r="I61" s="11"/>
    </row>
    <row r="62" spans="1:9" ht="22.5" customHeight="1">
      <c r="A62" s="18"/>
      <c r="B62" s="19"/>
      <c r="C62" s="20"/>
      <c r="D62" s="11"/>
      <c r="E62" s="11"/>
      <c r="F62" s="11"/>
      <c r="G62" s="21"/>
      <c r="H62" s="11"/>
      <c r="I62" s="11"/>
    </row>
    <row r="63" spans="1:9" ht="22.5" customHeight="1">
      <c r="A63" s="18"/>
      <c r="B63" s="19"/>
      <c r="C63" s="20"/>
      <c r="D63" s="11"/>
      <c r="E63" s="11"/>
      <c r="F63" s="11"/>
      <c r="G63" s="21"/>
      <c r="H63" s="11"/>
      <c r="I63" s="11"/>
    </row>
    <row r="64" spans="1:9" ht="22.5" customHeight="1">
      <c r="A64" s="18"/>
      <c r="B64" s="19"/>
      <c r="C64" s="20"/>
      <c r="D64" s="11"/>
      <c r="E64" s="11"/>
      <c r="F64" s="11"/>
      <c r="G64" s="21"/>
      <c r="H64" s="11"/>
      <c r="I64" s="11"/>
    </row>
    <row r="65" spans="1:9" ht="22.5" customHeight="1">
      <c r="A65" s="18"/>
      <c r="B65" s="19"/>
      <c r="C65" s="20"/>
      <c r="D65" s="11"/>
      <c r="E65" s="11"/>
      <c r="F65" s="11"/>
      <c r="G65" s="21"/>
      <c r="H65" s="11"/>
      <c r="I65" s="11"/>
    </row>
    <row r="66" spans="1:9" ht="22.5" customHeight="1">
      <c r="A66" s="18"/>
      <c r="B66" s="19"/>
      <c r="C66" s="20"/>
      <c r="D66" s="11"/>
      <c r="E66" s="11"/>
      <c r="F66" s="11"/>
      <c r="G66" s="21"/>
      <c r="H66" s="11"/>
      <c r="I66" s="11"/>
    </row>
    <row r="67" spans="1:9" ht="22.5" customHeight="1">
      <c r="A67" s="18"/>
      <c r="B67" s="19"/>
      <c r="C67" s="20"/>
      <c r="D67" s="11"/>
      <c r="E67" s="11"/>
      <c r="F67" s="11"/>
      <c r="G67" s="21"/>
      <c r="H67" s="11"/>
      <c r="I67" s="11"/>
    </row>
    <row r="68" spans="1:9" ht="22.5" customHeight="1">
      <c r="A68" s="18"/>
      <c r="B68" s="19"/>
      <c r="C68" s="20"/>
      <c r="D68" s="11"/>
      <c r="E68" s="11"/>
      <c r="F68" s="11"/>
      <c r="G68" s="21"/>
      <c r="H68" s="11"/>
      <c r="I68" s="11"/>
    </row>
    <row r="69" spans="1:9" ht="22.5" customHeight="1">
      <c r="A69" s="18"/>
      <c r="B69" s="19"/>
      <c r="C69" s="20"/>
      <c r="D69" s="11"/>
      <c r="E69" s="11"/>
      <c r="F69" s="11"/>
      <c r="G69" s="21"/>
      <c r="H69" s="11"/>
      <c r="I69" s="11"/>
    </row>
    <row r="70" spans="1:9" ht="22.5" customHeight="1">
      <c r="A70" s="18"/>
      <c r="B70" s="19"/>
      <c r="C70" s="20"/>
      <c r="D70" s="11"/>
      <c r="E70" s="11"/>
      <c r="F70" s="11"/>
      <c r="G70" s="21"/>
      <c r="H70" s="11"/>
      <c r="I70" s="11"/>
    </row>
    <row r="71" spans="1:9" ht="22.5" customHeight="1">
      <c r="A71" s="18"/>
      <c r="B71" s="19"/>
      <c r="C71" s="20"/>
      <c r="D71" s="11"/>
      <c r="E71" s="11"/>
      <c r="F71" s="11"/>
      <c r="G71" s="21"/>
      <c r="H71" s="11"/>
      <c r="I71" s="11"/>
    </row>
    <row r="72" spans="1:9" ht="22.5" customHeight="1">
      <c r="A72" s="18"/>
      <c r="B72" s="19"/>
      <c r="C72" s="20"/>
      <c r="D72" s="11"/>
      <c r="E72" s="11"/>
      <c r="F72" s="11"/>
      <c r="G72" s="21"/>
      <c r="H72" s="11"/>
      <c r="I72" s="11"/>
    </row>
    <row r="73" spans="1:9" ht="22.5" customHeight="1">
      <c r="A73" s="18"/>
      <c r="B73" s="19"/>
      <c r="C73" s="20"/>
      <c r="D73" s="11"/>
      <c r="E73" s="11"/>
      <c r="F73" s="11"/>
      <c r="G73" s="21"/>
      <c r="H73" s="11"/>
      <c r="I73" s="11"/>
    </row>
    <row r="74" spans="1:9" ht="22.5" customHeight="1">
      <c r="A74" s="18"/>
      <c r="B74" s="19"/>
      <c r="C74" s="20"/>
      <c r="D74" s="11"/>
      <c r="E74" s="11"/>
      <c r="F74" s="11"/>
      <c r="G74" s="21"/>
      <c r="H74" s="11"/>
      <c r="I74" s="11"/>
    </row>
    <row r="75" spans="1:9" ht="22.5" customHeight="1">
      <c r="A75" s="18"/>
      <c r="B75" s="19"/>
      <c r="C75" s="20"/>
      <c r="D75" s="11"/>
      <c r="E75" s="11"/>
      <c r="F75" s="11"/>
      <c r="G75" s="21"/>
      <c r="H75" s="11"/>
      <c r="I75" s="11"/>
    </row>
    <row r="76" spans="1:9" ht="22.5" customHeight="1">
      <c r="A76" s="18"/>
      <c r="B76" s="19"/>
      <c r="C76" s="20"/>
      <c r="D76" s="11"/>
      <c r="E76" s="11"/>
      <c r="F76" s="11"/>
      <c r="G76" s="21"/>
      <c r="H76" s="11"/>
      <c r="I76" s="11"/>
    </row>
    <row r="77" spans="1:9" ht="22.5" customHeight="1">
      <c r="A77" s="18"/>
      <c r="B77" s="19"/>
      <c r="C77" s="20"/>
      <c r="D77" s="11"/>
      <c r="E77" s="11"/>
      <c r="F77" s="11"/>
      <c r="G77" s="21"/>
      <c r="H77" s="11"/>
      <c r="I77" s="11"/>
    </row>
    <row r="78" spans="1:9" ht="22.5" customHeight="1">
      <c r="A78" s="18"/>
      <c r="B78" s="19"/>
      <c r="C78" s="20"/>
      <c r="D78" s="11"/>
      <c r="E78" s="11"/>
      <c r="F78" s="11"/>
      <c r="G78" s="21"/>
      <c r="H78" s="11"/>
      <c r="I78" s="11"/>
    </row>
    <row r="79" spans="1:9" ht="22.5" customHeight="1">
      <c r="A79" s="18"/>
      <c r="B79" s="19"/>
      <c r="C79" s="20"/>
      <c r="D79" s="11"/>
      <c r="E79" s="11"/>
      <c r="F79" s="11"/>
      <c r="G79" s="21"/>
      <c r="H79" s="11"/>
      <c r="I79" s="11"/>
    </row>
    <row r="80" spans="1:9" ht="22.5" customHeight="1">
      <c r="A80" s="18"/>
      <c r="B80" s="19"/>
      <c r="C80" s="20"/>
      <c r="D80" s="11"/>
      <c r="E80" s="11"/>
      <c r="F80" s="11"/>
      <c r="G80" s="21"/>
      <c r="H80" s="11"/>
      <c r="I80" s="11"/>
    </row>
    <row r="81" spans="1:9" ht="22.5" customHeight="1">
      <c r="A81" s="18"/>
      <c r="B81" s="19"/>
      <c r="C81" s="20"/>
      <c r="D81" s="11"/>
      <c r="E81" s="11"/>
      <c r="F81" s="11"/>
      <c r="G81" s="21"/>
      <c r="H81" s="11"/>
      <c r="I81" s="11"/>
    </row>
    <row r="82" spans="1:9" ht="22.5" customHeight="1">
      <c r="A82" s="18"/>
      <c r="B82" s="19"/>
      <c r="C82" s="20"/>
      <c r="D82" s="11"/>
      <c r="E82" s="11"/>
      <c r="F82" s="11"/>
      <c r="G82" s="21"/>
      <c r="H82" s="11"/>
      <c r="I82" s="11"/>
    </row>
    <row r="83" spans="1:9" ht="22.5" customHeight="1">
      <c r="A83" s="18"/>
      <c r="B83" s="19"/>
      <c r="C83" s="20"/>
      <c r="D83" s="11"/>
      <c r="E83" s="11"/>
      <c r="F83" s="11"/>
      <c r="G83" s="21"/>
      <c r="H83" s="11"/>
      <c r="I83" s="11"/>
    </row>
    <row r="84" spans="1:9" ht="22.5" customHeight="1">
      <c r="A84" s="18"/>
      <c r="B84" s="19"/>
      <c r="C84" s="20"/>
      <c r="D84" s="11"/>
      <c r="E84" s="11"/>
      <c r="F84" s="11"/>
      <c r="G84" s="21"/>
      <c r="H84" s="11"/>
      <c r="I84" s="11"/>
    </row>
    <row r="85" spans="1:9" ht="22.5" customHeight="1">
      <c r="A85" s="18"/>
      <c r="B85" s="19"/>
      <c r="C85" s="20"/>
      <c r="D85" s="11"/>
      <c r="E85" s="11"/>
      <c r="F85" s="11"/>
      <c r="G85" s="21"/>
      <c r="H85" s="11"/>
      <c r="I85" s="11"/>
    </row>
    <row r="86" spans="1:9" ht="22.5" customHeight="1">
      <c r="A86" s="18"/>
      <c r="B86" s="19"/>
      <c r="C86" s="20"/>
      <c r="D86" s="11"/>
      <c r="E86" s="11"/>
      <c r="F86" s="11"/>
      <c r="G86" s="21"/>
      <c r="H86" s="11"/>
      <c r="I86" s="11"/>
    </row>
    <row r="87" spans="1:9" ht="22.5" customHeight="1">
      <c r="A87" s="18"/>
      <c r="B87" s="19"/>
      <c r="C87" s="20"/>
      <c r="D87" s="11"/>
      <c r="E87" s="11"/>
      <c r="F87" s="11"/>
      <c r="G87" s="21"/>
      <c r="H87" s="11"/>
      <c r="I87" s="11"/>
    </row>
    <row r="88" spans="1:9" ht="22.5" customHeight="1">
      <c r="A88" s="18"/>
      <c r="B88" s="19"/>
      <c r="C88" s="20"/>
      <c r="D88" s="11"/>
      <c r="E88" s="11"/>
      <c r="F88" s="11"/>
      <c r="G88" s="21"/>
      <c r="H88" s="11"/>
      <c r="I88" s="11"/>
    </row>
    <row r="89" spans="1:9" ht="22.5" customHeight="1">
      <c r="A89" s="18"/>
      <c r="B89" s="19"/>
      <c r="C89" s="20"/>
      <c r="D89" s="11"/>
      <c r="E89" s="11"/>
      <c r="F89" s="11"/>
      <c r="G89" s="21"/>
      <c r="H89" s="11"/>
      <c r="I89" s="11"/>
    </row>
    <row r="90" spans="1:9" ht="22.5" customHeight="1">
      <c r="A90" s="18"/>
      <c r="B90" s="19"/>
      <c r="C90" s="20"/>
      <c r="D90" s="11"/>
      <c r="E90" s="11"/>
      <c r="F90" s="11"/>
      <c r="G90" s="21"/>
      <c r="H90" s="11"/>
      <c r="I90" s="11"/>
    </row>
    <row r="91" spans="1:9" ht="22.5" customHeight="1">
      <c r="A91" s="18"/>
      <c r="B91" s="19"/>
      <c r="C91" s="20"/>
      <c r="D91" s="11"/>
      <c r="E91" s="11"/>
      <c r="F91" s="11"/>
      <c r="G91" s="21"/>
      <c r="H91" s="11"/>
      <c r="I91" s="11"/>
    </row>
    <row r="92" spans="1:9" ht="22.5" customHeight="1">
      <c r="A92" s="18"/>
      <c r="B92" s="19"/>
      <c r="C92" s="20"/>
      <c r="D92" s="11"/>
      <c r="E92" s="11"/>
      <c r="F92" s="11"/>
      <c r="G92" s="21"/>
      <c r="H92" s="11"/>
      <c r="I92" s="11"/>
    </row>
    <row r="93" spans="1:9" ht="22.5" customHeight="1">
      <c r="A93" s="18"/>
      <c r="B93" s="19"/>
      <c r="C93" s="20"/>
      <c r="D93" s="11"/>
      <c r="E93" s="11"/>
      <c r="F93" s="11"/>
      <c r="G93" s="21"/>
      <c r="H93" s="11"/>
      <c r="I93" s="11"/>
    </row>
    <row r="94" spans="1:9" ht="22.5" customHeight="1">
      <c r="A94" s="18"/>
      <c r="B94" s="19"/>
      <c r="C94" s="20"/>
      <c r="D94" s="11"/>
      <c r="E94" s="11"/>
      <c r="F94" s="11"/>
      <c r="G94" s="21"/>
      <c r="H94" s="11"/>
      <c r="I94" s="11"/>
    </row>
    <row r="95" spans="1:9" ht="22.5" customHeight="1">
      <c r="A95" s="18"/>
      <c r="B95" s="19"/>
      <c r="C95" s="20"/>
      <c r="D95" s="11"/>
      <c r="E95" s="11"/>
      <c r="F95" s="11"/>
      <c r="G95" s="21"/>
      <c r="H95" s="11"/>
      <c r="I95" s="11"/>
    </row>
    <row r="96" spans="1:9" ht="22.5" customHeight="1">
      <c r="A96" s="18"/>
      <c r="B96" s="19"/>
      <c r="C96" s="20"/>
      <c r="D96" s="11"/>
      <c r="E96" s="11"/>
      <c r="F96" s="11"/>
      <c r="G96" s="21"/>
      <c r="H96" s="11"/>
      <c r="I96" s="11"/>
    </row>
    <row r="97" spans="1:9" ht="22.5" customHeight="1">
      <c r="A97" s="18"/>
      <c r="B97" s="19"/>
      <c r="C97" s="20"/>
      <c r="D97" s="11"/>
      <c r="E97" s="11"/>
      <c r="F97" s="11"/>
      <c r="G97" s="21"/>
      <c r="H97" s="11"/>
      <c r="I97" s="11"/>
    </row>
    <row r="98" spans="1:9" ht="22.5" customHeight="1">
      <c r="A98" s="18"/>
      <c r="B98" s="19"/>
      <c r="C98" s="20"/>
      <c r="D98" s="11"/>
      <c r="E98" s="11"/>
      <c r="F98" s="11"/>
      <c r="G98" s="21"/>
      <c r="H98" s="11"/>
      <c r="I98" s="11"/>
    </row>
    <row r="99" spans="1:9" ht="22.5" customHeight="1">
      <c r="A99" s="18"/>
      <c r="B99" s="19"/>
      <c r="C99" s="20"/>
      <c r="D99" s="11"/>
      <c r="E99" s="11"/>
      <c r="F99" s="11"/>
      <c r="G99" s="21"/>
      <c r="H99" s="11"/>
      <c r="I99" s="11"/>
    </row>
    <row r="100" spans="1:9" ht="22.5" customHeight="1">
      <c r="A100" s="18"/>
      <c r="B100" s="19"/>
      <c r="C100" s="20"/>
      <c r="D100" s="11"/>
      <c r="E100" s="11"/>
      <c r="F100" s="11"/>
      <c r="G100" s="21"/>
      <c r="H100" s="11"/>
      <c r="I100" s="11"/>
    </row>
    <row r="101" spans="1:9" ht="22.5" customHeight="1">
      <c r="A101" s="18"/>
      <c r="B101" s="19"/>
      <c r="C101" s="20"/>
      <c r="D101" s="11"/>
      <c r="E101" s="11"/>
      <c r="F101" s="11"/>
      <c r="G101" s="21"/>
      <c r="H101" s="11"/>
      <c r="I101" s="11"/>
    </row>
    <row r="102" spans="1:9" ht="22.5" customHeight="1">
      <c r="A102" s="18"/>
      <c r="B102" s="19"/>
      <c r="C102" s="20"/>
      <c r="D102" s="11"/>
      <c r="E102" s="11"/>
      <c r="F102" s="11"/>
      <c r="G102" s="21"/>
      <c r="H102" s="11"/>
      <c r="I102" s="11"/>
    </row>
    <row r="103" spans="1:9" ht="22.5" customHeight="1">
      <c r="A103" s="18"/>
      <c r="B103" s="19"/>
      <c r="C103" s="20"/>
      <c r="D103" s="11"/>
      <c r="E103" s="11"/>
      <c r="F103" s="11"/>
      <c r="G103" s="21"/>
      <c r="H103" s="11"/>
      <c r="I103" s="11"/>
    </row>
    <row r="104" spans="1:9" ht="22.5" customHeight="1">
      <c r="A104" s="18"/>
      <c r="B104" s="19"/>
      <c r="C104" s="20"/>
      <c r="D104" s="11"/>
      <c r="E104" s="11"/>
      <c r="F104" s="11"/>
      <c r="G104" s="21"/>
      <c r="H104" s="11"/>
      <c r="I104" s="11"/>
    </row>
    <row r="105" spans="1:9" ht="22.5" customHeight="1">
      <c r="A105" s="18"/>
      <c r="B105" s="19"/>
      <c r="C105" s="20"/>
      <c r="D105" s="11"/>
      <c r="E105" s="11"/>
      <c r="F105" s="11"/>
      <c r="G105" s="21"/>
      <c r="H105" s="11"/>
      <c r="I105" s="11"/>
    </row>
    <row r="106" spans="1:9" ht="22.5" customHeight="1">
      <c r="A106" s="18"/>
      <c r="B106" s="19"/>
      <c r="C106" s="20"/>
      <c r="D106" s="11"/>
      <c r="E106" s="11"/>
      <c r="F106" s="11"/>
      <c r="G106" s="21"/>
      <c r="H106" s="11"/>
      <c r="I106" s="11"/>
    </row>
    <row r="107" spans="1:9" ht="22.5" customHeight="1">
      <c r="A107" s="18"/>
      <c r="B107" s="19"/>
      <c r="C107" s="20"/>
      <c r="D107" s="11"/>
      <c r="E107" s="11"/>
      <c r="F107" s="11"/>
      <c r="G107" s="21"/>
      <c r="H107" s="11"/>
      <c r="I107" s="11"/>
    </row>
    <row r="108" spans="1:9" ht="22.5" customHeight="1">
      <c r="A108" s="18"/>
      <c r="B108" s="19"/>
      <c r="C108" s="20"/>
      <c r="D108" s="11"/>
      <c r="E108" s="11"/>
      <c r="F108" s="11"/>
      <c r="G108" s="21"/>
      <c r="H108" s="11"/>
      <c r="I108" s="11"/>
    </row>
    <row r="109" spans="1:9" ht="22.5" customHeight="1">
      <c r="A109" s="18"/>
      <c r="B109" s="19"/>
      <c r="C109" s="20"/>
      <c r="D109" s="11"/>
      <c r="E109" s="11"/>
      <c r="F109" s="11"/>
      <c r="G109" s="21"/>
      <c r="H109" s="11"/>
      <c r="I109" s="11"/>
    </row>
    <row r="110" spans="1:9" ht="22.5" customHeight="1">
      <c r="A110" s="18"/>
      <c r="B110" s="19"/>
      <c r="C110" s="20"/>
      <c r="D110" s="11"/>
      <c r="E110" s="11"/>
      <c r="F110" s="11"/>
      <c r="G110" s="21"/>
      <c r="H110" s="11"/>
      <c r="I110" s="11"/>
    </row>
    <row r="111" spans="1:9" ht="22.5" customHeight="1">
      <c r="A111" s="18"/>
      <c r="B111" s="19"/>
      <c r="C111" s="20"/>
      <c r="D111" s="11"/>
      <c r="E111" s="11"/>
      <c r="F111" s="11"/>
      <c r="G111" s="21"/>
      <c r="H111" s="11"/>
      <c r="I111" s="11"/>
    </row>
    <row r="112" spans="1:9" ht="22.5" customHeight="1">
      <c r="A112" s="18"/>
      <c r="B112" s="19"/>
      <c r="C112" s="20"/>
      <c r="D112" s="11"/>
      <c r="E112" s="11"/>
      <c r="F112" s="11"/>
      <c r="G112" s="21"/>
      <c r="H112" s="11"/>
      <c r="I112" s="11"/>
    </row>
    <row r="113" spans="1:9" ht="22.5" customHeight="1">
      <c r="A113" s="18"/>
      <c r="B113" s="19"/>
      <c r="C113" s="20"/>
      <c r="D113" s="11"/>
      <c r="E113" s="11"/>
      <c r="F113" s="11"/>
      <c r="G113" s="21"/>
      <c r="H113" s="11"/>
      <c r="I113" s="11"/>
    </row>
    <row r="114" spans="1:9" ht="22.5" customHeight="1">
      <c r="A114" s="18"/>
      <c r="B114" s="19"/>
      <c r="C114" s="20"/>
      <c r="D114" s="11"/>
      <c r="E114" s="11"/>
      <c r="F114" s="11"/>
      <c r="G114" s="21"/>
      <c r="H114" s="11"/>
      <c r="I114" s="11"/>
    </row>
    <row r="115" spans="1:9" ht="22.5" customHeight="1">
      <c r="A115" s="18"/>
      <c r="B115" s="19"/>
      <c r="C115" s="20"/>
      <c r="D115" s="11"/>
      <c r="E115" s="11"/>
      <c r="F115" s="11"/>
      <c r="G115" s="21"/>
      <c r="H115" s="11"/>
      <c r="I115" s="11"/>
    </row>
    <row r="116" spans="1:9" ht="22.5" customHeight="1">
      <c r="A116" s="18"/>
      <c r="B116" s="19"/>
      <c r="C116" s="20"/>
      <c r="D116" s="11"/>
      <c r="E116" s="11"/>
      <c r="F116" s="11"/>
      <c r="G116" s="21"/>
      <c r="H116" s="11"/>
      <c r="I116" s="11"/>
    </row>
    <row r="117" spans="1:9" ht="22.5" customHeight="1">
      <c r="A117" s="18"/>
      <c r="B117" s="19"/>
      <c r="C117" s="20"/>
      <c r="D117" s="11"/>
      <c r="E117" s="11"/>
      <c r="F117" s="11"/>
      <c r="G117" s="21"/>
      <c r="H117" s="11"/>
      <c r="I117" s="11"/>
    </row>
    <row r="118" spans="1:9" ht="22.5" customHeight="1">
      <c r="A118" s="18"/>
      <c r="B118" s="19"/>
      <c r="C118" s="20"/>
      <c r="D118" s="11"/>
      <c r="E118" s="11"/>
      <c r="F118" s="11"/>
      <c r="G118" s="21"/>
      <c r="H118" s="11"/>
      <c r="I118" s="11"/>
    </row>
    <row r="119" spans="1:9" ht="22.5" customHeight="1">
      <c r="A119" s="18"/>
      <c r="B119" s="19"/>
      <c r="C119" s="20"/>
      <c r="D119" s="11"/>
      <c r="E119" s="11"/>
      <c r="F119" s="11"/>
      <c r="G119" s="21"/>
      <c r="H119" s="11"/>
      <c r="I119" s="11"/>
    </row>
    <row r="120" spans="1:9" ht="22.5" customHeight="1">
      <c r="A120" s="18"/>
      <c r="B120" s="19"/>
      <c r="C120" s="20"/>
      <c r="D120" s="11"/>
      <c r="E120" s="11"/>
      <c r="F120" s="11"/>
      <c r="G120" s="21"/>
      <c r="H120" s="11"/>
      <c r="I120" s="11"/>
    </row>
    <row r="121" spans="1:9" ht="22.5" customHeight="1">
      <c r="A121" s="18"/>
      <c r="B121" s="19"/>
      <c r="C121" s="20"/>
      <c r="D121" s="11"/>
      <c r="E121" s="11"/>
      <c r="F121" s="11"/>
      <c r="G121" s="21"/>
      <c r="H121" s="11"/>
      <c r="I121" s="11"/>
    </row>
    <row r="122" spans="1:9" ht="22.5" customHeight="1">
      <c r="A122" s="18"/>
      <c r="B122" s="19"/>
      <c r="C122" s="20"/>
      <c r="D122" s="11"/>
      <c r="E122" s="11"/>
      <c r="F122" s="11"/>
      <c r="G122" s="21"/>
      <c r="H122" s="11"/>
      <c r="I122" s="11"/>
    </row>
    <row r="123" spans="1:9" ht="22.5" customHeight="1">
      <c r="A123" s="18"/>
      <c r="B123" s="19"/>
      <c r="C123" s="20"/>
      <c r="D123" s="11"/>
      <c r="E123" s="11"/>
      <c r="F123" s="11"/>
      <c r="G123" s="21"/>
      <c r="H123" s="11"/>
      <c r="I123" s="11"/>
    </row>
    <row r="124" spans="1:9" ht="22.5" customHeight="1">
      <c r="A124" s="18"/>
      <c r="B124" s="19"/>
      <c r="C124" s="20"/>
      <c r="D124" s="11"/>
      <c r="E124" s="11"/>
      <c r="F124" s="11"/>
      <c r="G124" s="21"/>
      <c r="H124" s="11"/>
      <c r="I124" s="11"/>
    </row>
    <row r="125" spans="1:9" ht="22.5" customHeight="1">
      <c r="A125" s="18"/>
      <c r="B125" s="19"/>
      <c r="C125" s="20"/>
      <c r="D125" s="11"/>
      <c r="E125" s="11"/>
      <c r="F125" s="11"/>
      <c r="G125" s="21"/>
      <c r="H125" s="11"/>
      <c r="I125" s="11"/>
    </row>
    <row r="126" spans="1:9" ht="22.5" customHeight="1">
      <c r="A126" s="18"/>
      <c r="B126" s="19"/>
      <c r="C126" s="20"/>
      <c r="D126" s="11"/>
      <c r="E126" s="11"/>
      <c r="F126" s="11"/>
      <c r="G126" s="21"/>
      <c r="H126" s="11"/>
      <c r="I126" s="11"/>
    </row>
    <row r="127" spans="1:9" ht="22.5" customHeight="1">
      <c r="A127" s="18"/>
      <c r="B127" s="19"/>
      <c r="C127" s="20"/>
      <c r="D127" s="11"/>
      <c r="E127" s="11"/>
      <c r="F127" s="11"/>
      <c r="G127" s="21"/>
      <c r="H127" s="11"/>
      <c r="I127" s="11"/>
    </row>
    <row r="128" spans="1:9" ht="22.5" customHeight="1">
      <c r="A128" s="18"/>
      <c r="B128" s="19"/>
      <c r="C128" s="20"/>
      <c r="D128" s="11"/>
      <c r="E128" s="11"/>
      <c r="F128" s="11"/>
      <c r="G128" s="21"/>
      <c r="H128" s="11"/>
      <c r="I128" s="11"/>
    </row>
    <row r="129" spans="1:9" ht="22.5" customHeight="1">
      <c r="A129" s="18"/>
      <c r="B129" s="19"/>
      <c r="C129" s="20"/>
      <c r="D129" s="11"/>
      <c r="E129" s="11"/>
      <c r="F129" s="11"/>
      <c r="G129" s="21"/>
      <c r="H129" s="11"/>
      <c r="I129" s="11"/>
    </row>
    <row r="130" spans="1:9" ht="22.5" customHeight="1">
      <c r="A130" s="18"/>
      <c r="B130" s="19"/>
      <c r="C130" s="20"/>
      <c r="D130" s="11"/>
      <c r="E130" s="11"/>
      <c r="F130" s="11"/>
      <c r="G130" s="21"/>
      <c r="H130" s="11"/>
      <c r="I130" s="11"/>
    </row>
    <row r="131" spans="1:9" ht="22.5" customHeight="1">
      <c r="A131" s="18"/>
      <c r="B131" s="19"/>
      <c r="C131" s="20"/>
      <c r="D131" s="11"/>
      <c r="E131" s="11"/>
      <c r="F131" s="11"/>
      <c r="G131" s="21"/>
      <c r="H131" s="11"/>
      <c r="I131" s="11"/>
    </row>
    <row r="132" spans="1:9" ht="22.5" customHeight="1">
      <c r="A132" s="18"/>
      <c r="B132" s="19"/>
      <c r="C132" s="20"/>
      <c r="D132" s="11"/>
      <c r="E132" s="11"/>
      <c r="F132" s="11"/>
      <c r="G132" s="21"/>
      <c r="H132" s="11"/>
      <c r="I132" s="11"/>
    </row>
    <row r="133" spans="1:9" ht="22.5" customHeight="1">
      <c r="A133" s="18"/>
      <c r="B133" s="19"/>
      <c r="C133" s="20"/>
      <c r="D133" s="11"/>
      <c r="E133" s="11"/>
      <c r="F133" s="11"/>
      <c r="G133" s="21"/>
      <c r="H133" s="11"/>
      <c r="I133" s="11"/>
    </row>
    <row r="134" spans="1:9" ht="22.5" customHeight="1">
      <c r="A134" s="18"/>
      <c r="B134" s="19"/>
      <c r="C134" s="20"/>
      <c r="D134" s="11"/>
      <c r="E134" s="11"/>
      <c r="F134" s="11"/>
      <c r="G134" s="21"/>
      <c r="H134" s="11"/>
      <c r="I134" s="11"/>
    </row>
    <row r="135" spans="1:9" ht="22.5" customHeight="1">
      <c r="A135" s="18"/>
      <c r="B135" s="19"/>
      <c r="C135" s="20"/>
      <c r="D135" s="11"/>
      <c r="E135" s="11"/>
      <c r="F135" s="11"/>
      <c r="G135" s="21"/>
      <c r="H135" s="11"/>
      <c r="I135" s="11"/>
    </row>
    <row r="136" spans="1:9" ht="22.5" customHeight="1">
      <c r="A136" s="18"/>
      <c r="B136" s="19"/>
      <c r="C136" s="20"/>
      <c r="D136" s="11"/>
      <c r="E136" s="11"/>
      <c r="F136" s="11"/>
      <c r="G136" s="21"/>
      <c r="H136" s="11"/>
      <c r="I136" s="11"/>
    </row>
    <row r="137" spans="1:9" ht="22.5" customHeight="1">
      <c r="A137" s="18"/>
      <c r="B137" s="19"/>
      <c r="C137" s="20"/>
      <c r="D137" s="11"/>
      <c r="E137" s="11"/>
      <c r="F137" s="11"/>
      <c r="G137" s="21"/>
      <c r="H137" s="11"/>
      <c r="I137" s="11"/>
    </row>
    <row r="138" spans="1:9" ht="22.5" customHeight="1">
      <c r="A138" s="18"/>
      <c r="B138" s="19"/>
      <c r="C138" s="20"/>
      <c r="D138" s="11"/>
      <c r="E138" s="11"/>
      <c r="F138" s="11"/>
      <c r="G138" s="21"/>
      <c r="H138" s="11"/>
      <c r="I138" s="11"/>
    </row>
    <row r="139" spans="1:9" ht="22.5" customHeight="1">
      <c r="A139" s="18"/>
      <c r="B139" s="19"/>
      <c r="C139" s="20"/>
      <c r="D139" s="11"/>
      <c r="E139" s="11"/>
      <c r="F139" s="11"/>
      <c r="G139" s="21"/>
      <c r="H139" s="11"/>
      <c r="I139" s="11"/>
    </row>
    <row r="140" spans="1:9" ht="22.5" customHeight="1">
      <c r="A140" s="18"/>
      <c r="B140" s="19"/>
      <c r="C140" s="20"/>
      <c r="D140" s="11"/>
      <c r="E140" s="11"/>
      <c r="F140" s="11"/>
      <c r="G140" s="21"/>
      <c r="H140" s="11"/>
      <c r="I140" s="11"/>
    </row>
    <row r="141" spans="1:9" ht="22.5" customHeight="1">
      <c r="A141" s="18"/>
      <c r="B141" s="19"/>
      <c r="C141" s="20"/>
      <c r="D141" s="11"/>
      <c r="E141" s="11"/>
      <c r="F141" s="11"/>
      <c r="G141" s="21"/>
      <c r="H141" s="11"/>
      <c r="I141" s="11"/>
    </row>
    <row r="142" spans="1:9" ht="22.5" customHeight="1">
      <c r="A142" s="18"/>
      <c r="B142" s="19"/>
      <c r="C142" s="20"/>
      <c r="D142" s="11"/>
      <c r="E142" s="11"/>
      <c r="F142" s="11"/>
      <c r="G142" s="21"/>
      <c r="H142" s="11"/>
      <c r="I142" s="11"/>
    </row>
    <row r="143" spans="1:9" ht="22.5" customHeight="1">
      <c r="A143" s="18"/>
      <c r="B143" s="19"/>
      <c r="C143" s="20"/>
      <c r="D143" s="11"/>
      <c r="E143" s="11"/>
      <c r="F143" s="11"/>
      <c r="G143" s="21"/>
      <c r="H143" s="11"/>
      <c r="I143" s="11"/>
    </row>
    <row r="144" spans="1:9" ht="22.5" customHeight="1">
      <c r="A144" s="18"/>
      <c r="B144" s="19"/>
      <c r="C144" s="20"/>
      <c r="D144" s="11"/>
      <c r="E144" s="11"/>
      <c r="F144" s="11"/>
      <c r="G144" s="21"/>
      <c r="H144" s="11"/>
      <c r="I144" s="11"/>
    </row>
    <row r="145" spans="1:9" ht="22.5" customHeight="1">
      <c r="A145" s="18"/>
      <c r="B145" s="19"/>
      <c r="C145" s="20"/>
      <c r="D145" s="11"/>
      <c r="E145" s="11"/>
      <c r="F145" s="11"/>
      <c r="G145" s="21"/>
      <c r="H145" s="11"/>
      <c r="I145" s="11"/>
    </row>
    <row r="146" spans="1:9" ht="22.5" customHeight="1">
      <c r="A146" s="18"/>
      <c r="B146" s="19"/>
      <c r="C146" s="20"/>
      <c r="D146" s="11"/>
      <c r="E146" s="11"/>
      <c r="F146" s="11"/>
      <c r="G146" s="21"/>
      <c r="H146" s="11"/>
      <c r="I146" s="11"/>
    </row>
    <row r="147" spans="1:9" ht="22.5" customHeight="1">
      <c r="A147" s="18"/>
      <c r="B147" s="19"/>
      <c r="C147" s="20"/>
      <c r="D147" s="11"/>
      <c r="E147" s="11"/>
      <c r="F147" s="11"/>
      <c r="G147" s="21"/>
      <c r="H147" s="11"/>
      <c r="I147" s="11"/>
    </row>
    <row r="148" spans="1:9" ht="22.5" customHeight="1">
      <c r="A148" s="18"/>
      <c r="B148" s="19"/>
      <c r="C148" s="20"/>
      <c r="D148" s="11"/>
      <c r="E148" s="11"/>
      <c r="F148" s="11"/>
      <c r="G148" s="21"/>
      <c r="H148" s="11"/>
      <c r="I148" s="11"/>
    </row>
    <row r="149" spans="1:9" ht="22.5" customHeight="1">
      <c r="A149" s="18"/>
      <c r="B149" s="19"/>
      <c r="C149" s="20"/>
      <c r="D149" s="11"/>
      <c r="E149" s="11"/>
      <c r="F149" s="11"/>
      <c r="G149" s="21"/>
      <c r="H149" s="11"/>
      <c r="I149" s="11"/>
    </row>
    <row r="150" spans="1:9" ht="22.5" customHeight="1">
      <c r="A150" s="18"/>
      <c r="B150" s="19"/>
      <c r="C150" s="20"/>
      <c r="D150" s="11"/>
      <c r="E150" s="11"/>
      <c r="F150" s="11"/>
      <c r="G150" s="21"/>
      <c r="H150" s="11"/>
      <c r="I150" s="11"/>
    </row>
    <row r="151" spans="1:9" ht="22.5" customHeight="1">
      <c r="A151" s="18"/>
      <c r="B151" s="19"/>
      <c r="C151" s="20"/>
      <c r="D151" s="11"/>
      <c r="E151" s="11"/>
      <c r="F151" s="11"/>
      <c r="G151" s="21"/>
      <c r="H151" s="11"/>
      <c r="I151" s="11"/>
    </row>
    <row r="152" spans="1:9" ht="22.5" customHeight="1">
      <c r="A152" s="18"/>
      <c r="B152" s="19"/>
      <c r="C152" s="20"/>
      <c r="D152" s="11"/>
      <c r="E152" s="11"/>
      <c r="F152" s="11"/>
      <c r="G152" s="21"/>
      <c r="H152" s="11"/>
      <c r="I152" s="11"/>
    </row>
    <row r="153" spans="1:9" ht="22.5" customHeight="1">
      <c r="A153" s="18"/>
      <c r="B153" s="19"/>
      <c r="C153" s="20"/>
      <c r="D153" s="11"/>
      <c r="E153" s="11"/>
      <c r="F153" s="11"/>
      <c r="G153" s="21"/>
      <c r="H153" s="11"/>
      <c r="I153" s="11"/>
    </row>
    <row r="154" spans="1:9" ht="22.5" customHeight="1">
      <c r="A154" s="18"/>
      <c r="B154" s="19"/>
      <c r="C154" s="20"/>
      <c r="D154" s="11"/>
      <c r="E154" s="11"/>
      <c r="F154" s="11"/>
      <c r="G154" s="21"/>
      <c r="H154" s="11"/>
      <c r="I154" s="11"/>
    </row>
    <row r="155" spans="1:9" ht="22.5" customHeight="1">
      <c r="A155" s="18"/>
      <c r="B155" s="19"/>
      <c r="C155" s="20"/>
      <c r="D155" s="11"/>
      <c r="E155" s="11"/>
      <c r="F155" s="11"/>
      <c r="G155" s="21"/>
      <c r="H155" s="11"/>
      <c r="I155" s="11"/>
    </row>
    <row r="156" spans="1:9" ht="22.5" customHeight="1">
      <c r="A156" s="18"/>
      <c r="B156" s="19"/>
      <c r="C156" s="20"/>
      <c r="D156" s="11"/>
      <c r="E156" s="11"/>
      <c r="F156" s="11"/>
      <c r="G156" s="21"/>
      <c r="H156" s="11"/>
      <c r="I156" s="11"/>
    </row>
    <row r="157" spans="1:9" ht="22.5" customHeight="1">
      <c r="A157" s="18"/>
      <c r="B157" s="19"/>
      <c r="C157" s="20"/>
      <c r="D157" s="11"/>
      <c r="E157" s="11"/>
      <c r="F157" s="11"/>
      <c r="G157" s="21"/>
      <c r="H157" s="11"/>
      <c r="I157" s="11"/>
    </row>
    <row r="158" spans="1:9" ht="22.5" customHeight="1">
      <c r="A158" s="18"/>
      <c r="B158" s="19"/>
      <c r="C158" s="20"/>
      <c r="D158" s="11"/>
      <c r="E158" s="11"/>
      <c r="F158" s="11"/>
      <c r="G158" s="21"/>
      <c r="H158" s="11"/>
      <c r="I158" s="11"/>
    </row>
    <row r="159" spans="1:9" ht="22.5" customHeight="1">
      <c r="A159" s="18"/>
      <c r="B159" s="19"/>
      <c r="C159" s="20"/>
      <c r="D159" s="11"/>
      <c r="E159" s="11"/>
      <c r="F159" s="11"/>
      <c r="G159" s="21"/>
      <c r="H159" s="11"/>
      <c r="I159" s="11"/>
    </row>
    <row r="160" spans="1:9" ht="22.5" customHeight="1">
      <c r="A160" s="18"/>
      <c r="B160" s="19"/>
      <c r="C160" s="20"/>
      <c r="D160" s="11"/>
      <c r="E160" s="11"/>
      <c r="F160" s="11"/>
      <c r="G160" s="21"/>
      <c r="H160" s="11"/>
      <c r="I160" s="11"/>
    </row>
    <row r="161" spans="1:9" ht="22.5" customHeight="1">
      <c r="A161" s="18"/>
      <c r="B161" s="19"/>
      <c r="C161" s="20"/>
      <c r="D161" s="11"/>
      <c r="E161" s="11"/>
      <c r="F161" s="11"/>
      <c r="G161" s="21"/>
      <c r="H161" s="11"/>
      <c r="I161" s="11"/>
    </row>
    <row r="162" spans="1:9" ht="22.5" customHeight="1">
      <c r="A162" s="18"/>
      <c r="B162" s="19"/>
      <c r="C162" s="20"/>
      <c r="D162" s="11"/>
      <c r="E162" s="11"/>
      <c r="F162" s="11"/>
      <c r="G162" s="21"/>
      <c r="H162" s="11"/>
      <c r="I162" s="11"/>
    </row>
    <row r="163" spans="1:9" ht="22.5" customHeight="1">
      <c r="A163" s="18"/>
      <c r="B163" s="19"/>
      <c r="C163" s="20"/>
      <c r="D163" s="11"/>
      <c r="E163" s="11"/>
      <c r="F163" s="11"/>
      <c r="G163" s="21"/>
      <c r="H163" s="11"/>
      <c r="I163" s="11"/>
    </row>
    <row r="164" spans="1:9" ht="22.5" customHeight="1">
      <c r="A164" s="18"/>
      <c r="B164" s="19"/>
      <c r="C164" s="20"/>
      <c r="D164" s="11"/>
      <c r="E164" s="11"/>
      <c r="F164" s="11"/>
      <c r="G164" s="21"/>
      <c r="H164" s="11"/>
      <c r="I164" s="11"/>
    </row>
    <row r="165" spans="1:9" ht="22.5" customHeight="1">
      <c r="A165" s="18"/>
      <c r="B165" s="19"/>
      <c r="C165" s="20"/>
      <c r="D165" s="11"/>
      <c r="E165" s="11"/>
      <c r="F165" s="11"/>
      <c r="G165" s="21"/>
      <c r="H165" s="11"/>
      <c r="I165" s="11"/>
    </row>
    <row r="166" spans="1:9" ht="22.5" customHeight="1">
      <c r="A166" s="18"/>
      <c r="B166" s="19"/>
      <c r="C166" s="20"/>
      <c r="D166" s="11"/>
      <c r="E166" s="11"/>
      <c r="F166" s="11"/>
      <c r="G166" s="21"/>
      <c r="H166" s="11"/>
      <c r="I166" s="11"/>
    </row>
    <row r="167" spans="1:9" ht="22.5" customHeight="1">
      <c r="A167" s="18"/>
      <c r="B167" s="19"/>
      <c r="C167" s="20"/>
      <c r="D167" s="11"/>
      <c r="E167" s="11"/>
      <c r="F167" s="11"/>
      <c r="G167" s="21"/>
      <c r="H167" s="11"/>
      <c r="I167" s="11"/>
    </row>
    <row r="168" spans="1:9" ht="22.5" customHeight="1">
      <c r="A168" s="18"/>
      <c r="B168" s="19"/>
      <c r="C168" s="20"/>
      <c r="D168" s="11"/>
      <c r="E168" s="11"/>
      <c r="F168" s="11"/>
      <c r="G168" s="21"/>
      <c r="H168" s="11"/>
      <c r="I168" s="11"/>
    </row>
    <row r="169" spans="1:9" ht="22.5" customHeight="1">
      <c r="A169" s="18"/>
      <c r="B169" s="19"/>
      <c r="C169" s="20"/>
      <c r="D169" s="11"/>
      <c r="E169" s="11"/>
      <c r="F169" s="11"/>
      <c r="G169" s="21"/>
      <c r="H169" s="11"/>
      <c r="I169" s="11"/>
    </row>
    <row r="170" spans="1:9" ht="22.5" customHeight="1">
      <c r="A170" s="18"/>
      <c r="B170" s="19"/>
      <c r="C170" s="20"/>
      <c r="D170" s="11"/>
      <c r="E170" s="11"/>
      <c r="F170" s="11"/>
      <c r="G170" s="21"/>
      <c r="H170" s="11"/>
      <c r="I170" s="11"/>
    </row>
    <row r="171" spans="1:9" ht="22.5" customHeight="1">
      <c r="A171" s="18"/>
      <c r="B171" s="19"/>
      <c r="C171" s="20"/>
      <c r="D171" s="11"/>
      <c r="E171" s="11"/>
      <c r="F171" s="11"/>
      <c r="G171" s="21"/>
      <c r="H171" s="11"/>
      <c r="I171" s="11"/>
    </row>
    <row r="172" spans="1:9" ht="22.5" customHeight="1">
      <c r="A172" s="18"/>
      <c r="B172" s="19"/>
      <c r="C172" s="20"/>
      <c r="D172" s="11"/>
      <c r="E172" s="11"/>
      <c r="F172" s="11"/>
      <c r="G172" s="21"/>
      <c r="H172" s="11"/>
      <c r="I172" s="11"/>
    </row>
    <row r="173" spans="1:9" ht="22.5" customHeight="1">
      <c r="A173" s="18"/>
      <c r="B173" s="19"/>
      <c r="C173" s="20"/>
      <c r="D173" s="11"/>
      <c r="E173" s="11"/>
      <c r="F173" s="11"/>
      <c r="G173" s="21"/>
      <c r="H173" s="11"/>
      <c r="I173" s="11"/>
    </row>
    <row r="174" spans="1:9" ht="22.5" customHeight="1">
      <c r="A174" s="18"/>
      <c r="B174" s="19"/>
      <c r="C174" s="20"/>
      <c r="D174" s="11"/>
      <c r="E174" s="11"/>
      <c r="F174" s="11"/>
      <c r="G174" s="21"/>
      <c r="H174" s="11"/>
      <c r="I174" s="11"/>
    </row>
    <row r="175" spans="1:9" ht="22.5" customHeight="1">
      <c r="A175" s="18"/>
      <c r="B175" s="19"/>
      <c r="C175" s="20"/>
      <c r="D175" s="11"/>
      <c r="E175" s="11"/>
      <c r="F175" s="11"/>
      <c r="G175" s="21"/>
      <c r="H175" s="11"/>
      <c r="I175" s="11"/>
    </row>
    <row r="176" spans="1:9" ht="22.5" customHeight="1">
      <c r="A176" s="18"/>
      <c r="B176" s="19"/>
      <c r="C176" s="20"/>
      <c r="D176" s="11"/>
      <c r="E176" s="11"/>
      <c r="F176" s="11"/>
      <c r="G176" s="21"/>
      <c r="H176" s="11"/>
      <c r="I176" s="11"/>
    </row>
    <row r="177" spans="1:9" ht="22.5" customHeight="1">
      <c r="A177" s="18"/>
      <c r="B177" s="19"/>
      <c r="C177" s="20"/>
      <c r="D177" s="11"/>
      <c r="E177" s="11"/>
      <c r="F177" s="11"/>
      <c r="G177" s="21"/>
      <c r="H177" s="11"/>
      <c r="I177" s="11"/>
    </row>
    <row r="178" spans="1:9" ht="22.5" customHeight="1">
      <c r="A178" s="18"/>
      <c r="B178" s="19"/>
      <c r="C178" s="20"/>
      <c r="D178" s="11"/>
      <c r="E178" s="11"/>
      <c r="F178" s="11"/>
      <c r="G178" s="21"/>
      <c r="H178" s="11"/>
      <c r="I178" s="11"/>
    </row>
    <row r="179" spans="1:9" ht="22.5" customHeight="1">
      <c r="A179" s="18"/>
      <c r="B179" s="19"/>
      <c r="C179" s="20"/>
      <c r="D179" s="11"/>
      <c r="E179" s="11"/>
      <c r="F179" s="11"/>
      <c r="G179" s="21"/>
      <c r="H179" s="11"/>
      <c r="I179" s="11"/>
    </row>
    <row r="180" spans="1:9" ht="22.5" customHeight="1">
      <c r="A180" s="18"/>
      <c r="B180" s="19"/>
      <c r="C180" s="20"/>
      <c r="D180" s="11"/>
      <c r="E180" s="11"/>
      <c r="F180" s="11"/>
      <c r="G180" s="21"/>
      <c r="H180" s="11"/>
      <c r="I180" s="11"/>
    </row>
    <row r="181" spans="1:9" ht="22.5" customHeight="1">
      <c r="A181" s="18"/>
      <c r="B181" s="19"/>
      <c r="C181" s="20"/>
      <c r="D181" s="11"/>
      <c r="E181" s="11"/>
      <c r="F181" s="11"/>
      <c r="G181" s="21"/>
      <c r="H181" s="11"/>
      <c r="I181" s="11"/>
    </row>
    <row r="182" spans="1:9" ht="22.5" customHeight="1">
      <c r="A182" s="18"/>
      <c r="B182" s="19"/>
      <c r="C182" s="20"/>
      <c r="D182" s="11"/>
      <c r="E182" s="11"/>
      <c r="F182" s="11"/>
      <c r="G182" s="21"/>
      <c r="H182" s="11"/>
      <c r="I182" s="11"/>
    </row>
    <row r="183" spans="1:9" ht="22.5" customHeight="1">
      <c r="A183" s="18"/>
      <c r="B183" s="19"/>
      <c r="C183" s="20"/>
      <c r="D183" s="11"/>
      <c r="E183" s="11"/>
      <c r="F183" s="11"/>
      <c r="G183" s="21"/>
      <c r="H183" s="11"/>
      <c r="I183" s="11"/>
    </row>
    <row r="184" spans="1:9" ht="22.5" customHeight="1">
      <c r="A184" s="18"/>
      <c r="B184" s="19"/>
      <c r="C184" s="20"/>
      <c r="D184" s="11"/>
      <c r="E184" s="11"/>
      <c r="F184" s="11"/>
      <c r="G184" s="21"/>
      <c r="H184" s="11"/>
      <c r="I184" s="11"/>
    </row>
    <row r="185" spans="1:9" ht="22.5" customHeight="1">
      <c r="A185" s="18"/>
      <c r="B185" s="19"/>
      <c r="C185" s="20"/>
      <c r="D185" s="11"/>
      <c r="E185" s="11"/>
      <c r="F185" s="11"/>
      <c r="G185" s="21"/>
      <c r="H185" s="11"/>
      <c r="I185" s="11"/>
    </row>
    <row r="186" spans="1:9" ht="22.5" customHeight="1">
      <c r="A186" s="18"/>
      <c r="B186" s="19"/>
      <c r="C186" s="20"/>
      <c r="D186" s="11"/>
      <c r="E186" s="11"/>
      <c r="F186" s="11"/>
      <c r="G186" s="21"/>
      <c r="H186" s="11"/>
      <c r="I186" s="11"/>
    </row>
    <row r="187" spans="1:9" ht="22.5" customHeight="1">
      <c r="A187" s="18"/>
      <c r="B187" s="19"/>
      <c r="C187" s="20"/>
      <c r="D187" s="11"/>
      <c r="E187" s="11"/>
      <c r="F187" s="11"/>
      <c r="G187" s="21"/>
      <c r="H187" s="11"/>
      <c r="I187" s="11"/>
    </row>
    <row r="188" spans="1:9" ht="22.5" customHeight="1">
      <c r="A188" s="18"/>
      <c r="B188" s="19"/>
      <c r="C188" s="20"/>
      <c r="D188" s="11"/>
      <c r="E188" s="11"/>
      <c r="F188" s="11"/>
      <c r="G188" s="21"/>
      <c r="H188" s="11"/>
      <c r="I188" s="11"/>
    </row>
    <row r="189" spans="1:9" ht="22.5" customHeight="1">
      <c r="A189" s="18"/>
      <c r="B189" s="19"/>
      <c r="C189" s="20"/>
      <c r="D189" s="11"/>
      <c r="E189" s="11"/>
      <c r="F189" s="11"/>
      <c r="G189" s="21"/>
      <c r="H189" s="11"/>
      <c r="I189" s="11"/>
    </row>
    <row r="190" spans="1:9" ht="22.5" customHeight="1">
      <c r="A190" s="18"/>
      <c r="B190" s="19"/>
      <c r="C190" s="20"/>
      <c r="D190" s="11"/>
      <c r="E190" s="11"/>
      <c r="F190" s="11"/>
      <c r="G190" s="21"/>
      <c r="H190" s="11"/>
      <c r="I190" s="11"/>
    </row>
    <row r="191" spans="1:9" ht="22.5" customHeight="1">
      <c r="A191" s="18"/>
      <c r="B191" s="19"/>
      <c r="C191" s="20"/>
      <c r="D191" s="11"/>
      <c r="E191" s="11"/>
      <c r="F191" s="11"/>
      <c r="G191" s="21"/>
      <c r="H191" s="11"/>
      <c r="I191" s="11"/>
    </row>
    <row r="192" spans="1:9" ht="22.5" customHeight="1">
      <c r="A192" s="18"/>
      <c r="B192" s="19"/>
      <c r="C192" s="20"/>
      <c r="D192" s="11"/>
      <c r="E192" s="11"/>
      <c r="F192" s="11"/>
      <c r="G192" s="21"/>
      <c r="H192" s="11"/>
      <c r="I192" s="11"/>
    </row>
    <row r="193" spans="1:9" ht="22.5" customHeight="1">
      <c r="A193" s="18"/>
      <c r="B193" s="19"/>
      <c r="C193" s="20"/>
      <c r="D193" s="11"/>
      <c r="E193" s="11"/>
      <c r="F193" s="11"/>
      <c r="G193" s="21"/>
      <c r="H193" s="11"/>
      <c r="I193" s="11"/>
    </row>
    <row r="194" spans="1:9" ht="22.5" customHeight="1">
      <c r="A194" s="18"/>
      <c r="B194" s="19"/>
      <c r="C194" s="20"/>
      <c r="D194" s="11"/>
      <c r="E194" s="11"/>
      <c r="F194" s="11"/>
      <c r="G194" s="21"/>
      <c r="H194" s="11"/>
      <c r="I194" s="11"/>
    </row>
    <row r="195" spans="1:9" ht="22.5" customHeight="1">
      <c r="A195" s="18"/>
      <c r="B195" s="19"/>
      <c r="C195" s="20"/>
      <c r="D195" s="11"/>
      <c r="E195" s="11"/>
      <c r="F195" s="11"/>
      <c r="G195" s="21"/>
      <c r="H195" s="11"/>
      <c r="I195" s="11"/>
    </row>
    <row r="196" spans="1:9" ht="22.5" customHeight="1">
      <c r="A196" s="18"/>
      <c r="B196" s="19"/>
      <c r="C196" s="20"/>
      <c r="D196" s="11"/>
      <c r="E196" s="11"/>
      <c r="F196" s="11"/>
      <c r="G196" s="21"/>
      <c r="H196" s="11"/>
      <c r="I196" s="11"/>
    </row>
    <row r="197" spans="1:9" ht="22.5" customHeight="1">
      <c r="A197" s="18"/>
      <c r="B197" s="19"/>
      <c r="C197" s="20"/>
      <c r="D197" s="11"/>
      <c r="E197" s="11"/>
      <c r="F197" s="11"/>
      <c r="G197" s="21"/>
      <c r="H197" s="11"/>
      <c r="I197" s="11"/>
    </row>
    <row r="198" spans="1:9" ht="22.5" customHeight="1">
      <c r="A198" s="18"/>
      <c r="B198" s="19"/>
      <c r="C198" s="20"/>
      <c r="D198" s="11"/>
      <c r="E198" s="11"/>
      <c r="F198" s="11"/>
      <c r="G198" s="21"/>
      <c r="H198" s="11"/>
      <c r="I198" s="11"/>
    </row>
    <row r="199" spans="1:9" ht="22.5" customHeight="1">
      <c r="A199" s="18"/>
      <c r="B199" s="19"/>
      <c r="C199" s="20"/>
      <c r="D199" s="11"/>
      <c r="E199" s="11"/>
      <c r="F199" s="11"/>
      <c r="G199" s="21"/>
      <c r="H199" s="11"/>
      <c r="I199" s="11"/>
    </row>
    <row r="200" spans="1:9" ht="22.5" customHeight="1">
      <c r="A200" s="18"/>
      <c r="B200" s="19"/>
      <c r="C200" s="20"/>
      <c r="D200" s="11"/>
      <c r="E200" s="11"/>
      <c r="F200" s="11"/>
      <c r="G200" s="21"/>
      <c r="H200" s="11"/>
      <c r="I200" s="11"/>
    </row>
    <row r="201" spans="1:9" ht="22.5" customHeight="1">
      <c r="A201" s="18"/>
      <c r="B201" s="19"/>
      <c r="C201" s="20"/>
      <c r="D201" s="11"/>
      <c r="E201" s="11"/>
      <c r="F201" s="11"/>
      <c r="G201" s="21"/>
      <c r="H201" s="11"/>
      <c r="I201" s="11"/>
    </row>
    <row r="202" spans="1:9" ht="22.5" customHeight="1">
      <c r="A202" s="18"/>
      <c r="B202" s="19"/>
      <c r="C202" s="20"/>
      <c r="D202" s="11"/>
      <c r="E202" s="11"/>
      <c r="F202" s="11"/>
      <c r="G202" s="21"/>
      <c r="H202" s="11"/>
      <c r="I202" s="11"/>
    </row>
    <row r="203" spans="1:9" ht="22.5" customHeight="1">
      <c r="A203" s="18"/>
      <c r="B203" s="19"/>
      <c r="C203" s="20"/>
      <c r="D203" s="11"/>
      <c r="E203" s="11"/>
      <c r="F203" s="11"/>
      <c r="G203" s="21"/>
      <c r="H203" s="11"/>
      <c r="I203" s="11"/>
    </row>
    <row r="204" spans="1:9" ht="22.5" customHeight="1">
      <c r="A204" s="18"/>
      <c r="B204" s="19"/>
      <c r="C204" s="20"/>
      <c r="D204" s="11"/>
      <c r="E204" s="11"/>
      <c r="F204" s="11"/>
      <c r="G204" s="21"/>
      <c r="H204" s="11"/>
      <c r="I204" s="11"/>
    </row>
    <row r="205" spans="1:9" ht="22.5" customHeight="1">
      <c r="A205" s="18"/>
      <c r="B205" s="19"/>
      <c r="C205" s="20"/>
      <c r="D205" s="11"/>
      <c r="E205" s="11"/>
      <c r="F205" s="11"/>
      <c r="G205" s="21"/>
      <c r="H205" s="11"/>
      <c r="I205" s="11"/>
    </row>
    <row r="206" spans="1:9" ht="22.5" customHeight="1">
      <c r="A206" s="18"/>
      <c r="B206" s="19"/>
      <c r="C206" s="20"/>
      <c r="D206" s="11"/>
      <c r="E206" s="11"/>
      <c r="F206" s="11"/>
      <c r="G206" s="21"/>
      <c r="H206" s="11"/>
      <c r="I206" s="11"/>
    </row>
    <row r="207" spans="1:9" ht="22.5" customHeight="1">
      <c r="A207" s="18"/>
      <c r="B207" s="19"/>
      <c r="C207" s="20"/>
      <c r="D207" s="11"/>
      <c r="E207" s="11"/>
      <c r="F207" s="11"/>
      <c r="G207" s="21"/>
      <c r="H207" s="11"/>
      <c r="I207" s="11"/>
    </row>
    <row r="208" spans="1:9" ht="22.5" customHeight="1">
      <c r="A208" s="18"/>
      <c r="B208" s="19"/>
      <c r="C208" s="20"/>
      <c r="D208" s="11"/>
      <c r="E208" s="11"/>
      <c r="F208" s="11"/>
      <c r="G208" s="21"/>
      <c r="H208" s="11"/>
      <c r="I208" s="11"/>
    </row>
    <row r="209" spans="1:9" ht="22.5" customHeight="1">
      <c r="A209" s="18"/>
      <c r="B209" s="19"/>
      <c r="C209" s="20"/>
      <c r="D209" s="11"/>
      <c r="E209" s="11"/>
      <c r="F209" s="11"/>
      <c r="G209" s="21"/>
      <c r="H209" s="11"/>
      <c r="I209" s="11"/>
    </row>
    <row r="210" spans="1:9" ht="22.5" customHeight="1">
      <c r="A210" s="18"/>
      <c r="B210" s="19"/>
      <c r="C210" s="20"/>
      <c r="D210" s="11"/>
      <c r="E210" s="11"/>
      <c r="F210" s="11"/>
      <c r="G210" s="21"/>
      <c r="H210" s="11"/>
      <c r="I210" s="11"/>
    </row>
    <row r="211" spans="1:9" ht="22.5" customHeight="1">
      <c r="A211" s="18"/>
      <c r="B211" s="19"/>
      <c r="C211" s="20"/>
      <c r="D211" s="11"/>
      <c r="E211" s="11"/>
      <c r="F211" s="11"/>
      <c r="G211" s="21"/>
      <c r="H211" s="11"/>
      <c r="I211" s="11"/>
    </row>
    <row r="212" spans="1:9" ht="22.5" customHeight="1">
      <c r="A212" s="18"/>
      <c r="B212" s="19"/>
      <c r="C212" s="20"/>
      <c r="D212" s="11"/>
      <c r="E212" s="11"/>
      <c r="F212" s="11"/>
      <c r="G212" s="21"/>
      <c r="H212" s="11"/>
      <c r="I212" s="11"/>
    </row>
    <row r="213" spans="1:9" ht="22.5" customHeight="1">
      <c r="A213" s="18"/>
      <c r="B213" s="19"/>
      <c r="C213" s="20"/>
      <c r="D213" s="11"/>
      <c r="E213" s="11"/>
      <c r="F213" s="11"/>
      <c r="G213" s="21"/>
      <c r="H213" s="11"/>
      <c r="I213" s="11"/>
    </row>
    <row r="214" spans="1:9" ht="22.5" customHeight="1">
      <c r="A214" s="18"/>
      <c r="B214" s="19"/>
      <c r="C214" s="20"/>
      <c r="D214" s="11"/>
      <c r="E214" s="11"/>
      <c r="F214" s="11"/>
      <c r="G214" s="21"/>
      <c r="H214" s="11"/>
      <c r="I214" s="11"/>
    </row>
    <row r="215" spans="1:9" ht="22.5" customHeight="1">
      <c r="A215" s="18"/>
      <c r="B215" s="19"/>
      <c r="C215" s="20"/>
      <c r="D215" s="11"/>
      <c r="E215" s="11"/>
      <c r="F215" s="11"/>
      <c r="G215" s="21"/>
      <c r="H215" s="11"/>
      <c r="I215" s="11"/>
    </row>
    <row r="216" spans="1:9" ht="22.5" customHeight="1">
      <c r="A216" s="18"/>
      <c r="B216" s="19"/>
      <c r="C216" s="20"/>
      <c r="D216" s="11"/>
      <c r="E216" s="11"/>
      <c r="F216" s="11"/>
      <c r="G216" s="21"/>
      <c r="H216" s="11"/>
      <c r="I216" s="11"/>
    </row>
    <row r="217" spans="1:9" ht="22.5" customHeight="1">
      <c r="A217" s="18"/>
      <c r="B217" s="19"/>
      <c r="C217" s="20"/>
      <c r="D217" s="11"/>
      <c r="E217" s="11"/>
      <c r="F217" s="11"/>
      <c r="G217" s="21"/>
      <c r="H217" s="11"/>
      <c r="I217" s="11"/>
    </row>
    <row r="218" spans="1:9" ht="22.5" customHeight="1">
      <c r="A218" s="18"/>
      <c r="B218" s="19"/>
      <c r="C218" s="20"/>
      <c r="D218" s="11"/>
      <c r="E218" s="11"/>
      <c r="F218" s="11"/>
      <c r="G218" s="21"/>
      <c r="H218" s="11"/>
      <c r="I218" s="11"/>
    </row>
    <row r="219" spans="1:9" ht="22.5" customHeight="1">
      <c r="A219" s="18"/>
      <c r="B219" s="19"/>
      <c r="C219" s="20"/>
      <c r="D219" s="11"/>
      <c r="E219" s="11"/>
      <c r="F219" s="11"/>
      <c r="G219" s="21"/>
      <c r="H219" s="11"/>
      <c r="I219" s="11"/>
    </row>
    <row r="220" spans="1:9" ht="22.5" customHeight="1">
      <c r="A220" s="18"/>
      <c r="B220" s="19"/>
      <c r="C220" s="20"/>
      <c r="D220" s="11"/>
      <c r="E220" s="11"/>
      <c r="F220" s="11"/>
      <c r="G220" s="21"/>
      <c r="H220" s="11"/>
      <c r="I220" s="11"/>
    </row>
    <row r="221" spans="1:9" ht="22.5" customHeight="1">
      <c r="A221" s="18"/>
      <c r="B221" s="19"/>
      <c r="C221" s="20"/>
      <c r="D221" s="11"/>
      <c r="E221" s="11"/>
      <c r="F221" s="11"/>
      <c r="G221" s="21"/>
      <c r="H221" s="11"/>
      <c r="I221" s="11"/>
    </row>
    <row r="222" spans="1:9" ht="22.5" customHeight="1">
      <c r="A222" s="18"/>
      <c r="B222" s="19"/>
      <c r="C222" s="20"/>
      <c r="D222" s="11"/>
      <c r="E222" s="11"/>
      <c r="F222" s="11"/>
      <c r="G222" s="21"/>
      <c r="H222" s="11"/>
      <c r="I222" s="11"/>
    </row>
    <row r="223" spans="1:9" ht="22.5" customHeight="1">
      <c r="A223" s="18"/>
      <c r="B223" s="19"/>
      <c r="C223" s="20"/>
      <c r="D223" s="11"/>
      <c r="E223" s="11"/>
      <c r="F223" s="11"/>
      <c r="G223" s="21"/>
      <c r="H223" s="11"/>
      <c r="I223" s="11"/>
    </row>
    <row r="224" spans="1:9" ht="22.5" customHeight="1">
      <c r="A224" s="18"/>
      <c r="B224" s="19"/>
      <c r="C224" s="20"/>
      <c r="D224" s="11"/>
      <c r="E224" s="11"/>
      <c r="F224" s="11"/>
      <c r="G224" s="21"/>
      <c r="H224" s="11"/>
      <c r="I224" s="11"/>
    </row>
    <row r="225" spans="1:9" ht="22.5" customHeight="1">
      <c r="A225" s="18"/>
      <c r="B225" s="19"/>
      <c r="C225" s="20"/>
      <c r="D225" s="11"/>
      <c r="E225" s="11"/>
      <c r="F225" s="11"/>
      <c r="G225" s="21"/>
      <c r="H225" s="11"/>
      <c r="I225" s="11"/>
    </row>
    <row r="226" spans="1:9" ht="22.5" customHeight="1">
      <c r="A226" s="18"/>
      <c r="B226" s="19"/>
      <c r="C226" s="20"/>
      <c r="D226" s="11"/>
      <c r="E226" s="11"/>
      <c r="F226" s="11"/>
      <c r="G226" s="21"/>
      <c r="H226" s="11"/>
      <c r="I226" s="11"/>
    </row>
    <row r="227" spans="1:9" ht="22.5" customHeight="1">
      <c r="A227" s="18"/>
      <c r="B227" s="19"/>
      <c r="C227" s="20"/>
      <c r="D227" s="11"/>
      <c r="E227" s="11"/>
      <c r="F227" s="11"/>
      <c r="G227" s="21"/>
      <c r="H227" s="11"/>
      <c r="I227" s="11"/>
    </row>
    <row r="228" spans="1:9" ht="22.5" customHeight="1">
      <c r="A228" s="18"/>
      <c r="B228" s="19"/>
      <c r="C228" s="20"/>
      <c r="D228" s="11"/>
      <c r="E228" s="11"/>
      <c r="F228" s="11"/>
      <c r="G228" s="21"/>
      <c r="H228" s="11"/>
      <c r="I228" s="11"/>
    </row>
    <row r="229" spans="1:9" ht="22.5" customHeight="1">
      <c r="A229" s="18"/>
      <c r="B229" s="19"/>
      <c r="C229" s="20"/>
      <c r="D229" s="11"/>
      <c r="E229" s="11"/>
      <c r="F229" s="11"/>
      <c r="G229" s="21"/>
      <c r="H229" s="11"/>
      <c r="I229" s="11"/>
    </row>
    <row r="230" spans="1:9" ht="22.5" customHeight="1">
      <c r="A230" s="18"/>
      <c r="B230" s="19"/>
      <c r="C230" s="20"/>
      <c r="D230" s="11"/>
      <c r="E230" s="11"/>
      <c r="F230" s="11"/>
      <c r="G230" s="21"/>
      <c r="H230" s="11"/>
      <c r="I230" s="11"/>
    </row>
    <row r="231" spans="1:9" ht="22.5" customHeight="1">
      <c r="A231" s="18"/>
      <c r="B231" s="19"/>
      <c r="C231" s="20"/>
      <c r="D231" s="11"/>
      <c r="E231" s="11"/>
      <c r="F231" s="11"/>
      <c r="G231" s="21"/>
      <c r="H231" s="11"/>
      <c r="I231" s="11"/>
    </row>
    <row r="232" spans="1:9" ht="22.5" customHeight="1">
      <c r="A232" s="18"/>
      <c r="B232" s="19"/>
      <c r="C232" s="20"/>
      <c r="D232" s="11"/>
      <c r="E232" s="11"/>
      <c r="F232" s="11"/>
      <c r="G232" s="21"/>
      <c r="H232" s="11"/>
      <c r="I232" s="11"/>
    </row>
    <row r="233" spans="1:9" ht="22.5" customHeight="1">
      <c r="A233" s="18"/>
      <c r="B233" s="19"/>
      <c r="C233" s="20"/>
      <c r="D233" s="11"/>
      <c r="E233" s="11"/>
      <c r="F233" s="11"/>
      <c r="G233" s="21"/>
      <c r="H233" s="11"/>
      <c r="I233" s="11"/>
    </row>
    <row r="234" spans="1:9" ht="22.5" customHeight="1">
      <c r="A234" s="18"/>
      <c r="B234" s="19"/>
      <c r="C234" s="20"/>
      <c r="D234" s="11"/>
      <c r="E234" s="11"/>
      <c r="F234" s="11"/>
      <c r="G234" s="21"/>
      <c r="H234" s="11"/>
      <c r="I234" s="11"/>
    </row>
    <row r="235" spans="1:9" ht="22.5" customHeight="1">
      <c r="A235" s="18"/>
      <c r="B235" s="19"/>
      <c r="C235" s="20"/>
      <c r="D235" s="11"/>
      <c r="E235" s="11"/>
      <c r="F235" s="11"/>
      <c r="G235" s="21"/>
      <c r="H235" s="11"/>
      <c r="I235" s="11"/>
    </row>
    <row r="236" spans="1:9" ht="22.5" customHeight="1">
      <c r="A236" s="18"/>
      <c r="B236" s="19"/>
      <c r="C236" s="20"/>
      <c r="D236" s="11"/>
      <c r="E236" s="11"/>
      <c r="F236" s="11"/>
      <c r="G236" s="21"/>
      <c r="H236" s="11"/>
      <c r="I236" s="11"/>
    </row>
    <row r="237" spans="1:9" ht="22.5" customHeight="1">
      <c r="A237" s="18"/>
      <c r="B237" s="19"/>
      <c r="C237" s="20"/>
      <c r="D237" s="11"/>
      <c r="E237" s="11"/>
      <c r="F237" s="11"/>
      <c r="G237" s="21"/>
      <c r="H237" s="11"/>
      <c r="I237" s="11"/>
    </row>
    <row r="238" spans="1:9" ht="22.5" customHeight="1">
      <c r="A238" s="18"/>
      <c r="B238" s="19"/>
      <c r="C238" s="20"/>
      <c r="D238" s="11"/>
      <c r="E238" s="11"/>
      <c r="F238" s="11"/>
      <c r="G238" s="21"/>
      <c r="H238" s="11"/>
      <c r="I238" s="11"/>
    </row>
    <row r="239" spans="1:9" ht="22.5" customHeight="1">
      <c r="A239" s="18"/>
      <c r="B239" s="19"/>
      <c r="C239" s="20"/>
      <c r="D239" s="11"/>
      <c r="E239" s="11"/>
      <c r="F239" s="11"/>
      <c r="G239" s="21"/>
      <c r="H239" s="11"/>
      <c r="I239" s="11"/>
    </row>
    <row r="240" spans="1:9" ht="22.5" customHeight="1">
      <c r="A240" s="18"/>
      <c r="B240" s="19"/>
      <c r="C240" s="20"/>
      <c r="D240" s="11"/>
      <c r="E240" s="11"/>
      <c r="F240" s="11"/>
      <c r="G240" s="21"/>
      <c r="H240" s="11"/>
      <c r="I240" s="11"/>
    </row>
    <row r="241" spans="1:9" ht="22.5" customHeight="1">
      <c r="A241" s="18"/>
      <c r="B241" s="19"/>
      <c r="C241" s="20"/>
      <c r="D241" s="11"/>
      <c r="E241" s="11"/>
      <c r="F241" s="11"/>
      <c r="G241" s="21"/>
      <c r="H241" s="11"/>
      <c r="I241" s="11"/>
    </row>
    <row r="242" spans="1:9" ht="22.5" customHeight="1">
      <c r="A242" s="18"/>
      <c r="B242" s="19"/>
      <c r="C242" s="20"/>
      <c r="D242" s="11"/>
      <c r="E242" s="11"/>
      <c r="F242" s="11"/>
      <c r="G242" s="21"/>
      <c r="H242" s="11"/>
      <c r="I242" s="11"/>
    </row>
    <row r="243" spans="1:9" ht="22.5" customHeight="1">
      <c r="A243" s="18"/>
      <c r="B243" s="19"/>
      <c r="C243" s="20"/>
      <c r="D243" s="11"/>
      <c r="E243" s="11"/>
      <c r="F243" s="11"/>
      <c r="G243" s="21"/>
      <c r="H243" s="11"/>
      <c r="I243" s="11"/>
    </row>
    <row r="244" spans="1:9" ht="22.5" customHeight="1">
      <c r="A244" s="18"/>
      <c r="B244" s="19"/>
      <c r="C244" s="20"/>
      <c r="D244" s="11"/>
      <c r="E244" s="11"/>
      <c r="F244" s="11"/>
      <c r="G244" s="21"/>
      <c r="H244" s="11"/>
      <c r="I244" s="11"/>
    </row>
    <row r="245" spans="1:9" ht="22.5" customHeight="1">
      <c r="A245" s="18"/>
      <c r="B245" s="19"/>
      <c r="C245" s="20"/>
      <c r="D245" s="11"/>
      <c r="E245" s="11"/>
      <c r="F245" s="11"/>
      <c r="G245" s="21"/>
      <c r="H245" s="11"/>
      <c r="I245" s="11"/>
    </row>
    <row r="246" spans="1:9" ht="22.5" customHeight="1">
      <c r="A246" s="18"/>
      <c r="B246" s="19"/>
      <c r="C246" s="20"/>
      <c r="D246" s="11"/>
      <c r="E246" s="11"/>
      <c r="F246" s="11"/>
      <c r="G246" s="21"/>
      <c r="H246" s="11"/>
      <c r="I246" s="11"/>
    </row>
    <row r="247" spans="1:9" ht="22.5" customHeight="1">
      <c r="A247" s="18"/>
      <c r="B247" s="19"/>
      <c r="C247" s="20"/>
      <c r="D247" s="11"/>
      <c r="E247" s="11"/>
      <c r="F247" s="11"/>
      <c r="G247" s="21"/>
      <c r="H247" s="11"/>
      <c r="I247" s="11"/>
    </row>
    <row r="248" spans="1:9" ht="22.5" customHeight="1">
      <c r="A248" s="18"/>
      <c r="B248" s="19"/>
      <c r="C248" s="20"/>
      <c r="D248" s="11"/>
      <c r="E248" s="11"/>
      <c r="F248" s="11"/>
      <c r="G248" s="21"/>
      <c r="H248" s="11"/>
      <c r="I248" s="11"/>
    </row>
    <row r="249" spans="1:9" ht="22.5" customHeight="1">
      <c r="A249" s="18"/>
      <c r="B249" s="19"/>
      <c r="C249" s="20"/>
      <c r="D249" s="11"/>
      <c r="E249" s="11"/>
      <c r="F249" s="11"/>
      <c r="G249" s="21"/>
      <c r="H249" s="11"/>
      <c r="I249" s="11"/>
    </row>
    <row r="250" spans="1:9" ht="22.5" customHeight="1">
      <c r="A250" s="18"/>
      <c r="B250" s="19"/>
      <c r="C250" s="20"/>
      <c r="D250" s="11"/>
      <c r="E250" s="11"/>
      <c r="F250" s="11"/>
      <c r="G250" s="21"/>
      <c r="H250" s="11"/>
      <c r="I250" s="11"/>
    </row>
    <row r="251" spans="1:9" ht="22.5" customHeight="1">
      <c r="A251" s="18"/>
      <c r="B251" s="19"/>
      <c r="C251" s="20"/>
      <c r="D251" s="11"/>
      <c r="E251" s="11"/>
      <c r="F251" s="11"/>
      <c r="G251" s="21"/>
      <c r="H251" s="11"/>
      <c r="I251" s="11"/>
    </row>
    <row r="252" spans="1:9" ht="22.5" customHeight="1">
      <c r="A252" s="18"/>
      <c r="B252" s="19"/>
      <c r="C252" s="20"/>
      <c r="D252" s="11"/>
      <c r="E252" s="11"/>
      <c r="F252" s="11"/>
      <c r="G252" s="21"/>
      <c r="H252" s="11"/>
      <c r="I252" s="11"/>
    </row>
    <row r="253" spans="1:9" ht="22.5" customHeight="1">
      <c r="A253" s="18"/>
      <c r="B253" s="19"/>
      <c r="C253" s="20"/>
      <c r="D253" s="11"/>
      <c r="E253" s="11"/>
      <c r="F253" s="11"/>
      <c r="G253" s="21"/>
      <c r="H253" s="11"/>
      <c r="I253" s="11"/>
    </row>
    <row r="254" spans="1:9" ht="22.5" customHeight="1">
      <c r="A254" s="18"/>
      <c r="B254" s="19"/>
      <c r="C254" s="20"/>
      <c r="D254" s="11"/>
      <c r="E254" s="11"/>
      <c r="F254" s="11"/>
      <c r="G254" s="21"/>
      <c r="H254" s="11"/>
      <c r="I254" s="11"/>
    </row>
    <row r="255" spans="1:9" ht="22.5" customHeight="1">
      <c r="A255" s="18"/>
      <c r="B255" s="19"/>
      <c r="C255" s="20"/>
      <c r="D255" s="11"/>
      <c r="E255" s="11"/>
      <c r="F255" s="11"/>
      <c r="G255" s="21"/>
      <c r="H255" s="11"/>
      <c r="I255" s="11"/>
    </row>
    <row r="256" spans="1:9" ht="22.5" customHeight="1">
      <c r="A256" s="18"/>
      <c r="B256" s="19"/>
      <c r="C256" s="20"/>
      <c r="D256" s="11"/>
      <c r="E256" s="11"/>
      <c r="F256" s="11"/>
      <c r="G256" s="21"/>
      <c r="H256" s="11"/>
      <c r="I256" s="11"/>
    </row>
    <row r="257" spans="1:9" ht="22.5" customHeight="1">
      <c r="A257" s="18"/>
      <c r="B257" s="19"/>
      <c r="C257" s="20"/>
      <c r="D257" s="11"/>
      <c r="E257" s="11"/>
      <c r="F257" s="11"/>
      <c r="G257" s="21"/>
      <c r="H257" s="11"/>
      <c r="I257" s="11"/>
    </row>
    <row r="258" spans="1:9" ht="22.5" customHeight="1">
      <c r="A258" s="18"/>
      <c r="B258" s="19"/>
      <c r="C258" s="20"/>
      <c r="D258" s="11"/>
      <c r="E258" s="11"/>
      <c r="F258" s="11"/>
      <c r="G258" s="21"/>
      <c r="H258" s="11"/>
      <c r="I258" s="11"/>
    </row>
    <row r="259" spans="1:9" ht="22.5" customHeight="1">
      <c r="A259" s="18"/>
      <c r="B259" s="19"/>
      <c r="C259" s="20"/>
      <c r="D259" s="11"/>
      <c r="E259" s="11"/>
      <c r="F259" s="11"/>
      <c r="G259" s="21"/>
      <c r="H259" s="11"/>
      <c r="I259" s="11"/>
    </row>
    <row r="260" spans="1:9" ht="22.5" customHeight="1">
      <c r="A260" s="18"/>
      <c r="B260" s="19"/>
      <c r="C260" s="20"/>
      <c r="D260" s="11"/>
      <c r="E260" s="11"/>
      <c r="F260" s="11"/>
      <c r="G260" s="21"/>
      <c r="H260" s="11"/>
      <c r="I260" s="11"/>
    </row>
    <row r="261" spans="1:9" ht="22.5" customHeight="1">
      <c r="A261" s="18"/>
      <c r="B261" s="19"/>
      <c r="C261" s="20"/>
      <c r="D261" s="11"/>
      <c r="E261" s="11"/>
      <c r="F261" s="11"/>
      <c r="G261" s="21"/>
      <c r="H261" s="11"/>
      <c r="I261" s="11"/>
    </row>
    <row r="262" spans="1:9" ht="22.5" customHeight="1">
      <c r="A262" s="18"/>
      <c r="B262" s="19"/>
      <c r="C262" s="20"/>
      <c r="D262" s="11"/>
      <c r="E262" s="11"/>
      <c r="F262" s="11"/>
      <c r="G262" s="21"/>
      <c r="H262" s="11"/>
      <c r="I262" s="11"/>
    </row>
    <row r="263" spans="1:9" ht="22.5" customHeight="1">
      <c r="A263" s="18"/>
      <c r="B263" s="19"/>
      <c r="C263" s="20"/>
      <c r="D263" s="11"/>
      <c r="E263" s="11"/>
      <c r="F263" s="11"/>
      <c r="G263" s="21"/>
      <c r="H263" s="11"/>
      <c r="I263" s="11"/>
    </row>
    <row r="264" spans="1:9" ht="22.5" customHeight="1">
      <c r="A264" s="18"/>
      <c r="B264" s="19"/>
      <c r="C264" s="20"/>
      <c r="D264" s="11"/>
      <c r="E264" s="11"/>
      <c r="F264" s="11"/>
      <c r="G264" s="21"/>
      <c r="H264" s="11"/>
      <c r="I264" s="11"/>
    </row>
    <row r="265" spans="1:9" ht="22.5" customHeight="1">
      <c r="A265" s="18"/>
      <c r="B265" s="19"/>
      <c r="C265" s="20"/>
      <c r="D265" s="11"/>
      <c r="E265" s="11"/>
      <c r="F265" s="11"/>
      <c r="G265" s="21"/>
      <c r="H265" s="11"/>
      <c r="I265" s="11"/>
    </row>
    <row r="266" spans="1:9" ht="22.5" customHeight="1">
      <c r="A266" s="18"/>
      <c r="B266" s="19"/>
      <c r="C266" s="20"/>
      <c r="D266" s="11"/>
      <c r="E266" s="11"/>
      <c r="F266" s="11"/>
      <c r="G266" s="21"/>
      <c r="H266" s="11"/>
      <c r="I266" s="11"/>
    </row>
    <row r="267" spans="1:9" ht="22.5" customHeight="1">
      <c r="A267" s="18"/>
      <c r="B267" s="19"/>
      <c r="C267" s="20"/>
      <c r="D267" s="11"/>
      <c r="E267" s="11"/>
      <c r="F267" s="11"/>
      <c r="G267" s="21"/>
      <c r="H267" s="11"/>
      <c r="I267" s="11"/>
    </row>
    <row r="268" spans="1:9" ht="22.5" customHeight="1">
      <c r="A268" s="18"/>
      <c r="B268" s="19"/>
      <c r="C268" s="20"/>
      <c r="D268" s="11"/>
      <c r="E268" s="11"/>
      <c r="F268" s="11"/>
      <c r="G268" s="21"/>
      <c r="H268" s="11"/>
      <c r="I268" s="11"/>
    </row>
    <row r="269" spans="1:9" ht="22.5" customHeight="1">
      <c r="A269" s="18"/>
      <c r="B269" s="19"/>
      <c r="C269" s="20"/>
      <c r="D269" s="11"/>
      <c r="E269" s="11"/>
      <c r="F269" s="11"/>
      <c r="G269" s="21"/>
      <c r="H269" s="11"/>
      <c r="I269" s="11"/>
    </row>
    <row r="270" spans="1:9" ht="22.5" customHeight="1">
      <c r="A270" s="18"/>
      <c r="B270" s="19"/>
      <c r="C270" s="20"/>
      <c r="D270" s="11"/>
      <c r="E270" s="11"/>
      <c r="F270" s="11"/>
      <c r="G270" s="21"/>
      <c r="H270" s="11"/>
      <c r="I270" s="11"/>
    </row>
    <row r="271" spans="1:9" ht="22.5" customHeight="1">
      <c r="A271" s="18"/>
      <c r="B271" s="19"/>
      <c r="C271" s="20"/>
      <c r="D271" s="11"/>
      <c r="E271" s="11"/>
      <c r="F271" s="11"/>
      <c r="G271" s="21"/>
      <c r="H271" s="11"/>
      <c r="I271" s="11"/>
    </row>
    <row r="272" spans="1:9" ht="22.5" customHeight="1">
      <c r="A272" s="18"/>
      <c r="B272" s="19"/>
      <c r="C272" s="20"/>
      <c r="D272" s="11"/>
      <c r="E272" s="11"/>
      <c r="F272" s="11"/>
      <c r="G272" s="21"/>
      <c r="H272" s="11"/>
      <c r="I272" s="11"/>
    </row>
    <row r="273" spans="1:9" ht="22.5" customHeight="1">
      <c r="A273" s="18"/>
      <c r="B273" s="19"/>
      <c r="C273" s="20"/>
      <c r="D273" s="11"/>
      <c r="E273" s="11"/>
      <c r="F273" s="11"/>
      <c r="G273" s="21"/>
      <c r="H273" s="11"/>
      <c r="I273" s="11"/>
    </row>
    <row r="274" spans="1:9" ht="22.5" customHeight="1">
      <c r="A274" s="18"/>
      <c r="B274" s="19"/>
      <c r="C274" s="20"/>
      <c r="D274" s="11"/>
      <c r="E274" s="11"/>
      <c r="F274" s="11"/>
      <c r="G274" s="21"/>
      <c r="H274" s="11"/>
      <c r="I274" s="11"/>
    </row>
    <row r="275" spans="1:9" ht="22.5" customHeight="1">
      <c r="A275" s="18"/>
      <c r="B275" s="19"/>
      <c r="C275" s="20"/>
      <c r="D275" s="11"/>
      <c r="E275" s="11"/>
      <c r="F275" s="11"/>
      <c r="G275" s="21"/>
      <c r="H275" s="11"/>
      <c r="I275" s="11"/>
    </row>
    <row r="276" spans="1:9" ht="22.5" customHeight="1">
      <c r="A276" s="18"/>
      <c r="B276" s="19"/>
      <c r="C276" s="20"/>
      <c r="D276" s="11"/>
      <c r="E276" s="11"/>
      <c r="F276" s="11"/>
      <c r="G276" s="21"/>
      <c r="H276" s="11"/>
      <c r="I276" s="11"/>
    </row>
    <row r="277" spans="1:9" ht="22.5" customHeight="1">
      <c r="A277" s="18"/>
      <c r="B277" s="19"/>
      <c r="C277" s="20"/>
      <c r="D277" s="11"/>
      <c r="E277" s="11"/>
      <c r="F277" s="11"/>
      <c r="G277" s="21"/>
      <c r="H277" s="11"/>
      <c r="I277" s="11"/>
    </row>
    <row r="278" spans="1:9" ht="22.5" customHeight="1">
      <c r="A278" s="18"/>
      <c r="B278" s="19"/>
      <c r="C278" s="20"/>
      <c r="D278" s="11"/>
      <c r="E278" s="11"/>
      <c r="F278" s="11"/>
      <c r="G278" s="21"/>
      <c r="H278" s="11"/>
      <c r="I278" s="11"/>
    </row>
    <row r="279" spans="1:9" ht="22.5" customHeight="1">
      <c r="A279" s="18"/>
      <c r="B279" s="19"/>
      <c r="C279" s="20"/>
      <c r="D279" s="11"/>
      <c r="E279" s="11"/>
      <c r="F279" s="11"/>
      <c r="G279" s="21"/>
      <c r="H279" s="11"/>
      <c r="I279" s="11"/>
    </row>
    <row r="280" spans="1:9" ht="22.5" customHeight="1">
      <c r="A280" s="18"/>
      <c r="B280" s="19"/>
      <c r="C280" s="20"/>
      <c r="D280" s="11"/>
      <c r="E280" s="11"/>
      <c r="F280" s="11"/>
      <c r="G280" s="21"/>
      <c r="H280" s="11"/>
      <c r="I280" s="11"/>
    </row>
    <row r="281" spans="1:9" ht="22.5" customHeight="1">
      <c r="A281" s="18"/>
      <c r="B281" s="19"/>
      <c r="C281" s="20"/>
      <c r="D281" s="11"/>
      <c r="E281" s="11"/>
      <c r="F281" s="11"/>
      <c r="G281" s="21"/>
      <c r="H281" s="11"/>
      <c r="I281" s="11"/>
    </row>
    <row r="282" spans="1:9" ht="22.5" customHeight="1">
      <c r="A282" s="18"/>
      <c r="B282" s="19"/>
      <c r="C282" s="20"/>
      <c r="D282" s="11"/>
      <c r="E282" s="11"/>
      <c r="F282" s="11"/>
      <c r="G282" s="21"/>
      <c r="H282" s="11"/>
      <c r="I282" s="11"/>
    </row>
    <row r="283" spans="1:9" ht="22.5" customHeight="1">
      <c r="A283" s="18"/>
      <c r="B283" s="19"/>
      <c r="C283" s="20"/>
      <c r="D283" s="11"/>
      <c r="E283" s="11"/>
      <c r="F283" s="11"/>
      <c r="G283" s="21"/>
      <c r="H283" s="11"/>
      <c r="I283" s="11"/>
    </row>
    <row r="284" spans="1:9" ht="22.5" customHeight="1">
      <c r="A284" s="18"/>
      <c r="B284" s="19"/>
      <c r="C284" s="20"/>
      <c r="D284" s="11"/>
      <c r="E284" s="11"/>
      <c r="F284" s="11"/>
      <c r="G284" s="21"/>
      <c r="H284" s="11"/>
      <c r="I284" s="11"/>
    </row>
    <row r="285" spans="1:9" ht="22.5" customHeight="1">
      <c r="A285" s="18"/>
      <c r="B285" s="19"/>
      <c r="C285" s="20"/>
      <c r="D285" s="11"/>
      <c r="E285" s="11"/>
      <c r="F285" s="11"/>
      <c r="G285" s="21"/>
      <c r="H285" s="11"/>
      <c r="I285" s="11"/>
    </row>
    <row r="286" spans="1:9" ht="22.5" customHeight="1">
      <c r="A286" s="18"/>
      <c r="B286" s="19"/>
      <c r="C286" s="20"/>
      <c r="D286" s="11"/>
      <c r="E286" s="11"/>
      <c r="F286" s="11"/>
      <c r="G286" s="21"/>
      <c r="H286" s="11"/>
      <c r="I286" s="11"/>
    </row>
    <row r="287" spans="1:9" ht="22.5" customHeight="1">
      <c r="A287" s="18"/>
      <c r="B287" s="19"/>
      <c r="C287" s="20"/>
      <c r="D287" s="11"/>
      <c r="E287" s="11"/>
      <c r="F287" s="11"/>
      <c r="G287" s="21"/>
      <c r="H287" s="11"/>
      <c r="I287" s="11"/>
    </row>
    <row r="288" spans="1:9" ht="22.5" customHeight="1">
      <c r="A288" s="18"/>
      <c r="B288" s="19"/>
      <c r="C288" s="20"/>
      <c r="D288" s="11"/>
      <c r="E288" s="11"/>
      <c r="F288" s="11"/>
      <c r="G288" s="21"/>
      <c r="H288" s="11"/>
      <c r="I288" s="11"/>
    </row>
    <row r="289" spans="1:9" ht="22.5" customHeight="1">
      <c r="A289" s="18"/>
      <c r="B289" s="19"/>
      <c r="C289" s="20"/>
      <c r="D289" s="11"/>
      <c r="E289" s="11"/>
      <c r="F289" s="11"/>
      <c r="G289" s="21"/>
      <c r="H289" s="11"/>
      <c r="I289" s="11"/>
    </row>
    <row r="290" spans="1:9" ht="22.5" customHeight="1">
      <c r="A290" s="18"/>
      <c r="B290" s="19"/>
      <c r="C290" s="20"/>
      <c r="D290" s="11"/>
      <c r="E290" s="11"/>
      <c r="F290" s="11"/>
      <c r="G290" s="21"/>
      <c r="H290" s="11"/>
      <c r="I290" s="11"/>
    </row>
    <row r="291" spans="1:9" ht="22.5" customHeight="1">
      <c r="A291" s="18"/>
      <c r="B291" s="19"/>
      <c r="C291" s="20"/>
      <c r="D291" s="11"/>
      <c r="E291" s="11"/>
      <c r="F291" s="11"/>
      <c r="G291" s="21"/>
      <c r="H291" s="11"/>
      <c r="I291" s="11"/>
    </row>
    <row r="292" spans="1:9" ht="22.5" customHeight="1">
      <c r="A292" s="18"/>
      <c r="B292" s="19"/>
      <c r="C292" s="20"/>
      <c r="D292" s="11"/>
      <c r="E292" s="11"/>
      <c r="F292" s="11"/>
      <c r="G292" s="21"/>
      <c r="H292" s="11"/>
      <c r="I292" s="11"/>
    </row>
    <row r="293" spans="1:9" ht="22.5" customHeight="1">
      <c r="A293" s="18"/>
      <c r="B293" s="19"/>
      <c r="C293" s="20"/>
      <c r="D293" s="11"/>
      <c r="E293" s="11"/>
      <c r="F293" s="11"/>
      <c r="G293" s="21"/>
      <c r="H293" s="11"/>
      <c r="I293" s="11"/>
    </row>
    <row r="294" spans="1:9" ht="22.5" customHeight="1">
      <c r="A294" s="18"/>
      <c r="B294" s="19"/>
      <c r="C294" s="20"/>
      <c r="D294" s="11"/>
      <c r="E294" s="11"/>
      <c r="F294" s="11"/>
      <c r="G294" s="21"/>
      <c r="H294" s="11"/>
      <c r="I294" s="11"/>
    </row>
    <row r="295" spans="1:9" ht="22.5" customHeight="1">
      <c r="A295" s="18"/>
      <c r="B295" s="19"/>
      <c r="C295" s="20"/>
      <c r="D295" s="11"/>
      <c r="E295" s="11"/>
      <c r="F295" s="11"/>
      <c r="G295" s="21"/>
      <c r="H295" s="11"/>
      <c r="I295" s="11"/>
    </row>
    <row r="296" spans="1:9" ht="22.5" customHeight="1">
      <c r="A296" s="18"/>
      <c r="B296" s="19"/>
      <c r="C296" s="20"/>
      <c r="D296" s="11"/>
      <c r="E296" s="11"/>
      <c r="F296" s="11"/>
      <c r="G296" s="21"/>
      <c r="H296" s="11"/>
      <c r="I296" s="11"/>
    </row>
    <row r="297" spans="1:9" ht="22.5" customHeight="1">
      <c r="A297" s="18"/>
      <c r="B297" s="19"/>
      <c r="C297" s="20"/>
      <c r="D297" s="11"/>
      <c r="E297" s="11"/>
      <c r="F297" s="11"/>
      <c r="G297" s="21"/>
      <c r="H297" s="11"/>
      <c r="I297" s="11"/>
    </row>
    <row r="298" spans="1:9" ht="22.5" customHeight="1">
      <c r="A298" s="18"/>
      <c r="B298" s="19"/>
      <c r="C298" s="20"/>
      <c r="D298" s="11"/>
      <c r="E298" s="11"/>
      <c r="F298" s="11"/>
      <c r="G298" s="21"/>
      <c r="H298" s="11"/>
      <c r="I298" s="11"/>
    </row>
    <row r="299" spans="1:9" ht="22.5" customHeight="1">
      <c r="A299" s="18"/>
      <c r="B299" s="19"/>
      <c r="C299" s="20"/>
      <c r="D299" s="11"/>
      <c r="E299" s="11"/>
      <c r="F299" s="11"/>
      <c r="G299" s="21"/>
      <c r="H299" s="11"/>
      <c r="I299" s="11"/>
    </row>
    <row r="300" spans="1:9" ht="22.5" customHeight="1">
      <c r="A300" s="18"/>
      <c r="B300" s="19"/>
      <c r="C300" s="20"/>
      <c r="D300" s="11"/>
      <c r="E300" s="11"/>
      <c r="F300" s="11"/>
      <c r="G300" s="21"/>
      <c r="H300" s="11"/>
      <c r="I300" s="11"/>
    </row>
    <row r="301" spans="1:9" ht="22.5" customHeight="1">
      <c r="A301" s="18"/>
      <c r="B301" s="19"/>
      <c r="C301" s="20"/>
      <c r="D301" s="11"/>
      <c r="E301" s="11"/>
      <c r="F301" s="11"/>
      <c r="G301" s="21"/>
      <c r="H301" s="11"/>
      <c r="I301" s="11"/>
    </row>
    <row r="302" spans="1:9" ht="22.5" customHeight="1">
      <c r="A302" s="18"/>
      <c r="B302" s="19"/>
      <c r="C302" s="20"/>
      <c r="D302" s="11"/>
      <c r="E302" s="11"/>
      <c r="F302" s="11"/>
      <c r="G302" s="21"/>
      <c r="H302" s="11"/>
      <c r="I302" s="11"/>
    </row>
    <row r="303" spans="1:9" ht="22.5" customHeight="1">
      <c r="A303" s="18"/>
      <c r="B303" s="19"/>
      <c r="C303" s="20"/>
      <c r="D303" s="11"/>
      <c r="E303" s="11"/>
      <c r="F303" s="11"/>
      <c r="G303" s="21"/>
      <c r="H303" s="11"/>
      <c r="I303" s="11"/>
    </row>
    <row r="304" spans="1:9" ht="22.5" customHeight="1">
      <c r="A304" s="18"/>
      <c r="B304" s="19"/>
      <c r="C304" s="20"/>
      <c r="D304" s="11"/>
      <c r="E304" s="11"/>
      <c r="F304" s="11"/>
      <c r="G304" s="21"/>
      <c r="H304" s="11"/>
      <c r="I304" s="11"/>
    </row>
    <row r="305" spans="1:9" ht="22.5" customHeight="1">
      <c r="A305" s="18"/>
      <c r="B305" s="19"/>
      <c r="C305" s="20"/>
      <c r="D305" s="11"/>
      <c r="E305" s="11"/>
      <c r="F305" s="11"/>
      <c r="G305" s="21"/>
      <c r="H305" s="11"/>
      <c r="I305" s="11"/>
    </row>
    <row r="306" spans="1:9" ht="22.5" customHeight="1">
      <c r="A306" s="18"/>
      <c r="B306" s="19"/>
      <c r="C306" s="20"/>
      <c r="D306" s="11"/>
      <c r="E306" s="11"/>
      <c r="F306" s="11"/>
      <c r="G306" s="21"/>
      <c r="H306" s="11"/>
      <c r="I306" s="11"/>
    </row>
    <row r="307" spans="1:9" ht="22.5" customHeight="1">
      <c r="A307" s="18"/>
      <c r="B307" s="19"/>
      <c r="C307" s="20"/>
      <c r="D307" s="11"/>
      <c r="E307" s="11"/>
      <c r="F307" s="11"/>
      <c r="G307" s="21"/>
      <c r="H307" s="11"/>
      <c r="I307" s="11"/>
    </row>
    <row r="308" spans="1:9" ht="22.5" customHeight="1">
      <c r="A308" s="18"/>
      <c r="B308" s="19"/>
      <c r="C308" s="20"/>
      <c r="D308" s="11"/>
      <c r="E308" s="11"/>
      <c r="F308" s="11"/>
      <c r="G308" s="21"/>
      <c r="H308" s="11"/>
      <c r="I308" s="11"/>
    </row>
    <row r="309" spans="1:9" ht="22.5" customHeight="1">
      <c r="A309" s="18"/>
      <c r="B309" s="19"/>
      <c r="C309" s="20"/>
      <c r="D309" s="11"/>
      <c r="E309" s="11"/>
      <c r="F309" s="11"/>
      <c r="G309" s="21"/>
      <c r="H309" s="11"/>
      <c r="I309" s="11"/>
    </row>
    <row r="310" spans="1:9" ht="22.5" customHeight="1">
      <c r="A310" s="18"/>
      <c r="B310" s="19"/>
      <c r="C310" s="20"/>
      <c r="D310" s="11"/>
      <c r="E310" s="11"/>
      <c r="F310" s="11"/>
      <c r="G310" s="21"/>
      <c r="H310" s="11"/>
      <c r="I310" s="11"/>
    </row>
    <row r="311" spans="1:9" ht="22.5" customHeight="1">
      <c r="A311" s="18"/>
      <c r="B311" s="19"/>
      <c r="C311" s="20"/>
      <c r="D311" s="11"/>
      <c r="E311" s="11"/>
      <c r="F311" s="11"/>
      <c r="G311" s="21"/>
      <c r="H311" s="11"/>
      <c r="I311" s="11"/>
    </row>
    <row r="312" spans="1:9" ht="22.5" customHeight="1">
      <c r="A312" s="18"/>
      <c r="B312" s="19"/>
      <c r="C312" s="20"/>
      <c r="D312" s="11"/>
      <c r="E312" s="11"/>
      <c r="F312" s="11"/>
      <c r="G312" s="21"/>
      <c r="H312" s="11"/>
      <c r="I312" s="11"/>
    </row>
    <row r="313" spans="1:9" ht="22.5" customHeight="1">
      <c r="A313" s="18"/>
      <c r="B313" s="19"/>
      <c r="C313" s="20"/>
      <c r="D313" s="11"/>
      <c r="E313" s="11"/>
      <c r="F313" s="11"/>
      <c r="G313" s="21"/>
      <c r="H313" s="11"/>
      <c r="I313" s="11"/>
    </row>
    <row r="314" spans="1:9" ht="22.5" customHeight="1">
      <c r="A314" s="18"/>
      <c r="B314" s="19"/>
      <c r="C314" s="20"/>
      <c r="D314" s="11"/>
      <c r="E314" s="11"/>
      <c r="F314" s="11"/>
      <c r="G314" s="21"/>
      <c r="H314" s="11"/>
      <c r="I314" s="11"/>
    </row>
    <row r="315" spans="1:9" ht="22.5" customHeight="1">
      <c r="A315" s="18"/>
      <c r="B315" s="19"/>
      <c r="C315" s="20"/>
      <c r="D315" s="11"/>
      <c r="E315" s="11"/>
      <c r="F315" s="11"/>
      <c r="G315" s="21"/>
      <c r="H315" s="11"/>
      <c r="I315" s="11"/>
    </row>
    <row r="316" spans="1:9" ht="22.5" customHeight="1">
      <c r="A316" s="18"/>
      <c r="B316" s="19"/>
      <c r="C316" s="20"/>
      <c r="D316" s="11"/>
      <c r="E316" s="11"/>
      <c r="F316" s="11"/>
      <c r="G316" s="21"/>
      <c r="H316" s="11"/>
      <c r="I316" s="11"/>
    </row>
    <row r="317" spans="1:9" ht="22.5" customHeight="1">
      <c r="A317" s="18"/>
      <c r="B317" s="19"/>
      <c r="C317" s="20"/>
      <c r="D317" s="11"/>
      <c r="E317" s="11"/>
      <c r="F317" s="11"/>
      <c r="G317" s="21"/>
      <c r="H317" s="11"/>
      <c r="I317" s="11"/>
    </row>
    <row r="318" spans="1:9" ht="22.5" customHeight="1">
      <c r="A318" s="18"/>
      <c r="B318" s="19"/>
      <c r="C318" s="20"/>
      <c r="D318" s="11"/>
      <c r="E318" s="11"/>
      <c r="F318" s="11"/>
      <c r="G318" s="21"/>
      <c r="H318" s="11"/>
      <c r="I318" s="11"/>
    </row>
    <row r="319" spans="1:9" ht="22.5" customHeight="1">
      <c r="A319" s="18"/>
      <c r="B319" s="19"/>
      <c r="C319" s="20"/>
      <c r="D319" s="11"/>
      <c r="E319" s="11"/>
      <c r="F319" s="11"/>
      <c r="G319" s="21"/>
      <c r="H319" s="11"/>
      <c r="I319" s="11"/>
    </row>
    <row r="320" spans="1:9" ht="22.5" customHeight="1">
      <c r="A320" s="18"/>
      <c r="B320" s="19"/>
      <c r="C320" s="20"/>
      <c r="D320" s="11"/>
      <c r="E320" s="11"/>
      <c r="F320" s="11"/>
      <c r="G320" s="21"/>
      <c r="H320" s="11"/>
      <c r="I320" s="11"/>
    </row>
    <row r="321" spans="1:9" ht="22.5" customHeight="1">
      <c r="A321" s="18"/>
      <c r="B321" s="19"/>
      <c r="C321" s="20"/>
      <c r="D321" s="11"/>
      <c r="E321" s="11"/>
      <c r="F321" s="11"/>
      <c r="G321" s="21"/>
      <c r="H321" s="11"/>
      <c r="I321" s="11"/>
    </row>
    <row r="322" spans="1:9" ht="22.5" customHeight="1">
      <c r="A322" s="18"/>
      <c r="B322" s="19"/>
      <c r="C322" s="20"/>
      <c r="D322" s="11"/>
      <c r="E322" s="11"/>
      <c r="F322" s="11"/>
      <c r="G322" s="21"/>
      <c r="H322" s="11"/>
      <c r="I322" s="11"/>
    </row>
    <row r="323" spans="1:9" ht="22.5" customHeight="1">
      <c r="A323" s="18"/>
      <c r="B323" s="19"/>
      <c r="C323" s="20"/>
      <c r="D323" s="11"/>
      <c r="E323" s="11"/>
      <c r="F323" s="11"/>
      <c r="G323" s="21"/>
      <c r="H323" s="11"/>
      <c r="I323" s="11"/>
    </row>
    <row r="324" spans="1:9" ht="22.5" customHeight="1">
      <c r="A324" s="18"/>
      <c r="B324" s="19"/>
      <c r="C324" s="20"/>
      <c r="D324" s="11"/>
      <c r="E324" s="11"/>
      <c r="F324" s="11"/>
      <c r="G324" s="21"/>
      <c r="H324" s="11"/>
      <c r="I324" s="11"/>
    </row>
    <row r="325" spans="1:9" ht="22.5" customHeight="1">
      <c r="A325" s="18"/>
      <c r="B325" s="19"/>
      <c r="C325" s="20"/>
      <c r="D325" s="11"/>
      <c r="E325" s="11"/>
      <c r="F325" s="11"/>
      <c r="G325" s="21"/>
      <c r="H325" s="11"/>
      <c r="I325" s="11"/>
    </row>
    <row r="326" spans="1:9" ht="22.5" customHeight="1">
      <c r="A326" s="18"/>
      <c r="B326" s="19"/>
      <c r="C326" s="20"/>
      <c r="D326" s="11"/>
      <c r="E326" s="11"/>
      <c r="F326" s="11"/>
      <c r="G326" s="21"/>
      <c r="H326" s="11"/>
      <c r="I326" s="11"/>
    </row>
    <row r="327" spans="1:9" ht="22.5" customHeight="1">
      <c r="A327" s="18"/>
      <c r="B327" s="19"/>
      <c r="C327" s="20"/>
      <c r="D327" s="11"/>
      <c r="E327" s="11"/>
      <c r="F327" s="11"/>
      <c r="G327" s="21"/>
      <c r="H327" s="11"/>
      <c r="I327" s="11"/>
    </row>
    <row r="328" spans="1:9" ht="22.5" customHeight="1">
      <c r="A328" s="18"/>
      <c r="B328" s="19"/>
      <c r="C328" s="20"/>
      <c r="D328" s="11"/>
      <c r="E328" s="11"/>
      <c r="F328" s="11"/>
      <c r="G328" s="21"/>
      <c r="H328" s="11"/>
      <c r="I328" s="11"/>
    </row>
    <row r="329" spans="1:9" ht="22.5" customHeight="1">
      <c r="A329" s="18"/>
      <c r="B329" s="19"/>
      <c r="C329" s="20"/>
      <c r="D329" s="11"/>
      <c r="E329" s="11"/>
      <c r="F329" s="11"/>
      <c r="G329" s="21"/>
      <c r="H329" s="11"/>
      <c r="I329" s="11"/>
    </row>
    <row r="330" spans="1:9" ht="22.5" customHeight="1">
      <c r="A330" s="18"/>
      <c r="B330" s="19"/>
      <c r="C330" s="20"/>
      <c r="D330" s="11"/>
      <c r="E330" s="11"/>
      <c r="F330" s="11"/>
      <c r="G330" s="21"/>
      <c r="H330" s="11"/>
      <c r="I330" s="11"/>
    </row>
    <row r="331" spans="1:9" ht="22.5" customHeight="1">
      <c r="A331" s="18"/>
      <c r="B331" s="19"/>
      <c r="C331" s="20"/>
      <c r="D331" s="11"/>
      <c r="E331" s="11"/>
      <c r="F331" s="11"/>
      <c r="G331" s="21"/>
      <c r="H331" s="11"/>
      <c r="I331" s="11"/>
    </row>
    <row r="332" spans="1:9" ht="22.5" customHeight="1">
      <c r="A332" s="18"/>
      <c r="B332" s="19"/>
      <c r="C332" s="20"/>
      <c r="D332" s="11"/>
      <c r="E332" s="11"/>
      <c r="F332" s="11"/>
      <c r="G332" s="21"/>
      <c r="H332" s="11"/>
      <c r="I332" s="11"/>
    </row>
    <row r="333" spans="1:9" ht="22.5" customHeight="1">
      <c r="A333" s="18"/>
      <c r="B333" s="19"/>
      <c r="C333" s="20"/>
      <c r="D333" s="11"/>
      <c r="E333" s="11"/>
      <c r="F333" s="11"/>
      <c r="G333" s="21"/>
      <c r="H333" s="11"/>
      <c r="I333" s="11"/>
    </row>
    <row r="334" spans="1:9" ht="22.5" customHeight="1">
      <c r="A334" s="18"/>
      <c r="B334" s="19"/>
      <c r="C334" s="20"/>
      <c r="D334" s="11"/>
      <c r="E334" s="11"/>
      <c r="F334" s="11"/>
      <c r="G334" s="21"/>
      <c r="H334" s="11"/>
      <c r="I334" s="11"/>
    </row>
    <row r="335" spans="1:9" ht="22.5" customHeight="1">
      <c r="A335" s="18"/>
      <c r="B335" s="19"/>
      <c r="C335" s="20"/>
      <c r="D335" s="11"/>
      <c r="E335" s="11"/>
      <c r="F335" s="11"/>
      <c r="G335" s="21"/>
      <c r="H335" s="11"/>
      <c r="I335" s="11"/>
    </row>
    <row r="336" spans="1:9" ht="22.5" customHeight="1">
      <c r="A336" s="18"/>
      <c r="B336" s="19"/>
      <c r="C336" s="20"/>
      <c r="D336" s="11"/>
      <c r="E336" s="11"/>
      <c r="F336" s="11"/>
      <c r="G336" s="21"/>
      <c r="H336" s="11"/>
      <c r="I336" s="11"/>
    </row>
    <row r="337" spans="1:9" ht="22.5" customHeight="1">
      <c r="A337" s="18"/>
      <c r="B337" s="19"/>
      <c r="C337" s="20"/>
      <c r="D337" s="11"/>
      <c r="E337" s="11"/>
      <c r="F337" s="11"/>
      <c r="G337" s="21"/>
      <c r="H337" s="11"/>
      <c r="I337" s="11"/>
    </row>
    <row r="338" spans="1:9" ht="22.5" customHeight="1">
      <c r="A338" s="18"/>
      <c r="B338" s="19"/>
      <c r="C338" s="20"/>
      <c r="D338" s="11"/>
      <c r="E338" s="11"/>
      <c r="F338" s="11"/>
      <c r="G338" s="21"/>
      <c r="H338" s="11"/>
      <c r="I338" s="11"/>
    </row>
    <row r="339" spans="1:9" ht="22.5" customHeight="1">
      <c r="A339" s="18"/>
      <c r="B339" s="19"/>
      <c r="C339" s="20"/>
      <c r="D339" s="11"/>
      <c r="E339" s="11"/>
      <c r="F339" s="11"/>
      <c r="G339" s="21"/>
      <c r="H339" s="11"/>
      <c r="I339" s="11"/>
    </row>
    <row r="340" spans="1:9" ht="22.5" customHeight="1">
      <c r="A340" s="18"/>
      <c r="B340" s="19"/>
      <c r="C340" s="20"/>
      <c r="D340" s="11"/>
      <c r="E340" s="11"/>
      <c r="F340" s="11"/>
      <c r="G340" s="21"/>
      <c r="H340" s="11"/>
      <c r="I340" s="11"/>
    </row>
    <row r="341" spans="1:9" ht="22.5" customHeight="1">
      <c r="A341" s="18"/>
      <c r="B341" s="19"/>
      <c r="C341" s="20"/>
      <c r="D341" s="11"/>
      <c r="E341" s="11"/>
      <c r="F341" s="11"/>
      <c r="G341" s="21"/>
      <c r="H341" s="11"/>
      <c r="I341" s="11"/>
    </row>
    <row r="342" spans="1:9" ht="22.5" customHeight="1">
      <c r="A342" s="18"/>
      <c r="B342" s="19"/>
      <c r="C342" s="20"/>
      <c r="D342" s="11"/>
      <c r="E342" s="11"/>
      <c r="F342" s="11"/>
      <c r="G342" s="21"/>
      <c r="H342" s="11"/>
      <c r="I342" s="11"/>
    </row>
    <row r="343" spans="1:9" ht="22.5" customHeight="1">
      <c r="A343" s="18"/>
      <c r="B343" s="19"/>
      <c r="C343" s="20"/>
      <c r="D343" s="11"/>
      <c r="E343" s="11"/>
      <c r="F343" s="11"/>
      <c r="G343" s="21"/>
      <c r="H343" s="11"/>
      <c r="I343" s="11"/>
    </row>
    <row r="344" spans="1:9" ht="22.5" customHeight="1">
      <c r="A344" s="18"/>
      <c r="B344" s="19"/>
      <c r="C344" s="20"/>
      <c r="D344" s="11"/>
      <c r="E344" s="11"/>
      <c r="F344" s="11"/>
      <c r="G344" s="21"/>
      <c r="H344" s="11"/>
      <c r="I344" s="11"/>
    </row>
    <row r="345" spans="1:9" ht="22.5" customHeight="1">
      <c r="A345" s="18"/>
      <c r="B345" s="19"/>
      <c r="C345" s="20"/>
      <c r="D345" s="11"/>
      <c r="E345" s="11"/>
      <c r="F345" s="11"/>
      <c r="G345" s="21"/>
      <c r="H345" s="11"/>
      <c r="I345" s="11"/>
    </row>
    <row r="346" spans="1:9" ht="22.5" customHeight="1">
      <c r="A346" s="18"/>
      <c r="B346" s="19"/>
      <c r="C346" s="20"/>
      <c r="D346" s="11"/>
      <c r="E346" s="11"/>
      <c r="F346" s="11"/>
      <c r="G346" s="21"/>
      <c r="H346" s="11"/>
      <c r="I346" s="11"/>
    </row>
    <row r="347" spans="1:9" ht="22.5" customHeight="1">
      <c r="A347" s="18"/>
      <c r="B347" s="19"/>
      <c r="C347" s="20"/>
      <c r="D347" s="11"/>
      <c r="E347" s="11"/>
      <c r="F347" s="11"/>
      <c r="G347" s="21"/>
      <c r="H347" s="11"/>
      <c r="I347" s="11"/>
    </row>
    <row r="348" spans="1:9" ht="22.5" customHeight="1">
      <c r="A348" s="18"/>
      <c r="B348" s="19"/>
      <c r="C348" s="20"/>
      <c r="D348" s="11"/>
      <c r="E348" s="11"/>
      <c r="F348" s="11"/>
      <c r="G348" s="21"/>
      <c r="H348" s="11"/>
      <c r="I348" s="11"/>
    </row>
    <row r="349" spans="1:9" ht="22.5" customHeight="1">
      <c r="A349" s="18"/>
      <c r="B349" s="19"/>
      <c r="C349" s="20"/>
      <c r="D349" s="11"/>
      <c r="E349" s="11"/>
      <c r="F349" s="11"/>
      <c r="G349" s="21"/>
      <c r="H349" s="11"/>
      <c r="I349" s="11"/>
    </row>
    <row r="350" spans="1:9" ht="22.5" customHeight="1">
      <c r="A350" s="18"/>
      <c r="B350" s="19"/>
      <c r="C350" s="20"/>
      <c r="D350" s="11"/>
      <c r="E350" s="11"/>
      <c r="F350" s="11"/>
      <c r="G350" s="21"/>
      <c r="H350" s="11"/>
      <c r="I350" s="11"/>
    </row>
    <row r="351" spans="1:9" ht="22.5" customHeight="1">
      <c r="A351" s="18"/>
      <c r="B351" s="19"/>
      <c r="C351" s="20"/>
      <c r="D351" s="11"/>
      <c r="E351" s="11"/>
      <c r="F351" s="11"/>
      <c r="G351" s="21"/>
      <c r="H351" s="11"/>
      <c r="I351" s="11"/>
    </row>
    <row r="352" spans="1:9" ht="22.5" customHeight="1">
      <c r="A352" s="18"/>
      <c r="B352" s="19"/>
      <c r="C352" s="20"/>
      <c r="D352" s="11"/>
      <c r="E352" s="11"/>
      <c r="F352" s="11"/>
      <c r="G352" s="21"/>
      <c r="H352" s="11"/>
      <c r="I352" s="11"/>
    </row>
    <row r="353" spans="1:9" ht="22.5" customHeight="1">
      <c r="A353" s="18"/>
      <c r="B353" s="19"/>
      <c r="C353" s="20"/>
      <c r="D353" s="11"/>
      <c r="E353" s="11"/>
      <c r="F353" s="11"/>
      <c r="G353" s="21"/>
      <c r="H353" s="11"/>
      <c r="I353" s="11"/>
    </row>
    <row r="354" spans="1:9" ht="22.5" customHeight="1">
      <c r="A354" s="18"/>
      <c r="B354" s="19"/>
      <c r="C354" s="20"/>
      <c r="D354" s="11"/>
      <c r="E354" s="11"/>
      <c r="F354" s="11"/>
      <c r="G354" s="21"/>
      <c r="H354" s="11"/>
      <c r="I354" s="11"/>
    </row>
    <row r="355" spans="1:9" ht="22.5" customHeight="1">
      <c r="A355" s="18"/>
      <c r="B355" s="19"/>
      <c r="C355" s="20"/>
      <c r="D355" s="11"/>
      <c r="E355" s="11"/>
      <c r="F355" s="11"/>
      <c r="G355" s="21"/>
      <c r="H355" s="11"/>
      <c r="I355" s="11"/>
    </row>
    <row r="356" spans="1:9" ht="22.5" customHeight="1">
      <c r="A356" s="18"/>
      <c r="B356" s="19"/>
      <c r="C356" s="20"/>
      <c r="D356" s="11"/>
      <c r="E356" s="11"/>
      <c r="F356" s="11"/>
      <c r="G356" s="21"/>
      <c r="H356" s="11"/>
      <c r="I356" s="11"/>
    </row>
    <row r="357" spans="1:9" ht="22.5" customHeight="1">
      <c r="A357" s="18"/>
      <c r="B357" s="19"/>
      <c r="C357" s="20"/>
      <c r="D357" s="11"/>
      <c r="E357" s="11"/>
      <c r="F357" s="11"/>
      <c r="G357" s="21"/>
      <c r="H357" s="11"/>
      <c r="I357" s="11"/>
    </row>
    <row r="358" spans="1:9" ht="22.5" customHeight="1">
      <c r="A358" s="18"/>
      <c r="B358" s="19"/>
      <c r="C358" s="20"/>
      <c r="D358" s="11"/>
      <c r="E358" s="11"/>
      <c r="F358" s="11"/>
      <c r="G358" s="21"/>
      <c r="H358" s="11"/>
      <c r="I358" s="11"/>
    </row>
    <row r="359" spans="1:9" ht="22.5" customHeight="1">
      <c r="A359" s="18"/>
      <c r="B359" s="19"/>
      <c r="C359" s="20"/>
      <c r="D359" s="11"/>
      <c r="E359" s="11"/>
      <c r="F359" s="11"/>
      <c r="G359" s="21"/>
      <c r="H359" s="11"/>
      <c r="I359" s="11"/>
    </row>
    <row r="360" spans="1:9" ht="22.5" customHeight="1">
      <c r="A360" s="18"/>
      <c r="B360" s="19"/>
      <c r="C360" s="20"/>
      <c r="D360" s="11"/>
      <c r="E360" s="11"/>
      <c r="F360" s="11"/>
      <c r="G360" s="21"/>
      <c r="H360" s="11"/>
      <c r="I360" s="11"/>
    </row>
    <row r="361" spans="1:9" ht="22.5" customHeight="1">
      <c r="A361" s="18"/>
      <c r="B361" s="19"/>
      <c r="C361" s="20"/>
      <c r="D361" s="11"/>
      <c r="E361" s="11"/>
      <c r="F361" s="11"/>
      <c r="G361" s="21"/>
      <c r="H361" s="11"/>
      <c r="I361" s="11"/>
    </row>
    <row r="362" spans="1:9" ht="22.5" customHeight="1">
      <c r="A362" s="18"/>
      <c r="B362" s="19"/>
      <c r="C362" s="20"/>
      <c r="D362" s="11"/>
      <c r="E362" s="11"/>
      <c r="F362" s="11"/>
      <c r="G362" s="21"/>
      <c r="H362" s="11"/>
      <c r="I362" s="11"/>
    </row>
    <row r="363" spans="1:9" ht="22.5" customHeight="1">
      <c r="A363" s="18"/>
      <c r="B363" s="19"/>
      <c r="C363" s="20"/>
      <c r="D363" s="11"/>
      <c r="E363" s="11"/>
      <c r="F363" s="11"/>
      <c r="G363" s="21"/>
      <c r="H363" s="11"/>
      <c r="I363" s="11"/>
    </row>
    <row r="364" spans="1:9" ht="22.5" customHeight="1">
      <c r="A364" s="18"/>
      <c r="B364" s="19"/>
      <c r="C364" s="20"/>
      <c r="D364" s="11"/>
      <c r="E364" s="11"/>
      <c r="F364" s="11"/>
      <c r="G364" s="21"/>
      <c r="H364" s="11"/>
      <c r="I364" s="11"/>
    </row>
    <row r="365" spans="1:9" ht="22.5" customHeight="1">
      <c r="A365" s="18"/>
      <c r="B365" s="19"/>
      <c r="C365" s="20"/>
      <c r="D365" s="11"/>
      <c r="E365" s="11"/>
      <c r="F365" s="11"/>
      <c r="G365" s="21"/>
      <c r="H365" s="11"/>
      <c r="I365" s="11"/>
    </row>
    <row r="366" spans="1:9" ht="22.5" customHeight="1">
      <c r="A366" s="18"/>
      <c r="B366" s="19"/>
      <c r="C366" s="20"/>
      <c r="D366" s="11"/>
      <c r="E366" s="11"/>
      <c r="F366" s="11"/>
      <c r="G366" s="21"/>
      <c r="H366" s="11"/>
      <c r="I366" s="11"/>
    </row>
    <row r="367" spans="1:9" ht="22.5" customHeight="1">
      <c r="A367" s="18"/>
      <c r="B367" s="19"/>
      <c r="C367" s="20"/>
      <c r="D367" s="11"/>
      <c r="E367" s="11"/>
      <c r="F367" s="11"/>
      <c r="G367" s="21"/>
      <c r="H367" s="11"/>
      <c r="I367" s="11"/>
    </row>
    <row r="368" spans="1:9" ht="22.5" customHeight="1">
      <c r="A368" s="18"/>
      <c r="B368" s="19"/>
      <c r="C368" s="20"/>
      <c r="D368" s="11"/>
      <c r="E368" s="11"/>
      <c r="F368" s="11"/>
      <c r="G368" s="21"/>
      <c r="H368" s="11"/>
      <c r="I368" s="11"/>
    </row>
    <row r="369" spans="1:9" ht="22.5" customHeight="1">
      <c r="A369" s="18"/>
      <c r="B369" s="19"/>
      <c r="C369" s="20"/>
      <c r="D369" s="11"/>
      <c r="E369" s="11"/>
      <c r="F369" s="11"/>
      <c r="G369" s="21"/>
      <c r="H369" s="11"/>
      <c r="I369" s="11"/>
    </row>
    <row r="370" spans="1:9" ht="22.5" customHeight="1">
      <c r="A370" s="18"/>
      <c r="B370" s="19"/>
      <c r="C370" s="20"/>
      <c r="D370" s="11"/>
      <c r="E370" s="11"/>
      <c r="F370" s="11"/>
      <c r="G370" s="21"/>
      <c r="H370" s="11"/>
      <c r="I370" s="11"/>
    </row>
    <row r="371" spans="1:9" ht="22.5" customHeight="1">
      <c r="A371" s="18"/>
      <c r="B371" s="19"/>
      <c r="C371" s="20"/>
      <c r="D371" s="11"/>
      <c r="E371" s="11"/>
      <c r="F371" s="11"/>
      <c r="G371" s="21"/>
      <c r="H371" s="11"/>
      <c r="I371" s="11"/>
    </row>
    <row r="372" spans="1:9" ht="22.5" customHeight="1">
      <c r="A372" s="18"/>
      <c r="B372" s="19"/>
      <c r="C372" s="20"/>
      <c r="D372" s="11"/>
      <c r="E372" s="11"/>
      <c r="F372" s="11"/>
      <c r="G372" s="21"/>
      <c r="H372" s="11"/>
      <c r="I372" s="11"/>
    </row>
    <row r="373" spans="1:9" ht="22.5" customHeight="1">
      <c r="A373" s="18"/>
      <c r="B373" s="19"/>
      <c r="C373" s="20"/>
      <c r="D373" s="11"/>
      <c r="E373" s="11"/>
      <c r="F373" s="11"/>
      <c r="G373" s="21"/>
      <c r="H373" s="11"/>
      <c r="I373" s="11"/>
    </row>
    <row r="374" spans="1:9" ht="22.5" customHeight="1">
      <c r="A374" s="18"/>
      <c r="B374" s="19"/>
      <c r="C374" s="20"/>
      <c r="D374" s="11"/>
      <c r="E374" s="11"/>
      <c r="F374" s="11"/>
      <c r="G374" s="21"/>
      <c r="H374" s="11"/>
      <c r="I374" s="11"/>
    </row>
    <row r="375" spans="1:9" ht="22.5" customHeight="1">
      <c r="A375" s="18"/>
      <c r="B375" s="19"/>
      <c r="C375" s="20"/>
      <c r="D375" s="11"/>
      <c r="E375" s="11"/>
      <c r="F375" s="11"/>
      <c r="G375" s="21"/>
      <c r="H375" s="11"/>
      <c r="I375" s="11"/>
    </row>
    <row r="376" spans="1:9" ht="22.5" customHeight="1">
      <c r="A376" s="18"/>
      <c r="B376" s="19"/>
      <c r="C376" s="20"/>
      <c r="D376" s="11"/>
      <c r="E376" s="11"/>
      <c r="F376" s="11"/>
      <c r="G376" s="21"/>
      <c r="H376" s="11"/>
      <c r="I376" s="11"/>
    </row>
    <row r="377" spans="1:9" ht="22.5" customHeight="1">
      <c r="A377" s="18"/>
      <c r="B377" s="19"/>
      <c r="C377" s="20"/>
      <c r="D377" s="11"/>
      <c r="E377" s="11"/>
      <c r="F377" s="11"/>
      <c r="G377" s="21"/>
      <c r="H377" s="11"/>
      <c r="I377" s="11"/>
    </row>
    <row r="378" spans="1:9" ht="22.5" customHeight="1">
      <c r="A378" s="18"/>
      <c r="B378" s="19"/>
      <c r="C378" s="20"/>
      <c r="D378" s="11"/>
      <c r="E378" s="11"/>
      <c r="F378" s="11"/>
      <c r="G378" s="21"/>
      <c r="H378" s="11"/>
      <c r="I378" s="11"/>
    </row>
    <row r="379" spans="1:9" ht="22.5" customHeight="1">
      <c r="A379" s="18"/>
      <c r="B379" s="19"/>
      <c r="C379" s="20"/>
      <c r="D379" s="11"/>
      <c r="E379" s="11"/>
      <c r="F379" s="11"/>
      <c r="G379" s="21"/>
      <c r="H379" s="11"/>
      <c r="I379" s="11"/>
    </row>
    <row r="380" spans="1:9" ht="22.5" customHeight="1">
      <c r="A380" s="18"/>
      <c r="B380" s="19"/>
      <c r="C380" s="20"/>
      <c r="D380" s="11"/>
      <c r="E380" s="11"/>
      <c r="F380" s="11"/>
      <c r="G380" s="21"/>
      <c r="H380" s="11"/>
      <c r="I380" s="11"/>
    </row>
    <row r="381" spans="1:9" ht="22.5" customHeight="1">
      <c r="A381" s="18"/>
      <c r="B381" s="19"/>
      <c r="C381" s="20"/>
      <c r="D381" s="11"/>
      <c r="E381" s="11"/>
      <c r="F381" s="11"/>
      <c r="G381" s="21"/>
      <c r="H381" s="11"/>
      <c r="I381" s="11"/>
    </row>
    <row r="382" spans="1:9" ht="22.5" customHeight="1">
      <c r="A382" s="18"/>
      <c r="B382" s="19"/>
      <c r="C382" s="20"/>
      <c r="D382" s="11"/>
      <c r="E382" s="11"/>
      <c r="F382" s="11"/>
      <c r="G382" s="21"/>
      <c r="H382" s="11"/>
      <c r="I382" s="11"/>
    </row>
    <row r="383" spans="1:9" ht="22.5" customHeight="1">
      <c r="A383" s="18"/>
      <c r="B383" s="19"/>
      <c r="C383" s="20"/>
      <c r="D383" s="11"/>
      <c r="E383" s="11"/>
      <c r="F383" s="11"/>
      <c r="G383" s="21"/>
      <c r="H383" s="11"/>
      <c r="I383" s="11"/>
    </row>
    <row r="384" spans="1:9" ht="22.5" customHeight="1">
      <c r="A384" s="18"/>
      <c r="B384" s="19"/>
      <c r="C384" s="20"/>
      <c r="D384" s="11"/>
      <c r="E384" s="11"/>
      <c r="F384" s="11"/>
      <c r="G384" s="21"/>
      <c r="H384" s="11"/>
      <c r="I384" s="11"/>
    </row>
    <row r="385" spans="1:9" ht="22.5" customHeight="1">
      <c r="A385" s="18"/>
      <c r="B385" s="19"/>
      <c r="C385" s="20"/>
      <c r="D385" s="11"/>
      <c r="E385" s="11"/>
      <c r="F385" s="11"/>
      <c r="G385" s="21"/>
      <c r="H385" s="11"/>
      <c r="I385" s="11"/>
    </row>
    <row r="386" spans="1:9" ht="22.5" customHeight="1">
      <c r="A386" s="18"/>
      <c r="B386" s="19"/>
      <c r="C386" s="20"/>
      <c r="D386" s="11"/>
      <c r="E386" s="11"/>
      <c r="F386" s="11"/>
      <c r="G386" s="21"/>
      <c r="H386" s="11"/>
      <c r="I386" s="11"/>
    </row>
    <row r="387" spans="1:9" ht="22.5" customHeight="1">
      <c r="A387" s="18"/>
      <c r="B387" s="19"/>
      <c r="C387" s="20"/>
      <c r="D387" s="11"/>
      <c r="E387" s="11"/>
      <c r="F387" s="11"/>
      <c r="G387" s="21"/>
      <c r="H387" s="11"/>
      <c r="I387" s="11"/>
    </row>
    <row r="388" spans="1:9" ht="22.5" customHeight="1">
      <c r="A388" s="18"/>
      <c r="B388" s="19"/>
      <c r="C388" s="20"/>
      <c r="D388" s="11"/>
      <c r="E388" s="11"/>
      <c r="F388" s="11"/>
      <c r="G388" s="21"/>
      <c r="H388" s="11"/>
      <c r="I388" s="11"/>
    </row>
    <row r="389" spans="1:9" ht="22.5" customHeight="1">
      <c r="A389" s="18"/>
      <c r="B389" s="19"/>
      <c r="C389" s="20"/>
      <c r="D389" s="11"/>
      <c r="E389" s="11"/>
      <c r="F389" s="11"/>
      <c r="G389" s="21"/>
      <c r="H389" s="11"/>
      <c r="I389" s="11"/>
    </row>
    <row r="390" spans="1:9" ht="22.5" customHeight="1">
      <c r="A390" s="18"/>
      <c r="B390" s="19"/>
      <c r="C390" s="20"/>
      <c r="D390" s="11"/>
      <c r="E390" s="11"/>
      <c r="F390" s="11"/>
      <c r="G390" s="21"/>
      <c r="H390" s="11"/>
      <c r="I390" s="11"/>
    </row>
    <row r="391" spans="1:9" ht="22.5" customHeight="1">
      <c r="A391" s="18"/>
      <c r="B391" s="19"/>
      <c r="C391" s="20"/>
      <c r="D391" s="11"/>
      <c r="E391" s="11"/>
      <c r="F391" s="11"/>
      <c r="G391" s="21"/>
      <c r="H391" s="11"/>
      <c r="I391" s="11"/>
    </row>
    <row r="392" spans="1:9" ht="22.5" customHeight="1">
      <c r="A392" s="18"/>
      <c r="B392" s="19"/>
      <c r="C392" s="20"/>
      <c r="D392" s="11"/>
      <c r="E392" s="11"/>
      <c r="F392" s="11"/>
      <c r="G392" s="21"/>
      <c r="H392" s="11"/>
      <c r="I392" s="11"/>
    </row>
    <row r="393" spans="1:9" ht="22.5" customHeight="1">
      <c r="A393" s="18"/>
      <c r="B393" s="19"/>
      <c r="C393" s="20"/>
      <c r="D393" s="11"/>
      <c r="E393" s="11"/>
      <c r="F393" s="11"/>
      <c r="G393" s="21"/>
      <c r="H393" s="11"/>
      <c r="I393" s="11"/>
    </row>
    <row r="394" spans="1:9" ht="22.5" customHeight="1">
      <c r="A394" s="18"/>
      <c r="B394" s="19"/>
      <c r="C394" s="20"/>
      <c r="D394" s="11"/>
      <c r="E394" s="11"/>
      <c r="F394" s="11"/>
      <c r="G394" s="21"/>
      <c r="H394" s="11"/>
      <c r="I394" s="11"/>
    </row>
    <row r="395" spans="1:9" ht="22.5" customHeight="1">
      <c r="A395" s="18"/>
      <c r="B395" s="19"/>
      <c r="C395" s="20"/>
      <c r="D395" s="11"/>
      <c r="E395" s="11"/>
      <c r="F395" s="11"/>
      <c r="G395" s="21"/>
      <c r="H395" s="11"/>
      <c r="I395" s="11"/>
    </row>
    <row r="396" spans="1:9" ht="22.5" customHeight="1">
      <c r="A396" s="18"/>
      <c r="B396" s="19"/>
      <c r="C396" s="20"/>
      <c r="D396" s="11"/>
      <c r="E396" s="11"/>
      <c r="F396" s="11"/>
      <c r="G396" s="21"/>
      <c r="H396" s="11"/>
      <c r="I396" s="11"/>
    </row>
    <row r="397" spans="1:9" ht="22.5" customHeight="1">
      <c r="A397" s="18"/>
      <c r="B397" s="19"/>
      <c r="C397" s="20"/>
      <c r="D397" s="11"/>
      <c r="E397" s="11"/>
      <c r="F397" s="11"/>
      <c r="G397" s="21"/>
      <c r="H397" s="11"/>
      <c r="I397" s="11"/>
    </row>
    <row r="398" spans="1:9" ht="22.5" customHeight="1">
      <c r="A398" s="18"/>
      <c r="B398" s="19"/>
      <c r="C398" s="20"/>
      <c r="D398" s="11"/>
      <c r="E398" s="11"/>
      <c r="F398" s="11"/>
      <c r="G398" s="21"/>
      <c r="H398" s="11"/>
      <c r="I398" s="11"/>
    </row>
    <row r="399" spans="1:9" ht="22.5" customHeight="1">
      <c r="A399" s="18"/>
      <c r="B399" s="19"/>
      <c r="C399" s="20"/>
      <c r="D399" s="11"/>
      <c r="E399" s="11"/>
      <c r="F399" s="11"/>
      <c r="G399" s="21"/>
      <c r="H399" s="11"/>
      <c r="I399" s="11"/>
    </row>
    <row r="400" spans="1:9" ht="22.5" customHeight="1">
      <c r="A400" s="18"/>
      <c r="B400" s="19"/>
      <c r="C400" s="20"/>
      <c r="D400" s="11"/>
      <c r="E400" s="11"/>
      <c r="F400" s="11"/>
      <c r="G400" s="21"/>
      <c r="H400" s="11"/>
      <c r="I400" s="11"/>
    </row>
    <row r="401" spans="1:9" ht="22.5" customHeight="1">
      <c r="A401" s="18"/>
      <c r="B401" s="19"/>
      <c r="C401" s="20"/>
      <c r="D401" s="11"/>
      <c r="E401" s="11"/>
      <c r="F401" s="11"/>
      <c r="G401" s="21"/>
      <c r="H401" s="11"/>
      <c r="I401" s="11"/>
    </row>
    <row r="402" spans="1:9" ht="22.5" customHeight="1">
      <c r="A402" s="18"/>
      <c r="B402" s="19"/>
      <c r="C402" s="20"/>
      <c r="D402" s="11"/>
      <c r="E402" s="11"/>
      <c r="F402" s="11"/>
      <c r="G402" s="21"/>
      <c r="H402" s="11"/>
      <c r="I402" s="11"/>
    </row>
    <row r="403" spans="1:9" ht="22.5" customHeight="1">
      <c r="A403" s="18"/>
      <c r="B403" s="19"/>
      <c r="C403" s="20"/>
      <c r="D403" s="11"/>
      <c r="E403" s="11"/>
      <c r="F403" s="11"/>
      <c r="G403" s="21"/>
      <c r="H403" s="11"/>
      <c r="I403" s="11"/>
    </row>
    <row r="404" spans="1:9" ht="22.5" customHeight="1">
      <c r="A404" s="18"/>
      <c r="B404" s="19"/>
      <c r="C404" s="20"/>
      <c r="D404" s="11"/>
      <c r="E404" s="11"/>
      <c r="F404" s="11"/>
      <c r="G404" s="21"/>
      <c r="H404" s="11"/>
      <c r="I404" s="11"/>
    </row>
    <row r="405" spans="1:9" ht="22.5" customHeight="1">
      <c r="A405" s="18"/>
      <c r="B405" s="19"/>
      <c r="C405" s="20"/>
      <c r="D405" s="11"/>
      <c r="E405" s="11"/>
      <c r="F405" s="11"/>
      <c r="G405" s="21"/>
      <c r="H405" s="11"/>
      <c r="I405" s="11"/>
    </row>
    <row r="406" spans="1:9" ht="22.5" customHeight="1">
      <c r="A406" s="18"/>
      <c r="B406" s="19"/>
      <c r="C406" s="20"/>
      <c r="D406" s="11"/>
      <c r="E406" s="11"/>
      <c r="F406" s="11"/>
      <c r="G406" s="21"/>
      <c r="H406" s="11"/>
      <c r="I406" s="11"/>
    </row>
    <row r="407" spans="1:9" ht="22.5" customHeight="1">
      <c r="A407" s="18"/>
      <c r="B407" s="19"/>
      <c r="C407" s="20"/>
      <c r="D407" s="11"/>
      <c r="E407" s="11"/>
      <c r="F407" s="11"/>
      <c r="G407" s="21"/>
      <c r="H407" s="11"/>
      <c r="I407" s="11"/>
    </row>
    <row r="408" spans="1:9" ht="22.5" customHeight="1">
      <c r="A408" s="18"/>
      <c r="B408" s="19"/>
      <c r="C408" s="20"/>
      <c r="D408" s="11"/>
      <c r="E408" s="11"/>
      <c r="F408" s="11"/>
      <c r="G408" s="21"/>
      <c r="H408" s="11"/>
      <c r="I408" s="11"/>
    </row>
    <row r="409" spans="1:9" ht="22.5" customHeight="1">
      <c r="A409" s="18"/>
      <c r="B409" s="19"/>
      <c r="C409" s="20"/>
      <c r="D409" s="11"/>
      <c r="E409" s="11"/>
      <c r="F409" s="11"/>
      <c r="G409" s="21"/>
      <c r="H409" s="11"/>
      <c r="I409" s="11"/>
    </row>
    <row r="410" spans="1:9" ht="22.5" customHeight="1">
      <c r="A410" s="18"/>
      <c r="B410" s="19"/>
      <c r="C410" s="20"/>
      <c r="D410" s="11"/>
      <c r="E410" s="11"/>
      <c r="F410" s="11"/>
      <c r="G410" s="21"/>
      <c r="H410" s="11"/>
      <c r="I410" s="11"/>
    </row>
    <row r="411" spans="1:9" ht="22.5" customHeight="1">
      <c r="A411" s="18"/>
      <c r="B411" s="19"/>
      <c r="C411" s="20"/>
      <c r="D411" s="11"/>
      <c r="E411" s="11"/>
      <c r="F411" s="11"/>
      <c r="G411" s="21"/>
      <c r="H411" s="11"/>
      <c r="I411" s="11"/>
    </row>
    <row r="412" spans="1:9" ht="22.5" customHeight="1">
      <c r="A412" s="18"/>
      <c r="B412" s="19"/>
      <c r="C412" s="20"/>
      <c r="D412" s="11"/>
      <c r="E412" s="11"/>
      <c r="F412" s="11"/>
      <c r="G412" s="21"/>
      <c r="H412" s="11"/>
      <c r="I412" s="11"/>
    </row>
    <row r="413" spans="1:9" ht="22.5" customHeight="1">
      <c r="A413" s="18"/>
      <c r="B413" s="19"/>
      <c r="C413" s="20"/>
      <c r="D413" s="11"/>
      <c r="E413" s="11"/>
      <c r="F413" s="11"/>
      <c r="G413" s="21"/>
      <c r="H413" s="11"/>
      <c r="I413" s="11"/>
    </row>
    <row r="414" spans="1:9" ht="22.5" customHeight="1">
      <c r="A414" s="18"/>
      <c r="B414" s="19"/>
      <c r="C414" s="20"/>
      <c r="D414" s="11"/>
      <c r="E414" s="11"/>
      <c r="F414" s="11"/>
      <c r="G414" s="21"/>
      <c r="H414" s="11"/>
      <c r="I414" s="11"/>
    </row>
    <row r="415" spans="1:9" ht="22.5" customHeight="1">
      <c r="A415" s="18"/>
      <c r="B415" s="19"/>
      <c r="C415" s="20"/>
      <c r="D415" s="11"/>
      <c r="E415" s="11"/>
      <c r="F415" s="11"/>
      <c r="G415" s="21"/>
      <c r="H415" s="11"/>
      <c r="I415" s="11"/>
    </row>
    <row r="416" spans="1:9" ht="22.5" customHeight="1">
      <c r="A416" s="18"/>
      <c r="B416" s="19"/>
      <c r="C416" s="20"/>
      <c r="D416" s="11"/>
      <c r="E416" s="11"/>
      <c r="F416" s="11"/>
      <c r="G416" s="21"/>
      <c r="H416" s="11"/>
      <c r="I416" s="11"/>
    </row>
    <row r="417" spans="1:9" ht="22.5" customHeight="1">
      <c r="A417" s="18"/>
      <c r="B417" s="19"/>
      <c r="C417" s="20"/>
      <c r="D417" s="11"/>
      <c r="E417" s="11"/>
      <c r="F417" s="11"/>
      <c r="G417" s="21"/>
      <c r="H417" s="11"/>
      <c r="I417" s="11"/>
    </row>
    <row r="418" spans="1:9" ht="22.5" customHeight="1">
      <c r="A418" s="18"/>
      <c r="B418" s="19"/>
      <c r="C418" s="20"/>
      <c r="D418" s="11"/>
      <c r="E418" s="11"/>
      <c r="F418" s="11"/>
      <c r="G418" s="21"/>
      <c r="H418" s="11"/>
      <c r="I418" s="11"/>
    </row>
    <row r="419" spans="1:9" ht="22.5" customHeight="1">
      <c r="A419" s="18"/>
      <c r="B419" s="19"/>
      <c r="C419" s="20"/>
      <c r="D419" s="11"/>
      <c r="E419" s="11"/>
      <c r="F419" s="11"/>
      <c r="G419" s="21"/>
      <c r="H419" s="11"/>
      <c r="I419" s="11"/>
    </row>
    <row r="420" spans="1:9" ht="22.5" customHeight="1">
      <c r="A420" s="18"/>
      <c r="B420" s="19"/>
      <c r="C420" s="20"/>
      <c r="D420" s="11"/>
      <c r="E420" s="11"/>
      <c r="F420" s="11"/>
      <c r="G420" s="21"/>
      <c r="H420" s="11"/>
      <c r="I420" s="11"/>
    </row>
    <row r="421" spans="1:9" ht="22.5" customHeight="1">
      <c r="A421" s="18"/>
      <c r="B421" s="19"/>
      <c r="C421" s="20"/>
      <c r="D421" s="11"/>
      <c r="E421" s="11"/>
      <c r="F421" s="11"/>
      <c r="G421" s="21"/>
      <c r="H421" s="11"/>
      <c r="I421" s="11"/>
    </row>
    <row r="422" spans="1:9" ht="22.5" customHeight="1">
      <c r="A422" s="18"/>
      <c r="B422" s="19"/>
      <c r="C422" s="20"/>
      <c r="D422" s="11"/>
      <c r="E422" s="11"/>
      <c r="F422" s="11"/>
      <c r="G422" s="21"/>
      <c r="H422" s="11"/>
      <c r="I422" s="11"/>
    </row>
    <row r="423" spans="1:9" ht="22.5" customHeight="1">
      <c r="A423" s="18"/>
      <c r="B423" s="19"/>
      <c r="C423" s="20"/>
      <c r="D423" s="11"/>
      <c r="E423" s="11"/>
      <c r="F423" s="11"/>
      <c r="G423" s="21"/>
      <c r="H423" s="11"/>
      <c r="I423" s="11"/>
    </row>
    <row r="424" spans="1:9" ht="22.5" customHeight="1">
      <c r="A424" s="18"/>
      <c r="B424" s="19"/>
      <c r="C424" s="20"/>
      <c r="D424" s="11"/>
      <c r="E424" s="11"/>
      <c r="F424" s="11"/>
      <c r="G424" s="21"/>
      <c r="H424" s="11"/>
      <c r="I424" s="11"/>
    </row>
    <row r="425" spans="1:9" ht="22.5" customHeight="1">
      <c r="A425" s="18"/>
      <c r="B425" s="19"/>
      <c r="C425" s="20"/>
      <c r="D425" s="11"/>
      <c r="E425" s="11"/>
      <c r="F425" s="11"/>
      <c r="G425" s="21"/>
      <c r="H425" s="11"/>
      <c r="I425" s="11"/>
    </row>
    <row r="426" spans="1:9" ht="22.5" customHeight="1">
      <c r="A426" s="18"/>
      <c r="B426" s="19"/>
      <c r="C426" s="20"/>
      <c r="D426" s="11"/>
      <c r="E426" s="11"/>
      <c r="F426" s="11"/>
      <c r="G426" s="21"/>
      <c r="H426" s="11"/>
      <c r="I426" s="11"/>
    </row>
    <row r="427" spans="1:9" ht="22.5" customHeight="1">
      <c r="A427" s="18"/>
      <c r="B427" s="19"/>
      <c r="C427" s="20"/>
      <c r="D427" s="11"/>
      <c r="E427" s="11"/>
      <c r="F427" s="11"/>
      <c r="G427" s="21"/>
      <c r="H427" s="11"/>
      <c r="I427" s="11"/>
    </row>
    <row r="428" spans="1:9" ht="22.5" customHeight="1">
      <c r="A428" s="18"/>
      <c r="B428" s="19"/>
      <c r="C428" s="20"/>
      <c r="D428" s="11"/>
      <c r="E428" s="11"/>
      <c r="F428" s="11"/>
      <c r="G428" s="21"/>
      <c r="H428" s="11"/>
      <c r="I428" s="11"/>
    </row>
    <row r="429" spans="1:9" ht="22.5" customHeight="1">
      <c r="A429" s="18"/>
      <c r="B429" s="19"/>
      <c r="C429" s="20"/>
      <c r="D429" s="11"/>
      <c r="E429" s="11"/>
      <c r="F429" s="11"/>
      <c r="G429" s="21"/>
      <c r="H429" s="11"/>
      <c r="I429" s="11"/>
    </row>
    <row r="430" spans="1:9" ht="22.5" customHeight="1">
      <c r="A430" s="18"/>
      <c r="B430" s="19"/>
      <c r="C430" s="20"/>
      <c r="D430" s="11"/>
      <c r="E430" s="11"/>
      <c r="F430" s="11"/>
      <c r="G430" s="21"/>
      <c r="H430" s="11"/>
      <c r="I430" s="11"/>
    </row>
    <row r="431" spans="1:9" ht="22.5" customHeight="1">
      <c r="A431" s="18"/>
      <c r="B431" s="19"/>
      <c r="C431" s="20"/>
      <c r="D431" s="11"/>
      <c r="E431" s="11"/>
      <c r="F431" s="11"/>
      <c r="G431" s="21"/>
      <c r="H431" s="11"/>
      <c r="I431" s="11"/>
    </row>
    <row r="432" spans="1:9" ht="22.5" customHeight="1">
      <c r="A432" s="18"/>
      <c r="B432" s="19"/>
      <c r="C432" s="20"/>
      <c r="D432" s="11"/>
      <c r="E432" s="11"/>
      <c r="F432" s="11"/>
      <c r="G432" s="21"/>
      <c r="H432" s="11"/>
      <c r="I432" s="11"/>
    </row>
    <row r="433" spans="1:9" ht="22.5" customHeight="1">
      <c r="A433" s="18"/>
      <c r="B433" s="19"/>
      <c r="C433" s="20"/>
      <c r="D433" s="11"/>
      <c r="E433" s="11"/>
      <c r="F433" s="11"/>
      <c r="G433" s="21"/>
      <c r="H433" s="11"/>
      <c r="I433" s="11"/>
    </row>
    <row r="434" spans="1:9" ht="22.5" customHeight="1">
      <c r="A434" s="18"/>
      <c r="B434" s="19"/>
      <c r="C434" s="20"/>
      <c r="D434" s="11"/>
      <c r="E434" s="11"/>
      <c r="F434" s="11"/>
      <c r="G434" s="21"/>
      <c r="H434" s="11"/>
      <c r="I434" s="11"/>
    </row>
    <row r="435" spans="1:9" ht="22.5" customHeight="1">
      <c r="A435" s="18"/>
      <c r="B435" s="19"/>
      <c r="C435" s="20"/>
      <c r="D435" s="11"/>
      <c r="E435" s="11"/>
      <c r="F435" s="11"/>
      <c r="G435" s="21"/>
      <c r="H435" s="11"/>
      <c r="I435" s="11"/>
    </row>
    <row r="436" spans="1:9" ht="22.5" customHeight="1">
      <c r="A436" s="18"/>
      <c r="B436" s="19"/>
      <c r="C436" s="20"/>
      <c r="D436" s="11"/>
      <c r="E436" s="11"/>
      <c r="F436" s="11"/>
      <c r="G436" s="21"/>
      <c r="H436" s="11"/>
      <c r="I436" s="11"/>
    </row>
    <row r="437" spans="1:9" ht="22.5" customHeight="1">
      <c r="A437" s="18"/>
      <c r="B437" s="19"/>
      <c r="C437" s="20"/>
      <c r="D437" s="11"/>
      <c r="E437" s="11"/>
      <c r="F437" s="11"/>
      <c r="G437" s="21"/>
      <c r="H437" s="11"/>
      <c r="I437" s="11"/>
    </row>
    <row r="438" spans="1:9" ht="22.5" customHeight="1">
      <c r="A438" s="18"/>
      <c r="B438" s="19"/>
      <c r="C438" s="20"/>
      <c r="D438" s="11"/>
      <c r="E438" s="11"/>
      <c r="F438" s="11"/>
      <c r="G438" s="21"/>
      <c r="H438" s="11"/>
      <c r="I438" s="11"/>
    </row>
    <row r="439" spans="1:9" ht="22.5" customHeight="1">
      <c r="A439" s="18"/>
      <c r="B439" s="19"/>
      <c r="C439" s="20"/>
      <c r="D439" s="11"/>
      <c r="E439" s="11"/>
      <c r="F439" s="11"/>
      <c r="G439" s="21"/>
      <c r="H439" s="11"/>
      <c r="I439" s="11"/>
    </row>
    <row r="440" spans="1:9" ht="22.5" customHeight="1">
      <c r="A440" s="18"/>
      <c r="B440" s="19"/>
      <c r="C440" s="20"/>
      <c r="D440" s="11"/>
      <c r="E440" s="11"/>
      <c r="F440" s="11"/>
      <c r="G440" s="21"/>
      <c r="H440" s="11"/>
      <c r="I440" s="11"/>
    </row>
    <row r="441" spans="1:9" ht="22.5" customHeight="1">
      <c r="A441" s="18"/>
      <c r="B441" s="19"/>
      <c r="C441" s="20"/>
      <c r="D441" s="11"/>
      <c r="E441" s="11"/>
      <c r="F441" s="11"/>
      <c r="G441" s="21"/>
      <c r="H441" s="11"/>
      <c r="I441" s="11"/>
    </row>
    <row r="442" spans="1:9" ht="22.5" customHeight="1">
      <c r="A442" s="18"/>
      <c r="B442" s="19"/>
      <c r="C442" s="20"/>
      <c r="D442" s="11"/>
      <c r="E442" s="11"/>
      <c r="F442" s="11"/>
      <c r="G442" s="21"/>
      <c r="H442" s="11"/>
      <c r="I442" s="11"/>
    </row>
    <row r="443" spans="1:9" ht="22.5" customHeight="1">
      <c r="A443" s="18"/>
      <c r="B443" s="19"/>
      <c r="C443" s="20"/>
      <c r="D443" s="11"/>
      <c r="E443" s="11"/>
      <c r="F443" s="11"/>
      <c r="G443" s="21"/>
      <c r="H443" s="11"/>
      <c r="I443" s="11"/>
    </row>
    <row r="444" spans="1:9" ht="22.5" customHeight="1">
      <c r="A444" s="18"/>
      <c r="B444" s="19"/>
      <c r="C444" s="20"/>
      <c r="D444" s="11"/>
      <c r="E444" s="11"/>
      <c r="F444" s="11"/>
      <c r="G444" s="21"/>
      <c r="H444" s="11"/>
      <c r="I444" s="11"/>
    </row>
    <row r="445" spans="1:9" ht="22.5" customHeight="1">
      <c r="A445" s="18"/>
      <c r="B445" s="19"/>
      <c r="C445" s="20"/>
      <c r="D445" s="11"/>
      <c r="E445" s="11"/>
      <c r="F445" s="11"/>
      <c r="G445" s="21"/>
      <c r="H445" s="11"/>
      <c r="I445" s="11"/>
    </row>
    <row r="446" spans="1:9" ht="22.5" customHeight="1">
      <c r="A446" s="18"/>
      <c r="B446" s="19"/>
      <c r="C446" s="20"/>
      <c r="D446" s="11"/>
      <c r="E446" s="11"/>
      <c r="F446" s="11"/>
      <c r="G446" s="21"/>
      <c r="H446" s="11"/>
      <c r="I446" s="11"/>
    </row>
    <row r="447" spans="1:9" ht="22.5" customHeight="1">
      <c r="A447" s="18"/>
      <c r="B447" s="19"/>
      <c r="C447" s="20"/>
      <c r="D447" s="11"/>
      <c r="E447" s="11"/>
      <c r="F447" s="11"/>
      <c r="G447" s="21"/>
      <c r="H447" s="11"/>
      <c r="I447" s="11"/>
    </row>
    <row r="448" spans="1:9" ht="22.5" customHeight="1">
      <c r="A448" s="18"/>
      <c r="B448" s="19"/>
      <c r="C448" s="20"/>
      <c r="D448" s="11"/>
      <c r="E448" s="11"/>
      <c r="F448" s="11"/>
      <c r="G448" s="21"/>
      <c r="H448" s="11"/>
      <c r="I448" s="11"/>
    </row>
    <row r="449" spans="1:9" ht="22.5" customHeight="1">
      <c r="A449" s="18"/>
      <c r="B449" s="19"/>
      <c r="C449" s="20"/>
      <c r="D449" s="11"/>
      <c r="E449" s="11"/>
      <c r="F449" s="11"/>
      <c r="G449" s="21"/>
      <c r="H449" s="11"/>
      <c r="I449" s="11"/>
    </row>
    <row r="450" spans="1:9" ht="22.5" customHeight="1">
      <c r="A450" s="18"/>
      <c r="B450" s="19"/>
      <c r="C450" s="20"/>
      <c r="D450" s="11"/>
      <c r="E450" s="11"/>
      <c r="F450" s="11"/>
      <c r="G450" s="21"/>
      <c r="H450" s="11"/>
      <c r="I450" s="11"/>
    </row>
    <row r="451" spans="1:9" ht="22.5" customHeight="1">
      <c r="A451" s="18"/>
      <c r="B451" s="19"/>
      <c r="C451" s="20"/>
      <c r="D451" s="11"/>
      <c r="E451" s="11"/>
      <c r="F451" s="11"/>
      <c r="G451" s="21"/>
      <c r="H451" s="11"/>
      <c r="I451" s="11"/>
    </row>
    <row r="452" spans="1:9" ht="22.5" customHeight="1">
      <c r="A452" s="18"/>
      <c r="B452" s="19"/>
      <c r="C452" s="20"/>
      <c r="D452" s="11"/>
      <c r="E452" s="11"/>
      <c r="F452" s="11"/>
      <c r="G452" s="21"/>
      <c r="H452" s="11"/>
      <c r="I452" s="11"/>
    </row>
    <row r="453" spans="1:9" ht="22.5" customHeight="1">
      <c r="A453" s="18"/>
      <c r="B453" s="19"/>
      <c r="C453" s="20"/>
      <c r="D453" s="11"/>
      <c r="E453" s="11"/>
      <c r="F453" s="11"/>
      <c r="G453" s="21"/>
      <c r="H453" s="11"/>
      <c r="I453" s="11"/>
    </row>
    <row r="454" spans="1:9" ht="22.5" customHeight="1">
      <c r="A454" s="18"/>
      <c r="B454" s="19"/>
      <c r="C454" s="20"/>
      <c r="D454" s="11"/>
      <c r="E454" s="11"/>
      <c r="F454" s="11"/>
      <c r="G454" s="21"/>
      <c r="H454" s="11"/>
      <c r="I454" s="11"/>
    </row>
    <row r="455" spans="1:9" ht="22.5" customHeight="1">
      <c r="A455" s="18"/>
      <c r="B455" s="19"/>
      <c r="C455" s="20"/>
      <c r="D455" s="11"/>
      <c r="E455" s="11"/>
      <c r="F455" s="11"/>
      <c r="G455" s="21"/>
      <c r="H455" s="11"/>
      <c r="I455" s="11"/>
    </row>
    <row r="456" spans="1:9" ht="22.5" customHeight="1">
      <c r="A456" s="18"/>
      <c r="B456" s="19"/>
      <c r="C456" s="20"/>
      <c r="D456" s="11"/>
      <c r="E456" s="11"/>
      <c r="F456" s="11"/>
      <c r="G456" s="21"/>
      <c r="H456" s="11"/>
      <c r="I456" s="11"/>
    </row>
    <row r="457" spans="1:9" ht="22.5" customHeight="1">
      <c r="A457" s="18"/>
      <c r="B457" s="19"/>
      <c r="C457" s="20"/>
      <c r="D457" s="11"/>
      <c r="E457" s="11"/>
      <c r="F457" s="11"/>
      <c r="G457" s="21"/>
      <c r="H457" s="11"/>
      <c r="I457" s="11"/>
    </row>
    <row r="458" spans="1:9" ht="22.5" customHeight="1">
      <c r="A458" s="18"/>
      <c r="B458" s="19"/>
      <c r="C458" s="20"/>
      <c r="D458" s="11"/>
      <c r="E458" s="11"/>
      <c r="F458" s="11"/>
      <c r="G458" s="21"/>
      <c r="H458" s="11"/>
      <c r="I458" s="11"/>
    </row>
    <row r="459" spans="1:9" ht="22.5" customHeight="1">
      <c r="A459" s="18"/>
      <c r="B459" s="19"/>
      <c r="C459" s="20"/>
      <c r="D459" s="11"/>
      <c r="E459" s="11"/>
      <c r="F459" s="11"/>
      <c r="G459" s="21"/>
      <c r="H459" s="11"/>
      <c r="I459" s="11"/>
    </row>
    <row r="460" spans="1:9" ht="22.5" customHeight="1">
      <c r="A460" s="18"/>
      <c r="B460" s="19"/>
      <c r="C460" s="20"/>
      <c r="D460" s="11"/>
      <c r="E460" s="11"/>
      <c r="F460" s="11"/>
      <c r="G460" s="21"/>
      <c r="H460" s="11"/>
      <c r="I460" s="11"/>
    </row>
    <row r="461" spans="1:9" ht="22.5" customHeight="1">
      <c r="A461" s="18"/>
      <c r="B461" s="19"/>
      <c r="C461" s="20"/>
      <c r="D461" s="11"/>
      <c r="E461" s="11"/>
      <c r="F461" s="11"/>
      <c r="G461" s="21"/>
      <c r="H461" s="11"/>
      <c r="I461" s="11"/>
    </row>
    <row r="462" spans="1:9" ht="22.5" customHeight="1">
      <c r="A462" s="18"/>
      <c r="B462" s="19"/>
      <c r="C462" s="20"/>
      <c r="D462" s="11"/>
      <c r="E462" s="11"/>
      <c r="F462" s="11"/>
      <c r="G462" s="21"/>
      <c r="H462" s="11"/>
      <c r="I462" s="11"/>
    </row>
    <row r="463" spans="1:9" ht="22.5" customHeight="1">
      <c r="A463" s="18"/>
      <c r="B463" s="19"/>
      <c r="C463" s="20"/>
      <c r="D463" s="11"/>
      <c r="E463" s="11"/>
      <c r="F463" s="11"/>
      <c r="G463" s="21"/>
      <c r="H463" s="11"/>
      <c r="I463" s="11"/>
    </row>
    <row r="464" spans="1:9" ht="22.5" customHeight="1">
      <c r="A464" s="18"/>
      <c r="B464" s="19"/>
      <c r="C464" s="20"/>
      <c r="D464" s="11"/>
      <c r="E464" s="11"/>
      <c r="F464" s="11"/>
      <c r="G464" s="21"/>
      <c r="H464" s="11"/>
      <c r="I464" s="11"/>
    </row>
    <row r="465" spans="1:9" ht="22.5" customHeight="1">
      <c r="A465" s="18"/>
      <c r="B465" s="19"/>
      <c r="C465" s="20"/>
      <c r="D465" s="11"/>
      <c r="E465" s="11"/>
      <c r="F465" s="11"/>
      <c r="G465" s="21"/>
      <c r="H465" s="11"/>
      <c r="I465" s="11"/>
    </row>
    <row r="466" spans="1:9" ht="22.5" customHeight="1">
      <c r="A466" s="18"/>
      <c r="B466" s="19"/>
      <c r="C466" s="20"/>
      <c r="D466" s="11"/>
      <c r="E466" s="11"/>
      <c r="F466" s="11"/>
      <c r="G466" s="21"/>
      <c r="H466" s="11"/>
      <c r="I466" s="11"/>
    </row>
    <row r="467" spans="1:9" ht="22.5" customHeight="1">
      <c r="A467" s="18"/>
      <c r="B467" s="19"/>
      <c r="C467" s="20"/>
      <c r="D467" s="11"/>
      <c r="E467" s="11"/>
      <c r="F467" s="11"/>
      <c r="G467" s="21"/>
      <c r="H467" s="11"/>
      <c r="I467" s="11"/>
    </row>
    <row r="468" spans="1:9" ht="22.5" customHeight="1">
      <c r="A468" s="18"/>
      <c r="B468" s="19"/>
      <c r="C468" s="20"/>
      <c r="D468" s="11"/>
      <c r="E468" s="11"/>
      <c r="F468" s="11"/>
      <c r="G468" s="21"/>
      <c r="H468" s="11"/>
      <c r="I468" s="11"/>
    </row>
    <row r="469" spans="1:9" ht="22.5" customHeight="1">
      <c r="A469" s="18"/>
      <c r="B469" s="19"/>
      <c r="C469" s="20"/>
      <c r="D469" s="11"/>
      <c r="E469" s="11"/>
      <c r="F469" s="11"/>
      <c r="G469" s="21"/>
      <c r="H469" s="11"/>
      <c r="I469" s="11"/>
    </row>
    <row r="470" spans="1:9" ht="22.5" customHeight="1">
      <c r="A470" s="18"/>
      <c r="B470" s="19"/>
      <c r="C470" s="20"/>
      <c r="D470" s="11"/>
      <c r="E470" s="11"/>
      <c r="F470" s="11"/>
      <c r="G470" s="21"/>
      <c r="H470" s="11"/>
      <c r="I470" s="11"/>
    </row>
    <row r="471" spans="1:9" ht="22.5" customHeight="1">
      <c r="A471" s="18"/>
      <c r="B471" s="19"/>
      <c r="C471" s="20"/>
      <c r="D471" s="11"/>
      <c r="E471" s="11"/>
      <c r="F471" s="11"/>
      <c r="G471" s="21"/>
      <c r="H471" s="11"/>
      <c r="I471" s="11"/>
    </row>
    <row r="472" spans="1:9" ht="22.5" customHeight="1">
      <c r="A472" s="18"/>
      <c r="B472" s="19"/>
      <c r="C472" s="20"/>
      <c r="D472" s="11"/>
      <c r="E472" s="11"/>
      <c r="F472" s="11"/>
      <c r="G472" s="21"/>
      <c r="H472" s="11"/>
      <c r="I472" s="11"/>
    </row>
    <row r="473" spans="1:9" ht="22.5" customHeight="1">
      <c r="A473" s="18"/>
      <c r="B473" s="19"/>
      <c r="C473" s="20"/>
      <c r="D473" s="11"/>
      <c r="E473" s="11"/>
      <c r="F473" s="11"/>
      <c r="G473" s="21"/>
      <c r="H473" s="11"/>
      <c r="I473" s="11"/>
    </row>
    <row r="474" spans="1:9" ht="22.5" customHeight="1">
      <c r="A474" s="18"/>
      <c r="B474" s="19"/>
      <c r="C474" s="20"/>
      <c r="D474" s="11"/>
      <c r="E474" s="11"/>
      <c r="F474" s="11"/>
      <c r="G474" s="21"/>
      <c r="H474" s="11"/>
      <c r="I474" s="11"/>
    </row>
    <row r="475" spans="1:9" ht="22.5" customHeight="1">
      <c r="A475" s="18"/>
      <c r="B475" s="19"/>
      <c r="C475" s="20"/>
      <c r="D475" s="11"/>
      <c r="E475" s="11"/>
      <c r="F475" s="11"/>
      <c r="G475" s="21"/>
      <c r="H475" s="11"/>
      <c r="I475" s="11"/>
    </row>
    <row r="476" spans="1:9" ht="22.5" customHeight="1">
      <c r="A476" s="18"/>
      <c r="B476" s="19"/>
      <c r="C476" s="20"/>
      <c r="D476" s="11"/>
      <c r="E476" s="11"/>
      <c r="F476" s="11"/>
      <c r="G476" s="21"/>
      <c r="H476" s="11"/>
      <c r="I476" s="11"/>
    </row>
    <row r="477" spans="1:9" ht="22.5" customHeight="1">
      <c r="A477" s="18"/>
      <c r="B477" s="19"/>
      <c r="C477" s="20"/>
      <c r="D477" s="11"/>
      <c r="E477" s="11"/>
      <c r="F477" s="11"/>
      <c r="G477" s="21"/>
      <c r="H477" s="11"/>
      <c r="I477" s="11"/>
    </row>
    <row r="478" spans="1:9" ht="22.5" customHeight="1">
      <c r="A478" s="18"/>
      <c r="B478" s="19"/>
      <c r="C478" s="20"/>
      <c r="D478" s="11"/>
      <c r="E478" s="11"/>
      <c r="F478" s="11"/>
      <c r="G478" s="21"/>
      <c r="H478" s="11"/>
      <c r="I478" s="11"/>
    </row>
    <row r="479" spans="1:9" ht="22.5" customHeight="1">
      <c r="A479" s="18"/>
      <c r="B479" s="19"/>
      <c r="C479" s="20"/>
      <c r="D479" s="11"/>
      <c r="E479" s="11"/>
      <c r="F479" s="11"/>
      <c r="G479" s="21"/>
      <c r="H479" s="11"/>
      <c r="I479" s="11"/>
    </row>
    <row r="480" spans="1:9" ht="22.5" customHeight="1">
      <c r="A480" s="18"/>
      <c r="B480" s="19"/>
      <c r="C480" s="20"/>
      <c r="D480" s="11"/>
      <c r="E480" s="11"/>
      <c r="F480" s="11"/>
      <c r="G480" s="21"/>
      <c r="H480" s="11"/>
      <c r="I480" s="11"/>
    </row>
    <row r="481" spans="1:9" ht="22.5" customHeight="1">
      <c r="A481" s="18"/>
      <c r="B481" s="19"/>
      <c r="C481" s="20"/>
      <c r="D481" s="11"/>
      <c r="E481" s="11"/>
      <c r="F481" s="11"/>
      <c r="G481" s="21"/>
      <c r="H481" s="11"/>
      <c r="I481" s="11"/>
    </row>
    <row r="482" spans="1:9" ht="22.5" customHeight="1">
      <c r="A482" s="18"/>
      <c r="B482" s="19"/>
      <c r="C482" s="20"/>
      <c r="D482" s="11"/>
      <c r="E482" s="11"/>
      <c r="F482" s="11"/>
      <c r="G482" s="21"/>
      <c r="H482" s="11"/>
      <c r="I482" s="11"/>
    </row>
    <row r="483" spans="1:9" ht="22.5" customHeight="1">
      <c r="A483" s="18"/>
      <c r="B483" s="19"/>
      <c r="C483" s="20"/>
      <c r="D483" s="11"/>
      <c r="E483" s="11"/>
      <c r="F483" s="11"/>
      <c r="G483" s="21"/>
      <c r="H483" s="11"/>
      <c r="I483" s="11"/>
    </row>
    <row r="484" spans="1:9" ht="22.5" customHeight="1">
      <c r="A484" s="18"/>
      <c r="B484" s="19"/>
      <c r="C484" s="20"/>
      <c r="D484" s="11"/>
      <c r="E484" s="11"/>
      <c r="F484" s="11"/>
      <c r="G484" s="21"/>
      <c r="H484" s="11"/>
      <c r="I484" s="11"/>
    </row>
    <row r="485" spans="1:9" ht="22.5" customHeight="1">
      <c r="A485" s="18"/>
      <c r="B485" s="19"/>
      <c r="C485" s="20"/>
      <c r="D485" s="11"/>
      <c r="E485" s="11"/>
      <c r="F485" s="11"/>
      <c r="G485" s="21"/>
      <c r="H485" s="11"/>
      <c r="I485" s="11"/>
    </row>
    <row r="486" spans="1:9" ht="22.5" customHeight="1">
      <c r="A486" s="18"/>
      <c r="B486" s="19"/>
      <c r="C486" s="20"/>
      <c r="D486" s="11"/>
      <c r="E486" s="11"/>
      <c r="F486" s="11"/>
      <c r="G486" s="21"/>
      <c r="H486" s="11"/>
      <c r="I486" s="11"/>
    </row>
    <row r="487" spans="1:9" ht="22.5" customHeight="1">
      <c r="A487" s="18"/>
      <c r="B487" s="19"/>
      <c r="C487" s="20"/>
      <c r="D487" s="11"/>
      <c r="E487" s="11"/>
      <c r="F487" s="11"/>
      <c r="G487" s="21"/>
      <c r="H487" s="11"/>
      <c r="I487" s="11"/>
    </row>
    <row r="488" spans="1:9" ht="22.5" customHeight="1">
      <c r="A488" s="18"/>
      <c r="B488" s="19"/>
      <c r="C488" s="20"/>
      <c r="D488" s="11"/>
      <c r="E488" s="11"/>
      <c r="F488" s="11"/>
      <c r="G488" s="21"/>
      <c r="H488" s="11"/>
      <c r="I488" s="11"/>
    </row>
    <row r="489" spans="1:9" ht="22.5" customHeight="1">
      <c r="A489" s="18"/>
      <c r="B489" s="19"/>
      <c r="C489" s="20"/>
      <c r="D489" s="11"/>
      <c r="E489" s="11"/>
      <c r="F489" s="11"/>
      <c r="G489" s="21"/>
      <c r="H489" s="11"/>
      <c r="I489" s="11"/>
    </row>
    <row r="490" spans="1:9" ht="22.5" customHeight="1">
      <c r="A490" s="18"/>
      <c r="B490" s="19"/>
      <c r="C490" s="20"/>
      <c r="D490" s="11"/>
      <c r="E490" s="11"/>
      <c r="F490" s="11"/>
      <c r="G490" s="21"/>
      <c r="H490" s="11"/>
      <c r="I490" s="11"/>
    </row>
    <row r="491" spans="1:9" ht="22.5" customHeight="1">
      <c r="A491" s="18"/>
      <c r="B491" s="19"/>
      <c r="C491" s="20"/>
      <c r="D491" s="11"/>
      <c r="E491" s="11"/>
      <c r="F491" s="11"/>
      <c r="G491" s="21"/>
      <c r="H491" s="11"/>
      <c r="I491" s="11"/>
    </row>
    <row r="492" spans="1:9" ht="22.5" customHeight="1">
      <c r="A492" s="18"/>
      <c r="B492" s="19"/>
      <c r="C492" s="20"/>
      <c r="D492" s="11"/>
      <c r="E492" s="11"/>
      <c r="F492" s="11"/>
      <c r="G492" s="21"/>
      <c r="H492" s="11"/>
      <c r="I492" s="11"/>
    </row>
    <row r="493" spans="1:9" ht="22.5" customHeight="1">
      <c r="A493" s="18"/>
      <c r="B493" s="19"/>
      <c r="C493" s="20"/>
      <c r="D493" s="11"/>
      <c r="E493" s="11"/>
      <c r="F493" s="11"/>
      <c r="G493" s="21"/>
      <c r="H493" s="11"/>
      <c r="I493" s="11"/>
    </row>
    <row r="494" spans="1:9" ht="22.5" customHeight="1">
      <c r="A494" s="18"/>
      <c r="B494" s="19"/>
      <c r="C494" s="20"/>
      <c r="D494" s="11"/>
      <c r="E494" s="11"/>
      <c r="F494" s="11"/>
      <c r="G494" s="21"/>
      <c r="H494" s="11"/>
      <c r="I494" s="11"/>
    </row>
    <row r="495" spans="1:9" ht="22.5" customHeight="1">
      <c r="A495" s="18"/>
      <c r="B495" s="19"/>
      <c r="C495" s="20"/>
      <c r="D495" s="11"/>
      <c r="E495" s="11"/>
      <c r="F495" s="11"/>
      <c r="G495" s="21"/>
      <c r="H495" s="11"/>
      <c r="I495" s="11"/>
    </row>
    <row r="496" spans="1:9" ht="22.5" customHeight="1">
      <c r="A496" s="18"/>
      <c r="B496" s="19"/>
      <c r="C496" s="20"/>
      <c r="D496" s="11"/>
      <c r="E496" s="11"/>
      <c r="F496" s="11"/>
      <c r="G496" s="21"/>
      <c r="H496" s="11"/>
      <c r="I496" s="11"/>
    </row>
    <row r="497" spans="1:9" ht="22.5" customHeight="1">
      <c r="A497" s="18"/>
      <c r="B497" s="19"/>
      <c r="C497" s="20"/>
      <c r="D497" s="11"/>
      <c r="E497" s="11"/>
      <c r="F497" s="11"/>
      <c r="G497" s="21"/>
      <c r="H497" s="11"/>
      <c r="I497" s="11"/>
    </row>
    <row r="498" spans="1:9" ht="22.5" customHeight="1">
      <c r="A498" s="18"/>
      <c r="B498" s="19"/>
      <c r="C498" s="20"/>
      <c r="D498" s="11"/>
      <c r="E498" s="11"/>
      <c r="F498" s="11"/>
      <c r="G498" s="21"/>
      <c r="H498" s="11"/>
      <c r="I498" s="11"/>
    </row>
    <row r="499" spans="1:9" ht="22.5" customHeight="1">
      <c r="A499" s="18"/>
      <c r="B499" s="19"/>
      <c r="C499" s="20"/>
      <c r="D499" s="11"/>
      <c r="E499" s="11"/>
      <c r="F499" s="11"/>
      <c r="G499" s="21"/>
      <c r="H499" s="11"/>
      <c r="I499" s="11"/>
    </row>
    <row r="500" spans="1:9" ht="22.5" customHeight="1">
      <c r="A500" s="18"/>
      <c r="B500" s="19"/>
      <c r="C500" s="20"/>
      <c r="D500" s="11"/>
      <c r="E500" s="11"/>
      <c r="F500" s="11"/>
      <c r="G500" s="21"/>
      <c r="H500" s="11"/>
      <c r="I500" s="11"/>
    </row>
    <row r="501" spans="1:9" ht="22.5" customHeight="1">
      <c r="A501" s="18"/>
      <c r="B501" s="19"/>
      <c r="C501" s="20"/>
      <c r="D501" s="11"/>
      <c r="E501" s="11"/>
      <c r="F501" s="11"/>
      <c r="G501" s="21"/>
      <c r="H501" s="11"/>
      <c r="I501" s="11"/>
    </row>
    <row r="502" spans="1:9" ht="22.5" customHeight="1">
      <c r="A502" s="18"/>
      <c r="B502" s="19"/>
      <c r="C502" s="20"/>
      <c r="D502" s="11"/>
      <c r="E502" s="11"/>
      <c r="F502" s="11"/>
      <c r="G502" s="21"/>
      <c r="H502" s="11"/>
      <c r="I502" s="11"/>
    </row>
    <row r="503" spans="1:9" ht="22.5" customHeight="1">
      <c r="A503" s="18"/>
      <c r="B503" s="19"/>
      <c r="C503" s="20"/>
      <c r="D503" s="11"/>
      <c r="E503" s="11"/>
      <c r="F503" s="11"/>
      <c r="G503" s="21"/>
      <c r="H503" s="11"/>
      <c r="I503" s="11"/>
    </row>
    <row r="504" spans="1:9" ht="22.5" customHeight="1">
      <c r="A504" s="18"/>
      <c r="B504" s="19"/>
      <c r="C504" s="20"/>
      <c r="D504" s="11"/>
      <c r="E504" s="11"/>
      <c r="F504" s="11"/>
      <c r="G504" s="21"/>
      <c r="H504" s="11"/>
      <c r="I504" s="11"/>
    </row>
    <row r="505" spans="1:9" ht="22.5" customHeight="1">
      <c r="A505" s="18"/>
      <c r="B505" s="19"/>
      <c r="C505" s="20"/>
      <c r="D505" s="11"/>
      <c r="E505" s="11"/>
      <c r="F505" s="11"/>
      <c r="G505" s="21"/>
      <c r="H505" s="11"/>
      <c r="I505" s="11"/>
    </row>
    <row r="506" spans="1:9" ht="22.5" customHeight="1">
      <c r="A506" s="18"/>
      <c r="B506" s="19"/>
      <c r="C506" s="20"/>
      <c r="D506" s="11"/>
      <c r="E506" s="11"/>
      <c r="F506" s="11"/>
      <c r="G506" s="21"/>
      <c r="H506" s="11"/>
      <c r="I506" s="11"/>
    </row>
    <row r="507" spans="1:9" ht="22.5" customHeight="1">
      <c r="A507" s="18"/>
      <c r="B507" s="19"/>
      <c r="C507" s="20"/>
      <c r="D507" s="11"/>
      <c r="E507" s="11"/>
      <c r="F507" s="11"/>
      <c r="G507" s="21"/>
      <c r="H507" s="11"/>
      <c r="I507" s="11"/>
    </row>
    <row r="508" spans="1:9" ht="22.5" customHeight="1">
      <c r="A508" s="18"/>
      <c r="B508" s="19"/>
      <c r="C508" s="20"/>
      <c r="D508" s="11"/>
      <c r="E508" s="11"/>
      <c r="F508" s="11"/>
      <c r="G508" s="21"/>
      <c r="H508" s="11"/>
      <c r="I508" s="11"/>
    </row>
    <row r="509" spans="1:9" ht="22.5" customHeight="1">
      <c r="A509" s="18"/>
      <c r="B509" s="19"/>
      <c r="C509" s="20"/>
      <c r="D509" s="11"/>
      <c r="E509" s="11"/>
      <c r="F509" s="11"/>
      <c r="G509" s="21"/>
      <c r="H509" s="11"/>
      <c r="I509" s="11"/>
    </row>
    <row r="510" spans="1:9" ht="22.5" customHeight="1">
      <c r="A510" s="18"/>
      <c r="B510" s="19"/>
      <c r="C510" s="20"/>
      <c r="D510" s="11"/>
      <c r="E510" s="11"/>
      <c r="F510" s="11"/>
      <c r="G510" s="21"/>
      <c r="H510" s="11"/>
      <c r="I510" s="11"/>
    </row>
    <row r="511" spans="1:9" ht="22.5" customHeight="1">
      <c r="A511" s="18"/>
      <c r="B511" s="19"/>
      <c r="C511" s="20"/>
      <c r="D511" s="11"/>
      <c r="E511" s="11"/>
      <c r="F511" s="11"/>
      <c r="G511" s="21"/>
      <c r="H511" s="11"/>
      <c r="I511" s="11"/>
    </row>
    <row r="512" spans="1:9" ht="22.5" customHeight="1">
      <c r="A512" s="18"/>
      <c r="B512" s="19"/>
      <c r="C512" s="20"/>
      <c r="D512" s="11"/>
      <c r="E512" s="11"/>
      <c r="F512" s="11"/>
      <c r="G512" s="21"/>
      <c r="H512" s="11"/>
      <c r="I512" s="11"/>
    </row>
    <row r="513" spans="1:9" ht="22.5" customHeight="1">
      <c r="A513" s="18"/>
      <c r="B513" s="19"/>
      <c r="C513" s="20"/>
      <c r="D513" s="11"/>
      <c r="E513" s="11"/>
      <c r="F513" s="11"/>
      <c r="G513" s="21"/>
      <c r="H513" s="11"/>
      <c r="I513" s="11"/>
    </row>
    <row r="514" spans="1:9" ht="22.5" customHeight="1">
      <c r="A514" s="18"/>
      <c r="B514" s="19"/>
      <c r="C514" s="20"/>
      <c r="D514" s="11"/>
      <c r="E514" s="11"/>
      <c r="F514" s="11"/>
      <c r="G514" s="21"/>
      <c r="H514" s="11"/>
      <c r="I514" s="11"/>
    </row>
    <row r="515" spans="1:9" ht="22.5" customHeight="1">
      <c r="A515" s="18"/>
      <c r="B515" s="19"/>
      <c r="C515" s="20"/>
      <c r="D515" s="11"/>
      <c r="E515" s="11"/>
      <c r="F515" s="11"/>
      <c r="G515" s="21"/>
      <c r="H515" s="11"/>
      <c r="I515" s="11"/>
    </row>
    <row r="516" spans="1:9" ht="22.5" customHeight="1">
      <c r="A516" s="18"/>
      <c r="B516" s="19"/>
      <c r="C516" s="20"/>
      <c r="D516" s="11"/>
      <c r="E516" s="11"/>
      <c r="F516" s="11"/>
      <c r="G516" s="21"/>
      <c r="H516" s="11"/>
      <c r="I516" s="11"/>
    </row>
    <row r="517" spans="1:9" ht="22.5" customHeight="1">
      <c r="A517" s="18"/>
      <c r="B517" s="19"/>
      <c r="C517" s="20"/>
      <c r="D517" s="11"/>
      <c r="E517" s="11"/>
      <c r="F517" s="11"/>
      <c r="G517" s="21"/>
      <c r="H517" s="11"/>
      <c r="I517" s="11"/>
    </row>
    <row r="518" spans="1:9" ht="22.5" customHeight="1">
      <c r="A518" s="18"/>
      <c r="B518" s="19"/>
      <c r="C518" s="20"/>
      <c r="D518" s="11"/>
      <c r="E518" s="11"/>
      <c r="F518" s="11"/>
      <c r="G518" s="21"/>
      <c r="H518" s="11"/>
      <c r="I518" s="11"/>
    </row>
    <row r="519" spans="1:9" ht="22.5" customHeight="1">
      <c r="A519" s="18"/>
      <c r="B519" s="19"/>
      <c r="C519" s="20"/>
      <c r="D519" s="11"/>
      <c r="E519" s="11"/>
      <c r="F519" s="11"/>
      <c r="G519" s="21"/>
      <c r="H519" s="11"/>
      <c r="I519" s="11"/>
    </row>
    <row r="520" spans="1:9" ht="22.5" customHeight="1">
      <c r="A520" s="18"/>
      <c r="B520" s="19"/>
      <c r="C520" s="20"/>
      <c r="D520" s="11"/>
      <c r="E520" s="11"/>
      <c r="F520" s="11"/>
      <c r="G520" s="21"/>
      <c r="H520" s="11"/>
      <c r="I520" s="11"/>
    </row>
    <row r="521" spans="1:9" ht="22.5" customHeight="1">
      <c r="A521" s="18"/>
      <c r="B521" s="19"/>
      <c r="C521" s="20"/>
      <c r="D521" s="11"/>
      <c r="E521" s="11"/>
      <c r="F521" s="11"/>
      <c r="G521" s="21"/>
      <c r="H521" s="11"/>
      <c r="I521" s="11"/>
    </row>
    <row r="522" spans="1:9" ht="22.5" customHeight="1">
      <c r="A522" s="18"/>
      <c r="B522" s="19"/>
      <c r="C522" s="20"/>
      <c r="D522" s="11"/>
      <c r="E522" s="11"/>
      <c r="F522" s="11"/>
      <c r="G522" s="21"/>
      <c r="H522" s="11"/>
      <c r="I522" s="11"/>
    </row>
    <row r="523" spans="1:9" ht="22.5" customHeight="1">
      <c r="A523" s="18"/>
      <c r="B523" s="19"/>
      <c r="C523" s="20"/>
      <c r="D523" s="11"/>
      <c r="E523" s="11"/>
      <c r="F523" s="11"/>
      <c r="G523" s="21"/>
      <c r="H523" s="11"/>
      <c r="I523" s="11"/>
    </row>
    <row r="524" spans="1:9" ht="22.5" customHeight="1">
      <c r="A524" s="18"/>
      <c r="B524" s="19"/>
      <c r="C524" s="20"/>
      <c r="D524" s="11"/>
      <c r="E524" s="11"/>
      <c r="F524" s="11"/>
      <c r="G524" s="21"/>
      <c r="H524" s="11"/>
      <c r="I524" s="11"/>
    </row>
    <row r="525" spans="1:9" ht="22.5" customHeight="1">
      <c r="A525" s="18"/>
      <c r="B525" s="19"/>
      <c r="C525" s="20"/>
      <c r="D525" s="11"/>
      <c r="E525" s="11"/>
      <c r="F525" s="11"/>
      <c r="G525" s="21"/>
      <c r="H525" s="11"/>
      <c r="I525" s="11"/>
    </row>
    <row r="526" spans="1:9" ht="22.5" customHeight="1">
      <c r="A526" s="18"/>
      <c r="B526" s="19"/>
      <c r="C526" s="20"/>
      <c r="D526" s="11"/>
      <c r="E526" s="11"/>
      <c r="F526" s="11"/>
      <c r="G526" s="21"/>
      <c r="H526" s="11"/>
      <c r="I526" s="11"/>
    </row>
    <row r="527" spans="1:9" ht="22.5" customHeight="1">
      <c r="A527" s="18"/>
      <c r="B527" s="19"/>
      <c r="C527" s="20"/>
      <c r="D527" s="11"/>
      <c r="E527" s="11"/>
      <c r="F527" s="11"/>
      <c r="G527" s="21"/>
      <c r="H527" s="11"/>
      <c r="I527" s="11"/>
    </row>
    <row r="528" spans="1:9" ht="22.5" customHeight="1">
      <c r="A528" s="18"/>
      <c r="B528" s="19"/>
      <c r="C528" s="20"/>
      <c r="D528" s="11"/>
      <c r="E528" s="11"/>
      <c r="F528" s="11"/>
      <c r="G528" s="21"/>
      <c r="H528" s="11"/>
      <c r="I528" s="11"/>
    </row>
    <row r="529" spans="1:9" ht="22.5" customHeight="1">
      <c r="A529" s="18"/>
      <c r="B529" s="19"/>
      <c r="C529" s="20"/>
      <c r="D529" s="11"/>
      <c r="E529" s="11"/>
      <c r="F529" s="11"/>
      <c r="G529" s="21"/>
      <c r="H529" s="11"/>
      <c r="I529" s="11"/>
    </row>
    <row r="530" spans="1:9" ht="22.5" customHeight="1">
      <c r="A530" s="18"/>
      <c r="B530" s="19"/>
      <c r="C530" s="20"/>
      <c r="D530" s="11"/>
      <c r="E530" s="11"/>
      <c r="F530" s="11"/>
      <c r="G530" s="21"/>
      <c r="H530" s="11"/>
      <c r="I530" s="11"/>
    </row>
    <row r="531" spans="1:9" ht="22.5" customHeight="1">
      <c r="A531" s="18"/>
      <c r="B531" s="19"/>
      <c r="C531" s="20"/>
      <c r="D531" s="11"/>
      <c r="E531" s="11"/>
      <c r="F531" s="11"/>
      <c r="G531" s="21"/>
      <c r="H531" s="11"/>
      <c r="I531" s="11"/>
    </row>
    <row r="532" spans="1:9" ht="22.5" customHeight="1">
      <c r="A532" s="18"/>
      <c r="B532" s="19"/>
      <c r="C532" s="20"/>
      <c r="D532" s="11"/>
      <c r="E532" s="11"/>
      <c r="F532" s="11"/>
      <c r="G532" s="21"/>
      <c r="H532" s="11"/>
      <c r="I532" s="11"/>
    </row>
    <row r="533" spans="1:9" ht="22.5" customHeight="1">
      <c r="A533" s="18"/>
      <c r="B533" s="19"/>
      <c r="C533" s="20"/>
      <c r="D533" s="11"/>
      <c r="E533" s="11"/>
      <c r="F533" s="11"/>
      <c r="G533" s="21"/>
      <c r="H533" s="11"/>
      <c r="I533" s="11"/>
    </row>
    <row r="534" spans="1:9" ht="22.5" customHeight="1">
      <c r="A534" s="18"/>
      <c r="B534" s="19"/>
      <c r="C534" s="20"/>
      <c r="D534" s="11"/>
      <c r="E534" s="11"/>
      <c r="F534" s="11"/>
      <c r="G534" s="21"/>
      <c r="H534" s="11"/>
      <c r="I534" s="11"/>
    </row>
    <row r="535" spans="1:9" ht="22.5" customHeight="1">
      <c r="A535" s="18"/>
      <c r="B535" s="19"/>
      <c r="C535" s="20"/>
      <c r="D535" s="11"/>
      <c r="E535" s="11"/>
      <c r="F535" s="11"/>
      <c r="G535" s="21"/>
      <c r="H535" s="11"/>
      <c r="I535" s="11"/>
    </row>
    <row r="536" spans="1:9" ht="22.5" customHeight="1">
      <c r="A536" s="18"/>
      <c r="B536" s="19"/>
      <c r="C536" s="20"/>
      <c r="D536" s="11"/>
      <c r="E536" s="11"/>
      <c r="F536" s="11"/>
      <c r="G536" s="21"/>
      <c r="H536" s="11"/>
      <c r="I536" s="11"/>
    </row>
    <row r="537" spans="1:9" ht="22.5" customHeight="1">
      <c r="A537" s="18"/>
      <c r="B537" s="19"/>
      <c r="C537" s="20"/>
      <c r="D537" s="11"/>
      <c r="E537" s="11"/>
      <c r="F537" s="11"/>
      <c r="G537" s="21"/>
      <c r="H537" s="11"/>
      <c r="I537" s="11"/>
    </row>
    <row r="538" spans="1:9" ht="22.5" customHeight="1">
      <c r="A538" s="18"/>
      <c r="B538" s="19"/>
      <c r="C538" s="20"/>
      <c r="D538" s="11"/>
      <c r="E538" s="11"/>
      <c r="F538" s="11"/>
      <c r="G538" s="21"/>
      <c r="H538" s="11"/>
      <c r="I538" s="11"/>
    </row>
    <row r="539" spans="1:9" ht="22.5" customHeight="1">
      <c r="A539" s="18"/>
      <c r="B539" s="19"/>
      <c r="C539" s="20"/>
      <c r="D539" s="11"/>
      <c r="E539" s="11"/>
      <c r="F539" s="11"/>
      <c r="G539" s="21"/>
      <c r="H539" s="11"/>
      <c r="I539" s="11"/>
    </row>
    <row r="540" spans="1:9" ht="22.5" customHeight="1">
      <c r="A540" s="18"/>
      <c r="B540" s="19"/>
      <c r="C540" s="20"/>
      <c r="D540" s="11"/>
      <c r="E540" s="11"/>
      <c r="F540" s="11"/>
      <c r="G540" s="21"/>
      <c r="H540" s="11"/>
      <c r="I540" s="11"/>
    </row>
    <row r="541" spans="1:9" ht="22.5" customHeight="1">
      <c r="A541" s="18"/>
      <c r="B541" s="19"/>
      <c r="C541" s="20"/>
      <c r="D541" s="11"/>
      <c r="E541" s="11"/>
      <c r="F541" s="11"/>
      <c r="G541" s="21"/>
      <c r="H541" s="11"/>
      <c r="I541" s="11"/>
    </row>
    <row r="542" spans="1:9" ht="22.5" customHeight="1">
      <c r="A542" s="18"/>
      <c r="B542" s="19"/>
      <c r="C542" s="20"/>
      <c r="D542" s="11"/>
      <c r="E542" s="11"/>
      <c r="F542" s="11"/>
      <c r="G542" s="21"/>
      <c r="H542" s="11"/>
      <c r="I542" s="11"/>
    </row>
    <row r="543" spans="1:9" ht="22.5" customHeight="1">
      <c r="A543" s="18"/>
      <c r="B543" s="19"/>
      <c r="C543" s="20"/>
      <c r="D543" s="11"/>
      <c r="E543" s="11"/>
      <c r="F543" s="11"/>
      <c r="G543" s="21"/>
      <c r="H543" s="11"/>
      <c r="I543" s="11"/>
    </row>
    <row r="544" spans="1:9" ht="22.5" customHeight="1">
      <c r="A544" s="18"/>
      <c r="B544" s="19"/>
      <c r="C544" s="20"/>
      <c r="D544" s="11"/>
      <c r="E544" s="11"/>
      <c r="F544" s="11"/>
      <c r="G544" s="21"/>
      <c r="H544" s="11"/>
      <c r="I544" s="11"/>
    </row>
    <row r="545" spans="1:9" ht="22.5" customHeight="1">
      <c r="A545" s="18"/>
      <c r="B545" s="19"/>
      <c r="C545" s="20"/>
      <c r="D545" s="11"/>
      <c r="E545" s="11"/>
      <c r="F545" s="11"/>
      <c r="G545" s="21"/>
      <c r="H545" s="11"/>
      <c r="I545" s="11"/>
    </row>
    <row r="546" spans="1:9" ht="22.5" customHeight="1">
      <c r="A546" s="18"/>
      <c r="B546" s="19"/>
      <c r="C546" s="20"/>
      <c r="D546" s="11"/>
      <c r="E546" s="11"/>
      <c r="F546" s="11"/>
      <c r="G546" s="21"/>
      <c r="H546" s="11"/>
      <c r="I546" s="11"/>
    </row>
    <row r="547" spans="1:9" ht="22.5" customHeight="1">
      <c r="A547" s="18"/>
      <c r="B547" s="19"/>
      <c r="C547" s="20"/>
      <c r="D547" s="11"/>
      <c r="E547" s="11"/>
      <c r="F547" s="11"/>
      <c r="G547" s="21"/>
      <c r="H547" s="11"/>
      <c r="I547" s="11"/>
    </row>
    <row r="548" spans="1:9" ht="22.5" customHeight="1">
      <c r="A548" s="18"/>
      <c r="B548" s="19"/>
      <c r="C548" s="20"/>
      <c r="D548" s="11"/>
      <c r="E548" s="11"/>
      <c r="F548" s="11"/>
      <c r="G548" s="21"/>
      <c r="H548" s="11"/>
      <c r="I548" s="11"/>
    </row>
    <row r="549" spans="1:9" ht="22.5" customHeight="1">
      <c r="A549" s="18"/>
      <c r="B549" s="19"/>
      <c r="C549" s="20"/>
      <c r="D549" s="11"/>
      <c r="E549" s="11"/>
      <c r="F549" s="11"/>
      <c r="G549" s="21"/>
      <c r="H549" s="11"/>
      <c r="I549" s="11"/>
    </row>
    <row r="550" spans="1:9" ht="22.5" customHeight="1">
      <c r="A550" s="18"/>
      <c r="B550" s="19"/>
      <c r="C550" s="20"/>
      <c r="D550" s="11"/>
      <c r="E550" s="11"/>
      <c r="F550" s="11"/>
      <c r="G550" s="21"/>
      <c r="H550" s="11"/>
      <c r="I550" s="11"/>
    </row>
    <row r="551" spans="1:9" ht="22.5" customHeight="1">
      <c r="A551" s="18"/>
      <c r="B551" s="19"/>
      <c r="C551" s="20"/>
      <c r="D551" s="11"/>
      <c r="E551" s="11"/>
      <c r="F551" s="11"/>
      <c r="G551" s="21"/>
      <c r="H551" s="11"/>
      <c r="I551" s="11"/>
    </row>
    <row r="552" spans="1:9" ht="22.5" customHeight="1">
      <c r="A552" s="18"/>
      <c r="B552" s="19"/>
      <c r="C552" s="20"/>
      <c r="D552" s="11"/>
      <c r="E552" s="11"/>
      <c r="F552" s="11"/>
      <c r="G552" s="21"/>
      <c r="H552" s="11"/>
      <c r="I552" s="11"/>
    </row>
    <row r="553" spans="1:9" ht="22.5" customHeight="1">
      <c r="A553" s="18"/>
      <c r="B553" s="19"/>
      <c r="C553" s="20"/>
      <c r="D553" s="11"/>
      <c r="E553" s="11"/>
      <c r="F553" s="11"/>
      <c r="G553" s="21"/>
      <c r="H553" s="11"/>
      <c r="I553" s="11"/>
    </row>
    <row r="554" spans="1:9" ht="22.5" customHeight="1">
      <c r="A554" s="18"/>
      <c r="B554" s="19"/>
      <c r="C554" s="20"/>
      <c r="D554" s="11"/>
      <c r="E554" s="11"/>
      <c r="F554" s="11"/>
      <c r="G554" s="21"/>
      <c r="H554" s="11"/>
      <c r="I554" s="11"/>
    </row>
    <row r="555" spans="1:9" ht="22.5" customHeight="1">
      <c r="A555" s="18"/>
      <c r="B555" s="19"/>
      <c r="C555" s="20"/>
      <c r="D555" s="11"/>
      <c r="E555" s="11"/>
      <c r="F555" s="11"/>
      <c r="G555" s="21"/>
      <c r="H555" s="11"/>
      <c r="I555" s="11"/>
    </row>
    <row r="556" spans="1:9" ht="22.5" customHeight="1">
      <c r="A556" s="18"/>
      <c r="B556" s="19"/>
      <c r="C556" s="20"/>
      <c r="D556" s="11"/>
      <c r="E556" s="11"/>
      <c r="F556" s="11"/>
      <c r="G556" s="21"/>
      <c r="H556" s="11"/>
      <c r="I556" s="11"/>
    </row>
    <row r="557" spans="1:9" ht="22.5" customHeight="1">
      <c r="A557" s="18"/>
      <c r="B557" s="19"/>
      <c r="C557" s="20"/>
      <c r="D557" s="11"/>
      <c r="E557" s="11"/>
      <c r="F557" s="11"/>
      <c r="G557" s="21"/>
      <c r="H557" s="11"/>
      <c r="I557" s="11"/>
    </row>
    <row r="558" spans="1:9" ht="22.5" customHeight="1">
      <c r="A558" s="18"/>
      <c r="B558" s="19"/>
      <c r="C558" s="20"/>
      <c r="D558" s="11"/>
      <c r="E558" s="11"/>
      <c r="F558" s="11"/>
      <c r="G558" s="21"/>
      <c r="H558" s="11"/>
      <c r="I558" s="11"/>
    </row>
    <row r="559" spans="1:9" ht="22.5" customHeight="1">
      <c r="A559" s="18"/>
      <c r="B559" s="19"/>
      <c r="C559" s="20"/>
      <c r="D559" s="11"/>
      <c r="E559" s="11"/>
      <c r="F559" s="11"/>
      <c r="G559" s="21"/>
      <c r="H559" s="11"/>
      <c r="I559" s="11"/>
    </row>
    <row r="560" spans="1:9" ht="22.5" customHeight="1">
      <c r="A560" s="18"/>
      <c r="B560" s="19"/>
      <c r="C560" s="20"/>
      <c r="D560" s="11"/>
      <c r="E560" s="11"/>
      <c r="F560" s="11"/>
      <c r="G560" s="21"/>
      <c r="H560" s="11"/>
      <c r="I560" s="11"/>
    </row>
    <row r="561" spans="1:9" ht="22.5" customHeight="1">
      <c r="A561" s="18"/>
      <c r="B561" s="19"/>
      <c r="C561" s="20"/>
      <c r="D561" s="11"/>
      <c r="E561" s="11"/>
      <c r="F561" s="11"/>
      <c r="G561" s="21"/>
      <c r="H561" s="11"/>
      <c r="I561" s="11"/>
    </row>
    <row r="562" spans="1:9" ht="22.5" customHeight="1">
      <c r="A562" s="18"/>
      <c r="B562" s="19"/>
      <c r="C562" s="20"/>
      <c r="D562" s="11"/>
      <c r="E562" s="11"/>
      <c r="F562" s="11"/>
      <c r="G562" s="21"/>
      <c r="H562" s="11"/>
      <c r="I562" s="11"/>
    </row>
    <row r="563" spans="1:9" ht="22.5" customHeight="1">
      <c r="A563" s="18"/>
      <c r="B563" s="19"/>
      <c r="C563" s="20"/>
      <c r="D563" s="11"/>
      <c r="E563" s="11"/>
      <c r="F563" s="11"/>
      <c r="G563" s="21"/>
      <c r="H563" s="11"/>
      <c r="I563" s="11"/>
    </row>
    <row r="564" spans="1:9" ht="22.5" customHeight="1">
      <c r="A564" s="18"/>
      <c r="B564" s="19"/>
      <c r="C564" s="20"/>
      <c r="D564" s="11"/>
      <c r="E564" s="11"/>
      <c r="F564" s="11"/>
      <c r="G564" s="21"/>
      <c r="H564" s="11"/>
      <c r="I564" s="11"/>
    </row>
    <row r="565" spans="1:9" ht="22.5" customHeight="1">
      <c r="A565" s="18"/>
      <c r="B565" s="19"/>
      <c r="C565" s="20"/>
      <c r="D565" s="11"/>
      <c r="E565" s="11"/>
      <c r="F565" s="11"/>
      <c r="G565" s="21"/>
      <c r="H565" s="11"/>
      <c r="I565" s="11"/>
    </row>
    <row r="566" spans="1:9" ht="22.5" customHeight="1">
      <c r="A566" s="18"/>
      <c r="B566" s="19"/>
      <c r="C566" s="20"/>
      <c r="D566" s="11"/>
      <c r="E566" s="11"/>
      <c r="F566" s="11"/>
      <c r="G566" s="21"/>
      <c r="H566" s="11"/>
      <c r="I566" s="11"/>
    </row>
    <row r="567" spans="1:9" ht="22.5" customHeight="1">
      <c r="A567" s="18"/>
      <c r="B567" s="19"/>
      <c r="C567" s="20"/>
      <c r="D567" s="11"/>
      <c r="E567" s="11"/>
      <c r="F567" s="11"/>
      <c r="G567" s="21"/>
      <c r="H567" s="11"/>
      <c r="I567" s="11"/>
    </row>
    <row r="568" spans="1:9" ht="22.5" customHeight="1">
      <c r="A568" s="18"/>
      <c r="B568" s="19"/>
      <c r="C568" s="20"/>
      <c r="D568" s="11"/>
      <c r="E568" s="11"/>
      <c r="F568" s="11"/>
      <c r="G568" s="21"/>
      <c r="H568" s="11"/>
      <c r="I568" s="11"/>
    </row>
    <row r="569" spans="1:9" ht="22.5" customHeight="1">
      <c r="A569" s="18"/>
      <c r="B569" s="19"/>
      <c r="C569" s="20"/>
      <c r="D569" s="11"/>
      <c r="E569" s="11"/>
      <c r="F569" s="11"/>
      <c r="G569" s="21"/>
      <c r="H569" s="11"/>
      <c r="I569" s="11"/>
    </row>
    <row r="570" spans="1:9" ht="22.5" customHeight="1">
      <c r="A570" s="18"/>
      <c r="B570" s="19"/>
      <c r="C570" s="20"/>
      <c r="D570" s="11"/>
      <c r="E570" s="11"/>
      <c r="F570" s="11"/>
      <c r="G570" s="21"/>
      <c r="H570" s="11"/>
      <c r="I570" s="11"/>
    </row>
    <row r="571" spans="1:9" ht="22.5" customHeight="1">
      <c r="A571" s="18"/>
      <c r="B571" s="19"/>
      <c r="C571" s="20"/>
      <c r="D571" s="11"/>
      <c r="E571" s="11"/>
      <c r="F571" s="11"/>
      <c r="G571" s="21"/>
      <c r="H571" s="11"/>
      <c r="I571" s="11"/>
    </row>
    <row r="572" spans="1:9" ht="22.5" customHeight="1">
      <c r="A572" s="18"/>
      <c r="B572" s="19"/>
      <c r="C572" s="20"/>
      <c r="D572" s="11"/>
      <c r="E572" s="11"/>
      <c r="F572" s="11"/>
      <c r="G572" s="21"/>
      <c r="H572" s="11"/>
      <c r="I572" s="11"/>
    </row>
    <row r="573" spans="1:9" ht="22.5" customHeight="1">
      <c r="A573" s="18"/>
      <c r="B573" s="19"/>
      <c r="C573" s="20"/>
      <c r="D573" s="11"/>
      <c r="E573" s="11"/>
      <c r="F573" s="11"/>
      <c r="G573" s="21"/>
      <c r="H573" s="11"/>
      <c r="I573" s="11"/>
    </row>
    <row r="574" spans="1:9" ht="22.5" customHeight="1">
      <c r="A574" s="18"/>
      <c r="B574" s="19"/>
      <c r="C574" s="20"/>
      <c r="D574" s="11"/>
      <c r="E574" s="11"/>
      <c r="F574" s="11"/>
      <c r="G574" s="21"/>
      <c r="H574" s="11"/>
      <c r="I574" s="11"/>
    </row>
    <row r="575" spans="1:9" ht="22.5" customHeight="1">
      <c r="A575" s="18"/>
      <c r="B575" s="19"/>
      <c r="C575" s="20"/>
      <c r="D575" s="11"/>
      <c r="E575" s="11"/>
      <c r="F575" s="11"/>
      <c r="G575" s="21"/>
      <c r="H575" s="11"/>
      <c r="I575" s="11"/>
    </row>
    <row r="576" spans="1:9" ht="22.5" customHeight="1">
      <c r="A576" s="18"/>
      <c r="B576" s="19"/>
      <c r="C576" s="20"/>
      <c r="D576" s="11"/>
      <c r="E576" s="11"/>
      <c r="F576" s="11"/>
      <c r="G576" s="21"/>
      <c r="H576" s="11"/>
      <c r="I576" s="11"/>
    </row>
    <row r="577" spans="1:9" ht="22.5" customHeight="1">
      <c r="A577" s="18"/>
      <c r="B577" s="19"/>
      <c r="C577" s="20"/>
      <c r="D577" s="11"/>
      <c r="E577" s="11"/>
      <c r="F577" s="11"/>
      <c r="G577" s="21"/>
      <c r="H577" s="11"/>
      <c r="I577" s="11"/>
    </row>
    <row r="578" spans="1:9" ht="22.5" customHeight="1">
      <c r="A578" s="18"/>
      <c r="B578" s="19"/>
      <c r="C578" s="20"/>
      <c r="D578" s="11"/>
      <c r="E578" s="11"/>
      <c r="F578" s="11"/>
      <c r="G578" s="21"/>
      <c r="H578" s="11"/>
      <c r="I578" s="11"/>
    </row>
    <row r="579" spans="1:9" ht="22.5" customHeight="1">
      <c r="A579" s="18"/>
      <c r="B579" s="19"/>
      <c r="C579" s="20"/>
      <c r="D579" s="11"/>
      <c r="E579" s="11"/>
      <c r="F579" s="11"/>
      <c r="G579" s="21"/>
      <c r="H579" s="11"/>
      <c r="I579" s="11"/>
    </row>
    <row r="580" spans="1:9" ht="22.5" customHeight="1">
      <c r="A580" s="18"/>
      <c r="B580" s="19"/>
      <c r="C580" s="20"/>
      <c r="D580" s="11"/>
      <c r="E580" s="11"/>
      <c r="F580" s="11"/>
      <c r="G580" s="21"/>
      <c r="H580" s="11"/>
      <c r="I580" s="11"/>
    </row>
    <row r="581" spans="1:9" ht="22.5" customHeight="1">
      <c r="A581" s="18"/>
      <c r="B581" s="19"/>
      <c r="C581" s="20"/>
      <c r="D581" s="11"/>
      <c r="E581" s="11"/>
      <c r="F581" s="11"/>
      <c r="G581" s="21"/>
      <c r="H581" s="11"/>
      <c r="I581" s="11"/>
    </row>
    <row r="582" spans="1:9" ht="22.5" customHeight="1">
      <c r="A582" s="18"/>
      <c r="B582" s="19"/>
      <c r="C582" s="20"/>
      <c r="D582" s="11"/>
      <c r="E582" s="11"/>
      <c r="F582" s="11"/>
      <c r="G582" s="21"/>
      <c r="H582" s="11"/>
      <c r="I582" s="11"/>
    </row>
    <row r="583" spans="1:9" ht="22.5" customHeight="1">
      <c r="A583" s="18"/>
      <c r="B583" s="19"/>
      <c r="C583" s="20"/>
      <c r="D583" s="11"/>
      <c r="E583" s="11"/>
      <c r="F583" s="11"/>
      <c r="G583" s="21"/>
      <c r="H583" s="11"/>
      <c r="I583" s="11"/>
    </row>
    <row r="584" spans="1:9" ht="22.5" customHeight="1">
      <c r="A584" s="18"/>
      <c r="B584" s="19"/>
      <c r="C584" s="20"/>
      <c r="D584" s="11"/>
      <c r="E584" s="11"/>
      <c r="F584" s="11"/>
      <c r="G584" s="21"/>
      <c r="H584" s="11"/>
      <c r="I584" s="11"/>
    </row>
    <row r="585" spans="1:9" ht="22.5" customHeight="1">
      <c r="A585" s="18"/>
      <c r="B585" s="19"/>
      <c r="C585" s="20"/>
      <c r="D585" s="11"/>
      <c r="E585" s="11"/>
      <c r="F585" s="11"/>
      <c r="G585" s="21"/>
      <c r="H585" s="11"/>
      <c r="I585" s="11"/>
    </row>
    <row r="586" spans="1:9" ht="22.5" customHeight="1">
      <c r="A586" s="18"/>
      <c r="B586" s="19"/>
      <c r="C586" s="20"/>
      <c r="D586" s="11"/>
      <c r="E586" s="11"/>
      <c r="F586" s="11"/>
      <c r="G586" s="21"/>
      <c r="H586" s="11"/>
      <c r="I586" s="11"/>
    </row>
    <row r="587" spans="1:9" ht="22.5" customHeight="1">
      <c r="A587" s="18"/>
      <c r="B587" s="19"/>
      <c r="C587" s="20"/>
      <c r="D587" s="11"/>
      <c r="E587" s="11"/>
      <c r="F587" s="11"/>
      <c r="G587" s="21"/>
      <c r="H587" s="11"/>
      <c r="I587" s="11"/>
    </row>
    <row r="588" spans="1:9" ht="22.5" customHeight="1">
      <c r="A588" s="18"/>
      <c r="B588" s="19"/>
      <c r="C588" s="20"/>
      <c r="D588" s="11"/>
      <c r="E588" s="11"/>
      <c r="F588" s="11"/>
      <c r="G588" s="21"/>
      <c r="H588" s="11"/>
      <c r="I588" s="11"/>
    </row>
    <row r="589" spans="1:9" ht="22.5" customHeight="1">
      <c r="A589" s="18"/>
      <c r="B589" s="19"/>
      <c r="C589" s="20"/>
      <c r="D589" s="11"/>
      <c r="E589" s="11"/>
      <c r="F589" s="11"/>
      <c r="G589" s="21"/>
      <c r="H589" s="11"/>
      <c r="I589" s="11"/>
    </row>
    <row r="590" spans="1:9" ht="22.5" customHeight="1">
      <c r="A590" s="18"/>
      <c r="B590" s="19"/>
      <c r="C590" s="20"/>
      <c r="D590" s="11"/>
      <c r="E590" s="11"/>
      <c r="F590" s="11"/>
      <c r="G590" s="21"/>
      <c r="H590" s="11"/>
      <c r="I590" s="11"/>
    </row>
    <row r="591" spans="1:9" ht="22.5" customHeight="1">
      <c r="A591" s="18"/>
      <c r="B591" s="19"/>
      <c r="C591" s="20"/>
      <c r="D591" s="11"/>
      <c r="E591" s="11"/>
      <c r="F591" s="11"/>
      <c r="G591" s="21"/>
      <c r="H591" s="11"/>
      <c r="I591" s="11"/>
    </row>
    <row r="592" spans="1:9" ht="22.5" customHeight="1">
      <c r="A592" s="18"/>
      <c r="B592" s="19"/>
      <c r="C592" s="20"/>
      <c r="D592" s="11"/>
      <c r="E592" s="11"/>
      <c r="F592" s="11"/>
      <c r="G592" s="21"/>
      <c r="H592" s="11"/>
      <c r="I592" s="11"/>
    </row>
    <row r="593" spans="1:9" ht="22.5" customHeight="1">
      <c r="A593" s="18"/>
      <c r="B593" s="19"/>
      <c r="C593" s="20"/>
      <c r="D593" s="11"/>
      <c r="E593" s="11"/>
      <c r="F593" s="11"/>
      <c r="G593" s="21"/>
      <c r="H593" s="11"/>
      <c r="I593" s="11"/>
    </row>
    <row r="594" spans="1:9" ht="22.5" customHeight="1">
      <c r="A594" s="18"/>
      <c r="B594" s="19"/>
      <c r="C594" s="20"/>
      <c r="D594" s="11"/>
      <c r="E594" s="11"/>
      <c r="F594" s="11"/>
      <c r="G594" s="21"/>
      <c r="H594" s="11"/>
      <c r="I594" s="11"/>
    </row>
    <row r="595" spans="1:9" ht="22.5" customHeight="1">
      <c r="A595" s="18"/>
      <c r="B595" s="19"/>
      <c r="C595" s="20"/>
      <c r="D595" s="11"/>
      <c r="E595" s="11"/>
      <c r="F595" s="11"/>
      <c r="G595" s="21"/>
      <c r="H595" s="11"/>
      <c r="I595" s="11"/>
    </row>
    <row r="596" spans="1:9" ht="22.5" customHeight="1">
      <c r="A596" s="18"/>
      <c r="B596" s="19"/>
      <c r="C596" s="20"/>
      <c r="D596" s="11"/>
      <c r="E596" s="11"/>
      <c r="F596" s="11"/>
      <c r="G596" s="21"/>
      <c r="H596" s="11"/>
      <c r="I596" s="11"/>
    </row>
    <row r="597" spans="1:9" ht="22.5" customHeight="1">
      <c r="A597" s="18"/>
      <c r="B597" s="19"/>
      <c r="C597" s="20"/>
      <c r="D597" s="11"/>
      <c r="E597" s="11"/>
      <c r="F597" s="11"/>
      <c r="G597" s="21"/>
      <c r="H597" s="11"/>
      <c r="I597" s="11"/>
    </row>
    <row r="598" spans="1:9" ht="22.5" customHeight="1">
      <c r="A598" s="18"/>
      <c r="B598" s="19"/>
      <c r="C598" s="20"/>
      <c r="D598" s="11"/>
      <c r="E598" s="11"/>
      <c r="F598" s="11"/>
      <c r="G598" s="21"/>
      <c r="H598" s="11"/>
      <c r="I598" s="11"/>
    </row>
    <row r="599" spans="1:9" ht="22.5" customHeight="1">
      <c r="A599" s="18"/>
      <c r="B599" s="19"/>
      <c r="C599" s="20"/>
      <c r="D599" s="11"/>
      <c r="E599" s="11"/>
      <c r="F599" s="11"/>
      <c r="G599" s="21"/>
      <c r="H599" s="11"/>
      <c r="I599" s="11"/>
    </row>
    <row r="600" spans="1:9" ht="22.5" customHeight="1">
      <c r="A600" s="18"/>
      <c r="B600" s="19"/>
      <c r="C600" s="20"/>
      <c r="D600" s="11"/>
      <c r="E600" s="11"/>
      <c r="F600" s="11"/>
      <c r="G600" s="21"/>
      <c r="H600" s="11"/>
      <c r="I600" s="11"/>
    </row>
    <row r="601" spans="1:9" ht="22.5" customHeight="1">
      <c r="A601" s="18"/>
      <c r="B601" s="19"/>
      <c r="C601" s="20"/>
      <c r="D601" s="11"/>
      <c r="E601" s="11"/>
      <c r="F601" s="11"/>
      <c r="G601" s="21"/>
      <c r="H601" s="11"/>
      <c r="I601" s="11"/>
    </row>
    <row r="602" spans="1:9" ht="22.5" customHeight="1">
      <c r="A602" s="18"/>
      <c r="B602" s="19"/>
      <c r="C602" s="20"/>
      <c r="D602" s="11"/>
      <c r="E602" s="11"/>
      <c r="F602" s="11"/>
      <c r="G602" s="21"/>
      <c r="H602" s="11"/>
      <c r="I602" s="11"/>
    </row>
    <row r="603" spans="1:9" ht="22.5" customHeight="1">
      <c r="A603" s="18"/>
      <c r="B603" s="19"/>
      <c r="C603" s="20"/>
      <c r="D603" s="11"/>
      <c r="E603" s="11"/>
      <c r="F603" s="11"/>
      <c r="G603" s="21"/>
      <c r="H603" s="11"/>
      <c r="I603" s="11"/>
    </row>
    <row r="604" spans="1:9" ht="22.5" customHeight="1">
      <c r="A604" s="18"/>
      <c r="B604" s="19"/>
      <c r="C604" s="20"/>
      <c r="D604" s="11"/>
      <c r="E604" s="11"/>
      <c r="F604" s="11"/>
      <c r="G604" s="21"/>
      <c r="H604" s="11"/>
      <c r="I604" s="11"/>
    </row>
    <row r="605" spans="1:9" ht="22.5" customHeight="1">
      <c r="A605" s="18"/>
      <c r="B605" s="19"/>
      <c r="C605" s="20"/>
      <c r="D605" s="11"/>
      <c r="E605" s="11"/>
      <c r="F605" s="11"/>
      <c r="G605" s="21"/>
      <c r="H605" s="11"/>
      <c r="I605" s="11"/>
    </row>
    <row r="606" spans="1:9" ht="22.5" customHeight="1">
      <c r="A606" s="18"/>
      <c r="B606" s="19"/>
      <c r="C606" s="20"/>
      <c r="D606" s="11"/>
      <c r="E606" s="11"/>
      <c r="F606" s="11"/>
      <c r="G606" s="21"/>
      <c r="H606" s="11"/>
      <c r="I606" s="11"/>
    </row>
    <row r="607" spans="1:9" ht="22.5" customHeight="1">
      <c r="A607" s="18"/>
      <c r="B607" s="19"/>
      <c r="C607" s="20"/>
      <c r="D607" s="11"/>
      <c r="E607" s="11"/>
      <c r="F607" s="11"/>
      <c r="G607" s="21"/>
      <c r="H607" s="11"/>
      <c r="I607" s="11"/>
    </row>
    <row r="608" spans="1:9" ht="22.5" customHeight="1">
      <c r="A608" s="18"/>
      <c r="B608" s="19"/>
      <c r="C608" s="20"/>
      <c r="D608" s="11"/>
      <c r="E608" s="11"/>
      <c r="F608" s="11"/>
      <c r="G608" s="21"/>
      <c r="H608" s="11"/>
      <c r="I608" s="11"/>
    </row>
    <row r="609" spans="1:9" ht="22.5" customHeight="1">
      <c r="A609" s="18"/>
      <c r="B609" s="19"/>
      <c r="C609" s="20"/>
      <c r="D609" s="11"/>
      <c r="E609" s="11"/>
      <c r="F609" s="11"/>
      <c r="G609" s="21"/>
      <c r="H609" s="11"/>
      <c r="I609" s="11"/>
    </row>
    <row r="610" spans="1:9" ht="22.5" customHeight="1">
      <c r="A610" s="18"/>
      <c r="B610" s="19"/>
      <c r="C610" s="20"/>
      <c r="D610" s="11"/>
      <c r="E610" s="11"/>
      <c r="F610" s="11"/>
      <c r="G610" s="21"/>
      <c r="H610" s="11"/>
      <c r="I610" s="11"/>
    </row>
    <row r="611" spans="1:9" ht="22.5" customHeight="1">
      <c r="A611" s="18"/>
      <c r="B611" s="19"/>
      <c r="C611" s="20"/>
      <c r="D611" s="11"/>
      <c r="E611" s="11"/>
      <c r="F611" s="11"/>
      <c r="G611" s="21"/>
      <c r="H611" s="11"/>
      <c r="I611" s="11"/>
    </row>
    <row r="612" spans="1:9" ht="22.5" customHeight="1">
      <c r="A612" s="18"/>
      <c r="B612" s="19"/>
      <c r="C612" s="20"/>
      <c r="D612" s="11"/>
      <c r="E612" s="11"/>
      <c r="F612" s="11"/>
      <c r="G612" s="21"/>
      <c r="H612" s="11"/>
      <c r="I612" s="11"/>
    </row>
    <row r="613" spans="1:9" ht="22.5" customHeight="1">
      <c r="A613" s="18"/>
      <c r="B613" s="19"/>
      <c r="C613" s="20"/>
      <c r="D613" s="11"/>
      <c r="E613" s="11"/>
      <c r="F613" s="11"/>
      <c r="G613" s="21"/>
      <c r="H613" s="11"/>
      <c r="I613" s="11"/>
    </row>
    <row r="614" spans="1:9" ht="22.5" customHeight="1">
      <c r="A614" s="18"/>
      <c r="B614" s="19"/>
      <c r="C614" s="20"/>
      <c r="D614" s="11"/>
      <c r="E614" s="11"/>
      <c r="F614" s="11"/>
      <c r="G614" s="21"/>
      <c r="H614" s="11"/>
      <c r="I614" s="11"/>
    </row>
    <row r="615" spans="1:9" ht="22.5" customHeight="1">
      <c r="A615" s="18"/>
      <c r="B615" s="19"/>
      <c r="C615" s="20"/>
      <c r="D615" s="11"/>
      <c r="E615" s="11"/>
      <c r="F615" s="11"/>
      <c r="G615" s="21"/>
      <c r="H615" s="11"/>
      <c r="I615" s="11"/>
    </row>
    <row r="616" spans="1:9" ht="22.5" customHeight="1">
      <c r="A616" s="18"/>
      <c r="B616" s="19"/>
      <c r="C616" s="20"/>
      <c r="D616" s="11"/>
      <c r="E616" s="11"/>
      <c r="F616" s="11"/>
      <c r="G616" s="21"/>
      <c r="H616" s="11"/>
      <c r="I616" s="11"/>
    </row>
    <row r="617" spans="1:9" ht="22.5" customHeight="1">
      <c r="A617" s="18"/>
      <c r="B617" s="19"/>
      <c r="C617" s="20"/>
      <c r="D617" s="11"/>
      <c r="E617" s="11"/>
      <c r="F617" s="11"/>
      <c r="G617" s="21"/>
      <c r="H617" s="11"/>
      <c r="I617" s="11"/>
    </row>
    <row r="618" spans="1:9" ht="22.5" customHeight="1">
      <c r="A618" s="18"/>
      <c r="B618" s="19"/>
      <c r="C618" s="20"/>
      <c r="D618" s="11"/>
      <c r="E618" s="11"/>
      <c r="F618" s="11"/>
      <c r="G618" s="21"/>
      <c r="H618" s="11"/>
      <c r="I618" s="11"/>
    </row>
    <row r="619" spans="1:9" ht="22.5" customHeight="1">
      <c r="A619" s="18"/>
      <c r="B619" s="19"/>
      <c r="C619" s="20"/>
      <c r="D619" s="11"/>
      <c r="E619" s="11"/>
      <c r="F619" s="11"/>
      <c r="G619" s="21"/>
      <c r="H619" s="11"/>
      <c r="I619" s="11"/>
    </row>
    <row r="620" spans="1:9" ht="22.5" customHeight="1">
      <c r="A620" s="18"/>
      <c r="B620" s="19"/>
      <c r="C620" s="20"/>
      <c r="D620" s="11"/>
      <c r="E620" s="11"/>
      <c r="F620" s="11"/>
      <c r="G620" s="21"/>
      <c r="H620" s="11"/>
      <c r="I620" s="11"/>
    </row>
    <row r="621" spans="1:9" ht="22.5" customHeight="1">
      <c r="A621" s="18"/>
      <c r="B621" s="19"/>
      <c r="C621" s="20"/>
      <c r="D621" s="11"/>
      <c r="E621" s="11"/>
      <c r="F621" s="11"/>
      <c r="G621" s="21"/>
      <c r="H621" s="11"/>
      <c r="I621" s="11"/>
    </row>
    <row r="622" spans="1:9" ht="22.5" customHeight="1">
      <c r="A622" s="18"/>
      <c r="B622" s="19"/>
      <c r="C622" s="20"/>
      <c r="D622" s="11"/>
      <c r="E622" s="11"/>
      <c r="F622" s="11"/>
      <c r="G622" s="21"/>
      <c r="H622" s="11"/>
      <c r="I622" s="11"/>
    </row>
    <row r="623" spans="1:9" ht="22.5" customHeight="1">
      <c r="A623" s="18"/>
      <c r="B623" s="19"/>
      <c r="C623" s="20"/>
      <c r="D623" s="11"/>
      <c r="E623" s="11"/>
      <c r="F623" s="11"/>
      <c r="G623" s="21"/>
      <c r="H623" s="11"/>
      <c r="I623" s="11"/>
    </row>
    <row r="624" spans="1:9" ht="22.5" customHeight="1">
      <c r="A624" s="18"/>
      <c r="B624" s="19"/>
      <c r="C624" s="20"/>
      <c r="D624" s="11"/>
      <c r="E624" s="11"/>
      <c r="F624" s="11"/>
      <c r="G624" s="21"/>
      <c r="H624" s="11"/>
      <c r="I624" s="11"/>
    </row>
    <row r="625" spans="1:9" ht="22.5" customHeight="1">
      <c r="A625" s="18"/>
      <c r="B625" s="19"/>
      <c r="C625" s="20"/>
      <c r="D625" s="11"/>
      <c r="E625" s="11"/>
      <c r="F625" s="11"/>
      <c r="G625" s="21"/>
      <c r="H625" s="11"/>
      <c r="I625" s="11"/>
    </row>
    <row r="626" spans="1:9" ht="22.5" customHeight="1">
      <c r="A626" s="18"/>
      <c r="B626" s="19"/>
      <c r="C626" s="20"/>
      <c r="D626" s="11"/>
      <c r="E626" s="11"/>
      <c r="F626" s="11"/>
      <c r="G626" s="21"/>
      <c r="H626" s="11"/>
      <c r="I626" s="11"/>
    </row>
    <row r="627" spans="1:9" ht="22.5" customHeight="1">
      <c r="A627" s="18"/>
      <c r="B627" s="19"/>
      <c r="C627" s="20"/>
      <c r="D627" s="11"/>
      <c r="E627" s="11"/>
      <c r="F627" s="11"/>
      <c r="G627" s="21"/>
      <c r="H627" s="11"/>
      <c r="I627" s="11"/>
    </row>
    <row r="628" spans="1:9" ht="22.5" customHeight="1">
      <c r="A628" s="18"/>
      <c r="B628" s="19"/>
      <c r="C628" s="20"/>
      <c r="D628" s="11"/>
      <c r="E628" s="11"/>
      <c r="F628" s="11"/>
      <c r="G628" s="21"/>
      <c r="H628" s="11"/>
      <c r="I628" s="11"/>
    </row>
    <row r="629" spans="1:9" ht="22.5" customHeight="1">
      <c r="A629" s="18"/>
      <c r="B629" s="19"/>
      <c r="C629" s="20"/>
      <c r="D629" s="11"/>
      <c r="E629" s="11"/>
      <c r="F629" s="11"/>
      <c r="G629" s="21"/>
      <c r="H629" s="11"/>
      <c r="I629" s="11"/>
    </row>
    <row r="630" spans="1:9" ht="22.5" customHeight="1">
      <c r="A630" s="18"/>
      <c r="B630" s="19"/>
      <c r="C630" s="20"/>
      <c r="D630" s="11"/>
      <c r="E630" s="11"/>
      <c r="F630" s="11"/>
      <c r="G630" s="21"/>
      <c r="H630" s="11"/>
      <c r="I630" s="11"/>
    </row>
    <row r="631" spans="1:9" ht="22.5" customHeight="1">
      <c r="A631" s="18"/>
      <c r="B631" s="19"/>
      <c r="C631" s="20"/>
      <c r="D631" s="11"/>
      <c r="E631" s="11"/>
      <c r="F631" s="11"/>
      <c r="G631" s="21"/>
      <c r="H631" s="11"/>
      <c r="I631" s="11"/>
    </row>
    <row r="632" spans="1:9" ht="22.5" customHeight="1">
      <c r="A632" s="18"/>
      <c r="B632" s="19"/>
      <c r="C632" s="20"/>
      <c r="D632" s="11"/>
      <c r="E632" s="11"/>
      <c r="F632" s="11"/>
      <c r="G632" s="21"/>
      <c r="H632" s="11"/>
      <c r="I632" s="11"/>
    </row>
    <row r="633" spans="1:9" ht="22.5" customHeight="1">
      <c r="A633" s="18"/>
      <c r="B633" s="19"/>
      <c r="C633" s="20"/>
      <c r="D633" s="11"/>
      <c r="E633" s="11"/>
      <c r="F633" s="11"/>
      <c r="G633" s="21"/>
      <c r="H633" s="11"/>
      <c r="I633" s="11"/>
    </row>
    <row r="634" spans="1:9" ht="22.5" customHeight="1">
      <c r="A634" s="18"/>
      <c r="B634" s="19"/>
      <c r="C634" s="20"/>
      <c r="D634" s="11"/>
      <c r="E634" s="11"/>
      <c r="F634" s="11"/>
      <c r="G634" s="21"/>
      <c r="H634" s="11"/>
      <c r="I634" s="11"/>
    </row>
    <row r="635" spans="1:9" ht="22.5" customHeight="1">
      <c r="A635" s="18"/>
      <c r="B635" s="19"/>
      <c r="C635" s="20"/>
      <c r="D635" s="11"/>
      <c r="E635" s="11"/>
      <c r="F635" s="11"/>
      <c r="G635" s="21"/>
      <c r="H635" s="11"/>
      <c r="I635" s="11"/>
    </row>
    <row r="636" spans="1:9" ht="22.5" customHeight="1">
      <c r="A636" s="18"/>
      <c r="B636" s="19"/>
      <c r="C636" s="20"/>
      <c r="D636" s="11"/>
      <c r="E636" s="11"/>
      <c r="F636" s="11"/>
      <c r="G636" s="21"/>
      <c r="H636" s="11"/>
      <c r="I636" s="11"/>
    </row>
    <row r="637" spans="1:9" ht="22.5" customHeight="1">
      <c r="A637" s="18"/>
      <c r="B637" s="19"/>
      <c r="C637" s="20"/>
      <c r="D637" s="11"/>
      <c r="E637" s="11"/>
      <c r="F637" s="11"/>
      <c r="G637" s="21"/>
      <c r="H637" s="11"/>
      <c r="I637" s="11"/>
    </row>
    <row r="638" spans="1:9" ht="22.5" customHeight="1">
      <c r="A638" s="18"/>
      <c r="B638" s="19"/>
      <c r="C638" s="20"/>
      <c r="D638" s="11"/>
      <c r="E638" s="11"/>
      <c r="F638" s="11"/>
      <c r="G638" s="21"/>
      <c r="H638" s="11"/>
      <c r="I638" s="11"/>
    </row>
    <row r="639" spans="1:9" ht="22.5" customHeight="1">
      <c r="A639" s="18"/>
      <c r="B639" s="19"/>
      <c r="C639" s="20"/>
      <c r="D639" s="11"/>
      <c r="E639" s="11"/>
      <c r="F639" s="11"/>
      <c r="G639" s="21"/>
      <c r="H639" s="11"/>
      <c r="I639" s="11"/>
    </row>
    <row r="640" spans="1:9" ht="22.5" customHeight="1">
      <c r="A640" s="18"/>
      <c r="B640" s="19"/>
      <c r="C640" s="20"/>
      <c r="D640" s="11"/>
      <c r="E640" s="11"/>
      <c r="F640" s="11"/>
      <c r="G640" s="21"/>
      <c r="H640" s="11"/>
      <c r="I640" s="11"/>
    </row>
    <row r="641" spans="1:9" ht="22.5" customHeight="1">
      <c r="A641" s="18"/>
      <c r="B641" s="19"/>
      <c r="C641" s="20"/>
      <c r="D641" s="11"/>
      <c r="E641" s="11"/>
      <c r="F641" s="11"/>
      <c r="G641" s="21"/>
      <c r="H641" s="11"/>
      <c r="I641" s="11"/>
    </row>
    <row r="642" spans="1:9" ht="22.5" customHeight="1">
      <c r="A642" s="18"/>
      <c r="B642" s="19"/>
      <c r="C642" s="20"/>
      <c r="D642" s="11"/>
      <c r="E642" s="11"/>
      <c r="F642" s="11"/>
      <c r="G642" s="21"/>
      <c r="H642" s="11"/>
      <c r="I642" s="11"/>
    </row>
    <row r="643" spans="1:9" ht="22.5" customHeight="1">
      <c r="A643" s="18"/>
      <c r="B643" s="19"/>
      <c r="C643" s="20"/>
      <c r="D643" s="11"/>
      <c r="E643" s="11"/>
      <c r="F643" s="11"/>
      <c r="G643" s="21"/>
      <c r="H643" s="11"/>
      <c r="I643" s="11"/>
    </row>
    <row r="644" spans="1:9" ht="22.5" customHeight="1">
      <c r="A644" s="18"/>
      <c r="B644" s="19"/>
      <c r="C644" s="20"/>
      <c r="D644" s="11"/>
      <c r="E644" s="11"/>
      <c r="F644" s="11"/>
      <c r="G644" s="21"/>
      <c r="H644" s="11"/>
      <c r="I644" s="11"/>
    </row>
    <row r="645" spans="1:9" ht="22.5" customHeight="1">
      <c r="A645" s="18"/>
      <c r="B645" s="19"/>
      <c r="C645" s="20"/>
      <c r="D645" s="11"/>
      <c r="E645" s="11"/>
      <c r="F645" s="11"/>
      <c r="G645" s="21"/>
      <c r="H645" s="11"/>
      <c r="I645" s="11"/>
    </row>
    <row r="646" spans="1:9" ht="22.5" customHeight="1">
      <c r="A646" s="18"/>
      <c r="B646" s="19"/>
      <c r="C646" s="20"/>
      <c r="D646" s="11"/>
      <c r="E646" s="11"/>
      <c r="F646" s="11"/>
      <c r="G646" s="21"/>
      <c r="H646" s="11"/>
      <c r="I646" s="11"/>
    </row>
    <row r="647" spans="1:9" ht="22.5" customHeight="1">
      <c r="A647" s="18"/>
      <c r="B647" s="19"/>
      <c r="C647" s="20"/>
      <c r="D647" s="11"/>
      <c r="E647" s="11"/>
      <c r="F647" s="11"/>
      <c r="G647" s="21"/>
      <c r="H647" s="11"/>
      <c r="I647" s="11"/>
    </row>
    <row r="648" spans="1:9" ht="22.5" customHeight="1">
      <c r="A648" s="18"/>
      <c r="B648" s="19"/>
      <c r="C648" s="20"/>
      <c r="D648" s="11"/>
      <c r="E648" s="11"/>
      <c r="F648" s="11"/>
      <c r="G648" s="21"/>
      <c r="H648" s="11"/>
      <c r="I648" s="11"/>
    </row>
    <row r="649" spans="1:9" ht="22.5" customHeight="1">
      <c r="A649" s="18"/>
      <c r="B649" s="19"/>
      <c r="C649" s="20"/>
      <c r="D649" s="11"/>
      <c r="E649" s="11"/>
      <c r="F649" s="11"/>
      <c r="G649" s="21"/>
      <c r="H649" s="11"/>
      <c r="I649" s="11"/>
    </row>
    <row r="650" spans="1:9" ht="22.5" customHeight="1">
      <c r="A650" s="18"/>
      <c r="B650" s="19"/>
      <c r="C650" s="20"/>
      <c r="D650" s="11"/>
      <c r="E650" s="11"/>
      <c r="F650" s="11"/>
      <c r="G650" s="21"/>
      <c r="H650" s="11"/>
      <c r="I650" s="11"/>
    </row>
    <row r="651" spans="1:9" ht="22.5" customHeight="1">
      <c r="A651" s="18"/>
      <c r="B651" s="19"/>
      <c r="C651" s="20"/>
      <c r="D651" s="11"/>
      <c r="E651" s="11"/>
      <c r="F651" s="11"/>
      <c r="G651" s="21"/>
      <c r="H651" s="11"/>
      <c r="I651" s="11"/>
    </row>
    <row r="652" spans="1:9" ht="22.5" customHeight="1">
      <c r="A652" s="18"/>
      <c r="B652" s="19"/>
      <c r="C652" s="20"/>
      <c r="D652" s="11"/>
      <c r="E652" s="11"/>
      <c r="F652" s="11"/>
      <c r="G652" s="21"/>
      <c r="H652" s="11"/>
      <c r="I652" s="11"/>
    </row>
    <row r="653" spans="1:9" ht="22.5" customHeight="1">
      <c r="A653" s="18"/>
      <c r="B653" s="19"/>
      <c r="C653" s="20"/>
      <c r="D653" s="11"/>
      <c r="E653" s="11"/>
      <c r="F653" s="11"/>
      <c r="G653" s="21"/>
      <c r="H653" s="11"/>
      <c r="I653" s="11"/>
    </row>
    <row r="654" spans="1:9" ht="22.5" customHeight="1">
      <c r="A654" s="18"/>
      <c r="B654" s="19"/>
      <c r="C654" s="20"/>
      <c r="D654" s="11"/>
      <c r="E654" s="11"/>
      <c r="F654" s="11"/>
      <c r="G654" s="21"/>
      <c r="H654" s="11"/>
      <c r="I654" s="11"/>
    </row>
    <row r="655" spans="1:9" ht="22.5" customHeight="1">
      <c r="A655" s="18"/>
      <c r="B655" s="19"/>
      <c r="C655" s="20"/>
      <c r="D655" s="11"/>
      <c r="E655" s="11"/>
      <c r="F655" s="11"/>
      <c r="G655" s="21"/>
      <c r="H655" s="11"/>
      <c r="I655" s="11"/>
    </row>
    <row r="656" spans="1:9" ht="22.5" customHeight="1">
      <c r="A656" s="18"/>
      <c r="B656" s="19"/>
      <c r="C656" s="20"/>
      <c r="D656" s="11"/>
      <c r="E656" s="11"/>
      <c r="F656" s="11"/>
      <c r="G656" s="21"/>
      <c r="H656" s="11"/>
      <c r="I656" s="11"/>
    </row>
    <row r="657" spans="1:9" ht="22.5" customHeight="1">
      <c r="A657" s="18"/>
      <c r="B657" s="19"/>
      <c r="C657" s="20"/>
      <c r="D657" s="11"/>
      <c r="E657" s="11"/>
      <c r="F657" s="11"/>
      <c r="G657" s="21"/>
      <c r="H657" s="11"/>
      <c r="I657" s="11"/>
    </row>
    <row r="658" spans="1:9" ht="22.5" customHeight="1">
      <c r="A658" s="18"/>
      <c r="B658" s="19"/>
      <c r="C658" s="20"/>
      <c r="D658" s="11"/>
      <c r="E658" s="11"/>
      <c r="F658" s="11"/>
      <c r="G658" s="21"/>
      <c r="H658" s="11"/>
      <c r="I658" s="11"/>
    </row>
    <row r="659" spans="1:9" ht="22.5" customHeight="1">
      <c r="A659" s="18"/>
      <c r="B659" s="19"/>
      <c r="C659" s="20"/>
      <c r="D659" s="11"/>
      <c r="E659" s="11"/>
      <c r="F659" s="11"/>
      <c r="G659" s="21"/>
      <c r="H659" s="11"/>
      <c r="I659" s="11"/>
    </row>
    <row r="660" spans="1:9" ht="22.5" customHeight="1">
      <c r="A660" s="18"/>
      <c r="B660" s="19"/>
      <c r="C660" s="20"/>
      <c r="D660" s="11"/>
      <c r="E660" s="11"/>
      <c r="F660" s="11"/>
      <c r="G660" s="21"/>
      <c r="H660" s="11"/>
      <c r="I660" s="11"/>
    </row>
    <row r="661" spans="1:9" ht="22.5" customHeight="1">
      <c r="A661" s="18"/>
      <c r="B661" s="19"/>
      <c r="C661" s="20"/>
      <c r="D661" s="11"/>
      <c r="E661" s="11"/>
      <c r="F661" s="11"/>
      <c r="G661" s="21"/>
      <c r="H661" s="11"/>
      <c r="I661" s="11"/>
    </row>
    <row r="662" spans="1:9" ht="22.5" customHeight="1">
      <c r="A662" s="18"/>
      <c r="B662" s="19"/>
      <c r="C662" s="20"/>
      <c r="D662" s="11"/>
      <c r="E662" s="11"/>
      <c r="F662" s="11"/>
      <c r="G662" s="21"/>
      <c r="H662" s="11"/>
      <c r="I662" s="11"/>
    </row>
    <row r="663" spans="1:9" ht="22.5" customHeight="1">
      <c r="A663" s="18"/>
      <c r="B663" s="19"/>
      <c r="C663" s="20"/>
      <c r="D663" s="11"/>
      <c r="E663" s="11"/>
      <c r="F663" s="11"/>
      <c r="G663" s="21"/>
      <c r="H663" s="11"/>
      <c r="I663" s="11"/>
    </row>
    <row r="664" spans="1:9" ht="22.5" customHeight="1">
      <c r="A664" s="18"/>
      <c r="B664" s="19"/>
      <c r="C664" s="20"/>
      <c r="D664" s="11"/>
      <c r="E664" s="11"/>
      <c r="F664" s="11"/>
      <c r="G664" s="21"/>
      <c r="H664" s="11"/>
      <c r="I664" s="11"/>
    </row>
    <row r="665" spans="1:9" ht="22.5" customHeight="1">
      <c r="A665" s="18"/>
      <c r="B665" s="19"/>
      <c r="C665" s="20"/>
      <c r="D665" s="11"/>
      <c r="E665" s="11"/>
      <c r="F665" s="11"/>
      <c r="G665" s="21"/>
      <c r="H665" s="11"/>
      <c r="I665" s="11"/>
    </row>
    <row r="666" spans="1:9" ht="22.5" customHeight="1">
      <c r="A666" s="18"/>
      <c r="B666" s="19"/>
      <c r="C666" s="20"/>
      <c r="D666" s="11"/>
      <c r="E666" s="11"/>
      <c r="F666" s="11"/>
      <c r="G666" s="21"/>
      <c r="H666" s="11"/>
      <c r="I666" s="11"/>
    </row>
    <row r="667" spans="1:9" ht="22.5" customHeight="1">
      <c r="A667" s="18"/>
      <c r="B667" s="19"/>
      <c r="C667" s="20"/>
      <c r="D667" s="11"/>
      <c r="E667" s="11"/>
      <c r="F667" s="11"/>
      <c r="G667" s="21"/>
      <c r="H667" s="11"/>
      <c r="I667" s="11"/>
    </row>
    <row r="668" spans="1:9" ht="22.5" customHeight="1">
      <c r="A668" s="18"/>
      <c r="B668" s="19"/>
      <c r="C668" s="20"/>
      <c r="D668" s="11"/>
      <c r="E668" s="11"/>
      <c r="F668" s="11"/>
      <c r="G668" s="21"/>
      <c r="H668" s="11"/>
      <c r="I668" s="11"/>
    </row>
    <row r="669" spans="1:9" ht="22.5" customHeight="1">
      <c r="A669" s="18"/>
      <c r="B669" s="19"/>
      <c r="C669" s="20"/>
      <c r="D669" s="11"/>
      <c r="E669" s="11"/>
      <c r="F669" s="11"/>
      <c r="G669" s="21"/>
      <c r="H669" s="11"/>
      <c r="I669" s="11"/>
    </row>
    <row r="670" spans="1:9" ht="22.5" customHeight="1">
      <c r="A670" s="18"/>
      <c r="B670" s="19"/>
      <c r="C670" s="20"/>
      <c r="D670" s="11"/>
      <c r="E670" s="11"/>
      <c r="F670" s="11"/>
      <c r="G670" s="21"/>
      <c r="H670" s="11"/>
      <c r="I670" s="11"/>
    </row>
    <row r="671" spans="1:9" ht="22.5" customHeight="1">
      <c r="A671" s="18"/>
      <c r="B671" s="19"/>
      <c r="C671" s="20"/>
      <c r="D671" s="11"/>
      <c r="E671" s="11"/>
      <c r="F671" s="11"/>
      <c r="G671" s="21"/>
      <c r="H671" s="11"/>
      <c r="I671" s="11"/>
    </row>
    <row r="672" spans="1:9" ht="22.5" customHeight="1">
      <c r="A672" s="18"/>
      <c r="B672" s="19"/>
      <c r="C672" s="20"/>
      <c r="D672" s="11"/>
      <c r="E672" s="11"/>
      <c r="F672" s="11"/>
      <c r="G672" s="21"/>
      <c r="H672" s="11"/>
      <c r="I672" s="11"/>
    </row>
    <row r="673" spans="1:9" ht="22.5" customHeight="1">
      <c r="A673" s="18"/>
      <c r="B673" s="19"/>
      <c r="C673" s="20"/>
      <c r="D673" s="11"/>
      <c r="E673" s="11"/>
      <c r="F673" s="11"/>
      <c r="G673" s="21"/>
      <c r="H673" s="11"/>
      <c r="I673" s="11"/>
    </row>
    <row r="674" spans="1:9" ht="22.5" customHeight="1">
      <c r="A674" s="18"/>
      <c r="B674" s="19"/>
      <c r="C674" s="20"/>
      <c r="D674" s="11"/>
      <c r="E674" s="11"/>
      <c r="F674" s="11"/>
      <c r="G674" s="21"/>
      <c r="H674" s="11"/>
      <c r="I674" s="11"/>
    </row>
    <row r="675" spans="1:9" ht="22.5" customHeight="1">
      <c r="A675" s="18"/>
      <c r="B675" s="19"/>
      <c r="C675" s="20"/>
      <c r="D675" s="11"/>
      <c r="E675" s="11"/>
      <c r="F675" s="11"/>
      <c r="G675" s="21"/>
      <c r="H675" s="11"/>
      <c r="I675" s="11"/>
    </row>
    <row r="676" spans="1:9" ht="22.5" customHeight="1">
      <c r="A676" s="18"/>
      <c r="B676" s="19"/>
      <c r="C676" s="20"/>
      <c r="D676" s="11"/>
      <c r="E676" s="11"/>
      <c r="F676" s="11"/>
      <c r="G676" s="21"/>
      <c r="H676" s="11"/>
      <c r="I676" s="11"/>
    </row>
    <row r="677" spans="1:9" ht="22.5" customHeight="1">
      <c r="A677" s="18"/>
      <c r="B677" s="19"/>
      <c r="C677" s="20"/>
      <c r="D677" s="11"/>
      <c r="E677" s="11"/>
      <c r="F677" s="11"/>
      <c r="G677" s="21"/>
      <c r="H677" s="11"/>
      <c r="I677" s="11"/>
    </row>
    <row r="678" spans="1:9" ht="22.5" customHeight="1">
      <c r="A678" s="18"/>
      <c r="B678" s="19"/>
      <c r="C678" s="20"/>
      <c r="D678" s="11"/>
      <c r="E678" s="11"/>
      <c r="F678" s="11"/>
      <c r="G678" s="21"/>
      <c r="H678" s="11"/>
      <c r="I678" s="11"/>
    </row>
    <row r="679" spans="1:9" ht="22.5" customHeight="1">
      <c r="A679" s="18"/>
      <c r="B679" s="19"/>
      <c r="C679" s="20"/>
      <c r="D679" s="11"/>
      <c r="E679" s="11"/>
      <c r="F679" s="11"/>
      <c r="G679" s="21"/>
      <c r="H679" s="11"/>
      <c r="I679" s="11"/>
    </row>
    <row r="680" spans="1:9" ht="22.5" customHeight="1">
      <c r="A680" s="18"/>
      <c r="B680" s="19"/>
      <c r="C680" s="20"/>
      <c r="D680" s="11"/>
      <c r="E680" s="11"/>
      <c r="F680" s="11"/>
      <c r="G680" s="21"/>
      <c r="H680" s="11"/>
      <c r="I680" s="11"/>
    </row>
    <row r="681" spans="1:9" ht="22.5" customHeight="1">
      <c r="A681" s="18"/>
      <c r="B681" s="19"/>
      <c r="C681" s="20"/>
      <c r="D681" s="11"/>
      <c r="E681" s="11"/>
      <c r="F681" s="11"/>
      <c r="G681" s="21"/>
      <c r="H681" s="11"/>
      <c r="I681" s="11"/>
    </row>
    <row r="682" spans="1:9" ht="22.5" customHeight="1">
      <c r="A682" s="18"/>
      <c r="B682" s="19"/>
      <c r="C682" s="20"/>
      <c r="D682" s="11"/>
      <c r="E682" s="11"/>
      <c r="F682" s="11"/>
      <c r="G682" s="21"/>
      <c r="H682" s="11"/>
      <c r="I682" s="11"/>
    </row>
    <row r="683" spans="1:9" ht="22.5" customHeight="1">
      <c r="A683" s="18"/>
      <c r="B683" s="19"/>
      <c r="C683" s="20"/>
      <c r="D683" s="11"/>
      <c r="E683" s="11"/>
      <c r="F683" s="11"/>
      <c r="G683" s="21"/>
      <c r="H683" s="11"/>
      <c r="I683" s="11"/>
    </row>
    <row r="684" spans="1:9" ht="22.5" customHeight="1">
      <c r="A684" s="18"/>
      <c r="B684" s="19"/>
      <c r="C684" s="20"/>
      <c r="D684" s="11"/>
      <c r="E684" s="11"/>
      <c r="F684" s="11"/>
      <c r="G684" s="21"/>
      <c r="H684" s="11"/>
      <c r="I684" s="11"/>
    </row>
    <row r="685" spans="1:9" ht="22.5" customHeight="1">
      <c r="A685" s="18"/>
      <c r="B685" s="19"/>
      <c r="C685" s="20"/>
      <c r="D685" s="11"/>
      <c r="E685" s="11"/>
      <c r="F685" s="11"/>
      <c r="G685" s="21"/>
      <c r="H685" s="11"/>
      <c r="I685" s="11"/>
    </row>
    <row r="686" spans="1:9" ht="22.5" customHeight="1">
      <c r="A686" s="18"/>
      <c r="B686" s="19"/>
      <c r="C686" s="20"/>
      <c r="D686" s="11"/>
      <c r="E686" s="11"/>
      <c r="F686" s="11"/>
      <c r="G686" s="21"/>
      <c r="H686" s="11"/>
      <c r="I686" s="11"/>
    </row>
    <row r="687" spans="1:9" ht="22.5" customHeight="1">
      <c r="A687" s="18"/>
      <c r="B687" s="19"/>
      <c r="C687" s="20"/>
      <c r="D687" s="11"/>
      <c r="E687" s="11"/>
      <c r="F687" s="11"/>
      <c r="G687" s="21"/>
      <c r="H687" s="11"/>
      <c r="I687" s="11"/>
    </row>
    <row r="688" spans="1:9" ht="22.5" customHeight="1">
      <c r="A688" s="18"/>
      <c r="B688" s="19"/>
      <c r="C688" s="20"/>
      <c r="D688" s="11"/>
      <c r="E688" s="11"/>
      <c r="F688" s="11"/>
      <c r="G688" s="21"/>
      <c r="H688" s="11"/>
      <c r="I688" s="11"/>
    </row>
    <row r="689" spans="1:9" ht="22.5" customHeight="1">
      <c r="A689" s="18"/>
      <c r="B689" s="19"/>
      <c r="C689" s="20"/>
      <c r="D689" s="11"/>
      <c r="E689" s="11"/>
      <c r="F689" s="11"/>
      <c r="G689" s="21"/>
      <c r="H689" s="11"/>
      <c r="I689" s="11"/>
    </row>
    <row r="690" spans="1:9" ht="22.5" customHeight="1">
      <c r="A690" s="18"/>
      <c r="B690" s="19"/>
      <c r="C690" s="20"/>
      <c r="D690" s="11"/>
      <c r="E690" s="11"/>
      <c r="F690" s="11"/>
      <c r="G690" s="21"/>
      <c r="H690" s="11"/>
      <c r="I690" s="11"/>
    </row>
    <row r="691" spans="1:9" ht="22.5" customHeight="1">
      <c r="A691" s="18"/>
      <c r="B691" s="19"/>
      <c r="C691" s="20"/>
      <c r="D691" s="11"/>
      <c r="E691" s="11"/>
      <c r="F691" s="11"/>
      <c r="G691" s="21"/>
      <c r="H691" s="11"/>
      <c r="I691" s="11"/>
    </row>
    <row r="692" spans="1:9" ht="22.5" customHeight="1">
      <c r="A692" s="18"/>
      <c r="B692" s="19"/>
      <c r="C692" s="20"/>
      <c r="D692" s="11"/>
      <c r="E692" s="11"/>
      <c r="F692" s="11"/>
      <c r="G692" s="21"/>
      <c r="H692" s="11"/>
      <c r="I692" s="11"/>
    </row>
    <row r="693" spans="1:9" ht="22.5" customHeight="1">
      <c r="A693" s="18"/>
      <c r="B693" s="19"/>
      <c r="C693" s="20"/>
      <c r="D693" s="11"/>
      <c r="E693" s="11"/>
      <c r="F693" s="11"/>
      <c r="G693" s="21"/>
      <c r="H693" s="11"/>
      <c r="I693" s="11"/>
    </row>
    <row r="694" spans="1:9" ht="22.5" customHeight="1">
      <c r="A694" s="18"/>
      <c r="B694" s="19"/>
      <c r="C694" s="20"/>
      <c r="D694" s="11"/>
      <c r="E694" s="11"/>
      <c r="F694" s="11"/>
      <c r="G694" s="21"/>
      <c r="H694" s="11"/>
      <c r="I694" s="11"/>
    </row>
    <row r="695" spans="1:9" ht="22.5" customHeight="1">
      <c r="A695" s="18"/>
      <c r="B695" s="19"/>
      <c r="C695" s="20"/>
      <c r="D695" s="11"/>
      <c r="E695" s="11"/>
      <c r="F695" s="11"/>
      <c r="G695" s="21"/>
      <c r="H695" s="11"/>
      <c r="I695" s="11"/>
    </row>
    <row r="696" spans="1:9" ht="22.5" customHeight="1">
      <c r="A696" s="18"/>
      <c r="B696" s="19"/>
      <c r="C696" s="20"/>
      <c r="D696" s="11"/>
      <c r="E696" s="11"/>
      <c r="F696" s="11"/>
      <c r="G696" s="21"/>
      <c r="H696" s="11"/>
      <c r="I696" s="11"/>
    </row>
    <row r="697" spans="1:9" ht="22.5" customHeight="1">
      <c r="A697" s="18"/>
      <c r="B697" s="19"/>
      <c r="C697" s="20"/>
      <c r="D697" s="11"/>
      <c r="E697" s="11"/>
      <c r="F697" s="11"/>
      <c r="G697" s="21"/>
      <c r="H697" s="11"/>
      <c r="I697" s="11"/>
    </row>
    <row r="698" spans="1:9" ht="22.5" customHeight="1">
      <c r="A698" s="18"/>
      <c r="B698" s="19"/>
      <c r="C698" s="20"/>
      <c r="D698" s="11"/>
      <c r="E698" s="11"/>
      <c r="F698" s="11"/>
      <c r="G698" s="21"/>
      <c r="H698" s="11"/>
      <c r="I698" s="11"/>
    </row>
    <row r="699" spans="1:9" ht="22.5" customHeight="1">
      <c r="A699" s="18"/>
      <c r="B699" s="19"/>
      <c r="C699" s="20"/>
      <c r="D699" s="11"/>
      <c r="E699" s="11"/>
      <c r="F699" s="11"/>
      <c r="G699" s="21"/>
      <c r="H699" s="11"/>
      <c r="I699" s="11"/>
    </row>
    <row r="700" spans="1:9" ht="22.5" customHeight="1">
      <c r="A700" s="18"/>
      <c r="B700" s="19"/>
      <c r="C700" s="20"/>
      <c r="D700" s="11"/>
      <c r="E700" s="11"/>
      <c r="F700" s="11"/>
      <c r="G700" s="21"/>
      <c r="H700" s="11"/>
      <c r="I700" s="11"/>
    </row>
    <row r="701" spans="1:9" ht="22.5" customHeight="1">
      <c r="A701" s="18"/>
      <c r="B701" s="19"/>
      <c r="C701" s="20"/>
      <c r="D701" s="11"/>
      <c r="E701" s="11"/>
      <c r="F701" s="11"/>
      <c r="G701" s="21"/>
      <c r="H701" s="11"/>
      <c r="I701" s="11"/>
    </row>
    <row r="702" spans="1:9" ht="22.5" customHeight="1">
      <c r="A702" s="18"/>
      <c r="B702" s="19"/>
      <c r="C702" s="20"/>
      <c r="D702" s="11"/>
      <c r="E702" s="11"/>
      <c r="F702" s="11"/>
      <c r="G702" s="21"/>
      <c r="H702" s="11"/>
      <c r="I702" s="11"/>
    </row>
    <row r="703" spans="1:9" ht="22.5" customHeight="1">
      <c r="A703" s="18"/>
      <c r="B703" s="19"/>
      <c r="C703" s="20"/>
      <c r="D703" s="11"/>
      <c r="E703" s="11"/>
      <c r="F703" s="11"/>
      <c r="G703" s="21"/>
      <c r="H703" s="11"/>
      <c r="I703" s="11"/>
    </row>
    <row r="704" spans="1:9" ht="22.5" customHeight="1">
      <c r="A704" s="18"/>
      <c r="B704" s="19"/>
      <c r="C704" s="20"/>
      <c r="D704" s="11"/>
      <c r="E704" s="11"/>
      <c r="F704" s="11"/>
      <c r="G704" s="21"/>
      <c r="H704" s="11"/>
      <c r="I704" s="11"/>
    </row>
    <row r="705" spans="1:9" ht="22.5" customHeight="1">
      <c r="A705" s="18"/>
      <c r="B705" s="19"/>
      <c r="C705" s="20"/>
      <c r="D705" s="11"/>
      <c r="E705" s="11"/>
      <c r="F705" s="11"/>
      <c r="G705" s="21"/>
      <c r="H705" s="11"/>
      <c r="I705" s="11"/>
    </row>
    <row r="706" spans="1:9" ht="22.5" customHeight="1">
      <c r="A706" s="18"/>
      <c r="B706" s="19"/>
      <c r="C706" s="20"/>
      <c r="D706" s="11"/>
      <c r="E706" s="11"/>
      <c r="F706" s="11"/>
      <c r="G706" s="21"/>
      <c r="H706" s="11"/>
      <c r="I706" s="11"/>
    </row>
    <row r="707" spans="1:9" ht="22.5" customHeight="1">
      <c r="A707" s="18"/>
      <c r="B707" s="19"/>
      <c r="C707" s="20"/>
      <c r="D707" s="11"/>
      <c r="E707" s="11"/>
      <c r="F707" s="11"/>
      <c r="G707" s="21"/>
      <c r="H707" s="11"/>
      <c r="I707" s="11"/>
    </row>
    <row r="708" spans="1:9" ht="22.5" customHeight="1">
      <c r="A708" s="18"/>
      <c r="B708" s="19"/>
      <c r="C708" s="20"/>
      <c r="D708" s="11"/>
      <c r="E708" s="11"/>
      <c r="F708" s="11"/>
      <c r="G708" s="21"/>
      <c r="H708" s="11"/>
      <c r="I708" s="11"/>
    </row>
    <row r="709" spans="1:9" ht="22.5" customHeight="1">
      <c r="A709" s="18"/>
      <c r="B709" s="19"/>
      <c r="C709" s="20"/>
      <c r="D709" s="11"/>
      <c r="E709" s="11"/>
      <c r="F709" s="11"/>
      <c r="G709" s="21"/>
      <c r="H709" s="11"/>
      <c r="I709" s="11"/>
    </row>
    <row r="710" spans="1:9" ht="22.5" customHeight="1">
      <c r="A710" s="18"/>
      <c r="B710" s="19"/>
      <c r="C710" s="20"/>
      <c r="D710" s="11"/>
      <c r="E710" s="11"/>
      <c r="F710" s="11"/>
      <c r="G710" s="21"/>
      <c r="H710" s="11"/>
      <c r="I710" s="11"/>
    </row>
    <row r="711" spans="1:9" ht="22.5" customHeight="1">
      <c r="A711" s="18"/>
      <c r="B711" s="19"/>
      <c r="C711" s="20"/>
      <c r="D711" s="11"/>
      <c r="E711" s="11"/>
      <c r="F711" s="11"/>
      <c r="G711" s="21"/>
      <c r="H711" s="11"/>
      <c r="I711" s="11"/>
    </row>
    <row r="712" spans="1:9" ht="22.5" customHeight="1">
      <c r="A712" s="18"/>
      <c r="B712" s="19"/>
      <c r="C712" s="20"/>
      <c r="D712" s="11"/>
      <c r="E712" s="11"/>
      <c r="F712" s="11"/>
      <c r="G712" s="21"/>
      <c r="H712" s="11"/>
      <c r="I712" s="11"/>
    </row>
    <row r="713" spans="1:9" ht="22.5" customHeight="1">
      <c r="A713" s="18"/>
      <c r="B713" s="19"/>
      <c r="C713" s="20"/>
      <c r="D713" s="11"/>
      <c r="E713" s="11"/>
      <c r="F713" s="11"/>
      <c r="G713" s="21"/>
      <c r="H713" s="11"/>
      <c r="I713" s="11"/>
    </row>
    <row r="714" spans="1:9" ht="22.5" customHeight="1">
      <c r="A714" s="18"/>
      <c r="B714" s="19"/>
      <c r="C714" s="20"/>
      <c r="D714" s="11"/>
      <c r="E714" s="11"/>
      <c r="F714" s="11"/>
      <c r="G714" s="21"/>
      <c r="H714" s="11"/>
      <c r="I714" s="11"/>
    </row>
    <row r="715" spans="1:9" ht="22.5" customHeight="1">
      <c r="A715" s="18"/>
      <c r="B715" s="19"/>
      <c r="C715" s="20"/>
      <c r="D715" s="11"/>
      <c r="E715" s="11"/>
      <c r="F715" s="11"/>
      <c r="G715" s="21"/>
      <c r="H715" s="11"/>
      <c r="I715" s="11"/>
    </row>
    <row r="716" spans="1:9" ht="22.5" customHeight="1">
      <c r="A716" s="18"/>
      <c r="B716" s="19"/>
      <c r="C716" s="20"/>
      <c r="D716" s="11"/>
      <c r="E716" s="11"/>
      <c r="F716" s="11"/>
      <c r="G716" s="21"/>
      <c r="H716" s="11"/>
      <c r="I716" s="11"/>
    </row>
    <row r="717" spans="1:9" ht="22.5" customHeight="1">
      <c r="A717" s="18"/>
      <c r="B717" s="19"/>
      <c r="C717" s="20"/>
      <c r="D717" s="11"/>
      <c r="E717" s="11"/>
      <c r="F717" s="11"/>
      <c r="G717" s="21"/>
      <c r="H717" s="11"/>
      <c r="I717" s="11"/>
    </row>
    <row r="718" spans="1:9" ht="22.5" customHeight="1">
      <c r="A718" s="18"/>
      <c r="B718" s="19"/>
      <c r="C718" s="20"/>
      <c r="D718" s="11"/>
      <c r="E718" s="11"/>
      <c r="F718" s="11"/>
      <c r="G718" s="21"/>
      <c r="H718" s="11"/>
      <c r="I718" s="11"/>
    </row>
    <row r="719" spans="1:9" ht="22.5" customHeight="1">
      <c r="A719" s="18"/>
      <c r="B719" s="19"/>
      <c r="C719" s="20"/>
      <c r="D719" s="11"/>
      <c r="E719" s="11"/>
      <c r="F719" s="11"/>
      <c r="G719" s="21"/>
      <c r="H719" s="11"/>
      <c r="I719" s="11"/>
    </row>
    <row r="720" spans="1:9" ht="22.5" customHeight="1">
      <c r="A720" s="18"/>
      <c r="B720" s="19"/>
      <c r="C720" s="20"/>
      <c r="D720" s="11"/>
      <c r="E720" s="11"/>
      <c r="F720" s="11"/>
      <c r="G720" s="21"/>
      <c r="H720" s="11"/>
      <c r="I720" s="11"/>
    </row>
    <row r="721" spans="1:9" ht="22.5" customHeight="1">
      <c r="A721" s="18"/>
      <c r="B721" s="19"/>
      <c r="C721" s="20"/>
      <c r="D721" s="11"/>
      <c r="E721" s="11"/>
      <c r="F721" s="11"/>
      <c r="G721" s="21"/>
      <c r="H721" s="11"/>
      <c r="I721" s="11"/>
    </row>
    <row r="722" spans="1:9" ht="22.5" customHeight="1">
      <c r="A722" s="18"/>
      <c r="B722" s="19"/>
      <c r="C722" s="20"/>
      <c r="D722" s="11"/>
      <c r="E722" s="11"/>
      <c r="F722" s="11"/>
      <c r="G722" s="21"/>
      <c r="H722" s="11"/>
      <c r="I722" s="11"/>
    </row>
    <row r="723" spans="1:9" ht="22.5" customHeight="1">
      <c r="A723" s="18"/>
      <c r="B723" s="19"/>
      <c r="C723" s="20"/>
      <c r="D723" s="11"/>
      <c r="E723" s="11"/>
      <c r="F723" s="11"/>
      <c r="G723" s="21"/>
      <c r="H723" s="11"/>
      <c r="I723" s="11"/>
    </row>
    <row r="724" spans="1:9" ht="22.5" customHeight="1">
      <c r="A724" s="18"/>
      <c r="B724" s="19"/>
      <c r="C724" s="20"/>
      <c r="D724" s="11"/>
      <c r="E724" s="11"/>
      <c r="F724" s="11"/>
      <c r="G724" s="21"/>
      <c r="H724" s="11"/>
      <c r="I724" s="11"/>
    </row>
    <row r="725" spans="1:9" ht="22.5" customHeight="1">
      <c r="A725" s="18"/>
      <c r="B725" s="19"/>
      <c r="C725" s="20"/>
      <c r="D725" s="11"/>
      <c r="E725" s="11"/>
      <c r="F725" s="11"/>
      <c r="G725" s="21"/>
      <c r="H725" s="11"/>
      <c r="I725" s="11"/>
    </row>
    <row r="726" spans="1:9" ht="22.5" customHeight="1">
      <c r="A726" s="18"/>
      <c r="B726" s="19"/>
      <c r="C726" s="20"/>
      <c r="D726" s="11"/>
      <c r="E726" s="11"/>
      <c r="F726" s="11"/>
      <c r="G726" s="21"/>
      <c r="H726" s="11"/>
      <c r="I726" s="11"/>
    </row>
    <row r="727" spans="1:9" ht="22.5" customHeight="1">
      <c r="A727" s="18"/>
      <c r="B727" s="19"/>
      <c r="C727" s="20"/>
      <c r="D727" s="11"/>
      <c r="E727" s="11"/>
      <c r="F727" s="11"/>
      <c r="G727" s="21"/>
      <c r="H727" s="11"/>
      <c r="I727" s="11"/>
    </row>
    <row r="728" spans="1:9" ht="22.5" customHeight="1">
      <c r="A728" s="18"/>
      <c r="B728" s="19"/>
      <c r="C728" s="20"/>
      <c r="D728" s="11"/>
      <c r="E728" s="11"/>
      <c r="F728" s="11"/>
      <c r="G728" s="21"/>
      <c r="H728" s="11"/>
      <c r="I728" s="11"/>
    </row>
    <row r="729" spans="1:9" ht="22.5" customHeight="1">
      <c r="A729" s="18"/>
      <c r="B729" s="19"/>
      <c r="C729" s="20"/>
      <c r="D729" s="11"/>
      <c r="E729" s="11"/>
      <c r="F729" s="11"/>
      <c r="G729" s="21"/>
      <c r="H729" s="11"/>
      <c r="I729" s="11"/>
    </row>
    <row r="730" spans="1:9" ht="22.5" customHeight="1">
      <c r="A730" s="18"/>
      <c r="B730" s="19"/>
      <c r="C730" s="20"/>
      <c r="D730" s="11"/>
      <c r="E730" s="11"/>
      <c r="F730" s="11"/>
      <c r="G730" s="21"/>
      <c r="H730" s="11"/>
      <c r="I730" s="11"/>
    </row>
    <row r="731" spans="1:9" ht="22.5" customHeight="1">
      <c r="A731" s="18"/>
      <c r="B731" s="19"/>
      <c r="C731" s="20"/>
      <c r="D731" s="11"/>
      <c r="E731" s="11"/>
      <c r="F731" s="11"/>
      <c r="G731" s="21"/>
      <c r="H731" s="11"/>
      <c r="I731" s="11"/>
    </row>
    <row r="732" spans="1:9" ht="22.5" customHeight="1">
      <c r="A732" s="18"/>
      <c r="B732" s="19"/>
      <c r="C732" s="20"/>
      <c r="D732" s="11"/>
      <c r="E732" s="11"/>
      <c r="F732" s="11"/>
      <c r="G732" s="21"/>
      <c r="H732" s="11"/>
      <c r="I732" s="11"/>
    </row>
    <row r="733" spans="1:9" ht="22.5" customHeight="1">
      <c r="A733" s="18"/>
      <c r="B733" s="19"/>
      <c r="C733" s="20"/>
      <c r="D733" s="11"/>
      <c r="E733" s="11"/>
      <c r="F733" s="11"/>
      <c r="G733" s="21"/>
      <c r="H733" s="11"/>
      <c r="I733" s="11"/>
    </row>
    <row r="734" spans="1:9" ht="22.5" customHeight="1">
      <c r="A734" s="18"/>
      <c r="B734" s="19"/>
      <c r="C734" s="20"/>
      <c r="D734" s="11"/>
      <c r="E734" s="11"/>
      <c r="F734" s="11"/>
      <c r="G734" s="21"/>
      <c r="H734" s="11"/>
      <c r="I734" s="11"/>
    </row>
    <row r="735" spans="1:9" ht="22.5" customHeight="1">
      <c r="A735" s="18"/>
      <c r="B735" s="19"/>
      <c r="C735" s="20"/>
      <c r="D735" s="11"/>
      <c r="E735" s="11"/>
      <c r="F735" s="11"/>
      <c r="G735" s="21"/>
      <c r="H735" s="11"/>
      <c r="I735" s="11"/>
    </row>
    <row r="736" spans="1:9" ht="22.5" customHeight="1">
      <c r="A736" s="18"/>
      <c r="B736" s="19"/>
      <c r="C736" s="20"/>
      <c r="D736" s="11"/>
      <c r="E736" s="11"/>
      <c r="F736" s="11"/>
      <c r="G736" s="21"/>
      <c r="H736" s="11"/>
      <c r="I736" s="11"/>
    </row>
    <row r="737" spans="1:9" ht="22.5" customHeight="1">
      <c r="A737" s="18"/>
      <c r="B737" s="19"/>
      <c r="C737" s="20"/>
      <c r="D737" s="11"/>
      <c r="E737" s="11"/>
      <c r="F737" s="11"/>
      <c r="G737" s="21"/>
      <c r="H737" s="11"/>
      <c r="I737" s="11"/>
    </row>
    <row r="738" spans="1:9" ht="22.5" customHeight="1">
      <c r="A738" s="18"/>
      <c r="B738" s="19"/>
      <c r="C738" s="20"/>
      <c r="D738" s="11"/>
      <c r="E738" s="11"/>
      <c r="F738" s="11"/>
      <c r="G738" s="21"/>
      <c r="H738" s="11"/>
      <c r="I738" s="11"/>
    </row>
    <row r="739" spans="1:9" ht="22.5" customHeight="1">
      <c r="A739" s="18"/>
      <c r="B739" s="19"/>
      <c r="C739" s="20"/>
      <c r="D739" s="11"/>
      <c r="E739" s="11"/>
      <c r="F739" s="11"/>
      <c r="G739" s="21"/>
      <c r="H739" s="11"/>
      <c r="I739" s="11"/>
    </row>
    <row r="740" spans="1:9" ht="22.5" customHeight="1">
      <c r="A740" s="18"/>
      <c r="B740" s="19"/>
      <c r="C740" s="20"/>
      <c r="D740" s="11"/>
      <c r="E740" s="11"/>
      <c r="F740" s="11"/>
      <c r="G740" s="21"/>
      <c r="H740" s="11"/>
      <c r="I740" s="11"/>
    </row>
    <row r="741" spans="1:9" ht="22.5" customHeight="1">
      <c r="A741" s="18"/>
      <c r="B741" s="19"/>
      <c r="C741" s="20"/>
      <c r="D741" s="11"/>
      <c r="E741" s="11"/>
      <c r="F741" s="11"/>
      <c r="G741" s="21"/>
      <c r="H741" s="11"/>
      <c r="I741" s="11"/>
    </row>
    <row r="742" spans="1:9" ht="22.5" customHeight="1">
      <c r="A742" s="18"/>
      <c r="B742" s="19"/>
      <c r="C742" s="20"/>
      <c r="D742" s="11"/>
      <c r="E742" s="11"/>
      <c r="F742" s="11"/>
      <c r="G742" s="21"/>
      <c r="H742" s="11"/>
      <c r="I742" s="11"/>
    </row>
    <row r="743" spans="1:9" ht="22.5" customHeight="1">
      <c r="A743" s="18"/>
      <c r="B743" s="19"/>
      <c r="C743" s="20"/>
      <c r="D743" s="11"/>
      <c r="E743" s="11"/>
      <c r="F743" s="11"/>
      <c r="G743" s="21"/>
      <c r="H743" s="11"/>
      <c r="I743" s="11"/>
    </row>
    <row r="744" spans="1:9" ht="22.5" customHeight="1">
      <c r="A744" s="18"/>
      <c r="B744" s="19"/>
      <c r="C744" s="20"/>
      <c r="D744" s="11"/>
      <c r="E744" s="11"/>
      <c r="F744" s="11"/>
      <c r="G744" s="21"/>
      <c r="H744" s="11"/>
      <c r="I744" s="11"/>
    </row>
    <row r="745" spans="1:9" ht="22.5" customHeight="1">
      <c r="A745" s="18"/>
      <c r="B745" s="19"/>
      <c r="C745" s="20"/>
      <c r="D745" s="11"/>
      <c r="E745" s="11"/>
      <c r="F745" s="11"/>
      <c r="G745" s="21"/>
      <c r="H745" s="11"/>
      <c r="I745" s="11"/>
    </row>
    <row r="746" spans="1:9" ht="22.5" customHeight="1">
      <c r="A746" s="18"/>
      <c r="B746" s="19"/>
      <c r="C746" s="20"/>
      <c r="D746" s="11"/>
      <c r="E746" s="11"/>
      <c r="F746" s="11"/>
      <c r="G746" s="21"/>
      <c r="H746" s="11"/>
      <c r="I746" s="11"/>
    </row>
    <row r="747" spans="1:9" ht="22.5" customHeight="1">
      <c r="A747" s="18"/>
      <c r="B747" s="19"/>
      <c r="C747" s="20"/>
      <c r="D747" s="11"/>
      <c r="E747" s="11"/>
      <c r="F747" s="11"/>
      <c r="G747" s="21"/>
      <c r="H747" s="11"/>
      <c r="I747" s="11"/>
    </row>
    <row r="748" spans="1:9" ht="22.5" customHeight="1">
      <c r="A748" s="18"/>
      <c r="B748" s="19"/>
      <c r="C748" s="20"/>
      <c r="D748" s="11"/>
      <c r="E748" s="11"/>
      <c r="F748" s="11"/>
      <c r="G748" s="21"/>
      <c r="H748" s="11"/>
      <c r="I748" s="11"/>
    </row>
    <row r="749" spans="1:9" ht="22.5" customHeight="1">
      <c r="A749" s="18"/>
      <c r="B749" s="19"/>
      <c r="C749" s="20"/>
      <c r="D749" s="11"/>
      <c r="E749" s="11"/>
      <c r="F749" s="11"/>
      <c r="G749" s="21"/>
      <c r="H749" s="11"/>
      <c r="I749" s="11"/>
    </row>
    <row r="750" spans="1:9" ht="22.5" customHeight="1">
      <c r="A750" s="18"/>
      <c r="B750" s="19"/>
      <c r="C750" s="20"/>
      <c r="D750" s="11"/>
      <c r="E750" s="11"/>
      <c r="F750" s="11"/>
      <c r="G750" s="21"/>
      <c r="H750" s="11"/>
      <c r="I750" s="11"/>
    </row>
    <row r="751" spans="1:9" ht="22.5" customHeight="1">
      <c r="A751" s="18"/>
      <c r="B751" s="19"/>
      <c r="C751" s="20"/>
      <c r="D751" s="11"/>
      <c r="E751" s="11"/>
      <c r="F751" s="11"/>
      <c r="G751" s="21"/>
      <c r="H751" s="11"/>
      <c r="I751" s="11"/>
    </row>
    <row r="752" spans="1:9" ht="22.5" customHeight="1">
      <c r="A752" s="18"/>
      <c r="B752" s="19"/>
      <c r="C752" s="20"/>
      <c r="D752" s="11"/>
      <c r="E752" s="11"/>
      <c r="F752" s="11"/>
      <c r="G752" s="21"/>
      <c r="H752" s="11"/>
      <c r="I752" s="11"/>
    </row>
    <row r="753" spans="1:9" ht="22.5" customHeight="1">
      <c r="A753" s="18"/>
      <c r="B753" s="19"/>
      <c r="C753" s="20"/>
      <c r="D753" s="11"/>
      <c r="E753" s="11"/>
      <c r="F753" s="11"/>
      <c r="G753" s="21"/>
      <c r="H753" s="11"/>
      <c r="I753" s="11"/>
    </row>
    <row r="754" spans="1:9" ht="22.5" customHeight="1">
      <c r="A754" s="18"/>
      <c r="B754" s="19"/>
      <c r="C754" s="20"/>
      <c r="D754" s="11"/>
      <c r="E754" s="11"/>
      <c r="F754" s="11"/>
      <c r="G754" s="21"/>
      <c r="H754" s="11"/>
      <c r="I754" s="11"/>
    </row>
    <row r="755" spans="1:9" ht="22.5" customHeight="1">
      <c r="A755" s="18"/>
      <c r="B755" s="19"/>
      <c r="C755" s="20"/>
      <c r="D755" s="11"/>
      <c r="E755" s="11"/>
      <c r="F755" s="11"/>
      <c r="G755" s="21"/>
      <c r="H755" s="11"/>
      <c r="I755" s="11"/>
    </row>
    <row r="756" spans="1:9" ht="22.5" customHeight="1">
      <c r="A756" s="18"/>
      <c r="B756" s="19"/>
      <c r="C756" s="20"/>
      <c r="D756" s="11"/>
      <c r="E756" s="11"/>
      <c r="F756" s="11"/>
      <c r="G756" s="21"/>
      <c r="H756" s="11"/>
      <c r="I756" s="11"/>
    </row>
    <row r="757" spans="1:9" ht="22.5" customHeight="1">
      <c r="A757" s="18"/>
      <c r="B757" s="19"/>
      <c r="C757" s="20"/>
      <c r="D757" s="11"/>
      <c r="E757" s="11"/>
      <c r="F757" s="11"/>
      <c r="G757" s="21"/>
      <c r="H757" s="11"/>
      <c r="I757" s="11"/>
    </row>
    <row r="758" spans="1:9" ht="22.5" customHeight="1">
      <c r="A758" s="18"/>
      <c r="B758" s="19"/>
      <c r="C758" s="20"/>
      <c r="D758" s="11"/>
      <c r="E758" s="11"/>
      <c r="F758" s="11"/>
      <c r="G758" s="21"/>
      <c r="H758" s="11"/>
      <c r="I758" s="11"/>
    </row>
    <row r="759" spans="1:9" ht="22.5" customHeight="1">
      <c r="A759" s="18"/>
      <c r="B759" s="19"/>
      <c r="C759" s="20"/>
      <c r="D759" s="11"/>
      <c r="E759" s="11"/>
      <c r="F759" s="11"/>
      <c r="G759" s="21"/>
      <c r="H759" s="11"/>
      <c r="I759" s="11"/>
    </row>
    <row r="760" spans="1:9" ht="22.5" customHeight="1">
      <c r="A760" s="18"/>
      <c r="B760" s="19"/>
      <c r="C760" s="20"/>
      <c r="D760" s="11"/>
      <c r="E760" s="11"/>
      <c r="F760" s="11"/>
      <c r="G760" s="21"/>
      <c r="H760" s="11"/>
      <c r="I760" s="11"/>
    </row>
    <row r="761" spans="1:9" ht="22.5" customHeight="1">
      <c r="A761" s="18"/>
      <c r="B761" s="19"/>
      <c r="C761" s="20"/>
      <c r="D761" s="11"/>
      <c r="E761" s="11"/>
      <c r="F761" s="11"/>
      <c r="G761" s="21"/>
      <c r="H761" s="11"/>
      <c r="I761" s="11"/>
    </row>
    <row r="762" spans="1:9" ht="22.5" customHeight="1">
      <c r="A762" s="18"/>
      <c r="B762" s="19"/>
      <c r="C762" s="20"/>
      <c r="D762" s="11"/>
      <c r="E762" s="11"/>
      <c r="F762" s="11"/>
      <c r="G762" s="21"/>
      <c r="H762" s="11"/>
      <c r="I762" s="11"/>
    </row>
    <row r="763" spans="1:9" ht="22.5" customHeight="1">
      <c r="A763" s="18"/>
      <c r="B763" s="19"/>
      <c r="C763" s="20"/>
      <c r="D763" s="11"/>
      <c r="E763" s="11"/>
      <c r="F763" s="11"/>
      <c r="G763" s="21"/>
      <c r="H763" s="11"/>
      <c r="I763" s="11"/>
    </row>
    <row r="764" spans="1:9" ht="22.5" customHeight="1">
      <c r="A764" s="18"/>
      <c r="B764" s="19"/>
      <c r="C764" s="20"/>
      <c r="D764" s="11"/>
      <c r="E764" s="11"/>
      <c r="F764" s="11"/>
      <c r="G764" s="21"/>
      <c r="H764" s="11"/>
      <c r="I764" s="11"/>
    </row>
    <row r="765" spans="1:9" ht="22.5" customHeight="1">
      <c r="A765" s="18"/>
      <c r="B765" s="19"/>
      <c r="C765" s="20"/>
      <c r="D765" s="11"/>
      <c r="E765" s="11"/>
      <c r="F765" s="11"/>
      <c r="G765" s="21"/>
      <c r="H765" s="11"/>
      <c r="I765" s="11"/>
    </row>
    <row r="766" spans="1:9" ht="22.5" customHeight="1">
      <c r="A766" s="18"/>
      <c r="B766" s="19"/>
      <c r="C766" s="20"/>
      <c r="D766" s="11"/>
      <c r="E766" s="11"/>
      <c r="F766" s="11"/>
      <c r="G766" s="21"/>
      <c r="H766" s="11"/>
      <c r="I766" s="11"/>
    </row>
    <row r="767" spans="1:9" ht="22.5" customHeight="1">
      <c r="A767" s="18"/>
      <c r="B767" s="19"/>
      <c r="C767" s="20"/>
      <c r="D767" s="11"/>
      <c r="E767" s="11"/>
      <c r="F767" s="11"/>
      <c r="G767" s="21"/>
      <c r="H767" s="11"/>
      <c r="I767" s="11"/>
    </row>
    <row r="768" spans="1:9" ht="22.5" customHeight="1">
      <c r="A768" s="18"/>
      <c r="B768" s="19"/>
      <c r="C768" s="20"/>
      <c r="D768" s="11"/>
      <c r="E768" s="11"/>
      <c r="F768" s="11"/>
      <c r="G768" s="21"/>
      <c r="H768" s="11"/>
      <c r="I768" s="11"/>
    </row>
    <row r="769" spans="1:9" ht="22.5" customHeight="1">
      <c r="A769" s="18"/>
      <c r="B769" s="19"/>
      <c r="C769" s="20"/>
      <c r="D769" s="11"/>
      <c r="E769" s="11"/>
      <c r="F769" s="11"/>
      <c r="G769" s="21"/>
      <c r="H769" s="11"/>
      <c r="I769" s="11"/>
    </row>
    <row r="770" spans="1:9" ht="22.5" customHeight="1">
      <c r="A770" s="18"/>
      <c r="B770" s="19"/>
      <c r="C770" s="20"/>
      <c r="D770" s="11"/>
      <c r="E770" s="11"/>
      <c r="F770" s="11"/>
      <c r="G770" s="21"/>
      <c r="H770" s="11"/>
      <c r="I770" s="11"/>
    </row>
    <row r="771" spans="1:9" ht="22.5" customHeight="1">
      <c r="A771" s="18"/>
      <c r="B771" s="19"/>
      <c r="C771" s="20"/>
      <c r="D771" s="11"/>
      <c r="E771" s="11"/>
      <c r="F771" s="11"/>
      <c r="G771" s="21"/>
      <c r="H771" s="11"/>
      <c r="I771" s="11"/>
    </row>
    <row r="772" spans="1:9" ht="22.5" customHeight="1">
      <c r="A772" s="18"/>
      <c r="B772" s="19"/>
      <c r="C772" s="20"/>
      <c r="D772" s="11"/>
      <c r="E772" s="11"/>
      <c r="F772" s="11"/>
      <c r="G772" s="21"/>
      <c r="H772" s="11"/>
      <c r="I772" s="11"/>
    </row>
    <row r="773" spans="1:9" ht="22.5" customHeight="1">
      <c r="A773" s="18"/>
      <c r="B773" s="19"/>
      <c r="C773" s="20"/>
      <c r="D773" s="11"/>
      <c r="E773" s="11"/>
      <c r="F773" s="11"/>
      <c r="G773" s="21"/>
      <c r="H773" s="11"/>
      <c r="I773" s="11"/>
    </row>
    <row r="774" spans="1:9" ht="22.5" customHeight="1">
      <c r="A774" s="18"/>
      <c r="B774" s="19"/>
      <c r="C774" s="20"/>
      <c r="D774" s="11"/>
      <c r="E774" s="11"/>
      <c r="F774" s="11"/>
      <c r="G774" s="21"/>
      <c r="H774" s="11"/>
      <c r="I774" s="11"/>
    </row>
    <row r="775" spans="1:9" ht="22.5" customHeight="1">
      <c r="A775" s="18"/>
      <c r="B775" s="19"/>
      <c r="C775" s="20"/>
      <c r="D775" s="11"/>
      <c r="E775" s="11"/>
      <c r="F775" s="11"/>
      <c r="G775" s="21"/>
      <c r="H775" s="11"/>
      <c r="I775" s="11"/>
    </row>
    <row r="776" spans="1:9" ht="22.5" customHeight="1">
      <c r="A776" s="18"/>
      <c r="B776" s="19"/>
      <c r="C776" s="20"/>
      <c r="D776" s="11"/>
      <c r="E776" s="11"/>
      <c r="F776" s="11"/>
      <c r="G776" s="21"/>
      <c r="H776" s="11"/>
      <c r="I776" s="11"/>
    </row>
    <row r="777" spans="1:9" ht="22.5" customHeight="1">
      <c r="A777" s="18"/>
      <c r="B777" s="19"/>
      <c r="C777" s="20"/>
      <c r="D777" s="11"/>
      <c r="E777" s="11"/>
      <c r="F777" s="11"/>
      <c r="G777" s="21"/>
      <c r="H777" s="11"/>
      <c r="I777" s="11"/>
    </row>
    <row r="778" spans="1:9" ht="22.5" customHeight="1">
      <c r="A778" s="18"/>
      <c r="B778" s="19"/>
      <c r="C778" s="20"/>
      <c r="D778" s="11"/>
      <c r="E778" s="11"/>
      <c r="F778" s="11"/>
      <c r="G778" s="21"/>
      <c r="H778" s="11"/>
      <c r="I778" s="11"/>
    </row>
    <row r="779" spans="1:9" ht="22.5" customHeight="1">
      <c r="A779" s="18"/>
      <c r="B779" s="19"/>
      <c r="C779" s="20"/>
      <c r="D779" s="11"/>
      <c r="E779" s="11"/>
      <c r="F779" s="11"/>
      <c r="G779" s="21"/>
      <c r="H779" s="11"/>
      <c r="I779" s="11"/>
    </row>
    <row r="780" spans="1:9" ht="22.5" customHeight="1">
      <c r="A780" s="18"/>
      <c r="B780" s="19"/>
      <c r="C780" s="20"/>
      <c r="D780" s="11"/>
      <c r="E780" s="11"/>
      <c r="F780" s="11"/>
      <c r="G780" s="21"/>
      <c r="H780" s="11"/>
      <c r="I780" s="11"/>
    </row>
    <row r="781" spans="1:9" ht="22.5" customHeight="1">
      <c r="A781" s="18"/>
      <c r="B781" s="19"/>
      <c r="C781" s="20"/>
      <c r="D781" s="11"/>
      <c r="E781" s="11"/>
      <c r="F781" s="11"/>
      <c r="G781" s="21"/>
      <c r="H781" s="11"/>
      <c r="I781" s="11"/>
    </row>
    <row r="782" spans="1:9" ht="22.5" customHeight="1">
      <c r="A782" s="18"/>
      <c r="B782" s="19"/>
      <c r="C782" s="20"/>
      <c r="D782" s="11"/>
      <c r="E782" s="11"/>
      <c r="F782" s="11"/>
      <c r="G782" s="21"/>
      <c r="H782" s="11"/>
      <c r="I782" s="11"/>
    </row>
    <row r="783" spans="1:9" ht="22.5" customHeight="1">
      <c r="A783" s="18"/>
      <c r="B783" s="19"/>
      <c r="C783" s="20"/>
      <c r="D783" s="11"/>
      <c r="E783" s="11"/>
      <c r="F783" s="11"/>
      <c r="G783" s="21"/>
      <c r="H783" s="11"/>
      <c r="I783" s="11"/>
    </row>
    <row r="784" spans="1:9" ht="22.5" customHeight="1">
      <c r="A784" s="18"/>
      <c r="B784" s="19"/>
      <c r="C784" s="20"/>
      <c r="D784" s="11"/>
      <c r="E784" s="11"/>
      <c r="F784" s="11"/>
      <c r="G784" s="21"/>
      <c r="H784" s="11"/>
      <c r="I784" s="11"/>
    </row>
    <row r="785" spans="1:9" ht="22.5" customHeight="1">
      <c r="A785" s="18"/>
      <c r="B785" s="19"/>
      <c r="C785" s="20"/>
      <c r="D785" s="11"/>
      <c r="E785" s="11"/>
      <c r="F785" s="11"/>
      <c r="G785" s="21"/>
      <c r="H785" s="11"/>
      <c r="I785" s="11"/>
    </row>
    <row r="786" spans="1:9" ht="22.5" customHeight="1">
      <c r="A786" s="18"/>
      <c r="B786" s="19"/>
      <c r="C786" s="20"/>
      <c r="D786" s="11"/>
      <c r="E786" s="11"/>
      <c r="F786" s="11"/>
      <c r="G786" s="21"/>
      <c r="H786" s="11"/>
      <c r="I786" s="11"/>
    </row>
    <row r="787" spans="1:9" ht="22.5" customHeight="1">
      <c r="A787" s="18"/>
      <c r="B787" s="19"/>
      <c r="C787" s="20"/>
      <c r="D787" s="11"/>
      <c r="E787" s="11"/>
      <c r="F787" s="11"/>
      <c r="G787" s="21"/>
      <c r="H787" s="11"/>
      <c r="I787" s="11"/>
    </row>
    <row r="788" spans="1:9" ht="22.5" customHeight="1">
      <c r="A788" s="18"/>
      <c r="B788" s="19"/>
      <c r="C788" s="20"/>
      <c r="D788" s="11"/>
      <c r="E788" s="11"/>
      <c r="F788" s="11"/>
      <c r="G788" s="21"/>
      <c r="H788" s="11"/>
      <c r="I788" s="11"/>
    </row>
    <row r="789" spans="1:9" ht="22.5" customHeight="1">
      <c r="A789" s="18"/>
      <c r="B789" s="19"/>
      <c r="C789" s="20"/>
      <c r="D789" s="11"/>
      <c r="E789" s="11"/>
      <c r="F789" s="11"/>
      <c r="G789" s="21"/>
      <c r="H789" s="11"/>
      <c r="I789" s="11"/>
    </row>
    <row r="790" spans="1:9" ht="22.5" customHeight="1">
      <c r="A790" s="18"/>
      <c r="B790" s="19"/>
      <c r="C790" s="20"/>
      <c r="D790" s="11"/>
      <c r="E790" s="11"/>
      <c r="F790" s="11"/>
      <c r="G790" s="21"/>
      <c r="H790" s="11"/>
      <c r="I790" s="11"/>
    </row>
    <row r="791" spans="1:9" ht="22.5" customHeight="1">
      <c r="A791" s="18"/>
      <c r="B791" s="19"/>
      <c r="C791" s="20"/>
      <c r="D791" s="11"/>
      <c r="E791" s="11"/>
      <c r="F791" s="11"/>
      <c r="G791" s="21"/>
      <c r="H791" s="11"/>
      <c r="I791" s="11"/>
    </row>
    <row r="792" spans="1:9" ht="22.5" customHeight="1">
      <c r="A792" s="18"/>
      <c r="B792" s="19"/>
      <c r="C792" s="20"/>
      <c r="D792" s="11"/>
      <c r="E792" s="11"/>
      <c r="F792" s="11"/>
      <c r="G792" s="21"/>
      <c r="H792" s="11"/>
      <c r="I792" s="11"/>
    </row>
    <row r="793" spans="1:9" ht="22.5" customHeight="1">
      <c r="A793" s="18"/>
      <c r="B793" s="19"/>
      <c r="C793" s="20"/>
      <c r="D793" s="11"/>
      <c r="E793" s="11"/>
      <c r="F793" s="11"/>
      <c r="G793" s="21"/>
      <c r="H793" s="11"/>
      <c r="I793" s="11"/>
    </row>
    <row r="794" spans="1:9" ht="22.5" customHeight="1">
      <c r="A794" s="18"/>
      <c r="B794" s="19"/>
      <c r="C794" s="20"/>
      <c r="D794" s="11"/>
      <c r="E794" s="11"/>
      <c r="F794" s="11"/>
      <c r="G794" s="21"/>
      <c r="H794" s="11"/>
      <c r="I794" s="11"/>
    </row>
    <row r="795" spans="1:9" ht="22.5" customHeight="1">
      <c r="A795" s="18"/>
      <c r="B795" s="19"/>
      <c r="C795" s="20"/>
      <c r="D795" s="11"/>
      <c r="E795" s="11"/>
      <c r="F795" s="11"/>
      <c r="G795" s="21"/>
      <c r="H795" s="11"/>
      <c r="I795" s="11"/>
    </row>
    <row r="796" spans="1:9" ht="22.5" customHeight="1">
      <c r="A796" s="18"/>
      <c r="B796" s="19"/>
      <c r="C796" s="20"/>
      <c r="D796" s="11"/>
      <c r="E796" s="11"/>
      <c r="F796" s="11"/>
      <c r="G796" s="21"/>
      <c r="H796" s="11"/>
      <c r="I796" s="11"/>
    </row>
    <row r="797" spans="1:9" ht="22.5" customHeight="1">
      <c r="A797" s="18"/>
      <c r="B797" s="19"/>
      <c r="C797" s="20"/>
      <c r="D797" s="11"/>
      <c r="E797" s="11"/>
      <c r="F797" s="11"/>
      <c r="G797" s="21"/>
      <c r="H797" s="11"/>
      <c r="I797" s="11"/>
    </row>
    <row r="798" spans="1:9" ht="22.5" customHeight="1">
      <c r="A798" s="18"/>
      <c r="B798" s="19"/>
      <c r="C798" s="20"/>
      <c r="D798" s="11"/>
      <c r="E798" s="11"/>
      <c r="F798" s="11"/>
      <c r="G798" s="21"/>
      <c r="H798" s="11"/>
      <c r="I798" s="11"/>
    </row>
    <row r="799" spans="1:9" ht="22.5" customHeight="1">
      <c r="A799" s="18"/>
      <c r="B799" s="19"/>
      <c r="C799" s="20"/>
      <c r="D799" s="11"/>
      <c r="E799" s="11"/>
      <c r="F799" s="11"/>
      <c r="G799" s="21"/>
      <c r="H799" s="11"/>
      <c r="I799" s="11"/>
    </row>
    <row r="800" spans="1:9" ht="22.5" customHeight="1">
      <c r="A800" s="18"/>
      <c r="B800" s="19"/>
      <c r="C800" s="20"/>
      <c r="D800" s="11"/>
      <c r="E800" s="11"/>
      <c r="F800" s="11"/>
      <c r="G800" s="21"/>
      <c r="H800" s="11"/>
      <c r="I800" s="11"/>
    </row>
    <row r="801" spans="1:9" ht="22.5" customHeight="1">
      <c r="A801" s="18"/>
      <c r="B801" s="19"/>
      <c r="C801" s="20"/>
      <c r="D801" s="11"/>
      <c r="E801" s="11"/>
      <c r="F801" s="11"/>
      <c r="G801" s="21"/>
      <c r="H801" s="11"/>
      <c r="I801" s="11"/>
    </row>
    <row r="802" spans="1:9" ht="22.5" customHeight="1">
      <c r="A802" s="18"/>
      <c r="B802" s="19"/>
      <c r="C802" s="20"/>
      <c r="D802" s="11"/>
      <c r="E802" s="11"/>
      <c r="F802" s="11"/>
      <c r="G802" s="21"/>
      <c r="H802" s="11"/>
      <c r="I802" s="11"/>
    </row>
    <row r="803" spans="1:9" ht="22.5" customHeight="1">
      <c r="A803" s="18"/>
      <c r="B803" s="19"/>
      <c r="C803" s="20"/>
      <c r="D803" s="11"/>
      <c r="E803" s="11"/>
      <c r="F803" s="11"/>
      <c r="G803" s="21"/>
      <c r="H803" s="11"/>
      <c r="I803" s="11"/>
    </row>
    <row r="804" spans="1:9" ht="22.5" customHeight="1">
      <c r="A804" s="18"/>
      <c r="B804" s="19"/>
      <c r="C804" s="20"/>
      <c r="D804" s="11"/>
      <c r="E804" s="11"/>
      <c r="F804" s="11"/>
      <c r="G804" s="21"/>
      <c r="H804" s="11"/>
      <c r="I804" s="11"/>
    </row>
    <row r="805" spans="1:9" ht="22.5" customHeight="1">
      <c r="A805" s="18"/>
      <c r="B805" s="19"/>
      <c r="C805" s="20"/>
      <c r="D805" s="11"/>
      <c r="E805" s="11"/>
      <c r="F805" s="11"/>
      <c r="G805" s="21"/>
      <c r="H805" s="11"/>
      <c r="I805" s="11"/>
    </row>
    <row r="806" spans="1:9" ht="22.5" customHeight="1">
      <c r="A806" s="18"/>
      <c r="B806" s="19"/>
      <c r="C806" s="20"/>
      <c r="D806" s="11"/>
      <c r="E806" s="11"/>
      <c r="F806" s="11"/>
      <c r="G806" s="21"/>
      <c r="H806" s="11"/>
      <c r="I806" s="11"/>
    </row>
    <row r="807" spans="1:9" ht="22.5" customHeight="1">
      <c r="A807" s="18"/>
      <c r="B807" s="19"/>
      <c r="C807" s="20"/>
      <c r="D807" s="11"/>
      <c r="E807" s="11"/>
      <c r="F807" s="11"/>
      <c r="G807" s="21"/>
      <c r="H807" s="11"/>
      <c r="I807" s="11"/>
    </row>
    <row r="808" spans="1:9" ht="22.5" customHeight="1">
      <c r="A808" s="18"/>
      <c r="B808" s="19"/>
      <c r="C808" s="20"/>
      <c r="D808" s="11"/>
      <c r="E808" s="11"/>
      <c r="F808" s="11"/>
      <c r="G808" s="21"/>
      <c r="H808" s="11"/>
      <c r="I808" s="11"/>
    </row>
    <row r="809" spans="1:9" ht="22.5" customHeight="1">
      <c r="A809" s="18"/>
      <c r="B809" s="19"/>
      <c r="C809" s="20"/>
      <c r="D809" s="11"/>
      <c r="E809" s="11"/>
      <c r="F809" s="11"/>
      <c r="G809" s="21"/>
      <c r="H809" s="11"/>
      <c r="I809" s="11"/>
    </row>
    <row r="810" spans="1:9" ht="22.5" customHeight="1">
      <c r="A810" s="18"/>
      <c r="B810" s="19"/>
      <c r="C810" s="20"/>
      <c r="D810" s="11"/>
      <c r="E810" s="11"/>
      <c r="F810" s="11"/>
      <c r="G810" s="21"/>
      <c r="H810" s="11"/>
      <c r="I810" s="11"/>
    </row>
    <row r="811" spans="1:9" ht="22.5" customHeight="1">
      <c r="A811" s="18"/>
      <c r="B811" s="19"/>
      <c r="C811" s="20"/>
      <c r="D811" s="11"/>
      <c r="E811" s="11"/>
      <c r="F811" s="11"/>
      <c r="G811" s="21"/>
      <c r="H811" s="11"/>
      <c r="I811" s="11"/>
    </row>
    <row r="812" spans="1:9" ht="22.5" customHeight="1">
      <c r="A812" s="18"/>
      <c r="B812" s="19"/>
      <c r="C812" s="20"/>
      <c r="D812" s="11"/>
      <c r="E812" s="11"/>
      <c r="F812" s="11"/>
      <c r="G812" s="21"/>
      <c r="H812" s="11"/>
      <c r="I812" s="11"/>
    </row>
    <row r="813" spans="1:9" ht="22.5" customHeight="1">
      <c r="A813" s="18"/>
      <c r="B813" s="19"/>
      <c r="C813" s="20"/>
      <c r="D813" s="11"/>
      <c r="E813" s="11"/>
      <c r="F813" s="11"/>
      <c r="G813" s="21"/>
      <c r="H813" s="11"/>
      <c r="I813" s="11"/>
    </row>
    <row r="814" spans="1:9" ht="22.5" customHeight="1">
      <c r="A814" s="18"/>
      <c r="B814" s="19"/>
      <c r="C814" s="20"/>
      <c r="D814" s="11"/>
      <c r="E814" s="11"/>
      <c r="F814" s="11"/>
      <c r="G814" s="21"/>
      <c r="H814" s="11"/>
      <c r="I814" s="11"/>
    </row>
    <row r="815" spans="1:9" ht="22.5" customHeight="1">
      <c r="A815" s="18"/>
      <c r="B815" s="19"/>
      <c r="C815" s="20"/>
      <c r="D815" s="11"/>
      <c r="E815" s="11"/>
      <c r="F815" s="11"/>
      <c r="G815" s="21"/>
      <c r="H815" s="11"/>
      <c r="I815" s="11"/>
    </row>
    <row r="816" spans="1:9" ht="22.5" customHeight="1">
      <c r="A816" s="18"/>
      <c r="B816" s="19"/>
      <c r="C816" s="20"/>
      <c r="D816" s="11"/>
      <c r="E816" s="11"/>
      <c r="F816" s="11"/>
      <c r="G816" s="21"/>
      <c r="H816" s="11"/>
      <c r="I816" s="11"/>
    </row>
    <row r="817" spans="1:9" ht="22.5" customHeight="1">
      <c r="A817" s="18"/>
      <c r="B817" s="19"/>
      <c r="C817" s="20"/>
      <c r="D817" s="11"/>
      <c r="E817" s="11"/>
      <c r="F817" s="11"/>
      <c r="G817" s="21"/>
      <c r="H817" s="11"/>
      <c r="I817" s="11"/>
    </row>
    <row r="818" spans="1:9" ht="22.5" customHeight="1">
      <c r="A818" s="18"/>
      <c r="B818" s="19"/>
      <c r="C818" s="20"/>
      <c r="D818" s="11"/>
      <c r="E818" s="11"/>
      <c r="F818" s="11"/>
      <c r="G818" s="21"/>
      <c r="H818" s="11"/>
      <c r="I818" s="11"/>
    </row>
    <row r="819" spans="1:9" ht="22.5" customHeight="1">
      <c r="A819" s="18"/>
      <c r="B819" s="19"/>
      <c r="C819" s="20"/>
      <c r="D819" s="11"/>
      <c r="E819" s="11"/>
      <c r="F819" s="11"/>
      <c r="G819" s="21"/>
      <c r="H819" s="11"/>
      <c r="I819" s="11"/>
    </row>
    <row r="820" spans="1:9" ht="22.5" customHeight="1">
      <c r="A820" s="18"/>
      <c r="B820" s="19"/>
      <c r="C820" s="20"/>
      <c r="D820" s="11"/>
      <c r="E820" s="11"/>
      <c r="F820" s="11"/>
      <c r="G820" s="21"/>
      <c r="H820" s="11"/>
      <c r="I820" s="11"/>
    </row>
    <row r="821" spans="1:9" ht="22.5" customHeight="1">
      <c r="A821" s="18"/>
      <c r="B821" s="19"/>
      <c r="C821" s="20"/>
      <c r="D821" s="11"/>
      <c r="E821" s="11"/>
      <c r="F821" s="11"/>
      <c r="G821" s="21"/>
      <c r="H821" s="11"/>
      <c r="I821" s="11"/>
    </row>
    <row r="822" spans="1:9" ht="22.5" customHeight="1">
      <c r="A822" s="18"/>
      <c r="B822" s="19"/>
      <c r="C822" s="20"/>
      <c r="D822" s="11"/>
      <c r="E822" s="11"/>
      <c r="F822" s="11"/>
      <c r="G822" s="21"/>
      <c r="H822" s="11"/>
      <c r="I822" s="11"/>
    </row>
    <row r="823" spans="1:9" ht="22.5" customHeight="1">
      <c r="A823" s="18"/>
      <c r="B823" s="19"/>
      <c r="C823" s="20"/>
      <c r="D823" s="11"/>
      <c r="E823" s="11"/>
      <c r="F823" s="11"/>
      <c r="G823" s="21"/>
      <c r="H823" s="11"/>
      <c r="I823" s="11"/>
    </row>
    <row r="824" spans="1:9" ht="22.5" customHeight="1">
      <c r="A824" s="18"/>
      <c r="B824" s="19"/>
      <c r="C824" s="20"/>
      <c r="D824" s="11"/>
      <c r="E824" s="11"/>
      <c r="F824" s="11"/>
      <c r="G824" s="21"/>
      <c r="H824" s="11"/>
      <c r="I824" s="11"/>
    </row>
    <row r="825" spans="1:9" ht="22.5" customHeight="1">
      <c r="A825" s="18"/>
      <c r="B825" s="19"/>
      <c r="C825" s="20"/>
      <c r="D825" s="11"/>
      <c r="E825" s="11"/>
      <c r="F825" s="11"/>
      <c r="G825" s="21"/>
      <c r="H825" s="11"/>
      <c r="I825" s="11"/>
    </row>
    <row r="826" spans="1:9" ht="22.5" customHeight="1">
      <c r="A826" s="18"/>
      <c r="B826" s="19"/>
      <c r="C826" s="20"/>
      <c r="D826" s="11"/>
      <c r="E826" s="11"/>
      <c r="F826" s="11"/>
      <c r="G826" s="21"/>
      <c r="H826" s="11"/>
      <c r="I826" s="11"/>
    </row>
    <row r="827" spans="1:9" ht="22.5" customHeight="1">
      <c r="A827" s="18"/>
      <c r="B827" s="19"/>
      <c r="C827" s="20"/>
      <c r="D827" s="11"/>
      <c r="E827" s="11"/>
      <c r="F827" s="11"/>
      <c r="G827" s="21"/>
      <c r="H827" s="11"/>
      <c r="I827" s="11"/>
    </row>
    <row r="828" spans="1:9" ht="22.5" customHeight="1">
      <c r="A828" s="18"/>
      <c r="B828" s="19"/>
      <c r="C828" s="20"/>
      <c r="D828" s="11"/>
      <c r="E828" s="11"/>
      <c r="F828" s="11"/>
      <c r="G828" s="21"/>
      <c r="H828" s="11"/>
      <c r="I828" s="11"/>
    </row>
    <row r="829" spans="1:9" ht="22.5" customHeight="1">
      <c r="A829" s="18"/>
      <c r="B829" s="19"/>
      <c r="C829" s="20"/>
      <c r="D829" s="11"/>
      <c r="E829" s="11"/>
      <c r="F829" s="11"/>
      <c r="G829" s="21"/>
      <c r="H829" s="11"/>
      <c r="I829" s="11"/>
    </row>
    <row r="830" spans="1:9" ht="22.5" customHeight="1">
      <c r="A830" s="18"/>
      <c r="B830" s="19"/>
      <c r="C830" s="20"/>
      <c r="D830" s="11"/>
      <c r="E830" s="11"/>
      <c r="F830" s="11"/>
      <c r="G830" s="21"/>
      <c r="H830" s="11"/>
      <c r="I830" s="11"/>
    </row>
    <row r="831" spans="1:9" ht="22.5" customHeight="1">
      <c r="A831" s="18"/>
      <c r="B831" s="19"/>
      <c r="C831" s="20"/>
      <c r="D831" s="11"/>
      <c r="E831" s="11"/>
      <c r="F831" s="11"/>
      <c r="G831" s="21"/>
      <c r="H831" s="11"/>
      <c r="I831" s="11"/>
    </row>
    <row r="832" spans="1:9" ht="22.5" customHeight="1">
      <c r="A832" s="18"/>
      <c r="B832" s="19"/>
      <c r="C832" s="20"/>
      <c r="D832" s="11"/>
      <c r="E832" s="11"/>
      <c r="F832" s="11"/>
      <c r="G832" s="21"/>
      <c r="H832" s="11"/>
      <c r="I832" s="11"/>
    </row>
    <row r="833" spans="1:9" ht="22.5" customHeight="1">
      <c r="A833" s="18"/>
      <c r="B833" s="19"/>
      <c r="C833" s="20"/>
      <c r="D833" s="11"/>
      <c r="E833" s="11"/>
      <c r="F833" s="11"/>
      <c r="G833" s="21"/>
      <c r="H833" s="11"/>
      <c r="I833" s="11"/>
    </row>
    <row r="834" spans="1:9" ht="22.5" customHeight="1">
      <c r="A834" s="18"/>
      <c r="B834" s="19"/>
      <c r="C834" s="20"/>
      <c r="D834" s="11"/>
      <c r="E834" s="11"/>
      <c r="F834" s="11"/>
      <c r="G834" s="21"/>
      <c r="H834" s="11"/>
      <c r="I834" s="11"/>
    </row>
    <row r="835" spans="1:9" ht="22.5" customHeight="1">
      <c r="A835" s="18"/>
      <c r="B835" s="19"/>
      <c r="C835" s="20"/>
      <c r="D835" s="11"/>
      <c r="E835" s="11"/>
      <c r="F835" s="11"/>
      <c r="G835" s="21"/>
      <c r="H835" s="11"/>
      <c r="I835" s="11"/>
    </row>
    <row r="836" spans="1:9" ht="22.5" customHeight="1">
      <c r="A836" s="18"/>
      <c r="B836" s="19"/>
      <c r="C836" s="20"/>
      <c r="D836" s="11"/>
      <c r="E836" s="11"/>
      <c r="F836" s="11"/>
      <c r="G836" s="21"/>
      <c r="H836" s="11"/>
      <c r="I836" s="11"/>
    </row>
    <row r="837" spans="1:9" ht="22.5" customHeight="1">
      <c r="A837" s="18"/>
      <c r="B837" s="19"/>
      <c r="C837" s="20"/>
      <c r="D837" s="11"/>
      <c r="E837" s="11"/>
      <c r="F837" s="11"/>
      <c r="G837" s="21"/>
      <c r="H837" s="11"/>
      <c r="I837" s="11"/>
    </row>
    <row r="838" spans="1:9" ht="22.5" customHeight="1">
      <c r="A838" s="18"/>
      <c r="B838" s="19"/>
      <c r="C838" s="20"/>
      <c r="D838" s="11"/>
      <c r="E838" s="11"/>
      <c r="F838" s="11"/>
      <c r="G838" s="21"/>
      <c r="H838" s="11"/>
      <c r="I838" s="11"/>
    </row>
    <row r="839" spans="1:9" ht="22.5" customHeight="1">
      <c r="A839" s="18"/>
      <c r="B839" s="19"/>
      <c r="C839" s="20"/>
      <c r="D839" s="11"/>
      <c r="E839" s="11"/>
      <c r="F839" s="11"/>
      <c r="G839" s="21"/>
      <c r="H839" s="11"/>
      <c r="I839" s="11"/>
    </row>
    <row r="840" spans="1:9" ht="22.5" customHeight="1">
      <c r="A840" s="18"/>
      <c r="B840" s="19"/>
      <c r="C840" s="20"/>
      <c r="D840" s="11"/>
      <c r="E840" s="11"/>
      <c r="F840" s="11"/>
      <c r="G840" s="21"/>
      <c r="H840" s="11"/>
      <c r="I840" s="11"/>
    </row>
    <row r="841" spans="1:9" ht="22.5" customHeight="1">
      <c r="A841" s="18"/>
      <c r="B841" s="19"/>
      <c r="C841" s="20"/>
      <c r="D841" s="11"/>
      <c r="E841" s="11"/>
      <c r="F841" s="11"/>
      <c r="G841" s="21"/>
      <c r="H841" s="11"/>
      <c r="I841" s="11"/>
    </row>
    <row r="842" spans="1:9" ht="22.5" customHeight="1">
      <c r="A842" s="18"/>
      <c r="B842" s="19"/>
      <c r="C842" s="20"/>
      <c r="D842" s="11"/>
      <c r="E842" s="11"/>
      <c r="F842" s="11"/>
      <c r="G842" s="21"/>
      <c r="H842" s="11"/>
      <c r="I842" s="11"/>
    </row>
    <row r="843" spans="1:9" ht="22.5" customHeight="1">
      <c r="A843" s="18"/>
      <c r="B843" s="19"/>
      <c r="C843" s="20"/>
      <c r="D843" s="11"/>
      <c r="E843" s="11"/>
      <c r="F843" s="11"/>
      <c r="G843" s="21"/>
      <c r="H843" s="11"/>
      <c r="I843" s="11"/>
    </row>
    <row r="844" spans="1:9" ht="22.5" customHeight="1">
      <c r="A844" s="18"/>
      <c r="B844" s="19"/>
      <c r="C844" s="20"/>
      <c r="D844" s="11"/>
      <c r="E844" s="11"/>
      <c r="F844" s="11"/>
      <c r="G844" s="21"/>
      <c r="H844" s="11"/>
      <c r="I844" s="11"/>
    </row>
    <row r="845" spans="1:9" ht="22.5" customHeight="1">
      <c r="A845" s="18"/>
      <c r="B845" s="19"/>
      <c r="C845" s="20"/>
      <c r="D845" s="11"/>
      <c r="E845" s="11"/>
      <c r="F845" s="11"/>
      <c r="G845" s="21"/>
      <c r="H845" s="11"/>
      <c r="I845" s="11"/>
    </row>
    <row r="846" spans="1:9" ht="22.5" customHeight="1">
      <c r="A846" s="18"/>
      <c r="B846" s="19"/>
      <c r="C846" s="20"/>
      <c r="D846" s="11"/>
      <c r="E846" s="11"/>
      <c r="F846" s="11"/>
      <c r="G846" s="21"/>
      <c r="H846" s="11"/>
      <c r="I846" s="11"/>
    </row>
    <row r="847" spans="1:9" ht="22.5" customHeight="1">
      <c r="A847" s="18"/>
      <c r="B847" s="19"/>
      <c r="C847" s="20"/>
      <c r="D847" s="11"/>
      <c r="E847" s="11"/>
      <c r="F847" s="11"/>
      <c r="G847" s="21"/>
      <c r="H847" s="11"/>
      <c r="I847" s="11"/>
    </row>
    <row r="848" spans="1:9" ht="22.5" customHeight="1">
      <c r="A848" s="18"/>
      <c r="B848" s="19"/>
      <c r="C848" s="20"/>
      <c r="D848" s="11"/>
      <c r="E848" s="11"/>
      <c r="F848" s="11"/>
      <c r="G848" s="21"/>
      <c r="H848" s="11"/>
      <c r="I848" s="11"/>
    </row>
    <row r="849" spans="1:9" ht="22.5" customHeight="1">
      <c r="A849" s="18"/>
      <c r="B849" s="19"/>
      <c r="C849" s="20"/>
      <c r="D849" s="11"/>
      <c r="E849" s="11"/>
      <c r="F849" s="11"/>
      <c r="G849" s="21"/>
      <c r="H849" s="11"/>
      <c r="I849" s="11"/>
    </row>
    <row r="850" spans="1:9" ht="22.5" customHeight="1">
      <c r="A850" s="18"/>
      <c r="B850" s="19"/>
      <c r="C850" s="20"/>
      <c r="D850" s="11"/>
      <c r="E850" s="11"/>
      <c r="F850" s="11"/>
      <c r="G850" s="21"/>
      <c r="H850" s="11"/>
      <c r="I850" s="11"/>
    </row>
    <row r="851" spans="1:9" ht="22.5" customHeight="1">
      <c r="A851" s="18"/>
      <c r="B851" s="19"/>
      <c r="C851" s="20"/>
      <c r="D851" s="11"/>
      <c r="E851" s="11"/>
      <c r="F851" s="11"/>
      <c r="G851" s="21"/>
      <c r="H851" s="11"/>
      <c r="I851" s="11"/>
    </row>
    <row r="852" spans="1:9" ht="22.5" customHeight="1">
      <c r="A852" s="18"/>
      <c r="B852" s="19"/>
      <c r="C852" s="20"/>
      <c r="D852" s="11"/>
      <c r="E852" s="11"/>
      <c r="F852" s="11"/>
      <c r="G852" s="21"/>
      <c r="H852" s="11"/>
      <c r="I852" s="11"/>
    </row>
    <row r="853" spans="1:9" ht="22.5" customHeight="1">
      <c r="A853" s="18"/>
      <c r="B853" s="19"/>
      <c r="C853" s="20"/>
      <c r="D853" s="11"/>
      <c r="E853" s="11"/>
      <c r="F853" s="11"/>
      <c r="G853" s="21"/>
      <c r="H853" s="11"/>
      <c r="I853" s="11"/>
    </row>
    <row r="854" spans="1:9" ht="22.5" customHeight="1">
      <c r="A854" s="18"/>
      <c r="B854" s="19"/>
      <c r="C854" s="20"/>
      <c r="D854" s="11"/>
      <c r="E854" s="11"/>
      <c r="F854" s="11"/>
      <c r="G854" s="21"/>
      <c r="H854" s="11"/>
      <c r="I854" s="11"/>
    </row>
    <row r="855" spans="1:9" ht="22.5" customHeight="1">
      <c r="A855" s="18"/>
      <c r="B855" s="19"/>
      <c r="C855" s="20"/>
      <c r="D855" s="11"/>
      <c r="E855" s="11"/>
      <c r="F855" s="11"/>
      <c r="G855" s="21"/>
      <c r="H855" s="11"/>
      <c r="I855" s="11"/>
    </row>
    <row r="856" spans="1:9" ht="22.5" customHeight="1">
      <c r="A856" s="18"/>
      <c r="B856" s="19"/>
      <c r="C856" s="20"/>
      <c r="D856" s="11"/>
      <c r="E856" s="11"/>
      <c r="F856" s="11"/>
      <c r="G856" s="21"/>
      <c r="H856" s="11"/>
      <c r="I856" s="11"/>
    </row>
    <row r="857" spans="1:9" ht="22.5" customHeight="1">
      <c r="A857" s="18"/>
      <c r="B857" s="19"/>
      <c r="C857" s="20"/>
      <c r="D857" s="11"/>
      <c r="E857" s="11"/>
      <c r="F857" s="11"/>
      <c r="G857" s="21"/>
      <c r="H857" s="11"/>
      <c r="I857" s="11"/>
    </row>
    <row r="858" spans="1:9" ht="22.5" customHeight="1">
      <c r="A858" s="18"/>
      <c r="B858" s="19"/>
      <c r="C858" s="20"/>
      <c r="D858" s="11"/>
      <c r="E858" s="11"/>
      <c r="F858" s="11"/>
      <c r="G858" s="21"/>
      <c r="H858" s="11"/>
      <c r="I858" s="11"/>
    </row>
    <row r="859" spans="1:9" ht="22.5" customHeight="1">
      <c r="A859" s="18"/>
      <c r="B859" s="19"/>
      <c r="C859" s="20"/>
      <c r="D859" s="11"/>
      <c r="E859" s="11"/>
      <c r="F859" s="11"/>
      <c r="G859" s="21"/>
      <c r="H859" s="11"/>
      <c r="I859" s="11"/>
    </row>
    <row r="860" spans="1:9" ht="22.5" customHeight="1">
      <c r="A860" s="18"/>
      <c r="B860" s="19"/>
      <c r="C860" s="20"/>
      <c r="D860" s="11"/>
      <c r="E860" s="11"/>
      <c r="F860" s="11"/>
      <c r="G860" s="21"/>
      <c r="H860" s="11"/>
      <c r="I860" s="11"/>
    </row>
    <row r="861" spans="1:9" ht="22.5" customHeight="1">
      <c r="A861" s="18"/>
      <c r="B861" s="19"/>
      <c r="C861" s="20"/>
      <c r="D861" s="11"/>
      <c r="E861" s="11"/>
      <c r="F861" s="11"/>
      <c r="G861" s="21"/>
      <c r="H861" s="11"/>
      <c r="I861" s="11"/>
    </row>
    <row r="862" spans="1:9" ht="22.5" customHeight="1">
      <c r="A862" s="18"/>
      <c r="B862" s="19"/>
      <c r="C862" s="20"/>
      <c r="D862" s="11"/>
      <c r="E862" s="11"/>
      <c r="F862" s="11"/>
      <c r="G862" s="21"/>
      <c r="H862" s="11"/>
      <c r="I862" s="11"/>
    </row>
    <row r="863" spans="1:9" ht="22.5" customHeight="1">
      <c r="A863" s="18"/>
      <c r="B863" s="19"/>
      <c r="C863" s="20"/>
      <c r="D863" s="11"/>
      <c r="E863" s="11"/>
      <c r="F863" s="11"/>
      <c r="G863" s="21"/>
      <c r="H863" s="11"/>
      <c r="I863" s="11"/>
    </row>
    <row r="864" spans="1:9" ht="22.5" customHeight="1">
      <c r="A864" s="18"/>
      <c r="B864" s="19"/>
      <c r="C864" s="20"/>
      <c r="D864" s="11"/>
      <c r="E864" s="11"/>
      <c r="F864" s="11"/>
      <c r="G864" s="21"/>
      <c r="H864" s="11"/>
      <c r="I864" s="11"/>
    </row>
    <row r="865" spans="1:9" ht="22.5" customHeight="1">
      <c r="A865" s="18"/>
      <c r="B865" s="19"/>
      <c r="C865" s="20"/>
      <c r="D865" s="11"/>
      <c r="E865" s="11"/>
      <c r="F865" s="11"/>
      <c r="G865" s="21"/>
      <c r="H865" s="11"/>
      <c r="I865" s="11"/>
    </row>
    <row r="866" spans="1:9" ht="22.5" customHeight="1">
      <c r="A866" s="18"/>
      <c r="B866" s="19"/>
      <c r="C866" s="20"/>
      <c r="D866" s="11"/>
      <c r="E866" s="11"/>
      <c r="F866" s="11"/>
      <c r="G866" s="21"/>
      <c r="H866" s="11"/>
      <c r="I866" s="11"/>
    </row>
    <row r="867" spans="1:9" ht="22.5" customHeight="1">
      <c r="A867" s="18"/>
      <c r="B867" s="19"/>
      <c r="C867" s="20"/>
      <c r="D867" s="11"/>
      <c r="E867" s="11"/>
      <c r="F867" s="11"/>
      <c r="G867" s="21"/>
      <c r="H867" s="11"/>
      <c r="I867" s="11"/>
    </row>
    <row r="868" spans="1:9" ht="22.5" customHeight="1">
      <c r="A868" s="18"/>
      <c r="B868" s="19"/>
      <c r="C868" s="20"/>
      <c r="D868" s="11"/>
      <c r="E868" s="11"/>
      <c r="F868" s="11"/>
      <c r="G868" s="21"/>
      <c r="H868" s="11"/>
      <c r="I868" s="11"/>
    </row>
    <row r="869" spans="1:9" ht="22.5" customHeight="1">
      <c r="A869" s="18"/>
      <c r="B869" s="19"/>
      <c r="C869" s="20"/>
      <c r="D869" s="11"/>
      <c r="E869" s="11"/>
      <c r="F869" s="11"/>
      <c r="G869" s="21"/>
      <c r="H869" s="11"/>
      <c r="I869" s="11"/>
    </row>
    <row r="870" spans="1:9" ht="22.5" customHeight="1">
      <c r="A870" s="18"/>
      <c r="B870" s="19"/>
      <c r="C870" s="20"/>
      <c r="D870" s="11"/>
      <c r="E870" s="11"/>
      <c r="F870" s="11"/>
      <c r="G870" s="21"/>
      <c r="H870" s="11"/>
      <c r="I870" s="11"/>
    </row>
    <row r="871" spans="1:9" ht="22.5" customHeight="1">
      <c r="A871" s="18"/>
      <c r="B871" s="19"/>
      <c r="C871" s="20"/>
      <c r="D871" s="11"/>
      <c r="E871" s="11"/>
      <c r="F871" s="11"/>
      <c r="G871" s="21"/>
      <c r="H871" s="11"/>
      <c r="I871" s="11"/>
    </row>
    <row r="872" spans="1:9" ht="22.5" customHeight="1">
      <c r="A872" s="18"/>
      <c r="B872" s="19"/>
      <c r="C872" s="20"/>
      <c r="D872" s="11"/>
      <c r="E872" s="11"/>
      <c r="F872" s="11"/>
      <c r="G872" s="21"/>
      <c r="H872" s="11"/>
      <c r="I872" s="11"/>
    </row>
    <row r="873" spans="1:9" ht="22.5" customHeight="1">
      <c r="A873" s="18"/>
      <c r="B873" s="19"/>
      <c r="C873" s="20"/>
      <c r="D873" s="11"/>
      <c r="E873" s="11"/>
      <c r="F873" s="11"/>
      <c r="G873" s="21"/>
      <c r="H873" s="11"/>
      <c r="I873" s="11"/>
    </row>
    <row r="874" spans="1:9" ht="22.5" customHeight="1">
      <c r="A874" s="18"/>
      <c r="B874" s="19"/>
      <c r="C874" s="20"/>
      <c r="D874" s="11"/>
      <c r="E874" s="11"/>
      <c r="F874" s="11"/>
      <c r="G874" s="21"/>
      <c r="H874" s="11"/>
      <c r="I874" s="11"/>
    </row>
    <row r="875" spans="1:9" ht="22.5" customHeight="1">
      <c r="A875" s="18"/>
      <c r="B875" s="19"/>
      <c r="C875" s="20"/>
      <c r="D875" s="11"/>
      <c r="E875" s="11"/>
      <c r="F875" s="11"/>
      <c r="G875" s="21"/>
      <c r="H875" s="11"/>
      <c r="I875" s="11"/>
    </row>
    <row r="876" spans="1:9" ht="22.5" customHeight="1">
      <c r="A876" s="18"/>
      <c r="B876" s="19"/>
      <c r="C876" s="20"/>
      <c r="D876" s="11"/>
      <c r="E876" s="11"/>
      <c r="F876" s="11"/>
      <c r="G876" s="21"/>
      <c r="H876" s="11"/>
      <c r="I876" s="11"/>
    </row>
    <row r="877" spans="1:9" ht="22.5" customHeight="1">
      <c r="A877" s="18"/>
      <c r="B877" s="19"/>
      <c r="C877" s="20"/>
      <c r="D877" s="11"/>
      <c r="E877" s="11"/>
      <c r="F877" s="11"/>
      <c r="G877" s="21"/>
      <c r="H877" s="11"/>
      <c r="I877" s="11"/>
    </row>
    <row r="878" spans="1:9" ht="22.5" customHeight="1">
      <c r="A878" s="18"/>
      <c r="B878" s="19"/>
      <c r="C878" s="20"/>
      <c r="D878" s="11"/>
      <c r="E878" s="11"/>
      <c r="F878" s="11"/>
      <c r="G878" s="21"/>
      <c r="H878" s="11"/>
      <c r="I878" s="11"/>
    </row>
    <row r="879" spans="1:9" ht="22.5" customHeight="1">
      <c r="A879" s="18"/>
      <c r="B879" s="19"/>
      <c r="C879" s="20"/>
      <c r="D879" s="11"/>
      <c r="E879" s="11"/>
      <c r="F879" s="11"/>
      <c r="G879" s="21"/>
      <c r="H879" s="11"/>
      <c r="I879" s="11"/>
    </row>
    <row r="880" spans="1:9" ht="22.5" customHeight="1">
      <c r="A880" s="18"/>
      <c r="B880" s="19"/>
      <c r="C880" s="20"/>
      <c r="D880" s="11"/>
      <c r="E880" s="11"/>
      <c r="F880" s="11"/>
      <c r="G880" s="21"/>
      <c r="H880" s="11"/>
      <c r="I880" s="11"/>
    </row>
    <row r="881" spans="1:9" ht="22.5" customHeight="1">
      <c r="A881" s="18"/>
      <c r="B881" s="19"/>
      <c r="C881" s="20"/>
      <c r="D881" s="11"/>
      <c r="E881" s="11"/>
      <c r="F881" s="11"/>
      <c r="G881" s="21"/>
      <c r="H881" s="11"/>
      <c r="I881" s="11"/>
    </row>
    <row r="882" spans="1:9" ht="22.5" customHeight="1">
      <c r="A882" s="18"/>
      <c r="B882" s="19"/>
      <c r="C882" s="20"/>
      <c r="D882" s="11"/>
      <c r="E882" s="11"/>
      <c r="F882" s="11"/>
      <c r="G882" s="21"/>
      <c r="H882" s="11"/>
      <c r="I882" s="11"/>
    </row>
    <row r="883" spans="1:9" ht="22.5" customHeight="1">
      <c r="A883" s="18"/>
      <c r="B883" s="19"/>
      <c r="C883" s="20"/>
      <c r="D883" s="11"/>
      <c r="E883" s="11"/>
      <c r="F883" s="11"/>
      <c r="G883" s="21"/>
      <c r="H883" s="11"/>
      <c r="I883" s="11"/>
    </row>
    <row r="884" spans="1:9" ht="22.5" customHeight="1">
      <c r="A884" s="18"/>
      <c r="B884" s="19"/>
      <c r="C884" s="20"/>
      <c r="D884" s="11"/>
      <c r="E884" s="11"/>
      <c r="F884" s="11"/>
      <c r="G884" s="21"/>
      <c r="H884" s="11"/>
      <c r="I884" s="11"/>
    </row>
    <row r="885" spans="1:9" ht="22.5" customHeight="1">
      <c r="A885" s="18"/>
      <c r="B885" s="19"/>
      <c r="C885" s="20"/>
      <c r="D885" s="11"/>
      <c r="E885" s="11"/>
      <c r="F885" s="11"/>
      <c r="G885" s="21"/>
      <c r="H885" s="11"/>
      <c r="I885" s="11"/>
    </row>
    <row r="886" spans="1:9" ht="22.5" customHeight="1">
      <c r="A886" s="18"/>
      <c r="B886" s="19"/>
      <c r="C886" s="20"/>
      <c r="D886" s="11"/>
      <c r="E886" s="11"/>
      <c r="F886" s="11"/>
      <c r="G886" s="21"/>
      <c r="H886" s="11"/>
      <c r="I886" s="11"/>
    </row>
    <row r="887" spans="1:9" ht="22.5" customHeight="1">
      <c r="A887" s="18"/>
      <c r="B887" s="19"/>
      <c r="C887" s="20"/>
      <c r="D887" s="11"/>
      <c r="E887" s="11"/>
      <c r="F887" s="11"/>
      <c r="G887" s="21"/>
      <c r="H887" s="11"/>
      <c r="I887" s="11"/>
    </row>
    <row r="888" spans="1:9" ht="22.5" customHeight="1">
      <c r="A888" s="18"/>
      <c r="B888" s="19"/>
      <c r="C888" s="20"/>
      <c r="D888" s="11"/>
      <c r="E888" s="11"/>
      <c r="F888" s="11"/>
      <c r="G888" s="21"/>
      <c r="H888" s="11"/>
      <c r="I888" s="11"/>
    </row>
    <row r="889" spans="1:9" ht="22.5" customHeight="1">
      <c r="A889" s="18"/>
      <c r="B889" s="19"/>
      <c r="C889" s="20"/>
      <c r="D889" s="11"/>
      <c r="E889" s="11"/>
      <c r="F889" s="11"/>
      <c r="G889" s="21"/>
      <c r="H889" s="11"/>
      <c r="I889" s="11"/>
    </row>
    <row r="890" spans="1:9" ht="22.5" customHeight="1">
      <c r="A890" s="18"/>
      <c r="B890" s="19"/>
      <c r="C890" s="20"/>
      <c r="D890" s="11"/>
      <c r="E890" s="11"/>
      <c r="F890" s="11"/>
      <c r="G890" s="21"/>
      <c r="H890" s="11"/>
      <c r="I890" s="11"/>
    </row>
    <row r="891" spans="1:9" ht="22.5" customHeight="1">
      <c r="A891" s="18"/>
      <c r="B891" s="19"/>
      <c r="C891" s="20"/>
      <c r="D891" s="11"/>
      <c r="E891" s="11"/>
      <c r="F891" s="11"/>
      <c r="G891" s="21"/>
      <c r="H891" s="11"/>
      <c r="I891" s="11"/>
    </row>
    <row r="892" spans="1:9" ht="22.5" customHeight="1">
      <c r="A892" s="18"/>
      <c r="B892" s="19"/>
      <c r="C892" s="20"/>
      <c r="D892" s="11"/>
      <c r="E892" s="11"/>
      <c r="F892" s="11"/>
      <c r="G892" s="21"/>
      <c r="H892" s="11"/>
      <c r="I892" s="11"/>
    </row>
    <row r="893" spans="1:9" ht="22.5" customHeight="1">
      <c r="A893" s="18"/>
      <c r="B893" s="19"/>
      <c r="C893" s="20"/>
      <c r="D893" s="11"/>
      <c r="E893" s="11"/>
      <c r="F893" s="11"/>
      <c r="G893" s="21"/>
      <c r="H893" s="11"/>
      <c r="I893" s="11"/>
    </row>
    <row r="894" spans="1:9" ht="22.5" customHeight="1">
      <c r="A894" s="18"/>
      <c r="B894" s="19"/>
      <c r="C894" s="20"/>
      <c r="D894" s="11"/>
      <c r="E894" s="11"/>
      <c r="F894" s="11"/>
      <c r="G894" s="21"/>
      <c r="H894" s="11"/>
      <c r="I894" s="11"/>
    </row>
    <row r="895" spans="1:9" ht="22.5" customHeight="1">
      <c r="A895" s="18"/>
      <c r="B895" s="19"/>
      <c r="C895" s="20"/>
      <c r="D895" s="11"/>
      <c r="E895" s="11"/>
      <c r="F895" s="11"/>
      <c r="G895" s="21"/>
      <c r="H895" s="11"/>
      <c r="I895" s="11"/>
    </row>
    <row r="896" spans="1:9" ht="22.5" customHeight="1">
      <c r="A896" s="18"/>
      <c r="B896" s="19"/>
      <c r="C896" s="20"/>
      <c r="D896" s="11"/>
      <c r="E896" s="11"/>
      <c r="F896" s="11"/>
      <c r="G896" s="21"/>
      <c r="H896" s="11"/>
      <c r="I896" s="11"/>
    </row>
    <row r="897" spans="1:9" ht="22.5" customHeight="1">
      <c r="A897" s="18"/>
      <c r="B897" s="19"/>
      <c r="C897" s="20"/>
      <c r="D897" s="11"/>
      <c r="E897" s="11"/>
      <c r="F897" s="11"/>
      <c r="G897" s="21"/>
      <c r="H897" s="11"/>
      <c r="I897" s="11"/>
    </row>
    <row r="898" spans="1:9" ht="22.5" customHeight="1">
      <c r="A898" s="18"/>
      <c r="B898" s="19"/>
      <c r="C898" s="20"/>
      <c r="D898" s="11"/>
      <c r="E898" s="11"/>
      <c r="F898" s="11"/>
      <c r="G898" s="21"/>
      <c r="H898" s="11"/>
      <c r="I898" s="11"/>
    </row>
    <row r="899" spans="1:9" ht="22.5" customHeight="1">
      <c r="A899" s="18"/>
      <c r="B899" s="19"/>
      <c r="C899" s="20"/>
      <c r="D899" s="11"/>
      <c r="E899" s="11"/>
      <c r="F899" s="11"/>
      <c r="G899" s="21"/>
      <c r="H899" s="11"/>
      <c r="I899" s="11"/>
    </row>
    <row r="900" spans="1:9" ht="22.5" customHeight="1">
      <c r="A900" s="18"/>
      <c r="B900" s="19"/>
      <c r="C900" s="20"/>
      <c r="D900" s="11"/>
      <c r="E900" s="11"/>
      <c r="F900" s="11"/>
      <c r="G900" s="21"/>
      <c r="H900" s="11"/>
      <c r="I900" s="11"/>
    </row>
    <row r="901" spans="1:9" ht="22.5" customHeight="1">
      <c r="A901" s="18"/>
      <c r="B901" s="19"/>
      <c r="C901" s="20"/>
      <c r="D901" s="11"/>
      <c r="E901" s="11"/>
      <c r="F901" s="11"/>
      <c r="G901" s="21"/>
      <c r="H901" s="11"/>
      <c r="I901" s="11"/>
    </row>
    <row r="902" spans="1:9" ht="22.5" customHeight="1">
      <c r="A902" s="18"/>
      <c r="B902" s="19"/>
      <c r="C902" s="20"/>
      <c r="D902" s="11"/>
      <c r="E902" s="11"/>
      <c r="F902" s="11"/>
      <c r="G902" s="21"/>
      <c r="H902" s="11"/>
      <c r="I902" s="11"/>
    </row>
    <row r="903" spans="1:9" ht="22.5" customHeight="1">
      <c r="A903" s="18"/>
      <c r="B903" s="19"/>
      <c r="C903" s="20"/>
      <c r="D903" s="11"/>
      <c r="E903" s="11"/>
      <c r="F903" s="11"/>
      <c r="G903" s="21"/>
      <c r="H903" s="11"/>
      <c r="I903" s="11"/>
    </row>
    <row r="904" spans="1:9" ht="22.5" customHeight="1">
      <c r="A904" s="18"/>
      <c r="B904" s="19"/>
      <c r="C904" s="20"/>
      <c r="D904" s="11"/>
      <c r="E904" s="11"/>
      <c r="F904" s="11"/>
      <c r="G904" s="21"/>
      <c r="H904" s="11"/>
      <c r="I904" s="11"/>
    </row>
    <row r="905" spans="1:9" ht="22.5" customHeight="1">
      <c r="A905" s="18"/>
      <c r="B905" s="19"/>
      <c r="C905" s="20"/>
      <c r="D905" s="11"/>
      <c r="E905" s="11"/>
      <c r="F905" s="11"/>
      <c r="G905" s="21"/>
      <c r="H905" s="11"/>
      <c r="I905" s="11"/>
    </row>
    <row r="906" spans="1:9" ht="22.5" customHeight="1">
      <c r="A906" s="18"/>
      <c r="B906" s="19"/>
      <c r="C906" s="20"/>
      <c r="D906" s="11"/>
      <c r="E906" s="11"/>
      <c r="F906" s="11"/>
      <c r="G906" s="21"/>
      <c r="H906" s="11"/>
      <c r="I906" s="11"/>
    </row>
    <row r="907" spans="1:9" ht="22.5" customHeight="1">
      <c r="A907" s="18"/>
      <c r="B907" s="19"/>
      <c r="C907" s="20"/>
      <c r="D907" s="11"/>
      <c r="E907" s="11"/>
      <c r="F907" s="11"/>
      <c r="G907" s="21"/>
      <c r="H907" s="11"/>
      <c r="I907" s="11"/>
    </row>
    <row r="908" spans="1:9" ht="22.5" customHeight="1">
      <c r="A908" s="18"/>
      <c r="B908" s="19"/>
      <c r="C908" s="20"/>
      <c r="D908" s="11"/>
      <c r="E908" s="11"/>
      <c r="F908" s="11"/>
      <c r="G908" s="21"/>
      <c r="H908" s="11"/>
      <c r="I908" s="11"/>
    </row>
    <row r="909" spans="1:9" ht="22.5" customHeight="1">
      <c r="A909" s="18"/>
      <c r="B909" s="19"/>
      <c r="C909" s="20"/>
      <c r="D909" s="11"/>
      <c r="E909" s="11"/>
      <c r="F909" s="11"/>
      <c r="G909" s="21"/>
      <c r="H909" s="11"/>
      <c r="I909" s="11"/>
    </row>
    <row r="910" spans="1:9" ht="22.5" customHeight="1">
      <c r="A910" s="18"/>
      <c r="B910" s="19"/>
      <c r="C910" s="20"/>
      <c r="D910" s="11"/>
      <c r="E910" s="11"/>
      <c r="F910" s="11"/>
      <c r="G910" s="21"/>
      <c r="H910" s="11"/>
      <c r="I910" s="11"/>
    </row>
    <row r="911" spans="1:9" ht="22.5" customHeight="1">
      <c r="A911" s="18"/>
      <c r="B911" s="19"/>
      <c r="C911" s="20"/>
      <c r="D911" s="11"/>
      <c r="E911" s="11"/>
      <c r="F911" s="11"/>
      <c r="G911" s="21"/>
      <c r="H911" s="11"/>
      <c r="I911" s="11"/>
    </row>
    <row r="912" spans="1:9" ht="22.5" customHeight="1">
      <c r="A912" s="18"/>
      <c r="B912" s="19"/>
      <c r="C912" s="20"/>
      <c r="D912" s="11"/>
      <c r="E912" s="11"/>
      <c r="F912" s="11"/>
      <c r="G912" s="21"/>
      <c r="H912" s="11"/>
      <c r="I912" s="11"/>
    </row>
    <row r="913" spans="1:9" ht="22.5" customHeight="1">
      <c r="A913" s="18"/>
      <c r="B913" s="19"/>
      <c r="C913" s="20"/>
      <c r="D913" s="11"/>
      <c r="E913" s="11"/>
      <c r="F913" s="11"/>
      <c r="G913" s="21"/>
      <c r="H913" s="11"/>
      <c r="I913" s="11"/>
    </row>
    <row r="914" spans="1:9" ht="22.5" customHeight="1">
      <c r="A914" s="18"/>
      <c r="B914" s="19"/>
      <c r="C914" s="20"/>
      <c r="D914" s="11"/>
      <c r="E914" s="11"/>
      <c r="F914" s="11"/>
      <c r="G914" s="21"/>
      <c r="H914" s="11"/>
      <c r="I914" s="11"/>
    </row>
    <row r="915" spans="1:9" ht="22.5" customHeight="1">
      <c r="A915" s="18"/>
      <c r="B915" s="19"/>
      <c r="C915" s="20"/>
      <c r="D915" s="11"/>
      <c r="E915" s="11"/>
      <c r="F915" s="11"/>
      <c r="G915" s="21"/>
      <c r="H915" s="11"/>
      <c r="I915" s="11"/>
    </row>
    <row r="916" spans="1:9" ht="22.5" customHeight="1">
      <c r="A916" s="18"/>
      <c r="B916" s="19"/>
      <c r="C916" s="20"/>
      <c r="D916" s="11"/>
      <c r="E916" s="11"/>
      <c r="F916" s="11"/>
      <c r="G916" s="21"/>
      <c r="H916" s="11"/>
      <c r="I916" s="11"/>
    </row>
    <row r="917" spans="1:9" ht="22.5" customHeight="1">
      <c r="A917" s="18"/>
      <c r="B917" s="19"/>
      <c r="C917" s="20"/>
      <c r="D917" s="11"/>
      <c r="E917" s="11"/>
      <c r="F917" s="11"/>
      <c r="G917" s="21"/>
      <c r="H917" s="11"/>
      <c r="I917" s="11"/>
    </row>
    <row r="918" spans="1:9" ht="22.5" customHeight="1">
      <c r="A918" s="18"/>
      <c r="B918" s="19"/>
      <c r="C918" s="20"/>
      <c r="D918" s="11"/>
      <c r="E918" s="11"/>
      <c r="F918" s="11"/>
      <c r="G918" s="21"/>
      <c r="H918" s="11"/>
      <c r="I918" s="11"/>
    </row>
    <row r="919" spans="1:9" ht="22.5" customHeight="1">
      <c r="A919" s="18"/>
      <c r="B919" s="19"/>
      <c r="C919" s="20"/>
      <c r="D919" s="11"/>
      <c r="E919" s="11"/>
      <c r="F919" s="11"/>
      <c r="G919" s="21"/>
      <c r="H919" s="11"/>
      <c r="I919" s="11"/>
    </row>
    <row r="920" spans="1:9" ht="22.5" customHeight="1">
      <c r="A920" s="18"/>
      <c r="B920" s="19"/>
      <c r="C920" s="20"/>
      <c r="D920" s="11"/>
      <c r="E920" s="11"/>
      <c r="F920" s="11"/>
      <c r="G920" s="21"/>
      <c r="H920" s="11"/>
      <c r="I920" s="11"/>
    </row>
    <row r="921" spans="1:9" ht="22.5" customHeight="1">
      <c r="A921" s="18"/>
      <c r="B921" s="19"/>
      <c r="C921" s="20"/>
      <c r="D921" s="11"/>
      <c r="E921" s="11"/>
      <c r="F921" s="11"/>
      <c r="G921" s="21"/>
      <c r="H921" s="11"/>
      <c r="I921" s="11"/>
    </row>
    <row r="922" spans="1:9" ht="22.5" customHeight="1">
      <c r="A922" s="18"/>
      <c r="B922" s="19"/>
      <c r="C922" s="20"/>
      <c r="D922" s="11"/>
      <c r="E922" s="11"/>
      <c r="F922" s="11"/>
      <c r="G922" s="21"/>
      <c r="H922" s="11"/>
      <c r="I922" s="11"/>
    </row>
    <row r="923" spans="1:9" ht="22.5" customHeight="1">
      <c r="A923" s="18"/>
      <c r="B923" s="19"/>
      <c r="C923" s="20"/>
      <c r="D923" s="11"/>
      <c r="E923" s="11"/>
      <c r="F923" s="11"/>
      <c r="G923" s="21"/>
      <c r="H923" s="11"/>
      <c r="I923" s="11"/>
    </row>
    <row r="924" spans="1:9" ht="22.5" customHeight="1">
      <c r="A924" s="18"/>
      <c r="B924" s="19"/>
      <c r="C924" s="20"/>
      <c r="D924" s="11"/>
      <c r="E924" s="11"/>
      <c r="F924" s="11"/>
      <c r="G924" s="21"/>
      <c r="H924" s="11"/>
      <c r="I924" s="11"/>
    </row>
    <row r="925" spans="1:9" ht="22.5" customHeight="1">
      <c r="A925" s="18"/>
      <c r="B925" s="19"/>
      <c r="C925" s="20"/>
      <c r="D925" s="11"/>
      <c r="E925" s="11"/>
      <c r="F925" s="11"/>
      <c r="G925" s="21"/>
      <c r="H925" s="11"/>
      <c r="I925" s="11"/>
    </row>
    <row r="926" spans="1:9" ht="22.5" customHeight="1">
      <c r="A926" s="18"/>
      <c r="B926" s="19"/>
      <c r="C926" s="20"/>
      <c r="D926" s="11"/>
      <c r="E926" s="11"/>
      <c r="F926" s="11"/>
      <c r="G926" s="21"/>
      <c r="H926" s="11"/>
      <c r="I926" s="11"/>
    </row>
    <row r="927" spans="1:9" ht="22.5" customHeight="1">
      <c r="A927" s="18"/>
      <c r="B927" s="19"/>
      <c r="C927" s="20"/>
      <c r="D927" s="11"/>
      <c r="E927" s="11"/>
      <c r="F927" s="11"/>
      <c r="G927" s="21"/>
      <c r="H927" s="11"/>
      <c r="I927" s="11"/>
    </row>
    <row r="928" spans="1:9" ht="22.5" customHeight="1">
      <c r="A928" s="18"/>
      <c r="B928" s="19"/>
      <c r="C928" s="20"/>
      <c r="D928" s="11"/>
      <c r="E928" s="11"/>
      <c r="F928" s="11"/>
      <c r="G928" s="21"/>
      <c r="H928" s="11"/>
      <c r="I928" s="11"/>
    </row>
    <row r="929" spans="1:9" ht="22.5" customHeight="1">
      <c r="A929" s="18"/>
      <c r="B929" s="19"/>
      <c r="C929" s="20"/>
      <c r="D929" s="11"/>
      <c r="E929" s="11"/>
      <c r="F929" s="11"/>
      <c r="G929" s="21"/>
      <c r="H929" s="11"/>
      <c r="I929" s="11"/>
    </row>
    <row r="930" spans="1:9" ht="22.5" customHeight="1">
      <c r="A930" s="18"/>
      <c r="B930" s="19"/>
      <c r="C930" s="20"/>
      <c r="D930" s="11"/>
      <c r="E930" s="11"/>
      <c r="F930" s="11"/>
      <c r="G930" s="21"/>
      <c r="H930" s="11"/>
      <c r="I930" s="11"/>
    </row>
    <row r="931" spans="1:9" ht="22.5" customHeight="1">
      <c r="A931" s="18"/>
      <c r="B931" s="19"/>
      <c r="C931" s="20"/>
      <c r="D931" s="11"/>
      <c r="E931" s="11"/>
      <c r="F931" s="11"/>
      <c r="G931" s="21"/>
      <c r="H931" s="11"/>
      <c r="I931" s="11"/>
    </row>
    <row r="932" spans="1:9" ht="22.5" customHeight="1">
      <c r="A932" s="18"/>
      <c r="B932" s="19"/>
      <c r="C932" s="20"/>
      <c r="D932" s="11"/>
      <c r="E932" s="11"/>
      <c r="F932" s="11"/>
      <c r="G932" s="21"/>
      <c r="H932" s="11"/>
      <c r="I932" s="11"/>
    </row>
    <row r="933" spans="1:9" ht="22.5" customHeight="1">
      <c r="A933" s="18"/>
      <c r="B933" s="19"/>
      <c r="C933" s="20"/>
      <c r="D933" s="11"/>
      <c r="E933" s="11"/>
      <c r="F933" s="11"/>
      <c r="G933" s="21"/>
      <c r="H933" s="11"/>
      <c r="I933" s="11"/>
    </row>
    <row r="934" spans="1:9" ht="22.5" customHeight="1">
      <c r="A934" s="18"/>
      <c r="B934" s="19"/>
      <c r="C934" s="20"/>
      <c r="D934" s="11"/>
      <c r="E934" s="11"/>
      <c r="F934" s="11"/>
      <c r="G934" s="21"/>
      <c r="H934" s="11"/>
      <c r="I934" s="11"/>
    </row>
    <row r="935" spans="1:9" ht="22.5" customHeight="1">
      <c r="A935" s="18"/>
      <c r="B935" s="19"/>
      <c r="C935" s="20"/>
      <c r="D935" s="11"/>
      <c r="E935" s="11"/>
      <c r="F935" s="11"/>
      <c r="G935" s="21"/>
      <c r="H935" s="11"/>
      <c r="I935" s="11"/>
    </row>
    <row r="936" spans="1:9" ht="22.5" customHeight="1">
      <c r="A936" s="18"/>
      <c r="B936" s="19"/>
      <c r="C936" s="20"/>
      <c r="D936" s="11"/>
      <c r="E936" s="11"/>
      <c r="F936" s="11"/>
      <c r="G936" s="21"/>
      <c r="H936" s="11"/>
      <c r="I936" s="11"/>
    </row>
    <row r="937" spans="1:9" ht="22.5" customHeight="1">
      <c r="A937" s="18"/>
      <c r="B937" s="19"/>
      <c r="C937" s="20"/>
      <c r="D937" s="11"/>
      <c r="E937" s="11"/>
      <c r="F937" s="11"/>
      <c r="G937" s="21"/>
      <c r="H937" s="11"/>
      <c r="I937" s="11"/>
    </row>
    <row r="938" spans="1:9" ht="22.5" customHeight="1">
      <c r="A938" s="18"/>
      <c r="B938" s="19"/>
      <c r="C938" s="20"/>
      <c r="D938" s="11"/>
      <c r="E938" s="11"/>
      <c r="F938" s="11"/>
      <c r="G938" s="21"/>
      <c r="H938" s="11"/>
      <c r="I938" s="11"/>
    </row>
    <row r="939" spans="1:9" ht="22.5" customHeight="1">
      <c r="A939" s="18"/>
      <c r="B939" s="19"/>
      <c r="C939" s="20"/>
      <c r="D939" s="11"/>
      <c r="E939" s="11"/>
      <c r="F939" s="11"/>
      <c r="G939" s="21"/>
      <c r="H939" s="11"/>
      <c r="I939" s="11"/>
    </row>
    <row r="940" spans="1:9" ht="22.5" customHeight="1">
      <c r="A940" s="18"/>
      <c r="B940" s="19"/>
      <c r="C940" s="20"/>
      <c r="D940" s="11"/>
      <c r="E940" s="11"/>
      <c r="F940" s="11"/>
      <c r="G940" s="21"/>
      <c r="H940" s="11"/>
      <c r="I940" s="11"/>
    </row>
    <row r="941" spans="1:9" ht="22.5" customHeight="1">
      <c r="A941" s="18"/>
      <c r="B941" s="19"/>
      <c r="C941" s="20"/>
      <c r="D941" s="11"/>
      <c r="E941" s="11"/>
      <c r="F941" s="11"/>
      <c r="G941" s="21"/>
      <c r="H941" s="11"/>
      <c r="I941" s="11"/>
    </row>
    <row r="942" spans="1:9" ht="22.5" customHeight="1">
      <c r="A942" s="18"/>
      <c r="B942" s="19"/>
      <c r="C942" s="20"/>
      <c r="D942" s="11"/>
      <c r="E942" s="11"/>
      <c r="F942" s="11"/>
      <c r="G942" s="21"/>
      <c r="H942" s="11"/>
      <c r="I942" s="11"/>
    </row>
    <row r="943" spans="1:9" ht="22.5" customHeight="1">
      <c r="A943" s="18"/>
      <c r="B943" s="19"/>
      <c r="C943" s="20"/>
      <c r="D943" s="11"/>
      <c r="E943" s="11"/>
      <c r="F943" s="11"/>
      <c r="G943" s="21"/>
      <c r="H943" s="11"/>
      <c r="I943" s="11"/>
    </row>
    <row r="944" spans="1:9" ht="22.5" customHeight="1">
      <c r="A944" s="18"/>
      <c r="B944" s="19"/>
      <c r="C944" s="20"/>
      <c r="D944" s="11"/>
      <c r="E944" s="11"/>
      <c r="F944" s="11"/>
      <c r="G944" s="21"/>
      <c r="H944" s="11"/>
      <c r="I944" s="11"/>
    </row>
    <row r="945" spans="1:9" ht="22.5" customHeight="1">
      <c r="A945" s="18"/>
      <c r="B945" s="19"/>
      <c r="C945" s="20"/>
      <c r="D945" s="11"/>
      <c r="E945" s="11"/>
      <c r="F945" s="11"/>
      <c r="G945" s="21"/>
      <c r="H945" s="11"/>
      <c r="I945" s="11"/>
    </row>
    <row r="946" spans="1:9" ht="22.5" customHeight="1">
      <c r="A946" s="18"/>
      <c r="B946" s="19"/>
      <c r="C946" s="20"/>
      <c r="D946" s="11"/>
      <c r="E946" s="11"/>
      <c r="F946" s="11"/>
      <c r="G946" s="21"/>
      <c r="H946" s="11"/>
      <c r="I946" s="11"/>
    </row>
    <row r="947" spans="1:9" ht="22.5" customHeight="1">
      <c r="A947" s="18"/>
      <c r="B947" s="19"/>
      <c r="C947" s="20"/>
      <c r="D947" s="11"/>
      <c r="E947" s="11"/>
      <c r="F947" s="11"/>
      <c r="G947" s="21"/>
      <c r="H947" s="11"/>
      <c r="I947" s="11"/>
    </row>
    <row r="948" spans="1:9" ht="22.5" customHeight="1">
      <c r="A948" s="18"/>
      <c r="B948" s="19"/>
      <c r="C948" s="20"/>
      <c r="D948" s="11"/>
      <c r="E948" s="11"/>
      <c r="F948" s="11"/>
      <c r="G948" s="21"/>
      <c r="H948" s="11"/>
      <c r="I948" s="11"/>
    </row>
    <row r="949" spans="1:9" ht="22.5" customHeight="1">
      <c r="A949" s="18"/>
      <c r="B949" s="19"/>
      <c r="C949" s="20"/>
      <c r="D949" s="11"/>
      <c r="E949" s="11"/>
      <c r="F949" s="11"/>
      <c r="G949" s="21"/>
      <c r="H949" s="11"/>
      <c r="I949" s="11"/>
    </row>
    <row r="950" spans="1:9" ht="22.5" customHeight="1">
      <c r="A950" s="18"/>
      <c r="B950" s="19"/>
      <c r="C950" s="20"/>
      <c r="D950" s="11"/>
      <c r="E950" s="11"/>
      <c r="F950" s="11"/>
      <c r="G950" s="21"/>
      <c r="H950" s="11"/>
      <c r="I950" s="11"/>
    </row>
    <row r="951" spans="1:9" ht="22.5" customHeight="1">
      <c r="A951" s="18"/>
      <c r="B951" s="19"/>
      <c r="C951" s="20"/>
      <c r="D951" s="11"/>
      <c r="E951" s="11"/>
      <c r="F951" s="11"/>
      <c r="G951" s="21"/>
      <c r="H951" s="11"/>
      <c r="I951" s="11"/>
    </row>
    <row r="952" spans="1:9" ht="22.5" customHeight="1">
      <c r="A952" s="18"/>
      <c r="B952" s="19"/>
      <c r="C952" s="20"/>
      <c r="D952" s="11"/>
      <c r="E952" s="11"/>
      <c r="F952" s="11"/>
      <c r="G952" s="21"/>
      <c r="H952" s="11"/>
      <c r="I952" s="11"/>
    </row>
    <row r="953" spans="1:9" ht="22.5" customHeight="1">
      <c r="A953" s="18"/>
      <c r="B953" s="19"/>
      <c r="C953" s="20"/>
      <c r="D953" s="11"/>
      <c r="E953" s="11"/>
      <c r="F953" s="11"/>
      <c r="G953" s="21"/>
      <c r="H953" s="11"/>
      <c r="I953" s="11"/>
    </row>
    <row r="954" spans="1:9" ht="22.5" customHeight="1">
      <c r="A954" s="18"/>
      <c r="B954" s="19"/>
      <c r="C954" s="20"/>
      <c r="D954" s="11"/>
      <c r="E954" s="11"/>
      <c r="F954" s="11"/>
      <c r="G954" s="21"/>
      <c r="H954" s="11"/>
      <c r="I954" s="11"/>
    </row>
    <row r="955" spans="1:9" ht="22.5" customHeight="1">
      <c r="A955" s="18"/>
      <c r="B955" s="19"/>
      <c r="C955" s="20"/>
      <c r="D955" s="11"/>
      <c r="E955" s="11"/>
      <c r="F955" s="11"/>
      <c r="G955" s="21"/>
      <c r="H955" s="11"/>
      <c r="I955" s="11"/>
    </row>
    <row r="956" spans="1:9" ht="22.5" customHeight="1">
      <c r="A956" s="18"/>
      <c r="B956" s="19"/>
      <c r="C956" s="20"/>
      <c r="D956" s="11"/>
      <c r="E956" s="11"/>
      <c r="F956" s="11"/>
      <c r="G956" s="21"/>
      <c r="H956" s="11"/>
      <c r="I956" s="11"/>
    </row>
    <row r="957" spans="1:9" ht="22.5" customHeight="1">
      <c r="A957" s="18"/>
      <c r="B957" s="19"/>
      <c r="C957" s="20"/>
      <c r="D957" s="11"/>
      <c r="E957" s="11"/>
      <c r="F957" s="11"/>
      <c r="G957" s="21"/>
      <c r="H957" s="11"/>
      <c r="I957" s="11"/>
    </row>
    <row r="958" spans="1:9" ht="22.5" customHeight="1">
      <c r="A958" s="18"/>
      <c r="B958" s="19"/>
      <c r="C958" s="20"/>
      <c r="D958" s="11"/>
      <c r="E958" s="11"/>
      <c r="F958" s="11"/>
      <c r="G958" s="21"/>
      <c r="H958" s="11"/>
      <c r="I958" s="11"/>
    </row>
    <row r="959" spans="1:9" ht="22.5" customHeight="1">
      <c r="A959" s="18"/>
      <c r="B959" s="19"/>
      <c r="C959" s="20"/>
      <c r="D959" s="11"/>
      <c r="E959" s="11"/>
      <c r="F959" s="11"/>
      <c r="G959" s="21"/>
      <c r="H959" s="11"/>
      <c r="I959" s="11"/>
    </row>
    <row r="960" spans="1:9" ht="22.5" customHeight="1">
      <c r="A960" s="18"/>
      <c r="B960" s="19"/>
      <c r="C960" s="20"/>
      <c r="D960" s="11"/>
      <c r="E960" s="11"/>
      <c r="F960" s="11"/>
      <c r="G960" s="21"/>
      <c r="H960" s="11"/>
      <c r="I960" s="11"/>
    </row>
    <row r="961" spans="1:9" ht="22.5" customHeight="1">
      <c r="A961" s="18"/>
      <c r="B961" s="19"/>
      <c r="C961" s="20"/>
      <c r="D961" s="11"/>
      <c r="E961" s="11"/>
      <c r="F961" s="11"/>
      <c r="G961" s="21"/>
      <c r="H961" s="11"/>
      <c r="I961" s="11"/>
    </row>
    <row r="962" spans="1:9" ht="22.5" customHeight="1">
      <c r="A962" s="18"/>
      <c r="B962" s="19"/>
      <c r="C962" s="20"/>
      <c r="D962" s="11"/>
      <c r="E962" s="11"/>
      <c r="F962" s="11"/>
      <c r="G962" s="21"/>
      <c r="H962" s="11"/>
      <c r="I962" s="11"/>
    </row>
    <row r="963" spans="1:9" ht="22.5" customHeight="1">
      <c r="A963" s="18"/>
      <c r="B963" s="19"/>
      <c r="C963" s="20"/>
      <c r="D963" s="11"/>
      <c r="E963" s="11"/>
      <c r="F963" s="11"/>
      <c r="G963" s="21"/>
      <c r="H963" s="11"/>
      <c r="I963" s="11"/>
    </row>
    <row r="964" spans="1:9" ht="22.5" customHeight="1">
      <c r="A964" s="18"/>
      <c r="B964" s="19"/>
      <c r="C964" s="20"/>
      <c r="D964" s="11"/>
      <c r="E964" s="11"/>
      <c r="F964" s="11"/>
      <c r="G964" s="21"/>
      <c r="H964" s="11"/>
      <c r="I964" s="11"/>
    </row>
    <row r="965" spans="1:9" ht="22.5" customHeight="1">
      <c r="A965" s="18"/>
      <c r="B965" s="19"/>
      <c r="C965" s="20"/>
      <c r="D965" s="11"/>
      <c r="E965" s="11"/>
      <c r="F965" s="11"/>
      <c r="G965" s="21"/>
      <c r="H965" s="11"/>
      <c r="I965" s="11"/>
    </row>
    <row r="966" spans="1:9" ht="22.5" customHeight="1">
      <c r="A966" s="18"/>
      <c r="B966" s="19"/>
      <c r="C966" s="20"/>
      <c r="D966" s="11"/>
      <c r="E966" s="11"/>
      <c r="F966" s="11"/>
      <c r="G966" s="21"/>
      <c r="H966" s="11"/>
      <c r="I966" s="11"/>
    </row>
    <row r="967" spans="1:9" ht="22.5" customHeight="1">
      <c r="A967" s="18"/>
      <c r="B967" s="19"/>
      <c r="C967" s="20"/>
      <c r="D967" s="11"/>
      <c r="E967" s="11"/>
      <c r="F967" s="11"/>
      <c r="G967" s="21"/>
      <c r="H967" s="11"/>
      <c r="I967" s="11"/>
    </row>
    <row r="968" spans="1:9" ht="22.5" customHeight="1">
      <c r="A968" s="18"/>
      <c r="B968" s="19"/>
      <c r="C968" s="20"/>
      <c r="D968" s="11"/>
      <c r="E968" s="11"/>
      <c r="F968" s="11"/>
      <c r="G968" s="21"/>
      <c r="H968" s="11"/>
      <c r="I968" s="11"/>
    </row>
    <row r="969" spans="1:9" ht="22.5" customHeight="1">
      <c r="A969" s="18"/>
      <c r="B969" s="19"/>
      <c r="C969" s="20"/>
      <c r="D969" s="11"/>
      <c r="E969" s="11"/>
      <c r="F969" s="11"/>
      <c r="G969" s="21"/>
      <c r="H969" s="11"/>
      <c r="I969" s="11"/>
    </row>
    <row r="970" spans="1:9" ht="22.5" customHeight="1">
      <c r="A970" s="18"/>
      <c r="B970" s="19"/>
      <c r="C970" s="20"/>
      <c r="D970" s="11"/>
      <c r="E970" s="11"/>
      <c r="F970" s="11"/>
      <c r="G970" s="21"/>
      <c r="H970" s="11"/>
      <c r="I970" s="11"/>
    </row>
    <row r="971" spans="1:9" ht="22.5" customHeight="1">
      <c r="A971" s="18"/>
      <c r="B971" s="19"/>
      <c r="C971" s="20"/>
      <c r="D971" s="11"/>
      <c r="E971" s="11"/>
      <c r="F971" s="11"/>
      <c r="G971" s="21"/>
      <c r="H971" s="11"/>
      <c r="I971" s="11"/>
    </row>
    <row r="972" spans="1:9" ht="22.5" customHeight="1">
      <c r="A972" s="18"/>
      <c r="B972" s="19"/>
      <c r="C972" s="20"/>
      <c r="D972" s="11"/>
      <c r="E972" s="11"/>
      <c r="F972" s="11"/>
      <c r="G972" s="21"/>
      <c r="H972" s="11"/>
      <c r="I972" s="11"/>
    </row>
    <row r="973" spans="1:9" ht="22.5" customHeight="1">
      <c r="A973" s="18"/>
      <c r="B973" s="19"/>
      <c r="C973" s="20"/>
      <c r="D973" s="11"/>
      <c r="E973" s="11"/>
      <c r="F973" s="11"/>
      <c r="G973" s="21"/>
      <c r="H973" s="11"/>
      <c r="I973" s="11"/>
    </row>
    <row r="974" spans="1:9" ht="22.5" customHeight="1">
      <c r="A974" s="18"/>
      <c r="B974" s="19"/>
      <c r="C974" s="20"/>
      <c r="D974" s="11"/>
      <c r="E974" s="11"/>
      <c r="F974" s="11"/>
      <c r="G974" s="21"/>
      <c r="H974" s="11"/>
      <c r="I974" s="11"/>
    </row>
    <row r="975" spans="1:9" ht="22.5" customHeight="1">
      <c r="A975" s="18"/>
      <c r="B975" s="19"/>
      <c r="C975" s="20"/>
      <c r="D975" s="11"/>
      <c r="E975" s="11"/>
      <c r="F975" s="11"/>
      <c r="G975" s="21"/>
      <c r="H975" s="11"/>
      <c r="I975" s="11"/>
    </row>
    <row r="976" spans="1:9" ht="22.5" customHeight="1">
      <c r="A976" s="18"/>
      <c r="B976" s="19"/>
      <c r="C976" s="20"/>
      <c r="D976" s="11"/>
      <c r="E976" s="11"/>
      <c r="F976" s="11"/>
      <c r="G976" s="21"/>
      <c r="H976" s="11"/>
      <c r="I976" s="11"/>
    </row>
    <row r="977" spans="1:9" ht="22.5" customHeight="1">
      <c r="A977" s="18"/>
      <c r="B977" s="19"/>
      <c r="C977" s="20"/>
      <c r="D977" s="11"/>
      <c r="E977" s="11"/>
      <c r="F977" s="11"/>
      <c r="G977" s="21"/>
      <c r="H977" s="11"/>
      <c r="I977" s="11"/>
    </row>
    <row r="978" spans="1:9" ht="22.5" customHeight="1">
      <c r="A978" s="18"/>
      <c r="B978" s="19"/>
      <c r="C978" s="20"/>
      <c r="D978" s="11"/>
      <c r="E978" s="11"/>
      <c r="F978" s="11"/>
      <c r="G978" s="21"/>
      <c r="H978" s="11"/>
      <c r="I978" s="11"/>
    </row>
    <row r="979" spans="1:9" ht="22.5" customHeight="1">
      <c r="A979" s="18"/>
      <c r="B979" s="19"/>
      <c r="C979" s="20"/>
      <c r="D979" s="11"/>
      <c r="E979" s="11"/>
      <c r="F979" s="11"/>
      <c r="G979" s="21"/>
      <c r="H979" s="11"/>
      <c r="I979" s="11"/>
    </row>
    <row r="980" spans="1:9" ht="22.5" customHeight="1">
      <c r="A980" s="18"/>
      <c r="B980" s="19"/>
      <c r="C980" s="20"/>
      <c r="D980" s="11"/>
      <c r="E980" s="11"/>
      <c r="F980" s="11"/>
      <c r="G980" s="21"/>
      <c r="H980" s="11"/>
      <c r="I980" s="11"/>
    </row>
    <row r="981" spans="1:9" ht="22.5" customHeight="1">
      <c r="A981" s="18"/>
      <c r="B981" s="19"/>
      <c r="C981" s="20"/>
      <c r="D981" s="11"/>
      <c r="E981" s="11"/>
      <c r="F981" s="11"/>
      <c r="G981" s="21"/>
      <c r="H981" s="11"/>
      <c r="I981" s="11"/>
    </row>
    <row r="982" spans="1:9" ht="22.5" customHeight="1">
      <c r="A982" s="18"/>
      <c r="B982" s="19"/>
      <c r="C982" s="20"/>
      <c r="D982" s="11"/>
      <c r="E982" s="11"/>
      <c r="F982" s="11"/>
      <c r="G982" s="21"/>
      <c r="H982" s="11"/>
      <c r="I982" s="11"/>
    </row>
    <row r="983" spans="1:9" ht="22.5" customHeight="1">
      <c r="A983" s="18"/>
      <c r="B983" s="19"/>
      <c r="C983" s="20"/>
      <c r="D983" s="11"/>
      <c r="E983" s="11"/>
      <c r="F983" s="11"/>
      <c r="G983" s="21"/>
      <c r="H983" s="11"/>
      <c r="I983" s="11"/>
    </row>
    <row r="984" spans="1:9" ht="22.5" customHeight="1">
      <c r="A984" s="18"/>
      <c r="B984" s="19"/>
      <c r="C984" s="20"/>
      <c r="D984" s="11"/>
      <c r="E984" s="11"/>
      <c r="F984" s="11"/>
      <c r="G984" s="21"/>
      <c r="H984" s="11"/>
      <c r="I984" s="11"/>
    </row>
    <row r="985" spans="1:9" ht="22.5" customHeight="1">
      <c r="A985" s="18"/>
      <c r="B985" s="19"/>
      <c r="C985" s="20"/>
      <c r="D985" s="11"/>
      <c r="E985" s="11"/>
      <c r="F985" s="11"/>
      <c r="G985" s="21"/>
      <c r="H985" s="11"/>
      <c r="I985" s="11"/>
    </row>
    <row r="986" spans="1:9" ht="22.5" customHeight="1">
      <c r="A986" s="18"/>
      <c r="B986" s="19"/>
      <c r="C986" s="20"/>
      <c r="D986" s="11"/>
      <c r="E986" s="11"/>
      <c r="F986" s="11"/>
      <c r="G986" s="21"/>
      <c r="H986" s="11"/>
      <c r="I986" s="11"/>
    </row>
    <row r="987" spans="1:9" ht="22.5" customHeight="1">
      <c r="A987" s="18"/>
      <c r="B987" s="19"/>
      <c r="C987" s="20"/>
      <c r="D987" s="11"/>
      <c r="E987" s="11"/>
      <c r="F987" s="11"/>
      <c r="G987" s="21"/>
      <c r="H987" s="11"/>
      <c r="I987" s="11"/>
    </row>
    <row r="988" spans="1:9" ht="22.5" customHeight="1">
      <c r="A988" s="18"/>
      <c r="B988" s="19"/>
      <c r="C988" s="20"/>
      <c r="D988" s="11"/>
      <c r="E988" s="11"/>
      <c r="F988" s="11"/>
      <c r="G988" s="21"/>
      <c r="H988" s="11"/>
      <c r="I988" s="11"/>
    </row>
    <row r="989" spans="1:9" ht="22.5" customHeight="1">
      <c r="A989" s="18"/>
      <c r="B989" s="19"/>
      <c r="C989" s="20"/>
      <c r="D989" s="11"/>
      <c r="E989" s="11"/>
      <c r="F989" s="11"/>
      <c r="G989" s="21"/>
      <c r="H989" s="11"/>
      <c r="I989" s="11"/>
    </row>
    <row r="990" spans="1:9" ht="22.5" customHeight="1">
      <c r="A990" s="18"/>
      <c r="B990" s="19"/>
      <c r="C990" s="20"/>
      <c r="D990" s="11"/>
      <c r="E990" s="11"/>
      <c r="F990" s="11"/>
      <c r="G990" s="21"/>
      <c r="H990" s="11"/>
      <c r="I990" s="11"/>
    </row>
    <row r="991" spans="1:9" ht="22.5" customHeight="1">
      <c r="A991" s="18"/>
      <c r="B991" s="19"/>
      <c r="C991" s="20"/>
      <c r="D991" s="11"/>
      <c r="E991" s="11"/>
      <c r="F991" s="11"/>
      <c r="G991" s="21"/>
      <c r="H991" s="11"/>
      <c r="I991" s="11"/>
    </row>
    <row r="992" spans="1:9" ht="22.5" customHeight="1">
      <c r="A992" s="18"/>
      <c r="B992" s="19"/>
      <c r="C992" s="20"/>
      <c r="D992" s="11"/>
      <c r="E992" s="11"/>
      <c r="F992" s="11"/>
      <c r="G992" s="21"/>
      <c r="H992" s="11"/>
      <c r="I992" s="11"/>
    </row>
    <row r="993" spans="1:9" ht="22.5" customHeight="1">
      <c r="A993" s="18"/>
      <c r="B993" s="19"/>
      <c r="C993" s="20"/>
      <c r="D993" s="11"/>
      <c r="E993" s="11"/>
      <c r="F993" s="11"/>
      <c r="G993" s="21"/>
      <c r="H993" s="11"/>
      <c r="I993" s="11"/>
    </row>
    <row r="994" spans="1:9" ht="22.5" customHeight="1">
      <c r="A994" s="18"/>
      <c r="B994" s="19"/>
      <c r="C994" s="20"/>
      <c r="D994" s="11"/>
      <c r="E994" s="11"/>
      <c r="F994" s="11"/>
      <c r="G994" s="21"/>
      <c r="H994" s="11"/>
      <c r="I994" s="11"/>
    </row>
    <row r="995" spans="1:9" ht="22.5" customHeight="1">
      <c r="A995" s="18"/>
      <c r="B995" s="19"/>
      <c r="C995" s="20"/>
      <c r="D995" s="11"/>
      <c r="E995" s="11"/>
      <c r="F995" s="11"/>
      <c r="G995" s="21"/>
      <c r="H995" s="11"/>
      <c r="I995" s="11"/>
    </row>
    <row r="996" spans="1:9" ht="22.5" customHeight="1">
      <c r="A996" s="18"/>
      <c r="B996" s="19"/>
      <c r="C996" s="20"/>
      <c r="D996" s="11"/>
      <c r="E996" s="11"/>
      <c r="F996" s="11"/>
      <c r="G996" s="21"/>
      <c r="H996" s="11"/>
      <c r="I996" s="11"/>
    </row>
    <row r="997" spans="1:9" ht="22.5" customHeight="1">
      <c r="A997" s="18"/>
      <c r="B997" s="19"/>
      <c r="C997" s="20"/>
      <c r="D997" s="11"/>
      <c r="E997" s="11"/>
      <c r="F997" s="11"/>
      <c r="G997" s="21"/>
      <c r="H997" s="11"/>
      <c r="I997" s="11"/>
    </row>
    <row r="998" spans="1:9" ht="22.5" customHeight="1">
      <c r="A998" s="18"/>
      <c r="B998" s="19"/>
      <c r="C998" s="20"/>
      <c r="D998" s="11"/>
      <c r="E998" s="11"/>
      <c r="F998" s="11"/>
      <c r="G998" s="21"/>
      <c r="H998" s="11"/>
      <c r="I998" s="11"/>
    </row>
    <row r="999" spans="1:9" ht="22.5" customHeight="1">
      <c r="A999" s="18"/>
      <c r="B999" s="19"/>
      <c r="C999" s="20"/>
      <c r="D999" s="11"/>
      <c r="E999" s="11"/>
      <c r="F999" s="11"/>
      <c r="G999" s="21"/>
      <c r="H999" s="11"/>
      <c r="I999" s="11"/>
    </row>
  </sheetData>
  <dataValidations count="2">
    <dataValidation type="list" allowBlank="1" sqref="C2:C999" xr:uid="{00000000-0002-0000-0400-000000000000}">
      <formula1>"رئيسي,فرعي"</formula1>
    </dataValidation>
    <dataValidation type="list" allowBlank="1" sqref="G2:G999" xr:uid="{00000000-0002-0000-0400-000001000000}">
      <formula1>#REF!</formula1>
    </dataValidation>
  </dataValidations>
  <hyperlinks>
    <hyperlink ref="B12" r:id="rId1" xr:uid="{00000000-0004-0000-0400-000000000000}"/>
    <hyperlink ref="B16" r:id="rId2" xr:uid="{00000000-0004-0000-0400-000001000000}"/>
    <hyperlink ref="B17" r:id="rId3" xr:uid="{00000000-0004-0000-0400-000002000000}"/>
    <hyperlink ref="B29" r:id="rId4" xr:uid="{00000000-0004-0000-0400-000003000000}"/>
    <hyperlink ref="B30" r:id="rId5" xr:uid="{00000000-0004-0000-0400-000004000000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2</vt:i4>
      </vt:variant>
    </vt:vector>
  </HeadingPairs>
  <TitlesOfParts>
    <vt:vector size="5" baseType="lpstr">
      <vt:lpstr>معملجي الربع الثاني</vt:lpstr>
      <vt:lpstr>حر الربع الثاني</vt:lpstr>
      <vt:lpstr>الإعدادات</vt:lpstr>
      <vt:lpstr>'حر الربع الثاني'!Print_Titles</vt:lpstr>
      <vt:lpstr>'معملجي الربع الثاني'!Print_Titles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manage2</dc:creator>
  <cp:lastModifiedBy>manage2</cp:lastModifiedBy>
  <cp:lastPrinted>2026-07-04T04:42:24Z</cp:lastPrinted>
  <dcterms:modified xsi:type="dcterms:W3CDTF">2026-07-04T04:43:24Z</dcterms:modified>
</cp:coreProperties>
</file>