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ملفات الكهرباء\قراءات الكهرباء\"/>
    </mc:Choice>
  </mc:AlternateContent>
  <xr:revisionPtr revIDLastSave="0" documentId="8_{B370FC5D-CBFA-6541-B66F-81FFE8240BB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L16" i="1"/>
  <c r="N16" i="1"/>
  <c r="O16" i="1"/>
  <c r="P16" i="1"/>
  <c r="Q16" i="1"/>
  <c r="R16" i="1"/>
  <c r="S16" i="1"/>
  <c r="T16" i="1"/>
  <c r="U16" i="1"/>
  <c r="M15" i="1"/>
  <c r="L15" i="1"/>
  <c r="V15" i="1"/>
  <c r="N15" i="1"/>
  <c r="O15" i="1"/>
  <c r="P15" i="1"/>
  <c r="Q15" i="1"/>
  <c r="R15" i="1"/>
  <c r="S15" i="1"/>
  <c r="T15" i="1"/>
  <c r="U15" i="1"/>
  <c r="O14" i="1"/>
  <c r="P14" i="1"/>
  <c r="Q14" i="1"/>
  <c r="R14" i="1"/>
  <c r="S14" i="1"/>
  <c r="T14" i="1"/>
  <c r="U14" i="1"/>
  <c r="N14" i="1"/>
  <c r="M14" i="1"/>
  <c r="L14" i="1"/>
  <c r="M13" i="1"/>
  <c r="L13" i="1"/>
  <c r="N13" i="1"/>
  <c r="O13" i="1"/>
  <c r="P13" i="1"/>
  <c r="Q13" i="1"/>
  <c r="R13" i="1"/>
  <c r="S13" i="1"/>
  <c r="T13" i="1"/>
  <c r="U13" i="1"/>
  <c r="L11" i="1"/>
  <c r="V11" i="1"/>
  <c r="M12" i="1"/>
  <c r="L12" i="1"/>
  <c r="V12" i="1"/>
  <c r="N12" i="1"/>
  <c r="O12" i="1"/>
  <c r="P12" i="1"/>
  <c r="Q12" i="1"/>
  <c r="R12" i="1"/>
  <c r="S12" i="1"/>
  <c r="T12" i="1"/>
  <c r="U12" i="1"/>
  <c r="M11" i="1"/>
  <c r="N11" i="1"/>
  <c r="O11" i="1"/>
  <c r="P11" i="1"/>
  <c r="Q11" i="1"/>
  <c r="R11" i="1"/>
  <c r="S11" i="1"/>
  <c r="T11" i="1"/>
  <c r="U11" i="1"/>
  <c r="U10" i="1"/>
  <c r="T10" i="1"/>
  <c r="S10" i="1"/>
  <c r="R10" i="1"/>
  <c r="Q10" i="1"/>
  <c r="P10" i="1"/>
  <c r="O10" i="1"/>
  <c r="N10" i="1"/>
  <c r="M10" i="1"/>
  <c r="L10" i="1"/>
  <c r="U9" i="1"/>
  <c r="T9" i="1"/>
  <c r="S9" i="1"/>
  <c r="R9" i="1"/>
  <c r="Q9" i="1"/>
  <c r="P9" i="1"/>
  <c r="O9" i="1"/>
  <c r="N9" i="1"/>
  <c r="M9" i="1"/>
  <c r="L9" i="1"/>
  <c r="U8" i="1"/>
  <c r="T8" i="1"/>
  <c r="S8" i="1"/>
  <c r="R8" i="1"/>
  <c r="Q8" i="1"/>
  <c r="P8" i="1"/>
  <c r="O8" i="1"/>
  <c r="N8" i="1"/>
  <c r="M8" i="1"/>
  <c r="L8" i="1"/>
  <c r="V8" i="1"/>
  <c r="U7" i="1"/>
  <c r="T7" i="1"/>
  <c r="S7" i="1"/>
  <c r="R7" i="1"/>
  <c r="Q7" i="1"/>
  <c r="P7" i="1"/>
  <c r="O7" i="1"/>
  <c r="N7" i="1"/>
  <c r="M7" i="1"/>
  <c r="L7" i="1"/>
  <c r="U6" i="1"/>
  <c r="T6" i="1"/>
  <c r="S6" i="1"/>
  <c r="R6" i="1"/>
  <c r="Q6" i="1"/>
  <c r="P6" i="1"/>
  <c r="O6" i="1"/>
  <c r="N6" i="1"/>
  <c r="V6" i="1"/>
  <c r="M6" i="1"/>
  <c r="L6" i="1"/>
  <c r="U5" i="1"/>
  <c r="T5" i="1"/>
  <c r="S5" i="1"/>
  <c r="R5" i="1"/>
  <c r="Q5" i="1"/>
  <c r="P5" i="1"/>
  <c r="O5" i="1"/>
  <c r="N5" i="1"/>
  <c r="M5" i="1"/>
  <c r="L5" i="1"/>
  <c r="V5" i="1"/>
  <c r="U4" i="1"/>
  <c r="T4" i="1"/>
  <c r="S4" i="1"/>
  <c r="R4" i="1"/>
  <c r="Q4" i="1"/>
  <c r="P4" i="1"/>
  <c r="O4" i="1"/>
  <c r="N4" i="1"/>
  <c r="M4" i="1"/>
  <c r="L4" i="1"/>
  <c r="U3" i="1"/>
  <c r="T3" i="1"/>
  <c r="S3" i="1"/>
  <c r="R3" i="1"/>
  <c r="Q3" i="1"/>
  <c r="P3" i="1"/>
  <c r="O3" i="1"/>
  <c r="N3" i="1"/>
  <c r="M3" i="1"/>
  <c r="L3" i="1"/>
  <c r="V3" i="1"/>
  <c r="V9" i="1"/>
  <c r="V10" i="1"/>
  <c r="V16" i="1"/>
  <c r="V13" i="1"/>
  <c r="V7" i="1"/>
  <c r="V4" i="1"/>
  <c r="V14" i="1"/>
</calcChain>
</file>

<file path=xl/sharedStrings.xml><?xml version="1.0" encoding="utf-8"?>
<sst xmlns="http://schemas.openxmlformats.org/spreadsheetml/2006/main" count="22" uniqueCount="22">
  <si>
    <t>Date</t>
  </si>
  <si>
    <t>A</t>
  </si>
  <si>
    <t>B</t>
  </si>
  <si>
    <t>C</t>
  </si>
  <si>
    <t>D</t>
  </si>
  <si>
    <t>E</t>
  </si>
  <si>
    <t>F</t>
  </si>
  <si>
    <t>G</t>
  </si>
  <si>
    <t>H</t>
  </si>
  <si>
    <t>IJ</t>
  </si>
  <si>
    <t>U</t>
  </si>
  <si>
    <t>ΔA</t>
  </si>
  <si>
    <t>ΔB</t>
  </si>
  <si>
    <t>ΔC</t>
  </si>
  <si>
    <t>ΔD</t>
  </si>
  <si>
    <t>ΔE</t>
  </si>
  <si>
    <t>ΔF</t>
  </si>
  <si>
    <t>ΔG</t>
  </si>
  <si>
    <t>ΔH</t>
  </si>
  <si>
    <t>ΔIJ</t>
  </si>
  <si>
    <t>ΔU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</si>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</sst>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abSelected="1" zoomScale="160" zoomScaleNormal="160" workbookViewId="0">
      <pane xSplit="1" topLeftCell="B1" activePane="topRight" state="frozen"/>
      <selection pane="topRight" activeCell="L18" sqref="L18"/>
    </sheetView>
  </sheetViews>
  <sheetFormatPr defaultColWidth="14.390625" defaultRowHeight="15" customHeight="1" x14ac:dyDescent="0.2"/>
  <cols>
    <col min="1" max="1" width="10.35546875" customWidth="1"/>
    <col min="2" max="22" width="9.1445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45302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4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">
      <c r="A3" s="2">
        <v>45303</v>
      </c>
      <c r="B3" s="3">
        <v>56.47</v>
      </c>
      <c r="C3" s="3">
        <v>0</v>
      </c>
      <c r="D3" s="3">
        <v>19.25</v>
      </c>
      <c r="E3" s="3">
        <v>23.81</v>
      </c>
      <c r="F3" s="3">
        <v>20.59</v>
      </c>
      <c r="G3" s="3">
        <v>19.25</v>
      </c>
      <c r="H3" s="3">
        <v>15.07</v>
      </c>
      <c r="I3" s="3">
        <v>48.71</v>
      </c>
      <c r="J3" s="3">
        <v>0</v>
      </c>
      <c r="K3" s="4">
        <v>31.73</v>
      </c>
      <c r="L3" s="5">
        <f t="shared" ref="L3:L10" si="0">B3-B2-M3</f>
        <v>56.47</v>
      </c>
      <c r="M3" s="3">
        <f t="shared" ref="M3:U3" si="1">C3-C2</f>
        <v>0</v>
      </c>
      <c r="N3" s="3">
        <f t="shared" si="1"/>
        <v>19.25</v>
      </c>
      <c r="O3" s="3">
        <f t="shared" si="1"/>
        <v>23.81</v>
      </c>
      <c r="P3" s="3">
        <f t="shared" si="1"/>
        <v>20.59</v>
      </c>
      <c r="Q3" s="3">
        <f t="shared" si="1"/>
        <v>19.25</v>
      </c>
      <c r="R3" s="3">
        <f t="shared" si="1"/>
        <v>15.07</v>
      </c>
      <c r="S3" s="3">
        <f t="shared" si="1"/>
        <v>48.71</v>
      </c>
      <c r="T3" s="3">
        <f t="shared" si="1"/>
        <v>0</v>
      </c>
      <c r="U3" s="3">
        <f t="shared" si="1"/>
        <v>31.73</v>
      </c>
      <c r="V3" s="3">
        <f t="shared" ref="V3:V10" si="2">SUM(L3:U3)</f>
        <v>234.88</v>
      </c>
    </row>
    <row r="4" spans="1:22" x14ac:dyDescent="0.2">
      <c r="A4" s="2">
        <v>45658</v>
      </c>
      <c r="B4" s="3">
        <v>120.3</v>
      </c>
      <c r="C4" s="3">
        <v>0</v>
      </c>
      <c r="D4" s="3">
        <v>38.83</v>
      </c>
      <c r="E4" s="3">
        <v>50.98</v>
      </c>
      <c r="F4" s="3">
        <v>39.86</v>
      </c>
      <c r="G4" s="3">
        <v>41.68</v>
      </c>
      <c r="H4" s="3">
        <v>39.049999999999997</v>
      </c>
      <c r="I4" s="3">
        <v>108.5</v>
      </c>
      <c r="J4" s="3">
        <v>0</v>
      </c>
      <c r="K4" s="4">
        <v>74.47</v>
      </c>
      <c r="L4" s="5">
        <f t="shared" si="0"/>
        <v>63.83</v>
      </c>
      <c r="M4" s="3">
        <f t="shared" ref="M4:U4" si="3">C4-C3</f>
        <v>0</v>
      </c>
      <c r="N4" s="3">
        <f t="shared" si="3"/>
        <v>19.579999999999998</v>
      </c>
      <c r="O4" s="3">
        <f t="shared" si="3"/>
        <v>27.169999999999998</v>
      </c>
      <c r="P4" s="3">
        <f t="shared" si="3"/>
        <v>19.27</v>
      </c>
      <c r="Q4" s="3">
        <f t="shared" si="3"/>
        <v>22.43</v>
      </c>
      <c r="R4" s="3">
        <f t="shared" si="3"/>
        <v>23.979999999999997</v>
      </c>
      <c r="S4" s="3">
        <f t="shared" si="3"/>
        <v>59.79</v>
      </c>
      <c r="T4" s="3">
        <f t="shared" si="3"/>
        <v>0</v>
      </c>
      <c r="U4" s="3">
        <f t="shared" si="3"/>
        <v>42.739999999999995</v>
      </c>
      <c r="V4" s="3">
        <f t="shared" si="2"/>
        <v>278.78999999999996</v>
      </c>
    </row>
    <row r="5" spans="1:22" x14ac:dyDescent="0.2">
      <c r="A5" s="2">
        <v>45659</v>
      </c>
      <c r="B5" s="3">
        <v>145.69999999999999</v>
      </c>
      <c r="C5" s="3">
        <v>4.7610000000000001</v>
      </c>
      <c r="D5" s="3">
        <v>49.32</v>
      </c>
      <c r="E5" s="3">
        <v>67.27</v>
      </c>
      <c r="F5" s="3">
        <v>49.18</v>
      </c>
      <c r="G5" s="3">
        <v>57.19</v>
      </c>
      <c r="H5" s="3">
        <v>46.72</v>
      </c>
      <c r="I5" s="3">
        <v>127.8</v>
      </c>
      <c r="J5" s="3">
        <v>0</v>
      </c>
      <c r="K5" s="3">
        <v>99.1</v>
      </c>
      <c r="L5" s="5">
        <f t="shared" si="0"/>
        <v>20.638999999999992</v>
      </c>
      <c r="M5" s="3">
        <f t="shared" ref="M5:U5" si="4">C5-C4</f>
        <v>4.7610000000000001</v>
      </c>
      <c r="N5" s="3">
        <f t="shared" si="4"/>
        <v>10.490000000000002</v>
      </c>
      <c r="O5" s="3">
        <f t="shared" si="4"/>
        <v>16.29</v>
      </c>
      <c r="P5" s="3">
        <f t="shared" si="4"/>
        <v>9.32</v>
      </c>
      <c r="Q5" s="3">
        <f t="shared" si="4"/>
        <v>15.509999999999998</v>
      </c>
      <c r="R5" s="3">
        <f t="shared" si="4"/>
        <v>7.6700000000000017</v>
      </c>
      <c r="S5" s="3">
        <f t="shared" si="4"/>
        <v>19.299999999999997</v>
      </c>
      <c r="T5" s="3">
        <f t="shared" si="4"/>
        <v>0</v>
      </c>
      <c r="U5" s="3">
        <f t="shared" si="4"/>
        <v>24.629999999999995</v>
      </c>
      <c r="V5" s="3">
        <f t="shared" si="2"/>
        <v>128.60999999999999</v>
      </c>
    </row>
    <row r="6" spans="1:22" x14ac:dyDescent="0.2">
      <c r="A6" s="2">
        <v>45660</v>
      </c>
      <c r="B6" s="3">
        <v>164.8</v>
      </c>
      <c r="C6" s="3">
        <v>9.8930000000000007</v>
      </c>
      <c r="D6" s="3">
        <v>59.767000000000003</v>
      </c>
      <c r="E6" s="3">
        <v>84.57</v>
      </c>
      <c r="F6" s="3">
        <v>58.41</v>
      </c>
      <c r="G6" s="3">
        <v>72.61</v>
      </c>
      <c r="H6" s="3">
        <v>54.8</v>
      </c>
      <c r="I6" s="3">
        <v>144.80000000000001</v>
      </c>
      <c r="J6" s="3">
        <v>0</v>
      </c>
      <c r="K6" s="3">
        <v>131.69999999999999</v>
      </c>
      <c r="L6" s="5">
        <f t="shared" si="0"/>
        <v>13.968000000000021</v>
      </c>
      <c r="M6" s="3">
        <f t="shared" ref="M6:U6" si="5">C6-C5</f>
        <v>5.1320000000000006</v>
      </c>
      <c r="N6" s="3">
        <f t="shared" si="5"/>
        <v>10.447000000000003</v>
      </c>
      <c r="O6" s="3">
        <f t="shared" si="5"/>
        <v>17.299999999999997</v>
      </c>
      <c r="P6" s="3">
        <f t="shared" si="5"/>
        <v>9.2299999999999969</v>
      </c>
      <c r="Q6" s="3">
        <f t="shared" si="5"/>
        <v>15.420000000000002</v>
      </c>
      <c r="R6" s="3">
        <f t="shared" si="5"/>
        <v>8.0799999999999983</v>
      </c>
      <c r="S6" s="3">
        <f t="shared" si="5"/>
        <v>17.000000000000014</v>
      </c>
      <c r="T6" s="3">
        <f t="shared" si="5"/>
        <v>0</v>
      </c>
      <c r="U6" s="3">
        <f t="shared" si="5"/>
        <v>32.599999999999994</v>
      </c>
      <c r="V6" s="3">
        <f t="shared" si="2"/>
        <v>129.17700000000002</v>
      </c>
    </row>
    <row r="7" spans="1:22" x14ac:dyDescent="0.2">
      <c r="A7" s="2">
        <v>45661</v>
      </c>
      <c r="B7" s="3">
        <v>196</v>
      </c>
      <c r="C7" s="3">
        <v>17.61</v>
      </c>
      <c r="D7" s="3">
        <v>72.87</v>
      </c>
      <c r="E7" s="3">
        <v>106.1</v>
      </c>
      <c r="F7" s="3">
        <v>73.33</v>
      </c>
      <c r="G7" s="3">
        <v>87.1</v>
      </c>
      <c r="H7" s="3">
        <v>60.97</v>
      </c>
      <c r="I7" s="3">
        <v>161.80000000000001</v>
      </c>
      <c r="J7" s="3">
        <v>0</v>
      </c>
      <c r="K7" s="3">
        <v>174.1</v>
      </c>
      <c r="L7" s="5">
        <f t="shared" si="0"/>
        <v>23.48299999999999</v>
      </c>
      <c r="M7" s="3">
        <f t="shared" ref="M7:U7" si="6">C7-C6</f>
        <v>7.7169999999999987</v>
      </c>
      <c r="N7" s="3">
        <f t="shared" si="6"/>
        <v>13.103000000000002</v>
      </c>
      <c r="O7" s="3">
        <f t="shared" si="6"/>
        <v>21.53</v>
      </c>
      <c r="P7" s="3">
        <f t="shared" si="6"/>
        <v>14.920000000000002</v>
      </c>
      <c r="Q7" s="3">
        <f t="shared" si="6"/>
        <v>14.489999999999995</v>
      </c>
      <c r="R7" s="3">
        <f t="shared" si="6"/>
        <v>6.1700000000000017</v>
      </c>
      <c r="S7" s="3">
        <f t="shared" si="6"/>
        <v>17</v>
      </c>
      <c r="T7" s="3">
        <f t="shared" si="6"/>
        <v>0</v>
      </c>
      <c r="U7" s="3">
        <f t="shared" si="6"/>
        <v>42.400000000000006</v>
      </c>
      <c r="V7" s="3">
        <f t="shared" si="2"/>
        <v>160.81299999999999</v>
      </c>
    </row>
    <row r="8" spans="1:22" x14ac:dyDescent="0.2">
      <c r="A8" s="2">
        <v>45662</v>
      </c>
      <c r="B8" s="3">
        <v>226.4</v>
      </c>
      <c r="C8" s="3">
        <v>26.51</v>
      </c>
      <c r="D8" s="3">
        <v>77.97</v>
      </c>
      <c r="E8" s="3">
        <v>122</v>
      </c>
      <c r="F8" s="3">
        <v>86.58</v>
      </c>
      <c r="G8" s="3">
        <v>102.6</v>
      </c>
      <c r="H8" s="3">
        <v>71.44</v>
      </c>
      <c r="I8" s="3">
        <v>175.8</v>
      </c>
      <c r="J8" s="3">
        <v>0</v>
      </c>
      <c r="K8" s="3">
        <v>201.6</v>
      </c>
      <c r="L8" s="5">
        <f t="shared" si="0"/>
        <v>21.500000000000004</v>
      </c>
      <c r="M8" s="3">
        <f t="shared" ref="M8:U8" si="7">C8-C7</f>
        <v>8.9000000000000021</v>
      </c>
      <c r="N8" s="3">
        <f t="shared" si="7"/>
        <v>5.0999999999999943</v>
      </c>
      <c r="O8" s="3">
        <f t="shared" si="7"/>
        <v>15.900000000000006</v>
      </c>
      <c r="P8" s="3">
        <f t="shared" si="7"/>
        <v>13.25</v>
      </c>
      <c r="Q8" s="3">
        <f t="shared" si="7"/>
        <v>15.5</v>
      </c>
      <c r="R8" s="3">
        <f t="shared" si="7"/>
        <v>10.469999999999999</v>
      </c>
      <c r="S8" s="3">
        <f t="shared" si="7"/>
        <v>14</v>
      </c>
      <c r="T8" s="3">
        <f t="shared" si="7"/>
        <v>0</v>
      </c>
      <c r="U8" s="3">
        <f t="shared" si="7"/>
        <v>27.5</v>
      </c>
      <c r="V8" s="3">
        <f t="shared" si="2"/>
        <v>132.12</v>
      </c>
    </row>
    <row r="9" spans="1:22" x14ac:dyDescent="0.2">
      <c r="A9" s="2">
        <v>45663</v>
      </c>
      <c r="B9" s="6">
        <v>279.2</v>
      </c>
      <c r="C9" s="3">
        <v>37.99</v>
      </c>
      <c r="D9" s="3">
        <v>91.16</v>
      </c>
      <c r="E9" s="3">
        <v>143.5</v>
      </c>
      <c r="F9" s="3">
        <v>99.63</v>
      </c>
      <c r="G9" s="3">
        <v>125.4</v>
      </c>
      <c r="H9" s="3">
        <v>82.98</v>
      </c>
      <c r="I9" s="3">
        <v>188.5</v>
      </c>
      <c r="J9" s="3">
        <v>0</v>
      </c>
      <c r="K9" s="3">
        <v>235.9</v>
      </c>
      <c r="L9" s="5">
        <f t="shared" si="0"/>
        <v>41.319999999999979</v>
      </c>
      <c r="M9" s="3">
        <f t="shared" ref="M9:U9" si="8">C9-C8</f>
        <v>11.48</v>
      </c>
      <c r="N9" s="3">
        <f t="shared" si="8"/>
        <v>13.189999999999998</v>
      </c>
      <c r="O9" s="3">
        <f t="shared" si="8"/>
        <v>21.5</v>
      </c>
      <c r="P9" s="3">
        <f t="shared" si="8"/>
        <v>13.049999999999997</v>
      </c>
      <c r="Q9" s="3">
        <f t="shared" si="8"/>
        <v>22.800000000000011</v>
      </c>
      <c r="R9" s="3">
        <f t="shared" si="8"/>
        <v>11.540000000000006</v>
      </c>
      <c r="S9" s="3">
        <f t="shared" si="8"/>
        <v>12.699999999999989</v>
      </c>
      <c r="T9" s="3">
        <f t="shared" si="8"/>
        <v>0</v>
      </c>
      <c r="U9" s="3">
        <f t="shared" si="8"/>
        <v>34.300000000000011</v>
      </c>
      <c r="V9" s="3">
        <f t="shared" si="2"/>
        <v>181.88</v>
      </c>
    </row>
    <row r="10" spans="1:22" x14ac:dyDescent="0.2">
      <c r="A10" s="2">
        <v>45664</v>
      </c>
      <c r="B10" s="3">
        <v>307.10000000000002</v>
      </c>
      <c r="C10" s="3">
        <v>52.84</v>
      </c>
      <c r="D10" s="3">
        <v>122.2</v>
      </c>
      <c r="E10" s="3">
        <v>181.2</v>
      </c>
      <c r="F10" s="3">
        <v>121.4</v>
      </c>
      <c r="G10" s="3">
        <v>148.5</v>
      </c>
      <c r="H10" s="3">
        <v>92.39</v>
      </c>
      <c r="I10" s="3">
        <v>204.5</v>
      </c>
      <c r="J10" s="3">
        <v>0</v>
      </c>
      <c r="K10" s="3">
        <v>280.39999999999998</v>
      </c>
      <c r="L10" s="5">
        <f t="shared" si="0"/>
        <v>13.050000000000033</v>
      </c>
      <c r="M10" s="3">
        <f t="shared" ref="M10:U10" si="9">C10-C9</f>
        <v>14.850000000000001</v>
      </c>
      <c r="N10" s="3">
        <f t="shared" si="9"/>
        <v>31.040000000000006</v>
      </c>
      <c r="O10" s="3">
        <f t="shared" si="9"/>
        <v>37.699999999999989</v>
      </c>
      <c r="P10" s="3">
        <f t="shared" si="9"/>
        <v>21.77000000000001</v>
      </c>
      <c r="Q10" s="3">
        <f t="shared" si="9"/>
        <v>23.099999999999994</v>
      </c>
      <c r="R10" s="3">
        <f t="shared" si="9"/>
        <v>9.4099999999999966</v>
      </c>
      <c r="S10" s="3">
        <f t="shared" si="9"/>
        <v>16</v>
      </c>
      <c r="T10" s="3">
        <f t="shared" si="9"/>
        <v>0</v>
      </c>
      <c r="U10" s="3">
        <f t="shared" si="9"/>
        <v>44.499999999999972</v>
      </c>
      <c r="V10" s="3">
        <f t="shared" si="2"/>
        <v>211.42000000000002</v>
      </c>
    </row>
    <row r="11" spans="1:22" x14ac:dyDescent="0.2">
      <c r="A11" s="2">
        <v>45665</v>
      </c>
      <c r="B11" s="3">
        <v>431.6</v>
      </c>
      <c r="C11" s="3">
        <v>80.41</v>
      </c>
      <c r="D11" s="3">
        <v>147.6</v>
      </c>
      <c r="E11" s="3">
        <v>205.3</v>
      </c>
      <c r="F11" s="3">
        <v>143.1</v>
      </c>
      <c r="G11" s="3">
        <v>203.4</v>
      </c>
      <c r="H11" s="3">
        <v>104.5</v>
      </c>
      <c r="I11" s="3">
        <v>236.7</v>
      </c>
      <c r="J11" s="3">
        <v>0</v>
      </c>
      <c r="K11" s="3">
        <v>325.60000000000002</v>
      </c>
      <c r="L11" s="5">
        <f>B11-B10-M11</f>
        <v>96.93</v>
      </c>
      <c r="M11" s="3">
        <f t="shared" ref="M11" si="10">C11-C10</f>
        <v>27.569999999999993</v>
      </c>
      <c r="N11" s="3">
        <f t="shared" ref="N11" si="11">D11-D10</f>
        <v>25.399999999999991</v>
      </c>
      <c r="O11" s="3">
        <f t="shared" ref="O11" si="12">E11-E10</f>
        <v>24.100000000000023</v>
      </c>
      <c r="P11" s="3">
        <f t="shared" ref="P11" si="13">F11-F10</f>
        <v>21.699999999999989</v>
      </c>
      <c r="Q11" s="3">
        <f t="shared" ref="Q11" si="14">G11-G10</f>
        <v>54.900000000000006</v>
      </c>
      <c r="R11" s="3">
        <f t="shared" ref="R11" si="15">H11-H10</f>
        <v>12.11</v>
      </c>
      <c r="S11" s="3">
        <f t="shared" ref="S11" si="16">I11-I10</f>
        <v>32.199999999999989</v>
      </c>
      <c r="T11" s="3">
        <f t="shared" ref="T11" si="17">J11-J10</f>
        <v>0</v>
      </c>
      <c r="U11" s="3">
        <f t="shared" ref="U11" si="18">K11-K10</f>
        <v>45.200000000000045</v>
      </c>
      <c r="V11" s="3">
        <f>SUM(L11:U11)</f>
        <v>340.11</v>
      </c>
    </row>
    <row r="12" spans="1:22" x14ac:dyDescent="0.2">
      <c r="A12" s="2">
        <v>45666</v>
      </c>
      <c r="B12" s="3">
        <v>518.29999999999995</v>
      </c>
      <c r="C12" s="3">
        <v>114.2</v>
      </c>
      <c r="D12" s="3">
        <v>184.4</v>
      </c>
      <c r="E12" s="3">
        <v>241.7</v>
      </c>
      <c r="F12" s="3">
        <v>169.4</v>
      </c>
      <c r="G12" s="3">
        <v>251.6</v>
      </c>
      <c r="H12" s="3">
        <v>116.9</v>
      </c>
      <c r="I12" s="3">
        <v>267.3</v>
      </c>
      <c r="J12" s="3">
        <v>82.61</v>
      </c>
      <c r="K12" s="3">
        <v>387.8</v>
      </c>
      <c r="L12" s="5">
        <f t="shared" ref="L12:L15" si="19">B12-B11-M12</f>
        <v>52.909999999999926</v>
      </c>
      <c r="M12" s="3">
        <f t="shared" ref="M12" si="20">C12-C11</f>
        <v>33.790000000000006</v>
      </c>
      <c r="N12" s="3">
        <f t="shared" ref="N12" si="21">D12-D11</f>
        <v>36.800000000000011</v>
      </c>
      <c r="O12" s="3">
        <f t="shared" ref="O12" si="22">E12-E11</f>
        <v>36.399999999999977</v>
      </c>
      <c r="P12" s="3">
        <f t="shared" ref="P12" si="23">F12-F11</f>
        <v>26.300000000000011</v>
      </c>
      <c r="Q12" s="3">
        <f t="shared" ref="Q12" si="24">G12-G11</f>
        <v>48.199999999999989</v>
      </c>
      <c r="R12" s="3">
        <f t="shared" ref="R12" si="25">H12-H11</f>
        <v>12.400000000000006</v>
      </c>
      <c r="S12" s="3">
        <f t="shared" ref="S12" si="26">I12-I11</f>
        <v>30.600000000000023</v>
      </c>
      <c r="T12" s="3">
        <f t="shared" ref="T12" si="27">J12-J11</f>
        <v>82.61</v>
      </c>
      <c r="U12" s="3">
        <f t="shared" ref="U12" si="28">K12-K11</f>
        <v>62.199999999999989</v>
      </c>
      <c r="V12" s="3">
        <f>SUM(L12:U12)</f>
        <v>422.21</v>
      </c>
    </row>
    <row r="13" spans="1:22" x14ac:dyDescent="0.2">
      <c r="A13" s="2">
        <v>45667</v>
      </c>
      <c r="B13" s="3">
        <v>594.20000000000005</v>
      </c>
      <c r="C13" s="3">
        <v>144</v>
      </c>
      <c r="D13" s="3">
        <v>214.3</v>
      </c>
      <c r="E13" s="3">
        <v>275.8</v>
      </c>
      <c r="F13" s="3">
        <v>198</v>
      </c>
      <c r="G13" s="3">
        <v>293.5</v>
      </c>
      <c r="H13" s="3">
        <v>129.9</v>
      </c>
      <c r="I13" s="3">
        <v>299.10000000000002</v>
      </c>
      <c r="J13" s="3">
        <v>155.19999999999999</v>
      </c>
      <c r="K13" s="3">
        <v>443.4</v>
      </c>
      <c r="L13" s="5">
        <f t="shared" si="19"/>
        <v>46.100000000000094</v>
      </c>
      <c r="M13" s="3">
        <f t="shared" ref="M13:M14" si="29">C13-C12</f>
        <v>29.799999999999997</v>
      </c>
      <c r="N13" s="3">
        <f t="shared" ref="N13:N14" si="30">D13-D12</f>
        <v>29.900000000000006</v>
      </c>
      <c r="O13" s="3">
        <f t="shared" ref="O13" si="31">E13-E12</f>
        <v>34.100000000000023</v>
      </c>
      <c r="P13" s="3">
        <f t="shared" ref="P13" si="32">F13-F12</f>
        <v>28.599999999999994</v>
      </c>
      <c r="Q13" s="3">
        <f t="shared" ref="Q13" si="33">G13-G12</f>
        <v>41.900000000000006</v>
      </c>
      <c r="R13" s="3">
        <f t="shared" ref="R13" si="34">H13-H12</f>
        <v>13</v>
      </c>
      <c r="S13" s="3">
        <f t="shared" ref="S13" si="35">I13-I12</f>
        <v>31.800000000000011</v>
      </c>
      <c r="T13" s="3">
        <f t="shared" ref="T13" si="36">J13-J12</f>
        <v>72.589999999999989</v>
      </c>
      <c r="U13" s="3">
        <f t="shared" ref="U13" si="37">K13-K12</f>
        <v>55.599999999999966</v>
      </c>
      <c r="V13" s="3">
        <f>SUM(L13:U13)</f>
        <v>383.3900000000001</v>
      </c>
    </row>
    <row r="14" spans="1:22" x14ac:dyDescent="0.2">
      <c r="A14" s="2">
        <v>45668</v>
      </c>
      <c r="B14" s="3">
        <v>662.6</v>
      </c>
      <c r="C14" s="3">
        <v>174.6</v>
      </c>
      <c r="D14" s="3">
        <v>241.5</v>
      </c>
      <c r="E14" s="3">
        <v>308.39999999999998</v>
      </c>
      <c r="F14" s="3">
        <v>223.6</v>
      </c>
      <c r="G14" s="3">
        <v>325.10000000000002</v>
      </c>
      <c r="H14" s="3">
        <v>144.9</v>
      </c>
      <c r="I14" s="3">
        <v>330.9</v>
      </c>
      <c r="J14" s="3">
        <v>213.1</v>
      </c>
      <c r="K14" s="3">
        <v>498.7</v>
      </c>
      <c r="L14" s="5">
        <f t="shared" si="19"/>
        <v>37.799999999999983</v>
      </c>
      <c r="M14" s="3">
        <f t="shared" si="29"/>
        <v>30.599999999999994</v>
      </c>
      <c r="N14" s="3">
        <f t="shared" si="30"/>
        <v>27.199999999999989</v>
      </c>
      <c r="O14" s="3">
        <f t="shared" ref="O14" si="38">E14-E13</f>
        <v>32.599999999999966</v>
      </c>
      <c r="P14" s="3">
        <f t="shared" ref="P14" si="39">F14-F13</f>
        <v>25.599999999999994</v>
      </c>
      <c r="Q14" s="3">
        <f t="shared" ref="Q14" si="40">G14-G13</f>
        <v>31.600000000000023</v>
      </c>
      <c r="R14" s="3">
        <f t="shared" ref="R14" si="41">H14-H13</f>
        <v>15</v>
      </c>
      <c r="S14" s="3">
        <f t="shared" ref="S14" si="42">I14-I13</f>
        <v>31.799999999999955</v>
      </c>
      <c r="T14" s="3">
        <f t="shared" ref="T14" si="43">J14-J13</f>
        <v>57.900000000000006</v>
      </c>
      <c r="U14" s="3">
        <f t="shared" ref="U14" si="44">K14-K13</f>
        <v>55.300000000000011</v>
      </c>
      <c r="V14" s="3">
        <f>SUM(L14:U14)</f>
        <v>345.39999999999992</v>
      </c>
    </row>
    <row r="15" spans="1:22" x14ac:dyDescent="0.2">
      <c r="A15" s="2">
        <v>45669</v>
      </c>
      <c r="B15" s="3">
        <v>700.5</v>
      </c>
      <c r="C15" s="3">
        <v>189.5</v>
      </c>
      <c r="D15" s="3">
        <v>265</v>
      </c>
      <c r="E15" s="3">
        <v>333.4</v>
      </c>
      <c r="F15" s="3">
        <v>237.9</v>
      </c>
      <c r="G15" s="3">
        <v>340.6</v>
      </c>
      <c r="H15" s="3">
        <v>151.9</v>
      </c>
      <c r="I15" s="3">
        <v>347.3</v>
      </c>
      <c r="J15" s="3">
        <v>243.8</v>
      </c>
      <c r="K15" s="3">
        <v>547.1</v>
      </c>
      <c r="L15" s="5">
        <f t="shared" si="19"/>
        <v>22.999999999999972</v>
      </c>
      <c r="M15" s="3">
        <f t="shared" ref="M15" si="45">C15-C14</f>
        <v>14.900000000000006</v>
      </c>
      <c r="N15" s="3">
        <f t="shared" ref="N15" si="46">D15-D14</f>
        <v>23.5</v>
      </c>
      <c r="O15" s="3">
        <f t="shared" ref="O15" si="47">E15-E14</f>
        <v>25</v>
      </c>
      <c r="P15" s="3">
        <f t="shared" ref="P15" si="48">F15-F14</f>
        <v>14.300000000000011</v>
      </c>
      <c r="Q15" s="3">
        <f t="shared" ref="Q15" si="49">G15-G14</f>
        <v>15.5</v>
      </c>
      <c r="R15" s="3">
        <f t="shared" ref="R15" si="50">H15-H14</f>
        <v>7</v>
      </c>
      <c r="S15" s="3">
        <f t="shared" ref="S15" si="51">I15-I14</f>
        <v>16.400000000000034</v>
      </c>
      <c r="T15" s="3">
        <f t="shared" ref="T15" si="52">J15-J14</f>
        <v>30.700000000000017</v>
      </c>
      <c r="U15" s="3">
        <f t="shared" ref="U15" si="53">K15-K14</f>
        <v>48.400000000000034</v>
      </c>
      <c r="V15" s="3">
        <f>SUM(L15:U15)</f>
        <v>218.70000000000007</v>
      </c>
    </row>
    <row r="16" spans="1:22" x14ac:dyDescent="0.2">
      <c r="A16" s="2">
        <v>46023</v>
      </c>
      <c r="B16" s="3">
        <v>719.3</v>
      </c>
      <c r="C16" s="3">
        <v>195.6</v>
      </c>
      <c r="D16" s="3">
        <v>277.60000000000002</v>
      </c>
      <c r="E16" s="3">
        <v>351.4</v>
      </c>
      <c r="F16" s="3">
        <v>252.9</v>
      </c>
      <c r="G16" s="3">
        <v>364.2</v>
      </c>
      <c r="H16" s="3">
        <v>156.69999999999999</v>
      </c>
      <c r="I16" s="3">
        <v>360.3</v>
      </c>
      <c r="J16" s="3">
        <v>259.10000000000002</v>
      </c>
      <c r="K16" s="3">
        <v>585.6</v>
      </c>
      <c r="L16" s="5">
        <f t="shared" ref="L16" si="54">B16-B15-M16</f>
        <v>12.69999999999996</v>
      </c>
      <c r="M16" s="3">
        <f t="shared" ref="M16" si="55">C16-C15</f>
        <v>6.0999999999999943</v>
      </c>
      <c r="N16" s="3">
        <f t="shared" ref="N16" si="56">D16-D15</f>
        <v>12.600000000000023</v>
      </c>
      <c r="O16" s="3">
        <f t="shared" ref="O16" si="57">E16-E15</f>
        <v>18</v>
      </c>
      <c r="P16" s="3">
        <f t="shared" ref="P16" si="58">F16-F15</f>
        <v>15</v>
      </c>
      <c r="Q16" s="3">
        <f t="shared" ref="Q16" si="59">G16-G15</f>
        <v>23.599999999999966</v>
      </c>
      <c r="R16" s="3">
        <f t="shared" ref="R16" si="60">H16-H15</f>
        <v>4.7999999999999829</v>
      </c>
      <c r="S16" s="3">
        <f t="shared" ref="S16" si="61">I16-I15</f>
        <v>13</v>
      </c>
      <c r="T16" s="3">
        <f t="shared" ref="T16" si="62">J16-J15</f>
        <v>15.300000000000011</v>
      </c>
      <c r="U16" s="3">
        <f t="shared" ref="U16" si="63">K16-K15</f>
        <v>38.5</v>
      </c>
      <c r="V16" s="3">
        <f>SUM(L16:U16)</f>
        <v>159.59999999999994</v>
      </c>
    </row>
    <row r="17" spans="1:22" x14ac:dyDescent="0.2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5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5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5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5.75" customHeight="1" x14ac:dyDescent="0.2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5.75" customHeight="1" x14ac:dyDescent="0.2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5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5.75" customHeight="1" x14ac:dyDescent="0.2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5.75" customHeight="1" x14ac:dyDescent="0.2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5.75" customHeight="1" x14ac:dyDescent="0.2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.75" customHeight="1" x14ac:dyDescent="0.2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5.75" customHeight="1" x14ac:dyDescent="0.2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5.75" customHeight="1" x14ac:dyDescent="0.2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5.75" customHeight="1" x14ac:dyDescent="0.2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2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2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2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5.75" customHeight="1" x14ac:dyDescent="0.2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5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5.75" customHeight="1" x14ac:dyDescent="0.2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5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5.75" customHeight="1" x14ac:dyDescent="0.2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5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5.75" customHeight="1" x14ac:dyDescent="0.2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5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5.75" customHeight="1" x14ac:dyDescent="0.2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5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5.75" customHeight="1" x14ac:dyDescent="0.2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5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5.75" customHeight="1" x14ac:dyDescent="0.2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5.75" customHeight="1" x14ac:dyDescent="0.2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 x14ac:dyDescent="0.2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5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5.75" customHeight="1" x14ac:dyDescent="0.2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5.75" customHeight="1" x14ac:dyDescent="0.2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5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2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5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5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5.75" customHeight="1" x14ac:dyDescent="0.2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5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5.75" customHeight="1" x14ac:dyDescent="0.2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5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5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5.75" customHeight="1" x14ac:dyDescent="0.2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5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5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5.75" customHeight="1" x14ac:dyDescent="0.2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5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5.75" customHeight="1" x14ac:dyDescent="0.2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5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5.75" customHeight="1" x14ac:dyDescent="0.2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5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5.75" customHeight="1" x14ac:dyDescent="0.2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5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5.75" customHeight="1" x14ac:dyDescent="0.2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5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5.75" customHeight="1" x14ac:dyDescent="0.2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5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5.75" customHeight="1" x14ac:dyDescent="0.2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5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5.75" customHeight="1" x14ac:dyDescent="0.2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5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5.75" customHeight="1" x14ac:dyDescent="0.2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5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5.75" customHeight="1" x14ac:dyDescent="0.2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5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5.75" customHeight="1" x14ac:dyDescent="0.2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5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5.75" customHeight="1" x14ac:dyDescent="0.2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5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5.75" customHeight="1" x14ac:dyDescent="0.2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5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5.75" customHeight="1" x14ac:dyDescent="0.2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5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5.75" customHeight="1" x14ac:dyDescent="0.2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5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5.75" customHeight="1" x14ac:dyDescent="0.2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5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5.75" customHeight="1" x14ac:dyDescent="0.2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5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5.75" customHeight="1" x14ac:dyDescent="0.2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5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5.75" customHeight="1" x14ac:dyDescent="0.2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5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5.75" customHeight="1" x14ac:dyDescent="0.2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5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5.75" customHeight="1" x14ac:dyDescent="0.2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5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5.75" customHeight="1" x14ac:dyDescent="0.2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5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5.75" customHeight="1" x14ac:dyDescent="0.2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5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5.75" customHeight="1" x14ac:dyDescent="0.2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5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5.75" customHeight="1" x14ac:dyDescent="0.2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5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5.75" customHeight="1" x14ac:dyDescent="0.2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5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5.75" customHeight="1" x14ac:dyDescent="0.2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5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5.75" customHeight="1" x14ac:dyDescent="0.2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5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5.75" customHeight="1" x14ac:dyDescent="0.2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5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5.75" customHeight="1" x14ac:dyDescent="0.2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5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5.75" customHeight="1" x14ac:dyDescent="0.2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5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5.75" customHeight="1" x14ac:dyDescent="0.2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5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5.75" customHeight="1" x14ac:dyDescent="0.2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5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5.75" customHeight="1" x14ac:dyDescent="0.2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5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5.75" customHeight="1" x14ac:dyDescent="0.2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5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5.75" customHeight="1" x14ac:dyDescent="0.2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5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5.75" customHeight="1" x14ac:dyDescent="0.2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5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5.75" customHeight="1" x14ac:dyDescent="0.2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5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5.75" customHeight="1" x14ac:dyDescent="0.2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5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5.75" customHeight="1" x14ac:dyDescent="0.2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5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5.75" customHeight="1" x14ac:dyDescent="0.2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5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5.75" customHeight="1" x14ac:dyDescent="0.2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5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5.75" customHeight="1" x14ac:dyDescent="0.2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5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5.75" customHeight="1" x14ac:dyDescent="0.2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5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5.75" customHeight="1" x14ac:dyDescent="0.2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5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5.75" customHeight="1" x14ac:dyDescent="0.2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5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5.75" customHeight="1" x14ac:dyDescent="0.2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5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5.75" customHeight="1" x14ac:dyDescent="0.2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5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5.75" customHeight="1" x14ac:dyDescent="0.2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5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5.75" customHeight="1" x14ac:dyDescent="0.2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Maher</cp:lastModifiedBy>
  <dcterms:created xsi:type="dcterms:W3CDTF">2015-06-05T18:17:20Z</dcterms:created>
  <dcterms:modified xsi:type="dcterms:W3CDTF">2025-12-26T21:39:09Z</dcterms:modified>
</cp:coreProperties>
</file>