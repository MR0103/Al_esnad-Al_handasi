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ملفات الكهرباء\"/>
    </mc:Choice>
  </mc:AlternateContent>
  <xr:revisionPtr revIDLastSave="0" documentId="13_ncr:1_{C4455F60-59F2-4C0B-9523-F8A0F0B807D9}" xr6:coauthVersionLast="47" xr6:coauthVersionMax="47" xr10:uidLastSave="{00000000-0000-0000-0000-000000000000}"/>
  <bookViews>
    <workbookView xWindow="-108" yWindow="-108" windowWidth="23256" windowHeight="12456" xr2:uid="{00000000-000D-0000-FFFF-FFFF00000000}"/>
  </bookViews>
  <sheets>
    <sheet name="المجمعين" sheetId="8" r:id="rId1"/>
    <sheet name="المعملجي" sheetId="1" r:id="rId2"/>
    <sheet name="الحر" sheetId="5" r:id="rId3"/>
    <sheet name="الطلبات" sheetId="6" r:id="rId4"/>
    <sheet name="الإعدادات" sheetId="7" state="hidden" r:id="rId5"/>
  </sheets>
  <definedNames>
    <definedName name="_xlnm._FilterDatabase" localSheetId="2" hidden="1">الحر!$A$1:$L$111</definedName>
    <definedName name="_xlnm._FilterDatabase" localSheetId="0" hidden="1">المجمعين!$A$2:$A$590</definedName>
    <definedName name="Z_230B7950_A2D8_4702_A7AE_58086CEB2B82_.wvu.FilterData" localSheetId="2" hidden="1">الحر!$A$1:$J$1000</definedName>
    <definedName name="Z_230B7950_A2D8_4702_A7AE_58086CEB2B82_.wvu.FilterData" localSheetId="0" hidden="1">المجمعين!$B$2:$N$590</definedName>
    <definedName name="Z_230B7950_A2D8_4702_A7AE_58086CEB2B82_.wvu.FilterData" localSheetId="1" hidden="1">المعملجي!$A$1:$M$998</definedName>
    <definedName name="Z_9CD84C83_20A6_43E9_845B_58E81C83F28A_.wvu.FilterData" localSheetId="2" hidden="1">الحر!$A$1:$J$1000</definedName>
    <definedName name="Z_9CD84C83_20A6_43E9_845B_58E81C83F28A_.wvu.FilterData" localSheetId="0" hidden="1">المجمعين!$B$2:$N$590</definedName>
    <definedName name="Z_9CD84C83_20A6_43E9_845B_58E81C83F28A_.wvu.FilterData" localSheetId="1" hidden="1">المعملجي!$A$1:$M$998</definedName>
    <definedName name="Z_DEFAECCF_EBBD_406D_BCDE_E68D508B403D_.wvu.FilterData" localSheetId="2" hidden="1">الحر!$A$1:$J$1000</definedName>
    <definedName name="Z_DEFAECCF_EBBD_406D_BCDE_E68D508B403D_.wvu.FilterData" localSheetId="0" hidden="1">المجمعين!$B$2:$N$590</definedName>
    <definedName name="Z_DEFAECCF_EBBD_406D_BCDE_E68D508B403D_.wvu.FilterData" localSheetId="1" hidden="1">المعملجي!$A$1:$M$998</definedName>
  </definedNames>
  <calcPr calcId="191029"/>
  <customWorkbookViews>
    <customWorkbookView name="الفلتر 1" guid="{9CD84C83-20A6-43E9-845B-58E81C83F28A}" maximized="1" windowWidth="0" windowHeight="0" activeSheetId="0"/>
    <customWorkbookView name="الفلتر 2" guid="{DEFAECCF-EBBD-406D-BCDE-E68D508B403D}" maximized="1" windowWidth="0" windowHeight="0" activeSheetId="0"/>
    <customWorkbookView name="الفلتر 3" guid="{230B7950-A2D8-4702-A7AE-58086CEB2B8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5" l="1"/>
  <c r="F71" i="5"/>
  <c r="A111" i="5"/>
  <c r="D110" i="5"/>
  <c r="G68" i="5"/>
  <c r="C18" i="5"/>
  <c r="E67" i="5"/>
  <c r="G65" i="5"/>
  <c r="B16" i="5"/>
  <c r="E64" i="5"/>
  <c r="G108" i="5"/>
  <c r="C63" i="5"/>
  <c r="E61" i="5"/>
  <c r="A60" i="5"/>
  <c r="C106" i="5"/>
  <c r="E59" i="5"/>
  <c r="A58" i="5"/>
  <c r="D104" i="5"/>
  <c r="H55" i="5"/>
  <c r="C54" i="5"/>
  <c r="E103" i="5"/>
  <c r="H102" i="5"/>
  <c r="C52" i="5"/>
  <c r="F100" i="5"/>
  <c r="B13" i="5"/>
  <c r="E50" i="5"/>
  <c r="G12" i="5"/>
  <c r="B11" i="5"/>
  <c r="G74" i="5"/>
  <c r="B73" i="5"/>
  <c r="D71" i="5"/>
  <c r="G70" i="5"/>
  <c r="B110" i="5"/>
  <c r="E68" i="5"/>
  <c r="A18" i="5"/>
  <c r="C67" i="5"/>
  <c r="E65" i="5"/>
  <c r="G15" i="5"/>
  <c r="C64" i="5"/>
  <c r="E108" i="5"/>
  <c r="A63" i="5"/>
  <c r="C61" i="5"/>
  <c r="F107" i="5"/>
  <c r="A106" i="5"/>
  <c r="C59" i="5"/>
  <c r="G57" i="5"/>
  <c r="B104" i="5"/>
  <c r="F55" i="5"/>
  <c r="A54" i="5"/>
  <c r="C103" i="5"/>
  <c r="F102" i="5"/>
  <c r="A52" i="5"/>
  <c r="D100" i="5"/>
  <c r="F74" i="5"/>
  <c r="A73" i="5"/>
  <c r="C71" i="5"/>
  <c r="F70" i="5"/>
  <c r="A110" i="5"/>
  <c r="D68" i="5"/>
  <c r="G17" i="5"/>
  <c r="B67" i="5"/>
  <c r="D65" i="5"/>
  <c r="F15" i="5"/>
  <c r="B64" i="5"/>
  <c r="D108" i="5"/>
  <c r="G62" i="5"/>
  <c r="B61" i="5"/>
  <c r="E107" i="5"/>
  <c r="G105" i="5"/>
  <c r="B59" i="5"/>
  <c r="F57" i="5"/>
  <c r="A104" i="5"/>
  <c r="E55" i="5"/>
  <c r="G53" i="5"/>
  <c r="B103" i="5"/>
  <c r="E102" i="5"/>
  <c r="H101" i="5"/>
  <c r="C100" i="5"/>
  <c r="G51" i="5"/>
  <c r="B50" i="5"/>
  <c r="D12" i="5"/>
  <c r="F10" i="5"/>
  <c r="E74" i="5"/>
  <c r="G72" i="5"/>
  <c r="B71" i="5"/>
  <c r="E70" i="5"/>
  <c r="G69" i="5"/>
  <c r="C68" i="5"/>
  <c r="F17" i="5"/>
  <c r="A67" i="5"/>
  <c r="C65" i="5"/>
  <c r="E15" i="5"/>
  <c r="A64" i="5"/>
  <c r="C108" i="5"/>
  <c r="F62" i="5"/>
  <c r="A61" i="5"/>
  <c r="D107" i="5"/>
  <c r="F105" i="5"/>
  <c r="A59" i="5"/>
  <c r="E57" i="5"/>
  <c r="H56" i="5"/>
  <c r="D55" i="5"/>
  <c r="F53" i="5"/>
  <c r="A103" i="5"/>
  <c r="A74" i="5"/>
  <c r="C72" i="5"/>
  <c r="E111" i="5"/>
  <c r="A70" i="5"/>
  <c r="C69" i="5"/>
  <c r="G18" i="5"/>
  <c r="B17" i="5"/>
  <c r="D66" i="5"/>
  <c r="F16" i="5"/>
  <c r="G73" i="5"/>
  <c r="B72" i="5"/>
  <c r="D111" i="5"/>
  <c r="G110" i="5"/>
  <c r="B69" i="5"/>
  <c r="F18" i="5"/>
  <c r="A17" i="5"/>
  <c r="C66" i="5"/>
  <c r="E16" i="5"/>
  <c r="H64" i="5"/>
  <c r="C109" i="5"/>
  <c r="F63" i="5"/>
  <c r="A62" i="5"/>
  <c r="D60" i="5"/>
  <c r="F106" i="5"/>
  <c r="A105" i="5"/>
  <c r="D58" i="5"/>
  <c r="G104" i="5"/>
  <c r="C56" i="5"/>
  <c r="F54" i="5"/>
  <c r="A53" i="5"/>
  <c r="C14" i="5"/>
  <c r="F52" i="5"/>
  <c r="B101" i="5"/>
  <c r="E13" i="5"/>
  <c r="C73" i="5"/>
  <c r="H70" i="5"/>
  <c r="F68" i="5"/>
  <c r="D67" i="5"/>
  <c r="A16" i="5"/>
  <c r="B109" i="5"/>
  <c r="C62" i="5"/>
  <c r="C107" i="5"/>
  <c r="F59" i="5"/>
  <c r="A57" i="5"/>
  <c r="B55" i="5"/>
  <c r="D103" i="5"/>
  <c r="G52" i="5"/>
  <c r="B100" i="5"/>
  <c r="C51" i="5"/>
  <c r="C49" i="5"/>
  <c r="C11" i="5"/>
  <c r="C9" i="5"/>
  <c r="E47" i="5"/>
  <c r="G45" i="5"/>
  <c r="C99" i="5"/>
  <c r="E97" i="5"/>
  <c r="G95" i="5"/>
  <c r="C8" i="5"/>
  <c r="F6" i="5"/>
  <c r="A5" i="5"/>
  <c r="D44" i="5"/>
  <c r="F93" i="5"/>
  <c r="A92" i="5"/>
  <c r="D43" i="5"/>
  <c r="H41" i="5"/>
  <c r="D40" i="5"/>
  <c r="G39" i="5"/>
  <c r="C38" i="5"/>
  <c r="G2" i="5"/>
  <c r="C90" i="5"/>
  <c r="G89" i="5"/>
  <c r="B35" i="5"/>
  <c r="D33" i="5"/>
  <c r="F31" i="5"/>
  <c r="A30" i="5"/>
  <c r="C28" i="5"/>
  <c r="E88" i="5"/>
  <c r="G26" i="5"/>
  <c r="B86" i="5"/>
  <c r="D84" i="5"/>
  <c r="F82" i="5"/>
  <c r="A81" i="5"/>
  <c r="C79" i="5"/>
  <c r="E24" i="5"/>
  <c r="G78" i="5"/>
  <c r="C22" i="5"/>
  <c r="G21" i="5"/>
  <c r="C20" i="5"/>
  <c r="E19" i="5"/>
  <c r="G150" i="1"/>
  <c r="B81" i="1"/>
  <c r="D149" i="1"/>
  <c r="F209" i="1"/>
  <c r="A79" i="1"/>
  <c r="C78" i="1"/>
  <c r="E146" i="1"/>
  <c r="G144" i="1"/>
  <c r="B76" i="1"/>
  <c r="D143" i="1"/>
  <c r="F142" i="1"/>
  <c r="A74" i="1"/>
  <c r="C207" i="1"/>
  <c r="E141" i="1"/>
  <c r="G205" i="1"/>
  <c r="B204" i="1"/>
  <c r="D72" i="1"/>
  <c r="F140" i="1"/>
  <c r="A201" i="1"/>
  <c r="C200" i="1"/>
  <c r="E138" i="1"/>
  <c r="G137" i="1"/>
  <c r="B136" i="1"/>
  <c r="D198" i="1"/>
  <c r="F134" i="1"/>
  <c r="A133" i="1"/>
  <c r="C197" i="1"/>
  <c r="E195" i="1"/>
  <c r="G193" i="1"/>
  <c r="B132" i="1"/>
  <c r="D130" i="1"/>
  <c r="F67" i="1"/>
  <c r="A9" i="1"/>
  <c r="C129" i="1"/>
  <c r="E127" i="1"/>
  <c r="G8" i="1"/>
  <c r="B192" i="1"/>
  <c r="D65" i="1"/>
  <c r="F64" i="1"/>
  <c r="A63" i="1"/>
  <c r="C189" i="1"/>
  <c r="E123" i="1"/>
  <c r="G122" i="1"/>
  <c r="B121" i="1"/>
  <c r="D62" i="1"/>
  <c r="F72" i="5"/>
  <c r="D70" i="5"/>
  <c r="B68" i="5"/>
  <c r="G66" i="5"/>
  <c r="D15" i="5"/>
  <c r="A109" i="5"/>
  <c r="B62" i="5"/>
  <c r="B107" i="5"/>
  <c r="D59" i="5"/>
  <c r="F104" i="5"/>
  <c r="A55" i="5"/>
  <c r="G14" i="5"/>
  <c r="E52" i="5"/>
  <c r="A100" i="5"/>
  <c r="B51" i="5"/>
  <c r="B49" i="5"/>
  <c r="A11" i="5"/>
  <c r="B9" i="5"/>
  <c r="D47" i="5"/>
  <c r="F45" i="5"/>
  <c r="B99" i="5"/>
  <c r="D97" i="5"/>
  <c r="F95" i="5"/>
  <c r="B8" i="5"/>
  <c r="E6" i="5"/>
  <c r="G4" i="5"/>
  <c r="C44" i="5"/>
  <c r="E93" i="5"/>
  <c r="G91" i="5"/>
  <c r="C43" i="5"/>
  <c r="G41" i="5"/>
  <c r="C40" i="5"/>
  <c r="F39" i="5"/>
  <c r="B38" i="5"/>
  <c r="F2" i="5"/>
  <c r="B90" i="5"/>
  <c r="F89" i="5"/>
  <c r="A35" i="5"/>
  <c r="C33" i="5"/>
  <c r="E31" i="5"/>
  <c r="G29" i="5"/>
  <c r="B28" i="5"/>
  <c r="D88" i="5"/>
  <c r="F26" i="5"/>
  <c r="A86" i="5"/>
  <c r="C84" i="5"/>
  <c r="E82" i="5"/>
  <c r="G80" i="5"/>
  <c r="B79" i="5"/>
  <c r="D24" i="5"/>
  <c r="F78" i="5"/>
  <c r="B22" i="5"/>
  <c r="F21" i="5"/>
  <c r="B20" i="5"/>
  <c r="D19" i="5"/>
  <c r="F150" i="1"/>
  <c r="A81" i="1"/>
  <c r="C149" i="1"/>
  <c r="E209" i="1"/>
  <c r="G147" i="1"/>
  <c r="B78" i="1"/>
  <c r="D146" i="1"/>
  <c r="F144" i="1"/>
  <c r="A76" i="1"/>
  <c r="C143" i="1"/>
  <c r="E142" i="1"/>
  <c r="G10" i="1"/>
  <c r="B207" i="1"/>
  <c r="D141" i="1"/>
  <c r="F205" i="1"/>
  <c r="A204" i="1"/>
  <c r="C72" i="1"/>
  <c r="E140" i="1"/>
  <c r="G139" i="1"/>
  <c r="B200" i="1"/>
  <c r="D138" i="1"/>
  <c r="F137" i="1"/>
  <c r="A136" i="1"/>
  <c r="C198" i="1"/>
  <c r="E134" i="1"/>
  <c r="G69" i="1"/>
  <c r="B197" i="1"/>
  <c r="D195" i="1"/>
  <c r="F193" i="1"/>
  <c r="A132" i="1"/>
  <c r="C130" i="1"/>
  <c r="E67" i="1"/>
  <c r="G66" i="1"/>
  <c r="B129" i="1"/>
  <c r="D127" i="1"/>
  <c r="F8" i="1"/>
  <c r="A192" i="1"/>
  <c r="C65" i="1"/>
  <c r="E64" i="1"/>
  <c r="G125" i="1"/>
  <c r="B189" i="1"/>
  <c r="D123" i="1"/>
  <c r="F122" i="1"/>
  <c r="E72" i="5"/>
  <c r="C70" i="5"/>
  <c r="A68" i="5"/>
  <c r="F66" i="5"/>
  <c r="C15" i="5"/>
  <c r="F108" i="5"/>
  <c r="G61" i="5"/>
  <c r="A107" i="5"/>
  <c r="H58" i="5"/>
  <c r="E104" i="5"/>
  <c r="G54" i="5"/>
  <c r="F14" i="5"/>
  <c r="D52" i="5"/>
  <c r="H13" i="5"/>
  <c r="A51" i="5"/>
  <c r="A49" i="5"/>
  <c r="G10" i="5"/>
  <c r="A9" i="5"/>
  <c r="C47" i="5"/>
  <c r="E45" i="5"/>
  <c r="A99" i="5"/>
  <c r="C97" i="5"/>
  <c r="E95" i="5"/>
  <c r="A8" i="5"/>
  <c r="D6" i="5"/>
  <c r="F4" i="5"/>
  <c r="B44" i="5"/>
  <c r="D93" i="5"/>
  <c r="F91" i="5"/>
  <c r="B43" i="5"/>
  <c r="F41" i="5"/>
  <c r="B40" i="5"/>
  <c r="E39" i="5"/>
  <c r="A38" i="5"/>
  <c r="E2" i="5"/>
  <c r="A90" i="5"/>
  <c r="E89" i="5"/>
  <c r="G34" i="5"/>
  <c r="B33" i="5"/>
  <c r="D31" i="5"/>
  <c r="F29" i="5"/>
  <c r="A28" i="5"/>
  <c r="C88" i="5"/>
  <c r="E26" i="5"/>
  <c r="G85" i="5"/>
  <c r="B84" i="5"/>
  <c r="D82" i="5"/>
  <c r="F80" i="5"/>
  <c r="A79" i="5"/>
  <c r="C24" i="5"/>
  <c r="E78" i="5"/>
  <c r="A22" i="5"/>
  <c r="E21" i="5"/>
  <c r="A20" i="5"/>
  <c r="C19" i="5"/>
  <c r="E150" i="1"/>
  <c r="G80" i="1"/>
  <c r="B149" i="1"/>
  <c r="D209" i="1"/>
  <c r="F147" i="1"/>
  <c r="D72" i="5"/>
  <c r="B70" i="5"/>
  <c r="H18" i="5"/>
  <c r="E66" i="5"/>
  <c r="B15" i="5"/>
  <c r="B108" i="5"/>
  <c r="F61" i="5"/>
  <c r="G106" i="5"/>
  <c r="G58" i="5"/>
  <c r="C104" i="5"/>
  <c r="E54" i="5"/>
  <c r="E14" i="5"/>
  <c r="B52" i="5"/>
  <c r="G13" i="5"/>
  <c r="G50" i="5"/>
  <c r="F12" i="5"/>
  <c r="E10" i="5"/>
  <c r="G48" i="5"/>
  <c r="B47" i="5"/>
  <c r="D45" i="5"/>
  <c r="G98" i="5"/>
  <c r="B97" i="5"/>
  <c r="D95" i="5"/>
  <c r="H7" i="5"/>
  <c r="C6" i="5"/>
  <c r="E4" i="5"/>
  <c r="A44" i="5"/>
  <c r="C93" i="5"/>
  <c r="E91" i="5"/>
  <c r="A43" i="5"/>
  <c r="E41" i="5"/>
  <c r="A40" i="5"/>
  <c r="D39" i="5"/>
  <c r="H37" i="5"/>
  <c r="D2" i="5"/>
  <c r="H36" i="5"/>
  <c r="D89" i="5"/>
  <c r="F34" i="5"/>
  <c r="A33" i="5"/>
  <c r="C31" i="5"/>
  <c r="E29" i="5"/>
  <c r="G27" i="5"/>
  <c r="B88" i="5"/>
  <c r="D26" i="5"/>
  <c r="F85" i="5"/>
  <c r="A84" i="5"/>
  <c r="C82" i="5"/>
  <c r="E80" i="5"/>
  <c r="G25" i="5"/>
  <c r="B24" i="5"/>
  <c r="D78" i="5"/>
  <c r="H75" i="5"/>
  <c r="D21" i="5"/>
  <c r="G77" i="5"/>
  <c r="B19" i="5"/>
  <c r="D150" i="1"/>
  <c r="F80" i="1"/>
  <c r="A149" i="1"/>
  <c r="C209" i="1"/>
  <c r="E147" i="1"/>
  <c r="G77" i="1"/>
  <c r="B146" i="1"/>
  <c r="D144" i="1"/>
  <c r="F75" i="1"/>
  <c r="A143" i="1"/>
  <c r="C142" i="1"/>
  <c r="E10" i="1"/>
  <c r="G73" i="1"/>
  <c r="B141" i="1"/>
  <c r="D205" i="1"/>
  <c r="F203" i="1"/>
  <c r="A72" i="1"/>
  <c r="C140" i="1"/>
  <c r="E139" i="1"/>
  <c r="G71" i="1"/>
  <c r="B138" i="1"/>
  <c r="D137" i="1"/>
  <c r="F135" i="1"/>
  <c r="A198" i="1"/>
  <c r="C134" i="1"/>
  <c r="E69" i="1"/>
  <c r="G196" i="1"/>
  <c r="B195" i="1"/>
  <c r="D193" i="1"/>
  <c r="F131" i="1"/>
  <c r="A130" i="1"/>
  <c r="C67" i="1"/>
  <c r="E66" i="1"/>
  <c r="G128" i="1"/>
  <c r="B127" i="1"/>
  <c r="D8" i="1"/>
  <c r="F191" i="1"/>
  <c r="A65" i="1"/>
  <c r="C64" i="1"/>
  <c r="E125" i="1"/>
  <c r="G124" i="1"/>
  <c r="B123" i="1"/>
  <c r="D122" i="1"/>
  <c r="A72" i="5"/>
  <c r="F110" i="5"/>
  <c r="E18" i="5"/>
  <c r="B66" i="5"/>
  <c r="A15" i="5"/>
  <c r="A108" i="5"/>
  <c r="D61" i="5"/>
  <c r="E106" i="5"/>
  <c r="F58" i="5"/>
  <c r="G56" i="5"/>
  <c r="D54" i="5"/>
  <c r="D14" i="5"/>
  <c r="G101" i="5"/>
  <c r="F13" i="5"/>
  <c r="F50" i="5"/>
  <c r="E12" i="5"/>
  <c r="D10" i="5"/>
  <c r="F48" i="5"/>
  <c r="A47" i="5"/>
  <c r="C45" i="5"/>
  <c r="F98" i="5"/>
  <c r="A97" i="5"/>
  <c r="C95" i="5"/>
  <c r="G7" i="5"/>
  <c r="B6" i="5"/>
  <c r="D4" i="5"/>
  <c r="G94" i="5"/>
  <c r="B93" i="5"/>
  <c r="D91" i="5"/>
  <c r="H42" i="5"/>
  <c r="D41" i="5"/>
  <c r="G3" i="5"/>
  <c r="C39" i="5"/>
  <c r="G37" i="5"/>
  <c r="C2" i="5"/>
  <c r="G36" i="5"/>
  <c r="C89" i="5"/>
  <c r="E34" i="5"/>
  <c r="G32" i="5"/>
  <c r="B31" i="5"/>
  <c r="D29" i="5"/>
  <c r="F27" i="5"/>
  <c r="A88" i="5"/>
  <c r="C26" i="5"/>
  <c r="E85" i="5"/>
  <c r="G83" i="5"/>
  <c r="B82" i="5"/>
  <c r="D80" i="5"/>
  <c r="F25" i="5"/>
  <c r="A24" i="5"/>
  <c r="C78" i="5"/>
  <c r="G75" i="5"/>
  <c r="C21" i="5"/>
  <c r="F77" i="5"/>
  <c r="A19" i="5"/>
  <c r="C150" i="1"/>
  <c r="E80" i="1"/>
  <c r="G148" i="1"/>
  <c r="B209" i="1"/>
  <c r="D147" i="1"/>
  <c r="G71" i="5"/>
  <c r="E110" i="5"/>
  <c r="D18" i="5"/>
  <c r="A66" i="5"/>
  <c r="G64" i="5"/>
  <c r="H63" i="5"/>
  <c r="H60" i="5"/>
  <c r="D106" i="5"/>
  <c r="E58" i="5"/>
  <c r="F56" i="5"/>
  <c r="B54" i="5"/>
  <c r="B14" i="5"/>
  <c r="F101" i="5"/>
  <c r="D13" i="5"/>
  <c r="D50" i="5"/>
  <c r="C12" i="5"/>
  <c r="C10" i="5"/>
  <c r="E48" i="5"/>
  <c r="G46" i="5"/>
  <c r="B45" i="5"/>
  <c r="E98" i="5"/>
  <c r="G96" i="5"/>
  <c r="B95" i="5"/>
  <c r="F7" i="5"/>
  <c r="A6" i="5"/>
  <c r="C4" i="5"/>
  <c r="F94" i="5"/>
  <c r="A93" i="5"/>
  <c r="C91" i="5"/>
  <c r="G42" i="5"/>
  <c r="C41" i="5"/>
  <c r="F3" i="5"/>
  <c r="B39" i="5"/>
  <c r="F37" i="5"/>
  <c r="B2" i="5"/>
  <c r="F36" i="5"/>
  <c r="B89" i="5"/>
  <c r="D34" i="5"/>
  <c r="F32" i="5"/>
  <c r="A31" i="5"/>
  <c r="C29" i="5"/>
  <c r="E27" i="5"/>
  <c r="G87" i="5"/>
  <c r="B26" i="5"/>
  <c r="D85" i="5"/>
  <c r="F83" i="5"/>
  <c r="A82" i="5"/>
  <c r="C80" i="5"/>
  <c r="E25" i="5"/>
  <c r="G23" i="5"/>
  <c r="B78" i="5"/>
  <c r="F75" i="5"/>
  <c r="B21" i="5"/>
  <c r="E77" i="5"/>
  <c r="G76" i="5"/>
  <c r="B150" i="1"/>
  <c r="D80" i="1"/>
  <c r="F148" i="1"/>
  <c r="A209" i="1"/>
  <c r="E71" i="5"/>
  <c r="C110" i="5"/>
  <c r="B18" i="5"/>
  <c r="F65" i="5"/>
  <c r="F64" i="5"/>
  <c r="G63" i="5"/>
  <c r="D74" i="5"/>
  <c r="A71" i="5"/>
  <c r="F69" i="5"/>
  <c r="E17" i="5"/>
  <c r="B65" i="5"/>
  <c r="D64" i="5"/>
  <c r="E63" i="5"/>
  <c r="F60" i="5"/>
  <c r="E105" i="5"/>
  <c r="B58" i="5"/>
  <c r="D56" i="5"/>
  <c r="D53" i="5"/>
  <c r="G102" i="5"/>
  <c r="D101" i="5"/>
  <c r="A13" i="5"/>
  <c r="A50" i="5"/>
  <c r="A12" i="5"/>
  <c r="A10" i="5"/>
  <c r="C48" i="5"/>
  <c r="E46" i="5"/>
  <c r="H99" i="5"/>
  <c r="C98" i="5"/>
  <c r="E96" i="5"/>
  <c r="H8" i="5"/>
  <c r="D7" i="5"/>
  <c r="F5" i="5"/>
  <c r="A4" i="5"/>
  <c r="D94" i="5"/>
  <c r="F92" i="5"/>
  <c r="A91" i="5"/>
  <c r="E42" i="5"/>
  <c r="A41" i="5"/>
  <c r="D3" i="5"/>
  <c r="H38" i="5"/>
  <c r="D37" i="5"/>
  <c r="H90" i="5"/>
  <c r="D36" i="5"/>
  <c r="G35" i="5"/>
  <c r="B34" i="5"/>
  <c r="D32" i="5"/>
  <c r="F30" i="5"/>
  <c r="A29" i="5"/>
  <c r="C27" i="5"/>
  <c r="E87" i="5"/>
  <c r="G86" i="5"/>
  <c r="B85" i="5"/>
  <c r="D83" i="5"/>
  <c r="F81" i="5"/>
  <c r="A80" i="5"/>
  <c r="C25" i="5"/>
  <c r="E23" i="5"/>
  <c r="H22" i="5"/>
  <c r="D75" i="5"/>
  <c r="H20" i="5"/>
  <c r="C77" i="5"/>
  <c r="E76" i="5"/>
  <c r="G81" i="1"/>
  <c r="B80" i="1"/>
  <c r="D148" i="1"/>
  <c r="F79" i="1"/>
  <c r="A147" i="1"/>
  <c r="C77" i="1"/>
  <c r="E145" i="1"/>
  <c r="G76" i="1"/>
  <c r="B75" i="1"/>
  <c r="D208" i="1"/>
  <c r="F74" i="1"/>
  <c r="A10" i="1"/>
  <c r="C73" i="1"/>
  <c r="E206" i="1"/>
  <c r="G204" i="1"/>
  <c r="B203" i="1"/>
  <c r="D202" i="1"/>
  <c r="F201" i="1"/>
  <c r="A139" i="1"/>
  <c r="C71" i="1"/>
  <c r="E199" i="1"/>
  <c r="G136" i="1"/>
  <c r="B135" i="1"/>
  <c r="D70" i="1"/>
  <c r="F133" i="1"/>
  <c r="A69" i="1"/>
  <c r="C196" i="1"/>
  <c r="E194" i="1"/>
  <c r="G132" i="1"/>
  <c r="B131" i="1"/>
  <c r="D68" i="1"/>
  <c r="F9" i="1"/>
  <c r="A66" i="1"/>
  <c r="C128" i="1"/>
  <c r="E126" i="1"/>
  <c r="G192" i="1"/>
  <c r="B191" i="1"/>
  <c r="D190" i="1"/>
  <c r="F63" i="1"/>
  <c r="C74" i="5"/>
  <c r="G111" i="5"/>
  <c r="E69" i="5"/>
  <c r="D17" i="5"/>
  <c r="A65" i="5"/>
  <c r="G109" i="5"/>
  <c r="D63" i="5"/>
  <c r="E60" i="5"/>
  <c r="D105" i="5"/>
  <c r="H57" i="5"/>
  <c r="B56" i="5"/>
  <c r="C53" i="5"/>
  <c r="D102" i="5"/>
  <c r="C101" i="5"/>
  <c r="H51" i="5"/>
  <c r="G49" i="5"/>
  <c r="G11" i="5"/>
  <c r="G9" i="5"/>
  <c r="B48" i="5"/>
  <c r="D46" i="5"/>
  <c r="G99" i="5"/>
  <c r="B98" i="5"/>
  <c r="D96" i="5"/>
  <c r="G8" i="5"/>
  <c r="C7" i="5"/>
  <c r="E5" i="5"/>
  <c r="H44" i="5"/>
  <c r="C94" i="5"/>
  <c r="E92" i="5"/>
  <c r="H43" i="5"/>
  <c r="D42" i="5"/>
  <c r="H40" i="5"/>
  <c r="C3" i="5"/>
  <c r="G38" i="5"/>
  <c r="C37" i="5"/>
  <c r="G90" i="5"/>
  <c r="C36" i="5"/>
  <c r="F35" i="5"/>
  <c r="A34" i="5"/>
  <c r="C32" i="5"/>
  <c r="E30" i="5"/>
  <c r="G28" i="5"/>
  <c r="B27" i="5"/>
  <c r="D87" i="5"/>
  <c r="F86" i="5"/>
  <c r="A85" i="5"/>
  <c r="C83" i="5"/>
  <c r="E81" i="5"/>
  <c r="G79" i="5"/>
  <c r="B25" i="5"/>
  <c r="D23" i="5"/>
  <c r="G22" i="5"/>
  <c r="C75" i="5"/>
  <c r="G20" i="5"/>
  <c r="B77" i="5"/>
  <c r="D76" i="5"/>
  <c r="F81" i="1"/>
  <c r="A80" i="1"/>
  <c r="C148" i="1"/>
  <c r="E79" i="1"/>
  <c r="G78" i="1"/>
  <c r="B77" i="1"/>
  <c r="D145" i="1"/>
  <c r="F76" i="1"/>
  <c r="A75" i="1"/>
  <c r="C208" i="1"/>
  <c r="E74" i="1"/>
  <c r="G207" i="1"/>
  <c r="B73" i="1"/>
  <c r="D206" i="1"/>
  <c r="F204" i="1"/>
  <c r="A203" i="1"/>
  <c r="C202" i="1"/>
  <c r="E201" i="1"/>
  <c r="G200" i="1"/>
  <c r="B71" i="1"/>
  <c r="D199" i="1"/>
  <c r="F136" i="1"/>
  <c r="A135" i="1"/>
  <c r="C70" i="1"/>
  <c r="E133" i="1"/>
  <c r="G197" i="1"/>
  <c r="B196" i="1"/>
  <c r="D194" i="1"/>
  <c r="F132" i="1"/>
  <c r="A131" i="1"/>
  <c r="C68" i="1"/>
  <c r="E9" i="1"/>
  <c r="G129" i="1"/>
  <c r="B128" i="1"/>
  <c r="D126" i="1"/>
  <c r="F192" i="1"/>
  <c r="A191" i="1"/>
  <c r="C190" i="1"/>
  <c r="E63" i="1"/>
  <c r="G189" i="1"/>
  <c r="B124" i="1"/>
  <c r="D188" i="1"/>
  <c r="F121" i="1"/>
  <c r="B74" i="5"/>
  <c r="F111" i="5"/>
  <c r="D69" i="5"/>
  <c r="C17" i="5"/>
  <c r="G16" i="5"/>
  <c r="F109" i="5"/>
  <c r="B63" i="5"/>
  <c r="C60" i="5"/>
  <c r="C105" i="5"/>
  <c r="D57" i="5"/>
  <c r="A56" i="5"/>
  <c r="B53" i="5"/>
  <c r="C102" i="5"/>
  <c r="A101" i="5"/>
  <c r="F51" i="5"/>
  <c r="F49" i="5"/>
  <c r="F11" i="5"/>
  <c r="F9" i="5"/>
  <c r="A48" i="5"/>
  <c r="C46" i="5"/>
  <c r="F99" i="5"/>
  <c r="A98" i="5"/>
  <c r="C96" i="5"/>
  <c r="F8" i="5"/>
  <c r="B7" i="5"/>
  <c r="D5" i="5"/>
  <c r="G44" i="5"/>
  <c r="B94" i="5"/>
  <c r="D92" i="5"/>
  <c r="G43" i="5"/>
  <c r="C42" i="5"/>
  <c r="G40" i="5"/>
  <c r="B3" i="5"/>
  <c r="F38" i="5"/>
  <c r="B37" i="5"/>
  <c r="F90" i="5"/>
  <c r="B36" i="5"/>
  <c r="E35" i="5"/>
  <c r="G33" i="5"/>
  <c r="B32" i="5"/>
  <c r="D30" i="5"/>
  <c r="F28" i="5"/>
  <c r="A27" i="5"/>
  <c r="C87" i="5"/>
  <c r="E86" i="5"/>
  <c r="G84" i="5"/>
  <c r="B83" i="5"/>
  <c r="D81" i="5"/>
  <c r="F79" i="5"/>
  <c r="A25" i="5"/>
  <c r="C23" i="5"/>
  <c r="F22" i="5"/>
  <c r="B75" i="5"/>
  <c r="F20" i="5"/>
  <c r="A77" i="5"/>
  <c r="C76" i="5"/>
  <c r="E81" i="1"/>
  <c r="G149" i="1"/>
  <c r="B148" i="1"/>
  <c r="D79" i="1"/>
  <c r="F78" i="1"/>
  <c r="A77" i="1"/>
  <c r="C145" i="1"/>
  <c r="E76" i="1"/>
  <c r="G143" i="1"/>
  <c r="B208" i="1"/>
  <c r="D74" i="1"/>
  <c r="F207" i="1"/>
  <c r="A73" i="1"/>
  <c r="C206" i="1"/>
  <c r="E204" i="1"/>
  <c r="G72" i="1"/>
  <c r="B202" i="1"/>
  <c r="D201" i="1"/>
  <c r="F200" i="1"/>
  <c r="A71" i="1"/>
  <c r="C199" i="1"/>
  <c r="E136" i="1"/>
  <c r="G198" i="1"/>
  <c r="B70" i="1"/>
  <c r="D133" i="1"/>
  <c r="F197" i="1"/>
  <c r="A196" i="1"/>
  <c r="C194" i="1"/>
  <c r="E132" i="1"/>
  <c r="G130" i="1"/>
  <c r="B68" i="1"/>
  <c r="D9" i="1"/>
  <c r="F129" i="1"/>
  <c r="A128" i="1"/>
  <c r="C126" i="1"/>
  <c r="E192" i="1"/>
  <c r="G65" i="1"/>
  <c r="B190" i="1"/>
  <c r="D63" i="1"/>
  <c r="A69" i="5"/>
  <c r="G107" i="5"/>
  <c r="F103" i="5"/>
  <c r="D49" i="5"/>
  <c r="A46" i="5"/>
  <c r="D8" i="5"/>
  <c r="G93" i="5"/>
  <c r="E40" i="5"/>
  <c r="D90" i="5"/>
  <c r="G31" i="5"/>
  <c r="A87" i="5"/>
  <c r="B81" i="5"/>
  <c r="D22" i="5"/>
  <c r="A76" i="5"/>
  <c r="B79" i="1"/>
  <c r="A146" i="1"/>
  <c r="E75" i="1"/>
  <c r="B142" i="1"/>
  <c r="F73" i="1"/>
  <c r="C205" i="1"/>
  <c r="G202" i="1"/>
  <c r="D139" i="1"/>
  <c r="A138" i="1"/>
  <c r="E135" i="1"/>
  <c r="B134" i="1"/>
  <c r="F196" i="1"/>
  <c r="C193" i="1"/>
  <c r="G68" i="1"/>
  <c r="D66" i="1"/>
  <c r="A127" i="1"/>
  <c r="E191" i="1"/>
  <c r="B64" i="1"/>
  <c r="D189" i="1"/>
  <c r="F188" i="1"/>
  <c r="C121" i="1"/>
  <c r="C62" i="1"/>
  <c r="E187" i="1"/>
  <c r="G185" i="1"/>
  <c r="B184" i="1"/>
  <c r="D182" i="1"/>
  <c r="F118" i="1"/>
  <c r="A117" i="1"/>
  <c r="C180" i="1"/>
  <c r="E60" i="1"/>
  <c r="G59" i="1"/>
  <c r="B7" i="1"/>
  <c r="D113" i="1"/>
  <c r="F6" i="1"/>
  <c r="A111" i="1"/>
  <c r="C179" i="1"/>
  <c r="E178" i="1"/>
  <c r="G176" i="1"/>
  <c r="B109" i="1"/>
  <c r="D56" i="1"/>
  <c r="F175" i="1"/>
  <c r="A107" i="1"/>
  <c r="C54" i="1"/>
  <c r="E52" i="1"/>
  <c r="G50" i="1"/>
  <c r="B49" i="1"/>
  <c r="D47" i="1"/>
  <c r="F105" i="1"/>
  <c r="A104" i="1"/>
  <c r="C46" i="1"/>
  <c r="E45" i="1"/>
  <c r="G100" i="1"/>
  <c r="B44" i="1"/>
  <c r="D42" i="1"/>
  <c r="F40" i="1"/>
  <c r="A39" i="1"/>
  <c r="C37" i="1"/>
  <c r="E5" i="1"/>
  <c r="G173" i="1"/>
  <c r="B172" i="1"/>
  <c r="D99" i="1"/>
  <c r="G36" i="1"/>
  <c r="B169" i="1"/>
  <c r="D167" i="1"/>
  <c r="F166" i="1"/>
  <c r="A97" i="1"/>
  <c r="C165" i="1"/>
  <c r="E95" i="1"/>
  <c r="G163" i="1"/>
  <c r="B34" i="1"/>
  <c r="D162" i="1"/>
  <c r="G31" i="1"/>
  <c r="C30" i="1"/>
  <c r="E93" i="1"/>
  <c r="G28" i="1"/>
  <c r="B92" i="1"/>
  <c r="D91" i="1"/>
  <c r="F89" i="1"/>
  <c r="A157" i="1"/>
  <c r="C27" i="1"/>
  <c r="E25" i="1"/>
  <c r="G23" i="1"/>
  <c r="B22" i="1"/>
  <c r="D87" i="1"/>
  <c r="F20" i="1"/>
  <c r="A19" i="1"/>
  <c r="C17" i="1"/>
  <c r="E155" i="1"/>
  <c r="G4" i="1"/>
  <c r="B154" i="1"/>
  <c r="D153" i="1"/>
  <c r="F210" i="1"/>
  <c r="A3" i="1"/>
  <c r="C85" i="1"/>
  <c r="E151" i="1"/>
  <c r="G13" i="1"/>
  <c r="B82" i="1"/>
  <c r="D2" i="1"/>
  <c r="F160" i="1"/>
  <c r="A159" i="1"/>
  <c r="D210" i="1"/>
  <c r="G12" i="1"/>
  <c r="F11" i="1"/>
  <c r="E211" i="1"/>
  <c r="B31" i="1"/>
  <c r="E26" i="1"/>
  <c r="H68" i="5"/>
  <c r="B106" i="5"/>
  <c r="A14" i="5"/>
  <c r="B12" i="5"/>
  <c r="A45" i="5"/>
  <c r="E7" i="5"/>
  <c r="G92" i="5"/>
  <c r="E3" i="5"/>
  <c r="E36" i="5"/>
  <c r="G30" i="5"/>
  <c r="A26" i="5"/>
  <c r="B80" i="5"/>
  <c r="E75" i="5"/>
  <c r="A150" i="1"/>
  <c r="C147" i="1"/>
  <c r="G145" i="1"/>
  <c r="D75" i="1"/>
  <c r="A142" i="1"/>
  <c r="E73" i="1"/>
  <c r="B205" i="1"/>
  <c r="F202" i="1"/>
  <c r="C139" i="1"/>
  <c r="G199" i="1"/>
  <c r="D135" i="1"/>
  <c r="A134" i="1"/>
  <c r="E196" i="1"/>
  <c r="B193" i="1"/>
  <c r="F68" i="1"/>
  <c r="C66" i="1"/>
  <c r="G126" i="1"/>
  <c r="D191" i="1"/>
  <c r="A64" i="1"/>
  <c r="A189" i="1"/>
  <c r="E188" i="1"/>
  <c r="A121" i="1"/>
  <c r="B62" i="1"/>
  <c r="D187" i="1"/>
  <c r="F185" i="1"/>
  <c r="A184" i="1"/>
  <c r="C182" i="1"/>
  <c r="E118" i="1"/>
  <c r="G181" i="1"/>
  <c r="B180" i="1"/>
  <c r="D60" i="1"/>
  <c r="F59" i="1"/>
  <c r="A7" i="1"/>
  <c r="C113" i="1"/>
  <c r="E6" i="1"/>
  <c r="G110" i="1"/>
  <c r="B179" i="1"/>
  <c r="D178" i="1"/>
  <c r="F176" i="1"/>
  <c r="A109" i="1"/>
  <c r="C56" i="1"/>
  <c r="E175" i="1"/>
  <c r="G55" i="1"/>
  <c r="B54" i="1"/>
  <c r="D52" i="1"/>
  <c r="F50" i="1"/>
  <c r="A49" i="1"/>
  <c r="C47" i="1"/>
  <c r="E105" i="1"/>
  <c r="G103" i="1"/>
  <c r="B46" i="1"/>
  <c r="D45" i="1"/>
  <c r="F100" i="1"/>
  <c r="A44" i="1"/>
  <c r="C42" i="1"/>
  <c r="E40" i="1"/>
  <c r="G38" i="1"/>
  <c r="B37" i="1"/>
  <c r="D5" i="1"/>
  <c r="F173" i="1"/>
  <c r="A172" i="1"/>
  <c r="C99" i="1"/>
  <c r="F36" i="1"/>
  <c r="A169" i="1"/>
  <c r="C167" i="1"/>
  <c r="E166" i="1"/>
  <c r="G96" i="1"/>
  <c r="B165" i="1"/>
  <c r="D95" i="1"/>
  <c r="F163" i="1"/>
  <c r="A34" i="1"/>
  <c r="C162" i="1"/>
  <c r="F31" i="1"/>
  <c r="B30" i="1"/>
  <c r="D93" i="1"/>
  <c r="F28" i="1"/>
  <c r="A92" i="1"/>
  <c r="C91" i="1"/>
  <c r="E89" i="1"/>
  <c r="G156" i="1"/>
  <c r="B27" i="1"/>
  <c r="D25" i="1"/>
  <c r="F23" i="1"/>
  <c r="A22" i="1"/>
  <c r="C87" i="1"/>
  <c r="E20" i="1"/>
  <c r="G18" i="1"/>
  <c r="B17" i="1"/>
  <c r="D155" i="1"/>
  <c r="F4" i="1"/>
  <c r="A154" i="1"/>
  <c r="C153" i="1"/>
  <c r="E210" i="1"/>
  <c r="G14" i="1"/>
  <c r="B85" i="1"/>
  <c r="D151" i="1"/>
  <c r="F13" i="1"/>
  <c r="A82" i="1"/>
  <c r="C2" i="1"/>
  <c r="E160" i="1"/>
  <c r="G11" i="1"/>
  <c r="B153" i="1"/>
  <c r="B2" i="1"/>
  <c r="C38" i="1"/>
  <c r="B163" i="1"/>
  <c r="F90" i="1"/>
  <c r="D88" i="1"/>
  <c r="G67" i="5"/>
  <c r="B105" i="5"/>
  <c r="B102" i="5"/>
  <c r="E11" i="5"/>
  <c r="E99" i="5"/>
  <c r="A7" i="5"/>
  <c r="C92" i="5"/>
  <c r="A3" i="5"/>
  <c r="A36" i="5"/>
  <c r="C30" i="5"/>
  <c r="D86" i="5"/>
  <c r="E79" i="5"/>
  <c r="A75" i="5"/>
  <c r="D81" i="1"/>
  <c r="B147" i="1"/>
  <c r="F145" i="1"/>
  <c r="C75" i="1"/>
  <c r="G74" i="1"/>
  <c r="D73" i="1"/>
  <c r="A205" i="1"/>
  <c r="E202" i="1"/>
  <c r="B139" i="1"/>
  <c r="F199" i="1"/>
  <c r="C135" i="1"/>
  <c r="G133" i="1"/>
  <c r="D196" i="1"/>
  <c r="A193" i="1"/>
  <c r="E68" i="1"/>
  <c r="B66" i="1"/>
  <c r="F126" i="1"/>
  <c r="C191" i="1"/>
  <c r="G63" i="1"/>
  <c r="F124" i="1"/>
  <c r="C188" i="1"/>
  <c r="G120" i="1"/>
  <c r="A62" i="1"/>
  <c r="C187" i="1"/>
  <c r="E185" i="1"/>
  <c r="G183" i="1"/>
  <c r="B182" i="1"/>
  <c r="D118" i="1"/>
  <c r="F181" i="1"/>
  <c r="A180" i="1"/>
  <c r="C60" i="1"/>
  <c r="E59" i="1"/>
  <c r="G114" i="1"/>
  <c r="B113" i="1"/>
  <c r="D6" i="1"/>
  <c r="F110" i="1"/>
  <c r="A179" i="1"/>
  <c r="C178" i="1"/>
  <c r="E176" i="1"/>
  <c r="G57" i="1"/>
  <c r="B56" i="1"/>
  <c r="D175" i="1"/>
  <c r="F55" i="1"/>
  <c r="A54" i="1"/>
  <c r="C52" i="1"/>
  <c r="E50" i="1"/>
  <c r="G48" i="1"/>
  <c r="B47" i="1"/>
  <c r="D105" i="1"/>
  <c r="F103" i="1"/>
  <c r="A46" i="1"/>
  <c r="C45" i="1"/>
  <c r="E100" i="1"/>
  <c r="G43" i="1"/>
  <c r="B42" i="1"/>
  <c r="D40" i="1"/>
  <c r="F38" i="1"/>
  <c r="A37" i="1"/>
  <c r="C5" i="1"/>
  <c r="E173" i="1"/>
  <c r="G171" i="1"/>
  <c r="B99" i="1"/>
  <c r="E36" i="1"/>
  <c r="G168" i="1"/>
  <c r="B167" i="1"/>
  <c r="D166" i="1"/>
  <c r="F96" i="1"/>
  <c r="A165" i="1"/>
  <c r="C95" i="1"/>
  <c r="E163" i="1"/>
  <c r="G33" i="1"/>
  <c r="B162" i="1"/>
  <c r="E31" i="1"/>
  <c r="A30" i="1"/>
  <c r="C93" i="1"/>
  <c r="E28" i="1"/>
  <c r="G158" i="1"/>
  <c r="B91" i="1"/>
  <c r="D89" i="1"/>
  <c r="F156" i="1"/>
  <c r="A27" i="1"/>
  <c r="C25" i="1"/>
  <c r="E23" i="1"/>
  <c r="G88" i="1"/>
  <c r="B87" i="1"/>
  <c r="D20" i="1"/>
  <c r="F18" i="1"/>
  <c r="A17" i="1"/>
  <c r="C155" i="1"/>
  <c r="E4" i="1"/>
  <c r="G86" i="1"/>
  <c r="F14" i="1"/>
  <c r="A85" i="1"/>
  <c r="C151" i="1"/>
  <c r="E13" i="1"/>
  <c r="D160" i="1"/>
  <c r="B173" i="1"/>
  <c r="E94" i="1"/>
  <c r="F67" i="5"/>
  <c r="G59" i="5"/>
  <c r="A102" i="5"/>
  <c r="D11" i="5"/>
  <c r="D99" i="5"/>
  <c r="G6" i="5"/>
  <c r="B92" i="5"/>
  <c r="H39" i="5"/>
  <c r="H89" i="5"/>
  <c r="B30" i="5"/>
  <c r="C86" i="5"/>
  <c r="D79" i="5"/>
  <c r="H21" i="5"/>
  <c r="C81" i="1"/>
  <c r="E78" i="1"/>
  <c r="B145" i="1"/>
  <c r="F143" i="1"/>
  <c r="C74" i="1"/>
  <c r="G141" i="1"/>
  <c r="D204" i="1"/>
  <c r="A202" i="1"/>
  <c r="E200" i="1"/>
  <c r="B199" i="1"/>
  <c r="F198" i="1"/>
  <c r="C133" i="1"/>
  <c r="G195" i="1"/>
  <c r="D132" i="1"/>
  <c r="A68" i="1"/>
  <c r="E129" i="1"/>
  <c r="B126" i="1"/>
  <c r="F65" i="1"/>
  <c r="C63" i="1"/>
  <c r="E124" i="1"/>
  <c r="B188" i="1"/>
  <c r="F120" i="1"/>
  <c r="G61" i="1"/>
  <c r="B187" i="1"/>
  <c r="D185" i="1"/>
  <c r="F183" i="1"/>
  <c r="A182" i="1"/>
  <c r="C118" i="1"/>
  <c r="E181" i="1"/>
  <c r="G116" i="1"/>
  <c r="B60" i="1"/>
  <c r="D59" i="1"/>
  <c r="F114" i="1"/>
  <c r="A113" i="1"/>
  <c r="C6" i="1"/>
  <c r="E110" i="1"/>
  <c r="G58" i="1"/>
  <c r="B178" i="1"/>
  <c r="D176" i="1"/>
  <c r="F57" i="1"/>
  <c r="A56" i="1"/>
  <c r="C175" i="1"/>
  <c r="E55" i="1"/>
  <c r="G53" i="1"/>
  <c r="B52" i="1"/>
  <c r="D50" i="1"/>
  <c r="F48" i="1"/>
  <c r="A47" i="1"/>
  <c r="C105" i="1"/>
  <c r="E103" i="1"/>
  <c r="G102" i="1"/>
  <c r="B45" i="1"/>
  <c r="D100" i="1"/>
  <c r="F43" i="1"/>
  <c r="A42" i="1"/>
  <c r="C40" i="1"/>
  <c r="E38" i="1"/>
  <c r="G211" i="1"/>
  <c r="B5" i="1"/>
  <c r="D173" i="1"/>
  <c r="F171" i="1"/>
  <c r="A99" i="1"/>
  <c r="D36" i="1"/>
  <c r="F168" i="1"/>
  <c r="A167" i="1"/>
  <c r="C166" i="1"/>
  <c r="E96" i="1"/>
  <c r="G35" i="1"/>
  <c r="B95" i="1"/>
  <c r="D163" i="1"/>
  <c r="F33" i="1"/>
  <c r="A162" i="1"/>
  <c r="D31" i="1"/>
  <c r="G94" i="1"/>
  <c r="B93" i="1"/>
  <c r="D28" i="1"/>
  <c r="F158" i="1"/>
  <c r="A91" i="1"/>
  <c r="C89" i="1"/>
  <c r="E156" i="1"/>
  <c r="G26" i="1"/>
  <c r="B25" i="1"/>
  <c r="D23" i="1"/>
  <c r="F88" i="1"/>
  <c r="A87" i="1"/>
  <c r="C20" i="1"/>
  <c r="E18" i="1"/>
  <c r="G16" i="1"/>
  <c r="B155" i="1"/>
  <c r="D4" i="1"/>
  <c r="F86" i="1"/>
  <c r="A153" i="1"/>
  <c r="C210" i="1"/>
  <c r="E14" i="1"/>
  <c r="G84" i="1"/>
  <c r="B151" i="1"/>
  <c r="D13" i="1"/>
  <c r="F12" i="1"/>
  <c r="A2" i="1"/>
  <c r="C160" i="1"/>
  <c r="E11" i="1"/>
  <c r="B160" i="1"/>
  <c r="G101" i="1"/>
  <c r="B36" i="1"/>
  <c r="C96" i="1"/>
  <c r="D33" i="1"/>
  <c r="B28" i="1"/>
  <c r="A89" i="1"/>
  <c r="B23" i="1"/>
  <c r="D16" i="5"/>
  <c r="C58" i="5"/>
  <c r="E101" i="5"/>
  <c r="B10" i="5"/>
  <c r="D98" i="5"/>
  <c r="G5" i="5"/>
  <c r="B91" i="5"/>
  <c r="A39" i="5"/>
  <c r="A89" i="5"/>
  <c r="B29" i="5"/>
  <c r="C85" i="5"/>
  <c r="D25" i="5"/>
  <c r="A21" i="5"/>
  <c r="C80" i="1"/>
  <c r="D78" i="1"/>
  <c r="A145" i="1"/>
  <c r="E143" i="1"/>
  <c r="B74" i="1"/>
  <c r="F141" i="1"/>
  <c r="C204" i="1"/>
  <c r="G140" i="1"/>
  <c r="D200" i="1"/>
  <c r="A199" i="1"/>
  <c r="E198" i="1"/>
  <c r="B133" i="1"/>
  <c r="F195" i="1"/>
  <c r="C132" i="1"/>
  <c r="G67" i="1"/>
  <c r="D129" i="1"/>
  <c r="A126" i="1"/>
  <c r="E65" i="1"/>
  <c r="B63" i="1"/>
  <c r="D124" i="1"/>
  <c r="A188" i="1"/>
  <c r="E120" i="1"/>
  <c r="F61" i="1"/>
  <c r="A187" i="1"/>
  <c r="C185" i="1"/>
  <c r="E183" i="1"/>
  <c r="G119" i="1"/>
  <c r="B118" i="1"/>
  <c r="D181" i="1"/>
  <c r="F116" i="1"/>
  <c r="A60" i="1"/>
  <c r="C59" i="1"/>
  <c r="E114" i="1"/>
  <c r="G112" i="1"/>
  <c r="B6" i="1"/>
  <c r="D110" i="1"/>
  <c r="F58" i="1"/>
  <c r="A178" i="1"/>
  <c r="C176" i="1"/>
  <c r="E57" i="1"/>
  <c r="G108" i="1"/>
  <c r="B175" i="1"/>
  <c r="D55" i="1"/>
  <c r="F53" i="1"/>
  <c r="A52" i="1"/>
  <c r="C50" i="1"/>
  <c r="E48" i="1"/>
  <c r="G106" i="1"/>
  <c r="B105" i="1"/>
  <c r="D103" i="1"/>
  <c r="F102" i="1"/>
  <c r="A45" i="1"/>
  <c r="C100" i="1"/>
  <c r="E43" i="1"/>
  <c r="G41" i="1"/>
  <c r="B40" i="1"/>
  <c r="D38" i="1"/>
  <c r="F211" i="1"/>
  <c r="A5" i="1"/>
  <c r="C173" i="1"/>
  <c r="E171" i="1"/>
  <c r="G170" i="1"/>
  <c r="C36" i="1"/>
  <c r="E168" i="1"/>
  <c r="G98" i="1"/>
  <c r="B166" i="1"/>
  <c r="D96" i="1"/>
  <c r="F35" i="1"/>
  <c r="A95" i="1"/>
  <c r="C163" i="1"/>
  <c r="E33" i="1"/>
  <c r="G32" i="1"/>
  <c r="C31" i="1"/>
  <c r="F94" i="1"/>
  <c r="A93" i="1"/>
  <c r="C28" i="1"/>
  <c r="E158" i="1"/>
  <c r="G90" i="1"/>
  <c r="B89" i="1"/>
  <c r="D156" i="1"/>
  <c r="F26" i="1"/>
  <c r="A25" i="1"/>
  <c r="C23" i="1"/>
  <c r="E88" i="1"/>
  <c r="G21" i="1"/>
  <c r="B20" i="1"/>
  <c r="D18" i="1"/>
  <c r="F16" i="1"/>
  <c r="A155" i="1"/>
  <c r="C4" i="1"/>
  <c r="E86" i="1"/>
  <c r="G152" i="1"/>
  <c r="B210" i="1"/>
  <c r="D14" i="1"/>
  <c r="F84" i="1"/>
  <c r="A151" i="1"/>
  <c r="C13" i="1"/>
  <c r="E12" i="1"/>
  <c r="G161" i="1"/>
  <c r="D11" i="1"/>
  <c r="B100" i="1"/>
  <c r="D168" i="1"/>
  <c r="A166" i="1"/>
  <c r="G164" i="1"/>
  <c r="F32" i="1"/>
  <c r="D158" i="1"/>
  <c r="C156" i="1"/>
  <c r="A20" i="1"/>
  <c r="C16" i="5"/>
  <c r="C57" i="5"/>
  <c r="G100" i="5"/>
  <c r="E9" i="5"/>
  <c r="G97" i="5"/>
  <c r="C5" i="5"/>
  <c r="F43" i="5"/>
  <c r="E38" i="5"/>
  <c r="D35" i="5"/>
  <c r="E28" i="5"/>
  <c r="F84" i="5"/>
  <c r="G24" i="5"/>
  <c r="E20" i="5"/>
  <c r="F149" i="1"/>
  <c r="A78" i="1"/>
  <c r="E144" i="1"/>
  <c r="B143" i="1"/>
  <c r="F10" i="1"/>
  <c r="C141" i="1"/>
  <c r="G203" i="1"/>
  <c r="D140" i="1"/>
  <c r="A200" i="1"/>
  <c r="E137" i="1"/>
  <c r="B198" i="1"/>
  <c r="F69" i="1"/>
  <c r="C195" i="1"/>
  <c r="G131" i="1"/>
  <c r="D67" i="1"/>
  <c r="A129" i="1"/>
  <c r="E8" i="1"/>
  <c r="B65" i="1"/>
  <c r="F125" i="1"/>
  <c r="C124" i="1"/>
  <c r="E122" i="1"/>
  <c r="D120" i="1"/>
  <c r="E61" i="1"/>
  <c r="G186" i="1"/>
  <c r="B185" i="1"/>
  <c r="D183" i="1"/>
  <c r="F119" i="1"/>
  <c r="A118" i="1"/>
  <c r="C181" i="1"/>
  <c r="E116" i="1"/>
  <c r="G115" i="1"/>
  <c r="B59" i="1"/>
  <c r="D114" i="1"/>
  <c r="F112" i="1"/>
  <c r="A6" i="1"/>
  <c r="C110" i="1"/>
  <c r="E58" i="1"/>
  <c r="G177" i="1"/>
  <c r="B176" i="1"/>
  <c r="D57" i="1"/>
  <c r="F108" i="1"/>
  <c r="A175" i="1"/>
  <c r="C55" i="1"/>
  <c r="E53" i="1"/>
  <c r="G51" i="1"/>
  <c r="B50" i="1"/>
  <c r="D48" i="1"/>
  <c r="F106" i="1"/>
  <c r="A105" i="1"/>
  <c r="C103" i="1"/>
  <c r="E102" i="1"/>
  <c r="D43" i="1"/>
  <c r="F41" i="1"/>
  <c r="A40" i="1"/>
  <c r="G174" i="1"/>
  <c r="D171" i="1"/>
  <c r="F170" i="1"/>
  <c r="F98" i="1"/>
  <c r="E35" i="1"/>
  <c r="G29" i="1"/>
  <c r="G24" i="1"/>
  <c r="E109" i="5"/>
  <c r="B57" i="5"/>
  <c r="E100" i="5"/>
  <c r="D9" i="5"/>
  <c r="F97" i="5"/>
  <c r="B5" i="5"/>
  <c r="E43" i="5"/>
  <c r="D38" i="5"/>
  <c r="C35" i="5"/>
  <c r="D28" i="5"/>
  <c r="E84" i="5"/>
  <c r="F24" i="5"/>
  <c r="D20" i="5"/>
  <c r="E149" i="1"/>
  <c r="F77" i="1"/>
  <c r="C144" i="1"/>
  <c r="G208" i="1"/>
  <c r="D10" i="1"/>
  <c r="A141" i="1"/>
  <c r="E203" i="1"/>
  <c r="B140" i="1"/>
  <c r="F71" i="1"/>
  <c r="C137" i="1"/>
  <c r="G70" i="1"/>
  <c r="D69" i="1"/>
  <c r="A195" i="1"/>
  <c r="E131" i="1"/>
  <c r="B67" i="1"/>
  <c r="F128" i="1"/>
  <c r="C8" i="1"/>
  <c r="G190" i="1"/>
  <c r="D125" i="1"/>
  <c r="A124" i="1"/>
  <c r="C122" i="1"/>
  <c r="C120" i="1"/>
  <c r="D61" i="1"/>
  <c r="F186" i="1"/>
  <c r="A185" i="1"/>
  <c r="C183" i="1"/>
  <c r="E119" i="1"/>
  <c r="G117" i="1"/>
  <c r="B181" i="1"/>
  <c r="D116" i="1"/>
  <c r="F115" i="1"/>
  <c r="A59" i="1"/>
  <c r="C114" i="1"/>
  <c r="E112" i="1"/>
  <c r="G111" i="1"/>
  <c r="B110" i="1"/>
  <c r="D58" i="1"/>
  <c r="F177" i="1"/>
  <c r="A176" i="1"/>
  <c r="C57" i="1"/>
  <c r="E108" i="1"/>
  <c r="G107" i="1"/>
  <c r="B55" i="1"/>
  <c r="D53" i="1"/>
  <c r="F51" i="1"/>
  <c r="A50" i="1"/>
  <c r="C48" i="1"/>
  <c r="E106" i="1"/>
  <c r="G104" i="1"/>
  <c r="B103" i="1"/>
  <c r="D102" i="1"/>
  <c r="F101" i="1"/>
  <c r="A100" i="1"/>
  <c r="C43" i="1"/>
  <c r="E41" i="1"/>
  <c r="G39" i="1"/>
  <c r="B38" i="1"/>
  <c r="D211" i="1"/>
  <c r="F174" i="1"/>
  <c r="A173" i="1"/>
  <c r="C171" i="1"/>
  <c r="E170" i="1"/>
  <c r="A36" i="1"/>
  <c r="C168" i="1"/>
  <c r="E98" i="1"/>
  <c r="G97" i="1"/>
  <c r="B96" i="1"/>
  <c r="D35" i="1"/>
  <c r="D109" i="5"/>
  <c r="E56" i="5"/>
  <c r="C13" i="5"/>
  <c r="D48" i="5"/>
  <c r="F96" i="5"/>
  <c r="B4" i="5"/>
  <c r="F42" i="5"/>
  <c r="E37" i="5"/>
  <c r="C34" i="5"/>
  <c r="D27" i="5"/>
  <c r="E83" i="5"/>
  <c r="F23" i="5"/>
  <c r="D77" i="5"/>
  <c r="E148" i="1"/>
  <c r="E77" i="1"/>
  <c r="B144" i="1"/>
  <c r="F208" i="1"/>
  <c r="C10" i="1"/>
  <c r="G206" i="1"/>
  <c r="D203" i="1"/>
  <c r="A140" i="1"/>
  <c r="E71" i="1"/>
  <c r="B137" i="1"/>
  <c r="F70" i="1"/>
  <c r="C69" i="1"/>
  <c r="G194" i="1"/>
  <c r="D131" i="1"/>
  <c r="A67" i="1"/>
  <c r="E128" i="1"/>
  <c r="B8" i="1"/>
  <c r="F190" i="1"/>
  <c r="C125" i="1"/>
  <c r="G123" i="1"/>
  <c r="B122" i="1"/>
  <c r="B120" i="1"/>
  <c r="C61" i="1"/>
  <c r="E186" i="1"/>
  <c r="G184" i="1"/>
  <c r="B183" i="1"/>
  <c r="D119" i="1"/>
  <c r="F117" i="1"/>
  <c r="A181" i="1"/>
  <c r="C116" i="1"/>
  <c r="E115" i="1"/>
  <c r="G7" i="1"/>
  <c r="B114" i="1"/>
  <c r="D112" i="1"/>
  <c r="F111" i="1"/>
  <c r="A110" i="1"/>
  <c r="C58" i="1"/>
  <c r="E177" i="1"/>
  <c r="G109" i="1"/>
  <c r="B57" i="1"/>
  <c r="D108" i="1"/>
  <c r="F107" i="1"/>
  <c r="A55" i="1"/>
  <c r="C53" i="1"/>
  <c r="E51" i="1"/>
  <c r="G49" i="1"/>
  <c r="B48" i="1"/>
  <c r="D106" i="1"/>
  <c r="F104" i="1"/>
  <c r="A103" i="1"/>
  <c r="C102" i="1"/>
  <c r="E101" i="1"/>
  <c r="G44" i="1"/>
  <c r="B43" i="1"/>
  <c r="D41" i="1"/>
  <c r="F39" i="1"/>
  <c r="A38" i="1"/>
  <c r="C211" i="1"/>
  <c r="E174" i="1"/>
  <c r="G172" i="1"/>
  <c r="B171" i="1"/>
  <c r="D170" i="1"/>
  <c r="G169" i="1"/>
  <c r="B168" i="1"/>
  <c r="D98" i="1"/>
  <c r="F97" i="1"/>
  <c r="A96" i="1"/>
  <c r="C35" i="1"/>
  <c r="E164" i="1"/>
  <c r="G34" i="1"/>
  <c r="B33" i="1"/>
  <c r="D32" i="1"/>
  <c r="H30" i="1"/>
  <c r="C94" i="1"/>
  <c r="E29" i="1"/>
  <c r="G92" i="1"/>
  <c r="B158" i="1"/>
  <c r="D90" i="1"/>
  <c r="F157" i="1"/>
  <c r="A156" i="1"/>
  <c r="C26" i="1"/>
  <c r="E24" i="1"/>
  <c r="G22" i="1"/>
  <c r="B88" i="1"/>
  <c r="D21" i="1"/>
  <c r="F19" i="1"/>
  <c r="A18" i="1"/>
  <c r="C16" i="1"/>
  <c r="E15" i="1"/>
  <c r="G154" i="1"/>
  <c r="B86" i="1"/>
  <c r="D152" i="1"/>
  <c r="F3" i="1"/>
  <c r="A14" i="1"/>
  <c r="C84" i="1"/>
  <c r="E83" i="1"/>
  <c r="G82" i="1"/>
  <c r="B12" i="1"/>
  <c r="D161" i="1"/>
  <c r="F159" i="1"/>
  <c r="A11" i="1"/>
  <c r="F73" i="5"/>
  <c r="E62" i="5"/>
  <c r="G55" i="5"/>
  <c r="E51" i="5"/>
  <c r="G47" i="5"/>
  <c r="B96" i="5"/>
  <c r="F44" i="5"/>
  <c r="B42" i="5"/>
  <c r="A37" i="5"/>
  <c r="F33" i="5"/>
  <c r="G88" i="5"/>
  <c r="A83" i="5"/>
  <c r="B23" i="5"/>
  <c r="G19" i="5"/>
  <c r="A148" i="1"/>
  <c r="D77" i="1"/>
  <c r="A144" i="1"/>
  <c r="E208" i="1"/>
  <c r="B10" i="1"/>
  <c r="F206" i="1"/>
  <c r="C203" i="1"/>
  <c r="G201" i="1"/>
  <c r="D71" i="1"/>
  <c r="A137" i="1"/>
  <c r="E70" i="1"/>
  <c r="B69" i="1"/>
  <c r="F194" i="1"/>
  <c r="C131" i="1"/>
  <c r="G9" i="1"/>
  <c r="D128" i="1"/>
  <c r="A8" i="1"/>
  <c r="E190" i="1"/>
  <c r="B125" i="1"/>
  <c r="F123" i="1"/>
  <c r="A122" i="1"/>
  <c r="A120" i="1"/>
  <c r="B61" i="1"/>
  <c r="D186" i="1"/>
  <c r="F184" i="1"/>
  <c r="A183" i="1"/>
  <c r="C119" i="1"/>
  <c r="E117" i="1"/>
  <c r="G180" i="1"/>
  <c r="B116" i="1"/>
  <c r="D115" i="1"/>
  <c r="F7" i="1"/>
  <c r="A114" i="1"/>
  <c r="C112" i="1"/>
  <c r="E111" i="1"/>
  <c r="G179" i="1"/>
  <c r="B58" i="1"/>
  <c r="D177" i="1"/>
  <c r="F109" i="1"/>
  <c r="A57" i="1"/>
  <c r="C108" i="1"/>
  <c r="E107" i="1"/>
  <c r="G54" i="1"/>
  <c r="B53" i="1"/>
  <c r="D51" i="1"/>
  <c r="F49" i="1"/>
  <c r="A48" i="1"/>
  <c r="C106" i="1"/>
  <c r="E104" i="1"/>
  <c r="G46" i="1"/>
  <c r="B102" i="1"/>
  <c r="D101" i="1"/>
  <c r="F44" i="1"/>
  <c r="A43" i="1"/>
  <c r="C41" i="1"/>
  <c r="E39" i="1"/>
  <c r="G37" i="1"/>
  <c r="B211" i="1"/>
  <c r="D174" i="1"/>
  <c r="F172" i="1"/>
  <c r="A171" i="1"/>
  <c r="C170" i="1"/>
  <c r="F169" i="1"/>
  <c r="A168" i="1"/>
  <c r="C98" i="1"/>
  <c r="E97" i="1"/>
  <c r="G165" i="1"/>
  <c r="B35" i="1"/>
  <c r="D164" i="1"/>
  <c r="F34" i="1"/>
  <c r="A33" i="1"/>
  <c r="C32" i="1"/>
  <c r="G30" i="1"/>
  <c r="B94" i="1"/>
  <c r="D29" i="1"/>
  <c r="F92" i="1"/>
  <c r="A158" i="1"/>
  <c r="C90" i="1"/>
  <c r="E157" i="1"/>
  <c r="G27" i="1"/>
  <c r="B26" i="1"/>
  <c r="D24" i="1"/>
  <c r="F22" i="1"/>
  <c r="A88" i="1"/>
  <c r="C21" i="1"/>
  <c r="E19" i="1"/>
  <c r="G17" i="1"/>
  <c r="B16" i="1"/>
  <c r="D15" i="1"/>
  <c r="F154" i="1"/>
  <c r="A86" i="1"/>
  <c r="C152" i="1"/>
  <c r="E3" i="1"/>
  <c r="G85" i="1"/>
  <c r="B84" i="1"/>
  <c r="D83" i="1"/>
  <c r="F82" i="1"/>
  <c r="A12" i="1"/>
  <c r="C161" i="1"/>
  <c r="E159" i="1"/>
  <c r="G87" i="1"/>
  <c r="E154" i="1"/>
  <c r="D3" i="1"/>
  <c r="C83" i="1"/>
  <c r="G2" i="1"/>
  <c r="D159" i="1"/>
  <c r="E73" i="5"/>
  <c r="D62" i="5"/>
  <c r="C55" i="5"/>
  <c r="D51" i="5"/>
  <c r="F47" i="5"/>
  <c r="A96" i="5"/>
  <c r="E44" i="5"/>
  <c r="A42" i="5"/>
  <c r="H2" i="5"/>
  <c r="E33" i="5"/>
  <c r="F88" i="5"/>
  <c r="G82" i="5"/>
  <c r="A23" i="5"/>
  <c r="F19" i="5"/>
  <c r="G209" i="1"/>
  <c r="G146" i="1"/>
  <c r="D76" i="1"/>
  <c r="A208" i="1"/>
  <c r="E207" i="1"/>
  <c r="B206" i="1"/>
  <c r="F72" i="1"/>
  <c r="C201" i="1"/>
  <c r="G138" i="1"/>
  <c r="D136" i="1"/>
  <c r="A70" i="1"/>
  <c r="E197" i="1"/>
  <c r="B194" i="1"/>
  <c r="F130" i="1"/>
  <c r="C9" i="1"/>
  <c r="G127" i="1"/>
  <c r="D192" i="1"/>
  <c r="A190" i="1"/>
  <c r="A125" i="1"/>
  <c r="C123" i="1"/>
  <c r="G121" i="1"/>
  <c r="G62" i="1"/>
  <c r="A61" i="1"/>
  <c r="C186" i="1"/>
  <c r="E184" i="1"/>
  <c r="G182" i="1"/>
  <c r="B119" i="1"/>
  <c r="D117" i="1"/>
  <c r="F180" i="1"/>
  <c r="A116" i="1"/>
  <c r="C115" i="1"/>
  <c r="E7" i="1"/>
  <c r="G113" i="1"/>
  <c r="B112" i="1"/>
  <c r="D111" i="1"/>
  <c r="F179" i="1"/>
  <c r="A58" i="1"/>
  <c r="C177" i="1"/>
  <c r="E109" i="1"/>
  <c r="G56" i="1"/>
  <c r="B108" i="1"/>
  <c r="D107" i="1"/>
  <c r="F54" i="1"/>
  <c r="A53" i="1"/>
  <c r="C51" i="1"/>
  <c r="E49" i="1"/>
  <c r="G47" i="1"/>
  <c r="B106" i="1"/>
  <c r="D104" i="1"/>
  <c r="F46" i="1"/>
  <c r="A102" i="1"/>
  <c r="C101" i="1"/>
  <c r="E44" i="1"/>
  <c r="G42" i="1"/>
  <c r="B41" i="1"/>
  <c r="D39" i="1"/>
  <c r="F37" i="1"/>
  <c r="A211" i="1"/>
  <c r="C174" i="1"/>
  <c r="E172" i="1"/>
  <c r="G99" i="1"/>
  <c r="B170" i="1"/>
  <c r="E169" i="1"/>
  <c r="G167" i="1"/>
  <c r="B98" i="1"/>
  <c r="D97" i="1"/>
  <c r="F165" i="1"/>
  <c r="A35" i="1"/>
  <c r="C164" i="1"/>
  <c r="E34" i="1"/>
  <c r="G162" i="1"/>
  <c r="B32" i="1"/>
  <c r="F30" i="1"/>
  <c r="A94" i="1"/>
  <c r="C29" i="1"/>
  <c r="E92" i="1"/>
  <c r="G91" i="1"/>
  <c r="B90" i="1"/>
  <c r="D157" i="1"/>
  <c r="F27" i="1"/>
  <c r="A26" i="1"/>
  <c r="C24" i="1"/>
  <c r="E22" i="1"/>
  <c r="B21" i="1"/>
  <c r="D19" i="1"/>
  <c r="F17" i="1"/>
  <c r="A16" i="1"/>
  <c r="C15" i="1"/>
  <c r="G153" i="1"/>
  <c r="B152" i="1"/>
  <c r="F85" i="1"/>
  <c r="A84" i="1"/>
  <c r="E82" i="1"/>
  <c r="B161" i="1"/>
  <c r="C111" i="5"/>
  <c r="G60" i="5"/>
  <c r="E53" i="5"/>
  <c r="C50" i="5"/>
  <c r="F46" i="5"/>
  <c r="A95" i="5"/>
  <c r="E94" i="5"/>
  <c r="B41" i="5"/>
  <c r="A2" i="5"/>
  <c r="E32" i="5"/>
  <c r="F87" i="5"/>
  <c r="G81" i="5"/>
  <c r="A78" i="5"/>
  <c r="F76" i="5"/>
  <c r="G79" i="1"/>
  <c r="F146" i="1"/>
  <c r="C76" i="1"/>
  <c r="G142" i="1"/>
  <c r="D207" i="1"/>
  <c r="A206" i="1"/>
  <c r="E72" i="1"/>
  <c r="B201" i="1"/>
  <c r="F138" i="1"/>
  <c r="C136" i="1"/>
  <c r="G134" i="1"/>
  <c r="D197" i="1"/>
  <c r="A194" i="1"/>
  <c r="E130" i="1"/>
  <c r="B9" i="1"/>
  <c r="F127" i="1"/>
  <c r="C192" i="1"/>
  <c r="G64" i="1"/>
  <c r="F189" i="1"/>
  <c r="A123" i="1"/>
  <c r="E121" i="1"/>
  <c r="F62" i="1"/>
  <c r="G187" i="1"/>
  <c r="B186" i="1"/>
  <c r="D184" i="1"/>
  <c r="F182" i="1"/>
  <c r="A119" i="1"/>
  <c r="C117" i="1"/>
  <c r="E180" i="1"/>
  <c r="G60" i="1"/>
  <c r="B115" i="1"/>
  <c r="D7" i="1"/>
  <c r="F113" i="1"/>
  <c r="A112" i="1"/>
  <c r="C111" i="1"/>
  <c r="E179" i="1"/>
  <c r="G178" i="1"/>
  <c r="B177" i="1"/>
  <c r="D109" i="1"/>
  <c r="F56" i="1"/>
  <c r="A108" i="1"/>
  <c r="C107" i="1"/>
  <c r="E54" i="1"/>
  <c r="G52" i="1"/>
  <c r="B51" i="1"/>
  <c r="D49" i="1"/>
  <c r="F47" i="1"/>
  <c r="A106" i="1"/>
  <c r="C104" i="1"/>
  <c r="E46" i="1"/>
  <c r="G45" i="1"/>
  <c r="B101" i="1"/>
  <c r="A41" i="1"/>
  <c r="E189" i="1"/>
  <c r="A32" i="5"/>
  <c r="F139" i="1"/>
  <c r="G188" i="1"/>
  <c r="C7" i="1"/>
  <c r="F52" i="1"/>
  <c r="E42" i="1"/>
  <c r="F99" i="1"/>
  <c r="E165" i="1"/>
  <c r="E162" i="1"/>
  <c r="A29" i="1"/>
  <c r="B157" i="1"/>
  <c r="C22" i="1"/>
  <c r="B18" i="1"/>
  <c r="A4" i="1"/>
  <c r="G3" i="1"/>
  <c r="F83" i="1"/>
  <c r="E161" i="1"/>
  <c r="A197" i="1"/>
  <c r="E37" i="1"/>
  <c r="A31" i="1"/>
  <c r="D16" i="1"/>
  <c r="C86" i="1"/>
  <c r="G103" i="5"/>
  <c r="D37" i="1"/>
  <c r="F91" i="1"/>
  <c r="G155" i="1"/>
  <c r="D82" i="1"/>
  <c r="F42" i="1"/>
  <c r="B4" i="1"/>
  <c r="B87" i="5"/>
  <c r="C138" i="1"/>
  <c r="D121" i="1"/>
  <c r="E113" i="1"/>
  <c r="A51" i="1"/>
  <c r="G40" i="1"/>
  <c r="E99" i="1"/>
  <c r="D165" i="1"/>
  <c r="E32" i="1"/>
  <c r="A28" i="1"/>
  <c r="B156" i="1"/>
  <c r="C88" i="1"/>
  <c r="E17" i="1"/>
  <c r="D154" i="1"/>
  <c r="C3" i="1"/>
  <c r="B83" i="1"/>
  <c r="A161" i="1"/>
  <c r="A186" i="1"/>
  <c r="F164" i="1"/>
  <c r="F21" i="1"/>
  <c r="G159" i="1"/>
  <c r="E193" i="1"/>
  <c r="F178" i="1"/>
  <c r="B104" i="1"/>
  <c r="C169" i="1"/>
  <c r="E30" i="1"/>
  <c r="G25" i="1"/>
  <c r="F153" i="1"/>
  <c r="C159" i="1"/>
  <c r="D54" i="1"/>
  <c r="G83" i="1"/>
  <c r="C81" i="5"/>
  <c r="G135" i="1"/>
  <c r="E62" i="1"/>
  <c r="G6" i="1"/>
  <c r="C49" i="1"/>
  <c r="C39" i="1"/>
  <c r="A170" i="1"/>
  <c r="G95" i="1"/>
  <c r="A32" i="1"/>
  <c r="D92" i="1"/>
  <c r="E27" i="1"/>
  <c r="F87" i="1"/>
  <c r="D17" i="1"/>
  <c r="C154" i="1"/>
  <c r="B3" i="1"/>
  <c r="A83" i="1"/>
  <c r="G160" i="1"/>
  <c r="D179" i="1"/>
  <c r="D169" i="1"/>
  <c r="D26" i="1"/>
  <c r="C79" i="1"/>
  <c r="B111" i="5"/>
  <c r="E22" i="5"/>
  <c r="D134" i="1"/>
  <c r="F187" i="1"/>
  <c r="B111" i="1"/>
  <c r="E47" i="1"/>
  <c r="B39" i="1"/>
  <c r="H36" i="1"/>
  <c r="F95" i="1"/>
  <c r="H31" i="1"/>
  <c r="C92" i="1"/>
  <c r="D27" i="1"/>
  <c r="E87" i="1"/>
  <c r="E16" i="1"/>
  <c r="D86" i="1"/>
  <c r="C14" i="1"/>
  <c r="B13" i="1"/>
  <c r="A160" i="1"/>
  <c r="B76" i="5"/>
  <c r="C158" i="1"/>
  <c r="A13" i="1"/>
  <c r="C184" i="1"/>
  <c r="B164" i="1"/>
  <c r="E21" i="1"/>
  <c r="C172" i="1"/>
  <c r="B60" i="5"/>
  <c r="G105" i="1"/>
  <c r="B14" i="1"/>
  <c r="E85" i="1"/>
  <c r="B97" i="1"/>
  <c r="E49" i="5"/>
  <c r="C146" i="1"/>
  <c r="B130" i="1"/>
  <c r="E182" i="1"/>
  <c r="A177" i="1"/>
  <c r="D46" i="1"/>
  <c r="G5" i="1"/>
  <c r="F167" i="1"/>
  <c r="A164" i="1"/>
  <c r="D30" i="1"/>
  <c r="E91" i="1"/>
  <c r="F25" i="1"/>
  <c r="A21" i="1"/>
  <c r="F155" i="1"/>
  <c r="E153" i="1"/>
  <c r="D85" i="1"/>
  <c r="C82" i="1"/>
  <c r="B159" i="1"/>
  <c r="E167" i="1"/>
  <c r="F24" i="1"/>
  <c r="F152" i="1"/>
  <c r="D12" i="1"/>
  <c r="F40" i="5"/>
  <c r="F29" i="1"/>
  <c r="F151" i="1"/>
  <c r="A115" i="1"/>
  <c r="D22" i="1"/>
  <c r="F161" i="1"/>
  <c r="B46" i="5"/>
  <c r="G75" i="1"/>
  <c r="F66" i="1"/>
  <c r="G118" i="1"/>
  <c r="C109" i="1"/>
  <c r="F45" i="1"/>
  <c r="F5" i="1"/>
  <c r="A163" i="1"/>
  <c r="D94" i="1"/>
  <c r="E90" i="1"/>
  <c r="G20" i="1"/>
  <c r="G15" i="1"/>
  <c r="E84" i="1"/>
  <c r="C11" i="1"/>
  <c r="E205" i="1"/>
  <c r="C97" i="1"/>
  <c r="B19" i="1"/>
  <c r="E2" i="1"/>
  <c r="B72" i="1"/>
  <c r="F162" i="1"/>
  <c r="C18" i="1"/>
  <c r="E8" i="5"/>
  <c r="D142" i="1"/>
  <c r="C127" i="1"/>
  <c r="B117" i="1"/>
  <c r="E56" i="1"/>
  <c r="A101" i="1"/>
  <c r="B174" i="1"/>
  <c r="A98" i="1"/>
  <c r="D34" i="1"/>
  <c r="G93" i="1"/>
  <c r="A90" i="1"/>
  <c r="B24" i="1"/>
  <c r="G19" i="1"/>
  <c r="F15" i="1"/>
  <c r="E152" i="1"/>
  <c r="D84" i="1"/>
  <c r="C12" i="1"/>
  <c r="B11" i="1"/>
  <c r="D64" i="1"/>
  <c r="B107" i="1"/>
  <c r="D172" i="1"/>
  <c r="G157" i="1"/>
  <c r="A15" i="1"/>
  <c r="C157" i="1"/>
  <c r="A94" i="5"/>
  <c r="A207" i="1"/>
  <c r="G191" i="1"/>
  <c r="D180" i="1"/>
  <c r="G175" i="1"/>
  <c r="D44" i="1"/>
  <c r="A174" i="1"/>
  <c r="G166" i="1"/>
  <c r="C34" i="1"/>
  <c r="F93" i="1"/>
  <c r="G89" i="1"/>
  <c r="A24" i="1"/>
  <c r="C19" i="1"/>
  <c r="B15" i="1"/>
  <c r="A152" i="1"/>
  <c r="G151" i="1"/>
  <c r="F2" i="1"/>
  <c r="F60" i="1"/>
  <c r="C44" i="1"/>
  <c r="C33" i="1"/>
  <c r="A23" i="1"/>
  <c r="G210" i="1"/>
  <c r="E90" i="5"/>
  <c r="B29" i="1"/>
  <c r="A2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82" authorId="0" shapeId="0" xr:uid="{00000000-0006-0000-0300-000001000000}">
      <text>
        <r>
          <rPr>
            <sz val="10"/>
            <color rgb="FF000000"/>
            <rFont val="Arial"/>
            <scheme val="minor"/>
          </rPr>
          <t>حدّث المجيب هذه القيمة.</t>
        </r>
      </text>
    </comment>
    <comment ref="H232" authorId="0" shapeId="0" xr:uid="{00000000-0006-0000-0300-000002000000}">
      <text>
        <r>
          <rPr>
            <sz val="10"/>
            <color rgb="FF000000"/>
            <rFont val="Arial"/>
            <scheme val="minor"/>
          </rPr>
          <t>حدّث المجيب هذه القيمة.</t>
        </r>
      </text>
    </comment>
  </commentList>
</comments>
</file>

<file path=xl/sharedStrings.xml><?xml version="1.0" encoding="utf-8"?>
<sst xmlns="http://schemas.openxmlformats.org/spreadsheetml/2006/main" count="8064" uniqueCount="1434">
  <si>
    <t>وقت رفع الطلب</t>
  </si>
  <si>
    <t>المجمع</t>
  </si>
  <si>
    <t xml:space="preserve"> مقدم الطلب </t>
  </si>
  <si>
    <t>القسم</t>
  </si>
  <si>
    <t>البناية</t>
  </si>
  <si>
    <t>موفع الصيانة</t>
  </si>
  <si>
    <t>العمل</t>
  </si>
  <si>
    <t>ملاحظات المدخل</t>
  </si>
  <si>
    <t xml:space="preserve">الوحدة </t>
  </si>
  <si>
    <t>حالة العمل</t>
  </si>
  <si>
    <t>وقت الانجاز</t>
  </si>
  <si>
    <t>ملاحظات الشعبة</t>
  </si>
  <si>
    <t>الإرسال اليدوي</t>
  </si>
  <si>
    <t>كهرباء</t>
  </si>
  <si>
    <t>منجز</t>
  </si>
  <si>
    <t>ميكانيك</t>
  </si>
  <si>
    <t>تبريد</t>
  </si>
  <si>
    <t>مدني</t>
  </si>
  <si>
    <t>مكيانيك</t>
  </si>
  <si>
    <t>رفضوا الدخول وطلبوا اتمامه بعد الدوام</t>
  </si>
  <si>
    <t>ملغي</t>
  </si>
  <si>
    <t>تابع الى ىشعبة صيانة التربية</t>
  </si>
  <si>
    <t>إضافة لاحقا عند إكمال الترتيب</t>
  </si>
  <si>
    <t>تم انجاز 5</t>
  </si>
  <si>
    <t>مؤجل</t>
  </si>
  <si>
    <t>على الشركة</t>
  </si>
  <si>
    <t>تابع للشركة</t>
  </si>
  <si>
    <t>تابع للتربية</t>
  </si>
  <si>
    <t>طابع زمني</t>
  </si>
  <si>
    <t>عنوان البريد الإلكتروني</t>
  </si>
  <si>
    <t xml:space="preserve">المجمع </t>
  </si>
  <si>
    <t xml:space="preserve">اسم مقدم الطلب </t>
  </si>
  <si>
    <t>موقع الصيانة</t>
  </si>
  <si>
    <t xml:space="preserve">نوع العطل </t>
  </si>
  <si>
    <t>ملاحظات</t>
  </si>
  <si>
    <t>school.maintenance.division@gmail.com</t>
  </si>
  <si>
    <t>المعملجي</t>
  </si>
  <si>
    <t>عبد الله جابر</t>
  </si>
  <si>
    <t>قسم التربية والتعليم العالي</t>
  </si>
  <si>
    <t>F-  ابتدائية جود العميد للبنات (الرابعة)</t>
  </si>
  <si>
    <t>ZONE A - الطابق الارضي, غرفة المعاونة التعليمية</t>
  </si>
  <si>
    <t xml:space="preserve">أضافة منافذ قدرة (13 أمبير) عدد (4) في غرفة المعاونة التعليمية </t>
  </si>
  <si>
    <t>م. مرتضى</t>
  </si>
  <si>
    <t>قسم المشاريع الهندسية</t>
  </si>
  <si>
    <t>النافورة</t>
  </si>
  <si>
    <t>الارضي</t>
  </si>
  <si>
    <t xml:space="preserve">تم ثقب براغي أنبوب النافورة 
</t>
  </si>
  <si>
    <t>aettfiyyrtr@gmail.com</t>
  </si>
  <si>
    <t>B- روضة القمر</t>
  </si>
  <si>
    <t>المجاميع الصحية داخل البناية</t>
  </si>
  <si>
    <t>ضعف في الماء</t>
  </si>
  <si>
    <t>منظومة ماء الشرب</t>
  </si>
  <si>
    <t>لا يوجد ماء في المنظومة</t>
  </si>
  <si>
    <t>C- ثانوية العميد بناية الاعدادية  (الاولى)</t>
  </si>
  <si>
    <t>القاعة الرياضية رقم 4 -3</t>
  </si>
  <si>
    <t>تشغيل التبريد والانارة</t>
  </si>
  <si>
    <t>fhjuj02@gmail.com</t>
  </si>
  <si>
    <t xml:space="preserve">رئاسة القسم </t>
  </si>
  <si>
    <t>A- المركز الثقافي</t>
  </si>
  <si>
    <t xml:space="preserve">الطابق الأرضي رئاسة القسم </t>
  </si>
  <si>
    <t>صيانة انارة منشورية عدد 1</t>
  </si>
  <si>
    <t>لطابق الثالث غرفة د. خلود</t>
  </si>
  <si>
    <t>تركيب عجلات لكرسي عدد 2 علماً ان العجلات موجودة وتحتاج فقط الى تركيب</t>
  </si>
  <si>
    <t>المصعد</t>
  </si>
  <si>
    <t xml:space="preserve">المصعد لا يعمل </t>
  </si>
  <si>
    <t>بيت الحضانة</t>
  </si>
  <si>
    <t>ZONE A - الطابق الارضي</t>
  </si>
  <si>
    <t xml:space="preserve">صيانة باب + فلتر الماء يحتاج الى استبدال </t>
  </si>
  <si>
    <t>صيانة مجرى مغسلة الحمام</t>
  </si>
  <si>
    <t>mothanah08@gmail.com</t>
  </si>
  <si>
    <t>الحر</t>
  </si>
  <si>
    <t>علي فالح</t>
  </si>
  <si>
    <t>C- المتوسطة (البناية 3)</t>
  </si>
  <si>
    <t>سلام عليكم اخوان 
بنايه ثالثه زون A  صحيات بصف المصعد</t>
  </si>
  <si>
    <t>خلف المركز الثقافي</t>
  </si>
  <si>
    <t xml:space="preserve">اصلاح وترميم الممر </t>
  </si>
  <si>
    <t>في مطبخ الطابق الثاني جهة المكتب النسوي</t>
  </si>
  <si>
    <t>صيانة باب كاونتر + صيانة مجر</t>
  </si>
  <si>
    <t>D- ثانوية العميد بناية المتوسطة  (الثانية)</t>
  </si>
  <si>
    <t>ZONE A - الطابق الاول, القاطع الدائري مجاور صف الثالث ب</t>
  </si>
  <si>
    <t>صيانة نقطة كهرباء</t>
  </si>
  <si>
    <t>القاعات الرياضية رقم 3-4</t>
  </si>
  <si>
    <t>تشغيل الانارة والتبريد</t>
  </si>
  <si>
    <t xml:space="preserve">صيانة جهاز كبس حراري </t>
  </si>
  <si>
    <t>ahm77eds23@gmail.com</t>
  </si>
  <si>
    <t>احمد كريم عبد</t>
  </si>
  <si>
    <t xml:space="preserve">القاعة الرياضية </t>
  </si>
  <si>
    <t>بين الثالثة والثانية</t>
  </si>
  <si>
    <t>ربط قطعة عزاء داخل القاعة</t>
  </si>
  <si>
    <t>موقع المولدات بين روضة الجود و ابتدائية القمر</t>
  </si>
  <si>
    <t>المرر</t>
  </si>
  <si>
    <t>صيانة نضوح حنفية ماء</t>
  </si>
  <si>
    <t>J- ابتدائية الساقي للبنين الجانب الثاني (السابعة)</t>
  </si>
  <si>
    <t xml:space="preserve">شد بردة </t>
  </si>
  <si>
    <t>ZONE A - الطابق الارضي, الاستعلامات</t>
  </si>
  <si>
    <t>شد الستائر الخاصة في الاستعلامات</t>
  </si>
  <si>
    <t>الصحيات</t>
  </si>
  <si>
    <t>لا يوجد ماء في صحيات البناية</t>
  </si>
  <si>
    <t>القاعة الرياضية 3-4</t>
  </si>
  <si>
    <t>اطفاء التبريد</t>
  </si>
  <si>
    <t>مختبر الحاسوب</t>
  </si>
  <si>
    <t>abodfitt@gmail.com</t>
  </si>
  <si>
    <t>H- ابتدائية القمر للبنات (الخامسة)</t>
  </si>
  <si>
    <t>صيانة حنفيات البراد</t>
  </si>
  <si>
    <t xml:space="preserve">مثنى هلال جودة </t>
  </si>
  <si>
    <t>D- الاعدادية (البناية 4)</t>
  </si>
  <si>
    <t xml:space="preserve">قفل براد الساحه مكسور </t>
  </si>
  <si>
    <t>ZONE A - الطابق الارضي, ZONE B - الطابق الارضي</t>
  </si>
  <si>
    <t xml:space="preserve">قطعه معدنيه مكسوره فوق شاشة صبورة الثالث  واو </t>
  </si>
  <si>
    <t>تم ارسال الصوره في كروب المشترك</t>
  </si>
  <si>
    <t>تربية</t>
  </si>
  <si>
    <t>بيوت خارجية</t>
  </si>
  <si>
    <t>محدد</t>
  </si>
  <si>
    <t>فتح بلك سويج عدد 6</t>
  </si>
  <si>
    <t>وحدة الكهرباء</t>
  </si>
  <si>
    <t>الطابق الارضي</t>
  </si>
  <si>
    <t>نقل كيبل 4×16الخاص بمظخة اطفاء الحريق للمركز الثقافي من بورد الخدمات الى البورد الرئيسي مع إضافة قطعة كيبل من نفس القياس بطول 4متر من خلال جوين ثنابل</t>
  </si>
  <si>
    <t>السطح, المصعد</t>
  </si>
  <si>
    <t xml:space="preserve">صيانة مصعد المدرسة الرابعة </t>
  </si>
  <si>
    <t>اربية</t>
  </si>
  <si>
    <t>الصحيات zone b</t>
  </si>
  <si>
    <t>صيانة انارة سبوت لايت</t>
  </si>
  <si>
    <t>محطة الرفع</t>
  </si>
  <si>
    <t>غرفة الكهرباء</t>
  </si>
  <si>
    <t xml:space="preserv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t>
  </si>
  <si>
    <t>تقليل حرارة السخان</t>
  </si>
  <si>
    <t>J- جامعة العميد (السابعة)</t>
  </si>
  <si>
    <t>صيانة باب</t>
  </si>
  <si>
    <t>mohamedareem@gmail.com</t>
  </si>
  <si>
    <t>ZONE B - الطابق الارضي</t>
  </si>
  <si>
    <t>صيانة باب المنيوم</t>
  </si>
  <si>
    <t>غرفه الكامرات</t>
  </si>
  <si>
    <t xml:space="preserve">إضافة نقطة كهرباء </t>
  </si>
  <si>
    <t xml:space="preserve">وحدة الكهرباء </t>
  </si>
  <si>
    <t xml:space="preserve">الطابق الرابع </t>
  </si>
  <si>
    <t>خطين انارة مفصولات بسبب حدوث تماس ب6 مصابيح سبوت لايت</t>
  </si>
  <si>
    <t>صيانة نقطة كهرباء غرفة المعاونات</t>
  </si>
  <si>
    <t>كهربائيات الارشاد</t>
  </si>
  <si>
    <t>ZONE A - الطابق الاول</t>
  </si>
  <si>
    <t>D- ثانوية العميد بناية المتوسطة  (الثانية), مجاور صف الثالث د</t>
  </si>
  <si>
    <t>موقع المولدات بين روضة الجود والبناية الخامسة</t>
  </si>
  <si>
    <t>صيانة بوري ماء مع وجود نضوح</t>
  </si>
  <si>
    <t>استاذ صالح مدرسة المتوسطة</t>
  </si>
  <si>
    <t>ZONE B - الطابق الاول</t>
  </si>
  <si>
    <t xml:space="preserve">تصليح يدة شباك </t>
  </si>
  <si>
    <t xml:space="preserve">تم ارسال صورة توضيحيه </t>
  </si>
  <si>
    <t xml:space="preserve">لايوجد ماء في برادات ماء البطل </t>
  </si>
  <si>
    <t>إجراء اللازم بشكل عاجل</t>
  </si>
  <si>
    <t>I- ابتدائية الساقي للبنين (السادسة)</t>
  </si>
  <si>
    <t>بجانب البناية</t>
  </si>
  <si>
    <t>كاك سقي</t>
  </si>
  <si>
    <t xml:space="preserve">مدير مدرسة الابتدائية /سيد كرار </t>
  </si>
  <si>
    <t>B- الابتدائية (البناية 2)</t>
  </si>
  <si>
    <t xml:space="preserve">ZONE A - الطابق الارضي, ZONE A - الطابق الاول, ZONE A - الطابق الثاني, ZONE B - الطابق الارضي, ZONE B - الطابق الاول, ZONE B - الطابق الثاني, </t>
  </si>
  <si>
    <t>تضليل جام الصفوف للبناية كاملة</t>
  </si>
  <si>
    <t>معرفة التفاصيل الدقيقة من مديرالمدرسة</t>
  </si>
  <si>
    <t xml:space="preserve">تصليح اقفال ويدات  لوكلرات  خشب عدد 14  .   ولوكرات حديد عدد 12 تحتاج قفل فقط </t>
  </si>
  <si>
    <t>yasmutlaq@gmail.com</t>
  </si>
  <si>
    <t>م. حسين راضي</t>
  </si>
  <si>
    <t>السطح</t>
  </si>
  <si>
    <t>نضوح ماء الـ (R.O)</t>
  </si>
  <si>
    <t xml:space="preserve">ياس مطلك </t>
  </si>
  <si>
    <t>ساحة الكراج</t>
  </si>
  <si>
    <t>صيانة منهوله في ساحة الكراج</t>
  </si>
  <si>
    <t>ياس مطلك</t>
  </si>
  <si>
    <t>ZONE B - الطابق الاول, ZONE B - الطابق الثاني</t>
  </si>
  <si>
    <t>وضع مصدات في الصفوف</t>
  </si>
  <si>
    <t>A- الابتدائية (البناية 1)</t>
  </si>
  <si>
    <t>ادامة جدار الصحيات قرب غرفة السيطرة</t>
  </si>
  <si>
    <t>hussin66694@gmail.com</t>
  </si>
  <si>
    <t xml:space="preserve">م.حسين راضي </t>
  </si>
  <si>
    <t>اضافة حافظة اقداح ماء للبراد</t>
  </si>
  <si>
    <t xml:space="preserve">صيانه انسداد في المجاميع الصحيه </t>
  </si>
  <si>
    <t>ZONE A - الطابق الثاني</t>
  </si>
  <si>
    <t>صيانه براد ماء</t>
  </si>
  <si>
    <t>ZONE A - الطابق الارضي, ZONE A - الطابق الاول</t>
  </si>
  <si>
    <t xml:space="preserve">صيانه المجاميع الصحيه </t>
  </si>
  <si>
    <t>ZONE B - الطابق الارضي, ZONE B - الطابق الثاني</t>
  </si>
  <si>
    <t>تثبيت حامله اقداح ماء براد +تثبيت حامله شطاف</t>
  </si>
  <si>
    <t>م.حسين راضي</t>
  </si>
  <si>
    <t>ZONE B - الطابق الارضي, ZONE B - الطابق الاول, ZONE B - الطابق الثاني</t>
  </si>
  <si>
    <t xml:space="preserve">صيانه قفل براد +ربط براد ماء جديدعدد٢+صيانه كاك براد+ربط برادات مع مجرى تصريف المياه </t>
  </si>
  <si>
    <t xml:space="preserve">ربط براد ماء جديد +ربط فضله البراد مع مجرى تصريف المياه </t>
  </si>
  <si>
    <t>ZONE A - الطابق الارضي, ZONE A - الطابق الاول, ZONE A - الطابق الثاني, ZONE B - الطابق الارضي, ZONE B - الطابق الاول, ZONE B - الطابق الثاني</t>
  </si>
  <si>
    <t>صيانه المجاميع الصحيه للبنايه بالكامل</t>
  </si>
  <si>
    <t>alklabyysysalh@gmail.com</t>
  </si>
  <si>
    <t xml:space="preserve">عيسى صالح حسن الكلابي </t>
  </si>
  <si>
    <t xml:space="preserve">في واجهة البناية قرب الباب الرئيسية </t>
  </si>
  <si>
    <t xml:space="preserve">صيانة قطع مرمر عدد ثنين </t>
  </si>
  <si>
    <t>صيانه منظومة التهوية ال Dx</t>
  </si>
  <si>
    <t>صيانه منظومة التهوية الDx</t>
  </si>
  <si>
    <t>اعمال تقشير الجمسمبورد ومعالجته في ماده الستن في البنايه الثالثه الطابق الثاني الزون A (المطبخ)</t>
  </si>
  <si>
    <t xml:space="preserve">صيانه قفل باب حمام الادارة </t>
  </si>
  <si>
    <t>G- روضة الجود</t>
  </si>
  <si>
    <t xml:space="preserve">صيانه الالعاب </t>
  </si>
  <si>
    <t xml:space="preserve">صيانه برادات </t>
  </si>
  <si>
    <t xml:space="preserve">بهاء الدين حسين </t>
  </si>
  <si>
    <t>ارجاع سقف ثانوي عدد 2 الصف الرابع الابتدائي هاء</t>
  </si>
  <si>
    <t>ZONE B - الطابق الثاني</t>
  </si>
  <si>
    <t xml:space="preserve">صيانة تور شباك عدد واحد </t>
  </si>
  <si>
    <t xml:space="preserve">لبخ الجدار الحمام الخارجي </t>
  </si>
  <si>
    <t>ZONE B - الطابق الارضي, ZONE B - الطابق الاول</t>
  </si>
  <si>
    <t xml:space="preserve">تركيب مصد باب خشب العدد 10 صف في الارضي والاول </t>
  </si>
  <si>
    <t xml:space="preserve">عيسى صالح </t>
  </si>
  <si>
    <t xml:space="preserve">السياج الخارجي قرب الباب </t>
  </si>
  <si>
    <t xml:space="preserve">صيانة قطع مرمر </t>
  </si>
  <si>
    <t>تبديل يدة شباك عدد 2</t>
  </si>
  <si>
    <t xml:space="preserve">تبديل يدة باب الامنيوم يدة ولبة </t>
  </si>
  <si>
    <t xml:space="preserve">تبديل لبة باب خشب </t>
  </si>
  <si>
    <t xml:space="preserve">مثنى هلال </t>
  </si>
  <si>
    <t xml:space="preserve">براد فائض يحتاج معالجه سريعة </t>
  </si>
  <si>
    <t>المبلغ استاذ علي فالح استعلامات المدرسة</t>
  </si>
  <si>
    <t>E- ابتدائية العميد للبنات (الثالثة)</t>
  </si>
  <si>
    <t xml:space="preserve">صيانه باب صف الرابع و حنفيه استبدال </t>
  </si>
  <si>
    <t>الطابق الثالث غرفة الكهرباء</t>
  </si>
  <si>
    <t>وجود صوت عالي داخل الغرفة</t>
  </si>
  <si>
    <t>غرفة المدرسات</t>
  </si>
  <si>
    <t xml:space="preserve">استاذ احمد مدرس رياضه </t>
  </si>
  <si>
    <t xml:space="preserve">ZONE B - الطابق الارضي, باب الساحه المطله على الممر الجانبي </t>
  </si>
  <si>
    <t xml:space="preserve">باب الساحة المطل على الممرات  يحتاج تبديل لبة القفل فقط وليس اليده كامله فقط البة علما ان الباب مفتوح غير مقفل </t>
  </si>
  <si>
    <t xml:space="preserve">تزويدنا بنسخه من المفتاح الجديد... مع التقدير </t>
  </si>
  <si>
    <t>المكتبة</t>
  </si>
  <si>
    <t xml:space="preserve">تعليق رف </t>
  </si>
  <si>
    <t xml:space="preserve">صيانة كرسي </t>
  </si>
  <si>
    <t>معالجة مجرى تصريف في القاعه الرياضية المحزن</t>
  </si>
  <si>
    <t>مقابل البنايه الاولى</t>
  </si>
  <si>
    <t xml:space="preserve">علي فالح </t>
  </si>
  <si>
    <t xml:space="preserve">المصعد يصدر صوت عالي ومزعج يرجى التحري عن الموضوع وإجراء اللازم مع وافر الشكر والتقدير </t>
  </si>
  <si>
    <t>تبليغ الاستاذ علي فالح</t>
  </si>
  <si>
    <t>الطابق الثالث</t>
  </si>
  <si>
    <t xml:space="preserve">استبدال محولة سبوت لايت 38W  وصيانة سبوت لايت اخر </t>
  </si>
  <si>
    <t>نمت الصيانة الأربعاء</t>
  </si>
  <si>
    <t>ZONE B - الطابق الارضي, الصحيات</t>
  </si>
  <si>
    <t>استبدال محولة سبوت لايت</t>
  </si>
  <si>
    <t xml:space="preserve">H- ابتدائية القمر للبنات (الخامسة)
</t>
  </si>
  <si>
    <t>موزعة في جميع الطوابق</t>
  </si>
  <si>
    <t xml:space="preserve">صيانة انارة منشورية 60*60 عدد 7  عن طريق لحام الأجزاء الداخلية </t>
  </si>
  <si>
    <t xml:space="preserve">عيسى صالح الكلابي </t>
  </si>
  <si>
    <t xml:space="preserve">صيانة مرد ماء في الصحيات </t>
  </si>
  <si>
    <t xml:space="preserve">تم تبليغ حسين العيبي </t>
  </si>
  <si>
    <t>استاذ صالح المعاون</t>
  </si>
  <si>
    <t xml:space="preserve">فتح واستبدال إقفال مجموعة لوكرات في غرفة المعاون الإداري ومواقع أخرى </t>
  </si>
  <si>
    <t>يرجى التواصل مع استاذ صالح لغرض تحديد اللوكرات</t>
  </si>
  <si>
    <t xml:space="preserve">البنايه  كامله </t>
  </si>
  <si>
    <t xml:space="preserve">لايوجد ماء اساله </t>
  </si>
  <si>
    <t>م. علي يسري</t>
  </si>
  <si>
    <t>غسل الألواح الشمسية</t>
  </si>
  <si>
    <t xml:space="preserve">فتح منشورات عدد ٥ </t>
  </si>
  <si>
    <t>نافورة</t>
  </si>
  <si>
    <t>مقابل الشاشة</t>
  </si>
  <si>
    <t>غسل فلاتر النافورة</t>
  </si>
  <si>
    <t xml:space="preserve">م. مرتضى </t>
  </si>
  <si>
    <t>تبديل كاك زاوية</t>
  </si>
  <si>
    <t>صيانة رجل ميز عدد ٤</t>
  </si>
  <si>
    <t>استاذ رامي</t>
  </si>
  <si>
    <t xml:space="preserve">تركيب بوستر يحتاج إلى جهاز ال دريل وباقي التفاصيل عند الأستاذ رامي </t>
  </si>
  <si>
    <t>التواصل مع موظف الاستعلامات لتسهيل الامر</t>
  </si>
  <si>
    <t>الساقي</t>
  </si>
  <si>
    <t xml:space="preserve">صيانه كهرباء </t>
  </si>
  <si>
    <t xml:space="preserve">B- الابتدائية (البناية 2), صحيات القاعة الرياضية المطلى على البناية الاولى </t>
  </si>
  <si>
    <t xml:space="preserve">الطابق الارضي </t>
  </si>
  <si>
    <t>صيانة سبور لايت</t>
  </si>
  <si>
    <t xml:space="preserve">صيانه الغربي وصيانه  زنجيل صحيات الادارة </t>
  </si>
  <si>
    <t xml:space="preserve">صيانه مقبض باب صحيات </t>
  </si>
  <si>
    <t xml:space="preserve">صيانه مقبض شباك صف الثاني أ + صف الثالث </t>
  </si>
  <si>
    <t xml:space="preserve">صحيات الغربي مكسور </t>
  </si>
  <si>
    <t>الثاني د +الرابع ج+ صف قرب مختبر الحاسوب + السادس أ +ب</t>
  </si>
  <si>
    <t xml:space="preserve">الهزاز الخشبي مقبض الباب </t>
  </si>
  <si>
    <t xml:space="preserve">السقف الثانوي يسرب ماء </t>
  </si>
  <si>
    <t xml:space="preserve">قاعدة الصابون +شفاط +الغربي </t>
  </si>
  <si>
    <t xml:space="preserve">الغربي مكسور + زنجيل </t>
  </si>
  <si>
    <t xml:space="preserve">الصحيات يوجد كسر في أجزاء صغيره </t>
  </si>
  <si>
    <t>تم إرسال صورة في المجموعة المشتركة</t>
  </si>
  <si>
    <t xml:space="preserve">جميع البنايات عدا 6 و 7 </t>
  </si>
  <si>
    <t xml:space="preserve">الغرف التي تحوي UPS </t>
  </si>
  <si>
    <t>تنظيف فلاتر الUPS</t>
  </si>
  <si>
    <t xml:space="preserve">منجز </t>
  </si>
  <si>
    <t xml:space="preserve">استاذ منتظر استعلامات </t>
  </si>
  <si>
    <t>سيراميك الهزاره ساقط في الغرفة المقابل الادراة</t>
  </si>
  <si>
    <t>استعلام عن الموقع من خلال موظف الاستعلامات.... مع التقدير</t>
  </si>
  <si>
    <t>صيانة مغسلة وانسداد داخل حمامات الطالبات</t>
  </si>
  <si>
    <t>الممر الخلفي المحيط في البناية</t>
  </si>
  <si>
    <t>تصليح الممر</t>
  </si>
  <si>
    <t>مقابل الاستعلامات الرئسية</t>
  </si>
  <si>
    <t>حديقة</t>
  </si>
  <si>
    <t xml:space="preserve">تبديل كاك </t>
  </si>
  <si>
    <t xml:space="preserve">غسل وإعادة صبغ الأجزاء المتاكسدة </t>
  </si>
  <si>
    <t>C- ثانوية العميد بناية الاعدادية  (الاولى), D- ثانوية العميد بناية المتوسطة  (الثانية), E- ابتدائية العميد للبنات (الثالثة)</t>
  </si>
  <si>
    <t>تشغيل منظومات التحلية للبنايات</t>
  </si>
  <si>
    <t>F-  ابتدائية جود العميد للبنات (الرابعة), H- ابتدائية القمر للبنات (الخامسة), I- ابتدائية الساقي للبنين (السادسة)</t>
  </si>
  <si>
    <t>صيانة قطع سبالت داخلية عدد ٢ لغرف الكهرباء</t>
  </si>
  <si>
    <t xml:space="preserve">المصعد لايعمل </t>
  </si>
  <si>
    <t xml:space="preserve">صيانه  جهاز البصمه </t>
  </si>
  <si>
    <t xml:space="preserve">صيانه بلك مكنسه + سويج براد الماء في غرفه المعلمات </t>
  </si>
  <si>
    <t>acount.electric.unit@gmail.com</t>
  </si>
  <si>
    <t xml:space="preserve">J- ابتدائية الساقي للبنين الجانب الثاني (السابعة), </t>
  </si>
  <si>
    <t>متفرقة</t>
  </si>
  <si>
    <t>فتح منشوريات عدد 5</t>
  </si>
  <si>
    <t>صيانة المنشوريات المفتوحة عن طريق لحام الاجزاء الداخلية واعادة ربطها</t>
  </si>
  <si>
    <t>الطابق الرابع</t>
  </si>
  <si>
    <t xml:space="preserve">توصيل مصدر 3phase كيبل 4*4 من مصدر الشاشات القديم الخاصة بكاميرات المراقبلة الى المكان الجديد الذي هو بنفس الطابق </t>
  </si>
  <si>
    <t>موقع النافورة</t>
  </si>
  <si>
    <t>تنظيف 20 مصباح انارة النافورة</t>
  </si>
  <si>
    <t>الصحيات الخاريجة</t>
  </si>
  <si>
    <t>محولة سبوت لايت لا تعمل</t>
  </si>
  <si>
    <t>اضافة تايمر ساعة الى دافعات منظومة AUH البالغ عددها 5 مع تعديل دائرة السيطرة  لتوقيت عمل الدافعات عدا الجمعة والسبت من الساعة السابعة الى الثانية ضهرا</t>
  </si>
  <si>
    <t>صيانة ميز حاسبة</t>
  </si>
  <si>
    <t>الاستعلامات الرئيسية</t>
  </si>
  <si>
    <t>صيانة لبة  باب صحيات</t>
  </si>
  <si>
    <t xml:space="preserve">الرابع غرفة الكاميرات </t>
  </si>
  <si>
    <t xml:space="preserve">اضافة بلك سويج عدد 2 نوع 13A </t>
  </si>
  <si>
    <t>صيانة. تور شباك عدد ٢</t>
  </si>
  <si>
    <t xml:space="preserve">الاستعلامات الرئيسية, </t>
  </si>
  <si>
    <t>الباب الرئيسي</t>
  </si>
  <si>
    <t>استبدال بوش جرص باب الاستعلامات الرئيسية</t>
  </si>
  <si>
    <t>صيانة بردات عدد ٣</t>
  </si>
  <si>
    <t>صيانة أبواب خشبية عدد ٧</t>
  </si>
  <si>
    <t>داخل النافورة</t>
  </si>
  <si>
    <t xml:space="preserve">اعمال صيانة داخل النافورة </t>
  </si>
  <si>
    <t>السطح, غرفة المصعد</t>
  </si>
  <si>
    <t>تنظيف لوحة السيطرة + الغرفة</t>
  </si>
  <si>
    <t>تنظيف 35 مصباح انارة النافورة</t>
  </si>
  <si>
    <t>الشركة الامنية</t>
  </si>
  <si>
    <t>الخارجية</t>
  </si>
  <si>
    <t>صيانة كرفان الامنية</t>
  </si>
  <si>
    <t>الصحيات الخارجية</t>
  </si>
  <si>
    <t>استبدال محولة سبوت لايت عدد 1</t>
  </si>
  <si>
    <t>الساحة</t>
  </si>
  <si>
    <t>اعادة تسليك واسترجاع الكيبل الى السقف الثانوي الخاص بشاشة العرض في الساحة</t>
  </si>
  <si>
    <t>الطابق الاول</t>
  </si>
  <si>
    <t>فصل خطوط الانارة نتيجة حدوث تماس وتم استبدال 5 محولات منشورية</t>
  </si>
  <si>
    <t>الارضي جهة رئاسة القسم</t>
  </si>
  <si>
    <t>استبدال محولة منشورية</t>
  </si>
  <si>
    <t>صحيات الطابق الارضي جهة رئاسة القسم</t>
  </si>
  <si>
    <t>استبدال مصباح سبوت لايت 20 واط</t>
  </si>
  <si>
    <t>D- ثانوية العميد بناية المتوسطة  (الثانية), E- ابتدائية العميد للبنات (الثالثة)</t>
  </si>
  <si>
    <t xml:space="preserve">السطح, غرفة المصعد </t>
  </si>
  <si>
    <t xml:space="preserve">تنظيف الغرف مع بورد السيطرة </t>
  </si>
  <si>
    <t>صيانة باب الساحة الدائرية</t>
  </si>
  <si>
    <t>C- ثانوية العميد بناية الاعدادية  (الاولى), D- ثانوية العميد بناية المتوسطة  (الثانية)</t>
  </si>
  <si>
    <t>صيانة حمامات الساحة وحمامات القاطع الدائري</t>
  </si>
  <si>
    <t>ZONE A - الطابق الثاني, المطبخ</t>
  </si>
  <si>
    <t>صيانة باب الكاونتر</t>
  </si>
  <si>
    <t xml:space="preserve">ابو كميل </t>
  </si>
  <si>
    <t xml:space="preserve">السقف الثانويه في الصحيات قرب المصعد يوجد فيه طيور وفضلاتها يرجى غلق فتحة قرب الدكت التبريد </t>
  </si>
  <si>
    <t xml:space="preserve">استعلام عن الموقع من خلال المنتسب محمد محسن في نفس الطابق </t>
  </si>
  <si>
    <t>A- الابتدائية (البناية 1), B- الابتدائية (البناية 2), C- المتوسطة (البناية 3), D- الاعدادية (البناية 4)</t>
  </si>
  <si>
    <t>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t>
  </si>
  <si>
    <t xml:space="preserve">نرجو اكمالها في نفس اليوم لارجاعها غدا صباحا  إلى نفس الموقع قبل دخول الطلبة.. مع التقدير </t>
  </si>
  <si>
    <t>صيانة مصعد</t>
  </si>
  <si>
    <t>تغذية 12 نقطة كهرباء الى الشاشات و الحاسبات</t>
  </si>
  <si>
    <t>www.aliaqeel8000@gmail.com</t>
  </si>
  <si>
    <t xml:space="preserve">م.علي عقيل </t>
  </si>
  <si>
    <t>انسداد في الصحيات</t>
  </si>
  <si>
    <t>م.علي عقيل</t>
  </si>
  <si>
    <t>قرب الخزان الرئيسي</t>
  </si>
  <si>
    <t xml:space="preserve">رفع خرطوم ماء الطوارئ </t>
  </si>
  <si>
    <t>تغيير هيتر سخان واتماتيك</t>
  </si>
  <si>
    <t>تغيير صوندات شطاف</t>
  </si>
  <si>
    <t>الساحه الخلفية</t>
  </si>
  <si>
    <t xml:space="preserve">السطح, الكراج, الهيكل بين الساحات الرياضيه الخارجية.. في الكراج </t>
  </si>
  <si>
    <t>تثبيت ثيل اصطناعي فوق الهيكل باستخدام جهاز المسدس الطلقة علما ان الثيل موجود في الموقع</t>
  </si>
  <si>
    <t>التواصل مع مسؤول الشعبة في حال وجود استفسارات</t>
  </si>
  <si>
    <t>alialreda977@gmail.com</t>
  </si>
  <si>
    <t xml:space="preserve">علي الرضا </t>
  </si>
  <si>
    <t xml:space="preserve">استبدال هيتر تالف في إحدى السخانات </t>
  </si>
  <si>
    <t>موقع المولدات</t>
  </si>
  <si>
    <t>المولدات</t>
  </si>
  <si>
    <t xml:space="preserve">تنظيف بوردات السيطرة في غرفة التزامن ( السنكرو) </t>
  </si>
  <si>
    <t xml:space="preserve">علي الرضا رشاد </t>
  </si>
  <si>
    <t>A- الابتدائية (البناية 1), C- المتوسطة (البناية 3), D- الاعدادية (البناية 4)</t>
  </si>
  <si>
    <t xml:space="preserve">تنظيف سكك المصاعد الكهربائية </t>
  </si>
  <si>
    <t>صيانة عربة النقل</t>
  </si>
  <si>
    <t xml:space="preserve">لايوجد ماء في المنظومه </t>
  </si>
  <si>
    <t>ZONE A - الطابق الاول, ZONE A - الطابق الثاني</t>
  </si>
  <si>
    <t>ZONE A - الطابق الارضي, ZONE A - الطابق الثاني</t>
  </si>
  <si>
    <t>لا يوجد ماء اسالة في صحيات البناية</t>
  </si>
  <si>
    <t>ZONE A - الطابق الارضي, قاعة سراج العميد</t>
  </si>
  <si>
    <t xml:space="preserve">صيانة الانارة </t>
  </si>
  <si>
    <t>صيانة برادات الماء بسبب وجود تنقيط</t>
  </si>
  <si>
    <t>مدير المدرسة</t>
  </si>
  <si>
    <t xml:space="preserve">مراوح صف الأول د لاتعمل </t>
  </si>
  <si>
    <t xml:space="preserve">تم استخدام ريمونت ولم تعمل أيضا </t>
  </si>
  <si>
    <t xml:space="preserve">ستائر غرف المعاونات </t>
  </si>
  <si>
    <t>ZONE A - الطابق الارضي, غرفة المعاونات</t>
  </si>
  <si>
    <t>صيانة ستائر غرفة المعاونات</t>
  </si>
  <si>
    <t>ZONE A - الطابق الارضي, القاعات الرياضية 3-4</t>
  </si>
  <si>
    <t>تشغيل تبريد ومفرغات</t>
  </si>
  <si>
    <t xml:space="preserve">ZONE A - الطابق الاول, </t>
  </si>
  <si>
    <t>شد بردة في المكتب النسوي</t>
  </si>
  <si>
    <t>شد لوحة + صبورة</t>
  </si>
  <si>
    <t xml:space="preserve">انارة السقف الثانويه في الاستعلامات معطله (ترمش) </t>
  </si>
  <si>
    <t>في واجهة الاستعلامات فوق اللوحة التعريفية</t>
  </si>
  <si>
    <t xml:space="preserve">تفصيل وتركيب قاطع </t>
  </si>
  <si>
    <t xml:space="preserve">لحام بكج </t>
  </si>
  <si>
    <t>B- الابتدائية (البناية 2), D- الاعدادية (البناية 4)</t>
  </si>
  <si>
    <t>تغيير solenoid valve لخزان ماء RO</t>
  </si>
  <si>
    <t>تم تغيير صمام صجمة حجم 2,5” لخزان ماء ثانوي بسبب خلل وحدوث وتسريب بالماء</t>
  </si>
  <si>
    <t>تغيير solenoid valve لخزان الماء الثانوي في سطح البنايه الرابعه بسبب تلفة وعدم استقبال اشاره لفتح بوابة الصمام وملئ الخزان/حجم 2”</t>
  </si>
  <si>
    <t xml:space="preserve">قرب الخزان الرئيسي </t>
  </si>
  <si>
    <t>ربط خط ماء الطوارئ بسبب انقطاع الماء …وتفريغ سيارة حجم 20,000 L في الشفت الصباحي والمسائي</t>
  </si>
  <si>
    <t xml:space="preserve">صيانة مصعد الخاص بالمكتب النسوي
</t>
  </si>
  <si>
    <t xml:space="preserve">علي فالح موظف الاستعلامات </t>
  </si>
  <si>
    <t>ZONE A - الطابق الارضي, ZONE B - الطابق الاول</t>
  </si>
  <si>
    <t xml:space="preserve">الطابق الأرضي براد ماء مكسور /الطابق الأول مقبض باب مكسور صحيات الطلبة </t>
  </si>
  <si>
    <t>تم ارسال صور بالمحادثه المشتركه</t>
  </si>
  <si>
    <t>شد سرقي عدد 2 خاص بالوكر</t>
  </si>
  <si>
    <t>علي حسين</t>
  </si>
  <si>
    <t xml:space="preserve">استبدال قلب او لبة باب المنيوم قرب الضيافة مع تسليمها المفتاح لغرفة الإدارة مع التقدير </t>
  </si>
  <si>
    <t>اضافة نقطة كهرباء الى التلفون الارضي في الحانوت</t>
  </si>
  <si>
    <t>صيانة مكتب عدد3 غرفة المعلمات + صيانة رجل قنفة  + صيانة كرسي معلم عدد 2</t>
  </si>
  <si>
    <t>تعلاكة صودة في حمامات المعلمات + صيانة حمام غربي مكسور</t>
  </si>
  <si>
    <t>صيانة مغاسل عدد2  + انسداد في الصحيات الخارجيات</t>
  </si>
  <si>
    <t>صيانة تعلاكة عدد 2 في الصحيات الخارجية</t>
  </si>
  <si>
    <t xml:space="preserve">ZONE A - الطابق الارضي, شباك صف الاول ج </t>
  </si>
  <si>
    <t>صيانة يدة شباك</t>
  </si>
  <si>
    <t xml:space="preserve">إضافة رف الي غرفة المخزن </t>
  </si>
  <si>
    <t>صيانة مفتاح لوكر</t>
  </si>
  <si>
    <t>bahaaldeen0782@gmail.com</t>
  </si>
  <si>
    <t>بهاء الدين</t>
  </si>
  <si>
    <t>فتح باب مقفل في الصحيات</t>
  </si>
  <si>
    <t>تبديل يدة باب حديد</t>
  </si>
  <si>
    <t>redhahammode20@gmail.com</t>
  </si>
  <si>
    <t xml:space="preserve">رضا حمودي محمد حسين </t>
  </si>
  <si>
    <t xml:space="preserve">استبدال هيتر و اوتوماتيك تالف </t>
  </si>
  <si>
    <t xml:space="preserve">تبديل تغذية البصمة من الكهرباء العادية إلى طاقة شمسية </t>
  </si>
  <si>
    <t>تثبيت وصيانة شمعة</t>
  </si>
  <si>
    <t xml:space="preserve">تبديل Solenoid valve  تالف لإحدى الخزانات </t>
  </si>
  <si>
    <t>م. مرتضى عباس</t>
  </si>
  <si>
    <t xml:space="preserve">تبديل كاك زاوية </t>
  </si>
  <si>
    <t>صيانة غربي</t>
  </si>
  <si>
    <t>م.مرتضى</t>
  </si>
  <si>
    <t>تبديل ماسكات عدد٢</t>
  </si>
  <si>
    <t>صيانة و ادامة منظومة إطفاء الحرائق الخاصة بالمدرسة</t>
  </si>
  <si>
    <t xml:space="preserve">صيانة و إدامة منظومة إطفاء الحرائق في البناية </t>
  </si>
  <si>
    <t xml:space="preserve">تبديل يدة باب القاعة الرياضية /يرجى إضافة حقل في موقع الصيانة يتضمن  القاعة الرياضيه </t>
  </si>
  <si>
    <t xml:space="preserve">علي حسين </t>
  </si>
  <si>
    <t xml:space="preserve">ازالة بوستر العزاء وارجاع اهداف كرة السلة </t>
  </si>
  <si>
    <t xml:space="preserve">صيانة مصعد
</t>
  </si>
  <si>
    <t>تشغيل مفرغات الحمام</t>
  </si>
  <si>
    <t>hly565690@gmail.com</t>
  </si>
  <si>
    <t>علي حسين عليوي</t>
  </si>
  <si>
    <t>القاعة الرياضية جهة الابتدائية</t>
  </si>
  <si>
    <t xml:space="preserve">فتح السلة فقط الخاصة بالقاعة </t>
  </si>
  <si>
    <t>تفضلكم ب انجاز العمل بسرعة الممكنه</t>
  </si>
  <si>
    <t>صيانة بردات</t>
  </si>
  <si>
    <t>صيانة اقفال الابواب</t>
  </si>
  <si>
    <t>صيانة ستائر في صفوف زون بي</t>
  </si>
  <si>
    <t>صيانة مغسلة انسداد في مجرى التصريف و الخرطوم تالف + صيانة حمام غربي المقعد يحتاج الى تثبيت</t>
  </si>
  <si>
    <t>صيانة الشبكة الخاصة بالالعاب</t>
  </si>
  <si>
    <t>م. الشعبة</t>
  </si>
  <si>
    <t>B- الابتدائية (البناية 2), القاعة الرياضية</t>
  </si>
  <si>
    <t xml:space="preserve">تشغيل الطاقة الكهربائة لغرض فحص الصوتيات والمرئيات </t>
  </si>
  <si>
    <t xml:space="preserve">ممكن على جناح السرعة لطفا الفريق بالانتظار </t>
  </si>
  <si>
    <t xml:space="preserve">ابو. كميل </t>
  </si>
  <si>
    <t xml:space="preserve">قرب الغرفه الخارجيه </t>
  </si>
  <si>
    <t>ماطور ماء يسرب ماء قرب الغرفه الخارجيه للبنايه المتوسطه من قرب باب الدخول الخارجيه</t>
  </si>
  <si>
    <t>تركيب لوحات اعلانية للصفوف</t>
  </si>
  <si>
    <t xml:space="preserve">لا يوجد ماء في المنظومة </t>
  </si>
  <si>
    <t>غلق السقوف الثانوية</t>
  </si>
  <si>
    <t>A- المركز الثقافي, قاعة سراج العميد</t>
  </si>
  <si>
    <t>صيانة الانارة ترمش</t>
  </si>
  <si>
    <t>تشغيل الكهرباء القاطع المستطيل</t>
  </si>
  <si>
    <t xml:space="preserve">صيانة حمامات </t>
  </si>
  <si>
    <t>حنفية ماء في الساحه الداخليه زون a</t>
  </si>
  <si>
    <t>مكسوره</t>
  </si>
  <si>
    <t>صيانة انارة الحمامات رئاسة القسم</t>
  </si>
  <si>
    <t>ZONE A - الطابق الارضي, الصحيات قرب البصمة</t>
  </si>
  <si>
    <t>صيانة الخيط الخاص بحوض الفلاش</t>
  </si>
  <si>
    <t xml:space="preserve">علي حسين عليوي </t>
  </si>
  <si>
    <t>باب الصف الرابع أ عند الفتح يحتك بالارضية</t>
  </si>
  <si>
    <t xml:space="preserve">صيانه في الحمام  </t>
  </si>
  <si>
    <t xml:space="preserve">الصحيات بحاجة الى صيانة يوجد انسداد في الصحيات الاولى و الثانية </t>
  </si>
  <si>
    <t xml:space="preserve">تفضلكم باجراء اللازم لطفا </t>
  </si>
  <si>
    <t>البناية كاملة</t>
  </si>
  <si>
    <t>تحول التبريد الى تدفئة - وتشغيل سخانات الماء</t>
  </si>
  <si>
    <t>صيانة باب صحيات</t>
  </si>
  <si>
    <t xml:space="preserve">إزالة بوسترات </t>
  </si>
  <si>
    <t>إعادة سقوف ثانوية</t>
  </si>
  <si>
    <t>maintenanceofameedgroup@gmail.com</t>
  </si>
  <si>
    <t>انغلاق باب المصعد غلى كادر التربية</t>
  </si>
  <si>
    <t>المجاميع الصحية مقابل رئاسة القسم</t>
  </si>
  <si>
    <t xml:space="preserve">صيانة اقفال الابواب + استبدال قبق منهولة </t>
  </si>
  <si>
    <t>صيانة نقطة الكهرباء + صيانة الانارة بالكامل</t>
  </si>
  <si>
    <t>غرفة الاعلاميات</t>
  </si>
  <si>
    <t>صيانة سبلت يعمل على التدفئة فقط</t>
  </si>
  <si>
    <t>تنصيب حساس الانارة</t>
  </si>
  <si>
    <t>صيانة باب صحيات القاطع المستطيل</t>
  </si>
  <si>
    <t xml:space="preserve">سيد كرار حانوت </t>
  </si>
  <si>
    <t xml:space="preserve">ZONE A - الطابق الثاني, المطعم </t>
  </si>
  <si>
    <t>عطل صوندة السنك تحتاج إلى تبديل بشكل عاجل بسبب توقف عمل الأخوة في التغذيه.. مع التقدير</t>
  </si>
  <si>
    <t>المجاميع الصحية مقابل الشعبة المالية</t>
  </si>
  <si>
    <t>صيانة يدت باب الغربي + صيانة السقف الثانوي</t>
  </si>
  <si>
    <t>تبديل قفل اللوكر لغرفة الضيافة</t>
  </si>
  <si>
    <t>الصحيات مقابل رئاسة القسم</t>
  </si>
  <si>
    <t>صيانة يدة باب مكسورة + فتح الماء للصحيات</t>
  </si>
  <si>
    <t>القاعة الرياضية جهة المتوسطة</t>
  </si>
  <si>
    <t xml:space="preserve">يرجى تفضلكم بتركيب البوردات الخاصة بكرة السلة </t>
  </si>
  <si>
    <t>غرفة المظخات</t>
  </si>
  <si>
    <t>شعبة الصيانة</t>
  </si>
  <si>
    <t>صيانة الكابلنك الخاص بمضخة الجوكي</t>
  </si>
  <si>
    <t>المجاميع الصحية</t>
  </si>
  <si>
    <t>لا يوجد ماء في الصحيات</t>
  </si>
  <si>
    <t>A- المركز الثقافي, الممر المحاذي لمدخل باب رئاسة القسم</t>
  </si>
  <si>
    <t xml:space="preserve">استبدال قبق منهولة </t>
  </si>
  <si>
    <t xml:space="preserve">صيانه نقطه كهرباء </t>
  </si>
  <si>
    <t>تعليق سبورة كبيرة</t>
  </si>
  <si>
    <t>صيانة يدة شباك ( جهة اليسار )</t>
  </si>
  <si>
    <t xml:space="preserve">طه سكرتير الدكتور </t>
  </si>
  <si>
    <t xml:space="preserve">تركيب سبورة عدد ١ في غرفة سكرتير الدكتور قرب غرفة الدكتور عند الأستاذ طه </t>
  </si>
  <si>
    <t>السبورة موجوده في الموقع  في الانتظار</t>
  </si>
  <si>
    <t>ابو كميل</t>
  </si>
  <si>
    <t xml:space="preserve">غرفة المصلى قرب الضيافه تبديل لبة باب المصلى </t>
  </si>
  <si>
    <t>الاستعلام من منتسب طه تحسين ضيافه</t>
  </si>
  <si>
    <t>غيث احمد</t>
  </si>
  <si>
    <t>صحيات ربط شطاف مخلوع في الصحيات الغربي قرب ادارة المجمع</t>
  </si>
  <si>
    <t xml:space="preserve">الصحيات مقابل الالعاب </t>
  </si>
  <si>
    <t>صيانة مفرغة لا تعمل + صيانة يدات باب عدد 3</t>
  </si>
  <si>
    <t>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 صيانة رحلات
صيانة بردات ثالث د
ثالث هـ صيانة كرسي المعلمة</t>
  </si>
  <si>
    <t>صيانة الباب الرئيسية للحمام الخارجي الطابق الاول 
صيانة سقف الحمامات الخارجية الطابق الارضي 
صيانة برادات الماء</t>
  </si>
  <si>
    <t xml:space="preserve">الهزارة الخشبية بحاجة الى تثبيت </t>
  </si>
  <si>
    <t>الصف الرابع (ج)</t>
  </si>
  <si>
    <t>صيانة بدأت باب عدد ٣</t>
  </si>
  <si>
    <t>صيانة باب حمام الطابق الاول الخارجي</t>
  </si>
  <si>
    <t>صيانة براد ماء</t>
  </si>
  <si>
    <t>صيانة شرقي لوكر</t>
  </si>
  <si>
    <t xml:space="preserve">اضافة مفرغة الى الحمام </t>
  </si>
  <si>
    <t>اضافة مقعد شرقي الى الحمام</t>
  </si>
  <si>
    <t>صف البنفسج</t>
  </si>
  <si>
    <t>صيانة بردة + نقطة كهربائية</t>
  </si>
  <si>
    <t xml:space="preserve">استاذ صالح المعاون </t>
  </si>
  <si>
    <t xml:space="preserve">غرفة الإدارة تعطل هيدروليك الكراسي المكتبيه الكبيره عدد ٢ </t>
  </si>
  <si>
    <t xml:space="preserve">التواصل مع استاذ صالح </t>
  </si>
  <si>
    <t>تفضلكم بتبديل قلب الكيلون الخاص بباب المصلى المجاور غرفة الضيافة في الطابق الأرضي الزون A</t>
  </si>
  <si>
    <t xml:space="preserve">انقطاع الماء الارو
</t>
  </si>
  <si>
    <t>محمد عباس حانوت</t>
  </si>
  <si>
    <t xml:space="preserve">ZONE A - الطابق الارضي, الغرف الملحق في الباب الرئيسية </t>
  </si>
  <si>
    <t xml:space="preserve">لايوجد ماء في غرفة السواق و الحنفية الخارجيه قرب الباب الرئيسي الخارجي </t>
  </si>
  <si>
    <t>محمد محسن</t>
  </si>
  <si>
    <t xml:space="preserve">صوندات الصحيات قرب المصعد تحتاج إلى تركيب </t>
  </si>
  <si>
    <t xml:space="preserve">كابينه في صحيات الطلبه تحتاج إلى تسليك بسبب انغلاقها </t>
  </si>
  <si>
    <t>استاذ صالح</t>
  </si>
  <si>
    <t xml:space="preserve">سلايت الشاشه يحتاج إلى صيانة وبردات الزيبرا في شعبة الأول أ في طابق الأول... وشعبة الأول ز في طابق الثاني </t>
  </si>
  <si>
    <t xml:space="preserve">علما تم ارسال الصيانة في طلب واحد بسبب نفس العطل وبطابقين مختلفين </t>
  </si>
  <si>
    <t>صيانة شباك صف السادس</t>
  </si>
  <si>
    <t xml:space="preserve">لايوجد ماء في الصحيات </t>
  </si>
  <si>
    <t xml:space="preserve">يدة باب وقاعدت صونده في الصحيات الطلبه تحتاج إلى صيانه </t>
  </si>
  <si>
    <t xml:space="preserve">الرابع ابتدائي (أ) الباب الخاصة بالصف تحتاج إلى صيانة </t>
  </si>
  <si>
    <t xml:space="preserve">تم تركيب استان شاشه عدد (٢) غرفه المرقاب الالي </t>
  </si>
  <si>
    <t xml:space="preserve">انجز العمل من قبل المنتسبين بهاء الدين امير احمد محمد عباس </t>
  </si>
  <si>
    <t xml:space="preserve">لايوجد ماء في برادات البناية الرابعة </t>
  </si>
  <si>
    <t>ZONE A - الطابق الارضي, المكتب النسوي</t>
  </si>
  <si>
    <t>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t>
  </si>
  <si>
    <t>صيانة او استبدال الدوش</t>
  </si>
  <si>
    <t>لا يوجد ماء في الحمامات</t>
  </si>
  <si>
    <t>لا يوجد ماء ارو</t>
  </si>
  <si>
    <t>النافورة الرئيسية</t>
  </si>
  <si>
    <t>صيانة بوري ماء متحرك داخل النافورة</t>
  </si>
  <si>
    <t>صيانة الباب صف + شد بردة</t>
  </si>
  <si>
    <t>الماء مقطوع داخل الصحيات</t>
  </si>
  <si>
    <t>غرفة المعلمات</t>
  </si>
  <si>
    <t>لا يوجد ماء</t>
  </si>
  <si>
    <t>ZONE A - الطابق الارضي, تشريفات رئاسة</t>
  </si>
  <si>
    <t>غسل وتنظيف سبلت كنتوري</t>
  </si>
  <si>
    <t xml:space="preserve">الباب الرئيسي الخارجي </t>
  </si>
  <si>
    <t>سيراميك منفصل عن الجدار في الباحه الخارجيه بين الباب الرئيسي والاستعلامات</t>
  </si>
  <si>
    <t>التواصل مع موظف الاستعلامات لتسهيل معرفة الموقع</t>
  </si>
  <si>
    <t xml:space="preserve">م. رضا حمودي </t>
  </si>
  <si>
    <t xml:space="preserve">تغذية مأخذ قدرة بالطاقة الشمسية </t>
  </si>
  <si>
    <t xml:space="preserve">تغذية عدد 2 مأخذ قدرة بالطاقة الشمسية </t>
  </si>
  <si>
    <t>تغذية سبلت الاستعلامات الرئسية</t>
  </si>
  <si>
    <t>A- المركز الثقافي, رئاسة القسم</t>
  </si>
  <si>
    <t>صبغ المطبخ</t>
  </si>
  <si>
    <t xml:space="preserve">الشركة الأمنية </t>
  </si>
  <si>
    <t xml:space="preserve">الباب الكبيرة الرئيسة </t>
  </si>
  <si>
    <t xml:space="preserve">صيانة كيلون باب </t>
  </si>
  <si>
    <t>لا يوجد ماء في منظومة الشرب</t>
  </si>
  <si>
    <t>تثبيت لوحة المفاتيح في غرفة ادارة المجمع</t>
  </si>
  <si>
    <t>اكساء الساحة الدائرية الخاصة بالالعاب  بالاسفنج لحماية الاطفال</t>
  </si>
  <si>
    <t xml:space="preserve">فحص صيانة سماور </t>
  </si>
  <si>
    <t>store.edu.aleamid@gmail.com</t>
  </si>
  <si>
    <t>ياسين ضيافة</t>
  </si>
  <si>
    <t xml:space="preserve">ZONE A - الطابق الارضي, الضيافة </t>
  </si>
  <si>
    <t xml:space="preserve">تبديل لبة باب الامنيوم للضيافة البناية الرابعة </t>
  </si>
  <si>
    <t xml:space="preserve">ممر المولدات بين البناية الثانية والثالثة </t>
  </si>
  <si>
    <t>الصحيات الخارجية على جهة القاعة الرياضية المتوسطة</t>
  </si>
  <si>
    <t xml:space="preserve">استبدال سبوتلايت فى احدى المجاميع الصحية </t>
  </si>
  <si>
    <t xml:space="preserve">محمود حيدر </t>
  </si>
  <si>
    <t xml:space="preserve">السادس (و) اسلاك كهرباء مكشفة وخارجة من التري كيبل نرجو اجراء اللازم على نحو عاجل ... مع التقدير والامتنان 
</t>
  </si>
  <si>
    <t>تم ارسال فديو توضيحي في المجموعة</t>
  </si>
  <si>
    <t>مقبض نافذة الحانوت مكسورة تحتاج الى استبدال</t>
  </si>
  <si>
    <t xml:space="preserve">الحانوت المدرسي </t>
  </si>
  <si>
    <t>اضافة نقطة كهرباء</t>
  </si>
  <si>
    <t>م. كريم</t>
  </si>
  <si>
    <t>معالجة شتايكر في السطح</t>
  </si>
  <si>
    <t>تعليق لوحات عدد ٢</t>
  </si>
  <si>
    <t>الصحيات الخارجية مقابل المدرسة الخامسة</t>
  </si>
  <si>
    <t>استبدال ١٠ محولات تالفة</t>
  </si>
  <si>
    <t>استبدال ٣ محولات سبورت لايت</t>
  </si>
  <si>
    <t>A- المركز الثقافي, المكتب النسوي غرفة الكاميرات</t>
  </si>
  <si>
    <t>تعليق رفوف</t>
  </si>
  <si>
    <t xml:space="preserve">م. علي يسري </t>
  </si>
  <si>
    <t>تسليك كيبل إلى غرفة الاستنساخ</t>
  </si>
  <si>
    <t xml:space="preserve">حسين فارس </t>
  </si>
  <si>
    <t xml:space="preserve">السركي مال باب الاستعلامات قافل السركي لتثبيت الباب من الأسفل </t>
  </si>
  <si>
    <t>صيانة عنق الخلاط الخاص بالمطعم</t>
  </si>
  <si>
    <t>لا يوجد ماء اسالة</t>
  </si>
  <si>
    <t>الغرف الخارجيه</t>
  </si>
  <si>
    <t>تركيب مفرغة مفصوله بالحمام الخارجي</t>
  </si>
  <si>
    <t xml:space="preserve">التواصل مع موظف الاستعلامات </t>
  </si>
  <si>
    <t>صيانة حاملة الشطاف</t>
  </si>
  <si>
    <t>معجون النافذة مشلوع صف الاول و</t>
  </si>
  <si>
    <t xml:space="preserve">صحيات الطلبة احد الابواب الداخلية مقفول </t>
  </si>
  <si>
    <t>اصلاح مرمر متضرر في الممر الخارجي جهة المالية</t>
  </si>
  <si>
    <t>الصحيات مقابل المالية</t>
  </si>
  <si>
    <t>صيانة المرمر بركن باب الصحيات الرئيسي</t>
  </si>
  <si>
    <t xml:space="preserve">ربط الاهداف الخاصه بكرة السلة </t>
  </si>
  <si>
    <t xml:space="preserve">تبديل الكيلون الخاص بالقاعة الرياضية </t>
  </si>
  <si>
    <t>صيانة انارة الحانوت</t>
  </si>
  <si>
    <t>صيانة نقطة كهرباء في الخامس ب</t>
  </si>
  <si>
    <t>عليق بردة في غرفة المعلمات</t>
  </si>
  <si>
    <t>استبدال سقوف ثانوية</t>
  </si>
  <si>
    <t>م.كريم</t>
  </si>
  <si>
    <t>مجاور البناية الاولى</t>
  </si>
  <si>
    <t>خارج</t>
  </si>
  <si>
    <t>اصلاح ليك مياه سقي</t>
  </si>
  <si>
    <t>F-  ابتدائية جود العميد للبنات (الرابعة), H- ابتدائية القمر للبنات (الخامسة)</t>
  </si>
  <si>
    <t xml:space="preserve">استبدال سقوف ثانوية </t>
  </si>
  <si>
    <t>اضافة نقطة كهرباء حرارية</t>
  </si>
  <si>
    <t>ZONE A - الطابق الارضي, ZONE A - الطابق الاول, ZONE A - الطابق الثاني</t>
  </si>
  <si>
    <t>تحويل اجهزة التبريد الى تدفئة</t>
  </si>
  <si>
    <t xml:space="preserve">يرجى تبديل لبة ابواب السطح لجميع البنايات واعطائنا نسخة منه ويبقى مغلق اثناء فترة الدوام </t>
  </si>
  <si>
    <t xml:space="preserve">استاذ صالح معاون المدرسة </t>
  </si>
  <si>
    <t xml:space="preserve">تثبيت سبورة بالحائط عدد 2 ، معرفة الموقع من استاذ صالح المعاون 
</t>
  </si>
  <si>
    <t>لا يوجد ماء ارو في المنظومة</t>
  </si>
  <si>
    <t xml:space="preserve">مصباح في صحيات الطلبة عاطل </t>
  </si>
  <si>
    <t xml:space="preserve">مصطفى مشكور </t>
  </si>
  <si>
    <t xml:space="preserve">سقف ثانوي يحتاج الى تركيب معرفة الموقع الدقيق من منتسب الطابق مصطفى مشكور </t>
  </si>
  <si>
    <t>غرفة وحدة المراقبة المركزية الطابق الرابع</t>
  </si>
  <si>
    <t>فصل الانارة في قاعة المراقبة الصف 123 اضافة 4 نقاط  كهرباء</t>
  </si>
  <si>
    <t>مضلة مضخة اطفاء الحريق بحاجة الى تثبيت</t>
  </si>
  <si>
    <t xml:space="preserve">محمد عباس </t>
  </si>
  <si>
    <t xml:space="preserve">مصباح عاطل في الصحيات </t>
  </si>
  <si>
    <t xml:space="preserve">تشكيل الصوندة </t>
  </si>
  <si>
    <t>تسرب ماء من السقف الثانوي في الصحيات</t>
  </si>
  <si>
    <t>هادي علي</t>
  </si>
  <si>
    <t xml:space="preserve">رقبة حنفية السنك او الخلاط الخاصة بالمطعم مكسورة </t>
  </si>
  <si>
    <t>موظف الاستعلامات منتظر مهدي</t>
  </si>
  <si>
    <t xml:space="preserve">خشبة في الصف مخلوعة الرابع ج </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</si>
  <si>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</si>
  <si>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</si>
  <si>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</si>
  <si>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</si>
  <si>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</si>
  <si>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</si>
  <si>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</si>
  <si>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</si>
  <si>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</si>
  <si>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</si>
  <si>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</si>
  <si>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</si>
  <si>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</si>
  <si>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</si>
  <si>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</si>
  <si>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</si>
  <si>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mrtathaabbassps44@gmail.com</t>
  </si>
  <si>
    <t>علي عبدعلي</t>
  </si>
  <si>
    <t>عباس حسين</t>
  </si>
  <si>
    <t>م كريم</t>
  </si>
  <si>
    <t>امين كاظم</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</si>
  <si>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</si>
  <si>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</si>
  <si>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</si>
  <si>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</si>
  <si>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</si>
  <si>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</si>
  <si>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</si>
  <si>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</si>
  <si>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</si>
  <si>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</si>
  <si>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</si>
  <si>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</si>
  <si>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</si>
  <si>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</si>
  <si>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</si>
  <si>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</si>
  <si>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</si>
  <si>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</si>
  <si>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</si>
  <si>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</si>
  <si>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</si>
  <si>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</si>
  <si>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</si>
  <si>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</si>
  <si>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 xml:space="preserve">رعد ابو نرجس </t>
  </si>
  <si>
    <t>raad63942@gmail.com</t>
  </si>
  <si>
    <t>م سجاد حميد</t>
  </si>
  <si>
    <t>علي محمد</t>
  </si>
  <si>
    <t>مصطفى عبدالرضا</t>
  </si>
  <si>
    <t>2025/11/02 - 01:21 م</t>
  </si>
  <si>
    <t>2025/11/03 - 12:17 م</t>
  </si>
  <si>
    <t>2025/11/04 - 09:35 ص</t>
  </si>
  <si>
    <t>2025/11/05 - 08:59 ص</t>
  </si>
  <si>
    <t>الى الشفت المسائي بسبب الامتحانات</t>
  </si>
  <si>
    <t>2025/11/05 - 10:32 ص</t>
  </si>
  <si>
    <t>صيانة يدة شباك عدد ٢</t>
  </si>
  <si>
    <t>2025/11/05 - 11:44 ص</t>
  </si>
  <si>
    <t>2025/11/11 - 07:06 ص</t>
  </si>
  <si>
    <t>2025/11/09 - 10:18 ص</t>
  </si>
  <si>
    <t>تم الانجاز (استبدال صمام صجمة بعد الممبرين) بواسطة م. علي عقيل</t>
  </si>
  <si>
    <t>2025/11/05 - 11:47 ص</t>
  </si>
  <si>
    <t>عمل مشترك مع وحدة الميكانيك تم الانجاز في تاريخ 3/11/2025</t>
  </si>
  <si>
    <t>2025/11/05 - 11:52 ص</t>
  </si>
  <si>
    <t>تم الانجاز في تاريخ 4/11/2025</t>
  </si>
  <si>
    <t>2025/11/05 - 11:57 ص</t>
  </si>
  <si>
    <t>2025/11/05 - 12:02 م</t>
  </si>
  <si>
    <t>تم الانجاز في تاريخ 1/11/2025</t>
  </si>
  <si>
    <t>2025/11/05 - 12:21 م</t>
  </si>
  <si>
    <t>تم الانجاز في تاريخ 2/11/2025</t>
  </si>
  <si>
    <t>تم الانجاز في تاريخ 3/11/2025</t>
  </si>
  <si>
    <t>2025/11/05 - 12:26 م</t>
  </si>
  <si>
    <t>2025/11/05 - 12:20 م</t>
  </si>
  <si>
    <t>مشترك مع وحدة الكهرباء والاتصالات</t>
  </si>
  <si>
    <t>2025/11/09 - 12:23 م</t>
  </si>
  <si>
    <t>2025/11/05 - 01:12 م</t>
  </si>
  <si>
    <t>2025/11/06 - 08:36 ص</t>
  </si>
  <si>
    <t>2025/11/06 - 10:19 ص</t>
  </si>
  <si>
    <t>تم الانجاز في تاريخ 6/11/2025</t>
  </si>
  <si>
    <t>2025/11/06 - 11:31 ص</t>
  </si>
  <si>
    <t>2025/11/08 - 10:17 ص</t>
  </si>
  <si>
    <t>يحتاج إلى استبدال قطعة ميكانيكة متضررة تم التواصل مع شعبة المصاعد</t>
  </si>
  <si>
    <t>2025/11/08 - 11:28 ص</t>
  </si>
  <si>
    <t>2025/11/08 - 09:14 ص</t>
  </si>
  <si>
    <t>2025/11/09 - 10:38 ص</t>
  </si>
  <si>
    <t>2025/11/09 - 08:41 م</t>
  </si>
  <si>
    <t>2025/11/10 - 10:00 ص</t>
  </si>
  <si>
    <t>مشترك مع الميكانيك (حامل شطاف)  المدني (كيلون باب)</t>
  </si>
  <si>
    <t>2025/11/10 - 10:23 ص</t>
  </si>
  <si>
    <t>تم الانجاز في تاريخ 15/11/2505</t>
  </si>
  <si>
    <t>تم الانجاز في تاريخ 17/11/2025</t>
  </si>
  <si>
    <t xml:space="preserve">لحين توفر سلفة مالية </t>
  </si>
  <si>
    <t>تضرر الباب الداخلي للمصعد الكهربائي بسبب إدخال معدات كبيرة غير مخصصة للنقل داخل المصعد</t>
  </si>
  <si>
    <t>شفت مسائي</t>
  </si>
  <si>
    <t>شفت صباحي</t>
  </si>
  <si>
    <t xml:space="preserve">شفت مسائي </t>
  </si>
  <si>
    <t>بسبب عدم حاجة المرقاب الالي اليها</t>
  </si>
  <si>
    <t xml:space="preserve">شفت صباحي </t>
  </si>
  <si>
    <t>عدم توفر سلفه مالية</t>
  </si>
  <si>
    <t xml:space="preserve">الملاعب الرياضية الخارجية </t>
  </si>
  <si>
    <t>الكراج</t>
  </si>
  <si>
    <t>C- المتوسطة (البناية 3), D- الاعدادية (البناية 4)</t>
  </si>
  <si>
    <t xml:space="preserve">جميع الطوابق </t>
  </si>
  <si>
    <t>A- الابتدائية (البناية 1), B- الابتدائية (البناية 2)</t>
  </si>
  <si>
    <t xml:space="preserve">سيد كرار </t>
  </si>
  <si>
    <t xml:space="preserve">صالح </t>
  </si>
  <si>
    <t xml:space="preserve">موقع المولدات </t>
  </si>
  <si>
    <t>B- الابتدائية (البناية 2), C- المتوسطة (البناية 3)</t>
  </si>
  <si>
    <t>ZONE A - الطابق الثاني, ZONE B - الطابق الثاني</t>
  </si>
  <si>
    <t>رقم العمل</t>
  </si>
  <si>
    <t>سجاد تربية</t>
  </si>
  <si>
    <t xml:space="preserve">غرفة المعاونات صيانة سبلت </t>
  </si>
  <si>
    <t>شركة</t>
  </si>
  <si>
    <t xml:space="preserve">الطابق الارضي, الاستعلامات </t>
  </si>
  <si>
    <t xml:space="preserve">صيانة سبلت </t>
  </si>
  <si>
    <t xml:space="preserve">مختبر الكيمياء </t>
  </si>
  <si>
    <t xml:space="preserve">كل المدرسة </t>
  </si>
  <si>
    <t xml:space="preserve">لاتوجد تدفئة </t>
  </si>
  <si>
    <t xml:space="preserve">صيانة سبالت / غرفة الالرشاد وغرفة المرقاب و صف الثاني ب و الرابع أ و ب والساد و </t>
  </si>
  <si>
    <t>صيانه سبالات</t>
  </si>
  <si>
    <t xml:space="preserve">الطابق الارضي, </t>
  </si>
  <si>
    <t xml:space="preserve">صيانة سبالات </t>
  </si>
  <si>
    <t xml:space="preserve">إدامة وتنظيف القطع الخارجية لمنظومات التبريد في البناية </t>
  </si>
  <si>
    <t xml:space="preserve">المطعم </t>
  </si>
  <si>
    <t xml:space="preserve">تحويل سبلت من بارد الى تدفئة </t>
  </si>
  <si>
    <t>J- ابتدائية الساقي للبنين الجانب الثاني (السابعة), J- جامعة العميد (السابعة)</t>
  </si>
  <si>
    <t>القاعة الرياضية مقابل الاولى</t>
  </si>
  <si>
    <t>إدامة وتنظيف منظومة البكج   الخاص بالقاعة</t>
  </si>
  <si>
    <t>القاعة الرياضية مقابل الالعاب</t>
  </si>
  <si>
    <t xml:space="preserve">القاعة الرياضية مقابل المدرسة الخامسة </t>
  </si>
  <si>
    <t>القاعة الرياضية مقابل المدرسة الرابعة</t>
  </si>
  <si>
    <t>الطابق الارضي, الطابق الاول, الطابق الثاني, الطابق الثالث, الطابق الرابع</t>
  </si>
  <si>
    <t>إدامة وتنظيف سبالت غرف الكهرباء والسيطرة والكراكات في البناية</t>
  </si>
  <si>
    <t>الطابق الارضي, الطابق الاول, الطابق الثاني</t>
  </si>
  <si>
    <t>الطابق الارضي, الطابق الاول, الطابق الثاني, جناح الادائرة ZONE A, جناح الساحة ZONE B</t>
  </si>
  <si>
    <t>الاستعلامات الرئيسية, المالية</t>
  </si>
  <si>
    <t>الطابق الارضي, الطابق الاول</t>
  </si>
  <si>
    <t>تنظيف وادامة منظومة السبلت بكج الخاص بالقاعة</t>
  </si>
  <si>
    <t>A- المركز الثقافي, قاعة المؤتمرات</t>
  </si>
  <si>
    <t xml:space="preserve">تنظيف وادامة منظومة السبلت بكج الخاص بالقاعة </t>
  </si>
  <si>
    <t>تنظيف وادامة منظومة الهواء النقي dx في البناية</t>
  </si>
  <si>
    <t>B- روضة القمر, G- روضة الجود</t>
  </si>
  <si>
    <t>E- ابتدائية العميد للبنات (الثالثة), F-  ابتدائية جود العميد للبنات (الرابعة)</t>
  </si>
  <si>
    <t>H- ابتدائية القمر للبنات (الخامسة), I- ابتدائية الساقي للبنين (السادسة)</t>
  </si>
  <si>
    <t xml:space="preserve">صيانة مشكلة وتبريد والكارت الكهربائي الخاص بالموقع noise filter </t>
  </si>
  <si>
    <t>الطابق الثاني</t>
  </si>
  <si>
    <t>الطابق الاول, الطابق الثاني</t>
  </si>
  <si>
    <t>صيانة محرك عاكس الدورة الخاص بالvrf</t>
  </si>
  <si>
    <t>جناح الادائرة ZONE A</t>
  </si>
  <si>
    <t xml:space="preserve">صيانة سبلت الكنتوري الخاص بالستعلامات </t>
  </si>
  <si>
    <t>صيانة السبت الخاص بغرفة الداتا سنتر ومعالجة الليك</t>
  </si>
  <si>
    <t>صيانة التبريد في الطابق ومعالجة مشكلة الحمل الزائد والقواطع</t>
  </si>
  <si>
    <t>تحويل سبلت الى تدفئة</t>
  </si>
  <si>
    <t>تغير درجة السبلت او اطفائه</t>
  </si>
  <si>
    <t>/</t>
  </si>
  <si>
    <t xml:space="preserve">لاتوجد كهرباء </t>
  </si>
  <si>
    <t>لاتوجد كهرباء</t>
  </si>
  <si>
    <t>ستخراج قابلو الأعمدة الخارجية المحيطة بالمدرسة السابعة وعمل ترامل له بحجم (35 ملم) وربطه لأحد قواطع بورد التوزيع الرئيسي للمدرسة وبحجم (40 امبير ثلاثي)</t>
  </si>
  <si>
    <t>تبديل 10محولات سبوت لايت تالفه في المركز الثقافي</t>
  </si>
  <si>
    <t>.</t>
  </si>
  <si>
    <t>تبديل محوله سبوت لايت 50واط عدد 2 في القاعه المجاوره للمصاعد للمركز الثقافي</t>
  </si>
  <si>
    <t>اكمال عمل منهولة الكهرباء والتعديل على مكانه واعادة تثبيتها ومد السليف من المنهوله إلى غرفة محطة الرفع</t>
  </si>
  <si>
    <t>تجهيز مسخنة الطعام وتغير ماشة من 13 امبير إلى 15 امبير</t>
  </si>
  <si>
    <t>C- ثانوية العميد بناية الاعدادية  (الاولى), H- ابتدائية القمر للبنات (الخامسة)</t>
  </si>
  <si>
    <t>استبدال ATS المدرسه الخامسه مع ATS المدرسه الاولى</t>
  </si>
  <si>
    <t>الطابق الارضي, غرفة الكهرباء</t>
  </si>
  <si>
    <t>اعادة توجيه كاميرات غرف الكهرباء للروضتين الأولى والثانية</t>
  </si>
  <si>
    <t>تم إعادة تغذية الكرفان الخاص بوحدة (المدني والمولدات) المواد المستخدمة كيبل 4*6 خمسه متر</t>
  </si>
  <si>
    <t>تم صيانه اناره سبورت لايت عدد (8)</t>
  </si>
  <si>
    <t>موقع المهرجان</t>
  </si>
  <si>
    <t>تم ربط  3 سيارات قرب الستيج</t>
  </si>
  <si>
    <t>موقتم ربط 2سيارات من غرفه كهرباء الروضه B</t>
  </si>
  <si>
    <t>تم ربط سيار من غرفة كهرباء الروضه G العدد 3</t>
  </si>
  <si>
    <t>تم ربط سيار قرب الستيج الجهة الثانية</t>
  </si>
  <si>
    <t>تم ربط سيارات الصوتيات</t>
  </si>
  <si>
    <t>تم ربط سيار إلى المكانس الكهربائية</t>
  </si>
  <si>
    <t>تم اطفاء خط ال11 الساعه 11 صباحاً عن المجمع  لغرض تشغيل المولدات</t>
  </si>
  <si>
    <t>تم ربط سيار قرب الستيج</t>
  </si>
  <si>
    <t>تم عمل سيار الى الصوتيات</t>
  </si>
  <si>
    <t xml:space="preserve">A- المركز الثقافي, </t>
  </si>
  <si>
    <t>.موقع المهرجان</t>
  </si>
  <si>
    <t>تم ربط سيار مع ماشه 13امبير الى مسخنة الطعام في المركز الثقافي</t>
  </si>
  <si>
    <t xml:space="preserve"> ربط سيار كهرباء لتغذية مجموعة من كاميرات التصوير</t>
  </si>
  <si>
    <t>تم فصل جميع السيارات الكهربائية المغذية للحفل</t>
  </si>
  <si>
    <t>تم إعادة تشغيل خط11KVA الساعة السابعة مساءً</t>
  </si>
  <si>
    <t>حفر مسار بين المنهولة الجديدة والمنهولة القديمة ومد سليف بحجم 4انج بينهما</t>
  </si>
  <si>
    <t>صحيات مقابل الالعاب</t>
  </si>
  <si>
    <t xml:space="preserve">تم استبدال محوله سبور لايت </t>
  </si>
  <si>
    <t>عادة ربط أسلاك الإتصالات المقطوعة عن گرفان وحدة المدني،</t>
  </si>
  <si>
    <t>المولدة الخاريجة</t>
  </si>
  <si>
    <t>إعادة تثبيت كاميرا مراقبة المولدات الخارجية  و توجيهها من جديد</t>
  </si>
  <si>
    <t xml:space="preserve">استحداث قاطع رباعي رئيسي  سعة 32A لراك منظومة UPS غرفة المراقبة </t>
  </si>
  <si>
    <t>سحب القابلو 4*16 بعد ان كان خارج السليف .تم تسليكه بشكل اصولي داخل السليفات وتم ربطه وتغذيته</t>
  </si>
  <si>
    <t>الطابق الارضي, صف اللؤلؤ</t>
  </si>
  <si>
    <t xml:space="preserve">صيانة كهرباء </t>
  </si>
  <si>
    <t xml:space="preserve">مختبر العلوم </t>
  </si>
  <si>
    <t xml:space="preserve">صيانة نقطة </t>
  </si>
  <si>
    <t xml:space="preserve">صيانة نقطة كهرباء </t>
  </si>
  <si>
    <t>تثبيت نقطة سخان وتشغيل القاطع الخاص به</t>
  </si>
  <si>
    <t>الطابق الثاني, مختبر العلوم</t>
  </si>
  <si>
    <t>طُلب  عمل إضافي ، تثبيت بعض أجزاء الهيكل العظمي في مختبر العلوم.</t>
  </si>
  <si>
    <t>ستبدال احد قواطع VRF في المركز الثقافي بسبب الفصل المتكرر   (قاطع ثنائي 10A  بـ قاطعين احاديين 10A)</t>
  </si>
  <si>
    <t>صيانة كارت (noise filter) الخاص بمنظومة (VRF)</t>
  </si>
  <si>
    <t>الغاء منچر رباعي (زائد عن الحاجة) في بورد المصعد وتغذية المصعد مباشرة من القاطع الرئيسي كونه لا يحتاج الى هذا الكم من القواطع للحماية مع أضافة سويتج أحادي لتشغيل انارة غرفة المصعد بعدما كانت تغذيتها مباشرة من البورد</t>
  </si>
  <si>
    <t>ربط سخان في صحيات الطابق الأرضي مع ابقاء السويتج مطفئً كون السخان مبلل نتيجة استبدال الهيتر</t>
  </si>
  <si>
    <t xml:space="preserve">صيانة سيار كهرباء في المركز الثقافي
</t>
  </si>
  <si>
    <t>ساعدة وحدة التبريد لحل مشكلة خطأ في تبريد المدرسة الثالثة (error code 4102) والذي يعني (القطعة الخارجية تعاني من نقص فيز في تغذيتها) حيث تم البحث عن ال(Line) الي يعاني من المشكلة وتشخيص العطل فيه ليتم صيانته لاحقا بعد توفر المواد اللازمة للصيانة</t>
  </si>
  <si>
    <t>المختبرات</t>
  </si>
  <si>
    <t>سحب كيبل (4x35 ملم) المسلح وحفر مسار جديد له وادخاله في المنهولة الجديدة ومنها الى غرفة كهرباء محطة الرفع.</t>
  </si>
  <si>
    <t>حل مشكلة فصل جوزة الأيرثلكج الخاصة بسخان الصحيات في الجهة اليسرى من المدرسة السادسة حيث تم استبدال سويتج تشغيل السخان (السويتج الأحمر) ووضع كفر مطري له مع سد الحواف بأستخدام مادة السيليكون لحمايته من الماء المتساقط من الشفت الذي فوقه نتيجة غسل الملابس والأقمشة.</t>
  </si>
  <si>
    <t>- استبدال محولة سبوت لايت صحيات رئاسة القسم
- استبدال محولة انارة منشورية في رئاسة القسم</t>
  </si>
  <si>
    <t>الطابق الارضي, جناح الادائرة ZONE A</t>
  </si>
  <si>
    <t>تبديل محولة سبوت لايت في الصحيات</t>
  </si>
  <si>
    <t>حل مشكلة فصل جوزة الأيرثلكج الخاصة بسخان الصحيات في الجهة اليمنى من المدرسة السادسة حيث تم الفحص بصورة دقيقة وتم الكشف عن اختلاف البارد الواصل الى السخان مع البحث عن البارد الأصلي وايجاده واعادة تركيبه بدل الموجود واعادة السخان للعمل بصورة طبيعية.</t>
  </si>
  <si>
    <t xml:space="preserve">صيانة مصباح في الصحيات </t>
  </si>
  <si>
    <t xml:space="preserve">لاتوجد كهرباء
</t>
  </si>
  <si>
    <t xml:space="preserve">صيانة مفرغات </t>
  </si>
  <si>
    <t>لايوجد كهرباء</t>
  </si>
  <si>
    <t xml:space="preserve">صيانة مصعد </t>
  </si>
  <si>
    <t>المصعد الأول لا يعمل</t>
  </si>
  <si>
    <t xml:space="preserve">صيانة نقاط كهربائية </t>
  </si>
  <si>
    <t>0</t>
  </si>
  <si>
    <t xml:space="preserve">تبليغ مباشر </t>
  </si>
  <si>
    <t>القاعة الرياضية مقابل الألعاب</t>
  </si>
  <si>
    <t xml:space="preserve">السخان لا يعمل مشكلة في الهيتر </t>
  </si>
  <si>
    <t xml:space="preserve">الجهة الخلفية </t>
  </si>
  <si>
    <t>سبوت لايت شد</t>
  </si>
  <si>
    <t>A- المركز الثقافي, المختبرات</t>
  </si>
  <si>
    <t>مساعدة شعبة الإتصالات في تتبع مسار انابيب الإتصالات و إكمال المرحلة الأولى فقط من تسليك كيبل Fiber optic  من بناية المختبرات الى غرفة Data center في المركز الثقافي</t>
  </si>
  <si>
    <t>تم نقل بلك اسويج Ups  في المدرسه الثانيه Dمن الطابق الاول مابين باب الزون Aولزون B الى السطح</t>
  </si>
  <si>
    <t>تم صيانه تيرمنل بلوك لجهاز VRF احد قطع التبريد التابع للمدرسه الثالثه</t>
  </si>
  <si>
    <t>البرج</t>
  </si>
  <si>
    <t>إكمال تسليك كيبل كاميرا غرفة مزامنة مولدات GH.
تم التسليك من الغرفة الى RACK البرج وتم إخفاء الإسلاك بشكل كامل داخل الانابيب ، وثبتت الانابيب على المقرنص بشكل محكم وظاهري لعدم وجود مسار داخل المنهولات</t>
  </si>
  <si>
    <t xml:space="preserve">استبدال HVR القديم بـNVR 32CH  وتم تحديثه الى اخر إصدار. </t>
  </si>
  <si>
    <t>فحص منظومات (AHU)  وتم اخراج ثلاث قطع منها عن الخدمة نتيجة وجود خلل في عملها ليتم صيانتها فيما بعد. مع الغاء عمل ثرموستات جميع القطع التي تم فحصها بناءاً على طلب وحدة التبريد</t>
  </si>
  <si>
    <t>كل المجمع</t>
  </si>
  <si>
    <t>تم تنظيف جميع المصاعد في المجمع</t>
  </si>
  <si>
    <t>* عمل تأريض الى الترنك الحديد في غرفة الكهرباء.
* عمل تأريض الى RACK الإتصالات الموجود في نفس الغرفة.</t>
  </si>
  <si>
    <t>استبدال ATS المدرسة الخامسة بآخر جديد</t>
  </si>
  <si>
    <t>صيانة سيركت محطة الرفع من خلل (short circuit) فيه نتيجة دخول بعض المياه اليه.</t>
  </si>
  <si>
    <t>تم إلغاء عمل ترموستات كافة أجهزة الDX للمدرستين الثالثة والرابعة البالغ عددها 10 أجهزه اما المدرستين الاولى والثانية بعد ان تم إلغاء جزء منها ايضاٌ تم العمل على إلغاؤها بالكامل ايضا البالغ عددها 10 أجهزة</t>
  </si>
  <si>
    <t>تم نقل مأخذ قدرة Ups من الطابق الاول الباب الفاصل بين الزون A والزون B الى السطح</t>
  </si>
  <si>
    <t>الغاء ثرموستات التبريد لأجهزة (AHU) وبهذا تم الأنتهاء من الغاء ثرموستات جميع منظومات التهوية للتبريد والتدفئة بشكل نهائي وحسب طلب وحدة التبريد</t>
  </si>
  <si>
    <t>المالية</t>
  </si>
  <si>
    <t>صيانة قانصة ذباب شعبة المالية بأعادة ربط احد الاسلاك</t>
  </si>
  <si>
    <t>تم جرد اناره المركز الثقافي  وتم العثور على 22 سبور لايت وتم تبديل 20 محوله  وتم استبدال اسبور الايت بلكامل العدد 2</t>
  </si>
  <si>
    <t>القاعة الرياضية</t>
  </si>
  <si>
    <t>عادة تنظيم درجة حرارة السخان في القاعة الرياضية مقابل الأولى</t>
  </si>
  <si>
    <t>الطابق الارضي, data center</t>
  </si>
  <si>
    <t>ربط كيبل Fiber طول 10 متر من SFP patch panel الى SFP switch لغرض توصيل الكيبل الضوئي الخاص بالمختبرات مع بقية المجمع. 
مع لصق ليبل   laboratory  لتشخيصها</t>
  </si>
  <si>
    <t>إعادة توجيه كاميرات بعض غرف الإتصالات لإظهار RACK بصورة صحيحة في بناية المختبرات</t>
  </si>
  <si>
    <t>لصق ليبل لتشخيص القوابس و اسلاك بيانات NVR و UniFi  و البصمة.</t>
  </si>
  <si>
    <t>وحدة المدني</t>
  </si>
  <si>
    <t>استبدال بلك سويج حراري بعادي 13A (لعدم الحاجة إلى الحراري) .</t>
  </si>
  <si>
    <t>* استبدال UPS MAXIMA 1500VA بـUPS Farber 1500VA . 
* إضافة نقطتين لكل من حاسبة وحدة المدني و المولدات لتشغيل الحاسبتين من UPS واحد.</t>
  </si>
  <si>
    <t>تم اضافة بلك سويج (15)امبير عدد(2) مع ماشة (15)امببر</t>
  </si>
  <si>
    <t>فحص منظومة UPS المركز الثقافي حيث كانت النتائج بعد قطع الكهرباء :-
* الطابق الأول  بعد 30 دقيقة أصبحت 4% بحمل 5.9A
* غرفة Data center بعد 20 دقيقة أصبحت 96٪ بحمل 3.6A للأول و3.5A للثاني</t>
  </si>
  <si>
    <t xml:space="preserve">استبدال محولات سبوت لايت بقدرة (30 واط) عدد (3) </t>
  </si>
  <si>
    <t>أستبدال جوزة حجم (10A) بأخرى حجم (16A) في البورد</t>
  </si>
  <si>
    <t>استبدال ماشة (13A) تالفة بأخرى حرارية لهيتر الطعام</t>
  </si>
  <si>
    <t>تم أضافه بلك اسويج 13A العدد 2 في غرفه الماليه المواد المستخدمه بلك اسويج العدد 2 
بوكس بلاستك مع چوي</t>
  </si>
  <si>
    <t>مراب الكفيل</t>
  </si>
  <si>
    <t>تسليك كيبل ضوئي طول 400 متر</t>
  </si>
  <si>
    <t xml:space="preserve">عمل تري كيبلات الشاشات وترتيبها </t>
  </si>
  <si>
    <t xml:space="preserve">صف النجوم </t>
  </si>
  <si>
    <t xml:space="preserve">صيانة سخان حمامات  </t>
  </si>
  <si>
    <t xml:space="preserve">صيانة نقطة الكهرباء </t>
  </si>
  <si>
    <t xml:space="preserve">الطابق الارضي, الطابق الاول, الطابق الثاني, الطابق الثالث, الطابق الرابع, جناح الادائرة ZONE A, جناح الساحة ZONE B, </t>
  </si>
  <si>
    <t xml:space="preserve">المطبخ </t>
  </si>
  <si>
    <t xml:space="preserve">لايوجد كهرباء في المطبخ </t>
  </si>
  <si>
    <t>اضاءة تحت الدرج اضافية</t>
  </si>
  <si>
    <t xml:space="preserve">صيانة انارة </t>
  </si>
  <si>
    <t>الطابق الرابع, وحدة الكامرات</t>
  </si>
  <si>
    <t xml:space="preserve">صيانة نقاط ضروري </t>
  </si>
  <si>
    <t>ups  وليس نقاط كهرباء</t>
  </si>
  <si>
    <t xml:space="preserve">اطفاء المفرغات </t>
  </si>
  <si>
    <t xml:space="preserve">مطبخ قاعة السراج </t>
  </si>
  <si>
    <t xml:space="preserve">تبديل ضوء محترك </t>
  </si>
  <si>
    <t>لحين توفر السلفة المالية</t>
  </si>
  <si>
    <t>القاعة الرياضية جهة البرج</t>
  </si>
  <si>
    <t xml:space="preserve">تم استبدال بروجكتر عدد3 </t>
  </si>
  <si>
    <t>المدني</t>
  </si>
  <si>
    <t>تم استبدال سبوت لايت</t>
  </si>
  <si>
    <t xml:space="preserve">اضافة مأخذ قدرة 13A واستبدال مأخذ قدرة 15A </t>
  </si>
  <si>
    <t>حاسبات مجمع الحر</t>
  </si>
  <si>
    <t>* توحيد IP الـ PORT المتصل بالحاسبات.
* تفعيل RDC والتحكم من الحاسبتين وربطها مع شبكة مجمع المعملجي.
* التهيئة لتفعيل خدمة الانترنت الفضائي starlink على الحاسبات فقط بسبب سوء الخدمة في المجمع.</t>
  </si>
  <si>
    <t>تم صيانة كارت باب الأستعلامات الرئيسية بعد محاولات عديدة واعادته للخدمة مع تزييت الدشلي الرئيسي المسؤول عن تحريك الباب</t>
  </si>
  <si>
    <t>م استبدال بروجكتر  سقفي عدد2</t>
  </si>
  <si>
    <t xml:space="preserve">A- المركز الثقافي, + كرفان الامنية </t>
  </si>
  <si>
    <t>عزل كرفان الأمنية من جهة الكراج بخط طاقه شمسية معزول عن المركز الثقافي تماماً حار وبارد</t>
  </si>
  <si>
    <t>فحص منظومة UPS المدرسة الأولى (الإعدادية) بعد قطع الكهرباء :-
* حيث وصلت نسبة الشحن إلى 5٪ بعد إطفاء دام 55 دقيقة وكانت الأحمال.
L1= 11.4A
L2= 10.7A
L3=  14.9A</t>
  </si>
  <si>
    <t xml:space="preserve">شعبة الصيانة </t>
  </si>
  <si>
    <t>استبدال كيبل DISPLAY PORT حاسبة وحدة المدني</t>
  </si>
  <si>
    <t>غير محدد</t>
  </si>
  <si>
    <t xml:space="preserve">صيانة بلك سويچ </t>
  </si>
  <si>
    <t>تغذية سيار كهرباء من بورد اعمدة محطة الرفع الى الشركة</t>
  </si>
  <si>
    <t>الطابق الارضي, الادارة</t>
  </si>
  <si>
    <t xml:space="preserve">إعادة تثبيت كيستون </t>
  </si>
  <si>
    <t>الطابق الاول, رئاسة القسم</t>
  </si>
  <si>
    <t>تم استبدال محولة 50W خاصة بمنشورية</t>
  </si>
  <si>
    <t>الطابق الارضي, باب الدخول</t>
  </si>
  <si>
    <t xml:space="preserve">تم اضافه بلك سويج الى جهاز التتبع </t>
  </si>
  <si>
    <t>A- المركز الثقافي, G- روضة الجود</t>
  </si>
  <si>
    <t>الطابق الارضي, غرف الكهرباء</t>
  </si>
  <si>
    <t xml:space="preserve">تم تحويل نظام الإنارة الى الطاقة الشمسية </t>
  </si>
  <si>
    <t>تم صيانه واستبدال بلك سويج عدد (6)</t>
  </si>
  <si>
    <t xml:space="preserve">* سحب احد خطوط data في غرفة الإرشاد (المدرسة الأولى الطابق الأرضي)  و تسليكه الى غرفة الكهرباء لإضافته الى الحاسبه وفصله عن شبكة التلفون الأرضي.
* سحب خط التلفون الأرضي من مكان وارجاعه بشكل نظام من أعلى السقف بدون اي join  </t>
  </si>
  <si>
    <t>إضافة تري مشطب أعلى الشاشات لأخفاء الأسلاك الممدودة والغاء التريات القديمة  و إضافة تري بلاستك ابيض 16*25 و اخري مشطب لتمرير خطوط HD و خط الحاسبة و التلفون الأرضي تغذية الشاشات به</t>
  </si>
  <si>
    <t>الطابق الارضي, جناح الساحة ZONE B</t>
  </si>
  <si>
    <t>تحويل تغذية Rack اجهزة amplifier (الصوتيات)  من UPS 6KVA الى PDU الخاص بالكاميرات وذلك لاستغلال UPS 6KVA في المركز الثقافي حيث تم فصل خطوط الخروج من القاطع الى UPS و تمرير السلك الجديد عبر نفس قاطع الحماية الموجود في RACK سابقا .</t>
  </si>
  <si>
    <t>فحص عطل  UPS 6KVA  في المركز الثقافي الطابق الرابعة غرفة المراقبة حيث وجد ان الUPS  يعمل BYPASS فقط وان البطاريات مشحونة بنسبة 99٪  و تعظي جهد 273V .
تم فحص بطاريات أخرى سليمة عليه  تبين ان العطل في البطاريات.
✅ وتم استبدال UPS بالكامل مع الUPS المسحوب من المدرسة السادسة وإضافة الخطوط ذات الحمل العالي عليه</t>
  </si>
  <si>
    <t>تسليك كيبل UTP CAT6 عدد 2 بطول 13 متر من الRACK الى الشاشات الأول لعرض XVR على الشاشة والثاني احتياط.</t>
  </si>
  <si>
    <t>تم استبدال جوزه من 10A إلى  16A</t>
  </si>
  <si>
    <t>مصعد</t>
  </si>
  <si>
    <t>اعمال شهر 1</t>
  </si>
  <si>
    <t xml:space="preserve">صيانة باب </t>
  </si>
  <si>
    <t>الطابق الاول, جناح الساحة ZONE B</t>
  </si>
  <si>
    <t>صيانة باب بين الزونيين</t>
  </si>
  <si>
    <t>تعليق بوستر</t>
  </si>
  <si>
    <t xml:space="preserve">الشاشة الرئيسية </t>
  </si>
  <si>
    <t>صبغ إطار الشاشة المسرح</t>
  </si>
  <si>
    <t>قرب المسرح</t>
  </si>
  <si>
    <t>صيانة قنفات</t>
  </si>
  <si>
    <t xml:space="preserve">م. كريم </t>
  </si>
  <si>
    <t xml:space="preserve">قرب مولدات المحطة </t>
  </si>
  <si>
    <t>حفر وتثبيت منهوله</t>
  </si>
  <si>
    <t xml:space="preserve">صيانة باب حمام </t>
  </si>
  <si>
    <t>الطابق الاول, جناح الادائرة ZONE A</t>
  </si>
  <si>
    <t>صيانة شباك حديد</t>
  </si>
  <si>
    <t>صيانة بردة</t>
  </si>
  <si>
    <t>توفير بردة</t>
  </si>
  <si>
    <t xml:space="preserve"> معالجة رطوبة في حائط باب المنظومة </t>
  </si>
  <si>
    <t>صيانة باب الاستعلامات</t>
  </si>
  <si>
    <t xml:space="preserve">تعليق ساعات جدارية </t>
  </si>
  <si>
    <t>الاول أ</t>
  </si>
  <si>
    <t xml:space="preserve">صيانة الباب </t>
  </si>
  <si>
    <t>على الشركة المنفذة</t>
  </si>
  <si>
    <t xml:space="preserve">صيانة باب الحمام </t>
  </si>
  <si>
    <t>الطابق الارضي, //</t>
  </si>
  <si>
    <t xml:space="preserve">صيانة باب  الاستعلامات وباب اخرى </t>
  </si>
  <si>
    <t xml:space="preserve">يدة باب مكسور </t>
  </si>
  <si>
    <t xml:space="preserve">تعليق رفوف </t>
  </si>
  <si>
    <t xml:space="preserve">شد ديكور خشب </t>
  </si>
  <si>
    <t xml:space="preserve">صف المرح / باب براد + 3 يدات شباك </t>
  </si>
  <si>
    <t xml:space="preserve">صف الفواكه / شباك لايقفل قرب المغاسل </t>
  </si>
  <si>
    <t xml:space="preserve">صف السكر خرطوم مكنسة </t>
  </si>
  <si>
    <t xml:space="preserve">صف النور /  ميز معلمات مكسور </t>
  </si>
  <si>
    <t xml:space="preserve">صيانه باب الاستعلامات </t>
  </si>
  <si>
    <t xml:space="preserve">تاكد من الاستعلامات اي صف </t>
  </si>
  <si>
    <t xml:space="preserve">صيانة جرابي </t>
  </si>
  <si>
    <t xml:space="preserve">صيانة الباب الرئيسية </t>
  </si>
  <si>
    <t>الطابق الارضي, /</t>
  </si>
  <si>
    <t xml:space="preserve">احتياج واير سيار 5 امتار لتعليق بردة 
</t>
  </si>
  <si>
    <t xml:space="preserve">سقف المصلى يسرب ماء </t>
  </si>
  <si>
    <t xml:space="preserve">احتياج سجة او خشبة في المصلى </t>
  </si>
  <si>
    <t>صيانه باب صف أول أ</t>
  </si>
  <si>
    <t xml:space="preserve">غرفة الزينبيات </t>
  </si>
  <si>
    <t>صيانة كاونتر</t>
  </si>
  <si>
    <t xml:space="preserve">الطابق الارضي, المنور </t>
  </si>
  <si>
    <t xml:space="preserve">الماء يتسرب </t>
  </si>
  <si>
    <t xml:space="preserve">الطابق الاول, </t>
  </si>
  <si>
    <t xml:space="preserve">يوجد تسريب ماء في المصلى  </t>
  </si>
  <si>
    <t xml:space="preserve">المكتب النسوي </t>
  </si>
  <si>
    <t>تبديل سقف ثانوي</t>
  </si>
  <si>
    <t xml:space="preserve">لوكر </t>
  </si>
  <si>
    <t>صيانة يدة شباك الحانوت</t>
  </si>
  <si>
    <t>الطابق الثاني, جناح الساحة ZONE B</t>
  </si>
  <si>
    <t>صيانة باب حمام عدد ٢</t>
  </si>
  <si>
    <t>سقف ثانوي</t>
  </si>
  <si>
    <t>صيانة مرمر ازارة</t>
  </si>
  <si>
    <t xml:space="preserve">لايوجد ماء شرب في المنظومة علمان ان الماء به رائحة كلور </t>
  </si>
  <si>
    <t>؛</t>
  </si>
  <si>
    <t xml:space="preserve">لايوجد ماء في منظومة الشرب </t>
  </si>
  <si>
    <t xml:space="preserve">الاستعلامات </t>
  </si>
  <si>
    <t>صيانة يدة باب السلايد</t>
  </si>
  <si>
    <t xml:space="preserve">احتياج صيانه مدني </t>
  </si>
  <si>
    <t xml:space="preserve">غرفة ست هاجر </t>
  </si>
  <si>
    <t xml:space="preserve">تعليق سبورة </t>
  </si>
  <si>
    <t>جناح الساحة ZONE B</t>
  </si>
  <si>
    <t>صيانة أبواب خشب عدد ٧</t>
  </si>
  <si>
    <t xml:space="preserve">وحدة المدني </t>
  </si>
  <si>
    <t>تبديل بدأت شباك عدد ٥</t>
  </si>
  <si>
    <t>صيانة مصد حائط عدد ٦</t>
  </si>
  <si>
    <t>صيانة رحلات عدد ٤</t>
  </si>
  <si>
    <t>صيانة ميز حاسبة عدد ٢</t>
  </si>
  <si>
    <t>تثبيت مرأة في صحيات مطبخ رئاسة القسم</t>
  </si>
  <si>
    <t>تثبيت بوستر عدد ٢ في قاعة الاجتماعات</t>
  </si>
  <si>
    <t>صيانة رحلات عدد 10</t>
  </si>
  <si>
    <t>صيانة قنفة</t>
  </si>
  <si>
    <t>تبديل يدة شباك</t>
  </si>
  <si>
    <t xml:space="preserve">تفليش وصيانة سيفونة </t>
  </si>
  <si>
    <t>تصليح سيراميك مقابل الاول (ج)</t>
  </si>
  <si>
    <t xml:space="preserve">تعليق بوستر </t>
  </si>
  <si>
    <t>الطابق الاول, الطابق الثاني, الطابق الثالث, الطابق الرابع</t>
  </si>
  <si>
    <t xml:space="preserve">بعض الاماكن بالقرب من المصلى لاتوجد سقوف ثانوية يرجى صيانتها مستعجل </t>
  </si>
  <si>
    <t xml:space="preserve">الصحيات ماقبيل الالعاب </t>
  </si>
  <si>
    <t xml:space="preserve">ثاني صحيات </t>
  </si>
  <si>
    <t xml:space="preserve">يدة مكسورة تبديل </t>
  </si>
  <si>
    <t xml:space="preserve">صيانة رحلات مستعل </t>
  </si>
  <si>
    <t xml:space="preserve">صيانة سقف ثانوية يسرب ماء </t>
  </si>
  <si>
    <t>حفر أرضية لصيانة مجري ماء في الصحيات</t>
  </si>
  <si>
    <t>تفليش وصيانة ومعالجة سيفونة السطح</t>
  </si>
  <si>
    <t xml:space="preserve">صيانة باب المنيوم عدد ٢ </t>
  </si>
  <si>
    <t>معالجة فتحات بوري الأمطار في المصلى</t>
  </si>
  <si>
    <t>معالجة منهولة عدد ٢ في السطح</t>
  </si>
  <si>
    <t xml:space="preserve">قاعة السراج الباب الرئيسة مقابيل مدرسة القمر </t>
  </si>
  <si>
    <t xml:space="preserve">تبديل قفل (سرقي )  او تبديل الاعلى بالاسفل </t>
  </si>
  <si>
    <t xml:space="preserve">صحيات مقابيل الالعاب </t>
  </si>
  <si>
    <t xml:space="preserve">صيانة يدات باب   وصوندة </t>
  </si>
  <si>
    <t xml:space="preserve">كرسي في غرفة استاذ يوسف يحتاج صيانة </t>
  </si>
  <si>
    <t>صيانة مصد حائط</t>
  </si>
  <si>
    <t>الالعاب الخارجية</t>
  </si>
  <si>
    <t>مقابل المركز الثقافي</t>
  </si>
  <si>
    <t>صيانة العاب</t>
  </si>
  <si>
    <t>سياج المولدة</t>
  </si>
  <si>
    <t xml:space="preserve">مقابل المركز الثقافي </t>
  </si>
  <si>
    <t>لحام عمود بي ارسي</t>
  </si>
  <si>
    <t>صيانة باب خشب</t>
  </si>
  <si>
    <t>تقشير وتنظيف الرصيف قرب النافورة</t>
  </si>
  <si>
    <t>تقشير و صبغ الأعمدة مجاور النافورة</t>
  </si>
  <si>
    <t xml:space="preserve">صحيات مقابيل رئاسة القسم </t>
  </si>
  <si>
    <t xml:space="preserve">سقوط باب  احدى الصحيات </t>
  </si>
  <si>
    <t xml:space="preserve">صيانة باب الاستعلامات </t>
  </si>
  <si>
    <t xml:space="preserve">إدامة وتنظيف منظومة تصفية المياه في البناية </t>
  </si>
  <si>
    <t xml:space="preserve">تبديل ماسكة شطاف </t>
  </si>
  <si>
    <t>الطابق الاول, الطابق الثاني, جناح الساحة ZONE B</t>
  </si>
  <si>
    <t xml:space="preserve">تبديل خرطوم + كاك زاوية </t>
  </si>
  <si>
    <t xml:space="preserve">صيانة خلاط مغسلة </t>
  </si>
  <si>
    <t xml:space="preserve">تبديل فلاتر منظومة تصفية المياه في البناية </t>
  </si>
  <si>
    <t xml:space="preserve">تنظيف فلاتر التبريد الخاصة بالرئاسة والمسرح </t>
  </si>
  <si>
    <t>تنظيف وغسل القطع الخارجية الخاصة بمنظومات التيريد في البناية</t>
  </si>
  <si>
    <t xml:space="preserve">تنظيف فلاتر الvrf في البناية </t>
  </si>
  <si>
    <t>لايوجد ماء في المنظومه ماء RO</t>
  </si>
  <si>
    <t xml:space="preserve">لايوجد ماء في المنظومة </t>
  </si>
  <si>
    <t xml:space="preserve">الطابق الارضي, صف البنفسج </t>
  </si>
  <si>
    <t xml:space="preserve">صيانة صوندة  الحمام الغربي </t>
  </si>
  <si>
    <t xml:space="preserve">تشغيل سخان صحيات </t>
  </si>
  <si>
    <t xml:space="preserve">لايوجد ماء في البراد </t>
  </si>
  <si>
    <t xml:space="preserve">صيانة الحمامات </t>
  </si>
  <si>
    <t xml:space="preserve">صف / الشمس </t>
  </si>
  <si>
    <t xml:space="preserve">صيانة سخان صف  الشمس </t>
  </si>
  <si>
    <t xml:space="preserve">الطابق الارضي, الطابق الاول, </t>
  </si>
  <si>
    <t xml:space="preserve">صيانة بردات </t>
  </si>
  <si>
    <t xml:space="preserve">لايوجد ماء في برادات البناية </t>
  </si>
  <si>
    <t xml:space="preserve">لايوجد ماء للشرب </t>
  </si>
  <si>
    <t xml:space="preserve">حنفية في الصحيات </t>
  </si>
  <si>
    <t xml:space="preserve">تعليق مطفاة حريق </t>
  </si>
  <si>
    <t>//</t>
  </si>
  <si>
    <t xml:space="preserve">صيانة برادات الخاصة بالتلاميذ </t>
  </si>
  <si>
    <t xml:space="preserve">صف الزهور / سيفونة حمام + خرطوم </t>
  </si>
  <si>
    <t>صيانة سخان</t>
  </si>
  <si>
    <t xml:space="preserve">لايوجد ماء شرب </t>
  </si>
  <si>
    <t xml:space="preserve">لايوجد ماء اسالة </t>
  </si>
  <si>
    <t xml:space="preserve">تسليك مجاري صيانة صحيات </t>
  </si>
  <si>
    <t>صحيات مقابيل الالعاب</t>
  </si>
  <si>
    <t xml:space="preserve">صيانة غربي في الصحيات </t>
  </si>
  <si>
    <t xml:space="preserve">صيانة حمامات ( طافح ) </t>
  </si>
  <si>
    <t xml:space="preserve">لايوجد ماء </t>
  </si>
  <si>
    <t>لايوجد ماء شرب</t>
  </si>
  <si>
    <t>تبديل كاك سقي</t>
  </si>
  <si>
    <t>صيانة خلاط مغسلة</t>
  </si>
  <si>
    <t>تبديل صوندة شطاف</t>
  </si>
  <si>
    <t>وحدة الميكانيك</t>
  </si>
  <si>
    <t>تبديل قلق سيفون حمام</t>
  </si>
  <si>
    <t xml:space="preserve">وحدة الميكانيك </t>
  </si>
  <si>
    <t>تبديل خلاط مغسلة</t>
  </si>
  <si>
    <t>إضافة قاعدة صابون عدد ٢</t>
  </si>
  <si>
    <t>تبديل قاعدة شطاف</t>
  </si>
  <si>
    <t>تشغيل محطة الماء RO</t>
  </si>
  <si>
    <t xml:space="preserve">الطابق الارضي, صف الزهور </t>
  </si>
  <si>
    <t xml:space="preserve">صيانة صحيات </t>
  </si>
  <si>
    <t xml:space="preserve">لايوجد ماء في المدرسة </t>
  </si>
  <si>
    <t xml:space="preserve">صيانه حمامات </t>
  </si>
  <si>
    <t>صيانة حمامات</t>
  </si>
  <si>
    <t>صحيات االادارة لايوجد فيها ماء</t>
  </si>
  <si>
    <t>إدامة فلاتر القطع الداخلية لمنظومة التبريد المركزي في البناية</t>
  </si>
  <si>
    <t>لايوجد ماء في المنظومه</t>
  </si>
  <si>
    <t xml:space="preserve">صحيات الادارة تحتاج صيانة </t>
  </si>
  <si>
    <t xml:space="preserve">لايوجد ماء شرب في المنظومة </t>
  </si>
  <si>
    <t>صيانة كسر في بايب التصريف الخاص بالمغاسل في الطابق</t>
  </si>
  <si>
    <t xml:space="preserve">صيانة كسر في بايب تصريف الأمطار </t>
  </si>
  <si>
    <t>صيانة السخان الخاص بمجموعة الصحيه في القاعه</t>
  </si>
  <si>
    <t>صيانة السخان الخاص بصحيات رئاسة القسم الاولى</t>
  </si>
  <si>
    <t>صيانة السخان الخاص بصحيات رئاسة القسم الثانية</t>
  </si>
  <si>
    <t>فتح انسداد في صحيات الطابق</t>
  </si>
  <si>
    <t>صيانة البرادات الخاصة بالطابق</t>
  </si>
  <si>
    <t xml:space="preserve">تبديل فلاتر 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</si>
  <si>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t>
  </si>
  <si>
    <t xml:space="preserve">إدامة أجهزة القياس الخاصة بمنظومة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</si>
  <si>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 J- جامعة العميد (السابعة)</t>
  </si>
  <si>
    <t>تبديل أنابيب المواد الكيميائية الخاصة بمنظومة تحلية المياه</t>
  </si>
  <si>
    <t xml:space="preserve">استبدال وإعادة ملأ المواد الكيميائية الخاصة بمنظومة تحلية المياه </t>
  </si>
  <si>
    <t xml:space="preserve">صيانة المشاكل </t>
  </si>
  <si>
    <t>I- ابتدائية الساقي للبنين (السادسة), J- ابتدائية الساقي للبنين الجانب الثاني (السابعة)</t>
  </si>
  <si>
    <t>إكمال ربط VRV DAIKIN التبريد المركزي للمدرسة السادسة والسابعة I &amp; J  مع شبكة المجمع .
حيث الان يمكن التحكم بكافة التبريد المركزي من اي حاسبة خاصة بشعبة الصيانة (معملجي+حر)  دون الحاجة إلى الانترنت</t>
  </si>
  <si>
    <t xml:space="preserve">تم صيانة ATS </t>
  </si>
  <si>
    <t>الطابق الرابع, غلافة المراقبة</t>
  </si>
  <si>
    <t xml:space="preserve">ارجاع ال ups القديم (6Kva) وفصل الups الجديد(6kva) الذي تم اخذه من المدرسة السادسة.. 
مع تحويل مدخل سلك الحار (L) بدل مدخل ال(PE) في الups القديم بسبب تلف مدخل سلك الحار(مسولك) مع وضع لاصق يوضح طريقة الربط الجديدة. 
وتم ذلك لسهولة اطفاء وتشغيل ال ups القديم </t>
  </si>
  <si>
    <t xml:space="preserve">ربط ماشه لسيار </t>
  </si>
  <si>
    <t xml:space="preserve">تبديل سويج سخان ماء ٤٥ أمبير </t>
  </si>
  <si>
    <t>تم فحص منظومة الأنذار المبكر للحريق في جميع البنايات والتأكد من علمها بصورة صحيحة</t>
  </si>
  <si>
    <t>تم جرد انارة المركز الثقافي بالكامل ل5 طوابق 
تم تبديل 23محولة
 سبوت لايت 24W وتم تبديل 6محولات 20W الخاصه بسبوت لايت الصحيات وتم صيانة 2سبوت لايت فوق أبواب المصاعد 
وتم تبديل سبوت لايت كامل تالف</t>
  </si>
  <si>
    <t>رئاسة القسم</t>
  </si>
  <si>
    <t>تم تبديل محوله منشوريه</t>
  </si>
  <si>
    <t>حدوث خلل في مصدر كهرباء كرفان منظومة ماءRO  بعد الفحص تم اعادة النشغيل وتم اعادته للخدمة</t>
  </si>
  <si>
    <t>قيد العمل</t>
  </si>
  <si>
    <t>صيانة سبور لايت عدد 2</t>
  </si>
  <si>
    <t>تم تسليك وربط بلك سويج 13A 
لتغذية حاسبة وحده الاداريه في 
المدرسه الأولى الطابق الاول زون A.</t>
  </si>
  <si>
    <t xml:space="preserve">من خلال المتابعة تم ملاحظة الانارة الخارجية ( بلاجكتور) البناية الثانية لا تعمل من خلال الفحص تبين وجود خلل في جهاز فوتوسيل تم الاستبدال وارجاع تشغيل الانارة بالوضع الطبيعي (Auto) أيضا تم استخدام بوكس بلاستك مطري للحماية من العوامل الخارجية... </t>
  </si>
  <si>
    <t>السطح, ZONE B - الطابق الثاني</t>
  </si>
  <si>
    <t>تم أعادة ربط بلاجكتور عدد2في البناية الأولى والبناية الثانية 
وتم تثبيت سبورلايت عدد1 في صحيات البناية الأولى الطابق الثاني زون B.</t>
  </si>
  <si>
    <t>تم إعادة ترتيب تري كيبل
وأيضا تم الغاء بلك سويج 13A 
في المدرسه الرابعه الطابق الاول زون A
في غرفة وحدة الكهرباء .</t>
  </si>
  <si>
    <t>تم فحص البناية الثانية بالكامل ولوحظ وجود عطل في الاناره(المنشورية 60*60) تبين وجود قطع في السلاك الداخليه للناره وتم صيانتها.</t>
  </si>
  <si>
    <t xml:space="preserve">
 تم أستبدال مجموعة من بوكسات الاستراحة التالفة لجميع اجهزة الفوتوسيل في جميع بنايات المجمع
_ بوكس بلاستك مطري10×10 عدد 4
_ كونكتر قراصة (2*2) عدد 8
</t>
  </si>
  <si>
    <t>تم تسليك واير فلكس 2.5×2 بطول 20 متر تقريبا 
وربط بلك سويج 13 A وتم تغذيته من الالواح الشمسيه التغذية UPS الخاص بحاسبة المرقاب الألي في البناية الثالثة الطابق الارضي زونA .</t>
  </si>
  <si>
    <t>بعد المتابعة والبحث بسبب حدوث قطع في سلك البارد الممتد من غرفة الراك في البناية الثانية إلى غرفة التزامن.. تم إيجاد القطع في إحدى المنهولات بين الغرفتين حيث حدث القطع بسبب القوارض.
تم إعادة ربط (جوين) للسلك وتغليفه بشرنك حراري لحمايته من اي ظروف خارجية وتم استخدام بربيش مسلح لحماية الكيبل واعادة كونترول إشارة الطاقة الشمسية الواصله إلى غرفة التزامن للعمل.</t>
  </si>
  <si>
    <t>✅تم إجراء أعمال الصيانة التالية:
1_تم تبديل جوزة  32A بدل جوزة  63A، الخاصة بسخان مطعم البناية الثالثة.
2_تم تبديل سلك سخان الماء حجم 2.4مسافة متر بدل 2.5، لسخان الماء الخاص بمطعم البناية الثالثة – الطابق الثاني.
3_تم تبديل سويچ 45 أمبير بعد تبيّن تلفه نتيجة رخاوة الأسلاك.</t>
  </si>
  <si>
    <t>تم تنظيف منظومة الراكات + UBS
البناية الثالثة / البناية الرابعة 
وتم إعادة تشغيل واحده من شاشات الكاميرات بعد ضبط الاعدادات (غرفة الأمنية)</t>
  </si>
  <si>
    <t>تم إعادة تثبيت بلاجكتور الواح شمسية على سطح البناية الأولى وتم تغذيته من مصدر الكهرباء القريب منه.</t>
  </si>
  <si>
    <t>تم تبديل قاطع أيرثلكج رباعي 40A في بورد التابع ل DX عدد 1
تم استخدام بوتلس
وتم تبديل مصباح إشارة عدد 2
البناية الثانية .</t>
  </si>
  <si>
    <t>تم إضافة سيار  4متر تقريباً
 البناية الثالثة الطابق الأرضي زونAفي ( غرفة المرقاب الألي ).</t>
  </si>
  <si>
    <t xml:space="preserve">صيانة الانارة الخاصة بالصحيات الداخلية و الخارجية </t>
  </si>
  <si>
    <t>المتضرر فقط في الزون B</t>
  </si>
  <si>
    <t xml:space="preserve">تم تثبيت و أضافة بعض (تريات) في المدارس لتغطية كيبل الكهرباء + كيبل Lan
البناية الأولى (2 تري تثبيت)
البناية الثانية (1 تري تبديل)
البناية الثالثة (2تري تثبيت/1 تبديل)
البناية الرابعة (2تبديل)
</t>
  </si>
  <si>
    <t>تم ارجاع مضخة الاطفاء الكهربائية في سطح البناية الثانية للعمل حيث تم استبدال كوندكتر كويل 380VAC  بكوندكتر كويل 220VAC ثلاثي 32A عدد (3)  و overload 18A  وإضافة تايمر للتحويل بين كوندكتر الدلتا والستار .</t>
  </si>
  <si>
    <t>تم تبديل هيتر سخان عدد 1 
البناية الثالثة 
وصيانة هيتر سخان عدد 1 
البناية الثانية</t>
  </si>
  <si>
    <t xml:space="preserve">غرفة السنكرو </t>
  </si>
  <si>
    <t>تم استبدال الجوزه الخاصة بإشارة الوطني عدد 2 
من جوزه 10A إلى جوزه 2A(غرفة السنكرو)
و جوزه 2A تالفه( غرفة المحولات البناية الثانية)</t>
  </si>
  <si>
    <t xml:space="preserve">
تم استبدال هيتر سخان في البناية الثالثة الطابق الثاني الزون B</t>
  </si>
  <si>
    <t>غرفة السنكرو</t>
  </si>
  <si>
    <t xml:space="preserve">إضافة نرمادة باب حديد 
التابع لغرفة المولدات(السنكرو )
لغرض التقويه </t>
  </si>
  <si>
    <t>عمل مشترك مع وحدة المدني</t>
  </si>
  <si>
    <t>تم أضافة جوزه أيرث لكج 25Aعدد1 وتم استبدال جوزه 32A احاديه بجوزه 20A لسخان المطعم في البناية الأولى زون A طابق ثاني.</t>
  </si>
  <si>
    <t>تم أضافة جوزه أيرث لكج 25Aعدد1 وتم استبدال جوزه 32A احاديه بجوزه 20A لسخان المطعم في البناية الثالثة  زون A طابق ثاني.</t>
  </si>
  <si>
    <t>تم أضافة جوزه أيرث لكج 32A عدد1 وتم تسليك وربط أيرث للسخان لضمان عمل الجوزه الإيرث لكج 
 في البناية الرابعةزون A طابق ثاني (المطعم) .</t>
  </si>
  <si>
    <t xml:space="preserve">تبديل محولة 24W لأسبوت لايت عدد 1 و إعادة تثبيت سبوت لايت عدد 1 
صحيات البناية الثالثة الطابق الأرضي زون B </t>
  </si>
  <si>
    <t>تم إعادة ترتيب كيبلات الحاسبه الخاصة بغرفة معاون شؤون الطلبة وإضافة (تري أرضي) لكيبل الطابعة 
البناية الرابعة الطابق الأرضي زون A.</t>
  </si>
  <si>
    <t xml:space="preserve">جميع البنايات </t>
  </si>
  <si>
    <t xml:space="preserve">جميع الطوابق البنايات زون بي </t>
  </si>
  <si>
    <t xml:space="preserve">تم اضافة بوتلس لجميع السلكترات الخاصة بساحبات  الزون B  في جميع البنايات  
</t>
  </si>
  <si>
    <t>تم تسليك كيبل فلكس عدد 2 (1.5*2) الكيبل الاول مسافة 10متر و الكيبل الثاني مسافة 15 متر
البناية الثانية الطابق الأرضي من غرفة الكهرباء إلى الصحيات
وتم تبديل بلك سويج 13A عدد 1.</t>
  </si>
  <si>
    <t xml:space="preserve">جميع بناية المجمع التربوي </t>
  </si>
  <si>
    <t xml:space="preserve">بعد القطوعات الكثيرة للكيبلات بسبب القوارض تم غلق جميع مخارج ومداخل الكيبلات لداخل وخارج كل بناية من خلال  ملأ الأنابيب في داخل المنهولات الكهربائية بالفوم و إلاسفنج عدد المنهولات الرئيسية التي تم غلقها 6 منهولات
</t>
  </si>
  <si>
    <t>بعد الفحص والمتابعة تم إيجاد قطع في سلك البارد المغذي لانارة الصحيات الثانية في الطابق الأرضي و حدوث شورت بين السلك البارد وسلك الايرث في الصحيات الأولى في نفس الطابق من المدرسة الثانية ،تم مد فلكس 1.5*2 .</t>
  </si>
  <si>
    <t>تم إعادة ترتيب و تبديل البورد الخاص بتغذية كرڤانات الشركة الأمنية 
(جهة الگراچ)
تم إضافة بربيش مسلح مسافة 15 متر تقريباً (لتغطية الكيبلات الخارجية والداخلية)</t>
  </si>
  <si>
    <t>تم إعادة ترتيب و تبديل البورد الخاص بتغذية كرڤانات الشركة الأمنية 
(جهة الگراچ)
تم إضافة بربيش مسلح مسافة 15 متر تقريباً (لتغطية الكيبلات الخارجية والداخلية).</t>
  </si>
  <si>
    <t>تم لحام وتثبيت الغطاء الخارجي لصالنصة المولدة (m)1 الشفت الصباح</t>
  </si>
  <si>
    <t>تم لحام وتثبيت الغطاء الخارجي لصالنصة المولدة (m)1
الشفت الصباح</t>
  </si>
  <si>
    <t>تم تسليك كيبل فلكس 4*2 طول 20 متر تقريبا لتغذيه سبلت في غرفه الاتصالات الموجود في البنايه الثانيه (الروضه) الطابق الارضي.</t>
  </si>
  <si>
    <t>تم ربط سخان في صحيات 
البناية الثالثة الطابق الأرضي زون A.</t>
  </si>
  <si>
    <t>تم صيانه بلاجكتور 150w عدد1حيث تم تبديل محولة 50w
وتم إعادة ربط السلك الواصل إلى led في سطح البنايه الثانيه (الروضه) .</t>
  </si>
  <si>
    <t>🟫 تم تنفيذ الأعمال التالية:
تم إضافة سويچ أحادي لإنارة سطح البناية الثانية.</t>
  </si>
  <si>
    <t>🟫 تم تنفيذ الأعمال التالية: من 
تم إعادة ربط البلاجيكتور في البناية الثانية وإرجاعه إلى الخدمة بعد التأكد من سلامة التوصيلات الكهربائية.</t>
  </si>
  <si>
    <t>ادارة المجمع</t>
  </si>
  <si>
    <t>كرفان الشركة الامنية في الساحة الخلفية للمجمع</t>
  </si>
  <si>
    <t xml:space="preserve">تبديل سويج بلك رباعي  كون القديم مستهلك ويشكل خطر </t>
  </si>
  <si>
    <t>استبدال سويج رباعي عدد 1 في كرفان الامنية في الكراج</t>
  </si>
  <si>
    <t>عمل صيانة دورية للبناية الاولى ابتداءا من السطح والطوابق 
حيث تم فصل شموع عدد 4 في السطح و كذلك صيانة انارة منشورية 60*60 عدد 1 و اجراء صيانة لعدد من مآخذ القدرة والمفاتيح الكهربائية</t>
  </si>
  <si>
    <t xml:space="preserve"> في جميع البنايات</t>
  </si>
  <si>
    <t>إعادة تسليك واير فلكس (1.5*2) لمجموعة من أجهزة تسخين الماء (سماور كهربائي 30L) أيضا تم استخدام ماشة حجري(15A) عدد 3
في جميع البنايات.</t>
  </si>
  <si>
    <t>تم اعادة ربط محولة سبور لايت في الصحيات قرب القاعة الرياضية مقابل البناية الاولى بسبب وجود رخاوة في الاسلاك.</t>
  </si>
  <si>
    <t>تم استبدال فوتوسيل البناية الثانية</t>
  </si>
  <si>
    <t>تم تبديل بوكسات الإستراحة (الخاصة بتغذية الإبلاجكتورات) عدد 11
وتبديل طريقة الربط 
سطح البناية الثالثة كامل من حيث تبديل البوكسات و الربط</t>
  </si>
  <si>
    <t>عمل صيانة دورية للبناية الثانية  بكافة الطوابق 
حيث تم استبدال انارة منشورية 60 ×60 عدد 1 و كذلك سبوت لايت 18w عدد 1 وسبوت لايت 20w عدد 1 وصيانة لمأخذ قدرة.</t>
  </si>
  <si>
    <t>تم استبدال بلك سويج حراري 15A بدل سويچ عادي 13A في الطابق الثاني البناية الرابعة في المطعم .</t>
  </si>
  <si>
    <t xml:space="preserve">تم فحص البناية الثالثة بالكامل...
1/ تم تبديل إنارة (شمعه جدارية) عدد 2 (غرفة مضخات الماء RO).
2/ تم إعادة تشغيل سخان في صحيات الطابق الثاني زون A.
3/ تم تبديل سبوت لايت في صحيات الطابق الأول زون A.
4/ تم فصل مروحة سقفية في أحد صفوف الطابق الأرضي زون B.
5/ صيانة إنارة منشورية 60*60 عدد1.
</t>
  </si>
  <si>
    <t xml:space="preserve">تم تبديل بوكسات الإستراحة الخاصة بتغذية ( الساحبات) عدد 10 و تغيير طريقة الربط 
في جميع البنايات 
(جميع الساحبات كاملة من حيث تبديل البوكسات و الربط)
</t>
  </si>
  <si>
    <t>تم إعادة تثبيت و تغيير الربط لإنارة ( شمعة جدارية) 
سطح البناية الرابعة زون A</t>
  </si>
  <si>
    <t>اعادة ربط مروحة سقفية بعد صيانتها في البناية الثالثة الطابق الارضي .</t>
  </si>
  <si>
    <t>اضافة مأخذ قدرة في غرفة الميكانيك البناية الاولى الطابق الاول.</t>
  </si>
  <si>
    <t>صيانة تغذية الساحبات في البناية الثالثة واعادتها للعمل 
الشفت الصباحي:</t>
  </si>
  <si>
    <t xml:space="preserve">صيانة يدة باب عدد 2 + مرد باب الصحيات </t>
  </si>
  <si>
    <t>تم تصليح حائط في ماده الستن البنايه الرابعه الطابق الاول الزون  A (غرفه الكهرباء)</t>
  </si>
  <si>
    <t>تم عمل لاصق تضليل في البنايه الثالثة الطابق الثاني الزون B   عدد10
صف الاول ي ٣
صف الاول ط٣
صف الثاني و ٤</t>
  </si>
  <si>
    <t>تم ارجاع قطعة مرمر باب غرفة الامنيه قرب المدرسة الأولى</t>
  </si>
  <si>
    <t>تم صبغ وسنفرة جدار البنايه الرابعه الطابق الاول الزون  A (غرفه الكهرباء)</t>
  </si>
  <si>
    <t>تم تبديل يده شباك في المدرسة الأولى زون B ط الأول</t>
  </si>
  <si>
    <t>تم تبديل تور شباك عدد 3 وتم صيانه تور شباك عدد 6 في المدرسة الأولى زون B ط الأرضي و أول وثاني</t>
  </si>
  <si>
    <t xml:space="preserve">استبدال قفل القاعة الرياضية </t>
  </si>
  <si>
    <t>تم تثبيت مرد ماء عدد ٢ في البنايه الثالثه الطابق الاول الزون A  الصحيات</t>
  </si>
  <si>
    <t>تبديل لبه باب عدد 3 في القاعه الرياضيه الاولئ</t>
  </si>
  <si>
    <t xml:space="preserve">مدير المدرسة </t>
  </si>
  <si>
    <t xml:space="preserve">الصفوف الرابع   و/د/أ   الاخشاب الجدارية خالعة تحتاج الى تركيب   + الرابع /ز/ تركيب بردة زيبرا </t>
  </si>
  <si>
    <t>الشفت المسائي</t>
  </si>
  <si>
    <t>باب مقفل يحتاج إلى فتح</t>
  </si>
  <si>
    <t>كرار المدير</t>
  </si>
  <si>
    <t xml:space="preserve">الخامس ج تركيب خشبة الصف الجانبية </t>
  </si>
  <si>
    <t xml:space="preserve">الخامس د النافذة لاتغلق بسبب كسر مسند اليدة </t>
  </si>
  <si>
    <t xml:space="preserve">كرار مدير المدرسه </t>
  </si>
  <si>
    <t>شباك مكسور في صف خامس د</t>
  </si>
  <si>
    <t xml:space="preserve">غرفة معاون شؤون الطلاب يوجد فيه شباك مكسور </t>
  </si>
  <si>
    <t>التواصل مع مدير المدرسة لمعرفة الموقع</t>
  </si>
  <si>
    <t>تم ارجاع قطع سقف ثانوي عدد (٢) ط الثاني زون B المدرسة الثالثة</t>
  </si>
  <si>
    <t>عمل حفر ارضية الصحيات ط الثاني قرب غرفة السيطرة البنايه الثانيه</t>
  </si>
  <si>
    <t>تم تبديل يده شباك غرفة معاون شئون الطلاب ط ارضي زون A المدرسة الأولى</t>
  </si>
  <si>
    <t>تم تبديل يده شباك صف الخامس (د) ط الثاني زون B المدرسة الأولى</t>
  </si>
  <si>
    <t>تم تنزيل النقاذ من ط الثاني إلى الخارج صحيات المدرسة الثانيه</t>
  </si>
  <si>
    <t>مثنى هلال</t>
  </si>
  <si>
    <t xml:space="preserve">في غرفة الادارة لوحة تعريفية تحتاج الى صمغ وتركيب </t>
  </si>
  <si>
    <t>اصلاح يدة الباب الرئيسية للاستعلامات</t>
  </si>
  <si>
    <t>باب الزون الداخلي المطل على الساحة كسر في السرقي</t>
  </si>
  <si>
    <t>حسين فارس</t>
  </si>
  <si>
    <t xml:space="preserve">باب الاستعلامات كسر في المقبض للمرة الثانية </t>
  </si>
  <si>
    <t xml:space="preserve">ميز يحتاج الى صمغ قرب المرسم </t>
  </si>
  <si>
    <t>صيانه قفل باب الرئسيه في المدرسة الأولى</t>
  </si>
  <si>
    <t>تم تبديل تور شباك قلاب في البنايه الثالثه الطابق الاول الزون B صف الاول ب</t>
  </si>
  <si>
    <t xml:space="preserve">عيسى صالح السراي </t>
  </si>
  <si>
    <t>تم تثبيت خشبه جدر في البنايه الثالثه الطابق الاول الزون B</t>
  </si>
  <si>
    <t xml:space="preserve">تبديل يده شباك في البنايه الثالثه الطابق الاول الزون B </t>
  </si>
  <si>
    <t xml:space="preserve">تم تثبيت شباك قلاب عدد ١٥ في البنايه الثالثه الطابق الاول الزون B </t>
  </si>
  <si>
    <t xml:space="preserve">    تم صيانه يده وكيلون باب استعلامات في المدرسة الأولى</t>
  </si>
  <si>
    <t>تم صيانه قطع كابون باب الرئيسي للمدرسة الأولى</t>
  </si>
  <si>
    <t>قرب الباب الرئيسية</t>
  </si>
  <si>
    <t>تم رفع المقرنص و اعادة تطبيكه قرب الباب الرئيسية المدرسة الثانية</t>
  </si>
  <si>
    <t>جك باب هيدروليك</t>
  </si>
  <si>
    <t>الباب الوسطية مابين الزون a وb الباب تغلق بسرعة ممكن ان يتهشم زجاج الباب لطفا اجرائكم مع التقدير</t>
  </si>
  <si>
    <t>عيسى صالح</t>
  </si>
  <si>
    <t>أعمال تصليح الشباك الدوار في المدرسة الثالثه زون a ط الأرضي</t>
  </si>
  <si>
    <t>A- الابتدائية (البناية 1), B- الابتدائية (البناية 2), C- المتوسطة (البناية 3)</t>
  </si>
  <si>
    <t>تم تركيب قطع مرد ماء عدد (٣٢) طابق الارضي و طابق الاول والطابق الثاني زرن A و زون B في ثلاث مدارس الأولى والثانية والثالثة.</t>
  </si>
  <si>
    <t>تم ارجاع قطعة مرمر قرب باب الساحة الأدائية طابق الارضي زون A المدرسة الأولى</t>
  </si>
  <si>
    <t xml:space="preserve">الجك الخاص بالباب الوسطي بين الزون A وزون B يحتاج إلى صيانة </t>
  </si>
  <si>
    <t xml:space="preserve">A - البناية الأولى </t>
  </si>
  <si>
    <t xml:space="preserve">تركيب أهداف كرة السلة </t>
  </si>
  <si>
    <t>فتح باب مقفل في الصحيات المدرسة الرابعة زون B ط الأرضي</t>
  </si>
  <si>
    <t xml:space="preserve">عيسى السراي </t>
  </si>
  <si>
    <t>تم صيانه كيلون باب صحيات وتبديل لبه في المدرسة الثالثه زون B ط الأرضي</t>
  </si>
  <si>
    <t>تم سنفرة مكانات تصليح الشباك الدوار وتم صبغه في المدرسة الثالثه زون a ط الأرضي</t>
  </si>
  <si>
    <t>ادارة مجمع الحر</t>
  </si>
  <si>
    <t xml:space="preserve">ZONE A - الطابق الارضي,  الباب الوسطي ما بين زون </t>
  </si>
  <si>
    <t>جك الباب الوسطي الحديد لا يعمل</t>
  </si>
  <si>
    <t>صيانة الرحلات الخاصة بالبناية</t>
  </si>
  <si>
    <t>تم تبديل كيلون مع لبه باب الألمنيوم صحيات ط ارضي زون B المدرسة الرابعة</t>
  </si>
  <si>
    <t xml:space="preserve">جميع صحيات البناية الرابعة </t>
  </si>
  <si>
    <t>تم تركيب قطع مرد ماء عدد (٥)في صحيات القاعه الرياضية قرب  المولدات مع المدرسه الرابعة عدد (١٤) في جميع صحات المدرسه الرابعه ط ارضي و ط اول و ط الثاني زون A-B</t>
  </si>
  <si>
    <t>تم تبديل ديك شباك قلاب في البنايه الاولى الطابق الاول الزون A (المكتبه)</t>
  </si>
  <si>
    <t>تم تبديل يده شباك في البنايه الاولى الطابق الاول الزون A (المكتبه)</t>
  </si>
  <si>
    <t>تم صيانه تور عدد ٦ في البنايه الاولى الطابق الثاني الزون B مختلف الصفوف</t>
  </si>
  <si>
    <t xml:space="preserve">قسم المشاريع الهندسية </t>
  </si>
  <si>
    <t>اعمال سد فتحات جوينات المرمر في ماده التصليح 
١ البنايه الاولى 
٢البنايه الثالثة 
٣البنايه الرابعه 
 الطابق الارضي ممر الزون A</t>
  </si>
  <si>
    <t>تم تبديل يده شباك مع صيانه رحله عدد (٢) صف الثالث (ج) ط ارضي زون B المدرسة الرابعة</t>
  </si>
  <si>
    <t>تم تبديل يده شباك صف الثالث (د) ط ارضي زون B المدرسة الرابعة</t>
  </si>
  <si>
    <t>تم تزيت باب الساحة الدائرية ط ارضي زون A المدرسة الثالثة</t>
  </si>
  <si>
    <t>تم ارجاع قطعة مرمر صف الأول (ج) ط ارضي زون B المدرسة الثالثة</t>
  </si>
  <si>
    <t>تم تزيت باب الستعلامات الرئسيه البنايه الرابعه</t>
  </si>
  <si>
    <t>اعمال يوم الخميس مسائي</t>
  </si>
  <si>
    <t>تم صيانه تور في البنايه الرابعه الطابق الارضي الزون B 
الثالث ج</t>
  </si>
  <si>
    <t>تمً صيانه كرسي في البنايه الرابعه الطابق الاول الزون A صف السادس ب</t>
  </si>
  <si>
    <t>تم صيانه تور عدد ٢ 
البنايه الرابعه الطابق الثاني الزون B
الخامس د 
الخامس ج</t>
  </si>
  <si>
    <t>تم صيانه تور في البنايه الرابعه الطابق الاول الزون B الاول  أ</t>
  </si>
  <si>
    <t>تزيت باب خشب واعادة بيم الباب عدد 4 في المدرسة الأولى زون B ط الثاني</t>
  </si>
  <si>
    <t>صيانه تور شباك في المدرسة الأولى زون B ط الأول عدد 6</t>
  </si>
  <si>
    <t>صيانه برده في المدرسة الأولى زون B ط الأول</t>
  </si>
  <si>
    <t>تم تبديل يده شباك صف الأول (هـ) ط ارضي زون B المدرسة الثالثة</t>
  </si>
  <si>
    <t>تم تبديل يده شباك صف الأول (د) ط ارضي زون B المدرسة الثالثة</t>
  </si>
  <si>
    <t>تم ارجاع خشبة جدار صف الأول (د) ط ارضي زون B المدرسة الثالثة</t>
  </si>
  <si>
    <t>تم تبديل يده شباك قلاب صف الأول (أ) ط ارضي زون B المدرسة الثالثة</t>
  </si>
  <si>
    <t>تم صيانه تور شباك عدد(20)ط ارضي زون B المدرسة الثالثة</t>
  </si>
  <si>
    <t>اعمال. تبديل تور عدد ٤ وصيانه تور عدد ١٥ في البنايه الثالثه الطابق الاول والطابق الثاني الزون B مختلف الصفوف</t>
  </si>
  <si>
    <t>اعمال تفليش الصحيات في البنايه الثانيه الطابق الثاني</t>
  </si>
  <si>
    <t>تم تبديل لبه باب خشب عدد ١ في البنايه الثالثه الارضي الزون B غرفه الصوتيات</t>
  </si>
  <si>
    <t xml:space="preserve">و </t>
  </si>
  <si>
    <t xml:space="preserve">تركيب سدادات إلى شباك الغرفه </t>
  </si>
  <si>
    <t>اعمال حفر ممر الصحيات طابق الثاني المدرسة الثانية</t>
  </si>
  <si>
    <t>تم حفر جدار الصحيات المجموعة الأولى و المجموعة الثانية عدد (٢) ط ارضي المدرسه الثانية</t>
  </si>
  <si>
    <t>تم تبديل كيلون + لبه باب المنيوم في ممر الطابق الاول البنايه الثانيه</t>
  </si>
  <si>
    <t>تم تبديل لبه باب خشب عدد ١ في البنايه الثانيه الطابق الاول السادس ج</t>
  </si>
  <si>
    <t xml:space="preserve">الباب الرئيسي البناية </t>
  </si>
  <si>
    <t>تم صيانه كابون الباب الفاصل بين البنايه الاولى و الثانيه عدد ٣</t>
  </si>
  <si>
    <t>سد فتحات المناور في المدرسة الثالثه عدد 3 في جكن واير</t>
  </si>
  <si>
    <t>اعمال حفر الصحيات ط الثاني المدرسة الثانية</t>
  </si>
  <si>
    <t>صيانة مقابض الباب الرئيس كونها مكسورة</t>
  </si>
  <si>
    <t>تم تبديل يده باب في غرفة الكامرات</t>
  </si>
  <si>
    <t>تم فتح جك باب الرئيسيه في المدرسة الثانيه</t>
  </si>
  <si>
    <t>تم فتح بايه الباب قرب المدرسة الأولى جهة الكراج.</t>
  </si>
  <si>
    <t>اعمال حفر ارضية الصحيات ط الثاني  المدرسة الثانية</t>
  </si>
  <si>
    <t>أعمال حفر ارضية الصحيات ط الثاني المدرسة الثانية</t>
  </si>
  <si>
    <t>تم تركيب بايه حديد البنايه لاولئ مقابيل كراج ساحه</t>
  </si>
  <si>
    <t>تم تبديل كيلون +  لبه باب صحيات طابق ثاني البناية ثانيه زون A</t>
  </si>
  <si>
    <t>تم اكمال اعمال حفر الصحيات +نقل كواني بحص(حصو) قرب ممر البكجات الطابق الثاني البناية الثانية</t>
  </si>
  <si>
    <t>تم ارجع سقف ثانوي متحرك في البنايه الثانيه مختلف. الطوابق</t>
  </si>
  <si>
    <t>تم ارجع سقف ثانوي متحرك في البنايه الرابعه مختلف. الطوابق</t>
  </si>
  <si>
    <t>تم ارجع سقف ثانوي متحرك في البنايه الثالثه مختلف. الطوابق</t>
  </si>
  <si>
    <t>اعمال رفع البحص من الصحيات البنايه الثانيه الطابق الثاني</t>
  </si>
  <si>
    <t>تفليش صب قاعدة  بواري مجمع الصحيات+تفليش مكان البواري لغرض رفعهن البناية الثانية الطابق الثاني</t>
  </si>
  <si>
    <t>اعمال رفع البحص في صحيات البنايه الثانيه الطابق الثاني</t>
  </si>
  <si>
    <t>تم تثبيت كابون عدد ١ في البنايه الرابعه الطابق الارضي الزون B</t>
  </si>
  <si>
    <t>تم رفع البحص من الصحيات عدد2 وتنضيف مكان الصحيات+تنزيل الانقاض من الطابق الثاني خارج البناية قرب باب استعلامات البناية الثانية</t>
  </si>
  <si>
    <t>تم اضافه ماده عازله الى صحيات البنايه الثانيه الطابق الثاني عدد ٤ صحيات +مرر</t>
  </si>
  <si>
    <t>تم تثبيت برده في البنايه الاولى الطابق الاول الزون A</t>
  </si>
  <si>
    <t>باب الصحيات  يحتاج الى صيانة الكيلون</t>
  </si>
  <si>
    <t>اادارة المجمع</t>
  </si>
  <si>
    <t>الساحة الرياضية الخارجية</t>
  </si>
  <si>
    <t>القاعة الرياضية جهة المتوسطة, الساحة الرياضية الخارجية</t>
  </si>
  <si>
    <t>تحتاج الى قفل مع اربعة نسخ للمفتاح</t>
  </si>
  <si>
    <t>تنزيل انقاض الصحيات الطابق الثاني البناية الثانية ووضعها قرب باب الاستعلامات</t>
  </si>
  <si>
    <t>صيانة الباب الخارجي للبناية الاولى</t>
  </si>
  <si>
    <t>صيانة باب الالمنيوم عدد(٢) في الصحيات البناية الاولى الطابق الثاني</t>
  </si>
  <si>
    <t>تم أكمل تنزيل النقاذ من ط الثاني المدرسة الثانية</t>
  </si>
  <si>
    <t>تم تركيب قفل باب الملعب قرب المدرسة الرابعة</t>
  </si>
  <si>
    <t>اعمال گير لبتلو الصحيات في المدرسة الثانية</t>
  </si>
  <si>
    <t>تم تبديل يدات أبواب الألمنيوم عدد(٤)صحيات القاعه الرياضية قرب المولدات من جهة المدرسه الثالثة</t>
  </si>
  <si>
    <t>تم تبديل يدات أبواب الألمنيوم عدد (٥)في صحيات القاعه الرياضية قرب المدرسة الأولى</t>
  </si>
  <si>
    <t>تم رفع إنقاذ الصحيات البنايه الثانيه</t>
  </si>
  <si>
    <t xml:space="preserve">A- الابتدائية (البناية 1), </t>
  </si>
  <si>
    <t>تم تفريغ الأنقاض من السياره</t>
  </si>
  <si>
    <t>اعاده سقف ثانوي متحرك عدد ١٢ في البنايه الثالثه الطابق الثاني الزون B</t>
  </si>
  <si>
    <t>تم تثبيت خشبه عدد ١ في البنايه الثالثه الطابق الاول الزون B صف الاول أ</t>
  </si>
  <si>
    <t>تم تثبيت قطع مرد ماي عدد ٢ في صحيات الطابق الاول الزون B</t>
  </si>
  <si>
    <t>تم تثبيت قطع مرمر عدد ٢ قرب باب الستعلامات البنايه الثالثه</t>
  </si>
  <si>
    <t>صيانة مصد الباب مخاوف رجوع الباب على الشاشة التفاعلية</t>
  </si>
  <si>
    <t xml:space="preserve">ادارة المجمع </t>
  </si>
  <si>
    <t>ZONE A - الطابق الارضي, ZONE B - الطابق الارضي, باب دخول الطلاب من الممر مابين البناية الاولى والثانية</t>
  </si>
  <si>
    <t xml:space="preserve">الباب الالمنيوم لا يغلق بسبب السرقي الاسفل للباب </t>
  </si>
  <si>
    <t>ادالرة المجمع</t>
  </si>
  <si>
    <t>ZONE A - الطابق الثاني, ZONE B - الطابق الثاني, المصلى  وسقف الممر للصفوف الزون بي</t>
  </si>
  <si>
    <t>تطاير السقف الثانوي وصيانة واجهة الاعمدة في المصلى</t>
  </si>
  <si>
    <t>تمّ اعاده سقف ثانوي متحرك عدد ١٤ في البنايه الاولى الزون B مختلف الطوابق</t>
  </si>
  <si>
    <t>تم تثبيت سحبه عدد ١ في البنايه الثالثه الطابق الثاني الزون A المصلى</t>
  </si>
  <si>
    <t>تم تثبيت خشبه عدد ١ في البنايه الاولى الطابق الثاني الزون B صف الخامس أ</t>
  </si>
  <si>
    <t>تم صيانه تور شباك عدد ١ في البنايه الاولى الطابق الارضي الزون B صف الرابع و</t>
  </si>
  <si>
    <t>تم تبديل ديك شباك قلاب في البنايه الاولى الطابق الارضي الزون B صف الرابع هـ</t>
  </si>
  <si>
    <t>تم صيانه يده باب الحديد الساحه ط ارضي المدرسة الثانية</t>
  </si>
  <si>
    <t>تم صيانه رحلات عدد (١٠) ط الثاني المدرسة الثانية</t>
  </si>
  <si>
    <t>تم صيانه رحلات عدد (٩) ط أول المدرسة الثانية</t>
  </si>
  <si>
    <t>تم ارجاع قطع سقف ثانوي عدد (٧) ط أول المدرسة الثانية</t>
  </si>
  <si>
    <t>تم تبديل يده باب الألومنيوم صحيات عدد(٥)ط ارضي المدرسة الثانية</t>
  </si>
  <si>
    <t>تم تعديل رزه باب الألومنيوم صحيات ط ارضي المدرسة الثانية</t>
  </si>
  <si>
    <t>تم صب ٧ قواعد الىً مجموعة بواري الصحيات البنايه الثانيه الطابق الثاني</t>
  </si>
  <si>
    <t>تم استبدال حنفية برادات الماء في البنايه الثالثه زون B</t>
  </si>
  <si>
    <t xml:space="preserve">
تم فتح واستبدال Water pump  لقطعه كاسيت لمنظومة التبريد الVRF في البناية الرابعة الطابق الارضي الزون B</t>
  </si>
  <si>
    <t xml:space="preserve">
صيانة براد ماء في البناية الاولى الطابق الارضي زون A</t>
  </si>
  <si>
    <t xml:space="preserve">
تم متابعة تسريب ماء من قطعة VRF في البنايه الرابعه الطابق الرضي زون B صف ثالث -أ-</t>
  </si>
  <si>
    <t xml:space="preserve">
تم ترسيت نظام VRF في المدرسة الرابعه الطابق الارضي زون B</t>
  </si>
  <si>
    <t xml:space="preserve">
تم تغيير زيت مضخة اطفاء الحريق في المدرسة الثانويه في البنايه الرابعه مع فلتر الزيت</t>
  </si>
  <si>
    <t xml:space="preserve">
تم تنظيف وغسل فلاتر السبالت الاعتياديه في البنايه الولى.</t>
  </si>
  <si>
    <t xml:space="preserve">
تم شد Water pump  لقطعه كاسيت لمنظومة التبريد ال VRF في البناية الاولى الطابق الاول الزون A.</t>
  </si>
  <si>
    <t xml:space="preserve">براد ماء لايوجد فيه ماء </t>
  </si>
  <si>
    <t xml:space="preserve"> 
تم تثبيت حماله صابون في البنايه الأولى الطابق الاول زون اي.</t>
  </si>
  <si>
    <t>صحيات الطلبه فيها ماسكه صونده ونرد باب مكسور</t>
  </si>
  <si>
    <t xml:space="preserve"> عمل مشترك مدني ميكانيك</t>
  </si>
  <si>
    <t>طه</t>
  </si>
  <si>
    <t>لايوجد ماء في صحيات الطلبه</t>
  </si>
  <si>
    <t>حاملة الاكواب  تحتاج الى تثبيت. واحدة من مغاسل الصحيات تحتاج الى تثبيت ضروري تحسبا لوقوع حادث</t>
  </si>
  <si>
    <t>صالح</t>
  </si>
  <si>
    <t xml:space="preserve">القاعه الاولى //  صيانة السبلت </t>
  </si>
  <si>
    <t xml:space="preserve">صحيات تحتاج إلى تسليك </t>
  </si>
  <si>
    <t>ساقية الساحة لتصريف المياه لايوجد فيها غطاء</t>
  </si>
  <si>
    <t xml:space="preserve">السادس ح التدفئه لاتعمل والتبريد يعمل والصف بارد جدا يرجى إجراء اللازم بالسرعه الممكنه مع التقدير </t>
  </si>
  <si>
    <t xml:space="preserve">السخان في صحيات الطلبة يكهرب يرجى معالجة الامر </t>
  </si>
  <si>
    <t xml:space="preserve">تم فصله عن الطاقة الكهربائية في الساعة ب10 في تاريخ 7/1 </t>
  </si>
  <si>
    <t xml:space="preserve">
تم استبدال حنفية برادات الماء في البنايه الثالثة والبناية الرابعه بالكامل</t>
  </si>
  <si>
    <t>صالح المعاون</t>
  </si>
  <si>
    <t xml:space="preserve">سخان الادارة لايعمل </t>
  </si>
  <si>
    <t xml:space="preserve">استبدال </t>
  </si>
  <si>
    <t xml:space="preserve">يوجد تسريب مياه في الغرف الإدارية </t>
  </si>
  <si>
    <t xml:space="preserve">
تم تبديل قايش DX في البناية الأولى والثانية</t>
  </si>
  <si>
    <t>ZONE B - الطابق الارضي, حمامات الطلاب</t>
  </si>
  <si>
    <t xml:space="preserve">عدم وجود ماء حار في حمامات الطلاب لعدم اشتغال السخان </t>
  </si>
  <si>
    <t xml:space="preserve">
تم صيانه براد ماء في البنايه الرابعة </t>
  </si>
  <si>
    <t xml:space="preserve">
تم  تنصيب قطعة داخليه في الغرافه الراكات.</t>
  </si>
  <si>
    <t>صحيات الطلبة فائضة وتحتاج الى تسليك ضروري</t>
  </si>
  <si>
    <t xml:space="preserve">الشفت المسائي </t>
  </si>
  <si>
    <t xml:space="preserve">لايوجد ماء في البرادات الادارية والطلبة </t>
  </si>
  <si>
    <t xml:space="preserve">المضخة تحت الصيانة </t>
  </si>
  <si>
    <t xml:space="preserve">
تم صيانه مقياس مستوى الماء في مضخه الماء RO البنايه الثالثه</t>
  </si>
  <si>
    <t xml:space="preserve">
تم صيانة برادات ماء الRo في البناية الثالثة الطابق الارضي ZB</t>
  </si>
  <si>
    <t xml:space="preserve">
تم استبدال فلاتر منظومة ماء الRO كذلك اضافة مواد (كلور -انتي كلور -انتي سكيل.</t>
  </si>
  <si>
    <t xml:space="preserve">
تم فتح انسداد في البناية الأولى طابق الثاني زون B</t>
  </si>
  <si>
    <t xml:space="preserve"> 
تم  ربط انابيب سبلت غرفه الراك في البناية الثانية.</t>
  </si>
  <si>
    <t xml:space="preserve">
تم فتح مغاسل   صحيات البناية الثانية الطابق الثاني .</t>
  </si>
  <si>
    <t xml:space="preserve">
تم فتح انسداد في صحيات البناية الأولى طابق الاول زون A</t>
  </si>
  <si>
    <t xml:space="preserve">الصحيات المجاورة للقاعة يوجد بها انسداد </t>
  </si>
  <si>
    <t xml:space="preserve">
تم صيانة صحيات الروضه الخارجيه بين الثانيه والثالثه 
وتم استبدال كاك سخان عدد 2 
وكاك زاويه للصحيات عدد 1 وصوندات عدد 2 وماسكه 1.</t>
  </si>
  <si>
    <t xml:space="preserve">
تم تبديل حنفية في كراج الأمنية.</t>
  </si>
  <si>
    <t xml:space="preserve">
تم صيانة صحيات البناية الأولى بالكامل
وتم تبديل قاعدة صابون
تم تبديل كاك زاوية
تم معالجة صوندة سخان
تم وجود انسداد في كاك زاوية وتم معالجة في البناية الأولى.</t>
  </si>
  <si>
    <t xml:space="preserve">
تم صيانة طراد(الفلاش) ماء في البناية الأولى.
</t>
  </si>
  <si>
    <t xml:space="preserve">
تم تبديل سخان الماء في البناية الثالثة طابق الأرضي زون A
</t>
  </si>
  <si>
    <t xml:space="preserve">
تم عمل فاكيوم للسبالت الاعتيادية واعادة تشغيل السبلت في البناية الثانية طابق الأرضي .
</t>
  </si>
  <si>
    <t>صيانة او تبديل انبوب المياه في صحيات الادارة حمامات الجناح الاداري</t>
  </si>
  <si>
    <t xml:space="preserve"> 
تم استبدال  صمام الخدمه في الVRF في البنايه
الثالثه .</t>
  </si>
  <si>
    <t xml:space="preserve"> 
تم متابعه وفحص مضخه الاطفاء الثانويه في البنايه الاولى  وتم اعاده مضخه الاطفاء
الديزل الى الخدمه بعد تبديل البطاريه
</t>
  </si>
  <si>
    <t xml:space="preserve">
تم تأسيس وربط شبكة المجاميع الصحية في البنايه الثانية 
</t>
  </si>
  <si>
    <t xml:space="preserve">
تم ربط كارت سبلت انفيرتر في غرفة الألواح الشمسية </t>
  </si>
  <si>
    <t xml:space="preserve">
تم وضع مادة الصوصج في انابيب الصرف الصحي PVC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</si>
</sst>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 hh:mm\ AM/PM"/>
    <numFmt numFmtId="165" formatCode="m/d/yyyy\ h:mm:ss"/>
  </numFmts>
  <fonts count="33">
    <font>
      <sz val="10"/>
      <color rgb="FF000000"/>
      <name val="Arial"/>
      <scheme val="minor"/>
    </font>
    <font>
      <b/>
      <sz val="14"/>
      <color theme="1"/>
      <name val="Arial"/>
      <scheme val="minor"/>
    </font>
    <font>
      <b/>
      <sz val="14"/>
      <color rgb="FFFFFFFF"/>
      <name val="Arial"/>
      <scheme val="minor"/>
    </font>
    <font>
      <b/>
      <sz val="12"/>
      <color rgb="FF000000"/>
      <name val="Arial"/>
      <scheme val="minor"/>
    </font>
    <font>
      <b/>
      <sz val="14"/>
      <color rgb="FF000000"/>
      <name val="Arial"/>
      <scheme val="minor"/>
    </font>
    <font>
      <b/>
      <sz val="15"/>
      <color rgb="FF000000"/>
      <name val="Arial"/>
      <scheme val="minor"/>
    </font>
    <font>
      <b/>
      <sz val="12"/>
      <color theme="1"/>
      <name val="Arial"/>
      <scheme val="minor"/>
    </font>
    <font>
      <sz val="15"/>
      <color rgb="FF000000"/>
      <name val="Arial"/>
      <scheme val="minor"/>
    </font>
    <font>
      <sz val="10"/>
      <color theme="1"/>
      <name val="Arial"/>
      <scheme val="minor"/>
    </font>
    <font>
      <b/>
      <sz val="12"/>
      <color theme="1"/>
      <name val="Quote-cjk-patch"/>
    </font>
    <font>
      <b/>
      <sz val="12"/>
      <color theme="1"/>
      <name val="Arial"/>
    </font>
    <font>
      <b/>
      <sz val="13"/>
      <color rgb="FF1B1C1D"/>
      <name val="Google Sans Text"/>
    </font>
    <font>
      <b/>
      <sz val="13"/>
      <color rgb="FF444746"/>
      <name val="Google Sans Text"/>
    </font>
    <font>
      <b/>
      <sz val="13"/>
      <color rgb="FF444746"/>
      <name val="&quot;Google Sans Text&quot;"/>
    </font>
    <font>
      <b/>
      <sz val="13"/>
      <color theme="1"/>
      <name val="Arial"/>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
      <b/>
      <sz val="14"/>
      <color theme="1"/>
      <name val="Arial"/>
      <family val="2"/>
      <scheme val="minor"/>
    </font>
    <font>
      <b/>
      <sz val="12"/>
      <color rgb="FF000000"/>
      <name val="Arial"/>
      <family val="2"/>
      <scheme val="minor"/>
    </font>
    <font>
      <b/>
      <sz val="14"/>
      <color rgb="FF000000"/>
      <name val="Arial"/>
      <family val="2"/>
      <scheme val="minor"/>
    </font>
    <font>
      <b/>
      <sz val="15"/>
      <color rgb="FF000000"/>
      <name val="Arial"/>
      <family val="2"/>
      <scheme val="minor"/>
    </font>
    <font>
      <b/>
      <sz val="10"/>
      <color rgb="FF000000"/>
      <name val="Arial"/>
      <family val="2"/>
      <scheme val="minor"/>
    </font>
    <font>
      <b/>
      <sz val="12"/>
      <color theme="1"/>
      <name val="Arial"/>
      <family val="2"/>
      <scheme val="minor"/>
    </font>
    <font>
      <sz val="15"/>
      <color rgb="FF000000"/>
      <name val="Arial"/>
      <family val="2"/>
      <scheme val="minor"/>
    </font>
    <font>
      <sz val="14"/>
      <color rgb="FF000000"/>
      <name val="Arial"/>
      <family val="2"/>
      <scheme val="minor"/>
    </font>
    <font>
      <sz val="12"/>
      <color rgb="FF000000"/>
      <name val="Arial"/>
      <family val="2"/>
      <scheme val="minor"/>
    </font>
    <font>
      <b/>
      <sz val="14"/>
      <color theme="0"/>
      <name val="Arial"/>
      <family val="2"/>
      <scheme val="minor"/>
    </font>
    <font>
      <b/>
      <sz val="12"/>
      <color theme="0"/>
      <name val="Arial"/>
      <family val="2"/>
      <scheme val="minor"/>
    </font>
    <font>
      <sz val="9"/>
      <color rgb="FF000000"/>
      <name val="Arial"/>
      <family val="2"/>
      <scheme val="minor"/>
    </font>
    <font>
      <b/>
      <sz val="9"/>
      <color theme="0"/>
      <name val="Arial"/>
      <family val="2"/>
      <scheme val="minor"/>
    </font>
    <font>
      <b/>
      <sz val="9"/>
      <color rgb="FF000000"/>
      <name val="Arial"/>
      <family val="2"/>
      <scheme val="minor"/>
    </font>
  </fonts>
  <fills count="9">
    <fill>
      <patternFill patternType="none"/>
    </fill>
    <fill>
      <patternFill patternType="gray125"/>
    </fill>
    <fill>
      <patternFill patternType="solid">
        <fgColor rgb="FFFF0000"/>
        <bgColor rgb="FFFF0000"/>
      </patternFill>
    </fill>
    <fill>
      <patternFill patternType="solid">
        <fgColor rgb="FF2C3E50"/>
        <bgColor rgb="FF2C3E50"/>
      </patternFill>
    </fill>
    <fill>
      <patternFill patternType="solid">
        <fgColor rgb="FF4A568D"/>
        <bgColor rgb="FF4A568D"/>
      </patternFill>
    </fill>
    <fill>
      <patternFill patternType="solid">
        <fgColor rgb="FFFFFFFF"/>
        <bgColor rgb="FFFFFFFF"/>
      </patternFill>
    </fill>
    <fill>
      <patternFill patternType="solid">
        <fgColor rgb="FFF6F8F9"/>
        <bgColor rgb="FFF6F8F9"/>
      </patternFill>
    </fill>
    <fill>
      <patternFill patternType="solid">
        <fgColor theme="4"/>
        <bgColor indexed="64"/>
      </patternFill>
    </fill>
    <fill>
      <patternFill patternType="solid">
        <fgColor theme="4"/>
        <bgColor rgb="FFFF0000"/>
      </patternFill>
    </fill>
  </fills>
  <borders count="8">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
      <left style="thin">
        <color rgb="FF4A568D"/>
      </left>
      <right style="thin">
        <color rgb="FFD4D4D4"/>
      </right>
      <top style="thin">
        <color rgb="FF4A568D"/>
      </top>
      <bottom style="thin">
        <color rgb="FFD4D4D4"/>
      </bottom>
      <diagonal/>
    </border>
    <border>
      <left style="thin">
        <color rgb="FFD4D4D4"/>
      </left>
      <right style="thin">
        <color rgb="FFD4D4D4"/>
      </right>
      <top style="thin">
        <color rgb="FF4A568D"/>
      </top>
      <bottom style="thin">
        <color rgb="FFD4D4D4"/>
      </bottom>
      <diagonal/>
    </border>
    <border>
      <left style="thin">
        <color rgb="FFD4D4D4"/>
      </left>
      <right style="thin">
        <color rgb="FF4A568D"/>
      </right>
      <top style="thin">
        <color rgb="FF4A568D"/>
      </top>
      <bottom style="thin">
        <color rgb="FFD4D4D4"/>
      </bottom>
      <diagonal/>
    </border>
    <border>
      <left style="thick">
        <color rgb="FF999999"/>
      </left>
      <right style="thick">
        <color rgb="FF999999"/>
      </right>
      <top/>
      <bottom style="thick">
        <color rgb="FF999999"/>
      </bottom>
      <diagonal/>
    </border>
    <border>
      <left style="thick">
        <color theme="0" tint="-0.249977111117893"/>
      </left>
      <right style="thick">
        <color theme="0" tint="-0.249977111117893"/>
      </right>
      <top style="thick">
        <color theme="0" tint="-0.249977111117893"/>
      </top>
      <bottom style="thick">
        <color theme="0" tint="-0.249977111117893"/>
      </bottom>
      <diagonal/>
    </border>
  </borders>
  <cellStyleXfs count="1">
    <xf numFmtId="0" fontId="0" fillId="0" borderId="0"/>
  </cellStyleXfs>
  <cellXfs count="90">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textRotation="180" wrapText="1"/>
    </xf>
    <xf numFmtId="0" fontId="1"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49" fontId="2" fillId="3" borderId="0" xfId="0" applyNumberFormat="1" applyFont="1" applyFill="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textRotation="180"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20"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164" fontId="6"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1" xfId="0" applyFont="1" applyBorder="1" applyAlignment="1">
      <alignment horizontal="center" vertical="center" textRotation="90" wrapText="1"/>
    </xf>
    <xf numFmtId="0" fontId="8" fillId="0" borderId="0" xfId="0" applyFont="1" applyAlignment="1">
      <alignment horizontal="left" vertical="center"/>
    </xf>
    <xf numFmtId="165" fontId="8" fillId="0" borderId="0" xfId="0" applyNumberFormat="1"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49" fontId="10" fillId="0" borderId="0" xfId="0" applyNumberFormat="1" applyFont="1" applyAlignment="1">
      <alignment horizontal="center" vertical="center"/>
    </xf>
    <xf numFmtId="0" fontId="11" fillId="0" borderId="2" xfId="0" applyFont="1" applyBorder="1" applyAlignment="1">
      <alignment horizontal="center"/>
    </xf>
    <xf numFmtId="0" fontId="12" fillId="0" borderId="2" xfId="0" applyFont="1" applyBorder="1"/>
    <xf numFmtId="0" fontId="13" fillId="0" borderId="2" xfId="0" applyFont="1" applyBorder="1" applyAlignment="1">
      <alignment vertical="center"/>
    </xf>
    <xf numFmtId="0" fontId="14" fillId="0" borderId="2" xfId="0" applyFont="1" applyBorder="1" applyAlignment="1">
      <alignment horizontal="center" vertical="center"/>
    </xf>
    <xf numFmtId="0" fontId="14" fillId="0" borderId="2" xfId="0" applyFont="1" applyBorder="1" applyAlignment="1">
      <alignment vertical="center"/>
    </xf>
    <xf numFmtId="0" fontId="14" fillId="0" borderId="0" xfId="0" applyFont="1" applyAlignment="1">
      <alignment horizontal="center" vertical="center"/>
    </xf>
    <xf numFmtId="0" fontId="15" fillId="0" borderId="2" xfId="0" applyFont="1" applyBorder="1" applyAlignment="1">
      <alignment horizontal="center" vertical="center"/>
    </xf>
    <xf numFmtId="0" fontId="13" fillId="0" borderId="2" xfId="0" applyFont="1" applyBorder="1" applyAlignment="1">
      <alignment horizontal="left" vertical="center"/>
    </xf>
    <xf numFmtId="0" fontId="16" fillId="0" borderId="2" xfId="0" applyFont="1" applyBorder="1" applyAlignment="1">
      <alignment horizontal="left" vertical="center"/>
    </xf>
    <xf numFmtId="49" fontId="14" fillId="0" borderId="2" xfId="0" applyNumberFormat="1" applyFont="1" applyBorder="1" applyAlignment="1">
      <alignment horizontal="center" vertical="center"/>
    </xf>
    <xf numFmtId="0" fontId="17" fillId="0" borderId="2" xfId="0" applyFont="1" applyBorder="1" applyAlignment="1">
      <alignment horizontal="left"/>
    </xf>
    <xf numFmtId="0" fontId="18" fillId="0" borderId="2" xfId="0" applyFont="1" applyBorder="1"/>
    <xf numFmtId="0" fontId="11" fillId="0" borderId="0" xfId="0" applyFont="1" applyAlignment="1">
      <alignment horizontal="center"/>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textRotation="180" wrapText="1"/>
    </xf>
    <xf numFmtId="0" fontId="19" fillId="4" borderId="4" xfId="0" applyFont="1" applyFill="1" applyBorder="1" applyAlignment="1">
      <alignment horizontal="center" vertical="center"/>
    </xf>
    <xf numFmtId="0" fontId="19" fillId="4" borderId="4" xfId="0" applyFont="1" applyFill="1" applyBorder="1" applyAlignment="1">
      <alignment horizontal="center" vertical="center" wrapText="1"/>
    </xf>
    <xf numFmtId="0" fontId="19" fillId="2" borderId="4" xfId="0" applyFont="1" applyFill="1" applyBorder="1" applyAlignment="1">
      <alignment horizontal="center" vertical="center"/>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164"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textRotation="180" wrapText="1"/>
    </xf>
    <xf numFmtId="0" fontId="20" fillId="5" borderId="1" xfId="0" applyFont="1" applyFill="1" applyBorder="1" applyAlignment="1">
      <alignment horizontal="center" vertical="center"/>
    </xf>
    <xf numFmtId="0" fontId="20" fillId="5" borderId="1" xfId="0" applyFont="1" applyFill="1" applyBorder="1" applyAlignment="1">
      <alignment horizontal="center" vertical="center" wrapText="1"/>
    </xf>
    <xf numFmtId="20" fontId="20" fillId="5" borderId="1" xfId="0" applyNumberFormat="1" applyFont="1" applyFill="1" applyBorder="1" applyAlignment="1">
      <alignment horizontal="center" vertical="center" wrapText="1"/>
    </xf>
    <xf numFmtId="0" fontId="2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23" fillId="5" borderId="1" xfId="0" applyFont="1" applyFill="1" applyBorder="1" applyAlignment="1">
      <alignment horizontal="center" vertical="center" wrapText="1"/>
    </xf>
    <xf numFmtId="164" fontId="20" fillId="6" borderId="1" xfId="0" applyNumberFormat="1" applyFont="1" applyFill="1" applyBorder="1" applyAlignment="1">
      <alignment horizontal="center" vertical="center" wrapText="1"/>
    </xf>
    <xf numFmtId="0" fontId="20" fillId="6" borderId="1" xfId="0" applyFont="1" applyFill="1" applyBorder="1" applyAlignment="1">
      <alignment horizontal="center" vertical="center" textRotation="180" wrapText="1"/>
    </xf>
    <xf numFmtId="0" fontId="20" fillId="6" borderId="1" xfId="0" applyFont="1" applyFill="1" applyBorder="1" applyAlignment="1">
      <alignment horizontal="center" vertical="center"/>
    </xf>
    <xf numFmtId="0" fontId="20" fillId="6" borderId="1" xfId="0" applyFont="1" applyFill="1" applyBorder="1" applyAlignment="1">
      <alignment horizontal="center" vertical="center" wrapText="1"/>
    </xf>
    <xf numFmtId="20" fontId="20" fillId="6" borderId="1" xfId="0" applyNumberFormat="1" applyFont="1" applyFill="1" applyBorder="1" applyAlignment="1">
      <alignment horizontal="center" vertical="center" wrapText="1"/>
    </xf>
    <xf numFmtId="0" fontId="21" fillId="6"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164" fontId="24" fillId="5" borderId="1" xfId="0" applyNumberFormat="1" applyFont="1" applyFill="1" applyBorder="1" applyAlignment="1">
      <alignment horizontal="center" vertical="center" wrapText="1"/>
    </xf>
    <xf numFmtId="0" fontId="25" fillId="5" borderId="1" xfId="0" applyFont="1" applyFill="1" applyBorder="1" applyAlignment="1">
      <alignment horizontal="center" vertical="center"/>
    </xf>
    <xf numFmtId="0" fontId="26" fillId="5" borderId="1" xfId="0" applyFont="1" applyFill="1" applyBorder="1" applyAlignment="1">
      <alignment horizontal="center" vertical="center"/>
    </xf>
    <xf numFmtId="0" fontId="24" fillId="2" borderId="0" xfId="0" applyFont="1" applyFill="1" applyAlignment="1">
      <alignment horizontal="center" vertical="center" wrapText="1"/>
    </xf>
    <xf numFmtId="0" fontId="20" fillId="0" borderId="1" xfId="0" applyFont="1" applyBorder="1" applyAlignment="1">
      <alignment horizontal="center" vertical="center" wrapText="1"/>
    </xf>
    <xf numFmtId="0" fontId="27" fillId="0" borderId="0" xfId="0" applyFont="1"/>
    <xf numFmtId="0" fontId="0" fillId="0" borderId="0" xfId="0" applyAlignment="1">
      <alignment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7" fillId="0" borderId="0" xfId="0" applyFont="1" applyAlignment="1">
      <alignment wrapText="1"/>
    </xf>
    <xf numFmtId="0" fontId="3" fillId="0" borderId="0" xfId="0" applyFont="1" applyAlignment="1">
      <alignment horizontal="center" vertical="center" wrapText="1"/>
    </xf>
    <xf numFmtId="0" fontId="30" fillId="0" borderId="0" xfId="0" applyFont="1" applyAlignment="1">
      <alignment wrapText="1"/>
    </xf>
    <xf numFmtId="0" fontId="32" fillId="0" borderId="1" xfId="0" applyFont="1" applyBorder="1" applyAlignment="1">
      <alignment horizontal="center" vertical="center" wrapText="1"/>
    </xf>
    <xf numFmtId="0" fontId="3" fillId="0" borderId="6" xfId="0"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6" xfId="0" applyFont="1" applyBorder="1" applyAlignment="1">
      <alignment horizontal="center" vertical="center" textRotation="180" wrapText="1"/>
    </xf>
    <xf numFmtId="0" fontId="3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28" fillId="7" borderId="7" xfId="0" applyFont="1" applyFill="1" applyBorder="1" applyAlignment="1">
      <alignment horizontal="center" vertical="center" wrapText="1"/>
    </xf>
    <xf numFmtId="0" fontId="28" fillId="7" borderId="7" xfId="0" applyFont="1" applyFill="1" applyBorder="1" applyAlignment="1">
      <alignment horizontal="center" vertical="center" textRotation="180" wrapText="1"/>
    </xf>
    <xf numFmtId="0" fontId="31" fillId="7" borderId="7"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29" fillId="8" borderId="7" xfId="0" applyFont="1" applyFill="1" applyBorder="1" applyAlignment="1">
      <alignment horizontal="center" vertical="center" wrapText="1"/>
    </xf>
    <xf numFmtId="0" fontId="23" fillId="0" borderId="6" xfId="0" applyFont="1" applyBorder="1" applyAlignment="1">
      <alignment horizontal="center" vertical="center" wrapText="1"/>
    </xf>
    <xf numFmtId="0" fontId="23" fillId="0" borderId="1" xfId="0" applyFont="1" applyBorder="1" applyAlignment="1">
      <alignment horizontal="center" vertical="center" wrapText="1"/>
    </xf>
  </cellXfs>
  <cellStyles count="1">
    <cellStyle name="عادي" xfId="0" builtinId="0"/>
  </cellStyles>
  <dxfs count="56">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strike val="0"/>
        <outline val="0"/>
        <shadow val="0"/>
        <u val="none"/>
        <vertAlign val="baseline"/>
        <sz val="12"/>
        <name val="Arial"/>
        <scheme val="minor"/>
      </font>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9"/>
        <name val="Arial"/>
        <scheme val="minor"/>
      </font>
      <alignment textRotation="0" wrapText="1" indent="0" justifyLastLine="0" shrinkToFit="0" readingOrder="0"/>
    </dxf>
    <dxf>
      <alignment textRotation="0" wrapText="1" indent="0" justifyLastLine="0" shrinkToFit="0" readingOrder="0"/>
      <border outline="0">
        <left style="thick">
          <color rgb="FF999999"/>
        </lef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name="البيانات-style" pivot="0" count="4" xr9:uid="{00000000-0011-0000-FFFF-FFFF00000000}">
      <tableStyleElement type="wholeTable" size="0" dxfId="55"/>
      <tableStyleElement type="headerRow" dxfId="54"/>
      <tableStyleElement type="firstRowStripe" dxfId="53"/>
      <tableStyleElement type="secondRowStripe" dxfId="52"/>
    </tableStyle>
    <tableStyle name="الكهرباء-style" pivot="0" count="4" xr9:uid="{00000000-0011-0000-FFFF-FFFF01000000}">
      <tableStyleElement type="wholeTable" size="0" dxfId="51"/>
      <tableStyleElement type="headerRow" dxfId="50"/>
      <tableStyleElement type="firstRowStripe" dxfId="49"/>
      <tableStyleElement type="secondRowStripe" dxfId="48"/>
    </tableStyle>
    <tableStyle name="المدني-style" pivot="0" count="4" xr9:uid="{00000000-0011-0000-FFFF-FFFF02000000}">
      <tableStyleElement type="wholeTable" size="0" dxfId="47"/>
      <tableStyleElement type="headerRow" dxfId="46"/>
      <tableStyleElement type="firstRowStripe" dxfId="45"/>
      <tableStyleElement type="secondRowStripe" dxfId="44"/>
    </tableStyle>
    <tableStyle name="الميكانيك-style" pivot="0" count="4" xr9:uid="{00000000-0011-0000-FFFF-FFFF03000000}">
      <tableStyleElement type="wholeTable" size="0" dxfId="43"/>
      <tableStyleElement type="headerRow" dxfId="42"/>
      <tableStyleElement type="firstRowStripe" dxfId="41"/>
      <tableStyleElement type="secondRowStripe" dxfId="40"/>
    </tableStyle>
    <tableStyle name="التبريد-style" pivot="0" count="4" xr9:uid="{00000000-0011-0000-FFFF-FFFF04000000}">
      <tableStyleElement type="wholeTable" size="0" dxfId="39"/>
      <tableStyleElement type="headerRow" dxfId="38"/>
      <tableStyleElement type="firstRowStripe" dxfId="37"/>
      <tableStyleElement type="secondRowStripe" dxfId="36"/>
    </tableStyle>
    <tableStyle name="الطلبات-style" pivot="0" count="4" xr9:uid="{00000000-0011-0000-FFFF-FFFF05000000}">
      <tableStyleElement type="wholeTable" size="0" dxfId="35"/>
      <tableStyleElement type="headerRow" dxfId="34"/>
      <tableStyleElement type="firstRowStripe" dxfId="33"/>
      <tableStyleElement type="secondRowStripe" dxfId="32"/>
    </tableStyle>
    <tableStyle name="الإعدادات-style" pivot="0" count="4" xr9:uid="{00000000-0011-0000-FFFF-FFFF06000000}">
      <tableStyleElement type="wholeTable" size="0" dxfId="31"/>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1E04C307-EE64-D7D7-9B5D-5963414F7547}"/>
            </a:ext>
          </a:extLst>
        </xdr:cNvPr>
        <xdr:cNvSpPr/>
      </xdr:nvSpPr>
      <xdr:spPr>
        <a:xfrm>
          <a:off x="4022035" y="118110"/>
          <a:ext cx="6175513"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لشهر الواحد سنة 2026</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3</xdr:col>
      <xdr:colOff>643891</xdr:colOff>
      <xdr:row>0</xdr:row>
      <xdr:rowOff>1253490</xdr:rowOff>
    </xdr:to>
    <xdr:pic>
      <xdr:nvPicPr>
        <xdr:cNvPr id="4" name="صورة 3">
          <a:extLst>
            <a:ext uri="{FF2B5EF4-FFF2-40B4-BE49-F238E27FC236}">
              <a16:creationId xmlns:a16="http://schemas.microsoft.com/office/drawing/2014/main" id="{D1E2197A-8CE0-1784-CF2E-6B584A5874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6917" y="57150"/>
          <a:ext cx="1341994" cy="1194435"/>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6" name="صورة 5">
          <a:extLst>
            <a:ext uri="{FF2B5EF4-FFF2-40B4-BE49-F238E27FC236}">
              <a16:creationId xmlns:a16="http://schemas.microsoft.com/office/drawing/2014/main" id="{9F581DC3-170F-AF14-E332-7229E5DD70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64354" y="42292"/>
          <a:ext cx="1136256" cy="11807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المعملجي3" displayName="المعملجي3" ref="B2:N590">
  <autoFilter ref="B2:N590" xr:uid="{00000000-0009-0000-0100-000002000000}"/>
  <sortState xmlns:xlrd2="http://schemas.microsoft.com/office/spreadsheetml/2017/richdata2" ref="B3:N590">
    <sortCondition ref="J2:J590"/>
  </sortState>
  <tableColumns count="13">
    <tableColumn id="1" xr3:uid="{00000000-0010-0000-0000-000001000000}" name="وقت رفع الطلب"/>
    <tableColumn id="2" xr3:uid="{00000000-0010-0000-0000-000002000000}" name="المجمع"/>
    <tableColumn id="3" xr3:uid="{00000000-0010-0000-0000-000003000000}" name=" مقدم الطلب " dataDxfId="27"/>
    <tableColumn id="4" xr3:uid="{00000000-0010-0000-0000-000004000000}" name="القسم" dataDxfId="26"/>
    <tableColumn id="5" xr3:uid="{00000000-0010-0000-0000-000005000000}" name="البناية" dataDxfId="25"/>
    <tableColumn id="6" xr3:uid="{00000000-0010-0000-0000-000006000000}" name="موقع الصيانة" dataDxfId="24"/>
    <tableColumn id="7" xr3:uid="{00000000-0010-0000-0000-000007000000}" name="العمل" dataDxfId="23"/>
    <tableColumn id="8" xr3:uid="{00000000-0010-0000-0000-000008000000}" name="ملاحظات المدخل" dataDxfId="22"/>
    <tableColumn id="9" xr3:uid="{00000000-0010-0000-0000-000009000000}" name="الوحدة " dataDxfId="21"/>
    <tableColumn id="10" xr3:uid="{00000000-0010-0000-0000-00000A000000}" name="حالة العمل" dataDxfId="20"/>
    <tableColumn id="11" xr3:uid="{00000000-0010-0000-0000-00000B000000}" name="وقت الانجاز" dataDxfId="19"/>
    <tableColumn id="12" xr3:uid="{00000000-0010-0000-0000-00000C000000}" name="ملاحظات الشعبة" dataDxfId="18"/>
    <tableColumn id="13" xr3:uid="{00000000-0010-0000-0000-00000D000000}" name="الإرسال اليدوي"/>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المعملجي" displayName="المعملجي" ref="A1:M998">
  <autoFilter ref="A1:M998" xr:uid="{00000000-0009-0000-0100-000001000000}"/>
  <sortState xmlns:xlrd2="http://schemas.microsoft.com/office/spreadsheetml/2017/richdata2" ref="A2:M998">
    <sortCondition ref="I1:I998"/>
  </sortState>
  <tableColumns count="13">
    <tableColumn id="1" xr3:uid="{00000000-0010-0000-0100-000001000000}" name="وقت رفع الطلب"/>
    <tableColumn id="2" xr3:uid="{00000000-0010-0000-0100-000002000000}" name="المجمع"/>
    <tableColumn id="3" xr3:uid="{00000000-0010-0000-0100-000003000000}" name=" مقدم الطلب "/>
    <tableColumn id="4" xr3:uid="{00000000-0010-0000-0100-000004000000}" name="القسم"/>
    <tableColumn id="5" xr3:uid="{00000000-0010-0000-0100-000005000000}" name="البناية"/>
    <tableColumn id="6" xr3:uid="{00000000-0010-0000-0100-000006000000}" name="موفع الصيانة"/>
    <tableColumn id="7" xr3:uid="{00000000-0010-0000-0100-000007000000}" name="العمل"/>
    <tableColumn id="8" xr3:uid="{00000000-0010-0000-0100-000008000000}" name="ملاحظات المدخل"/>
    <tableColumn id="9" xr3:uid="{00000000-0010-0000-0100-000009000000}" name="الوحدة "/>
    <tableColumn id="10" xr3:uid="{00000000-0010-0000-0100-00000A000000}" name="حالة العمل"/>
    <tableColumn id="11" xr3:uid="{00000000-0010-0000-0100-00000B000000}" name="وقت الانجاز"/>
    <tableColumn id="12" xr3:uid="{00000000-0010-0000-0100-00000C000000}" name="ملاحظات الشعبة" dataDxfId="17"/>
    <tableColumn id="13" xr3:uid="{00000000-0010-0000-0100-00000D000000}" name="الإرسال اليدوي"/>
  </tableColumns>
  <tableStyleInfo name="البيانات-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الطلبات" displayName="الطلبات" ref="A1:O338"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الطلبات-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جدول_1" displayName="جدول_1" ref="A1:I999">
  <tableColumns count="9">
    <tableColumn id="1" xr3:uid="{00000000-0010-0000-0300-000001000000}" name="الاسم"/>
    <tableColumn id="2" xr3:uid="{00000000-0010-0000-0300-000002000000}" name="الإيميل"/>
    <tableColumn id="3" xr3:uid="{00000000-0010-0000-0300-000003000000}" name="النوع"/>
    <tableColumn id="4" xr3:uid="{00000000-0010-0000-0300-000004000000}" name="الحالة"/>
    <tableColumn id="5" xr3:uid="{00000000-0010-0000-0300-000005000000}" name="ملاحظات"/>
    <tableColumn id="6" xr3:uid="{00000000-0010-0000-0300-000006000000}" name="رقم واتساب"/>
    <tableColumn id="7" xr3:uid="{00000000-0010-0000-0300-000007000000}" name="الوحدة"/>
    <tableColumn id="8" xr3:uid="{00000000-0010-0000-0300-000008000000}" name="telegram"/>
    <tableColumn id="9" xr3:uid="{00000000-0010-0000-03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4.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outlinePr summaryBelow="0" summaryRight="0"/>
    <pageSetUpPr fitToPage="1"/>
  </sheetPr>
  <dimension ref="A1:N591"/>
  <sheetViews>
    <sheetView showGridLines="0" tabSelected="1" zoomScale="80" zoomScaleNormal="80" workbookViewId="0">
      <pane ySplit="2" topLeftCell="A3" activePane="bottomLeft" state="frozen"/>
      <selection pane="bottomLeft" activeCell="H3" sqref="H3"/>
    </sheetView>
  </sheetViews>
  <sheetFormatPr defaultColWidth="12.5546875" defaultRowHeight="15.75" customHeight="1"/>
  <cols>
    <col min="1" max="1" width="9.33203125" style="69" customWidth="1"/>
    <col min="2" max="2" width="24.88671875" bestFit="1" customWidth="1"/>
    <col min="3" max="3" width="6" customWidth="1"/>
    <col min="4" max="4" width="11.44140625" style="69" customWidth="1"/>
    <col min="5" max="5" width="13" style="69" customWidth="1"/>
    <col min="6" max="6" width="34.33203125" style="69" customWidth="1"/>
    <col min="7" max="7" width="25.109375" style="69" customWidth="1"/>
    <col min="8" max="8" width="55.33203125" style="74" customWidth="1"/>
    <col min="9" max="9" width="18.88671875" style="69" customWidth="1"/>
    <col min="10" max="10" width="10.6640625" style="69" customWidth="1"/>
    <col min="11" max="11" width="10" style="69" customWidth="1"/>
    <col min="12" max="12" width="25" style="69" bestFit="1" customWidth="1"/>
    <col min="13" max="13" width="18.88671875" style="72" customWidth="1"/>
    <col min="14" max="14" width="15.109375" hidden="1" customWidth="1"/>
  </cols>
  <sheetData>
    <row r="1" spans="1:14" ht="99.9" customHeight="1" thickBot="1">
      <c r="M1" s="69"/>
    </row>
    <row r="2" spans="1:14" ht="50.1" customHeight="1" thickTop="1" thickBot="1">
      <c r="A2" s="83" t="s">
        <v>758</v>
      </c>
      <c r="B2" s="83" t="s">
        <v>0</v>
      </c>
      <c r="C2" s="84" t="s">
        <v>1</v>
      </c>
      <c r="D2" s="83" t="s">
        <v>2</v>
      </c>
      <c r="E2" s="83" t="s">
        <v>3</v>
      </c>
      <c r="F2" s="83" t="s">
        <v>4</v>
      </c>
      <c r="G2" s="83" t="s">
        <v>32</v>
      </c>
      <c r="H2" s="85" t="s">
        <v>6</v>
      </c>
      <c r="I2" s="83" t="s">
        <v>7</v>
      </c>
      <c r="J2" s="86" t="s">
        <v>8</v>
      </c>
      <c r="K2" s="86" t="s">
        <v>9</v>
      </c>
      <c r="L2" s="86" t="s">
        <v>10</v>
      </c>
      <c r="M2" s="87" t="s">
        <v>11</v>
      </c>
      <c r="N2" s="6" t="s">
        <v>12</v>
      </c>
    </row>
    <row r="3" spans="1:14" ht="100.2" customHeight="1" thickTop="1" thickBot="1">
      <c r="A3" s="76">
        <v>1</v>
      </c>
      <c r="B3" s="77">
        <v>46026.340736342499</v>
      </c>
      <c r="C3" s="78" t="s">
        <v>36</v>
      </c>
      <c r="D3" s="76" t="s">
        <v>759</v>
      </c>
      <c r="E3" s="76" t="s">
        <v>38</v>
      </c>
      <c r="F3" s="88" t="s">
        <v>148</v>
      </c>
      <c r="G3" s="76" t="s">
        <v>115</v>
      </c>
      <c r="H3" s="79" t="s">
        <v>760</v>
      </c>
      <c r="I3" s="76"/>
      <c r="J3" s="80" t="s">
        <v>16</v>
      </c>
      <c r="K3" s="81" t="s">
        <v>20</v>
      </c>
      <c r="L3" s="77">
        <v>46027.311977662037</v>
      </c>
      <c r="M3" s="82" t="s">
        <v>761</v>
      </c>
      <c r="N3" s="10"/>
    </row>
    <row r="4" spans="1:14" ht="100.2" customHeight="1" thickTop="1" thickBot="1">
      <c r="A4" s="10">
        <v>2</v>
      </c>
      <c r="B4" s="7">
        <v>46027.346390462902</v>
      </c>
      <c r="C4" s="8" t="s">
        <v>36</v>
      </c>
      <c r="D4" s="10" t="s">
        <v>759</v>
      </c>
      <c r="E4" s="10" t="s">
        <v>38</v>
      </c>
      <c r="F4" s="89" t="s">
        <v>53</v>
      </c>
      <c r="G4" s="10" t="s">
        <v>762</v>
      </c>
      <c r="H4" s="75" t="s">
        <v>763</v>
      </c>
      <c r="I4" s="10"/>
      <c r="J4" s="70" t="s">
        <v>16</v>
      </c>
      <c r="K4" s="71" t="s">
        <v>14</v>
      </c>
      <c r="L4" s="7">
        <v>46027.359499421298</v>
      </c>
      <c r="M4" s="67"/>
      <c r="N4" s="10"/>
    </row>
    <row r="5" spans="1:14" ht="100.2" customHeight="1" thickTop="1" thickBot="1">
      <c r="A5" s="76">
        <v>3</v>
      </c>
      <c r="B5" s="7">
        <v>46027.346978541602</v>
      </c>
      <c r="C5" s="8" t="s">
        <v>36</v>
      </c>
      <c r="D5" s="10" t="s">
        <v>759</v>
      </c>
      <c r="E5" s="10" t="s">
        <v>38</v>
      </c>
      <c r="F5" s="89" t="s">
        <v>78</v>
      </c>
      <c r="G5" s="10" t="s">
        <v>764</v>
      </c>
      <c r="H5" s="75" t="s">
        <v>763</v>
      </c>
      <c r="I5" s="10"/>
      <c r="J5" s="70" t="s">
        <v>16</v>
      </c>
      <c r="K5" s="71" t="s">
        <v>14</v>
      </c>
      <c r="L5" s="7">
        <v>46027.359448773146</v>
      </c>
      <c r="M5" s="67"/>
      <c r="N5" s="10"/>
    </row>
    <row r="6" spans="1:14" ht="100.2" customHeight="1" thickTop="1" thickBot="1">
      <c r="A6" s="10">
        <v>4</v>
      </c>
      <c r="B6" s="7">
        <v>46027.442629062498</v>
      </c>
      <c r="C6" s="8" t="s">
        <v>36</v>
      </c>
      <c r="D6" s="10" t="s">
        <v>759</v>
      </c>
      <c r="E6" s="10" t="s">
        <v>38</v>
      </c>
      <c r="F6" s="89" t="s">
        <v>39</v>
      </c>
      <c r="G6" s="10" t="s">
        <v>765</v>
      </c>
      <c r="H6" s="75" t="s">
        <v>766</v>
      </c>
      <c r="I6" s="10"/>
      <c r="J6" s="70" t="s">
        <v>16</v>
      </c>
      <c r="K6" s="71" t="s">
        <v>14</v>
      </c>
      <c r="L6" s="7">
        <v>46027.483574930557</v>
      </c>
      <c r="M6" s="67"/>
      <c r="N6" s="10"/>
    </row>
    <row r="7" spans="1:14" ht="100.2" customHeight="1" thickTop="1" thickBot="1">
      <c r="A7" s="76">
        <v>5</v>
      </c>
      <c r="B7" s="7">
        <v>46029.450430902703</v>
      </c>
      <c r="C7" s="8" t="s">
        <v>36</v>
      </c>
      <c r="D7" s="10" t="s">
        <v>759</v>
      </c>
      <c r="E7" s="10" t="s">
        <v>38</v>
      </c>
      <c r="F7" s="89" t="s">
        <v>212</v>
      </c>
      <c r="G7" s="10" t="s">
        <v>329</v>
      </c>
      <c r="H7" s="75" t="s">
        <v>767</v>
      </c>
      <c r="I7" s="10"/>
      <c r="J7" s="70" t="s">
        <v>16</v>
      </c>
      <c r="K7" s="71" t="s">
        <v>14</v>
      </c>
      <c r="L7" s="7">
        <v>46029.45117748843</v>
      </c>
      <c r="M7" s="67"/>
      <c r="N7" s="10"/>
    </row>
    <row r="8" spans="1:14" ht="100.2" customHeight="1" thickTop="1" thickBot="1">
      <c r="A8" s="10">
        <v>6</v>
      </c>
      <c r="B8" s="7">
        <v>46029.451015995299</v>
      </c>
      <c r="C8" s="8" t="s">
        <v>36</v>
      </c>
      <c r="D8" s="10" t="s">
        <v>759</v>
      </c>
      <c r="E8" s="10" t="s">
        <v>38</v>
      </c>
      <c r="F8" s="89" t="s">
        <v>58</v>
      </c>
      <c r="G8" s="10" t="s">
        <v>299</v>
      </c>
      <c r="H8" s="75" t="s">
        <v>763</v>
      </c>
      <c r="I8" s="10"/>
      <c r="J8" s="70" t="s">
        <v>16</v>
      </c>
      <c r="K8" s="71" t="s">
        <v>14</v>
      </c>
      <c r="L8" s="7">
        <v>46029.769785856479</v>
      </c>
      <c r="M8" s="67"/>
      <c r="N8" s="10"/>
    </row>
    <row r="9" spans="1:14" ht="100.2" customHeight="1" thickTop="1" thickBot="1">
      <c r="A9" s="76">
        <v>7</v>
      </c>
      <c r="B9" s="7">
        <v>46043.377371828698</v>
      </c>
      <c r="C9" s="8" t="s">
        <v>36</v>
      </c>
      <c r="D9" s="10" t="s">
        <v>759</v>
      </c>
      <c r="E9" s="10" t="s">
        <v>38</v>
      </c>
      <c r="F9" s="89" t="s">
        <v>148</v>
      </c>
      <c r="G9" s="10" t="s">
        <v>115</v>
      </c>
      <c r="H9" s="75" t="s">
        <v>768</v>
      </c>
      <c r="I9" s="10"/>
      <c r="J9" s="70" t="s">
        <v>16</v>
      </c>
      <c r="K9" s="71" t="s">
        <v>20</v>
      </c>
      <c r="L9" s="7">
        <v>46046.399292465278</v>
      </c>
      <c r="M9" s="67" t="s">
        <v>26</v>
      </c>
      <c r="N9" s="10"/>
    </row>
    <row r="10" spans="1:14" ht="100.2" customHeight="1" thickTop="1" thickBot="1">
      <c r="A10" s="10">
        <v>8</v>
      </c>
      <c r="B10" s="7">
        <v>46046.3991558333</v>
      </c>
      <c r="C10" s="8" t="s">
        <v>36</v>
      </c>
      <c r="D10" s="10" t="s">
        <v>759</v>
      </c>
      <c r="E10" s="10" t="s">
        <v>38</v>
      </c>
      <c r="F10" s="89" t="s">
        <v>39</v>
      </c>
      <c r="G10" s="10" t="s">
        <v>769</v>
      </c>
      <c r="H10" s="75" t="s">
        <v>770</v>
      </c>
      <c r="I10" s="10"/>
      <c r="J10" s="70" t="s">
        <v>16</v>
      </c>
      <c r="K10" s="71" t="s">
        <v>14</v>
      </c>
      <c r="L10" s="7">
        <v>46048.736387187499</v>
      </c>
      <c r="M10" s="67"/>
      <c r="N10" s="10"/>
    </row>
    <row r="11" spans="1:14" ht="100.2" customHeight="1" thickTop="1" thickBot="1">
      <c r="A11" s="76">
        <v>9</v>
      </c>
      <c r="B11" s="7">
        <v>46047.347710983799</v>
      </c>
      <c r="C11" s="8" t="s">
        <v>36</v>
      </c>
      <c r="D11" s="10" t="s">
        <v>431</v>
      </c>
      <c r="E11" s="10" t="s">
        <v>43</v>
      </c>
      <c r="F11" s="89" t="s">
        <v>58</v>
      </c>
      <c r="G11" s="10" t="s">
        <v>159</v>
      </c>
      <c r="H11" s="75" t="s">
        <v>771</v>
      </c>
      <c r="I11" s="10"/>
      <c r="J11" s="70" t="s">
        <v>16</v>
      </c>
      <c r="K11" s="71" t="s">
        <v>14</v>
      </c>
      <c r="L11" s="7">
        <v>46047.350062662037</v>
      </c>
      <c r="M11" s="67"/>
      <c r="N11" s="10"/>
    </row>
    <row r="12" spans="1:14" ht="100.2" customHeight="1" thickTop="1" thickBot="1">
      <c r="A12" s="10">
        <v>10</v>
      </c>
      <c r="B12" s="7">
        <v>46047.348044097198</v>
      </c>
      <c r="C12" s="8" t="s">
        <v>36</v>
      </c>
      <c r="D12" s="10" t="s">
        <v>251</v>
      </c>
      <c r="E12" s="10" t="s">
        <v>43</v>
      </c>
      <c r="F12" s="89" t="s">
        <v>48</v>
      </c>
      <c r="G12" s="10" t="s">
        <v>159</v>
      </c>
      <c r="H12" s="75" t="s">
        <v>771</v>
      </c>
      <c r="I12" s="10"/>
      <c r="J12" s="70" t="s">
        <v>16</v>
      </c>
      <c r="K12" s="71" t="s">
        <v>14</v>
      </c>
      <c r="L12" s="7">
        <v>46047.350070312503</v>
      </c>
      <c r="M12" s="67"/>
      <c r="N12" s="10"/>
    </row>
    <row r="13" spans="1:14" ht="100.2" customHeight="1" thickTop="1" thickBot="1">
      <c r="A13" s="76">
        <v>11</v>
      </c>
      <c r="B13" s="7">
        <v>46047.348379398099</v>
      </c>
      <c r="C13" s="8" t="s">
        <v>36</v>
      </c>
      <c r="D13" s="10" t="s">
        <v>251</v>
      </c>
      <c r="E13" s="10" t="s">
        <v>43</v>
      </c>
      <c r="F13" s="89" t="s">
        <v>193</v>
      </c>
      <c r="G13" s="10" t="s">
        <v>159</v>
      </c>
      <c r="H13" s="75" t="s">
        <v>771</v>
      </c>
      <c r="I13" s="10"/>
      <c r="J13" s="70" t="s">
        <v>16</v>
      </c>
      <c r="K13" s="71" t="s">
        <v>14</v>
      </c>
      <c r="L13" s="7">
        <v>46047.350095092595</v>
      </c>
      <c r="M13" s="67"/>
      <c r="N13" s="10"/>
    </row>
    <row r="14" spans="1:14" ht="100.2" customHeight="1" thickTop="1" thickBot="1">
      <c r="A14" s="10">
        <v>12</v>
      </c>
      <c r="B14" s="7">
        <v>46047.348813206001</v>
      </c>
      <c r="C14" s="8" t="s">
        <v>36</v>
      </c>
      <c r="D14" s="10" t="s">
        <v>251</v>
      </c>
      <c r="E14" s="10" t="s">
        <v>43</v>
      </c>
      <c r="F14" s="89" t="s">
        <v>53</v>
      </c>
      <c r="G14" s="10" t="s">
        <v>159</v>
      </c>
      <c r="H14" s="75" t="s">
        <v>771</v>
      </c>
      <c r="I14" s="10"/>
      <c r="J14" s="70" t="s">
        <v>16</v>
      </c>
      <c r="K14" s="71" t="s">
        <v>14</v>
      </c>
      <c r="L14" s="7">
        <v>46047.350114687499</v>
      </c>
      <c r="M14" s="67"/>
      <c r="N14" s="10"/>
    </row>
    <row r="15" spans="1:14" ht="100.2" customHeight="1" thickTop="1" thickBot="1">
      <c r="A15" s="76">
        <v>13</v>
      </c>
      <c r="B15" s="7">
        <v>46048.411661354097</v>
      </c>
      <c r="C15" s="8" t="s">
        <v>36</v>
      </c>
      <c r="D15" s="10" t="s">
        <v>759</v>
      </c>
      <c r="E15" s="10" t="s">
        <v>38</v>
      </c>
      <c r="F15" s="89" t="s">
        <v>102</v>
      </c>
      <c r="G15" s="10" t="s">
        <v>772</v>
      </c>
      <c r="H15" s="75" t="s">
        <v>773</v>
      </c>
      <c r="I15" s="10"/>
      <c r="J15" s="70" t="s">
        <v>16</v>
      </c>
      <c r="K15" s="71" t="s">
        <v>14</v>
      </c>
      <c r="L15" s="7">
        <v>46049.378263136576</v>
      </c>
      <c r="M15" s="67"/>
      <c r="N15" s="10"/>
    </row>
    <row r="16" spans="1:14" ht="100.2" customHeight="1" thickTop="1" thickBot="1">
      <c r="A16" s="10">
        <v>14</v>
      </c>
      <c r="B16" s="7">
        <v>46048.571751759198</v>
      </c>
      <c r="C16" s="8" t="s">
        <v>36</v>
      </c>
      <c r="D16" s="10" t="s">
        <v>251</v>
      </c>
      <c r="E16" s="10" t="s">
        <v>43</v>
      </c>
      <c r="F16" s="89" t="s">
        <v>78</v>
      </c>
      <c r="G16" s="10" t="s">
        <v>159</v>
      </c>
      <c r="H16" s="75" t="s">
        <v>771</v>
      </c>
      <c r="I16" s="10"/>
      <c r="J16" s="70" t="s">
        <v>16</v>
      </c>
      <c r="K16" s="71" t="s">
        <v>14</v>
      </c>
      <c r="L16" s="7">
        <v>46048.574415034724</v>
      </c>
      <c r="M16" s="67"/>
      <c r="N16" s="10"/>
    </row>
    <row r="17" spans="1:14" ht="100.2" customHeight="1" thickTop="1" thickBot="1">
      <c r="A17" s="76">
        <v>15</v>
      </c>
      <c r="B17" s="7">
        <v>46048.572159247597</v>
      </c>
      <c r="C17" s="8" t="s">
        <v>36</v>
      </c>
      <c r="D17" s="10" t="s">
        <v>251</v>
      </c>
      <c r="E17" s="10" t="s">
        <v>43</v>
      </c>
      <c r="F17" s="89" t="s">
        <v>212</v>
      </c>
      <c r="G17" s="10" t="s">
        <v>159</v>
      </c>
      <c r="H17" s="75" t="s">
        <v>771</v>
      </c>
      <c r="I17" s="10"/>
      <c r="J17" s="70" t="s">
        <v>16</v>
      </c>
      <c r="K17" s="71" t="s">
        <v>14</v>
      </c>
      <c r="L17" s="7">
        <v>46048.574533622683</v>
      </c>
      <c r="M17" s="67"/>
      <c r="N17" s="10"/>
    </row>
    <row r="18" spans="1:14" ht="100.2" customHeight="1" thickTop="1" thickBot="1">
      <c r="A18" s="10">
        <v>16</v>
      </c>
      <c r="B18" s="7">
        <v>46048.574442488403</v>
      </c>
      <c r="C18" s="8" t="s">
        <v>36</v>
      </c>
      <c r="D18" s="10" t="s">
        <v>251</v>
      </c>
      <c r="E18" s="10" t="s">
        <v>43</v>
      </c>
      <c r="F18" s="89" t="s">
        <v>39</v>
      </c>
      <c r="G18" s="10" t="s">
        <v>159</v>
      </c>
      <c r="H18" s="75" t="s">
        <v>771</v>
      </c>
      <c r="I18" s="10"/>
      <c r="J18" s="70" t="s">
        <v>16</v>
      </c>
      <c r="K18" s="71" t="s">
        <v>14</v>
      </c>
      <c r="L18" s="7">
        <v>46048.574614733792</v>
      </c>
      <c r="M18" s="67"/>
      <c r="N18" s="10"/>
    </row>
    <row r="19" spans="1:14" ht="100.2" customHeight="1" thickTop="1" thickBot="1">
      <c r="A19" s="76">
        <v>17</v>
      </c>
      <c r="B19" s="7">
        <v>46048.574751377302</v>
      </c>
      <c r="C19" s="8" t="s">
        <v>36</v>
      </c>
      <c r="D19" s="10" t="s">
        <v>431</v>
      </c>
      <c r="E19" s="10" t="s">
        <v>43</v>
      </c>
      <c r="F19" s="89" t="s">
        <v>102</v>
      </c>
      <c r="G19" s="10" t="s">
        <v>159</v>
      </c>
      <c r="H19" s="75" t="s">
        <v>771</v>
      </c>
      <c r="I19" s="10"/>
      <c r="J19" s="70" t="s">
        <v>16</v>
      </c>
      <c r="K19" s="71" t="s">
        <v>14</v>
      </c>
      <c r="L19" s="7">
        <v>46048.574893171295</v>
      </c>
      <c r="M19" s="67"/>
      <c r="N19" s="10"/>
    </row>
    <row r="20" spans="1:14" ht="100.2" customHeight="1" thickTop="1" thickBot="1">
      <c r="A20" s="10">
        <v>18</v>
      </c>
      <c r="B20" s="7">
        <v>46048.575244074003</v>
      </c>
      <c r="C20" s="8" t="s">
        <v>36</v>
      </c>
      <c r="D20" s="10" t="s">
        <v>251</v>
      </c>
      <c r="E20" s="10" t="s">
        <v>43</v>
      </c>
      <c r="F20" s="89" t="s">
        <v>148</v>
      </c>
      <c r="G20" s="10" t="s">
        <v>159</v>
      </c>
      <c r="H20" s="75" t="s">
        <v>771</v>
      </c>
      <c r="I20" s="10"/>
      <c r="J20" s="70" t="s">
        <v>16</v>
      </c>
      <c r="K20" s="71" t="s">
        <v>14</v>
      </c>
      <c r="L20" s="7">
        <v>46048.575363252312</v>
      </c>
      <c r="M20" s="67"/>
      <c r="N20" s="10"/>
    </row>
    <row r="21" spans="1:14" ht="100.2" customHeight="1" thickTop="1" thickBot="1">
      <c r="A21" s="76">
        <v>19</v>
      </c>
      <c r="B21" s="7">
        <v>46048.575973495303</v>
      </c>
      <c r="C21" s="8" t="s">
        <v>36</v>
      </c>
      <c r="D21" s="10" t="s">
        <v>431</v>
      </c>
      <c r="E21" s="10" t="s">
        <v>43</v>
      </c>
      <c r="F21" s="89" t="s">
        <v>774</v>
      </c>
      <c r="G21" s="10" t="s">
        <v>159</v>
      </c>
      <c r="H21" s="75" t="s">
        <v>771</v>
      </c>
      <c r="I21" s="10"/>
      <c r="J21" s="70" t="s">
        <v>16</v>
      </c>
      <c r="K21" s="71" t="s">
        <v>14</v>
      </c>
      <c r="L21" s="7">
        <v>46048.576935150464</v>
      </c>
      <c r="M21" s="67"/>
      <c r="N21" s="10"/>
    </row>
    <row r="22" spans="1:14" ht="100.2" customHeight="1" thickTop="1" thickBot="1">
      <c r="A22" s="10">
        <v>20</v>
      </c>
      <c r="B22" s="7">
        <v>46048.581191249999</v>
      </c>
      <c r="C22" s="8" t="s">
        <v>36</v>
      </c>
      <c r="D22" s="10" t="s">
        <v>431</v>
      </c>
      <c r="E22" s="10" t="s">
        <v>43</v>
      </c>
      <c r="F22" s="89" t="s">
        <v>48</v>
      </c>
      <c r="G22" s="10" t="s">
        <v>775</v>
      </c>
      <c r="H22" s="75" t="s">
        <v>776</v>
      </c>
      <c r="I22" s="10"/>
      <c r="J22" s="70" t="s">
        <v>16</v>
      </c>
      <c r="K22" s="71" t="s">
        <v>14</v>
      </c>
      <c r="L22" s="7">
        <v>46048.585678831019</v>
      </c>
      <c r="M22" s="67"/>
      <c r="N22" s="10"/>
    </row>
    <row r="23" spans="1:14" ht="100.2" customHeight="1" thickTop="1" thickBot="1">
      <c r="A23" s="76">
        <v>21</v>
      </c>
      <c r="B23" s="7">
        <v>46048.582480404999</v>
      </c>
      <c r="C23" s="8" t="s">
        <v>36</v>
      </c>
      <c r="D23" s="10" t="s">
        <v>251</v>
      </c>
      <c r="E23" s="10" t="s">
        <v>43</v>
      </c>
      <c r="F23" s="89" t="s">
        <v>48</v>
      </c>
      <c r="G23" s="10" t="s">
        <v>777</v>
      </c>
      <c r="H23" s="75" t="s">
        <v>776</v>
      </c>
      <c r="I23" s="10"/>
      <c r="J23" s="70" t="s">
        <v>16</v>
      </c>
      <c r="K23" s="71" t="s">
        <v>14</v>
      </c>
      <c r="L23" s="7">
        <v>46048.585711307867</v>
      </c>
      <c r="M23" s="67"/>
      <c r="N23" s="10"/>
    </row>
    <row r="24" spans="1:14" ht="100.2" customHeight="1" thickTop="1" thickBot="1">
      <c r="A24" s="10">
        <v>22</v>
      </c>
      <c r="B24" s="7">
        <v>46048.582969340197</v>
      </c>
      <c r="C24" s="8" t="s">
        <v>36</v>
      </c>
      <c r="D24" s="10" t="s">
        <v>251</v>
      </c>
      <c r="E24" s="10" t="s">
        <v>43</v>
      </c>
      <c r="F24" s="89" t="s">
        <v>193</v>
      </c>
      <c r="G24" s="10" t="s">
        <v>778</v>
      </c>
      <c r="H24" s="75" t="s">
        <v>776</v>
      </c>
      <c r="I24" s="10"/>
      <c r="J24" s="70" t="s">
        <v>16</v>
      </c>
      <c r="K24" s="71" t="s">
        <v>14</v>
      </c>
      <c r="L24" s="7">
        <v>46048.585731817133</v>
      </c>
      <c r="M24" s="67"/>
      <c r="N24" s="10"/>
    </row>
    <row r="25" spans="1:14" ht="100.2" customHeight="1" thickTop="1" thickBot="1">
      <c r="A25" s="76">
        <v>23</v>
      </c>
      <c r="B25" s="7">
        <v>46048.583998819398</v>
      </c>
      <c r="C25" s="8" t="s">
        <v>36</v>
      </c>
      <c r="D25" s="10" t="s">
        <v>251</v>
      </c>
      <c r="E25" s="10" t="s">
        <v>43</v>
      </c>
      <c r="F25" s="89" t="s">
        <v>193</v>
      </c>
      <c r="G25" s="10" t="s">
        <v>779</v>
      </c>
      <c r="H25" s="75" t="s">
        <v>776</v>
      </c>
      <c r="I25" s="10"/>
      <c r="J25" s="70" t="s">
        <v>16</v>
      </c>
      <c r="K25" s="71" t="s">
        <v>14</v>
      </c>
      <c r="L25" s="7">
        <v>46048.585767442128</v>
      </c>
      <c r="M25" s="67"/>
      <c r="N25" s="10"/>
    </row>
    <row r="26" spans="1:14" ht="100.2" customHeight="1" thickTop="1" thickBot="1">
      <c r="A26" s="10">
        <v>24</v>
      </c>
      <c r="B26" s="7">
        <v>46050.438800648102</v>
      </c>
      <c r="C26" s="8" t="s">
        <v>36</v>
      </c>
      <c r="D26" s="10" t="s">
        <v>251</v>
      </c>
      <c r="E26" s="10" t="s">
        <v>43</v>
      </c>
      <c r="F26" s="89" t="s">
        <v>58</v>
      </c>
      <c r="G26" s="10" t="s">
        <v>780</v>
      </c>
      <c r="H26" s="75" t="s">
        <v>781</v>
      </c>
      <c r="I26" s="10"/>
      <c r="J26" s="70" t="s">
        <v>16</v>
      </c>
      <c r="K26" s="71" t="s">
        <v>14</v>
      </c>
      <c r="L26" s="7">
        <v>46050.449041874999</v>
      </c>
      <c r="M26" s="67"/>
      <c r="N26" s="10"/>
    </row>
    <row r="27" spans="1:14" ht="100.2" customHeight="1" thickTop="1" thickBot="1">
      <c r="A27" s="76">
        <v>25</v>
      </c>
      <c r="B27" s="7">
        <v>46050.439140983697</v>
      </c>
      <c r="C27" s="8" t="s">
        <v>36</v>
      </c>
      <c r="D27" s="10" t="s">
        <v>251</v>
      </c>
      <c r="E27" s="10" t="s">
        <v>43</v>
      </c>
      <c r="F27" s="89" t="s">
        <v>48</v>
      </c>
      <c r="G27" s="10" t="s">
        <v>782</v>
      </c>
      <c r="H27" s="75" t="s">
        <v>781</v>
      </c>
      <c r="I27" s="10"/>
      <c r="J27" s="70" t="s">
        <v>16</v>
      </c>
      <c r="K27" s="71" t="s">
        <v>14</v>
      </c>
      <c r="L27" s="7">
        <v>46050.44912016204</v>
      </c>
      <c r="M27" s="67"/>
      <c r="N27" s="10"/>
    </row>
    <row r="28" spans="1:14" ht="100.2" customHeight="1" thickTop="1" thickBot="1">
      <c r="A28" s="10">
        <v>26</v>
      </c>
      <c r="B28" s="7">
        <v>46050.4394606481</v>
      </c>
      <c r="C28" s="8" t="s">
        <v>36</v>
      </c>
      <c r="D28" s="10" t="s">
        <v>251</v>
      </c>
      <c r="E28" s="10" t="s">
        <v>43</v>
      </c>
      <c r="F28" s="89" t="s">
        <v>193</v>
      </c>
      <c r="G28" s="10" t="s">
        <v>782</v>
      </c>
      <c r="H28" s="75" t="s">
        <v>781</v>
      </c>
      <c r="I28" s="10"/>
      <c r="J28" s="70" t="s">
        <v>16</v>
      </c>
      <c r="K28" s="71" t="s">
        <v>14</v>
      </c>
      <c r="L28" s="7">
        <v>46050.449059444443</v>
      </c>
      <c r="M28" s="67"/>
      <c r="N28" s="10"/>
    </row>
    <row r="29" spans="1:14" ht="100.2" customHeight="1" thickTop="1" thickBot="1">
      <c r="A29" s="76">
        <v>27</v>
      </c>
      <c r="B29" s="7">
        <v>46050.439729583297</v>
      </c>
      <c r="C29" s="8" t="s">
        <v>36</v>
      </c>
      <c r="D29" s="10" t="s">
        <v>251</v>
      </c>
      <c r="E29" s="10" t="s">
        <v>43</v>
      </c>
      <c r="F29" s="89" t="s">
        <v>53</v>
      </c>
      <c r="G29" s="10" t="s">
        <v>783</v>
      </c>
      <c r="H29" s="75" t="s">
        <v>781</v>
      </c>
      <c r="I29" s="10"/>
      <c r="J29" s="70" t="s">
        <v>16</v>
      </c>
      <c r="K29" s="71" t="s">
        <v>14</v>
      </c>
      <c r="L29" s="7">
        <v>46050.449092129631</v>
      </c>
      <c r="M29" s="67"/>
      <c r="N29" s="10"/>
    </row>
    <row r="30" spans="1:14" ht="100.2" customHeight="1" thickTop="1" thickBot="1">
      <c r="A30" s="10">
        <v>28</v>
      </c>
      <c r="B30" s="7">
        <v>46050.440725497603</v>
      </c>
      <c r="C30" s="8" t="s">
        <v>36</v>
      </c>
      <c r="D30" s="10" t="s">
        <v>251</v>
      </c>
      <c r="E30" s="10" t="s">
        <v>43</v>
      </c>
      <c r="F30" s="89" t="s">
        <v>212</v>
      </c>
      <c r="G30" s="10" t="s">
        <v>783</v>
      </c>
      <c r="H30" s="75" t="s">
        <v>781</v>
      </c>
      <c r="I30" s="10"/>
      <c r="J30" s="70" t="s">
        <v>16</v>
      </c>
      <c r="K30" s="71" t="s">
        <v>14</v>
      </c>
      <c r="L30" s="7">
        <v>46050.449155462964</v>
      </c>
      <c r="M30" s="67"/>
      <c r="N30" s="10"/>
    </row>
    <row r="31" spans="1:14" ht="100.2" customHeight="1" thickTop="1" thickBot="1">
      <c r="A31" s="76">
        <v>29</v>
      </c>
      <c r="B31" s="7">
        <v>46050.441000289298</v>
      </c>
      <c r="C31" s="8" t="s">
        <v>36</v>
      </c>
      <c r="D31" s="10" t="s">
        <v>251</v>
      </c>
      <c r="E31" s="10" t="s">
        <v>43</v>
      </c>
      <c r="F31" s="89" t="s">
        <v>39</v>
      </c>
      <c r="G31" s="10" t="s">
        <v>783</v>
      </c>
      <c r="H31" s="75" t="s">
        <v>781</v>
      </c>
      <c r="I31" s="10"/>
      <c r="J31" s="70" t="s">
        <v>16</v>
      </c>
      <c r="K31" s="71" t="s">
        <v>14</v>
      </c>
      <c r="L31" s="7">
        <v>46050.449183900462</v>
      </c>
      <c r="M31" s="67"/>
      <c r="N31" s="10"/>
    </row>
    <row r="32" spans="1:14" ht="100.2" customHeight="1" thickTop="1" thickBot="1">
      <c r="A32" s="10">
        <v>30</v>
      </c>
      <c r="B32" s="7">
        <v>46050.441278611099</v>
      </c>
      <c r="C32" s="8" t="s">
        <v>36</v>
      </c>
      <c r="D32" s="10" t="s">
        <v>251</v>
      </c>
      <c r="E32" s="10" t="s">
        <v>43</v>
      </c>
      <c r="F32" s="89" t="s">
        <v>102</v>
      </c>
      <c r="G32" s="10" t="s">
        <v>783</v>
      </c>
      <c r="H32" s="75" t="s">
        <v>781</v>
      </c>
      <c r="I32" s="10"/>
      <c r="J32" s="70" t="s">
        <v>16</v>
      </c>
      <c r="K32" s="71" t="s">
        <v>14</v>
      </c>
      <c r="L32" s="7">
        <v>46050.449222719908</v>
      </c>
      <c r="M32" s="67"/>
      <c r="N32" s="10"/>
    </row>
    <row r="33" spans="1:14" ht="100.2" customHeight="1" thickTop="1" thickBot="1">
      <c r="A33" s="76">
        <v>31</v>
      </c>
      <c r="B33" s="7">
        <v>46050.441672175897</v>
      </c>
      <c r="C33" s="8" t="s">
        <v>36</v>
      </c>
      <c r="D33" s="10" t="s">
        <v>251</v>
      </c>
      <c r="E33" s="10" t="s">
        <v>43</v>
      </c>
      <c r="F33" s="89" t="s">
        <v>148</v>
      </c>
      <c r="G33" s="10" t="s">
        <v>783</v>
      </c>
      <c r="H33" s="75" t="s">
        <v>781</v>
      </c>
      <c r="I33" s="10"/>
      <c r="J33" s="70" t="s">
        <v>16</v>
      </c>
      <c r="K33" s="71" t="s">
        <v>14</v>
      </c>
      <c r="L33" s="7">
        <v>46050.449393333329</v>
      </c>
      <c r="M33" s="67"/>
      <c r="N33" s="10"/>
    </row>
    <row r="34" spans="1:14" ht="100.2" customHeight="1" thickTop="1" thickBot="1">
      <c r="A34" s="10">
        <v>32</v>
      </c>
      <c r="B34" s="7">
        <v>46050.4419353587</v>
      </c>
      <c r="C34" s="8" t="s">
        <v>36</v>
      </c>
      <c r="D34" s="10" t="s">
        <v>251</v>
      </c>
      <c r="E34" s="10" t="s">
        <v>43</v>
      </c>
      <c r="F34" s="89" t="s">
        <v>774</v>
      </c>
      <c r="G34" s="10" t="s">
        <v>783</v>
      </c>
      <c r="H34" s="75" t="s">
        <v>781</v>
      </c>
      <c r="I34" s="10"/>
      <c r="J34" s="70" t="s">
        <v>16</v>
      </c>
      <c r="K34" s="71" t="s">
        <v>14</v>
      </c>
      <c r="L34" s="7">
        <v>46050.449401215279</v>
      </c>
      <c r="M34" s="67"/>
      <c r="N34" s="10"/>
    </row>
    <row r="35" spans="1:14" ht="100.2" customHeight="1" thickTop="1" thickBot="1">
      <c r="A35" s="76">
        <v>33</v>
      </c>
      <c r="B35" s="7">
        <v>46050.4422978125</v>
      </c>
      <c r="C35" s="8" t="s">
        <v>36</v>
      </c>
      <c r="D35" s="10" t="s">
        <v>251</v>
      </c>
      <c r="E35" s="10" t="s">
        <v>43</v>
      </c>
      <c r="F35" s="89" t="s">
        <v>784</v>
      </c>
      <c r="G35" s="10" t="s">
        <v>785</v>
      </c>
      <c r="H35" s="75" t="s">
        <v>781</v>
      </c>
      <c r="I35" s="10"/>
      <c r="J35" s="70" t="s">
        <v>16</v>
      </c>
      <c r="K35" s="71" t="s">
        <v>14</v>
      </c>
      <c r="L35" s="7">
        <v>46050.449465081023</v>
      </c>
      <c r="M35" s="67"/>
      <c r="N35" s="10"/>
    </row>
    <row r="36" spans="1:14" ht="100.2" customHeight="1" thickTop="1" thickBot="1">
      <c r="A36" s="10">
        <v>34</v>
      </c>
      <c r="B36" s="7">
        <v>46050.4441188657</v>
      </c>
      <c r="C36" s="8" t="s">
        <v>36</v>
      </c>
      <c r="D36" s="10" t="s">
        <v>251</v>
      </c>
      <c r="E36" s="10" t="s">
        <v>43</v>
      </c>
      <c r="F36" s="89" t="s">
        <v>460</v>
      </c>
      <c r="G36" s="10" t="s">
        <v>785</v>
      </c>
      <c r="H36" s="75" t="s">
        <v>786</v>
      </c>
      <c r="I36" s="10"/>
      <c r="J36" s="70" t="s">
        <v>16</v>
      </c>
      <c r="K36" s="71" t="s">
        <v>14</v>
      </c>
      <c r="L36" s="7">
        <v>46050.449512037041</v>
      </c>
      <c r="M36" s="67"/>
      <c r="N36" s="10"/>
    </row>
    <row r="37" spans="1:14" ht="100.2" customHeight="1" thickTop="1" thickBot="1">
      <c r="A37" s="76">
        <v>35</v>
      </c>
      <c r="B37" s="7">
        <v>46050.444762453699</v>
      </c>
      <c r="C37" s="8" t="s">
        <v>36</v>
      </c>
      <c r="D37" s="10" t="s">
        <v>251</v>
      </c>
      <c r="E37" s="10" t="s">
        <v>43</v>
      </c>
      <c r="F37" s="89" t="s">
        <v>787</v>
      </c>
      <c r="G37" s="10" t="s">
        <v>785</v>
      </c>
      <c r="H37" s="75" t="s">
        <v>788</v>
      </c>
      <c r="I37" s="10"/>
      <c r="J37" s="70" t="s">
        <v>16</v>
      </c>
      <c r="K37" s="71" t="s">
        <v>14</v>
      </c>
      <c r="L37" s="7">
        <v>46050.449547766199</v>
      </c>
      <c r="M37" s="67"/>
      <c r="N37" s="10"/>
    </row>
    <row r="38" spans="1:14" ht="100.2" customHeight="1" thickTop="1" thickBot="1">
      <c r="A38" s="10">
        <v>36</v>
      </c>
      <c r="B38" s="7">
        <v>46050.446969768498</v>
      </c>
      <c r="C38" s="8" t="s">
        <v>36</v>
      </c>
      <c r="D38" s="10" t="s">
        <v>251</v>
      </c>
      <c r="E38" s="10" t="s">
        <v>43</v>
      </c>
      <c r="F38" s="89" t="s">
        <v>58</v>
      </c>
      <c r="G38" s="10" t="s">
        <v>159</v>
      </c>
      <c r="H38" s="75" t="s">
        <v>789</v>
      </c>
      <c r="I38" s="10"/>
      <c r="J38" s="70" t="s">
        <v>16</v>
      </c>
      <c r="K38" s="71" t="s">
        <v>14</v>
      </c>
      <c r="L38" s="7">
        <v>46050.449570162033</v>
      </c>
      <c r="M38" s="67"/>
      <c r="N38" s="10"/>
    </row>
    <row r="39" spans="1:14" ht="100.2" customHeight="1" thickTop="1" thickBot="1">
      <c r="A39" s="76">
        <v>37</v>
      </c>
      <c r="B39" s="7">
        <v>46050.447285439797</v>
      </c>
      <c r="C39" s="8" t="s">
        <v>36</v>
      </c>
      <c r="D39" s="10" t="s">
        <v>251</v>
      </c>
      <c r="E39" s="10" t="s">
        <v>43</v>
      </c>
      <c r="F39" s="89" t="s">
        <v>790</v>
      </c>
      <c r="G39" s="10" t="s">
        <v>159</v>
      </c>
      <c r="H39" s="75" t="s">
        <v>789</v>
      </c>
      <c r="I39" s="10"/>
      <c r="J39" s="70" t="s">
        <v>16</v>
      </c>
      <c r="K39" s="71" t="s">
        <v>14</v>
      </c>
      <c r="L39" s="7">
        <v>46050.44964953704</v>
      </c>
      <c r="M39" s="67"/>
      <c r="N39" s="10"/>
    </row>
    <row r="40" spans="1:14" ht="100.2" customHeight="1" thickTop="1" thickBot="1">
      <c r="A40" s="10">
        <v>38</v>
      </c>
      <c r="B40" s="7">
        <v>46050.447574317099</v>
      </c>
      <c r="C40" s="8" t="s">
        <v>36</v>
      </c>
      <c r="D40" s="10" t="s">
        <v>251</v>
      </c>
      <c r="E40" s="10" t="s">
        <v>43</v>
      </c>
      <c r="F40" s="89" t="s">
        <v>339</v>
      </c>
      <c r="G40" s="10" t="s">
        <v>159</v>
      </c>
      <c r="H40" s="75" t="s">
        <v>789</v>
      </c>
      <c r="I40" s="10"/>
      <c r="J40" s="70" t="s">
        <v>16</v>
      </c>
      <c r="K40" s="71" t="s">
        <v>14</v>
      </c>
      <c r="L40" s="7">
        <v>46050.449647870366</v>
      </c>
      <c r="M40" s="67"/>
      <c r="N40" s="10"/>
    </row>
    <row r="41" spans="1:14" ht="100.2" customHeight="1" thickTop="1" thickBot="1">
      <c r="A41" s="76">
        <v>39</v>
      </c>
      <c r="B41" s="7">
        <v>46050.447984803199</v>
      </c>
      <c r="C41" s="8" t="s">
        <v>36</v>
      </c>
      <c r="D41" s="10" t="s">
        <v>251</v>
      </c>
      <c r="E41" s="10" t="s">
        <v>43</v>
      </c>
      <c r="F41" s="89" t="s">
        <v>791</v>
      </c>
      <c r="G41" s="10" t="s">
        <v>159</v>
      </c>
      <c r="H41" s="75" t="s">
        <v>789</v>
      </c>
      <c r="I41" s="10"/>
      <c r="J41" s="70" t="s">
        <v>16</v>
      </c>
      <c r="K41" s="71" t="s">
        <v>14</v>
      </c>
      <c r="L41" s="7">
        <v>46050.449668263886</v>
      </c>
      <c r="M41" s="67"/>
      <c r="N41" s="10"/>
    </row>
    <row r="42" spans="1:14" ht="100.2" customHeight="1" thickTop="1" thickBot="1">
      <c r="A42" s="10">
        <v>40</v>
      </c>
      <c r="B42" s="7">
        <v>46050.448267418898</v>
      </c>
      <c r="C42" s="8" t="s">
        <v>36</v>
      </c>
      <c r="D42" s="10" t="s">
        <v>251</v>
      </c>
      <c r="E42" s="10" t="s">
        <v>43</v>
      </c>
      <c r="F42" s="89" t="s">
        <v>792</v>
      </c>
      <c r="G42" s="10" t="s">
        <v>159</v>
      </c>
      <c r="H42" s="75" t="s">
        <v>789</v>
      </c>
      <c r="I42" s="10"/>
      <c r="J42" s="70" t="s">
        <v>16</v>
      </c>
      <c r="K42" s="71" t="s">
        <v>14</v>
      </c>
      <c r="L42" s="7">
        <v>46050.449860034721</v>
      </c>
      <c r="M42" s="67"/>
      <c r="N42" s="10"/>
    </row>
    <row r="43" spans="1:14" ht="100.2" customHeight="1" thickTop="1" thickBot="1">
      <c r="A43" s="76">
        <v>41</v>
      </c>
      <c r="B43" s="7">
        <v>46050.4485657638</v>
      </c>
      <c r="C43" s="8" t="s">
        <v>36</v>
      </c>
      <c r="D43" s="10" t="s">
        <v>251</v>
      </c>
      <c r="E43" s="10" t="s">
        <v>43</v>
      </c>
      <c r="F43" s="89" t="s">
        <v>774</v>
      </c>
      <c r="G43" s="10" t="s">
        <v>159</v>
      </c>
      <c r="H43" s="75" t="s">
        <v>789</v>
      </c>
      <c r="I43" s="10"/>
      <c r="J43" s="70" t="s">
        <v>16</v>
      </c>
      <c r="K43" s="71" t="s">
        <v>14</v>
      </c>
      <c r="L43" s="7">
        <v>46050.449904004628</v>
      </c>
      <c r="M43" s="67"/>
      <c r="N43" s="10"/>
    </row>
    <row r="44" spans="1:14" ht="100.2" customHeight="1" thickTop="1" thickBot="1">
      <c r="A44" s="10">
        <v>42</v>
      </c>
      <c r="B44" s="7">
        <v>46050.451908159703</v>
      </c>
      <c r="C44" s="8" t="s">
        <v>36</v>
      </c>
      <c r="D44" s="10" t="s">
        <v>251</v>
      </c>
      <c r="E44" s="10" t="s">
        <v>43</v>
      </c>
      <c r="F44" s="89" t="s">
        <v>58</v>
      </c>
      <c r="G44" s="10" t="s">
        <v>229</v>
      </c>
      <c r="H44" s="75" t="s">
        <v>793</v>
      </c>
      <c r="I44" s="10"/>
      <c r="J44" s="70" t="s">
        <v>16</v>
      </c>
      <c r="K44" s="71" t="s">
        <v>14</v>
      </c>
      <c r="L44" s="7">
        <v>46050.460086493054</v>
      </c>
      <c r="M44" s="67"/>
      <c r="N44" s="10"/>
    </row>
    <row r="45" spans="1:14" ht="100.2" customHeight="1" thickTop="1" thickBot="1">
      <c r="A45" s="76">
        <v>43</v>
      </c>
      <c r="B45" s="7">
        <v>46050.4528310069</v>
      </c>
      <c r="C45" s="8" t="s">
        <v>36</v>
      </c>
      <c r="D45" s="10" t="s">
        <v>251</v>
      </c>
      <c r="E45" s="10" t="s">
        <v>43</v>
      </c>
      <c r="F45" s="89" t="s">
        <v>193</v>
      </c>
      <c r="G45" s="10" t="s">
        <v>794</v>
      </c>
      <c r="H45" s="75" t="s">
        <v>793</v>
      </c>
      <c r="I45" s="10"/>
      <c r="J45" s="70" t="s">
        <v>16</v>
      </c>
      <c r="K45" s="71" t="s">
        <v>14</v>
      </c>
      <c r="L45" s="7">
        <v>46050.460106608793</v>
      </c>
      <c r="M45" s="67"/>
      <c r="N45" s="10"/>
    </row>
    <row r="46" spans="1:14" ht="100.2" customHeight="1" thickTop="1" thickBot="1">
      <c r="A46" s="10">
        <v>44</v>
      </c>
      <c r="B46" s="7">
        <v>46050.453097500002</v>
      </c>
      <c r="C46" s="8" t="s">
        <v>36</v>
      </c>
      <c r="D46" s="10" t="s">
        <v>251</v>
      </c>
      <c r="E46" s="10" t="s">
        <v>43</v>
      </c>
      <c r="F46" s="89" t="s">
        <v>39</v>
      </c>
      <c r="G46" s="10" t="s">
        <v>795</v>
      </c>
      <c r="H46" s="75" t="s">
        <v>793</v>
      </c>
      <c r="I46" s="10"/>
      <c r="J46" s="70" t="s">
        <v>16</v>
      </c>
      <c r="K46" s="71" t="s">
        <v>14</v>
      </c>
      <c r="L46" s="7">
        <v>46050.460132256943</v>
      </c>
      <c r="M46" s="67"/>
      <c r="N46" s="10"/>
    </row>
    <row r="47" spans="1:14" ht="100.2" customHeight="1" thickTop="1" thickBot="1">
      <c r="A47" s="76">
        <v>45</v>
      </c>
      <c r="B47" s="7">
        <v>46050.453443599501</v>
      </c>
      <c r="C47" s="8" t="s">
        <v>36</v>
      </c>
      <c r="D47" s="10" t="s">
        <v>251</v>
      </c>
      <c r="E47" s="10" t="s">
        <v>43</v>
      </c>
      <c r="F47" s="89" t="s">
        <v>102</v>
      </c>
      <c r="G47" s="10" t="s">
        <v>794</v>
      </c>
      <c r="H47" s="75" t="s">
        <v>793</v>
      </c>
      <c r="I47" s="10"/>
      <c r="J47" s="70" t="s">
        <v>16</v>
      </c>
      <c r="K47" s="71" t="s">
        <v>14</v>
      </c>
      <c r="L47" s="7">
        <v>46050.460158414353</v>
      </c>
      <c r="M47" s="67"/>
      <c r="N47" s="10"/>
    </row>
    <row r="48" spans="1:14" ht="100.2" customHeight="1" thickTop="1" thickBot="1">
      <c r="A48" s="10">
        <v>46</v>
      </c>
      <c r="B48" s="7">
        <v>46050.454306631902</v>
      </c>
      <c r="C48" s="8" t="s">
        <v>36</v>
      </c>
      <c r="D48" s="10" t="s">
        <v>251</v>
      </c>
      <c r="E48" s="10" t="s">
        <v>43</v>
      </c>
      <c r="F48" s="89" t="s">
        <v>39</v>
      </c>
      <c r="G48" s="10" t="s">
        <v>329</v>
      </c>
      <c r="H48" s="75" t="s">
        <v>796</v>
      </c>
      <c r="I48" s="10"/>
      <c r="J48" s="70" t="s">
        <v>16</v>
      </c>
      <c r="K48" s="71" t="s">
        <v>14</v>
      </c>
      <c r="L48" s="7"/>
      <c r="M48" s="67"/>
      <c r="N48" s="10"/>
    </row>
    <row r="49" spans="1:14" ht="100.2" customHeight="1" thickTop="1" thickBot="1">
      <c r="A49" s="76">
        <v>47</v>
      </c>
      <c r="B49" s="7">
        <v>46050.455319722198</v>
      </c>
      <c r="C49" s="8" t="s">
        <v>36</v>
      </c>
      <c r="D49" s="10" t="s">
        <v>251</v>
      </c>
      <c r="E49" s="10" t="s">
        <v>43</v>
      </c>
      <c r="F49" s="89" t="s">
        <v>78</v>
      </c>
      <c r="G49" s="10" t="s">
        <v>329</v>
      </c>
      <c r="H49" s="75" t="s">
        <v>796</v>
      </c>
      <c r="I49" s="10"/>
      <c r="J49" s="70" t="s">
        <v>16</v>
      </c>
      <c r="K49" s="71" t="s">
        <v>14</v>
      </c>
      <c r="L49" s="7"/>
      <c r="M49" s="67"/>
      <c r="N49" s="10"/>
    </row>
    <row r="50" spans="1:14" ht="100.2" customHeight="1" thickTop="1" thickBot="1">
      <c r="A50" s="10">
        <v>48</v>
      </c>
      <c r="B50" s="7">
        <v>46050.456127233701</v>
      </c>
      <c r="C50" s="8" t="s">
        <v>36</v>
      </c>
      <c r="D50" s="10" t="s">
        <v>251</v>
      </c>
      <c r="E50" s="10" t="s">
        <v>43</v>
      </c>
      <c r="F50" s="89" t="s">
        <v>39</v>
      </c>
      <c r="G50" s="10" t="s">
        <v>797</v>
      </c>
      <c r="H50" s="75" t="s">
        <v>798</v>
      </c>
      <c r="I50" s="10"/>
      <c r="J50" s="70" t="s">
        <v>16</v>
      </c>
      <c r="K50" s="71" t="s">
        <v>14</v>
      </c>
      <c r="L50" s="7"/>
      <c r="M50" s="67"/>
      <c r="N50" s="10"/>
    </row>
    <row r="51" spans="1:14" ht="100.2" customHeight="1" thickTop="1" thickBot="1">
      <c r="A51" s="76">
        <v>49</v>
      </c>
      <c r="B51" s="7">
        <v>46050.456810682801</v>
      </c>
      <c r="C51" s="8" t="s">
        <v>36</v>
      </c>
      <c r="D51" s="10" t="s">
        <v>251</v>
      </c>
      <c r="E51" s="10" t="s">
        <v>43</v>
      </c>
      <c r="F51" s="89" t="s">
        <v>58</v>
      </c>
      <c r="G51" s="10" t="s">
        <v>115</v>
      </c>
      <c r="H51" s="75" t="s">
        <v>799</v>
      </c>
      <c r="I51" s="10"/>
      <c r="J51" s="70" t="s">
        <v>16</v>
      </c>
      <c r="K51" s="71" t="s">
        <v>14</v>
      </c>
      <c r="L51" s="7"/>
      <c r="M51" s="67"/>
      <c r="N51" s="10"/>
    </row>
    <row r="52" spans="1:14" ht="100.2" customHeight="1" thickTop="1" thickBot="1">
      <c r="A52" s="10">
        <v>50</v>
      </c>
      <c r="B52" s="7">
        <v>46050.4603092939</v>
      </c>
      <c r="C52" s="8" t="s">
        <v>36</v>
      </c>
      <c r="D52" s="10" t="s">
        <v>251</v>
      </c>
      <c r="E52" s="10" t="s">
        <v>43</v>
      </c>
      <c r="F52" s="89" t="s">
        <v>58</v>
      </c>
      <c r="G52" s="10" t="s">
        <v>794</v>
      </c>
      <c r="H52" s="75" t="s">
        <v>800</v>
      </c>
      <c r="I52" s="10"/>
      <c r="J52" s="70" t="s">
        <v>16</v>
      </c>
      <c r="K52" s="71" t="s">
        <v>14</v>
      </c>
      <c r="L52" s="7"/>
      <c r="M52" s="67"/>
      <c r="N52" s="10"/>
    </row>
    <row r="53" spans="1:14" ht="100.2" customHeight="1" thickTop="1" thickBot="1">
      <c r="A53" s="76">
        <v>51</v>
      </c>
      <c r="B53" s="7">
        <v>46053.358330601797</v>
      </c>
      <c r="C53" s="8" t="s">
        <v>36</v>
      </c>
      <c r="D53" s="10" t="s">
        <v>759</v>
      </c>
      <c r="E53" s="10" t="s">
        <v>38</v>
      </c>
      <c r="F53" s="89" t="s">
        <v>58</v>
      </c>
      <c r="G53" s="10" t="s">
        <v>794</v>
      </c>
      <c r="H53" s="75" t="s">
        <v>801</v>
      </c>
      <c r="I53" s="10"/>
      <c r="J53" s="70" t="s">
        <v>16</v>
      </c>
      <c r="K53" s="71" t="s">
        <v>14</v>
      </c>
      <c r="L53" s="7">
        <v>46053.471625868056</v>
      </c>
      <c r="M53" s="67"/>
      <c r="N53" s="10"/>
    </row>
    <row r="54" spans="1:14" ht="100.2" customHeight="1" thickTop="1" thickBot="1">
      <c r="A54" s="10">
        <v>52</v>
      </c>
      <c r="B54" s="7">
        <v>46053.451199363401</v>
      </c>
      <c r="C54" s="8" t="s">
        <v>36</v>
      </c>
      <c r="D54" s="10" t="s">
        <v>759</v>
      </c>
      <c r="E54" s="10" t="s">
        <v>38</v>
      </c>
      <c r="F54" s="89" t="s">
        <v>148</v>
      </c>
      <c r="G54" s="10" t="s">
        <v>329</v>
      </c>
      <c r="H54" s="75" t="s">
        <v>802</v>
      </c>
      <c r="I54" s="10"/>
      <c r="J54" s="70" t="s">
        <v>16</v>
      </c>
      <c r="K54" s="71" t="s">
        <v>14</v>
      </c>
      <c r="L54" s="7">
        <v>46053.471753090278</v>
      </c>
      <c r="M54" s="67"/>
      <c r="N54" s="10"/>
    </row>
    <row r="55" spans="1:14" ht="100.2" customHeight="1" thickTop="1" thickBot="1">
      <c r="A55" s="76">
        <v>53</v>
      </c>
      <c r="B55" s="7">
        <v>46023.475948171297</v>
      </c>
      <c r="C55" s="8" t="s">
        <v>36</v>
      </c>
      <c r="D55" s="10" t="s">
        <v>759</v>
      </c>
      <c r="E55" s="10" t="s">
        <v>38</v>
      </c>
      <c r="F55" s="89" t="s">
        <v>102</v>
      </c>
      <c r="G55" s="10" t="s">
        <v>803</v>
      </c>
      <c r="H55" s="75" t="s">
        <v>804</v>
      </c>
      <c r="I55" s="10"/>
      <c r="J55" s="70" t="s">
        <v>13</v>
      </c>
      <c r="K55" s="71" t="s">
        <v>14</v>
      </c>
      <c r="L55" s="7">
        <v>46023.497539930555</v>
      </c>
      <c r="M55" s="67"/>
      <c r="N55" s="10"/>
    </row>
    <row r="56" spans="1:14" ht="100.2" customHeight="1" thickTop="1" thickBot="1">
      <c r="A56" s="10">
        <v>54</v>
      </c>
      <c r="B56" s="7">
        <v>46026.326038599502</v>
      </c>
      <c r="C56" s="8" t="s">
        <v>36</v>
      </c>
      <c r="D56" s="10" t="s">
        <v>759</v>
      </c>
      <c r="E56" s="10" t="s">
        <v>38</v>
      </c>
      <c r="F56" s="89" t="s">
        <v>102</v>
      </c>
      <c r="G56" s="10" t="s">
        <v>769</v>
      </c>
      <c r="H56" s="75" t="s">
        <v>805</v>
      </c>
      <c r="I56" s="10"/>
      <c r="J56" s="70" t="s">
        <v>13</v>
      </c>
      <c r="K56" s="71" t="s">
        <v>14</v>
      </c>
      <c r="L56" s="7">
        <v>46026.366617928245</v>
      </c>
      <c r="M56" s="67"/>
      <c r="N56" s="10"/>
    </row>
    <row r="57" spans="1:14" ht="100.2" customHeight="1" thickTop="1" thickBot="1">
      <c r="A57" s="76">
        <v>55</v>
      </c>
      <c r="B57" s="7">
        <v>46027.312622777703</v>
      </c>
      <c r="C57" s="8" t="s">
        <v>36</v>
      </c>
      <c r="D57" s="10" t="s">
        <v>114</v>
      </c>
      <c r="E57" s="10" t="s">
        <v>43</v>
      </c>
      <c r="F57" s="89" t="s">
        <v>126</v>
      </c>
      <c r="G57" s="10" t="s">
        <v>115</v>
      </c>
      <c r="H57" s="75" t="s">
        <v>806</v>
      </c>
      <c r="I57" s="10"/>
      <c r="J57" s="70" t="s">
        <v>13</v>
      </c>
      <c r="K57" s="71" t="s">
        <v>14</v>
      </c>
      <c r="L57" s="7">
        <v>46027.3391490625</v>
      </c>
      <c r="M57" s="67"/>
      <c r="N57" s="10"/>
    </row>
    <row r="58" spans="1:14" ht="100.2" customHeight="1" thickTop="1" thickBot="1">
      <c r="A58" s="10">
        <v>56</v>
      </c>
      <c r="B58" s="7">
        <v>46027.313084201298</v>
      </c>
      <c r="C58" s="8" t="s">
        <v>36</v>
      </c>
      <c r="D58" s="10" t="s">
        <v>114</v>
      </c>
      <c r="E58" s="10" t="s">
        <v>43</v>
      </c>
      <c r="F58" s="89" t="s">
        <v>58</v>
      </c>
      <c r="G58" s="10" t="s">
        <v>803</v>
      </c>
      <c r="H58" s="75" t="s">
        <v>807</v>
      </c>
      <c r="I58" s="10"/>
      <c r="J58" s="70" t="s">
        <v>13</v>
      </c>
      <c r="K58" s="71" t="s">
        <v>14</v>
      </c>
      <c r="L58" s="7">
        <v>46027.339192638887</v>
      </c>
      <c r="M58" s="67"/>
      <c r="N58" s="10"/>
    </row>
    <row r="59" spans="1:14" ht="100.2" customHeight="1" thickTop="1" thickBot="1">
      <c r="A59" s="76">
        <v>57</v>
      </c>
      <c r="B59" s="7">
        <v>46027.313667696697</v>
      </c>
      <c r="C59" s="8" t="s">
        <v>36</v>
      </c>
      <c r="D59" s="10" t="s">
        <v>114</v>
      </c>
      <c r="E59" s="10" t="s">
        <v>43</v>
      </c>
      <c r="F59" s="89" t="s">
        <v>58</v>
      </c>
      <c r="G59" s="10" t="s">
        <v>808</v>
      </c>
      <c r="H59" s="75" t="s">
        <v>809</v>
      </c>
      <c r="I59" s="10"/>
      <c r="J59" s="70" t="s">
        <v>13</v>
      </c>
      <c r="K59" s="71" t="s">
        <v>14</v>
      </c>
      <c r="L59" s="7">
        <v>46027.339180868061</v>
      </c>
      <c r="M59" s="67"/>
      <c r="N59" s="10"/>
    </row>
    <row r="60" spans="1:14" ht="100.2" customHeight="1" thickTop="1" thickBot="1">
      <c r="A60" s="10">
        <v>58</v>
      </c>
      <c r="B60" s="7">
        <v>46027.314806886498</v>
      </c>
      <c r="C60" s="8" t="s">
        <v>36</v>
      </c>
      <c r="D60" s="10" t="s">
        <v>114</v>
      </c>
      <c r="E60" s="10" t="s">
        <v>43</v>
      </c>
      <c r="F60" s="89" t="s">
        <v>122</v>
      </c>
      <c r="G60" s="10" t="s">
        <v>123</v>
      </c>
      <c r="H60" s="75" t="s">
        <v>810</v>
      </c>
      <c r="I60" s="10"/>
      <c r="J60" s="70" t="s">
        <v>13</v>
      </c>
      <c r="K60" s="71" t="s">
        <v>14</v>
      </c>
      <c r="L60" s="7">
        <v>46027.339236099535</v>
      </c>
      <c r="M60" s="67"/>
      <c r="N60" s="10"/>
    </row>
    <row r="61" spans="1:14" ht="100.2" customHeight="1" thickTop="1" thickBot="1">
      <c r="A61" s="76">
        <v>59</v>
      </c>
      <c r="B61" s="7">
        <v>46027.315449039299</v>
      </c>
      <c r="C61" s="8" t="s">
        <v>36</v>
      </c>
      <c r="D61" s="10" t="s">
        <v>114</v>
      </c>
      <c r="E61" s="10" t="s">
        <v>43</v>
      </c>
      <c r="F61" s="89" t="s">
        <v>58</v>
      </c>
      <c r="G61" s="10" t="s">
        <v>794</v>
      </c>
      <c r="H61" s="75" t="s">
        <v>811</v>
      </c>
      <c r="I61" s="10"/>
      <c r="J61" s="70" t="s">
        <v>13</v>
      </c>
      <c r="K61" s="71" t="s">
        <v>14</v>
      </c>
      <c r="L61" s="7">
        <v>46027.339240196758</v>
      </c>
      <c r="M61" s="67"/>
      <c r="N61" s="10"/>
    </row>
    <row r="62" spans="1:14" ht="100.2" customHeight="1" thickTop="1" thickBot="1">
      <c r="A62" s="10">
        <v>60</v>
      </c>
      <c r="B62" s="7">
        <v>46027.315921018497</v>
      </c>
      <c r="C62" s="8" t="s">
        <v>36</v>
      </c>
      <c r="D62" s="10" t="s">
        <v>114</v>
      </c>
      <c r="E62" s="10" t="s">
        <v>43</v>
      </c>
      <c r="F62" s="89" t="s">
        <v>812</v>
      </c>
      <c r="G62" s="10" t="s">
        <v>115</v>
      </c>
      <c r="H62" s="75" t="s">
        <v>813</v>
      </c>
      <c r="I62" s="10"/>
      <c r="J62" s="70" t="s">
        <v>13</v>
      </c>
      <c r="K62" s="71" t="s">
        <v>14</v>
      </c>
      <c r="L62" s="7">
        <v>46027.339249282406</v>
      </c>
      <c r="M62" s="67"/>
      <c r="N62" s="10"/>
    </row>
    <row r="63" spans="1:14" ht="100.2" customHeight="1" thickTop="1" thickBot="1">
      <c r="A63" s="76">
        <v>61</v>
      </c>
      <c r="B63" s="7">
        <v>46027.318845601803</v>
      </c>
      <c r="C63" s="8" t="s">
        <v>36</v>
      </c>
      <c r="D63" s="10" t="s">
        <v>114</v>
      </c>
      <c r="E63" s="10" t="s">
        <v>43</v>
      </c>
      <c r="F63" s="89" t="s">
        <v>53</v>
      </c>
      <c r="G63" s="10" t="s">
        <v>814</v>
      </c>
      <c r="H63" s="75" t="s">
        <v>815</v>
      </c>
      <c r="I63" s="10"/>
      <c r="J63" s="70" t="s">
        <v>13</v>
      </c>
      <c r="K63" s="71" t="s">
        <v>14</v>
      </c>
      <c r="L63" s="7">
        <v>46027.339262372683</v>
      </c>
      <c r="M63" s="67"/>
      <c r="N63" s="10"/>
    </row>
    <row r="64" spans="1:14" ht="100.2" customHeight="1" thickTop="1" thickBot="1">
      <c r="A64" s="10">
        <v>62</v>
      </c>
      <c r="B64" s="7">
        <v>46027.320075162002</v>
      </c>
      <c r="C64" s="8" t="s">
        <v>36</v>
      </c>
      <c r="D64" s="10" t="s">
        <v>114</v>
      </c>
      <c r="E64" s="10" t="s">
        <v>43</v>
      </c>
      <c r="F64" s="89" t="s">
        <v>499</v>
      </c>
      <c r="G64" s="10" t="s">
        <v>808</v>
      </c>
      <c r="H64" s="75" t="s">
        <v>816</v>
      </c>
      <c r="I64" s="10"/>
      <c r="J64" s="70" t="s">
        <v>13</v>
      </c>
      <c r="K64" s="71" t="s">
        <v>14</v>
      </c>
      <c r="L64" s="7">
        <v>46027.339274583333</v>
      </c>
      <c r="M64" s="67"/>
      <c r="N64" s="10"/>
    </row>
    <row r="65" spans="1:14" ht="100.2" customHeight="1" thickTop="1" thickBot="1">
      <c r="A65" s="76">
        <v>63</v>
      </c>
      <c r="B65" s="7">
        <v>46027.321841701298</v>
      </c>
      <c r="C65" s="8" t="s">
        <v>36</v>
      </c>
      <c r="D65" s="10" t="s">
        <v>114</v>
      </c>
      <c r="E65" s="10" t="s">
        <v>43</v>
      </c>
      <c r="F65" s="89" t="s">
        <v>58</v>
      </c>
      <c r="G65" s="10" t="s">
        <v>115</v>
      </c>
      <c r="H65" s="75" t="s">
        <v>817</v>
      </c>
      <c r="I65" s="10"/>
      <c r="J65" s="70" t="s">
        <v>13</v>
      </c>
      <c r="K65" s="71" t="s">
        <v>14</v>
      </c>
      <c r="L65" s="7">
        <v>46027.339287523151</v>
      </c>
      <c r="M65" s="67"/>
      <c r="N65" s="10"/>
    </row>
    <row r="66" spans="1:14" ht="100.2" customHeight="1" thickTop="1" thickBot="1">
      <c r="A66" s="10">
        <v>64</v>
      </c>
      <c r="B66" s="7">
        <v>46027.322681666599</v>
      </c>
      <c r="C66" s="8" t="s">
        <v>36</v>
      </c>
      <c r="D66" s="10" t="s">
        <v>114</v>
      </c>
      <c r="E66" s="10" t="s">
        <v>43</v>
      </c>
      <c r="F66" s="89" t="s">
        <v>818</v>
      </c>
      <c r="G66" s="10" t="s">
        <v>808</v>
      </c>
      <c r="H66" s="75" t="s">
        <v>819</v>
      </c>
      <c r="I66" s="10"/>
      <c r="J66" s="70" t="s">
        <v>13</v>
      </c>
      <c r="K66" s="71" t="s">
        <v>14</v>
      </c>
      <c r="L66" s="7">
        <v>46027.339298460647</v>
      </c>
      <c r="M66" s="67"/>
      <c r="N66" s="10"/>
    </row>
    <row r="67" spans="1:14" ht="100.2" customHeight="1" thickTop="1" thickBot="1">
      <c r="A67" s="76">
        <v>65</v>
      </c>
      <c r="B67" s="7">
        <v>46027.323118402703</v>
      </c>
      <c r="C67" s="8" t="s">
        <v>36</v>
      </c>
      <c r="D67" s="10" t="s">
        <v>114</v>
      </c>
      <c r="E67" s="10" t="s">
        <v>43</v>
      </c>
      <c r="F67" s="89" t="s">
        <v>818</v>
      </c>
      <c r="G67" s="10" t="s">
        <v>808</v>
      </c>
      <c r="H67" s="75" t="s">
        <v>820</v>
      </c>
      <c r="I67" s="10"/>
      <c r="J67" s="70" t="s">
        <v>13</v>
      </c>
      <c r="K67" s="71" t="s">
        <v>14</v>
      </c>
      <c r="L67" s="7">
        <v>46027.339310081021</v>
      </c>
      <c r="M67" s="67"/>
      <c r="N67" s="10"/>
    </row>
    <row r="68" spans="1:14" ht="100.2" customHeight="1" thickTop="1" thickBot="1">
      <c r="A68" s="10">
        <v>66</v>
      </c>
      <c r="B68" s="7">
        <v>46027.323866319399</v>
      </c>
      <c r="C68" s="8" t="s">
        <v>36</v>
      </c>
      <c r="D68" s="10" t="s">
        <v>114</v>
      </c>
      <c r="E68" s="10" t="s">
        <v>43</v>
      </c>
      <c r="F68" s="89" t="s">
        <v>818</v>
      </c>
      <c r="G68" s="10" t="s">
        <v>808</v>
      </c>
      <c r="H68" s="75" t="s">
        <v>821</v>
      </c>
      <c r="I68" s="10"/>
      <c r="J68" s="70" t="s">
        <v>13</v>
      </c>
      <c r="K68" s="71" t="s">
        <v>14</v>
      </c>
      <c r="L68" s="7">
        <v>46027.33932204861</v>
      </c>
      <c r="M68" s="67"/>
      <c r="N68" s="10"/>
    </row>
    <row r="69" spans="1:14" ht="100.2" customHeight="1" thickTop="1" thickBot="1">
      <c r="A69" s="76">
        <v>67</v>
      </c>
      <c r="B69" s="7">
        <v>46027.325529953698</v>
      </c>
      <c r="C69" s="8" t="s">
        <v>36</v>
      </c>
      <c r="D69" s="10" t="s">
        <v>114</v>
      </c>
      <c r="E69" s="10" t="s">
        <v>43</v>
      </c>
      <c r="F69" s="89" t="s">
        <v>818</v>
      </c>
      <c r="G69" s="10" t="s">
        <v>808</v>
      </c>
      <c r="H69" s="75" t="s">
        <v>822</v>
      </c>
      <c r="I69" s="10"/>
      <c r="J69" s="70" t="s">
        <v>13</v>
      </c>
      <c r="K69" s="71" t="s">
        <v>14</v>
      </c>
      <c r="L69" s="7">
        <v>46027.3393321412</v>
      </c>
      <c r="M69" s="67"/>
      <c r="N69" s="10"/>
    </row>
    <row r="70" spans="1:14" ht="100.2" customHeight="1" thickTop="1" thickBot="1">
      <c r="A70" s="10">
        <v>68</v>
      </c>
      <c r="B70" s="7">
        <v>46027.325996029998</v>
      </c>
      <c r="C70" s="8" t="s">
        <v>36</v>
      </c>
      <c r="D70" s="10" t="s">
        <v>114</v>
      </c>
      <c r="E70" s="10" t="s">
        <v>43</v>
      </c>
      <c r="F70" s="89" t="s">
        <v>818</v>
      </c>
      <c r="G70" s="10" t="s">
        <v>808</v>
      </c>
      <c r="H70" s="75" t="s">
        <v>823</v>
      </c>
      <c r="I70" s="10"/>
      <c r="J70" s="70" t="s">
        <v>13</v>
      </c>
      <c r="K70" s="71" t="s">
        <v>14</v>
      </c>
      <c r="L70" s="7">
        <v>46027.339341909726</v>
      </c>
      <c r="M70" s="67"/>
      <c r="N70" s="10"/>
    </row>
    <row r="71" spans="1:14" ht="100.2" customHeight="1" thickTop="1" thickBot="1">
      <c r="A71" s="76">
        <v>69</v>
      </c>
      <c r="B71" s="7">
        <v>46027.326464745303</v>
      </c>
      <c r="C71" s="8" t="s">
        <v>36</v>
      </c>
      <c r="D71" s="10" t="s">
        <v>114</v>
      </c>
      <c r="E71" s="10" t="s">
        <v>43</v>
      </c>
      <c r="F71" s="89" t="s">
        <v>818</v>
      </c>
      <c r="G71" s="10" t="s">
        <v>808</v>
      </c>
      <c r="H71" s="75" t="s">
        <v>824</v>
      </c>
      <c r="I71" s="10"/>
      <c r="J71" s="70" t="s">
        <v>13</v>
      </c>
      <c r="K71" s="71" t="s">
        <v>14</v>
      </c>
      <c r="L71" s="7">
        <v>46027.339350057868</v>
      </c>
      <c r="M71" s="67"/>
      <c r="N71" s="10"/>
    </row>
    <row r="72" spans="1:14" ht="100.2" customHeight="1" thickTop="1" thickBot="1">
      <c r="A72" s="10">
        <v>70</v>
      </c>
      <c r="B72" s="7">
        <v>46027.327261504601</v>
      </c>
      <c r="C72" s="8" t="s">
        <v>36</v>
      </c>
      <c r="D72" s="10" t="s">
        <v>114</v>
      </c>
      <c r="E72" s="10" t="s">
        <v>43</v>
      </c>
      <c r="F72" s="89" t="s">
        <v>818</v>
      </c>
      <c r="G72" s="10" t="s">
        <v>808</v>
      </c>
      <c r="H72" s="75" t="s">
        <v>825</v>
      </c>
      <c r="I72" s="10"/>
      <c r="J72" s="70" t="s">
        <v>13</v>
      </c>
      <c r="K72" s="71" t="s">
        <v>14</v>
      </c>
      <c r="L72" s="7">
        <v>46027.339364837964</v>
      </c>
      <c r="M72" s="67"/>
      <c r="N72" s="10"/>
    </row>
    <row r="73" spans="1:14" ht="100.2" customHeight="1" thickTop="1" thickBot="1">
      <c r="A73" s="76">
        <v>71</v>
      </c>
      <c r="B73" s="7">
        <v>46027.327911851797</v>
      </c>
      <c r="C73" s="8" t="s">
        <v>36</v>
      </c>
      <c r="D73" s="10" t="s">
        <v>114</v>
      </c>
      <c r="E73" s="10" t="s">
        <v>43</v>
      </c>
      <c r="F73" s="89" t="s">
        <v>818</v>
      </c>
      <c r="G73" s="10" t="s">
        <v>808</v>
      </c>
      <c r="H73" s="75" t="s">
        <v>826</v>
      </c>
      <c r="I73" s="10"/>
      <c r="J73" s="70" t="s">
        <v>13</v>
      </c>
      <c r="K73" s="71" t="s">
        <v>14</v>
      </c>
      <c r="L73" s="7">
        <v>46027.339375833333</v>
      </c>
      <c r="M73" s="67"/>
      <c r="N73" s="10"/>
    </row>
    <row r="74" spans="1:14" ht="100.2" customHeight="1" thickTop="1" thickBot="1">
      <c r="A74" s="10">
        <v>72</v>
      </c>
      <c r="B74" s="7">
        <v>46027.328341689798</v>
      </c>
      <c r="C74" s="8" t="s">
        <v>36</v>
      </c>
      <c r="D74" s="10" t="s">
        <v>114</v>
      </c>
      <c r="E74" s="10" t="s">
        <v>43</v>
      </c>
      <c r="F74" s="89" t="s">
        <v>818</v>
      </c>
      <c r="G74" s="10" t="s">
        <v>808</v>
      </c>
      <c r="H74" s="75" t="s">
        <v>827</v>
      </c>
      <c r="I74" s="10"/>
      <c r="J74" s="70" t="s">
        <v>13</v>
      </c>
      <c r="K74" s="71" t="s">
        <v>14</v>
      </c>
      <c r="L74" s="7">
        <v>46027.339387905093</v>
      </c>
      <c r="M74" s="67"/>
      <c r="N74" s="10"/>
    </row>
    <row r="75" spans="1:14" ht="100.2" customHeight="1" thickTop="1" thickBot="1">
      <c r="A75" s="76">
        <v>73</v>
      </c>
      <c r="B75" s="7">
        <v>46027.329082002303</v>
      </c>
      <c r="C75" s="8" t="s">
        <v>36</v>
      </c>
      <c r="D75" s="10" t="s">
        <v>114</v>
      </c>
      <c r="E75" s="10" t="s">
        <v>43</v>
      </c>
      <c r="F75" s="89" t="s">
        <v>828</v>
      </c>
      <c r="G75" s="10" t="s">
        <v>829</v>
      </c>
      <c r="H75" s="75" t="s">
        <v>830</v>
      </c>
      <c r="I75" s="10"/>
      <c r="J75" s="70" t="s">
        <v>13</v>
      </c>
      <c r="K75" s="71" t="s">
        <v>14</v>
      </c>
      <c r="L75" s="7">
        <v>46027.33939572917</v>
      </c>
      <c r="M75" s="67"/>
      <c r="N75" s="10"/>
    </row>
    <row r="76" spans="1:14" ht="100.2" customHeight="1" thickTop="1" thickBot="1">
      <c r="A76" s="10">
        <v>74</v>
      </c>
      <c r="B76" s="7">
        <v>46027.3297357638</v>
      </c>
      <c r="C76" s="8" t="s">
        <v>36</v>
      </c>
      <c r="D76" s="10" t="s">
        <v>114</v>
      </c>
      <c r="E76" s="10" t="s">
        <v>43</v>
      </c>
      <c r="F76" s="89" t="s">
        <v>818</v>
      </c>
      <c r="G76" s="10" t="s">
        <v>808</v>
      </c>
      <c r="H76" s="75" t="s">
        <v>831</v>
      </c>
      <c r="I76" s="10"/>
      <c r="J76" s="70" t="s">
        <v>13</v>
      </c>
      <c r="K76" s="71" t="s">
        <v>14</v>
      </c>
      <c r="L76" s="7">
        <v>46027.339409479166</v>
      </c>
      <c r="M76" s="67"/>
      <c r="N76" s="10"/>
    </row>
    <row r="77" spans="1:14" ht="100.2" customHeight="1" thickTop="1" thickBot="1">
      <c r="A77" s="76">
        <v>75</v>
      </c>
      <c r="B77" s="7">
        <v>46027.330674131903</v>
      </c>
      <c r="C77" s="8" t="s">
        <v>36</v>
      </c>
      <c r="D77" s="10" t="s">
        <v>114</v>
      </c>
      <c r="E77" s="10" t="s">
        <v>43</v>
      </c>
      <c r="F77" s="89" t="s">
        <v>818</v>
      </c>
      <c r="G77" s="10" t="s">
        <v>808</v>
      </c>
      <c r="H77" s="75" t="s">
        <v>832</v>
      </c>
      <c r="I77" s="10"/>
      <c r="J77" s="70" t="s">
        <v>13</v>
      </c>
      <c r="K77" s="71" t="s">
        <v>14</v>
      </c>
      <c r="L77" s="7">
        <v>46027.33942167824</v>
      </c>
      <c r="M77" s="67"/>
      <c r="N77" s="10"/>
    </row>
    <row r="78" spans="1:14" ht="100.2" customHeight="1" thickTop="1" thickBot="1">
      <c r="A78" s="10">
        <v>76</v>
      </c>
      <c r="B78" s="7">
        <v>46027.331235404999</v>
      </c>
      <c r="C78" s="8" t="s">
        <v>36</v>
      </c>
      <c r="D78" s="10" t="s">
        <v>114</v>
      </c>
      <c r="E78" s="10" t="s">
        <v>43</v>
      </c>
      <c r="F78" s="89" t="s">
        <v>818</v>
      </c>
      <c r="G78" s="10" t="s">
        <v>808</v>
      </c>
      <c r="H78" s="75" t="s">
        <v>833</v>
      </c>
      <c r="I78" s="10"/>
      <c r="J78" s="70" t="s">
        <v>13</v>
      </c>
      <c r="K78" s="71" t="s">
        <v>14</v>
      </c>
      <c r="L78" s="7">
        <v>46027.339429803236</v>
      </c>
      <c r="M78" s="67"/>
      <c r="N78" s="10"/>
    </row>
    <row r="79" spans="1:14" ht="100.2" customHeight="1" thickTop="1" thickBot="1">
      <c r="A79" s="76">
        <v>77</v>
      </c>
      <c r="B79" s="7">
        <v>46027.331687002297</v>
      </c>
      <c r="C79" s="8" t="s">
        <v>36</v>
      </c>
      <c r="D79" s="10" t="s">
        <v>114</v>
      </c>
      <c r="E79" s="10" t="s">
        <v>43</v>
      </c>
      <c r="F79" s="89" t="s">
        <v>122</v>
      </c>
      <c r="G79" s="10" t="s">
        <v>808</v>
      </c>
      <c r="H79" s="75" t="s">
        <v>834</v>
      </c>
      <c r="I79" s="10"/>
      <c r="J79" s="70" t="s">
        <v>13</v>
      </c>
      <c r="K79" s="71" t="s">
        <v>14</v>
      </c>
      <c r="L79" s="7">
        <v>46027.339449988431</v>
      </c>
      <c r="M79" s="67"/>
      <c r="N79" s="10"/>
    </row>
    <row r="80" spans="1:14" ht="100.2" customHeight="1" thickTop="1" thickBot="1">
      <c r="A80" s="10">
        <v>78</v>
      </c>
      <c r="B80" s="7">
        <v>46027.332274293898</v>
      </c>
      <c r="C80" s="8" t="s">
        <v>36</v>
      </c>
      <c r="D80" s="10" t="s">
        <v>114</v>
      </c>
      <c r="E80" s="10" t="s">
        <v>43</v>
      </c>
      <c r="F80" s="89" t="s">
        <v>48</v>
      </c>
      <c r="G80" s="10" t="s">
        <v>835</v>
      </c>
      <c r="H80" s="75" t="s">
        <v>836</v>
      </c>
      <c r="I80" s="10"/>
      <c r="J80" s="70" t="s">
        <v>13</v>
      </c>
      <c r="K80" s="71" t="s">
        <v>14</v>
      </c>
      <c r="L80" s="7">
        <v>46027.339454479166</v>
      </c>
      <c r="M80" s="67"/>
      <c r="N80" s="10"/>
    </row>
    <row r="81" spans="1:14" ht="100.2" customHeight="1" thickTop="1" thickBot="1">
      <c r="A81" s="76">
        <v>79</v>
      </c>
      <c r="B81" s="7">
        <v>46027.332668472198</v>
      </c>
      <c r="C81" s="8" t="s">
        <v>36</v>
      </c>
      <c r="D81" s="10" t="s">
        <v>114</v>
      </c>
      <c r="E81" s="10" t="s">
        <v>43</v>
      </c>
      <c r="F81" s="89" t="s">
        <v>808</v>
      </c>
      <c r="G81" s="10" t="s">
        <v>808</v>
      </c>
      <c r="H81" s="75" t="s">
        <v>837</v>
      </c>
      <c r="I81" s="10"/>
      <c r="J81" s="70" t="s">
        <v>13</v>
      </c>
      <c r="K81" s="71" t="s">
        <v>14</v>
      </c>
      <c r="L81" s="7">
        <v>46027.339469432874</v>
      </c>
      <c r="M81" s="67"/>
      <c r="N81" s="10"/>
    </row>
    <row r="82" spans="1:14" ht="100.2" customHeight="1" thickTop="1" thickBot="1">
      <c r="A82" s="10">
        <v>80</v>
      </c>
      <c r="B82" s="7">
        <v>46027.333331886497</v>
      </c>
      <c r="C82" s="8" t="s">
        <v>36</v>
      </c>
      <c r="D82" s="10" t="s">
        <v>114</v>
      </c>
      <c r="E82" s="10" t="s">
        <v>43</v>
      </c>
      <c r="F82" s="89" t="s">
        <v>838</v>
      </c>
      <c r="G82" s="10" t="s">
        <v>808</v>
      </c>
      <c r="H82" s="75" t="s">
        <v>839</v>
      </c>
      <c r="I82" s="10"/>
      <c r="J82" s="70" t="s">
        <v>13</v>
      </c>
      <c r="K82" s="71" t="s">
        <v>14</v>
      </c>
      <c r="L82" s="7">
        <v>46027.339481874995</v>
      </c>
      <c r="M82" s="67"/>
      <c r="N82" s="10"/>
    </row>
    <row r="83" spans="1:14" ht="100.2" customHeight="1" thickTop="1" thickBot="1">
      <c r="A83" s="76">
        <v>81</v>
      </c>
      <c r="B83" s="7">
        <v>46027.333807499999</v>
      </c>
      <c r="C83" s="8" t="s">
        <v>36</v>
      </c>
      <c r="D83" s="10" t="s">
        <v>114</v>
      </c>
      <c r="E83" s="10" t="s">
        <v>43</v>
      </c>
      <c r="F83" s="89" t="s">
        <v>58</v>
      </c>
      <c r="G83" s="10" t="s">
        <v>299</v>
      </c>
      <c r="H83" s="75" t="s">
        <v>840</v>
      </c>
      <c r="I83" s="10"/>
      <c r="J83" s="70" t="s">
        <v>13</v>
      </c>
      <c r="K83" s="71" t="s">
        <v>14</v>
      </c>
      <c r="L83" s="7">
        <v>46027.339492395833</v>
      </c>
      <c r="M83" s="67"/>
      <c r="N83" s="10"/>
    </row>
    <row r="84" spans="1:14" ht="100.2" customHeight="1" thickTop="1" thickBot="1">
      <c r="A84" s="10">
        <v>82</v>
      </c>
      <c r="B84" s="7">
        <v>46027.334372731399</v>
      </c>
      <c r="C84" s="8" t="s">
        <v>36</v>
      </c>
      <c r="D84" s="10" t="s">
        <v>114</v>
      </c>
      <c r="E84" s="10" t="s">
        <v>43</v>
      </c>
      <c r="F84" s="89" t="s">
        <v>122</v>
      </c>
      <c r="G84" s="10" t="s">
        <v>808</v>
      </c>
      <c r="H84" s="75" t="s">
        <v>841</v>
      </c>
      <c r="I84" s="10"/>
      <c r="J84" s="70" t="s">
        <v>13</v>
      </c>
      <c r="K84" s="71" t="s">
        <v>14</v>
      </c>
      <c r="L84" s="7">
        <v>46027.339501782408</v>
      </c>
      <c r="M84" s="67"/>
      <c r="N84" s="10"/>
    </row>
    <row r="85" spans="1:14" ht="100.2" customHeight="1" thickTop="1" thickBot="1">
      <c r="A85" s="76">
        <v>83</v>
      </c>
      <c r="B85" s="7">
        <v>46027.345596967498</v>
      </c>
      <c r="C85" s="8" t="s">
        <v>36</v>
      </c>
      <c r="D85" s="10" t="s">
        <v>759</v>
      </c>
      <c r="E85" s="10" t="s">
        <v>38</v>
      </c>
      <c r="F85" s="89" t="s">
        <v>48</v>
      </c>
      <c r="G85" s="10" t="s">
        <v>842</v>
      </c>
      <c r="H85" s="75" t="s">
        <v>843</v>
      </c>
      <c r="I85" s="10"/>
      <c r="J85" s="70" t="s">
        <v>13</v>
      </c>
      <c r="K85" s="71" t="s">
        <v>14</v>
      </c>
      <c r="L85" s="7">
        <v>46027.369444131946</v>
      </c>
      <c r="M85" s="67"/>
      <c r="N85" s="10"/>
    </row>
    <row r="86" spans="1:14" ht="100.2" customHeight="1" thickTop="1" thickBot="1">
      <c r="A86" s="10">
        <v>84</v>
      </c>
      <c r="B86" s="7">
        <v>46027.443212233797</v>
      </c>
      <c r="C86" s="8" t="s">
        <v>36</v>
      </c>
      <c r="D86" s="10" t="s">
        <v>759</v>
      </c>
      <c r="E86" s="10" t="s">
        <v>38</v>
      </c>
      <c r="F86" s="89" t="s">
        <v>102</v>
      </c>
      <c r="G86" s="10" t="s">
        <v>844</v>
      </c>
      <c r="H86" s="75" t="s">
        <v>845</v>
      </c>
      <c r="I86" s="10"/>
      <c r="J86" s="70" t="s">
        <v>13</v>
      </c>
      <c r="K86" s="71" t="s">
        <v>14</v>
      </c>
      <c r="L86" s="7">
        <v>46027.521705115738</v>
      </c>
      <c r="M86" s="67"/>
      <c r="N86" s="10"/>
    </row>
    <row r="87" spans="1:14" ht="100.2" customHeight="1" thickTop="1" thickBot="1">
      <c r="A87" s="76">
        <v>85</v>
      </c>
      <c r="B87" s="7">
        <v>46027.508298182802</v>
      </c>
      <c r="C87" s="8" t="s">
        <v>36</v>
      </c>
      <c r="D87" s="10" t="s">
        <v>759</v>
      </c>
      <c r="E87" s="10" t="s">
        <v>38</v>
      </c>
      <c r="F87" s="89" t="s">
        <v>58</v>
      </c>
      <c r="G87" s="10" t="s">
        <v>229</v>
      </c>
      <c r="H87" s="75" t="s">
        <v>846</v>
      </c>
      <c r="I87" s="10"/>
      <c r="J87" s="70" t="s">
        <v>13</v>
      </c>
      <c r="K87" s="71" t="s">
        <v>14</v>
      </c>
      <c r="L87" s="7">
        <v>46027.521627499998</v>
      </c>
      <c r="M87" s="67"/>
      <c r="N87" s="10"/>
    </row>
    <row r="88" spans="1:14" ht="100.2" customHeight="1" thickTop="1" thickBot="1">
      <c r="A88" s="10">
        <v>86</v>
      </c>
      <c r="B88" s="7">
        <v>46028.305774073997</v>
      </c>
      <c r="C88" s="8" t="s">
        <v>36</v>
      </c>
      <c r="D88" s="10" t="s">
        <v>114</v>
      </c>
      <c r="E88" s="10" t="s">
        <v>43</v>
      </c>
      <c r="F88" s="89" t="s">
        <v>148</v>
      </c>
      <c r="G88" s="10" t="s">
        <v>115</v>
      </c>
      <c r="H88" s="75" t="s">
        <v>847</v>
      </c>
      <c r="I88" s="10"/>
      <c r="J88" s="70" t="s">
        <v>13</v>
      </c>
      <c r="K88" s="71" t="s">
        <v>14</v>
      </c>
      <c r="L88" s="7">
        <v>46028.309613425925</v>
      </c>
      <c r="M88" s="67"/>
      <c r="N88" s="10"/>
    </row>
    <row r="89" spans="1:14" ht="100.2" customHeight="1" thickTop="1" thickBot="1">
      <c r="A89" s="76">
        <v>87</v>
      </c>
      <c r="B89" s="7">
        <v>46028.306397800901</v>
      </c>
      <c r="C89" s="8" t="s">
        <v>36</v>
      </c>
      <c r="D89" s="10" t="s">
        <v>114</v>
      </c>
      <c r="E89" s="10" t="s">
        <v>43</v>
      </c>
      <c r="F89" s="89" t="s">
        <v>102</v>
      </c>
      <c r="G89" s="10" t="s">
        <v>848</v>
      </c>
      <c r="H89" s="75" t="s">
        <v>849</v>
      </c>
      <c r="I89" s="10"/>
      <c r="J89" s="70" t="s">
        <v>13</v>
      </c>
      <c r="K89" s="71" t="s">
        <v>14</v>
      </c>
      <c r="L89" s="7">
        <v>46028.30962954861</v>
      </c>
      <c r="M89" s="67"/>
      <c r="N89" s="10"/>
    </row>
    <row r="90" spans="1:14" ht="100.2" customHeight="1" thickTop="1" thickBot="1">
      <c r="A90" s="10">
        <v>88</v>
      </c>
      <c r="B90" s="7">
        <v>46028.306900995303</v>
      </c>
      <c r="C90" s="8" t="s">
        <v>36</v>
      </c>
      <c r="D90" s="10" t="s">
        <v>114</v>
      </c>
      <c r="E90" s="10" t="s">
        <v>43</v>
      </c>
      <c r="F90" s="89" t="s">
        <v>58</v>
      </c>
      <c r="G90" s="10" t="s">
        <v>329</v>
      </c>
      <c r="H90" s="75" t="s">
        <v>850</v>
      </c>
      <c r="I90" s="10"/>
      <c r="J90" s="70" t="s">
        <v>13</v>
      </c>
      <c r="K90" s="71" t="s">
        <v>14</v>
      </c>
      <c r="L90" s="7">
        <v>46028.309690497685</v>
      </c>
      <c r="M90" s="67"/>
      <c r="N90" s="10"/>
    </row>
    <row r="91" spans="1:14" ht="100.2" customHeight="1" thickTop="1" thickBot="1">
      <c r="A91" s="76">
        <v>89</v>
      </c>
      <c r="B91" s="7">
        <v>46028.307563252303</v>
      </c>
      <c r="C91" s="8" t="s">
        <v>36</v>
      </c>
      <c r="D91" s="10" t="s">
        <v>114</v>
      </c>
      <c r="E91" s="10" t="s">
        <v>43</v>
      </c>
      <c r="F91" s="89" t="s">
        <v>808</v>
      </c>
      <c r="G91" s="10" t="s">
        <v>808</v>
      </c>
      <c r="H91" s="75" t="s">
        <v>851</v>
      </c>
      <c r="I91" s="10"/>
      <c r="J91" s="70" t="s">
        <v>13</v>
      </c>
      <c r="K91" s="71" t="s">
        <v>14</v>
      </c>
      <c r="L91" s="7">
        <v>46028.309646354166</v>
      </c>
      <c r="M91" s="67"/>
      <c r="N91" s="10"/>
    </row>
    <row r="92" spans="1:14" ht="100.2" customHeight="1" thickTop="1" thickBot="1">
      <c r="A92" s="10">
        <v>90</v>
      </c>
      <c r="B92" s="7">
        <v>46028.308041087897</v>
      </c>
      <c r="C92" s="8" t="s">
        <v>36</v>
      </c>
      <c r="D92" s="10" t="s">
        <v>114</v>
      </c>
      <c r="E92" s="10" t="s">
        <v>43</v>
      </c>
      <c r="F92" s="89" t="s">
        <v>148</v>
      </c>
      <c r="G92" s="10" t="s">
        <v>159</v>
      </c>
      <c r="H92" s="75" t="s">
        <v>852</v>
      </c>
      <c r="I92" s="10"/>
      <c r="J92" s="70" t="s">
        <v>13</v>
      </c>
      <c r="K92" s="71" t="s">
        <v>14</v>
      </c>
      <c r="L92" s="7">
        <v>46028.309659409722</v>
      </c>
      <c r="M92" s="67"/>
      <c r="N92" s="10"/>
    </row>
    <row r="93" spans="1:14" ht="100.2" customHeight="1" thickTop="1" thickBot="1">
      <c r="A93" s="76">
        <v>91</v>
      </c>
      <c r="B93" s="7">
        <v>46028.3083464351</v>
      </c>
      <c r="C93" s="8" t="s">
        <v>36</v>
      </c>
      <c r="D93" s="10" t="s">
        <v>114</v>
      </c>
      <c r="E93" s="10" t="s">
        <v>43</v>
      </c>
      <c r="F93" s="89" t="s">
        <v>92</v>
      </c>
      <c r="G93" s="10" t="s">
        <v>159</v>
      </c>
      <c r="H93" s="75" t="s">
        <v>852</v>
      </c>
      <c r="I93" s="10"/>
      <c r="J93" s="70" t="s">
        <v>13</v>
      </c>
      <c r="K93" s="71" t="s">
        <v>14</v>
      </c>
      <c r="L93" s="7">
        <v>46028.309670023147</v>
      </c>
      <c r="M93" s="67"/>
      <c r="N93" s="10"/>
    </row>
    <row r="94" spans="1:14" ht="100.2" customHeight="1" thickTop="1" thickBot="1">
      <c r="A94" s="10">
        <v>92</v>
      </c>
      <c r="B94" s="7">
        <v>46028.3091204745</v>
      </c>
      <c r="C94" s="8" t="s">
        <v>36</v>
      </c>
      <c r="D94" s="10" t="s">
        <v>114</v>
      </c>
      <c r="E94" s="10" t="s">
        <v>43</v>
      </c>
      <c r="F94" s="89" t="s">
        <v>148</v>
      </c>
      <c r="G94" s="10" t="s">
        <v>115</v>
      </c>
      <c r="H94" s="75" t="s">
        <v>853</v>
      </c>
      <c r="I94" s="10"/>
      <c r="J94" s="70" t="s">
        <v>13</v>
      </c>
      <c r="K94" s="71" t="s">
        <v>14</v>
      </c>
      <c r="L94" s="7">
        <v>46028.309683692132</v>
      </c>
      <c r="M94" s="67"/>
      <c r="N94" s="10"/>
    </row>
    <row r="95" spans="1:14" ht="100.2" customHeight="1" thickTop="1" thickBot="1">
      <c r="A95" s="76">
        <v>93</v>
      </c>
      <c r="B95" s="7">
        <v>46029.3075809027</v>
      </c>
      <c r="C95" s="8" t="s">
        <v>36</v>
      </c>
      <c r="D95" s="10" t="s">
        <v>114</v>
      </c>
      <c r="E95" s="10" t="s">
        <v>43</v>
      </c>
      <c r="F95" s="89" t="s">
        <v>58</v>
      </c>
      <c r="G95" s="10" t="s">
        <v>794</v>
      </c>
      <c r="H95" s="75" t="s">
        <v>854</v>
      </c>
      <c r="I95" s="10"/>
      <c r="J95" s="70" t="s">
        <v>13</v>
      </c>
      <c r="K95" s="71" t="s">
        <v>14</v>
      </c>
      <c r="L95" s="7">
        <v>46029.315915879633</v>
      </c>
      <c r="M95" s="67"/>
      <c r="N95" s="10"/>
    </row>
    <row r="96" spans="1:14" ht="100.2" customHeight="1" thickTop="1" thickBot="1">
      <c r="A96" s="10">
        <v>94</v>
      </c>
      <c r="B96" s="7">
        <v>46029.309017372601</v>
      </c>
      <c r="C96" s="8" t="s">
        <v>36</v>
      </c>
      <c r="D96" s="10" t="s">
        <v>114</v>
      </c>
      <c r="E96" s="10" t="s">
        <v>43</v>
      </c>
      <c r="F96" s="89" t="s">
        <v>212</v>
      </c>
      <c r="G96" s="10" t="s">
        <v>159</v>
      </c>
      <c r="H96" s="75" t="s">
        <v>855</v>
      </c>
      <c r="I96" s="10"/>
      <c r="J96" s="70" t="s">
        <v>13</v>
      </c>
      <c r="K96" s="71" t="s">
        <v>14</v>
      </c>
      <c r="L96" s="7">
        <v>46029.315927418982</v>
      </c>
      <c r="M96" s="67"/>
      <c r="N96" s="10"/>
    </row>
    <row r="97" spans="1:14" ht="100.2" customHeight="1" thickTop="1" thickBot="1">
      <c r="A97" s="76">
        <v>95</v>
      </c>
      <c r="B97" s="7">
        <v>46029.309789560102</v>
      </c>
      <c r="C97" s="8" t="s">
        <v>36</v>
      </c>
      <c r="D97" s="10" t="s">
        <v>114</v>
      </c>
      <c r="E97" s="10" t="s">
        <v>43</v>
      </c>
      <c r="F97" s="89" t="s">
        <v>856</v>
      </c>
      <c r="G97" s="10" t="s">
        <v>122</v>
      </c>
      <c r="H97" s="75" t="s">
        <v>857</v>
      </c>
      <c r="I97" s="10"/>
      <c r="J97" s="70" t="s">
        <v>13</v>
      </c>
      <c r="K97" s="71" t="s">
        <v>14</v>
      </c>
      <c r="L97" s="7">
        <v>46029.315938703701</v>
      </c>
      <c r="M97" s="67"/>
      <c r="N97" s="10"/>
    </row>
    <row r="98" spans="1:14" ht="100.2" customHeight="1" thickTop="1" thickBot="1">
      <c r="A98" s="10">
        <v>96</v>
      </c>
      <c r="B98" s="7">
        <v>46029.311188125001</v>
      </c>
      <c r="C98" s="8" t="s">
        <v>36</v>
      </c>
      <c r="D98" s="10" t="s">
        <v>114</v>
      </c>
      <c r="E98" s="10" t="s">
        <v>43</v>
      </c>
      <c r="F98" s="89" t="s">
        <v>148</v>
      </c>
      <c r="G98" s="10" t="s">
        <v>115</v>
      </c>
      <c r="H98" s="75" t="s">
        <v>858</v>
      </c>
      <c r="I98" s="10"/>
      <c r="J98" s="70" t="s">
        <v>13</v>
      </c>
      <c r="K98" s="71" t="s">
        <v>14</v>
      </c>
      <c r="L98" s="7">
        <v>46029.315945543982</v>
      </c>
      <c r="M98" s="67"/>
      <c r="N98" s="10"/>
    </row>
    <row r="99" spans="1:14" ht="100.2" customHeight="1" thickTop="1" thickBot="1">
      <c r="A99" s="76">
        <v>97</v>
      </c>
      <c r="B99" s="7">
        <v>46029.311783946701</v>
      </c>
      <c r="C99" s="8" t="s">
        <v>36</v>
      </c>
      <c r="D99" s="10" t="s">
        <v>114</v>
      </c>
      <c r="E99" s="10" t="s">
        <v>43</v>
      </c>
      <c r="F99" s="89" t="s">
        <v>58</v>
      </c>
      <c r="G99" s="10" t="s">
        <v>785</v>
      </c>
      <c r="H99" s="75" t="s">
        <v>859</v>
      </c>
      <c r="I99" s="10"/>
      <c r="J99" s="70" t="s">
        <v>13</v>
      </c>
      <c r="K99" s="71" t="s">
        <v>14</v>
      </c>
      <c r="L99" s="7">
        <v>46029.315963842593</v>
      </c>
      <c r="M99" s="67"/>
      <c r="N99" s="10"/>
    </row>
    <row r="100" spans="1:14" ht="100.2" customHeight="1" thickTop="1" thickBot="1">
      <c r="A100" s="10">
        <v>98</v>
      </c>
      <c r="B100" s="7">
        <v>46029.312320625002</v>
      </c>
      <c r="C100" s="8" t="s">
        <v>36</v>
      </c>
      <c r="D100" s="10" t="s">
        <v>114</v>
      </c>
      <c r="E100" s="10" t="s">
        <v>43</v>
      </c>
      <c r="F100" s="89" t="s">
        <v>102</v>
      </c>
      <c r="G100" s="10" t="s">
        <v>860</v>
      </c>
      <c r="H100" s="75" t="s">
        <v>861</v>
      </c>
      <c r="I100" s="10"/>
      <c r="J100" s="70" t="s">
        <v>13</v>
      </c>
      <c r="K100" s="71" t="s">
        <v>14</v>
      </c>
      <c r="L100" s="7">
        <v>46029.315967650458</v>
      </c>
      <c r="M100" s="67"/>
      <c r="N100" s="10"/>
    </row>
    <row r="101" spans="1:14" ht="100.2" customHeight="1" thickTop="1" thickBot="1">
      <c r="A101" s="76">
        <v>99</v>
      </c>
      <c r="B101" s="7">
        <v>46029.312978449001</v>
      </c>
      <c r="C101" s="8" t="s">
        <v>36</v>
      </c>
      <c r="D101" s="10" t="s">
        <v>114</v>
      </c>
      <c r="E101" s="10" t="s">
        <v>43</v>
      </c>
      <c r="F101" s="89" t="s">
        <v>148</v>
      </c>
      <c r="G101" s="10" t="s">
        <v>860</v>
      </c>
      <c r="H101" s="75" t="s">
        <v>862</v>
      </c>
      <c r="I101" s="10"/>
      <c r="J101" s="70" t="s">
        <v>13</v>
      </c>
      <c r="K101" s="71" t="s">
        <v>14</v>
      </c>
      <c r="L101" s="7">
        <v>46029.315976412036</v>
      </c>
      <c r="M101" s="67"/>
      <c r="N101" s="10"/>
    </row>
    <row r="102" spans="1:14" ht="100.2" customHeight="1" thickTop="1" thickBot="1">
      <c r="A102" s="10">
        <v>100</v>
      </c>
      <c r="B102" s="7">
        <v>46029.453169768502</v>
      </c>
      <c r="C102" s="8" t="s">
        <v>36</v>
      </c>
      <c r="D102" s="10" t="s">
        <v>759</v>
      </c>
      <c r="E102" s="10" t="s">
        <v>38</v>
      </c>
      <c r="F102" s="89" t="s">
        <v>102</v>
      </c>
      <c r="G102" s="10" t="s">
        <v>115</v>
      </c>
      <c r="H102" s="75" t="s">
        <v>863</v>
      </c>
      <c r="I102" s="10"/>
      <c r="J102" s="70" t="s">
        <v>13</v>
      </c>
      <c r="K102" s="71" t="s">
        <v>14</v>
      </c>
      <c r="L102" s="7">
        <v>46029.476248680556</v>
      </c>
      <c r="M102" s="67"/>
      <c r="N102" s="10"/>
    </row>
    <row r="103" spans="1:14" ht="100.2" customHeight="1" thickTop="1" thickBot="1">
      <c r="A103" s="76">
        <v>101</v>
      </c>
      <c r="B103" s="7">
        <v>46030.313393206001</v>
      </c>
      <c r="C103" s="8" t="s">
        <v>36</v>
      </c>
      <c r="D103" s="10" t="s">
        <v>759</v>
      </c>
      <c r="E103" s="10" t="s">
        <v>38</v>
      </c>
      <c r="F103" s="89" t="s">
        <v>102</v>
      </c>
      <c r="G103" s="10" t="s">
        <v>769</v>
      </c>
      <c r="H103" s="75" t="s">
        <v>864</v>
      </c>
      <c r="I103" s="10"/>
      <c r="J103" s="70" t="s">
        <v>13</v>
      </c>
      <c r="K103" s="71" t="s">
        <v>14</v>
      </c>
      <c r="L103" s="7">
        <v>46030.314288009264</v>
      </c>
      <c r="M103" s="67"/>
      <c r="N103" s="10"/>
    </row>
    <row r="104" spans="1:14" ht="100.2" customHeight="1" thickTop="1" thickBot="1">
      <c r="A104" s="10">
        <v>102</v>
      </c>
      <c r="B104" s="7">
        <v>46030.421445358697</v>
      </c>
      <c r="C104" s="8" t="s">
        <v>36</v>
      </c>
      <c r="D104" s="10" t="s">
        <v>759</v>
      </c>
      <c r="E104" s="10" t="s">
        <v>38</v>
      </c>
      <c r="F104" s="89" t="s">
        <v>48</v>
      </c>
      <c r="G104" s="10" t="s">
        <v>115</v>
      </c>
      <c r="H104" s="75" t="s">
        <v>865</v>
      </c>
      <c r="I104" s="10"/>
      <c r="J104" s="70" t="s">
        <v>13</v>
      </c>
      <c r="K104" s="71" t="s">
        <v>14</v>
      </c>
      <c r="L104" s="7">
        <v>46030.586930787038</v>
      </c>
      <c r="M104" s="67"/>
      <c r="N104" s="10"/>
    </row>
    <row r="105" spans="1:14" ht="100.2" customHeight="1" thickTop="1" thickBot="1">
      <c r="A105" s="76">
        <v>103</v>
      </c>
      <c r="B105" s="7">
        <v>46030.522166701303</v>
      </c>
      <c r="C105" s="8" t="s">
        <v>36</v>
      </c>
      <c r="D105" s="10" t="s">
        <v>759</v>
      </c>
      <c r="E105" s="10" t="s">
        <v>38</v>
      </c>
      <c r="F105" s="89" t="s">
        <v>58</v>
      </c>
      <c r="G105" s="10" t="s">
        <v>769</v>
      </c>
      <c r="H105" s="75" t="s">
        <v>866</v>
      </c>
      <c r="I105" s="10"/>
      <c r="J105" s="70" t="s">
        <v>13</v>
      </c>
      <c r="K105" s="71" t="s">
        <v>14</v>
      </c>
      <c r="L105" s="7">
        <v>46030.586964988426</v>
      </c>
      <c r="M105" s="67"/>
      <c r="N105" s="10"/>
    </row>
    <row r="106" spans="1:14" ht="100.2" customHeight="1" thickTop="1" thickBot="1">
      <c r="A106" s="10">
        <v>104</v>
      </c>
      <c r="B106" s="7">
        <v>46033.350183414303</v>
      </c>
      <c r="C106" s="8" t="s">
        <v>36</v>
      </c>
      <c r="D106" s="10" t="s">
        <v>759</v>
      </c>
      <c r="E106" s="10" t="s">
        <v>38</v>
      </c>
      <c r="F106" s="89" t="s">
        <v>102</v>
      </c>
      <c r="G106" s="10" t="s">
        <v>115</v>
      </c>
      <c r="H106" s="75" t="s">
        <v>804</v>
      </c>
      <c r="I106" s="10"/>
      <c r="J106" s="70" t="s">
        <v>13</v>
      </c>
      <c r="K106" s="71" t="s">
        <v>14</v>
      </c>
      <c r="L106" s="7">
        <v>46033.380512997683</v>
      </c>
      <c r="M106" s="67"/>
      <c r="N106" s="10"/>
    </row>
    <row r="107" spans="1:14" ht="100.2" customHeight="1" thickTop="1" thickBot="1">
      <c r="A107" s="76">
        <v>105</v>
      </c>
      <c r="B107" s="7">
        <v>46033.353049189798</v>
      </c>
      <c r="C107" s="8" t="s">
        <v>36</v>
      </c>
      <c r="D107" s="10" t="s">
        <v>759</v>
      </c>
      <c r="E107" s="10" t="s">
        <v>38</v>
      </c>
      <c r="F107" s="89" t="s">
        <v>58</v>
      </c>
      <c r="G107" s="10" t="s">
        <v>115</v>
      </c>
      <c r="H107" s="75" t="s">
        <v>867</v>
      </c>
      <c r="I107" s="10"/>
      <c r="J107" s="70" t="s">
        <v>13</v>
      </c>
      <c r="K107" s="71" t="s">
        <v>14</v>
      </c>
      <c r="L107" s="7">
        <v>46034.292657523147</v>
      </c>
      <c r="M107" s="67"/>
      <c r="N107" s="10"/>
    </row>
    <row r="108" spans="1:14" ht="100.2" customHeight="1" thickTop="1" thickBot="1">
      <c r="A108" s="10">
        <v>106</v>
      </c>
      <c r="B108" s="7">
        <v>46033.592627905004</v>
      </c>
      <c r="C108" s="8" t="s">
        <v>36</v>
      </c>
      <c r="D108" s="10" t="s">
        <v>759</v>
      </c>
      <c r="E108" s="10" t="s">
        <v>38</v>
      </c>
      <c r="F108" s="89" t="s">
        <v>58</v>
      </c>
      <c r="G108" s="10" t="s">
        <v>115</v>
      </c>
      <c r="H108" s="75" t="s">
        <v>868</v>
      </c>
      <c r="I108" s="10"/>
      <c r="J108" s="70" t="s">
        <v>13</v>
      </c>
      <c r="K108" s="71" t="s">
        <v>14</v>
      </c>
      <c r="L108" s="7">
        <v>46034.29268752315</v>
      </c>
      <c r="M108" s="67"/>
      <c r="N108" s="10"/>
    </row>
    <row r="109" spans="1:14" ht="100.2" customHeight="1" thickTop="1" thickBot="1">
      <c r="A109" s="76">
        <v>107</v>
      </c>
      <c r="B109" s="7">
        <v>46034.3962049537</v>
      </c>
      <c r="C109" s="8" t="s">
        <v>36</v>
      </c>
      <c r="D109" s="10" t="s">
        <v>759</v>
      </c>
      <c r="E109" s="10" t="s">
        <v>38</v>
      </c>
      <c r="F109" s="89" t="s">
        <v>53</v>
      </c>
      <c r="G109" s="10" t="s">
        <v>808</v>
      </c>
      <c r="H109" s="75" t="s">
        <v>869</v>
      </c>
      <c r="I109" s="10"/>
      <c r="J109" s="70" t="s">
        <v>13</v>
      </c>
      <c r="K109" s="71" t="s">
        <v>14</v>
      </c>
      <c r="L109" s="7">
        <v>46034.544344305556</v>
      </c>
      <c r="M109" s="67"/>
      <c r="N109" s="10"/>
    </row>
    <row r="110" spans="1:14" ht="100.2" customHeight="1" thickTop="1" thickBot="1">
      <c r="A110" s="10">
        <v>108</v>
      </c>
      <c r="B110" s="7">
        <v>46034.444613946704</v>
      </c>
      <c r="C110" s="8" t="s">
        <v>36</v>
      </c>
      <c r="D110" s="10" t="s">
        <v>759</v>
      </c>
      <c r="E110" s="10" t="s">
        <v>38</v>
      </c>
      <c r="F110" s="89" t="s">
        <v>193</v>
      </c>
      <c r="G110" s="10" t="s">
        <v>870</v>
      </c>
      <c r="H110" s="75" t="s">
        <v>804</v>
      </c>
      <c r="I110" s="10"/>
      <c r="J110" s="70" t="s">
        <v>13</v>
      </c>
      <c r="K110" s="71" t="s">
        <v>14</v>
      </c>
      <c r="L110" s="7">
        <v>46034.461965659721</v>
      </c>
      <c r="M110" s="67"/>
      <c r="N110" s="10"/>
    </row>
    <row r="111" spans="1:14" ht="100.2" customHeight="1" thickTop="1" thickBot="1">
      <c r="A111" s="76">
        <v>109</v>
      </c>
      <c r="B111" s="7">
        <v>46035.417875069397</v>
      </c>
      <c r="C111" s="8" t="s">
        <v>36</v>
      </c>
      <c r="D111" s="10" t="s">
        <v>871</v>
      </c>
      <c r="E111" s="10" t="s">
        <v>38</v>
      </c>
      <c r="F111" s="89" t="s">
        <v>48</v>
      </c>
      <c r="G111" s="10" t="s">
        <v>872</v>
      </c>
      <c r="H111" s="75" t="s">
        <v>873</v>
      </c>
      <c r="I111" s="10"/>
      <c r="J111" s="70" t="s">
        <v>13</v>
      </c>
      <c r="K111" s="71" t="s">
        <v>14</v>
      </c>
      <c r="L111" s="7">
        <v>46039.424089942127</v>
      </c>
      <c r="M111" s="67"/>
      <c r="N111" s="10"/>
    </row>
    <row r="112" spans="1:14" ht="100.2" customHeight="1" thickTop="1" thickBot="1">
      <c r="A112" s="10">
        <v>110</v>
      </c>
      <c r="B112" s="7">
        <v>46036.531809502303</v>
      </c>
      <c r="C112" s="8" t="s">
        <v>36</v>
      </c>
      <c r="D112" s="10" t="s">
        <v>759</v>
      </c>
      <c r="E112" s="10" t="s">
        <v>38</v>
      </c>
      <c r="F112" s="89" t="s">
        <v>307</v>
      </c>
      <c r="G112" s="10" t="s">
        <v>874</v>
      </c>
      <c r="H112" s="75" t="s">
        <v>875</v>
      </c>
      <c r="I112" s="10"/>
      <c r="J112" s="70" t="s">
        <v>13</v>
      </c>
      <c r="K112" s="71" t="s">
        <v>14</v>
      </c>
      <c r="L112" s="7">
        <v>46036.568457476853</v>
      </c>
      <c r="M112" s="67"/>
      <c r="N112" s="10"/>
    </row>
    <row r="113" spans="1:14" ht="100.2" customHeight="1" thickTop="1" thickBot="1">
      <c r="A113" s="76">
        <v>111</v>
      </c>
      <c r="B113" s="7">
        <v>46039.422036006901</v>
      </c>
      <c r="C113" s="8" t="s">
        <v>36</v>
      </c>
      <c r="D113" s="10" t="s">
        <v>759</v>
      </c>
      <c r="E113" s="10" t="s">
        <v>38</v>
      </c>
      <c r="F113" s="89" t="s">
        <v>78</v>
      </c>
      <c r="G113" s="10" t="s">
        <v>769</v>
      </c>
      <c r="H113" s="75" t="s">
        <v>804</v>
      </c>
      <c r="I113" s="10"/>
      <c r="J113" s="70" t="s">
        <v>13</v>
      </c>
      <c r="K113" s="71" t="s">
        <v>14</v>
      </c>
      <c r="L113" s="7">
        <v>46039.424363078702</v>
      </c>
      <c r="M113" s="67"/>
      <c r="N113" s="10"/>
    </row>
    <row r="114" spans="1:14" ht="100.2" customHeight="1" thickTop="1" thickBot="1">
      <c r="A114" s="10">
        <v>112</v>
      </c>
      <c r="B114" s="7">
        <v>46040.305353391203</v>
      </c>
      <c r="C114" s="8" t="s">
        <v>36</v>
      </c>
      <c r="D114" s="10" t="s">
        <v>114</v>
      </c>
      <c r="E114" s="10" t="s">
        <v>43</v>
      </c>
      <c r="F114" s="89" t="s">
        <v>876</v>
      </c>
      <c r="G114" s="10" t="s">
        <v>808</v>
      </c>
      <c r="H114" s="75" t="s">
        <v>877</v>
      </c>
      <c r="I114" s="10"/>
      <c r="J114" s="70" t="s">
        <v>13</v>
      </c>
      <c r="K114" s="71" t="s">
        <v>14</v>
      </c>
      <c r="L114" s="7">
        <v>46040.338298206014</v>
      </c>
      <c r="M114" s="67"/>
      <c r="N114" s="10"/>
    </row>
    <row r="115" spans="1:14" ht="100.2" customHeight="1" thickTop="1" thickBot="1">
      <c r="A115" s="76">
        <v>113</v>
      </c>
      <c r="B115" s="7">
        <v>46040.316374594899</v>
      </c>
      <c r="C115" s="8" t="s">
        <v>36</v>
      </c>
      <c r="D115" s="10" t="s">
        <v>114</v>
      </c>
      <c r="E115" s="10" t="s">
        <v>43</v>
      </c>
      <c r="F115" s="89" t="s">
        <v>78</v>
      </c>
      <c r="G115" s="10" t="s">
        <v>159</v>
      </c>
      <c r="H115" s="75" t="s">
        <v>878</v>
      </c>
      <c r="I115" s="10"/>
      <c r="J115" s="70" t="s">
        <v>13</v>
      </c>
      <c r="K115" s="71" t="s">
        <v>14</v>
      </c>
      <c r="L115" s="7">
        <v>46040.338302766206</v>
      </c>
      <c r="M115" s="67"/>
      <c r="N115" s="10"/>
    </row>
    <row r="116" spans="1:14" ht="100.2" customHeight="1" thickTop="1" thickBot="1">
      <c r="A116" s="10">
        <v>114</v>
      </c>
      <c r="B116" s="7">
        <v>46040.317568611099</v>
      </c>
      <c r="C116" s="8" t="s">
        <v>36</v>
      </c>
      <c r="D116" s="10" t="s">
        <v>114</v>
      </c>
      <c r="E116" s="10" t="s">
        <v>43</v>
      </c>
      <c r="F116" s="89" t="s">
        <v>212</v>
      </c>
      <c r="G116" s="10" t="s">
        <v>159</v>
      </c>
      <c r="H116" s="75" t="s">
        <v>879</v>
      </c>
      <c r="I116" s="10"/>
      <c r="J116" s="70" t="s">
        <v>13</v>
      </c>
      <c r="K116" s="71" t="s">
        <v>14</v>
      </c>
      <c r="L116" s="7">
        <v>46040.338316249996</v>
      </c>
      <c r="M116" s="67"/>
      <c r="N116" s="10"/>
    </row>
    <row r="117" spans="1:14" ht="100.2" customHeight="1" thickTop="1" thickBot="1">
      <c r="A117" s="76">
        <v>115</v>
      </c>
      <c r="B117" s="7">
        <v>46040.320163796299</v>
      </c>
      <c r="C117" s="8" t="s">
        <v>36</v>
      </c>
      <c r="D117" s="10" t="s">
        <v>114</v>
      </c>
      <c r="E117" s="10" t="s">
        <v>43</v>
      </c>
      <c r="F117" s="89" t="s">
        <v>880</v>
      </c>
      <c r="G117" s="10" t="s">
        <v>115</v>
      </c>
      <c r="H117" s="75" t="s">
        <v>881</v>
      </c>
      <c r="I117" s="10"/>
      <c r="J117" s="70" t="s">
        <v>13</v>
      </c>
      <c r="K117" s="71" t="s">
        <v>14</v>
      </c>
      <c r="L117" s="7">
        <v>46040.33832318287</v>
      </c>
      <c r="M117" s="67"/>
      <c r="N117" s="10"/>
    </row>
    <row r="118" spans="1:14" ht="100.2" customHeight="1" thickTop="1" thickBot="1">
      <c r="A118" s="10">
        <v>116</v>
      </c>
      <c r="B118" s="7">
        <v>46040.320637928198</v>
      </c>
      <c r="C118" s="8" t="s">
        <v>36</v>
      </c>
      <c r="D118" s="10" t="s">
        <v>114</v>
      </c>
      <c r="E118" s="10" t="s">
        <v>43</v>
      </c>
      <c r="F118" s="89" t="s">
        <v>53</v>
      </c>
      <c r="G118" s="10" t="s">
        <v>814</v>
      </c>
      <c r="H118" s="75" t="s">
        <v>882</v>
      </c>
      <c r="I118" s="10"/>
      <c r="J118" s="70" t="s">
        <v>13</v>
      </c>
      <c r="K118" s="71" t="s">
        <v>14</v>
      </c>
      <c r="L118" s="7"/>
      <c r="M118" s="67"/>
      <c r="N118" s="10"/>
    </row>
    <row r="119" spans="1:14" ht="100.2" customHeight="1" thickTop="1" thickBot="1">
      <c r="A119" s="76">
        <v>117</v>
      </c>
      <c r="B119" s="7">
        <v>46040.321594004599</v>
      </c>
      <c r="C119" s="8" t="s">
        <v>36</v>
      </c>
      <c r="D119" s="10" t="s">
        <v>114</v>
      </c>
      <c r="E119" s="10" t="s">
        <v>43</v>
      </c>
      <c r="F119" s="89" t="s">
        <v>48</v>
      </c>
      <c r="G119" s="10" t="s">
        <v>159</v>
      </c>
      <c r="H119" s="75" t="s">
        <v>883</v>
      </c>
      <c r="I119" s="10"/>
      <c r="J119" s="70" t="s">
        <v>13</v>
      </c>
      <c r="K119" s="71" t="s">
        <v>14</v>
      </c>
      <c r="L119" s="7">
        <v>46040.338353159721</v>
      </c>
      <c r="M119" s="67"/>
      <c r="N119" s="10"/>
    </row>
    <row r="120" spans="1:14" ht="100.2" customHeight="1" thickTop="1" thickBot="1">
      <c r="A120" s="10">
        <v>118</v>
      </c>
      <c r="B120" s="7">
        <v>46040.321812094902</v>
      </c>
      <c r="C120" s="8" t="s">
        <v>36</v>
      </c>
      <c r="D120" s="10" t="s">
        <v>114</v>
      </c>
      <c r="E120" s="10" t="s">
        <v>43</v>
      </c>
      <c r="F120" s="89" t="s">
        <v>58</v>
      </c>
      <c r="G120" s="10" t="s">
        <v>159</v>
      </c>
      <c r="H120" s="75" t="s">
        <v>883</v>
      </c>
      <c r="I120" s="10"/>
      <c r="J120" s="70" t="s">
        <v>13</v>
      </c>
      <c r="K120" s="71" t="s">
        <v>14</v>
      </c>
      <c r="L120" s="7">
        <v>46040.339193900465</v>
      </c>
      <c r="M120" s="67"/>
      <c r="N120" s="10"/>
    </row>
    <row r="121" spans="1:14" ht="100.2" customHeight="1" thickTop="1" thickBot="1">
      <c r="A121" s="76">
        <v>119</v>
      </c>
      <c r="B121" s="7">
        <v>46040.322059976803</v>
      </c>
      <c r="C121" s="8" t="s">
        <v>36</v>
      </c>
      <c r="D121" s="10" t="s">
        <v>114</v>
      </c>
      <c r="E121" s="10" t="s">
        <v>43</v>
      </c>
      <c r="F121" s="89" t="s">
        <v>102</v>
      </c>
      <c r="G121" s="10" t="s">
        <v>159</v>
      </c>
      <c r="H121" s="75" t="s">
        <v>883</v>
      </c>
      <c r="I121" s="10"/>
      <c r="J121" s="70" t="s">
        <v>13</v>
      </c>
      <c r="K121" s="71" t="s">
        <v>14</v>
      </c>
      <c r="L121" s="7">
        <v>46040.339203356481</v>
      </c>
      <c r="M121" s="67"/>
      <c r="N121" s="10"/>
    </row>
    <row r="122" spans="1:14" ht="100.2" customHeight="1" thickTop="1" thickBot="1">
      <c r="A122" s="10">
        <v>120</v>
      </c>
      <c r="B122" s="7">
        <v>46040.322526203701</v>
      </c>
      <c r="C122" s="8" t="s">
        <v>36</v>
      </c>
      <c r="D122" s="10" t="s">
        <v>114</v>
      </c>
      <c r="E122" s="10" t="s">
        <v>43</v>
      </c>
      <c r="F122" s="89" t="s">
        <v>884</v>
      </c>
      <c r="G122" s="10" t="s">
        <v>808</v>
      </c>
      <c r="H122" s="75" t="s">
        <v>885</v>
      </c>
      <c r="I122" s="10"/>
      <c r="J122" s="70" t="s">
        <v>13</v>
      </c>
      <c r="K122" s="71" t="s">
        <v>14</v>
      </c>
      <c r="L122" s="7">
        <v>46040.339207407407</v>
      </c>
      <c r="M122" s="67"/>
      <c r="N122" s="10"/>
    </row>
    <row r="123" spans="1:14" ht="100.2" customHeight="1" thickTop="1" thickBot="1">
      <c r="A123" s="76">
        <v>121</v>
      </c>
      <c r="B123" s="7">
        <v>46040.323152673598</v>
      </c>
      <c r="C123" s="8" t="s">
        <v>36</v>
      </c>
      <c r="D123" s="10" t="s">
        <v>114</v>
      </c>
      <c r="E123" s="10" t="s">
        <v>43</v>
      </c>
      <c r="F123" s="89" t="s">
        <v>53</v>
      </c>
      <c r="G123" s="10" t="s">
        <v>814</v>
      </c>
      <c r="H123" s="75" t="s">
        <v>886</v>
      </c>
      <c r="I123" s="10"/>
      <c r="J123" s="70" t="s">
        <v>13</v>
      </c>
      <c r="K123" s="71" t="s">
        <v>14</v>
      </c>
      <c r="L123" s="7">
        <v>46040.339218055553</v>
      </c>
      <c r="M123" s="67"/>
      <c r="N123" s="10"/>
    </row>
    <row r="124" spans="1:14" ht="100.2" customHeight="1" thickTop="1" thickBot="1">
      <c r="A124" s="10">
        <v>122</v>
      </c>
      <c r="B124" s="7">
        <v>46040.323704085597</v>
      </c>
      <c r="C124" s="8" t="s">
        <v>36</v>
      </c>
      <c r="D124" s="10" t="s">
        <v>114</v>
      </c>
      <c r="E124" s="10" t="s">
        <v>43</v>
      </c>
      <c r="F124" s="89" t="s">
        <v>102</v>
      </c>
      <c r="G124" s="10" t="s">
        <v>814</v>
      </c>
      <c r="H124" s="75" t="s">
        <v>887</v>
      </c>
      <c r="I124" s="10"/>
      <c r="J124" s="70" t="s">
        <v>13</v>
      </c>
      <c r="K124" s="71" t="s">
        <v>14</v>
      </c>
      <c r="L124" s="7">
        <v>46040.339222662034</v>
      </c>
      <c r="M124" s="67"/>
      <c r="N124" s="10"/>
    </row>
    <row r="125" spans="1:14" ht="100.2" customHeight="1" thickTop="1" thickBot="1">
      <c r="A125" s="76">
        <v>123</v>
      </c>
      <c r="B125" s="7">
        <v>46040.324133449001</v>
      </c>
      <c r="C125" s="8" t="s">
        <v>36</v>
      </c>
      <c r="D125" s="10" t="s">
        <v>114</v>
      </c>
      <c r="E125" s="10" t="s">
        <v>43</v>
      </c>
      <c r="F125" s="89" t="s">
        <v>122</v>
      </c>
      <c r="G125" s="10" t="s">
        <v>808</v>
      </c>
      <c r="H125" s="75" t="s">
        <v>888</v>
      </c>
      <c r="I125" s="10"/>
      <c r="J125" s="70" t="s">
        <v>13</v>
      </c>
      <c r="K125" s="71" t="s">
        <v>14</v>
      </c>
      <c r="L125" s="7">
        <v>46040.339223101852</v>
      </c>
      <c r="M125" s="67"/>
      <c r="N125" s="10"/>
    </row>
    <row r="126" spans="1:14" ht="100.2" customHeight="1" thickTop="1" thickBot="1">
      <c r="A126" s="10">
        <v>124</v>
      </c>
      <c r="B126" s="7">
        <v>46040.3245729513</v>
      </c>
      <c r="C126" s="8" t="s">
        <v>36</v>
      </c>
      <c r="D126" s="10" t="s">
        <v>114</v>
      </c>
      <c r="E126" s="10" t="s">
        <v>43</v>
      </c>
      <c r="F126" s="89" t="s">
        <v>791</v>
      </c>
      <c r="G126" s="10" t="s">
        <v>159</v>
      </c>
      <c r="H126" s="75" t="s">
        <v>889</v>
      </c>
      <c r="I126" s="10"/>
      <c r="J126" s="70" t="s">
        <v>13</v>
      </c>
      <c r="K126" s="71" t="s">
        <v>14</v>
      </c>
      <c r="L126" s="7">
        <v>46040.339227523145</v>
      </c>
      <c r="M126" s="67"/>
      <c r="N126" s="10"/>
    </row>
    <row r="127" spans="1:14" ht="100.2" customHeight="1" thickTop="1" thickBot="1">
      <c r="A127" s="76">
        <v>125</v>
      </c>
      <c r="B127" s="7">
        <v>46040.325722951296</v>
      </c>
      <c r="C127" s="8" t="s">
        <v>36</v>
      </c>
      <c r="D127" s="10" t="s">
        <v>114</v>
      </c>
      <c r="E127" s="10" t="s">
        <v>43</v>
      </c>
      <c r="F127" s="89" t="s">
        <v>39</v>
      </c>
      <c r="G127" s="10" t="s">
        <v>159</v>
      </c>
      <c r="H127" s="75" t="s">
        <v>890</v>
      </c>
      <c r="I127" s="10"/>
      <c r="J127" s="70" t="s">
        <v>13</v>
      </c>
      <c r="K127" s="71" t="s">
        <v>14</v>
      </c>
      <c r="L127" s="7">
        <v>46040.339238437504</v>
      </c>
      <c r="M127" s="67"/>
      <c r="N127" s="10"/>
    </row>
    <row r="128" spans="1:14" ht="100.2" customHeight="1" thickTop="1" thickBot="1">
      <c r="A128" s="10">
        <v>126</v>
      </c>
      <c r="B128" s="7">
        <v>46040.326042326298</v>
      </c>
      <c r="C128" s="8" t="s">
        <v>36</v>
      </c>
      <c r="D128" s="10" t="s">
        <v>114</v>
      </c>
      <c r="E128" s="10" t="s">
        <v>43</v>
      </c>
      <c r="F128" s="89" t="s">
        <v>102</v>
      </c>
      <c r="G128" s="10" t="s">
        <v>159</v>
      </c>
      <c r="H128" s="75" t="s">
        <v>890</v>
      </c>
      <c r="I128" s="10"/>
      <c r="J128" s="70" t="s">
        <v>13</v>
      </c>
      <c r="K128" s="71" t="s">
        <v>14</v>
      </c>
      <c r="L128" s="7">
        <v>46040.339240173613</v>
      </c>
      <c r="M128" s="67"/>
      <c r="N128" s="10"/>
    </row>
    <row r="129" spans="1:14" ht="100.2" customHeight="1" thickTop="1" thickBot="1">
      <c r="A129" s="76">
        <v>127</v>
      </c>
      <c r="B129" s="7">
        <v>46040.326886411996</v>
      </c>
      <c r="C129" s="8" t="s">
        <v>36</v>
      </c>
      <c r="D129" s="10" t="s">
        <v>114</v>
      </c>
      <c r="E129" s="10" t="s">
        <v>43</v>
      </c>
      <c r="F129" s="89" t="s">
        <v>58</v>
      </c>
      <c r="G129" s="10" t="s">
        <v>159</v>
      </c>
      <c r="H129" s="75" t="s">
        <v>891</v>
      </c>
      <c r="I129" s="10"/>
      <c r="J129" s="70" t="s">
        <v>13</v>
      </c>
      <c r="K129" s="71" t="s">
        <v>14</v>
      </c>
      <c r="L129" s="7">
        <v>46040.339289027776</v>
      </c>
      <c r="M129" s="67"/>
      <c r="N129" s="10"/>
    </row>
    <row r="130" spans="1:14" ht="100.2" customHeight="1" thickTop="1" thickBot="1">
      <c r="A130" s="10">
        <v>128</v>
      </c>
      <c r="B130" s="7">
        <v>46040.327435740699</v>
      </c>
      <c r="C130" s="8" t="s">
        <v>36</v>
      </c>
      <c r="D130" s="10" t="s">
        <v>114</v>
      </c>
      <c r="E130" s="10" t="s">
        <v>43</v>
      </c>
      <c r="F130" s="89" t="s">
        <v>48</v>
      </c>
      <c r="G130" s="10" t="s">
        <v>159</v>
      </c>
      <c r="H130" s="75" t="s">
        <v>891</v>
      </c>
      <c r="I130" s="10"/>
      <c r="J130" s="70" t="s">
        <v>13</v>
      </c>
      <c r="K130" s="71" t="s">
        <v>14</v>
      </c>
      <c r="L130" s="7">
        <v>46040.339295682876</v>
      </c>
      <c r="M130" s="67"/>
      <c r="N130" s="10"/>
    </row>
    <row r="131" spans="1:14" ht="100.2" customHeight="1" thickTop="1" thickBot="1">
      <c r="A131" s="76">
        <v>129</v>
      </c>
      <c r="B131" s="7">
        <v>46040.328663935099</v>
      </c>
      <c r="C131" s="8" t="s">
        <v>36</v>
      </c>
      <c r="D131" s="10" t="s">
        <v>114</v>
      </c>
      <c r="E131" s="10" t="s">
        <v>43</v>
      </c>
      <c r="F131" s="89" t="s">
        <v>193</v>
      </c>
      <c r="G131" s="10" t="s">
        <v>159</v>
      </c>
      <c r="H131" s="75" t="s">
        <v>891</v>
      </c>
      <c r="I131" s="10"/>
      <c r="J131" s="70" t="s">
        <v>13</v>
      </c>
      <c r="K131" s="71" t="s">
        <v>14</v>
      </c>
      <c r="L131" s="7">
        <v>46040.339303194443</v>
      </c>
      <c r="M131" s="67"/>
      <c r="N131" s="10"/>
    </row>
    <row r="132" spans="1:14" ht="100.2" customHeight="1" thickTop="1" thickBot="1">
      <c r="A132" s="10">
        <v>130</v>
      </c>
      <c r="B132" s="7">
        <v>46040.328990277703</v>
      </c>
      <c r="C132" s="8" t="s">
        <v>36</v>
      </c>
      <c r="D132" s="10" t="s">
        <v>114</v>
      </c>
      <c r="E132" s="10" t="s">
        <v>43</v>
      </c>
      <c r="F132" s="89" t="s">
        <v>102</v>
      </c>
      <c r="G132" s="10" t="s">
        <v>159</v>
      </c>
      <c r="H132" s="75" t="s">
        <v>891</v>
      </c>
      <c r="I132" s="10"/>
      <c r="J132" s="70" t="s">
        <v>13</v>
      </c>
      <c r="K132" s="71" t="s">
        <v>14</v>
      </c>
      <c r="L132" s="7">
        <v>46040.33931116898</v>
      </c>
      <c r="M132" s="67"/>
      <c r="N132" s="10"/>
    </row>
    <row r="133" spans="1:14" ht="100.2" customHeight="1" thickTop="1" thickBot="1">
      <c r="A133" s="76">
        <v>131</v>
      </c>
      <c r="B133" s="7">
        <v>46040.329332499998</v>
      </c>
      <c r="C133" s="8" t="s">
        <v>36</v>
      </c>
      <c r="D133" s="10" t="s">
        <v>114</v>
      </c>
      <c r="E133" s="10" t="s">
        <v>43</v>
      </c>
      <c r="F133" s="89" t="s">
        <v>892</v>
      </c>
      <c r="G133" s="10" t="s">
        <v>808</v>
      </c>
      <c r="H133" s="75" t="s">
        <v>893</v>
      </c>
      <c r="I133" s="10"/>
      <c r="J133" s="70" t="s">
        <v>13</v>
      </c>
      <c r="K133" s="71" t="s">
        <v>14</v>
      </c>
      <c r="L133" s="7">
        <v>46040.339320208332</v>
      </c>
      <c r="M133" s="67"/>
      <c r="N133" s="10"/>
    </row>
    <row r="134" spans="1:14" ht="100.2" customHeight="1" thickTop="1" thickBot="1">
      <c r="A134" s="10">
        <v>132</v>
      </c>
      <c r="B134" s="7">
        <v>46040.3298479976</v>
      </c>
      <c r="C134" s="8" t="s">
        <v>36</v>
      </c>
      <c r="D134" s="10" t="s">
        <v>114</v>
      </c>
      <c r="E134" s="10" t="s">
        <v>43</v>
      </c>
      <c r="F134" s="89" t="s">
        <v>58</v>
      </c>
      <c r="G134" s="10" t="s">
        <v>782</v>
      </c>
      <c r="H134" s="75" t="s">
        <v>894</v>
      </c>
      <c r="I134" s="10"/>
      <c r="J134" s="70" t="s">
        <v>13</v>
      </c>
      <c r="K134" s="71" t="s">
        <v>14</v>
      </c>
      <c r="L134" s="7">
        <v>46040.339329722221</v>
      </c>
      <c r="M134" s="67"/>
      <c r="N134" s="10"/>
    </row>
    <row r="135" spans="1:14" ht="100.2" customHeight="1" thickTop="1" thickBot="1">
      <c r="A135" s="76">
        <v>133</v>
      </c>
      <c r="B135" s="7">
        <v>46040.330330277699</v>
      </c>
      <c r="C135" s="8" t="s">
        <v>36</v>
      </c>
      <c r="D135" s="10" t="s">
        <v>114</v>
      </c>
      <c r="E135" s="10" t="s">
        <v>43</v>
      </c>
      <c r="F135" s="89" t="s">
        <v>48</v>
      </c>
      <c r="G135" s="10" t="s">
        <v>895</v>
      </c>
      <c r="H135" s="75" t="s">
        <v>896</v>
      </c>
      <c r="I135" s="10"/>
      <c r="J135" s="70" t="s">
        <v>13</v>
      </c>
      <c r="K135" s="71" t="s">
        <v>14</v>
      </c>
      <c r="L135" s="7">
        <v>46040.339334756944</v>
      </c>
      <c r="M135" s="67"/>
      <c r="N135" s="10"/>
    </row>
    <row r="136" spans="1:14" ht="100.2" customHeight="1" thickTop="1" thickBot="1">
      <c r="A136" s="10">
        <v>134</v>
      </c>
      <c r="B136" s="7">
        <v>46040.330739074001</v>
      </c>
      <c r="C136" s="8" t="s">
        <v>36</v>
      </c>
      <c r="D136" s="10" t="s">
        <v>114</v>
      </c>
      <c r="E136" s="10" t="s">
        <v>43</v>
      </c>
      <c r="F136" s="89" t="s">
        <v>58</v>
      </c>
      <c r="G136" s="10" t="s">
        <v>897</v>
      </c>
      <c r="H136" s="75" t="s">
        <v>898</v>
      </c>
      <c r="I136" s="10"/>
      <c r="J136" s="70" t="s">
        <v>13</v>
      </c>
      <c r="K136" s="71" t="s">
        <v>14</v>
      </c>
      <c r="L136" s="7">
        <v>46040.339341724539</v>
      </c>
      <c r="M136" s="67"/>
      <c r="N136" s="10"/>
    </row>
    <row r="137" spans="1:14" ht="100.2" customHeight="1" thickTop="1" thickBot="1">
      <c r="A137" s="76">
        <v>135</v>
      </c>
      <c r="B137" s="7">
        <v>46040.331252488402</v>
      </c>
      <c r="C137" s="8" t="s">
        <v>36</v>
      </c>
      <c r="D137" s="10" t="s">
        <v>114</v>
      </c>
      <c r="E137" s="10" t="s">
        <v>43</v>
      </c>
      <c r="F137" s="89" t="s">
        <v>856</v>
      </c>
      <c r="G137" s="10" t="s">
        <v>782</v>
      </c>
      <c r="H137" s="75" t="s">
        <v>899</v>
      </c>
      <c r="I137" s="10"/>
      <c r="J137" s="70" t="s">
        <v>13</v>
      </c>
      <c r="K137" s="71" t="s">
        <v>14</v>
      </c>
      <c r="L137" s="7">
        <v>46040.33935115741</v>
      </c>
      <c r="M137" s="67"/>
      <c r="N137" s="10"/>
    </row>
    <row r="138" spans="1:14" ht="100.2" customHeight="1" thickTop="1" thickBot="1">
      <c r="A138" s="10">
        <v>136</v>
      </c>
      <c r="B138" s="7">
        <v>46040.331634259201</v>
      </c>
      <c r="C138" s="8" t="s">
        <v>36</v>
      </c>
      <c r="D138" s="10" t="s">
        <v>114</v>
      </c>
      <c r="E138" s="10" t="s">
        <v>43</v>
      </c>
      <c r="F138" s="89" t="s">
        <v>856</v>
      </c>
      <c r="G138" s="10" t="s">
        <v>115</v>
      </c>
      <c r="H138" s="75" t="s">
        <v>900</v>
      </c>
      <c r="I138" s="10"/>
      <c r="J138" s="70" t="s">
        <v>13</v>
      </c>
      <c r="K138" s="71" t="s">
        <v>14</v>
      </c>
      <c r="L138" s="7">
        <v>46040.339358587968</v>
      </c>
      <c r="M138" s="67"/>
      <c r="N138" s="10"/>
    </row>
    <row r="139" spans="1:14" ht="100.2" customHeight="1" thickTop="1" thickBot="1">
      <c r="A139" s="76">
        <v>137</v>
      </c>
      <c r="B139" s="7">
        <v>46040.332078460597</v>
      </c>
      <c r="C139" s="8" t="s">
        <v>36</v>
      </c>
      <c r="D139" s="10" t="s">
        <v>114</v>
      </c>
      <c r="E139" s="10" t="s">
        <v>43</v>
      </c>
      <c r="F139" s="89" t="s">
        <v>499</v>
      </c>
      <c r="G139" s="10" t="s">
        <v>901</v>
      </c>
      <c r="H139" s="75" t="s">
        <v>902</v>
      </c>
      <c r="I139" s="10"/>
      <c r="J139" s="70" t="s">
        <v>13</v>
      </c>
      <c r="K139" s="71" t="s">
        <v>14</v>
      </c>
      <c r="L139" s="7">
        <v>46040.339359571764</v>
      </c>
      <c r="M139" s="67"/>
      <c r="N139" s="10"/>
    </row>
    <row r="140" spans="1:14" ht="100.2" customHeight="1" thickTop="1" thickBot="1">
      <c r="A140" s="10">
        <v>138</v>
      </c>
      <c r="B140" s="7">
        <v>46040.3325800694</v>
      </c>
      <c r="C140" s="8" t="s">
        <v>36</v>
      </c>
      <c r="D140" s="10" t="s">
        <v>114</v>
      </c>
      <c r="E140" s="10" t="s">
        <v>43</v>
      </c>
      <c r="F140" s="89" t="s">
        <v>499</v>
      </c>
      <c r="G140" s="10" t="s">
        <v>901</v>
      </c>
      <c r="H140" s="75" t="s">
        <v>903</v>
      </c>
      <c r="I140" s="10"/>
      <c r="J140" s="70" t="s">
        <v>13</v>
      </c>
      <c r="K140" s="71" t="s">
        <v>14</v>
      </c>
      <c r="L140" s="7">
        <v>46040.339427141203</v>
      </c>
      <c r="M140" s="67"/>
      <c r="N140" s="10"/>
    </row>
    <row r="141" spans="1:14" ht="100.2" customHeight="1" thickTop="1" thickBot="1">
      <c r="A141" s="76">
        <v>139</v>
      </c>
      <c r="B141" s="7">
        <v>46040.333342187398</v>
      </c>
      <c r="C141" s="8" t="s">
        <v>36</v>
      </c>
      <c r="D141" s="10" t="s">
        <v>114</v>
      </c>
      <c r="E141" s="10" t="s">
        <v>43</v>
      </c>
      <c r="F141" s="89" t="s">
        <v>58</v>
      </c>
      <c r="G141" s="10" t="s">
        <v>115</v>
      </c>
      <c r="H141" s="75" t="s">
        <v>904</v>
      </c>
      <c r="I141" s="10"/>
      <c r="J141" s="70" t="s">
        <v>13</v>
      </c>
      <c r="K141" s="71" t="s">
        <v>14</v>
      </c>
      <c r="L141" s="7">
        <v>46040.339404965278</v>
      </c>
      <c r="M141" s="67"/>
      <c r="N141" s="10"/>
    </row>
    <row r="142" spans="1:14" ht="100.2" customHeight="1" thickTop="1" thickBot="1">
      <c r="A142" s="10">
        <v>140</v>
      </c>
      <c r="B142" s="7">
        <v>46040.333753784696</v>
      </c>
      <c r="C142" s="8" t="s">
        <v>36</v>
      </c>
      <c r="D142" s="10" t="s">
        <v>114</v>
      </c>
      <c r="E142" s="10" t="s">
        <v>43</v>
      </c>
      <c r="F142" s="89" t="s">
        <v>58</v>
      </c>
      <c r="G142" s="10" t="s">
        <v>785</v>
      </c>
      <c r="H142" s="75" t="s">
        <v>905</v>
      </c>
      <c r="I142" s="10"/>
      <c r="J142" s="70" t="s">
        <v>13</v>
      </c>
      <c r="K142" s="71" t="s">
        <v>14</v>
      </c>
      <c r="L142" s="7">
        <v>46040.339451678243</v>
      </c>
      <c r="M142" s="67"/>
      <c r="N142" s="10"/>
    </row>
    <row r="143" spans="1:14" ht="100.2" customHeight="1" thickTop="1" thickBot="1">
      <c r="A143" s="76">
        <v>141</v>
      </c>
      <c r="B143" s="7">
        <v>46040.334254768502</v>
      </c>
      <c r="C143" s="8" t="s">
        <v>36</v>
      </c>
      <c r="D143" s="10" t="s">
        <v>114</v>
      </c>
      <c r="E143" s="10" t="s">
        <v>43</v>
      </c>
      <c r="F143" s="89" t="s">
        <v>307</v>
      </c>
      <c r="G143" s="10" t="s">
        <v>808</v>
      </c>
      <c r="H143" s="75" t="s">
        <v>906</v>
      </c>
      <c r="I143" s="10"/>
      <c r="J143" s="70" t="s">
        <v>13</v>
      </c>
      <c r="K143" s="71" t="s">
        <v>14</v>
      </c>
      <c r="L143" s="7">
        <v>46040.339458472226</v>
      </c>
      <c r="M143" s="67"/>
      <c r="N143" s="10"/>
    </row>
    <row r="144" spans="1:14" ht="100.2" customHeight="1" thickTop="1" thickBot="1">
      <c r="A144" s="10">
        <v>142</v>
      </c>
      <c r="B144" s="7">
        <v>46040.334711342599</v>
      </c>
      <c r="C144" s="8" t="s">
        <v>36</v>
      </c>
      <c r="D144" s="10" t="s">
        <v>114</v>
      </c>
      <c r="E144" s="10" t="s">
        <v>43</v>
      </c>
      <c r="F144" s="89" t="s">
        <v>307</v>
      </c>
      <c r="G144" s="10" t="s">
        <v>808</v>
      </c>
      <c r="H144" s="75" t="s">
        <v>907</v>
      </c>
      <c r="I144" s="10"/>
      <c r="J144" s="70" t="s">
        <v>13</v>
      </c>
      <c r="K144" s="71" t="s">
        <v>14</v>
      </c>
      <c r="L144" s="7">
        <v>46040.339469363425</v>
      </c>
      <c r="M144" s="67"/>
      <c r="N144" s="10"/>
    </row>
    <row r="145" spans="1:14" ht="100.2" customHeight="1" thickTop="1" thickBot="1">
      <c r="A145" s="76">
        <v>143</v>
      </c>
      <c r="B145" s="7">
        <v>46040.335179965201</v>
      </c>
      <c r="C145" s="8" t="s">
        <v>36</v>
      </c>
      <c r="D145" s="10" t="s">
        <v>114</v>
      </c>
      <c r="E145" s="10" t="s">
        <v>43</v>
      </c>
      <c r="F145" s="89" t="s">
        <v>58</v>
      </c>
      <c r="G145" s="10" t="s">
        <v>808</v>
      </c>
      <c r="H145" s="75" t="s">
        <v>908</v>
      </c>
      <c r="I145" s="10"/>
      <c r="J145" s="70" t="s">
        <v>13</v>
      </c>
      <c r="K145" s="71" t="s">
        <v>14</v>
      </c>
      <c r="L145" s="7">
        <v>46040.339486504628</v>
      </c>
      <c r="M145" s="67"/>
      <c r="N145" s="10"/>
    </row>
    <row r="146" spans="1:14" ht="100.2" customHeight="1" thickTop="1" thickBot="1">
      <c r="A146" s="10">
        <v>144</v>
      </c>
      <c r="B146" s="7">
        <v>46040.335699884199</v>
      </c>
      <c r="C146" s="8" t="s">
        <v>36</v>
      </c>
      <c r="D146" s="10" t="s">
        <v>114</v>
      </c>
      <c r="E146" s="10" t="s">
        <v>43</v>
      </c>
      <c r="F146" s="89" t="s">
        <v>892</v>
      </c>
      <c r="G146" s="10" t="s">
        <v>808</v>
      </c>
      <c r="H146" s="75" t="s">
        <v>909</v>
      </c>
      <c r="I146" s="10"/>
      <c r="J146" s="70" t="s">
        <v>13</v>
      </c>
      <c r="K146" s="71" t="s">
        <v>14</v>
      </c>
      <c r="L146" s="7">
        <v>46040.339490092592</v>
      </c>
      <c r="M146" s="67"/>
      <c r="N146" s="10"/>
    </row>
    <row r="147" spans="1:14" ht="100.2" customHeight="1" thickTop="1" thickBot="1">
      <c r="A147" s="76">
        <v>145</v>
      </c>
      <c r="B147" s="7">
        <v>46040.336732870303</v>
      </c>
      <c r="C147" s="8" t="s">
        <v>36</v>
      </c>
      <c r="D147" s="10" t="s">
        <v>114</v>
      </c>
      <c r="E147" s="10" t="s">
        <v>43</v>
      </c>
      <c r="F147" s="89" t="s">
        <v>910</v>
      </c>
      <c r="G147" s="10" t="s">
        <v>808</v>
      </c>
      <c r="H147" s="75" t="s">
        <v>911</v>
      </c>
      <c r="I147" s="10"/>
      <c r="J147" s="70" t="s">
        <v>13</v>
      </c>
      <c r="K147" s="71" t="s">
        <v>14</v>
      </c>
      <c r="L147" s="7">
        <v>46040.339498113426</v>
      </c>
      <c r="M147" s="67"/>
      <c r="N147" s="10"/>
    </row>
    <row r="148" spans="1:14" ht="100.2" customHeight="1" thickTop="1" thickBot="1">
      <c r="A148" s="10">
        <v>146</v>
      </c>
      <c r="B148" s="7">
        <v>46040.405996875001</v>
      </c>
      <c r="C148" s="8" t="s">
        <v>36</v>
      </c>
      <c r="D148" s="10" t="s">
        <v>759</v>
      </c>
      <c r="E148" s="10" t="s">
        <v>38</v>
      </c>
      <c r="F148" s="89" t="s">
        <v>212</v>
      </c>
      <c r="G148" s="10" t="s">
        <v>803</v>
      </c>
      <c r="H148" s="75" t="s">
        <v>912</v>
      </c>
      <c r="I148" s="10"/>
      <c r="J148" s="70" t="s">
        <v>13</v>
      </c>
      <c r="K148" s="71" t="s">
        <v>14</v>
      </c>
      <c r="L148" s="7">
        <v>46046.39912736111</v>
      </c>
      <c r="M148" s="67"/>
      <c r="N148" s="10"/>
    </row>
    <row r="149" spans="1:14" ht="100.2" customHeight="1" thickTop="1" thickBot="1">
      <c r="A149" s="76">
        <v>147</v>
      </c>
      <c r="B149" s="7">
        <v>46042.463999525397</v>
      </c>
      <c r="C149" s="8" t="s">
        <v>36</v>
      </c>
      <c r="D149" s="10" t="s">
        <v>759</v>
      </c>
      <c r="E149" s="10" t="s">
        <v>38</v>
      </c>
      <c r="F149" s="89" t="s">
        <v>48</v>
      </c>
      <c r="G149" s="10" t="s">
        <v>913</v>
      </c>
      <c r="H149" s="75" t="s">
        <v>914</v>
      </c>
      <c r="I149" s="10"/>
      <c r="J149" s="70" t="s">
        <v>13</v>
      </c>
      <c r="K149" s="71" t="s">
        <v>14</v>
      </c>
      <c r="L149" s="7">
        <v>46042.485399803241</v>
      </c>
      <c r="M149" s="67"/>
      <c r="N149" s="10"/>
    </row>
    <row r="150" spans="1:14" ht="100.2" customHeight="1" thickTop="1" thickBot="1">
      <c r="A150" s="10">
        <v>148</v>
      </c>
      <c r="B150" s="7">
        <v>46043.379510949002</v>
      </c>
      <c r="C150" s="8" t="s">
        <v>36</v>
      </c>
      <c r="D150" s="10" t="s">
        <v>759</v>
      </c>
      <c r="E150" s="10" t="s">
        <v>38</v>
      </c>
      <c r="F150" s="89" t="s">
        <v>148</v>
      </c>
      <c r="G150" s="10" t="s">
        <v>115</v>
      </c>
      <c r="H150" s="75" t="s">
        <v>915</v>
      </c>
      <c r="I150" s="10"/>
      <c r="J150" s="70" t="s">
        <v>13</v>
      </c>
      <c r="K150" s="71" t="s">
        <v>14</v>
      </c>
      <c r="L150" s="7">
        <v>46043.540502800926</v>
      </c>
      <c r="M150" s="67"/>
      <c r="N150" s="10"/>
    </row>
    <row r="151" spans="1:14" ht="100.2" customHeight="1" thickTop="1" thickBot="1">
      <c r="A151" s="76">
        <v>149</v>
      </c>
      <c r="B151" s="7">
        <v>46043.386663888799</v>
      </c>
      <c r="C151" s="8" t="s">
        <v>36</v>
      </c>
      <c r="D151" s="10" t="s">
        <v>759</v>
      </c>
      <c r="E151" s="10" t="s">
        <v>38</v>
      </c>
      <c r="F151" s="89" t="s">
        <v>78</v>
      </c>
      <c r="G151" s="10" t="s">
        <v>916</v>
      </c>
      <c r="H151" s="75" t="s">
        <v>804</v>
      </c>
      <c r="I151" s="10"/>
      <c r="J151" s="70" t="s">
        <v>13</v>
      </c>
      <c r="K151" s="71" t="s">
        <v>14</v>
      </c>
      <c r="L151" s="7">
        <v>46043.395576898147</v>
      </c>
      <c r="M151" s="67"/>
      <c r="N151" s="10"/>
    </row>
    <row r="152" spans="1:14" ht="100.2" customHeight="1" thickTop="1" thickBot="1">
      <c r="A152" s="10">
        <v>150</v>
      </c>
      <c r="B152" s="7">
        <v>46043.39770478</v>
      </c>
      <c r="C152" s="8" t="s">
        <v>36</v>
      </c>
      <c r="D152" s="10" t="s">
        <v>759</v>
      </c>
      <c r="E152" s="10" t="s">
        <v>38</v>
      </c>
      <c r="F152" s="89" t="s">
        <v>917</v>
      </c>
      <c r="G152" s="10" t="s">
        <v>803</v>
      </c>
      <c r="H152" s="75" t="s">
        <v>918</v>
      </c>
      <c r="I152" s="10"/>
      <c r="J152" s="70" t="s">
        <v>13</v>
      </c>
      <c r="K152" s="71" t="s">
        <v>14</v>
      </c>
      <c r="L152" s="7">
        <v>46043.408144837958</v>
      </c>
      <c r="M152" s="67"/>
      <c r="N152" s="10"/>
    </row>
    <row r="153" spans="1:14" ht="100.2" customHeight="1" thickTop="1" thickBot="1">
      <c r="A153" s="76">
        <v>151</v>
      </c>
      <c r="B153" s="7">
        <v>46044.517730925902</v>
      </c>
      <c r="C153" s="8" t="s">
        <v>36</v>
      </c>
      <c r="D153" s="10" t="s">
        <v>759</v>
      </c>
      <c r="E153" s="10" t="s">
        <v>38</v>
      </c>
      <c r="F153" s="89" t="s">
        <v>193</v>
      </c>
      <c r="G153" s="10" t="s">
        <v>115</v>
      </c>
      <c r="H153" s="75" t="s">
        <v>919</v>
      </c>
      <c r="I153" s="10"/>
      <c r="J153" s="70" t="s">
        <v>13</v>
      </c>
      <c r="K153" s="71" t="s">
        <v>14</v>
      </c>
      <c r="L153" s="7">
        <v>46046.426588252318</v>
      </c>
      <c r="M153" s="67"/>
      <c r="N153" s="10"/>
    </row>
    <row r="154" spans="1:14" ht="100.2" customHeight="1" thickTop="1" thickBot="1">
      <c r="A154" s="10">
        <v>152</v>
      </c>
      <c r="B154" s="7">
        <v>46044.560691307801</v>
      </c>
      <c r="C154" s="8" t="s">
        <v>36</v>
      </c>
      <c r="D154" s="10" t="s">
        <v>759</v>
      </c>
      <c r="E154" s="10" t="s">
        <v>38</v>
      </c>
      <c r="F154" s="89" t="s">
        <v>58</v>
      </c>
      <c r="G154" s="10" t="s">
        <v>115</v>
      </c>
      <c r="H154" s="75" t="s">
        <v>920</v>
      </c>
      <c r="I154" s="10"/>
      <c r="J154" s="70" t="s">
        <v>13</v>
      </c>
      <c r="K154" s="71" t="s">
        <v>14</v>
      </c>
      <c r="L154" s="7">
        <v>46044.561570648148</v>
      </c>
      <c r="M154" s="67"/>
      <c r="N154" s="10"/>
    </row>
    <row r="155" spans="1:14" ht="100.2" customHeight="1" thickTop="1" thickBot="1">
      <c r="A155" s="76">
        <v>153</v>
      </c>
      <c r="B155" s="7">
        <v>46047.323415185099</v>
      </c>
      <c r="C155" s="8" t="s">
        <v>36</v>
      </c>
      <c r="D155" s="10" t="s">
        <v>759</v>
      </c>
      <c r="E155" s="10" t="s">
        <v>38</v>
      </c>
      <c r="F155" s="89" t="s">
        <v>193</v>
      </c>
      <c r="G155" s="10" t="s">
        <v>769</v>
      </c>
      <c r="H155" s="75" t="s">
        <v>805</v>
      </c>
      <c r="I155" s="10"/>
      <c r="J155" s="70" t="s">
        <v>13</v>
      </c>
      <c r="K155" s="71" t="s">
        <v>14</v>
      </c>
      <c r="L155" s="7">
        <v>46047.335407881939</v>
      </c>
      <c r="M155" s="67"/>
      <c r="N155" s="10"/>
    </row>
    <row r="156" spans="1:14" ht="100.2" customHeight="1" thickTop="1" thickBot="1">
      <c r="A156" s="10">
        <v>154</v>
      </c>
      <c r="B156" s="7">
        <v>46049.3236670486</v>
      </c>
      <c r="C156" s="8" t="s">
        <v>36</v>
      </c>
      <c r="D156" s="10" t="s">
        <v>759</v>
      </c>
      <c r="E156" s="10" t="s">
        <v>38</v>
      </c>
      <c r="F156" s="89" t="s">
        <v>58</v>
      </c>
      <c r="G156" s="10" t="s">
        <v>921</v>
      </c>
      <c r="H156" s="75" t="s">
        <v>922</v>
      </c>
      <c r="I156" s="10"/>
      <c r="J156" s="70" t="s">
        <v>13</v>
      </c>
      <c r="K156" s="71" t="s">
        <v>20</v>
      </c>
      <c r="L156" s="7">
        <v>46051.33083082176</v>
      </c>
      <c r="M156" s="67" t="s">
        <v>923</v>
      </c>
      <c r="N156" s="10"/>
    </row>
    <row r="157" spans="1:14" ht="100.2" customHeight="1" thickTop="1" thickBot="1">
      <c r="A157" s="76">
        <v>155</v>
      </c>
      <c r="B157" s="7">
        <v>46049.356156817099</v>
      </c>
      <c r="C157" s="8" t="s">
        <v>36</v>
      </c>
      <c r="D157" s="10" t="s">
        <v>759</v>
      </c>
      <c r="E157" s="10" t="s">
        <v>38</v>
      </c>
      <c r="F157" s="89" t="s">
        <v>102</v>
      </c>
      <c r="G157" s="10" t="s">
        <v>794</v>
      </c>
      <c r="H157" s="75" t="s">
        <v>924</v>
      </c>
      <c r="I157" s="10"/>
      <c r="J157" s="70" t="s">
        <v>13</v>
      </c>
      <c r="K157" s="71" t="s">
        <v>14</v>
      </c>
      <c r="L157" s="7">
        <v>46049.489388993054</v>
      </c>
      <c r="M157" s="67"/>
      <c r="N157" s="10"/>
    </row>
    <row r="158" spans="1:14" ht="100.2" customHeight="1" thickTop="1" thickBot="1">
      <c r="A158" s="10">
        <v>156</v>
      </c>
      <c r="B158" s="7">
        <v>46050.316908703702</v>
      </c>
      <c r="C158" s="8" t="s">
        <v>36</v>
      </c>
      <c r="D158" s="10" t="s">
        <v>759</v>
      </c>
      <c r="E158" s="10" t="s">
        <v>38</v>
      </c>
      <c r="F158" s="89" t="s">
        <v>925</v>
      </c>
      <c r="G158" s="10" t="s">
        <v>115</v>
      </c>
      <c r="H158" s="75" t="s">
        <v>926</v>
      </c>
      <c r="I158" s="10"/>
      <c r="J158" s="70" t="s">
        <v>13</v>
      </c>
      <c r="K158" s="71" t="s">
        <v>24</v>
      </c>
      <c r="L158" s="7">
        <v>46051.331108182872</v>
      </c>
      <c r="M158" s="67" t="s">
        <v>927</v>
      </c>
      <c r="N158" s="10"/>
    </row>
    <row r="159" spans="1:14" ht="100.2" customHeight="1" thickTop="1" thickBot="1">
      <c r="A159" s="76">
        <v>157</v>
      </c>
      <c r="B159" s="7">
        <v>46051.339041886502</v>
      </c>
      <c r="C159" s="8" t="s">
        <v>36</v>
      </c>
      <c r="D159" s="10" t="s">
        <v>114</v>
      </c>
      <c r="E159" s="10" t="s">
        <v>43</v>
      </c>
      <c r="F159" s="89" t="s">
        <v>193</v>
      </c>
      <c r="G159" s="10" t="s">
        <v>928</v>
      </c>
      <c r="H159" s="75" t="s">
        <v>929</v>
      </c>
      <c r="I159" s="10"/>
      <c r="J159" s="70" t="s">
        <v>13</v>
      </c>
      <c r="K159" s="71" t="s">
        <v>14</v>
      </c>
      <c r="L159" s="7">
        <v>46051.353913043982</v>
      </c>
      <c r="M159" s="67"/>
      <c r="N159" s="10"/>
    </row>
    <row r="160" spans="1:14" ht="100.2" customHeight="1" thickTop="1" thickBot="1">
      <c r="A160" s="10">
        <v>158</v>
      </c>
      <c r="B160" s="7">
        <v>46051.340512789298</v>
      </c>
      <c r="C160" s="8" t="s">
        <v>36</v>
      </c>
      <c r="D160" s="10" t="s">
        <v>114</v>
      </c>
      <c r="E160" s="10" t="s">
        <v>43</v>
      </c>
      <c r="F160" s="89" t="s">
        <v>499</v>
      </c>
      <c r="G160" s="10" t="s">
        <v>930</v>
      </c>
      <c r="H160" s="75" t="s">
        <v>931</v>
      </c>
      <c r="I160" s="10"/>
      <c r="J160" s="70" t="s">
        <v>13</v>
      </c>
      <c r="K160" s="71" t="s">
        <v>14</v>
      </c>
      <c r="L160" s="7">
        <v>46051.353954363425</v>
      </c>
      <c r="M160" s="67"/>
      <c r="N160" s="10"/>
    </row>
    <row r="161" spans="1:14" ht="100.2" customHeight="1" thickTop="1" thickBot="1">
      <c r="A161" s="76">
        <v>159</v>
      </c>
      <c r="B161" s="7">
        <v>46051.340907175902</v>
      </c>
      <c r="C161" s="8" t="s">
        <v>36</v>
      </c>
      <c r="D161" s="10" t="s">
        <v>114</v>
      </c>
      <c r="E161" s="10" t="s">
        <v>43</v>
      </c>
      <c r="F161" s="89" t="s">
        <v>58</v>
      </c>
      <c r="G161" s="10" t="s">
        <v>115</v>
      </c>
      <c r="H161" s="75" t="s">
        <v>932</v>
      </c>
      <c r="I161" s="10"/>
      <c r="J161" s="70" t="s">
        <v>13</v>
      </c>
      <c r="K161" s="71" t="s">
        <v>14</v>
      </c>
      <c r="L161" s="7">
        <v>46051.354047303241</v>
      </c>
      <c r="M161" s="67"/>
      <c r="N161" s="10"/>
    </row>
    <row r="162" spans="1:14" ht="100.2" customHeight="1" thickTop="1" thickBot="1">
      <c r="A162" s="10">
        <v>160</v>
      </c>
      <c r="B162" s="7">
        <v>46051.341534328698</v>
      </c>
      <c r="C162" s="8" t="s">
        <v>36</v>
      </c>
      <c r="D162" s="10" t="s">
        <v>114</v>
      </c>
      <c r="E162" s="10" t="s">
        <v>43</v>
      </c>
      <c r="F162" s="89" t="s">
        <v>933</v>
      </c>
      <c r="G162" s="10" t="s">
        <v>329</v>
      </c>
      <c r="H162" s="75" t="s">
        <v>934</v>
      </c>
      <c r="I162" s="10"/>
      <c r="J162" s="70" t="s">
        <v>13</v>
      </c>
      <c r="K162" s="71" t="s">
        <v>14</v>
      </c>
      <c r="L162" s="7">
        <v>46051.354082407408</v>
      </c>
      <c r="M162" s="67"/>
      <c r="N162" s="10"/>
    </row>
    <row r="163" spans="1:14" ht="100.2" customHeight="1" thickTop="1" thickBot="1">
      <c r="A163" s="76">
        <v>161</v>
      </c>
      <c r="B163" s="7">
        <v>46051.342039490701</v>
      </c>
      <c r="C163" s="8" t="s">
        <v>36</v>
      </c>
      <c r="D163" s="10" t="s">
        <v>114</v>
      </c>
      <c r="E163" s="10" t="s">
        <v>43</v>
      </c>
      <c r="F163" s="89" t="s">
        <v>307</v>
      </c>
      <c r="G163" s="10" t="s">
        <v>808</v>
      </c>
      <c r="H163" s="75" t="s">
        <v>935</v>
      </c>
      <c r="I163" s="10"/>
      <c r="J163" s="70" t="s">
        <v>13</v>
      </c>
      <c r="K163" s="71" t="s">
        <v>14</v>
      </c>
      <c r="L163" s="7">
        <v>46051.354159016206</v>
      </c>
      <c r="M163" s="67"/>
      <c r="N163" s="10"/>
    </row>
    <row r="164" spans="1:14" ht="100.2" customHeight="1" thickTop="1" thickBot="1">
      <c r="A164" s="10">
        <v>162</v>
      </c>
      <c r="B164" s="7">
        <v>46051.342737106403</v>
      </c>
      <c r="C164" s="8" t="s">
        <v>36</v>
      </c>
      <c r="D164" s="10" t="s">
        <v>114</v>
      </c>
      <c r="E164" s="10" t="s">
        <v>43</v>
      </c>
      <c r="F164" s="89" t="s">
        <v>48</v>
      </c>
      <c r="G164" s="10" t="s">
        <v>775</v>
      </c>
      <c r="H164" s="75" t="s">
        <v>936</v>
      </c>
      <c r="I164" s="10"/>
      <c r="J164" s="70" t="s">
        <v>13</v>
      </c>
      <c r="K164" s="71" t="s">
        <v>14</v>
      </c>
      <c r="L164" s="7">
        <v>46051.354320486113</v>
      </c>
      <c r="M164" s="67"/>
      <c r="N164" s="10"/>
    </row>
    <row r="165" spans="1:14" ht="100.2" customHeight="1" thickTop="1" thickBot="1">
      <c r="A165" s="76">
        <v>163</v>
      </c>
      <c r="B165" s="7">
        <v>46051.343284201299</v>
      </c>
      <c r="C165" s="8" t="s">
        <v>36</v>
      </c>
      <c r="D165" s="10" t="s">
        <v>114</v>
      </c>
      <c r="E165" s="10" t="s">
        <v>43</v>
      </c>
      <c r="F165" s="89" t="s">
        <v>937</v>
      </c>
      <c r="G165" s="10" t="s">
        <v>808</v>
      </c>
      <c r="H165" s="75" t="s">
        <v>938</v>
      </c>
      <c r="I165" s="10"/>
      <c r="J165" s="70" t="s">
        <v>13</v>
      </c>
      <c r="K165" s="71" t="s">
        <v>14</v>
      </c>
      <c r="L165" s="7">
        <v>46051.354375601848</v>
      </c>
      <c r="M165" s="67"/>
      <c r="N165" s="10"/>
    </row>
    <row r="166" spans="1:14" ht="100.2" customHeight="1" thickTop="1" thickBot="1">
      <c r="A166" s="10">
        <v>164</v>
      </c>
      <c r="B166" s="7">
        <v>46051.344689282399</v>
      </c>
      <c r="C166" s="8" t="s">
        <v>36</v>
      </c>
      <c r="D166" s="10" t="s">
        <v>114</v>
      </c>
      <c r="E166" s="10" t="s">
        <v>43</v>
      </c>
      <c r="F166" s="89" t="s">
        <v>53</v>
      </c>
      <c r="G166" s="10" t="s">
        <v>115</v>
      </c>
      <c r="H166" s="75" t="s">
        <v>939</v>
      </c>
      <c r="I166" s="10"/>
      <c r="J166" s="70" t="s">
        <v>13</v>
      </c>
      <c r="K166" s="71" t="s">
        <v>14</v>
      </c>
      <c r="L166" s="7">
        <v>46051.354418842588</v>
      </c>
      <c r="M166" s="67"/>
      <c r="N166" s="10"/>
    </row>
    <row r="167" spans="1:14" ht="100.2" customHeight="1" thickTop="1" thickBot="1">
      <c r="A167" s="76">
        <v>165</v>
      </c>
      <c r="B167" s="7">
        <v>46051.346042916601</v>
      </c>
      <c r="C167" s="8" t="s">
        <v>36</v>
      </c>
      <c r="D167" s="10" t="s">
        <v>114</v>
      </c>
      <c r="E167" s="10" t="s">
        <v>43</v>
      </c>
      <c r="F167" s="89" t="s">
        <v>940</v>
      </c>
      <c r="G167" s="10" t="s">
        <v>808</v>
      </c>
      <c r="H167" s="75" t="s">
        <v>941</v>
      </c>
      <c r="I167" s="10"/>
      <c r="J167" s="70" t="s">
        <v>13</v>
      </c>
      <c r="K167" s="71" t="s">
        <v>14</v>
      </c>
      <c r="L167" s="7">
        <v>46051.354464571763</v>
      </c>
      <c r="M167" s="67"/>
      <c r="N167" s="10"/>
    </row>
    <row r="168" spans="1:14" ht="100.2" customHeight="1" thickTop="1" thickBot="1">
      <c r="A168" s="10">
        <v>166</v>
      </c>
      <c r="B168" s="7">
        <v>46051.347307279997</v>
      </c>
      <c r="C168" s="8" t="s">
        <v>36</v>
      </c>
      <c r="D168" s="10" t="s">
        <v>114</v>
      </c>
      <c r="E168" s="10" t="s">
        <v>43</v>
      </c>
      <c r="F168" s="89" t="s">
        <v>78</v>
      </c>
      <c r="G168" s="10" t="s">
        <v>942</v>
      </c>
      <c r="H168" s="75" t="s">
        <v>943</v>
      </c>
      <c r="I168" s="10"/>
      <c r="J168" s="70" t="s">
        <v>13</v>
      </c>
      <c r="K168" s="71" t="s">
        <v>14</v>
      </c>
      <c r="L168" s="7">
        <v>46051.354498645829</v>
      </c>
      <c r="M168" s="67"/>
      <c r="N168" s="10"/>
    </row>
    <row r="169" spans="1:14" ht="100.2" customHeight="1" thickTop="1" thickBot="1">
      <c r="A169" s="76">
        <v>167</v>
      </c>
      <c r="B169" s="7">
        <v>46051.347720879603</v>
      </c>
      <c r="C169" s="8" t="s">
        <v>36</v>
      </c>
      <c r="D169" s="10" t="s">
        <v>114</v>
      </c>
      <c r="E169" s="10" t="s">
        <v>43</v>
      </c>
      <c r="F169" s="89" t="s">
        <v>122</v>
      </c>
      <c r="G169" s="10" t="s">
        <v>808</v>
      </c>
      <c r="H169" s="75" t="s">
        <v>944</v>
      </c>
      <c r="I169" s="10"/>
      <c r="J169" s="70" t="s">
        <v>13</v>
      </c>
      <c r="K169" s="71" t="s">
        <v>14</v>
      </c>
      <c r="L169" s="7">
        <v>46051.35453788194</v>
      </c>
      <c r="M169" s="67"/>
      <c r="N169" s="10"/>
    </row>
    <row r="170" spans="1:14" ht="100.2" customHeight="1" thickTop="1" thickBot="1">
      <c r="A170" s="10">
        <v>168</v>
      </c>
      <c r="B170" s="7">
        <v>46051.348809351803</v>
      </c>
      <c r="C170" s="8" t="s">
        <v>36</v>
      </c>
      <c r="D170" s="10" t="s">
        <v>114</v>
      </c>
      <c r="E170" s="10" t="s">
        <v>43</v>
      </c>
      <c r="F170" s="89" t="s">
        <v>78</v>
      </c>
      <c r="G170" s="10" t="s">
        <v>945</v>
      </c>
      <c r="H170" s="75" t="s">
        <v>946</v>
      </c>
      <c r="I170" s="10"/>
      <c r="J170" s="70" t="s">
        <v>13</v>
      </c>
      <c r="K170" s="71" t="s">
        <v>14</v>
      </c>
      <c r="L170" s="7">
        <v>46051.354583622684</v>
      </c>
      <c r="M170" s="67"/>
      <c r="N170" s="10"/>
    </row>
    <row r="171" spans="1:14" ht="100.2" customHeight="1" thickTop="1" thickBot="1">
      <c r="A171" s="76">
        <v>169</v>
      </c>
      <c r="B171" s="7">
        <v>46051.3492039583</v>
      </c>
      <c r="C171" s="8" t="s">
        <v>36</v>
      </c>
      <c r="D171" s="10" t="s">
        <v>114</v>
      </c>
      <c r="E171" s="10" t="s">
        <v>43</v>
      </c>
      <c r="F171" s="89" t="s">
        <v>58</v>
      </c>
      <c r="G171" s="10" t="s">
        <v>947</v>
      </c>
      <c r="H171" s="75" t="s">
        <v>948</v>
      </c>
      <c r="I171" s="10"/>
      <c r="J171" s="70" t="s">
        <v>13</v>
      </c>
      <c r="K171" s="71" t="s">
        <v>14</v>
      </c>
      <c r="L171" s="7">
        <v>46051.354615000004</v>
      </c>
      <c r="M171" s="67"/>
      <c r="N171" s="10"/>
    </row>
    <row r="172" spans="1:14" ht="100.2" customHeight="1" thickTop="1" thickBot="1">
      <c r="A172" s="10">
        <v>170</v>
      </c>
      <c r="B172" s="7">
        <v>46051.349698854101</v>
      </c>
      <c r="C172" s="8" t="s">
        <v>36</v>
      </c>
      <c r="D172" s="10" t="s">
        <v>114</v>
      </c>
      <c r="E172" s="10" t="s">
        <v>43</v>
      </c>
      <c r="F172" s="89" t="s">
        <v>148</v>
      </c>
      <c r="G172" s="10" t="s">
        <v>949</v>
      </c>
      <c r="H172" s="75" t="s">
        <v>950</v>
      </c>
      <c r="I172" s="10"/>
      <c r="J172" s="70" t="s">
        <v>13</v>
      </c>
      <c r="K172" s="71" t="s">
        <v>14</v>
      </c>
      <c r="L172" s="7">
        <v>46051.354657962962</v>
      </c>
      <c r="M172" s="67"/>
      <c r="N172" s="10"/>
    </row>
    <row r="173" spans="1:14" ht="100.2" customHeight="1" thickTop="1" thickBot="1">
      <c r="A173" s="76">
        <v>171</v>
      </c>
      <c r="B173" s="7">
        <v>46051.3505281365</v>
      </c>
      <c r="C173" s="8" t="s">
        <v>36</v>
      </c>
      <c r="D173" s="10" t="s">
        <v>114</v>
      </c>
      <c r="E173" s="10" t="s">
        <v>43</v>
      </c>
      <c r="F173" s="89" t="s">
        <v>951</v>
      </c>
      <c r="G173" s="10" t="s">
        <v>952</v>
      </c>
      <c r="H173" s="75" t="s">
        <v>953</v>
      </c>
      <c r="I173" s="10"/>
      <c r="J173" s="70" t="s">
        <v>13</v>
      </c>
      <c r="K173" s="71" t="s">
        <v>14</v>
      </c>
      <c r="L173" s="7">
        <v>46051.354716782407</v>
      </c>
      <c r="M173" s="67"/>
      <c r="N173" s="10"/>
    </row>
    <row r="174" spans="1:14" ht="100.2" customHeight="1" thickTop="1" thickBot="1">
      <c r="A174" s="10">
        <v>172</v>
      </c>
      <c r="B174" s="7">
        <v>46051.351056805499</v>
      </c>
      <c r="C174" s="8" t="s">
        <v>36</v>
      </c>
      <c r="D174" s="10" t="s">
        <v>114</v>
      </c>
      <c r="E174" s="10" t="s">
        <v>43</v>
      </c>
      <c r="F174" s="89" t="s">
        <v>53</v>
      </c>
      <c r="G174" s="10" t="s">
        <v>942</v>
      </c>
      <c r="H174" s="75" t="s">
        <v>954</v>
      </c>
      <c r="I174" s="10"/>
      <c r="J174" s="70" t="s">
        <v>13</v>
      </c>
      <c r="K174" s="71" t="s">
        <v>14</v>
      </c>
      <c r="L174" s="7">
        <v>46051.354762499999</v>
      </c>
      <c r="M174" s="67"/>
      <c r="N174" s="10"/>
    </row>
    <row r="175" spans="1:14" ht="100.2" customHeight="1" thickTop="1" thickBot="1">
      <c r="A175" s="76">
        <v>173</v>
      </c>
      <c r="B175" s="7">
        <v>46051.351422395797</v>
      </c>
      <c r="C175" s="8" t="s">
        <v>36</v>
      </c>
      <c r="D175" s="10" t="s">
        <v>114</v>
      </c>
      <c r="E175" s="10" t="s">
        <v>43</v>
      </c>
      <c r="F175" s="89" t="s">
        <v>53</v>
      </c>
      <c r="G175" s="10" t="s">
        <v>115</v>
      </c>
      <c r="H175" s="75" t="s">
        <v>955</v>
      </c>
      <c r="I175" s="10"/>
      <c r="J175" s="70" t="s">
        <v>13</v>
      </c>
      <c r="K175" s="71" t="s">
        <v>14</v>
      </c>
      <c r="L175" s="7">
        <v>46051.354949594912</v>
      </c>
      <c r="M175" s="67"/>
      <c r="N175" s="10"/>
    </row>
    <row r="176" spans="1:14" ht="100.2" customHeight="1" thickTop="1" thickBot="1">
      <c r="A176" s="10">
        <v>174</v>
      </c>
      <c r="B176" s="7">
        <v>46051.351879675902</v>
      </c>
      <c r="C176" s="8" t="s">
        <v>36</v>
      </c>
      <c r="D176" s="10" t="s">
        <v>114</v>
      </c>
      <c r="E176" s="10" t="s">
        <v>43</v>
      </c>
      <c r="F176" s="89" t="s">
        <v>53</v>
      </c>
      <c r="G176" s="10" t="s">
        <v>115</v>
      </c>
      <c r="H176" s="75" t="s">
        <v>956</v>
      </c>
      <c r="I176" s="10"/>
      <c r="J176" s="70" t="s">
        <v>13</v>
      </c>
      <c r="K176" s="71" t="s">
        <v>14</v>
      </c>
      <c r="L176" s="7">
        <v>46051.35502372685</v>
      </c>
      <c r="M176" s="67"/>
      <c r="N176" s="10"/>
    </row>
    <row r="177" spans="1:14" ht="100.2" customHeight="1" thickTop="1" thickBot="1">
      <c r="A177" s="76">
        <v>175</v>
      </c>
      <c r="B177" s="7">
        <v>46051.352266562499</v>
      </c>
      <c r="C177" s="8" t="s">
        <v>36</v>
      </c>
      <c r="D177" s="10" t="s">
        <v>114</v>
      </c>
      <c r="E177" s="10" t="s">
        <v>43</v>
      </c>
      <c r="F177" s="89" t="s">
        <v>148</v>
      </c>
      <c r="G177" s="10" t="s">
        <v>957</v>
      </c>
      <c r="H177" s="75" t="s">
        <v>958</v>
      </c>
      <c r="I177" s="10"/>
      <c r="J177" s="70" t="s">
        <v>13</v>
      </c>
      <c r="K177" s="71" t="s">
        <v>14</v>
      </c>
      <c r="L177" s="7">
        <v>46051.354984224541</v>
      </c>
      <c r="M177" s="67"/>
      <c r="N177" s="10"/>
    </row>
    <row r="178" spans="1:14" ht="100.2" customHeight="1" thickTop="1" thickBot="1">
      <c r="A178" s="10">
        <v>176</v>
      </c>
      <c r="B178" s="7">
        <v>46051.3525830324</v>
      </c>
      <c r="C178" s="8" t="s">
        <v>36</v>
      </c>
      <c r="D178" s="10" t="s">
        <v>114</v>
      </c>
      <c r="E178" s="10" t="s">
        <v>43</v>
      </c>
      <c r="F178" s="89" t="s">
        <v>58</v>
      </c>
      <c r="G178" s="10" t="s">
        <v>299</v>
      </c>
      <c r="H178" s="75" t="s">
        <v>959</v>
      </c>
      <c r="I178" s="10"/>
      <c r="J178" s="70" t="s">
        <v>13</v>
      </c>
      <c r="K178" s="71" t="s">
        <v>14</v>
      </c>
      <c r="L178" s="7">
        <v>46051.354996458336</v>
      </c>
      <c r="M178" s="67"/>
      <c r="N178" s="10"/>
    </row>
    <row r="179" spans="1:14" ht="100.2" customHeight="1" thickTop="1" thickBot="1">
      <c r="A179" s="76">
        <v>177</v>
      </c>
      <c r="B179" s="7">
        <v>46051.352979884199</v>
      </c>
      <c r="C179" s="8" t="s">
        <v>36</v>
      </c>
      <c r="D179" s="10" t="s">
        <v>114</v>
      </c>
      <c r="E179" s="10" t="s">
        <v>43</v>
      </c>
      <c r="F179" s="89" t="s">
        <v>53</v>
      </c>
      <c r="G179" s="10" t="s">
        <v>115</v>
      </c>
      <c r="H179" s="75" t="s">
        <v>960</v>
      </c>
      <c r="I179" s="10"/>
      <c r="J179" s="70" t="s">
        <v>13</v>
      </c>
      <c r="K179" s="71" t="s">
        <v>14</v>
      </c>
      <c r="L179" s="7">
        <v>46051.35500674769</v>
      </c>
      <c r="M179" s="67"/>
      <c r="N179" s="10"/>
    </row>
    <row r="180" spans="1:14" ht="100.2" customHeight="1" thickTop="1" thickBot="1">
      <c r="A180" s="10">
        <v>178</v>
      </c>
      <c r="B180" s="7">
        <v>46051.353323379597</v>
      </c>
      <c r="C180" s="8" t="s">
        <v>36</v>
      </c>
      <c r="D180" s="10" t="s">
        <v>114</v>
      </c>
      <c r="E180" s="10" t="s">
        <v>43</v>
      </c>
      <c r="F180" s="89" t="s">
        <v>307</v>
      </c>
      <c r="G180" s="10" t="s">
        <v>808</v>
      </c>
      <c r="H180" s="75" t="s">
        <v>961</v>
      </c>
      <c r="I180" s="10"/>
      <c r="J180" s="70" t="s">
        <v>13</v>
      </c>
      <c r="K180" s="71" t="s">
        <v>14</v>
      </c>
      <c r="L180" s="7">
        <v>46051.355011215273</v>
      </c>
      <c r="M180" s="67"/>
      <c r="N180" s="10"/>
    </row>
    <row r="181" spans="1:14" ht="100.2" customHeight="1" thickTop="1" thickBot="1">
      <c r="A181" s="76">
        <v>179</v>
      </c>
      <c r="B181" s="7">
        <v>46054.391652650404</v>
      </c>
      <c r="C181" s="8" t="s">
        <v>36</v>
      </c>
      <c r="D181" s="10" t="s">
        <v>759</v>
      </c>
      <c r="E181" s="10" t="s">
        <v>38</v>
      </c>
      <c r="F181" s="89" t="s">
        <v>58</v>
      </c>
      <c r="G181" s="10" t="s">
        <v>962</v>
      </c>
      <c r="H181" s="75" t="s">
        <v>349</v>
      </c>
      <c r="I181" s="10"/>
      <c r="J181" s="70" t="s">
        <v>13</v>
      </c>
      <c r="K181" s="71" t="s">
        <v>14</v>
      </c>
      <c r="L181" s="7">
        <v>46054.412022094912</v>
      </c>
      <c r="M181" s="67" t="s">
        <v>963</v>
      </c>
      <c r="N181" s="10"/>
    </row>
    <row r="182" spans="1:14" ht="100.2" customHeight="1" thickTop="1" thickBot="1">
      <c r="A182" s="10">
        <v>180</v>
      </c>
      <c r="B182" s="7">
        <v>46055.3008432407</v>
      </c>
      <c r="C182" s="8" t="s">
        <v>36</v>
      </c>
      <c r="D182" s="10" t="s">
        <v>114</v>
      </c>
      <c r="E182" s="10" t="s">
        <v>43</v>
      </c>
      <c r="F182" s="89" t="s">
        <v>1142</v>
      </c>
      <c r="G182" s="10" t="s">
        <v>115</v>
      </c>
      <c r="H182" s="75" t="s">
        <v>1143</v>
      </c>
      <c r="I182" s="10"/>
      <c r="J182" s="70" t="s">
        <v>13</v>
      </c>
      <c r="K182" s="71" t="s">
        <v>14</v>
      </c>
      <c r="L182" s="7"/>
      <c r="M182" s="67" t="s">
        <v>963</v>
      </c>
      <c r="N182" s="10"/>
    </row>
    <row r="183" spans="1:14" ht="100.2" customHeight="1" thickTop="1" thickBot="1">
      <c r="A183" s="76">
        <v>181</v>
      </c>
      <c r="B183" s="7">
        <v>46055.301240532397</v>
      </c>
      <c r="C183" s="8" t="s">
        <v>36</v>
      </c>
      <c r="D183" s="10" t="s">
        <v>114</v>
      </c>
      <c r="E183" s="10" t="s">
        <v>43</v>
      </c>
      <c r="F183" s="89" t="s">
        <v>78</v>
      </c>
      <c r="G183" s="10" t="s">
        <v>115</v>
      </c>
      <c r="H183" s="75" t="s">
        <v>1144</v>
      </c>
      <c r="I183" s="10"/>
      <c r="J183" s="70" t="s">
        <v>13</v>
      </c>
      <c r="K183" s="71" t="s">
        <v>14</v>
      </c>
      <c r="L183" s="7"/>
      <c r="M183" s="67" t="s">
        <v>963</v>
      </c>
      <c r="N183" s="10"/>
    </row>
    <row r="184" spans="1:14" ht="100.2" customHeight="1" thickTop="1" thickBot="1">
      <c r="A184" s="10">
        <v>182</v>
      </c>
      <c r="B184" s="7">
        <v>46055.3017537384</v>
      </c>
      <c r="C184" s="8" t="s">
        <v>36</v>
      </c>
      <c r="D184" s="10" t="s">
        <v>114</v>
      </c>
      <c r="E184" s="10" t="s">
        <v>43</v>
      </c>
      <c r="F184" s="89" t="s">
        <v>58</v>
      </c>
      <c r="G184" s="10" t="s">
        <v>1145</v>
      </c>
      <c r="H184" s="75" t="s">
        <v>1146</v>
      </c>
      <c r="I184" s="10"/>
      <c r="J184" s="70" t="s">
        <v>13</v>
      </c>
      <c r="K184" s="71" t="s">
        <v>14</v>
      </c>
      <c r="L184" s="7"/>
      <c r="M184" s="67" t="s">
        <v>963</v>
      </c>
      <c r="N184" s="10"/>
    </row>
    <row r="185" spans="1:14" ht="100.2" customHeight="1" thickTop="1" thickBot="1">
      <c r="A185" s="76">
        <v>183</v>
      </c>
      <c r="B185" s="7">
        <v>46055.302256921299</v>
      </c>
      <c r="C185" s="8" t="s">
        <v>36</v>
      </c>
      <c r="D185" s="10" t="s">
        <v>114</v>
      </c>
      <c r="E185" s="10" t="s">
        <v>43</v>
      </c>
      <c r="F185" s="89" t="s">
        <v>58</v>
      </c>
      <c r="G185" s="10" t="s">
        <v>808</v>
      </c>
      <c r="H185" s="75" t="s">
        <v>1147</v>
      </c>
      <c r="I185" s="10"/>
      <c r="J185" s="70" t="s">
        <v>13</v>
      </c>
      <c r="K185" s="71" t="s">
        <v>14</v>
      </c>
      <c r="L185" s="7"/>
      <c r="M185" s="67" t="s">
        <v>963</v>
      </c>
      <c r="N185" s="10"/>
    </row>
    <row r="186" spans="1:14" ht="100.2" customHeight="1" thickTop="1" thickBot="1">
      <c r="A186" s="10">
        <v>184</v>
      </c>
      <c r="B186" s="7">
        <v>46055.302617245303</v>
      </c>
      <c r="C186" s="8" t="s">
        <v>36</v>
      </c>
      <c r="D186" s="10" t="s">
        <v>114</v>
      </c>
      <c r="E186" s="10" t="s">
        <v>43</v>
      </c>
      <c r="F186" s="89" t="s">
        <v>92</v>
      </c>
      <c r="G186" s="10" t="s">
        <v>115</v>
      </c>
      <c r="H186" s="75" t="s">
        <v>1148</v>
      </c>
      <c r="I186" s="10"/>
      <c r="J186" s="70" t="s">
        <v>13</v>
      </c>
      <c r="K186" s="71" t="s">
        <v>14</v>
      </c>
      <c r="L186" s="7"/>
      <c r="M186" s="67" t="s">
        <v>963</v>
      </c>
      <c r="N186" s="10"/>
    </row>
    <row r="187" spans="1:14" ht="100.2" customHeight="1" thickTop="1" thickBot="1">
      <c r="A187" s="76">
        <v>185</v>
      </c>
      <c r="B187" s="7">
        <v>46055.3030827314</v>
      </c>
      <c r="C187" s="8" t="s">
        <v>36</v>
      </c>
      <c r="D187" s="10" t="s">
        <v>114</v>
      </c>
      <c r="E187" s="10" t="s">
        <v>43</v>
      </c>
      <c r="F187" s="89" t="s">
        <v>884</v>
      </c>
      <c r="G187" s="10" t="s">
        <v>115</v>
      </c>
      <c r="H187" s="75" t="s">
        <v>1149</v>
      </c>
      <c r="I187" s="10"/>
      <c r="J187" s="70" t="s">
        <v>13</v>
      </c>
      <c r="K187" s="71" t="s">
        <v>14</v>
      </c>
      <c r="L187" s="7"/>
      <c r="M187" s="67" t="s">
        <v>963</v>
      </c>
      <c r="N187" s="10"/>
    </row>
    <row r="188" spans="1:14" ht="100.2" customHeight="1" thickTop="1" thickBot="1">
      <c r="A188" s="10">
        <v>186</v>
      </c>
      <c r="B188" s="7">
        <v>46055.303345115703</v>
      </c>
      <c r="C188" s="8" t="s">
        <v>36</v>
      </c>
      <c r="D188" s="10" t="s">
        <v>114</v>
      </c>
      <c r="E188" s="10" t="s">
        <v>43</v>
      </c>
      <c r="F188" s="89" t="s">
        <v>58</v>
      </c>
      <c r="G188" s="10" t="s">
        <v>808</v>
      </c>
      <c r="H188" s="75" t="s">
        <v>1150</v>
      </c>
      <c r="I188" s="10"/>
      <c r="J188" s="70" t="s">
        <v>13</v>
      </c>
      <c r="K188" s="71" t="s">
        <v>14</v>
      </c>
      <c r="L188" s="7"/>
      <c r="M188" s="67" t="s">
        <v>963</v>
      </c>
      <c r="N188" s="10"/>
    </row>
    <row r="189" spans="1:14" ht="100.2" customHeight="1" thickTop="1" thickBot="1">
      <c r="A189" s="76">
        <v>187</v>
      </c>
      <c r="B189" s="7">
        <v>46055.303673310103</v>
      </c>
      <c r="C189" s="8" t="s">
        <v>36</v>
      </c>
      <c r="D189" s="10" t="s">
        <v>114</v>
      </c>
      <c r="E189" s="10" t="s">
        <v>43</v>
      </c>
      <c r="F189" s="89" t="s">
        <v>58</v>
      </c>
      <c r="G189" s="10" t="s">
        <v>1151</v>
      </c>
      <c r="H189" s="75" t="s">
        <v>1152</v>
      </c>
      <c r="I189" s="10"/>
      <c r="J189" s="70" t="s">
        <v>13</v>
      </c>
      <c r="K189" s="71" t="s">
        <v>14</v>
      </c>
      <c r="L189" s="7"/>
      <c r="M189" s="67" t="s">
        <v>963</v>
      </c>
      <c r="N189" s="10"/>
    </row>
    <row r="190" spans="1:14" ht="100.2" customHeight="1" thickTop="1" thickBot="1">
      <c r="A190" s="10">
        <v>188</v>
      </c>
      <c r="B190" s="7">
        <v>46055.304492673597</v>
      </c>
      <c r="C190" s="8" t="s">
        <v>36</v>
      </c>
      <c r="D190" s="10" t="s">
        <v>114</v>
      </c>
      <c r="E190" s="10" t="s">
        <v>43</v>
      </c>
      <c r="F190" s="89" t="s">
        <v>212</v>
      </c>
      <c r="G190" s="10" t="s">
        <v>159</v>
      </c>
      <c r="H190" s="75" t="s">
        <v>1153</v>
      </c>
      <c r="I190" s="10"/>
      <c r="J190" s="70" t="s">
        <v>13</v>
      </c>
      <c r="K190" s="71" t="s">
        <v>14</v>
      </c>
      <c r="L190" s="7"/>
      <c r="M190" s="67" t="s">
        <v>963</v>
      </c>
      <c r="N190" s="10"/>
    </row>
    <row r="191" spans="1:14" ht="100.2" customHeight="1" thickTop="1" thickBot="1">
      <c r="A191" s="76">
        <v>189</v>
      </c>
      <c r="B191" s="7">
        <v>46025.490058194402</v>
      </c>
      <c r="C191" s="8" t="s">
        <v>36</v>
      </c>
      <c r="D191" s="10" t="s">
        <v>759</v>
      </c>
      <c r="E191" s="10" t="s">
        <v>38</v>
      </c>
      <c r="F191" s="89" t="s">
        <v>92</v>
      </c>
      <c r="G191" s="10" t="s">
        <v>957</v>
      </c>
      <c r="H191" s="75" t="s">
        <v>964</v>
      </c>
      <c r="I191" s="10"/>
      <c r="J191" s="70" t="s">
        <v>17</v>
      </c>
      <c r="K191" s="71" t="s">
        <v>14</v>
      </c>
      <c r="L191" s="7">
        <v>46025.510898067128</v>
      </c>
      <c r="M191" s="67"/>
      <c r="N191" s="10"/>
    </row>
    <row r="192" spans="1:14" ht="100.2" customHeight="1" thickTop="1" thickBot="1">
      <c r="A192" s="10">
        <v>190</v>
      </c>
      <c r="B192" s="7">
        <v>46025.490376238398</v>
      </c>
      <c r="C192" s="8" t="s">
        <v>36</v>
      </c>
      <c r="D192" s="10" t="s">
        <v>759</v>
      </c>
      <c r="E192" s="10" t="s">
        <v>38</v>
      </c>
      <c r="F192" s="89" t="s">
        <v>92</v>
      </c>
      <c r="G192" s="10" t="s">
        <v>965</v>
      </c>
      <c r="H192" s="75" t="s">
        <v>964</v>
      </c>
      <c r="I192" s="10"/>
      <c r="J192" s="70" t="s">
        <v>17</v>
      </c>
      <c r="K192" s="71" t="s">
        <v>14</v>
      </c>
      <c r="L192" s="7">
        <v>46025.51093981482</v>
      </c>
      <c r="M192" s="67"/>
      <c r="N192" s="10"/>
    </row>
    <row r="193" spans="1:14" ht="100.2" customHeight="1" thickTop="1" thickBot="1">
      <c r="A193" s="76">
        <v>191</v>
      </c>
      <c r="B193" s="7">
        <v>46025.490809398099</v>
      </c>
      <c r="C193" s="8" t="s">
        <v>36</v>
      </c>
      <c r="D193" s="10" t="s">
        <v>759</v>
      </c>
      <c r="E193" s="10" t="s">
        <v>38</v>
      </c>
      <c r="F193" s="89" t="s">
        <v>92</v>
      </c>
      <c r="G193" s="10" t="s">
        <v>115</v>
      </c>
      <c r="H193" s="75" t="s">
        <v>966</v>
      </c>
      <c r="I193" s="10"/>
      <c r="J193" s="70" t="s">
        <v>17</v>
      </c>
      <c r="K193" s="71" t="s">
        <v>14</v>
      </c>
      <c r="L193" s="7">
        <v>46025.510928460644</v>
      </c>
      <c r="M193" s="67"/>
      <c r="N193" s="10"/>
    </row>
    <row r="194" spans="1:14" ht="100.2" customHeight="1" thickTop="1" thickBot="1">
      <c r="A194" s="10">
        <v>192</v>
      </c>
      <c r="B194" s="7">
        <v>46025.492002650397</v>
      </c>
      <c r="C194" s="8" t="s">
        <v>36</v>
      </c>
      <c r="D194" s="10" t="s">
        <v>759</v>
      </c>
      <c r="E194" s="10" t="s">
        <v>38</v>
      </c>
      <c r="F194" s="89" t="s">
        <v>78</v>
      </c>
      <c r="G194" s="10" t="s">
        <v>115</v>
      </c>
      <c r="H194" s="75" t="s">
        <v>967</v>
      </c>
      <c r="I194" s="10"/>
      <c r="J194" s="70" t="s">
        <v>17</v>
      </c>
      <c r="K194" s="71" t="s">
        <v>14</v>
      </c>
      <c r="L194" s="7">
        <v>46025.510959016203</v>
      </c>
      <c r="M194" s="67"/>
      <c r="N194" s="10"/>
    </row>
    <row r="195" spans="1:14" ht="100.2" customHeight="1" thickTop="1" thickBot="1">
      <c r="A195" s="76">
        <v>193</v>
      </c>
      <c r="B195" s="7">
        <v>46025.492674432797</v>
      </c>
      <c r="C195" s="8" t="s">
        <v>36</v>
      </c>
      <c r="D195" s="10" t="s">
        <v>759</v>
      </c>
      <c r="E195" s="10" t="s">
        <v>38</v>
      </c>
      <c r="F195" s="89" t="s">
        <v>968</v>
      </c>
      <c r="G195" s="10" t="s">
        <v>115</v>
      </c>
      <c r="H195" s="75" t="s">
        <v>969</v>
      </c>
      <c r="I195" s="10"/>
      <c r="J195" s="70" t="s">
        <v>17</v>
      </c>
      <c r="K195" s="71" t="s">
        <v>14</v>
      </c>
      <c r="L195" s="7">
        <v>46025.510970891206</v>
      </c>
      <c r="M195" s="67"/>
      <c r="N195" s="10"/>
    </row>
    <row r="196" spans="1:14" ht="100.2" customHeight="1" thickTop="1" thickBot="1">
      <c r="A196" s="10">
        <v>194</v>
      </c>
      <c r="B196" s="7">
        <v>46025.493074745304</v>
      </c>
      <c r="C196" s="8" t="s">
        <v>36</v>
      </c>
      <c r="D196" s="10" t="s">
        <v>759</v>
      </c>
      <c r="E196" s="10" t="s">
        <v>38</v>
      </c>
      <c r="F196" s="89" t="s">
        <v>970</v>
      </c>
      <c r="G196" s="10" t="s">
        <v>115</v>
      </c>
      <c r="H196" s="75" t="s">
        <v>971</v>
      </c>
      <c r="I196" s="10"/>
      <c r="J196" s="70" t="s">
        <v>17</v>
      </c>
      <c r="K196" s="71" t="s">
        <v>14</v>
      </c>
      <c r="L196" s="7">
        <v>46025.510992013893</v>
      </c>
      <c r="M196" s="67"/>
      <c r="N196" s="10"/>
    </row>
    <row r="197" spans="1:14" ht="100.2" customHeight="1" thickTop="1" thickBot="1">
      <c r="A197" s="76">
        <v>195</v>
      </c>
      <c r="B197" s="7">
        <v>46025.493876574001</v>
      </c>
      <c r="C197" s="8" t="s">
        <v>36</v>
      </c>
      <c r="D197" s="10" t="s">
        <v>972</v>
      </c>
      <c r="E197" s="10" t="s">
        <v>43</v>
      </c>
      <c r="F197" s="89" t="s">
        <v>973</v>
      </c>
      <c r="G197" s="10" t="s">
        <v>115</v>
      </c>
      <c r="H197" s="75" t="s">
        <v>974</v>
      </c>
      <c r="I197" s="10"/>
      <c r="J197" s="70" t="s">
        <v>17</v>
      </c>
      <c r="K197" s="71" t="s">
        <v>14</v>
      </c>
      <c r="L197" s="7">
        <v>46025.511010300921</v>
      </c>
      <c r="M197" s="67"/>
      <c r="N197" s="10"/>
    </row>
    <row r="198" spans="1:14" ht="100.2" customHeight="1" thickTop="1" thickBot="1">
      <c r="A198" s="10">
        <v>196</v>
      </c>
      <c r="B198" s="7">
        <v>46025.494393414301</v>
      </c>
      <c r="C198" s="8" t="s">
        <v>36</v>
      </c>
      <c r="D198" s="10" t="s">
        <v>759</v>
      </c>
      <c r="E198" s="10" t="s">
        <v>38</v>
      </c>
      <c r="F198" s="89" t="s">
        <v>102</v>
      </c>
      <c r="G198" s="10" t="s">
        <v>965</v>
      </c>
      <c r="H198" s="75" t="s">
        <v>975</v>
      </c>
      <c r="I198" s="10"/>
      <c r="J198" s="70" t="s">
        <v>17</v>
      </c>
      <c r="K198" s="71" t="s">
        <v>14</v>
      </c>
      <c r="L198" s="7">
        <v>46025.511058171294</v>
      </c>
      <c r="M198" s="67"/>
      <c r="N198" s="10"/>
    </row>
    <row r="199" spans="1:14" ht="100.2" customHeight="1" thickTop="1" thickBot="1">
      <c r="A199" s="76">
        <v>197</v>
      </c>
      <c r="B199" s="7">
        <v>46025.494920462901</v>
      </c>
      <c r="C199" s="8" t="s">
        <v>36</v>
      </c>
      <c r="D199" s="10" t="s">
        <v>759</v>
      </c>
      <c r="E199" s="10" t="s">
        <v>38</v>
      </c>
      <c r="F199" s="89" t="s">
        <v>102</v>
      </c>
      <c r="G199" s="10" t="s">
        <v>976</v>
      </c>
      <c r="H199" s="75" t="s">
        <v>977</v>
      </c>
      <c r="I199" s="10"/>
      <c r="J199" s="70" t="s">
        <v>17</v>
      </c>
      <c r="K199" s="71" t="s">
        <v>14</v>
      </c>
      <c r="L199" s="7">
        <v>46025.51105296296</v>
      </c>
      <c r="M199" s="67"/>
      <c r="N199" s="10"/>
    </row>
    <row r="200" spans="1:14" ht="100.2" customHeight="1" thickTop="1" thickBot="1">
      <c r="A200" s="10">
        <v>198</v>
      </c>
      <c r="B200" s="7">
        <v>46025.495243321697</v>
      </c>
      <c r="C200" s="8" t="s">
        <v>36</v>
      </c>
      <c r="D200" s="10" t="s">
        <v>759</v>
      </c>
      <c r="E200" s="10" t="s">
        <v>38</v>
      </c>
      <c r="F200" s="89" t="s">
        <v>102</v>
      </c>
      <c r="G200" s="10" t="s">
        <v>976</v>
      </c>
      <c r="H200" s="75" t="s">
        <v>978</v>
      </c>
      <c r="I200" s="10"/>
      <c r="J200" s="70" t="s">
        <v>17</v>
      </c>
      <c r="K200" s="71" t="s">
        <v>14</v>
      </c>
      <c r="L200" s="7">
        <v>46025.51109270833</v>
      </c>
      <c r="M200" s="67"/>
      <c r="N200" s="10"/>
    </row>
    <row r="201" spans="1:14" ht="100.2" customHeight="1" thickTop="1" thickBot="1">
      <c r="A201" s="76">
        <v>199</v>
      </c>
      <c r="B201" s="7">
        <v>46026.325476458303</v>
      </c>
      <c r="C201" s="8" t="s">
        <v>36</v>
      </c>
      <c r="D201" s="10" t="s">
        <v>759</v>
      </c>
      <c r="E201" s="10" t="s">
        <v>38</v>
      </c>
      <c r="F201" s="89" t="s">
        <v>48</v>
      </c>
      <c r="G201" s="10" t="s">
        <v>769</v>
      </c>
      <c r="H201" s="75" t="s">
        <v>978</v>
      </c>
      <c r="I201" s="10"/>
      <c r="J201" s="70" t="s">
        <v>17</v>
      </c>
      <c r="K201" s="71" t="s">
        <v>27</v>
      </c>
      <c r="L201" s="7">
        <v>46026.398152650465</v>
      </c>
      <c r="M201" s="67" t="s">
        <v>979</v>
      </c>
      <c r="N201" s="10"/>
    </row>
    <row r="202" spans="1:14" ht="100.2" customHeight="1" thickTop="1" thickBot="1">
      <c r="A202" s="10">
        <v>200</v>
      </c>
      <c r="B202" s="7">
        <v>46027.314692141197</v>
      </c>
      <c r="C202" s="8" t="s">
        <v>36</v>
      </c>
      <c r="D202" s="10" t="s">
        <v>759</v>
      </c>
      <c r="E202" s="10" t="s">
        <v>38</v>
      </c>
      <c r="F202" s="89" t="s">
        <v>48</v>
      </c>
      <c r="G202" s="10" t="s">
        <v>115</v>
      </c>
      <c r="H202" s="75" t="s">
        <v>980</v>
      </c>
      <c r="I202" s="10"/>
      <c r="J202" s="70" t="s">
        <v>17</v>
      </c>
      <c r="K202" s="71" t="s">
        <v>24</v>
      </c>
      <c r="L202" s="7"/>
      <c r="M202" s="67"/>
      <c r="N202" s="10"/>
    </row>
    <row r="203" spans="1:14" ht="100.2" customHeight="1" thickTop="1" thickBot="1">
      <c r="A203" s="76">
        <v>201</v>
      </c>
      <c r="B203" s="7">
        <v>46027.349925694398</v>
      </c>
      <c r="C203" s="8" t="s">
        <v>36</v>
      </c>
      <c r="D203" s="10" t="s">
        <v>759</v>
      </c>
      <c r="E203" s="10" t="s">
        <v>38</v>
      </c>
      <c r="F203" s="89" t="s">
        <v>78</v>
      </c>
      <c r="G203" s="10" t="s">
        <v>762</v>
      </c>
      <c r="H203" s="75" t="s">
        <v>981</v>
      </c>
      <c r="I203" s="10"/>
      <c r="J203" s="70" t="s">
        <v>17</v>
      </c>
      <c r="K203" s="71" t="s">
        <v>14</v>
      </c>
      <c r="L203" s="7">
        <v>46032.598673020839</v>
      </c>
      <c r="M203" s="67"/>
      <c r="N203" s="10"/>
    </row>
    <row r="204" spans="1:14" ht="100.2" customHeight="1" thickTop="1" thickBot="1">
      <c r="A204" s="10">
        <v>202</v>
      </c>
      <c r="B204" s="7">
        <v>46027.464554432801</v>
      </c>
      <c r="C204" s="8" t="s">
        <v>36</v>
      </c>
      <c r="D204" s="10" t="s">
        <v>759</v>
      </c>
      <c r="E204" s="10" t="s">
        <v>38</v>
      </c>
      <c r="F204" s="89" t="s">
        <v>102</v>
      </c>
      <c r="G204" s="10" t="s">
        <v>769</v>
      </c>
      <c r="H204" s="75" t="s">
        <v>982</v>
      </c>
      <c r="I204" s="10"/>
      <c r="J204" s="70" t="s">
        <v>17</v>
      </c>
      <c r="K204" s="71" t="s">
        <v>14</v>
      </c>
      <c r="L204" s="7">
        <v>46027.502044374996</v>
      </c>
      <c r="M204" s="67"/>
      <c r="N204" s="10"/>
    </row>
    <row r="205" spans="1:14" ht="100.2" customHeight="1" thickTop="1" thickBot="1">
      <c r="A205" s="76">
        <v>203</v>
      </c>
      <c r="B205" s="7">
        <v>46027.498517847198</v>
      </c>
      <c r="C205" s="8" t="s">
        <v>36</v>
      </c>
      <c r="D205" s="10" t="s">
        <v>759</v>
      </c>
      <c r="E205" s="10" t="s">
        <v>38</v>
      </c>
      <c r="F205" s="89" t="s">
        <v>148</v>
      </c>
      <c r="G205" s="10" t="s">
        <v>983</v>
      </c>
      <c r="H205" s="75" t="s">
        <v>984</v>
      </c>
      <c r="I205" s="10"/>
      <c r="J205" s="70" t="s">
        <v>17</v>
      </c>
      <c r="K205" s="71" t="s">
        <v>20</v>
      </c>
      <c r="L205" s="7">
        <v>46027.554094537038</v>
      </c>
      <c r="M205" s="67" t="s">
        <v>985</v>
      </c>
      <c r="N205" s="10"/>
    </row>
    <row r="206" spans="1:14" ht="100.2" customHeight="1" thickTop="1" thickBot="1">
      <c r="A206" s="10">
        <v>204</v>
      </c>
      <c r="B206" s="7">
        <v>46027.499684143499</v>
      </c>
      <c r="C206" s="8" t="s">
        <v>36</v>
      </c>
      <c r="D206" s="10" t="s">
        <v>759</v>
      </c>
      <c r="E206" s="10" t="s">
        <v>38</v>
      </c>
      <c r="F206" s="89" t="s">
        <v>148</v>
      </c>
      <c r="G206" s="10" t="s">
        <v>329</v>
      </c>
      <c r="H206" s="75" t="s">
        <v>986</v>
      </c>
      <c r="I206" s="10"/>
      <c r="J206" s="70" t="s">
        <v>17</v>
      </c>
      <c r="K206" s="71" t="s">
        <v>20</v>
      </c>
      <c r="L206" s="7">
        <v>46027.555919849532</v>
      </c>
      <c r="M206" s="67" t="s">
        <v>985</v>
      </c>
      <c r="N206" s="10"/>
    </row>
    <row r="207" spans="1:14" ht="100.2" customHeight="1" thickTop="1" thickBot="1">
      <c r="A207" s="76">
        <v>205</v>
      </c>
      <c r="B207" s="7">
        <v>46027.507942141201</v>
      </c>
      <c r="C207" s="8" t="s">
        <v>36</v>
      </c>
      <c r="D207" s="10" t="s">
        <v>759</v>
      </c>
      <c r="E207" s="10" t="s">
        <v>38</v>
      </c>
      <c r="F207" s="89" t="s">
        <v>58</v>
      </c>
      <c r="G207" s="10" t="s">
        <v>987</v>
      </c>
      <c r="H207" s="75" t="s">
        <v>988</v>
      </c>
      <c r="I207" s="10"/>
      <c r="J207" s="70" t="s">
        <v>17</v>
      </c>
      <c r="K207" s="71" t="s">
        <v>14</v>
      </c>
      <c r="L207" s="7">
        <v>46027.556607812498</v>
      </c>
      <c r="M207" s="67"/>
      <c r="N207" s="10"/>
    </row>
    <row r="208" spans="1:14" ht="100.2" customHeight="1" thickTop="1" thickBot="1">
      <c r="A208" s="10">
        <v>206</v>
      </c>
      <c r="B208" s="7">
        <v>46029.447572743004</v>
      </c>
      <c r="C208" s="8" t="s">
        <v>36</v>
      </c>
      <c r="D208" s="10" t="s">
        <v>759</v>
      </c>
      <c r="E208" s="10" t="s">
        <v>38</v>
      </c>
      <c r="F208" s="89" t="s">
        <v>102</v>
      </c>
      <c r="G208" s="10" t="s">
        <v>769</v>
      </c>
      <c r="H208" s="75" t="s">
        <v>989</v>
      </c>
      <c r="I208" s="10"/>
      <c r="J208" s="70" t="s">
        <v>17</v>
      </c>
      <c r="K208" s="71" t="s">
        <v>14</v>
      </c>
      <c r="L208" s="7">
        <v>46029.467089363425</v>
      </c>
      <c r="M208" s="67"/>
      <c r="N208" s="10"/>
    </row>
    <row r="209" spans="1:14" ht="100.2" customHeight="1" thickTop="1" thickBot="1">
      <c r="A209" s="76">
        <v>207</v>
      </c>
      <c r="B209" s="7">
        <v>46029.449328576397</v>
      </c>
      <c r="C209" s="8" t="s">
        <v>36</v>
      </c>
      <c r="D209" s="10" t="s">
        <v>759</v>
      </c>
      <c r="E209" s="10" t="s">
        <v>38</v>
      </c>
      <c r="F209" s="89" t="s">
        <v>78</v>
      </c>
      <c r="G209" s="10" t="s">
        <v>769</v>
      </c>
      <c r="H209" s="75" t="s">
        <v>990</v>
      </c>
      <c r="I209" s="10"/>
      <c r="J209" s="70" t="s">
        <v>17</v>
      </c>
      <c r="K209" s="71" t="s">
        <v>14</v>
      </c>
      <c r="L209" s="7">
        <v>46029.52790241898</v>
      </c>
      <c r="M209" s="67"/>
      <c r="N209" s="10"/>
    </row>
    <row r="210" spans="1:14" ht="100.2" customHeight="1" thickTop="1" thickBot="1">
      <c r="A210" s="10">
        <v>208</v>
      </c>
      <c r="B210" s="7">
        <v>46029.456901851801</v>
      </c>
      <c r="C210" s="8" t="s">
        <v>36</v>
      </c>
      <c r="D210" s="10" t="s">
        <v>759</v>
      </c>
      <c r="E210" s="10" t="s">
        <v>38</v>
      </c>
      <c r="F210" s="89" t="s">
        <v>212</v>
      </c>
      <c r="G210" s="10" t="s">
        <v>115</v>
      </c>
      <c r="H210" s="75" t="s">
        <v>991</v>
      </c>
      <c r="I210" s="10"/>
      <c r="J210" s="70" t="s">
        <v>17</v>
      </c>
      <c r="K210" s="71" t="s">
        <v>14</v>
      </c>
      <c r="L210" s="7">
        <v>46029.528078113421</v>
      </c>
      <c r="M210" s="67"/>
      <c r="N210" s="10"/>
    </row>
    <row r="211" spans="1:14" ht="100.2" customHeight="1" thickTop="1" thickBot="1">
      <c r="A211" s="76">
        <v>209</v>
      </c>
      <c r="B211" s="7">
        <v>46029.461431053198</v>
      </c>
      <c r="C211" s="8" t="s">
        <v>36</v>
      </c>
      <c r="D211" s="10" t="s">
        <v>759</v>
      </c>
      <c r="E211" s="10" t="s">
        <v>38</v>
      </c>
      <c r="F211" s="89" t="s">
        <v>193</v>
      </c>
      <c r="G211" s="10" t="s">
        <v>803</v>
      </c>
      <c r="H211" s="75" t="s">
        <v>992</v>
      </c>
      <c r="I211" s="10"/>
      <c r="J211" s="70" t="s">
        <v>17</v>
      </c>
      <c r="K211" s="71" t="s">
        <v>14</v>
      </c>
      <c r="L211" s="7">
        <v>46029.538278587963</v>
      </c>
      <c r="M211" s="67"/>
      <c r="N211" s="10"/>
    </row>
    <row r="212" spans="1:14" ht="100.2" customHeight="1" thickTop="1" thickBot="1">
      <c r="A212" s="10">
        <v>210</v>
      </c>
      <c r="B212" s="7">
        <v>46029.462283148103</v>
      </c>
      <c r="C212" s="8" t="s">
        <v>36</v>
      </c>
      <c r="D212" s="10" t="s">
        <v>759</v>
      </c>
      <c r="E212" s="10" t="s">
        <v>38</v>
      </c>
      <c r="F212" s="89" t="s">
        <v>193</v>
      </c>
      <c r="G212" s="10" t="s">
        <v>769</v>
      </c>
      <c r="H212" s="75" t="s">
        <v>993</v>
      </c>
      <c r="I212" s="10"/>
      <c r="J212" s="70" t="s">
        <v>17</v>
      </c>
      <c r="K212" s="71" t="s">
        <v>14</v>
      </c>
      <c r="L212" s="7">
        <v>46029.538223275464</v>
      </c>
      <c r="M212" s="67"/>
      <c r="N212" s="10"/>
    </row>
    <row r="213" spans="1:14" ht="100.2" customHeight="1" thickTop="1" thickBot="1">
      <c r="A213" s="76">
        <v>211</v>
      </c>
      <c r="B213" s="7">
        <v>46029.463474965203</v>
      </c>
      <c r="C213" s="8" t="s">
        <v>36</v>
      </c>
      <c r="D213" s="10" t="s">
        <v>759</v>
      </c>
      <c r="E213" s="10" t="s">
        <v>38</v>
      </c>
      <c r="F213" s="89" t="s">
        <v>193</v>
      </c>
      <c r="G213" s="10" t="s">
        <v>769</v>
      </c>
      <c r="H213" s="75" t="s">
        <v>994</v>
      </c>
      <c r="I213" s="10"/>
      <c r="J213" s="70" t="s">
        <v>17</v>
      </c>
      <c r="K213" s="71" t="s">
        <v>27</v>
      </c>
      <c r="L213" s="7">
        <v>46029.537971469908</v>
      </c>
      <c r="M213" s="67"/>
      <c r="N213" s="10"/>
    </row>
    <row r="214" spans="1:14" ht="100.2" customHeight="1" thickTop="1" thickBot="1">
      <c r="A214" s="10">
        <v>212</v>
      </c>
      <c r="B214" s="7">
        <v>46029.464056898098</v>
      </c>
      <c r="C214" s="8" t="s">
        <v>36</v>
      </c>
      <c r="D214" s="10" t="s">
        <v>759</v>
      </c>
      <c r="E214" s="10" t="s">
        <v>38</v>
      </c>
      <c r="F214" s="89" t="s">
        <v>193</v>
      </c>
      <c r="G214" s="10" t="s">
        <v>115</v>
      </c>
      <c r="H214" s="75" t="s">
        <v>995</v>
      </c>
      <c r="I214" s="10"/>
      <c r="J214" s="70" t="s">
        <v>17</v>
      </c>
      <c r="K214" s="71" t="s">
        <v>14</v>
      </c>
      <c r="L214" s="7">
        <v>46029.76968646991</v>
      </c>
      <c r="M214" s="67"/>
      <c r="N214" s="10"/>
    </row>
    <row r="215" spans="1:14" ht="100.2" customHeight="1" thickTop="1" thickBot="1">
      <c r="A215" s="76">
        <v>213</v>
      </c>
      <c r="B215" s="7">
        <v>46030.385234282403</v>
      </c>
      <c r="C215" s="8" t="s">
        <v>36</v>
      </c>
      <c r="D215" s="10" t="s">
        <v>759</v>
      </c>
      <c r="E215" s="10" t="s">
        <v>38</v>
      </c>
      <c r="F215" s="89" t="s">
        <v>58</v>
      </c>
      <c r="G215" s="10" t="s">
        <v>115</v>
      </c>
      <c r="H215" s="75" t="s">
        <v>996</v>
      </c>
      <c r="I215" s="10"/>
      <c r="J215" s="70" t="s">
        <v>17</v>
      </c>
      <c r="K215" s="71" t="s">
        <v>14</v>
      </c>
      <c r="L215" s="7">
        <v>46040.401203229165</v>
      </c>
      <c r="M215" s="67"/>
      <c r="N215" s="10"/>
    </row>
    <row r="216" spans="1:14" ht="100.2" customHeight="1" thickTop="1" thickBot="1">
      <c r="A216" s="10">
        <v>214</v>
      </c>
      <c r="B216" s="7">
        <v>46030.420790694399</v>
      </c>
      <c r="C216" s="8" t="s">
        <v>36</v>
      </c>
      <c r="D216" s="10" t="s">
        <v>759</v>
      </c>
      <c r="E216" s="10" t="s">
        <v>38</v>
      </c>
      <c r="F216" s="89" t="s">
        <v>48</v>
      </c>
      <c r="G216" s="10" t="s">
        <v>997</v>
      </c>
      <c r="H216" s="75" t="s">
        <v>998</v>
      </c>
      <c r="I216" s="10"/>
      <c r="J216" s="70" t="s">
        <v>17</v>
      </c>
      <c r="K216" s="71" t="s">
        <v>14</v>
      </c>
      <c r="L216" s="7">
        <v>46030.579292349532</v>
      </c>
      <c r="M216" s="67"/>
      <c r="N216" s="10"/>
    </row>
    <row r="217" spans="1:14" ht="100.2" customHeight="1" thickTop="1" thickBot="1">
      <c r="A217" s="76">
        <v>215</v>
      </c>
      <c r="B217" s="7">
        <v>46030.465305902697</v>
      </c>
      <c r="C217" s="8" t="s">
        <v>36</v>
      </c>
      <c r="D217" s="10" t="s">
        <v>759</v>
      </c>
      <c r="E217" s="10" t="s">
        <v>38</v>
      </c>
      <c r="F217" s="89" t="s">
        <v>39</v>
      </c>
      <c r="G217" s="10" t="s">
        <v>115</v>
      </c>
      <c r="H217" s="75" t="s">
        <v>999</v>
      </c>
      <c r="I217" s="10"/>
      <c r="J217" s="70" t="s">
        <v>17</v>
      </c>
      <c r="K217" s="71" t="s">
        <v>14</v>
      </c>
      <c r="L217" s="7">
        <v>46032.598427986115</v>
      </c>
      <c r="M217" s="67"/>
      <c r="N217" s="10"/>
    </row>
    <row r="218" spans="1:14" ht="100.2" customHeight="1" thickTop="1" thickBot="1">
      <c r="A218" s="10">
        <v>216</v>
      </c>
      <c r="B218" s="7">
        <v>46033.335115532398</v>
      </c>
      <c r="C218" s="8" t="s">
        <v>36</v>
      </c>
      <c r="D218" s="10" t="s">
        <v>759</v>
      </c>
      <c r="E218" s="10" t="s">
        <v>38</v>
      </c>
      <c r="F218" s="89" t="s">
        <v>78</v>
      </c>
      <c r="G218" s="10" t="s">
        <v>1000</v>
      </c>
      <c r="H218" s="75" t="s">
        <v>1001</v>
      </c>
      <c r="I218" s="10"/>
      <c r="J218" s="70" t="s">
        <v>17</v>
      </c>
      <c r="K218" s="71" t="s">
        <v>14</v>
      </c>
      <c r="L218" s="7">
        <v>46034.547473587962</v>
      </c>
      <c r="M218" s="67"/>
      <c r="N218" s="10"/>
    </row>
    <row r="219" spans="1:14" ht="100.2" customHeight="1" thickTop="1" thickBot="1">
      <c r="A219" s="76">
        <v>217</v>
      </c>
      <c r="B219" s="7">
        <v>46033.347239594899</v>
      </c>
      <c r="C219" s="8" t="s">
        <v>36</v>
      </c>
      <c r="D219" s="10" t="s">
        <v>759</v>
      </c>
      <c r="E219" s="10" t="s">
        <v>38</v>
      </c>
      <c r="F219" s="89" t="s">
        <v>78</v>
      </c>
      <c r="G219" s="10" t="s">
        <v>329</v>
      </c>
      <c r="H219" s="75" t="s">
        <v>1002</v>
      </c>
      <c r="I219" s="10"/>
      <c r="J219" s="70" t="s">
        <v>17</v>
      </c>
      <c r="K219" s="71" t="s">
        <v>14</v>
      </c>
      <c r="L219" s="7">
        <v>46034.406707210648</v>
      </c>
      <c r="M219" s="67"/>
      <c r="N219" s="10"/>
    </row>
    <row r="220" spans="1:14" ht="100.2" customHeight="1" thickTop="1" thickBot="1">
      <c r="A220" s="10">
        <v>218</v>
      </c>
      <c r="B220" s="7">
        <v>46033.351218356402</v>
      </c>
      <c r="C220" s="8" t="s">
        <v>36</v>
      </c>
      <c r="D220" s="10" t="s">
        <v>759</v>
      </c>
      <c r="E220" s="10" t="s">
        <v>38</v>
      </c>
      <c r="F220" s="89" t="s">
        <v>78</v>
      </c>
      <c r="G220" s="10" t="s">
        <v>794</v>
      </c>
      <c r="H220" s="75" t="s">
        <v>1003</v>
      </c>
      <c r="I220" s="10"/>
      <c r="J220" s="70" t="s">
        <v>17</v>
      </c>
      <c r="K220" s="71" t="s">
        <v>27</v>
      </c>
      <c r="L220" s="7">
        <v>46033.406995937505</v>
      </c>
      <c r="M220" s="67"/>
      <c r="N220" s="10"/>
    </row>
    <row r="221" spans="1:14" ht="100.2" customHeight="1" thickTop="1" thickBot="1">
      <c r="A221" s="76">
        <v>219</v>
      </c>
      <c r="B221" s="7">
        <v>46033.470159004602</v>
      </c>
      <c r="C221" s="8" t="s">
        <v>36</v>
      </c>
      <c r="D221" s="10" t="s">
        <v>759</v>
      </c>
      <c r="E221" s="10" t="s">
        <v>38</v>
      </c>
      <c r="F221" s="89" t="s">
        <v>148</v>
      </c>
      <c r="G221" s="10" t="s">
        <v>115</v>
      </c>
      <c r="H221" s="75" t="s">
        <v>1004</v>
      </c>
      <c r="I221" s="10"/>
      <c r="J221" s="70" t="s">
        <v>17</v>
      </c>
      <c r="K221" s="71" t="s">
        <v>14</v>
      </c>
      <c r="L221" s="7">
        <v>46034.292613460653</v>
      </c>
      <c r="M221" s="67"/>
      <c r="N221" s="10"/>
    </row>
    <row r="222" spans="1:14" ht="100.2" customHeight="1" thickTop="1" thickBot="1">
      <c r="A222" s="10">
        <v>220</v>
      </c>
      <c r="B222" s="7">
        <v>46033.472353171303</v>
      </c>
      <c r="C222" s="8" t="s">
        <v>36</v>
      </c>
      <c r="D222" s="10" t="s">
        <v>759</v>
      </c>
      <c r="E222" s="10" t="s">
        <v>38</v>
      </c>
      <c r="F222" s="89" t="s">
        <v>148</v>
      </c>
      <c r="G222" s="10" t="s">
        <v>1005</v>
      </c>
      <c r="H222" s="75" t="s">
        <v>1006</v>
      </c>
      <c r="I222" s="10"/>
      <c r="J222" s="70" t="s">
        <v>17</v>
      </c>
      <c r="K222" s="71" t="s">
        <v>14</v>
      </c>
      <c r="L222" s="7">
        <v>46034.40689554398</v>
      </c>
      <c r="M222" s="67"/>
      <c r="N222" s="10"/>
    </row>
    <row r="223" spans="1:14" ht="100.2" customHeight="1" thickTop="1" thickBot="1">
      <c r="A223" s="76">
        <v>221</v>
      </c>
      <c r="B223" s="7">
        <v>46033.499906342498</v>
      </c>
      <c r="C223" s="8" t="s">
        <v>36</v>
      </c>
      <c r="D223" s="10" t="s">
        <v>759</v>
      </c>
      <c r="E223" s="10" t="s">
        <v>38</v>
      </c>
      <c r="F223" s="89" t="s">
        <v>48</v>
      </c>
      <c r="G223" s="10" t="s">
        <v>1007</v>
      </c>
      <c r="H223" s="75" t="s">
        <v>1008</v>
      </c>
      <c r="I223" s="10"/>
      <c r="J223" s="70" t="s">
        <v>17</v>
      </c>
      <c r="K223" s="71" t="s">
        <v>27</v>
      </c>
      <c r="L223" s="7">
        <v>46034.461253032408</v>
      </c>
      <c r="M223" s="67"/>
      <c r="N223" s="10"/>
    </row>
    <row r="224" spans="1:14" ht="100.2" customHeight="1" thickTop="1" thickBot="1">
      <c r="A224" s="10">
        <v>222</v>
      </c>
      <c r="B224" s="7">
        <v>46034.396886909701</v>
      </c>
      <c r="C224" s="8" t="s">
        <v>36</v>
      </c>
      <c r="D224" s="10" t="s">
        <v>759</v>
      </c>
      <c r="E224" s="10" t="s">
        <v>38</v>
      </c>
      <c r="F224" s="89" t="s">
        <v>53</v>
      </c>
      <c r="G224" s="10" t="s">
        <v>1009</v>
      </c>
      <c r="H224" s="75" t="s">
        <v>1010</v>
      </c>
      <c r="I224" s="10"/>
      <c r="J224" s="70" t="s">
        <v>17</v>
      </c>
      <c r="K224" s="71" t="s">
        <v>14</v>
      </c>
      <c r="L224" s="7">
        <v>46034.461792349539</v>
      </c>
      <c r="M224" s="67"/>
      <c r="N224" s="10"/>
    </row>
    <row r="225" spans="1:14" ht="100.2" customHeight="1" thickTop="1" thickBot="1">
      <c r="A225" s="76">
        <v>223</v>
      </c>
      <c r="B225" s="7">
        <v>46034.406130543903</v>
      </c>
      <c r="C225" s="8" t="s">
        <v>36</v>
      </c>
      <c r="D225" s="10" t="s">
        <v>759</v>
      </c>
      <c r="E225" s="10" t="s">
        <v>38</v>
      </c>
      <c r="F225" s="89" t="s">
        <v>58</v>
      </c>
      <c r="G225" s="10" t="s">
        <v>1011</v>
      </c>
      <c r="H225" s="75" t="s">
        <v>1012</v>
      </c>
      <c r="I225" s="10"/>
      <c r="J225" s="70" t="s">
        <v>17</v>
      </c>
      <c r="K225" s="71" t="s">
        <v>14</v>
      </c>
      <c r="L225" s="7">
        <v>46034.547364641199</v>
      </c>
      <c r="M225" s="67"/>
      <c r="N225" s="10"/>
    </row>
    <row r="226" spans="1:14" ht="100.2" customHeight="1" thickTop="1" thickBot="1">
      <c r="A226" s="10">
        <v>224</v>
      </c>
      <c r="B226" s="7">
        <v>46034.5503796064</v>
      </c>
      <c r="C226" s="8" t="s">
        <v>36</v>
      </c>
      <c r="D226" s="10" t="s">
        <v>972</v>
      </c>
      <c r="E226" s="10" t="s">
        <v>43</v>
      </c>
      <c r="F226" s="89" t="s">
        <v>148</v>
      </c>
      <c r="G226" s="10" t="s">
        <v>860</v>
      </c>
      <c r="H226" s="75" t="s">
        <v>1013</v>
      </c>
      <c r="I226" s="10"/>
      <c r="J226" s="70" t="s">
        <v>17</v>
      </c>
      <c r="K226" s="71" t="s">
        <v>14</v>
      </c>
      <c r="L226" s="7">
        <v>46034.550470532406</v>
      </c>
      <c r="M226" s="67"/>
      <c r="N226" s="10"/>
    </row>
    <row r="227" spans="1:14" ht="100.2" customHeight="1" thickTop="1" thickBot="1">
      <c r="A227" s="76">
        <v>225</v>
      </c>
      <c r="B227" s="7">
        <v>46034.551546770803</v>
      </c>
      <c r="C227" s="8" t="s">
        <v>36</v>
      </c>
      <c r="D227" s="10" t="s">
        <v>622</v>
      </c>
      <c r="E227" s="10" t="s">
        <v>43</v>
      </c>
      <c r="F227" s="89" t="s">
        <v>212</v>
      </c>
      <c r="G227" s="10" t="s">
        <v>860</v>
      </c>
      <c r="H227" s="75" t="s">
        <v>1014</v>
      </c>
      <c r="I227" s="10"/>
      <c r="J227" s="70" t="s">
        <v>17</v>
      </c>
      <c r="K227" s="71" t="s">
        <v>14</v>
      </c>
      <c r="L227" s="7">
        <v>46034.551632210649</v>
      </c>
      <c r="M227" s="67"/>
      <c r="N227" s="10"/>
    </row>
    <row r="228" spans="1:14" ht="100.2" customHeight="1" thickTop="1" thickBot="1">
      <c r="A228" s="10">
        <v>226</v>
      </c>
      <c r="B228" s="7">
        <v>46034.552657002299</v>
      </c>
      <c r="C228" s="8" t="s">
        <v>36</v>
      </c>
      <c r="D228" s="10" t="s">
        <v>972</v>
      </c>
      <c r="E228" s="10" t="s">
        <v>43</v>
      </c>
      <c r="F228" s="89" t="s">
        <v>212</v>
      </c>
      <c r="G228" s="10" t="s">
        <v>1015</v>
      </c>
      <c r="H228" s="75" t="s">
        <v>1016</v>
      </c>
      <c r="I228" s="10"/>
      <c r="J228" s="70" t="s">
        <v>17</v>
      </c>
      <c r="K228" s="71" t="s">
        <v>14</v>
      </c>
      <c r="L228" s="7">
        <v>46034.55273891204</v>
      </c>
      <c r="M228" s="67"/>
      <c r="N228" s="10"/>
    </row>
    <row r="229" spans="1:14" ht="100.2" customHeight="1" thickTop="1" thickBot="1">
      <c r="A229" s="76">
        <v>227</v>
      </c>
      <c r="B229" s="7">
        <v>46034.553920752303</v>
      </c>
      <c r="C229" s="8" t="s">
        <v>36</v>
      </c>
      <c r="D229" s="10" t="s">
        <v>759</v>
      </c>
      <c r="E229" s="10" t="s">
        <v>38</v>
      </c>
      <c r="F229" s="89" t="s">
        <v>212</v>
      </c>
      <c r="G229" s="10" t="s">
        <v>1015</v>
      </c>
      <c r="H229" s="75" t="s">
        <v>1017</v>
      </c>
      <c r="I229" s="10"/>
      <c r="J229" s="70" t="s">
        <v>17</v>
      </c>
      <c r="K229" s="71" t="s">
        <v>14</v>
      </c>
      <c r="L229" s="7">
        <v>46034.55403806713</v>
      </c>
      <c r="M229" s="67"/>
      <c r="N229" s="10"/>
    </row>
    <row r="230" spans="1:14" ht="100.2" customHeight="1" thickTop="1" thickBot="1">
      <c r="A230" s="10">
        <v>228</v>
      </c>
      <c r="B230" s="7">
        <v>46034.559021759203</v>
      </c>
      <c r="C230" s="8" t="s">
        <v>36</v>
      </c>
      <c r="D230" s="10" t="s">
        <v>622</v>
      </c>
      <c r="E230" s="10" t="s">
        <v>43</v>
      </c>
      <c r="F230" s="89" t="s">
        <v>212</v>
      </c>
      <c r="G230" s="10" t="s">
        <v>860</v>
      </c>
      <c r="H230" s="75" t="s">
        <v>1018</v>
      </c>
      <c r="I230" s="10"/>
      <c r="J230" s="70" t="s">
        <v>17</v>
      </c>
      <c r="K230" s="71" t="s">
        <v>14</v>
      </c>
      <c r="L230" s="7">
        <v>46035.338325752316</v>
      </c>
      <c r="M230" s="67"/>
      <c r="N230" s="10"/>
    </row>
    <row r="231" spans="1:14" ht="100.2" customHeight="1" thickTop="1" thickBot="1">
      <c r="A231" s="76">
        <v>229</v>
      </c>
      <c r="B231" s="7">
        <v>46035.311327870302</v>
      </c>
      <c r="C231" s="8" t="s">
        <v>36</v>
      </c>
      <c r="D231" s="10" t="s">
        <v>759</v>
      </c>
      <c r="E231" s="10" t="s">
        <v>38</v>
      </c>
      <c r="F231" s="89" t="s">
        <v>102</v>
      </c>
      <c r="G231" s="10" t="s">
        <v>769</v>
      </c>
      <c r="H231" s="75" t="s">
        <v>1019</v>
      </c>
      <c r="I231" s="10"/>
      <c r="J231" s="70" t="s">
        <v>17</v>
      </c>
      <c r="K231" s="71" t="s">
        <v>14</v>
      </c>
      <c r="L231" s="7">
        <v>46035.337351215276</v>
      </c>
      <c r="M231" s="67"/>
      <c r="N231" s="10"/>
    </row>
    <row r="232" spans="1:14" ht="100.2" customHeight="1" thickTop="1" thickBot="1">
      <c r="A232" s="10">
        <v>230</v>
      </c>
      <c r="B232" s="7">
        <v>46035.313869189798</v>
      </c>
      <c r="C232" s="8" t="s">
        <v>36</v>
      </c>
      <c r="D232" s="10" t="s">
        <v>759</v>
      </c>
      <c r="E232" s="10" t="s">
        <v>38</v>
      </c>
      <c r="F232" s="89" t="s">
        <v>48</v>
      </c>
      <c r="G232" s="10" t="s">
        <v>1020</v>
      </c>
      <c r="H232" s="75" t="s">
        <v>1021</v>
      </c>
      <c r="I232" s="10"/>
      <c r="J232" s="70" t="s">
        <v>17</v>
      </c>
      <c r="K232" s="71" t="s">
        <v>14</v>
      </c>
      <c r="L232" s="7">
        <v>46035.33744930556</v>
      </c>
      <c r="M232" s="67"/>
      <c r="N232" s="10"/>
    </row>
    <row r="233" spans="1:14" ht="100.2" customHeight="1" thickTop="1" thickBot="1">
      <c r="A233" s="76">
        <v>231</v>
      </c>
      <c r="B233" s="7">
        <v>46035.395783819396</v>
      </c>
      <c r="C233" s="8" t="s">
        <v>36</v>
      </c>
      <c r="D233" s="10" t="s">
        <v>759</v>
      </c>
      <c r="E233" s="10" t="s">
        <v>38</v>
      </c>
      <c r="F233" s="89" t="s">
        <v>57</v>
      </c>
      <c r="G233" s="10" t="s">
        <v>1022</v>
      </c>
      <c r="H233" s="75" t="s">
        <v>1023</v>
      </c>
      <c r="I233" s="10"/>
      <c r="J233" s="70" t="s">
        <v>17</v>
      </c>
      <c r="K233" s="71" t="s">
        <v>14</v>
      </c>
      <c r="L233" s="7">
        <v>46035.524837847217</v>
      </c>
      <c r="M233" s="67"/>
      <c r="N233" s="10"/>
    </row>
    <row r="234" spans="1:14" ht="100.2" customHeight="1" thickTop="1" thickBot="1">
      <c r="A234" s="10">
        <v>232</v>
      </c>
      <c r="B234" s="7">
        <v>46036.381203101802</v>
      </c>
      <c r="C234" s="8" t="s">
        <v>36</v>
      </c>
      <c r="D234" s="10" t="s">
        <v>759</v>
      </c>
      <c r="E234" s="10" t="s">
        <v>38</v>
      </c>
      <c r="F234" s="89" t="s">
        <v>892</v>
      </c>
      <c r="G234" s="10" t="s">
        <v>808</v>
      </c>
      <c r="H234" s="75" t="s">
        <v>1024</v>
      </c>
      <c r="I234" s="10"/>
      <c r="J234" s="70" t="s">
        <v>17</v>
      </c>
      <c r="K234" s="71" t="s">
        <v>14</v>
      </c>
      <c r="L234" s="7">
        <v>46036.503254201394</v>
      </c>
      <c r="M234" s="67"/>
      <c r="N234" s="10"/>
    </row>
    <row r="235" spans="1:14" ht="100.2" customHeight="1" thickTop="1" thickBot="1">
      <c r="A235" s="76">
        <v>233</v>
      </c>
      <c r="B235" s="7">
        <v>46036.441005995301</v>
      </c>
      <c r="C235" s="8" t="s">
        <v>36</v>
      </c>
      <c r="D235" s="10" t="s">
        <v>759</v>
      </c>
      <c r="E235" s="10" t="s">
        <v>38</v>
      </c>
      <c r="F235" s="89" t="s">
        <v>58</v>
      </c>
      <c r="G235" s="10" t="s">
        <v>1025</v>
      </c>
      <c r="H235" s="75" t="s">
        <v>1026</v>
      </c>
      <c r="I235" s="10"/>
      <c r="J235" s="70" t="s">
        <v>17</v>
      </c>
      <c r="K235" s="71" t="s">
        <v>14</v>
      </c>
      <c r="L235" s="7">
        <v>46036.541169768519</v>
      </c>
      <c r="M235" s="67"/>
      <c r="N235" s="10"/>
    </row>
    <row r="236" spans="1:14" ht="100.2" customHeight="1" thickTop="1" thickBot="1">
      <c r="A236" s="10">
        <v>234</v>
      </c>
      <c r="B236" s="7">
        <v>46037.3345894097</v>
      </c>
      <c r="C236" s="8" t="s">
        <v>36</v>
      </c>
      <c r="D236" s="10" t="s">
        <v>901</v>
      </c>
      <c r="E236" s="10" t="s">
        <v>43</v>
      </c>
      <c r="F236" s="89" t="s">
        <v>39</v>
      </c>
      <c r="G236" s="10" t="s">
        <v>1027</v>
      </c>
      <c r="H236" s="75" t="s">
        <v>1028</v>
      </c>
      <c r="I236" s="10"/>
      <c r="J236" s="70" t="s">
        <v>17</v>
      </c>
      <c r="K236" s="71" t="s">
        <v>14</v>
      </c>
      <c r="L236" s="7">
        <v>46037.33963076389</v>
      </c>
      <c r="M236" s="67"/>
      <c r="N236" s="10"/>
    </row>
    <row r="237" spans="1:14" ht="100.2" customHeight="1" thickTop="1" thickBot="1">
      <c r="A237" s="76">
        <v>235</v>
      </c>
      <c r="B237" s="7">
        <v>46037.335432557797</v>
      </c>
      <c r="C237" s="8" t="s">
        <v>36</v>
      </c>
      <c r="D237" s="10" t="s">
        <v>1029</v>
      </c>
      <c r="E237" s="10" t="s">
        <v>43</v>
      </c>
      <c r="F237" s="89" t="s">
        <v>39</v>
      </c>
      <c r="G237" s="10" t="s">
        <v>1027</v>
      </c>
      <c r="H237" s="75" t="s">
        <v>1030</v>
      </c>
      <c r="I237" s="10"/>
      <c r="J237" s="70" t="s">
        <v>17</v>
      </c>
      <c r="K237" s="71" t="s">
        <v>14</v>
      </c>
      <c r="L237" s="7">
        <v>46037.339643541665</v>
      </c>
      <c r="M237" s="67"/>
      <c r="N237" s="10"/>
    </row>
    <row r="238" spans="1:14" ht="100.2" customHeight="1" thickTop="1" thickBot="1">
      <c r="A238" s="10">
        <v>236</v>
      </c>
      <c r="B238" s="7">
        <v>46037.336200972197</v>
      </c>
      <c r="C238" s="8" t="s">
        <v>36</v>
      </c>
      <c r="D238" s="10" t="s">
        <v>1029</v>
      </c>
      <c r="E238" s="10" t="s">
        <v>43</v>
      </c>
      <c r="F238" s="89" t="s">
        <v>39</v>
      </c>
      <c r="G238" s="10" t="s">
        <v>1027</v>
      </c>
      <c r="H238" s="75" t="s">
        <v>1031</v>
      </c>
      <c r="I238" s="10"/>
      <c r="J238" s="70" t="s">
        <v>17</v>
      </c>
      <c r="K238" s="71" t="s">
        <v>14</v>
      </c>
      <c r="L238" s="7">
        <v>46037.339658645833</v>
      </c>
      <c r="M238" s="67"/>
      <c r="N238" s="10"/>
    </row>
    <row r="239" spans="1:14" ht="100.2" customHeight="1" thickTop="1" thickBot="1">
      <c r="A239" s="76">
        <v>237</v>
      </c>
      <c r="B239" s="7">
        <v>46037.336859791598</v>
      </c>
      <c r="C239" s="8" t="s">
        <v>36</v>
      </c>
      <c r="D239" s="10" t="s">
        <v>1029</v>
      </c>
      <c r="E239" s="10" t="s">
        <v>43</v>
      </c>
      <c r="F239" s="89" t="s">
        <v>39</v>
      </c>
      <c r="G239" s="10" t="s">
        <v>1027</v>
      </c>
      <c r="H239" s="75" t="s">
        <v>1032</v>
      </c>
      <c r="I239" s="10"/>
      <c r="J239" s="70" t="s">
        <v>17</v>
      </c>
      <c r="K239" s="71" t="s">
        <v>14</v>
      </c>
      <c r="L239" s="7">
        <v>46037.339676840274</v>
      </c>
      <c r="M239" s="67"/>
      <c r="N239" s="10"/>
    </row>
    <row r="240" spans="1:14" ht="100.2" customHeight="1" thickTop="1" thickBot="1">
      <c r="A240" s="10">
        <v>238</v>
      </c>
      <c r="B240" s="7">
        <v>46037.3375029745</v>
      </c>
      <c r="C240" s="8" t="s">
        <v>36</v>
      </c>
      <c r="D240" s="10" t="s">
        <v>1029</v>
      </c>
      <c r="E240" s="10" t="s">
        <v>43</v>
      </c>
      <c r="F240" s="89" t="s">
        <v>39</v>
      </c>
      <c r="G240" s="10" t="s">
        <v>1027</v>
      </c>
      <c r="H240" s="75" t="s">
        <v>1033</v>
      </c>
      <c r="I240" s="10"/>
      <c r="J240" s="70" t="s">
        <v>17</v>
      </c>
      <c r="K240" s="71" t="s">
        <v>14</v>
      </c>
      <c r="L240" s="7">
        <v>46037.339700324075</v>
      </c>
      <c r="M240" s="67"/>
      <c r="N240" s="10"/>
    </row>
    <row r="241" spans="1:14" ht="100.2" customHeight="1" thickTop="1" thickBot="1">
      <c r="A241" s="76">
        <v>239</v>
      </c>
      <c r="B241" s="7">
        <v>46039.448567858701</v>
      </c>
      <c r="C241" s="8" t="s">
        <v>36</v>
      </c>
      <c r="D241" s="10" t="s">
        <v>1029</v>
      </c>
      <c r="E241" s="10" t="s">
        <v>43</v>
      </c>
      <c r="F241" s="89" t="s">
        <v>58</v>
      </c>
      <c r="G241" s="10" t="s">
        <v>794</v>
      </c>
      <c r="H241" s="75" t="s">
        <v>1034</v>
      </c>
      <c r="I241" s="10"/>
      <c r="J241" s="70" t="s">
        <v>17</v>
      </c>
      <c r="K241" s="71" t="s">
        <v>14</v>
      </c>
      <c r="L241" s="7">
        <v>46039.449463726851</v>
      </c>
      <c r="M241" s="67"/>
      <c r="N241" s="10"/>
    </row>
    <row r="242" spans="1:14" ht="100.2" customHeight="1" thickTop="1" thickBot="1">
      <c r="A242" s="10">
        <v>240</v>
      </c>
      <c r="B242" s="7">
        <v>46039.449350474497</v>
      </c>
      <c r="C242" s="8" t="s">
        <v>36</v>
      </c>
      <c r="D242" s="10" t="s">
        <v>1029</v>
      </c>
      <c r="E242" s="10" t="s">
        <v>43</v>
      </c>
      <c r="F242" s="89" t="s">
        <v>58</v>
      </c>
      <c r="G242" s="10" t="s">
        <v>115</v>
      </c>
      <c r="H242" s="75" t="s">
        <v>1035</v>
      </c>
      <c r="I242" s="10"/>
      <c r="J242" s="70" t="s">
        <v>17</v>
      </c>
      <c r="K242" s="71" t="s">
        <v>14</v>
      </c>
      <c r="L242" s="7">
        <v>46039.449487048609</v>
      </c>
      <c r="M242" s="67"/>
      <c r="N242" s="10"/>
    </row>
    <row r="243" spans="1:14" ht="100.2" customHeight="1" thickTop="1" thickBot="1">
      <c r="A243" s="76">
        <v>241</v>
      </c>
      <c r="B243" s="7">
        <v>46040.402985636501</v>
      </c>
      <c r="C243" s="8" t="s">
        <v>36</v>
      </c>
      <c r="D243" s="10" t="s">
        <v>759</v>
      </c>
      <c r="E243" s="10" t="s">
        <v>38</v>
      </c>
      <c r="F243" s="89" t="s">
        <v>78</v>
      </c>
      <c r="G243" s="10" t="s">
        <v>329</v>
      </c>
      <c r="H243" s="75" t="s">
        <v>1036</v>
      </c>
      <c r="I243" s="10"/>
      <c r="J243" s="70" t="s">
        <v>17</v>
      </c>
      <c r="K243" s="71" t="s">
        <v>14</v>
      </c>
      <c r="L243" s="7">
        <v>46040.404782384256</v>
      </c>
      <c r="M243" s="67"/>
      <c r="N243" s="10"/>
    </row>
    <row r="244" spans="1:14" ht="100.2" customHeight="1" thickTop="1" thickBot="1">
      <c r="A244" s="10">
        <v>242</v>
      </c>
      <c r="B244" s="7">
        <v>46040.403542812499</v>
      </c>
      <c r="C244" s="8" t="s">
        <v>36</v>
      </c>
      <c r="D244" s="10" t="s">
        <v>1029</v>
      </c>
      <c r="E244" s="10" t="s">
        <v>43</v>
      </c>
      <c r="F244" s="89" t="s">
        <v>78</v>
      </c>
      <c r="G244" s="10" t="s">
        <v>115</v>
      </c>
      <c r="H244" s="75" t="s">
        <v>1037</v>
      </c>
      <c r="I244" s="10"/>
      <c r="J244" s="70" t="s">
        <v>17</v>
      </c>
      <c r="K244" s="71" t="s">
        <v>14</v>
      </c>
      <c r="L244" s="7">
        <v>46040.404804699079</v>
      </c>
      <c r="M244" s="67"/>
      <c r="N244" s="10"/>
    </row>
    <row r="245" spans="1:14" ht="100.2" customHeight="1" thickTop="1" thickBot="1">
      <c r="A245" s="76">
        <v>243</v>
      </c>
      <c r="B245" s="7">
        <v>46040.403949699001</v>
      </c>
      <c r="C245" s="8" t="s">
        <v>36</v>
      </c>
      <c r="D245" s="10" t="s">
        <v>1029</v>
      </c>
      <c r="E245" s="10" t="s">
        <v>43</v>
      </c>
      <c r="F245" s="89" t="s">
        <v>78</v>
      </c>
      <c r="G245" s="10" t="s">
        <v>115</v>
      </c>
      <c r="H245" s="75" t="s">
        <v>1038</v>
      </c>
      <c r="I245" s="10"/>
      <c r="J245" s="70" t="s">
        <v>17</v>
      </c>
      <c r="K245" s="71" t="s">
        <v>14</v>
      </c>
      <c r="L245" s="7">
        <v>46040.404817893519</v>
      </c>
      <c r="M245" s="67"/>
      <c r="N245" s="10"/>
    </row>
    <row r="246" spans="1:14" ht="100.2" customHeight="1" thickTop="1" thickBot="1">
      <c r="A246" s="10">
        <v>244</v>
      </c>
      <c r="B246" s="7">
        <v>46040.4045062152</v>
      </c>
      <c r="C246" s="8" t="s">
        <v>36</v>
      </c>
      <c r="D246" s="10" t="s">
        <v>1029</v>
      </c>
      <c r="E246" s="10" t="s">
        <v>43</v>
      </c>
      <c r="F246" s="89" t="s">
        <v>102</v>
      </c>
      <c r="G246" s="10" t="s">
        <v>159</v>
      </c>
      <c r="H246" s="75" t="s">
        <v>1039</v>
      </c>
      <c r="I246" s="10"/>
      <c r="J246" s="70" t="s">
        <v>17</v>
      </c>
      <c r="K246" s="71" t="s">
        <v>14</v>
      </c>
      <c r="L246" s="7">
        <v>46040.404850185187</v>
      </c>
      <c r="M246" s="67"/>
      <c r="N246" s="10"/>
    </row>
    <row r="247" spans="1:14" ht="100.2" customHeight="1" thickTop="1" thickBot="1">
      <c r="A247" s="76">
        <v>245</v>
      </c>
      <c r="B247" s="7">
        <v>46040.470959849503</v>
      </c>
      <c r="C247" s="8" t="s">
        <v>36</v>
      </c>
      <c r="D247" s="10" t="s">
        <v>759</v>
      </c>
      <c r="E247" s="10" t="s">
        <v>38</v>
      </c>
      <c r="F247" s="89" t="s">
        <v>58</v>
      </c>
      <c r="G247" s="10" t="s">
        <v>115</v>
      </c>
      <c r="H247" s="75" t="s">
        <v>252</v>
      </c>
      <c r="I247" s="10"/>
      <c r="J247" s="70" t="s">
        <v>17</v>
      </c>
      <c r="K247" s="71" t="s">
        <v>14</v>
      </c>
      <c r="L247" s="7">
        <v>46040.471105763892</v>
      </c>
      <c r="M247" s="67"/>
      <c r="N247" s="10"/>
    </row>
    <row r="248" spans="1:14" ht="100.2" customHeight="1" thickTop="1" thickBot="1">
      <c r="A248" s="10">
        <v>246</v>
      </c>
      <c r="B248" s="7">
        <v>46041.382086932797</v>
      </c>
      <c r="C248" s="8" t="s">
        <v>36</v>
      </c>
      <c r="D248" s="10" t="s">
        <v>759</v>
      </c>
      <c r="E248" s="10" t="s">
        <v>38</v>
      </c>
      <c r="F248" s="89" t="s">
        <v>102</v>
      </c>
      <c r="G248" s="10" t="s">
        <v>957</v>
      </c>
      <c r="H248" s="75" t="s">
        <v>1040</v>
      </c>
      <c r="I248" s="10"/>
      <c r="J248" s="70" t="s">
        <v>17</v>
      </c>
      <c r="K248" s="71" t="s">
        <v>14</v>
      </c>
      <c r="L248" s="7">
        <v>46041.394758599534</v>
      </c>
      <c r="M248" s="67"/>
      <c r="N248" s="10"/>
    </row>
    <row r="249" spans="1:14" ht="100.2" customHeight="1" thickTop="1" thickBot="1">
      <c r="A249" s="76">
        <v>247</v>
      </c>
      <c r="B249" s="7">
        <v>46042.516913148102</v>
      </c>
      <c r="C249" s="8" t="s">
        <v>36</v>
      </c>
      <c r="D249" s="10" t="s">
        <v>759</v>
      </c>
      <c r="E249" s="10" t="s">
        <v>38</v>
      </c>
      <c r="F249" s="89" t="s">
        <v>78</v>
      </c>
      <c r="G249" s="10" t="s">
        <v>115</v>
      </c>
      <c r="H249" s="75" t="s">
        <v>1041</v>
      </c>
      <c r="I249" s="10"/>
      <c r="J249" s="70" t="s">
        <v>17</v>
      </c>
      <c r="K249" s="71" t="s">
        <v>14</v>
      </c>
      <c r="L249" s="7">
        <v>46042.600086828708</v>
      </c>
      <c r="M249" s="67"/>
      <c r="N249" s="10"/>
    </row>
    <row r="250" spans="1:14" ht="100.2" customHeight="1" thickTop="1" thickBot="1">
      <c r="A250" s="10">
        <v>248</v>
      </c>
      <c r="B250" s="7">
        <v>46042.554827951302</v>
      </c>
      <c r="C250" s="8" t="s">
        <v>36</v>
      </c>
      <c r="D250" s="10" t="s">
        <v>759</v>
      </c>
      <c r="E250" s="10" t="s">
        <v>38</v>
      </c>
      <c r="F250" s="89" t="s">
        <v>212</v>
      </c>
      <c r="G250" s="10" t="s">
        <v>1042</v>
      </c>
      <c r="H250" s="75" t="s">
        <v>1043</v>
      </c>
      <c r="I250" s="10"/>
      <c r="J250" s="70" t="s">
        <v>17</v>
      </c>
      <c r="K250" s="71" t="s">
        <v>14</v>
      </c>
      <c r="L250" s="7">
        <v>46046.399483819449</v>
      </c>
      <c r="M250" s="67"/>
      <c r="N250" s="10"/>
    </row>
    <row r="251" spans="1:14" ht="100.2" customHeight="1" thickTop="1" thickBot="1">
      <c r="A251" s="76">
        <v>249</v>
      </c>
      <c r="B251" s="7">
        <v>46043.406373518497</v>
      </c>
      <c r="C251" s="8" t="s">
        <v>36</v>
      </c>
      <c r="D251" s="10" t="s">
        <v>759</v>
      </c>
      <c r="E251" s="10" t="s">
        <v>38</v>
      </c>
      <c r="F251" s="89" t="s">
        <v>1044</v>
      </c>
      <c r="G251" s="10" t="s">
        <v>1045</v>
      </c>
      <c r="H251" s="75" t="s">
        <v>1046</v>
      </c>
      <c r="I251" s="10"/>
      <c r="J251" s="70" t="s">
        <v>17</v>
      </c>
      <c r="K251" s="71" t="s">
        <v>14</v>
      </c>
      <c r="L251" s="7">
        <v>46043.422515011574</v>
      </c>
      <c r="M251" s="67"/>
      <c r="N251" s="10"/>
    </row>
    <row r="252" spans="1:14" ht="100.2" customHeight="1" thickTop="1" thickBot="1">
      <c r="A252" s="10">
        <v>250</v>
      </c>
      <c r="B252" s="7">
        <v>46044.545301712897</v>
      </c>
      <c r="C252" s="8" t="s">
        <v>36</v>
      </c>
      <c r="D252" s="10" t="s">
        <v>759</v>
      </c>
      <c r="E252" s="10" t="s">
        <v>38</v>
      </c>
      <c r="F252" s="89" t="s">
        <v>78</v>
      </c>
      <c r="G252" s="10" t="s">
        <v>115</v>
      </c>
      <c r="H252" s="75" t="s">
        <v>1047</v>
      </c>
      <c r="I252" s="10"/>
      <c r="J252" s="70" t="s">
        <v>17</v>
      </c>
      <c r="K252" s="71" t="s">
        <v>14</v>
      </c>
      <c r="L252" s="7">
        <v>46044.56435090278</v>
      </c>
      <c r="M252" s="67"/>
      <c r="N252" s="10"/>
    </row>
    <row r="253" spans="1:14" ht="100.2" customHeight="1" thickTop="1" thickBot="1">
      <c r="A253" s="76">
        <v>251</v>
      </c>
      <c r="B253" s="7">
        <v>46047.549795416598</v>
      </c>
      <c r="C253" s="8" t="s">
        <v>36</v>
      </c>
      <c r="D253" s="10" t="s">
        <v>759</v>
      </c>
      <c r="E253" s="10" t="s">
        <v>38</v>
      </c>
      <c r="F253" s="89" t="s">
        <v>212</v>
      </c>
      <c r="G253" s="10" t="s">
        <v>794</v>
      </c>
      <c r="H253" s="75" t="s">
        <v>1048</v>
      </c>
      <c r="I253" s="10"/>
      <c r="J253" s="70" t="s">
        <v>17</v>
      </c>
      <c r="K253" s="71" t="s">
        <v>14</v>
      </c>
      <c r="L253" s="7">
        <v>46048.736245914348</v>
      </c>
      <c r="M253" s="67"/>
      <c r="N253" s="10"/>
    </row>
    <row r="254" spans="1:14" ht="100.2" customHeight="1" thickTop="1" thickBot="1">
      <c r="A254" s="10">
        <v>252</v>
      </c>
      <c r="B254" s="7">
        <v>46048.738922800898</v>
      </c>
      <c r="C254" s="8" t="s">
        <v>36</v>
      </c>
      <c r="D254" s="10" t="s">
        <v>901</v>
      </c>
      <c r="E254" s="10" t="s">
        <v>43</v>
      </c>
      <c r="F254" s="89" t="s">
        <v>53</v>
      </c>
      <c r="G254" s="10" t="s">
        <v>1015</v>
      </c>
      <c r="H254" s="75" t="s">
        <v>1049</v>
      </c>
      <c r="I254" s="10"/>
      <c r="J254" s="70" t="s">
        <v>17</v>
      </c>
      <c r="K254" s="71" t="s">
        <v>14</v>
      </c>
      <c r="L254" s="7">
        <v>46048.744111608801</v>
      </c>
      <c r="M254" s="67"/>
      <c r="N254" s="10"/>
    </row>
    <row r="255" spans="1:14" ht="100.2" customHeight="1" thickTop="1" thickBot="1">
      <c r="A255" s="76">
        <v>253</v>
      </c>
      <c r="B255" s="7">
        <v>46048.739805138801</v>
      </c>
      <c r="C255" s="8" t="s">
        <v>36</v>
      </c>
      <c r="D255" s="10" t="s">
        <v>1029</v>
      </c>
      <c r="E255" s="10" t="s">
        <v>43</v>
      </c>
      <c r="F255" s="89" t="s">
        <v>78</v>
      </c>
      <c r="G255" s="10" t="s">
        <v>159</v>
      </c>
      <c r="H255" s="75" t="s">
        <v>1050</v>
      </c>
      <c r="I255" s="10"/>
      <c r="J255" s="70" t="s">
        <v>17</v>
      </c>
      <c r="K255" s="71" t="s">
        <v>14</v>
      </c>
      <c r="L255" s="7">
        <v>46048.744135821762</v>
      </c>
      <c r="M255" s="67"/>
      <c r="N255" s="10"/>
    </row>
    <row r="256" spans="1:14" ht="100.2" customHeight="1" thickTop="1" thickBot="1">
      <c r="A256" s="10">
        <v>254</v>
      </c>
      <c r="B256" s="7">
        <v>46048.740915694398</v>
      </c>
      <c r="C256" s="8" t="s">
        <v>36</v>
      </c>
      <c r="D256" s="10" t="s">
        <v>1029</v>
      </c>
      <c r="E256" s="10" t="s">
        <v>43</v>
      </c>
      <c r="F256" s="89" t="s">
        <v>53</v>
      </c>
      <c r="G256" s="10" t="s">
        <v>329</v>
      </c>
      <c r="H256" s="75" t="s">
        <v>1051</v>
      </c>
      <c r="I256" s="10"/>
      <c r="J256" s="70" t="s">
        <v>17</v>
      </c>
      <c r="K256" s="71" t="s">
        <v>14</v>
      </c>
      <c r="L256" s="7">
        <v>46048.744151087958</v>
      </c>
      <c r="M256" s="67"/>
      <c r="N256" s="10"/>
    </row>
    <row r="257" spans="1:14" ht="100.2" customHeight="1" thickTop="1" thickBot="1">
      <c r="A257" s="76">
        <v>255</v>
      </c>
      <c r="B257" s="7">
        <v>46048.742319224497</v>
      </c>
      <c r="C257" s="8" t="s">
        <v>36</v>
      </c>
      <c r="D257" s="10" t="s">
        <v>1029</v>
      </c>
      <c r="E257" s="10" t="s">
        <v>43</v>
      </c>
      <c r="F257" s="89" t="s">
        <v>53</v>
      </c>
      <c r="G257" s="10" t="s">
        <v>794</v>
      </c>
      <c r="H257" s="75" t="s">
        <v>1052</v>
      </c>
      <c r="I257" s="10"/>
      <c r="J257" s="70" t="s">
        <v>17</v>
      </c>
      <c r="K257" s="71" t="s">
        <v>14</v>
      </c>
      <c r="L257" s="7">
        <v>46048.744161967596</v>
      </c>
      <c r="M257" s="67"/>
      <c r="N257" s="10"/>
    </row>
    <row r="258" spans="1:14" ht="100.2" customHeight="1" thickTop="1" thickBot="1">
      <c r="A258" s="10">
        <v>256</v>
      </c>
      <c r="B258" s="7">
        <v>46048.743062777699</v>
      </c>
      <c r="C258" s="8" t="s">
        <v>36</v>
      </c>
      <c r="D258" s="10" t="s">
        <v>1029</v>
      </c>
      <c r="E258" s="10" t="s">
        <v>43</v>
      </c>
      <c r="F258" s="89" t="s">
        <v>102</v>
      </c>
      <c r="G258" s="10" t="s">
        <v>159</v>
      </c>
      <c r="H258" s="75" t="s">
        <v>1053</v>
      </c>
      <c r="I258" s="10"/>
      <c r="J258" s="70" t="s">
        <v>17</v>
      </c>
      <c r="K258" s="71" t="s">
        <v>14</v>
      </c>
      <c r="L258" s="7">
        <v>46048.744176296299</v>
      </c>
      <c r="M258" s="67"/>
      <c r="N258" s="10"/>
    </row>
    <row r="259" spans="1:14" ht="100.2" customHeight="1" thickTop="1" thickBot="1">
      <c r="A259" s="76">
        <v>257</v>
      </c>
      <c r="B259" s="7">
        <v>46049.3885898148</v>
      </c>
      <c r="C259" s="8" t="s">
        <v>36</v>
      </c>
      <c r="D259" s="10" t="s">
        <v>759</v>
      </c>
      <c r="E259" s="10" t="s">
        <v>38</v>
      </c>
      <c r="F259" s="89" t="s">
        <v>1054</v>
      </c>
      <c r="G259" s="10" t="s">
        <v>115</v>
      </c>
      <c r="H259" s="75" t="s">
        <v>1055</v>
      </c>
      <c r="I259" s="10"/>
      <c r="J259" s="70" t="s">
        <v>17</v>
      </c>
      <c r="K259" s="71" t="s">
        <v>14</v>
      </c>
      <c r="L259" s="7">
        <v>46049.489845162039</v>
      </c>
      <c r="M259" s="67"/>
      <c r="N259" s="10"/>
    </row>
    <row r="260" spans="1:14" ht="100.2" customHeight="1" thickTop="1" thickBot="1">
      <c r="A260" s="10">
        <v>258</v>
      </c>
      <c r="B260" s="7">
        <v>46049.589447430502</v>
      </c>
      <c r="C260" s="8" t="s">
        <v>36</v>
      </c>
      <c r="D260" s="10" t="s">
        <v>759</v>
      </c>
      <c r="E260" s="10" t="s">
        <v>38</v>
      </c>
      <c r="F260" s="89" t="s">
        <v>1056</v>
      </c>
      <c r="G260" s="10" t="s">
        <v>803</v>
      </c>
      <c r="H260" s="75" t="s">
        <v>1057</v>
      </c>
      <c r="I260" s="10"/>
      <c r="J260" s="70" t="s">
        <v>17</v>
      </c>
      <c r="K260" s="71" t="s">
        <v>14</v>
      </c>
      <c r="L260" s="7">
        <v>46049.596591689813</v>
      </c>
      <c r="M260" s="67"/>
      <c r="N260" s="10"/>
    </row>
    <row r="261" spans="1:14" ht="100.2" customHeight="1" thickTop="1" thickBot="1">
      <c r="A261" s="76">
        <v>259</v>
      </c>
      <c r="B261" s="7">
        <v>46050.300240879602</v>
      </c>
      <c r="C261" s="8" t="s">
        <v>36</v>
      </c>
      <c r="D261" s="10" t="s">
        <v>1029</v>
      </c>
      <c r="E261" s="10" t="s">
        <v>43</v>
      </c>
      <c r="F261" s="89" t="s">
        <v>53</v>
      </c>
      <c r="G261" s="10" t="s">
        <v>329</v>
      </c>
      <c r="H261" s="75" t="s">
        <v>415</v>
      </c>
      <c r="I261" s="10"/>
      <c r="J261" s="70" t="s">
        <v>17</v>
      </c>
      <c r="K261" s="71" t="s">
        <v>14</v>
      </c>
      <c r="L261" s="7">
        <v>46050.420227592593</v>
      </c>
      <c r="M261" s="67"/>
      <c r="N261" s="10"/>
    </row>
    <row r="262" spans="1:14" ht="100.2" customHeight="1" thickTop="1" thickBot="1">
      <c r="A262" s="10">
        <v>260</v>
      </c>
      <c r="B262" s="7">
        <v>46050.314689363397</v>
      </c>
      <c r="C262" s="8" t="s">
        <v>36</v>
      </c>
      <c r="D262" s="10" t="s">
        <v>759</v>
      </c>
      <c r="E262" s="10" t="s">
        <v>38</v>
      </c>
      <c r="F262" s="89" t="s">
        <v>57</v>
      </c>
      <c r="G262" s="10" t="s">
        <v>115</v>
      </c>
      <c r="H262" s="75" t="s">
        <v>1058</v>
      </c>
      <c r="I262" s="10"/>
      <c r="J262" s="70" t="s">
        <v>17</v>
      </c>
      <c r="K262" s="71" t="s">
        <v>14</v>
      </c>
      <c r="L262" s="7">
        <v>46050.416639039351</v>
      </c>
      <c r="M262" s="67"/>
      <c r="N262" s="10"/>
    </row>
    <row r="263" spans="1:14" ht="100.2" customHeight="1" thickTop="1" thickBot="1">
      <c r="A263" s="76">
        <v>261</v>
      </c>
      <c r="B263" s="7">
        <v>46050.435802766202</v>
      </c>
      <c r="C263" s="8" t="s">
        <v>36</v>
      </c>
      <c r="D263" s="10" t="s">
        <v>1029</v>
      </c>
      <c r="E263" s="10" t="s">
        <v>43</v>
      </c>
      <c r="F263" s="89" t="s">
        <v>53</v>
      </c>
      <c r="G263" s="10" t="s">
        <v>329</v>
      </c>
      <c r="H263" s="75" t="s">
        <v>1059</v>
      </c>
      <c r="I263" s="10"/>
      <c r="J263" s="70" t="s">
        <v>17</v>
      </c>
      <c r="K263" s="71" t="s">
        <v>14</v>
      </c>
      <c r="L263" s="7">
        <v>46050.437358460651</v>
      </c>
      <c r="M263" s="67"/>
      <c r="N263" s="10"/>
    </row>
    <row r="264" spans="1:14" ht="100.2" customHeight="1" thickTop="1" thickBot="1">
      <c r="A264" s="10">
        <v>262</v>
      </c>
      <c r="B264" s="7">
        <v>46050.436989861097</v>
      </c>
      <c r="C264" s="8" t="s">
        <v>36</v>
      </c>
      <c r="D264" s="10" t="s">
        <v>901</v>
      </c>
      <c r="E264" s="10" t="s">
        <v>43</v>
      </c>
      <c r="F264" s="89" t="s">
        <v>53</v>
      </c>
      <c r="G264" s="10" t="s">
        <v>794</v>
      </c>
      <c r="H264" s="75" t="s">
        <v>978</v>
      </c>
      <c r="I264" s="10"/>
      <c r="J264" s="70" t="s">
        <v>17</v>
      </c>
      <c r="K264" s="71" t="s">
        <v>14</v>
      </c>
      <c r="L264" s="7">
        <v>46050.43736585648</v>
      </c>
      <c r="M264" s="67"/>
      <c r="N264" s="10"/>
    </row>
    <row r="265" spans="1:14" ht="100.2" customHeight="1" thickTop="1" thickBot="1">
      <c r="A265" s="76">
        <v>263</v>
      </c>
      <c r="B265" s="7">
        <v>46050.440255486101</v>
      </c>
      <c r="C265" s="8" t="s">
        <v>36</v>
      </c>
      <c r="D265" s="10" t="s">
        <v>251</v>
      </c>
      <c r="E265" s="10" t="s">
        <v>43</v>
      </c>
      <c r="F265" s="89" t="s">
        <v>78</v>
      </c>
      <c r="G265" s="10" t="s">
        <v>783</v>
      </c>
      <c r="H265" s="75" t="s">
        <v>781</v>
      </c>
      <c r="I265" s="10"/>
      <c r="J265" s="70" t="s">
        <v>17</v>
      </c>
      <c r="K265" s="71" t="s">
        <v>14</v>
      </c>
      <c r="L265" s="7">
        <v>46050.449136006944</v>
      </c>
      <c r="M265" s="67"/>
      <c r="N265" s="10"/>
    </row>
    <row r="266" spans="1:14" ht="100.2" customHeight="1" thickTop="1" thickBot="1">
      <c r="A266" s="10">
        <v>264</v>
      </c>
      <c r="B266" s="7">
        <v>46051.327769583302</v>
      </c>
      <c r="C266" s="8" t="s">
        <v>36</v>
      </c>
      <c r="D266" s="10" t="s">
        <v>759</v>
      </c>
      <c r="E266" s="10" t="s">
        <v>38</v>
      </c>
      <c r="F266" s="89" t="s">
        <v>1060</v>
      </c>
      <c r="G266" s="10" t="s">
        <v>1061</v>
      </c>
      <c r="H266" s="75" t="s">
        <v>1062</v>
      </c>
      <c r="I266" s="10"/>
      <c r="J266" s="70" t="s">
        <v>17</v>
      </c>
      <c r="K266" s="71" t="s">
        <v>14</v>
      </c>
      <c r="L266" s="7">
        <v>46051.330829699073</v>
      </c>
      <c r="M266" s="67"/>
      <c r="N266" s="10"/>
    </row>
    <row r="267" spans="1:14" ht="100.2" customHeight="1" thickTop="1" thickBot="1">
      <c r="A267" s="76">
        <v>265</v>
      </c>
      <c r="B267" s="7">
        <v>46051.3338532407</v>
      </c>
      <c r="C267" s="8" t="s">
        <v>36</v>
      </c>
      <c r="D267" s="10" t="s">
        <v>1029</v>
      </c>
      <c r="E267" s="10" t="s">
        <v>43</v>
      </c>
      <c r="F267" s="89" t="s">
        <v>1063</v>
      </c>
      <c r="G267" s="10" t="s">
        <v>1064</v>
      </c>
      <c r="H267" s="75" t="s">
        <v>1065</v>
      </c>
      <c r="I267" s="10"/>
      <c r="J267" s="70" t="s">
        <v>17</v>
      </c>
      <c r="K267" s="71" t="s">
        <v>14</v>
      </c>
      <c r="L267" s="7">
        <v>46051.336411215278</v>
      </c>
      <c r="M267" s="67"/>
      <c r="N267" s="10"/>
    </row>
    <row r="268" spans="1:14" ht="100.2" customHeight="1" thickTop="1" thickBot="1">
      <c r="A268" s="10">
        <v>266</v>
      </c>
      <c r="B268" s="7">
        <v>46051.335694779998</v>
      </c>
      <c r="C268" s="8" t="s">
        <v>36</v>
      </c>
      <c r="D268" s="10" t="s">
        <v>1029</v>
      </c>
      <c r="E268" s="10" t="s">
        <v>43</v>
      </c>
      <c r="F268" s="89" t="s">
        <v>212</v>
      </c>
      <c r="G268" s="10" t="s">
        <v>329</v>
      </c>
      <c r="H268" s="75" t="s">
        <v>1066</v>
      </c>
      <c r="I268" s="10"/>
      <c r="J268" s="70" t="s">
        <v>17</v>
      </c>
      <c r="K268" s="71" t="s">
        <v>14</v>
      </c>
      <c r="L268" s="7">
        <v>46051.336444328699</v>
      </c>
      <c r="M268" s="67"/>
      <c r="N268" s="10"/>
    </row>
    <row r="269" spans="1:14" ht="100.2" customHeight="1" thickTop="1" thickBot="1">
      <c r="A269" s="76">
        <v>267</v>
      </c>
      <c r="B269" s="7">
        <v>46051.3362858564</v>
      </c>
      <c r="C269" s="8" t="s">
        <v>36</v>
      </c>
      <c r="D269" s="10" t="s">
        <v>1029</v>
      </c>
      <c r="E269" s="10" t="s">
        <v>43</v>
      </c>
      <c r="F269" s="89" t="s">
        <v>212</v>
      </c>
      <c r="G269" s="10" t="s">
        <v>794</v>
      </c>
      <c r="H269" s="75" t="s">
        <v>1059</v>
      </c>
      <c r="I269" s="10"/>
      <c r="J269" s="70" t="s">
        <v>17</v>
      </c>
      <c r="K269" s="71" t="s">
        <v>14</v>
      </c>
      <c r="L269" s="7">
        <v>46051.336453298616</v>
      </c>
      <c r="M269" s="67"/>
      <c r="N269" s="10"/>
    </row>
    <row r="270" spans="1:14" ht="100.2" customHeight="1" thickTop="1" thickBot="1">
      <c r="A270" s="10">
        <v>268</v>
      </c>
      <c r="B270" s="7">
        <v>46051.3377562268</v>
      </c>
      <c r="C270" s="8" t="s">
        <v>36</v>
      </c>
      <c r="D270" s="10" t="s">
        <v>759</v>
      </c>
      <c r="E270" s="10" t="s">
        <v>38</v>
      </c>
      <c r="F270" s="89" t="s">
        <v>44</v>
      </c>
      <c r="G270" s="10" t="s">
        <v>115</v>
      </c>
      <c r="H270" s="75" t="s">
        <v>1067</v>
      </c>
      <c r="I270" s="10"/>
      <c r="J270" s="70" t="s">
        <v>17</v>
      </c>
      <c r="K270" s="71" t="s">
        <v>14</v>
      </c>
      <c r="L270" s="7">
        <v>46051.339530208337</v>
      </c>
      <c r="M270" s="67"/>
      <c r="N270" s="10"/>
    </row>
    <row r="271" spans="1:14" ht="100.2" customHeight="1" thickTop="1" thickBot="1">
      <c r="A271" s="76">
        <v>269</v>
      </c>
      <c r="B271" s="7">
        <v>46051.3394048958</v>
      </c>
      <c r="C271" s="8" t="s">
        <v>36</v>
      </c>
      <c r="D271" s="10" t="s">
        <v>759</v>
      </c>
      <c r="E271" s="10" t="s">
        <v>38</v>
      </c>
      <c r="F271" s="89" t="s">
        <v>44</v>
      </c>
      <c r="G271" s="10" t="s">
        <v>115</v>
      </c>
      <c r="H271" s="75" t="s">
        <v>1068</v>
      </c>
      <c r="I271" s="10"/>
      <c r="J271" s="70" t="s">
        <v>17</v>
      </c>
      <c r="K271" s="71" t="s">
        <v>1154</v>
      </c>
      <c r="L271" s="7"/>
      <c r="M271" s="67"/>
      <c r="N271" s="10"/>
    </row>
    <row r="272" spans="1:14" ht="100.2" customHeight="1" thickTop="1" thickBot="1">
      <c r="A272" s="10">
        <v>270</v>
      </c>
      <c r="B272" s="7">
        <v>46051.395719641201</v>
      </c>
      <c r="C272" s="8" t="s">
        <v>36</v>
      </c>
      <c r="D272" s="10" t="s">
        <v>759</v>
      </c>
      <c r="E272" s="10" t="s">
        <v>38</v>
      </c>
      <c r="F272" s="89" t="s">
        <v>1069</v>
      </c>
      <c r="G272" s="10" t="s">
        <v>803</v>
      </c>
      <c r="H272" s="75" t="s">
        <v>1070</v>
      </c>
      <c r="I272" s="10"/>
      <c r="J272" s="70" t="s">
        <v>17</v>
      </c>
      <c r="K272" s="71" t="s">
        <v>14</v>
      </c>
      <c r="L272" s="7">
        <v>46051.448349247687</v>
      </c>
      <c r="M272" s="67"/>
      <c r="N272" s="10"/>
    </row>
    <row r="273" spans="1:14" ht="100.2" customHeight="1" thickTop="1" thickBot="1">
      <c r="A273" s="76">
        <v>271</v>
      </c>
      <c r="B273" s="7">
        <v>46053.531558900402</v>
      </c>
      <c r="C273" s="8" t="s">
        <v>36</v>
      </c>
      <c r="D273" s="10" t="s">
        <v>759</v>
      </c>
      <c r="E273" s="10" t="s">
        <v>38</v>
      </c>
      <c r="F273" s="89" t="s">
        <v>212</v>
      </c>
      <c r="G273" s="10" t="s">
        <v>329</v>
      </c>
      <c r="H273" s="75" t="s">
        <v>964</v>
      </c>
      <c r="I273" s="10"/>
      <c r="J273" s="70" t="s">
        <v>17</v>
      </c>
      <c r="K273" s="71" t="s">
        <v>14</v>
      </c>
      <c r="L273" s="7">
        <v>46055.295111238425</v>
      </c>
      <c r="M273" s="67"/>
      <c r="N273" s="10"/>
    </row>
    <row r="274" spans="1:14" ht="100.2" customHeight="1" thickTop="1" thickBot="1">
      <c r="A274" s="10">
        <v>272</v>
      </c>
      <c r="B274" s="7">
        <v>46054.369647430503</v>
      </c>
      <c r="C274" s="8" t="s">
        <v>36</v>
      </c>
      <c r="D274" s="10" t="s">
        <v>759</v>
      </c>
      <c r="E274" s="10" t="s">
        <v>38</v>
      </c>
      <c r="F274" s="89" t="s">
        <v>212</v>
      </c>
      <c r="G274" s="10" t="s">
        <v>115</v>
      </c>
      <c r="H274" s="75" t="s">
        <v>1071</v>
      </c>
      <c r="I274" s="10"/>
      <c r="J274" s="70" t="s">
        <v>17</v>
      </c>
      <c r="K274" s="71" t="s">
        <v>14</v>
      </c>
      <c r="L274" s="7">
        <v>46055.295230636577</v>
      </c>
      <c r="M274" s="67" t="s">
        <v>963</v>
      </c>
      <c r="N274" s="10"/>
    </row>
    <row r="275" spans="1:14" ht="100.2" customHeight="1" thickTop="1" thickBot="1">
      <c r="A275" s="76">
        <v>273</v>
      </c>
      <c r="B275" s="7">
        <v>46025.496378668897</v>
      </c>
      <c r="C275" s="8" t="s">
        <v>36</v>
      </c>
      <c r="D275" s="10" t="s">
        <v>42</v>
      </c>
      <c r="E275" s="10" t="s">
        <v>43</v>
      </c>
      <c r="F275" s="89" t="s">
        <v>126</v>
      </c>
      <c r="G275" s="10" t="s">
        <v>159</v>
      </c>
      <c r="H275" s="75" t="s">
        <v>1072</v>
      </c>
      <c r="I275" s="10"/>
      <c r="J275" s="70" t="s">
        <v>15</v>
      </c>
      <c r="K275" s="71" t="s">
        <v>14</v>
      </c>
      <c r="L275" s="7">
        <v>46025.511110983796</v>
      </c>
      <c r="M275" s="67"/>
      <c r="N275" s="10"/>
    </row>
    <row r="276" spans="1:14" ht="100.2" customHeight="1" thickTop="1" thickBot="1">
      <c r="A276" s="10">
        <v>274</v>
      </c>
      <c r="B276" s="7">
        <v>46025.500318796199</v>
      </c>
      <c r="C276" s="8" t="s">
        <v>36</v>
      </c>
      <c r="D276" s="10" t="s">
        <v>431</v>
      </c>
      <c r="E276" s="10" t="s">
        <v>43</v>
      </c>
      <c r="F276" s="89" t="s">
        <v>193</v>
      </c>
      <c r="G276" s="10" t="s">
        <v>323</v>
      </c>
      <c r="H276" s="75" t="s">
        <v>1073</v>
      </c>
      <c r="I276" s="10"/>
      <c r="J276" s="70" t="s">
        <v>15</v>
      </c>
      <c r="K276" s="71" t="s">
        <v>14</v>
      </c>
      <c r="L276" s="7">
        <v>46025.511103483797</v>
      </c>
      <c r="M276" s="67"/>
      <c r="N276" s="10"/>
    </row>
    <row r="277" spans="1:14" ht="100.2" customHeight="1" thickTop="1" thickBot="1">
      <c r="A277" s="76">
        <v>275</v>
      </c>
      <c r="B277" s="7">
        <v>46025.501368749901</v>
      </c>
      <c r="C277" s="8" t="s">
        <v>36</v>
      </c>
      <c r="D277" s="10" t="s">
        <v>431</v>
      </c>
      <c r="E277" s="10" t="s">
        <v>43</v>
      </c>
      <c r="F277" s="89" t="s">
        <v>212</v>
      </c>
      <c r="G277" s="10" t="s">
        <v>957</v>
      </c>
      <c r="H277" s="75" t="s">
        <v>1073</v>
      </c>
      <c r="I277" s="10"/>
      <c r="J277" s="70" t="s">
        <v>15</v>
      </c>
      <c r="K277" s="71" t="s">
        <v>14</v>
      </c>
      <c r="L277" s="7">
        <v>46025.511146469908</v>
      </c>
      <c r="M277" s="67"/>
      <c r="N277" s="10"/>
    </row>
    <row r="278" spans="1:14" ht="100.2" customHeight="1" thickTop="1" thickBot="1">
      <c r="A278" s="10">
        <v>276</v>
      </c>
      <c r="B278" s="7">
        <v>46025.5024705092</v>
      </c>
      <c r="C278" s="8" t="s">
        <v>36</v>
      </c>
      <c r="D278" s="10" t="s">
        <v>431</v>
      </c>
      <c r="E278" s="10" t="s">
        <v>43</v>
      </c>
      <c r="F278" s="89" t="s">
        <v>212</v>
      </c>
      <c r="G278" s="10" t="s">
        <v>1074</v>
      </c>
      <c r="H278" s="75" t="s">
        <v>1075</v>
      </c>
      <c r="I278" s="10"/>
      <c r="J278" s="70" t="s">
        <v>15</v>
      </c>
      <c r="K278" s="71" t="s">
        <v>14</v>
      </c>
      <c r="L278" s="7">
        <v>46025.511160011578</v>
      </c>
      <c r="M278" s="67"/>
      <c r="N278" s="10"/>
    </row>
    <row r="279" spans="1:14" ht="100.2" customHeight="1" thickTop="1" thickBot="1">
      <c r="A279" s="76">
        <v>277</v>
      </c>
      <c r="B279" s="7">
        <v>46025.503191805503</v>
      </c>
      <c r="C279" s="8" t="s">
        <v>36</v>
      </c>
      <c r="D279" s="10" t="s">
        <v>431</v>
      </c>
      <c r="E279" s="10" t="s">
        <v>43</v>
      </c>
      <c r="F279" s="89" t="s">
        <v>193</v>
      </c>
      <c r="G279" s="10" t="s">
        <v>323</v>
      </c>
      <c r="H279" s="75" t="s">
        <v>1076</v>
      </c>
      <c r="I279" s="10"/>
      <c r="J279" s="70" t="s">
        <v>15</v>
      </c>
      <c r="K279" s="71" t="s">
        <v>14</v>
      </c>
      <c r="L279" s="7">
        <v>46025.511166215278</v>
      </c>
      <c r="M279" s="67"/>
      <c r="N279" s="10"/>
    </row>
    <row r="280" spans="1:14" ht="100.2" customHeight="1" thickTop="1" thickBot="1">
      <c r="A280" s="10">
        <v>278</v>
      </c>
      <c r="B280" s="7">
        <v>46025.503892789297</v>
      </c>
      <c r="C280" s="8" t="s">
        <v>36</v>
      </c>
      <c r="D280" s="10" t="s">
        <v>431</v>
      </c>
      <c r="E280" s="10" t="s">
        <v>43</v>
      </c>
      <c r="F280" s="89" t="s">
        <v>53</v>
      </c>
      <c r="G280" s="10" t="s">
        <v>965</v>
      </c>
      <c r="H280" s="75" t="s">
        <v>429</v>
      </c>
      <c r="I280" s="10"/>
      <c r="J280" s="70" t="s">
        <v>15</v>
      </c>
      <c r="K280" s="71" t="s">
        <v>14</v>
      </c>
      <c r="L280" s="7">
        <v>46025.511196064814</v>
      </c>
      <c r="M280" s="67"/>
      <c r="N280" s="10"/>
    </row>
    <row r="281" spans="1:14" ht="100.2" customHeight="1" thickTop="1" thickBot="1">
      <c r="A281" s="76">
        <v>279</v>
      </c>
      <c r="B281" s="7">
        <v>46025.504632013799</v>
      </c>
      <c r="C281" s="8" t="s">
        <v>36</v>
      </c>
      <c r="D281" s="10" t="s">
        <v>431</v>
      </c>
      <c r="E281" s="10" t="s">
        <v>43</v>
      </c>
      <c r="F281" s="89" t="s">
        <v>53</v>
      </c>
      <c r="G281" s="10" t="s">
        <v>159</v>
      </c>
      <c r="H281" s="75" t="s">
        <v>1077</v>
      </c>
      <c r="I281" s="10"/>
      <c r="J281" s="70" t="s">
        <v>15</v>
      </c>
      <c r="K281" s="71" t="s">
        <v>14</v>
      </c>
      <c r="L281" s="7">
        <v>46025.511210069446</v>
      </c>
      <c r="M281" s="67"/>
      <c r="N281" s="10"/>
    </row>
    <row r="282" spans="1:14" ht="100.2" customHeight="1" thickTop="1" thickBot="1">
      <c r="A282" s="10">
        <v>280</v>
      </c>
      <c r="B282" s="7">
        <v>46025.505325590202</v>
      </c>
      <c r="C282" s="8" t="s">
        <v>36</v>
      </c>
      <c r="D282" s="10" t="s">
        <v>431</v>
      </c>
      <c r="E282" s="10" t="s">
        <v>43</v>
      </c>
      <c r="F282" s="89" t="s">
        <v>78</v>
      </c>
      <c r="G282" s="10" t="s">
        <v>159</v>
      </c>
      <c r="H282" s="75" t="s">
        <v>1077</v>
      </c>
      <c r="I282" s="10"/>
      <c r="J282" s="70" t="s">
        <v>15</v>
      </c>
      <c r="K282" s="71" t="s">
        <v>14</v>
      </c>
      <c r="L282" s="7">
        <v>46025.511213622682</v>
      </c>
      <c r="M282" s="67"/>
      <c r="N282" s="10"/>
    </row>
    <row r="283" spans="1:14" ht="100.2" customHeight="1" thickTop="1" thickBot="1">
      <c r="A283" s="76">
        <v>281</v>
      </c>
      <c r="B283" s="7">
        <v>46025.505727465199</v>
      </c>
      <c r="C283" s="8" t="s">
        <v>36</v>
      </c>
      <c r="D283" s="10" t="s">
        <v>431</v>
      </c>
      <c r="E283" s="10" t="s">
        <v>43</v>
      </c>
      <c r="F283" s="89" t="s">
        <v>212</v>
      </c>
      <c r="G283" s="10" t="s">
        <v>159</v>
      </c>
      <c r="H283" s="75" t="s">
        <v>1077</v>
      </c>
      <c r="I283" s="10"/>
      <c r="J283" s="70" t="s">
        <v>15</v>
      </c>
      <c r="K283" s="71" t="s">
        <v>14</v>
      </c>
      <c r="L283" s="7">
        <v>46025.511249537041</v>
      </c>
      <c r="M283" s="67"/>
      <c r="N283" s="10"/>
    </row>
    <row r="284" spans="1:14" ht="150" customHeight="1" thickTop="1" thickBot="1">
      <c r="A284" s="10">
        <v>282</v>
      </c>
      <c r="B284" s="7">
        <v>46025.506419224497</v>
      </c>
      <c r="C284" s="8" t="s">
        <v>36</v>
      </c>
      <c r="D284" s="10" t="s">
        <v>431</v>
      </c>
      <c r="E284" s="10" t="s">
        <v>43</v>
      </c>
      <c r="F284" s="89" t="s">
        <v>58</v>
      </c>
      <c r="G284" s="10" t="s">
        <v>785</v>
      </c>
      <c r="H284" s="75" t="s">
        <v>1078</v>
      </c>
      <c r="I284" s="10"/>
      <c r="J284" s="70" t="s">
        <v>15</v>
      </c>
      <c r="K284" s="71" t="s">
        <v>14</v>
      </c>
      <c r="L284" s="7">
        <v>46025.511270902774</v>
      </c>
      <c r="M284" s="67"/>
      <c r="N284" s="10"/>
    </row>
    <row r="285" spans="1:14" ht="100.2" customHeight="1" thickTop="1" thickBot="1">
      <c r="A285" s="76">
        <v>283</v>
      </c>
      <c r="B285" s="7">
        <v>46025.507331018503</v>
      </c>
      <c r="C285" s="8" t="s">
        <v>36</v>
      </c>
      <c r="D285" s="10" t="s">
        <v>251</v>
      </c>
      <c r="E285" s="10" t="s">
        <v>43</v>
      </c>
      <c r="F285" s="89" t="s">
        <v>53</v>
      </c>
      <c r="G285" s="10" t="s">
        <v>159</v>
      </c>
      <c r="H285" s="75" t="s">
        <v>1079</v>
      </c>
      <c r="I285" s="10"/>
      <c r="J285" s="70" t="s">
        <v>15</v>
      </c>
      <c r="K285" s="71" t="s">
        <v>14</v>
      </c>
      <c r="L285" s="7">
        <v>46025.51129253472</v>
      </c>
      <c r="M285" s="67"/>
      <c r="N285" s="10"/>
    </row>
    <row r="286" spans="1:14" ht="100.2" customHeight="1" thickTop="1" thickBot="1">
      <c r="A286" s="10">
        <v>284</v>
      </c>
      <c r="B286" s="7">
        <v>46025.507949953702</v>
      </c>
      <c r="C286" s="8" t="s">
        <v>36</v>
      </c>
      <c r="D286" s="10" t="s">
        <v>431</v>
      </c>
      <c r="E286" s="10" t="s">
        <v>43</v>
      </c>
      <c r="F286" s="89" t="s">
        <v>53</v>
      </c>
      <c r="G286" s="10" t="s">
        <v>783</v>
      </c>
      <c r="H286" s="75" t="s">
        <v>1080</v>
      </c>
      <c r="I286" s="10"/>
      <c r="J286" s="70" t="s">
        <v>15</v>
      </c>
      <c r="K286" s="71" t="s">
        <v>14</v>
      </c>
      <c r="L286" s="7">
        <v>46025.511311574075</v>
      </c>
      <c r="M286" s="67"/>
      <c r="N286" s="10"/>
    </row>
    <row r="287" spans="1:14" ht="100.2" customHeight="1" thickTop="1" thickBot="1">
      <c r="A287" s="76">
        <v>285</v>
      </c>
      <c r="B287" s="7">
        <v>46026.507618506897</v>
      </c>
      <c r="C287" s="8" t="s">
        <v>36</v>
      </c>
      <c r="D287" s="10" t="s">
        <v>759</v>
      </c>
      <c r="E287" s="10" t="s">
        <v>38</v>
      </c>
      <c r="F287" s="89" t="s">
        <v>48</v>
      </c>
      <c r="G287" s="10" t="s">
        <v>769</v>
      </c>
      <c r="H287" s="75" t="s">
        <v>1081</v>
      </c>
      <c r="I287" s="10"/>
      <c r="J287" s="70" t="s">
        <v>15</v>
      </c>
      <c r="K287" s="71" t="s">
        <v>14</v>
      </c>
      <c r="L287" s="7">
        <v>46026.594753425925</v>
      </c>
      <c r="M287" s="67"/>
      <c r="N287" s="10"/>
    </row>
    <row r="288" spans="1:14" ht="100.2" customHeight="1" thickTop="1" thickBot="1">
      <c r="A288" s="10">
        <v>286</v>
      </c>
      <c r="B288" s="7">
        <v>46027.313672800898</v>
      </c>
      <c r="C288" s="8" t="s">
        <v>36</v>
      </c>
      <c r="D288" s="10" t="s">
        <v>759</v>
      </c>
      <c r="E288" s="10" t="s">
        <v>38</v>
      </c>
      <c r="F288" s="89" t="s">
        <v>48</v>
      </c>
      <c r="G288" s="10" t="s">
        <v>115</v>
      </c>
      <c r="H288" s="75" t="s">
        <v>1082</v>
      </c>
      <c r="I288" s="10"/>
      <c r="J288" s="70" t="s">
        <v>15</v>
      </c>
      <c r="K288" s="71" t="s">
        <v>14</v>
      </c>
      <c r="L288" s="7">
        <v>46027.35796277778</v>
      </c>
      <c r="M288" s="67"/>
      <c r="N288" s="10"/>
    </row>
    <row r="289" spans="1:14" ht="100.2" customHeight="1" thickTop="1" thickBot="1">
      <c r="A289" s="76">
        <v>287</v>
      </c>
      <c r="B289" s="7">
        <v>46027.354081261503</v>
      </c>
      <c r="C289" s="8" t="s">
        <v>36</v>
      </c>
      <c r="D289" s="10" t="s">
        <v>759</v>
      </c>
      <c r="E289" s="10" t="s">
        <v>38</v>
      </c>
      <c r="F289" s="89" t="s">
        <v>193</v>
      </c>
      <c r="G289" s="10" t="s">
        <v>1083</v>
      </c>
      <c r="H289" s="75" t="s">
        <v>1084</v>
      </c>
      <c r="I289" s="10"/>
      <c r="J289" s="70" t="s">
        <v>15</v>
      </c>
      <c r="K289" s="71" t="s">
        <v>14</v>
      </c>
      <c r="L289" s="7">
        <v>46027.368294756947</v>
      </c>
      <c r="M289" s="67"/>
      <c r="N289" s="10"/>
    </row>
    <row r="290" spans="1:14" ht="100.2" customHeight="1" thickTop="1" thickBot="1">
      <c r="A290" s="10">
        <v>288</v>
      </c>
      <c r="B290" s="7">
        <v>46027.357606458303</v>
      </c>
      <c r="C290" s="8" t="s">
        <v>36</v>
      </c>
      <c r="D290" s="10" t="s">
        <v>759</v>
      </c>
      <c r="E290" s="10" t="s">
        <v>38</v>
      </c>
      <c r="F290" s="89" t="s">
        <v>148</v>
      </c>
      <c r="G290" s="10" t="s">
        <v>803</v>
      </c>
      <c r="H290" s="75" t="s">
        <v>1085</v>
      </c>
      <c r="I290" s="10"/>
      <c r="J290" s="70" t="s">
        <v>15</v>
      </c>
      <c r="K290" s="71" t="s">
        <v>14</v>
      </c>
      <c r="L290" s="7">
        <v>46027.48382090278</v>
      </c>
      <c r="M290" s="67" t="s">
        <v>26</v>
      </c>
      <c r="N290" s="10"/>
    </row>
    <row r="291" spans="1:14" ht="100.2" customHeight="1" thickTop="1" thickBot="1">
      <c r="A291" s="76">
        <v>289</v>
      </c>
      <c r="B291" s="7">
        <v>46027.367317708296</v>
      </c>
      <c r="C291" s="8" t="s">
        <v>36</v>
      </c>
      <c r="D291" s="10" t="s">
        <v>759</v>
      </c>
      <c r="E291" s="10" t="s">
        <v>38</v>
      </c>
      <c r="F291" s="89" t="s">
        <v>193</v>
      </c>
      <c r="G291" s="10" t="s">
        <v>115</v>
      </c>
      <c r="H291" s="75" t="s">
        <v>1086</v>
      </c>
      <c r="I291" s="10"/>
      <c r="J291" s="70" t="s">
        <v>15</v>
      </c>
      <c r="K291" s="71" t="s">
        <v>14</v>
      </c>
      <c r="L291" s="7">
        <v>46027.40285539352</v>
      </c>
      <c r="M291" s="67"/>
      <c r="N291" s="10"/>
    </row>
    <row r="292" spans="1:14" ht="100.2" customHeight="1" thickTop="1" thickBot="1">
      <c r="A292" s="10">
        <v>290</v>
      </c>
      <c r="B292" s="7">
        <v>46027.499105034702</v>
      </c>
      <c r="C292" s="8" t="s">
        <v>36</v>
      </c>
      <c r="D292" s="10" t="s">
        <v>759</v>
      </c>
      <c r="E292" s="10" t="s">
        <v>38</v>
      </c>
      <c r="F292" s="89" t="s">
        <v>148</v>
      </c>
      <c r="G292" s="10" t="s">
        <v>115</v>
      </c>
      <c r="H292" s="75" t="s">
        <v>1087</v>
      </c>
      <c r="I292" s="10"/>
      <c r="J292" s="70" t="s">
        <v>15</v>
      </c>
      <c r="K292" s="71" t="s">
        <v>14</v>
      </c>
      <c r="L292" s="7">
        <v>46027.55029003472</v>
      </c>
      <c r="M292" s="67"/>
      <c r="N292" s="10"/>
    </row>
    <row r="293" spans="1:14" ht="100.2" customHeight="1" thickTop="1" thickBot="1">
      <c r="A293" s="76">
        <v>291</v>
      </c>
      <c r="B293" s="7">
        <v>46027.5090273842</v>
      </c>
      <c r="C293" s="8" t="s">
        <v>36</v>
      </c>
      <c r="D293" s="10" t="s">
        <v>759</v>
      </c>
      <c r="E293" s="10" t="s">
        <v>38</v>
      </c>
      <c r="F293" s="89" t="s">
        <v>48</v>
      </c>
      <c r="G293" s="10" t="s">
        <v>1088</v>
      </c>
      <c r="H293" s="75" t="s">
        <v>1089</v>
      </c>
      <c r="I293" s="10"/>
      <c r="J293" s="70" t="s">
        <v>15</v>
      </c>
      <c r="K293" s="71" t="s">
        <v>14</v>
      </c>
      <c r="L293" s="7">
        <v>46028.320432175926</v>
      </c>
      <c r="M293" s="67"/>
      <c r="N293" s="10"/>
    </row>
    <row r="294" spans="1:14" ht="100.2" customHeight="1" thickTop="1" thickBot="1">
      <c r="A294" s="10">
        <v>292</v>
      </c>
      <c r="B294" s="7">
        <v>46029.3568334027</v>
      </c>
      <c r="C294" s="8" t="s">
        <v>36</v>
      </c>
      <c r="D294" s="10" t="s">
        <v>759</v>
      </c>
      <c r="E294" s="10" t="s">
        <v>38</v>
      </c>
      <c r="F294" s="89" t="s">
        <v>39</v>
      </c>
      <c r="G294" s="10" t="s">
        <v>1090</v>
      </c>
      <c r="H294" s="75" t="s">
        <v>1091</v>
      </c>
      <c r="I294" s="10"/>
      <c r="J294" s="70" t="s">
        <v>15</v>
      </c>
      <c r="K294" s="71" t="s">
        <v>14</v>
      </c>
      <c r="L294" s="7">
        <v>46029.506896412036</v>
      </c>
      <c r="M294" s="67"/>
      <c r="N294" s="10"/>
    </row>
    <row r="295" spans="1:14" ht="100.2" customHeight="1" thickTop="1" thickBot="1">
      <c r="A295" s="76">
        <v>293</v>
      </c>
      <c r="B295" s="7">
        <v>46029.448351493003</v>
      </c>
      <c r="C295" s="8" t="s">
        <v>36</v>
      </c>
      <c r="D295" s="10" t="s">
        <v>759</v>
      </c>
      <c r="E295" s="10" t="s">
        <v>38</v>
      </c>
      <c r="F295" s="89" t="s">
        <v>92</v>
      </c>
      <c r="G295" s="10" t="s">
        <v>115</v>
      </c>
      <c r="H295" s="75" t="s">
        <v>1092</v>
      </c>
      <c r="I295" s="10"/>
      <c r="J295" s="70" t="s">
        <v>15</v>
      </c>
      <c r="K295" s="71" t="s">
        <v>14</v>
      </c>
      <c r="L295" s="7">
        <v>46029.463637199078</v>
      </c>
      <c r="M295" s="67"/>
      <c r="N295" s="10"/>
    </row>
    <row r="296" spans="1:14" ht="100.2" customHeight="1" thickTop="1" thickBot="1">
      <c r="A296" s="10">
        <v>294</v>
      </c>
      <c r="B296" s="7">
        <v>46029.451500578703</v>
      </c>
      <c r="C296" s="8" t="s">
        <v>36</v>
      </c>
      <c r="D296" s="10" t="s">
        <v>759</v>
      </c>
      <c r="E296" s="10" t="s">
        <v>38</v>
      </c>
      <c r="F296" s="89" t="s">
        <v>39</v>
      </c>
      <c r="G296" s="10" t="s">
        <v>769</v>
      </c>
      <c r="H296" s="75" t="s">
        <v>1093</v>
      </c>
      <c r="I296" s="10"/>
      <c r="J296" s="70" t="s">
        <v>15</v>
      </c>
      <c r="K296" s="71" t="s">
        <v>14</v>
      </c>
      <c r="L296" s="7">
        <v>46029.464218622685</v>
      </c>
      <c r="M296" s="67"/>
      <c r="N296" s="10"/>
    </row>
    <row r="297" spans="1:14" ht="100.2" customHeight="1" thickTop="1" thickBot="1">
      <c r="A297" s="76">
        <v>295</v>
      </c>
      <c r="B297" s="7">
        <v>46029.452039131902</v>
      </c>
      <c r="C297" s="8" t="s">
        <v>36</v>
      </c>
      <c r="D297" s="10" t="s">
        <v>759</v>
      </c>
      <c r="E297" s="10" t="s">
        <v>38</v>
      </c>
      <c r="F297" s="89" t="s">
        <v>102</v>
      </c>
      <c r="G297" s="10" t="s">
        <v>115</v>
      </c>
      <c r="H297" s="75" t="s">
        <v>1094</v>
      </c>
      <c r="I297" s="10"/>
      <c r="J297" s="70" t="s">
        <v>15</v>
      </c>
      <c r="K297" s="71" t="s">
        <v>14</v>
      </c>
      <c r="L297" s="7">
        <v>46029.464314050929</v>
      </c>
      <c r="M297" s="67"/>
      <c r="N297" s="10"/>
    </row>
    <row r="298" spans="1:14" ht="100.2" customHeight="1" thickTop="1" thickBot="1">
      <c r="A298" s="10">
        <v>296</v>
      </c>
      <c r="B298" s="7">
        <v>46029.4524990625</v>
      </c>
      <c r="C298" s="8" t="s">
        <v>36</v>
      </c>
      <c r="D298" s="10" t="s">
        <v>759</v>
      </c>
      <c r="E298" s="10" t="s">
        <v>38</v>
      </c>
      <c r="F298" s="89" t="s">
        <v>102</v>
      </c>
      <c r="G298" s="10" t="s">
        <v>229</v>
      </c>
      <c r="H298" s="75" t="s">
        <v>1095</v>
      </c>
      <c r="I298" s="10"/>
      <c r="J298" s="70" t="s">
        <v>15</v>
      </c>
      <c r="K298" s="71" t="s">
        <v>14</v>
      </c>
      <c r="L298" s="7">
        <v>46029.464715567126</v>
      </c>
      <c r="M298" s="67"/>
      <c r="N298" s="10"/>
    </row>
    <row r="299" spans="1:14" ht="100.2" customHeight="1" thickTop="1" thickBot="1">
      <c r="A299" s="76">
        <v>297</v>
      </c>
      <c r="B299" s="7">
        <v>46029.453741956</v>
      </c>
      <c r="C299" s="8" t="s">
        <v>36</v>
      </c>
      <c r="D299" s="10" t="s">
        <v>759</v>
      </c>
      <c r="E299" s="10" t="s">
        <v>38</v>
      </c>
      <c r="F299" s="89" t="s">
        <v>39</v>
      </c>
      <c r="G299" s="10" t="s">
        <v>1096</v>
      </c>
      <c r="H299" s="75" t="s">
        <v>1097</v>
      </c>
      <c r="I299" s="10"/>
      <c r="J299" s="70" t="s">
        <v>15</v>
      </c>
      <c r="K299" s="71" t="s">
        <v>14</v>
      </c>
      <c r="L299" s="7">
        <v>46029.506794583329</v>
      </c>
      <c r="M299" s="67"/>
      <c r="N299" s="10"/>
    </row>
    <row r="300" spans="1:14" ht="100.2" customHeight="1" thickTop="1" thickBot="1">
      <c r="A300" s="10">
        <v>298</v>
      </c>
      <c r="B300" s="7">
        <v>46029.462837245301</v>
      </c>
      <c r="C300" s="8" t="s">
        <v>36</v>
      </c>
      <c r="D300" s="10" t="s">
        <v>759</v>
      </c>
      <c r="E300" s="10" t="s">
        <v>38</v>
      </c>
      <c r="F300" s="89" t="s">
        <v>193</v>
      </c>
      <c r="G300" s="10" t="s">
        <v>769</v>
      </c>
      <c r="H300" s="75" t="s">
        <v>1098</v>
      </c>
      <c r="I300" s="10"/>
      <c r="J300" s="70" t="s">
        <v>15</v>
      </c>
      <c r="K300" s="71" t="s">
        <v>14</v>
      </c>
      <c r="L300" s="7">
        <v>46029.76972138889</v>
      </c>
      <c r="M300" s="67"/>
      <c r="N300" s="10"/>
    </row>
    <row r="301" spans="1:14" ht="100.2" customHeight="1" thickTop="1" thickBot="1">
      <c r="A301" s="76">
        <v>299</v>
      </c>
      <c r="B301" s="7">
        <v>46030.421137349498</v>
      </c>
      <c r="C301" s="8" t="s">
        <v>36</v>
      </c>
      <c r="D301" s="10" t="s">
        <v>759</v>
      </c>
      <c r="E301" s="10" t="s">
        <v>38</v>
      </c>
      <c r="F301" s="89" t="s">
        <v>48</v>
      </c>
      <c r="G301" s="10" t="s">
        <v>115</v>
      </c>
      <c r="H301" s="75" t="s">
        <v>1099</v>
      </c>
      <c r="I301" s="10"/>
      <c r="J301" s="70" t="s">
        <v>15</v>
      </c>
      <c r="K301" s="71" t="s">
        <v>14</v>
      </c>
      <c r="L301" s="7">
        <v>46030.579414236112</v>
      </c>
      <c r="M301" s="67"/>
      <c r="N301" s="10"/>
    </row>
    <row r="302" spans="1:14" ht="100.2" customHeight="1" thickTop="1" thickBot="1">
      <c r="A302" s="10">
        <v>300</v>
      </c>
      <c r="B302" s="7">
        <v>46033.328677546298</v>
      </c>
      <c r="C302" s="8" t="s">
        <v>36</v>
      </c>
      <c r="D302" s="10" t="s">
        <v>759</v>
      </c>
      <c r="E302" s="10" t="s">
        <v>38</v>
      </c>
      <c r="F302" s="89" t="s">
        <v>148</v>
      </c>
      <c r="G302" s="10" t="s">
        <v>803</v>
      </c>
      <c r="H302" s="75" t="s">
        <v>1100</v>
      </c>
      <c r="I302" s="10"/>
      <c r="J302" s="70" t="s">
        <v>15</v>
      </c>
      <c r="K302" s="71" t="s">
        <v>14</v>
      </c>
      <c r="L302" s="7">
        <v>46033.379272418984</v>
      </c>
      <c r="M302" s="67"/>
      <c r="N302" s="10"/>
    </row>
    <row r="303" spans="1:14" ht="100.2" customHeight="1" thickTop="1" thickBot="1">
      <c r="A303" s="76">
        <v>301</v>
      </c>
      <c r="B303" s="7">
        <v>46033.346305520798</v>
      </c>
      <c r="C303" s="8" t="s">
        <v>36</v>
      </c>
      <c r="D303" s="10" t="s">
        <v>759</v>
      </c>
      <c r="E303" s="10" t="s">
        <v>38</v>
      </c>
      <c r="F303" s="89" t="s">
        <v>212</v>
      </c>
      <c r="G303" s="10" t="s">
        <v>803</v>
      </c>
      <c r="H303" s="75" t="s">
        <v>1101</v>
      </c>
      <c r="I303" s="10"/>
      <c r="J303" s="70" t="s">
        <v>15</v>
      </c>
      <c r="K303" s="71" t="s">
        <v>14</v>
      </c>
      <c r="L303" s="7">
        <v>46033.38635054398</v>
      </c>
      <c r="M303" s="67"/>
      <c r="N303" s="10"/>
    </row>
    <row r="304" spans="1:14" ht="100.2" customHeight="1" thickTop="1" thickBot="1">
      <c r="A304" s="10">
        <v>302</v>
      </c>
      <c r="B304" s="7">
        <v>46033.349413576303</v>
      </c>
      <c r="C304" s="8" t="s">
        <v>36</v>
      </c>
      <c r="D304" s="10" t="s">
        <v>759</v>
      </c>
      <c r="E304" s="10" t="s">
        <v>38</v>
      </c>
      <c r="F304" s="89" t="s">
        <v>58</v>
      </c>
      <c r="G304" s="10" t="s">
        <v>299</v>
      </c>
      <c r="H304" s="75" t="s">
        <v>1102</v>
      </c>
      <c r="I304" s="10"/>
      <c r="J304" s="70" t="s">
        <v>15</v>
      </c>
      <c r="K304" s="71" t="s">
        <v>14</v>
      </c>
      <c r="L304" s="7">
        <v>46033.404456435186</v>
      </c>
      <c r="M304" s="67"/>
      <c r="N304" s="10"/>
    </row>
    <row r="305" spans="1:14" ht="100.2" customHeight="1" thickTop="1" thickBot="1">
      <c r="A305" s="76">
        <v>303</v>
      </c>
      <c r="B305" s="7">
        <v>46033.404226712897</v>
      </c>
      <c r="C305" s="8" t="s">
        <v>36</v>
      </c>
      <c r="D305" s="10" t="s">
        <v>759</v>
      </c>
      <c r="E305" s="10" t="s">
        <v>38</v>
      </c>
      <c r="F305" s="89" t="s">
        <v>1103</v>
      </c>
      <c r="G305" s="10" t="s">
        <v>803</v>
      </c>
      <c r="H305" s="75" t="s">
        <v>1104</v>
      </c>
      <c r="I305" s="10"/>
      <c r="J305" s="70" t="s">
        <v>15</v>
      </c>
      <c r="K305" s="71" t="s">
        <v>14</v>
      </c>
      <c r="L305" s="7">
        <v>46034.420227268522</v>
      </c>
      <c r="M305" s="67"/>
      <c r="N305" s="10"/>
    </row>
    <row r="306" spans="1:14" ht="100.2" customHeight="1" thickTop="1" thickBot="1">
      <c r="A306" s="10">
        <v>304</v>
      </c>
      <c r="B306" s="7">
        <v>46033.471658032402</v>
      </c>
      <c r="C306" s="8" t="s">
        <v>36</v>
      </c>
      <c r="D306" s="10" t="s">
        <v>759</v>
      </c>
      <c r="E306" s="10" t="s">
        <v>38</v>
      </c>
      <c r="F306" s="89" t="s">
        <v>148</v>
      </c>
      <c r="G306" s="10" t="s">
        <v>115</v>
      </c>
      <c r="H306" s="75" t="s">
        <v>463</v>
      </c>
      <c r="I306" s="10"/>
      <c r="J306" s="70" t="s">
        <v>15</v>
      </c>
      <c r="K306" s="71" t="s">
        <v>14</v>
      </c>
      <c r="L306" s="7">
        <v>46034.406832708337</v>
      </c>
      <c r="M306" s="67"/>
      <c r="N306" s="10"/>
    </row>
    <row r="307" spans="1:14" ht="100.2" customHeight="1" thickTop="1" thickBot="1">
      <c r="A307" s="76">
        <v>305</v>
      </c>
      <c r="B307" s="7">
        <v>46033.501617858798</v>
      </c>
      <c r="C307" s="8" t="s">
        <v>36</v>
      </c>
      <c r="D307" s="10" t="s">
        <v>759</v>
      </c>
      <c r="E307" s="10" t="s">
        <v>38</v>
      </c>
      <c r="F307" s="89" t="s">
        <v>212</v>
      </c>
      <c r="G307" s="10" t="s">
        <v>115</v>
      </c>
      <c r="H307" s="75" t="s">
        <v>1105</v>
      </c>
      <c r="I307" s="10"/>
      <c r="J307" s="70" t="s">
        <v>15</v>
      </c>
      <c r="K307" s="71" t="s">
        <v>14</v>
      </c>
      <c r="L307" s="7">
        <v>46034.40747075231</v>
      </c>
      <c r="M307" s="67"/>
      <c r="N307" s="10"/>
    </row>
    <row r="308" spans="1:14" ht="100.2" customHeight="1" thickTop="1" thickBot="1">
      <c r="A308" s="10">
        <v>306</v>
      </c>
      <c r="B308" s="7">
        <v>46034.307591874996</v>
      </c>
      <c r="C308" s="8" t="s">
        <v>36</v>
      </c>
      <c r="D308" s="10" t="s">
        <v>759</v>
      </c>
      <c r="E308" s="10" t="s">
        <v>38</v>
      </c>
      <c r="F308" s="89" t="s">
        <v>102</v>
      </c>
      <c r="G308" s="10" t="s">
        <v>808</v>
      </c>
      <c r="H308" s="75" t="s">
        <v>1106</v>
      </c>
      <c r="I308" s="10"/>
      <c r="J308" s="70" t="s">
        <v>15</v>
      </c>
      <c r="K308" s="71" t="s">
        <v>14</v>
      </c>
      <c r="L308" s="7">
        <v>46034.350998194444</v>
      </c>
      <c r="M308" s="67"/>
      <c r="N308" s="10"/>
    </row>
    <row r="309" spans="1:14" ht="100.2" customHeight="1" thickTop="1" thickBot="1">
      <c r="A309" s="76">
        <v>307</v>
      </c>
      <c r="B309" s="7">
        <v>46034.327799930499</v>
      </c>
      <c r="C309" s="8" t="s">
        <v>36</v>
      </c>
      <c r="D309" s="10" t="s">
        <v>759</v>
      </c>
      <c r="E309" s="10" t="s">
        <v>38</v>
      </c>
      <c r="F309" s="89" t="s">
        <v>53</v>
      </c>
      <c r="G309" s="10" t="s">
        <v>808</v>
      </c>
      <c r="H309" s="75" t="s">
        <v>1107</v>
      </c>
      <c r="I309" s="10"/>
      <c r="J309" s="70" t="s">
        <v>15</v>
      </c>
      <c r="K309" s="71" t="s">
        <v>14</v>
      </c>
      <c r="L309" s="7">
        <v>46034.350760601854</v>
      </c>
      <c r="M309" s="67"/>
      <c r="N309" s="10"/>
    </row>
    <row r="310" spans="1:14" ht="100.2" customHeight="1" thickTop="1" thickBot="1">
      <c r="A310" s="10">
        <v>308</v>
      </c>
      <c r="B310" s="7">
        <v>46036.387729085603</v>
      </c>
      <c r="C310" s="8" t="s">
        <v>36</v>
      </c>
      <c r="D310" s="10" t="s">
        <v>759</v>
      </c>
      <c r="E310" s="10" t="s">
        <v>38</v>
      </c>
      <c r="F310" s="89" t="s">
        <v>48</v>
      </c>
      <c r="G310" s="10" t="s">
        <v>808</v>
      </c>
      <c r="H310" s="75" t="s">
        <v>373</v>
      </c>
      <c r="I310" s="10"/>
      <c r="J310" s="70" t="s">
        <v>15</v>
      </c>
      <c r="K310" s="71" t="s">
        <v>14</v>
      </c>
      <c r="L310" s="7">
        <v>46036.503351921296</v>
      </c>
      <c r="M310" s="67"/>
      <c r="N310" s="10"/>
    </row>
    <row r="311" spans="1:14" ht="100.2" customHeight="1" thickTop="1" thickBot="1">
      <c r="A311" s="76">
        <v>309</v>
      </c>
      <c r="B311" s="7">
        <v>46037.328860752299</v>
      </c>
      <c r="C311" s="8" t="s">
        <v>36</v>
      </c>
      <c r="D311" s="10" t="s">
        <v>42</v>
      </c>
      <c r="E311" s="10" t="s">
        <v>43</v>
      </c>
      <c r="F311" s="89" t="s">
        <v>39</v>
      </c>
      <c r="G311" s="10" t="s">
        <v>115</v>
      </c>
      <c r="H311" s="75" t="s">
        <v>1108</v>
      </c>
      <c r="I311" s="10"/>
      <c r="J311" s="70" t="s">
        <v>15</v>
      </c>
      <c r="K311" s="71" t="s">
        <v>14</v>
      </c>
      <c r="L311" s="7">
        <v>46037.33166747685</v>
      </c>
      <c r="M311" s="67"/>
      <c r="N311" s="10"/>
    </row>
    <row r="312" spans="1:14" ht="100.2" customHeight="1" thickTop="1" thickBot="1">
      <c r="A312" s="10">
        <v>310</v>
      </c>
      <c r="B312" s="7">
        <v>46037.329705960597</v>
      </c>
      <c r="C312" s="8" t="s">
        <v>36</v>
      </c>
      <c r="D312" s="10" t="s">
        <v>431</v>
      </c>
      <c r="E312" s="10" t="s">
        <v>43</v>
      </c>
      <c r="F312" s="89" t="s">
        <v>39</v>
      </c>
      <c r="G312" s="10" t="s">
        <v>957</v>
      </c>
      <c r="H312" s="75" t="s">
        <v>1109</v>
      </c>
      <c r="I312" s="10"/>
      <c r="J312" s="70" t="s">
        <v>15</v>
      </c>
      <c r="K312" s="71" t="s">
        <v>14</v>
      </c>
      <c r="L312" s="7">
        <v>46037.331684247685</v>
      </c>
      <c r="M312" s="67"/>
      <c r="N312" s="10"/>
    </row>
    <row r="313" spans="1:14" ht="100.2" customHeight="1" thickTop="1" thickBot="1">
      <c r="A313" s="76">
        <v>311</v>
      </c>
      <c r="B313" s="7">
        <v>46037.330623911999</v>
      </c>
      <c r="C313" s="8" t="s">
        <v>36</v>
      </c>
      <c r="D313" s="10" t="s">
        <v>251</v>
      </c>
      <c r="E313" s="10" t="s">
        <v>43</v>
      </c>
      <c r="F313" s="89" t="s">
        <v>212</v>
      </c>
      <c r="G313" s="10" t="s">
        <v>1015</v>
      </c>
      <c r="H313" s="75" t="s">
        <v>252</v>
      </c>
      <c r="I313" s="10"/>
      <c r="J313" s="70" t="s">
        <v>15</v>
      </c>
      <c r="K313" s="71" t="s">
        <v>14</v>
      </c>
      <c r="L313" s="7">
        <v>46037.331698958333</v>
      </c>
      <c r="M313" s="67"/>
      <c r="N313" s="10"/>
    </row>
    <row r="314" spans="1:14" ht="100.2" customHeight="1" thickTop="1" thickBot="1">
      <c r="A314" s="10">
        <v>312</v>
      </c>
      <c r="B314" s="7">
        <v>46037.331463888797</v>
      </c>
      <c r="C314" s="8" t="s">
        <v>36</v>
      </c>
      <c r="D314" s="10" t="s">
        <v>251</v>
      </c>
      <c r="E314" s="10" t="s">
        <v>43</v>
      </c>
      <c r="F314" s="89" t="s">
        <v>193</v>
      </c>
      <c r="G314" s="10" t="s">
        <v>794</v>
      </c>
      <c r="H314" s="75" t="s">
        <v>1110</v>
      </c>
      <c r="I314" s="10"/>
      <c r="J314" s="70" t="s">
        <v>15</v>
      </c>
      <c r="K314" s="71" t="s">
        <v>14</v>
      </c>
      <c r="L314" s="7">
        <v>46037.33172894676</v>
      </c>
      <c r="M314" s="67"/>
      <c r="N314" s="10"/>
    </row>
    <row r="315" spans="1:14" ht="100.2" customHeight="1" thickTop="1" thickBot="1">
      <c r="A315" s="76">
        <v>313</v>
      </c>
      <c r="B315" s="7">
        <v>46039.4425362037</v>
      </c>
      <c r="C315" s="8" t="s">
        <v>36</v>
      </c>
      <c r="D315" s="10" t="s">
        <v>1111</v>
      </c>
      <c r="E315" s="10" t="s">
        <v>43</v>
      </c>
      <c r="F315" s="89" t="s">
        <v>58</v>
      </c>
      <c r="G315" s="10" t="s">
        <v>115</v>
      </c>
      <c r="H315" s="75" t="s">
        <v>1112</v>
      </c>
      <c r="I315" s="10"/>
      <c r="J315" s="70" t="s">
        <v>15</v>
      </c>
      <c r="K315" s="71" t="s">
        <v>14</v>
      </c>
      <c r="L315" s="7">
        <v>46039.446421006942</v>
      </c>
      <c r="M315" s="67"/>
      <c r="N315" s="10"/>
    </row>
    <row r="316" spans="1:14" ht="100.2" customHeight="1" thickTop="1" thickBot="1">
      <c r="A316" s="10">
        <v>314</v>
      </c>
      <c r="B316" s="7">
        <v>46039.4430006365</v>
      </c>
      <c r="C316" s="8" t="s">
        <v>36</v>
      </c>
      <c r="D316" s="10" t="s">
        <v>1113</v>
      </c>
      <c r="E316" s="10" t="s">
        <v>43</v>
      </c>
      <c r="F316" s="89" t="s">
        <v>58</v>
      </c>
      <c r="G316" s="10" t="s">
        <v>115</v>
      </c>
      <c r="H316" s="75" t="s">
        <v>252</v>
      </c>
      <c r="I316" s="10"/>
      <c r="J316" s="70" t="s">
        <v>15</v>
      </c>
      <c r="K316" s="71" t="s">
        <v>14</v>
      </c>
      <c r="L316" s="7">
        <v>46039.44643556713</v>
      </c>
      <c r="M316" s="67"/>
      <c r="N316" s="10"/>
    </row>
    <row r="317" spans="1:14" ht="100.2" customHeight="1" thickTop="1" thickBot="1">
      <c r="A317" s="76">
        <v>315</v>
      </c>
      <c r="B317" s="7">
        <v>46039.443422638797</v>
      </c>
      <c r="C317" s="8" t="s">
        <v>36</v>
      </c>
      <c r="D317" s="10" t="s">
        <v>1113</v>
      </c>
      <c r="E317" s="10" t="s">
        <v>43</v>
      </c>
      <c r="F317" s="89" t="s">
        <v>58</v>
      </c>
      <c r="G317" s="10" t="s">
        <v>115</v>
      </c>
      <c r="H317" s="75" t="s">
        <v>1110</v>
      </c>
      <c r="I317" s="10"/>
      <c r="J317" s="70" t="s">
        <v>15</v>
      </c>
      <c r="K317" s="71" t="s">
        <v>14</v>
      </c>
      <c r="L317" s="7">
        <v>46039.446449201394</v>
      </c>
      <c r="M317" s="67"/>
      <c r="N317" s="10"/>
    </row>
    <row r="318" spans="1:14" ht="100.2" customHeight="1" thickTop="1" thickBot="1">
      <c r="A318" s="10">
        <v>316</v>
      </c>
      <c r="B318" s="7">
        <v>46039.443935242998</v>
      </c>
      <c r="C318" s="8" t="s">
        <v>36</v>
      </c>
      <c r="D318" s="10" t="s">
        <v>1113</v>
      </c>
      <c r="E318" s="10" t="s">
        <v>43</v>
      </c>
      <c r="F318" s="89" t="s">
        <v>58</v>
      </c>
      <c r="G318" s="10" t="s">
        <v>115</v>
      </c>
      <c r="H318" s="75" t="s">
        <v>1114</v>
      </c>
      <c r="I318" s="10"/>
      <c r="J318" s="70" t="s">
        <v>15</v>
      </c>
      <c r="K318" s="71" t="s">
        <v>14</v>
      </c>
      <c r="L318" s="7">
        <v>46039.446470266208</v>
      </c>
      <c r="M318" s="67"/>
      <c r="N318" s="10"/>
    </row>
    <row r="319" spans="1:14" ht="100.2" customHeight="1" thickTop="1" thickBot="1">
      <c r="A319" s="76">
        <v>317</v>
      </c>
      <c r="B319" s="7">
        <v>46039.444387129603</v>
      </c>
      <c r="C319" s="8" t="s">
        <v>36</v>
      </c>
      <c r="D319" s="10" t="s">
        <v>1113</v>
      </c>
      <c r="E319" s="10" t="s">
        <v>43</v>
      </c>
      <c r="F319" s="89" t="s">
        <v>58</v>
      </c>
      <c r="G319" s="10" t="s">
        <v>115</v>
      </c>
      <c r="H319" s="75" t="s">
        <v>1115</v>
      </c>
      <c r="I319" s="10"/>
      <c r="J319" s="70" t="s">
        <v>15</v>
      </c>
      <c r="K319" s="71" t="s">
        <v>14</v>
      </c>
      <c r="L319" s="7">
        <v>46039.446490833332</v>
      </c>
      <c r="M319" s="67"/>
      <c r="N319" s="10"/>
    </row>
    <row r="320" spans="1:14" ht="100.2" customHeight="1" thickTop="1" thickBot="1">
      <c r="A320" s="10">
        <v>318</v>
      </c>
      <c r="B320" s="7">
        <v>46039.4450575347</v>
      </c>
      <c r="C320" s="8" t="s">
        <v>36</v>
      </c>
      <c r="D320" s="10" t="s">
        <v>1113</v>
      </c>
      <c r="E320" s="10" t="s">
        <v>43</v>
      </c>
      <c r="F320" s="89" t="s">
        <v>193</v>
      </c>
      <c r="G320" s="10" t="s">
        <v>794</v>
      </c>
      <c r="H320" s="75" t="s">
        <v>1116</v>
      </c>
      <c r="I320" s="10"/>
      <c r="J320" s="70" t="s">
        <v>15</v>
      </c>
      <c r="K320" s="71" t="s">
        <v>14</v>
      </c>
      <c r="L320" s="7">
        <v>46039.446509120375</v>
      </c>
      <c r="M320" s="67"/>
      <c r="N320" s="10"/>
    </row>
    <row r="321" spans="1:14" ht="100.2" customHeight="1" thickTop="1" thickBot="1">
      <c r="A321" s="76">
        <v>319</v>
      </c>
      <c r="B321" s="7">
        <v>46039.4461767592</v>
      </c>
      <c r="C321" s="8" t="s">
        <v>36</v>
      </c>
      <c r="D321" s="10" t="s">
        <v>1113</v>
      </c>
      <c r="E321" s="10" t="s">
        <v>43</v>
      </c>
      <c r="F321" s="89" t="s">
        <v>48</v>
      </c>
      <c r="G321" s="10" t="s">
        <v>159</v>
      </c>
      <c r="H321" s="75" t="s">
        <v>1117</v>
      </c>
      <c r="I321" s="10"/>
      <c r="J321" s="70" t="s">
        <v>15</v>
      </c>
      <c r="K321" s="71" t="s">
        <v>14</v>
      </c>
      <c r="L321" s="7">
        <v>46039.446528078704</v>
      </c>
      <c r="M321" s="67"/>
      <c r="N321" s="10"/>
    </row>
    <row r="322" spans="1:14" s="69" customFormat="1" ht="100.2" customHeight="1" thickTop="1" thickBot="1">
      <c r="A322" s="10">
        <v>320</v>
      </c>
      <c r="B322" s="7">
        <v>46042.537115115701</v>
      </c>
      <c r="C322" s="8" t="s">
        <v>36</v>
      </c>
      <c r="D322" s="10" t="s">
        <v>759</v>
      </c>
      <c r="E322" s="10" t="s">
        <v>38</v>
      </c>
      <c r="F322" s="89" t="s">
        <v>102</v>
      </c>
      <c r="G322" s="10" t="s">
        <v>115</v>
      </c>
      <c r="H322" s="75" t="s">
        <v>1100</v>
      </c>
      <c r="I322" s="10"/>
      <c r="J322" s="70" t="s">
        <v>15</v>
      </c>
      <c r="K322" s="71" t="s">
        <v>14</v>
      </c>
      <c r="L322" s="7">
        <v>46042.600155011576</v>
      </c>
      <c r="M322" s="67"/>
      <c r="N322" s="10"/>
    </row>
    <row r="323" spans="1:14" ht="100.2" customHeight="1" thickTop="1" thickBot="1">
      <c r="A323" s="76">
        <v>321</v>
      </c>
      <c r="B323" s="7">
        <v>46044.518473472199</v>
      </c>
      <c r="C323" s="8" t="s">
        <v>36</v>
      </c>
      <c r="D323" s="10" t="s">
        <v>759</v>
      </c>
      <c r="E323" s="10" t="s">
        <v>38</v>
      </c>
      <c r="F323" s="89" t="s">
        <v>193</v>
      </c>
      <c r="G323" s="10" t="s">
        <v>1118</v>
      </c>
      <c r="H323" s="75" t="s">
        <v>1119</v>
      </c>
      <c r="I323" s="10"/>
      <c r="J323" s="70" t="s">
        <v>15</v>
      </c>
      <c r="K323" s="71" t="s">
        <v>14</v>
      </c>
      <c r="L323" s="7">
        <v>46044.541672210646</v>
      </c>
      <c r="M323" s="67"/>
      <c r="N323" s="73"/>
    </row>
    <row r="324" spans="1:14" ht="100.2" customHeight="1" thickTop="1" thickBot="1">
      <c r="A324" s="10">
        <v>322</v>
      </c>
      <c r="B324" s="7">
        <v>46046.408313854103</v>
      </c>
      <c r="C324" s="8" t="s">
        <v>36</v>
      </c>
      <c r="D324" s="10" t="s">
        <v>759</v>
      </c>
      <c r="E324" s="10" t="s">
        <v>38</v>
      </c>
      <c r="F324" s="89" t="s">
        <v>102</v>
      </c>
      <c r="G324" s="10" t="s">
        <v>769</v>
      </c>
      <c r="H324" s="75" t="s">
        <v>1120</v>
      </c>
      <c r="I324" s="10"/>
      <c r="J324" s="70" t="s">
        <v>15</v>
      </c>
      <c r="K324" s="71" t="s">
        <v>14</v>
      </c>
      <c r="L324" s="7">
        <v>46046.584277638889</v>
      </c>
      <c r="M324" s="67"/>
      <c r="N324" s="73"/>
    </row>
    <row r="325" spans="1:14" ht="100.2" customHeight="1" thickTop="1" thickBot="1">
      <c r="A325" s="76">
        <v>323</v>
      </c>
      <c r="B325" s="7">
        <v>46046.575852870301</v>
      </c>
      <c r="C325" s="8" t="s">
        <v>36</v>
      </c>
      <c r="D325" s="10" t="s">
        <v>759</v>
      </c>
      <c r="E325" s="10" t="s">
        <v>38</v>
      </c>
      <c r="F325" s="89" t="s">
        <v>78</v>
      </c>
      <c r="G325" s="10" t="s">
        <v>115</v>
      </c>
      <c r="H325" s="75" t="s">
        <v>1121</v>
      </c>
      <c r="I325" s="10"/>
      <c r="J325" s="70" t="s">
        <v>15</v>
      </c>
      <c r="K325" s="71" t="s">
        <v>14</v>
      </c>
      <c r="L325" s="7">
        <v>46047.32241054398</v>
      </c>
      <c r="M325" s="67"/>
      <c r="N325" s="73"/>
    </row>
    <row r="326" spans="1:14" ht="100.2" customHeight="1" thickTop="1" thickBot="1">
      <c r="A326" s="10">
        <v>324</v>
      </c>
      <c r="B326" s="7">
        <v>46046.576196886497</v>
      </c>
      <c r="C326" s="8" t="s">
        <v>36</v>
      </c>
      <c r="D326" s="10" t="s">
        <v>759</v>
      </c>
      <c r="E326" s="10" t="s">
        <v>38</v>
      </c>
      <c r="F326" s="89" t="s">
        <v>53</v>
      </c>
      <c r="G326" s="10" t="s">
        <v>794</v>
      </c>
      <c r="H326" s="75" t="s">
        <v>1122</v>
      </c>
      <c r="I326" s="10"/>
      <c r="J326" s="70" t="s">
        <v>15</v>
      </c>
      <c r="K326" s="71" t="s">
        <v>14</v>
      </c>
      <c r="L326" s="7">
        <v>46048.309063020832</v>
      </c>
      <c r="M326" s="67"/>
      <c r="N326" s="73"/>
    </row>
    <row r="327" spans="1:14" ht="100.2" customHeight="1" thickTop="1" thickBot="1">
      <c r="A327" s="76">
        <v>325</v>
      </c>
      <c r="B327" s="7">
        <v>46047.328007349497</v>
      </c>
      <c r="C327" s="8" t="s">
        <v>36</v>
      </c>
      <c r="D327" s="10" t="s">
        <v>759</v>
      </c>
      <c r="E327" s="10" t="s">
        <v>38</v>
      </c>
      <c r="F327" s="89" t="s">
        <v>102</v>
      </c>
      <c r="G327" s="10" t="s">
        <v>115</v>
      </c>
      <c r="H327" s="75" t="s">
        <v>1123</v>
      </c>
      <c r="I327" s="10"/>
      <c r="J327" s="70" t="s">
        <v>15</v>
      </c>
      <c r="K327" s="71" t="s">
        <v>14</v>
      </c>
      <c r="L327" s="7">
        <v>46047.346058206022</v>
      </c>
      <c r="M327" s="67"/>
      <c r="N327" s="73"/>
    </row>
    <row r="328" spans="1:14" ht="100.2" customHeight="1" thickTop="1" thickBot="1">
      <c r="A328" s="10">
        <v>326</v>
      </c>
      <c r="B328" s="7">
        <v>46047.3372011342</v>
      </c>
      <c r="C328" s="8" t="s">
        <v>36</v>
      </c>
      <c r="D328" s="10" t="s">
        <v>431</v>
      </c>
      <c r="E328" s="10" t="s">
        <v>43</v>
      </c>
      <c r="F328" s="89" t="s">
        <v>58</v>
      </c>
      <c r="G328" s="10" t="s">
        <v>780</v>
      </c>
      <c r="H328" s="75" t="s">
        <v>1124</v>
      </c>
      <c r="I328" s="10"/>
      <c r="J328" s="70" t="s">
        <v>15</v>
      </c>
      <c r="K328" s="71" t="s">
        <v>14</v>
      </c>
      <c r="L328" s="7">
        <v>46047.346064675927</v>
      </c>
      <c r="M328" s="67"/>
      <c r="N328" s="73"/>
    </row>
    <row r="329" spans="1:14" ht="100.2" customHeight="1" thickTop="1" thickBot="1">
      <c r="A329" s="76">
        <v>327</v>
      </c>
      <c r="B329" s="7">
        <v>46047.337524027702</v>
      </c>
      <c r="C329" s="8" t="s">
        <v>36</v>
      </c>
      <c r="D329" s="10" t="s">
        <v>251</v>
      </c>
      <c r="E329" s="10" t="s">
        <v>43</v>
      </c>
      <c r="F329" s="89" t="s">
        <v>48</v>
      </c>
      <c r="G329" s="10" t="s">
        <v>782</v>
      </c>
      <c r="H329" s="75" t="s">
        <v>1124</v>
      </c>
      <c r="I329" s="10"/>
      <c r="J329" s="70" t="s">
        <v>15</v>
      </c>
      <c r="K329" s="71" t="s">
        <v>14</v>
      </c>
      <c r="L329" s="7">
        <v>46047.346086157406</v>
      </c>
      <c r="M329" s="67"/>
      <c r="N329" s="73"/>
    </row>
    <row r="330" spans="1:14" ht="100.2" customHeight="1" thickTop="1" thickBot="1">
      <c r="A330" s="10">
        <v>328</v>
      </c>
      <c r="B330" s="7">
        <v>46047.337877835598</v>
      </c>
      <c r="C330" s="8" t="s">
        <v>36</v>
      </c>
      <c r="D330" s="10" t="s">
        <v>251</v>
      </c>
      <c r="E330" s="10" t="s">
        <v>43</v>
      </c>
      <c r="F330" s="89" t="s">
        <v>193</v>
      </c>
      <c r="G330" s="10" t="s">
        <v>782</v>
      </c>
      <c r="H330" s="75" t="s">
        <v>1124</v>
      </c>
      <c r="I330" s="10"/>
      <c r="J330" s="70" t="s">
        <v>15</v>
      </c>
      <c r="K330" s="71" t="s">
        <v>14</v>
      </c>
      <c r="L330" s="7">
        <v>46047.346103900461</v>
      </c>
      <c r="M330" s="67"/>
      <c r="N330" s="73"/>
    </row>
    <row r="331" spans="1:14" ht="100.2" customHeight="1" thickTop="1" thickBot="1">
      <c r="A331" s="76">
        <v>329</v>
      </c>
      <c r="B331" s="7">
        <v>46047.338244745297</v>
      </c>
      <c r="C331" s="8" t="s">
        <v>36</v>
      </c>
      <c r="D331" s="10" t="s">
        <v>251</v>
      </c>
      <c r="E331" s="10" t="s">
        <v>43</v>
      </c>
      <c r="F331" s="89" t="s">
        <v>53</v>
      </c>
      <c r="G331" s="10" t="s">
        <v>783</v>
      </c>
      <c r="H331" s="75" t="s">
        <v>1124</v>
      </c>
      <c r="I331" s="10"/>
      <c r="J331" s="70" t="s">
        <v>15</v>
      </c>
      <c r="K331" s="71" t="s">
        <v>14</v>
      </c>
      <c r="L331" s="7">
        <v>46047.346120682865</v>
      </c>
      <c r="M331" s="67"/>
      <c r="N331" s="73"/>
    </row>
    <row r="332" spans="1:14" ht="100.2" customHeight="1" thickTop="1" thickBot="1">
      <c r="A332" s="10">
        <v>330</v>
      </c>
      <c r="B332" s="7">
        <v>46047.338574097201</v>
      </c>
      <c r="C332" s="8" t="s">
        <v>36</v>
      </c>
      <c r="D332" s="10" t="s">
        <v>251</v>
      </c>
      <c r="E332" s="10" t="s">
        <v>43</v>
      </c>
      <c r="F332" s="89" t="s">
        <v>78</v>
      </c>
      <c r="G332" s="10" t="s">
        <v>783</v>
      </c>
      <c r="H332" s="75" t="s">
        <v>1124</v>
      </c>
      <c r="I332" s="10"/>
      <c r="J332" s="70" t="s">
        <v>15</v>
      </c>
      <c r="K332" s="71" t="s">
        <v>14</v>
      </c>
      <c r="L332" s="7">
        <v>46047.346150555561</v>
      </c>
      <c r="M332" s="67"/>
      <c r="N332" s="73"/>
    </row>
    <row r="333" spans="1:14" ht="100.2" customHeight="1" thickTop="1" thickBot="1">
      <c r="A333" s="76">
        <v>331</v>
      </c>
      <c r="B333" s="7">
        <v>46047.3389715046</v>
      </c>
      <c r="C333" s="8" t="s">
        <v>36</v>
      </c>
      <c r="D333" s="10" t="s">
        <v>251</v>
      </c>
      <c r="E333" s="10" t="s">
        <v>43</v>
      </c>
      <c r="F333" s="89" t="s">
        <v>212</v>
      </c>
      <c r="G333" s="10" t="s">
        <v>783</v>
      </c>
      <c r="H333" s="75" t="s">
        <v>1124</v>
      </c>
      <c r="I333" s="10"/>
      <c r="J333" s="70" t="s">
        <v>15</v>
      </c>
      <c r="K333" s="71" t="s">
        <v>14</v>
      </c>
      <c r="L333" s="7">
        <v>46047.346168923614</v>
      </c>
      <c r="M333" s="67"/>
      <c r="N333" s="73"/>
    </row>
    <row r="334" spans="1:14" ht="100.2" customHeight="1" thickTop="1" thickBot="1">
      <c r="A334" s="10">
        <v>332</v>
      </c>
      <c r="B334" s="7">
        <v>46047.339331388801</v>
      </c>
      <c r="C334" s="8" t="s">
        <v>36</v>
      </c>
      <c r="D334" s="10" t="s">
        <v>251</v>
      </c>
      <c r="E334" s="10" t="s">
        <v>43</v>
      </c>
      <c r="F334" s="89" t="s">
        <v>39</v>
      </c>
      <c r="G334" s="10" t="s">
        <v>783</v>
      </c>
      <c r="H334" s="75" t="s">
        <v>1124</v>
      </c>
      <c r="I334" s="10"/>
      <c r="J334" s="70" t="s">
        <v>15</v>
      </c>
      <c r="K334" s="71" t="s">
        <v>14</v>
      </c>
      <c r="L334" s="7">
        <v>46047.346192824072</v>
      </c>
      <c r="M334" s="67"/>
      <c r="N334" s="73"/>
    </row>
    <row r="335" spans="1:14" ht="100.2" customHeight="1" thickTop="1" thickBot="1">
      <c r="A335" s="76">
        <v>333</v>
      </c>
      <c r="B335" s="7">
        <v>46047.339774247601</v>
      </c>
      <c r="C335" s="8" t="s">
        <v>36</v>
      </c>
      <c r="D335" s="10" t="s">
        <v>431</v>
      </c>
      <c r="E335" s="10" t="s">
        <v>43</v>
      </c>
      <c r="F335" s="89" t="s">
        <v>102</v>
      </c>
      <c r="G335" s="10" t="s">
        <v>783</v>
      </c>
      <c r="H335" s="75" t="s">
        <v>1124</v>
      </c>
      <c r="I335" s="10"/>
      <c r="J335" s="70" t="s">
        <v>15</v>
      </c>
      <c r="K335" s="71" t="s">
        <v>14</v>
      </c>
      <c r="L335" s="7">
        <v>46047.346203437497</v>
      </c>
      <c r="M335" s="67"/>
      <c r="N335" s="73"/>
    </row>
    <row r="336" spans="1:14" ht="100.2" customHeight="1" thickTop="1" thickBot="1">
      <c r="A336" s="10">
        <v>334</v>
      </c>
      <c r="B336" s="7">
        <v>46047.340178159699</v>
      </c>
      <c r="C336" s="8" t="s">
        <v>36</v>
      </c>
      <c r="D336" s="10" t="s">
        <v>431</v>
      </c>
      <c r="E336" s="10" t="s">
        <v>43</v>
      </c>
      <c r="F336" s="89" t="s">
        <v>148</v>
      </c>
      <c r="G336" s="10" t="s">
        <v>783</v>
      </c>
      <c r="H336" s="75" t="s">
        <v>1124</v>
      </c>
      <c r="I336" s="10"/>
      <c r="J336" s="70" t="s">
        <v>15</v>
      </c>
      <c r="K336" s="71" t="s">
        <v>14</v>
      </c>
      <c r="L336" s="7">
        <v>46047.34622900463</v>
      </c>
      <c r="M336" s="67"/>
      <c r="N336" s="73"/>
    </row>
    <row r="337" spans="1:14" ht="100.2" customHeight="1" thickTop="1" thickBot="1">
      <c r="A337" s="76">
        <v>335</v>
      </c>
      <c r="B337" s="7">
        <v>46047.340505856402</v>
      </c>
      <c r="C337" s="8" t="s">
        <v>36</v>
      </c>
      <c r="D337" s="10" t="s">
        <v>251</v>
      </c>
      <c r="E337" s="10" t="s">
        <v>43</v>
      </c>
      <c r="F337" s="89" t="s">
        <v>774</v>
      </c>
      <c r="G337" s="10" t="s">
        <v>783</v>
      </c>
      <c r="H337" s="75" t="s">
        <v>1124</v>
      </c>
      <c r="I337" s="10"/>
      <c r="J337" s="70" t="s">
        <v>15</v>
      </c>
      <c r="K337" s="71" t="s">
        <v>14</v>
      </c>
      <c r="L337" s="7">
        <v>46047.346257048615</v>
      </c>
      <c r="M337" s="67"/>
      <c r="N337" s="73"/>
    </row>
    <row r="338" spans="1:14" ht="100.2" customHeight="1" thickTop="1" thickBot="1">
      <c r="A338" s="10">
        <v>336</v>
      </c>
      <c r="B338" s="7">
        <v>46047.549163668897</v>
      </c>
      <c r="C338" s="8" t="s">
        <v>36</v>
      </c>
      <c r="D338" s="10" t="s">
        <v>759</v>
      </c>
      <c r="E338" s="10" t="s">
        <v>38</v>
      </c>
      <c r="F338" s="89" t="s">
        <v>212</v>
      </c>
      <c r="G338" s="10" t="s">
        <v>329</v>
      </c>
      <c r="H338" s="75" t="s">
        <v>1119</v>
      </c>
      <c r="I338" s="10"/>
      <c r="J338" s="70" t="s">
        <v>15</v>
      </c>
      <c r="K338" s="71" t="s">
        <v>14</v>
      </c>
      <c r="L338" s="7">
        <v>46048.308754108795</v>
      </c>
      <c r="M338" s="67"/>
      <c r="N338" s="73"/>
    </row>
    <row r="339" spans="1:14" ht="100.2" customHeight="1" thickTop="1" thickBot="1">
      <c r="A339" s="76">
        <v>337</v>
      </c>
      <c r="B339" s="7">
        <v>46048.3787790856</v>
      </c>
      <c r="C339" s="8" t="s">
        <v>36</v>
      </c>
      <c r="D339" s="10" t="s">
        <v>759</v>
      </c>
      <c r="E339" s="10" t="s">
        <v>38</v>
      </c>
      <c r="F339" s="89" t="s">
        <v>48</v>
      </c>
      <c r="G339" s="10" t="s">
        <v>769</v>
      </c>
      <c r="H339" s="75" t="s">
        <v>1125</v>
      </c>
      <c r="I339" s="10"/>
      <c r="J339" s="70" t="s">
        <v>15</v>
      </c>
      <c r="K339" s="71" t="s">
        <v>14</v>
      </c>
      <c r="L339" s="7">
        <v>46048.736277048607</v>
      </c>
      <c r="M339" s="67"/>
      <c r="N339" s="73"/>
    </row>
    <row r="340" spans="1:14" ht="100.2" customHeight="1" thickTop="1" thickBot="1">
      <c r="A340" s="10">
        <v>338</v>
      </c>
      <c r="B340" s="7">
        <v>46049.4733893171</v>
      </c>
      <c r="C340" s="8" t="s">
        <v>36</v>
      </c>
      <c r="D340" s="10" t="s">
        <v>759</v>
      </c>
      <c r="E340" s="10" t="s">
        <v>38</v>
      </c>
      <c r="F340" s="89" t="s">
        <v>58</v>
      </c>
      <c r="G340" s="10" t="s">
        <v>329</v>
      </c>
      <c r="H340" s="75" t="s">
        <v>1119</v>
      </c>
      <c r="I340" s="10"/>
      <c r="J340" s="70" t="s">
        <v>15</v>
      </c>
      <c r="K340" s="71" t="s">
        <v>14</v>
      </c>
      <c r="L340" s="7">
        <v>46049.500017430561</v>
      </c>
      <c r="M340" s="67"/>
      <c r="N340" s="73"/>
    </row>
    <row r="341" spans="1:14" ht="100.2" customHeight="1" thickTop="1" thickBot="1">
      <c r="A341" s="76">
        <v>339</v>
      </c>
      <c r="B341" s="7">
        <v>46051.3335320486</v>
      </c>
      <c r="C341" s="8" t="s">
        <v>36</v>
      </c>
      <c r="D341" s="10" t="s">
        <v>759</v>
      </c>
      <c r="E341" s="10" t="s">
        <v>38</v>
      </c>
      <c r="F341" s="89" t="s">
        <v>102</v>
      </c>
      <c r="G341" s="10" t="s">
        <v>115</v>
      </c>
      <c r="H341" s="75" t="s">
        <v>1126</v>
      </c>
      <c r="I341" s="10"/>
      <c r="J341" s="70" t="s">
        <v>15</v>
      </c>
      <c r="K341" s="71" t="s">
        <v>14</v>
      </c>
      <c r="L341" s="7">
        <v>46051.345777789349</v>
      </c>
      <c r="M341" s="67"/>
      <c r="N341" s="73"/>
    </row>
    <row r="342" spans="1:14" ht="100.2" customHeight="1" thickTop="1" thickBot="1">
      <c r="A342" s="10">
        <v>340</v>
      </c>
      <c r="B342" s="7">
        <v>46051.380395138804</v>
      </c>
      <c r="C342" s="8" t="s">
        <v>36</v>
      </c>
      <c r="D342" s="10" t="s">
        <v>759</v>
      </c>
      <c r="E342" s="10" t="s">
        <v>43</v>
      </c>
      <c r="F342" s="89" t="s">
        <v>102</v>
      </c>
      <c r="G342" s="10" t="s">
        <v>803</v>
      </c>
      <c r="H342" s="75" t="s">
        <v>1127</v>
      </c>
      <c r="I342" s="10"/>
      <c r="J342" s="70" t="s">
        <v>15</v>
      </c>
      <c r="K342" s="71" t="s">
        <v>14</v>
      </c>
      <c r="L342" s="7">
        <v>46051.422696585651</v>
      </c>
      <c r="M342" s="67"/>
      <c r="N342" s="73"/>
    </row>
    <row r="343" spans="1:14" ht="100.2" customHeight="1" thickTop="1" thickBot="1">
      <c r="A343" s="76">
        <v>341</v>
      </c>
      <c r="B343" s="7">
        <v>46051.580661724503</v>
      </c>
      <c r="C343" s="8" t="s">
        <v>36</v>
      </c>
      <c r="D343" s="10" t="s">
        <v>251</v>
      </c>
      <c r="E343" s="10" t="s">
        <v>43</v>
      </c>
      <c r="F343" s="89" t="s">
        <v>39</v>
      </c>
      <c r="G343" s="10" t="s">
        <v>794</v>
      </c>
      <c r="H343" s="75" t="s">
        <v>1128</v>
      </c>
      <c r="I343" s="10"/>
      <c r="J343" s="70" t="s">
        <v>15</v>
      </c>
      <c r="K343" s="71" t="s">
        <v>14</v>
      </c>
      <c r="L343" s="7"/>
      <c r="M343" s="67"/>
      <c r="N343" s="73"/>
    </row>
    <row r="344" spans="1:14" ht="100.2" customHeight="1" thickTop="1" thickBot="1">
      <c r="A344" s="10">
        <v>342</v>
      </c>
      <c r="B344" s="7">
        <v>46051.5812883912</v>
      </c>
      <c r="C344" s="8" t="s">
        <v>36</v>
      </c>
      <c r="D344" s="10" t="s">
        <v>251</v>
      </c>
      <c r="E344" s="10" t="s">
        <v>43</v>
      </c>
      <c r="F344" s="89" t="s">
        <v>39</v>
      </c>
      <c r="G344" s="10" t="s">
        <v>159</v>
      </c>
      <c r="H344" s="75" t="s">
        <v>1129</v>
      </c>
      <c r="I344" s="10"/>
      <c r="J344" s="70" t="s">
        <v>15</v>
      </c>
      <c r="K344" s="71" t="s">
        <v>14</v>
      </c>
      <c r="L344" s="7"/>
      <c r="M344" s="67"/>
      <c r="N344" s="73"/>
    </row>
    <row r="345" spans="1:14" ht="100.2" customHeight="1" thickTop="1" thickBot="1">
      <c r="A345" s="76">
        <v>343</v>
      </c>
      <c r="B345" s="7">
        <v>46051.582122187399</v>
      </c>
      <c r="C345" s="8" t="s">
        <v>36</v>
      </c>
      <c r="D345" s="10" t="s">
        <v>251</v>
      </c>
      <c r="E345" s="10" t="s">
        <v>43</v>
      </c>
      <c r="F345" s="89" t="s">
        <v>58</v>
      </c>
      <c r="G345" s="10" t="s">
        <v>115</v>
      </c>
      <c r="H345" s="75" t="s">
        <v>1130</v>
      </c>
      <c r="I345" s="10"/>
      <c r="J345" s="70" t="s">
        <v>15</v>
      </c>
      <c r="K345" s="71" t="s">
        <v>14</v>
      </c>
      <c r="L345" s="7"/>
      <c r="M345" s="67"/>
      <c r="N345" s="73"/>
    </row>
    <row r="346" spans="1:14" ht="100.2" customHeight="1" thickTop="1" thickBot="1">
      <c r="A346" s="10">
        <v>344</v>
      </c>
      <c r="B346" s="7">
        <v>46051.583321898099</v>
      </c>
      <c r="C346" s="8" t="s">
        <v>36</v>
      </c>
      <c r="D346" s="10" t="s">
        <v>251</v>
      </c>
      <c r="E346" s="10" t="s">
        <v>43</v>
      </c>
      <c r="F346" s="89" t="s">
        <v>58</v>
      </c>
      <c r="G346" s="10" t="s">
        <v>329</v>
      </c>
      <c r="H346" s="75" t="s">
        <v>1131</v>
      </c>
      <c r="I346" s="10"/>
      <c r="J346" s="70" t="s">
        <v>15</v>
      </c>
      <c r="K346" s="71" t="s">
        <v>14</v>
      </c>
      <c r="L346" s="7"/>
      <c r="M346" s="67"/>
      <c r="N346" s="73"/>
    </row>
    <row r="347" spans="1:14" ht="100.2" customHeight="1" thickTop="1" thickBot="1">
      <c r="A347" s="76">
        <v>345</v>
      </c>
      <c r="B347" s="7">
        <v>46051.583699872601</v>
      </c>
      <c r="C347" s="8" t="s">
        <v>36</v>
      </c>
      <c r="D347" s="10" t="s">
        <v>251</v>
      </c>
      <c r="E347" s="10" t="s">
        <v>43</v>
      </c>
      <c r="F347" s="89" t="s">
        <v>58</v>
      </c>
      <c r="G347" s="10" t="s">
        <v>329</v>
      </c>
      <c r="H347" s="75" t="s">
        <v>1132</v>
      </c>
      <c r="I347" s="10"/>
      <c r="J347" s="70" t="s">
        <v>15</v>
      </c>
      <c r="K347" s="71" t="s">
        <v>14</v>
      </c>
      <c r="L347" s="7"/>
      <c r="M347" s="67"/>
      <c r="N347" s="73"/>
    </row>
    <row r="348" spans="1:14" ht="100.2" customHeight="1" thickTop="1" thickBot="1">
      <c r="A348" s="10">
        <v>346</v>
      </c>
      <c r="B348" s="7">
        <v>46051.5842800463</v>
      </c>
      <c r="C348" s="8" t="s">
        <v>36</v>
      </c>
      <c r="D348" s="10" t="s">
        <v>251</v>
      </c>
      <c r="E348" s="10" t="s">
        <v>43</v>
      </c>
      <c r="F348" s="89" t="s">
        <v>58</v>
      </c>
      <c r="G348" s="10" t="s">
        <v>229</v>
      </c>
      <c r="H348" s="75" t="s">
        <v>1133</v>
      </c>
      <c r="I348" s="10"/>
      <c r="J348" s="70" t="s">
        <v>15</v>
      </c>
      <c r="K348" s="71" t="s">
        <v>14</v>
      </c>
      <c r="L348" s="7"/>
      <c r="M348" s="67"/>
      <c r="N348" s="73"/>
    </row>
    <row r="349" spans="1:14" ht="100.2" customHeight="1" thickTop="1" thickBot="1">
      <c r="A349" s="76">
        <v>347</v>
      </c>
      <c r="B349" s="7">
        <v>46051.584737453697</v>
      </c>
      <c r="C349" s="8" t="s">
        <v>36</v>
      </c>
      <c r="D349" s="10" t="s">
        <v>251</v>
      </c>
      <c r="E349" s="10" t="s">
        <v>43</v>
      </c>
      <c r="F349" s="89" t="s">
        <v>53</v>
      </c>
      <c r="G349" s="10" t="s">
        <v>957</v>
      </c>
      <c r="H349" s="75" t="s">
        <v>1134</v>
      </c>
      <c r="I349" s="10"/>
      <c r="J349" s="70" t="s">
        <v>15</v>
      </c>
      <c r="K349" s="71" t="s">
        <v>14</v>
      </c>
      <c r="L349" s="7"/>
      <c r="M349" s="67"/>
      <c r="N349" s="73"/>
    </row>
    <row r="350" spans="1:14" ht="100.2" customHeight="1" thickTop="1" thickBot="1">
      <c r="A350" s="10">
        <v>348</v>
      </c>
      <c r="B350" s="7">
        <v>46051.585207361102</v>
      </c>
      <c r="C350" s="8" t="s">
        <v>36</v>
      </c>
      <c r="D350" s="10" t="s">
        <v>251</v>
      </c>
      <c r="E350" s="10" t="s">
        <v>43</v>
      </c>
      <c r="F350" s="89" t="s">
        <v>790</v>
      </c>
      <c r="G350" s="10" t="s">
        <v>159</v>
      </c>
      <c r="H350" s="75" t="s">
        <v>1135</v>
      </c>
      <c r="I350" s="10"/>
      <c r="J350" s="70" t="s">
        <v>15</v>
      </c>
      <c r="K350" s="71" t="s">
        <v>14</v>
      </c>
      <c r="L350" s="7"/>
      <c r="M350" s="67"/>
      <c r="N350" s="73"/>
    </row>
    <row r="351" spans="1:14" ht="100.2" customHeight="1" thickTop="1" thickBot="1">
      <c r="A351" s="76">
        <v>349</v>
      </c>
      <c r="B351" s="7">
        <v>46051.585469224498</v>
      </c>
      <c r="C351" s="8" t="s">
        <v>36</v>
      </c>
      <c r="D351" s="10" t="s">
        <v>251</v>
      </c>
      <c r="E351" s="10" t="s">
        <v>43</v>
      </c>
      <c r="F351" s="89" t="s">
        <v>339</v>
      </c>
      <c r="G351" s="10" t="s">
        <v>159</v>
      </c>
      <c r="H351" s="75" t="s">
        <v>1135</v>
      </c>
      <c r="I351" s="10"/>
      <c r="J351" s="70" t="s">
        <v>15</v>
      </c>
      <c r="K351" s="71" t="s">
        <v>14</v>
      </c>
      <c r="L351" s="7"/>
      <c r="M351" s="67"/>
      <c r="N351" s="73"/>
    </row>
    <row r="352" spans="1:14" ht="100.2" customHeight="1" thickTop="1" thickBot="1">
      <c r="A352" s="10">
        <v>350</v>
      </c>
      <c r="B352" s="7">
        <v>46051.585716168898</v>
      </c>
      <c r="C352" s="8" t="s">
        <v>36</v>
      </c>
      <c r="D352" s="10" t="s">
        <v>251</v>
      </c>
      <c r="E352" s="10" t="s">
        <v>43</v>
      </c>
      <c r="F352" s="89" t="s">
        <v>791</v>
      </c>
      <c r="G352" s="10" t="s">
        <v>159</v>
      </c>
      <c r="H352" s="75" t="s">
        <v>1135</v>
      </c>
      <c r="I352" s="10"/>
      <c r="J352" s="70" t="s">
        <v>15</v>
      </c>
      <c r="K352" s="71" t="s">
        <v>14</v>
      </c>
      <c r="L352" s="7"/>
      <c r="M352" s="67"/>
      <c r="N352" s="73"/>
    </row>
    <row r="353" spans="1:14" ht="100.2" customHeight="1" thickTop="1" thickBot="1">
      <c r="A353" s="76">
        <v>351</v>
      </c>
      <c r="B353" s="7">
        <v>46051.585976770803</v>
      </c>
      <c r="C353" s="8" t="s">
        <v>36</v>
      </c>
      <c r="D353" s="10" t="s">
        <v>251</v>
      </c>
      <c r="E353" s="10" t="s">
        <v>43</v>
      </c>
      <c r="F353" s="89" t="s">
        <v>792</v>
      </c>
      <c r="G353" s="10" t="s">
        <v>159</v>
      </c>
      <c r="H353" s="75" t="s">
        <v>1135</v>
      </c>
      <c r="I353" s="10"/>
      <c r="J353" s="70" t="s">
        <v>15</v>
      </c>
      <c r="K353" s="71" t="s">
        <v>14</v>
      </c>
      <c r="L353" s="7"/>
      <c r="M353" s="67"/>
      <c r="N353" s="73"/>
    </row>
    <row r="354" spans="1:14" ht="100.2" customHeight="1" thickTop="1" thickBot="1">
      <c r="A354" s="10">
        <v>352</v>
      </c>
      <c r="B354" s="7">
        <v>46051.586271400403</v>
      </c>
      <c r="C354" s="8" t="s">
        <v>36</v>
      </c>
      <c r="D354" s="10" t="s">
        <v>251</v>
      </c>
      <c r="E354" s="10" t="s">
        <v>43</v>
      </c>
      <c r="F354" s="89" t="s">
        <v>774</v>
      </c>
      <c r="G354" s="10" t="s">
        <v>159</v>
      </c>
      <c r="H354" s="75" t="s">
        <v>1135</v>
      </c>
      <c r="I354" s="10"/>
      <c r="J354" s="70" t="s">
        <v>15</v>
      </c>
      <c r="K354" s="71" t="s">
        <v>14</v>
      </c>
      <c r="L354" s="7"/>
      <c r="M354" s="67"/>
      <c r="N354" s="73"/>
    </row>
    <row r="355" spans="1:14" ht="100.2" customHeight="1" thickTop="1" thickBot="1">
      <c r="A355" s="76">
        <v>353</v>
      </c>
      <c r="B355" s="7">
        <v>46051.586885856399</v>
      </c>
      <c r="C355" s="8" t="s">
        <v>36</v>
      </c>
      <c r="D355" s="10" t="s">
        <v>251</v>
      </c>
      <c r="E355" s="10" t="s">
        <v>43</v>
      </c>
      <c r="F355" s="89" t="s">
        <v>1136</v>
      </c>
      <c r="G355" s="10" t="s">
        <v>159</v>
      </c>
      <c r="H355" s="75" t="s">
        <v>1137</v>
      </c>
      <c r="I355" s="10"/>
      <c r="J355" s="70" t="s">
        <v>15</v>
      </c>
      <c r="K355" s="71" t="s">
        <v>14</v>
      </c>
      <c r="L355" s="7"/>
      <c r="M355" s="67"/>
      <c r="N355" s="73"/>
    </row>
    <row r="356" spans="1:14" ht="100.2" customHeight="1" thickTop="1" thickBot="1">
      <c r="A356" s="10">
        <v>354</v>
      </c>
      <c r="B356" s="7">
        <v>46051.587611180497</v>
      </c>
      <c r="C356" s="8" t="s">
        <v>36</v>
      </c>
      <c r="D356" s="10" t="s">
        <v>251</v>
      </c>
      <c r="E356" s="10" t="s">
        <v>43</v>
      </c>
      <c r="F356" s="89" t="s">
        <v>1138</v>
      </c>
      <c r="G356" s="10" t="s">
        <v>159</v>
      </c>
      <c r="H356" s="75" t="s">
        <v>1139</v>
      </c>
      <c r="I356" s="10"/>
      <c r="J356" s="70" t="s">
        <v>15</v>
      </c>
      <c r="K356" s="71" t="s">
        <v>14</v>
      </c>
      <c r="L356" s="7"/>
      <c r="M356" s="67"/>
      <c r="N356" s="73"/>
    </row>
    <row r="357" spans="1:14" ht="100.2" customHeight="1" thickTop="1" thickBot="1">
      <c r="A357" s="76">
        <v>355</v>
      </c>
      <c r="B357" s="7">
        <v>46051.588254212897</v>
      </c>
      <c r="C357" s="8" t="s">
        <v>36</v>
      </c>
      <c r="D357" s="10" t="s">
        <v>251</v>
      </c>
      <c r="E357" s="10" t="s">
        <v>43</v>
      </c>
      <c r="F357" s="89" t="s">
        <v>1138</v>
      </c>
      <c r="G357" s="10" t="s">
        <v>159</v>
      </c>
      <c r="H357" s="75" t="s">
        <v>1140</v>
      </c>
      <c r="I357" s="10"/>
      <c r="J357" s="70" t="s">
        <v>15</v>
      </c>
      <c r="K357" s="71" t="s">
        <v>14</v>
      </c>
      <c r="L357" s="7"/>
      <c r="M357" s="67"/>
      <c r="N357" s="73"/>
    </row>
    <row r="358" spans="1:14" ht="100.2" customHeight="1" thickTop="1" thickBot="1">
      <c r="A358" s="10">
        <v>356</v>
      </c>
      <c r="B358" s="7">
        <v>46051.588789236099</v>
      </c>
      <c r="C358" s="8" t="s">
        <v>36</v>
      </c>
      <c r="D358" s="10" t="s">
        <v>251</v>
      </c>
      <c r="E358" s="10" t="s">
        <v>43</v>
      </c>
      <c r="F358" s="89" t="s">
        <v>790</v>
      </c>
      <c r="G358" s="10" t="s">
        <v>325</v>
      </c>
      <c r="H358" s="75" t="s">
        <v>1141</v>
      </c>
      <c r="I358" s="10"/>
      <c r="J358" s="70" t="s">
        <v>15</v>
      </c>
      <c r="K358" s="71" t="s">
        <v>14</v>
      </c>
      <c r="L358" s="7">
        <v>46051.589697731484</v>
      </c>
      <c r="M358" s="67"/>
      <c r="N358" s="73"/>
    </row>
    <row r="359" spans="1:14" ht="100.2" customHeight="1" thickTop="1" thickBot="1">
      <c r="A359" s="76">
        <v>357</v>
      </c>
      <c r="B359" s="7">
        <v>46023.421961238397</v>
      </c>
      <c r="C359" s="8" t="s">
        <v>70</v>
      </c>
      <c r="D359" s="10" t="s">
        <v>203</v>
      </c>
      <c r="E359" s="10" t="s">
        <v>43</v>
      </c>
      <c r="F359" s="89" t="s">
        <v>167</v>
      </c>
      <c r="G359" s="10" t="s">
        <v>442</v>
      </c>
      <c r="H359" s="75" t="s">
        <v>1155</v>
      </c>
      <c r="I359" s="10"/>
      <c r="J359" s="70" t="s">
        <v>13</v>
      </c>
      <c r="K359" s="71" t="s">
        <v>14</v>
      </c>
      <c r="L359" s="7">
        <v>46023.569167488429</v>
      </c>
      <c r="M359" s="67"/>
    </row>
    <row r="360" spans="1:14" ht="100.2" customHeight="1" thickTop="1" thickBot="1">
      <c r="A360" s="10">
        <v>358</v>
      </c>
      <c r="B360" s="7">
        <v>46023.4705130902</v>
      </c>
      <c r="C360" s="8" t="s">
        <v>70</v>
      </c>
      <c r="D360" s="10" t="s">
        <v>203</v>
      </c>
      <c r="E360" s="10" t="s">
        <v>43</v>
      </c>
      <c r="F360" s="89" t="s">
        <v>167</v>
      </c>
      <c r="G360" s="10" t="s">
        <v>138</v>
      </c>
      <c r="H360" s="75" t="s">
        <v>1156</v>
      </c>
      <c r="I360" s="10"/>
      <c r="J360" s="70" t="s">
        <v>13</v>
      </c>
      <c r="K360" s="71" t="s">
        <v>14</v>
      </c>
      <c r="L360" s="7">
        <v>46023.470667106478</v>
      </c>
      <c r="M360" s="67"/>
    </row>
    <row r="361" spans="1:14" ht="100.2" customHeight="1" thickTop="1" thickBot="1">
      <c r="A361" s="76">
        <v>359</v>
      </c>
      <c r="B361" s="7">
        <v>46023.4715423495</v>
      </c>
      <c r="C361" s="8" t="s">
        <v>70</v>
      </c>
      <c r="D361" s="10" t="s">
        <v>203</v>
      </c>
      <c r="E361" s="10" t="s">
        <v>43</v>
      </c>
      <c r="F361" s="89" t="s">
        <v>152</v>
      </c>
      <c r="G361" s="10" t="s">
        <v>159</v>
      </c>
      <c r="H361" s="75" t="s">
        <v>1157</v>
      </c>
      <c r="I361" s="10"/>
      <c r="J361" s="70" t="s">
        <v>13</v>
      </c>
      <c r="K361" s="71" t="s">
        <v>14</v>
      </c>
      <c r="L361" s="7">
        <v>46023.471703506948</v>
      </c>
      <c r="M361" s="67"/>
    </row>
    <row r="362" spans="1:14" ht="100.2" customHeight="1" thickTop="1" thickBot="1">
      <c r="A362" s="10">
        <v>360</v>
      </c>
      <c r="B362" s="7">
        <v>46023.472642581</v>
      </c>
      <c r="C362" s="8" t="s">
        <v>70</v>
      </c>
      <c r="D362" s="10" t="s">
        <v>203</v>
      </c>
      <c r="E362" s="10" t="s">
        <v>43</v>
      </c>
      <c r="F362" s="89" t="s">
        <v>752</v>
      </c>
      <c r="G362" s="10" t="s">
        <v>1158</v>
      </c>
      <c r="H362" s="75" t="s">
        <v>1159</v>
      </c>
      <c r="I362" s="10"/>
      <c r="J362" s="70" t="s">
        <v>13</v>
      </c>
      <c r="K362" s="71" t="s">
        <v>14</v>
      </c>
      <c r="L362" s="7">
        <v>46023.472767604166</v>
      </c>
      <c r="M362" s="67"/>
    </row>
    <row r="363" spans="1:14" ht="100.2" customHeight="1" thickTop="1" thickBot="1">
      <c r="A363" s="76">
        <v>361</v>
      </c>
      <c r="B363" s="7">
        <v>46025.587970393499</v>
      </c>
      <c r="C363" s="8" t="s">
        <v>70</v>
      </c>
      <c r="D363" s="10" t="s">
        <v>203</v>
      </c>
      <c r="E363" s="10" t="s">
        <v>43</v>
      </c>
      <c r="F363" s="89" t="s">
        <v>105</v>
      </c>
      <c r="G363" s="10" t="s">
        <v>138</v>
      </c>
      <c r="H363" s="75" t="s">
        <v>1160</v>
      </c>
      <c r="I363" s="10"/>
      <c r="J363" s="70" t="s">
        <v>13</v>
      </c>
      <c r="K363" s="71" t="s">
        <v>14</v>
      </c>
      <c r="L363" s="7">
        <v>46025.589262650465</v>
      </c>
      <c r="M363" s="67"/>
    </row>
    <row r="364" spans="1:14" ht="100.2" customHeight="1" thickTop="1" thickBot="1">
      <c r="A364" s="10">
        <v>362</v>
      </c>
      <c r="B364" s="7">
        <v>46025.5891306134</v>
      </c>
      <c r="C364" s="8" t="s">
        <v>70</v>
      </c>
      <c r="D364" s="10" t="s">
        <v>203</v>
      </c>
      <c r="E364" s="10" t="s">
        <v>43</v>
      </c>
      <c r="F364" s="89" t="s">
        <v>152</v>
      </c>
      <c r="G364" s="10" t="s">
        <v>138</v>
      </c>
      <c r="H364" s="75" t="s">
        <v>1161</v>
      </c>
      <c r="I364" s="10"/>
      <c r="J364" s="70" t="s">
        <v>13</v>
      </c>
      <c r="K364" s="71" t="s">
        <v>14</v>
      </c>
      <c r="L364" s="7">
        <v>46025.589317685182</v>
      </c>
      <c r="M364" s="67"/>
    </row>
    <row r="365" spans="1:14" ht="100.2" customHeight="1" thickTop="1" thickBot="1">
      <c r="A365" s="76">
        <v>363</v>
      </c>
      <c r="B365" s="7">
        <v>46025.590849594897</v>
      </c>
      <c r="C365" s="8" t="s">
        <v>70</v>
      </c>
      <c r="D365" s="10" t="s">
        <v>203</v>
      </c>
      <c r="E365" s="10" t="s">
        <v>43</v>
      </c>
      <c r="F365" s="89" t="s">
        <v>346</v>
      </c>
      <c r="G365" s="10" t="s">
        <v>159</v>
      </c>
      <c r="H365" s="75" t="s">
        <v>1162</v>
      </c>
      <c r="I365" s="10"/>
      <c r="J365" s="70" t="s">
        <v>13</v>
      </c>
      <c r="K365" s="71" t="s">
        <v>14</v>
      </c>
      <c r="L365" s="7">
        <v>46025.591271759258</v>
      </c>
      <c r="M365" s="67"/>
    </row>
    <row r="366" spans="1:14" ht="100.2" customHeight="1" thickTop="1" thickBot="1">
      <c r="A366" s="10">
        <v>364</v>
      </c>
      <c r="B366" s="7">
        <v>46026.4701982638</v>
      </c>
      <c r="C366" s="8" t="s">
        <v>70</v>
      </c>
      <c r="D366" s="10" t="s">
        <v>203</v>
      </c>
      <c r="E366" s="10" t="s">
        <v>43</v>
      </c>
      <c r="F366" s="89" t="s">
        <v>72</v>
      </c>
      <c r="G366" s="10" t="s">
        <v>66</v>
      </c>
      <c r="H366" s="75" t="s">
        <v>1163</v>
      </c>
      <c r="I366" s="10"/>
      <c r="J366" s="70" t="s">
        <v>13</v>
      </c>
      <c r="K366" s="71" t="s">
        <v>14</v>
      </c>
      <c r="L366" s="7">
        <v>46026.470339687497</v>
      </c>
      <c r="M366" s="67"/>
    </row>
    <row r="367" spans="1:14" ht="100.2" customHeight="1" thickTop="1" thickBot="1">
      <c r="A367" s="76">
        <v>365</v>
      </c>
      <c r="B367" s="7">
        <v>46026.563671319404</v>
      </c>
      <c r="C367" s="8" t="s">
        <v>70</v>
      </c>
      <c r="D367" s="10" t="s">
        <v>203</v>
      </c>
      <c r="E367" s="10" t="s">
        <v>43</v>
      </c>
      <c r="F367" s="89" t="s">
        <v>152</v>
      </c>
      <c r="G367" s="10" t="s">
        <v>66</v>
      </c>
      <c r="H367" s="75" t="s">
        <v>1164</v>
      </c>
      <c r="I367" s="10"/>
      <c r="J367" s="70" t="s">
        <v>13</v>
      </c>
      <c r="K367" s="71" t="s">
        <v>14</v>
      </c>
      <c r="L367" s="7">
        <v>46026.563828298611</v>
      </c>
      <c r="M367" s="67"/>
    </row>
    <row r="368" spans="1:14" ht="100.2" customHeight="1" thickTop="1" thickBot="1">
      <c r="A368" s="10">
        <v>366</v>
      </c>
      <c r="B368" s="7">
        <v>46026.564648657397</v>
      </c>
      <c r="C368" s="8" t="s">
        <v>70</v>
      </c>
      <c r="D368" s="10" t="s">
        <v>203</v>
      </c>
      <c r="E368" s="10" t="s">
        <v>43</v>
      </c>
      <c r="F368" s="89" t="s">
        <v>72</v>
      </c>
      <c r="G368" s="10" t="s">
        <v>173</v>
      </c>
      <c r="H368" s="75" t="s">
        <v>1165</v>
      </c>
      <c r="I368" s="10"/>
      <c r="J368" s="70" t="s">
        <v>13</v>
      </c>
      <c r="K368" s="71" t="s">
        <v>14</v>
      </c>
      <c r="L368" s="7">
        <v>46026.564782349538</v>
      </c>
      <c r="M368" s="67"/>
    </row>
    <row r="369" spans="1:13" ht="100.2" customHeight="1" thickTop="1" thickBot="1">
      <c r="A369" s="76">
        <v>367</v>
      </c>
      <c r="B369" s="7">
        <v>46027.342416458298</v>
      </c>
      <c r="C369" s="8" t="s">
        <v>70</v>
      </c>
      <c r="D369" s="10" t="s">
        <v>203</v>
      </c>
      <c r="E369" s="10" t="s">
        <v>43</v>
      </c>
      <c r="F369" s="89" t="s">
        <v>750</v>
      </c>
      <c r="G369" s="10" t="s">
        <v>66</v>
      </c>
      <c r="H369" s="75" t="s">
        <v>1166</v>
      </c>
      <c r="I369" s="10"/>
      <c r="J369" s="70" t="s">
        <v>13</v>
      </c>
      <c r="K369" s="71" t="s">
        <v>14</v>
      </c>
      <c r="L369" s="7">
        <v>46027.342607129627</v>
      </c>
      <c r="M369" s="67"/>
    </row>
    <row r="370" spans="1:13" ht="100.2" customHeight="1" thickTop="1" thickBot="1">
      <c r="A370" s="10">
        <v>368</v>
      </c>
      <c r="B370" s="7">
        <v>46029.419670335599</v>
      </c>
      <c r="C370" s="8" t="s">
        <v>70</v>
      </c>
      <c r="D370" s="10" t="s">
        <v>203</v>
      </c>
      <c r="E370" s="10" t="s">
        <v>43</v>
      </c>
      <c r="F370" s="89" t="s">
        <v>167</v>
      </c>
      <c r="G370" s="10" t="s">
        <v>159</v>
      </c>
      <c r="H370" s="75" t="s">
        <v>1167</v>
      </c>
      <c r="I370" s="10"/>
      <c r="J370" s="70" t="s">
        <v>13</v>
      </c>
      <c r="K370" s="71" t="s">
        <v>14</v>
      </c>
      <c r="L370" s="7">
        <v>46029.421661469911</v>
      </c>
      <c r="M370" s="67"/>
    </row>
    <row r="371" spans="1:13" ht="100.2" customHeight="1" thickTop="1" thickBot="1">
      <c r="A371" s="76">
        <v>369</v>
      </c>
      <c r="B371" s="7">
        <v>46029.422504502298</v>
      </c>
      <c r="C371" s="8" t="s">
        <v>70</v>
      </c>
      <c r="D371" s="10" t="s">
        <v>203</v>
      </c>
      <c r="E371" s="10" t="s">
        <v>43</v>
      </c>
      <c r="F371" s="89" t="s">
        <v>152</v>
      </c>
      <c r="G371" s="10" t="s">
        <v>159</v>
      </c>
      <c r="H371" s="75" t="s">
        <v>1168</v>
      </c>
      <c r="I371" s="10"/>
      <c r="J371" s="70" t="s">
        <v>13</v>
      </c>
      <c r="K371" s="71" t="s">
        <v>14</v>
      </c>
      <c r="L371" s="7">
        <v>46029.432110879628</v>
      </c>
      <c r="M371" s="67"/>
    </row>
    <row r="372" spans="1:13" ht="100.2" customHeight="1" thickTop="1" thickBot="1">
      <c r="A372" s="10">
        <v>370</v>
      </c>
      <c r="B372" s="7">
        <v>46029.423587384197</v>
      </c>
      <c r="C372" s="8" t="s">
        <v>70</v>
      </c>
      <c r="D372" s="10" t="s">
        <v>203</v>
      </c>
      <c r="E372" s="10" t="s">
        <v>43</v>
      </c>
      <c r="F372" s="89" t="s">
        <v>72</v>
      </c>
      <c r="G372" s="10" t="s">
        <v>66</v>
      </c>
      <c r="H372" s="75" t="s">
        <v>1169</v>
      </c>
      <c r="I372" s="10"/>
      <c r="J372" s="70" t="s">
        <v>13</v>
      </c>
      <c r="K372" s="71" t="s">
        <v>14</v>
      </c>
      <c r="L372" s="7">
        <v>46029.432182141201</v>
      </c>
      <c r="M372" s="67"/>
    </row>
    <row r="373" spans="1:13" ht="100.2" customHeight="1" thickTop="1" thickBot="1">
      <c r="A373" s="76">
        <v>371</v>
      </c>
      <c r="B373" s="7">
        <v>46030.417294166597</v>
      </c>
      <c r="C373" s="8" t="s">
        <v>70</v>
      </c>
      <c r="D373" s="10" t="s">
        <v>469</v>
      </c>
      <c r="E373" s="10" t="s">
        <v>38</v>
      </c>
      <c r="F373" s="89" t="s">
        <v>167</v>
      </c>
      <c r="G373" s="10" t="s">
        <v>107</v>
      </c>
      <c r="H373" s="75" t="s">
        <v>1170</v>
      </c>
      <c r="I373" s="10"/>
      <c r="J373" s="70" t="s">
        <v>13</v>
      </c>
      <c r="K373" s="71" t="s">
        <v>14</v>
      </c>
      <c r="L373" s="7">
        <v>46030.545517141203</v>
      </c>
      <c r="M373" s="67" t="s">
        <v>1171</v>
      </c>
    </row>
    <row r="374" spans="1:13" ht="100.2" customHeight="1" thickTop="1" thickBot="1">
      <c r="A374" s="10">
        <v>372</v>
      </c>
      <c r="B374" s="7">
        <v>46032.476783576298</v>
      </c>
      <c r="C374" s="8" t="s">
        <v>70</v>
      </c>
      <c r="D374" s="10" t="s">
        <v>203</v>
      </c>
      <c r="E374" s="10" t="s">
        <v>43</v>
      </c>
      <c r="F374" s="89" t="s">
        <v>346</v>
      </c>
      <c r="G374" s="10" t="s">
        <v>66</v>
      </c>
      <c r="H374" s="75" t="s">
        <v>1172</v>
      </c>
      <c r="I374" s="10"/>
      <c r="J374" s="70" t="s">
        <v>13</v>
      </c>
      <c r="K374" s="71" t="s">
        <v>14</v>
      </c>
      <c r="L374" s="7">
        <v>46032.518956990738</v>
      </c>
      <c r="M374" s="67"/>
    </row>
    <row r="375" spans="1:13" ht="100.2" customHeight="1" thickTop="1" thickBot="1">
      <c r="A375" s="76">
        <v>373</v>
      </c>
      <c r="B375" s="7">
        <v>46032.478318773101</v>
      </c>
      <c r="C375" s="8" t="s">
        <v>70</v>
      </c>
      <c r="D375" s="10" t="s">
        <v>203</v>
      </c>
      <c r="E375" s="10" t="s">
        <v>43</v>
      </c>
      <c r="F375" s="89" t="s">
        <v>72</v>
      </c>
      <c r="G375" s="10" t="s">
        <v>159</v>
      </c>
      <c r="H375" s="75" t="s">
        <v>1173</v>
      </c>
      <c r="I375" s="10"/>
      <c r="J375" s="70" t="s">
        <v>13</v>
      </c>
      <c r="K375" s="71" t="s">
        <v>14</v>
      </c>
      <c r="L375" s="7">
        <v>46032.51896833333</v>
      </c>
      <c r="M375" s="67"/>
    </row>
    <row r="376" spans="1:13" ht="100.2" customHeight="1" thickTop="1" thickBot="1">
      <c r="A376" s="10">
        <v>374</v>
      </c>
      <c r="B376" s="7">
        <v>46032.479071654998</v>
      </c>
      <c r="C376" s="8" t="s">
        <v>70</v>
      </c>
      <c r="D376" s="10" t="s">
        <v>203</v>
      </c>
      <c r="E376" s="10" t="s">
        <v>43</v>
      </c>
      <c r="F376" s="89" t="s">
        <v>756</v>
      </c>
      <c r="G376" s="10" t="s">
        <v>173</v>
      </c>
      <c r="H376" s="75" t="s">
        <v>1174</v>
      </c>
      <c r="I376" s="10"/>
      <c r="J376" s="70" t="s">
        <v>13</v>
      </c>
      <c r="K376" s="71" t="s">
        <v>14</v>
      </c>
      <c r="L376" s="7">
        <v>46032.518976423613</v>
      </c>
      <c r="M376" s="67"/>
    </row>
    <row r="377" spans="1:13" ht="100.2" customHeight="1" thickTop="1" thickBot="1">
      <c r="A377" s="76">
        <v>375</v>
      </c>
      <c r="B377" s="7">
        <v>46032.480978205997</v>
      </c>
      <c r="C377" s="8" t="s">
        <v>70</v>
      </c>
      <c r="D377" s="10" t="s">
        <v>203</v>
      </c>
      <c r="E377" s="10" t="s">
        <v>43</v>
      </c>
      <c r="F377" s="89" t="s">
        <v>72</v>
      </c>
      <c r="G377" s="10" t="s">
        <v>1175</v>
      </c>
      <c r="H377" s="75" t="s">
        <v>1176</v>
      </c>
      <c r="I377" s="10"/>
      <c r="J377" s="70" t="s">
        <v>13</v>
      </c>
      <c r="K377" s="71" t="s">
        <v>14</v>
      </c>
      <c r="L377" s="7">
        <v>46032.519001053239</v>
      </c>
      <c r="M377" s="67"/>
    </row>
    <row r="378" spans="1:13" ht="100.2" customHeight="1" thickTop="1" thickBot="1">
      <c r="A378" s="10">
        <v>376</v>
      </c>
      <c r="B378" s="7">
        <v>46032.493884062496</v>
      </c>
      <c r="C378" s="8" t="s">
        <v>70</v>
      </c>
      <c r="D378" s="10" t="s">
        <v>203</v>
      </c>
      <c r="E378" s="10" t="s">
        <v>43</v>
      </c>
      <c r="F378" s="89" t="s">
        <v>72</v>
      </c>
      <c r="G378" s="10" t="s">
        <v>173</v>
      </c>
      <c r="H378" s="75" t="s">
        <v>1177</v>
      </c>
      <c r="I378" s="10"/>
      <c r="J378" s="70" t="s">
        <v>13</v>
      </c>
      <c r="K378" s="71" t="s">
        <v>14</v>
      </c>
      <c r="L378" s="7">
        <v>46032.519093136572</v>
      </c>
      <c r="M378" s="67"/>
    </row>
    <row r="379" spans="1:13" ht="100.2" customHeight="1" thickTop="1" thickBot="1">
      <c r="A379" s="76">
        <v>377</v>
      </c>
      <c r="B379" s="7">
        <v>46032.665957152698</v>
      </c>
      <c r="C379" s="8" t="s">
        <v>70</v>
      </c>
      <c r="D379" s="10" t="s">
        <v>203</v>
      </c>
      <c r="E379" s="10" t="s">
        <v>43</v>
      </c>
      <c r="F379" s="89" t="s">
        <v>72</v>
      </c>
      <c r="G379" s="10" t="s">
        <v>1178</v>
      </c>
      <c r="H379" s="75" t="s">
        <v>1179</v>
      </c>
      <c r="I379" s="10"/>
      <c r="J379" s="70" t="s">
        <v>13</v>
      </c>
      <c r="K379" s="71" t="s">
        <v>14</v>
      </c>
      <c r="L379" s="7">
        <v>46032.666131874998</v>
      </c>
      <c r="M379" s="67" t="s">
        <v>1180</v>
      </c>
    </row>
    <row r="380" spans="1:13" ht="100.2" customHeight="1" thickTop="1" thickBot="1">
      <c r="A380" s="10">
        <v>378</v>
      </c>
      <c r="B380" s="7">
        <v>46033.435766099501</v>
      </c>
      <c r="C380" s="8" t="s">
        <v>70</v>
      </c>
      <c r="D380" s="10" t="s">
        <v>203</v>
      </c>
      <c r="E380" s="10" t="s">
        <v>43</v>
      </c>
      <c r="F380" s="89" t="s">
        <v>167</v>
      </c>
      <c r="G380" s="10" t="s">
        <v>173</v>
      </c>
      <c r="H380" s="75" t="s">
        <v>1181</v>
      </c>
      <c r="I380" s="10"/>
      <c r="J380" s="70" t="s">
        <v>13</v>
      </c>
      <c r="K380" s="71" t="s">
        <v>14</v>
      </c>
      <c r="L380" s="7">
        <v>46033.447084247688</v>
      </c>
      <c r="M380" s="67"/>
    </row>
    <row r="381" spans="1:13" ht="100.2" customHeight="1" thickTop="1" thickBot="1">
      <c r="A381" s="76">
        <v>379</v>
      </c>
      <c r="B381" s="7">
        <v>46034.295539803199</v>
      </c>
      <c r="C381" s="8" t="s">
        <v>70</v>
      </c>
      <c r="D381" s="10" t="s">
        <v>203</v>
      </c>
      <c r="E381" s="10" t="s">
        <v>43</v>
      </c>
      <c r="F381" s="89" t="s">
        <v>72</v>
      </c>
      <c r="G381" s="10" t="s">
        <v>173</v>
      </c>
      <c r="H381" s="75" t="s">
        <v>1182</v>
      </c>
      <c r="I381" s="10"/>
      <c r="J381" s="70" t="s">
        <v>13</v>
      </c>
      <c r="K381" s="71" t="s">
        <v>14</v>
      </c>
      <c r="L381" s="7">
        <v>46034.297358136573</v>
      </c>
      <c r="M381" s="67"/>
    </row>
    <row r="382" spans="1:13" ht="100.2" customHeight="1" thickTop="1" thickBot="1">
      <c r="A382" s="10">
        <v>380</v>
      </c>
      <c r="B382" s="7">
        <v>46034.296464282401</v>
      </c>
      <c r="C382" s="8" t="s">
        <v>70</v>
      </c>
      <c r="D382" s="10" t="s">
        <v>203</v>
      </c>
      <c r="E382" s="10" t="s">
        <v>43</v>
      </c>
      <c r="F382" s="89" t="s">
        <v>105</v>
      </c>
      <c r="G382" s="10" t="s">
        <v>173</v>
      </c>
      <c r="H382" s="75" t="s">
        <v>1183</v>
      </c>
      <c r="I382" s="10"/>
      <c r="J382" s="70" t="s">
        <v>13</v>
      </c>
      <c r="K382" s="71" t="s">
        <v>14</v>
      </c>
      <c r="L382" s="7">
        <v>46034.297400011579</v>
      </c>
      <c r="M382" s="67"/>
    </row>
    <row r="383" spans="1:13" ht="100.2" customHeight="1" thickTop="1" thickBot="1">
      <c r="A383" s="76">
        <v>381</v>
      </c>
      <c r="B383" s="7">
        <v>46035.608733634203</v>
      </c>
      <c r="C383" s="8" t="s">
        <v>70</v>
      </c>
      <c r="D383" s="10" t="s">
        <v>203</v>
      </c>
      <c r="E383" s="10" t="s">
        <v>43</v>
      </c>
      <c r="F383" s="89" t="s">
        <v>72</v>
      </c>
      <c r="G383" s="10" t="s">
        <v>129</v>
      </c>
      <c r="H383" s="75" t="s">
        <v>1184</v>
      </c>
      <c r="I383" s="10"/>
      <c r="J383" s="70" t="s">
        <v>13</v>
      </c>
      <c r="K383" s="71" t="s">
        <v>14</v>
      </c>
      <c r="L383" s="7">
        <v>46035.608942777777</v>
      </c>
      <c r="M383" s="67"/>
    </row>
    <row r="384" spans="1:13" ht="100.2" customHeight="1" thickTop="1" thickBot="1">
      <c r="A384" s="10">
        <v>382</v>
      </c>
      <c r="B384" s="7">
        <v>46036.475733310101</v>
      </c>
      <c r="C384" s="8" t="s">
        <v>70</v>
      </c>
      <c r="D384" s="10" t="s">
        <v>203</v>
      </c>
      <c r="E384" s="10" t="s">
        <v>43</v>
      </c>
      <c r="F384" s="89" t="s">
        <v>105</v>
      </c>
      <c r="G384" s="10" t="s">
        <v>66</v>
      </c>
      <c r="H384" s="75" t="s">
        <v>1185</v>
      </c>
      <c r="I384" s="10"/>
      <c r="J384" s="70" t="s">
        <v>13</v>
      </c>
      <c r="K384" s="71" t="s">
        <v>14</v>
      </c>
      <c r="L384" s="7">
        <v>46036.475921851852</v>
      </c>
      <c r="M384" s="67"/>
    </row>
    <row r="385" spans="1:13" ht="100.2" customHeight="1" thickTop="1" thickBot="1">
      <c r="A385" s="76">
        <v>383</v>
      </c>
      <c r="B385" s="7">
        <v>46036.4774700462</v>
      </c>
      <c r="C385" s="8" t="s">
        <v>70</v>
      </c>
      <c r="D385" s="10" t="s">
        <v>203</v>
      </c>
      <c r="E385" s="10" t="s">
        <v>43</v>
      </c>
      <c r="F385" s="89" t="s">
        <v>1186</v>
      </c>
      <c r="G385" s="10" t="s">
        <v>1187</v>
      </c>
      <c r="H385" s="75" t="s">
        <v>1188</v>
      </c>
      <c r="I385" s="10"/>
      <c r="J385" s="70" t="s">
        <v>13</v>
      </c>
      <c r="K385" s="71" t="s">
        <v>14</v>
      </c>
      <c r="L385" s="7">
        <v>46036.47765346065</v>
      </c>
      <c r="M385" s="67"/>
    </row>
    <row r="386" spans="1:13" ht="100.2" customHeight="1" thickTop="1" thickBot="1">
      <c r="A386" s="10">
        <v>384</v>
      </c>
      <c r="B386" s="7">
        <v>46041.420393530097</v>
      </c>
      <c r="C386" s="8" t="s">
        <v>70</v>
      </c>
      <c r="D386" s="10" t="s">
        <v>203</v>
      </c>
      <c r="E386" s="10" t="s">
        <v>43</v>
      </c>
      <c r="F386" s="89" t="s">
        <v>152</v>
      </c>
      <c r="G386" s="10" t="s">
        <v>66</v>
      </c>
      <c r="H386" s="75" t="s">
        <v>1189</v>
      </c>
      <c r="I386" s="10"/>
      <c r="J386" s="70" t="s">
        <v>13</v>
      </c>
      <c r="K386" s="71" t="s">
        <v>14</v>
      </c>
      <c r="L386" s="7">
        <v>46041.420786076385</v>
      </c>
      <c r="M386" s="67"/>
    </row>
    <row r="387" spans="1:13" ht="100.2" customHeight="1" thickTop="1" thickBot="1">
      <c r="A387" s="76">
        <v>385</v>
      </c>
      <c r="B387" s="7">
        <v>46042.547737627297</v>
      </c>
      <c r="C387" s="8" t="s">
        <v>70</v>
      </c>
      <c r="D387" s="10" t="s">
        <v>203</v>
      </c>
      <c r="E387" s="10" t="s">
        <v>43</v>
      </c>
      <c r="F387" s="89" t="s">
        <v>1190</v>
      </c>
      <c r="G387" s="10" t="s">
        <v>66</v>
      </c>
      <c r="H387" s="75" t="s">
        <v>1191</v>
      </c>
      <c r="I387" s="10"/>
      <c r="J387" s="70" t="s">
        <v>13</v>
      </c>
      <c r="K387" s="71" t="s">
        <v>14</v>
      </c>
      <c r="L387" s="7">
        <v>46042.555194386572</v>
      </c>
      <c r="M387" s="67"/>
    </row>
    <row r="388" spans="1:13" ht="100.2" customHeight="1" thickTop="1" thickBot="1">
      <c r="A388" s="10">
        <v>386</v>
      </c>
      <c r="B388" s="7">
        <v>46042.556708402699</v>
      </c>
      <c r="C388" s="8" t="s">
        <v>70</v>
      </c>
      <c r="D388" s="10" t="s">
        <v>203</v>
      </c>
      <c r="E388" s="10" t="s">
        <v>43</v>
      </c>
      <c r="F388" s="89" t="s">
        <v>152</v>
      </c>
      <c r="G388" s="10" t="s">
        <v>66</v>
      </c>
      <c r="H388" s="75" t="s">
        <v>1192</v>
      </c>
      <c r="I388" s="10"/>
      <c r="J388" s="70" t="s">
        <v>13</v>
      </c>
      <c r="K388" s="71" t="s">
        <v>14</v>
      </c>
      <c r="L388" s="7">
        <v>46042.55760162037</v>
      </c>
      <c r="M388" s="67"/>
    </row>
    <row r="389" spans="1:13" ht="100.2" customHeight="1" thickTop="1" thickBot="1">
      <c r="A389" s="76">
        <v>387</v>
      </c>
      <c r="B389" s="7">
        <v>46043.4561804861</v>
      </c>
      <c r="C389" s="8" t="s">
        <v>70</v>
      </c>
      <c r="D389" s="10" t="s">
        <v>203</v>
      </c>
      <c r="E389" s="10" t="s">
        <v>43</v>
      </c>
      <c r="F389" s="89" t="s">
        <v>167</v>
      </c>
      <c r="G389" s="10" t="s">
        <v>749</v>
      </c>
      <c r="H389" s="75" t="s">
        <v>1193</v>
      </c>
      <c r="I389" s="10"/>
      <c r="J389" s="70" t="s">
        <v>13</v>
      </c>
      <c r="K389" s="71" t="s">
        <v>14</v>
      </c>
      <c r="L389" s="7">
        <v>46043.456399826391</v>
      </c>
      <c r="M389" s="67"/>
    </row>
    <row r="390" spans="1:13" ht="100.2" customHeight="1" thickTop="1" thickBot="1">
      <c r="A390" s="10">
        <v>388</v>
      </c>
      <c r="B390" s="7">
        <v>46044.551399536998</v>
      </c>
      <c r="C390" s="8" t="s">
        <v>70</v>
      </c>
      <c r="D390" s="10" t="s">
        <v>203</v>
      </c>
      <c r="E390" s="10" t="s">
        <v>43</v>
      </c>
      <c r="F390" s="89" t="s">
        <v>167</v>
      </c>
      <c r="G390" s="10" t="s">
        <v>749</v>
      </c>
      <c r="H390" s="75" t="s">
        <v>1194</v>
      </c>
      <c r="I390" s="10"/>
      <c r="J390" s="70" t="s">
        <v>13</v>
      </c>
      <c r="K390" s="71" t="s">
        <v>14</v>
      </c>
      <c r="L390" s="7">
        <v>46044.551548946758</v>
      </c>
      <c r="M390" s="67"/>
    </row>
    <row r="391" spans="1:13" ht="100.2" customHeight="1" thickTop="1" thickBot="1">
      <c r="A391" s="76">
        <v>389</v>
      </c>
      <c r="B391" s="7">
        <v>46047.571273009198</v>
      </c>
      <c r="C391" s="8" t="s">
        <v>70</v>
      </c>
      <c r="D391" s="10" t="s">
        <v>1195</v>
      </c>
      <c r="E391" s="10" t="s">
        <v>43</v>
      </c>
      <c r="F391" s="89" t="s">
        <v>72</v>
      </c>
      <c r="G391" s="10" t="s">
        <v>755</v>
      </c>
      <c r="H391" s="75" t="s">
        <v>1196</v>
      </c>
      <c r="I391" s="10"/>
      <c r="J391" s="70" t="s">
        <v>13</v>
      </c>
      <c r="K391" s="71" t="s">
        <v>14</v>
      </c>
      <c r="L391" s="7">
        <v>46047.571919942129</v>
      </c>
      <c r="M391" s="67"/>
    </row>
    <row r="392" spans="1:13" ht="100.2" customHeight="1" thickTop="1" thickBot="1">
      <c r="A392" s="10">
        <v>390</v>
      </c>
      <c r="B392" s="7">
        <v>46047.572642129599</v>
      </c>
      <c r="C392" s="8" t="s">
        <v>70</v>
      </c>
      <c r="D392" s="10" t="s">
        <v>203</v>
      </c>
      <c r="E392" s="10" t="s">
        <v>43</v>
      </c>
      <c r="F392" s="89" t="s">
        <v>152</v>
      </c>
      <c r="G392" s="10" t="s">
        <v>66</v>
      </c>
      <c r="H392" s="75" t="s">
        <v>1197</v>
      </c>
      <c r="I392" s="10"/>
      <c r="J392" s="70" t="s">
        <v>13</v>
      </c>
      <c r="K392" s="71" t="s">
        <v>14</v>
      </c>
      <c r="L392" s="7">
        <v>46047.57285679398</v>
      </c>
      <c r="M392" s="67"/>
    </row>
    <row r="393" spans="1:13" ht="100.2" customHeight="1" thickTop="1" thickBot="1">
      <c r="A393" s="76">
        <v>391</v>
      </c>
      <c r="B393" s="7">
        <v>46048.433194456004</v>
      </c>
      <c r="C393" s="8" t="s">
        <v>70</v>
      </c>
      <c r="D393" s="10" t="s">
        <v>203</v>
      </c>
      <c r="E393" s="10" t="s">
        <v>43</v>
      </c>
      <c r="F393" s="89" t="s">
        <v>72</v>
      </c>
      <c r="G393" s="10" t="s">
        <v>66</v>
      </c>
      <c r="H393" s="75" t="s">
        <v>1198</v>
      </c>
      <c r="I393" s="10"/>
      <c r="J393" s="70" t="s">
        <v>13</v>
      </c>
      <c r="K393" s="71" t="s">
        <v>14</v>
      </c>
      <c r="L393" s="7">
        <v>46048.433437337968</v>
      </c>
      <c r="M393" s="67"/>
    </row>
    <row r="394" spans="1:13" ht="100.2" customHeight="1" thickTop="1" thickBot="1">
      <c r="A394" s="10">
        <v>392</v>
      </c>
      <c r="B394" s="7">
        <v>46048.532209641198</v>
      </c>
      <c r="C394" s="8" t="s">
        <v>70</v>
      </c>
      <c r="D394" s="10" t="s">
        <v>203</v>
      </c>
      <c r="E394" s="10" t="s">
        <v>43</v>
      </c>
      <c r="F394" s="89" t="s">
        <v>152</v>
      </c>
      <c r="G394" s="10" t="s">
        <v>159</v>
      </c>
      <c r="H394" s="75" t="s">
        <v>1199</v>
      </c>
      <c r="I394" s="10"/>
      <c r="J394" s="70" t="s">
        <v>13</v>
      </c>
      <c r="K394" s="71" t="s">
        <v>14</v>
      </c>
      <c r="L394" s="7">
        <v>46048.574566331023</v>
      </c>
      <c r="M394" s="67"/>
    </row>
    <row r="395" spans="1:13" ht="100.2" customHeight="1" thickTop="1" thickBot="1">
      <c r="A395" s="76">
        <v>393</v>
      </c>
      <c r="B395" s="7">
        <v>46049.445814988401</v>
      </c>
      <c r="C395" s="8" t="s">
        <v>70</v>
      </c>
      <c r="D395" s="10" t="s">
        <v>203</v>
      </c>
      <c r="E395" s="10" t="s">
        <v>43</v>
      </c>
      <c r="F395" s="89" t="s">
        <v>152</v>
      </c>
      <c r="G395" s="10" t="s">
        <v>159</v>
      </c>
      <c r="H395" s="75" t="s">
        <v>1200</v>
      </c>
      <c r="I395" s="10"/>
      <c r="J395" s="70" t="s">
        <v>13</v>
      </c>
      <c r="K395" s="71" t="s">
        <v>14</v>
      </c>
      <c r="L395" s="7">
        <v>46049.448849247681</v>
      </c>
      <c r="M395" s="67"/>
    </row>
    <row r="396" spans="1:13" ht="100.2" customHeight="1" thickTop="1" thickBot="1">
      <c r="A396" s="10">
        <v>394</v>
      </c>
      <c r="B396" s="7">
        <v>46049.447207037003</v>
      </c>
      <c r="C396" s="8" t="s">
        <v>70</v>
      </c>
      <c r="D396" s="10" t="s">
        <v>203</v>
      </c>
      <c r="E396" s="10" t="s">
        <v>43</v>
      </c>
      <c r="F396" s="89" t="s">
        <v>152</v>
      </c>
      <c r="G396" s="10" t="s">
        <v>159</v>
      </c>
      <c r="H396" s="75" t="s">
        <v>1201</v>
      </c>
      <c r="I396" s="10"/>
      <c r="J396" s="70" t="s">
        <v>13</v>
      </c>
      <c r="K396" s="71" t="s">
        <v>14</v>
      </c>
      <c r="L396" s="7">
        <v>46049.448890324071</v>
      </c>
      <c r="M396" s="67"/>
    </row>
    <row r="397" spans="1:13" ht="100.2" customHeight="1" thickTop="1" thickBot="1">
      <c r="A397" s="76">
        <v>395</v>
      </c>
      <c r="B397" s="7">
        <v>46049.574140798599</v>
      </c>
      <c r="C397" s="8" t="s">
        <v>70</v>
      </c>
      <c r="D397" s="10" t="s">
        <v>1202</v>
      </c>
      <c r="E397" s="10" t="s">
        <v>38</v>
      </c>
      <c r="F397" s="89" t="s">
        <v>1203</v>
      </c>
      <c r="G397" s="10" t="s">
        <v>1203</v>
      </c>
      <c r="H397" s="75" t="s">
        <v>1204</v>
      </c>
      <c r="I397" s="10"/>
      <c r="J397" s="70" t="s">
        <v>13</v>
      </c>
      <c r="K397" s="71" t="s">
        <v>14</v>
      </c>
      <c r="L397" s="7">
        <v>46049.668918946758</v>
      </c>
      <c r="M397" s="67"/>
    </row>
    <row r="398" spans="1:13" ht="100.2" customHeight="1" thickTop="1" thickBot="1">
      <c r="A398" s="10">
        <v>396</v>
      </c>
      <c r="B398" s="7">
        <v>46050.463735231402</v>
      </c>
      <c r="C398" s="8" t="s">
        <v>70</v>
      </c>
      <c r="D398" s="10" t="s">
        <v>203</v>
      </c>
      <c r="E398" s="10" t="s">
        <v>43</v>
      </c>
      <c r="F398" s="89" t="s">
        <v>167</v>
      </c>
      <c r="G398" s="10" t="s">
        <v>749</v>
      </c>
      <c r="H398" s="75" t="s">
        <v>1205</v>
      </c>
      <c r="I398" s="10"/>
      <c r="J398" s="70" t="s">
        <v>13</v>
      </c>
      <c r="K398" s="71" t="s">
        <v>14</v>
      </c>
      <c r="L398" s="7">
        <v>46050.465886770835</v>
      </c>
      <c r="M398" s="67"/>
    </row>
    <row r="399" spans="1:13" ht="100.2" customHeight="1" thickTop="1" thickBot="1">
      <c r="A399" s="76">
        <v>397</v>
      </c>
      <c r="B399" s="7">
        <v>46050.464469803199</v>
      </c>
      <c r="C399" s="8" t="s">
        <v>70</v>
      </c>
      <c r="D399" s="10" t="s">
        <v>203</v>
      </c>
      <c r="E399" s="10" t="s">
        <v>43</v>
      </c>
      <c r="F399" s="89" t="s">
        <v>167</v>
      </c>
      <c r="G399" s="10" t="s">
        <v>159</v>
      </c>
      <c r="H399" s="75" t="s">
        <v>1206</v>
      </c>
      <c r="I399" s="10"/>
      <c r="J399" s="70" t="s">
        <v>13</v>
      </c>
      <c r="K399" s="71" t="s">
        <v>14</v>
      </c>
      <c r="L399" s="7">
        <v>46050.465943634263</v>
      </c>
      <c r="M399" s="67"/>
    </row>
    <row r="400" spans="1:13" ht="100.2" customHeight="1" thickTop="1" thickBot="1">
      <c r="A400" s="10">
        <v>398</v>
      </c>
      <c r="B400" s="7">
        <v>46050.515145474499</v>
      </c>
      <c r="C400" s="8" t="s">
        <v>70</v>
      </c>
      <c r="D400" s="10" t="s">
        <v>203</v>
      </c>
      <c r="E400" s="10" t="s">
        <v>43</v>
      </c>
      <c r="F400" s="89" t="s">
        <v>1207</v>
      </c>
      <c r="G400" s="10" t="s">
        <v>1186</v>
      </c>
      <c r="H400" s="75" t="s">
        <v>1208</v>
      </c>
      <c r="I400" s="10"/>
      <c r="J400" s="70" t="s">
        <v>13</v>
      </c>
      <c r="K400" s="71" t="s">
        <v>14</v>
      </c>
      <c r="L400" s="7">
        <v>46050.515375219911</v>
      </c>
      <c r="M400" s="67"/>
    </row>
    <row r="401" spans="1:13" ht="100.2" customHeight="1" thickTop="1" thickBot="1">
      <c r="A401" s="76">
        <v>399</v>
      </c>
      <c r="B401" s="7">
        <v>46050.537986319403</v>
      </c>
      <c r="C401" s="8" t="s">
        <v>70</v>
      </c>
      <c r="D401" s="10" t="s">
        <v>203</v>
      </c>
      <c r="E401" s="10" t="s">
        <v>43</v>
      </c>
      <c r="F401" s="89" t="s">
        <v>167</v>
      </c>
      <c r="G401" s="10" t="s">
        <v>442</v>
      </c>
      <c r="H401" s="75" t="s">
        <v>1209</v>
      </c>
      <c r="I401" s="10"/>
      <c r="J401" s="70" t="s">
        <v>13</v>
      </c>
      <c r="K401" s="71" t="s">
        <v>14</v>
      </c>
      <c r="L401" s="7">
        <v>46050.538173414352</v>
      </c>
      <c r="M401" s="67"/>
    </row>
    <row r="402" spans="1:13" ht="100.2" customHeight="1" thickTop="1" thickBot="1">
      <c r="A402" s="10">
        <v>400</v>
      </c>
      <c r="B402" s="7">
        <v>46051.299088761501</v>
      </c>
      <c r="C402" s="8" t="s">
        <v>70</v>
      </c>
      <c r="D402" s="10" t="s">
        <v>203</v>
      </c>
      <c r="E402" s="10" t="s">
        <v>43</v>
      </c>
      <c r="F402" s="89" t="s">
        <v>72</v>
      </c>
      <c r="G402" s="10" t="s">
        <v>159</v>
      </c>
      <c r="H402" s="75" t="s">
        <v>1210</v>
      </c>
      <c r="I402" s="10"/>
      <c r="J402" s="70" t="s">
        <v>13</v>
      </c>
      <c r="K402" s="71" t="s">
        <v>14</v>
      </c>
      <c r="L402" s="7">
        <v>46051.30422604167</v>
      </c>
      <c r="M402" s="67"/>
    </row>
    <row r="403" spans="1:13" ht="100.2" customHeight="1" thickTop="1" thickBot="1">
      <c r="A403" s="76">
        <v>401</v>
      </c>
      <c r="B403" s="7">
        <v>46051.299916157397</v>
      </c>
      <c r="C403" s="8" t="s">
        <v>70</v>
      </c>
      <c r="D403" s="10" t="s">
        <v>203</v>
      </c>
      <c r="E403" s="10" t="s">
        <v>43</v>
      </c>
      <c r="F403" s="89" t="s">
        <v>72</v>
      </c>
      <c r="G403" s="10" t="s">
        <v>159</v>
      </c>
      <c r="H403" s="75" t="s">
        <v>1211</v>
      </c>
      <c r="I403" s="10"/>
      <c r="J403" s="70" t="s">
        <v>13</v>
      </c>
      <c r="K403" s="71" t="s">
        <v>14</v>
      </c>
      <c r="L403" s="7">
        <v>46051.304277326388</v>
      </c>
      <c r="M403" s="67"/>
    </row>
    <row r="404" spans="1:13" ht="100.2" customHeight="1" thickTop="1" thickBot="1">
      <c r="A404" s="10">
        <v>402</v>
      </c>
      <c r="B404" s="7">
        <v>46051.300871817097</v>
      </c>
      <c r="C404" s="8" t="s">
        <v>70</v>
      </c>
      <c r="D404" s="10" t="s">
        <v>203</v>
      </c>
      <c r="E404" s="10" t="s">
        <v>43</v>
      </c>
      <c r="F404" s="89" t="s">
        <v>152</v>
      </c>
      <c r="G404" s="10" t="s">
        <v>159</v>
      </c>
      <c r="H404" s="75" t="s">
        <v>1212</v>
      </c>
      <c r="I404" s="10"/>
      <c r="J404" s="70" t="s">
        <v>13</v>
      </c>
      <c r="K404" s="71" t="s">
        <v>14</v>
      </c>
      <c r="L404" s="7">
        <v>46051.304377291672</v>
      </c>
      <c r="M404" s="67"/>
    </row>
    <row r="405" spans="1:13" ht="100.2" customHeight="1" thickTop="1" thickBot="1">
      <c r="A405" s="76">
        <v>403</v>
      </c>
      <c r="B405" s="7">
        <v>46051.503618946699</v>
      </c>
      <c r="C405" s="8" t="s">
        <v>70</v>
      </c>
      <c r="D405" s="10" t="s">
        <v>203</v>
      </c>
      <c r="E405" s="10" t="s">
        <v>43</v>
      </c>
      <c r="F405" s="89" t="s">
        <v>105</v>
      </c>
      <c r="G405" s="10" t="s">
        <v>173</v>
      </c>
      <c r="H405" s="75" t="s">
        <v>1213</v>
      </c>
      <c r="I405" s="10"/>
      <c r="J405" s="70" t="s">
        <v>13</v>
      </c>
      <c r="K405" s="71" t="s">
        <v>14</v>
      </c>
      <c r="L405" s="7">
        <v>46051.504037604165</v>
      </c>
      <c r="M405" s="67"/>
    </row>
    <row r="406" spans="1:13" ht="100.2" customHeight="1" thickTop="1" thickBot="1">
      <c r="A406" s="10">
        <v>404</v>
      </c>
      <c r="B406" s="7">
        <v>46053.416002395803</v>
      </c>
      <c r="C406" s="8" t="s">
        <v>70</v>
      </c>
      <c r="D406" s="10" t="s">
        <v>203</v>
      </c>
      <c r="E406" s="10" t="s">
        <v>43</v>
      </c>
      <c r="F406" s="89" t="s">
        <v>72</v>
      </c>
      <c r="G406" s="10" t="s">
        <v>751</v>
      </c>
      <c r="H406" s="75" t="s">
        <v>1214</v>
      </c>
      <c r="I406" s="10"/>
      <c r="J406" s="70" t="s">
        <v>13</v>
      </c>
      <c r="K406" s="71" t="s">
        <v>14</v>
      </c>
      <c r="L406" s="7">
        <v>46053.429765300927</v>
      </c>
      <c r="M406" s="67"/>
    </row>
    <row r="407" spans="1:13" ht="100.2" customHeight="1" thickTop="1" thickBot="1">
      <c r="A407" s="76">
        <v>405</v>
      </c>
      <c r="B407" s="7">
        <v>46053.417104571701</v>
      </c>
      <c r="C407" s="8" t="s">
        <v>70</v>
      </c>
      <c r="D407" s="10" t="s">
        <v>203</v>
      </c>
      <c r="E407" s="10" t="s">
        <v>43</v>
      </c>
      <c r="F407" s="89" t="s">
        <v>1186</v>
      </c>
      <c r="G407" s="10" t="s">
        <v>159</v>
      </c>
      <c r="H407" s="75" t="s">
        <v>1215</v>
      </c>
      <c r="I407" s="10"/>
      <c r="J407" s="70" t="s">
        <v>13</v>
      </c>
      <c r="K407" s="71" t="s">
        <v>14</v>
      </c>
      <c r="L407" s="7">
        <v>46053.429847222222</v>
      </c>
      <c r="M407" s="67"/>
    </row>
    <row r="408" spans="1:13" ht="100.2" customHeight="1" thickTop="1" thickBot="1">
      <c r="A408" s="10">
        <v>406</v>
      </c>
      <c r="B408" s="7">
        <v>46053.418259988401</v>
      </c>
      <c r="C408" s="8" t="s">
        <v>70</v>
      </c>
      <c r="D408" s="10" t="s">
        <v>203</v>
      </c>
      <c r="E408" s="10" t="s">
        <v>43</v>
      </c>
      <c r="F408" s="89" t="s">
        <v>105</v>
      </c>
      <c r="G408" s="10" t="s">
        <v>159</v>
      </c>
      <c r="H408" s="75" t="s">
        <v>1216</v>
      </c>
      <c r="I408" s="10"/>
      <c r="J408" s="70" t="s">
        <v>13</v>
      </c>
      <c r="K408" s="71" t="s">
        <v>14</v>
      </c>
      <c r="L408" s="7">
        <v>46053.429936643515</v>
      </c>
      <c r="M408" s="67"/>
    </row>
    <row r="409" spans="1:13" ht="100.2" customHeight="1" thickTop="1" thickBot="1">
      <c r="A409" s="76">
        <v>407</v>
      </c>
      <c r="B409" s="7">
        <v>46053.570773993</v>
      </c>
      <c r="C409" s="8" t="s">
        <v>70</v>
      </c>
      <c r="D409" s="10" t="s">
        <v>203</v>
      </c>
      <c r="E409" s="10" t="s">
        <v>43</v>
      </c>
      <c r="F409" s="89" t="s">
        <v>72</v>
      </c>
      <c r="G409" s="10" t="s">
        <v>129</v>
      </c>
      <c r="H409" s="75" t="s">
        <v>1217</v>
      </c>
      <c r="I409" s="10"/>
      <c r="J409" s="70" t="s">
        <v>13</v>
      </c>
      <c r="K409" s="71" t="s">
        <v>14</v>
      </c>
      <c r="L409" s="7">
        <v>46053.583335636577</v>
      </c>
      <c r="M409" s="67"/>
    </row>
    <row r="410" spans="1:13" ht="100.2" customHeight="1" thickTop="1" thickBot="1">
      <c r="A410" s="10">
        <v>408</v>
      </c>
      <c r="B410" s="7">
        <v>46053.571895798603</v>
      </c>
      <c r="C410" s="8" t="s">
        <v>70</v>
      </c>
      <c r="D410" s="10" t="s">
        <v>203</v>
      </c>
      <c r="E410" s="10" t="s">
        <v>43</v>
      </c>
      <c r="F410" s="89" t="s">
        <v>167</v>
      </c>
      <c r="G410" s="10" t="s">
        <v>138</v>
      </c>
      <c r="H410" s="75" t="s">
        <v>1218</v>
      </c>
      <c r="I410" s="10"/>
      <c r="J410" s="70" t="s">
        <v>13</v>
      </c>
      <c r="K410" s="71" t="s">
        <v>14</v>
      </c>
      <c r="L410" s="7">
        <v>46053.583378854164</v>
      </c>
      <c r="M410" s="67"/>
    </row>
    <row r="411" spans="1:13" ht="100.2" customHeight="1" thickTop="1" thickBot="1">
      <c r="A411" s="76">
        <v>409</v>
      </c>
      <c r="B411" s="7">
        <v>46054.620182951301</v>
      </c>
      <c r="C411" s="8" t="s">
        <v>70</v>
      </c>
      <c r="D411" s="10" t="s">
        <v>203</v>
      </c>
      <c r="E411" s="10" t="s">
        <v>43</v>
      </c>
      <c r="F411" s="89" t="s">
        <v>72</v>
      </c>
      <c r="G411" s="10" t="s">
        <v>138</v>
      </c>
      <c r="H411" s="75" t="s">
        <v>1219</v>
      </c>
      <c r="I411" s="10"/>
      <c r="J411" s="70" t="s">
        <v>13</v>
      </c>
      <c r="K411" s="71" t="s">
        <v>14</v>
      </c>
      <c r="L411" s="7">
        <v>46054.622026967598</v>
      </c>
      <c r="M411" s="67"/>
    </row>
    <row r="412" spans="1:13" ht="100.2" customHeight="1" thickTop="1" thickBot="1">
      <c r="A412" s="10">
        <v>410</v>
      </c>
      <c r="B412" s="7">
        <v>46023.423563587901</v>
      </c>
      <c r="C412" s="8" t="s">
        <v>70</v>
      </c>
      <c r="D412" s="10" t="s">
        <v>203</v>
      </c>
      <c r="E412" s="10" t="s">
        <v>43</v>
      </c>
      <c r="F412" s="89" t="s">
        <v>167</v>
      </c>
      <c r="G412" s="10" t="s">
        <v>442</v>
      </c>
      <c r="H412" s="75" t="s">
        <v>1220</v>
      </c>
      <c r="I412" s="10"/>
      <c r="J412" s="70" t="s">
        <v>17</v>
      </c>
      <c r="K412" s="71" t="s">
        <v>14</v>
      </c>
      <c r="L412" s="7">
        <v>46023.569320659721</v>
      </c>
      <c r="M412" s="67"/>
    </row>
    <row r="413" spans="1:13" ht="100.2" customHeight="1" thickTop="1" thickBot="1">
      <c r="A413" s="76">
        <v>411</v>
      </c>
      <c r="B413" s="7">
        <v>46023.467466238399</v>
      </c>
      <c r="C413" s="8" t="s">
        <v>70</v>
      </c>
      <c r="D413" s="10" t="s">
        <v>203</v>
      </c>
      <c r="E413" s="10" t="s">
        <v>43</v>
      </c>
      <c r="F413" s="89" t="s">
        <v>105</v>
      </c>
      <c r="G413" s="10" t="s">
        <v>138</v>
      </c>
      <c r="H413" s="75" t="s">
        <v>1221</v>
      </c>
      <c r="I413" s="10"/>
      <c r="J413" s="70" t="s">
        <v>17</v>
      </c>
      <c r="K413" s="71" t="s">
        <v>14</v>
      </c>
      <c r="L413" s="7">
        <v>46023.467630613421</v>
      </c>
      <c r="M413" s="67"/>
    </row>
    <row r="414" spans="1:13" ht="100.2" customHeight="1" thickTop="1" thickBot="1">
      <c r="A414" s="10">
        <v>412</v>
      </c>
      <c r="B414" s="7">
        <v>46023.468342557797</v>
      </c>
      <c r="C414" s="8" t="s">
        <v>70</v>
      </c>
      <c r="D414" s="10" t="s">
        <v>203</v>
      </c>
      <c r="E414" s="10" t="s">
        <v>43</v>
      </c>
      <c r="F414" s="89" t="s">
        <v>72</v>
      </c>
      <c r="G414" s="10" t="s">
        <v>198</v>
      </c>
      <c r="H414" s="75" t="s">
        <v>1222</v>
      </c>
      <c r="I414" s="10"/>
      <c r="J414" s="70" t="s">
        <v>17</v>
      </c>
      <c r="K414" s="71" t="s">
        <v>14</v>
      </c>
      <c r="L414" s="7">
        <v>46023.468478356481</v>
      </c>
      <c r="M414" s="67"/>
    </row>
    <row r="415" spans="1:13" ht="100.2" customHeight="1" thickTop="1" thickBot="1">
      <c r="A415" s="76">
        <v>413</v>
      </c>
      <c r="B415" s="7">
        <v>46023.469426967502</v>
      </c>
      <c r="C415" s="8" t="s">
        <v>70</v>
      </c>
      <c r="D415" s="10" t="s">
        <v>203</v>
      </c>
      <c r="E415" s="10" t="s">
        <v>43</v>
      </c>
      <c r="F415" s="89" t="s">
        <v>167</v>
      </c>
      <c r="G415" s="10" t="s">
        <v>66</v>
      </c>
      <c r="H415" s="75" t="s">
        <v>1223</v>
      </c>
      <c r="I415" s="10"/>
      <c r="J415" s="70" t="s">
        <v>17</v>
      </c>
      <c r="K415" s="71" t="s">
        <v>14</v>
      </c>
      <c r="L415" s="7">
        <v>46023.469585150466</v>
      </c>
      <c r="M415" s="67"/>
    </row>
    <row r="416" spans="1:13" ht="100.2" customHeight="1" thickTop="1" thickBot="1">
      <c r="A416" s="10">
        <v>414</v>
      </c>
      <c r="B416" s="7">
        <v>46025.5985727199</v>
      </c>
      <c r="C416" s="8" t="s">
        <v>70</v>
      </c>
      <c r="D416" s="10" t="s">
        <v>203</v>
      </c>
      <c r="E416" s="10" t="s">
        <v>43</v>
      </c>
      <c r="F416" s="89" t="s">
        <v>105</v>
      </c>
      <c r="G416" s="10" t="s">
        <v>138</v>
      </c>
      <c r="H416" s="75" t="s">
        <v>1224</v>
      </c>
      <c r="I416" s="10"/>
      <c r="J416" s="70" t="s">
        <v>17</v>
      </c>
      <c r="K416" s="71" t="s">
        <v>14</v>
      </c>
      <c r="L416" s="7">
        <v>46025.599951180557</v>
      </c>
      <c r="M416" s="67"/>
    </row>
    <row r="417" spans="1:13" ht="100.2" customHeight="1" thickTop="1" thickBot="1">
      <c r="A417" s="76">
        <v>415</v>
      </c>
      <c r="B417" s="7">
        <v>46025.599167847198</v>
      </c>
      <c r="C417" s="8" t="s">
        <v>70</v>
      </c>
      <c r="D417" s="10" t="s">
        <v>203</v>
      </c>
      <c r="E417" s="10" t="s">
        <v>43</v>
      </c>
      <c r="F417" s="89" t="s">
        <v>167</v>
      </c>
      <c r="G417" s="10" t="s">
        <v>143</v>
      </c>
      <c r="H417" s="75" t="s">
        <v>1225</v>
      </c>
      <c r="I417" s="10"/>
      <c r="J417" s="70" t="s">
        <v>17</v>
      </c>
      <c r="K417" s="71" t="s">
        <v>14</v>
      </c>
      <c r="L417" s="7">
        <v>46025.600051805552</v>
      </c>
      <c r="M417" s="67"/>
    </row>
    <row r="418" spans="1:13" ht="100.2" customHeight="1" thickTop="1" thickBot="1">
      <c r="A418" s="10">
        <v>416</v>
      </c>
      <c r="B418" s="7">
        <v>46025.599816921298</v>
      </c>
      <c r="C418" s="8" t="s">
        <v>70</v>
      </c>
      <c r="D418" s="10" t="s">
        <v>203</v>
      </c>
      <c r="E418" s="10" t="s">
        <v>43</v>
      </c>
      <c r="F418" s="89" t="s">
        <v>167</v>
      </c>
      <c r="G418" s="10" t="s">
        <v>180</v>
      </c>
      <c r="H418" s="75" t="s">
        <v>1226</v>
      </c>
      <c r="I418" s="10"/>
      <c r="J418" s="70" t="s">
        <v>17</v>
      </c>
      <c r="K418" s="71" t="s">
        <v>14</v>
      </c>
      <c r="L418" s="7">
        <v>46025.600130648148</v>
      </c>
      <c r="M418" s="67"/>
    </row>
    <row r="419" spans="1:13" ht="100.2" customHeight="1" thickTop="1" thickBot="1">
      <c r="A419" s="76">
        <v>417</v>
      </c>
      <c r="B419" s="7">
        <v>46026.386371817098</v>
      </c>
      <c r="C419" s="8" t="s">
        <v>70</v>
      </c>
      <c r="D419" s="10" t="s">
        <v>754</v>
      </c>
      <c r="E419" s="10" t="s">
        <v>38</v>
      </c>
      <c r="F419" s="89" t="s">
        <v>72</v>
      </c>
      <c r="G419" s="10" t="s">
        <v>496</v>
      </c>
      <c r="H419" s="75" t="s">
        <v>1227</v>
      </c>
      <c r="I419" s="10"/>
      <c r="J419" s="70" t="s">
        <v>17</v>
      </c>
      <c r="K419" s="71" t="s">
        <v>14</v>
      </c>
      <c r="L419" s="7">
        <v>46026.498243333335</v>
      </c>
      <c r="M419" s="67"/>
    </row>
    <row r="420" spans="1:13" ht="100.2" customHeight="1" thickTop="1" thickBot="1">
      <c r="A420" s="10">
        <v>418</v>
      </c>
      <c r="B420" s="7">
        <v>46026.499448344897</v>
      </c>
      <c r="C420" s="8" t="s">
        <v>70</v>
      </c>
      <c r="D420" s="10" t="s">
        <v>203</v>
      </c>
      <c r="E420" s="10" t="s">
        <v>43</v>
      </c>
      <c r="F420" s="89" t="s">
        <v>72</v>
      </c>
      <c r="G420" s="10" t="s">
        <v>138</v>
      </c>
      <c r="H420" s="75" t="s">
        <v>1228</v>
      </c>
      <c r="I420" s="10"/>
      <c r="J420" s="70" t="s">
        <v>17</v>
      </c>
      <c r="K420" s="71" t="s">
        <v>14</v>
      </c>
      <c r="L420" s="7">
        <v>46026.499679606481</v>
      </c>
      <c r="M420" s="67"/>
    </row>
    <row r="421" spans="1:13" ht="100.2" customHeight="1" thickTop="1" thickBot="1">
      <c r="A421" s="76">
        <v>419</v>
      </c>
      <c r="B421" s="7">
        <v>46027.541654444402</v>
      </c>
      <c r="C421" s="8" t="s">
        <v>70</v>
      </c>
      <c r="D421" s="10" t="s">
        <v>203</v>
      </c>
      <c r="E421" s="10" t="s">
        <v>43</v>
      </c>
      <c r="F421" s="89" t="s">
        <v>167</v>
      </c>
      <c r="G421" s="10" t="s">
        <v>442</v>
      </c>
      <c r="H421" s="75" t="s">
        <v>1229</v>
      </c>
      <c r="I421" s="10"/>
      <c r="J421" s="70" t="s">
        <v>17</v>
      </c>
      <c r="K421" s="71" t="s">
        <v>14</v>
      </c>
      <c r="L421" s="7">
        <v>46027.541819641207</v>
      </c>
      <c r="M421" s="67"/>
    </row>
    <row r="422" spans="1:13" ht="100.2" customHeight="1" thickTop="1" thickBot="1">
      <c r="A422" s="10">
        <v>420</v>
      </c>
      <c r="B422" s="7">
        <v>46027.551065902699</v>
      </c>
      <c r="C422" s="8" t="s">
        <v>70</v>
      </c>
      <c r="D422" s="10" t="s">
        <v>1230</v>
      </c>
      <c r="E422" s="10" t="s">
        <v>38</v>
      </c>
      <c r="F422" s="89" t="s">
        <v>167</v>
      </c>
      <c r="G422" s="10" t="s">
        <v>180</v>
      </c>
      <c r="H422" s="75" t="s">
        <v>1231</v>
      </c>
      <c r="I422" s="10"/>
      <c r="J422" s="70" t="s">
        <v>17</v>
      </c>
      <c r="K422" s="71" t="s">
        <v>14</v>
      </c>
      <c r="L422" s="7">
        <v>46028.702327939813</v>
      </c>
      <c r="M422" s="67" t="s">
        <v>1232</v>
      </c>
    </row>
    <row r="423" spans="1:13" ht="100.2" customHeight="1" thickTop="1" thickBot="1">
      <c r="A423" s="76">
        <v>421</v>
      </c>
      <c r="B423" s="7">
        <v>46027.558703055503</v>
      </c>
      <c r="C423" s="8" t="s">
        <v>70</v>
      </c>
      <c r="D423" s="10" t="s">
        <v>407</v>
      </c>
      <c r="E423" s="10" t="s">
        <v>38</v>
      </c>
      <c r="F423" s="89" t="s">
        <v>72</v>
      </c>
      <c r="G423" s="10" t="s">
        <v>138</v>
      </c>
      <c r="H423" s="75" t="s">
        <v>1233</v>
      </c>
      <c r="I423" s="10"/>
      <c r="J423" s="70" t="s">
        <v>17</v>
      </c>
      <c r="K423" s="71" t="s">
        <v>14</v>
      </c>
      <c r="L423" s="7">
        <v>46027.571550601853</v>
      </c>
      <c r="M423" s="67"/>
    </row>
    <row r="424" spans="1:13" ht="100.2" customHeight="1" thickTop="1" thickBot="1">
      <c r="A424" s="10">
        <v>422</v>
      </c>
      <c r="B424" s="7">
        <v>46027.599394409699</v>
      </c>
      <c r="C424" s="8" t="s">
        <v>70</v>
      </c>
      <c r="D424" s="10" t="s">
        <v>1234</v>
      </c>
      <c r="E424" s="10" t="s">
        <v>38</v>
      </c>
      <c r="F424" s="89" t="s">
        <v>167</v>
      </c>
      <c r="G424" s="10" t="s">
        <v>180</v>
      </c>
      <c r="H424" s="75" t="s">
        <v>1235</v>
      </c>
      <c r="I424" s="10"/>
      <c r="J424" s="70" t="s">
        <v>17</v>
      </c>
      <c r="K424" s="71" t="s">
        <v>14</v>
      </c>
      <c r="L424" s="7">
        <v>46028.702294884264</v>
      </c>
      <c r="M424" s="67" t="s">
        <v>1232</v>
      </c>
    </row>
    <row r="425" spans="1:13" ht="100.2" customHeight="1" thickTop="1" thickBot="1">
      <c r="A425" s="76">
        <v>423</v>
      </c>
      <c r="B425" s="7">
        <v>46027.600177534703</v>
      </c>
      <c r="C425" s="8" t="s">
        <v>70</v>
      </c>
      <c r="D425" s="10" t="s">
        <v>1234</v>
      </c>
      <c r="E425" s="10" t="s">
        <v>38</v>
      </c>
      <c r="F425" s="89" t="s">
        <v>167</v>
      </c>
      <c r="G425" s="10" t="s">
        <v>180</v>
      </c>
      <c r="H425" s="75" t="s">
        <v>1236</v>
      </c>
      <c r="I425" s="10"/>
      <c r="J425" s="70" t="s">
        <v>17</v>
      </c>
      <c r="K425" s="71" t="s">
        <v>14</v>
      </c>
      <c r="L425" s="7">
        <v>46028.645089027777</v>
      </c>
      <c r="M425" s="67"/>
    </row>
    <row r="426" spans="1:13" ht="100.2" customHeight="1" thickTop="1" thickBot="1">
      <c r="A426" s="10">
        <v>424</v>
      </c>
      <c r="B426" s="7">
        <v>46028.421662372602</v>
      </c>
      <c r="C426" s="8" t="s">
        <v>70</v>
      </c>
      <c r="D426" s="10" t="s">
        <v>1237</v>
      </c>
      <c r="E426" s="10" t="s">
        <v>38</v>
      </c>
      <c r="F426" s="89" t="s">
        <v>167</v>
      </c>
      <c r="G426" s="10" t="s">
        <v>143</v>
      </c>
      <c r="H426" s="75" t="s">
        <v>1238</v>
      </c>
      <c r="I426" s="10"/>
      <c r="J426" s="70" t="s">
        <v>17</v>
      </c>
      <c r="K426" s="71" t="s">
        <v>14</v>
      </c>
      <c r="L426" s="7">
        <v>46028.641575196758</v>
      </c>
      <c r="M426" s="67"/>
    </row>
    <row r="427" spans="1:13" ht="100.2" customHeight="1" thickTop="1" thickBot="1">
      <c r="A427" s="76">
        <v>425</v>
      </c>
      <c r="B427" s="7">
        <v>46028.422474606399</v>
      </c>
      <c r="C427" s="8" t="s">
        <v>70</v>
      </c>
      <c r="D427" s="10" t="s">
        <v>1234</v>
      </c>
      <c r="E427" s="10" t="s">
        <v>38</v>
      </c>
      <c r="F427" s="89" t="s">
        <v>167</v>
      </c>
      <c r="G427" s="10" t="s">
        <v>66</v>
      </c>
      <c r="H427" s="75" t="s">
        <v>1239</v>
      </c>
      <c r="I427" s="10" t="s">
        <v>1240</v>
      </c>
      <c r="J427" s="70" t="s">
        <v>17</v>
      </c>
      <c r="K427" s="71" t="s">
        <v>14</v>
      </c>
      <c r="L427" s="7">
        <v>46028.641497314813</v>
      </c>
      <c r="M427" s="67"/>
    </row>
    <row r="428" spans="1:13" ht="100.2" customHeight="1" thickTop="1" thickBot="1">
      <c r="A428" s="10">
        <v>426</v>
      </c>
      <c r="B428" s="7">
        <v>46028.616136064797</v>
      </c>
      <c r="C428" s="8" t="s">
        <v>70</v>
      </c>
      <c r="D428" s="10" t="s">
        <v>203</v>
      </c>
      <c r="E428" s="10" t="s">
        <v>43</v>
      </c>
      <c r="F428" s="89" t="s">
        <v>72</v>
      </c>
      <c r="G428" s="10" t="s">
        <v>198</v>
      </c>
      <c r="H428" s="75" t="s">
        <v>1241</v>
      </c>
      <c r="I428" s="10"/>
      <c r="J428" s="70" t="s">
        <v>17</v>
      </c>
      <c r="K428" s="71" t="s">
        <v>14</v>
      </c>
      <c r="L428" s="7">
        <v>46028.64132033565</v>
      </c>
      <c r="M428" s="67"/>
    </row>
    <row r="429" spans="1:13" ht="100.2" customHeight="1" thickTop="1" thickBot="1">
      <c r="A429" s="76">
        <v>427</v>
      </c>
      <c r="B429" s="7">
        <v>46028.616938425897</v>
      </c>
      <c r="C429" s="8" t="s">
        <v>70</v>
      </c>
      <c r="D429" s="10" t="s">
        <v>203</v>
      </c>
      <c r="E429" s="10" t="s">
        <v>43</v>
      </c>
      <c r="F429" s="89" t="s">
        <v>152</v>
      </c>
      <c r="G429" s="10" t="s">
        <v>173</v>
      </c>
      <c r="H429" s="75" t="s">
        <v>1242</v>
      </c>
      <c r="I429" s="10"/>
      <c r="J429" s="70" t="s">
        <v>17</v>
      </c>
      <c r="K429" s="71" t="s">
        <v>14</v>
      </c>
      <c r="L429" s="7">
        <v>46028.641149502313</v>
      </c>
      <c r="M429" s="67"/>
    </row>
    <row r="430" spans="1:13" ht="100.2" customHeight="1" thickTop="1" thickBot="1">
      <c r="A430" s="10">
        <v>428</v>
      </c>
      <c r="B430" s="7">
        <v>46028.6176606597</v>
      </c>
      <c r="C430" s="8" t="s">
        <v>70</v>
      </c>
      <c r="D430" s="10" t="s">
        <v>203</v>
      </c>
      <c r="E430" s="10" t="s">
        <v>43</v>
      </c>
      <c r="F430" s="89" t="s">
        <v>167</v>
      </c>
      <c r="G430" s="10" t="s">
        <v>66</v>
      </c>
      <c r="H430" s="75" t="s">
        <v>1243</v>
      </c>
      <c r="I430" s="10"/>
      <c r="J430" s="70" t="s">
        <v>17</v>
      </c>
      <c r="K430" s="71" t="s">
        <v>14</v>
      </c>
      <c r="L430" s="7">
        <v>46028.642426458333</v>
      </c>
      <c r="M430" s="67"/>
    </row>
    <row r="431" spans="1:13" ht="100.2" customHeight="1" thickTop="1" thickBot="1">
      <c r="A431" s="76">
        <v>429</v>
      </c>
      <c r="B431" s="7">
        <v>46028.619543379602</v>
      </c>
      <c r="C431" s="8" t="s">
        <v>70</v>
      </c>
      <c r="D431" s="10" t="s">
        <v>203</v>
      </c>
      <c r="E431" s="10" t="s">
        <v>43</v>
      </c>
      <c r="F431" s="89" t="s">
        <v>167</v>
      </c>
      <c r="G431" s="10" t="s">
        <v>198</v>
      </c>
      <c r="H431" s="75" t="s">
        <v>1244</v>
      </c>
      <c r="I431" s="10"/>
      <c r="J431" s="70" t="s">
        <v>17</v>
      </c>
      <c r="K431" s="71" t="s">
        <v>14</v>
      </c>
      <c r="L431" s="7">
        <v>46028.642567858798</v>
      </c>
      <c r="M431" s="67"/>
    </row>
    <row r="432" spans="1:13" ht="100.2" customHeight="1" thickTop="1" thickBot="1">
      <c r="A432" s="10">
        <v>430</v>
      </c>
      <c r="B432" s="7">
        <v>46028.648055243</v>
      </c>
      <c r="C432" s="8" t="s">
        <v>70</v>
      </c>
      <c r="D432" s="10" t="s">
        <v>203</v>
      </c>
      <c r="E432" s="10" t="s">
        <v>43</v>
      </c>
      <c r="F432" s="89" t="s">
        <v>152</v>
      </c>
      <c r="G432" s="10" t="s">
        <v>173</v>
      </c>
      <c r="H432" s="75" t="s">
        <v>1245</v>
      </c>
      <c r="I432" s="10"/>
      <c r="J432" s="70" t="s">
        <v>17</v>
      </c>
      <c r="K432" s="71" t="s">
        <v>14</v>
      </c>
      <c r="L432" s="7">
        <v>46028.648416099539</v>
      </c>
      <c r="M432" s="67"/>
    </row>
    <row r="433" spans="1:13" ht="100.2" customHeight="1" thickTop="1" thickBot="1">
      <c r="A433" s="76">
        <v>431</v>
      </c>
      <c r="B433" s="7">
        <v>46029.410827754597</v>
      </c>
      <c r="C433" s="8" t="s">
        <v>70</v>
      </c>
      <c r="D433" s="10" t="s">
        <v>1246</v>
      </c>
      <c r="E433" s="10" t="s">
        <v>38</v>
      </c>
      <c r="F433" s="89" t="s">
        <v>105</v>
      </c>
      <c r="G433" s="10" t="s">
        <v>66</v>
      </c>
      <c r="H433" s="75" t="s">
        <v>1247</v>
      </c>
      <c r="I433" s="10"/>
      <c r="J433" s="70" t="s">
        <v>17</v>
      </c>
      <c r="K433" s="71" t="s">
        <v>14</v>
      </c>
      <c r="L433" s="7">
        <v>46029.482044027776</v>
      </c>
      <c r="M433" s="67"/>
    </row>
    <row r="434" spans="1:13" ht="100.2" customHeight="1" thickTop="1" thickBot="1">
      <c r="A434" s="10">
        <v>432</v>
      </c>
      <c r="B434" s="7">
        <v>46029.5904859375</v>
      </c>
      <c r="C434" s="8" t="s">
        <v>70</v>
      </c>
      <c r="D434" s="10" t="s">
        <v>343</v>
      </c>
      <c r="E434" s="10" t="s">
        <v>38</v>
      </c>
      <c r="F434" s="89" t="s">
        <v>152</v>
      </c>
      <c r="G434" s="10" t="s">
        <v>66</v>
      </c>
      <c r="H434" s="75" t="s">
        <v>1248</v>
      </c>
      <c r="I434" s="10"/>
      <c r="J434" s="70" t="s">
        <v>17</v>
      </c>
      <c r="K434" s="71" t="s">
        <v>14</v>
      </c>
      <c r="L434" s="7">
        <v>46029.707158611112</v>
      </c>
      <c r="M434" s="67"/>
    </row>
    <row r="435" spans="1:13" ht="100.2" customHeight="1" thickTop="1" thickBot="1">
      <c r="A435" s="76">
        <v>433</v>
      </c>
      <c r="B435" s="7">
        <v>46030.455859779999</v>
      </c>
      <c r="C435" s="8" t="s">
        <v>70</v>
      </c>
      <c r="D435" s="10" t="s">
        <v>226</v>
      </c>
      <c r="E435" s="10" t="s">
        <v>38</v>
      </c>
      <c r="F435" s="89" t="s">
        <v>167</v>
      </c>
      <c r="G435" s="10" t="s">
        <v>66</v>
      </c>
      <c r="H435" s="75" t="s">
        <v>1249</v>
      </c>
      <c r="I435" s="10"/>
      <c r="J435" s="70" t="s">
        <v>17</v>
      </c>
      <c r="K435" s="71" t="s">
        <v>14</v>
      </c>
      <c r="L435" s="7">
        <v>46030.6025949537</v>
      </c>
      <c r="M435" s="67"/>
    </row>
    <row r="436" spans="1:13" ht="100.2" customHeight="1" thickTop="1" thickBot="1">
      <c r="A436" s="10">
        <v>434</v>
      </c>
      <c r="B436" s="7">
        <v>46030.4566300347</v>
      </c>
      <c r="C436" s="8" t="s">
        <v>70</v>
      </c>
      <c r="D436" s="10" t="s">
        <v>1250</v>
      </c>
      <c r="E436" s="10" t="s">
        <v>38</v>
      </c>
      <c r="F436" s="89" t="s">
        <v>152</v>
      </c>
      <c r="G436" s="10" t="s">
        <v>66</v>
      </c>
      <c r="H436" s="75" t="s">
        <v>1251</v>
      </c>
      <c r="I436" s="10"/>
      <c r="J436" s="70" t="s">
        <v>17</v>
      </c>
      <c r="K436" s="71" t="s">
        <v>14</v>
      </c>
      <c r="L436" s="7">
        <v>46030.602635856485</v>
      </c>
      <c r="M436" s="67"/>
    </row>
    <row r="437" spans="1:13" ht="100.2" customHeight="1" thickTop="1" thickBot="1">
      <c r="A437" s="76">
        <v>435</v>
      </c>
      <c r="B437" s="7">
        <v>46030.4594486805</v>
      </c>
      <c r="C437" s="8" t="s">
        <v>70</v>
      </c>
      <c r="D437" s="10" t="s">
        <v>226</v>
      </c>
      <c r="E437" s="10" t="s">
        <v>38</v>
      </c>
      <c r="F437" s="89" t="s">
        <v>72</v>
      </c>
      <c r="G437" s="10" t="s">
        <v>138</v>
      </c>
      <c r="H437" s="75" t="s">
        <v>1252</v>
      </c>
      <c r="I437" s="10"/>
      <c r="J437" s="70" t="s">
        <v>17</v>
      </c>
      <c r="K437" s="71" t="s">
        <v>14</v>
      </c>
      <c r="L437" s="7">
        <v>46030.602661423611</v>
      </c>
      <c r="M437" s="67"/>
    </row>
    <row r="438" spans="1:13" ht="100.2" customHeight="1" thickTop="1" thickBot="1">
      <c r="A438" s="10">
        <v>436</v>
      </c>
      <c r="B438" s="7">
        <v>46030.474591701299</v>
      </c>
      <c r="C438" s="8" t="s">
        <v>70</v>
      </c>
      <c r="D438" s="10" t="s">
        <v>203</v>
      </c>
      <c r="E438" s="10" t="s">
        <v>43</v>
      </c>
      <c r="F438" s="89" t="s">
        <v>167</v>
      </c>
      <c r="G438" s="10" t="s">
        <v>138</v>
      </c>
      <c r="H438" s="75" t="s">
        <v>1253</v>
      </c>
      <c r="I438" s="10"/>
      <c r="J438" s="70" t="s">
        <v>17</v>
      </c>
      <c r="K438" s="71" t="s">
        <v>14</v>
      </c>
      <c r="L438" s="7">
        <v>46030.478986076385</v>
      </c>
      <c r="M438" s="67" t="s">
        <v>1232</v>
      </c>
    </row>
    <row r="439" spans="1:13" ht="100.2" customHeight="1" thickTop="1" thickBot="1">
      <c r="A439" s="76">
        <v>437</v>
      </c>
      <c r="B439" s="7">
        <v>46030.475438645801</v>
      </c>
      <c r="C439" s="8" t="s">
        <v>70</v>
      </c>
      <c r="D439" s="10" t="s">
        <v>203</v>
      </c>
      <c r="E439" s="10" t="s">
        <v>43</v>
      </c>
      <c r="F439" s="89" t="s">
        <v>72</v>
      </c>
      <c r="G439" s="10" t="s">
        <v>143</v>
      </c>
      <c r="H439" s="75" t="s">
        <v>1254</v>
      </c>
      <c r="I439" s="10"/>
      <c r="J439" s="70" t="s">
        <v>17</v>
      </c>
      <c r="K439" s="71" t="s">
        <v>14</v>
      </c>
      <c r="L439" s="7">
        <v>46030.479071782407</v>
      </c>
      <c r="M439" s="67" t="s">
        <v>1232</v>
      </c>
    </row>
    <row r="440" spans="1:13" ht="100.2" customHeight="1" thickTop="1" thickBot="1">
      <c r="A440" s="10">
        <v>438</v>
      </c>
      <c r="B440" s="7">
        <v>46030.476481782403</v>
      </c>
      <c r="C440" s="8" t="s">
        <v>70</v>
      </c>
      <c r="D440" s="10" t="s">
        <v>1255</v>
      </c>
      <c r="E440" s="10" t="s">
        <v>43</v>
      </c>
      <c r="F440" s="89" t="s">
        <v>72</v>
      </c>
      <c r="G440" s="10" t="s">
        <v>143</v>
      </c>
      <c r="H440" s="75" t="s">
        <v>1256</v>
      </c>
      <c r="I440" s="10"/>
      <c r="J440" s="70" t="s">
        <v>17</v>
      </c>
      <c r="K440" s="71" t="s">
        <v>14</v>
      </c>
      <c r="L440" s="7">
        <v>46030.479123553239</v>
      </c>
      <c r="M440" s="67" t="s">
        <v>1232</v>
      </c>
    </row>
    <row r="441" spans="1:13" ht="100.2" customHeight="1" thickTop="1" thickBot="1">
      <c r="A441" s="76">
        <v>439</v>
      </c>
      <c r="B441" s="7">
        <v>46030.477465196702</v>
      </c>
      <c r="C441" s="8" t="s">
        <v>70</v>
      </c>
      <c r="D441" s="10" t="s">
        <v>203</v>
      </c>
      <c r="E441" s="10" t="s">
        <v>43</v>
      </c>
      <c r="F441" s="89" t="s">
        <v>72</v>
      </c>
      <c r="G441" s="10" t="s">
        <v>143</v>
      </c>
      <c r="H441" s="75" t="s">
        <v>1257</v>
      </c>
      <c r="I441" s="10"/>
      <c r="J441" s="70" t="s">
        <v>17</v>
      </c>
      <c r="K441" s="71" t="s">
        <v>14</v>
      </c>
      <c r="L441" s="7">
        <v>46030.479238831016</v>
      </c>
      <c r="M441" s="67" t="s">
        <v>1232</v>
      </c>
    </row>
    <row r="442" spans="1:13" ht="100.2" customHeight="1" thickTop="1" thickBot="1">
      <c r="A442" s="10">
        <v>440</v>
      </c>
      <c r="B442" s="7">
        <v>46030.478753113399</v>
      </c>
      <c r="C442" s="8" t="s">
        <v>70</v>
      </c>
      <c r="D442" s="10" t="s">
        <v>203</v>
      </c>
      <c r="E442" s="10" t="s">
        <v>43</v>
      </c>
      <c r="F442" s="89" t="s">
        <v>72</v>
      </c>
      <c r="G442" s="10" t="s">
        <v>143</v>
      </c>
      <c r="H442" s="75" t="s">
        <v>1258</v>
      </c>
      <c r="I442" s="10"/>
      <c r="J442" s="70" t="s">
        <v>17</v>
      </c>
      <c r="K442" s="71" t="s">
        <v>14</v>
      </c>
      <c r="L442" s="7">
        <v>46030.479317164354</v>
      </c>
      <c r="M442" s="67" t="s">
        <v>1232</v>
      </c>
    </row>
    <row r="443" spans="1:13" ht="100.2" customHeight="1" thickTop="1" thickBot="1">
      <c r="A443" s="76">
        <v>441</v>
      </c>
      <c r="B443" s="7">
        <v>46032.487549942103</v>
      </c>
      <c r="C443" s="8" t="s">
        <v>70</v>
      </c>
      <c r="D443" s="10" t="s">
        <v>203</v>
      </c>
      <c r="E443" s="10" t="s">
        <v>43</v>
      </c>
      <c r="F443" s="89" t="s">
        <v>167</v>
      </c>
      <c r="G443" s="10" t="s">
        <v>66</v>
      </c>
      <c r="H443" s="75" t="s">
        <v>1259</v>
      </c>
      <c r="I443" s="10"/>
      <c r="J443" s="70" t="s">
        <v>17</v>
      </c>
      <c r="K443" s="71" t="s">
        <v>14</v>
      </c>
      <c r="L443" s="7">
        <v>46032.519031851851</v>
      </c>
      <c r="M443" s="67"/>
    </row>
    <row r="444" spans="1:13" ht="100.2" customHeight="1" thickTop="1" thickBot="1">
      <c r="A444" s="10">
        <v>442</v>
      </c>
      <c r="B444" s="7">
        <v>46032.489163171304</v>
      </c>
      <c r="C444" s="8" t="s">
        <v>70</v>
      </c>
      <c r="D444" s="10" t="s">
        <v>203</v>
      </c>
      <c r="E444" s="10" t="s">
        <v>43</v>
      </c>
      <c r="F444" s="89" t="s">
        <v>167</v>
      </c>
      <c r="G444" s="10" t="s">
        <v>66</v>
      </c>
      <c r="H444" s="75" t="s">
        <v>1260</v>
      </c>
      <c r="I444" s="10"/>
      <c r="J444" s="70" t="s">
        <v>17</v>
      </c>
      <c r="K444" s="71" t="s">
        <v>14</v>
      </c>
      <c r="L444" s="7">
        <v>46032.519073472227</v>
      </c>
      <c r="M444" s="67"/>
    </row>
    <row r="445" spans="1:13" ht="100.2" customHeight="1" thickTop="1" thickBot="1">
      <c r="A445" s="76">
        <v>443</v>
      </c>
      <c r="B445" s="7">
        <v>46033.456240358799</v>
      </c>
      <c r="C445" s="8" t="s">
        <v>70</v>
      </c>
      <c r="D445" s="10" t="s">
        <v>203</v>
      </c>
      <c r="E445" s="10" t="s">
        <v>43</v>
      </c>
      <c r="F445" s="89" t="s">
        <v>152</v>
      </c>
      <c r="G445" s="10" t="s">
        <v>1261</v>
      </c>
      <c r="H445" s="75" t="s">
        <v>1262</v>
      </c>
      <c r="I445" s="10"/>
      <c r="J445" s="70" t="s">
        <v>17</v>
      </c>
      <c r="K445" s="71" t="s">
        <v>14</v>
      </c>
      <c r="L445" s="7">
        <v>46033.456641087963</v>
      </c>
      <c r="M445" s="67"/>
    </row>
    <row r="446" spans="1:13" ht="100.2" customHeight="1" thickTop="1" thickBot="1">
      <c r="A446" s="10">
        <v>444</v>
      </c>
      <c r="B446" s="7">
        <v>46033.5023618634</v>
      </c>
      <c r="C446" s="8" t="s">
        <v>70</v>
      </c>
      <c r="D446" s="10" t="s">
        <v>1202</v>
      </c>
      <c r="E446" s="10" t="s">
        <v>38</v>
      </c>
      <c r="F446" s="89" t="s">
        <v>105</v>
      </c>
      <c r="G446" s="10" t="s">
        <v>66</v>
      </c>
      <c r="H446" s="75" t="s">
        <v>1263</v>
      </c>
      <c r="I446" s="10" t="s">
        <v>1264</v>
      </c>
      <c r="J446" s="70" t="s">
        <v>17</v>
      </c>
      <c r="K446" s="71" t="s">
        <v>14</v>
      </c>
      <c r="L446" s="7">
        <v>46033.518535324074</v>
      </c>
      <c r="M446" s="67"/>
    </row>
    <row r="447" spans="1:13" ht="100.2" customHeight="1" thickTop="1" thickBot="1">
      <c r="A447" s="76">
        <v>445</v>
      </c>
      <c r="B447" s="7">
        <v>46033.562162106398</v>
      </c>
      <c r="C447" s="8" t="s">
        <v>70</v>
      </c>
      <c r="D447" s="10" t="s">
        <v>1265</v>
      </c>
      <c r="E447" s="10" t="s">
        <v>43</v>
      </c>
      <c r="F447" s="89" t="s">
        <v>72</v>
      </c>
      <c r="G447" s="10" t="s">
        <v>66</v>
      </c>
      <c r="H447" s="75" t="s">
        <v>1266</v>
      </c>
      <c r="I447" s="10"/>
      <c r="J447" s="70" t="s">
        <v>17</v>
      </c>
      <c r="K447" s="71" t="s">
        <v>14</v>
      </c>
      <c r="L447" s="7">
        <v>46033.566286053239</v>
      </c>
      <c r="M447" s="67"/>
    </row>
    <row r="448" spans="1:13" ht="100.2" customHeight="1" thickTop="1" thickBot="1">
      <c r="A448" s="10">
        <v>446</v>
      </c>
      <c r="B448" s="7">
        <v>46034.3272646064</v>
      </c>
      <c r="C448" s="8" t="s">
        <v>70</v>
      </c>
      <c r="D448" s="10" t="s">
        <v>203</v>
      </c>
      <c r="E448" s="10" t="s">
        <v>43</v>
      </c>
      <c r="F448" s="89" t="s">
        <v>1267</v>
      </c>
      <c r="G448" s="10" t="s">
        <v>183</v>
      </c>
      <c r="H448" s="75" t="s">
        <v>1268</v>
      </c>
      <c r="I448" s="10"/>
      <c r="J448" s="70" t="s">
        <v>17</v>
      </c>
      <c r="K448" s="71" t="s">
        <v>14</v>
      </c>
      <c r="L448" s="7">
        <v>46034.328291087964</v>
      </c>
      <c r="M448" s="67"/>
    </row>
    <row r="449" spans="1:13" ht="100.2" customHeight="1" thickTop="1" thickBot="1">
      <c r="A449" s="76">
        <v>447</v>
      </c>
      <c r="B449" s="7">
        <v>46034.328145081003</v>
      </c>
      <c r="C449" s="8" t="s">
        <v>70</v>
      </c>
      <c r="D449" s="10" t="s">
        <v>203</v>
      </c>
      <c r="E449" s="10" t="s">
        <v>43</v>
      </c>
      <c r="F449" s="89" t="s">
        <v>167</v>
      </c>
      <c r="G449" s="10" t="s">
        <v>66</v>
      </c>
      <c r="H449" s="75" t="s">
        <v>1269</v>
      </c>
      <c r="I449" s="10"/>
      <c r="J449" s="70" t="s">
        <v>17</v>
      </c>
      <c r="K449" s="71" t="s">
        <v>14</v>
      </c>
      <c r="L449" s="7">
        <v>46034.328368645831</v>
      </c>
      <c r="M449" s="67"/>
    </row>
    <row r="450" spans="1:13" ht="100.2" customHeight="1" thickTop="1" thickBot="1">
      <c r="A450" s="10">
        <v>448</v>
      </c>
      <c r="B450" s="7">
        <v>46034.350127048601</v>
      </c>
      <c r="C450" s="8" t="s">
        <v>70</v>
      </c>
      <c r="D450" s="10" t="s">
        <v>469</v>
      </c>
      <c r="E450" s="10" t="s">
        <v>38</v>
      </c>
      <c r="F450" s="89" t="s">
        <v>105</v>
      </c>
      <c r="G450" s="10" t="s">
        <v>66</v>
      </c>
      <c r="H450" s="75" t="s">
        <v>1270</v>
      </c>
      <c r="I450" s="10"/>
      <c r="J450" s="70" t="s">
        <v>17</v>
      </c>
      <c r="K450" s="71" t="s">
        <v>14</v>
      </c>
      <c r="L450" s="7">
        <v>46034.371110798616</v>
      </c>
      <c r="M450" s="67"/>
    </row>
    <row r="451" spans="1:13" ht="100.2" customHeight="1" thickTop="1" thickBot="1">
      <c r="A451" s="76">
        <v>449</v>
      </c>
      <c r="B451" s="7">
        <v>46034.363457442101</v>
      </c>
      <c r="C451" s="8" t="s">
        <v>70</v>
      </c>
      <c r="D451" s="10" t="s">
        <v>469</v>
      </c>
      <c r="E451" s="10" t="s">
        <v>38</v>
      </c>
      <c r="F451" s="89" t="s">
        <v>1271</v>
      </c>
      <c r="G451" s="10" t="s">
        <v>442</v>
      </c>
      <c r="H451" s="75" t="s">
        <v>1272</v>
      </c>
      <c r="I451" s="10"/>
      <c r="J451" s="70" t="s">
        <v>17</v>
      </c>
      <c r="K451" s="71" t="s">
        <v>14</v>
      </c>
      <c r="L451" s="7">
        <v>46034.457433495365</v>
      </c>
      <c r="M451" s="67"/>
    </row>
    <row r="452" spans="1:13" ht="100.2" customHeight="1" thickTop="1" thickBot="1">
      <c r="A452" s="10">
        <v>450</v>
      </c>
      <c r="B452" s="7">
        <v>46034.398198090203</v>
      </c>
      <c r="C452" s="8" t="s">
        <v>70</v>
      </c>
      <c r="D452" s="10" t="s">
        <v>203</v>
      </c>
      <c r="E452" s="10" t="s">
        <v>43</v>
      </c>
      <c r="F452" s="89" t="s">
        <v>105</v>
      </c>
      <c r="G452" s="10" t="s">
        <v>129</v>
      </c>
      <c r="H452" s="75" t="s">
        <v>1273</v>
      </c>
      <c r="I452" s="10"/>
      <c r="J452" s="70" t="s">
        <v>17</v>
      </c>
      <c r="K452" s="71" t="s">
        <v>14</v>
      </c>
      <c r="L452" s="7">
        <v>46034.398367442132</v>
      </c>
      <c r="M452" s="67"/>
    </row>
    <row r="453" spans="1:13" ht="100.2" customHeight="1" thickTop="1" thickBot="1">
      <c r="A453" s="76">
        <v>451</v>
      </c>
      <c r="B453" s="7">
        <v>46034.555864953698</v>
      </c>
      <c r="C453" s="8" t="s">
        <v>70</v>
      </c>
      <c r="D453" s="10" t="s">
        <v>1274</v>
      </c>
      <c r="E453" s="10" t="s">
        <v>43</v>
      </c>
      <c r="F453" s="89" t="s">
        <v>72</v>
      </c>
      <c r="G453" s="10" t="s">
        <v>129</v>
      </c>
      <c r="H453" s="75" t="s">
        <v>1275</v>
      </c>
      <c r="I453" s="10"/>
      <c r="J453" s="70" t="s">
        <v>17</v>
      </c>
      <c r="K453" s="71" t="s">
        <v>14</v>
      </c>
      <c r="L453" s="7">
        <v>46034.556119039349</v>
      </c>
      <c r="M453" s="67"/>
    </row>
    <row r="454" spans="1:13" ht="100.2" customHeight="1" thickTop="1" thickBot="1">
      <c r="A454" s="10">
        <v>452</v>
      </c>
      <c r="B454" s="7">
        <v>46034.5578935995</v>
      </c>
      <c r="C454" s="8" t="s">
        <v>70</v>
      </c>
      <c r="D454" s="10" t="s">
        <v>1274</v>
      </c>
      <c r="E454" s="10" t="s">
        <v>43</v>
      </c>
      <c r="F454" s="89" t="s">
        <v>72</v>
      </c>
      <c r="G454" s="10" t="s">
        <v>66</v>
      </c>
      <c r="H454" s="75" t="s">
        <v>1276</v>
      </c>
      <c r="I454" s="10"/>
      <c r="J454" s="70" t="s">
        <v>17</v>
      </c>
      <c r="K454" s="71" t="s">
        <v>14</v>
      </c>
      <c r="L454" s="7">
        <v>46034.558130648147</v>
      </c>
      <c r="M454" s="67"/>
    </row>
    <row r="455" spans="1:13" ht="100.2" customHeight="1" thickTop="1" thickBot="1">
      <c r="A455" s="76">
        <v>453</v>
      </c>
      <c r="B455" s="7">
        <v>46035.404089872602</v>
      </c>
      <c r="C455" s="8" t="s">
        <v>70</v>
      </c>
      <c r="D455" s="10" t="s">
        <v>1277</v>
      </c>
      <c r="E455" s="10" t="s">
        <v>38</v>
      </c>
      <c r="F455" s="89" t="s">
        <v>167</v>
      </c>
      <c r="G455" s="10" t="s">
        <v>1278</v>
      </c>
      <c r="H455" s="75" t="s">
        <v>1279</v>
      </c>
      <c r="I455" s="10"/>
      <c r="J455" s="70" t="s">
        <v>17</v>
      </c>
      <c r="K455" s="71" t="s">
        <v>14</v>
      </c>
      <c r="L455" s="7">
        <v>46035.446036956018</v>
      </c>
      <c r="M455" s="67"/>
    </row>
    <row r="456" spans="1:13" ht="100.2" customHeight="1" thickTop="1" thickBot="1">
      <c r="A456" s="10">
        <v>454</v>
      </c>
      <c r="B456" s="7">
        <v>46035.5315082175</v>
      </c>
      <c r="C456" s="8" t="s">
        <v>70</v>
      </c>
      <c r="D456" s="10" t="s">
        <v>469</v>
      </c>
      <c r="E456" s="10" t="s">
        <v>38</v>
      </c>
      <c r="F456" s="89" t="s">
        <v>105</v>
      </c>
      <c r="G456" s="10" t="s">
        <v>107</v>
      </c>
      <c r="H456" s="75" t="s">
        <v>1280</v>
      </c>
      <c r="I456" s="10"/>
      <c r="J456" s="70" t="s">
        <v>17</v>
      </c>
      <c r="K456" s="71" t="s">
        <v>14</v>
      </c>
      <c r="L456" s="7">
        <v>46035.586611909719</v>
      </c>
      <c r="M456" s="67"/>
    </row>
    <row r="457" spans="1:13" ht="100.2" customHeight="1" thickTop="1" thickBot="1">
      <c r="A457" s="76">
        <v>455</v>
      </c>
      <c r="B457" s="7">
        <v>46035.602212256897</v>
      </c>
      <c r="C457" s="8" t="s">
        <v>70</v>
      </c>
      <c r="D457" s="10" t="s">
        <v>203</v>
      </c>
      <c r="E457" s="10" t="s">
        <v>43</v>
      </c>
      <c r="F457" s="89" t="s">
        <v>105</v>
      </c>
      <c r="G457" s="10" t="s">
        <v>129</v>
      </c>
      <c r="H457" s="75" t="s">
        <v>1281</v>
      </c>
      <c r="I457" s="10"/>
      <c r="J457" s="70" t="s">
        <v>17</v>
      </c>
      <c r="K457" s="71" t="s">
        <v>14</v>
      </c>
      <c r="L457" s="7">
        <v>46035.602724282406</v>
      </c>
      <c r="M457" s="67"/>
    </row>
    <row r="458" spans="1:13" ht="100.2" customHeight="1" thickTop="1" thickBot="1">
      <c r="A458" s="10">
        <v>456</v>
      </c>
      <c r="B458" s="7">
        <v>46035.604200381902</v>
      </c>
      <c r="C458" s="8" t="s">
        <v>70</v>
      </c>
      <c r="D458" s="10" t="s">
        <v>203</v>
      </c>
      <c r="E458" s="10" t="s">
        <v>43</v>
      </c>
      <c r="F458" s="89" t="s">
        <v>105</v>
      </c>
      <c r="G458" s="10" t="s">
        <v>1282</v>
      </c>
      <c r="H458" s="75" t="s">
        <v>1283</v>
      </c>
      <c r="I458" s="10"/>
      <c r="J458" s="70" t="s">
        <v>17</v>
      </c>
      <c r="K458" s="71" t="s">
        <v>14</v>
      </c>
      <c r="L458" s="7">
        <v>46035.604361504629</v>
      </c>
      <c r="M458" s="67"/>
    </row>
    <row r="459" spans="1:13" ht="100.2" customHeight="1" thickTop="1" thickBot="1">
      <c r="A459" s="76">
        <v>457</v>
      </c>
      <c r="B459" s="7">
        <v>46036.478453992997</v>
      </c>
      <c r="C459" s="8" t="s">
        <v>70</v>
      </c>
      <c r="D459" s="10" t="s">
        <v>203</v>
      </c>
      <c r="E459" s="10" t="s">
        <v>43</v>
      </c>
      <c r="F459" s="89" t="s">
        <v>167</v>
      </c>
      <c r="G459" s="10" t="s">
        <v>138</v>
      </c>
      <c r="H459" s="75" t="s">
        <v>1284</v>
      </c>
      <c r="I459" s="10"/>
      <c r="J459" s="70" t="s">
        <v>17</v>
      </c>
      <c r="K459" s="71" t="s">
        <v>14</v>
      </c>
      <c r="L459" s="7">
        <v>46036.479135787042</v>
      </c>
      <c r="M459" s="67"/>
    </row>
    <row r="460" spans="1:13" ht="100.2" customHeight="1" thickTop="1" thickBot="1">
      <c r="A460" s="10">
        <v>458</v>
      </c>
      <c r="B460" s="7">
        <v>46036.478944652699</v>
      </c>
      <c r="C460" s="8" t="s">
        <v>70</v>
      </c>
      <c r="D460" s="10" t="s">
        <v>203</v>
      </c>
      <c r="E460" s="10" t="s">
        <v>43</v>
      </c>
      <c r="F460" s="89" t="s">
        <v>167</v>
      </c>
      <c r="G460" s="10" t="s">
        <v>138</v>
      </c>
      <c r="H460" s="75" t="s">
        <v>1285</v>
      </c>
      <c r="I460" s="10"/>
      <c r="J460" s="70" t="s">
        <v>17</v>
      </c>
      <c r="K460" s="71" t="s">
        <v>14</v>
      </c>
      <c r="L460" s="7">
        <v>46036.479205266209</v>
      </c>
      <c r="M460" s="67"/>
    </row>
    <row r="461" spans="1:13" ht="100.2" customHeight="1" thickTop="1" thickBot="1">
      <c r="A461" s="76">
        <v>459</v>
      </c>
      <c r="B461" s="7">
        <v>46036.479681041601</v>
      </c>
      <c r="C461" s="8" t="s">
        <v>70</v>
      </c>
      <c r="D461" s="10" t="s">
        <v>203</v>
      </c>
      <c r="E461" s="10" t="s">
        <v>43</v>
      </c>
      <c r="F461" s="89" t="s">
        <v>167</v>
      </c>
      <c r="G461" s="10" t="s">
        <v>198</v>
      </c>
      <c r="H461" s="75" t="s">
        <v>1286</v>
      </c>
      <c r="I461" s="10"/>
      <c r="J461" s="70" t="s">
        <v>17</v>
      </c>
      <c r="K461" s="71" t="s">
        <v>14</v>
      </c>
      <c r="L461" s="7">
        <v>46036.480018784721</v>
      </c>
      <c r="M461" s="67"/>
    </row>
    <row r="462" spans="1:13" ht="100.2" customHeight="1" thickTop="1" thickBot="1">
      <c r="A462" s="10">
        <v>460</v>
      </c>
      <c r="B462" s="7">
        <v>46037.437108773098</v>
      </c>
      <c r="C462" s="8" t="s">
        <v>70</v>
      </c>
      <c r="D462" s="10" t="s">
        <v>203</v>
      </c>
      <c r="E462" s="10" t="s">
        <v>1287</v>
      </c>
      <c r="F462" s="89" t="s">
        <v>370</v>
      </c>
      <c r="G462" s="10" t="s">
        <v>66</v>
      </c>
      <c r="H462" s="75" t="s">
        <v>1288</v>
      </c>
      <c r="I462" s="10"/>
      <c r="J462" s="70" t="s">
        <v>17</v>
      </c>
      <c r="K462" s="71" t="s">
        <v>14</v>
      </c>
      <c r="L462" s="7">
        <v>46037.593393831019</v>
      </c>
      <c r="M462" s="67"/>
    </row>
    <row r="463" spans="1:13" ht="100.2" customHeight="1" thickTop="1" thickBot="1">
      <c r="A463" s="76">
        <v>461</v>
      </c>
      <c r="B463" s="7">
        <v>46037.438143911997</v>
      </c>
      <c r="C463" s="8" t="s">
        <v>70</v>
      </c>
      <c r="D463" s="10" t="s">
        <v>203</v>
      </c>
      <c r="E463" s="10" t="s">
        <v>43</v>
      </c>
      <c r="F463" s="89" t="s">
        <v>105</v>
      </c>
      <c r="G463" s="10" t="s">
        <v>129</v>
      </c>
      <c r="H463" s="75" t="s">
        <v>1289</v>
      </c>
      <c r="I463" s="10"/>
      <c r="J463" s="70" t="s">
        <v>17</v>
      </c>
      <c r="K463" s="71" t="s">
        <v>14</v>
      </c>
      <c r="L463" s="7">
        <v>46037.593481296295</v>
      </c>
      <c r="M463" s="67"/>
    </row>
    <row r="464" spans="1:13" ht="100.2" customHeight="1" thickTop="1" thickBot="1">
      <c r="A464" s="10">
        <v>462</v>
      </c>
      <c r="B464" s="7">
        <v>46037.439913414302</v>
      </c>
      <c r="C464" s="8" t="s">
        <v>70</v>
      </c>
      <c r="D464" s="10" t="s">
        <v>203</v>
      </c>
      <c r="E464" s="10" t="s">
        <v>43</v>
      </c>
      <c r="F464" s="89" t="s">
        <v>105</v>
      </c>
      <c r="G464" s="10" t="s">
        <v>129</v>
      </c>
      <c r="H464" s="75" t="s">
        <v>1290</v>
      </c>
      <c r="I464" s="10"/>
      <c r="J464" s="70" t="s">
        <v>17</v>
      </c>
      <c r="K464" s="71" t="s">
        <v>14</v>
      </c>
      <c r="L464" s="7">
        <v>46037.593579432869</v>
      </c>
      <c r="M464" s="67"/>
    </row>
    <row r="465" spans="1:13" ht="100.2" customHeight="1" thickTop="1" thickBot="1">
      <c r="A465" s="76">
        <v>463</v>
      </c>
      <c r="B465" s="7">
        <v>46037.526195625003</v>
      </c>
      <c r="C465" s="8" t="s">
        <v>70</v>
      </c>
      <c r="D465" s="10" t="s">
        <v>1274</v>
      </c>
      <c r="E465" s="10" t="s">
        <v>43</v>
      </c>
      <c r="F465" s="89" t="s">
        <v>72</v>
      </c>
      <c r="G465" s="10" t="s">
        <v>66</v>
      </c>
      <c r="H465" s="75" t="s">
        <v>1291</v>
      </c>
      <c r="I465" s="10"/>
      <c r="J465" s="70" t="s">
        <v>17</v>
      </c>
      <c r="K465" s="71" t="s">
        <v>14</v>
      </c>
      <c r="L465" s="7">
        <v>46037.593895185186</v>
      </c>
      <c r="M465" s="67"/>
    </row>
    <row r="466" spans="1:13" ht="100.2" customHeight="1" thickTop="1" thickBot="1">
      <c r="A466" s="10">
        <v>464</v>
      </c>
      <c r="B466" s="7">
        <v>46037.527189050903</v>
      </c>
      <c r="C466" s="8" t="s">
        <v>70</v>
      </c>
      <c r="D466" s="10" t="s">
        <v>203</v>
      </c>
      <c r="E466" s="10" t="s">
        <v>43</v>
      </c>
      <c r="F466" s="89" t="s">
        <v>72</v>
      </c>
      <c r="G466" s="10" t="s">
        <v>129</v>
      </c>
      <c r="H466" s="75" t="s">
        <v>1292</v>
      </c>
      <c r="I466" s="10"/>
      <c r="J466" s="70" t="s">
        <v>17</v>
      </c>
      <c r="K466" s="71" t="s">
        <v>14</v>
      </c>
      <c r="L466" s="7">
        <v>46037.593722395832</v>
      </c>
      <c r="M466" s="67"/>
    </row>
    <row r="467" spans="1:13" ht="100.2" customHeight="1" thickTop="1" thickBot="1">
      <c r="A467" s="76">
        <v>465</v>
      </c>
      <c r="B467" s="7">
        <v>46039.420778101798</v>
      </c>
      <c r="C467" s="8" t="s">
        <v>70</v>
      </c>
      <c r="D467" s="10" t="s">
        <v>203</v>
      </c>
      <c r="E467" s="10" t="s">
        <v>43</v>
      </c>
      <c r="F467" s="89" t="s">
        <v>105</v>
      </c>
      <c r="G467" s="10" t="s">
        <v>66</v>
      </c>
      <c r="H467" s="75" t="s">
        <v>1293</v>
      </c>
      <c r="I467" s="10"/>
      <c r="J467" s="70" t="s">
        <v>17</v>
      </c>
      <c r="K467" s="71" t="s">
        <v>14</v>
      </c>
      <c r="L467" s="7">
        <v>46039.427317962967</v>
      </c>
      <c r="M467" s="67" t="s">
        <v>1294</v>
      </c>
    </row>
    <row r="468" spans="1:13" ht="100.2" customHeight="1" thickTop="1" thickBot="1">
      <c r="A468" s="10">
        <v>466</v>
      </c>
      <c r="B468" s="7">
        <v>46039.422011481402</v>
      </c>
      <c r="C468" s="8" t="s">
        <v>70</v>
      </c>
      <c r="D468" s="10" t="s">
        <v>203</v>
      </c>
      <c r="E468" s="10" t="s">
        <v>43</v>
      </c>
      <c r="F468" s="89" t="s">
        <v>105</v>
      </c>
      <c r="G468" s="10" t="s">
        <v>129</v>
      </c>
      <c r="H468" s="75" t="s">
        <v>1295</v>
      </c>
      <c r="I468" s="10"/>
      <c r="J468" s="70" t="s">
        <v>17</v>
      </c>
      <c r="K468" s="71" t="s">
        <v>14</v>
      </c>
      <c r="L468" s="7">
        <v>46039.427404780094</v>
      </c>
      <c r="M468" s="67" t="s">
        <v>1294</v>
      </c>
    </row>
    <row r="469" spans="1:13" ht="100.2" customHeight="1" thickTop="1" thickBot="1">
      <c r="A469" s="76">
        <v>467</v>
      </c>
      <c r="B469" s="7">
        <v>46039.422649375003</v>
      </c>
      <c r="C469" s="8" t="s">
        <v>70</v>
      </c>
      <c r="D469" s="10" t="s">
        <v>203</v>
      </c>
      <c r="E469" s="10" t="s">
        <v>43</v>
      </c>
      <c r="F469" s="89" t="s">
        <v>105</v>
      </c>
      <c r="G469" s="10" t="s">
        <v>138</v>
      </c>
      <c r="H469" s="75" t="s">
        <v>1296</v>
      </c>
      <c r="I469" s="10"/>
      <c r="J469" s="70" t="s">
        <v>17</v>
      </c>
      <c r="K469" s="71" t="s">
        <v>14</v>
      </c>
      <c r="L469" s="7">
        <v>46039.427482291663</v>
      </c>
      <c r="M469" s="67" t="s">
        <v>1294</v>
      </c>
    </row>
    <row r="470" spans="1:13" ht="100.2" customHeight="1" thickTop="1" thickBot="1">
      <c r="A470" s="10">
        <v>468</v>
      </c>
      <c r="B470" s="7">
        <v>46039.423519236101</v>
      </c>
      <c r="C470" s="8" t="s">
        <v>70</v>
      </c>
      <c r="D470" s="10" t="s">
        <v>203</v>
      </c>
      <c r="E470" s="10" t="s">
        <v>43</v>
      </c>
      <c r="F470" s="89" t="s">
        <v>105</v>
      </c>
      <c r="G470" s="10" t="s">
        <v>198</v>
      </c>
      <c r="H470" s="75" t="s">
        <v>1297</v>
      </c>
      <c r="I470" s="10"/>
      <c r="J470" s="70" t="s">
        <v>17</v>
      </c>
      <c r="K470" s="71" t="s">
        <v>14</v>
      </c>
      <c r="L470" s="7">
        <v>46039.427607743055</v>
      </c>
      <c r="M470" s="67" t="s">
        <v>1294</v>
      </c>
    </row>
    <row r="471" spans="1:13" ht="100.2" customHeight="1" thickTop="1" thickBot="1">
      <c r="A471" s="76">
        <v>469</v>
      </c>
      <c r="B471" s="7">
        <v>46039.424145393503</v>
      </c>
      <c r="C471" s="8" t="s">
        <v>70</v>
      </c>
      <c r="D471" s="10" t="s">
        <v>203</v>
      </c>
      <c r="E471" s="10" t="s">
        <v>43</v>
      </c>
      <c r="F471" s="89" t="s">
        <v>105</v>
      </c>
      <c r="G471" s="10" t="s">
        <v>143</v>
      </c>
      <c r="H471" s="75" t="s">
        <v>1298</v>
      </c>
      <c r="I471" s="10"/>
      <c r="J471" s="70" t="s">
        <v>17</v>
      </c>
      <c r="K471" s="71" t="s">
        <v>14</v>
      </c>
      <c r="L471" s="7">
        <v>46039.427675891202</v>
      </c>
      <c r="M471" s="67" t="s">
        <v>1294</v>
      </c>
    </row>
    <row r="472" spans="1:13" ht="100.2" customHeight="1" thickTop="1" thickBot="1">
      <c r="A472" s="10">
        <v>470</v>
      </c>
      <c r="B472" s="7">
        <v>46039.4818532754</v>
      </c>
      <c r="C472" s="8" t="s">
        <v>70</v>
      </c>
      <c r="D472" s="10" t="s">
        <v>203</v>
      </c>
      <c r="E472" s="10" t="s">
        <v>43</v>
      </c>
      <c r="F472" s="89" t="s">
        <v>167</v>
      </c>
      <c r="G472" s="10" t="s">
        <v>198</v>
      </c>
      <c r="H472" s="75" t="s">
        <v>1299</v>
      </c>
      <c r="I472" s="10"/>
      <c r="J472" s="70" t="s">
        <v>17</v>
      </c>
      <c r="K472" s="71" t="s">
        <v>14</v>
      </c>
      <c r="L472" s="7">
        <v>46039.484037048613</v>
      </c>
      <c r="M472" s="67"/>
    </row>
    <row r="473" spans="1:13" ht="100.2" customHeight="1" thickTop="1" thickBot="1">
      <c r="A473" s="76">
        <v>471</v>
      </c>
      <c r="B473" s="7">
        <v>46039.482810289301</v>
      </c>
      <c r="C473" s="8" t="s">
        <v>70</v>
      </c>
      <c r="D473" s="10" t="s">
        <v>203</v>
      </c>
      <c r="E473" s="10" t="s">
        <v>43</v>
      </c>
      <c r="F473" s="89" t="s">
        <v>167</v>
      </c>
      <c r="G473" s="10" t="s">
        <v>143</v>
      </c>
      <c r="H473" s="75" t="s">
        <v>1300</v>
      </c>
      <c r="I473" s="10"/>
      <c r="J473" s="70" t="s">
        <v>17</v>
      </c>
      <c r="K473" s="71" t="s">
        <v>14</v>
      </c>
      <c r="L473" s="7">
        <v>46039.484120000001</v>
      </c>
      <c r="M473" s="67"/>
    </row>
    <row r="474" spans="1:13" ht="100.2" customHeight="1" thickTop="1" thickBot="1">
      <c r="A474" s="10">
        <v>472</v>
      </c>
      <c r="B474" s="7">
        <v>46039.483868391202</v>
      </c>
      <c r="C474" s="8" t="s">
        <v>70</v>
      </c>
      <c r="D474" s="10" t="s">
        <v>203</v>
      </c>
      <c r="E474" s="10" t="s">
        <v>43</v>
      </c>
      <c r="F474" s="89" t="s">
        <v>167</v>
      </c>
      <c r="G474" s="10" t="s">
        <v>143</v>
      </c>
      <c r="H474" s="75" t="s">
        <v>1301</v>
      </c>
      <c r="I474" s="10"/>
      <c r="J474" s="70" t="s">
        <v>17</v>
      </c>
      <c r="K474" s="71" t="s">
        <v>14</v>
      </c>
      <c r="L474" s="7">
        <v>46039.48418078704</v>
      </c>
      <c r="M474" s="67"/>
    </row>
    <row r="475" spans="1:13" ht="100.2" customHeight="1" thickTop="1" thickBot="1">
      <c r="A475" s="76">
        <v>473</v>
      </c>
      <c r="B475" s="7">
        <v>46040.432299490698</v>
      </c>
      <c r="C475" s="8" t="s">
        <v>70</v>
      </c>
      <c r="D475" s="10" t="s">
        <v>203</v>
      </c>
      <c r="E475" s="10" t="s">
        <v>43</v>
      </c>
      <c r="F475" s="89" t="s">
        <v>72</v>
      </c>
      <c r="G475" s="10" t="s">
        <v>129</v>
      </c>
      <c r="H475" s="75" t="s">
        <v>1302</v>
      </c>
      <c r="I475" s="10"/>
      <c r="J475" s="70" t="s">
        <v>17</v>
      </c>
      <c r="K475" s="71" t="s">
        <v>14</v>
      </c>
      <c r="L475" s="7">
        <v>46040.439477152773</v>
      </c>
      <c r="M475" s="67"/>
    </row>
    <row r="476" spans="1:13" ht="100.2" customHeight="1" thickTop="1" thickBot="1">
      <c r="A476" s="10">
        <v>474</v>
      </c>
      <c r="B476" s="7">
        <v>46040.435019606397</v>
      </c>
      <c r="C476" s="8" t="s">
        <v>70</v>
      </c>
      <c r="D476" s="10" t="s">
        <v>203</v>
      </c>
      <c r="E476" s="10" t="s">
        <v>43</v>
      </c>
      <c r="F476" s="89" t="s">
        <v>72</v>
      </c>
      <c r="G476" s="10" t="s">
        <v>129</v>
      </c>
      <c r="H476" s="75" t="s">
        <v>1303</v>
      </c>
      <c r="I476" s="10"/>
      <c r="J476" s="70" t="s">
        <v>17</v>
      </c>
      <c r="K476" s="71" t="s">
        <v>14</v>
      </c>
      <c r="L476" s="7">
        <v>46040.439510972225</v>
      </c>
      <c r="M476" s="67"/>
    </row>
    <row r="477" spans="1:13" ht="100.2" customHeight="1" thickTop="1" thickBot="1">
      <c r="A477" s="76">
        <v>475</v>
      </c>
      <c r="B477" s="7">
        <v>46040.436648449002</v>
      </c>
      <c r="C477" s="8" t="s">
        <v>70</v>
      </c>
      <c r="D477" s="10" t="s">
        <v>203</v>
      </c>
      <c r="E477" s="10" t="s">
        <v>43</v>
      </c>
      <c r="F477" s="89" t="s">
        <v>72</v>
      </c>
      <c r="G477" s="10" t="s">
        <v>129</v>
      </c>
      <c r="H477" s="75" t="s">
        <v>1304</v>
      </c>
      <c r="I477" s="10"/>
      <c r="J477" s="70" t="s">
        <v>17</v>
      </c>
      <c r="K477" s="71" t="s">
        <v>14</v>
      </c>
      <c r="L477" s="7">
        <v>46040.439565960653</v>
      </c>
      <c r="M477" s="67"/>
    </row>
    <row r="478" spans="1:13" ht="100.2" customHeight="1" thickTop="1" thickBot="1">
      <c r="A478" s="10">
        <v>476</v>
      </c>
      <c r="B478" s="7">
        <v>46040.437389884202</v>
      </c>
      <c r="C478" s="8" t="s">
        <v>70</v>
      </c>
      <c r="D478" s="10" t="s">
        <v>203</v>
      </c>
      <c r="E478" s="10" t="s">
        <v>43</v>
      </c>
      <c r="F478" s="89" t="s">
        <v>72</v>
      </c>
      <c r="G478" s="10" t="s">
        <v>129</v>
      </c>
      <c r="H478" s="75" t="s">
        <v>1305</v>
      </c>
      <c r="I478" s="10"/>
      <c r="J478" s="70" t="s">
        <v>17</v>
      </c>
      <c r="K478" s="71" t="s">
        <v>14</v>
      </c>
      <c r="L478" s="7">
        <v>46040.439619641205</v>
      </c>
      <c r="M478" s="67"/>
    </row>
    <row r="479" spans="1:13" ht="100.2" customHeight="1" thickTop="1" thickBot="1">
      <c r="A479" s="76">
        <v>477</v>
      </c>
      <c r="B479" s="7">
        <v>46040.439009305497</v>
      </c>
      <c r="C479" s="8" t="s">
        <v>70</v>
      </c>
      <c r="D479" s="10" t="s">
        <v>203</v>
      </c>
      <c r="E479" s="10" t="s">
        <v>43</v>
      </c>
      <c r="F479" s="89" t="s">
        <v>72</v>
      </c>
      <c r="G479" s="10" t="s">
        <v>129</v>
      </c>
      <c r="H479" s="75" t="s">
        <v>1306</v>
      </c>
      <c r="I479" s="10"/>
      <c r="J479" s="70" t="s">
        <v>17</v>
      </c>
      <c r="K479" s="71" t="s">
        <v>14</v>
      </c>
      <c r="L479" s="7">
        <v>46040.439678020834</v>
      </c>
      <c r="M479" s="67"/>
    </row>
    <row r="480" spans="1:13" ht="100.2" customHeight="1" thickTop="1" thickBot="1">
      <c r="A480" s="10">
        <v>478</v>
      </c>
      <c r="B480" s="7">
        <v>46040.578176493</v>
      </c>
      <c r="C480" s="8" t="s">
        <v>70</v>
      </c>
      <c r="D480" s="10" t="s">
        <v>203</v>
      </c>
      <c r="E480" s="10" t="s">
        <v>43</v>
      </c>
      <c r="F480" s="89" t="s">
        <v>72</v>
      </c>
      <c r="G480" s="10" t="s">
        <v>165</v>
      </c>
      <c r="H480" s="75" t="s">
        <v>1307</v>
      </c>
      <c r="I480" s="10"/>
      <c r="J480" s="70" t="s">
        <v>17</v>
      </c>
      <c r="K480" s="71" t="s">
        <v>14</v>
      </c>
      <c r="L480" s="7">
        <v>46040.579807175927</v>
      </c>
      <c r="M480" s="67"/>
    </row>
    <row r="481" spans="1:13" ht="100.2" customHeight="1" thickTop="1" thickBot="1">
      <c r="A481" s="76">
        <v>479</v>
      </c>
      <c r="B481" s="7">
        <v>46040.578938148101</v>
      </c>
      <c r="C481" s="8" t="s">
        <v>70</v>
      </c>
      <c r="D481" s="10" t="s">
        <v>203</v>
      </c>
      <c r="E481" s="10" t="s">
        <v>43</v>
      </c>
      <c r="F481" s="89" t="s">
        <v>152</v>
      </c>
      <c r="G481" s="10" t="s">
        <v>173</v>
      </c>
      <c r="H481" s="75" t="s">
        <v>1308</v>
      </c>
      <c r="I481" s="10"/>
      <c r="J481" s="70" t="s">
        <v>17</v>
      </c>
      <c r="K481" s="71" t="s">
        <v>14</v>
      </c>
      <c r="L481" s="7">
        <v>46040.579868460649</v>
      </c>
      <c r="M481" s="67"/>
    </row>
    <row r="482" spans="1:13" ht="100.2" customHeight="1" thickTop="1" thickBot="1">
      <c r="A482" s="10">
        <v>480</v>
      </c>
      <c r="B482" s="7">
        <v>46040.579696076296</v>
      </c>
      <c r="C482" s="8" t="s">
        <v>70</v>
      </c>
      <c r="D482" s="10" t="s">
        <v>203</v>
      </c>
      <c r="E482" s="10" t="s">
        <v>43</v>
      </c>
      <c r="F482" s="89" t="s">
        <v>72</v>
      </c>
      <c r="G482" s="10" t="s">
        <v>129</v>
      </c>
      <c r="H482" s="75" t="s">
        <v>1309</v>
      </c>
      <c r="I482" s="10"/>
      <c r="J482" s="70" t="s">
        <v>17</v>
      </c>
      <c r="K482" s="71" t="s">
        <v>14</v>
      </c>
      <c r="L482" s="7">
        <v>46040.579930879627</v>
      </c>
      <c r="M482" s="67"/>
    </row>
    <row r="483" spans="1:13" ht="100.2" customHeight="1" thickTop="1" thickBot="1">
      <c r="A483" s="76">
        <v>481</v>
      </c>
      <c r="B483" s="7">
        <v>46041.395438310101</v>
      </c>
      <c r="C483" s="8" t="s">
        <v>70</v>
      </c>
      <c r="D483" s="10" t="s">
        <v>1310</v>
      </c>
      <c r="E483" s="10" t="s">
        <v>38</v>
      </c>
      <c r="F483" s="89" t="s">
        <v>105</v>
      </c>
      <c r="G483" s="10" t="s">
        <v>66</v>
      </c>
      <c r="H483" s="75" t="s">
        <v>1311</v>
      </c>
      <c r="I483" s="10"/>
      <c r="J483" s="70" t="s">
        <v>17</v>
      </c>
      <c r="K483" s="71" t="s">
        <v>14</v>
      </c>
      <c r="L483" s="7">
        <v>46041.560709421297</v>
      </c>
      <c r="M483" s="67"/>
    </row>
    <row r="484" spans="1:13" ht="100.2" customHeight="1" thickTop="1" thickBot="1">
      <c r="A484" s="10">
        <v>482</v>
      </c>
      <c r="B484" s="7">
        <v>46041.426005069399</v>
      </c>
      <c r="C484" s="8" t="s">
        <v>70</v>
      </c>
      <c r="D484" s="10" t="s">
        <v>203</v>
      </c>
      <c r="E484" s="10" t="s">
        <v>43</v>
      </c>
      <c r="F484" s="89" t="s">
        <v>152</v>
      </c>
      <c r="G484" s="10" t="s">
        <v>173</v>
      </c>
      <c r="H484" s="75" t="s">
        <v>1312</v>
      </c>
      <c r="I484" s="10"/>
      <c r="J484" s="70" t="s">
        <v>17</v>
      </c>
      <c r="K484" s="71" t="s">
        <v>14</v>
      </c>
      <c r="L484" s="7">
        <v>46041.427204722218</v>
      </c>
      <c r="M484" s="67"/>
    </row>
    <row r="485" spans="1:13" ht="100.2" customHeight="1" thickTop="1" thickBot="1">
      <c r="A485" s="76">
        <v>483</v>
      </c>
      <c r="B485" s="7">
        <v>46041.427079340203</v>
      </c>
      <c r="C485" s="8" t="s">
        <v>70</v>
      </c>
      <c r="D485" s="10" t="s">
        <v>203</v>
      </c>
      <c r="E485" s="10" t="s">
        <v>43</v>
      </c>
      <c r="F485" s="89" t="s">
        <v>152</v>
      </c>
      <c r="G485" s="10" t="s">
        <v>173</v>
      </c>
      <c r="H485" s="75" t="s">
        <v>1313</v>
      </c>
      <c r="I485" s="10"/>
      <c r="J485" s="70" t="s">
        <v>17</v>
      </c>
      <c r="K485" s="71" t="s">
        <v>14</v>
      </c>
      <c r="L485" s="7">
        <v>46041.427258113428</v>
      </c>
      <c r="M485" s="67"/>
    </row>
    <row r="486" spans="1:13" ht="100.2" customHeight="1" thickTop="1" thickBot="1">
      <c r="A486" s="10">
        <v>484</v>
      </c>
      <c r="B486" s="7">
        <v>46041.561223182798</v>
      </c>
      <c r="C486" s="8" t="s">
        <v>70</v>
      </c>
      <c r="D486" s="10" t="s">
        <v>203</v>
      </c>
      <c r="E486" s="10" t="s">
        <v>43</v>
      </c>
      <c r="F486" s="89" t="s">
        <v>152</v>
      </c>
      <c r="G486" s="10" t="s">
        <v>138</v>
      </c>
      <c r="H486" s="75" t="s">
        <v>1314</v>
      </c>
      <c r="I486" s="10"/>
      <c r="J486" s="70" t="s">
        <v>17</v>
      </c>
      <c r="K486" s="71" t="s">
        <v>14</v>
      </c>
      <c r="L486" s="7">
        <v>46041.56325334491</v>
      </c>
      <c r="M486" s="67"/>
    </row>
    <row r="487" spans="1:13" ht="100.2" customHeight="1" thickTop="1" thickBot="1">
      <c r="A487" s="76">
        <v>485</v>
      </c>
      <c r="B487" s="7">
        <v>46041.561855196698</v>
      </c>
      <c r="C487" s="8" t="s">
        <v>70</v>
      </c>
      <c r="D487" s="10" t="s">
        <v>203</v>
      </c>
      <c r="E487" s="10" t="s">
        <v>43</v>
      </c>
      <c r="F487" s="89" t="s">
        <v>152</v>
      </c>
      <c r="G487" s="10" t="s">
        <v>138</v>
      </c>
      <c r="H487" s="75" t="s">
        <v>1315</v>
      </c>
      <c r="I487" s="10"/>
      <c r="J487" s="70" t="s">
        <v>17</v>
      </c>
      <c r="K487" s="71" t="s">
        <v>14</v>
      </c>
      <c r="L487" s="7">
        <v>46041.563312175931</v>
      </c>
      <c r="M487" s="67"/>
    </row>
    <row r="488" spans="1:13" ht="100.2" customHeight="1" thickTop="1" thickBot="1">
      <c r="A488" s="10">
        <v>486</v>
      </c>
      <c r="B488" s="7">
        <v>46041.563051655001</v>
      </c>
      <c r="C488" s="8" t="s">
        <v>70</v>
      </c>
      <c r="D488" s="10" t="s">
        <v>203</v>
      </c>
      <c r="E488" s="10" t="s">
        <v>43</v>
      </c>
      <c r="F488" s="89" t="s">
        <v>752</v>
      </c>
      <c r="G488" s="10" t="s">
        <v>1316</v>
      </c>
      <c r="H488" s="75" t="s">
        <v>1317</v>
      </c>
      <c r="I488" s="10"/>
      <c r="J488" s="70" t="s">
        <v>17</v>
      </c>
      <c r="K488" s="71" t="s">
        <v>14</v>
      </c>
      <c r="L488" s="7">
        <v>46041.563403055552</v>
      </c>
      <c r="M488" s="67"/>
    </row>
    <row r="489" spans="1:13" ht="100.2" customHeight="1" thickTop="1" thickBot="1">
      <c r="A489" s="76">
        <v>487</v>
      </c>
      <c r="B489" s="7">
        <v>46042.440510983797</v>
      </c>
      <c r="C489" s="8" t="s">
        <v>70</v>
      </c>
      <c r="D489" s="10" t="s">
        <v>203</v>
      </c>
      <c r="E489" s="10" t="s">
        <v>43</v>
      </c>
      <c r="F489" s="89" t="s">
        <v>72</v>
      </c>
      <c r="G489" s="10" t="s">
        <v>159</v>
      </c>
      <c r="H489" s="75" t="s">
        <v>1318</v>
      </c>
      <c r="I489" s="10"/>
      <c r="J489" s="70" t="s">
        <v>17</v>
      </c>
      <c r="K489" s="71" t="s">
        <v>14</v>
      </c>
      <c r="L489" s="7">
        <v>46042.442871585648</v>
      </c>
      <c r="M489" s="67"/>
    </row>
    <row r="490" spans="1:13" ht="100.2" customHeight="1" thickTop="1" thickBot="1">
      <c r="A490" s="10">
        <v>488</v>
      </c>
      <c r="B490" s="7">
        <v>46042.441260034699</v>
      </c>
      <c r="C490" s="8" t="s">
        <v>70</v>
      </c>
      <c r="D490" s="10" t="s">
        <v>203</v>
      </c>
      <c r="E490" s="10" t="s">
        <v>43</v>
      </c>
      <c r="F490" s="89" t="s">
        <v>152</v>
      </c>
      <c r="G490" s="10" t="s">
        <v>173</v>
      </c>
      <c r="H490" s="75" t="s">
        <v>1319</v>
      </c>
      <c r="I490" s="10"/>
      <c r="J490" s="70" t="s">
        <v>17</v>
      </c>
      <c r="K490" s="71" t="s">
        <v>14</v>
      </c>
      <c r="L490" s="7">
        <v>46042.442967152776</v>
      </c>
      <c r="M490" s="67"/>
    </row>
    <row r="491" spans="1:13" ht="100.2" customHeight="1" thickTop="1" thickBot="1">
      <c r="A491" s="76">
        <v>489</v>
      </c>
      <c r="B491" s="7">
        <v>46042.451252314801</v>
      </c>
      <c r="C491" s="8" t="s">
        <v>70</v>
      </c>
      <c r="D491" s="10" t="s">
        <v>469</v>
      </c>
      <c r="E491" s="10" t="s">
        <v>38</v>
      </c>
      <c r="F491" s="89" t="s">
        <v>152</v>
      </c>
      <c r="G491" s="10" t="s">
        <v>66</v>
      </c>
      <c r="H491" s="75" t="s">
        <v>1320</v>
      </c>
      <c r="I491" s="10"/>
      <c r="J491" s="70" t="s">
        <v>17</v>
      </c>
      <c r="K491" s="71" t="s">
        <v>14</v>
      </c>
      <c r="L491" s="7">
        <v>46042.511905162042</v>
      </c>
      <c r="M491" s="67"/>
    </row>
    <row r="492" spans="1:13" ht="100.2" customHeight="1" thickTop="1" thickBot="1">
      <c r="A492" s="10">
        <v>490</v>
      </c>
      <c r="B492" s="7">
        <v>46042.558251412003</v>
      </c>
      <c r="C492" s="8" t="s">
        <v>70</v>
      </c>
      <c r="D492" s="10" t="s">
        <v>203</v>
      </c>
      <c r="E492" s="10" t="s">
        <v>43</v>
      </c>
      <c r="F492" s="89" t="s">
        <v>72</v>
      </c>
      <c r="G492" s="10" t="s">
        <v>66</v>
      </c>
      <c r="H492" s="75" t="s">
        <v>1321</v>
      </c>
      <c r="I492" s="10"/>
      <c r="J492" s="70" t="s">
        <v>17</v>
      </c>
      <c r="K492" s="71" t="s">
        <v>14</v>
      </c>
      <c r="L492" s="7">
        <v>46042.559669444439</v>
      </c>
      <c r="M492" s="67"/>
    </row>
    <row r="493" spans="1:13" ht="100.2" customHeight="1" thickTop="1" thickBot="1">
      <c r="A493" s="76">
        <v>491</v>
      </c>
      <c r="B493" s="7">
        <v>46042.5595273379</v>
      </c>
      <c r="C493" s="8" t="s">
        <v>70</v>
      </c>
      <c r="D493" s="10" t="s">
        <v>203</v>
      </c>
      <c r="E493" s="10" t="s">
        <v>43</v>
      </c>
      <c r="F493" s="89" t="s">
        <v>152</v>
      </c>
      <c r="G493" s="10" t="s">
        <v>66</v>
      </c>
      <c r="H493" s="75" t="s">
        <v>1322</v>
      </c>
      <c r="I493" s="10"/>
      <c r="J493" s="70" t="s">
        <v>17</v>
      </c>
      <c r="K493" s="71" t="s">
        <v>14</v>
      </c>
      <c r="L493" s="7">
        <v>46042.55981313657</v>
      </c>
      <c r="M493" s="67"/>
    </row>
    <row r="494" spans="1:13" ht="100.2" customHeight="1" thickTop="1" thickBot="1">
      <c r="A494" s="10">
        <v>492</v>
      </c>
      <c r="B494" s="7">
        <v>46043.452403553201</v>
      </c>
      <c r="C494" s="8" t="s">
        <v>70</v>
      </c>
      <c r="D494" s="10" t="s">
        <v>203</v>
      </c>
      <c r="E494" s="10" t="s">
        <v>43</v>
      </c>
      <c r="F494" s="89" t="s">
        <v>167</v>
      </c>
      <c r="G494" s="10" t="s">
        <v>66</v>
      </c>
      <c r="H494" s="75" t="s">
        <v>1323</v>
      </c>
      <c r="I494" s="10"/>
      <c r="J494" s="70" t="s">
        <v>17</v>
      </c>
      <c r="K494" s="71" t="s">
        <v>14</v>
      </c>
      <c r="L494" s="7">
        <v>46043.456711342587</v>
      </c>
      <c r="M494" s="67"/>
    </row>
    <row r="495" spans="1:13" ht="100.2" customHeight="1" thickTop="1" thickBot="1">
      <c r="A495" s="76">
        <v>493</v>
      </c>
      <c r="B495" s="7">
        <v>46043.453216550901</v>
      </c>
      <c r="C495" s="8" t="s">
        <v>70</v>
      </c>
      <c r="D495" s="10" t="s">
        <v>203</v>
      </c>
      <c r="E495" s="10" t="s">
        <v>43</v>
      </c>
      <c r="F495" s="89" t="s">
        <v>152</v>
      </c>
      <c r="G495" s="10" t="s">
        <v>173</v>
      </c>
      <c r="H495" s="75" t="s">
        <v>1324</v>
      </c>
      <c r="I495" s="10"/>
      <c r="J495" s="70" t="s">
        <v>17</v>
      </c>
      <c r="K495" s="71" t="s">
        <v>14</v>
      </c>
      <c r="L495" s="7">
        <v>46043.456576631943</v>
      </c>
      <c r="M495" s="67"/>
    </row>
    <row r="496" spans="1:13" ht="100.2" customHeight="1" thickTop="1" thickBot="1">
      <c r="A496" s="10">
        <v>494</v>
      </c>
      <c r="B496" s="7">
        <v>46044.5468566782</v>
      </c>
      <c r="C496" s="8" t="s">
        <v>70</v>
      </c>
      <c r="D496" s="10" t="s">
        <v>203</v>
      </c>
      <c r="E496" s="10" t="s">
        <v>43</v>
      </c>
      <c r="F496" s="89" t="s">
        <v>152</v>
      </c>
      <c r="G496" s="10" t="s">
        <v>173</v>
      </c>
      <c r="H496" s="75" t="s">
        <v>1325</v>
      </c>
      <c r="I496" s="10"/>
      <c r="J496" s="70" t="s">
        <v>17</v>
      </c>
      <c r="K496" s="71" t="s">
        <v>14</v>
      </c>
      <c r="L496" s="7">
        <v>46044.549990706015</v>
      </c>
      <c r="M496" s="67"/>
    </row>
    <row r="497" spans="1:13" ht="100.2" customHeight="1" thickTop="1" thickBot="1">
      <c r="A497" s="76">
        <v>495</v>
      </c>
      <c r="B497" s="7">
        <v>46044.548642823996</v>
      </c>
      <c r="C497" s="8" t="s">
        <v>70</v>
      </c>
      <c r="D497" s="10" t="s">
        <v>203</v>
      </c>
      <c r="E497" s="10" t="s">
        <v>43</v>
      </c>
      <c r="F497" s="89" t="s">
        <v>167</v>
      </c>
      <c r="G497" s="10" t="s">
        <v>749</v>
      </c>
      <c r="H497" s="75" t="s">
        <v>1326</v>
      </c>
      <c r="I497" s="10"/>
      <c r="J497" s="70" t="s">
        <v>17</v>
      </c>
      <c r="K497" s="71" t="s">
        <v>14</v>
      </c>
      <c r="L497" s="7">
        <v>46044.550141631946</v>
      </c>
      <c r="M497" s="67"/>
    </row>
    <row r="498" spans="1:13" ht="100.2" customHeight="1" thickTop="1" thickBot="1">
      <c r="A498" s="10">
        <v>496</v>
      </c>
      <c r="B498" s="7">
        <v>46044.5498676157</v>
      </c>
      <c r="C498" s="8" t="s">
        <v>70</v>
      </c>
      <c r="D498" s="10" t="s">
        <v>203</v>
      </c>
      <c r="E498" s="10" t="s">
        <v>43</v>
      </c>
      <c r="F498" s="89" t="s">
        <v>152</v>
      </c>
      <c r="G498" s="10" t="s">
        <v>173</v>
      </c>
      <c r="H498" s="75" t="s">
        <v>1327</v>
      </c>
      <c r="I498" s="10"/>
      <c r="J498" s="70" t="s">
        <v>17</v>
      </c>
      <c r="K498" s="71" t="s">
        <v>14</v>
      </c>
      <c r="L498" s="7">
        <v>46044.550067928241</v>
      </c>
      <c r="M498" s="67"/>
    </row>
    <row r="499" spans="1:13" ht="100.2" customHeight="1" thickTop="1" thickBot="1">
      <c r="A499" s="76">
        <v>497</v>
      </c>
      <c r="B499" s="7">
        <v>46047.555225937504</v>
      </c>
      <c r="C499" s="8" t="s">
        <v>70</v>
      </c>
      <c r="D499" s="10" t="s">
        <v>203</v>
      </c>
      <c r="E499" s="10" t="s">
        <v>43</v>
      </c>
      <c r="F499" s="89" t="s">
        <v>152</v>
      </c>
      <c r="G499" s="10" t="s">
        <v>173</v>
      </c>
      <c r="H499" s="75" t="s">
        <v>1328</v>
      </c>
      <c r="I499" s="10"/>
      <c r="J499" s="70" t="s">
        <v>17</v>
      </c>
      <c r="K499" s="71" t="s">
        <v>14</v>
      </c>
      <c r="L499" s="7">
        <v>46047.560817407408</v>
      </c>
      <c r="M499" s="67"/>
    </row>
    <row r="500" spans="1:13" ht="100.2" customHeight="1" thickTop="1" thickBot="1">
      <c r="A500" s="10">
        <v>498</v>
      </c>
      <c r="B500" s="7">
        <v>46047.556090393497</v>
      </c>
      <c r="C500" s="8" t="s">
        <v>70</v>
      </c>
      <c r="D500" s="10" t="s">
        <v>203</v>
      </c>
      <c r="E500" s="10" t="s">
        <v>43</v>
      </c>
      <c r="F500" s="89" t="s">
        <v>152</v>
      </c>
      <c r="G500" s="10" t="s">
        <v>751</v>
      </c>
      <c r="H500" s="75" t="s">
        <v>1329</v>
      </c>
      <c r="I500" s="10"/>
      <c r="J500" s="70" t="s">
        <v>17</v>
      </c>
      <c r="K500" s="71" t="s">
        <v>14</v>
      </c>
      <c r="L500" s="7">
        <v>46047.560883344908</v>
      </c>
      <c r="M500" s="67"/>
    </row>
    <row r="501" spans="1:13" ht="100.2" customHeight="1" thickTop="1" thickBot="1">
      <c r="A501" s="76">
        <v>499</v>
      </c>
      <c r="B501" s="7">
        <v>46047.557166041603</v>
      </c>
      <c r="C501" s="8" t="s">
        <v>70</v>
      </c>
      <c r="D501" s="10" t="s">
        <v>203</v>
      </c>
      <c r="E501" s="10" t="s">
        <v>43</v>
      </c>
      <c r="F501" s="89" t="s">
        <v>105</v>
      </c>
      <c r="G501" s="10" t="s">
        <v>751</v>
      </c>
      <c r="H501" s="75" t="s">
        <v>1330</v>
      </c>
      <c r="I501" s="10"/>
      <c r="J501" s="70" t="s">
        <v>17</v>
      </c>
      <c r="K501" s="71" t="s">
        <v>14</v>
      </c>
      <c r="L501" s="7">
        <v>46047.560963865741</v>
      </c>
      <c r="M501" s="67"/>
    </row>
    <row r="502" spans="1:13" ht="100.2" customHeight="1" thickTop="1" thickBot="1">
      <c r="A502" s="10">
        <v>500</v>
      </c>
      <c r="B502" s="7">
        <v>46047.558136481399</v>
      </c>
      <c r="C502" s="8" t="s">
        <v>70</v>
      </c>
      <c r="D502" s="10" t="s">
        <v>203</v>
      </c>
      <c r="E502" s="10" t="s">
        <v>43</v>
      </c>
      <c r="F502" s="89" t="s">
        <v>72</v>
      </c>
      <c r="G502" s="10" t="s">
        <v>751</v>
      </c>
      <c r="H502" s="75" t="s">
        <v>1331</v>
      </c>
      <c r="I502" s="10"/>
      <c r="J502" s="70" t="s">
        <v>17</v>
      </c>
      <c r="K502" s="71" t="s">
        <v>14</v>
      </c>
      <c r="L502" s="7">
        <v>46047.561030821758</v>
      </c>
      <c r="M502" s="67"/>
    </row>
    <row r="503" spans="1:13" ht="100.2" customHeight="1" thickTop="1" thickBot="1">
      <c r="A503" s="76">
        <v>501</v>
      </c>
      <c r="B503" s="7">
        <v>46047.5589516666</v>
      </c>
      <c r="C503" s="8" t="s">
        <v>70</v>
      </c>
      <c r="D503" s="10" t="s">
        <v>203</v>
      </c>
      <c r="E503" s="10" t="s">
        <v>43</v>
      </c>
      <c r="F503" s="89" t="s">
        <v>152</v>
      </c>
      <c r="G503" s="10" t="s">
        <v>173</v>
      </c>
      <c r="H503" s="75" t="s">
        <v>1332</v>
      </c>
      <c r="I503" s="10"/>
      <c r="J503" s="70" t="s">
        <v>17</v>
      </c>
      <c r="K503" s="71" t="s">
        <v>14</v>
      </c>
      <c r="L503" s="7">
        <v>46047.561096701393</v>
      </c>
      <c r="M503" s="67"/>
    </row>
    <row r="504" spans="1:13" ht="100.2" customHeight="1" thickTop="1" thickBot="1">
      <c r="A504" s="10">
        <v>502</v>
      </c>
      <c r="B504" s="7">
        <v>46047.560204837901</v>
      </c>
      <c r="C504" s="8" t="s">
        <v>70</v>
      </c>
      <c r="D504" s="10" t="s">
        <v>203</v>
      </c>
      <c r="E504" s="10" t="s">
        <v>43</v>
      </c>
      <c r="F504" s="89" t="s">
        <v>152</v>
      </c>
      <c r="G504" s="10" t="s">
        <v>173</v>
      </c>
      <c r="H504" s="75" t="s">
        <v>1333</v>
      </c>
      <c r="I504" s="10"/>
      <c r="J504" s="70" t="s">
        <v>17</v>
      </c>
      <c r="K504" s="71" t="s">
        <v>14</v>
      </c>
      <c r="L504" s="7">
        <v>46047.561148252316</v>
      </c>
      <c r="M504" s="67"/>
    </row>
    <row r="505" spans="1:13" ht="100.2" customHeight="1" thickTop="1" thickBot="1">
      <c r="A505" s="76">
        <v>503</v>
      </c>
      <c r="B505" s="7">
        <v>46047.560699421199</v>
      </c>
      <c r="C505" s="8" t="s">
        <v>70</v>
      </c>
      <c r="D505" s="10" t="s">
        <v>203</v>
      </c>
      <c r="E505" s="10" t="s">
        <v>43</v>
      </c>
      <c r="F505" s="89" t="s">
        <v>152</v>
      </c>
      <c r="G505" s="10" t="s">
        <v>173</v>
      </c>
      <c r="H505" s="75" t="s">
        <v>1334</v>
      </c>
      <c r="I505" s="10"/>
      <c r="J505" s="70" t="s">
        <v>17</v>
      </c>
      <c r="K505" s="71" t="s">
        <v>14</v>
      </c>
      <c r="L505" s="7">
        <v>46047.56123146991</v>
      </c>
      <c r="M505" s="67"/>
    </row>
    <row r="506" spans="1:13" ht="100.2" customHeight="1" thickTop="1" thickBot="1">
      <c r="A506" s="10">
        <v>504</v>
      </c>
      <c r="B506" s="7">
        <v>46047.590508298599</v>
      </c>
      <c r="C506" s="8" t="s">
        <v>70</v>
      </c>
      <c r="D506" s="10" t="s">
        <v>203</v>
      </c>
      <c r="E506" s="10" t="s">
        <v>43</v>
      </c>
      <c r="F506" s="89" t="s">
        <v>105</v>
      </c>
      <c r="G506" s="10" t="s">
        <v>66</v>
      </c>
      <c r="H506" s="75" t="s">
        <v>1335</v>
      </c>
      <c r="I506" s="10"/>
      <c r="J506" s="70" t="s">
        <v>17</v>
      </c>
      <c r="K506" s="71" t="s">
        <v>14</v>
      </c>
      <c r="L506" s="7">
        <v>46047.603691192126</v>
      </c>
      <c r="M506" s="67"/>
    </row>
    <row r="507" spans="1:13" ht="100.2" customHeight="1" thickTop="1" thickBot="1">
      <c r="A507" s="76">
        <v>505</v>
      </c>
      <c r="B507" s="7">
        <v>46048.430114953699</v>
      </c>
      <c r="C507" s="8" t="s">
        <v>70</v>
      </c>
      <c r="D507" s="10" t="s">
        <v>203</v>
      </c>
      <c r="E507" s="10" t="s">
        <v>43</v>
      </c>
      <c r="F507" s="89" t="s">
        <v>152</v>
      </c>
      <c r="G507" s="10" t="s">
        <v>173</v>
      </c>
      <c r="H507" s="75" t="s">
        <v>1336</v>
      </c>
      <c r="I507" s="10"/>
      <c r="J507" s="70" t="s">
        <v>17</v>
      </c>
      <c r="K507" s="71" t="s">
        <v>14</v>
      </c>
      <c r="L507" s="7">
        <v>46048.433374155094</v>
      </c>
      <c r="M507" s="67"/>
    </row>
    <row r="508" spans="1:13" ht="100.2" customHeight="1" thickTop="1" thickBot="1">
      <c r="A508" s="10">
        <v>506</v>
      </c>
      <c r="B508" s="7">
        <v>46048.530523240697</v>
      </c>
      <c r="C508" s="8" t="s">
        <v>70</v>
      </c>
      <c r="D508" s="10" t="s">
        <v>203</v>
      </c>
      <c r="E508" s="10" t="s">
        <v>43</v>
      </c>
      <c r="F508" s="89" t="s">
        <v>152</v>
      </c>
      <c r="G508" s="10" t="s">
        <v>173</v>
      </c>
      <c r="H508" s="75" t="s">
        <v>1337</v>
      </c>
      <c r="I508" s="10"/>
      <c r="J508" s="70" t="s">
        <v>17</v>
      </c>
      <c r="K508" s="71" t="s">
        <v>14</v>
      </c>
      <c r="L508" s="7">
        <v>46048.53208128472</v>
      </c>
      <c r="M508" s="67"/>
    </row>
    <row r="509" spans="1:13" ht="100.2" customHeight="1" thickTop="1" thickBot="1">
      <c r="A509" s="76">
        <v>507</v>
      </c>
      <c r="B509" s="7">
        <v>46048.530993506902</v>
      </c>
      <c r="C509" s="8" t="s">
        <v>70</v>
      </c>
      <c r="D509" s="10" t="s">
        <v>203</v>
      </c>
      <c r="E509" s="10" t="s">
        <v>43</v>
      </c>
      <c r="F509" s="89" t="s">
        <v>167</v>
      </c>
      <c r="G509" s="10" t="s">
        <v>138</v>
      </c>
      <c r="H509" s="75" t="s">
        <v>1338</v>
      </c>
      <c r="I509" s="10"/>
      <c r="J509" s="70" t="s">
        <v>17</v>
      </c>
      <c r="K509" s="71" t="s">
        <v>14</v>
      </c>
      <c r="L509" s="7">
        <v>46048.532140902782</v>
      </c>
      <c r="M509" s="67"/>
    </row>
    <row r="510" spans="1:13" ht="100.2" customHeight="1" thickTop="1" thickBot="1">
      <c r="A510" s="10">
        <v>508</v>
      </c>
      <c r="B510" s="7">
        <v>46048.531533171299</v>
      </c>
      <c r="C510" s="8" t="s">
        <v>70</v>
      </c>
      <c r="D510" s="10" t="s">
        <v>1202</v>
      </c>
      <c r="E510" s="10" t="s">
        <v>38</v>
      </c>
      <c r="F510" s="89" t="s">
        <v>167</v>
      </c>
      <c r="G510" s="10" t="s">
        <v>173</v>
      </c>
      <c r="H510" s="75" t="s">
        <v>1339</v>
      </c>
      <c r="I510" s="10"/>
      <c r="J510" s="70" t="s">
        <v>17</v>
      </c>
      <c r="K510" s="71" t="s">
        <v>14</v>
      </c>
      <c r="L510" s="7">
        <v>46048.672317430552</v>
      </c>
      <c r="M510" s="67"/>
    </row>
    <row r="511" spans="1:13" ht="100.2" customHeight="1" thickTop="1" thickBot="1">
      <c r="A511" s="76">
        <v>509</v>
      </c>
      <c r="B511" s="7">
        <v>46049.427143367997</v>
      </c>
      <c r="C511" s="8" t="s">
        <v>70</v>
      </c>
      <c r="D511" s="10" t="s">
        <v>1340</v>
      </c>
      <c r="E511" s="10" t="s">
        <v>38</v>
      </c>
      <c r="F511" s="89" t="s">
        <v>1341</v>
      </c>
      <c r="G511" s="10" t="s">
        <v>1342</v>
      </c>
      <c r="H511" s="75" t="s">
        <v>1343</v>
      </c>
      <c r="I511" s="10"/>
      <c r="J511" s="70" t="s">
        <v>17</v>
      </c>
      <c r="K511" s="71" t="s">
        <v>14</v>
      </c>
      <c r="L511" s="7">
        <v>46049.430588009258</v>
      </c>
      <c r="M511" s="67"/>
    </row>
    <row r="512" spans="1:13" ht="100.2" customHeight="1" thickTop="1" thickBot="1">
      <c r="A512" s="10">
        <v>510</v>
      </c>
      <c r="B512" s="7">
        <v>46049.4414590046</v>
      </c>
      <c r="C512" s="8" t="s">
        <v>70</v>
      </c>
      <c r="D512" s="10" t="s">
        <v>203</v>
      </c>
      <c r="E512" s="10" t="s">
        <v>43</v>
      </c>
      <c r="F512" s="89" t="s">
        <v>152</v>
      </c>
      <c r="G512" s="10" t="s">
        <v>173</v>
      </c>
      <c r="H512" s="75" t="s">
        <v>1344</v>
      </c>
      <c r="I512" s="10"/>
      <c r="J512" s="70" t="s">
        <v>17</v>
      </c>
      <c r="K512" s="71" t="s">
        <v>14</v>
      </c>
      <c r="L512" s="7">
        <v>46049.448597094903</v>
      </c>
      <c r="M512" s="67"/>
    </row>
    <row r="513" spans="1:13" ht="100.2" customHeight="1" thickTop="1" thickBot="1">
      <c r="A513" s="76">
        <v>511</v>
      </c>
      <c r="B513" s="7">
        <v>46049.442601504597</v>
      </c>
      <c r="C513" s="8" t="s">
        <v>70</v>
      </c>
      <c r="D513" s="10" t="s">
        <v>203</v>
      </c>
      <c r="E513" s="10" t="s">
        <v>43</v>
      </c>
      <c r="F513" s="89" t="s">
        <v>167</v>
      </c>
      <c r="G513" s="10" t="s">
        <v>1345</v>
      </c>
      <c r="H513" s="75" t="s">
        <v>1345</v>
      </c>
      <c r="I513" s="10"/>
      <c r="J513" s="70" t="s">
        <v>17</v>
      </c>
      <c r="K513" s="71" t="s">
        <v>14</v>
      </c>
      <c r="L513" s="7">
        <v>46049.448726423609</v>
      </c>
      <c r="M513" s="67"/>
    </row>
    <row r="514" spans="1:13" ht="100.2" customHeight="1" thickTop="1" thickBot="1">
      <c r="A514" s="10">
        <v>512</v>
      </c>
      <c r="B514" s="7">
        <v>46049.443404803198</v>
      </c>
      <c r="C514" s="8" t="s">
        <v>70</v>
      </c>
      <c r="D514" s="10" t="s">
        <v>203</v>
      </c>
      <c r="E514" s="10" t="s">
        <v>43</v>
      </c>
      <c r="F514" s="89" t="s">
        <v>167</v>
      </c>
      <c r="G514" s="10" t="s">
        <v>173</v>
      </c>
      <c r="H514" s="75" t="s">
        <v>1346</v>
      </c>
      <c r="I514" s="10"/>
      <c r="J514" s="70" t="s">
        <v>17</v>
      </c>
      <c r="K514" s="71" t="s">
        <v>14</v>
      </c>
      <c r="L514" s="7">
        <v>46049.448764328699</v>
      </c>
      <c r="M514" s="67"/>
    </row>
    <row r="515" spans="1:13" ht="100.2" customHeight="1" thickTop="1" thickBot="1">
      <c r="A515" s="76">
        <v>513</v>
      </c>
      <c r="B515" s="7">
        <v>46049.492645057799</v>
      </c>
      <c r="C515" s="8" t="s">
        <v>70</v>
      </c>
      <c r="D515" s="10" t="s">
        <v>203</v>
      </c>
      <c r="E515" s="10" t="s">
        <v>43</v>
      </c>
      <c r="F515" s="89" t="s">
        <v>152</v>
      </c>
      <c r="G515" s="10" t="s">
        <v>173</v>
      </c>
      <c r="H515" s="75" t="s">
        <v>1347</v>
      </c>
      <c r="I515" s="10"/>
      <c r="J515" s="70" t="s">
        <v>17</v>
      </c>
      <c r="K515" s="71" t="s">
        <v>14</v>
      </c>
      <c r="L515" s="7">
        <v>46049.49411792824</v>
      </c>
      <c r="M515" s="67"/>
    </row>
    <row r="516" spans="1:13" ht="100.2" customHeight="1" thickTop="1" thickBot="1">
      <c r="A516" s="10">
        <v>514</v>
      </c>
      <c r="B516" s="7">
        <v>46049.493968275397</v>
      </c>
      <c r="C516" s="8" t="s">
        <v>70</v>
      </c>
      <c r="D516" s="10" t="s">
        <v>203</v>
      </c>
      <c r="E516" s="10" t="s">
        <v>43</v>
      </c>
      <c r="F516" s="89" t="s">
        <v>105</v>
      </c>
      <c r="G516" s="10" t="s">
        <v>748</v>
      </c>
      <c r="H516" s="75" t="s">
        <v>1348</v>
      </c>
      <c r="I516" s="10"/>
      <c r="J516" s="70" t="s">
        <v>17</v>
      </c>
      <c r="K516" s="71" t="s">
        <v>14</v>
      </c>
      <c r="L516" s="7">
        <v>46049.494200312503</v>
      </c>
      <c r="M516" s="67"/>
    </row>
    <row r="517" spans="1:13" ht="100.2" customHeight="1" thickTop="1" thickBot="1">
      <c r="A517" s="76">
        <v>515</v>
      </c>
      <c r="B517" s="7">
        <v>46050.4666427314</v>
      </c>
      <c r="C517" s="8" t="s">
        <v>70</v>
      </c>
      <c r="D517" s="10" t="s">
        <v>203</v>
      </c>
      <c r="E517" s="10" t="s">
        <v>43</v>
      </c>
      <c r="F517" s="89" t="s">
        <v>152</v>
      </c>
      <c r="G517" s="10" t="s">
        <v>173</v>
      </c>
      <c r="H517" s="75" t="s">
        <v>1349</v>
      </c>
      <c r="I517" s="10"/>
      <c r="J517" s="70" t="s">
        <v>17</v>
      </c>
      <c r="K517" s="71" t="s">
        <v>14</v>
      </c>
      <c r="L517" s="7">
        <v>46050.466844780094</v>
      </c>
      <c r="M517" s="67"/>
    </row>
    <row r="518" spans="1:13" ht="100.2" customHeight="1" thickTop="1" thickBot="1">
      <c r="A518" s="10">
        <v>516</v>
      </c>
      <c r="B518" s="7">
        <v>46050.501865914302</v>
      </c>
      <c r="C518" s="8" t="s">
        <v>70</v>
      </c>
      <c r="D518" s="10" t="s">
        <v>203</v>
      </c>
      <c r="E518" s="10" t="s">
        <v>43</v>
      </c>
      <c r="F518" s="89" t="s">
        <v>72</v>
      </c>
      <c r="G518" s="10" t="s">
        <v>496</v>
      </c>
      <c r="H518" s="75" t="s">
        <v>1350</v>
      </c>
      <c r="I518" s="10"/>
      <c r="J518" s="70" t="s">
        <v>17</v>
      </c>
      <c r="K518" s="71" t="s">
        <v>14</v>
      </c>
      <c r="L518" s="7">
        <v>46050.505339328709</v>
      </c>
      <c r="M518" s="67"/>
    </row>
    <row r="519" spans="1:13" ht="100.2" customHeight="1" thickTop="1" thickBot="1">
      <c r="A519" s="76">
        <v>517</v>
      </c>
      <c r="B519" s="7">
        <v>46050.503754409699</v>
      </c>
      <c r="C519" s="8" t="s">
        <v>70</v>
      </c>
      <c r="D519" s="10" t="s">
        <v>203</v>
      </c>
      <c r="E519" s="10" t="s">
        <v>43</v>
      </c>
      <c r="F519" s="89" t="s">
        <v>167</v>
      </c>
      <c r="G519" s="10" t="s">
        <v>442</v>
      </c>
      <c r="H519" s="75" t="s">
        <v>1351</v>
      </c>
      <c r="I519" s="10"/>
      <c r="J519" s="70" t="s">
        <v>17</v>
      </c>
      <c r="K519" s="71" t="s">
        <v>14</v>
      </c>
      <c r="L519" s="7">
        <v>46050.505393564817</v>
      </c>
      <c r="M519" s="67"/>
    </row>
    <row r="520" spans="1:13" ht="100.2" customHeight="1" thickTop="1" thickBot="1">
      <c r="A520" s="10">
        <v>518</v>
      </c>
      <c r="B520" s="7">
        <v>46050.504998414297</v>
      </c>
      <c r="C520" s="8" t="s">
        <v>70</v>
      </c>
      <c r="D520" s="10" t="s">
        <v>203</v>
      </c>
      <c r="E520" s="10" t="s">
        <v>43</v>
      </c>
      <c r="F520" s="89" t="s">
        <v>152</v>
      </c>
      <c r="G520" s="10" t="s">
        <v>173</v>
      </c>
      <c r="H520" s="75" t="s">
        <v>1352</v>
      </c>
      <c r="I520" s="10"/>
      <c r="J520" s="70" t="s">
        <v>17</v>
      </c>
      <c r="K520" s="71" t="s">
        <v>14</v>
      </c>
      <c r="L520" s="7">
        <v>46050.505474560181</v>
      </c>
      <c r="M520" s="67"/>
    </row>
    <row r="521" spans="1:13" ht="100.2" customHeight="1" thickTop="1" thickBot="1">
      <c r="A521" s="76">
        <v>519</v>
      </c>
      <c r="B521" s="7">
        <v>46050.548305520802</v>
      </c>
      <c r="C521" s="8" t="s">
        <v>70</v>
      </c>
      <c r="D521" s="10" t="s">
        <v>203</v>
      </c>
      <c r="E521" s="10" t="s">
        <v>43</v>
      </c>
      <c r="F521" s="89" t="s">
        <v>1353</v>
      </c>
      <c r="G521" s="10" t="s">
        <v>749</v>
      </c>
      <c r="H521" s="75" t="s">
        <v>1354</v>
      </c>
      <c r="I521" s="10"/>
      <c r="J521" s="70" t="s">
        <v>17</v>
      </c>
      <c r="K521" s="71" t="s">
        <v>14</v>
      </c>
      <c r="L521" s="7">
        <v>46050.548484907413</v>
      </c>
      <c r="M521" s="67"/>
    </row>
    <row r="522" spans="1:13" ht="100.2" customHeight="1" thickTop="1" thickBot="1">
      <c r="A522" s="10">
        <v>520</v>
      </c>
      <c r="B522" s="7">
        <v>46051.302162060099</v>
      </c>
      <c r="C522" s="8" t="s">
        <v>70</v>
      </c>
      <c r="D522" s="10" t="s">
        <v>203</v>
      </c>
      <c r="E522" s="10" t="s">
        <v>43</v>
      </c>
      <c r="F522" s="89" t="s">
        <v>72</v>
      </c>
      <c r="G522" s="10" t="s">
        <v>198</v>
      </c>
      <c r="H522" s="75" t="s">
        <v>1355</v>
      </c>
      <c r="I522" s="10"/>
      <c r="J522" s="70" t="s">
        <v>17</v>
      </c>
      <c r="K522" s="71" t="s">
        <v>14</v>
      </c>
      <c r="L522" s="7">
        <v>46051.304443541667</v>
      </c>
      <c r="M522" s="67"/>
    </row>
    <row r="523" spans="1:13" ht="100.2" customHeight="1" thickTop="1" thickBot="1">
      <c r="A523" s="76">
        <v>521</v>
      </c>
      <c r="B523" s="7">
        <v>46051.3027764699</v>
      </c>
      <c r="C523" s="8" t="s">
        <v>70</v>
      </c>
      <c r="D523" s="10" t="s">
        <v>203</v>
      </c>
      <c r="E523" s="10" t="s">
        <v>43</v>
      </c>
      <c r="F523" s="89" t="s">
        <v>72</v>
      </c>
      <c r="G523" s="10" t="s">
        <v>143</v>
      </c>
      <c r="H523" s="75" t="s">
        <v>1356</v>
      </c>
      <c r="I523" s="10"/>
      <c r="J523" s="70" t="s">
        <v>17</v>
      </c>
      <c r="K523" s="71" t="s">
        <v>14</v>
      </c>
      <c r="L523" s="7">
        <v>46051.304544074075</v>
      </c>
      <c r="M523" s="67"/>
    </row>
    <row r="524" spans="1:13" ht="100.2" customHeight="1" thickTop="1" thickBot="1">
      <c r="A524" s="10">
        <v>522</v>
      </c>
      <c r="B524" s="7">
        <v>46051.303444062498</v>
      </c>
      <c r="C524" s="8" t="s">
        <v>70</v>
      </c>
      <c r="D524" s="10" t="s">
        <v>203</v>
      </c>
      <c r="E524" s="10" t="s">
        <v>43</v>
      </c>
      <c r="F524" s="89" t="s">
        <v>72</v>
      </c>
      <c r="G524" s="10" t="s">
        <v>143</v>
      </c>
      <c r="H524" s="75" t="s">
        <v>1357</v>
      </c>
      <c r="I524" s="10"/>
      <c r="J524" s="70" t="s">
        <v>17</v>
      </c>
      <c r="K524" s="71" t="s">
        <v>14</v>
      </c>
      <c r="L524" s="7">
        <v>46051.304604548612</v>
      </c>
      <c r="M524" s="67"/>
    </row>
    <row r="525" spans="1:13" ht="100.2" customHeight="1" thickTop="1" thickBot="1">
      <c r="A525" s="76">
        <v>523</v>
      </c>
      <c r="B525" s="7">
        <v>46051.3040707291</v>
      </c>
      <c r="C525" s="8" t="s">
        <v>70</v>
      </c>
      <c r="D525" s="10" t="s">
        <v>203</v>
      </c>
      <c r="E525" s="10" t="s">
        <v>43</v>
      </c>
      <c r="F525" s="89" t="s">
        <v>72</v>
      </c>
      <c r="G525" s="10" t="s">
        <v>66</v>
      </c>
      <c r="H525" s="75" t="s">
        <v>1358</v>
      </c>
      <c r="I525" s="10"/>
      <c r="J525" s="70" t="s">
        <v>17</v>
      </c>
      <c r="K525" s="71" t="s">
        <v>14</v>
      </c>
      <c r="L525" s="7">
        <v>46051.304671458332</v>
      </c>
      <c r="M525" s="67"/>
    </row>
    <row r="526" spans="1:13" ht="100.2" customHeight="1" thickTop="1" thickBot="1">
      <c r="A526" s="10">
        <v>524</v>
      </c>
      <c r="B526" s="7">
        <v>46051.380802418898</v>
      </c>
      <c r="C526" s="8" t="s">
        <v>70</v>
      </c>
      <c r="D526" s="10" t="s">
        <v>1202</v>
      </c>
      <c r="E526" s="10" t="s">
        <v>38</v>
      </c>
      <c r="F526" s="89" t="s">
        <v>72</v>
      </c>
      <c r="G526" s="10" t="s">
        <v>757</v>
      </c>
      <c r="H526" s="75" t="s">
        <v>1359</v>
      </c>
      <c r="I526" s="10"/>
      <c r="J526" s="70" t="s">
        <v>17</v>
      </c>
      <c r="K526" s="71" t="s">
        <v>14</v>
      </c>
      <c r="L526" s="7">
        <v>46051.522176851853</v>
      </c>
      <c r="M526" s="67"/>
    </row>
    <row r="527" spans="1:13" ht="100.2" customHeight="1" thickTop="1" thickBot="1">
      <c r="A527" s="76">
        <v>525</v>
      </c>
      <c r="B527" s="7">
        <v>46051.383661365697</v>
      </c>
      <c r="C527" s="8" t="s">
        <v>70</v>
      </c>
      <c r="D527" s="10" t="s">
        <v>1360</v>
      </c>
      <c r="E527" s="10" t="s">
        <v>38</v>
      </c>
      <c r="F527" s="89" t="s">
        <v>152</v>
      </c>
      <c r="G527" s="10" t="s">
        <v>1361</v>
      </c>
      <c r="H527" s="75" t="s">
        <v>1362</v>
      </c>
      <c r="I527" s="10"/>
      <c r="J527" s="70" t="s">
        <v>17</v>
      </c>
      <c r="K527" s="71" t="s">
        <v>14</v>
      </c>
      <c r="L527" s="7">
        <v>46051.387409363422</v>
      </c>
      <c r="M527" s="67"/>
    </row>
    <row r="528" spans="1:13" ht="100.2" customHeight="1" thickTop="1" thickBot="1">
      <c r="A528" s="10">
        <v>526</v>
      </c>
      <c r="B528" s="7">
        <v>46051.488200590204</v>
      </c>
      <c r="C528" s="8" t="s">
        <v>70</v>
      </c>
      <c r="D528" s="10" t="s">
        <v>1363</v>
      </c>
      <c r="E528" s="10" t="s">
        <v>38</v>
      </c>
      <c r="F528" s="89" t="s">
        <v>105</v>
      </c>
      <c r="G528" s="10" t="s">
        <v>1364</v>
      </c>
      <c r="H528" s="75" t="s">
        <v>1365</v>
      </c>
      <c r="I528" s="10"/>
      <c r="J528" s="70" t="s">
        <v>17</v>
      </c>
      <c r="K528" s="71" t="s">
        <v>14</v>
      </c>
      <c r="L528" s="7">
        <v>46053.484244050924</v>
      </c>
      <c r="M528" s="67"/>
    </row>
    <row r="529" spans="1:13" ht="100.2" customHeight="1" thickTop="1" thickBot="1">
      <c r="A529" s="76">
        <v>527</v>
      </c>
      <c r="B529" s="7">
        <v>46053.419006782402</v>
      </c>
      <c r="C529" s="8" t="s">
        <v>70</v>
      </c>
      <c r="D529" s="10" t="s">
        <v>203</v>
      </c>
      <c r="E529" s="10" t="s">
        <v>43</v>
      </c>
      <c r="F529" s="89" t="s">
        <v>167</v>
      </c>
      <c r="G529" s="10" t="s">
        <v>180</v>
      </c>
      <c r="H529" s="75" t="s">
        <v>1366</v>
      </c>
      <c r="I529" s="10"/>
      <c r="J529" s="70" t="s">
        <v>17</v>
      </c>
      <c r="K529" s="71" t="s">
        <v>14</v>
      </c>
      <c r="L529" s="7">
        <v>46053.430050960647</v>
      </c>
      <c r="M529" s="67"/>
    </row>
    <row r="530" spans="1:13" ht="100.2" customHeight="1" thickTop="1" thickBot="1">
      <c r="A530" s="10">
        <v>528</v>
      </c>
      <c r="B530" s="7">
        <v>46053.419677222199</v>
      </c>
      <c r="C530" s="8" t="s">
        <v>70</v>
      </c>
      <c r="D530" s="10" t="s">
        <v>203</v>
      </c>
      <c r="E530" s="10" t="s">
        <v>43</v>
      </c>
      <c r="F530" s="89" t="s">
        <v>72</v>
      </c>
      <c r="G530" s="10" t="s">
        <v>173</v>
      </c>
      <c r="H530" s="75" t="s">
        <v>1367</v>
      </c>
      <c r="I530" s="10"/>
      <c r="J530" s="70" t="s">
        <v>17</v>
      </c>
      <c r="K530" s="71" t="s">
        <v>14</v>
      </c>
      <c r="L530" s="7">
        <v>46053.43010834491</v>
      </c>
      <c r="M530" s="67"/>
    </row>
    <row r="531" spans="1:13" ht="100.2" customHeight="1" thickTop="1" thickBot="1">
      <c r="A531" s="76">
        <v>529</v>
      </c>
      <c r="B531" s="7">
        <v>46053.420580590202</v>
      </c>
      <c r="C531" s="8" t="s">
        <v>70</v>
      </c>
      <c r="D531" s="10" t="s">
        <v>203</v>
      </c>
      <c r="E531" s="10" t="s">
        <v>43</v>
      </c>
      <c r="F531" s="89" t="s">
        <v>167</v>
      </c>
      <c r="G531" s="10" t="s">
        <v>198</v>
      </c>
      <c r="H531" s="75" t="s">
        <v>1368</v>
      </c>
      <c r="I531" s="10"/>
      <c r="J531" s="70" t="s">
        <v>17</v>
      </c>
      <c r="K531" s="71" t="s">
        <v>14</v>
      </c>
      <c r="L531" s="7">
        <v>46053.430159074072</v>
      </c>
      <c r="M531" s="67"/>
    </row>
    <row r="532" spans="1:13" ht="100.2" customHeight="1" thickTop="1" thickBot="1">
      <c r="A532" s="10">
        <v>530</v>
      </c>
      <c r="B532" s="7">
        <v>46053.422044178202</v>
      </c>
      <c r="C532" s="8" t="s">
        <v>70</v>
      </c>
      <c r="D532" s="10" t="s">
        <v>203</v>
      </c>
      <c r="E532" s="10" t="s">
        <v>43</v>
      </c>
      <c r="F532" s="89" t="s">
        <v>167</v>
      </c>
      <c r="G532" s="10" t="s">
        <v>129</v>
      </c>
      <c r="H532" s="75" t="s">
        <v>1369</v>
      </c>
      <c r="I532" s="10"/>
      <c r="J532" s="70" t="s">
        <v>17</v>
      </c>
      <c r="K532" s="71" t="s">
        <v>14</v>
      </c>
      <c r="L532" s="7">
        <v>46053.430252488426</v>
      </c>
      <c r="M532" s="67"/>
    </row>
    <row r="533" spans="1:13" ht="100.2" customHeight="1" thickTop="1" thickBot="1">
      <c r="A533" s="76">
        <v>531</v>
      </c>
      <c r="B533" s="7">
        <v>46053.423074131897</v>
      </c>
      <c r="C533" s="8" t="s">
        <v>70</v>
      </c>
      <c r="D533" s="10" t="s">
        <v>203</v>
      </c>
      <c r="E533" s="10" t="s">
        <v>43</v>
      </c>
      <c r="F533" s="89" t="s">
        <v>167</v>
      </c>
      <c r="G533" s="10" t="s">
        <v>129</v>
      </c>
      <c r="H533" s="75" t="s">
        <v>1370</v>
      </c>
      <c r="I533" s="10"/>
      <c r="J533" s="70" t="s">
        <v>17</v>
      </c>
      <c r="K533" s="71" t="s">
        <v>14</v>
      </c>
      <c r="L533" s="7">
        <v>46053.430319988431</v>
      </c>
      <c r="M533" s="67"/>
    </row>
    <row r="534" spans="1:13" ht="100.2" customHeight="1" thickTop="1" thickBot="1">
      <c r="A534" s="10">
        <v>532</v>
      </c>
      <c r="B534" s="7">
        <v>46054.418211365701</v>
      </c>
      <c r="C534" s="8" t="s">
        <v>70</v>
      </c>
      <c r="D534" s="10" t="s">
        <v>203</v>
      </c>
      <c r="E534" s="10" t="s">
        <v>43</v>
      </c>
      <c r="F534" s="89" t="s">
        <v>152</v>
      </c>
      <c r="G534" s="10" t="s">
        <v>66</v>
      </c>
      <c r="H534" s="75" t="s">
        <v>1371</v>
      </c>
      <c r="I534" s="10"/>
      <c r="J534" s="70" t="s">
        <v>17</v>
      </c>
      <c r="K534" s="71" t="s">
        <v>14</v>
      </c>
      <c r="L534" s="7">
        <v>46054.42419351852</v>
      </c>
      <c r="M534" s="67"/>
    </row>
    <row r="535" spans="1:13" ht="100.2" customHeight="1" thickTop="1" thickBot="1">
      <c r="A535" s="76">
        <v>533</v>
      </c>
      <c r="B535" s="7">
        <v>46054.418946284699</v>
      </c>
      <c r="C535" s="8" t="s">
        <v>70</v>
      </c>
      <c r="D535" s="10" t="s">
        <v>203</v>
      </c>
      <c r="E535" s="10" t="s">
        <v>43</v>
      </c>
      <c r="F535" s="89" t="s">
        <v>152</v>
      </c>
      <c r="G535" s="10" t="s">
        <v>173</v>
      </c>
      <c r="H535" s="75" t="s">
        <v>1372</v>
      </c>
      <c r="I535" s="10"/>
      <c r="J535" s="70" t="s">
        <v>17</v>
      </c>
      <c r="K535" s="71" t="s">
        <v>14</v>
      </c>
      <c r="L535" s="7">
        <v>46054.424270590272</v>
      </c>
      <c r="M535" s="67"/>
    </row>
    <row r="536" spans="1:13" ht="100.2" customHeight="1" thickTop="1" thickBot="1">
      <c r="A536" s="10">
        <v>534</v>
      </c>
      <c r="B536" s="7">
        <v>46054.419662719898</v>
      </c>
      <c r="C536" s="8" t="s">
        <v>70</v>
      </c>
      <c r="D536" s="10" t="s">
        <v>203</v>
      </c>
      <c r="E536" s="10" t="s">
        <v>43</v>
      </c>
      <c r="F536" s="89" t="s">
        <v>152</v>
      </c>
      <c r="G536" s="10" t="s">
        <v>66</v>
      </c>
      <c r="H536" s="75" t="s">
        <v>1373</v>
      </c>
      <c r="I536" s="10"/>
      <c r="J536" s="70" t="s">
        <v>17</v>
      </c>
      <c r="K536" s="71" t="s">
        <v>14</v>
      </c>
      <c r="L536" s="7">
        <v>46054.424496828702</v>
      </c>
      <c r="M536" s="67"/>
    </row>
    <row r="537" spans="1:13" ht="100.2" customHeight="1" thickTop="1" thickBot="1">
      <c r="A537" s="76">
        <v>535</v>
      </c>
      <c r="B537" s="7">
        <v>46054.420378090203</v>
      </c>
      <c r="C537" s="8" t="s">
        <v>70</v>
      </c>
      <c r="D537" s="10" t="s">
        <v>203</v>
      </c>
      <c r="E537" s="10" t="s">
        <v>43</v>
      </c>
      <c r="F537" s="89" t="s">
        <v>152</v>
      </c>
      <c r="G537" s="10" t="s">
        <v>138</v>
      </c>
      <c r="H537" s="75" t="s">
        <v>1374</v>
      </c>
      <c r="I537" s="10"/>
      <c r="J537" s="70" t="s">
        <v>17</v>
      </c>
      <c r="K537" s="71" t="s">
        <v>14</v>
      </c>
      <c r="L537" s="7">
        <v>46054.424739652779</v>
      </c>
      <c r="M537" s="67"/>
    </row>
    <row r="538" spans="1:13" ht="100.2" customHeight="1" thickTop="1" thickBot="1">
      <c r="A538" s="10">
        <v>536</v>
      </c>
      <c r="B538" s="7">
        <v>46054.421077048602</v>
      </c>
      <c r="C538" s="8" t="s">
        <v>70</v>
      </c>
      <c r="D538" s="10" t="s">
        <v>203</v>
      </c>
      <c r="E538" s="10" t="s">
        <v>43</v>
      </c>
      <c r="F538" s="89" t="s">
        <v>152</v>
      </c>
      <c r="G538" s="10" t="s">
        <v>66</v>
      </c>
      <c r="H538" s="75" t="s">
        <v>1375</v>
      </c>
      <c r="I538" s="10"/>
      <c r="J538" s="70" t="s">
        <v>17</v>
      </c>
      <c r="K538" s="71" t="s">
        <v>14</v>
      </c>
      <c r="L538" s="7">
        <v>46054.424962696758</v>
      </c>
      <c r="M538" s="67"/>
    </row>
    <row r="539" spans="1:13" ht="100.2" customHeight="1" thickTop="1" thickBot="1">
      <c r="A539" s="76">
        <v>537</v>
      </c>
      <c r="B539" s="7">
        <v>46054.421670844902</v>
      </c>
      <c r="C539" s="8" t="s">
        <v>70</v>
      </c>
      <c r="D539" s="10" t="s">
        <v>203</v>
      </c>
      <c r="E539" s="10" t="s">
        <v>43</v>
      </c>
      <c r="F539" s="89" t="s">
        <v>152</v>
      </c>
      <c r="G539" s="10" t="s">
        <v>66</v>
      </c>
      <c r="H539" s="75" t="s">
        <v>1376</v>
      </c>
      <c r="I539" s="10"/>
      <c r="J539" s="70" t="s">
        <v>17</v>
      </c>
      <c r="K539" s="71" t="s">
        <v>14</v>
      </c>
      <c r="L539" s="7">
        <v>46054.425034664353</v>
      </c>
      <c r="M539" s="67"/>
    </row>
    <row r="540" spans="1:13" ht="100.2" customHeight="1" thickTop="1" thickBot="1">
      <c r="A540" s="10">
        <v>538</v>
      </c>
      <c r="B540" s="7">
        <v>46054.621402615703</v>
      </c>
      <c r="C540" s="8" t="s">
        <v>70</v>
      </c>
      <c r="D540" s="10" t="s">
        <v>203</v>
      </c>
      <c r="E540" s="10" t="s">
        <v>43</v>
      </c>
      <c r="F540" s="89" t="s">
        <v>152</v>
      </c>
      <c r="G540" s="10" t="s">
        <v>173</v>
      </c>
      <c r="H540" s="75" t="s">
        <v>1377</v>
      </c>
      <c r="I540" s="10"/>
      <c r="J540" s="70" t="s">
        <v>17</v>
      </c>
      <c r="K540" s="71" t="s">
        <v>14</v>
      </c>
      <c r="L540" s="7">
        <v>46054.622097395833</v>
      </c>
      <c r="M540" s="67"/>
    </row>
    <row r="541" spans="1:13" ht="100.2" customHeight="1" thickTop="1" thickBot="1">
      <c r="A541" s="76">
        <v>539</v>
      </c>
      <c r="B541" s="7">
        <v>46023.460558229097</v>
      </c>
      <c r="C541" s="8" t="s">
        <v>70</v>
      </c>
      <c r="D541" s="10" t="s">
        <v>203</v>
      </c>
      <c r="E541" s="10" t="s">
        <v>43</v>
      </c>
      <c r="F541" s="89" t="s">
        <v>72</v>
      </c>
      <c r="G541" s="10" t="s">
        <v>143</v>
      </c>
      <c r="H541" s="75" t="s">
        <v>1378</v>
      </c>
      <c r="I541" s="10"/>
      <c r="J541" s="70" t="s">
        <v>15</v>
      </c>
      <c r="K541" s="71" t="s">
        <v>14</v>
      </c>
      <c r="L541" s="7">
        <v>46023.462045694439</v>
      </c>
      <c r="M541" s="67"/>
    </row>
    <row r="542" spans="1:13" ht="100.2" customHeight="1" thickTop="1" thickBot="1">
      <c r="A542" s="10">
        <v>540</v>
      </c>
      <c r="B542" s="7">
        <v>46023.461819004602</v>
      </c>
      <c r="C542" s="8" t="s">
        <v>70</v>
      </c>
      <c r="D542" s="10" t="s">
        <v>203</v>
      </c>
      <c r="E542" s="10" t="s">
        <v>43</v>
      </c>
      <c r="F542" s="89" t="s">
        <v>72</v>
      </c>
      <c r="G542" s="10" t="s">
        <v>129</v>
      </c>
      <c r="H542" s="75" t="s">
        <v>1379</v>
      </c>
      <c r="I542" s="10"/>
      <c r="J542" s="70" t="s">
        <v>15</v>
      </c>
      <c r="K542" s="71" t="s">
        <v>14</v>
      </c>
      <c r="L542" s="7">
        <v>46023.462108032407</v>
      </c>
      <c r="M542" s="67"/>
    </row>
    <row r="543" spans="1:13" ht="100.2" customHeight="1" thickTop="1" thickBot="1">
      <c r="A543" s="76">
        <v>541</v>
      </c>
      <c r="B543" s="7">
        <v>46023.463379016197</v>
      </c>
      <c r="C543" s="8" t="s">
        <v>70</v>
      </c>
      <c r="D543" s="10" t="s">
        <v>203</v>
      </c>
      <c r="E543" s="10" t="s">
        <v>43</v>
      </c>
      <c r="F543" s="89" t="s">
        <v>167</v>
      </c>
      <c r="G543" s="10" t="s">
        <v>66</v>
      </c>
      <c r="H543" s="75" t="s">
        <v>1380</v>
      </c>
      <c r="I543" s="10"/>
      <c r="J543" s="70" t="s">
        <v>15</v>
      </c>
      <c r="K543" s="71" t="s">
        <v>14</v>
      </c>
      <c r="L543" s="7">
        <v>46023.463519803241</v>
      </c>
      <c r="M543" s="67"/>
    </row>
    <row r="544" spans="1:13" ht="100.2" customHeight="1" thickTop="1" thickBot="1">
      <c r="A544" s="10">
        <v>542</v>
      </c>
      <c r="B544" s="7">
        <v>46023.464420613403</v>
      </c>
      <c r="C544" s="8" t="s">
        <v>70</v>
      </c>
      <c r="D544" s="10" t="s">
        <v>203</v>
      </c>
      <c r="E544" s="10" t="s">
        <v>43</v>
      </c>
      <c r="F544" s="89" t="s">
        <v>105</v>
      </c>
      <c r="G544" s="10" t="s">
        <v>129</v>
      </c>
      <c r="H544" s="75" t="s">
        <v>1381</v>
      </c>
      <c r="I544" s="10"/>
      <c r="J544" s="70" t="s">
        <v>15</v>
      </c>
      <c r="K544" s="71" t="s">
        <v>14</v>
      </c>
      <c r="L544" s="7">
        <v>46023.464546388888</v>
      </c>
      <c r="M544" s="67"/>
    </row>
    <row r="545" spans="1:13" ht="100.2" customHeight="1" thickTop="1" thickBot="1">
      <c r="A545" s="76">
        <v>543</v>
      </c>
      <c r="B545" s="7">
        <v>46023.465423900401</v>
      </c>
      <c r="C545" s="8" t="s">
        <v>70</v>
      </c>
      <c r="D545" s="10" t="s">
        <v>203</v>
      </c>
      <c r="E545" s="10" t="s">
        <v>43</v>
      </c>
      <c r="F545" s="89" t="s">
        <v>105</v>
      </c>
      <c r="G545" s="10" t="s">
        <v>129</v>
      </c>
      <c r="H545" s="75" t="s">
        <v>1382</v>
      </c>
      <c r="I545" s="10"/>
      <c r="J545" s="70" t="s">
        <v>15</v>
      </c>
      <c r="K545" s="71" t="s">
        <v>14</v>
      </c>
      <c r="L545" s="7">
        <v>46023.465576678238</v>
      </c>
      <c r="M545" s="67"/>
    </row>
    <row r="546" spans="1:13" ht="100.2" customHeight="1" thickTop="1" thickBot="1">
      <c r="A546" s="10">
        <v>544</v>
      </c>
      <c r="B546" s="7">
        <v>46023.466717013798</v>
      </c>
      <c r="C546" s="8" t="s">
        <v>70</v>
      </c>
      <c r="D546" s="10" t="s">
        <v>203</v>
      </c>
      <c r="E546" s="10" t="s">
        <v>43</v>
      </c>
      <c r="F546" s="89" t="s">
        <v>105</v>
      </c>
      <c r="G546" s="10" t="s">
        <v>159</v>
      </c>
      <c r="H546" s="75" t="s">
        <v>1383</v>
      </c>
      <c r="I546" s="10"/>
      <c r="J546" s="70" t="s">
        <v>15</v>
      </c>
      <c r="K546" s="71" t="s">
        <v>14</v>
      </c>
      <c r="L546" s="7">
        <v>46023.466870682867</v>
      </c>
      <c r="M546" s="67"/>
    </row>
    <row r="547" spans="1:13" ht="100.2" customHeight="1" thickTop="1" thickBot="1">
      <c r="A547" s="76">
        <v>545</v>
      </c>
      <c r="B547" s="7">
        <v>46025.593693807801</v>
      </c>
      <c r="C547" s="8" t="s">
        <v>70</v>
      </c>
      <c r="D547" s="10" t="s">
        <v>203</v>
      </c>
      <c r="E547" s="10" t="s">
        <v>43</v>
      </c>
      <c r="F547" s="89" t="s">
        <v>167</v>
      </c>
      <c r="G547" s="10" t="s">
        <v>183</v>
      </c>
      <c r="H547" s="75" t="s">
        <v>1384</v>
      </c>
      <c r="I547" s="10"/>
      <c r="J547" s="70" t="s">
        <v>15</v>
      </c>
      <c r="K547" s="71" t="s">
        <v>14</v>
      </c>
      <c r="L547" s="7">
        <v>46025.595517986112</v>
      </c>
      <c r="M547" s="67"/>
    </row>
    <row r="548" spans="1:13" ht="100.2" customHeight="1" thickTop="1" thickBot="1">
      <c r="A548" s="10">
        <v>546</v>
      </c>
      <c r="B548" s="7">
        <v>46025.595240706003</v>
      </c>
      <c r="C548" s="8" t="s">
        <v>70</v>
      </c>
      <c r="D548" s="10" t="s">
        <v>203</v>
      </c>
      <c r="E548" s="10" t="s">
        <v>43</v>
      </c>
      <c r="F548" s="89" t="s">
        <v>167</v>
      </c>
      <c r="G548" s="10" t="s">
        <v>138</v>
      </c>
      <c r="H548" s="75" t="s">
        <v>1385</v>
      </c>
      <c r="I548" s="10"/>
      <c r="J548" s="70" t="s">
        <v>15</v>
      </c>
      <c r="K548" s="71" t="s">
        <v>14</v>
      </c>
      <c r="L548" s="7">
        <v>46025.595606388888</v>
      </c>
      <c r="M548" s="67"/>
    </row>
    <row r="549" spans="1:13" ht="100.2" customHeight="1" thickTop="1" thickBot="1">
      <c r="A549" s="76">
        <v>547</v>
      </c>
      <c r="B549" s="7">
        <v>46026.380783333298</v>
      </c>
      <c r="C549" s="8" t="s">
        <v>70</v>
      </c>
      <c r="D549" s="10" t="s">
        <v>226</v>
      </c>
      <c r="E549" s="10" t="s">
        <v>38</v>
      </c>
      <c r="F549" s="89" t="s">
        <v>72</v>
      </c>
      <c r="G549" s="10" t="s">
        <v>66</v>
      </c>
      <c r="H549" s="75" t="s">
        <v>1386</v>
      </c>
      <c r="I549" s="10"/>
      <c r="J549" s="70" t="s">
        <v>15</v>
      </c>
      <c r="K549" s="71" t="s">
        <v>14</v>
      </c>
      <c r="L549" s="7">
        <v>46026.499097523149</v>
      </c>
      <c r="M549" s="67"/>
    </row>
    <row r="550" spans="1:13" ht="100.2" customHeight="1" thickTop="1" thickBot="1">
      <c r="A550" s="10">
        <v>548</v>
      </c>
      <c r="B550" s="7">
        <v>46026.4663917129</v>
      </c>
      <c r="C550" s="8" t="s">
        <v>70</v>
      </c>
      <c r="D550" s="10" t="s">
        <v>203</v>
      </c>
      <c r="E550" s="10" t="s">
        <v>43</v>
      </c>
      <c r="F550" s="89" t="s">
        <v>167</v>
      </c>
      <c r="G550" s="10" t="s">
        <v>138</v>
      </c>
      <c r="H550" s="75" t="s">
        <v>1387</v>
      </c>
      <c r="I550" s="10"/>
      <c r="J550" s="70" t="s">
        <v>15</v>
      </c>
      <c r="K550" s="71" t="s">
        <v>14</v>
      </c>
      <c r="L550" s="7">
        <v>46026.466528865742</v>
      </c>
      <c r="M550" s="67"/>
    </row>
    <row r="551" spans="1:13" ht="100.2" customHeight="1" thickTop="1" thickBot="1">
      <c r="A551" s="76">
        <v>549</v>
      </c>
      <c r="B551" s="7">
        <v>46026.644831458303</v>
      </c>
      <c r="C551" s="8" t="s">
        <v>70</v>
      </c>
      <c r="D551" s="10" t="s">
        <v>71</v>
      </c>
      <c r="E551" s="10" t="s">
        <v>38</v>
      </c>
      <c r="F551" s="89" t="s">
        <v>72</v>
      </c>
      <c r="G551" s="10" t="s">
        <v>198</v>
      </c>
      <c r="H551" s="75" t="s">
        <v>1388</v>
      </c>
      <c r="I551" s="10"/>
      <c r="J551" s="70" t="s">
        <v>15</v>
      </c>
      <c r="K551" s="71" t="s">
        <v>14</v>
      </c>
      <c r="L551" s="7">
        <v>46027.310445173614</v>
      </c>
      <c r="M551" s="67" t="s">
        <v>1389</v>
      </c>
    </row>
    <row r="552" spans="1:13" ht="100.2" customHeight="1" thickTop="1" thickBot="1">
      <c r="A552" s="10">
        <v>550</v>
      </c>
      <c r="B552" s="7">
        <v>46026.645216539298</v>
      </c>
      <c r="C552" s="8" t="s">
        <v>70</v>
      </c>
      <c r="D552" s="10" t="s">
        <v>1390</v>
      </c>
      <c r="E552" s="10" t="s">
        <v>38</v>
      </c>
      <c r="F552" s="89" t="s">
        <v>167</v>
      </c>
      <c r="G552" s="10" t="s">
        <v>129</v>
      </c>
      <c r="H552" s="75" t="s">
        <v>1391</v>
      </c>
      <c r="I552" s="10"/>
      <c r="J552" s="70" t="s">
        <v>15</v>
      </c>
      <c r="K552" s="71" t="s">
        <v>14</v>
      </c>
      <c r="L552" s="7">
        <v>46027.31038461806</v>
      </c>
      <c r="M552" s="67"/>
    </row>
    <row r="553" spans="1:13" ht="100.2" customHeight="1" thickTop="1" thickBot="1">
      <c r="A553" s="76">
        <v>551</v>
      </c>
      <c r="B553" s="7">
        <v>46027.332244907397</v>
      </c>
      <c r="C553" s="8" t="s">
        <v>70</v>
      </c>
      <c r="D553" s="10" t="s">
        <v>469</v>
      </c>
      <c r="E553" s="10" t="s">
        <v>38</v>
      </c>
      <c r="F553" s="89" t="s">
        <v>105</v>
      </c>
      <c r="G553" s="10" t="s">
        <v>66</v>
      </c>
      <c r="H553" s="75" t="s">
        <v>1392</v>
      </c>
      <c r="I553" s="10"/>
      <c r="J553" s="70" t="s">
        <v>15</v>
      </c>
      <c r="K553" s="71" t="s">
        <v>14</v>
      </c>
      <c r="L553" s="7">
        <v>46027.358189560182</v>
      </c>
      <c r="M553" s="67"/>
    </row>
    <row r="554" spans="1:13" ht="100.2" customHeight="1" thickTop="1" thickBot="1">
      <c r="A554" s="10">
        <v>552</v>
      </c>
      <c r="B554" s="7">
        <v>46027.551868935101</v>
      </c>
      <c r="C554" s="8" t="s">
        <v>70</v>
      </c>
      <c r="D554" s="10" t="s">
        <v>1393</v>
      </c>
      <c r="E554" s="10" t="s">
        <v>38</v>
      </c>
      <c r="F554" s="89" t="s">
        <v>72</v>
      </c>
      <c r="G554" s="10" t="s">
        <v>129</v>
      </c>
      <c r="H554" s="75" t="s">
        <v>1394</v>
      </c>
      <c r="I554" s="10"/>
      <c r="J554" s="70" t="s">
        <v>15</v>
      </c>
      <c r="K554" s="71" t="s">
        <v>14</v>
      </c>
      <c r="L554" s="7">
        <v>46047.410718564817</v>
      </c>
      <c r="M554" s="67"/>
    </row>
    <row r="555" spans="1:13" ht="100.2" customHeight="1" thickTop="1" thickBot="1">
      <c r="A555" s="76">
        <v>553</v>
      </c>
      <c r="B555" s="7">
        <v>46027.559449756904</v>
      </c>
      <c r="C555" s="8" t="s">
        <v>70</v>
      </c>
      <c r="D555" s="10" t="s">
        <v>407</v>
      </c>
      <c r="E555" s="10" t="s">
        <v>38</v>
      </c>
      <c r="F555" s="89" t="s">
        <v>72</v>
      </c>
      <c r="G555" s="10" t="s">
        <v>143</v>
      </c>
      <c r="H555" s="75" t="s">
        <v>1395</v>
      </c>
      <c r="I555" s="10"/>
      <c r="J555" s="70" t="s">
        <v>15</v>
      </c>
      <c r="K555" s="71" t="s">
        <v>14</v>
      </c>
      <c r="L555" s="7">
        <v>46028.438242245371</v>
      </c>
      <c r="M555" s="67" t="s">
        <v>1232</v>
      </c>
    </row>
    <row r="556" spans="1:13" ht="100.2" customHeight="1" thickTop="1" thickBot="1">
      <c r="A556" s="10">
        <v>554</v>
      </c>
      <c r="B556" s="7">
        <v>46028.420517453698</v>
      </c>
      <c r="C556" s="8" t="s">
        <v>70</v>
      </c>
      <c r="D556" s="10" t="s">
        <v>753</v>
      </c>
      <c r="E556" s="10" t="s">
        <v>38</v>
      </c>
      <c r="F556" s="89" t="s">
        <v>167</v>
      </c>
      <c r="G556" s="10" t="s">
        <v>129</v>
      </c>
      <c r="H556" s="75" t="s">
        <v>1396</v>
      </c>
      <c r="I556" s="10"/>
      <c r="J556" s="70" t="s">
        <v>15</v>
      </c>
      <c r="K556" s="71" t="s">
        <v>14</v>
      </c>
      <c r="L556" s="7">
        <v>46028.440010810184</v>
      </c>
      <c r="M556" s="67"/>
    </row>
    <row r="557" spans="1:13" ht="100.2" customHeight="1" thickTop="1" thickBot="1">
      <c r="A557" s="76">
        <v>555</v>
      </c>
      <c r="B557" s="7">
        <v>46029.373630601804</v>
      </c>
      <c r="C557" s="8" t="s">
        <v>70</v>
      </c>
      <c r="D557" s="10" t="s">
        <v>343</v>
      </c>
      <c r="E557" s="10" t="s">
        <v>38</v>
      </c>
      <c r="F557" s="89" t="s">
        <v>152</v>
      </c>
      <c r="G557" s="10" t="s">
        <v>198</v>
      </c>
      <c r="H557" s="75" t="s">
        <v>1397</v>
      </c>
      <c r="I557" s="10"/>
      <c r="J557" s="70" t="s">
        <v>15</v>
      </c>
      <c r="K557" s="71" t="s">
        <v>14</v>
      </c>
      <c r="L557" s="7">
        <v>46029.398820046292</v>
      </c>
      <c r="M557" s="67"/>
    </row>
    <row r="558" spans="1:13" ht="100.2" customHeight="1" thickTop="1" thickBot="1">
      <c r="A558" s="10">
        <v>556</v>
      </c>
      <c r="B558" s="7">
        <v>46029.408666064803</v>
      </c>
      <c r="C558" s="8" t="s">
        <v>70</v>
      </c>
      <c r="D558" s="10" t="s">
        <v>71</v>
      </c>
      <c r="E558" s="10" t="s">
        <v>38</v>
      </c>
      <c r="F558" s="89" t="s">
        <v>72</v>
      </c>
      <c r="G558" s="10" t="s">
        <v>198</v>
      </c>
      <c r="H558" s="75" t="s">
        <v>1398</v>
      </c>
      <c r="I558" s="10"/>
      <c r="J558" s="70" t="s">
        <v>15</v>
      </c>
      <c r="K558" s="71" t="s">
        <v>14</v>
      </c>
      <c r="L558" s="7">
        <v>46032.519536111111</v>
      </c>
      <c r="M558" s="67" t="s">
        <v>1399</v>
      </c>
    </row>
    <row r="559" spans="1:13" ht="100.2" customHeight="1" thickTop="1" thickBot="1">
      <c r="A559" s="76">
        <v>557</v>
      </c>
      <c r="B559" s="7">
        <v>46029.428849930497</v>
      </c>
      <c r="C559" s="8" t="s">
        <v>70</v>
      </c>
      <c r="D559" s="10" t="s">
        <v>203</v>
      </c>
      <c r="E559" s="10" t="s">
        <v>43</v>
      </c>
      <c r="F559" s="89" t="s">
        <v>750</v>
      </c>
      <c r="G559" s="10" t="s">
        <v>129</v>
      </c>
      <c r="H559" s="75" t="s">
        <v>1400</v>
      </c>
      <c r="I559" s="10"/>
      <c r="J559" s="70" t="s">
        <v>15</v>
      </c>
      <c r="K559" s="71" t="s">
        <v>14</v>
      </c>
      <c r="L559" s="7">
        <v>46029.432241886578</v>
      </c>
      <c r="M559" s="67"/>
    </row>
    <row r="560" spans="1:13" ht="100.2" customHeight="1" thickTop="1" thickBot="1">
      <c r="A560" s="10">
        <v>558</v>
      </c>
      <c r="B560" s="7">
        <v>46029.587451261497</v>
      </c>
      <c r="C560" s="8" t="s">
        <v>70</v>
      </c>
      <c r="D560" s="10" t="s">
        <v>1401</v>
      </c>
      <c r="E560" s="10" t="s">
        <v>38</v>
      </c>
      <c r="F560" s="89" t="s">
        <v>72</v>
      </c>
      <c r="G560" s="10" t="s">
        <v>66</v>
      </c>
      <c r="H560" s="75" t="s">
        <v>1402</v>
      </c>
      <c r="I560" s="10"/>
      <c r="J560" s="70" t="s">
        <v>15</v>
      </c>
      <c r="K560" s="71" t="s">
        <v>27</v>
      </c>
      <c r="L560" s="7">
        <v>46029.607136180552</v>
      </c>
      <c r="M560" s="67" t="s">
        <v>1403</v>
      </c>
    </row>
    <row r="561" spans="1:13" ht="100.2" customHeight="1" thickTop="1" thickBot="1">
      <c r="A561" s="76">
        <v>559</v>
      </c>
      <c r="B561" s="7">
        <v>46032.400789027699</v>
      </c>
      <c r="C561" s="8" t="s">
        <v>70</v>
      </c>
      <c r="D561" s="10" t="s">
        <v>469</v>
      </c>
      <c r="E561" s="10" t="s">
        <v>38</v>
      </c>
      <c r="F561" s="89" t="s">
        <v>152</v>
      </c>
      <c r="G561" s="10" t="s">
        <v>66</v>
      </c>
      <c r="H561" s="75" t="s">
        <v>1404</v>
      </c>
      <c r="I561" s="10"/>
      <c r="J561" s="70" t="s">
        <v>15</v>
      </c>
      <c r="K561" s="71" t="s">
        <v>14</v>
      </c>
      <c r="L561" s="7">
        <v>46032.487301030094</v>
      </c>
      <c r="M561" s="67"/>
    </row>
    <row r="562" spans="1:13" ht="100.2" customHeight="1" thickTop="1" thickBot="1">
      <c r="A562" s="10">
        <v>560</v>
      </c>
      <c r="B562" s="7">
        <v>46032.491770694403</v>
      </c>
      <c r="C562" s="8" t="s">
        <v>70</v>
      </c>
      <c r="D562" s="10" t="s">
        <v>203</v>
      </c>
      <c r="E562" s="10" t="s">
        <v>43</v>
      </c>
      <c r="F562" s="89" t="s">
        <v>167</v>
      </c>
      <c r="G562" s="10" t="s">
        <v>159</v>
      </c>
      <c r="H562" s="75" t="s">
        <v>1405</v>
      </c>
      <c r="I562" s="10"/>
      <c r="J562" s="70" t="s">
        <v>15</v>
      </c>
      <c r="K562" s="71" t="s">
        <v>14</v>
      </c>
      <c r="L562" s="7">
        <v>46032.519084317129</v>
      </c>
      <c r="M562" s="67"/>
    </row>
    <row r="563" spans="1:13" ht="100.2" customHeight="1" thickTop="1" thickBot="1">
      <c r="A563" s="76">
        <v>561</v>
      </c>
      <c r="B563" s="7">
        <v>46033.4268514699</v>
      </c>
      <c r="C563" s="8" t="s">
        <v>70</v>
      </c>
      <c r="D563" s="10" t="s">
        <v>85</v>
      </c>
      <c r="E563" s="10" t="s">
        <v>38</v>
      </c>
      <c r="F563" s="89" t="s">
        <v>105</v>
      </c>
      <c r="G563" s="10" t="s">
        <v>1406</v>
      </c>
      <c r="H563" s="75" t="s">
        <v>1407</v>
      </c>
      <c r="I563" s="10"/>
      <c r="J563" s="70" t="s">
        <v>15</v>
      </c>
      <c r="K563" s="71" t="s">
        <v>14</v>
      </c>
      <c r="L563" s="7">
        <v>46033.508528715276</v>
      </c>
      <c r="M563" s="67"/>
    </row>
    <row r="564" spans="1:13" ht="100.2" customHeight="1" thickTop="1" thickBot="1">
      <c r="A564" s="10">
        <v>562</v>
      </c>
      <c r="B564" s="7">
        <v>46034.331170613397</v>
      </c>
      <c r="C564" s="8" t="s">
        <v>70</v>
      </c>
      <c r="D564" s="10" t="s">
        <v>203</v>
      </c>
      <c r="E564" s="10" t="s">
        <v>43</v>
      </c>
      <c r="F564" s="89" t="s">
        <v>105</v>
      </c>
      <c r="G564" s="10" t="s">
        <v>138</v>
      </c>
      <c r="H564" s="75" t="s">
        <v>1408</v>
      </c>
      <c r="I564" s="10"/>
      <c r="J564" s="70" t="s">
        <v>15</v>
      </c>
      <c r="K564" s="71" t="s">
        <v>14</v>
      </c>
      <c r="L564" s="7">
        <v>46034.331307314817</v>
      </c>
      <c r="M564" s="67"/>
    </row>
    <row r="565" spans="1:13" ht="100.2" customHeight="1" thickTop="1" thickBot="1">
      <c r="A565" s="76">
        <v>563</v>
      </c>
      <c r="B565" s="7">
        <v>46034.335811099503</v>
      </c>
      <c r="C565" s="8" t="s">
        <v>70</v>
      </c>
      <c r="D565" s="10" t="s">
        <v>203</v>
      </c>
      <c r="E565" s="10" t="s">
        <v>43</v>
      </c>
      <c r="F565" s="89" t="s">
        <v>152</v>
      </c>
      <c r="G565" s="10" t="s">
        <v>66</v>
      </c>
      <c r="H565" s="75" t="s">
        <v>1409</v>
      </c>
      <c r="I565" s="10"/>
      <c r="J565" s="70" t="s">
        <v>15</v>
      </c>
      <c r="K565" s="71" t="s">
        <v>14</v>
      </c>
      <c r="L565" s="7">
        <v>46034.336002303244</v>
      </c>
      <c r="M565" s="67"/>
    </row>
    <row r="566" spans="1:13" ht="100.2" customHeight="1" thickTop="1" thickBot="1">
      <c r="A566" s="10">
        <v>564</v>
      </c>
      <c r="B566" s="7">
        <v>46034.342104456002</v>
      </c>
      <c r="C566" s="8" t="s">
        <v>70</v>
      </c>
      <c r="D566" s="10" t="s">
        <v>71</v>
      </c>
      <c r="E566" s="10" t="s">
        <v>38</v>
      </c>
      <c r="F566" s="89" t="s">
        <v>72</v>
      </c>
      <c r="G566" s="10" t="s">
        <v>129</v>
      </c>
      <c r="H566" s="75" t="s">
        <v>1410</v>
      </c>
      <c r="I566" s="10"/>
      <c r="J566" s="70" t="s">
        <v>15</v>
      </c>
      <c r="K566" s="71" t="s">
        <v>14</v>
      </c>
      <c r="L566" s="7">
        <v>46034.787126238429</v>
      </c>
      <c r="M566" s="67" t="s">
        <v>1411</v>
      </c>
    </row>
    <row r="567" spans="1:13" ht="100.2" customHeight="1" thickTop="1" thickBot="1">
      <c r="A567" s="76">
        <v>565</v>
      </c>
      <c r="B567" s="7">
        <v>46034.342753020799</v>
      </c>
      <c r="C567" s="8" t="s">
        <v>70</v>
      </c>
      <c r="D567" s="10" t="s">
        <v>641</v>
      </c>
      <c r="E567" s="10" t="s">
        <v>38</v>
      </c>
      <c r="F567" s="89" t="s">
        <v>72</v>
      </c>
      <c r="G567" s="10" t="s">
        <v>107</v>
      </c>
      <c r="H567" s="75" t="s">
        <v>1412</v>
      </c>
      <c r="I567" s="10"/>
      <c r="J567" s="70" t="s">
        <v>15</v>
      </c>
      <c r="K567" s="71" t="s">
        <v>14</v>
      </c>
      <c r="L567" s="7">
        <v>46034.5269162037</v>
      </c>
      <c r="M567" s="67" t="s">
        <v>1413</v>
      </c>
    </row>
    <row r="568" spans="1:13" ht="100.2" customHeight="1" thickTop="1" thickBot="1">
      <c r="A568" s="10">
        <v>566</v>
      </c>
      <c r="B568" s="7">
        <v>46035.605601226802</v>
      </c>
      <c r="C568" s="8" t="s">
        <v>70</v>
      </c>
      <c r="D568" s="10" t="s">
        <v>203</v>
      </c>
      <c r="E568" s="10" t="s">
        <v>43</v>
      </c>
      <c r="F568" s="89" t="s">
        <v>72</v>
      </c>
      <c r="G568" s="10" t="s">
        <v>159</v>
      </c>
      <c r="H568" s="75" t="s">
        <v>1414</v>
      </c>
      <c r="I568" s="10"/>
      <c r="J568" s="70" t="s">
        <v>15</v>
      </c>
      <c r="K568" s="71" t="s">
        <v>14</v>
      </c>
      <c r="L568" s="7">
        <v>46035.608891122683</v>
      </c>
      <c r="M568" s="67"/>
    </row>
    <row r="569" spans="1:13" ht="100.2" customHeight="1" thickTop="1" thickBot="1">
      <c r="A569" s="76">
        <v>567</v>
      </c>
      <c r="B569" s="7">
        <v>46035.6135116203</v>
      </c>
      <c r="C569" s="8" t="s">
        <v>70</v>
      </c>
      <c r="D569" s="10" t="s">
        <v>203</v>
      </c>
      <c r="E569" s="10" t="s">
        <v>43</v>
      </c>
      <c r="F569" s="89" t="s">
        <v>72</v>
      </c>
      <c r="G569" s="10" t="s">
        <v>129</v>
      </c>
      <c r="H569" s="75" t="s">
        <v>1415</v>
      </c>
      <c r="I569" s="10"/>
      <c r="J569" s="70" t="s">
        <v>15</v>
      </c>
      <c r="K569" s="71" t="s">
        <v>14</v>
      </c>
      <c r="L569" s="7">
        <v>46035.615098032409</v>
      </c>
      <c r="M569" s="67"/>
    </row>
    <row r="570" spans="1:13" ht="100.2" customHeight="1" thickTop="1" thickBot="1">
      <c r="A570" s="10">
        <v>568</v>
      </c>
      <c r="B570" s="7">
        <v>46035.614956666599</v>
      </c>
      <c r="C570" s="8" t="s">
        <v>70</v>
      </c>
      <c r="D570" s="10" t="s">
        <v>203</v>
      </c>
      <c r="E570" s="10" t="s">
        <v>43</v>
      </c>
      <c r="F570" s="89" t="s">
        <v>72</v>
      </c>
      <c r="G570" s="10" t="s">
        <v>159</v>
      </c>
      <c r="H570" s="75" t="s">
        <v>1416</v>
      </c>
      <c r="I570" s="10"/>
      <c r="J570" s="70" t="s">
        <v>15</v>
      </c>
      <c r="K570" s="71" t="s">
        <v>14</v>
      </c>
      <c r="L570" s="7">
        <v>46035.615119814815</v>
      </c>
      <c r="M570" s="67"/>
    </row>
    <row r="571" spans="1:13" ht="100.2" customHeight="1" thickTop="1" thickBot="1">
      <c r="A571" s="76">
        <v>569</v>
      </c>
      <c r="B571" s="7">
        <v>46036.4749643865</v>
      </c>
      <c r="C571" s="8" t="s">
        <v>70</v>
      </c>
      <c r="D571" s="10" t="s">
        <v>203</v>
      </c>
      <c r="E571" s="10" t="s">
        <v>43</v>
      </c>
      <c r="F571" s="89" t="s">
        <v>167</v>
      </c>
      <c r="G571" s="10" t="s">
        <v>198</v>
      </c>
      <c r="H571" s="75" t="s">
        <v>1417</v>
      </c>
      <c r="I571" s="10"/>
      <c r="J571" s="70" t="s">
        <v>15</v>
      </c>
      <c r="K571" s="71" t="s">
        <v>14</v>
      </c>
      <c r="L571" s="7">
        <v>46036.475879768521</v>
      </c>
      <c r="M571" s="67"/>
    </row>
    <row r="572" spans="1:13" ht="100.2" customHeight="1" thickTop="1" thickBot="1">
      <c r="A572" s="10">
        <v>570</v>
      </c>
      <c r="B572" s="7">
        <v>46040.5839520023</v>
      </c>
      <c r="C572" s="8" t="s">
        <v>70</v>
      </c>
      <c r="D572" s="10" t="s">
        <v>203</v>
      </c>
      <c r="E572" s="10" t="s">
        <v>43</v>
      </c>
      <c r="F572" s="89" t="s">
        <v>152</v>
      </c>
      <c r="G572" s="10" t="s">
        <v>173</v>
      </c>
      <c r="H572" s="75" t="s">
        <v>1418</v>
      </c>
      <c r="I572" s="10"/>
      <c r="J572" s="70" t="s">
        <v>15</v>
      </c>
      <c r="K572" s="71" t="s">
        <v>14</v>
      </c>
      <c r="L572" s="7">
        <v>46040.585383391204</v>
      </c>
      <c r="M572" s="67"/>
    </row>
    <row r="573" spans="1:13" ht="100.2" customHeight="1" thickTop="1" thickBot="1">
      <c r="A573" s="76">
        <v>571</v>
      </c>
      <c r="B573" s="7">
        <v>46041.418989432801</v>
      </c>
      <c r="C573" s="8" t="s">
        <v>70</v>
      </c>
      <c r="D573" s="10" t="s">
        <v>203</v>
      </c>
      <c r="E573" s="10" t="s">
        <v>43</v>
      </c>
      <c r="F573" s="89" t="s">
        <v>152</v>
      </c>
      <c r="G573" s="10" t="s">
        <v>173</v>
      </c>
      <c r="H573" s="75" t="s">
        <v>1419</v>
      </c>
      <c r="I573" s="10"/>
      <c r="J573" s="70" t="s">
        <v>15</v>
      </c>
      <c r="K573" s="71" t="s">
        <v>14</v>
      </c>
      <c r="L573" s="7">
        <v>46041.420733125</v>
      </c>
      <c r="M573" s="67"/>
    </row>
    <row r="574" spans="1:13" ht="100.2" customHeight="1" thickTop="1" thickBot="1">
      <c r="A574" s="10">
        <v>572</v>
      </c>
      <c r="B574" s="7">
        <v>46042.4398115972</v>
      </c>
      <c r="C574" s="8" t="s">
        <v>70</v>
      </c>
      <c r="D574" s="10" t="s">
        <v>203</v>
      </c>
      <c r="E574" s="10" t="s">
        <v>43</v>
      </c>
      <c r="F574" s="89" t="s">
        <v>167</v>
      </c>
      <c r="G574" s="10" t="s">
        <v>138</v>
      </c>
      <c r="H574" s="75" t="s">
        <v>1420</v>
      </c>
      <c r="I574" s="10"/>
      <c r="J574" s="70" t="s">
        <v>15</v>
      </c>
      <c r="K574" s="71" t="s">
        <v>14</v>
      </c>
      <c r="L574" s="7">
        <v>46042.442781388891</v>
      </c>
      <c r="M574" s="67"/>
    </row>
    <row r="575" spans="1:13" ht="100.2" customHeight="1" thickTop="1" thickBot="1">
      <c r="A575" s="76">
        <v>573</v>
      </c>
      <c r="B575" s="7">
        <v>46043.427583356402</v>
      </c>
      <c r="C575" s="8" t="s">
        <v>70</v>
      </c>
      <c r="D575" s="10" t="s">
        <v>469</v>
      </c>
      <c r="E575" s="10" t="s">
        <v>38</v>
      </c>
      <c r="F575" s="89" t="s">
        <v>152</v>
      </c>
      <c r="G575" s="10" t="s">
        <v>442</v>
      </c>
      <c r="H575" s="75" t="s">
        <v>1421</v>
      </c>
      <c r="I575" s="10"/>
      <c r="J575" s="70" t="s">
        <v>15</v>
      </c>
      <c r="K575" s="71" t="s">
        <v>14</v>
      </c>
      <c r="L575" s="7">
        <v>46047.410549814813</v>
      </c>
      <c r="M575" s="67"/>
    </row>
    <row r="576" spans="1:13" ht="100.2" customHeight="1" thickTop="1" thickBot="1">
      <c r="A576" s="10">
        <v>574</v>
      </c>
      <c r="B576" s="7">
        <v>46043.4549375231</v>
      </c>
      <c r="C576" s="8" t="s">
        <v>70</v>
      </c>
      <c r="D576" s="10" t="s">
        <v>203</v>
      </c>
      <c r="E576" s="10" t="s">
        <v>43</v>
      </c>
      <c r="F576" s="89" t="s">
        <v>72</v>
      </c>
      <c r="G576" s="10" t="s">
        <v>496</v>
      </c>
      <c r="H576" s="75" t="s">
        <v>1422</v>
      </c>
      <c r="I576" s="10"/>
      <c r="J576" s="70" t="s">
        <v>15</v>
      </c>
      <c r="K576" s="71" t="s">
        <v>14</v>
      </c>
      <c r="L576" s="7">
        <v>46043.456489270829</v>
      </c>
      <c r="M576" s="67"/>
    </row>
    <row r="577" spans="1:13" ht="100.2" customHeight="1" thickTop="1" thickBot="1">
      <c r="A577" s="76">
        <v>575</v>
      </c>
      <c r="B577" s="7">
        <v>46047.5675658564</v>
      </c>
      <c r="C577" s="8" t="s">
        <v>70</v>
      </c>
      <c r="D577" s="10" t="s">
        <v>203</v>
      </c>
      <c r="E577" s="10" t="s">
        <v>43</v>
      </c>
      <c r="F577" s="89" t="s">
        <v>167</v>
      </c>
      <c r="G577" s="10" t="s">
        <v>749</v>
      </c>
      <c r="H577" s="75" t="s">
        <v>1423</v>
      </c>
      <c r="I577" s="10"/>
      <c r="J577" s="70" t="s">
        <v>15</v>
      </c>
      <c r="K577" s="71" t="s">
        <v>14</v>
      </c>
      <c r="L577" s="7">
        <v>46047.571513483796</v>
      </c>
      <c r="M577" s="67"/>
    </row>
    <row r="578" spans="1:13" ht="100.2" customHeight="1" thickTop="1" thickBot="1">
      <c r="A578" s="10">
        <v>576</v>
      </c>
      <c r="B578" s="7">
        <v>46047.5687283101</v>
      </c>
      <c r="C578" s="8" t="s">
        <v>70</v>
      </c>
      <c r="D578" s="10" t="s">
        <v>203</v>
      </c>
      <c r="E578" s="10" t="s">
        <v>43</v>
      </c>
      <c r="F578" s="89" t="s">
        <v>167</v>
      </c>
      <c r="G578" s="10" t="s">
        <v>751</v>
      </c>
      <c r="H578" s="75" t="s">
        <v>1424</v>
      </c>
      <c r="I578" s="10"/>
      <c r="J578" s="70" t="s">
        <v>15</v>
      </c>
      <c r="K578" s="71" t="s">
        <v>14</v>
      </c>
      <c r="L578" s="7">
        <v>46047.571588460647</v>
      </c>
      <c r="M578" s="67"/>
    </row>
    <row r="579" spans="1:13" ht="100.2" customHeight="1" thickTop="1" thickBot="1">
      <c r="A579" s="76">
        <v>577</v>
      </c>
      <c r="B579" s="7">
        <v>46047.576906955997</v>
      </c>
      <c r="C579" s="8" t="s">
        <v>70</v>
      </c>
      <c r="D579" s="10" t="s">
        <v>203</v>
      </c>
      <c r="E579" s="10" t="s">
        <v>43</v>
      </c>
      <c r="F579" s="89" t="s">
        <v>167</v>
      </c>
      <c r="G579" s="10" t="s">
        <v>138</v>
      </c>
      <c r="H579" s="75" t="s">
        <v>1425</v>
      </c>
      <c r="I579" s="10"/>
      <c r="J579" s="70" t="s">
        <v>15</v>
      </c>
      <c r="K579" s="71" t="s">
        <v>14</v>
      </c>
      <c r="L579" s="7">
        <v>46047.57720936343</v>
      </c>
      <c r="M579" s="67"/>
    </row>
    <row r="580" spans="1:13" ht="100.2" customHeight="1" thickTop="1" thickBot="1">
      <c r="A580" s="10">
        <v>578</v>
      </c>
      <c r="B580" s="7">
        <v>46048.4346405092</v>
      </c>
      <c r="C580" s="8" t="s">
        <v>70</v>
      </c>
      <c r="D580" s="10" t="s">
        <v>203</v>
      </c>
      <c r="E580" s="10" t="s">
        <v>43</v>
      </c>
      <c r="F580" s="89" t="s">
        <v>72</v>
      </c>
      <c r="G580" s="10" t="s">
        <v>66</v>
      </c>
      <c r="H580" s="75" t="s">
        <v>1426</v>
      </c>
      <c r="I580" s="10"/>
      <c r="J580" s="70" t="s">
        <v>15</v>
      </c>
      <c r="K580" s="71" t="s">
        <v>14</v>
      </c>
      <c r="L580" s="7">
        <v>46048.434812060186</v>
      </c>
      <c r="M580" s="67"/>
    </row>
    <row r="581" spans="1:13" ht="100.2" customHeight="1" thickTop="1" thickBot="1">
      <c r="A581" s="76">
        <v>579</v>
      </c>
      <c r="B581" s="7">
        <v>46048.436062094901</v>
      </c>
      <c r="C581" s="8" t="s">
        <v>70</v>
      </c>
      <c r="D581" s="10" t="s">
        <v>203</v>
      </c>
      <c r="E581" s="10" t="s">
        <v>43</v>
      </c>
      <c r="F581" s="89" t="s">
        <v>152</v>
      </c>
      <c r="G581" s="10" t="s">
        <v>66</v>
      </c>
      <c r="H581" s="75" t="s">
        <v>1427</v>
      </c>
      <c r="I581" s="10"/>
      <c r="J581" s="70" t="s">
        <v>15</v>
      </c>
      <c r="K581" s="71" t="s">
        <v>14</v>
      </c>
      <c r="L581" s="7">
        <v>46048.443022106483</v>
      </c>
      <c r="M581" s="67"/>
    </row>
    <row r="582" spans="1:13" ht="100.2" customHeight="1" thickTop="1" thickBot="1">
      <c r="A582" s="10">
        <v>580</v>
      </c>
      <c r="B582" s="7">
        <v>46048.579206435097</v>
      </c>
      <c r="C582" s="8" t="s">
        <v>70</v>
      </c>
      <c r="D582" s="10" t="s">
        <v>1202</v>
      </c>
      <c r="E582" s="10" t="s">
        <v>38</v>
      </c>
      <c r="F582" s="89" t="s">
        <v>72</v>
      </c>
      <c r="G582" s="10" t="s">
        <v>66</v>
      </c>
      <c r="H582" s="75" t="s">
        <v>1428</v>
      </c>
      <c r="I582" s="10"/>
      <c r="J582" s="70" t="s">
        <v>15</v>
      </c>
      <c r="K582" s="71" t="s">
        <v>14</v>
      </c>
      <c r="L582" s="7">
        <v>46049.350555104167</v>
      </c>
      <c r="M582" s="67"/>
    </row>
    <row r="583" spans="1:13" ht="100.2" customHeight="1" thickTop="1" thickBot="1">
      <c r="A583" s="76">
        <v>581</v>
      </c>
      <c r="B583" s="7">
        <v>46050.468925150402</v>
      </c>
      <c r="C583" s="8" t="s">
        <v>70</v>
      </c>
      <c r="D583" s="10" t="s">
        <v>203</v>
      </c>
      <c r="E583" s="10" t="s">
        <v>43</v>
      </c>
      <c r="F583" s="89" t="s">
        <v>72</v>
      </c>
      <c r="G583" s="10" t="s">
        <v>159</v>
      </c>
      <c r="H583" s="75" t="s">
        <v>1429</v>
      </c>
      <c r="I583" s="10"/>
      <c r="J583" s="70" t="s">
        <v>15</v>
      </c>
      <c r="K583" s="71" t="s">
        <v>14</v>
      </c>
      <c r="L583" s="7">
        <v>46050.469572812501</v>
      </c>
      <c r="M583" s="67"/>
    </row>
    <row r="584" spans="1:13" ht="100.2" customHeight="1" thickTop="1" thickBot="1">
      <c r="A584" s="10">
        <v>582</v>
      </c>
      <c r="B584" s="7">
        <v>46051.312373252302</v>
      </c>
      <c r="C584" s="8" t="s">
        <v>70</v>
      </c>
      <c r="D584" s="10" t="s">
        <v>203</v>
      </c>
      <c r="E584" s="10" t="s">
        <v>43</v>
      </c>
      <c r="F584" s="89" t="s">
        <v>167</v>
      </c>
      <c r="G584" s="10" t="s">
        <v>66</v>
      </c>
      <c r="H584" s="75" t="s">
        <v>1430</v>
      </c>
      <c r="I584" s="10"/>
      <c r="J584" s="70" t="s">
        <v>15</v>
      </c>
      <c r="K584" s="71" t="s">
        <v>14</v>
      </c>
      <c r="L584" s="7">
        <v>46051.312737893517</v>
      </c>
      <c r="M584" s="67"/>
    </row>
    <row r="585" spans="1:13" ht="100.2" customHeight="1" thickTop="1" thickBot="1">
      <c r="A585" s="76">
        <v>583</v>
      </c>
      <c r="B585" s="7">
        <v>46053.4145904861</v>
      </c>
      <c r="C585" s="8" t="s">
        <v>70</v>
      </c>
      <c r="D585" s="10" t="s">
        <v>203</v>
      </c>
      <c r="E585" s="10" t="s">
        <v>43</v>
      </c>
      <c r="F585" s="89" t="s">
        <v>152</v>
      </c>
      <c r="G585" s="10" t="s">
        <v>173</v>
      </c>
      <c r="H585" s="75" t="s">
        <v>1431</v>
      </c>
      <c r="I585" s="10"/>
      <c r="J585" s="70" t="s">
        <v>15</v>
      </c>
      <c r="K585" s="71" t="s">
        <v>14</v>
      </c>
      <c r="L585" s="7">
        <v>46053.429623252319</v>
      </c>
      <c r="M585" s="67"/>
    </row>
    <row r="586" spans="1:13" ht="100.2" customHeight="1" thickTop="1" thickBot="1">
      <c r="A586" s="10">
        <v>584</v>
      </c>
      <c r="B586" s="7">
        <v>46054.427164722198</v>
      </c>
      <c r="C586" s="8" t="s">
        <v>70</v>
      </c>
      <c r="D586" s="10" t="s">
        <v>203</v>
      </c>
      <c r="E586" s="10" t="s">
        <v>43</v>
      </c>
      <c r="F586" s="89" t="s">
        <v>152</v>
      </c>
      <c r="G586" s="10" t="s">
        <v>159</v>
      </c>
      <c r="H586" s="75" t="s">
        <v>1432</v>
      </c>
      <c r="I586" s="10"/>
      <c r="J586" s="70" t="s">
        <v>15</v>
      </c>
      <c r="K586" s="71" t="s">
        <v>14</v>
      </c>
      <c r="L586" s="7">
        <v>46054.429597025461</v>
      </c>
      <c r="M586" s="67"/>
    </row>
    <row r="587" spans="1:13" ht="100.2" customHeight="1" thickTop="1" thickBot="1">
      <c r="A587" s="76">
        <v>585</v>
      </c>
      <c r="B587" s="7">
        <v>46054.619416064801</v>
      </c>
      <c r="C587" s="8" t="s">
        <v>70</v>
      </c>
      <c r="D587" s="10" t="s">
        <v>203</v>
      </c>
      <c r="E587" s="10" t="s">
        <v>43</v>
      </c>
      <c r="F587" s="89" t="s">
        <v>152</v>
      </c>
      <c r="G587" s="10" t="s">
        <v>173</v>
      </c>
      <c r="H587" s="75" t="s">
        <v>1433</v>
      </c>
      <c r="I587" s="10"/>
      <c r="J587" s="70" t="s">
        <v>15</v>
      </c>
      <c r="K587" s="71" t="s">
        <v>14</v>
      </c>
      <c r="L587" s="7">
        <v>46054.62192153935</v>
      </c>
      <c r="M587" s="67"/>
    </row>
    <row r="588" spans="1:13" ht="100.2" customHeight="1" thickTop="1" thickBot="1">
      <c r="A588" s="10">
        <v>586</v>
      </c>
      <c r="B588" s="7"/>
      <c r="C588" s="8"/>
      <c r="D588" s="10"/>
      <c r="E588" s="10"/>
      <c r="F588" s="89"/>
      <c r="G588" s="10"/>
      <c r="H588" s="75"/>
      <c r="I588" s="10"/>
      <c r="J588" s="70"/>
      <c r="K588" s="71"/>
      <c r="L588" s="7"/>
      <c r="M588" s="67"/>
    </row>
    <row r="589" spans="1:13" ht="100.2" customHeight="1" thickTop="1" thickBot="1">
      <c r="A589" s="10">
        <v>587</v>
      </c>
      <c r="B589" s="7"/>
      <c r="C589" s="8"/>
      <c r="D589" s="10"/>
      <c r="E589" s="10"/>
      <c r="F589" s="89"/>
      <c r="G589" s="10"/>
      <c r="H589" s="75"/>
      <c r="I589" s="10"/>
      <c r="J589" s="70"/>
      <c r="K589" s="71"/>
      <c r="L589" s="7"/>
      <c r="M589" s="67"/>
    </row>
    <row r="590" spans="1:13" ht="100.2" customHeight="1" thickTop="1" thickBot="1">
      <c r="A590" s="10">
        <v>588</v>
      </c>
      <c r="B590" s="7"/>
      <c r="C590" s="8"/>
      <c r="D590" s="10"/>
      <c r="E590" s="10"/>
      <c r="F590" s="89"/>
      <c r="G590" s="10"/>
      <c r="H590" s="75"/>
      <c r="I590" s="10"/>
      <c r="J590" s="70"/>
      <c r="K590" s="71"/>
      <c r="L590" s="7"/>
      <c r="M590" s="67"/>
    </row>
    <row r="591" spans="1:13" ht="15.75" customHeight="1" thickTop="1"/>
  </sheetData>
  <autoFilter ref="A2:A590" xr:uid="{00000000-0009-0000-0000-000000000000}"/>
  <conditionalFormatting sqref="B3:B590">
    <cfRule type="expression" dxfId="16" priority="9">
      <formula>AND($B3&lt;&gt;"", TRIM($K3)="")</formula>
    </cfRule>
    <cfRule type="expression" dxfId="15" priority="10">
      <formula>INT($B3) &lt; TODAY()</formula>
    </cfRule>
    <cfRule type="expression" dxfId="14" priority="11">
      <formula>INT($B3) = TODAY()</formula>
    </cfRule>
  </conditionalFormatting>
  <conditionalFormatting sqref="K1:K5 K591:K1048576">
    <cfRule type="containsText" dxfId="13" priority="12" operator="containsText" text="منجز">
      <formula>NOT(ISERROR(SEARCH("منجز",K1)))</formula>
    </cfRule>
    <cfRule type="containsText" dxfId="12" priority="13" operator="containsText" text="منجز">
      <formula>NOT(ISERROR(SEARCH("منجز",K1)))</formula>
    </cfRule>
  </conditionalFormatting>
  <conditionalFormatting sqref="K6:K590">
    <cfRule type="containsText" dxfId="11" priority="7" operator="containsText" text="منجز">
      <formula>NOT(ISERROR(SEARCH("منجز",K6)))</formula>
    </cfRule>
    <cfRule type="containsText" dxfId="10" priority="8" operator="containsText" text="منجز">
      <formula>NOT(ISERROR(SEARCH("منجز",K6)))</formula>
    </cfRule>
  </conditionalFormatting>
  <dataValidations count="2">
    <dataValidation type="list" allowBlank="1" sqref="K3:K590" xr:uid="{00000000-0002-0000-0000-000000000000}">
      <formula1>"منجز,ملغي,تابع للتربية,مؤجل"</formula1>
    </dataValidation>
    <dataValidation type="list" allowBlank="1" sqref="J3:J590" xr:uid="{00000000-0002-0000-0000-000001000000}">
      <formula1>#REF!</formula1>
    </dataValidation>
  </dataValidations>
  <printOptions horizontalCentered="1" verticalCentered="1"/>
  <pageMargins left="0.23622047244094491" right="0.23622047244094491" top="0.74803149606299213" bottom="0.74803149606299213" header="0.31496062992125984" footer="0.31496062992125984"/>
  <pageSetup scale="39" fitToHeight="0" orientation="portrait" useFirstPageNumber="1" r:id="rId1"/>
  <headerFooter>
    <oddHeader xml:space="preserve">&amp;C&amp;"Segoe UI Historic,غامق"&amp;20قسم المشاريع الهندسية
شعبة صيانة مجموعة العميد التربوية&amp;R&amp;"-,غامق"&amp;16الاعمال المنجزة :- 572 عمل&amp;"-,عادي"&amp;10 </oddHeader>
    <oddFooter>صفحة &amp;P</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CC71"/>
    <outlinePr summaryBelow="0" summaryRight="0"/>
  </sheetPr>
  <dimension ref="A1:M998"/>
  <sheetViews>
    <sheetView showGridLines="0" workbookViewId="0">
      <pane ySplit="1" topLeftCell="A206" activePane="bottomLeft" state="frozen"/>
      <selection pane="bottomLeft" activeCell="A212" sqref="A212"/>
    </sheetView>
  </sheetViews>
  <sheetFormatPr defaultColWidth="12.5546875" defaultRowHeight="15.75" customHeight="1"/>
  <cols>
    <col min="1" max="1" width="24.88671875" bestFit="1" customWidth="1"/>
    <col min="2" max="2" width="6" customWidth="1"/>
    <col min="3" max="3" width="13.44140625" customWidth="1"/>
    <col min="4" max="4" width="13" customWidth="1"/>
    <col min="5" max="7" width="25.109375" customWidth="1"/>
    <col min="8" max="8" width="18.88671875" customWidth="1"/>
    <col min="9" max="9" width="10.6640625" customWidth="1"/>
    <col min="10" max="10" width="10" customWidth="1"/>
    <col min="11" max="11" width="25" bestFit="1" customWidth="1"/>
    <col min="12" max="12" width="18.88671875" style="68" customWidth="1"/>
    <col min="13" max="13" width="15.109375" hidden="1" customWidth="1"/>
  </cols>
  <sheetData>
    <row r="1" spans="1:13" ht="37.5" customHeight="1" thickBot="1">
      <c r="A1" s="1" t="s">
        <v>0</v>
      </c>
      <c r="B1" s="2" t="s">
        <v>1</v>
      </c>
      <c r="C1" s="3" t="s">
        <v>2</v>
      </c>
      <c r="D1" s="1" t="s">
        <v>3</v>
      </c>
      <c r="E1" s="1" t="s">
        <v>4</v>
      </c>
      <c r="F1" s="1" t="s">
        <v>5</v>
      </c>
      <c r="G1" s="1" t="s">
        <v>6</v>
      </c>
      <c r="H1" s="1" t="s">
        <v>7</v>
      </c>
      <c r="I1" s="4" t="s">
        <v>8</v>
      </c>
      <c r="J1" s="4" t="s">
        <v>9</v>
      </c>
      <c r="K1" s="5" t="s">
        <v>10</v>
      </c>
      <c r="L1" s="66" t="s">
        <v>11</v>
      </c>
      <c r="M1" s="6" t="s">
        <v>12</v>
      </c>
    </row>
    <row r="2" spans="1:13" ht="75" customHeight="1" thickTop="1" thickBot="1">
      <c r="A2" s="7">
        <f ca="1">IFERROR(__xludf.DUMMYFUNCTION("""COMPUTED_VALUE"""),45963.3532892824)</f>
        <v>45963.353289282401</v>
      </c>
      <c r="B2" s="8" t="str">
        <f ca="1">IFERROR(__xludf.DUMMYFUNCTION("""COMPUTED_VALUE"""),"المعملجي")</f>
        <v>المعملجي</v>
      </c>
      <c r="C2" s="9" t="str">
        <f ca="1">IFERROR(__xludf.DUMMYFUNCTION("""COMPUTED_VALUE"""),"عبد الله جابر")</f>
        <v>عبد الله جابر</v>
      </c>
      <c r="D2" s="10" t="str">
        <f ca="1">IFERROR(__xludf.DUMMYFUNCTION("""COMPUTED_VALUE"""),"قسم التربية والتعليم العالي")</f>
        <v>قسم التربية والتعليم العالي</v>
      </c>
      <c r="E2" s="10" t="str">
        <f ca="1">IFERROR(__xludf.DUMMYFUNCTION("""COMPUTED_VALUE"""),"C- ثانوية العميد بناية الاعدادية  (الاولى)")</f>
        <v>C- ثانوية العميد بناية الاعدادية  (الاولى)</v>
      </c>
      <c r="F2" s="10" t="str">
        <f ca="1">IFERROR(__xludf.DUMMYFUNCTION("""COMPUTED_VALUE"""),"القاعة الرياضية رقم 4 -3")</f>
        <v>القاعة الرياضية رقم 4 -3</v>
      </c>
      <c r="G2" s="10" t="str">
        <f ca="1">IFERROR(__xludf.DUMMYFUNCTION("""COMPUTED_VALUE"""),"تشغيل التبريد والانارة")</f>
        <v>تشغيل التبريد والانارة</v>
      </c>
      <c r="H2" s="10"/>
      <c r="I2" s="12" t="s">
        <v>16</v>
      </c>
      <c r="J2" s="13" t="s">
        <v>14</v>
      </c>
      <c r="K2" s="7">
        <v>45963.367684895835</v>
      </c>
      <c r="L2" s="67"/>
      <c r="M2" s="10"/>
    </row>
    <row r="3" spans="1:13" ht="75" customHeight="1" thickTop="1" thickBot="1">
      <c r="A3" s="7">
        <f ca="1">IFERROR(__xludf.DUMMYFUNCTION("""COMPUTED_VALUE"""),45964.3383964467)</f>
        <v>45964.338396446699</v>
      </c>
      <c r="B3" s="8" t="str">
        <f ca="1">IFERROR(__xludf.DUMMYFUNCTION("""COMPUTED_VALUE"""),"المعملجي")</f>
        <v>المعملجي</v>
      </c>
      <c r="C3" s="9" t="str">
        <f ca="1">IFERROR(__xludf.DUMMYFUNCTION("""COMPUTED_VALUE"""),"عبد الله جابر")</f>
        <v>عبد الله جابر</v>
      </c>
      <c r="D3" s="10" t="str">
        <f ca="1">IFERROR(__xludf.DUMMYFUNCTION("""COMPUTED_VALUE"""),"قسم التربية والتعليم العالي")</f>
        <v>قسم التربية والتعليم العالي</v>
      </c>
      <c r="E3" s="10" t="str">
        <f ca="1">IFERROR(__xludf.DUMMYFUNCTION("""COMPUTED_VALUE"""),"C- ثانوية العميد بناية الاعدادية  (الاولى)")</f>
        <v>C- ثانوية العميد بناية الاعدادية  (الاولى)</v>
      </c>
      <c r="F3" s="10" t="str">
        <f ca="1">IFERROR(__xludf.DUMMYFUNCTION("""COMPUTED_VALUE"""),"القاعات الرياضية رقم 3-4")</f>
        <v>القاعات الرياضية رقم 3-4</v>
      </c>
      <c r="G3" s="10" t="str">
        <f ca="1">IFERROR(__xludf.DUMMYFUNCTION("""COMPUTED_VALUE"""),"تشغيل الانارة والتبريد")</f>
        <v>تشغيل الانارة والتبريد</v>
      </c>
      <c r="H3" s="10"/>
      <c r="I3" s="12" t="s">
        <v>16</v>
      </c>
      <c r="J3" s="13" t="s">
        <v>14</v>
      </c>
      <c r="K3" s="7">
        <v>45964.360687835651</v>
      </c>
      <c r="L3" s="67"/>
      <c r="M3" s="10"/>
    </row>
    <row r="4" spans="1:13" ht="75" customHeight="1" thickTop="1" thickBot="1">
      <c r="A4" s="7">
        <f ca="1">IFERROR(__xludf.DUMMYFUNCTION("""COMPUTED_VALUE"""),45964.548432824)</f>
        <v>45964.548432823998</v>
      </c>
      <c r="B4" s="8" t="str">
        <f ca="1">IFERROR(__xludf.DUMMYFUNCTION("""COMPUTED_VALUE"""),"المعملجي")</f>
        <v>المعملجي</v>
      </c>
      <c r="C4" s="9" t="str">
        <f ca="1">IFERROR(__xludf.DUMMYFUNCTION("""COMPUTED_VALUE"""),"عبد الله جابر")</f>
        <v>عبد الله جابر</v>
      </c>
      <c r="D4" s="10" t="str">
        <f ca="1">IFERROR(__xludf.DUMMYFUNCTION("""COMPUTED_VALUE"""),"قسم التربية والتعليم العالي")</f>
        <v>قسم التربية والتعليم العالي</v>
      </c>
      <c r="E4" s="10" t="str">
        <f ca="1">IFERROR(__xludf.DUMMYFUNCTION("""COMPUTED_VALUE"""),"C- ثانوية العميد بناية الاعدادية  (الاولى)")</f>
        <v>C- ثانوية العميد بناية الاعدادية  (الاولى)</v>
      </c>
      <c r="F4" s="10" t="str">
        <f ca="1">IFERROR(__xludf.DUMMYFUNCTION("""COMPUTED_VALUE"""),"القاعة الرياضية 3-4")</f>
        <v>القاعة الرياضية 3-4</v>
      </c>
      <c r="G4" s="10" t="str">
        <f ca="1">IFERROR(__xludf.DUMMYFUNCTION("""COMPUTED_VALUE"""),"اطفاء التبريد")</f>
        <v>اطفاء التبريد</v>
      </c>
      <c r="H4" s="10"/>
      <c r="I4" s="12" t="s">
        <v>16</v>
      </c>
      <c r="J4" s="13" t="s">
        <v>14</v>
      </c>
      <c r="K4" s="7">
        <v>45964.592914097222</v>
      </c>
      <c r="L4" s="67"/>
      <c r="M4" s="10"/>
    </row>
    <row r="5" spans="1:13" ht="75" customHeight="1" thickTop="1" thickBot="1">
      <c r="A5" s="7">
        <f ca="1">IFERROR(__xludf.DUMMYFUNCTION("""COMPUTED_VALUE"""),45973.323378993)</f>
        <v>45973.323378993002</v>
      </c>
      <c r="B5" s="8" t="str">
        <f ca="1">IFERROR(__xludf.DUMMYFUNCTION("""COMPUTED_VALUE"""),"المعملجي")</f>
        <v>المعملجي</v>
      </c>
      <c r="C5" s="9" t="str">
        <f ca="1">IFERROR(__xludf.DUMMYFUNCTION("""COMPUTED_VALUE"""),"م. مرتضى ")</f>
        <v xml:space="preserve">م. مرتضى </v>
      </c>
      <c r="D5" s="10" t="str">
        <f ca="1">IFERROR(__xludf.DUMMYFUNCTION("""COMPUTED_VALUE"""),"قسم المشاريع الهندسية")</f>
        <v>قسم المشاريع الهندسية</v>
      </c>
      <c r="E5" s="10" t="str">
        <f ca="1">IFERROR(__xludf.DUMMYFUNCTION("""COMPUTED_VALUE"""),"C- ثانوية العميد بناية الاعدادية  (الاولى)")</f>
        <v>C- ثانوية العميد بناية الاعدادية  (الاولى)</v>
      </c>
      <c r="F5" s="10" t="str">
        <f ca="1">IFERROR(__xludf.DUMMYFUNCTION("""COMPUTED_VALUE"""),"ZONE B - الطابق الارضي")</f>
        <v>ZONE B - الطابق الارضي</v>
      </c>
      <c r="G5" s="10" t="str">
        <f ca="1">IFERROR(__xludf.DUMMYFUNCTION("""COMPUTED_VALUE"""),"صيانة قطع سبالت داخلية عدد ٢ لغرف الكهرباء")</f>
        <v>صيانة قطع سبالت داخلية عدد ٢ لغرف الكهرباء</v>
      </c>
      <c r="H5" s="10"/>
      <c r="I5" s="12" t="s">
        <v>16</v>
      </c>
      <c r="J5" s="13" t="s">
        <v>14</v>
      </c>
      <c r="K5" s="7">
        <v>45973.323516620367</v>
      </c>
      <c r="L5" s="67"/>
      <c r="M5" s="10"/>
    </row>
    <row r="6" spans="1:13" ht="75" customHeight="1" thickTop="1" thickBot="1">
      <c r="A6" s="7">
        <f ca="1">IFERROR(__xludf.DUMMYFUNCTION("""COMPUTED_VALUE"""),45978.4476986921)</f>
        <v>45978.4476986921</v>
      </c>
      <c r="B6" s="8" t="str">
        <f ca="1">IFERROR(__xludf.DUMMYFUNCTION("""COMPUTED_VALUE"""),"المعملجي")</f>
        <v>المعملجي</v>
      </c>
      <c r="C6" s="9" t="str">
        <f ca="1">IFERROR(__xludf.DUMMYFUNCTION("""COMPUTED_VALUE"""),"عبد الله جابر")</f>
        <v>عبد الله جابر</v>
      </c>
      <c r="D6" s="10" t="str">
        <f ca="1">IFERROR(__xludf.DUMMYFUNCTION("""COMPUTED_VALUE"""),"قسم التربية والتعليم العالي")</f>
        <v>قسم التربية والتعليم العالي</v>
      </c>
      <c r="E6" s="10" t="str">
        <f ca="1">IFERROR(__xludf.DUMMYFUNCTION("""COMPUTED_VALUE"""),"C- ثانوية العميد بناية الاعدادية  (الاولى)")</f>
        <v>C- ثانوية العميد بناية الاعدادية  (الاولى)</v>
      </c>
      <c r="F6" s="10" t="str">
        <f ca="1">IFERROR(__xludf.DUMMYFUNCTION("""COMPUTED_VALUE"""),"ZONE A - الطابق الارضي, القاعات الرياضية 3-4")</f>
        <v>ZONE A - الطابق الارضي, القاعات الرياضية 3-4</v>
      </c>
      <c r="G6" s="10" t="str">
        <f ca="1">IFERROR(__xludf.DUMMYFUNCTION("""COMPUTED_VALUE"""),"تشغيل تبريد ومفرغات")</f>
        <v>تشغيل تبريد ومفرغات</v>
      </c>
      <c r="H6" s="10"/>
      <c r="I6" s="12" t="s">
        <v>16</v>
      </c>
      <c r="J6" s="13" t="s">
        <v>14</v>
      </c>
      <c r="K6" s="7">
        <v>45978.545575613425</v>
      </c>
      <c r="L6" s="67"/>
      <c r="M6" s="10"/>
    </row>
    <row r="7" spans="1:13" ht="75" customHeight="1" thickTop="1" thickBot="1">
      <c r="A7" s="7">
        <f ca="1">IFERROR(__xludf.DUMMYFUNCTION("""COMPUTED_VALUE"""),45979.3121824884)</f>
        <v>45979.3121824884</v>
      </c>
      <c r="B7" s="8" t="str">
        <f ca="1">IFERROR(__xludf.DUMMYFUNCTION("""COMPUTED_VALUE"""),"المعملجي")</f>
        <v>المعملجي</v>
      </c>
      <c r="C7" s="9" t="str">
        <f ca="1">IFERROR(__xludf.DUMMYFUNCTION("""COMPUTED_VALUE"""),"عبد الله جابر")</f>
        <v>عبد الله جابر</v>
      </c>
      <c r="D7" s="10" t="str">
        <f ca="1">IFERROR(__xludf.DUMMYFUNCTION("""COMPUTED_VALUE"""),"قسم التربية والتعليم العالي")</f>
        <v>قسم التربية والتعليم العالي</v>
      </c>
      <c r="E7" s="10" t="str">
        <f ca="1">IFERROR(__xludf.DUMMYFUNCTION("""COMPUTED_VALUE"""),"B- روضة القمر")</f>
        <v>B- روضة القمر</v>
      </c>
      <c r="F7" s="10" t="str">
        <f ca="1">IFERROR(__xludf.DUMMYFUNCTION("""COMPUTED_VALUE"""),"السطح")</f>
        <v>السطح</v>
      </c>
      <c r="G7" s="10" t="str">
        <f ca="1">IFERROR(__xludf.DUMMYFUNCTION("""COMPUTED_VALUE"""),"لحام بكج ")</f>
        <v xml:space="preserve">لحام بكج </v>
      </c>
      <c r="H7" s="10"/>
      <c r="I7" s="12" t="s">
        <v>16</v>
      </c>
      <c r="J7" s="13" t="s">
        <v>14</v>
      </c>
      <c r="K7" s="7">
        <v>45979.31229548611</v>
      </c>
      <c r="L7" s="67"/>
      <c r="M7" s="10"/>
    </row>
    <row r="8" spans="1:13" ht="75" customHeight="1" thickTop="1" thickBot="1">
      <c r="A8" s="7">
        <f ca="1">IFERROR(__xludf.DUMMYFUNCTION("""COMPUTED_VALUE"""),45983.3691266898)</f>
        <v>45983.369126689802</v>
      </c>
      <c r="B8" s="8" t="str">
        <f ca="1">IFERROR(__xludf.DUMMYFUNCTION("""COMPUTED_VALUE"""),"المعملجي")</f>
        <v>المعملجي</v>
      </c>
      <c r="C8" s="9" t="str">
        <f ca="1">IFERROR(__xludf.DUMMYFUNCTION("""COMPUTED_VALUE"""),"عبد الله جابر")</f>
        <v>عبد الله جابر</v>
      </c>
      <c r="D8" s="10" t="str">
        <f ca="1">IFERROR(__xludf.DUMMYFUNCTION("""COMPUTED_VALUE"""),"قسم التربية والتعليم العالي")</f>
        <v>قسم التربية والتعليم العالي</v>
      </c>
      <c r="E8" s="10" t="str">
        <f ca="1">IFERROR(__xludf.DUMMYFUNCTION("""COMPUTED_VALUE"""),"I- ابتدائية الساقي للبنين (السادسة)")</f>
        <v>I- ابتدائية الساقي للبنين (السادسة)</v>
      </c>
      <c r="F8" s="10" t="str">
        <f ca="1">IFERROR(__xludf.DUMMYFUNCTION("""COMPUTED_VALUE"""),"البناية كاملة")</f>
        <v>البناية كاملة</v>
      </c>
      <c r="G8" s="10" t="str">
        <f ca="1">IFERROR(__xludf.DUMMYFUNCTION("""COMPUTED_VALUE"""),"تحول التبريد الى تدفئة - وتشغيل سخانات الماء")</f>
        <v>تحول التبريد الى تدفئة - وتشغيل سخانات الماء</v>
      </c>
      <c r="H8" s="10"/>
      <c r="I8" s="12" t="s">
        <v>16</v>
      </c>
      <c r="J8" s="13" t="s">
        <v>14</v>
      </c>
      <c r="K8" s="7">
        <v>45983.452218993058</v>
      </c>
      <c r="L8" s="67"/>
      <c r="M8" s="10"/>
    </row>
    <row r="9" spans="1:13" ht="75" customHeight="1" thickTop="1" thickBot="1">
      <c r="A9" s="7">
        <f ca="1">IFERROR(__xludf.DUMMYFUNCTION("""COMPUTED_VALUE"""),45983.455292743)</f>
        <v>45983.455292742998</v>
      </c>
      <c r="B9" s="8" t="str">
        <f ca="1">IFERROR(__xludf.DUMMYFUNCTION("""COMPUTED_VALUE"""),"المعملجي")</f>
        <v>المعملجي</v>
      </c>
      <c r="C9" s="9" t="str">
        <f ca="1">IFERROR(__xludf.DUMMYFUNCTION("""COMPUTED_VALUE"""),"عبد الله جابر")</f>
        <v>عبد الله جابر</v>
      </c>
      <c r="D9" s="10" t="str">
        <f ca="1">IFERROR(__xludf.DUMMYFUNCTION("""COMPUTED_VALUE"""),"قسم التربية والتعليم العالي")</f>
        <v>قسم التربية والتعليم العالي</v>
      </c>
      <c r="E9" s="10" t="str">
        <f ca="1">IFERROR(__xludf.DUMMYFUNCTION("""COMPUTED_VALUE"""),"A- المركز الثقافي")</f>
        <v>A- المركز الثقافي</v>
      </c>
      <c r="F9" s="10" t="str">
        <f ca="1">IFERROR(__xludf.DUMMYFUNCTION("""COMPUTED_VALUE"""),"غرفة الاعلاميات")</f>
        <v>غرفة الاعلاميات</v>
      </c>
      <c r="G9" s="10" t="str">
        <f ca="1">IFERROR(__xludf.DUMMYFUNCTION("""COMPUTED_VALUE"""),"صيانة سبلت يعمل على التدفئة فقط")</f>
        <v>صيانة سبلت يعمل على التدفئة فقط</v>
      </c>
      <c r="H9" s="10"/>
      <c r="I9" s="12" t="s">
        <v>16</v>
      </c>
      <c r="J9" s="13" t="s">
        <v>14</v>
      </c>
      <c r="K9" s="7">
        <v>45984.33637341435</v>
      </c>
      <c r="L9" s="67"/>
      <c r="M9" s="10"/>
    </row>
    <row r="10" spans="1:13" ht="75" customHeight="1" thickTop="1" thickBot="1">
      <c r="A10" s="7">
        <f ca="1">IFERROR(__xludf.DUMMYFUNCTION("""COMPUTED_VALUE"""),45987.4128447338)</f>
        <v>45987.412844733801</v>
      </c>
      <c r="B10" s="8" t="str">
        <f ca="1">IFERROR(__xludf.DUMMYFUNCTION("""COMPUTED_VALUE"""),"المعملجي")</f>
        <v>المعملجي</v>
      </c>
      <c r="C10" s="9" t="str">
        <f ca="1">IFERROR(__xludf.DUMMYFUNCTION("""COMPUTED_VALUE"""),"عبد الله جابر")</f>
        <v>عبد الله جابر</v>
      </c>
      <c r="D10" s="10" t="str">
        <f ca="1">IFERROR(__xludf.DUMMYFUNCTION("""COMPUTED_VALUE"""),"قسم التربية والتعليم العالي")</f>
        <v>قسم التربية والتعليم العالي</v>
      </c>
      <c r="E10" s="10" t="str">
        <f ca="1">IFERROR(__xludf.DUMMYFUNCTION("""COMPUTED_VALUE"""),"A- المركز الثقافي")</f>
        <v>A- المركز الثقافي</v>
      </c>
      <c r="F10" s="10" t="str">
        <f ca="1">IFERROR(__xludf.DUMMYFUNCTION("""COMPUTED_VALUE"""),"ZONE A - الطابق الارضي, تشريفات رئاسة")</f>
        <v>ZONE A - الطابق الارضي, تشريفات رئاسة</v>
      </c>
      <c r="G10" s="10" t="str">
        <f ca="1">IFERROR(__xludf.DUMMYFUNCTION("""COMPUTED_VALUE"""),"غسل وتنظيف سبلت كنتوري")</f>
        <v>غسل وتنظيف سبلت كنتوري</v>
      </c>
      <c r="H10" s="10"/>
      <c r="I10" s="12" t="s">
        <v>16</v>
      </c>
      <c r="J10" s="13" t="s">
        <v>14</v>
      </c>
      <c r="K10" s="7">
        <v>45988.402474074072</v>
      </c>
      <c r="L10" s="67"/>
      <c r="M10" s="10"/>
    </row>
    <row r="11" spans="1:13" ht="75" customHeight="1" thickTop="1" thickBot="1">
      <c r="A11" s="7">
        <f ca="1">IFERROR(__xludf.DUMMYFUNCTION("QUERY('الطلبات'!A2:O998, ""SELECT A,C,D,E,F,G,H,I WHERE C='المعملجي' "")"),45962.5668072338)</f>
        <v>45962.566807233801</v>
      </c>
      <c r="B11" s="8" t="str">
        <f ca="1">IFERROR(__xludf.DUMMYFUNCTION("""COMPUTED_VALUE"""),"المعملجي")</f>
        <v>المعملجي</v>
      </c>
      <c r="C11" s="9" t="str">
        <f ca="1">IFERROR(__xludf.DUMMYFUNCTION("""COMPUTED_VALUE"""),"عبد الله جابر")</f>
        <v>عبد الله جابر</v>
      </c>
      <c r="D11" s="10" t="str">
        <f ca="1">IFERROR(__xludf.DUMMYFUNCTION("""COMPUTED_VALUE"""),"قسم التربية والتعليم العالي")</f>
        <v>قسم التربية والتعليم العالي</v>
      </c>
      <c r="E11" s="10" t="str">
        <f ca="1">IFERROR(__xludf.DUMMYFUNCTION("""COMPUTED_VALUE"""),"F-  ابتدائية جود العميد للبنات (الرابعة)")</f>
        <v>F-  ابتدائية جود العميد للبنات (الرابعة)</v>
      </c>
      <c r="F11" s="10" t="str">
        <f ca="1">IFERROR(__xludf.DUMMYFUNCTION("""COMPUTED_VALUE"""),"ZONE A - الطابق الارضي, غرفة المعاونة التعليمية")</f>
        <v>ZONE A - الطابق الارضي, غرفة المعاونة التعليمية</v>
      </c>
      <c r="G11" s="11" t="str">
        <f ca="1">IFERROR(__xludf.DUMMYFUNCTION("""COMPUTED_VALUE"""),"أضافة منافذ قدرة (13 أمبير) عدد (4) في غرفة المعاونة التعليمية ")</f>
        <v xml:space="preserve">أضافة منافذ قدرة (13 أمبير) عدد (4) في غرفة المعاونة التعليمية </v>
      </c>
      <c r="H11" s="10"/>
      <c r="I11" s="12" t="s">
        <v>13</v>
      </c>
      <c r="J11" s="13" t="s">
        <v>14</v>
      </c>
      <c r="K11" s="7">
        <v>45962.568106932871</v>
      </c>
      <c r="L11" s="67"/>
      <c r="M11" s="10"/>
    </row>
    <row r="12" spans="1:13" ht="75" customHeight="1" thickTop="1" thickBot="1">
      <c r="A12" s="7">
        <f ca="1">IFERROR(__xludf.DUMMYFUNCTION("""COMPUTED_VALUE"""),45963.3668344791)</f>
        <v>45963.3668344791</v>
      </c>
      <c r="B12" s="8" t="str">
        <f ca="1">IFERROR(__xludf.DUMMYFUNCTION("""COMPUTED_VALUE"""),"المعملجي")</f>
        <v>المعملجي</v>
      </c>
      <c r="C12" s="9" t="str">
        <f ca="1">IFERROR(__xludf.DUMMYFUNCTION("""COMPUTED_VALUE"""),"رئاسة القسم ")</f>
        <v xml:space="preserve">رئاسة القسم </v>
      </c>
      <c r="D12" s="10" t="str">
        <f ca="1">IFERROR(__xludf.DUMMYFUNCTION("""COMPUTED_VALUE"""),"قسم التربية والتعليم العالي")</f>
        <v>قسم التربية والتعليم العالي</v>
      </c>
      <c r="E12" s="10" t="str">
        <f ca="1">IFERROR(__xludf.DUMMYFUNCTION("""COMPUTED_VALUE"""),"A- المركز الثقافي")</f>
        <v>A- المركز الثقافي</v>
      </c>
      <c r="F12" s="10" t="str">
        <f ca="1">IFERROR(__xludf.DUMMYFUNCTION("""COMPUTED_VALUE"""),"الطابق الأرضي رئاسة القسم ")</f>
        <v xml:space="preserve">الطابق الأرضي رئاسة القسم </v>
      </c>
      <c r="G12" s="10" t="str">
        <f ca="1">IFERROR(__xludf.DUMMYFUNCTION("""COMPUTED_VALUE"""),"صيانة انارة منشورية عدد 1")</f>
        <v>صيانة انارة منشورية عدد 1</v>
      </c>
      <c r="H12" s="10"/>
      <c r="I12" s="12" t="s">
        <v>13</v>
      </c>
      <c r="J12" s="13" t="s">
        <v>14</v>
      </c>
      <c r="K12" s="7">
        <v>45963.367004039348</v>
      </c>
      <c r="L12" s="67"/>
      <c r="M12" s="10"/>
    </row>
    <row r="13" spans="1:13" ht="75" customHeight="1" thickTop="1" thickBot="1">
      <c r="A13" s="7">
        <f ca="1">IFERROR(__xludf.DUMMYFUNCTION("""COMPUTED_VALUE"""),45963.4367430439)</f>
        <v>45963.436743043902</v>
      </c>
      <c r="B13" s="8" t="str">
        <f ca="1">IFERROR(__xludf.DUMMYFUNCTION("""COMPUTED_VALUE"""),"المعملجي")</f>
        <v>المعملجي</v>
      </c>
      <c r="C13" s="9" t="str">
        <f ca="1">IFERROR(__xludf.DUMMYFUNCTION("""COMPUTED_VALUE"""),"عبد الله جابر")</f>
        <v>عبد الله جابر</v>
      </c>
      <c r="D13" s="10" t="str">
        <f ca="1">IFERROR(__xludf.DUMMYFUNCTION("""COMPUTED_VALUE"""),"قسم التربية والتعليم العالي")</f>
        <v>قسم التربية والتعليم العالي</v>
      </c>
      <c r="E13" s="10" t="str">
        <f ca="1">IFERROR(__xludf.DUMMYFUNCTION("""COMPUTED_VALUE"""),"F-  ابتدائية جود العميد للبنات (الرابعة)")</f>
        <v>F-  ابتدائية جود العميد للبنات (الرابعة)</v>
      </c>
      <c r="F13" s="10" t="str">
        <f ca="1">IFERROR(__xludf.DUMMYFUNCTION("""COMPUTED_VALUE"""),"المصعد")</f>
        <v>المصعد</v>
      </c>
      <c r="G13" s="10" t="str">
        <f ca="1">IFERROR(__xludf.DUMMYFUNCTION("""COMPUTED_VALUE"""),"المصعد لا يعمل ")</f>
        <v xml:space="preserve">المصعد لا يعمل </v>
      </c>
      <c r="H13" s="10"/>
      <c r="I13" s="12" t="s">
        <v>13</v>
      </c>
      <c r="J13" s="13" t="s">
        <v>14</v>
      </c>
      <c r="K13" s="7">
        <v>45964.345760763885</v>
      </c>
      <c r="L13" s="67"/>
      <c r="M13" s="10"/>
    </row>
    <row r="14" spans="1:13" ht="75" customHeight="1" thickTop="1" thickBot="1">
      <c r="A14" s="7">
        <f ca="1">IFERROR(__xludf.DUMMYFUNCTION("""COMPUTED_VALUE"""),45964.3375810416)</f>
        <v>45964.337581041596</v>
      </c>
      <c r="B14" s="8" t="str">
        <f ca="1">IFERROR(__xludf.DUMMYFUNCTION("""COMPUTED_VALUE"""),"المعملجي")</f>
        <v>المعملجي</v>
      </c>
      <c r="C14" s="9" t="str">
        <f ca="1">IFERROR(__xludf.DUMMYFUNCTION("""COMPUTED_VALUE"""),"عبد الله جابر")</f>
        <v>عبد الله جابر</v>
      </c>
      <c r="D14" s="10" t="str">
        <f ca="1">IFERROR(__xludf.DUMMYFUNCTION("""COMPUTED_VALUE"""),"قسم التربية والتعليم العالي")</f>
        <v>قسم التربية والتعليم العالي</v>
      </c>
      <c r="E14" s="10" t="str">
        <f ca="1">IFERROR(__xludf.DUMMYFUNCTION("""COMPUTED_VALUE"""),"D- ثانوية العميد بناية المتوسطة  (الثانية)")</f>
        <v>D- ثانوية العميد بناية المتوسطة  (الثانية)</v>
      </c>
      <c r="F14" s="10" t="str">
        <f ca="1">IFERROR(__xludf.DUMMYFUNCTION("""COMPUTED_VALUE"""),"ZONE A - الطابق الاول, القاطع الدائري مجاور صف الثالث ب")</f>
        <v>ZONE A - الطابق الاول, القاطع الدائري مجاور صف الثالث ب</v>
      </c>
      <c r="G14" s="10" t="str">
        <f ca="1">IFERROR(__xludf.DUMMYFUNCTION("""COMPUTED_VALUE"""),"صيانة نقطة كهرباء")</f>
        <v>صيانة نقطة كهرباء</v>
      </c>
      <c r="H14" s="10"/>
      <c r="I14" s="12" t="s">
        <v>13</v>
      </c>
      <c r="J14" s="15" t="s">
        <v>14</v>
      </c>
      <c r="K14" s="7">
        <v>45966.734782361113</v>
      </c>
      <c r="L14" s="67" t="s">
        <v>19</v>
      </c>
      <c r="M14" s="10"/>
    </row>
    <row r="15" spans="1:13" ht="75" customHeight="1" thickTop="1" thickBot="1">
      <c r="A15" s="7">
        <f ca="1">IFERROR(__xludf.DUMMYFUNCTION("""COMPUTED_VALUE"""),45964.5489611689)</f>
        <v>45964.548961168897</v>
      </c>
      <c r="B15" s="8" t="str">
        <f ca="1">IFERROR(__xludf.DUMMYFUNCTION("""COMPUTED_VALUE"""),"المعملجي")</f>
        <v>المعملجي</v>
      </c>
      <c r="C15" s="9" t="str">
        <f ca="1">IFERROR(__xludf.DUMMYFUNCTION("""COMPUTED_VALUE"""),"عبد الله جابر")</f>
        <v>عبد الله جابر</v>
      </c>
      <c r="D15" s="10" t="str">
        <f ca="1">IFERROR(__xludf.DUMMYFUNCTION("""COMPUTED_VALUE"""),"قسم التربية والتعليم العالي")</f>
        <v>قسم التربية والتعليم العالي</v>
      </c>
      <c r="E15" s="10" t="str">
        <f ca="1">IFERROR(__xludf.DUMMYFUNCTION("""COMPUTED_VALUE"""),"D- ثانوية العميد بناية المتوسطة  (الثانية)")</f>
        <v>D- ثانوية العميد بناية المتوسطة  (الثانية)</v>
      </c>
      <c r="F15" s="10" t="str">
        <f ca="1">IFERROR(__xludf.DUMMYFUNCTION("""COMPUTED_VALUE"""),"مختبر الحاسوب")</f>
        <v>مختبر الحاسوب</v>
      </c>
      <c r="G15" s="10" t="str">
        <f ca="1">IFERROR(__xludf.DUMMYFUNCTION("""COMPUTED_VALUE"""),"صيانة نقطة كهرباء")</f>
        <v>صيانة نقطة كهرباء</v>
      </c>
      <c r="H15" s="10"/>
      <c r="I15" s="12" t="s">
        <v>13</v>
      </c>
      <c r="J15" s="13" t="s">
        <v>14</v>
      </c>
      <c r="K15" s="7">
        <v>45966.734952349536</v>
      </c>
      <c r="L15" s="67"/>
      <c r="M15" s="10"/>
    </row>
    <row r="16" spans="1:13" ht="75" customHeight="1" thickTop="1" thickBot="1">
      <c r="A16" s="7">
        <f ca="1">IFERROR(__xludf.DUMMYFUNCTION("""COMPUTED_VALUE"""),45965.4127810185)</f>
        <v>45965.412781018502</v>
      </c>
      <c r="B16" s="8" t="str">
        <f ca="1">IFERROR(__xludf.DUMMYFUNCTION("""COMPUTED_VALUE"""),"المعملجي")</f>
        <v>المعملجي</v>
      </c>
      <c r="C16" s="9" t="str">
        <f ca="1">IFERROR(__xludf.DUMMYFUNCTION("""COMPUTED_VALUE"""),"تربية")</f>
        <v>تربية</v>
      </c>
      <c r="D16" s="10" t="str">
        <f ca="1">IFERROR(__xludf.DUMMYFUNCTION("""COMPUTED_VALUE"""),"قسم التربية والتعليم العالي")</f>
        <v>قسم التربية والتعليم العالي</v>
      </c>
      <c r="E16" s="10" t="str">
        <f ca="1">IFERROR(__xludf.DUMMYFUNCTION("""COMPUTED_VALUE"""),"بيوت خارجية")</f>
        <v>بيوت خارجية</v>
      </c>
      <c r="F16" s="10" t="str">
        <f ca="1">IFERROR(__xludf.DUMMYFUNCTION("""COMPUTED_VALUE"""),"محدد")</f>
        <v>محدد</v>
      </c>
      <c r="G16" s="10" t="str">
        <f ca="1">IFERROR(__xludf.DUMMYFUNCTION("""COMPUTED_VALUE"""),"فتح بلك سويج عدد 6")</f>
        <v>فتح بلك سويج عدد 6</v>
      </c>
      <c r="H16" s="10"/>
      <c r="I16" s="12" t="s">
        <v>13</v>
      </c>
      <c r="J16" s="13" t="s">
        <v>14</v>
      </c>
      <c r="K16" s="7">
        <v>45965.414111608799</v>
      </c>
      <c r="L16" s="67"/>
      <c r="M16" s="10"/>
    </row>
    <row r="17" spans="1:13" ht="75" customHeight="1" thickTop="1" thickBot="1">
      <c r="A17" s="7">
        <f ca="1">IFERROR(__xludf.DUMMYFUNCTION("""COMPUTED_VALUE"""),45965.4151573958)</f>
        <v>45965.415157395801</v>
      </c>
      <c r="B17" s="8" t="str">
        <f ca="1">IFERROR(__xludf.DUMMYFUNCTION("""COMPUTED_VALUE"""),"المعملجي")</f>
        <v>المعملجي</v>
      </c>
      <c r="C17" s="9" t="str">
        <f ca="1">IFERROR(__xludf.DUMMYFUNCTION("""COMPUTED_VALUE"""),"وحدة الكهرباء")</f>
        <v>وحدة الكهرباء</v>
      </c>
      <c r="D17" s="10" t="str">
        <f ca="1">IFERROR(__xludf.DUMMYFUNCTION("""COMPUTED_VALUE"""),"قسم المشاريع الهندسية")</f>
        <v>قسم المشاريع الهندسية</v>
      </c>
      <c r="E17" s="10" t="str">
        <f ca="1">IFERROR(__xludf.DUMMYFUNCTION("""COMPUTED_VALUE"""),"A- المركز الثقافي")</f>
        <v>A- المركز الثقافي</v>
      </c>
      <c r="F17" s="10" t="str">
        <f ca="1">IFERROR(__xludf.DUMMYFUNCTION("""COMPUTED_VALUE"""),"الطابق الارضي")</f>
        <v>الطابق الارضي</v>
      </c>
      <c r="G17" s="10" t="str">
        <f ca="1">IFERROR(__xludf.DUMMYFUNCTION("""COMPUTED_VALUE"""),"نقل كيبل 4×16الخاص بمظخة اطفاء الحريق للمركز الثقافي من بورد الخدمات الى البورد الرئيسي مع إضافة قطعة كيبل من نفس القياس بطول 4متر من خلال جوين ثنابل")</f>
        <v>نقل كيبل 4×16الخاص بمظخة اطفاء الحريق للمركز الثقافي من بورد الخدمات الى البورد الرئيسي مع إضافة قطعة كيبل من نفس القياس بطول 4متر من خلال جوين ثنابل</v>
      </c>
      <c r="H17" s="10"/>
      <c r="I17" s="12" t="s">
        <v>13</v>
      </c>
      <c r="J17" s="13" t="s">
        <v>14</v>
      </c>
      <c r="K17" s="7"/>
      <c r="L17" s="67"/>
      <c r="M17" s="10"/>
    </row>
    <row r="18" spans="1:13" ht="75" customHeight="1" thickTop="1" thickBot="1">
      <c r="A18" s="7">
        <f ca="1">IFERROR(__xludf.DUMMYFUNCTION("""COMPUTED_VALUE"""),45965.4161831713)</f>
        <v>45965.416183171299</v>
      </c>
      <c r="B18" s="8" t="str">
        <f ca="1">IFERROR(__xludf.DUMMYFUNCTION("""COMPUTED_VALUE"""),"المعملجي")</f>
        <v>المعملجي</v>
      </c>
      <c r="C18" s="9" t="str">
        <f ca="1">IFERROR(__xludf.DUMMYFUNCTION("""COMPUTED_VALUE"""),"وحدة الكهرباء")</f>
        <v>وحدة الكهرباء</v>
      </c>
      <c r="D18" s="10" t="str">
        <f ca="1">IFERROR(__xludf.DUMMYFUNCTION("""COMPUTED_VALUE"""),"قسم المشاريع الهندسية")</f>
        <v>قسم المشاريع الهندسية</v>
      </c>
      <c r="E18" s="10" t="str">
        <f ca="1">IFERROR(__xludf.DUMMYFUNCTION("""COMPUTED_VALUE"""),"F-  ابتدائية جود العميد للبنات (الرابعة)")</f>
        <v>F-  ابتدائية جود العميد للبنات (الرابعة)</v>
      </c>
      <c r="F18" s="10" t="str">
        <f ca="1">IFERROR(__xludf.DUMMYFUNCTION("""COMPUTED_VALUE"""),"السطح, المصعد")</f>
        <v>السطح, المصعد</v>
      </c>
      <c r="G18" s="10" t="str">
        <f ca="1">IFERROR(__xludf.DUMMYFUNCTION("""COMPUTED_VALUE"""),"صيانة مصعد المدرسة الرابعة ")</f>
        <v xml:space="preserve">صيانة مصعد المدرسة الرابعة </v>
      </c>
      <c r="H18" s="10"/>
      <c r="I18" s="12" t="s">
        <v>13</v>
      </c>
      <c r="J18" s="13" t="s">
        <v>14</v>
      </c>
      <c r="K18" s="7"/>
      <c r="L18" s="67"/>
      <c r="M18" s="10"/>
    </row>
    <row r="19" spans="1:13" ht="75" customHeight="1" thickTop="1" thickBot="1">
      <c r="A19" s="7">
        <f ca="1">IFERROR(__xludf.DUMMYFUNCTION("""COMPUTED_VALUE"""),45965.4174753819)</f>
        <v>45965.417475381902</v>
      </c>
      <c r="B19" s="8" t="str">
        <f ca="1">IFERROR(__xludf.DUMMYFUNCTION("""COMPUTED_VALUE"""),"المعملجي")</f>
        <v>المعملجي</v>
      </c>
      <c r="C19" s="9" t="str">
        <f ca="1">IFERROR(__xludf.DUMMYFUNCTION("""COMPUTED_VALUE"""),"اربية")</f>
        <v>اربية</v>
      </c>
      <c r="D19" s="10" t="str">
        <f ca="1">IFERROR(__xludf.DUMMYFUNCTION("""COMPUTED_VALUE"""),"قسم التربية والتعليم العالي")</f>
        <v>قسم التربية والتعليم العالي</v>
      </c>
      <c r="E19" s="10" t="str">
        <f ca="1">IFERROR(__xludf.DUMMYFUNCTION("""COMPUTED_VALUE"""),"J- ابتدائية الساقي للبنين الجانب الثاني (السابعة)")</f>
        <v>J- ابتدائية الساقي للبنين الجانب الثاني (السابعة)</v>
      </c>
      <c r="F19" s="10" t="str">
        <f ca="1">IFERROR(__xludf.DUMMYFUNCTION("""COMPUTED_VALUE"""),"الصحيات zone b")</f>
        <v>الصحيات zone b</v>
      </c>
      <c r="G19" s="10" t="str">
        <f ca="1">IFERROR(__xludf.DUMMYFUNCTION("""COMPUTED_VALUE"""),"صيانة انارة سبوت لايت")</f>
        <v>صيانة انارة سبوت لايت</v>
      </c>
      <c r="H19" s="10"/>
      <c r="I19" s="12" t="s">
        <v>13</v>
      </c>
      <c r="J19" s="13" t="s">
        <v>14</v>
      </c>
      <c r="K19" s="7"/>
      <c r="L19" s="67"/>
      <c r="M19" s="10"/>
    </row>
    <row r="20" spans="1:13" ht="75" customHeight="1" thickTop="1" thickBot="1">
      <c r="A20" s="7">
        <f ca="1">IFERROR(__xludf.DUMMYFUNCTION("""COMPUTED_VALUE"""),45965.4184881828)</f>
        <v>45965.418488182797</v>
      </c>
      <c r="B20" s="8" t="str">
        <f ca="1">IFERROR(__xludf.DUMMYFUNCTION("""COMPUTED_VALUE"""),"المعملجي")</f>
        <v>المعملجي</v>
      </c>
      <c r="C20" s="9" t="str">
        <f ca="1">IFERROR(__xludf.DUMMYFUNCTION("""COMPUTED_VALUE"""),"وحدة الكهرباء")</f>
        <v>وحدة الكهرباء</v>
      </c>
      <c r="D20" s="10" t="str">
        <f ca="1">IFERROR(__xludf.DUMMYFUNCTION("""COMPUTED_VALUE"""),"قسم المشاريع الهندسية")</f>
        <v>قسم المشاريع الهندسية</v>
      </c>
      <c r="E20" s="10" t="str">
        <f ca="1">IFERROR(__xludf.DUMMYFUNCTION("""COMPUTED_VALUE"""),"محطة الرفع")</f>
        <v>محطة الرفع</v>
      </c>
      <c r="F20" s="10" t="str">
        <f ca="1">IFERROR(__xludf.DUMMYFUNCTION("""COMPUTED_VALUE"""),"غرفة الكهرباء")</f>
        <v>غرفة الكهرباء</v>
      </c>
      <c r="G20" s="10" t="str">
        <f ca="1">IFERROR(__xludf.DUMMYFUNCTION("""COMPUTED_VALUE"""),"تفريغ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f>
        <v xml:space="preserv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v>
      </c>
      <c r="H20" s="10"/>
      <c r="I20" s="12" t="s">
        <v>13</v>
      </c>
      <c r="J20" s="13" t="s">
        <v>14</v>
      </c>
      <c r="K20" s="7"/>
      <c r="L20" s="67"/>
      <c r="M20" s="10"/>
    </row>
    <row r="21" spans="1:13" ht="75" customHeight="1" thickTop="1" thickBot="1">
      <c r="A21" s="7">
        <f ca="1">IFERROR(__xludf.DUMMYFUNCTION("""COMPUTED_VALUE"""),45965.4446516319)</f>
        <v>45965.4446516319</v>
      </c>
      <c r="B21" s="8" t="str">
        <f ca="1">IFERROR(__xludf.DUMMYFUNCTION("""COMPUTED_VALUE"""),"المعملجي")</f>
        <v>المعملجي</v>
      </c>
      <c r="C21" s="9" t="str">
        <f ca="1">IFERROR(__xludf.DUMMYFUNCTION("""COMPUTED_VALUE"""),"عبد الله جابر")</f>
        <v>عبد الله جابر</v>
      </c>
      <c r="D21" s="10" t="str">
        <f ca="1">IFERROR(__xludf.DUMMYFUNCTION("""COMPUTED_VALUE"""),"قسم التربية والتعليم العالي")</f>
        <v>قسم التربية والتعليم العالي</v>
      </c>
      <c r="E21" s="10" t="str">
        <f ca="1">IFERROR(__xludf.DUMMYFUNCTION("""COMPUTED_VALUE"""),"J- ابتدائية الساقي للبنين الجانب الثاني (السابعة)")</f>
        <v>J- ابتدائية الساقي للبنين الجانب الثاني (السابعة)</v>
      </c>
      <c r="F21" s="10" t="str">
        <f ca="1">IFERROR(__xludf.DUMMYFUNCTION("""COMPUTED_VALUE"""),"ZONE A - الطابق الارضي")</f>
        <v>ZONE A - الطابق الارضي</v>
      </c>
      <c r="G21" s="10" t="str">
        <f ca="1">IFERROR(__xludf.DUMMYFUNCTION("""COMPUTED_VALUE"""),"تقليل حرارة السخان")</f>
        <v>تقليل حرارة السخان</v>
      </c>
      <c r="H21" s="10"/>
      <c r="I21" s="12" t="s">
        <v>13</v>
      </c>
      <c r="J21" s="13" t="s">
        <v>14</v>
      </c>
      <c r="K21" s="7">
        <v>45965.470227962964</v>
      </c>
      <c r="L21" s="67"/>
      <c r="M21" s="10"/>
    </row>
    <row r="22" spans="1:13" ht="75" customHeight="1" thickTop="1" thickBot="1">
      <c r="A22" s="7">
        <f ca="1">IFERROR(__xludf.DUMMYFUNCTION("""COMPUTED_VALUE"""),45965.4675045138)</f>
        <v>45965.467504513799</v>
      </c>
      <c r="B22" s="8" t="str">
        <f ca="1">IFERROR(__xludf.DUMMYFUNCTION("""COMPUTED_VALUE"""),"المعملجي")</f>
        <v>المعملجي</v>
      </c>
      <c r="C22" s="9" t="str">
        <f ca="1">IFERROR(__xludf.DUMMYFUNCTION("""COMPUTED_VALUE"""),"عبد الله جابر")</f>
        <v>عبد الله جابر</v>
      </c>
      <c r="D22" s="10" t="str">
        <f ca="1">IFERROR(__xludf.DUMMYFUNCTION("""COMPUTED_VALUE"""),"قسم التربية والتعليم العالي")</f>
        <v>قسم التربية والتعليم العالي</v>
      </c>
      <c r="E22" s="10" t="str">
        <f ca="1">IFERROR(__xludf.DUMMYFUNCTION("""COMPUTED_VALUE"""),"A- المركز الثقافي")</f>
        <v>A- المركز الثقافي</v>
      </c>
      <c r="F22" s="10" t="str">
        <f ca="1">IFERROR(__xludf.DUMMYFUNCTION("""COMPUTED_VALUE"""),"غرفه الكامرات")</f>
        <v>غرفه الكامرات</v>
      </c>
      <c r="G22" s="10" t="str">
        <f ca="1">IFERROR(__xludf.DUMMYFUNCTION("""COMPUTED_VALUE"""),"إضافة نقطة كهرباء ")</f>
        <v xml:space="preserve">إضافة نقطة كهرباء </v>
      </c>
      <c r="H22" s="10"/>
      <c r="I22" s="12" t="s">
        <v>13</v>
      </c>
      <c r="J22" s="13" t="s">
        <v>14</v>
      </c>
      <c r="K22" s="7">
        <v>45976.461411354168</v>
      </c>
      <c r="L22" s="67" t="s">
        <v>22</v>
      </c>
      <c r="M22" s="10"/>
    </row>
    <row r="23" spans="1:13" ht="75" customHeight="1" thickTop="1" thickBot="1">
      <c r="A23" s="7">
        <f ca="1">IFERROR(__xludf.DUMMYFUNCTION("""COMPUTED_VALUE"""),45965.4876353819)</f>
        <v>45965.487635381898</v>
      </c>
      <c r="B23" s="8" t="str">
        <f ca="1">IFERROR(__xludf.DUMMYFUNCTION("""COMPUTED_VALUE"""),"المعملجي")</f>
        <v>المعملجي</v>
      </c>
      <c r="C23" s="9" t="str">
        <f ca="1">IFERROR(__xludf.DUMMYFUNCTION("""COMPUTED_VALUE"""),"وحدة الكهرباء ")</f>
        <v xml:space="preserve">وحدة الكهرباء </v>
      </c>
      <c r="D23" s="10" t="str">
        <f ca="1">IFERROR(__xludf.DUMMYFUNCTION("""COMPUTED_VALUE"""),"قسم المشاريع الهندسية")</f>
        <v>قسم المشاريع الهندسية</v>
      </c>
      <c r="E23" s="10" t="str">
        <f ca="1">IFERROR(__xludf.DUMMYFUNCTION("""COMPUTED_VALUE"""),"A- المركز الثقافي")</f>
        <v>A- المركز الثقافي</v>
      </c>
      <c r="F23" s="10" t="str">
        <f ca="1">IFERROR(__xludf.DUMMYFUNCTION("""COMPUTED_VALUE"""),"الطابق الرابع ")</f>
        <v xml:space="preserve">الطابق الرابع </v>
      </c>
      <c r="G23" s="10" t="str">
        <f ca="1">IFERROR(__xludf.DUMMYFUNCTION("""COMPUTED_VALUE"""),"خطين انارة مفصولات بسبب حدوث تماس ب6 مصابيح سبوت لايت")</f>
        <v>خطين انارة مفصولات بسبب حدوث تماس ب6 مصابيح سبوت لايت</v>
      </c>
      <c r="H23" s="10"/>
      <c r="I23" s="12" t="s">
        <v>13</v>
      </c>
      <c r="J23" s="13" t="s">
        <v>14</v>
      </c>
      <c r="K23" s="7"/>
      <c r="L23" s="67" t="s">
        <v>23</v>
      </c>
      <c r="M23" s="10"/>
    </row>
    <row r="24" spans="1:13" ht="75" customHeight="1" thickTop="1" thickBot="1">
      <c r="A24" s="7">
        <f ca="1">IFERROR(__xludf.DUMMYFUNCTION("""COMPUTED_VALUE"""),45965.5600534259)</f>
        <v>45965.560053425899</v>
      </c>
      <c r="B24" s="8" t="str">
        <f ca="1">IFERROR(__xludf.DUMMYFUNCTION("""COMPUTED_VALUE"""),"المعملجي")</f>
        <v>المعملجي</v>
      </c>
      <c r="C24" s="9" t="str">
        <f ca="1">IFERROR(__xludf.DUMMYFUNCTION("""COMPUTED_VALUE"""),"عبد الله جابر")</f>
        <v>عبد الله جابر</v>
      </c>
      <c r="D24" s="10" t="str">
        <f ca="1">IFERROR(__xludf.DUMMYFUNCTION("""COMPUTED_VALUE"""),"قسم التربية والتعليم العالي")</f>
        <v>قسم التربية والتعليم العالي</v>
      </c>
      <c r="E24" s="10" t="str">
        <f ca="1">IFERROR(__xludf.DUMMYFUNCTION("""COMPUTED_VALUE"""),"H- ابتدائية القمر للبنات (الخامسة)")</f>
        <v>H- ابتدائية القمر للبنات (الخامسة)</v>
      </c>
      <c r="F24" s="10" t="str">
        <f ca="1">IFERROR(__xludf.DUMMYFUNCTION("""COMPUTED_VALUE"""),"ZONE A - الطابق الارضي")</f>
        <v>ZONE A - الطابق الارضي</v>
      </c>
      <c r="G24" s="10" t="str">
        <f ca="1">IFERROR(__xludf.DUMMYFUNCTION("""COMPUTED_VALUE"""),"صيانة نقطة كهرباء غرفة المعاونات")</f>
        <v>صيانة نقطة كهرباء غرفة المعاونات</v>
      </c>
      <c r="H24" s="10"/>
      <c r="I24" s="12" t="s">
        <v>13</v>
      </c>
      <c r="J24" s="13" t="s">
        <v>14</v>
      </c>
      <c r="K24" s="7">
        <v>45966.53100761574</v>
      </c>
      <c r="L24" s="67"/>
      <c r="M24" s="10"/>
    </row>
    <row r="25" spans="1:13" ht="75" customHeight="1" thickTop="1" thickBot="1">
      <c r="A25" s="7">
        <f ca="1">IFERROR(__xludf.DUMMYFUNCTION("""COMPUTED_VALUE"""),45965.5612038888)</f>
        <v>45965.561203888799</v>
      </c>
      <c r="B25" s="8" t="str">
        <f ca="1">IFERROR(__xludf.DUMMYFUNCTION("""COMPUTED_VALUE"""),"المعملجي")</f>
        <v>المعملجي</v>
      </c>
      <c r="C25" s="9" t="str">
        <f ca="1">IFERROR(__xludf.DUMMYFUNCTION("""COMPUTED_VALUE"""),"عبد الله جابر")</f>
        <v>عبد الله جابر</v>
      </c>
      <c r="D25" s="10" t="str">
        <f ca="1">IFERROR(__xludf.DUMMYFUNCTION("""COMPUTED_VALUE"""),"قسم التربية والتعليم العالي")</f>
        <v>قسم التربية والتعليم العالي</v>
      </c>
      <c r="E25" s="10" t="str">
        <f ca="1">IFERROR(__xludf.DUMMYFUNCTION("""COMPUTED_VALUE"""),"F-  ابتدائية جود العميد للبنات (الرابعة)")</f>
        <v>F-  ابتدائية جود العميد للبنات (الرابعة)</v>
      </c>
      <c r="F25" s="10" t="str">
        <f ca="1">IFERROR(__xludf.DUMMYFUNCTION("""COMPUTED_VALUE"""),"ZONE A - الطابق الارضي")</f>
        <v>ZONE A - الطابق الارضي</v>
      </c>
      <c r="G25" s="10" t="str">
        <f ca="1">IFERROR(__xludf.DUMMYFUNCTION("""COMPUTED_VALUE"""),"كهربائيات الارشاد")</f>
        <v>كهربائيات الارشاد</v>
      </c>
      <c r="H25" s="10"/>
      <c r="I25" s="12" t="s">
        <v>13</v>
      </c>
      <c r="J25" s="13" t="s">
        <v>14</v>
      </c>
      <c r="K25" s="7">
        <v>45966.29912689815</v>
      </c>
      <c r="L25" s="67"/>
      <c r="M25" s="10"/>
    </row>
    <row r="26" spans="1:13" ht="75" customHeight="1" thickTop="1" thickBot="1">
      <c r="A26" s="7">
        <f ca="1">IFERROR(__xludf.DUMMYFUNCTION("""COMPUTED_VALUE"""),45966.3132379629)</f>
        <v>45966.313237962902</v>
      </c>
      <c r="B26" s="8" t="str">
        <f ca="1">IFERROR(__xludf.DUMMYFUNCTION("""COMPUTED_VALUE"""),"المعملجي")</f>
        <v>المعملجي</v>
      </c>
      <c r="C26" s="9" t="str">
        <f ca="1">IFERROR(__xludf.DUMMYFUNCTION("""COMPUTED_VALUE"""),"عبد الله جابر")</f>
        <v>عبد الله جابر</v>
      </c>
      <c r="D26" s="10" t="str">
        <f ca="1">IFERROR(__xludf.DUMMYFUNCTION("""COMPUTED_VALUE"""),"قسم التربية والتعليم العالي")</f>
        <v>قسم التربية والتعليم العالي</v>
      </c>
      <c r="E26" s="10" t="str">
        <f ca="1">IFERROR(__xludf.DUMMYFUNCTION("""COMPUTED_VALUE"""),"مختبر الحاسوب")</f>
        <v>مختبر الحاسوب</v>
      </c>
      <c r="F26" s="10" t="str">
        <f ca="1">IFERROR(__xludf.DUMMYFUNCTION("""COMPUTED_VALUE"""),"ZONE A - الطابق الاول")</f>
        <v>ZONE A - الطابق الاول</v>
      </c>
      <c r="G26" s="10" t="str">
        <f ca="1">IFERROR(__xludf.DUMMYFUNCTION("""COMPUTED_VALUE"""),"صيانة نقطة كهرباء")</f>
        <v>صيانة نقطة كهرباء</v>
      </c>
      <c r="H26" s="10"/>
      <c r="I26" s="12" t="s">
        <v>13</v>
      </c>
      <c r="J26" s="13" t="s">
        <v>14</v>
      </c>
      <c r="K26" s="7">
        <v>45966.735025497685</v>
      </c>
      <c r="L26" s="67"/>
      <c r="M26" s="10"/>
    </row>
    <row r="27" spans="1:13" ht="75" customHeight="1" thickTop="1" thickBot="1">
      <c r="A27" s="7">
        <f ca="1">IFERROR(__xludf.DUMMYFUNCTION("""COMPUTED_VALUE"""),45966.3199827777)</f>
        <v>45966.319982777699</v>
      </c>
      <c r="B27" s="8" t="str">
        <f ca="1">IFERROR(__xludf.DUMMYFUNCTION("""COMPUTED_VALUE"""),"المعملجي")</f>
        <v>المعملجي</v>
      </c>
      <c r="C27" s="9" t="str">
        <f ca="1">IFERROR(__xludf.DUMMYFUNCTION("""COMPUTED_VALUE"""),"عبد الله جابر")</f>
        <v>عبد الله جابر</v>
      </c>
      <c r="D27" s="10" t="str">
        <f ca="1">IFERROR(__xludf.DUMMYFUNCTION("""COMPUTED_VALUE"""),"قسم التربية والتعليم العالي")</f>
        <v>قسم التربية والتعليم العالي</v>
      </c>
      <c r="E27" s="10" t="str">
        <f ca="1">IFERROR(__xludf.DUMMYFUNCTION("""COMPUTED_VALUE"""),"D- ثانوية العميد بناية المتوسطة  (الثانية), مجاور صف الثالث د")</f>
        <v>D- ثانوية العميد بناية المتوسطة  (الثانية), مجاور صف الثالث د</v>
      </c>
      <c r="F27" s="10" t="str">
        <f ca="1">IFERROR(__xludf.DUMMYFUNCTION("""COMPUTED_VALUE"""),"ZONE A - الطابق الاول")</f>
        <v>ZONE A - الطابق الاول</v>
      </c>
      <c r="G27" s="10" t="str">
        <f ca="1">IFERROR(__xludf.DUMMYFUNCTION("""COMPUTED_VALUE"""),"صيانة نقطة كهرباء")</f>
        <v>صيانة نقطة كهرباء</v>
      </c>
      <c r="H27" s="10"/>
      <c r="I27" s="12" t="s">
        <v>13</v>
      </c>
      <c r="J27" s="13" t="s">
        <v>14</v>
      </c>
      <c r="K27" s="7">
        <v>45966.735078611113</v>
      </c>
      <c r="L27" s="67"/>
      <c r="M27" s="10"/>
    </row>
    <row r="28" spans="1:13" ht="75" customHeight="1" thickTop="1" thickBot="1">
      <c r="A28" s="7">
        <f ca="1">IFERROR(__xludf.DUMMYFUNCTION("""COMPUTED_VALUE"""),45967.3839397916)</f>
        <v>45967.383939791602</v>
      </c>
      <c r="B28" s="8" t="str">
        <f ca="1">IFERROR(__xludf.DUMMYFUNCTION("""COMPUTED_VALUE"""),"المعملجي")</f>
        <v>المعملجي</v>
      </c>
      <c r="C28" s="9" t="str">
        <f ca="1">IFERROR(__xludf.DUMMYFUNCTION("""COMPUTED_VALUE"""),"عبد الله جابر")</f>
        <v>عبد الله جابر</v>
      </c>
      <c r="D28" s="10" t="str">
        <f ca="1">IFERROR(__xludf.DUMMYFUNCTION("""COMPUTED_VALUE"""),"قسم التربية والتعليم العالي")</f>
        <v>قسم التربية والتعليم العالي</v>
      </c>
      <c r="E28" s="10" t="str">
        <f ca="1">IFERROR(__xludf.DUMMYFUNCTION("""COMPUTED_VALUE"""),"A- المركز الثقافي")</f>
        <v>A- المركز الثقافي</v>
      </c>
      <c r="F28" s="10" t="str">
        <f ca="1">IFERROR(__xludf.DUMMYFUNCTION("""COMPUTED_VALUE"""),"الطابق الثالث غرفة الكهرباء")</f>
        <v>الطابق الثالث غرفة الكهرباء</v>
      </c>
      <c r="G28" s="10" t="str">
        <f ca="1">IFERROR(__xludf.DUMMYFUNCTION("""COMPUTED_VALUE"""),"وجود صوت عالي داخل الغرفة")</f>
        <v>وجود صوت عالي داخل الغرفة</v>
      </c>
      <c r="H28" s="10"/>
      <c r="I28" s="12" t="s">
        <v>13</v>
      </c>
      <c r="J28" s="13" t="s">
        <v>14</v>
      </c>
      <c r="K28" s="7">
        <v>45967.423299016205</v>
      </c>
      <c r="L28" s="67"/>
      <c r="M28" s="10"/>
    </row>
    <row r="29" spans="1:13" ht="75" customHeight="1" thickTop="1" thickBot="1">
      <c r="A29" s="7">
        <f ca="1">IFERROR(__xludf.DUMMYFUNCTION("""COMPUTED_VALUE"""),45967.3946623379)</f>
        <v>45967.394662337902</v>
      </c>
      <c r="B29" s="8" t="str">
        <f ca="1">IFERROR(__xludf.DUMMYFUNCTION("""COMPUTED_VALUE"""),"المعملجي")</f>
        <v>المعملجي</v>
      </c>
      <c r="C29" s="9" t="str">
        <f ca="1">IFERROR(__xludf.DUMMYFUNCTION("""COMPUTED_VALUE"""),"عبد الله جابر")</f>
        <v>عبد الله جابر</v>
      </c>
      <c r="D29" s="10" t="str">
        <f ca="1">IFERROR(__xludf.DUMMYFUNCTION("""COMPUTED_VALUE"""),"قسم التربية والتعليم العالي")</f>
        <v>قسم التربية والتعليم العالي</v>
      </c>
      <c r="E29" s="10" t="str">
        <f ca="1">IFERROR(__xludf.DUMMYFUNCTION("""COMPUTED_VALUE"""),"D- ثانوية العميد بناية المتوسطة  (الثانية)")</f>
        <v>D- ثانوية العميد بناية المتوسطة  (الثانية)</v>
      </c>
      <c r="F29" s="10" t="str">
        <f ca="1">IFERROR(__xludf.DUMMYFUNCTION("""COMPUTED_VALUE"""),"غرفة المدرسات")</f>
        <v>غرفة المدرسات</v>
      </c>
      <c r="G29" s="10" t="str">
        <f ca="1">IFERROR(__xludf.DUMMYFUNCTION("""COMPUTED_VALUE"""),"صيانة نقطة كهرباء")</f>
        <v>صيانة نقطة كهرباء</v>
      </c>
      <c r="H29" s="10"/>
      <c r="I29" s="12" t="s">
        <v>13</v>
      </c>
      <c r="J29" s="13" t="s">
        <v>14</v>
      </c>
      <c r="K29" s="7">
        <v>45967.423482662038</v>
      </c>
      <c r="L29" s="67"/>
      <c r="M29" s="10"/>
    </row>
    <row r="30" spans="1:13" ht="75" customHeight="1" thickTop="1" thickBot="1">
      <c r="A30" s="7">
        <f ca="1">IFERROR(__xludf.DUMMYFUNCTION("""COMPUTED_VALUE"""),45967.8404056481)</f>
        <v>45967.840405648101</v>
      </c>
      <c r="B30" s="8" t="str">
        <f ca="1">IFERROR(__xludf.DUMMYFUNCTION("""COMPUTED_VALUE"""),"المعملجي")</f>
        <v>المعملجي</v>
      </c>
      <c r="C30" s="9" t="str">
        <f ca="1">IFERROR(__xludf.DUMMYFUNCTION("""COMPUTED_VALUE"""),"وحدة الكهرباء ")</f>
        <v xml:space="preserve">وحدة الكهرباء </v>
      </c>
      <c r="D30" s="10" t="str">
        <f ca="1">IFERROR(__xludf.DUMMYFUNCTION("""COMPUTED_VALUE"""),"قسم المشاريع الهندسية")</f>
        <v>قسم المشاريع الهندسية</v>
      </c>
      <c r="E30" s="10" t="str">
        <f ca="1">IFERROR(__xludf.DUMMYFUNCTION("""COMPUTED_VALUE"""),"A- المركز الثقافي")</f>
        <v>A- المركز الثقافي</v>
      </c>
      <c r="F30" s="10" t="str">
        <f ca="1">IFERROR(__xludf.DUMMYFUNCTION("""COMPUTED_VALUE"""),"الطابق الثالث")</f>
        <v>الطابق الثالث</v>
      </c>
      <c r="G30" s="10" t="str">
        <f ca="1">IFERROR(__xludf.DUMMYFUNCTION("""COMPUTED_VALUE"""),"استبدال محولة سبوت لايت 38W  وصيانة سبوت لايت اخر ")</f>
        <v xml:space="preserve">استبدال محولة سبوت لايت 38W  وصيانة سبوت لايت اخر </v>
      </c>
      <c r="H30" s="10" t="str">
        <f ca="1">IFERROR(__xludf.DUMMYFUNCTION("""COMPUTED_VALUE"""),"نمت الصيانة الأربعاء")</f>
        <v>نمت الصيانة الأربعاء</v>
      </c>
      <c r="I30" s="12" t="s">
        <v>13</v>
      </c>
      <c r="J30" s="13" t="s">
        <v>14</v>
      </c>
      <c r="K30" s="7">
        <v>45967.840558298616</v>
      </c>
      <c r="L30" s="67"/>
      <c r="M30" s="10"/>
    </row>
    <row r="31" spans="1:13" ht="75" customHeight="1" thickTop="1" thickBot="1">
      <c r="A31" s="7">
        <f ca="1">IFERROR(__xludf.DUMMYFUNCTION("""COMPUTED_VALUE"""),45967.8438896527)</f>
        <v>45967.8438896527</v>
      </c>
      <c r="B31" s="8" t="str">
        <f ca="1">IFERROR(__xludf.DUMMYFUNCTION("""COMPUTED_VALUE"""),"المعملجي")</f>
        <v>المعملجي</v>
      </c>
      <c r="C31" s="9" t="str">
        <f ca="1">IFERROR(__xludf.DUMMYFUNCTION("""COMPUTED_VALUE"""),"وحدة الكهرباء ")</f>
        <v xml:space="preserve">وحدة الكهرباء </v>
      </c>
      <c r="D31" s="10" t="str">
        <f ca="1">IFERROR(__xludf.DUMMYFUNCTION("""COMPUTED_VALUE"""),"قسم المشاريع الهندسية")</f>
        <v>قسم المشاريع الهندسية</v>
      </c>
      <c r="E31" s="10" t="str">
        <f ca="1">IFERROR(__xludf.DUMMYFUNCTION("""COMPUTED_VALUE"""),"J- جامعة العميد (السابعة)")</f>
        <v>J- جامعة العميد (السابعة)</v>
      </c>
      <c r="F31" s="10" t="str">
        <f ca="1">IFERROR(__xludf.DUMMYFUNCTION("""COMPUTED_VALUE"""),"ZONE B - الطابق الارضي, الصحيات")</f>
        <v>ZONE B - الطابق الارضي, الصحيات</v>
      </c>
      <c r="G31" s="10" t="str">
        <f ca="1">IFERROR(__xludf.DUMMYFUNCTION("""COMPUTED_VALUE"""),"استبدال محولة سبوت لايت")</f>
        <v>استبدال محولة سبوت لايت</v>
      </c>
      <c r="H31" s="10" t="str">
        <f ca="1">IFERROR(__xludf.DUMMYFUNCTION("""COMPUTED_VALUE"""),"منجز")</f>
        <v>منجز</v>
      </c>
      <c r="I31" s="12" t="s">
        <v>13</v>
      </c>
      <c r="J31" s="13" t="s">
        <v>14</v>
      </c>
      <c r="K31" s="7">
        <v>45967.844245127315</v>
      </c>
      <c r="L31" s="67"/>
      <c r="M31" s="10"/>
    </row>
    <row r="32" spans="1:13" ht="75" customHeight="1" thickTop="1" thickBot="1">
      <c r="A32" s="7">
        <f ca="1">IFERROR(__xludf.DUMMYFUNCTION("""COMPUTED_VALUE"""),45967.8471254398)</f>
        <v>45967.847125439803</v>
      </c>
      <c r="B32" s="8" t="str">
        <f ca="1">IFERROR(__xludf.DUMMYFUNCTION("""COMPUTED_VALUE"""),"المعملجي")</f>
        <v>المعملجي</v>
      </c>
      <c r="C32" s="9" t="str">
        <f ca="1">IFERROR(__xludf.DUMMYFUNCTION("""COMPUTED_VALUE"""),"وحدة الكهرباء")</f>
        <v>وحدة الكهرباء</v>
      </c>
      <c r="D32" s="10" t="str">
        <f ca="1">IFERROR(__xludf.DUMMYFUNCTION("""COMPUTED_VALUE"""),"قسم المشاريع الهندسية")</f>
        <v>قسم المشاريع الهندسية</v>
      </c>
      <c r="E32" s="10" t="str">
        <f ca="1">IFERROR(__xludf.DUMMYFUNCTION("""COMPUTED_VALUE"""),"H- ابتدائية القمر للبنات (الخامسة)
")</f>
        <v xml:space="preserve">H- ابتدائية القمر للبنات (الخامسة)
</v>
      </c>
      <c r="F32" s="10" t="str">
        <f ca="1">IFERROR(__xludf.DUMMYFUNCTION("""COMPUTED_VALUE"""),"موزعة في جميع الطوابق")</f>
        <v>موزعة في جميع الطوابق</v>
      </c>
      <c r="G32" s="10" t="str">
        <f ca="1">IFERROR(__xludf.DUMMYFUNCTION("""COMPUTED_VALUE"""),"صيانة انارة منشورية 60*60 عدد 7  عن طريق لحام الأجزاء الداخلية ")</f>
        <v xml:space="preserve">صيانة انارة منشورية 60*60 عدد 7  عن طريق لحام الأجزاء الداخلية </v>
      </c>
      <c r="H32" s="10"/>
      <c r="I32" s="12" t="s">
        <v>13</v>
      </c>
      <c r="J32" s="13" t="s">
        <v>14</v>
      </c>
      <c r="K32" s="7">
        <v>45968.62311487268</v>
      </c>
      <c r="L32" s="67"/>
      <c r="M32" s="10"/>
    </row>
    <row r="33" spans="1:13" ht="75" customHeight="1" thickTop="1" thickBot="1">
      <c r="A33" s="7">
        <f ca="1">IFERROR(__xludf.DUMMYFUNCTION("""COMPUTED_VALUE"""),45969.4448014814)</f>
        <v>45969.444801481397</v>
      </c>
      <c r="B33" s="8" t="str">
        <f ca="1">IFERROR(__xludf.DUMMYFUNCTION("""COMPUTED_VALUE"""),"المعملجي")</f>
        <v>المعملجي</v>
      </c>
      <c r="C33" s="9" t="str">
        <f ca="1">IFERROR(__xludf.DUMMYFUNCTION("""COMPUTED_VALUE"""),"م. علي يسري")</f>
        <v>م. علي يسري</v>
      </c>
      <c r="D33" s="10" t="str">
        <f ca="1">IFERROR(__xludf.DUMMYFUNCTION("""COMPUTED_VALUE"""),"قسم المشاريع الهندسية")</f>
        <v>قسم المشاريع الهندسية</v>
      </c>
      <c r="E33" s="10" t="str">
        <f ca="1">IFERROR(__xludf.DUMMYFUNCTION("""COMPUTED_VALUE"""),"G- روضة الجود")</f>
        <v>G- روضة الجود</v>
      </c>
      <c r="F33" s="10" t="str">
        <f ca="1">IFERROR(__xludf.DUMMYFUNCTION("""COMPUTED_VALUE"""),"السطح")</f>
        <v>السطح</v>
      </c>
      <c r="G33" s="10" t="str">
        <f ca="1">IFERROR(__xludf.DUMMYFUNCTION("""COMPUTED_VALUE"""),"غسل الألواح الشمسية")</f>
        <v>غسل الألواح الشمسية</v>
      </c>
      <c r="H33" s="10"/>
      <c r="I33" s="12" t="s">
        <v>13</v>
      </c>
      <c r="J33" s="13" t="s">
        <v>14</v>
      </c>
      <c r="K33" s="7">
        <v>45969.446881631942</v>
      </c>
      <c r="L33" s="67"/>
      <c r="M33" s="10"/>
    </row>
    <row r="34" spans="1:13" ht="75" customHeight="1" thickTop="1" thickBot="1">
      <c r="A34" s="7">
        <f ca="1">IFERROR(__xludf.DUMMYFUNCTION("""COMPUTED_VALUE"""),45969.4463087615)</f>
        <v>45969.4463087615</v>
      </c>
      <c r="B34" s="8" t="str">
        <f ca="1">IFERROR(__xludf.DUMMYFUNCTION("""COMPUTED_VALUE"""),"المعملجي")</f>
        <v>المعملجي</v>
      </c>
      <c r="C34" s="9" t="str">
        <f ca="1">IFERROR(__xludf.DUMMYFUNCTION("""COMPUTED_VALUE"""),"م. علي يسري")</f>
        <v>م. علي يسري</v>
      </c>
      <c r="D34" s="10" t="str">
        <f ca="1">IFERROR(__xludf.DUMMYFUNCTION("""COMPUTED_VALUE"""),"قسم المشاريع الهندسية")</f>
        <v>قسم المشاريع الهندسية</v>
      </c>
      <c r="E34" s="10" t="str">
        <f ca="1">IFERROR(__xludf.DUMMYFUNCTION("""COMPUTED_VALUE"""),"J- ابتدائية الساقي للبنين الجانب الثاني (السابعة)")</f>
        <v>J- ابتدائية الساقي للبنين الجانب الثاني (السابعة)</v>
      </c>
      <c r="F34" s="10" t="str">
        <f ca="1">IFERROR(__xludf.DUMMYFUNCTION("""COMPUTED_VALUE"""),"ZONE B - الطابق الاول, ZONE B - الطابق الثاني")</f>
        <v>ZONE B - الطابق الاول, ZONE B - الطابق الثاني</v>
      </c>
      <c r="G34" s="10" t="str">
        <f ca="1">IFERROR(__xludf.DUMMYFUNCTION("""COMPUTED_VALUE"""),"فتح منشورات عدد ٥ ")</f>
        <v xml:space="preserve">فتح منشورات عدد ٥ </v>
      </c>
      <c r="H34" s="10"/>
      <c r="I34" s="12" t="s">
        <v>13</v>
      </c>
      <c r="J34" s="13" t="s">
        <v>14</v>
      </c>
      <c r="K34" s="7">
        <v>45969.446906365745</v>
      </c>
      <c r="L34" s="67"/>
      <c r="M34" s="10"/>
    </row>
    <row r="35" spans="1:13" ht="75" customHeight="1" thickTop="1" thickBot="1">
      <c r="A35" s="7">
        <f ca="1">IFERROR(__xludf.DUMMYFUNCTION("""COMPUTED_VALUE"""),45970.4227169907)</f>
        <v>45970.422716990703</v>
      </c>
      <c r="B35" s="8" t="str">
        <f ca="1">IFERROR(__xludf.DUMMYFUNCTION("""COMPUTED_VALUE"""),"المعملجي")</f>
        <v>المعملجي</v>
      </c>
      <c r="C35" s="9" t="str">
        <f ca="1">IFERROR(__xludf.DUMMYFUNCTION("""COMPUTED_VALUE"""),"عبد الله جابر")</f>
        <v>عبد الله جابر</v>
      </c>
      <c r="D35" s="10" t="str">
        <f ca="1">IFERROR(__xludf.DUMMYFUNCTION("""COMPUTED_VALUE"""),"قسم التربية والتعليم العالي")</f>
        <v>قسم التربية والتعليم العالي</v>
      </c>
      <c r="E35" s="10" t="str">
        <f ca="1">IFERROR(__xludf.DUMMYFUNCTION("""COMPUTED_VALUE"""),"الساقي")</f>
        <v>الساقي</v>
      </c>
      <c r="F35" s="10" t="str">
        <f ca="1">IFERROR(__xludf.DUMMYFUNCTION("""COMPUTED_VALUE"""),"ZONE A - الطابق الارضي")</f>
        <v>ZONE A - الطابق الارضي</v>
      </c>
      <c r="G35" s="10" t="str">
        <f ca="1">IFERROR(__xludf.DUMMYFUNCTION("""COMPUTED_VALUE"""),"صيانه كهرباء ")</f>
        <v xml:space="preserve">صيانه كهرباء </v>
      </c>
      <c r="H35" s="10"/>
      <c r="I35" s="12" t="s">
        <v>13</v>
      </c>
      <c r="J35" s="13" t="s">
        <v>14</v>
      </c>
      <c r="K35" s="7">
        <v>45970.512727777779</v>
      </c>
      <c r="L35" s="67"/>
      <c r="M35" s="10"/>
    </row>
    <row r="36" spans="1:13" ht="75" customHeight="1" thickTop="1" thickBot="1">
      <c r="A36" s="7">
        <f ca="1">IFERROR(__xludf.DUMMYFUNCTION("""COMPUTED_VALUE"""),45970.5507998379)</f>
        <v>45970.550799837903</v>
      </c>
      <c r="B36" s="8" t="str">
        <f ca="1">IFERROR(__xludf.DUMMYFUNCTION("""COMPUTED_VALUE"""),"المعملجي")</f>
        <v>المعملجي</v>
      </c>
      <c r="C36" s="9" t="str">
        <f ca="1">IFERROR(__xludf.DUMMYFUNCTION("""COMPUTED_VALUE"""),"وحدة الكهرباء")</f>
        <v>وحدة الكهرباء</v>
      </c>
      <c r="D36" s="10" t="str">
        <f ca="1">IFERROR(__xludf.DUMMYFUNCTION("""COMPUTED_VALUE"""),"قسم المشاريع الهندسية")</f>
        <v>قسم المشاريع الهندسية</v>
      </c>
      <c r="E36" s="10" t="str">
        <f ca="1">IFERROR(__xludf.DUMMYFUNCTION("""COMPUTED_VALUE"""),"جميع البنايات عدا 6 و 7 ")</f>
        <v xml:space="preserve">جميع البنايات عدا 6 و 7 </v>
      </c>
      <c r="F36" s="10" t="str">
        <f ca="1">IFERROR(__xludf.DUMMYFUNCTION("""COMPUTED_VALUE"""),"الغرف التي تحوي UPS ")</f>
        <v xml:space="preserve">الغرف التي تحوي UPS </v>
      </c>
      <c r="G36" s="10" t="str">
        <f ca="1">IFERROR(__xludf.DUMMYFUNCTION("""COMPUTED_VALUE"""),"تنظيف فلاتر الUPS")</f>
        <v>تنظيف فلاتر الUPS</v>
      </c>
      <c r="H36" s="10" t="str">
        <f ca="1">IFERROR(__xludf.DUMMYFUNCTION("""COMPUTED_VALUE"""),"منجز ")</f>
        <v xml:space="preserve">منجز </v>
      </c>
      <c r="I36" s="12" t="s">
        <v>13</v>
      </c>
      <c r="J36" s="13" t="s">
        <v>14</v>
      </c>
      <c r="K36" s="7">
        <v>45970.564812199074</v>
      </c>
      <c r="L36" s="67"/>
      <c r="M36" s="10"/>
    </row>
    <row r="37" spans="1:13" ht="75" customHeight="1" thickTop="1" thickBot="1">
      <c r="A37" s="7">
        <f ca="1">IFERROR(__xludf.DUMMYFUNCTION("""COMPUTED_VALUE"""),45973.4624412384)</f>
        <v>45973.4624412384</v>
      </c>
      <c r="B37" s="8" t="str">
        <f ca="1">IFERROR(__xludf.DUMMYFUNCTION("""COMPUTED_VALUE"""),"المعملجي")</f>
        <v>المعملجي</v>
      </c>
      <c r="C37" s="9" t="str">
        <f ca="1">IFERROR(__xludf.DUMMYFUNCTION("""COMPUTED_VALUE"""),"عبد الله جابر")</f>
        <v>عبد الله جابر</v>
      </c>
      <c r="D37" s="10" t="str">
        <f ca="1">IFERROR(__xludf.DUMMYFUNCTION("""COMPUTED_VALUE"""),"قسم التربية والتعليم العالي")</f>
        <v>قسم التربية والتعليم العالي</v>
      </c>
      <c r="E37" s="10" t="str">
        <f ca="1">IFERROR(__xludf.DUMMYFUNCTION("""COMPUTED_VALUE"""),"F-  ابتدائية جود العميد للبنات (الرابعة)")</f>
        <v>F-  ابتدائية جود العميد للبنات (الرابعة)</v>
      </c>
      <c r="F37" s="10" t="str">
        <f ca="1">IFERROR(__xludf.DUMMYFUNCTION("""COMPUTED_VALUE"""),"ZONE A - الطابق الارضي")</f>
        <v>ZONE A - الطابق الارضي</v>
      </c>
      <c r="G37" s="10" t="str">
        <f ca="1">IFERROR(__xludf.DUMMYFUNCTION("""COMPUTED_VALUE"""),"صيانه  جهاز البصمه ")</f>
        <v xml:space="preserve">صيانه  جهاز البصمه </v>
      </c>
      <c r="H37" s="10"/>
      <c r="I37" s="12" t="s">
        <v>13</v>
      </c>
      <c r="J37" s="13" t="s">
        <v>14</v>
      </c>
      <c r="K37" s="7">
        <v>45976.460548877316</v>
      </c>
      <c r="L37" s="67"/>
      <c r="M37" s="10"/>
    </row>
    <row r="38" spans="1:13" ht="75" customHeight="1" thickTop="1" thickBot="1">
      <c r="A38" s="7">
        <f ca="1">IFERROR(__xludf.DUMMYFUNCTION("""COMPUTED_VALUE"""),45973.572160405)</f>
        <v>45973.572160404998</v>
      </c>
      <c r="B38" s="8" t="str">
        <f ca="1">IFERROR(__xludf.DUMMYFUNCTION("""COMPUTED_VALUE"""),"المعملجي")</f>
        <v>المعملجي</v>
      </c>
      <c r="C38" s="9" t="str">
        <f ca="1">IFERROR(__xludf.DUMMYFUNCTION("""COMPUTED_VALUE"""),"عبد الله جابر")</f>
        <v>عبد الله جابر</v>
      </c>
      <c r="D38" s="10" t="str">
        <f ca="1">IFERROR(__xludf.DUMMYFUNCTION("""COMPUTED_VALUE"""),"قسم التربية والتعليم العالي")</f>
        <v>قسم التربية والتعليم العالي</v>
      </c>
      <c r="E38" s="10" t="str">
        <f ca="1">IFERROR(__xludf.DUMMYFUNCTION("""COMPUTED_VALUE"""),"E- ابتدائية العميد للبنات (الثالثة)")</f>
        <v>E- ابتدائية العميد للبنات (الثالثة)</v>
      </c>
      <c r="F38" s="10" t="str">
        <f ca="1">IFERROR(__xludf.DUMMYFUNCTION("""COMPUTED_VALUE"""),"ZONE A - الطابق الاول")</f>
        <v>ZONE A - الطابق الاول</v>
      </c>
      <c r="G38" s="10" t="str">
        <f ca="1">IFERROR(__xludf.DUMMYFUNCTION("""COMPUTED_VALUE"""),"صيانه بلك مكنسه + سويج براد الماء في غرفه المعلمات ")</f>
        <v xml:space="preserve">صيانه بلك مكنسه + سويج براد الماء في غرفه المعلمات </v>
      </c>
      <c r="H38" s="10"/>
      <c r="I38" s="12" t="s">
        <v>13</v>
      </c>
      <c r="J38" s="13" t="s">
        <v>14</v>
      </c>
      <c r="K38" s="7">
        <v>45974.299845000001</v>
      </c>
      <c r="L38" s="67"/>
      <c r="M38" s="10"/>
    </row>
    <row r="39" spans="1:13" ht="75" customHeight="1" thickTop="1" thickBot="1">
      <c r="A39" s="7">
        <f ca="1">IFERROR(__xludf.DUMMYFUNCTION("""COMPUTED_VALUE"""),45974.488131412)</f>
        <v>45974.488131411999</v>
      </c>
      <c r="B39" s="8" t="str">
        <f ca="1">IFERROR(__xludf.DUMMYFUNCTION("""COMPUTED_VALUE"""),"المعملجي")</f>
        <v>المعملجي</v>
      </c>
      <c r="C39" s="9" t="str">
        <f ca="1">IFERROR(__xludf.DUMMYFUNCTION("""COMPUTED_VALUE"""),"وحدة الكهرباء")</f>
        <v>وحدة الكهرباء</v>
      </c>
      <c r="D39" s="10" t="str">
        <f ca="1">IFERROR(__xludf.DUMMYFUNCTION("""COMPUTED_VALUE"""),"قسم المشاريع الهندسية")</f>
        <v>قسم المشاريع الهندسية</v>
      </c>
      <c r="E39" s="10" t="str">
        <f ca="1">IFERROR(__xludf.DUMMYFUNCTION("""COMPUTED_VALUE"""),"J- ابتدائية الساقي للبنين الجانب الثاني (السابعة), ")</f>
        <v xml:space="preserve">J- ابتدائية الساقي للبنين الجانب الثاني (السابعة), </v>
      </c>
      <c r="F39" s="10" t="str">
        <f ca="1">IFERROR(__xludf.DUMMYFUNCTION("""COMPUTED_VALUE"""),"متفرقة")</f>
        <v>متفرقة</v>
      </c>
      <c r="G39" s="10" t="str">
        <f ca="1">IFERROR(__xludf.DUMMYFUNCTION("""COMPUTED_VALUE"""),"فتح منشوريات عدد 5")</f>
        <v>فتح منشوريات عدد 5</v>
      </c>
      <c r="H39" s="10"/>
      <c r="I39" s="12" t="s">
        <v>13</v>
      </c>
      <c r="J39" s="13" t="s">
        <v>14</v>
      </c>
      <c r="K39" s="7">
        <v>45974.492397905095</v>
      </c>
      <c r="L39" s="67"/>
      <c r="M39" s="10"/>
    </row>
    <row r="40" spans="1:13" ht="75" customHeight="1" thickTop="1" thickBot="1">
      <c r="A40" s="7">
        <f ca="1">IFERROR(__xludf.DUMMYFUNCTION("""COMPUTED_VALUE"""),45974.4893965162)</f>
        <v>45974.489396516197</v>
      </c>
      <c r="B40" s="8" t="str">
        <f ca="1">IFERROR(__xludf.DUMMYFUNCTION("""COMPUTED_VALUE"""),"المعملجي")</f>
        <v>المعملجي</v>
      </c>
      <c r="C40" s="9" t="str">
        <f ca="1">IFERROR(__xludf.DUMMYFUNCTION("""COMPUTED_VALUE"""),"وحدة الكهرباء")</f>
        <v>وحدة الكهرباء</v>
      </c>
      <c r="D40" s="10" t="str">
        <f ca="1">IFERROR(__xludf.DUMMYFUNCTION("""COMPUTED_VALUE"""),"قسم المشاريع الهندسية")</f>
        <v>قسم المشاريع الهندسية</v>
      </c>
      <c r="E40" s="10" t="str">
        <f ca="1">IFERROR(__xludf.DUMMYFUNCTION("""COMPUTED_VALUE"""),"J- ابتدائية الساقي للبنين الجانب الثاني (السابعة)")</f>
        <v>J- ابتدائية الساقي للبنين الجانب الثاني (السابعة)</v>
      </c>
      <c r="F40" s="10" t="str">
        <f ca="1">IFERROR(__xludf.DUMMYFUNCTION("""COMPUTED_VALUE"""),"متفرقة")</f>
        <v>متفرقة</v>
      </c>
      <c r="G40" s="10" t="str">
        <f ca="1">IFERROR(__xludf.DUMMYFUNCTION("""COMPUTED_VALUE"""),"صيانة المنشوريات المفتوحة عن طريق لحام الاجزاء الداخلية واعادة ربطها")</f>
        <v>صيانة المنشوريات المفتوحة عن طريق لحام الاجزاء الداخلية واعادة ربطها</v>
      </c>
      <c r="H40" s="10"/>
      <c r="I40" s="12" t="s">
        <v>13</v>
      </c>
      <c r="J40" s="13" t="s">
        <v>14</v>
      </c>
      <c r="K40" s="7">
        <v>45974.492424675926</v>
      </c>
      <c r="L40" s="67"/>
      <c r="M40" s="10"/>
    </row>
    <row r="41" spans="1:13" ht="75" customHeight="1" thickTop="1" thickBot="1">
      <c r="A41" s="7">
        <f ca="1">IFERROR(__xludf.DUMMYFUNCTION("""COMPUTED_VALUE"""),45974.4952086574)</f>
        <v>45974.495208657398</v>
      </c>
      <c r="B41" s="8" t="str">
        <f ca="1">IFERROR(__xludf.DUMMYFUNCTION("""COMPUTED_VALUE"""),"المعملجي")</f>
        <v>المعملجي</v>
      </c>
      <c r="C41" s="9" t="str">
        <f ca="1">IFERROR(__xludf.DUMMYFUNCTION("""COMPUTED_VALUE"""),"وحدة الكهرباء")</f>
        <v>وحدة الكهرباء</v>
      </c>
      <c r="D41" s="10" t="str">
        <f ca="1">IFERROR(__xludf.DUMMYFUNCTION("""COMPUTED_VALUE"""),"قسم المشاريع الهندسية")</f>
        <v>قسم المشاريع الهندسية</v>
      </c>
      <c r="E41" s="10" t="str">
        <f ca="1">IFERROR(__xludf.DUMMYFUNCTION("""COMPUTED_VALUE"""),"A- المركز الثقافي")</f>
        <v>A- المركز الثقافي</v>
      </c>
      <c r="F41" s="10" t="str">
        <f ca="1">IFERROR(__xludf.DUMMYFUNCTION("""COMPUTED_VALUE"""),"الطابق الرابع")</f>
        <v>الطابق الرابع</v>
      </c>
      <c r="G41" s="10" t="str">
        <f ca="1">IFERROR(__xludf.DUMMYFUNCTION("""COMPUTED_VALUE"""),"توصيل مصدر 3phase كيبل 4*4 من مصدر الشاشات القديم الخاصة بكاميرات المراقبلة الى المكان الجديد الذي هو بنفس الطابق ")</f>
        <v xml:space="preserve">توصيل مصدر 3phase كيبل 4*4 من مصدر الشاشات القديم الخاصة بكاميرات المراقبلة الى المكان الجديد الذي هو بنفس الطابق </v>
      </c>
      <c r="H41" s="10"/>
      <c r="I41" s="12" t="s">
        <v>13</v>
      </c>
      <c r="J41" s="13" t="s">
        <v>14</v>
      </c>
      <c r="K41" s="7">
        <v>45974.495740636572</v>
      </c>
      <c r="L41" s="67"/>
      <c r="M41" s="10"/>
    </row>
    <row r="42" spans="1:13" ht="75" customHeight="1" thickTop="1" thickBot="1">
      <c r="A42" s="7">
        <f ca="1">IFERROR(__xludf.DUMMYFUNCTION("""COMPUTED_VALUE"""),45974.4970845833)</f>
        <v>45974.497084583301</v>
      </c>
      <c r="B42" s="8" t="str">
        <f ca="1">IFERROR(__xludf.DUMMYFUNCTION("""COMPUTED_VALUE"""),"المعملجي")</f>
        <v>المعملجي</v>
      </c>
      <c r="C42" s="9" t="str">
        <f ca="1">IFERROR(__xludf.DUMMYFUNCTION("""COMPUTED_VALUE"""),"وحدة الكهرباء")</f>
        <v>وحدة الكهرباء</v>
      </c>
      <c r="D42" s="10" t="str">
        <f ca="1">IFERROR(__xludf.DUMMYFUNCTION("""COMPUTED_VALUE"""),"قسم المشاريع الهندسية")</f>
        <v>قسم المشاريع الهندسية</v>
      </c>
      <c r="E42" s="10" t="str">
        <f ca="1">IFERROR(__xludf.DUMMYFUNCTION("""COMPUTED_VALUE"""),"النافورة")</f>
        <v>النافورة</v>
      </c>
      <c r="F42" s="10" t="str">
        <f ca="1">IFERROR(__xludf.DUMMYFUNCTION("""COMPUTED_VALUE"""),"موقع النافورة")</f>
        <v>موقع النافورة</v>
      </c>
      <c r="G42" s="10" t="str">
        <f ca="1">IFERROR(__xludf.DUMMYFUNCTION("""COMPUTED_VALUE"""),"تنظيف 20 مصباح انارة النافورة")</f>
        <v>تنظيف 20 مصباح انارة النافورة</v>
      </c>
      <c r="H42" s="10"/>
      <c r="I42" s="12" t="s">
        <v>13</v>
      </c>
      <c r="J42" s="13" t="s">
        <v>14</v>
      </c>
      <c r="K42" s="7">
        <v>45974.497152129625</v>
      </c>
      <c r="L42" s="67"/>
      <c r="M42" s="10"/>
    </row>
    <row r="43" spans="1:13" ht="75" customHeight="1" thickTop="1" thickBot="1">
      <c r="A43" s="7">
        <f ca="1">IFERROR(__xludf.DUMMYFUNCTION("""COMPUTED_VALUE"""),45974.5008171296)</f>
        <v>45974.500817129599</v>
      </c>
      <c r="B43" s="8" t="str">
        <f ca="1">IFERROR(__xludf.DUMMYFUNCTION("""COMPUTED_VALUE"""),"المعملجي")</f>
        <v>المعملجي</v>
      </c>
      <c r="C43" s="9" t="str">
        <f ca="1">IFERROR(__xludf.DUMMYFUNCTION("""COMPUTED_VALUE"""),"وحدة الكهرباء")</f>
        <v>وحدة الكهرباء</v>
      </c>
      <c r="D43" s="10" t="str">
        <f ca="1">IFERROR(__xludf.DUMMYFUNCTION("""COMPUTED_VALUE"""),"قسم المشاريع الهندسية")</f>
        <v>قسم المشاريع الهندسية</v>
      </c>
      <c r="E43" s="10" t="str">
        <f ca="1">IFERROR(__xludf.DUMMYFUNCTION("""COMPUTED_VALUE"""),"B- روضة القمر")</f>
        <v>B- روضة القمر</v>
      </c>
      <c r="F43" s="10" t="str">
        <f ca="1">IFERROR(__xludf.DUMMYFUNCTION("""COMPUTED_VALUE"""),"الصحيات الخاريجة")</f>
        <v>الصحيات الخاريجة</v>
      </c>
      <c r="G43" s="10" t="str">
        <f ca="1">IFERROR(__xludf.DUMMYFUNCTION("""COMPUTED_VALUE"""),"محولة سبوت لايت لا تعمل")</f>
        <v>محولة سبوت لايت لا تعمل</v>
      </c>
      <c r="H43" s="10"/>
      <c r="I43" s="12" t="s">
        <v>13</v>
      </c>
      <c r="J43" s="13" t="s">
        <v>14</v>
      </c>
      <c r="K43" s="7">
        <v>45974.500938587968</v>
      </c>
      <c r="L43" s="67"/>
      <c r="M43" s="10"/>
    </row>
    <row r="44" spans="1:13" ht="75" customHeight="1" thickTop="1" thickBot="1">
      <c r="A44" s="7">
        <f ca="1">IFERROR(__xludf.DUMMYFUNCTION("""COMPUTED_VALUE"""),45974.5049769444)</f>
        <v>45974.504976944401</v>
      </c>
      <c r="B44" s="8" t="str">
        <f ca="1">IFERROR(__xludf.DUMMYFUNCTION("""COMPUTED_VALUE"""),"المعملجي")</f>
        <v>المعملجي</v>
      </c>
      <c r="C44" s="9" t="str">
        <f ca="1">IFERROR(__xludf.DUMMYFUNCTION("""COMPUTED_VALUE"""),"وحدة الكهرباء")</f>
        <v>وحدة الكهرباء</v>
      </c>
      <c r="D44" s="10" t="str">
        <f ca="1">IFERROR(__xludf.DUMMYFUNCTION("""COMPUTED_VALUE"""),"قسم المشاريع الهندسية")</f>
        <v>قسم المشاريع الهندسية</v>
      </c>
      <c r="E44" s="10" t="str">
        <f ca="1">IFERROR(__xludf.DUMMYFUNCTION("""COMPUTED_VALUE"""),"C- ثانوية العميد بناية الاعدادية  (الاولى)")</f>
        <v>C- ثانوية العميد بناية الاعدادية  (الاولى)</v>
      </c>
      <c r="F44" s="10" t="str">
        <f ca="1">IFERROR(__xludf.DUMMYFUNCTION("""COMPUTED_VALUE"""),"السطح")</f>
        <v>السطح</v>
      </c>
      <c r="G44" s="10" t="str">
        <f ca="1">IFERROR(__xludf.DUMMYFUNCTION("""COMPUTED_VALUE"""),"اضافة تايمر ساعة الى دافعات منظومة AUH البالغ عددها 5 مع تعديل دائرة السيطرة  لتوقيت عمل الدافعات عدا الجمعة والسبت من الساعة السابعة الى الثانية ضهرا")</f>
        <v>اضافة تايمر ساعة الى دافعات منظومة AUH البالغ عددها 5 مع تعديل دائرة السيطرة  لتوقيت عمل الدافعات عدا الجمعة والسبت من الساعة السابعة الى الثانية ضهرا</v>
      </c>
      <c r="H44" s="10"/>
      <c r="I44" s="12" t="s">
        <v>13</v>
      </c>
      <c r="J44" s="13" t="s">
        <v>14</v>
      </c>
      <c r="K44" s="7">
        <v>45974.505052499997</v>
      </c>
      <c r="L44" s="67"/>
      <c r="M44" s="10"/>
    </row>
    <row r="45" spans="1:13" ht="75" customHeight="1" thickTop="1" thickBot="1">
      <c r="A45" s="7">
        <f ca="1">IFERROR(__xludf.DUMMYFUNCTION("""COMPUTED_VALUE"""),45974.5069516088)</f>
        <v>45974.506951608797</v>
      </c>
      <c r="B45" s="8" t="str">
        <f ca="1">IFERROR(__xludf.DUMMYFUNCTION("""COMPUTED_VALUE"""),"المعملجي")</f>
        <v>المعملجي</v>
      </c>
      <c r="C45" s="9" t="str">
        <f ca="1">IFERROR(__xludf.DUMMYFUNCTION("""COMPUTED_VALUE"""),"وحدة الكهرباء")</f>
        <v>وحدة الكهرباء</v>
      </c>
      <c r="D45" s="10" t="str">
        <f ca="1">IFERROR(__xludf.DUMMYFUNCTION("""COMPUTED_VALUE"""),"قسم المشاريع الهندسية")</f>
        <v>قسم المشاريع الهندسية</v>
      </c>
      <c r="E45" s="10" t="str">
        <f ca="1">IFERROR(__xludf.DUMMYFUNCTION("""COMPUTED_VALUE"""),"A- المركز الثقافي")</f>
        <v>A- المركز الثقافي</v>
      </c>
      <c r="F45" s="10" t="str">
        <f ca="1">IFERROR(__xludf.DUMMYFUNCTION("""COMPUTED_VALUE"""),"الرابع غرفة الكاميرات ")</f>
        <v xml:space="preserve">الرابع غرفة الكاميرات </v>
      </c>
      <c r="G45" s="10" t="str">
        <f ca="1">IFERROR(__xludf.DUMMYFUNCTION("""COMPUTED_VALUE"""),"اضافة بلك سويج عدد 2 نوع 13A ")</f>
        <v xml:space="preserve">اضافة بلك سويج عدد 2 نوع 13A </v>
      </c>
      <c r="H45" s="10"/>
      <c r="I45" s="12" t="s">
        <v>13</v>
      </c>
      <c r="J45" s="13" t="s">
        <v>14</v>
      </c>
      <c r="K45" s="7">
        <v>45974.507074143519</v>
      </c>
      <c r="L45" s="67"/>
      <c r="M45" s="10"/>
    </row>
    <row r="46" spans="1:13" ht="75" customHeight="1" thickTop="1" thickBot="1">
      <c r="A46" s="7">
        <f ca="1">IFERROR(__xludf.DUMMYFUNCTION("""COMPUTED_VALUE"""),45974.5083749884)</f>
        <v>45974.5083749884</v>
      </c>
      <c r="B46" s="8" t="str">
        <f ca="1">IFERROR(__xludf.DUMMYFUNCTION("""COMPUTED_VALUE"""),"المعملجي")</f>
        <v>المعملجي</v>
      </c>
      <c r="C46" s="9" t="str">
        <f ca="1">IFERROR(__xludf.DUMMYFUNCTION("""COMPUTED_VALUE"""),"وحدة الكهرباء")</f>
        <v>وحدة الكهرباء</v>
      </c>
      <c r="D46" s="10" t="str">
        <f ca="1">IFERROR(__xludf.DUMMYFUNCTION("""COMPUTED_VALUE"""),"قسم المشاريع الهندسية")</f>
        <v>قسم المشاريع الهندسية</v>
      </c>
      <c r="E46" s="10" t="str">
        <f ca="1">IFERROR(__xludf.DUMMYFUNCTION("""COMPUTED_VALUE"""),"الاستعلامات الرئيسية, ")</f>
        <v xml:space="preserve">الاستعلامات الرئيسية, </v>
      </c>
      <c r="F46" s="10" t="str">
        <f ca="1">IFERROR(__xludf.DUMMYFUNCTION("""COMPUTED_VALUE"""),"الباب الرئيسي")</f>
        <v>الباب الرئيسي</v>
      </c>
      <c r="G46" s="10" t="str">
        <f ca="1">IFERROR(__xludf.DUMMYFUNCTION("""COMPUTED_VALUE"""),"استبدال بوش جرص باب الاستعلامات الرئيسية")</f>
        <v>استبدال بوش جرص باب الاستعلامات الرئيسية</v>
      </c>
      <c r="H46" s="10"/>
      <c r="I46" s="12" t="s">
        <v>13</v>
      </c>
      <c r="J46" s="13" t="s">
        <v>14</v>
      </c>
      <c r="K46" s="7">
        <v>45974.508553877313</v>
      </c>
      <c r="L46" s="67"/>
      <c r="M46" s="10"/>
    </row>
    <row r="47" spans="1:13" ht="75" customHeight="1" thickTop="1" thickBot="1">
      <c r="A47" s="7">
        <f ca="1">IFERROR(__xludf.DUMMYFUNCTION("""COMPUTED_VALUE"""),45974.5249776851)</f>
        <v>45974.524977685098</v>
      </c>
      <c r="B47" s="8" t="str">
        <f ca="1">IFERROR(__xludf.DUMMYFUNCTION("""COMPUTED_VALUE"""),"المعملجي")</f>
        <v>المعملجي</v>
      </c>
      <c r="C47" s="9" t="str">
        <f ca="1">IFERROR(__xludf.DUMMYFUNCTION("""COMPUTED_VALUE"""),"وحدة الكهرباء")</f>
        <v>وحدة الكهرباء</v>
      </c>
      <c r="D47" s="10" t="str">
        <f ca="1">IFERROR(__xludf.DUMMYFUNCTION("""COMPUTED_VALUE"""),"قسم المشاريع الهندسية")</f>
        <v>قسم المشاريع الهندسية</v>
      </c>
      <c r="E47" s="10" t="str">
        <f ca="1">IFERROR(__xludf.DUMMYFUNCTION("""COMPUTED_VALUE"""),"C- ثانوية العميد بناية الاعدادية  (الاولى)")</f>
        <v>C- ثانوية العميد بناية الاعدادية  (الاولى)</v>
      </c>
      <c r="F47" s="10" t="str">
        <f ca="1">IFERROR(__xludf.DUMMYFUNCTION("""COMPUTED_VALUE"""),"السطح, غرفة المصعد")</f>
        <v>السطح, غرفة المصعد</v>
      </c>
      <c r="G47" s="10" t="str">
        <f ca="1">IFERROR(__xludf.DUMMYFUNCTION("""COMPUTED_VALUE"""),"تنظيف لوحة السيطرة + الغرفة")</f>
        <v>تنظيف لوحة السيطرة + الغرفة</v>
      </c>
      <c r="H47" s="10"/>
      <c r="I47" s="12" t="s">
        <v>13</v>
      </c>
      <c r="J47" s="13" t="s">
        <v>14</v>
      </c>
      <c r="K47" s="7">
        <v>45974.526013391209</v>
      </c>
      <c r="L47" s="67"/>
      <c r="M47" s="10"/>
    </row>
    <row r="48" spans="1:13" ht="75" customHeight="1" thickTop="1" thickBot="1">
      <c r="A48" s="7">
        <f ca="1">IFERROR(__xludf.DUMMYFUNCTION("""COMPUTED_VALUE"""),45974.527609456)</f>
        <v>45974.527609456003</v>
      </c>
      <c r="B48" s="8" t="str">
        <f ca="1">IFERROR(__xludf.DUMMYFUNCTION("""COMPUTED_VALUE"""),"المعملجي")</f>
        <v>المعملجي</v>
      </c>
      <c r="C48" s="9" t="str">
        <f ca="1">IFERROR(__xludf.DUMMYFUNCTION("""COMPUTED_VALUE"""),"وحدة الكهرباء")</f>
        <v>وحدة الكهرباء</v>
      </c>
      <c r="D48" s="10" t="str">
        <f ca="1">IFERROR(__xludf.DUMMYFUNCTION("""COMPUTED_VALUE"""),"قسم المشاريع الهندسية")</f>
        <v>قسم المشاريع الهندسية</v>
      </c>
      <c r="E48" s="10" t="str">
        <f ca="1">IFERROR(__xludf.DUMMYFUNCTION("""COMPUTED_VALUE"""),"النافورة")</f>
        <v>النافورة</v>
      </c>
      <c r="F48" s="10" t="str">
        <f ca="1">IFERROR(__xludf.DUMMYFUNCTION("""COMPUTED_VALUE"""),"النافورة")</f>
        <v>النافورة</v>
      </c>
      <c r="G48" s="10" t="str">
        <f ca="1">IFERROR(__xludf.DUMMYFUNCTION("""COMPUTED_VALUE"""),"تنظيف 35 مصباح انارة النافورة")</f>
        <v>تنظيف 35 مصباح انارة النافورة</v>
      </c>
      <c r="H48" s="10"/>
      <c r="I48" s="12" t="s">
        <v>13</v>
      </c>
      <c r="J48" s="13" t="s">
        <v>14</v>
      </c>
      <c r="K48" s="7">
        <v>45974.527662476852</v>
      </c>
      <c r="L48" s="67"/>
      <c r="M48" s="10"/>
    </row>
    <row r="49" spans="1:13" ht="75" customHeight="1" thickTop="1" thickBot="1">
      <c r="A49" s="7">
        <f ca="1">IFERROR(__xludf.DUMMYFUNCTION("""COMPUTED_VALUE"""),45974.5285555208)</f>
        <v>45974.528555520803</v>
      </c>
      <c r="B49" s="8" t="str">
        <f ca="1">IFERROR(__xludf.DUMMYFUNCTION("""COMPUTED_VALUE"""),"المعملجي")</f>
        <v>المعملجي</v>
      </c>
      <c r="C49" s="9" t="str">
        <f ca="1">IFERROR(__xludf.DUMMYFUNCTION("""COMPUTED_VALUE"""),"وحدة الكهرباء")</f>
        <v>وحدة الكهرباء</v>
      </c>
      <c r="D49" s="10" t="str">
        <f ca="1">IFERROR(__xludf.DUMMYFUNCTION("""COMPUTED_VALUE"""),"قسم المشاريع الهندسية")</f>
        <v>قسم المشاريع الهندسية</v>
      </c>
      <c r="E49" s="10" t="str">
        <f ca="1">IFERROR(__xludf.DUMMYFUNCTION("""COMPUTED_VALUE"""),"الشركة الامنية")</f>
        <v>الشركة الامنية</v>
      </c>
      <c r="F49" s="10" t="str">
        <f ca="1">IFERROR(__xludf.DUMMYFUNCTION("""COMPUTED_VALUE"""),"الخارجية")</f>
        <v>الخارجية</v>
      </c>
      <c r="G49" s="10" t="str">
        <f ca="1">IFERROR(__xludf.DUMMYFUNCTION("""COMPUTED_VALUE"""),"صيانة كرفان الامنية")</f>
        <v>صيانة كرفان الامنية</v>
      </c>
      <c r="H49" s="10"/>
      <c r="I49" s="12" t="s">
        <v>13</v>
      </c>
      <c r="J49" s="13" t="s">
        <v>14</v>
      </c>
      <c r="K49" s="7">
        <v>45974.528685902776</v>
      </c>
      <c r="L49" s="67"/>
      <c r="M49" s="10"/>
    </row>
    <row r="50" spans="1:13" ht="75" customHeight="1" thickTop="1" thickBot="1">
      <c r="A50" s="7">
        <f ca="1">IFERROR(__xludf.DUMMYFUNCTION("""COMPUTED_VALUE"""),45974.5292369791)</f>
        <v>45974.529236979099</v>
      </c>
      <c r="B50" s="8" t="str">
        <f ca="1">IFERROR(__xludf.DUMMYFUNCTION("""COMPUTED_VALUE"""),"المعملجي")</f>
        <v>المعملجي</v>
      </c>
      <c r="C50" s="9" t="str">
        <f ca="1">IFERROR(__xludf.DUMMYFUNCTION("""COMPUTED_VALUE"""),"وحدة الكهرباء")</f>
        <v>وحدة الكهرباء</v>
      </c>
      <c r="D50" s="10" t="str">
        <f ca="1">IFERROR(__xludf.DUMMYFUNCTION("""COMPUTED_VALUE"""),"قسم المشاريع الهندسية")</f>
        <v>قسم المشاريع الهندسية</v>
      </c>
      <c r="E50" s="10" t="str">
        <f ca="1">IFERROR(__xludf.DUMMYFUNCTION("""COMPUTED_VALUE"""),"B- روضة القمر")</f>
        <v>B- روضة القمر</v>
      </c>
      <c r="F50" s="10" t="str">
        <f ca="1">IFERROR(__xludf.DUMMYFUNCTION("""COMPUTED_VALUE"""),"الصحيات الخارجية")</f>
        <v>الصحيات الخارجية</v>
      </c>
      <c r="G50" s="10" t="str">
        <f ca="1">IFERROR(__xludf.DUMMYFUNCTION("""COMPUTED_VALUE"""),"استبدال محولة سبوت لايت عدد 1")</f>
        <v>استبدال محولة سبوت لايت عدد 1</v>
      </c>
      <c r="H50" s="10"/>
      <c r="I50" s="12" t="s">
        <v>13</v>
      </c>
      <c r="J50" s="13" t="s">
        <v>14</v>
      </c>
      <c r="K50" s="7">
        <v>45974.529298483802</v>
      </c>
      <c r="L50" s="67"/>
      <c r="M50" s="10"/>
    </row>
    <row r="51" spans="1:13" ht="75" customHeight="1" thickTop="1" thickBot="1">
      <c r="A51" s="7">
        <f ca="1">IFERROR(__xludf.DUMMYFUNCTION("""COMPUTED_VALUE"""),45974.5304045833)</f>
        <v>45974.530404583304</v>
      </c>
      <c r="B51" s="8" t="str">
        <f ca="1">IFERROR(__xludf.DUMMYFUNCTION("""COMPUTED_VALUE"""),"المعملجي")</f>
        <v>المعملجي</v>
      </c>
      <c r="C51" s="9" t="str">
        <f ca="1">IFERROR(__xludf.DUMMYFUNCTION("""COMPUTED_VALUE"""),"وحدة الكهرباء")</f>
        <v>وحدة الكهرباء</v>
      </c>
      <c r="D51" s="10" t="str">
        <f ca="1">IFERROR(__xludf.DUMMYFUNCTION("""COMPUTED_VALUE"""),"قسم المشاريع الهندسية")</f>
        <v>قسم المشاريع الهندسية</v>
      </c>
      <c r="E51" s="10" t="str">
        <f ca="1">IFERROR(__xludf.DUMMYFUNCTION("""COMPUTED_VALUE"""),"C- ثانوية العميد بناية الاعدادية  (الاولى)")</f>
        <v>C- ثانوية العميد بناية الاعدادية  (الاولى)</v>
      </c>
      <c r="F51" s="10" t="str">
        <f ca="1">IFERROR(__xludf.DUMMYFUNCTION("""COMPUTED_VALUE"""),"الساحة")</f>
        <v>الساحة</v>
      </c>
      <c r="G51" s="10" t="str">
        <f ca="1">IFERROR(__xludf.DUMMYFUNCTION("""COMPUTED_VALUE"""),"اعادة تسليك واسترجاع الكيبل الى السقف الثانوي الخاص بشاشة العرض في الساحة")</f>
        <v>اعادة تسليك واسترجاع الكيبل الى السقف الثانوي الخاص بشاشة العرض في الساحة</v>
      </c>
      <c r="H51" s="10"/>
      <c r="I51" s="12" t="s">
        <v>13</v>
      </c>
      <c r="J51" s="13" t="s">
        <v>14</v>
      </c>
      <c r="K51" s="7">
        <v>45974.53046199074</v>
      </c>
      <c r="L51" s="67"/>
      <c r="M51" s="10"/>
    </row>
    <row r="52" spans="1:13" ht="75" customHeight="1" thickTop="1" thickBot="1">
      <c r="A52" s="7">
        <f ca="1">IFERROR(__xludf.DUMMYFUNCTION("""COMPUTED_VALUE"""),45974.5314591898)</f>
        <v>45974.531459189799</v>
      </c>
      <c r="B52" s="8" t="str">
        <f ca="1">IFERROR(__xludf.DUMMYFUNCTION("""COMPUTED_VALUE"""),"المعملجي")</f>
        <v>المعملجي</v>
      </c>
      <c r="C52" s="9" t="str">
        <f ca="1">IFERROR(__xludf.DUMMYFUNCTION("""COMPUTED_VALUE"""),"وحدة الكهرباء")</f>
        <v>وحدة الكهرباء</v>
      </c>
      <c r="D52" s="10" t="str">
        <f ca="1">IFERROR(__xludf.DUMMYFUNCTION("""COMPUTED_VALUE"""),"قسم المشاريع الهندسية")</f>
        <v>قسم المشاريع الهندسية</v>
      </c>
      <c r="E52" s="10" t="str">
        <f ca="1">IFERROR(__xludf.DUMMYFUNCTION("""COMPUTED_VALUE"""),"A- المركز الثقافي")</f>
        <v>A- المركز الثقافي</v>
      </c>
      <c r="F52" s="10" t="str">
        <f ca="1">IFERROR(__xludf.DUMMYFUNCTION("""COMPUTED_VALUE"""),"الطابق الاول")</f>
        <v>الطابق الاول</v>
      </c>
      <c r="G52" s="10" t="str">
        <f ca="1">IFERROR(__xludf.DUMMYFUNCTION("""COMPUTED_VALUE"""),"فصل خطوط الانارة نتيجة حدوث تماس وتم استبدال 5 محولات منشورية")</f>
        <v>فصل خطوط الانارة نتيجة حدوث تماس وتم استبدال 5 محولات منشورية</v>
      </c>
      <c r="H52" s="10"/>
      <c r="I52" s="12" t="s">
        <v>13</v>
      </c>
      <c r="J52" s="13" t="s">
        <v>14</v>
      </c>
      <c r="K52" s="7">
        <v>45974.531519062497</v>
      </c>
      <c r="L52" s="67"/>
      <c r="M52" s="10"/>
    </row>
    <row r="53" spans="1:13" ht="75" customHeight="1" thickTop="1" thickBot="1">
      <c r="A53" s="7">
        <f ca="1">IFERROR(__xludf.DUMMYFUNCTION("""COMPUTED_VALUE"""),45974.5322491202)</f>
        <v>45974.532249120202</v>
      </c>
      <c r="B53" s="8" t="str">
        <f ca="1">IFERROR(__xludf.DUMMYFUNCTION("""COMPUTED_VALUE"""),"المعملجي")</f>
        <v>المعملجي</v>
      </c>
      <c r="C53" s="9" t="str">
        <f ca="1">IFERROR(__xludf.DUMMYFUNCTION("""COMPUTED_VALUE"""),"وحدة الكهرباء")</f>
        <v>وحدة الكهرباء</v>
      </c>
      <c r="D53" s="10" t="str">
        <f ca="1">IFERROR(__xludf.DUMMYFUNCTION("""COMPUTED_VALUE"""),"قسم المشاريع الهندسية")</f>
        <v>قسم المشاريع الهندسية</v>
      </c>
      <c r="E53" s="10" t="str">
        <f ca="1">IFERROR(__xludf.DUMMYFUNCTION("""COMPUTED_VALUE"""),"A- المركز الثقافي")</f>
        <v>A- المركز الثقافي</v>
      </c>
      <c r="F53" s="10" t="str">
        <f ca="1">IFERROR(__xludf.DUMMYFUNCTION("""COMPUTED_VALUE"""),"الارضي جهة رئاسة القسم")</f>
        <v>الارضي جهة رئاسة القسم</v>
      </c>
      <c r="G53" s="10" t="str">
        <f ca="1">IFERROR(__xludf.DUMMYFUNCTION("""COMPUTED_VALUE"""),"استبدال محولة منشورية")</f>
        <v>استبدال محولة منشورية</v>
      </c>
      <c r="H53" s="10"/>
      <c r="I53" s="12" t="s">
        <v>13</v>
      </c>
      <c r="J53" s="13" t="s">
        <v>14</v>
      </c>
      <c r="K53" s="7">
        <v>45974.532784351853</v>
      </c>
      <c r="L53" s="67"/>
      <c r="M53" s="10"/>
    </row>
    <row r="54" spans="1:13" ht="75" customHeight="1" thickTop="1" thickBot="1">
      <c r="A54" s="7">
        <f ca="1">IFERROR(__xludf.DUMMYFUNCTION("""COMPUTED_VALUE"""),45974.5327187384)</f>
        <v>45974.532718738403</v>
      </c>
      <c r="B54" s="8" t="str">
        <f ca="1">IFERROR(__xludf.DUMMYFUNCTION("""COMPUTED_VALUE"""),"المعملجي")</f>
        <v>المعملجي</v>
      </c>
      <c r="C54" s="9" t="str">
        <f ca="1">IFERROR(__xludf.DUMMYFUNCTION("""COMPUTED_VALUE"""),"وحدة الكهرباء")</f>
        <v>وحدة الكهرباء</v>
      </c>
      <c r="D54" s="10" t="str">
        <f ca="1">IFERROR(__xludf.DUMMYFUNCTION("""COMPUTED_VALUE"""),"قسم المشاريع الهندسية")</f>
        <v>قسم المشاريع الهندسية</v>
      </c>
      <c r="E54" s="10" t="str">
        <f ca="1">IFERROR(__xludf.DUMMYFUNCTION("""COMPUTED_VALUE"""),"A- المركز الثقافي")</f>
        <v>A- المركز الثقافي</v>
      </c>
      <c r="F54" s="10" t="str">
        <f ca="1">IFERROR(__xludf.DUMMYFUNCTION("""COMPUTED_VALUE"""),"صحيات الطابق الارضي جهة رئاسة القسم")</f>
        <v>صحيات الطابق الارضي جهة رئاسة القسم</v>
      </c>
      <c r="G54" s="10" t="str">
        <f ca="1">IFERROR(__xludf.DUMMYFUNCTION("""COMPUTED_VALUE"""),"استبدال مصباح سبوت لايت 20 واط")</f>
        <v>استبدال مصباح سبوت لايت 20 واط</v>
      </c>
      <c r="H54" s="10"/>
      <c r="I54" s="12" t="s">
        <v>13</v>
      </c>
      <c r="J54" s="13" t="s">
        <v>14</v>
      </c>
      <c r="K54" s="7">
        <v>45974.532797407403</v>
      </c>
      <c r="L54" s="67"/>
      <c r="M54" s="10"/>
    </row>
    <row r="55" spans="1:13" ht="75" customHeight="1" thickTop="1" thickBot="1">
      <c r="A55" s="7">
        <f ca="1">IFERROR(__xludf.DUMMYFUNCTION("""COMPUTED_VALUE"""),45976.3462264814)</f>
        <v>45976.346226481401</v>
      </c>
      <c r="B55" s="8" t="str">
        <f ca="1">IFERROR(__xludf.DUMMYFUNCTION("""COMPUTED_VALUE"""),"المعملجي")</f>
        <v>المعملجي</v>
      </c>
      <c r="C55" s="9" t="str">
        <f ca="1">IFERROR(__xludf.DUMMYFUNCTION("""COMPUTED_VALUE"""),"وحدة الكهرباء ")</f>
        <v xml:space="preserve">وحدة الكهرباء </v>
      </c>
      <c r="D55" s="10" t="str">
        <f ca="1">IFERROR(__xludf.DUMMYFUNCTION("""COMPUTED_VALUE"""),"قسم المشاريع الهندسية")</f>
        <v>قسم المشاريع الهندسية</v>
      </c>
      <c r="E55" s="10" t="str">
        <f ca="1">IFERROR(__xludf.DUMMYFUNCTION("""COMPUTED_VALUE"""),"D- ثانوية العميد بناية المتوسطة  (الثانية), E- ابتدائية العميد للبنات (الثالثة)")</f>
        <v>D- ثانوية العميد بناية المتوسطة  (الثانية), E- ابتدائية العميد للبنات (الثالثة)</v>
      </c>
      <c r="F55" s="10" t="str">
        <f ca="1">IFERROR(__xludf.DUMMYFUNCTION("""COMPUTED_VALUE"""),"السطح, غرفة المصعد ")</f>
        <v xml:space="preserve">السطح, غرفة المصعد </v>
      </c>
      <c r="G55" s="10" t="str">
        <f ca="1">IFERROR(__xludf.DUMMYFUNCTION("""COMPUTED_VALUE"""),"تنظيف الغرف مع بورد السيطرة ")</f>
        <v xml:space="preserve">تنظيف الغرف مع بورد السيطرة </v>
      </c>
      <c r="H55" s="10"/>
      <c r="I55" s="12" t="s">
        <v>13</v>
      </c>
      <c r="J55" s="13" t="s">
        <v>14</v>
      </c>
      <c r="K55" s="7">
        <v>45976.346307118059</v>
      </c>
      <c r="L55" s="67"/>
      <c r="M55" s="10"/>
    </row>
    <row r="56" spans="1:13" ht="75" customHeight="1" thickTop="1" thickBot="1">
      <c r="A56" s="7">
        <f ca="1">IFERROR(__xludf.DUMMYFUNCTION("""COMPUTED_VALUE"""),45977.3889785532)</f>
        <v>45977.388978553201</v>
      </c>
      <c r="B56" s="8" t="str">
        <f ca="1">IFERROR(__xludf.DUMMYFUNCTION("""COMPUTED_VALUE"""),"المعملجي")</f>
        <v>المعملجي</v>
      </c>
      <c r="C56" s="9" t="str">
        <f ca="1">IFERROR(__xludf.DUMMYFUNCTION("""COMPUTED_VALUE"""),"عبد الله جابر")</f>
        <v>عبد الله جابر</v>
      </c>
      <c r="D56" s="10" t="str">
        <f ca="1">IFERROR(__xludf.DUMMYFUNCTION("""COMPUTED_VALUE"""),"قسم التربية والتعليم العالي")</f>
        <v>قسم التربية والتعليم العالي</v>
      </c>
      <c r="E56" s="10" t="str">
        <f ca="1">IFERROR(__xludf.DUMMYFUNCTION("""COMPUTED_VALUE"""),"H- ابتدائية القمر للبنات (الخامسة)")</f>
        <v>H- ابتدائية القمر للبنات (الخامسة)</v>
      </c>
      <c r="F56" s="10" t="str">
        <f ca="1">IFERROR(__xludf.DUMMYFUNCTION("""COMPUTED_VALUE"""),"ZONE A - الطابق الارضي")</f>
        <v>ZONE A - الطابق الارضي</v>
      </c>
      <c r="G56" s="10" t="str">
        <f ca="1">IFERROR(__xludf.DUMMYFUNCTION("""COMPUTED_VALUE"""),"صيانة مصعد")</f>
        <v>صيانة مصعد</v>
      </c>
      <c r="H56" s="10"/>
      <c r="I56" s="12" t="s">
        <v>13</v>
      </c>
      <c r="J56" s="13" t="s">
        <v>14</v>
      </c>
      <c r="K56" s="7">
        <v>45978.422182731483</v>
      </c>
      <c r="L56" s="67"/>
      <c r="M56" s="10"/>
    </row>
    <row r="57" spans="1:13" ht="75" customHeight="1" thickTop="1" thickBot="1">
      <c r="A57" s="7">
        <f ca="1">IFERROR(__xludf.DUMMYFUNCTION("""COMPUTED_VALUE"""),45977.435706655)</f>
        <v>45977.435706655</v>
      </c>
      <c r="B57" s="8" t="str">
        <f ca="1">IFERROR(__xludf.DUMMYFUNCTION("""COMPUTED_VALUE"""),"المعملجي")</f>
        <v>المعملجي</v>
      </c>
      <c r="C57" s="9" t="str">
        <f ca="1">IFERROR(__xludf.DUMMYFUNCTION("""COMPUTED_VALUE"""),"عبد الله جابر")</f>
        <v>عبد الله جابر</v>
      </c>
      <c r="D57" s="10" t="str">
        <f ca="1">IFERROR(__xludf.DUMMYFUNCTION("""COMPUTED_VALUE"""),"قسم التربية والتعليم العالي")</f>
        <v>قسم التربية والتعليم العالي</v>
      </c>
      <c r="E57" s="10" t="str">
        <f ca="1">IFERROR(__xludf.DUMMYFUNCTION("""COMPUTED_VALUE"""),"الاستعلامات الرئيسية")</f>
        <v>الاستعلامات الرئيسية</v>
      </c>
      <c r="F57" s="10" t="str">
        <f ca="1">IFERROR(__xludf.DUMMYFUNCTION("""COMPUTED_VALUE"""),"ZONE A - الطابق الارضي")</f>
        <v>ZONE A - الطابق الارضي</v>
      </c>
      <c r="G57" s="10" t="str">
        <f ca="1">IFERROR(__xludf.DUMMYFUNCTION("""COMPUTED_VALUE"""),"تغذية 12 نقطة كهرباء الى الشاشات و الحاسبات")</f>
        <v>تغذية 12 نقطة كهرباء الى الشاشات و الحاسبات</v>
      </c>
      <c r="H57" s="10"/>
      <c r="I57" s="12" t="s">
        <v>13</v>
      </c>
      <c r="J57" s="13" t="s">
        <v>14</v>
      </c>
      <c r="K57" s="7">
        <v>45977.54693546296</v>
      </c>
      <c r="L57" s="67"/>
      <c r="M57" s="10"/>
    </row>
    <row r="58" spans="1:13" ht="75" customHeight="1" thickTop="1" thickBot="1">
      <c r="A58" s="7">
        <f ca="1">IFERROR(__xludf.DUMMYFUNCTION("""COMPUTED_VALUE"""),45978.3345399074)</f>
        <v>45978.334539907402</v>
      </c>
      <c r="B58" s="8" t="str">
        <f ca="1">IFERROR(__xludf.DUMMYFUNCTION("""COMPUTED_VALUE"""),"المعملجي")</f>
        <v>المعملجي</v>
      </c>
      <c r="C58" s="9" t="str">
        <f ca="1">IFERROR(__xludf.DUMMYFUNCTION("""COMPUTED_VALUE"""),"عبد الله جابر")</f>
        <v>عبد الله جابر</v>
      </c>
      <c r="D58" s="10" t="str">
        <f ca="1">IFERROR(__xludf.DUMMYFUNCTION("""COMPUTED_VALUE"""),"قسم التربية والتعليم العالي")</f>
        <v>قسم التربية والتعليم العالي</v>
      </c>
      <c r="E58" s="10" t="str">
        <f ca="1">IFERROR(__xludf.DUMMYFUNCTION("""COMPUTED_VALUE"""),"A- المركز الثقافي")</f>
        <v>A- المركز الثقافي</v>
      </c>
      <c r="F58" s="10" t="str">
        <f ca="1">IFERROR(__xludf.DUMMYFUNCTION("""COMPUTED_VALUE"""),"ZONE A - الطابق الارضي, قاعة سراج العميد")</f>
        <v>ZONE A - الطابق الارضي, قاعة سراج العميد</v>
      </c>
      <c r="G58" s="10" t="str">
        <f ca="1">IFERROR(__xludf.DUMMYFUNCTION("""COMPUTED_VALUE"""),"صيانة الانارة ")</f>
        <v xml:space="preserve">صيانة الانارة </v>
      </c>
      <c r="H58" s="10"/>
      <c r="I58" s="12" t="s">
        <v>13</v>
      </c>
      <c r="J58" s="13" t="s">
        <v>14</v>
      </c>
      <c r="K58" s="7">
        <v>45978.420035428237</v>
      </c>
      <c r="L58" s="67"/>
      <c r="M58" s="10"/>
    </row>
    <row r="59" spans="1:13" ht="75" customHeight="1" thickTop="1" thickBot="1">
      <c r="A59" s="7">
        <f ca="1">IFERROR(__xludf.DUMMYFUNCTION("""COMPUTED_VALUE"""),45979.3493538773)</f>
        <v>45979.349353877296</v>
      </c>
      <c r="B59" s="8" t="str">
        <f ca="1">IFERROR(__xludf.DUMMYFUNCTION("""COMPUTED_VALUE"""),"المعملجي")</f>
        <v>المعملجي</v>
      </c>
      <c r="C59" s="9" t="str">
        <f ca="1">IFERROR(__xludf.DUMMYFUNCTION("""COMPUTED_VALUE"""),"عبد الله جابر")</f>
        <v>عبد الله جابر</v>
      </c>
      <c r="D59" s="10" t="str">
        <f ca="1">IFERROR(__xludf.DUMMYFUNCTION("""COMPUTED_VALUE"""),"قسم التربية والتعليم العالي")</f>
        <v>قسم التربية والتعليم العالي</v>
      </c>
      <c r="E59" s="10" t="str">
        <f ca="1">IFERROR(__xludf.DUMMYFUNCTION("""COMPUTED_VALUE"""),"A- المركز الثقافي")</f>
        <v>A- المركز الثقافي</v>
      </c>
      <c r="F59" s="10" t="str">
        <f ca="1">IFERROR(__xludf.DUMMYFUNCTION("""COMPUTED_VALUE"""),"ZONE A - الطابق الارضي")</f>
        <v>ZONE A - الطابق الارضي</v>
      </c>
      <c r="G59" s="10" t="str">
        <f ca="1">IFERROR(__xludf.DUMMYFUNCTION("""COMPUTED_VALUE"""),"صيانة مصعد الخاص بالمكتب النسوي
")</f>
        <v xml:space="preserve">صيانة مصعد الخاص بالمكتب النسوي
</v>
      </c>
      <c r="H59" s="10"/>
      <c r="I59" s="12" t="s">
        <v>13</v>
      </c>
      <c r="J59" s="13" t="s">
        <v>14</v>
      </c>
      <c r="K59" s="7">
        <v>45981.585219340282</v>
      </c>
      <c r="L59" s="67"/>
      <c r="M59" s="10"/>
    </row>
    <row r="60" spans="1:13" ht="75" customHeight="1" thickTop="1" thickBot="1">
      <c r="A60" s="7">
        <f ca="1">IFERROR(__xludf.DUMMYFUNCTION("""COMPUTED_VALUE"""),45979.3790163888)</f>
        <v>45979.379016388797</v>
      </c>
      <c r="B60" s="8" t="str">
        <f ca="1">IFERROR(__xludf.DUMMYFUNCTION("""COMPUTED_VALUE"""),"المعملجي")</f>
        <v>المعملجي</v>
      </c>
      <c r="C60" s="9" t="str">
        <f ca="1">IFERROR(__xludf.DUMMYFUNCTION("""COMPUTED_VALUE"""),"عبد الله جابر")</f>
        <v>عبد الله جابر</v>
      </c>
      <c r="D60" s="10" t="str">
        <f ca="1">IFERROR(__xludf.DUMMYFUNCTION("""COMPUTED_VALUE"""),"قسم التربية والتعليم العالي")</f>
        <v>قسم التربية والتعليم العالي</v>
      </c>
      <c r="E60" s="10" t="str">
        <f ca="1">IFERROR(__xludf.DUMMYFUNCTION("""COMPUTED_VALUE"""),"F-  ابتدائية جود العميد للبنات (الرابعة)")</f>
        <v>F-  ابتدائية جود العميد للبنات (الرابعة)</v>
      </c>
      <c r="F60" s="10" t="str">
        <f ca="1">IFERROR(__xludf.DUMMYFUNCTION("""COMPUTED_VALUE"""),"ZONE A - الطابق الارضي")</f>
        <v>ZONE A - الطابق الارضي</v>
      </c>
      <c r="G60" s="10" t="str">
        <f ca="1">IFERROR(__xludf.DUMMYFUNCTION("""COMPUTED_VALUE"""),"اضافة نقطة كهرباء الى التلفون الارضي في الحانوت")</f>
        <v>اضافة نقطة كهرباء الى التلفون الارضي في الحانوت</v>
      </c>
      <c r="H60" s="10"/>
      <c r="I60" s="12" t="s">
        <v>13</v>
      </c>
      <c r="J60" s="13" t="s">
        <v>14</v>
      </c>
      <c r="K60" s="7">
        <v>45980.54496211806</v>
      </c>
      <c r="L60" s="67"/>
      <c r="M60" s="10"/>
    </row>
    <row r="61" spans="1:13" ht="75" customHeight="1" thickTop="1" thickBot="1">
      <c r="A61" s="7">
        <f ca="1">IFERROR(__xludf.DUMMYFUNCTION("""COMPUTED_VALUE"""),45979.571927118)</f>
        <v>45979.571927117999</v>
      </c>
      <c r="B61" s="8" t="str">
        <f ca="1">IFERROR(__xludf.DUMMYFUNCTION("""COMPUTED_VALUE"""),"المعملجي")</f>
        <v>المعملجي</v>
      </c>
      <c r="C61" s="9" t="str">
        <f ca="1">IFERROR(__xludf.DUMMYFUNCTION("""COMPUTED_VALUE"""),"عبد الله جابر")</f>
        <v>عبد الله جابر</v>
      </c>
      <c r="D61" s="10" t="str">
        <f ca="1">IFERROR(__xludf.DUMMYFUNCTION("""COMPUTED_VALUE"""),"قسم التربية والتعليم العالي")</f>
        <v>قسم التربية والتعليم العالي</v>
      </c>
      <c r="E61" s="10" t="str">
        <f ca="1">IFERROR(__xludf.DUMMYFUNCTION("""COMPUTED_VALUE"""),"E- ابتدائية العميد للبنات (الثالثة)")</f>
        <v>E- ابتدائية العميد للبنات (الثالثة)</v>
      </c>
      <c r="F61" s="10" t="str">
        <f ca="1">IFERROR(__xludf.DUMMYFUNCTION("""COMPUTED_VALUE"""),"المصعد")</f>
        <v>المصعد</v>
      </c>
      <c r="G61" s="10" t="str">
        <f ca="1">IFERROR(__xludf.DUMMYFUNCTION("""COMPUTED_VALUE"""),"صيانة مصعد
")</f>
        <v xml:space="preserve">صيانة مصعد
</v>
      </c>
      <c r="H61" s="10"/>
      <c r="I61" s="12" t="s">
        <v>13</v>
      </c>
      <c r="J61" s="13" t="s">
        <v>14</v>
      </c>
      <c r="K61" s="7">
        <v>45980.469780543979</v>
      </c>
      <c r="L61" s="67"/>
      <c r="M61" s="10"/>
    </row>
    <row r="62" spans="1:13" ht="75" customHeight="1" thickTop="1" thickBot="1">
      <c r="A62" s="7">
        <f ca="1">IFERROR(__xludf.DUMMYFUNCTION("""COMPUTED_VALUE"""),45979.5815569791)</f>
        <v>45979.581556979101</v>
      </c>
      <c r="B62" s="8" t="str">
        <f ca="1">IFERROR(__xludf.DUMMYFUNCTION("""COMPUTED_VALUE"""),"المعملجي")</f>
        <v>المعملجي</v>
      </c>
      <c r="C62" s="9" t="str">
        <f ca="1">IFERROR(__xludf.DUMMYFUNCTION("""COMPUTED_VALUE"""),"عبد الله جابر")</f>
        <v>عبد الله جابر</v>
      </c>
      <c r="D62" s="10" t="str">
        <f ca="1">IFERROR(__xludf.DUMMYFUNCTION("""COMPUTED_VALUE"""),"قسم التربية والتعليم العالي")</f>
        <v>قسم التربية والتعليم العالي</v>
      </c>
      <c r="E62" s="10" t="str">
        <f ca="1">IFERROR(__xludf.DUMMYFUNCTION("""COMPUTED_VALUE"""),"B- روضة القمر")</f>
        <v>B- روضة القمر</v>
      </c>
      <c r="F62" s="10" t="str">
        <f ca="1">IFERROR(__xludf.DUMMYFUNCTION("""COMPUTED_VALUE"""),"ZONE A - الطابق الارضي")</f>
        <v>ZONE A - الطابق الارضي</v>
      </c>
      <c r="G62" s="10" t="str">
        <f ca="1">IFERROR(__xludf.DUMMYFUNCTION("""COMPUTED_VALUE"""),"تشغيل مفرغات الحمام")</f>
        <v>تشغيل مفرغات الحمام</v>
      </c>
      <c r="H62" s="10"/>
      <c r="I62" s="12" t="s">
        <v>13</v>
      </c>
      <c r="J62" s="13" t="s">
        <v>14</v>
      </c>
      <c r="K62" s="7">
        <v>45980.308656759255</v>
      </c>
      <c r="L62" s="67"/>
      <c r="M62" s="10"/>
    </row>
    <row r="63" spans="1:13" ht="75" customHeight="1" thickTop="1" thickBot="1">
      <c r="A63" s="7">
        <f ca="1">IFERROR(__xludf.DUMMYFUNCTION("""COMPUTED_VALUE"""),45981.3492435416)</f>
        <v>45981.349243541597</v>
      </c>
      <c r="B63" s="8" t="str">
        <f ca="1">IFERROR(__xludf.DUMMYFUNCTION("""COMPUTED_VALUE"""),"المعملجي")</f>
        <v>المعملجي</v>
      </c>
      <c r="C63" s="9" t="str">
        <f ca="1">IFERROR(__xludf.DUMMYFUNCTION("""COMPUTED_VALUE"""),"عبد الله جابر")</f>
        <v>عبد الله جابر</v>
      </c>
      <c r="D63" s="10" t="str">
        <f ca="1">IFERROR(__xludf.DUMMYFUNCTION("""COMPUTED_VALUE"""),"قسم التربية والتعليم العالي")</f>
        <v>قسم التربية والتعليم العالي</v>
      </c>
      <c r="E63" s="10" t="str">
        <f ca="1">IFERROR(__xludf.DUMMYFUNCTION("""COMPUTED_VALUE"""),"A- المركز الثقافي, قاعة سراج العميد")</f>
        <v>A- المركز الثقافي, قاعة سراج العميد</v>
      </c>
      <c r="F63" s="10" t="str">
        <f ca="1">IFERROR(__xludf.DUMMYFUNCTION("""COMPUTED_VALUE"""),"ZONE A - الطابق الارضي")</f>
        <v>ZONE A - الطابق الارضي</v>
      </c>
      <c r="G63" s="10" t="str">
        <f ca="1">IFERROR(__xludf.DUMMYFUNCTION("""COMPUTED_VALUE"""),"صيانة الانارة ترمش")</f>
        <v>صيانة الانارة ترمش</v>
      </c>
      <c r="H63" s="10"/>
      <c r="I63" s="12" t="s">
        <v>13</v>
      </c>
      <c r="J63" s="13" t="s">
        <v>14</v>
      </c>
      <c r="K63" s="7">
        <v>45981.373689074069</v>
      </c>
      <c r="L63" s="67"/>
      <c r="M63" s="10"/>
    </row>
    <row r="64" spans="1:13" ht="75" customHeight="1" thickTop="1" thickBot="1">
      <c r="A64" s="7">
        <f ca="1">IFERROR(__xludf.DUMMYFUNCTION("""COMPUTED_VALUE"""),45981.350032662)</f>
        <v>45981.350032661998</v>
      </c>
      <c r="B64" s="8" t="str">
        <f ca="1">IFERROR(__xludf.DUMMYFUNCTION("""COMPUTED_VALUE"""),"المعملجي")</f>
        <v>المعملجي</v>
      </c>
      <c r="C64" s="9" t="str">
        <f ca="1">IFERROR(__xludf.DUMMYFUNCTION("""COMPUTED_VALUE"""),"عبد الله جابر")</f>
        <v>عبد الله جابر</v>
      </c>
      <c r="D64" s="10" t="str">
        <f ca="1">IFERROR(__xludf.DUMMYFUNCTION("""COMPUTED_VALUE"""),"قسم التربية والتعليم العالي")</f>
        <v>قسم التربية والتعليم العالي</v>
      </c>
      <c r="E64" s="10" t="str">
        <f ca="1">IFERROR(__xludf.DUMMYFUNCTION("""COMPUTED_VALUE"""),"C- ثانوية العميد بناية الاعدادية  (الاولى)")</f>
        <v>C- ثانوية العميد بناية الاعدادية  (الاولى)</v>
      </c>
      <c r="F64" s="10" t="str">
        <f ca="1">IFERROR(__xludf.DUMMYFUNCTION("""COMPUTED_VALUE"""),"ZONE B - الطابق الاول")</f>
        <v>ZONE B - الطابق الاول</v>
      </c>
      <c r="G64" s="10" t="str">
        <f ca="1">IFERROR(__xludf.DUMMYFUNCTION("""COMPUTED_VALUE"""),"تشغيل الكهرباء القاطع المستطيل")</f>
        <v>تشغيل الكهرباء القاطع المستطيل</v>
      </c>
      <c r="H64" s="10"/>
      <c r="I64" s="12" t="s">
        <v>13</v>
      </c>
      <c r="J64" s="13" t="s">
        <v>14</v>
      </c>
      <c r="K64" s="7">
        <v>45981.373629884256</v>
      </c>
      <c r="L64" s="67"/>
      <c r="M64" s="10"/>
    </row>
    <row r="65" spans="1:13" ht="75" customHeight="1" thickTop="1" thickBot="1">
      <c r="A65" s="7">
        <f ca="1">IFERROR(__xludf.DUMMYFUNCTION("""COMPUTED_VALUE"""),45981.4290909259)</f>
        <v>45981.4290909259</v>
      </c>
      <c r="B65" s="8" t="str">
        <f ca="1">IFERROR(__xludf.DUMMYFUNCTION("""COMPUTED_VALUE"""),"المعملجي")</f>
        <v>المعملجي</v>
      </c>
      <c r="C65" s="9" t="str">
        <f ca="1">IFERROR(__xludf.DUMMYFUNCTION("""COMPUTED_VALUE"""),"عبد الله جابر")</f>
        <v>عبد الله جابر</v>
      </c>
      <c r="D65" s="10" t="str">
        <f ca="1">IFERROR(__xludf.DUMMYFUNCTION("""COMPUTED_VALUE"""),"قسم التربية والتعليم العالي")</f>
        <v>قسم التربية والتعليم العالي</v>
      </c>
      <c r="E65" s="10" t="str">
        <f ca="1">IFERROR(__xludf.DUMMYFUNCTION("""COMPUTED_VALUE"""),"A- المركز الثقافي")</f>
        <v>A- المركز الثقافي</v>
      </c>
      <c r="F65" s="10" t="str">
        <f ca="1">IFERROR(__xludf.DUMMYFUNCTION("""COMPUTED_VALUE"""),"ZONE A - الطابق الارضي")</f>
        <v>ZONE A - الطابق الارضي</v>
      </c>
      <c r="G65" s="10" t="str">
        <f ca="1">IFERROR(__xludf.DUMMYFUNCTION("""COMPUTED_VALUE"""),"صيانة انارة الحمامات رئاسة القسم")</f>
        <v>صيانة انارة الحمامات رئاسة القسم</v>
      </c>
      <c r="H65" s="10"/>
      <c r="I65" s="12" t="s">
        <v>13</v>
      </c>
      <c r="J65" s="13" t="s">
        <v>14</v>
      </c>
      <c r="K65" s="7">
        <v>45981.582897569446</v>
      </c>
      <c r="L65" s="67"/>
      <c r="M65" s="10"/>
    </row>
    <row r="66" spans="1:13" ht="75" customHeight="1" thickTop="1" thickBot="1">
      <c r="A66" s="7">
        <f ca="1">IFERROR(__xludf.DUMMYFUNCTION("""COMPUTED_VALUE"""),45983.449708449)</f>
        <v>45983.449708448999</v>
      </c>
      <c r="B66" s="8" t="str">
        <f ca="1">IFERROR(__xludf.DUMMYFUNCTION("""COMPUTED_VALUE"""),"المعملجي")</f>
        <v>المعملجي</v>
      </c>
      <c r="C66" s="9" t="str">
        <f ca="1">IFERROR(__xludf.DUMMYFUNCTION("""COMPUTED_VALUE"""),"عبد الله جابر")</f>
        <v>عبد الله جابر</v>
      </c>
      <c r="D66" s="10" t="str">
        <f ca="1">IFERROR(__xludf.DUMMYFUNCTION("""COMPUTED_VALUE"""),"قسم التربية والتعليم العالي")</f>
        <v>قسم التربية والتعليم العالي</v>
      </c>
      <c r="E66" s="10" t="str">
        <f ca="1">IFERROR(__xludf.DUMMYFUNCTION("""COMPUTED_VALUE"""),"المجاميع الصحية مقابل رئاسة القسم")</f>
        <v>المجاميع الصحية مقابل رئاسة القسم</v>
      </c>
      <c r="F66" s="10" t="str">
        <f ca="1">IFERROR(__xludf.DUMMYFUNCTION("""COMPUTED_VALUE"""),"ZONE A - الطابق الارضي")</f>
        <v>ZONE A - الطابق الارضي</v>
      </c>
      <c r="G66" s="10" t="str">
        <f ca="1">IFERROR(__xludf.DUMMYFUNCTION("""COMPUTED_VALUE"""),"صيانة نقطة الكهرباء + صيانة الانارة بالكامل")</f>
        <v>صيانة نقطة الكهرباء + صيانة الانارة بالكامل</v>
      </c>
      <c r="H66" s="10"/>
      <c r="I66" s="12" t="s">
        <v>13</v>
      </c>
      <c r="J66" s="13" t="s">
        <v>14</v>
      </c>
      <c r="K66" s="7">
        <v>45983.473061944445</v>
      </c>
      <c r="L66" s="67"/>
      <c r="M66" s="10"/>
    </row>
    <row r="67" spans="1:13" ht="75" customHeight="1" thickTop="1" thickBot="1">
      <c r="A67" s="7">
        <f ca="1">IFERROR(__xludf.DUMMYFUNCTION("""COMPUTED_VALUE"""),45983.4642078009)</f>
        <v>45983.464207800898</v>
      </c>
      <c r="B67" s="8" t="str">
        <f ca="1">IFERROR(__xludf.DUMMYFUNCTION("""COMPUTED_VALUE"""),"المعملجي")</f>
        <v>المعملجي</v>
      </c>
      <c r="C67" s="9" t="str">
        <f ca="1">IFERROR(__xludf.DUMMYFUNCTION("""COMPUTED_VALUE"""),"عبد الله جابر")</f>
        <v>عبد الله جابر</v>
      </c>
      <c r="D67" s="10" t="str">
        <f ca="1">IFERROR(__xludf.DUMMYFUNCTION("""COMPUTED_VALUE"""),"قسم التربية والتعليم العالي")</f>
        <v>قسم التربية والتعليم العالي</v>
      </c>
      <c r="E67" s="10" t="str">
        <f ca="1">IFERROR(__xludf.DUMMYFUNCTION("""COMPUTED_VALUE"""),"المجاميع الصحية مقابل رئاسة القسم")</f>
        <v>المجاميع الصحية مقابل رئاسة القسم</v>
      </c>
      <c r="F67" s="10" t="str">
        <f ca="1">IFERROR(__xludf.DUMMYFUNCTION("""COMPUTED_VALUE"""),"ZONE A - الطابق الارضي")</f>
        <v>ZONE A - الطابق الارضي</v>
      </c>
      <c r="G67" s="10" t="str">
        <f ca="1">IFERROR(__xludf.DUMMYFUNCTION("""COMPUTED_VALUE"""),"تنصيب حساس الانارة")</f>
        <v>تنصيب حساس الانارة</v>
      </c>
      <c r="H67" s="10"/>
      <c r="I67" s="12" t="s">
        <v>13</v>
      </c>
      <c r="J67" s="13" t="s">
        <v>14</v>
      </c>
      <c r="K67" s="7">
        <v>45984.365857407407</v>
      </c>
      <c r="L67" s="67"/>
      <c r="M67" s="10"/>
    </row>
    <row r="68" spans="1:13" ht="75" customHeight="1" thickTop="1" thickBot="1">
      <c r="A68" s="7">
        <f ca="1">IFERROR(__xludf.DUMMYFUNCTION("""COMPUTED_VALUE"""),45984.3197393055)</f>
        <v>45984.319739305502</v>
      </c>
      <c r="B68" s="8" t="str">
        <f ca="1">IFERROR(__xludf.DUMMYFUNCTION("""COMPUTED_VALUE"""),"المعملجي")</f>
        <v>المعملجي</v>
      </c>
      <c r="C68" s="9" t="str">
        <f ca="1">IFERROR(__xludf.DUMMYFUNCTION("""COMPUTED_VALUE"""),"عبد الله جابر")</f>
        <v>عبد الله جابر</v>
      </c>
      <c r="D68" s="10" t="str">
        <f ca="1">IFERROR(__xludf.DUMMYFUNCTION("""COMPUTED_VALUE"""),"قسم التربية والتعليم العالي")</f>
        <v>قسم التربية والتعليم العالي</v>
      </c>
      <c r="E68" s="10" t="str">
        <f ca="1">IFERROR(__xludf.DUMMYFUNCTION("""COMPUTED_VALUE"""),"I- ابتدائية الساقي للبنين (السادسة)")</f>
        <v>I- ابتدائية الساقي للبنين (السادسة)</v>
      </c>
      <c r="F68" s="10" t="str">
        <f ca="1">IFERROR(__xludf.DUMMYFUNCTION("""COMPUTED_VALUE"""),"ZONE A - الطابق الارضي")</f>
        <v>ZONE A - الطابق الارضي</v>
      </c>
      <c r="G68" s="10" t="str">
        <f ca="1">IFERROR(__xludf.DUMMYFUNCTION("""COMPUTED_VALUE"""),"صيانة مصعد")</f>
        <v>صيانة مصعد</v>
      </c>
      <c r="H68" s="10"/>
      <c r="I68" s="12" t="s">
        <v>13</v>
      </c>
      <c r="J68" s="13" t="s">
        <v>24</v>
      </c>
      <c r="K68" s="7" t="s">
        <v>25</v>
      </c>
      <c r="L68" s="67"/>
      <c r="M68" s="10"/>
    </row>
    <row r="69" spans="1:13" ht="75" customHeight="1" thickTop="1" thickBot="1">
      <c r="A69" s="7">
        <f ca="1">IFERROR(__xludf.DUMMYFUNCTION("""COMPUTED_VALUE"""),45985.3894799189)</f>
        <v>45985.3894799189</v>
      </c>
      <c r="B69" s="8" t="str">
        <f ca="1">IFERROR(__xludf.DUMMYFUNCTION("""COMPUTED_VALUE"""),"المعملجي")</f>
        <v>المعملجي</v>
      </c>
      <c r="C69" s="9" t="str">
        <f ca="1">IFERROR(__xludf.DUMMYFUNCTION("""COMPUTED_VALUE"""),"عبد الله جابر")</f>
        <v>عبد الله جابر</v>
      </c>
      <c r="D69" s="10" t="str">
        <f ca="1">IFERROR(__xludf.DUMMYFUNCTION("""COMPUTED_VALUE"""),"قسم التربية والتعليم العالي")</f>
        <v>قسم التربية والتعليم العالي</v>
      </c>
      <c r="E69" s="10" t="str">
        <f ca="1">IFERROR(__xludf.DUMMYFUNCTION("""COMPUTED_VALUE"""),"E- ابتدائية العميد للبنات (الثالثة)")</f>
        <v>E- ابتدائية العميد للبنات (الثالثة)</v>
      </c>
      <c r="F69" s="10" t="str">
        <f ca="1">IFERROR(__xludf.DUMMYFUNCTION("""COMPUTED_VALUE"""),"ZONE A - الطابق الاول")</f>
        <v>ZONE A - الطابق الاول</v>
      </c>
      <c r="G69" s="10" t="str">
        <f ca="1">IFERROR(__xludf.DUMMYFUNCTION("""COMPUTED_VALUE"""),"صيانه نقطه كهرباء ")</f>
        <v xml:space="preserve">صيانه نقطه كهرباء </v>
      </c>
      <c r="H69" s="10"/>
      <c r="I69" s="12" t="s">
        <v>13</v>
      </c>
      <c r="J69" s="13" t="s">
        <v>14</v>
      </c>
      <c r="K69" s="7">
        <v>45985.478490335649</v>
      </c>
      <c r="L69" s="67"/>
      <c r="M69" s="10"/>
    </row>
    <row r="70" spans="1:13" ht="75" customHeight="1" thickTop="1" thickBot="1">
      <c r="A70" s="7">
        <f ca="1">IFERROR(__xludf.DUMMYFUNCTION("""COMPUTED_VALUE"""),45985.4428128818)</f>
        <v>45985.442812881804</v>
      </c>
      <c r="B70" s="8" t="str">
        <f ca="1">IFERROR(__xludf.DUMMYFUNCTION("""COMPUTED_VALUE"""),"المعملجي")</f>
        <v>المعملجي</v>
      </c>
      <c r="C70" s="9" t="str">
        <f ca="1">IFERROR(__xludf.DUMMYFUNCTION("""COMPUTED_VALUE"""),"عبد الله جابر")</f>
        <v>عبد الله جابر</v>
      </c>
      <c r="D70" s="10" t="str">
        <f ca="1">IFERROR(__xludf.DUMMYFUNCTION("""COMPUTED_VALUE"""),"قسم التربية والتعليم العالي")</f>
        <v>قسم التربية والتعليم العالي</v>
      </c>
      <c r="E70" s="10" t="str">
        <f ca="1">IFERROR(__xludf.DUMMYFUNCTION("""COMPUTED_VALUE"""),"الصحيات مقابل الالعاب ")</f>
        <v xml:space="preserve">الصحيات مقابل الالعاب </v>
      </c>
      <c r="F70" s="10" t="str">
        <f ca="1">IFERROR(__xludf.DUMMYFUNCTION("""COMPUTED_VALUE"""),"ZONE A - الطابق الارضي")</f>
        <v>ZONE A - الطابق الارضي</v>
      </c>
      <c r="G70" s="10" t="str">
        <f ca="1">IFERROR(__xludf.DUMMYFUNCTION("""COMPUTED_VALUE"""),"صيانة مفرغة لا تعمل + صيانة يدات باب عدد 3")</f>
        <v>صيانة مفرغة لا تعمل + صيانة يدات باب عدد 3</v>
      </c>
      <c r="H70" s="10"/>
      <c r="I70" s="12" t="s">
        <v>13</v>
      </c>
      <c r="J70" s="13" t="s">
        <v>14</v>
      </c>
      <c r="K70" s="7">
        <v>45985.55950072917</v>
      </c>
      <c r="L70" s="67"/>
      <c r="M70" s="10"/>
    </row>
    <row r="71" spans="1:13" ht="75" customHeight="1" thickTop="1" thickBot="1">
      <c r="A71" s="7">
        <f ca="1">IFERROR(__xludf.DUMMYFUNCTION("""COMPUTED_VALUE"""),45985.5133414004)</f>
        <v>45985.513341400401</v>
      </c>
      <c r="B71" s="8" t="str">
        <f ca="1">IFERROR(__xludf.DUMMYFUNCTION("""COMPUTED_VALUE"""),"المعملجي")</f>
        <v>المعملجي</v>
      </c>
      <c r="C71" s="9" t="str">
        <f ca="1">IFERROR(__xludf.DUMMYFUNCTION("""COMPUTED_VALUE"""),"عبد الله جابر")</f>
        <v>عبد الله جابر</v>
      </c>
      <c r="D71" s="10" t="str">
        <f ca="1">IFERROR(__xludf.DUMMYFUNCTION("""COMPUTED_VALUE"""),"قسم التربية والتعليم العالي")</f>
        <v>قسم التربية والتعليم العالي</v>
      </c>
      <c r="E71" s="10" t="str">
        <f ca="1">IFERROR(__xludf.DUMMYFUNCTION("""COMPUTED_VALUE"""),"الاستعلامات الرئيسية, ")</f>
        <v xml:space="preserve">الاستعلامات الرئيسية, </v>
      </c>
      <c r="F71" s="10" t="str">
        <f ca="1">IFERROR(__xludf.DUMMYFUNCTION("""COMPUTED_VALUE"""),"ZONE A - الطابق الارضي")</f>
        <v>ZONE A - الطابق الارضي</v>
      </c>
      <c r="G71" s="10" t="str">
        <f ca="1">IFERROR(__xludf.DUMMYFUNCTION("""COMPUTED_VALUE"""),"اضافة مفرغة الى الحمام ")</f>
        <v xml:space="preserve">اضافة مفرغة الى الحمام </v>
      </c>
      <c r="H71" s="10"/>
      <c r="I71" s="12" t="s">
        <v>13</v>
      </c>
      <c r="J71" s="13" t="s">
        <v>27</v>
      </c>
      <c r="K71" s="7">
        <v>45992.605338796297</v>
      </c>
      <c r="L71" s="67"/>
      <c r="M71" s="10"/>
    </row>
    <row r="72" spans="1:13" ht="75" customHeight="1" thickTop="1" thickBot="1">
      <c r="A72" s="7">
        <f ca="1">IFERROR(__xludf.DUMMYFUNCTION("""COMPUTED_VALUE"""),45987.3132643634)</f>
        <v>45987.313264363402</v>
      </c>
      <c r="B72" s="8" t="str">
        <f ca="1">IFERROR(__xludf.DUMMYFUNCTION("""COMPUTED_VALUE"""),"المعملجي")</f>
        <v>المعملجي</v>
      </c>
      <c r="C72" s="9" t="str">
        <f ca="1">IFERROR(__xludf.DUMMYFUNCTION("""COMPUTED_VALUE"""),"عبد الله جابر")</f>
        <v>عبد الله جابر</v>
      </c>
      <c r="D72" s="10" t="str">
        <f ca="1">IFERROR(__xludf.DUMMYFUNCTION("""COMPUTED_VALUE"""),"قسم التربية والتعليم العالي")</f>
        <v>قسم التربية والتعليم العالي</v>
      </c>
      <c r="E72" s="10" t="str">
        <f ca="1">IFERROR(__xludf.DUMMYFUNCTION("""COMPUTED_VALUE"""),"A- المركز الثقافي")</f>
        <v>A- المركز الثقافي</v>
      </c>
      <c r="F72" s="10" t="str">
        <f ca="1">IFERROR(__xludf.DUMMYFUNCTION("""COMPUTED_VALUE"""),"ZONE A - الطابق الارضي, المكتب النسوي")</f>
        <v>ZONE A - الطابق الارضي, المكتب النسوي</v>
      </c>
      <c r="G72" s="10" t="str">
        <f ca="1">IFERROR(__xludf.DUMMYFUNCTION("""COMPUTED_VALUE"""),"1-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f>
        <v>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v>
      </c>
      <c r="H72" s="10"/>
      <c r="I72" s="12" t="s">
        <v>13</v>
      </c>
      <c r="J72" s="13" t="s">
        <v>14</v>
      </c>
      <c r="K72" s="7">
        <v>45992.606311446754</v>
      </c>
      <c r="L72" s="67"/>
      <c r="M72" s="10"/>
    </row>
    <row r="73" spans="1:13" ht="75" customHeight="1" thickTop="1" thickBot="1">
      <c r="A73" s="7">
        <f ca="1">IFERROR(__xludf.DUMMYFUNCTION("""COMPUTED_VALUE"""),45987.3994593518)</f>
        <v>45987.3994593518</v>
      </c>
      <c r="B73" s="8" t="str">
        <f ca="1">IFERROR(__xludf.DUMMYFUNCTION("""COMPUTED_VALUE"""),"المعملجي")</f>
        <v>المعملجي</v>
      </c>
      <c r="C73" s="9" t="str">
        <f ca="1">IFERROR(__xludf.DUMMYFUNCTION("""COMPUTED_VALUE"""),"عبد الله جابر")</f>
        <v>عبد الله جابر</v>
      </c>
      <c r="D73" s="10" t="str">
        <f ca="1">IFERROR(__xludf.DUMMYFUNCTION("""COMPUTED_VALUE"""),"قسم التربية والتعليم العالي")</f>
        <v>قسم التربية والتعليم العالي</v>
      </c>
      <c r="E73" s="10" t="str">
        <f ca="1">IFERROR(__xludf.DUMMYFUNCTION("""COMPUTED_VALUE"""),"I- ابتدائية الساقي للبنين (السادسة)")</f>
        <v>I- ابتدائية الساقي للبنين (السادسة)</v>
      </c>
      <c r="F73" s="10" t="str">
        <f ca="1">IFERROR(__xludf.DUMMYFUNCTION("""COMPUTED_VALUE"""),"غرفة المعلمات")</f>
        <v>غرفة المعلمات</v>
      </c>
      <c r="G73" s="10" t="str">
        <f ca="1">IFERROR(__xludf.DUMMYFUNCTION("""COMPUTED_VALUE"""),"صيانة نقطة كهرباء")</f>
        <v>صيانة نقطة كهرباء</v>
      </c>
      <c r="H73" s="10"/>
      <c r="I73" s="12" t="s">
        <v>13</v>
      </c>
      <c r="J73" s="13" t="s">
        <v>14</v>
      </c>
      <c r="K73" s="7">
        <v>45987.436832152773</v>
      </c>
      <c r="L73" s="67"/>
      <c r="M73" s="10"/>
    </row>
    <row r="74" spans="1:13" ht="75" customHeight="1" thickTop="1" thickBot="1">
      <c r="A74" s="7">
        <f ca="1">IFERROR(__xludf.DUMMYFUNCTION("""COMPUTED_VALUE"""),45987.5348492708)</f>
        <v>45987.5348492708</v>
      </c>
      <c r="B74" s="8" t="str">
        <f ca="1">IFERROR(__xludf.DUMMYFUNCTION("""COMPUTED_VALUE"""),"المعملجي")</f>
        <v>المعملجي</v>
      </c>
      <c r="C74" s="9" t="str">
        <f ca="1">IFERROR(__xludf.DUMMYFUNCTION("""COMPUTED_VALUE"""),"عبد الله جابر")</f>
        <v>عبد الله جابر</v>
      </c>
      <c r="D74" s="10" t="str">
        <f ca="1">IFERROR(__xludf.DUMMYFUNCTION("""COMPUTED_VALUE"""),"قسم التربية والتعليم العالي")</f>
        <v>قسم التربية والتعليم العالي</v>
      </c>
      <c r="E74" s="10" t="str">
        <f ca="1">IFERROR(__xludf.DUMMYFUNCTION("""COMPUTED_VALUE"""),"الاستعلامات الرئيسية")</f>
        <v>الاستعلامات الرئيسية</v>
      </c>
      <c r="F74" s="10" t="str">
        <f ca="1">IFERROR(__xludf.DUMMYFUNCTION("""COMPUTED_VALUE"""),"ZONE A - الطابق الارضي")</f>
        <v>ZONE A - الطابق الارضي</v>
      </c>
      <c r="G74" s="10" t="str">
        <f ca="1">IFERROR(__xludf.DUMMYFUNCTION("""COMPUTED_VALUE"""),"تغذية سبلت الاستعلامات الرئسية")</f>
        <v>تغذية سبلت الاستعلامات الرئسية</v>
      </c>
      <c r="H74" s="10"/>
      <c r="I74" s="12" t="s">
        <v>13</v>
      </c>
      <c r="J74" s="13" t="s">
        <v>14</v>
      </c>
      <c r="K74" s="7">
        <v>45987.535201585648</v>
      </c>
      <c r="L74" s="67"/>
      <c r="M74" s="10"/>
    </row>
    <row r="75" spans="1:13" ht="75" customHeight="1" thickTop="1" thickBot="1">
      <c r="A75" s="7">
        <f ca="1">IFERROR(__xludf.DUMMYFUNCTION("""COMPUTED_VALUE"""),45988.4384725925)</f>
        <v>45988.438472592497</v>
      </c>
      <c r="B75" s="8" t="str">
        <f ca="1">IFERROR(__xludf.DUMMYFUNCTION("""COMPUTED_VALUE"""),"المعملجي")</f>
        <v>المعملجي</v>
      </c>
      <c r="C75" s="9" t="str">
        <f ca="1">IFERROR(__xludf.DUMMYFUNCTION("""COMPUTED_VALUE"""),"عبد الله جابر")</f>
        <v>عبد الله جابر</v>
      </c>
      <c r="D75" s="10" t="str">
        <f ca="1">IFERROR(__xludf.DUMMYFUNCTION("""COMPUTED_VALUE"""),"قسم التربية والتعليم العالي")</f>
        <v>قسم التربية والتعليم العالي</v>
      </c>
      <c r="E75" s="10" t="str">
        <f ca="1">IFERROR(__xludf.DUMMYFUNCTION("""COMPUTED_VALUE"""),"C- ثانوية العميد بناية الاعدادية  (الاولى)")</f>
        <v>C- ثانوية العميد بناية الاعدادية  (الاولى)</v>
      </c>
      <c r="F75" s="10" t="str">
        <f ca="1">IFERROR(__xludf.DUMMYFUNCTION("""COMPUTED_VALUE"""),"ZONE A - الطابق الارضي")</f>
        <v>ZONE A - الطابق الارضي</v>
      </c>
      <c r="G75" s="10" t="str">
        <f ca="1">IFERROR(__xludf.DUMMYFUNCTION("""COMPUTED_VALUE"""),"فحص صيانة سماور ")</f>
        <v xml:space="preserve">فحص صيانة سماور </v>
      </c>
      <c r="H75" s="10"/>
      <c r="I75" s="12" t="s">
        <v>13</v>
      </c>
      <c r="J75" s="13" t="s">
        <v>14</v>
      </c>
      <c r="K75" s="7">
        <v>45988.537867280094</v>
      </c>
      <c r="L75" s="67"/>
      <c r="M75" s="10"/>
    </row>
    <row r="76" spans="1:13" ht="75" customHeight="1" thickTop="1" thickBot="1">
      <c r="A76" s="7">
        <f ca="1">IFERROR(__xludf.DUMMYFUNCTION("""COMPUTED_VALUE"""),45988.5091890046)</f>
        <v>45988.509189004602</v>
      </c>
      <c r="B76" s="8" t="str">
        <f ca="1">IFERROR(__xludf.DUMMYFUNCTION("""COMPUTED_VALUE"""),"المعملجي")</f>
        <v>المعملجي</v>
      </c>
      <c r="C76" s="9" t="str">
        <f ca="1">IFERROR(__xludf.DUMMYFUNCTION("""COMPUTED_VALUE"""),"عبد الله جابر")</f>
        <v>عبد الله جابر</v>
      </c>
      <c r="D76" s="10" t="str">
        <f ca="1">IFERROR(__xludf.DUMMYFUNCTION("""COMPUTED_VALUE"""),"قسم التربية والتعليم العالي")</f>
        <v>قسم التربية والتعليم العالي</v>
      </c>
      <c r="E76" s="10" t="str">
        <f ca="1">IFERROR(__xludf.DUMMYFUNCTION("""COMPUTED_VALUE"""),"F-  ابتدائية جود العميد للبنات (الرابعة)")</f>
        <v>F-  ابتدائية جود العميد للبنات (الرابعة)</v>
      </c>
      <c r="F76" s="10" t="str">
        <f ca="1">IFERROR(__xludf.DUMMYFUNCTION("""COMPUTED_VALUE"""),"مختبر الحاسوب")</f>
        <v>مختبر الحاسوب</v>
      </c>
      <c r="G76" s="10" t="str">
        <f ca="1">IFERROR(__xludf.DUMMYFUNCTION("""COMPUTED_VALUE"""),"اضافة نقطة كهرباء")</f>
        <v>اضافة نقطة كهرباء</v>
      </c>
      <c r="H76" s="10"/>
      <c r="I76" s="12" t="s">
        <v>13</v>
      </c>
      <c r="J76" s="13" t="s">
        <v>14</v>
      </c>
      <c r="K76" s="7">
        <v>45988.894411666668</v>
      </c>
      <c r="L76" s="67"/>
      <c r="M76" s="10"/>
    </row>
    <row r="77" spans="1:13" ht="75" customHeight="1" thickTop="1" thickBot="1">
      <c r="A77" s="7">
        <f ca="1">IFERROR(__xludf.DUMMYFUNCTION("""COMPUTED_VALUE"""),45988.5446911574)</f>
        <v>45988.544691157404</v>
      </c>
      <c r="B77" s="8" t="str">
        <f ca="1">IFERROR(__xludf.DUMMYFUNCTION("""COMPUTED_VALUE"""),"المعملجي")</f>
        <v>المعملجي</v>
      </c>
      <c r="C77" s="9" t="str">
        <f ca="1">IFERROR(__xludf.DUMMYFUNCTION("""COMPUTED_VALUE"""),"م. علي يسري")</f>
        <v>م. علي يسري</v>
      </c>
      <c r="D77" s="10" t="str">
        <f ca="1">IFERROR(__xludf.DUMMYFUNCTION("""COMPUTED_VALUE"""),"قسم المشاريع الهندسية")</f>
        <v>قسم المشاريع الهندسية</v>
      </c>
      <c r="E77" s="10" t="str">
        <f ca="1">IFERROR(__xludf.DUMMYFUNCTION("""COMPUTED_VALUE"""),"A- المركز الثقافي")</f>
        <v>A- المركز الثقافي</v>
      </c>
      <c r="F77" s="10" t="str">
        <f ca="1">IFERROR(__xludf.DUMMYFUNCTION("""COMPUTED_VALUE"""),"ZONE A - الطابق الاول, ZONE A - الطابق الثاني")</f>
        <v>ZONE A - الطابق الاول, ZONE A - الطابق الثاني</v>
      </c>
      <c r="G77" s="10" t="str">
        <f ca="1">IFERROR(__xludf.DUMMYFUNCTION("""COMPUTED_VALUE"""),"استبدال ١٠ محولات تالفة")</f>
        <v>استبدال ١٠ محولات تالفة</v>
      </c>
      <c r="H77" s="10"/>
      <c r="I77" s="12" t="s">
        <v>13</v>
      </c>
      <c r="J77" s="13" t="s">
        <v>14</v>
      </c>
      <c r="K77" s="7">
        <v>45988.548453877316</v>
      </c>
      <c r="L77" s="67"/>
      <c r="M77" s="10"/>
    </row>
    <row r="78" spans="1:13" ht="75" customHeight="1" thickTop="1" thickBot="1">
      <c r="A78" s="7">
        <f ca="1">IFERROR(__xludf.DUMMYFUNCTION("""COMPUTED_VALUE"""),45988.5457172569)</f>
        <v>45988.5457172569</v>
      </c>
      <c r="B78" s="8" t="str">
        <f ca="1">IFERROR(__xludf.DUMMYFUNCTION("""COMPUTED_VALUE"""),"المعملجي")</f>
        <v>المعملجي</v>
      </c>
      <c r="C78" s="9" t="str">
        <f ca="1">IFERROR(__xludf.DUMMYFUNCTION("""COMPUTED_VALUE"""),"م. علي يسري")</f>
        <v>م. علي يسري</v>
      </c>
      <c r="D78" s="10" t="str">
        <f ca="1">IFERROR(__xludf.DUMMYFUNCTION("""COMPUTED_VALUE"""),"قسم المشاريع الهندسية")</f>
        <v>قسم المشاريع الهندسية</v>
      </c>
      <c r="E78" s="10" t="str">
        <f ca="1">IFERROR(__xludf.DUMMYFUNCTION("""COMPUTED_VALUE"""),"الصحيات الخارجية")</f>
        <v>الصحيات الخارجية</v>
      </c>
      <c r="F78" s="10" t="str">
        <f ca="1">IFERROR(__xludf.DUMMYFUNCTION("""COMPUTED_VALUE"""),"ZONE A - الطابق الارضي")</f>
        <v>ZONE A - الطابق الارضي</v>
      </c>
      <c r="G78" s="10" t="str">
        <f ca="1">IFERROR(__xludf.DUMMYFUNCTION("""COMPUTED_VALUE"""),"استبدال ٣ محولات سبورت لايت")</f>
        <v>استبدال ٣ محولات سبورت لايت</v>
      </c>
      <c r="H78" s="10"/>
      <c r="I78" s="12" t="s">
        <v>13</v>
      </c>
      <c r="J78" s="13" t="s">
        <v>14</v>
      </c>
      <c r="K78" s="7">
        <v>45988.548511041663</v>
      </c>
      <c r="L78" s="67"/>
      <c r="M78" s="10"/>
    </row>
    <row r="79" spans="1:13" ht="75" customHeight="1" thickTop="1" thickBot="1">
      <c r="A79" s="7">
        <f ca="1">IFERROR(__xludf.DUMMYFUNCTION("""COMPUTED_VALUE"""),45988.5466424189)</f>
        <v>45988.5466424189</v>
      </c>
      <c r="B79" s="8" t="str">
        <f ca="1">IFERROR(__xludf.DUMMYFUNCTION("""COMPUTED_VALUE"""),"المعملجي")</f>
        <v>المعملجي</v>
      </c>
      <c r="C79" s="9" t="str">
        <f ca="1">IFERROR(__xludf.DUMMYFUNCTION("""COMPUTED_VALUE"""),"م. علي يسري ")</f>
        <v xml:space="preserve">م. علي يسري </v>
      </c>
      <c r="D79" s="10" t="str">
        <f ca="1">IFERROR(__xludf.DUMMYFUNCTION("""COMPUTED_VALUE"""),"قسم المشاريع الهندسية")</f>
        <v>قسم المشاريع الهندسية</v>
      </c>
      <c r="E79" s="10" t="str">
        <f ca="1">IFERROR(__xludf.DUMMYFUNCTION("""COMPUTED_VALUE"""),"A- المركز الثقافي")</f>
        <v>A- المركز الثقافي</v>
      </c>
      <c r="F79" s="10" t="str">
        <f ca="1">IFERROR(__xludf.DUMMYFUNCTION("""COMPUTED_VALUE"""),"ZONE A - الطابق الاول")</f>
        <v>ZONE A - الطابق الاول</v>
      </c>
      <c r="G79" s="10" t="str">
        <f ca="1">IFERROR(__xludf.DUMMYFUNCTION("""COMPUTED_VALUE"""),"تسليك كيبل إلى غرفة الاستنساخ")</f>
        <v>تسليك كيبل إلى غرفة الاستنساخ</v>
      </c>
      <c r="H79" s="10"/>
      <c r="I79" s="12" t="s">
        <v>13</v>
      </c>
      <c r="J79" s="13" t="s">
        <v>14</v>
      </c>
      <c r="K79" s="7">
        <v>45988.548575347224</v>
      </c>
      <c r="L79" s="67"/>
      <c r="M79" s="10"/>
    </row>
    <row r="80" spans="1:13" ht="75" customHeight="1" thickTop="1" thickBot="1">
      <c r="A80" s="7">
        <f ca="1">IFERROR(__xludf.DUMMYFUNCTION("""COMPUTED_VALUE"""),45991.5128040624)</f>
        <v>45991.512804062397</v>
      </c>
      <c r="B80" s="8" t="str">
        <f ca="1">IFERROR(__xludf.DUMMYFUNCTION("""COMPUTED_VALUE"""),"المعملجي")</f>
        <v>المعملجي</v>
      </c>
      <c r="C80" s="9" t="str">
        <f ca="1">IFERROR(__xludf.DUMMYFUNCTION("""COMPUTED_VALUE"""),"عبد الله جابر")</f>
        <v>عبد الله جابر</v>
      </c>
      <c r="D80" s="10" t="str">
        <f ca="1">IFERROR(__xludf.DUMMYFUNCTION("""COMPUTED_VALUE"""),"قسم التربية والتعليم العالي")</f>
        <v>قسم التربية والتعليم العالي</v>
      </c>
      <c r="E80" s="10" t="str">
        <f ca="1">IFERROR(__xludf.DUMMYFUNCTION("""COMPUTED_VALUE"""),"H- ابتدائية القمر للبنات (الخامسة)")</f>
        <v>H- ابتدائية القمر للبنات (الخامسة)</v>
      </c>
      <c r="F80" s="10" t="str">
        <f ca="1">IFERROR(__xludf.DUMMYFUNCTION("""COMPUTED_VALUE"""),"ZONE A - الطابق الارضي")</f>
        <v>ZONE A - الطابق الارضي</v>
      </c>
      <c r="G80" s="10" t="str">
        <f ca="1">IFERROR(__xludf.DUMMYFUNCTION("""COMPUTED_VALUE"""),"صيانة انارة الحانوت")</f>
        <v>صيانة انارة الحانوت</v>
      </c>
      <c r="H80" s="10"/>
      <c r="I80" s="12" t="s">
        <v>13</v>
      </c>
      <c r="J80" s="13" t="s">
        <v>14</v>
      </c>
      <c r="K80" s="7">
        <v>45992.443522615737</v>
      </c>
      <c r="L80" s="67"/>
      <c r="M80" s="10"/>
    </row>
    <row r="81" spans="1:13" ht="75" customHeight="1" thickTop="1" thickBot="1">
      <c r="A81" s="7">
        <f ca="1">IFERROR(__xludf.DUMMYFUNCTION("""COMPUTED_VALUE"""),45991.5147968981)</f>
        <v>45991.514796898096</v>
      </c>
      <c r="B81" s="8" t="str">
        <f ca="1">IFERROR(__xludf.DUMMYFUNCTION("""COMPUTED_VALUE"""),"المعملجي")</f>
        <v>المعملجي</v>
      </c>
      <c r="C81" s="9" t="str">
        <f ca="1">IFERROR(__xludf.DUMMYFUNCTION("""COMPUTED_VALUE"""),"عبد الله جابر")</f>
        <v>عبد الله جابر</v>
      </c>
      <c r="D81" s="10" t="str">
        <f ca="1">IFERROR(__xludf.DUMMYFUNCTION("""COMPUTED_VALUE"""),"قسم التربية والتعليم العالي")</f>
        <v>قسم التربية والتعليم العالي</v>
      </c>
      <c r="E81" s="10" t="str">
        <f ca="1">IFERROR(__xludf.DUMMYFUNCTION("""COMPUTED_VALUE"""),"H- ابتدائية القمر للبنات (الخامسة)")</f>
        <v>H- ابتدائية القمر للبنات (الخامسة)</v>
      </c>
      <c r="F81" s="10" t="str">
        <f ca="1">IFERROR(__xludf.DUMMYFUNCTION("""COMPUTED_VALUE"""),"ZONE A - الطابق الاول")</f>
        <v>ZONE A - الطابق الاول</v>
      </c>
      <c r="G81" s="10" t="str">
        <f ca="1">IFERROR(__xludf.DUMMYFUNCTION("""COMPUTED_VALUE"""),"صيانة نقطة كهرباء في الخامس ب")</f>
        <v>صيانة نقطة كهرباء في الخامس ب</v>
      </c>
      <c r="H81" s="10"/>
      <c r="I81" s="12" t="s">
        <v>13</v>
      </c>
      <c r="J81" s="13" t="s">
        <v>14</v>
      </c>
      <c r="K81" s="7">
        <v>45992.443502511574</v>
      </c>
      <c r="L81" s="67"/>
      <c r="M81" s="10"/>
    </row>
    <row r="82" spans="1:13" ht="75" customHeight="1" thickTop="1" thickBot="1">
      <c r="A82" s="7">
        <f ca="1">IFERROR(__xludf.DUMMYFUNCTION("""COMPUTED_VALUE"""),45963.4358168402)</f>
        <v>45963.435816840203</v>
      </c>
      <c r="B82" s="8" t="str">
        <f ca="1">IFERROR(__xludf.DUMMYFUNCTION("""COMPUTED_VALUE"""),"المعملجي")</f>
        <v>المعملجي</v>
      </c>
      <c r="C82" s="9" t="str">
        <f ca="1">IFERROR(__xludf.DUMMYFUNCTION("""COMPUTED_VALUE"""),"عبد الله جابر")</f>
        <v>عبد الله جابر</v>
      </c>
      <c r="D82" s="10" t="str">
        <f ca="1">IFERROR(__xludf.DUMMYFUNCTION("""COMPUTED_VALUE"""),"قسم التربية والتعليم العالي")</f>
        <v>قسم التربية والتعليم العالي</v>
      </c>
      <c r="E82" s="10" t="str">
        <f ca="1">IFERROR(__xludf.DUMMYFUNCTION("""COMPUTED_VALUE"""),"A- المركز الثقافي")</f>
        <v>A- المركز الثقافي</v>
      </c>
      <c r="F82" s="10" t="str">
        <f ca="1">IFERROR(__xludf.DUMMYFUNCTION("""COMPUTED_VALUE"""),"لطابق الثالث غرفة د. خلود")</f>
        <v>لطابق الثالث غرفة د. خلود</v>
      </c>
      <c r="G82" s="10" t="str">
        <f ca="1">IFERROR(__xludf.DUMMYFUNCTION("""COMPUTED_VALUE"""),"تركيب عجلات لكرسي عدد 2 علماً ان العجلات موجودة وتحتاج فقط الى تركيب")</f>
        <v>تركيب عجلات لكرسي عدد 2 علماً ان العجلات موجودة وتحتاج فقط الى تركيب</v>
      </c>
      <c r="H82" s="10"/>
      <c r="I82" s="12" t="s">
        <v>17</v>
      </c>
      <c r="J82" s="13" t="s">
        <v>14</v>
      </c>
      <c r="K82" s="7">
        <v>45963.468733796297</v>
      </c>
      <c r="L82" s="67"/>
      <c r="M82" s="10"/>
    </row>
    <row r="83" spans="1:13" ht="75" customHeight="1" thickTop="1" thickBot="1">
      <c r="A83" s="7">
        <f ca="1">IFERROR(__xludf.DUMMYFUNCTION("""COMPUTED_VALUE"""),45963.4403339699)</f>
        <v>45963.440333969898</v>
      </c>
      <c r="B83" s="8" t="str">
        <f ca="1">IFERROR(__xludf.DUMMYFUNCTION("""COMPUTED_VALUE"""),"المعملجي")</f>
        <v>المعملجي</v>
      </c>
      <c r="C83" s="9" t="str">
        <f ca="1">IFERROR(__xludf.DUMMYFUNCTION("""COMPUTED_VALUE"""),"عبد الله جابر")</f>
        <v>عبد الله جابر</v>
      </c>
      <c r="D83" s="10" t="str">
        <f ca="1">IFERROR(__xludf.DUMMYFUNCTION("""COMPUTED_VALUE"""),"قسم التربية والتعليم العالي")</f>
        <v>قسم التربية والتعليم العالي</v>
      </c>
      <c r="E83" s="10" t="str">
        <f ca="1">IFERROR(__xludf.DUMMYFUNCTION("""COMPUTED_VALUE"""),"بيت الحضانة")</f>
        <v>بيت الحضانة</v>
      </c>
      <c r="F83" s="10" t="str">
        <f ca="1">IFERROR(__xludf.DUMMYFUNCTION("""COMPUTED_VALUE"""),"ZONE A - الطابق الارضي")</f>
        <v>ZONE A - الطابق الارضي</v>
      </c>
      <c r="G83" s="10" t="str">
        <f ca="1">IFERROR(__xludf.DUMMYFUNCTION("""COMPUTED_VALUE"""),"صيانة باب + فلتر الماء يحتاج الى استبدال ")</f>
        <v xml:space="preserve">صيانة باب + فلتر الماء يحتاج الى استبدال </v>
      </c>
      <c r="H83" s="10"/>
      <c r="I83" s="12" t="s">
        <v>17</v>
      </c>
      <c r="J83" s="13" t="s">
        <v>14</v>
      </c>
      <c r="K83" s="7">
        <v>45964.511193842598</v>
      </c>
      <c r="L83" s="67"/>
      <c r="M83" s="10"/>
    </row>
    <row r="84" spans="1:13" ht="75" customHeight="1" thickTop="1" thickBot="1">
      <c r="A84" s="7">
        <f ca="1">IFERROR(__xludf.DUMMYFUNCTION("""COMPUTED_VALUE"""),45963.5835260879)</f>
        <v>45963.583526087903</v>
      </c>
      <c r="B84" s="8" t="str">
        <f ca="1">IFERROR(__xludf.DUMMYFUNCTION("""COMPUTED_VALUE"""),"المعملجي")</f>
        <v>المعملجي</v>
      </c>
      <c r="C84" s="9" t="str">
        <f ca="1">IFERROR(__xludf.DUMMYFUNCTION("""COMPUTED_VALUE"""),"عبد الله جابر")</f>
        <v>عبد الله جابر</v>
      </c>
      <c r="D84" s="10" t="str">
        <f ca="1">IFERROR(__xludf.DUMMYFUNCTION("""COMPUTED_VALUE"""),"قسم التربية والتعليم العالي")</f>
        <v>قسم التربية والتعليم العالي</v>
      </c>
      <c r="E84" s="10" t="str">
        <f ca="1">IFERROR(__xludf.DUMMYFUNCTION("""COMPUTED_VALUE"""),"A- المركز الثقافي")</f>
        <v>A- المركز الثقافي</v>
      </c>
      <c r="F84" s="10" t="str">
        <f ca="1">IFERROR(__xludf.DUMMYFUNCTION("""COMPUTED_VALUE"""),"خلف المركز الثقافي")</f>
        <v>خلف المركز الثقافي</v>
      </c>
      <c r="G84" s="10" t="str">
        <f ca="1">IFERROR(__xludf.DUMMYFUNCTION("""COMPUTED_VALUE"""),"اصلاح وترميم الممر ")</f>
        <v xml:space="preserve">اصلاح وترميم الممر </v>
      </c>
      <c r="H84" s="10"/>
      <c r="I84" s="12" t="s">
        <v>17</v>
      </c>
      <c r="J84" s="13" t="s">
        <v>14</v>
      </c>
      <c r="K84" s="7">
        <v>45964.511001469902</v>
      </c>
      <c r="L84" s="67"/>
      <c r="M84" s="10"/>
    </row>
    <row r="85" spans="1:13" ht="75" customHeight="1" thickTop="1" thickBot="1">
      <c r="A85" s="7">
        <f ca="1">IFERROR(__xludf.DUMMYFUNCTION("""COMPUTED_VALUE"""),45964.3100466319)</f>
        <v>45964.310046631901</v>
      </c>
      <c r="B85" s="8" t="str">
        <f ca="1">IFERROR(__xludf.DUMMYFUNCTION("""COMPUTED_VALUE"""),"المعملجي")</f>
        <v>المعملجي</v>
      </c>
      <c r="C85" s="9" t="str">
        <f ca="1">IFERROR(__xludf.DUMMYFUNCTION("""COMPUTED_VALUE"""),"عبد الله جابر")</f>
        <v>عبد الله جابر</v>
      </c>
      <c r="D85" s="10" t="str">
        <f ca="1">IFERROR(__xludf.DUMMYFUNCTION("""COMPUTED_VALUE"""),"قسم التربية والتعليم العالي")</f>
        <v>قسم التربية والتعليم العالي</v>
      </c>
      <c r="E85" s="10" t="str">
        <f ca="1">IFERROR(__xludf.DUMMYFUNCTION("""COMPUTED_VALUE"""),"A- المركز الثقافي")</f>
        <v>A- المركز الثقافي</v>
      </c>
      <c r="F85" s="10" t="str">
        <f ca="1">IFERROR(__xludf.DUMMYFUNCTION("""COMPUTED_VALUE"""),"في مطبخ الطابق الثاني جهة المكتب النسوي")</f>
        <v>في مطبخ الطابق الثاني جهة المكتب النسوي</v>
      </c>
      <c r="G85" s="10" t="str">
        <f ca="1">IFERROR(__xludf.DUMMYFUNCTION("""COMPUTED_VALUE"""),"صيانة باب كاونتر + صيانة مجر")</f>
        <v>صيانة باب كاونتر + صيانة مجر</v>
      </c>
      <c r="H85" s="10"/>
      <c r="I85" s="12" t="s">
        <v>17</v>
      </c>
      <c r="J85" s="13" t="s">
        <v>14</v>
      </c>
      <c r="K85" s="7">
        <v>45964.510913923616</v>
      </c>
      <c r="L85" s="67"/>
      <c r="M85" s="10"/>
    </row>
    <row r="86" spans="1:13" ht="75" customHeight="1" thickTop="1" thickBot="1">
      <c r="A86" s="7">
        <f ca="1">IFERROR(__xludf.DUMMYFUNCTION("""COMPUTED_VALUE"""),45964.51420125)</f>
        <v>45964.51420125</v>
      </c>
      <c r="B86" s="8" t="str">
        <f ca="1">IFERROR(__xludf.DUMMYFUNCTION("""COMPUTED_VALUE"""),"المعملجي")</f>
        <v>المعملجي</v>
      </c>
      <c r="C86" s="9" t="str">
        <f ca="1">IFERROR(__xludf.DUMMYFUNCTION("""COMPUTED_VALUE"""),"عبد الله جابر")</f>
        <v>عبد الله جابر</v>
      </c>
      <c r="D86" s="10" t="str">
        <f ca="1">IFERROR(__xludf.DUMMYFUNCTION("""COMPUTED_VALUE"""),"قسم التربية والتعليم العالي")</f>
        <v>قسم التربية والتعليم العالي</v>
      </c>
      <c r="E86" s="10" t="str">
        <f ca="1">IFERROR(__xludf.DUMMYFUNCTION("""COMPUTED_VALUE"""),"D- ثانوية العميد بناية المتوسطة  (الثانية)")</f>
        <v>D- ثانوية العميد بناية المتوسطة  (الثانية)</v>
      </c>
      <c r="F86" s="10" t="str">
        <f ca="1">IFERROR(__xludf.DUMMYFUNCTION("""COMPUTED_VALUE"""),"ZONE A - الطابق الارضي, الاستعلامات")</f>
        <v>ZONE A - الطابق الارضي, الاستعلامات</v>
      </c>
      <c r="G86" s="10" t="str">
        <f ca="1">IFERROR(__xludf.DUMMYFUNCTION("""COMPUTED_VALUE"""),"شد الستائر الخاصة في الاستعلامات")</f>
        <v>شد الستائر الخاصة في الاستعلامات</v>
      </c>
      <c r="H86" s="10"/>
      <c r="I86" s="12" t="s">
        <v>17</v>
      </c>
      <c r="J86" s="13" t="s">
        <v>14</v>
      </c>
      <c r="K86" s="7">
        <v>45965.420580763894</v>
      </c>
      <c r="L86" s="67"/>
      <c r="M86" s="10"/>
    </row>
    <row r="87" spans="1:13" ht="75" customHeight="1" thickTop="1" thickBot="1">
      <c r="A87" s="7">
        <f ca="1">IFERROR(__xludf.DUMMYFUNCTION("""COMPUTED_VALUE"""),45965.445269699)</f>
        <v>45965.445269698997</v>
      </c>
      <c r="B87" s="8" t="str">
        <f ca="1">IFERROR(__xludf.DUMMYFUNCTION("""COMPUTED_VALUE"""),"المعملجي")</f>
        <v>المعملجي</v>
      </c>
      <c r="C87" s="9" t="str">
        <f ca="1">IFERROR(__xludf.DUMMYFUNCTION("""COMPUTED_VALUE"""),"عبد الله جابر")</f>
        <v>عبد الله جابر</v>
      </c>
      <c r="D87" s="10" t="str">
        <f ca="1">IFERROR(__xludf.DUMMYFUNCTION("""COMPUTED_VALUE"""),"قسم المشاريع الهندسية")</f>
        <v>قسم المشاريع الهندسية</v>
      </c>
      <c r="E87" s="10" t="str">
        <f ca="1">IFERROR(__xludf.DUMMYFUNCTION("""COMPUTED_VALUE"""),"J- جامعة العميد (السابعة)")</f>
        <v>J- جامعة العميد (السابعة)</v>
      </c>
      <c r="F87" s="10" t="str">
        <f ca="1">IFERROR(__xludf.DUMMYFUNCTION("""COMPUTED_VALUE"""),"ZONE A - الطابق الارضي")</f>
        <v>ZONE A - الطابق الارضي</v>
      </c>
      <c r="G87" s="10" t="str">
        <f ca="1">IFERROR(__xludf.DUMMYFUNCTION("""COMPUTED_VALUE"""),"صيانة باب")</f>
        <v>صيانة باب</v>
      </c>
      <c r="H87" s="10"/>
      <c r="I87" s="12" t="s">
        <v>17</v>
      </c>
      <c r="J87" s="13" t="s">
        <v>14</v>
      </c>
      <c r="K87" s="7">
        <v>45965.457411388888</v>
      </c>
      <c r="L87" s="67"/>
      <c r="M87" s="10"/>
    </row>
    <row r="88" spans="1:13" ht="75" customHeight="1" thickTop="1" thickBot="1">
      <c r="A88" s="7">
        <f ca="1">IFERROR(__xludf.DUMMYFUNCTION("""COMPUTED_VALUE"""),45965.4569602777)</f>
        <v>45965.456960277697</v>
      </c>
      <c r="B88" s="8" t="str">
        <f ca="1">IFERROR(__xludf.DUMMYFUNCTION("""COMPUTED_VALUE"""),"المعملجي")</f>
        <v>المعملجي</v>
      </c>
      <c r="C88" s="9" t="str">
        <f ca="1">IFERROR(__xludf.DUMMYFUNCTION("""COMPUTED_VALUE"""),"عبد الله جابر")</f>
        <v>عبد الله جابر</v>
      </c>
      <c r="D88" s="10" t="str">
        <f ca="1">IFERROR(__xludf.DUMMYFUNCTION("""COMPUTED_VALUE"""),"قسم التربية والتعليم العالي")</f>
        <v>قسم التربية والتعليم العالي</v>
      </c>
      <c r="E88" s="10" t="str">
        <f ca="1">IFERROR(__xludf.DUMMYFUNCTION("""COMPUTED_VALUE"""),"J- ابتدائية الساقي للبنين الجانب الثاني (السابعة)")</f>
        <v>J- ابتدائية الساقي للبنين الجانب الثاني (السابعة)</v>
      </c>
      <c r="F88" s="10" t="str">
        <f ca="1">IFERROR(__xludf.DUMMYFUNCTION("""COMPUTED_VALUE"""),"ZONE B - الطابق الارضي")</f>
        <v>ZONE B - الطابق الارضي</v>
      </c>
      <c r="G88" s="10" t="str">
        <f ca="1">IFERROR(__xludf.DUMMYFUNCTION("""COMPUTED_VALUE"""),"صيانة باب المنيوم")</f>
        <v>صيانة باب المنيوم</v>
      </c>
      <c r="H88" s="10"/>
      <c r="I88" s="12" t="s">
        <v>17</v>
      </c>
      <c r="J88" s="13" t="s">
        <v>14</v>
      </c>
      <c r="K88" s="7">
        <v>45965.45778488426</v>
      </c>
      <c r="L88" s="67"/>
      <c r="M88" s="10"/>
    </row>
    <row r="89" spans="1:13" ht="75" customHeight="1" thickTop="1" thickBot="1">
      <c r="A89" s="7">
        <f ca="1">IFERROR(__xludf.DUMMYFUNCTION("""COMPUTED_VALUE"""),45966.4568100463)</f>
        <v>45966.4568100463</v>
      </c>
      <c r="B89" s="8" t="str">
        <f ca="1">IFERROR(__xludf.DUMMYFUNCTION("""COMPUTED_VALUE"""),"المعملجي")</f>
        <v>المعملجي</v>
      </c>
      <c r="C89" s="9" t="str">
        <f ca="1">IFERROR(__xludf.DUMMYFUNCTION("""COMPUTED_VALUE"""),"عبد الله جابر")</f>
        <v>عبد الله جابر</v>
      </c>
      <c r="D89" s="10" t="str">
        <f ca="1">IFERROR(__xludf.DUMMYFUNCTION("""COMPUTED_VALUE"""),"قسم التربية والتعليم العالي")</f>
        <v>قسم التربية والتعليم العالي</v>
      </c>
      <c r="E89" s="10" t="str">
        <f ca="1">IFERROR(__xludf.DUMMYFUNCTION("""COMPUTED_VALUE"""),"D- ثانوية العميد بناية المتوسطة  (الثانية)")</f>
        <v>D- ثانوية العميد بناية المتوسطة  (الثانية)</v>
      </c>
      <c r="F89" s="10" t="str">
        <f ca="1">IFERROR(__xludf.DUMMYFUNCTION("""COMPUTED_VALUE"""),"ZONE A - الطابق الارضي")</f>
        <v>ZONE A - الطابق الارضي</v>
      </c>
      <c r="G89" s="10" t="str">
        <f ca="1">IFERROR(__xludf.DUMMYFUNCTION("""COMPUTED_VALUE"""),"تصليح اقفال ويدات  لوكلرات  خشب عدد 14  .   ولوكرات حديد عدد 12 تحتاج قفل فقط ")</f>
        <v xml:space="preserve">تصليح اقفال ويدات  لوكلرات  خشب عدد 14  .   ولوكرات حديد عدد 12 تحتاج قفل فقط </v>
      </c>
      <c r="H89" s="10"/>
      <c r="I89" s="12" t="s">
        <v>17</v>
      </c>
      <c r="J89" s="13" t="s">
        <v>14</v>
      </c>
      <c r="K89" s="7">
        <v>45966.735104027779</v>
      </c>
      <c r="L89" s="67"/>
      <c r="M89" s="10"/>
    </row>
    <row r="90" spans="1:13" ht="75" customHeight="1" thickTop="1" thickBot="1">
      <c r="A90" s="7">
        <f ca="1">IFERROR(__xludf.DUMMYFUNCTION("""COMPUTED_VALUE"""),45966.531171574)</f>
        <v>45966.531171574003</v>
      </c>
      <c r="B90" s="8" t="str">
        <f ca="1">IFERROR(__xludf.DUMMYFUNCTION("""COMPUTED_VALUE"""),"المعملجي")</f>
        <v>المعملجي</v>
      </c>
      <c r="C90" s="9" t="str">
        <f ca="1">IFERROR(__xludf.DUMMYFUNCTION("""COMPUTED_VALUE"""),"عبد الله جابر")</f>
        <v>عبد الله جابر</v>
      </c>
      <c r="D90" s="10" t="str">
        <f ca="1">IFERROR(__xludf.DUMMYFUNCTION("""COMPUTED_VALUE"""),"قسم التربية والتعليم العالي")</f>
        <v>قسم التربية والتعليم العالي</v>
      </c>
      <c r="E90" s="10" t="str">
        <f ca="1">IFERROR(__xludf.DUMMYFUNCTION("""COMPUTED_VALUE"""),"C- ثانوية العميد بناية الاعدادية  (الاولى)")</f>
        <v>C- ثانوية العميد بناية الاعدادية  (الاولى)</v>
      </c>
      <c r="F90" s="10" t="str">
        <f ca="1">IFERROR(__xludf.DUMMYFUNCTION("""COMPUTED_VALUE"""),"ZONE A - الطابق الارضي")</f>
        <v>ZONE A - الطابق الارضي</v>
      </c>
      <c r="G90" s="10" t="str">
        <f ca="1">IFERROR(__xludf.DUMMYFUNCTION("""COMPUTED_VALUE"""),"صيانه قفل باب حمام الادارة ")</f>
        <v xml:space="preserve">صيانه قفل باب حمام الادارة </v>
      </c>
      <c r="H90" s="10"/>
      <c r="I90" s="12" t="s">
        <v>17</v>
      </c>
      <c r="J90" s="13" t="s">
        <v>14</v>
      </c>
      <c r="K90" s="7">
        <v>45966.568962986115</v>
      </c>
      <c r="L90" s="67"/>
      <c r="M90" s="10"/>
    </row>
    <row r="91" spans="1:13" ht="75" customHeight="1" thickTop="1" thickBot="1">
      <c r="A91" s="7">
        <f ca="1">IFERROR(__xludf.DUMMYFUNCTION("""COMPUTED_VALUE"""),45966.5317617592)</f>
        <v>45966.531761759201</v>
      </c>
      <c r="B91" s="8" t="str">
        <f ca="1">IFERROR(__xludf.DUMMYFUNCTION("""COMPUTED_VALUE"""),"المعملجي")</f>
        <v>المعملجي</v>
      </c>
      <c r="C91" s="9" t="str">
        <f ca="1">IFERROR(__xludf.DUMMYFUNCTION("""COMPUTED_VALUE"""),"عبد الله جابر")</f>
        <v>عبد الله جابر</v>
      </c>
      <c r="D91" s="10" t="str">
        <f ca="1">IFERROR(__xludf.DUMMYFUNCTION("""COMPUTED_VALUE"""),"قسم التربية والتعليم العالي")</f>
        <v>قسم التربية والتعليم العالي</v>
      </c>
      <c r="E91" s="10" t="str">
        <f ca="1">IFERROR(__xludf.DUMMYFUNCTION("""COMPUTED_VALUE"""),"G- روضة الجود")</f>
        <v>G- روضة الجود</v>
      </c>
      <c r="F91" s="10" t="str">
        <f ca="1">IFERROR(__xludf.DUMMYFUNCTION("""COMPUTED_VALUE"""),"ZONE A - الطابق الارضي")</f>
        <v>ZONE A - الطابق الارضي</v>
      </c>
      <c r="G91" s="10" t="str">
        <f ca="1">IFERROR(__xludf.DUMMYFUNCTION("""COMPUTED_VALUE"""),"صيانه الالعاب ")</f>
        <v xml:space="preserve">صيانه الالعاب </v>
      </c>
      <c r="H91" s="10"/>
      <c r="I91" s="12" t="s">
        <v>17</v>
      </c>
      <c r="J91" s="13" t="s">
        <v>14</v>
      </c>
      <c r="K91" s="7">
        <v>45967.481015648147</v>
      </c>
      <c r="L91" s="67"/>
      <c r="M91" s="10"/>
    </row>
    <row r="92" spans="1:13" ht="75" customHeight="1" thickTop="1" thickBot="1">
      <c r="A92" s="7">
        <f ca="1">IFERROR(__xludf.DUMMYFUNCTION("""COMPUTED_VALUE"""),45967.3542461226)</f>
        <v>45967.354246122602</v>
      </c>
      <c r="B92" s="8" t="str">
        <f ca="1">IFERROR(__xludf.DUMMYFUNCTION("""COMPUTED_VALUE"""),"المعملجي")</f>
        <v>المعملجي</v>
      </c>
      <c r="C92" s="9" t="str">
        <f ca="1">IFERROR(__xludf.DUMMYFUNCTION("""COMPUTED_VALUE"""),"عبد الله جابر")</f>
        <v>عبد الله جابر</v>
      </c>
      <c r="D92" s="10" t="str">
        <f ca="1">IFERROR(__xludf.DUMMYFUNCTION("""COMPUTED_VALUE"""),"قسم التربية والتعليم العالي")</f>
        <v>قسم التربية والتعليم العالي</v>
      </c>
      <c r="E92" s="10" t="str">
        <f ca="1">IFERROR(__xludf.DUMMYFUNCTION("""COMPUTED_VALUE"""),"E- ابتدائية العميد للبنات (الثالثة)")</f>
        <v>E- ابتدائية العميد للبنات (الثالثة)</v>
      </c>
      <c r="F92" s="10" t="str">
        <f ca="1">IFERROR(__xludf.DUMMYFUNCTION("""COMPUTED_VALUE"""),"ZONE A - الطابق الارضي")</f>
        <v>ZONE A - الطابق الارضي</v>
      </c>
      <c r="G92" s="10" t="str">
        <f ca="1">IFERROR(__xludf.DUMMYFUNCTION("""COMPUTED_VALUE"""),"صيانه باب صف الرابع و حنفيه استبدال ")</f>
        <v xml:space="preserve">صيانه باب صف الرابع و حنفيه استبدال </v>
      </c>
      <c r="H92" s="10"/>
      <c r="I92" s="12" t="s">
        <v>17</v>
      </c>
      <c r="J92" s="13" t="s">
        <v>14</v>
      </c>
      <c r="K92" s="7">
        <v>45967.400133136573</v>
      </c>
      <c r="L92" s="67"/>
      <c r="M92" s="10"/>
    </row>
    <row r="93" spans="1:13" ht="75" customHeight="1" thickTop="1" thickBot="1">
      <c r="A93" s="7">
        <f ca="1">IFERROR(__xludf.DUMMYFUNCTION("""COMPUTED_VALUE"""),45967.421748912)</f>
        <v>45967.421748911998</v>
      </c>
      <c r="B93" s="8" t="str">
        <f ca="1">IFERROR(__xludf.DUMMYFUNCTION("""COMPUTED_VALUE"""),"المعملجي")</f>
        <v>المعملجي</v>
      </c>
      <c r="C93" s="9" t="str">
        <f ca="1">IFERROR(__xludf.DUMMYFUNCTION("""COMPUTED_VALUE"""),"عبد الله جابر")</f>
        <v>عبد الله جابر</v>
      </c>
      <c r="D93" s="10" t="str">
        <f ca="1">IFERROR(__xludf.DUMMYFUNCTION("""COMPUTED_VALUE"""),"قسم التربية والتعليم العالي")</f>
        <v>قسم التربية والتعليم العالي</v>
      </c>
      <c r="E93" s="10" t="str">
        <f ca="1">IFERROR(__xludf.DUMMYFUNCTION("""COMPUTED_VALUE"""),"A- المركز الثقافي")</f>
        <v>A- المركز الثقافي</v>
      </c>
      <c r="F93" s="10" t="str">
        <f ca="1">IFERROR(__xludf.DUMMYFUNCTION("""COMPUTED_VALUE"""),"المكتبة")</f>
        <v>المكتبة</v>
      </c>
      <c r="G93" s="10" t="str">
        <f ca="1">IFERROR(__xludf.DUMMYFUNCTION("""COMPUTED_VALUE"""),"تعليق رف ")</f>
        <v xml:space="preserve">تعليق رف </v>
      </c>
      <c r="H93" s="10"/>
      <c r="I93" s="12" t="s">
        <v>17</v>
      </c>
      <c r="J93" s="13" t="s">
        <v>14</v>
      </c>
      <c r="K93" s="7">
        <v>45967.480674664352</v>
      </c>
      <c r="L93" s="67"/>
      <c r="M93" s="10"/>
    </row>
    <row r="94" spans="1:13" ht="75" customHeight="1" thickTop="1" thickBot="1">
      <c r="A94" s="7">
        <f ca="1">IFERROR(__xludf.DUMMYFUNCTION("""COMPUTED_VALUE"""),45967.463249537)</f>
        <v>45967.463249537002</v>
      </c>
      <c r="B94" s="8" t="str">
        <f ca="1">IFERROR(__xludf.DUMMYFUNCTION("""COMPUTED_VALUE"""),"المعملجي")</f>
        <v>المعملجي</v>
      </c>
      <c r="C94" s="9" t="str">
        <f ca="1">IFERROR(__xludf.DUMMYFUNCTION("""COMPUTED_VALUE"""),"عبد الله جابر")</f>
        <v>عبد الله جابر</v>
      </c>
      <c r="D94" s="10" t="str">
        <f ca="1">IFERROR(__xludf.DUMMYFUNCTION("""COMPUTED_VALUE"""),"قسم التربية والتعليم العالي")</f>
        <v>قسم التربية والتعليم العالي</v>
      </c>
      <c r="E94" s="10" t="str">
        <f ca="1">IFERROR(__xludf.DUMMYFUNCTION("""COMPUTED_VALUE"""),"I- ابتدائية الساقي للبنين (السادسة)")</f>
        <v>I- ابتدائية الساقي للبنين (السادسة)</v>
      </c>
      <c r="F94" s="10" t="str">
        <f ca="1">IFERROR(__xludf.DUMMYFUNCTION("""COMPUTED_VALUE"""),"مختبر الحاسوب")</f>
        <v>مختبر الحاسوب</v>
      </c>
      <c r="G94" s="10" t="str">
        <f ca="1">IFERROR(__xludf.DUMMYFUNCTION("""COMPUTED_VALUE"""),"صيانة كرسي ")</f>
        <v xml:space="preserve">صيانة كرسي </v>
      </c>
      <c r="H94" s="10"/>
      <c r="I94" s="12" t="s">
        <v>17</v>
      </c>
      <c r="J94" s="13" t="s">
        <v>14</v>
      </c>
      <c r="K94" s="7">
        <v>45967.546400266205</v>
      </c>
      <c r="L94" s="67"/>
      <c r="M94" s="10"/>
    </row>
    <row r="95" spans="1:13" ht="75" customHeight="1" thickTop="1" thickBot="1">
      <c r="A95" s="7">
        <f ca="1">IFERROR(__xludf.DUMMYFUNCTION("""COMPUTED_VALUE"""),45969.4655116782)</f>
        <v>45969.465511678201</v>
      </c>
      <c r="B95" s="8" t="str">
        <f ca="1">IFERROR(__xludf.DUMMYFUNCTION("""COMPUTED_VALUE"""),"المعملجي")</f>
        <v>المعملجي</v>
      </c>
      <c r="C95" s="9" t="str">
        <f ca="1">IFERROR(__xludf.DUMMYFUNCTION("""COMPUTED_VALUE"""),"عبد الله جابر")</f>
        <v>عبد الله جابر</v>
      </c>
      <c r="D95" s="10" t="str">
        <f ca="1">IFERROR(__xludf.DUMMYFUNCTION("""COMPUTED_VALUE"""),"قسم التربية والتعليم العالي")</f>
        <v>قسم التربية والتعليم العالي</v>
      </c>
      <c r="E95" s="10" t="str">
        <f ca="1">IFERROR(__xludf.DUMMYFUNCTION("""COMPUTED_VALUE"""),"B- روضة القمر")</f>
        <v>B- روضة القمر</v>
      </c>
      <c r="F95" s="10" t="str">
        <f ca="1">IFERROR(__xludf.DUMMYFUNCTION("""COMPUTED_VALUE"""),"ZONE A - الطابق الارضي")</f>
        <v>ZONE A - الطابق الارضي</v>
      </c>
      <c r="G95" s="10" t="str">
        <f ca="1">IFERROR(__xludf.DUMMYFUNCTION("""COMPUTED_VALUE"""),"صيانة رجل ميز عدد ٤")</f>
        <v>صيانة رجل ميز عدد ٤</v>
      </c>
      <c r="H95" s="10"/>
      <c r="I95" s="12" t="s">
        <v>17</v>
      </c>
      <c r="J95" s="13" t="s">
        <v>14</v>
      </c>
      <c r="K95" s="7">
        <v>45969.524487766204</v>
      </c>
      <c r="L95" s="67"/>
      <c r="M95" s="10"/>
    </row>
    <row r="96" spans="1:13" ht="75" customHeight="1" thickTop="1" thickBot="1">
      <c r="A96" s="7">
        <f ca="1">IFERROR(__xludf.DUMMYFUNCTION("""COMPUTED_VALUE"""),45970.5109865856)</f>
        <v>45970.510986585599</v>
      </c>
      <c r="B96" s="8" t="str">
        <f ca="1">IFERROR(__xludf.DUMMYFUNCTION("""COMPUTED_VALUE"""),"المعملجي")</f>
        <v>المعملجي</v>
      </c>
      <c r="C96" s="9" t="str">
        <f ca="1">IFERROR(__xludf.DUMMYFUNCTION("""COMPUTED_VALUE"""),"عبد الله جابر")</f>
        <v>عبد الله جابر</v>
      </c>
      <c r="D96" s="10" t="str">
        <f ca="1">IFERROR(__xludf.DUMMYFUNCTION("""COMPUTED_VALUE"""),"قسم التربية والتعليم العالي")</f>
        <v>قسم التربية والتعليم العالي</v>
      </c>
      <c r="E96" s="10" t="str">
        <f ca="1">IFERROR(__xludf.DUMMYFUNCTION("""COMPUTED_VALUE"""),"F-  ابتدائية جود العميد للبنات (الرابعة)")</f>
        <v>F-  ابتدائية جود العميد للبنات (الرابعة)</v>
      </c>
      <c r="F96" s="10" t="str">
        <f ca="1">IFERROR(__xludf.DUMMYFUNCTION("""COMPUTED_VALUE"""),"ZONE A - الطابق الارضي")</f>
        <v>ZONE A - الطابق الارضي</v>
      </c>
      <c r="G96" s="10" t="str">
        <f ca="1">IFERROR(__xludf.DUMMYFUNCTION("""COMPUTED_VALUE"""),"صيانه مقبض باب صحيات ")</f>
        <v xml:space="preserve">صيانه مقبض باب صحيات </v>
      </c>
      <c r="H96" s="10"/>
      <c r="I96" s="12" t="s">
        <v>17</v>
      </c>
      <c r="J96" s="13" t="s">
        <v>14</v>
      </c>
      <c r="K96" s="7">
        <v>45970.564425671299</v>
      </c>
      <c r="L96" s="67"/>
      <c r="M96" s="10"/>
    </row>
    <row r="97" spans="1:13" ht="75" customHeight="1" thickTop="1" thickBot="1">
      <c r="A97" s="7">
        <f ca="1">IFERROR(__xludf.DUMMYFUNCTION("""COMPUTED_VALUE"""),45970.5121767245)</f>
        <v>45970.5121767245</v>
      </c>
      <c r="B97" s="8" t="str">
        <f ca="1">IFERROR(__xludf.DUMMYFUNCTION("""COMPUTED_VALUE"""),"المعملجي")</f>
        <v>المعملجي</v>
      </c>
      <c r="C97" s="9" t="str">
        <f ca="1">IFERROR(__xludf.DUMMYFUNCTION("""COMPUTED_VALUE"""),"عبد الله جابر")</f>
        <v>عبد الله جابر</v>
      </c>
      <c r="D97" s="10" t="str">
        <f ca="1">IFERROR(__xludf.DUMMYFUNCTION("""COMPUTED_VALUE"""),"قسم التربية والتعليم العالي")</f>
        <v>قسم التربية والتعليم العالي</v>
      </c>
      <c r="E97" s="10" t="str">
        <f ca="1">IFERROR(__xludf.DUMMYFUNCTION("""COMPUTED_VALUE"""),"F-  ابتدائية جود العميد للبنات (الرابعة)")</f>
        <v>F-  ابتدائية جود العميد للبنات (الرابعة)</v>
      </c>
      <c r="F97" s="10" t="str">
        <f ca="1">IFERROR(__xludf.DUMMYFUNCTION("""COMPUTED_VALUE"""),"ZONE A - الطابق الثاني")</f>
        <v>ZONE A - الطابق الثاني</v>
      </c>
      <c r="G97" s="10" t="str">
        <f ca="1">IFERROR(__xludf.DUMMYFUNCTION("""COMPUTED_VALUE"""),"صيانه مقبض شباك صف الثاني أ + صف الثالث ")</f>
        <v xml:space="preserve">صيانه مقبض شباك صف الثاني أ + صف الثالث </v>
      </c>
      <c r="H97" s="10"/>
      <c r="I97" s="12" t="s">
        <v>17</v>
      </c>
      <c r="J97" s="13" t="s">
        <v>14</v>
      </c>
      <c r="K97" s="7">
        <v>45970.564486504634</v>
      </c>
      <c r="L97" s="67"/>
      <c r="M97" s="10"/>
    </row>
    <row r="98" spans="1:13" ht="75" customHeight="1" thickTop="1" thickBot="1">
      <c r="A98" s="7">
        <f ca="1">IFERROR(__xludf.DUMMYFUNCTION("""COMPUTED_VALUE"""),45970.514759699)</f>
        <v>45970.514759698999</v>
      </c>
      <c r="B98" s="8" t="str">
        <f ca="1">IFERROR(__xludf.DUMMYFUNCTION("""COMPUTED_VALUE"""),"المعملجي")</f>
        <v>المعملجي</v>
      </c>
      <c r="C98" s="9" t="str">
        <f ca="1">IFERROR(__xludf.DUMMYFUNCTION("""COMPUTED_VALUE"""),"عبد الله جابر")</f>
        <v>عبد الله جابر</v>
      </c>
      <c r="D98" s="10" t="str">
        <f ca="1">IFERROR(__xludf.DUMMYFUNCTION("""COMPUTED_VALUE"""),"قسم التربية والتعليم العالي")</f>
        <v>قسم التربية والتعليم العالي</v>
      </c>
      <c r="E98" s="10" t="str">
        <f ca="1">IFERROR(__xludf.DUMMYFUNCTION("""COMPUTED_VALUE"""),"F-  ابتدائية جود العميد للبنات (الرابعة)")</f>
        <v>F-  ابتدائية جود العميد للبنات (الرابعة)</v>
      </c>
      <c r="F98" s="10" t="str">
        <f ca="1">IFERROR(__xludf.DUMMYFUNCTION("""COMPUTED_VALUE"""),"الثاني د +الرابع ج+ صف قرب مختبر الحاسوب + السادس أ +ب")</f>
        <v>الثاني د +الرابع ج+ صف قرب مختبر الحاسوب + السادس أ +ب</v>
      </c>
      <c r="G98" s="10" t="str">
        <f ca="1">IFERROR(__xludf.DUMMYFUNCTION("""COMPUTED_VALUE"""),"الهزاز الخشبي مقبض الباب ")</f>
        <v xml:space="preserve">الهزاز الخشبي مقبض الباب </v>
      </c>
      <c r="H98" s="10"/>
      <c r="I98" s="12" t="s">
        <v>17</v>
      </c>
      <c r="J98" s="13" t="s">
        <v>14</v>
      </c>
      <c r="K98" s="7">
        <v>45970.753251805552</v>
      </c>
      <c r="L98" s="67"/>
      <c r="M98" s="10"/>
    </row>
    <row r="99" spans="1:13" ht="75" customHeight="1" thickTop="1" thickBot="1">
      <c r="A99" s="7">
        <f ca="1">IFERROR(__xludf.DUMMYFUNCTION("""COMPUTED_VALUE"""),45971.4388540972)</f>
        <v>45971.4388540972</v>
      </c>
      <c r="B99" s="8" t="str">
        <f ca="1">IFERROR(__xludf.DUMMYFUNCTION("""COMPUTED_VALUE"""),"المعملجي")</f>
        <v>المعملجي</v>
      </c>
      <c r="C99" s="9" t="str">
        <f ca="1">IFERROR(__xludf.DUMMYFUNCTION("""COMPUTED_VALUE"""),"عبد الله جابر")</f>
        <v>عبد الله جابر</v>
      </c>
      <c r="D99" s="10" t="str">
        <f ca="1">IFERROR(__xludf.DUMMYFUNCTION("""COMPUTED_VALUE"""),"قسم التربية والتعليم العالي")</f>
        <v>قسم التربية والتعليم العالي</v>
      </c>
      <c r="E99" s="10" t="str">
        <f ca="1">IFERROR(__xludf.DUMMYFUNCTION("""COMPUTED_VALUE"""),"A- المركز الثقافي")</f>
        <v>A- المركز الثقافي</v>
      </c>
      <c r="F99" s="10" t="str">
        <f ca="1">IFERROR(__xludf.DUMMYFUNCTION("""COMPUTED_VALUE"""),"الممر الخلفي المحيط في البناية")</f>
        <v>الممر الخلفي المحيط في البناية</v>
      </c>
      <c r="G99" s="10" t="str">
        <f ca="1">IFERROR(__xludf.DUMMYFUNCTION("""COMPUTED_VALUE"""),"تصليح الممر")</f>
        <v>تصليح الممر</v>
      </c>
      <c r="H99" s="10"/>
      <c r="I99" s="12" t="s">
        <v>17</v>
      </c>
      <c r="J99" s="13" t="s">
        <v>14</v>
      </c>
      <c r="K99" s="7">
        <v>45971.585792847225</v>
      </c>
      <c r="L99" s="67"/>
      <c r="M99" s="10"/>
    </row>
    <row r="100" spans="1:13" ht="75" customHeight="1" thickTop="1" thickBot="1">
      <c r="A100" s="7">
        <f ca="1">IFERROR(__xludf.DUMMYFUNCTION("""COMPUTED_VALUE"""),45974.5059033796)</f>
        <v>45974.505903379599</v>
      </c>
      <c r="B100" s="8" t="str">
        <f ca="1">IFERROR(__xludf.DUMMYFUNCTION("""COMPUTED_VALUE"""),"المعملجي")</f>
        <v>المعملجي</v>
      </c>
      <c r="C100" s="9" t="str">
        <f ca="1">IFERROR(__xludf.DUMMYFUNCTION("""COMPUTED_VALUE"""),"عبد الله جابر")</f>
        <v>عبد الله جابر</v>
      </c>
      <c r="D100" s="10" t="str">
        <f ca="1">IFERROR(__xludf.DUMMYFUNCTION("""COMPUTED_VALUE"""),"قسم التربية والتعليم العالي")</f>
        <v>قسم التربية والتعليم العالي</v>
      </c>
      <c r="E100" s="10" t="str">
        <f ca="1">IFERROR(__xludf.DUMMYFUNCTION("""COMPUTED_VALUE"""),"E- ابتدائية العميد للبنات (الثالثة)")</f>
        <v>E- ابتدائية العميد للبنات (الثالثة)</v>
      </c>
      <c r="F100" s="10" t="str">
        <f ca="1">IFERROR(__xludf.DUMMYFUNCTION("""COMPUTED_VALUE"""),"ZONE B - الطابق الاول")</f>
        <v>ZONE B - الطابق الاول</v>
      </c>
      <c r="G100" s="10" t="str">
        <f ca="1">IFERROR(__xludf.DUMMYFUNCTION("""COMPUTED_VALUE"""),"صيانة ميز حاسبة")</f>
        <v>صيانة ميز حاسبة</v>
      </c>
      <c r="H100" s="10"/>
      <c r="I100" s="12" t="s">
        <v>17</v>
      </c>
      <c r="J100" s="13" t="s">
        <v>14</v>
      </c>
      <c r="K100" s="7">
        <v>45974.507652650464</v>
      </c>
      <c r="L100" s="67"/>
      <c r="M100" s="10"/>
    </row>
    <row r="101" spans="1:13" ht="75" customHeight="1" thickTop="1" thickBot="1">
      <c r="A101" s="7">
        <f ca="1">IFERROR(__xludf.DUMMYFUNCTION("""COMPUTED_VALUE"""),45974.5068384606)</f>
        <v>45974.506838460598</v>
      </c>
      <c r="B101" s="8" t="str">
        <f ca="1">IFERROR(__xludf.DUMMYFUNCTION("""COMPUTED_VALUE"""),"المعملجي")</f>
        <v>المعملجي</v>
      </c>
      <c r="C101" s="9" t="str">
        <f ca="1">IFERROR(__xludf.DUMMYFUNCTION("""COMPUTED_VALUE"""),"عبد الله جابر")</f>
        <v>عبد الله جابر</v>
      </c>
      <c r="D101" s="10" t="str">
        <f ca="1">IFERROR(__xludf.DUMMYFUNCTION("""COMPUTED_VALUE"""),"قسم التربية والتعليم العالي")</f>
        <v>قسم التربية والتعليم العالي</v>
      </c>
      <c r="E101" s="10" t="str">
        <f ca="1">IFERROR(__xludf.DUMMYFUNCTION("""COMPUTED_VALUE"""),"الاستعلامات الرئيسية")</f>
        <v>الاستعلامات الرئيسية</v>
      </c>
      <c r="F101" s="10" t="str">
        <f ca="1">IFERROR(__xludf.DUMMYFUNCTION("""COMPUTED_VALUE"""),"ZONE A - الطابق الارضي")</f>
        <v>ZONE A - الطابق الارضي</v>
      </c>
      <c r="G101" s="10" t="str">
        <f ca="1">IFERROR(__xludf.DUMMYFUNCTION("""COMPUTED_VALUE"""),"صيانة لبة  باب صحيات")</f>
        <v>صيانة لبة  باب صحيات</v>
      </c>
      <c r="H101" s="10"/>
      <c r="I101" s="12" t="s">
        <v>17</v>
      </c>
      <c r="J101" s="13" t="s">
        <v>14</v>
      </c>
      <c r="K101" s="7">
        <v>45974.507706192133</v>
      </c>
      <c r="L101" s="67"/>
      <c r="M101" s="10"/>
    </row>
    <row r="102" spans="1:13" ht="75" customHeight="1" thickTop="1" thickBot="1">
      <c r="A102" s="7">
        <f ca="1">IFERROR(__xludf.DUMMYFUNCTION("""COMPUTED_VALUE"""),45974.5075017129)</f>
        <v>45974.507501712898</v>
      </c>
      <c r="B102" s="8" t="str">
        <f ca="1">IFERROR(__xludf.DUMMYFUNCTION("""COMPUTED_VALUE"""),"المعملجي")</f>
        <v>المعملجي</v>
      </c>
      <c r="C102" s="9" t="str">
        <f ca="1">IFERROR(__xludf.DUMMYFUNCTION("""COMPUTED_VALUE"""),"عبد الله جابر")</f>
        <v>عبد الله جابر</v>
      </c>
      <c r="D102" s="10" t="str">
        <f ca="1">IFERROR(__xludf.DUMMYFUNCTION("""COMPUTED_VALUE"""),"قسم التربية والتعليم العالي")</f>
        <v>قسم التربية والتعليم العالي</v>
      </c>
      <c r="E102" s="10" t="str">
        <f ca="1">IFERROR(__xludf.DUMMYFUNCTION("""COMPUTED_VALUE"""),"E- ابتدائية العميد للبنات (الثالثة)")</f>
        <v>E- ابتدائية العميد للبنات (الثالثة)</v>
      </c>
      <c r="F102" s="10" t="str">
        <f ca="1">IFERROR(__xludf.DUMMYFUNCTION("""COMPUTED_VALUE"""),"ZONE A - الطابق الاول")</f>
        <v>ZONE A - الطابق الاول</v>
      </c>
      <c r="G102" s="10" t="str">
        <f ca="1">IFERROR(__xludf.DUMMYFUNCTION("""COMPUTED_VALUE"""),"صيانة. تور شباك عدد ٢")</f>
        <v>صيانة. تور شباك عدد ٢</v>
      </c>
      <c r="H102" s="10"/>
      <c r="I102" s="12" t="s">
        <v>17</v>
      </c>
      <c r="J102" s="13" t="s">
        <v>14</v>
      </c>
      <c r="K102" s="7">
        <v>45974.507770439814</v>
      </c>
      <c r="L102" s="67"/>
      <c r="M102" s="10"/>
    </row>
    <row r="103" spans="1:13" ht="75" customHeight="1" thickTop="1" thickBot="1">
      <c r="A103" s="7">
        <f ca="1">IFERROR(__xludf.DUMMYFUNCTION("""COMPUTED_VALUE"""),45974.5084606249)</f>
        <v>45974.5084606249</v>
      </c>
      <c r="B103" s="8" t="str">
        <f ca="1">IFERROR(__xludf.DUMMYFUNCTION("""COMPUTED_VALUE"""),"المعملجي")</f>
        <v>المعملجي</v>
      </c>
      <c r="C103" s="9" t="str">
        <f ca="1">IFERROR(__xludf.DUMMYFUNCTION("""COMPUTED_VALUE"""),"عبد الله جابر")</f>
        <v>عبد الله جابر</v>
      </c>
      <c r="D103" s="10" t="str">
        <f ca="1">IFERROR(__xludf.DUMMYFUNCTION("""COMPUTED_VALUE"""),"قسم التربية والتعليم العالي")</f>
        <v>قسم التربية والتعليم العالي</v>
      </c>
      <c r="E103" s="10" t="str">
        <f ca="1">IFERROR(__xludf.DUMMYFUNCTION("""COMPUTED_VALUE"""),"E- ابتدائية العميد للبنات (الثالثة)")</f>
        <v>E- ابتدائية العميد للبنات (الثالثة)</v>
      </c>
      <c r="F103" s="10" t="str">
        <f ca="1">IFERROR(__xludf.DUMMYFUNCTION("""COMPUTED_VALUE"""),"ZONE B - الطابق الاول")</f>
        <v>ZONE B - الطابق الاول</v>
      </c>
      <c r="G103" s="10" t="str">
        <f ca="1">IFERROR(__xludf.DUMMYFUNCTION("""COMPUTED_VALUE"""),"صيانة بردات عدد ٣")</f>
        <v>صيانة بردات عدد ٣</v>
      </c>
      <c r="H103" s="10"/>
      <c r="I103" s="12" t="s">
        <v>17</v>
      </c>
      <c r="J103" s="13" t="s">
        <v>14</v>
      </c>
      <c r="K103" s="7">
        <v>45974.50857824074</v>
      </c>
      <c r="L103" s="67"/>
      <c r="M103" s="10"/>
    </row>
    <row r="104" spans="1:13" ht="75" customHeight="1" thickTop="1" thickBot="1">
      <c r="A104" s="7">
        <f ca="1">IFERROR(__xludf.DUMMYFUNCTION("""COMPUTED_VALUE"""),45974.5092069444)</f>
        <v>45974.5092069444</v>
      </c>
      <c r="B104" s="8" t="str">
        <f ca="1">IFERROR(__xludf.DUMMYFUNCTION("""COMPUTED_VALUE"""),"المعملجي")</f>
        <v>المعملجي</v>
      </c>
      <c r="C104" s="9" t="str">
        <f ca="1">IFERROR(__xludf.DUMMYFUNCTION("""COMPUTED_VALUE"""),"عبد الله جابر")</f>
        <v>عبد الله جابر</v>
      </c>
      <c r="D104" s="10" t="str">
        <f ca="1">IFERROR(__xludf.DUMMYFUNCTION("""COMPUTED_VALUE"""),"قسم التربية والتعليم العالي")</f>
        <v>قسم التربية والتعليم العالي</v>
      </c>
      <c r="E104" s="10" t="str">
        <f ca="1">IFERROR(__xludf.DUMMYFUNCTION("""COMPUTED_VALUE"""),"E- ابتدائية العميد للبنات (الثالثة)")</f>
        <v>E- ابتدائية العميد للبنات (الثالثة)</v>
      </c>
      <c r="F104" s="10" t="str">
        <f ca="1">IFERROR(__xludf.DUMMYFUNCTION("""COMPUTED_VALUE"""),"ZONE B - الطابق الثاني")</f>
        <v>ZONE B - الطابق الثاني</v>
      </c>
      <c r="G104" s="10" t="str">
        <f ca="1">IFERROR(__xludf.DUMMYFUNCTION("""COMPUTED_VALUE"""),"صيانة أبواب خشبية عدد ٧")</f>
        <v>صيانة أبواب خشبية عدد ٧</v>
      </c>
      <c r="H104" s="10"/>
      <c r="I104" s="12" t="s">
        <v>17</v>
      </c>
      <c r="J104" s="13" t="s">
        <v>14</v>
      </c>
      <c r="K104" s="7">
        <v>45974.50932409722</v>
      </c>
      <c r="L104" s="67"/>
      <c r="M104" s="10"/>
    </row>
    <row r="105" spans="1:13" ht="75" customHeight="1" thickTop="1" thickBot="1">
      <c r="A105" s="7">
        <f ca="1">IFERROR(__xludf.DUMMYFUNCTION("""COMPUTED_VALUE"""),45974.5097287152)</f>
        <v>45974.509728715202</v>
      </c>
      <c r="B105" s="8" t="str">
        <f ca="1">IFERROR(__xludf.DUMMYFUNCTION("""COMPUTED_VALUE"""),"المعملجي")</f>
        <v>المعملجي</v>
      </c>
      <c r="C105" s="9" t="str">
        <f ca="1">IFERROR(__xludf.DUMMYFUNCTION("""COMPUTED_VALUE"""),"عبد الله جابر")</f>
        <v>عبد الله جابر</v>
      </c>
      <c r="D105" s="10" t="str">
        <f ca="1">IFERROR(__xludf.DUMMYFUNCTION("""COMPUTED_VALUE"""),"قسم التربية والتعليم العالي")</f>
        <v>قسم التربية والتعليم العالي</v>
      </c>
      <c r="E105" s="10" t="str">
        <f ca="1">IFERROR(__xludf.DUMMYFUNCTION("""COMPUTED_VALUE"""),"A- المركز الثقافي")</f>
        <v>A- المركز الثقافي</v>
      </c>
      <c r="F105" s="10" t="str">
        <f ca="1">IFERROR(__xludf.DUMMYFUNCTION("""COMPUTED_VALUE"""),"ZONE A - الطابق الاول")</f>
        <v>ZONE A - الطابق الاول</v>
      </c>
      <c r="G105" s="10" t="str">
        <f ca="1">IFERROR(__xludf.DUMMYFUNCTION("""COMPUTED_VALUE"""),"صيانة كرسي ")</f>
        <v xml:space="preserve">صيانة كرسي </v>
      </c>
      <c r="H105" s="10"/>
      <c r="I105" s="12" t="s">
        <v>17</v>
      </c>
      <c r="J105" s="13" t="s">
        <v>14</v>
      </c>
      <c r="K105" s="7">
        <v>45974.510748958332</v>
      </c>
      <c r="L105" s="67"/>
      <c r="M105" s="10"/>
    </row>
    <row r="106" spans="1:13" ht="75" customHeight="1" thickTop="1" thickBot="1">
      <c r="A106" s="7">
        <f ca="1">IFERROR(__xludf.DUMMYFUNCTION("""COMPUTED_VALUE"""),45974.5106506481)</f>
        <v>45974.510650648102</v>
      </c>
      <c r="B106" s="8" t="str">
        <f ca="1">IFERROR(__xludf.DUMMYFUNCTION("""COMPUTED_VALUE"""),"المعملجي")</f>
        <v>المعملجي</v>
      </c>
      <c r="C106" s="9" t="str">
        <f ca="1">IFERROR(__xludf.DUMMYFUNCTION("""COMPUTED_VALUE"""),"عبد الله جابر")</f>
        <v>عبد الله جابر</v>
      </c>
      <c r="D106" s="10" t="str">
        <f ca="1">IFERROR(__xludf.DUMMYFUNCTION("""COMPUTED_VALUE"""),"قسم التربية والتعليم العالي")</f>
        <v>قسم التربية والتعليم العالي</v>
      </c>
      <c r="E106" s="10" t="str">
        <f ca="1">IFERROR(__xludf.DUMMYFUNCTION("""COMPUTED_VALUE"""),"نافورة")</f>
        <v>نافورة</v>
      </c>
      <c r="F106" s="10" t="str">
        <f ca="1">IFERROR(__xludf.DUMMYFUNCTION("""COMPUTED_VALUE"""),"داخل النافورة")</f>
        <v>داخل النافورة</v>
      </c>
      <c r="G106" s="10" t="str">
        <f ca="1">IFERROR(__xludf.DUMMYFUNCTION("""COMPUTED_VALUE"""),"اعمال صيانة داخل النافورة ")</f>
        <v xml:space="preserve">اعمال صيانة داخل النافورة </v>
      </c>
      <c r="H106" s="10"/>
      <c r="I106" s="12" t="s">
        <v>17</v>
      </c>
      <c r="J106" s="13" t="s">
        <v>14</v>
      </c>
      <c r="K106" s="7">
        <v>45974.510809155094</v>
      </c>
      <c r="L106" s="67"/>
      <c r="M106" s="10"/>
    </row>
    <row r="107" spans="1:13" ht="75" customHeight="1" thickTop="1" thickBot="1">
      <c r="A107" s="7">
        <f ca="1">IFERROR(__xludf.DUMMYFUNCTION("""COMPUTED_VALUE"""),45976.3639515972)</f>
        <v>45976.363951597203</v>
      </c>
      <c r="B107" s="8" t="str">
        <f ca="1">IFERROR(__xludf.DUMMYFUNCTION("""COMPUTED_VALUE"""),"المعملجي")</f>
        <v>المعملجي</v>
      </c>
      <c r="C107" s="9" t="str">
        <f ca="1">IFERROR(__xludf.DUMMYFUNCTION("""COMPUTED_VALUE"""),"عبد الله جابر")</f>
        <v>عبد الله جابر</v>
      </c>
      <c r="D107" s="10" t="str">
        <f ca="1">IFERROR(__xludf.DUMMYFUNCTION("""COMPUTED_VALUE"""),"قسم التربية والتعليم العالي")</f>
        <v>قسم التربية والتعليم العالي</v>
      </c>
      <c r="E107" s="10" t="str">
        <f ca="1">IFERROR(__xludf.DUMMYFUNCTION("""COMPUTED_VALUE"""),"D- ثانوية العميد بناية المتوسطة  (الثانية)")</f>
        <v>D- ثانوية العميد بناية المتوسطة  (الثانية)</v>
      </c>
      <c r="F107" s="10" t="str">
        <f ca="1">IFERROR(__xludf.DUMMYFUNCTION("""COMPUTED_VALUE"""),"ZONE A - الطابق الارضي")</f>
        <v>ZONE A - الطابق الارضي</v>
      </c>
      <c r="G107" s="10" t="str">
        <f ca="1">IFERROR(__xludf.DUMMYFUNCTION("""COMPUTED_VALUE"""),"صيانة باب الساحة الدائرية")</f>
        <v>صيانة باب الساحة الدائرية</v>
      </c>
      <c r="H107" s="10"/>
      <c r="I107" s="12" t="s">
        <v>17</v>
      </c>
      <c r="J107" s="13" t="s">
        <v>14</v>
      </c>
      <c r="K107" s="7">
        <v>45976.515715000001</v>
      </c>
      <c r="L107" s="67"/>
      <c r="M107" s="10"/>
    </row>
    <row r="108" spans="1:13" ht="75" customHeight="1" thickTop="1" thickBot="1">
      <c r="A108" s="7">
        <f ca="1">IFERROR(__xludf.DUMMYFUNCTION("""COMPUTED_VALUE"""),45976.4954991782)</f>
        <v>45976.4954991782</v>
      </c>
      <c r="B108" s="8" t="str">
        <f ca="1">IFERROR(__xludf.DUMMYFUNCTION("""COMPUTED_VALUE"""),"المعملجي")</f>
        <v>المعملجي</v>
      </c>
      <c r="C108" s="9" t="str">
        <f ca="1">IFERROR(__xludf.DUMMYFUNCTION("""COMPUTED_VALUE"""),"عبد الله جابر")</f>
        <v>عبد الله جابر</v>
      </c>
      <c r="D108" s="10" t="str">
        <f ca="1">IFERROR(__xludf.DUMMYFUNCTION("""COMPUTED_VALUE"""),"قسم التربية والتعليم العالي")</f>
        <v>قسم التربية والتعليم العالي</v>
      </c>
      <c r="E108" s="10" t="str">
        <f ca="1">IFERROR(__xludf.DUMMYFUNCTION("""COMPUTED_VALUE"""),"A- المركز الثقافي")</f>
        <v>A- المركز الثقافي</v>
      </c>
      <c r="F108" s="10" t="str">
        <f ca="1">IFERROR(__xludf.DUMMYFUNCTION("""COMPUTED_VALUE"""),"ZONE A - الطابق الثاني, المطبخ")</f>
        <v>ZONE A - الطابق الثاني, المطبخ</v>
      </c>
      <c r="G108" s="10" t="str">
        <f ca="1">IFERROR(__xludf.DUMMYFUNCTION("""COMPUTED_VALUE"""),"صيانة باب الكاونتر")</f>
        <v>صيانة باب الكاونتر</v>
      </c>
      <c r="H108" s="10"/>
      <c r="I108" s="12" t="s">
        <v>17</v>
      </c>
      <c r="J108" s="13" t="s">
        <v>14</v>
      </c>
      <c r="K108" s="7">
        <v>45977.547091828703</v>
      </c>
      <c r="L108" s="67"/>
      <c r="M108" s="10"/>
    </row>
    <row r="109" spans="1:13" ht="75" customHeight="1" thickTop="1" thickBot="1">
      <c r="A109" s="7">
        <f ca="1">IFERROR(__xludf.DUMMYFUNCTION("""COMPUTED_VALUE"""),45977.4786539236)</f>
        <v>45977.478653923601</v>
      </c>
      <c r="B109" s="8" t="str">
        <f ca="1">IFERROR(__xludf.DUMMYFUNCTION("""COMPUTED_VALUE"""),"المعملجي")</f>
        <v>المعملجي</v>
      </c>
      <c r="C109" s="9" t="str">
        <f ca="1">IFERROR(__xludf.DUMMYFUNCTION("""COMPUTED_VALUE"""),"عبد الله جابر")</f>
        <v>عبد الله جابر</v>
      </c>
      <c r="D109" s="10" t="str">
        <f ca="1">IFERROR(__xludf.DUMMYFUNCTION("""COMPUTED_VALUE"""),"قسم التربية والتعليم العالي")</f>
        <v>قسم التربية والتعليم العالي</v>
      </c>
      <c r="E109" s="10" t="str">
        <f ca="1">IFERROR(__xludf.DUMMYFUNCTION("""COMPUTED_VALUE"""),"J- ابتدائية الساقي للبنين الجانب الثاني (السابعة)")</f>
        <v>J- ابتدائية الساقي للبنين الجانب الثاني (السابعة)</v>
      </c>
      <c r="F109" s="10" t="str">
        <f ca="1">IFERROR(__xludf.DUMMYFUNCTION("""COMPUTED_VALUE"""),"ZONE A - الطابق الارضي")</f>
        <v>ZONE A - الطابق الارضي</v>
      </c>
      <c r="G109" s="10" t="str">
        <f ca="1">IFERROR(__xludf.DUMMYFUNCTION("""COMPUTED_VALUE"""),"صيانة عربة النقل")</f>
        <v>صيانة عربة النقل</v>
      </c>
      <c r="H109" s="10"/>
      <c r="I109" s="12" t="s">
        <v>17</v>
      </c>
      <c r="J109" s="13" t="s">
        <v>14</v>
      </c>
      <c r="K109" s="7">
        <v>45977.721430636579</v>
      </c>
      <c r="L109" s="67"/>
      <c r="M109" s="10"/>
    </row>
    <row r="110" spans="1:13" ht="75" customHeight="1" thickTop="1" thickBot="1">
      <c r="A110" s="7">
        <f ca="1">IFERROR(__xludf.DUMMYFUNCTION("""COMPUTED_VALUE"""),45978.4234619907)</f>
        <v>45978.4234619907</v>
      </c>
      <c r="B110" s="8" t="str">
        <f ca="1">IFERROR(__xludf.DUMMYFUNCTION("""COMPUTED_VALUE"""),"المعملجي")</f>
        <v>المعملجي</v>
      </c>
      <c r="C110" s="9" t="str">
        <f ca="1">IFERROR(__xludf.DUMMYFUNCTION("""COMPUTED_VALUE"""),"عبد الله جابر")</f>
        <v>عبد الله جابر</v>
      </c>
      <c r="D110" s="10" t="str">
        <f ca="1">IFERROR(__xludf.DUMMYFUNCTION("""COMPUTED_VALUE"""),"قسم التربية والتعليم العالي")</f>
        <v>قسم التربية والتعليم العالي</v>
      </c>
      <c r="E110" s="10" t="str">
        <f ca="1">IFERROR(__xludf.DUMMYFUNCTION("""COMPUTED_VALUE"""),"D- ثانوية العميد بناية المتوسطة  (الثانية)")</f>
        <v>D- ثانوية العميد بناية المتوسطة  (الثانية)</v>
      </c>
      <c r="F110" s="10" t="str">
        <f ca="1">IFERROR(__xludf.DUMMYFUNCTION("""COMPUTED_VALUE"""),"ZONE A - الطابق الارضي")</f>
        <v>ZONE A - الطابق الارضي</v>
      </c>
      <c r="G110" s="10" t="str">
        <f ca="1">IFERROR(__xludf.DUMMYFUNCTION("""COMPUTED_VALUE"""),"ستائر غرف المعاونات ")</f>
        <v xml:space="preserve">ستائر غرف المعاونات </v>
      </c>
      <c r="H110" s="10"/>
      <c r="I110" s="12" t="s">
        <v>17</v>
      </c>
      <c r="J110" s="13" t="s">
        <v>14</v>
      </c>
      <c r="K110" s="7">
        <v>45979.309409849535</v>
      </c>
      <c r="L110" s="67"/>
      <c r="M110" s="10"/>
    </row>
    <row r="111" spans="1:13" ht="75" customHeight="1" thickTop="1" thickBot="1">
      <c r="A111" s="7">
        <f ca="1">IFERROR(__xludf.DUMMYFUNCTION("""COMPUTED_VALUE"""),45978.4318130555)</f>
        <v>45978.431813055497</v>
      </c>
      <c r="B111" s="8" t="str">
        <f ca="1">IFERROR(__xludf.DUMMYFUNCTION("""COMPUTED_VALUE"""),"المعملجي")</f>
        <v>المعملجي</v>
      </c>
      <c r="C111" s="9" t="str">
        <f ca="1">IFERROR(__xludf.DUMMYFUNCTION("""COMPUTED_VALUE"""),"عبد الله جابر")</f>
        <v>عبد الله جابر</v>
      </c>
      <c r="D111" s="10" t="str">
        <f ca="1">IFERROR(__xludf.DUMMYFUNCTION("""COMPUTED_VALUE"""),"قسم التربية والتعليم العالي")</f>
        <v>قسم التربية والتعليم العالي</v>
      </c>
      <c r="E111" s="10" t="str">
        <f ca="1">IFERROR(__xludf.DUMMYFUNCTION("""COMPUTED_VALUE"""),"D- ثانوية العميد بناية المتوسطة  (الثانية)")</f>
        <v>D- ثانوية العميد بناية المتوسطة  (الثانية)</v>
      </c>
      <c r="F111" s="10" t="str">
        <f ca="1">IFERROR(__xludf.DUMMYFUNCTION("""COMPUTED_VALUE"""),"ZONE A - الطابق الارضي, غرفة المعاونات")</f>
        <v>ZONE A - الطابق الارضي, غرفة المعاونات</v>
      </c>
      <c r="G111" s="10" t="str">
        <f ca="1">IFERROR(__xludf.DUMMYFUNCTION("""COMPUTED_VALUE"""),"صيانة ستائر غرفة المعاونات")</f>
        <v>صيانة ستائر غرفة المعاونات</v>
      </c>
      <c r="H111" s="10"/>
      <c r="I111" s="12" t="s">
        <v>17</v>
      </c>
      <c r="J111" s="13" t="s">
        <v>14</v>
      </c>
      <c r="K111" s="7">
        <v>45979.309434479168</v>
      </c>
      <c r="L111" s="67"/>
      <c r="M111" s="10"/>
    </row>
    <row r="112" spans="1:13" ht="75" customHeight="1" thickTop="1" thickBot="1">
      <c r="A112" s="7">
        <f ca="1">IFERROR(__xludf.DUMMYFUNCTION("""COMPUTED_VALUE"""),45978.4647666203)</f>
        <v>45978.464766620302</v>
      </c>
      <c r="B112" s="8" t="str">
        <f ca="1">IFERROR(__xludf.DUMMYFUNCTION("""COMPUTED_VALUE"""),"المعملجي")</f>
        <v>المعملجي</v>
      </c>
      <c r="C112" s="9" t="str">
        <f ca="1">IFERROR(__xludf.DUMMYFUNCTION("""COMPUTED_VALUE"""),"عبد الله جابر")</f>
        <v>عبد الله جابر</v>
      </c>
      <c r="D112" s="10" t="str">
        <f ca="1">IFERROR(__xludf.DUMMYFUNCTION("""COMPUTED_VALUE"""),"قسم التربية والتعليم العالي")</f>
        <v>قسم التربية والتعليم العالي</v>
      </c>
      <c r="E112" s="10" t="str">
        <f ca="1">IFERROR(__xludf.DUMMYFUNCTION("""COMPUTED_VALUE"""),"A- المركز الثقافي")</f>
        <v>A- المركز الثقافي</v>
      </c>
      <c r="F112" s="10" t="str">
        <f ca="1">IFERROR(__xludf.DUMMYFUNCTION("""COMPUTED_VALUE"""),"ZONE A - الطابق الاول, ")</f>
        <v xml:space="preserve">ZONE A - الطابق الاول, </v>
      </c>
      <c r="G112" s="10" t="str">
        <f ca="1">IFERROR(__xludf.DUMMYFUNCTION("""COMPUTED_VALUE"""),"شد بردة في المكتب النسوي")</f>
        <v>شد بردة في المكتب النسوي</v>
      </c>
      <c r="H112" s="10"/>
      <c r="I112" s="12" t="s">
        <v>17</v>
      </c>
      <c r="J112" s="13" t="s">
        <v>14</v>
      </c>
      <c r="K112" s="7">
        <v>45979.309504537036</v>
      </c>
      <c r="L112" s="67"/>
      <c r="M112" s="10"/>
    </row>
    <row r="113" spans="1:13" ht="75" customHeight="1" thickTop="1" thickBot="1">
      <c r="A113" s="7">
        <f ca="1">IFERROR(__xludf.DUMMYFUNCTION("""COMPUTED_VALUE"""),45978.4653340856)</f>
        <v>45978.465334085602</v>
      </c>
      <c r="B113" s="8" t="str">
        <f ca="1">IFERROR(__xludf.DUMMYFUNCTION("""COMPUTED_VALUE"""),"المعملجي")</f>
        <v>المعملجي</v>
      </c>
      <c r="C113" s="9" t="str">
        <f ca="1">IFERROR(__xludf.DUMMYFUNCTION("""COMPUTED_VALUE"""),"عبد الله جابر")</f>
        <v>عبد الله جابر</v>
      </c>
      <c r="D113" s="10" t="str">
        <f ca="1">IFERROR(__xludf.DUMMYFUNCTION("""COMPUTED_VALUE"""),"قسم التربية والتعليم العالي")</f>
        <v>قسم التربية والتعليم العالي</v>
      </c>
      <c r="E113" s="10" t="str">
        <f ca="1">IFERROR(__xludf.DUMMYFUNCTION("""COMPUTED_VALUE"""),"E- ابتدائية العميد للبنات (الثالثة)")</f>
        <v>E- ابتدائية العميد للبنات (الثالثة)</v>
      </c>
      <c r="F113" s="10" t="str">
        <f ca="1">IFERROR(__xludf.DUMMYFUNCTION("""COMPUTED_VALUE"""),"ZONE A - الطابق الارضي")</f>
        <v>ZONE A - الطابق الارضي</v>
      </c>
      <c r="G113" s="10" t="str">
        <f ca="1">IFERROR(__xludf.DUMMYFUNCTION("""COMPUTED_VALUE"""),"شد لوحة + صبورة")</f>
        <v>شد لوحة + صبورة</v>
      </c>
      <c r="H113" s="10"/>
      <c r="I113" s="12" t="s">
        <v>17</v>
      </c>
      <c r="J113" s="13" t="s">
        <v>14</v>
      </c>
      <c r="K113" s="7">
        <v>45978.545697696754</v>
      </c>
      <c r="L113" s="67"/>
      <c r="M113" s="10"/>
    </row>
    <row r="114" spans="1:13" ht="75" customHeight="1" thickTop="1" thickBot="1">
      <c r="A114" s="7">
        <f ca="1">IFERROR(__xludf.DUMMYFUNCTION("""COMPUTED_VALUE"""),45979.3111795023)</f>
        <v>45979.3111795023</v>
      </c>
      <c r="B114" s="8" t="str">
        <f ca="1">IFERROR(__xludf.DUMMYFUNCTION("""COMPUTED_VALUE"""),"المعملجي")</f>
        <v>المعملجي</v>
      </c>
      <c r="C114" s="9" t="str">
        <f ca="1">IFERROR(__xludf.DUMMYFUNCTION("""COMPUTED_VALUE"""),"عبد الله جابر")</f>
        <v>عبد الله جابر</v>
      </c>
      <c r="D114" s="10" t="str">
        <f ca="1">IFERROR(__xludf.DUMMYFUNCTION("""COMPUTED_VALUE"""),"قسم المشاريع الهندسية")</f>
        <v>قسم المشاريع الهندسية</v>
      </c>
      <c r="E114" s="10" t="str">
        <f ca="1">IFERROR(__xludf.DUMMYFUNCTION("""COMPUTED_VALUE"""),"A- المركز الثقافي")</f>
        <v>A- المركز الثقافي</v>
      </c>
      <c r="F114" s="10" t="str">
        <f ca="1">IFERROR(__xludf.DUMMYFUNCTION("""COMPUTED_VALUE"""),"الطابق الرابع")</f>
        <v>الطابق الرابع</v>
      </c>
      <c r="G114" s="10" t="str">
        <f ca="1">IFERROR(__xludf.DUMMYFUNCTION("""COMPUTED_VALUE"""),"تفصيل وتركيب قاطع ")</f>
        <v xml:space="preserve">تفصيل وتركيب قاطع </v>
      </c>
      <c r="H114" s="10"/>
      <c r="I114" s="12" t="s">
        <v>17</v>
      </c>
      <c r="J114" s="13" t="s">
        <v>14</v>
      </c>
      <c r="K114" s="7">
        <v>45980.309574317129</v>
      </c>
      <c r="L114" s="67"/>
      <c r="M114" s="10"/>
    </row>
    <row r="115" spans="1:13" ht="75" customHeight="1" thickTop="1" thickBot="1">
      <c r="A115" s="7">
        <f ca="1">IFERROR(__xludf.DUMMYFUNCTION("""COMPUTED_VALUE"""),45979.3758456018)</f>
        <v>45979.375845601797</v>
      </c>
      <c r="B115" s="8" t="str">
        <f ca="1">IFERROR(__xludf.DUMMYFUNCTION("""COMPUTED_VALUE"""),"المعملجي")</f>
        <v>المعملجي</v>
      </c>
      <c r="C115" s="9" t="str">
        <f ca="1">IFERROR(__xludf.DUMMYFUNCTION("""COMPUTED_VALUE"""),"عبد الله جابر")</f>
        <v>عبد الله جابر</v>
      </c>
      <c r="D115" s="10" t="str">
        <f ca="1">IFERROR(__xludf.DUMMYFUNCTION("""COMPUTED_VALUE"""),"قسم التربية والتعليم العالي")</f>
        <v>قسم التربية والتعليم العالي</v>
      </c>
      <c r="E115" s="10" t="str">
        <f ca="1">IFERROR(__xludf.DUMMYFUNCTION("""COMPUTED_VALUE"""),"B- روضة القمر")</f>
        <v>B- روضة القمر</v>
      </c>
      <c r="F115" s="10" t="str">
        <f ca="1">IFERROR(__xludf.DUMMYFUNCTION("""COMPUTED_VALUE"""),"ZONE A - الطابق الارضي")</f>
        <v>ZONE A - الطابق الارضي</v>
      </c>
      <c r="G115" s="10" t="str">
        <f ca="1">IFERROR(__xludf.DUMMYFUNCTION("""COMPUTED_VALUE"""),"شد سرقي عدد 2 خاص بالوكر")</f>
        <v>شد سرقي عدد 2 خاص بالوكر</v>
      </c>
      <c r="H115" s="10"/>
      <c r="I115" s="12" t="s">
        <v>17</v>
      </c>
      <c r="J115" s="13" t="s">
        <v>14</v>
      </c>
      <c r="K115" s="7">
        <v>45980.30814079861</v>
      </c>
      <c r="L115" s="67"/>
      <c r="M115" s="10"/>
    </row>
    <row r="116" spans="1:13" ht="75" customHeight="1" thickTop="1" thickBot="1">
      <c r="A116" s="7">
        <f ca="1">IFERROR(__xludf.DUMMYFUNCTION("""COMPUTED_VALUE"""),45979.4066728356)</f>
        <v>45979.406672835597</v>
      </c>
      <c r="B116" s="8" t="str">
        <f ca="1">IFERROR(__xludf.DUMMYFUNCTION("""COMPUTED_VALUE"""),"المعملجي")</f>
        <v>المعملجي</v>
      </c>
      <c r="C116" s="9" t="str">
        <f ca="1">IFERROR(__xludf.DUMMYFUNCTION("""COMPUTED_VALUE"""),"عبد الله جابر")</f>
        <v>عبد الله جابر</v>
      </c>
      <c r="D116" s="10" t="str">
        <f ca="1">IFERROR(__xludf.DUMMYFUNCTION("""COMPUTED_VALUE"""),"قسم التربية والتعليم العالي")</f>
        <v>قسم التربية والتعليم العالي</v>
      </c>
      <c r="E116" s="10" t="str">
        <f ca="1">IFERROR(__xludf.DUMMYFUNCTION("""COMPUTED_VALUE"""),"H- ابتدائية القمر للبنات (الخامسة)")</f>
        <v>H- ابتدائية القمر للبنات (الخامسة)</v>
      </c>
      <c r="F116" s="10" t="str">
        <f ca="1">IFERROR(__xludf.DUMMYFUNCTION("""COMPUTED_VALUE"""),"ZONE A - الطابق الارضي")</f>
        <v>ZONE A - الطابق الارضي</v>
      </c>
      <c r="G116" s="10" t="str">
        <f ca="1">IFERROR(__xludf.DUMMYFUNCTION("""COMPUTED_VALUE"""),"صيانة مكتب عدد3 غرفة المعلمات + صيانة رجل قنفة  + صيانة كرسي معلم عدد 2")</f>
        <v>صيانة مكتب عدد3 غرفة المعلمات + صيانة رجل قنفة  + صيانة كرسي معلم عدد 2</v>
      </c>
      <c r="H116" s="10"/>
      <c r="I116" s="12" t="s">
        <v>17</v>
      </c>
      <c r="J116" s="13" t="s">
        <v>14</v>
      </c>
      <c r="K116" s="7">
        <v>45979.547349062501</v>
      </c>
      <c r="L116" s="67"/>
      <c r="M116" s="10"/>
    </row>
    <row r="117" spans="1:13" ht="75" customHeight="1" thickTop="1" thickBot="1">
      <c r="A117" s="7">
        <f ca="1">IFERROR(__xludf.DUMMYFUNCTION("""COMPUTED_VALUE"""),45979.4094487384)</f>
        <v>45979.409448738399</v>
      </c>
      <c r="B117" s="8" t="str">
        <f ca="1">IFERROR(__xludf.DUMMYFUNCTION("""COMPUTED_VALUE"""),"المعملجي")</f>
        <v>المعملجي</v>
      </c>
      <c r="C117" s="9" t="str">
        <f ca="1">IFERROR(__xludf.DUMMYFUNCTION("""COMPUTED_VALUE"""),"عبد الله جابر")</f>
        <v>عبد الله جابر</v>
      </c>
      <c r="D117" s="10" t="str">
        <f ca="1">IFERROR(__xludf.DUMMYFUNCTION("""COMPUTED_VALUE"""),"قسم التربية والتعليم العالي")</f>
        <v>قسم التربية والتعليم العالي</v>
      </c>
      <c r="E117" s="10" t="str">
        <f ca="1">IFERROR(__xludf.DUMMYFUNCTION("""COMPUTED_VALUE"""),"H- ابتدائية القمر للبنات (الخامسة)")</f>
        <v>H- ابتدائية القمر للبنات (الخامسة)</v>
      </c>
      <c r="F117" s="10" t="str">
        <f ca="1">IFERROR(__xludf.DUMMYFUNCTION("""COMPUTED_VALUE"""),"ZONE B - الطابق الاول")</f>
        <v>ZONE B - الطابق الاول</v>
      </c>
      <c r="G117" s="10" t="str">
        <f ca="1">IFERROR(__xludf.DUMMYFUNCTION("""COMPUTED_VALUE"""),"صيانة تعلاكة عدد 2 في الصحيات الخارجية")</f>
        <v>صيانة تعلاكة عدد 2 في الصحيات الخارجية</v>
      </c>
      <c r="H117" s="10"/>
      <c r="I117" s="12" t="s">
        <v>17</v>
      </c>
      <c r="J117" s="13" t="s">
        <v>14</v>
      </c>
      <c r="K117" s="7">
        <v>45979.495814270835</v>
      </c>
      <c r="L117" s="67"/>
      <c r="M117" s="10"/>
    </row>
    <row r="118" spans="1:13" ht="75" customHeight="1" thickTop="1" thickBot="1">
      <c r="A118" s="7">
        <f ca="1">IFERROR(__xludf.DUMMYFUNCTION("""COMPUTED_VALUE"""),45979.4120415625)</f>
        <v>45979.4120415625</v>
      </c>
      <c r="B118" s="8" t="str">
        <f ca="1">IFERROR(__xludf.DUMMYFUNCTION("""COMPUTED_VALUE"""),"المعملجي")</f>
        <v>المعملجي</v>
      </c>
      <c r="C118" s="9" t="str">
        <f ca="1">IFERROR(__xludf.DUMMYFUNCTION("""COMPUTED_VALUE"""),"عبد الله جابر")</f>
        <v>عبد الله جابر</v>
      </c>
      <c r="D118" s="10" t="str">
        <f ca="1">IFERROR(__xludf.DUMMYFUNCTION("""COMPUTED_VALUE"""),"قسم التربية والتعليم العالي")</f>
        <v>قسم التربية والتعليم العالي</v>
      </c>
      <c r="E118" s="10" t="str">
        <f ca="1">IFERROR(__xludf.DUMMYFUNCTION("""COMPUTED_VALUE"""),"E- ابتدائية العميد للبنات (الثالثة)")</f>
        <v>E- ابتدائية العميد للبنات (الثالثة)</v>
      </c>
      <c r="F118" s="10" t="str">
        <f ca="1">IFERROR(__xludf.DUMMYFUNCTION("""COMPUTED_VALUE"""),"ZONE A - الطابق الارضي, شباك صف الاول ج ")</f>
        <v xml:space="preserve">ZONE A - الطابق الارضي, شباك صف الاول ج </v>
      </c>
      <c r="G118" s="10" t="str">
        <f ca="1">IFERROR(__xludf.DUMMYFUNCTION("""COMPUTED_VALUE"""),"صيانة يدة شباك")</f>
        <v>صيانة يدة شباك</v>
      </c>
      <c r="H118" s="10"/>
      <c r="I118" s="12" t="s">
        <v>17</v>
      </c>
      <c r="J118" s="13" t="s">
        <v>14</v>
      </c>
      <c r="K118" s="7">
        <v>45979.547634027782</v>
      </c>
      <c r="L118" s="67"/>
      <c r="M118" s="10"/>
    </row>
    <row r="119" spans="1:13" ht="75" customHeight="1" thickTop="1" thickBot="1">
      <c r="A119" s="7">
        <f ca="1">IFERROR(__xludf.DUMMYFUNCTION("""COMPUTED_VALUE"""),45979.4253773148)</f>
        <v>45979.425377314801</v>
      </c>
      <c r="B119" s="8" t="str">
        <f ca="1">IFERROR(__xludf.DUMMYFUNCTION("""COMPUTED_VALUE"""),"المعملجي")</f>
        <v>المعملجي</v>
      </c>
      <c r="C119" s="9" t="str">
        <f ca="1">IFERROR(__xludf.DUMMYFUNCTION("""COMPUTED_VALUE"""),"عبد الله جابر")</f>
        <v>عبد الله جابر</v>
      </c>
      <c r="D119" s="10" t="str">
        <f ca="1">IFERROR(__xludf.DUMMYFUNCTION("""COMPUTED_VALUE"""),"قسم التربية والتعليم العالي")</f>
        <v>قسم التربية والتعليم العالي</v>
      </c>
      <c r="E119" s="10" t="str">
        <f ca="1">IFERROR(__xludf.DUMMYFUNCTION("""COMPUTED_VALUE"""),"B- روضة القمر")</f>
        <v>B- روضة القمر</v>
      </c>
      <c r="F119" s="10" t="str">
        <f ca="1">IFERROR(__xludf.DUMMYFUNCTION("""COMPUTED_VALUE"""),"ZONE B - الطابق الارضي")</f>
        <v>ZONE B - الطابق الارضي</v>
      </c>
      <c r="G119" s="10" t="str">
        <f ca="1">IFERROR(__xludf.DUMMYFUNCTION("""COMPUTED_VALUE"""),"صيانة مفتاح لوكر")</f>
        <v>صيانة مفتاح لوكر</v>
      </c>
      <c r="H119" s="10"/>
      <c r="I119" s="12" t="s">
        <v>17</v>
      </c>
      <c r="J119" s="13" t="s">
        <v>14</v>
      </c>
      <c r="K119" s="7">
        <v>45980.307844421295</v>
      </c>
      <c r="L119" s="67"/>
      <c r="M119" s="10"/>
    </row>
    <row r="120" spans="1:13" ht="75" customHeight="1" thickTop="1" thickBot="1">
      <c r="A120" s="7">
        <f ca="1">IFERROR(__xludf.DUMMYFUNCTION("""COMPUTED_VALUE"""),45980.3916468287)</f>
        <v>45980.391646828699</v>
      </c>
      <c r="B120" s="8" t="str">
        <f ca="1">IFERROR(__xludf.DUMMYFUNCTION("""COMPUTED_VALUE"""),"المعملجي")</f>
        <v>المعملجي</v>
      </c>
      <c r="C120" s="9" t="str">
        <f ca="1">IFERROR(__xludf.DUMMYFUNCTION("""COMPUTED_VALUE"""),"عبد الله جابر")</f>
        <v>عبد الله جابر</v>
      </c>
      <c r="D120" s="10" t="str">
        <f ca="1">IFERROR(__xludf.DUMMYFUNCTION("""COMPUTED_VALUE"""),"قسم التربية والتعليم العالي")</f>
        <v>قسم التربية والتعليم العالي</v>
      </c>
      <c r="E120" s="10" t="str">
        <f ca="1">IFERROR(__xludf.DUMMYFUNCTION("""COMPUTED_VALUE"""),"H- ابتدائية القمر للبنات (الخامسة)")</f>
        <v>H- ابتدائية القمر للبنات (الخامسة)</v>
      </c>
      <c r="F120" s="10" t="str">
        <f ca="1">IFERROR(__xludf.DUMMYFUNCTION("""COMPUTED_VALUE"""),"ZONE A - الطابق الارضي")</f>
        <v>ZONE A - الطابق الارضي</v>
      </c>
      <c r="G120" s="10" t="str">
        <f ca="1">IFERROR(__xludf.DUMMYFUNCTION("""COMPUTED_VALUE"""),"صيانة بردات")</f>
        <v>صيانة بردات</v>
      </c>
      <c r="H120" s="10"/>
      <c r="I120" s="12" t="s">
        <v>17</v>
      </c>
      <c r="J120" s="13" t="s">
        <v>14</v>
      </c>
      <c r="K120" s="7">
        <v>45980.487257962959</v>
      </c>
      <c r="L120" s="67"/>
      <c r="M120" s="10"/>
    </row>
    <row r="121" spans="1:13" ht="75" customHeight="1" thickTop="1" thickBot="1">
      <c r="A121" s="7">
        <f ca="1">IFERROR(__xludf.DUMMYFUNCTION("""COMPUTED_VALUE"""),45980.4008909027)</f>
        <v>45980.400890902703</v>
      </c>
      <c r="B121" s="8" t="str">
        <f ca="1">IFERROR(__xludf.DUMMYFUNCTION("""COMPUTED_VALUE"""),"المعملجي")</f>
        <v>المعملجي</v>
      </c>
      <c r="C121" s="9" t="str">
        <f ca="1">IFERROR(__xludf.DUMMYFUNCTION("""COMPUTED_VALUE"""),"عبد الله جابر")</f>
        <v>عبد الله جابر</v>
      </c>
      <c r="D121" s="10" t="str">
        <f ca="1">IFERROR(__xludf.DUMMYFUNCTION("""COMPUTED_VALUE"""),"قسم التربية والتعليم العالي")</f>
        <v>قسم التربية والتعليم العالي</v>
      </c>
      <c r="E121" s="10" t="str">
        <f ca="1">IFERROR(__xludf.DUMMYFUNCTION("""COMPUTED_VALUE"""),"I- ابتدائية الساقي للبنين (السادسة)")</f>
        <v>I- ابتدائية الساقي للبنين (السادسة)</v>
      </c>
      <c r="F121" s="10" t="str">
        <f ca="1">IFERROR(__xludf.DUMMYFUNCTION("""COMPUTED_VALUE"""),"ZONE A - الطابق الارضي")</f>
        <v>ZONE A - الطابق الارضي</v>
      </c>
      <c r="G121" s="10" t="str">
        <f ca="1">IFERROR(__xludf.DUMMYFUNCTION("""COMPUTED_VALUE"""),"صيانة اقفال الابواب")</f>
        <v>صيانة اقفال الابواب</v>
      </c>
      <c r="H121" s="10"/>
      <c r="I121" s="12" t="s">
        <v>17</v>
      </c>
      <c r="J121" s="13" t="s">
        <v>14</v>
      </c>
      <c r="K121" s="7">
        <v>45980.487906712966</v>
      </c>
      <c r="L121" s="67"/>
      <c r="M121" s="10"/>
    </row>
    <row r="122" spans="1:13" ht="75" customHeight="1" thickTop="1" thickBot="1">
      <c r="A122" s="7">
        <f ca="1">IFERROR(__xludf.DUMMYFUNCTION("""COMPUTED_VALUE"""),45980.4018356365)</f>
        <v>45980.401835636498</v>
      </c>
      <c r="B122" s="8" t="str">
        <f ca="1">IFERROR(__xludf.DUMMYFUNCTION("""COMPUTED_VALUE"""),"المعملجي")</f>
        <v>المعملجي</v>
      </c>
      <c r="C122" s="9" t="str">
        <f ca="1">IFERROR(__xludf.DUMMYFUNCTION("""COMPUTED_VALUE"""),"عبد الله جابر")</f>
        <v>عبد الله جابر</v>
      </c>
      <c r="D122" s="10" t="str">
        <f ca="1">IFERROR(__xludf.DUMMYFUNCTION("""COMPUTED_VALUE"""),"قسم التربية والتعليم العالي")</f>
        <v>قسم التربية والتعليم العالي</v>
      </c>
      <c r="E122" s="10" t="str">
        <f ca="1">IFERROR(__xludf.DUMMYFUNCTION("""COMPUTED_VALUE"""),"D- ثانوية العميد بناية المتوسطة  (الثانية)")</f>
        <v>D- ثانوية العميد بناية المتوسطة  (الثانية)</v>
      </c>
      <c r="F122" s="10" t="str">
        <f ca="1">IFERROR(__xludf.DUMMYFUNCTION("""COMPUTED_VALUE"""),"ZONE B - الطابق الارضي")</f>
        <v>ZONE B - الطابق الارضي</v>
      </c>
      <c r="G122" s="10" t="str">
        <f ca="1">IFERROR(__xludf.DUMMYFUNCTION("""COMPUTED_VALUE"""),"صيانة ستائر في صفوف زون بي")</f>
        <v>صيانة ستائر في صفوف زون بي</v>
      </c>
      <c r="H122" s="10"/>
      <c r="I122" s="12" t="s">
        <v>17</v>
      </c>
      <c r="J122" s="13" t="s">
        <v>14</v>
      </c>
      <c r="K122" s="7">
        <v>45980.487932731485</v>
      </c>
      <c r="L122" s="67"/>
      <c r="M122" s="10"/>
    </row>
    <row r="123" spans="1:13" ht="75" customHeight="1" thickTop="1" thickBot="1">
      <c r="A123" s="7">
        <f ca="1">IFERROR(__xludf.DUMMYFUNCTION("""COMPUTED_VALUE"""),45980.5146669907)</f>
        <v>45980.514666990697</v>
      </c>
      <c r="B123" s="8" t="str">
        <f ca="1">IFERROR(__xludf.DUMMYFUNCTION("""COMPUTED_VALUE"""),"المعملجي")</f>
        <v>المعملجي</v>
      </c>
      <c r="C123" s="9" t="str">
        <f ca="1">IFERROR(__xludf.DUMMYFUNCTION("""COMPUTED_VALUE"""),"عبد الله جابر")</f>
        <v>عبد الله جابر</v>
      </c>
      <c r="D123" s="10" t="str">
        <f ca="1">IFERROR(__xludf.DUMMYFUNCTION("""COMPUTED_VALUE"""),"قسم التربية والتعليم العالي")</f>
        <v>قسم التربية والتعليم العالي</v>
      </c>
      <c r="E123" s="10" t="str">
        <f ca="1">IFERROR(__xludf.DUMMYFUNCTION("""COMPUTED_VALUE"""),"B- روضة القمر")</f>
        <v>B- روضة القمر</v>
      </c>
      <c r="F123" s="10" t="str">
        <f ca="1">IFERROR(__xludf.DUMMYFUNCTION("""COMPUTED_VALUE"""),"ZONE A - الطابق الارضي")</f>
        <v>ZONE A - الطابق الارضي</v>
      </c>
      <c r="G123" s="10" t="str">
        <f ca="1">IFERROR(__xludf.DUMMYFUNCTION("""COMPUTED_VALUE"""),"صيانة الشبكة الخاصة بالالعاب")</f>
        <v>صيانة الشبكة الخاصة بالالعاب</v>
      </c>
      <c r="H123" s="10"/>
      <c r="I123" s="12" t="s">
        <v>17</v>
      </c>
      <c r="J123" s="13" t="s">
        <v>14</v>
      </c>
      <c r="K123" s="7">
        <v>45980.565188159722</v>
      </c>
      <c r="L123" s="67"/>
      <c r="M123" s="10"/>
    </row>
    <row r="124" spans="1:13" ht="75" customHeight="1" thickTop="1" thickBot="1">
      <c r="A124" s="7">
        <f ca="1">IFERROR(__xludf.DUMMYFUNCTION("""COMPUTED_VALUE"""),45980.6838786226)</f>
        <v>45980.6838786226</v>
      </c>
      <c r="B124" s="8" t="str">
        <f ca="1">IFERROR(__xludf.DUMMYFUNCTION("""COMPUTED_VALUE"""),"المعملجي")</f>
        <v>المعملجي</v>
      </c>
      <c r="C124" s="9" t="str">
        <f ca="1">IFERROR(__xludf.DUMMYFUNCTION("""COMPUTED_VALUE"""),"عبد الله جابر")</f>
        <v>عبد الله جابر</v>
      </c>
      <c r="D124" s="10" t="str">
        <f ca="1">IFERROR(__xludf.DUMMYFUNCTION("""COMPUTED_VALUE"""),"قسم التربية والتعليم العالي")</f>
        <v>قسم التربية والتعليم العالي</v>
      </c>
      <c r="E124" s="10" t="str">
        <f ca="1">IFERROR(__xludf.DUMMYFUNCTION("""COMPUTED_VALUE"""),"E- ابتدائية العميد للبنات (الثالثة)")</f>
        <v>E- ابتدائية العميد للبنات (الثالثة)</v>
      </c>
      <c r="F124" s="10" t="str">
        <f ca="1">IFERROR(__xludf.DUMMYFUNCTION("""COMPUTED_VALUE"""),"ZONE A - الطابق الارضي")</f>
        <v>ZONE A - الطابق الارضي</v>
      </c>
      <c r="G124" s="10" t="str">
        <f ca="1">IFERROR(__xludf.DUMMYFUNCTION("""COMPUTED_VALUE"""),"تركيب لوحات اعلانية للصفوف")</f>
        <v>تركيب لوحات اعلانية للصفوف</v>
      </c>
      <c r="H124" s="10"/>
      <c r="I124" s="12" t="s">
        <v>17</v>
      </c>
      <c r="J124" s="13" t="s">
        <v>14</v>
      </c>
      <c r="K124" s="7">
        <v>45984.365937974537</v>
      </c>
      <c r="L124" s="67"/>
      <c r="M124" s="10"/>
    </row>
    <row r="125" spans="1:13" ht="75" customHeight="1" thickTop="1" thickBot="1">
      <c r="A125" s="7">
        <f ca="1">IFERROR(__xludf.DUMMYFUNCTION("""COMPUTED_VALUE"""),45981.3177332523)</f>
        <v>45981.317733252297</v>
      </c>
      <c r="B125" s="8" t="str">
        <f ca="1">IFERROR(__xludf.DUMMYFUNCTION("""COMPUTED_VALUE"""),"المعملجي")</f>
        <v>المعملجي</v>
      </c>
      <c r="C125" s="9" t="str">
        <f ca="1">IFERROR(__xludf.DUMMYFUNCTION("""COMPUTED_VALUE"""),"عبد الله جابر")</f>
        <v>عبد الله جابر</v>
      </c>
      <c r="D125" s="10" t="str">
        <f ca="1">IFERROR(__xludf.DUMMYFUNCTION("""COMPUTED_VALUE"""),"قسم التربية والتعليم العالي")</f>
        <v>قسم التربية والتعليم العالي</v>
      </c>
      <c r="E125" s="10" t="str">
        <f ca="1">IFERROR(__xludf.DUMMYFUNCTION("""COMPUTED_VALUE"""),"A- المركز الثقافي")</f>
        <v>A- المركز الثقافي</v>
      </c>
      <c r="F125" s="10" t="str">
        <f ca="1">IFERROR(__xludf.DUMMYFUNCTION("""COMPUTED_VALUE"""),"الطابق الرابع")</f>
        <v>الطابق الرابع</v>
      </c>
      <c r="G125" s="10" t="str">
        <f ca="1">IFERROR(__xludf.DUMMYFUNCTION("""COMPUTED_VALUE"""),"غلق السقوف الثانوية")</f>
        <v>غلق السقوف الثانوية</v>
      </c>
      <c r="H125" s="10"/>
      <c r="I125" s="12" t="s">
        <v>17</v>
      </c>
      <c r="J125" s="13" t="s">
        <v>14</v>
      </c>
      <c r="K125" s="7">
        <v>45981.383764606479</v>
      </c>
      <c r="L125" s="67"/>
      <c r="M125" s="10"/>
    </row>
    <row r="126" spans="1:13" ht="75" customHeight="1" thickTop="1" thickBot="1">
      <c r="A126" s="7">
        <f ca="1">IFERROR(__xludf.DUMMYFUNCTION("""COMPUTED_VALUE"""),45983.369517581)</f>
        <v>45983.369517580999</v>
      </c>
      <c r="B126" s="8" t="str">
        <f ca="1">IFERROR(__xludf.DUMMYFUNCTION("""COMPUTED_VALUE"""),"المعملجي")</f>
        <v>المعملجي</v>
      </c>
      <c r="C126" s="9" t="str">
        <f ca="1">IFERROR(__xludf.DUMMYFUNCTION("""COMPUTED_VALUE"""),"عبد الله جابر")</f>
        <v>عبد الله جابر</v>
      </c>
      <c r="D126" s="10" t="str">
        <f ca="1">IFERROR(__xludf.DUMMYFUNCTION("""COMPUTED_VALUE"""),"قسم التربية والتعليم العالي")</f>
        <v>قسم التربية والتعليم العالي</v>
      </c>
      <c r="E126" s="10" t="str">
        <f ca="1">IFERROR(__xludf.DUMMYFUNCTION("""COMPUTED_VALUE"""),"J- ابتدائية الساقي للبنين الجانب الثاني (السابعة)")</f>
        <v>J- ابتدائية الساقي للبنين الجانب الثاني (السابعة)</v>
      </c>
      <c r="F126" s="10" t="str">
        <f ca="1">IFERROR(__xludf.DUMMYFUNCTION("""COMPUTED_VALUE"""),"ZONE A - الطابق الارضي")</f>
        <v>ZONE A - الطابق الارضي</v>
      </c>
      <c r="G126" s="10" t="str">
        <f ca="1">IFERROR(__xludf.DUMMYFUNCTION("""COMPUTED_VALUE"""),"صيانة باب صحيات")</f>
        <v>صيانة باب صحيات</v>
      </c>
      <c r="H126" s="10"/>
      <c r="I126" s="12" t="s">
        <v>17</v>
      </c>
      <c r="J126" s="13" t="s">
        <v>14</v>
      </c>
      <c r="K126" s="7">
        <v>45983.497017905094</v>
      </c>
      <c r="L126" s="67"/>
      <c r="M126" s="10"/>
    </row>
    <row r="127" spans="1:13" ht="75" customHeight="1" thickTop="1" thickBot="1">
      <c r="A127" s="7">
        <f ca="1">IFERROR(__xludf.DUMMYFUNCTION("""COMPUTED_VALUE"""),45983.3763992361)</f>
        <v>45983.376399236098</v>
      </c>
      <c r="B127" s="8" t="str">
        <f ca="1">IFERROR(__xludf.DUMMYFUNCTION("""COMPUTED_VALUE"""),"المعملجي")</f>
        <v>المعملجي</v>
      </c>
      <c r="C127" s="9" t="str">
        <f ca="1">IFERROR(__xludf.DUMMYFUNCTION("""COMPUTED_VALUE"""),"عبد الله جابر")</f>
        <v>عبد الله جابر</v>
      </c>
      <c r="D127" s="10" t="str">
        <f ca="1">IFERROR(__xludf.DUMMYFUNCTION("""COMPUTED_VALUE"""),"قسم المشاريع الهندسية")</f>
        <v>قسم المشاريع الهندسية</v>
      </c>
      <c r="E127" s="10" t="str">
        <f ca="1">IFERROR(__xludf.DUMMYFUNCTION("""COMPUTED_VALUE"""),"A- المركز الثقافي")</f>
        <v>A- المركز الثقافي</v>
      </c>
      <c r="F127" s="10" t="str">
        <f ca="1">IFERROR(__xludf.DUMMYFUNCTION("""COMPUTED_VALUE"""),"ZONE A - الطابق الارضي")</f>
        <v>ZONE A - الطابق الارضي</v>
      </c>
      <c r="G127" s="10" t="str">
        <f ca="1">IFERROR(__xludf.DUMMYFUNCTION("""COMPUTED_VALUE"""),"إزالة بوسترات ")</f>
        <v xml:space="preserve">إزالة بوسترات </v>
      </c>
      <c r="H127" s="10"/>
      <c r="I127" s="12" t="s">
        <v>17</v>
      </c>
      <c r="J127" s="13" t="s">
        <v>14</v>
      </c>
      <c r="K127" s="7">
        <v>45983.390780381946</v>
      </c>
      <c r="L127" s="67"/>
      <c r="M127" s="10"/>
    </row>
    <row r="128" spans="1:13" ht="75" customHeight="1" thickTop="1" thickBot="1">
      <c r="A128" s="7">
        <f ca="1">IFERROR(__xludf.DUMMYFUNCTION("""COMPUTED_VALUE"""),45983.3775412963)</f>
        <v>45983.3775412963</v>
      </c>
      <c r="B128" s="8" t="str">
        <f ca="1">IFERROR(__xludf.DUMMYFUNCTION("""COMPUTED_VALUE"""),"المعملجي")</f>
        <v>المعملجي</v>
      </c>
      <c r="C128" s="9" t="str">
        <f ca="1">IFERROR(__xludf.DUMMYFUNCTION("""COMPUTED_VALUE"""),"عبد الله جابر")</f>
        <v>عبد الله جابر</v>
      </c>
      <c r="D128" s="10" t="str">
        <f ca="1">IFERROR(__xludf.DUMMYFUNCTION("""COMPUTED_VALUE"""),"قسم التربية والتعليم العالي")</f>
        <v>قسم التربية والتعليم العالي</v>
      </c>
      <c r="E128" s="10" t="str">
        <f ca="1">IFERROR(__xludf.DUMMYFUNCTION("""COMPUTED_VALUE"""),"A- المركز الثقافي")</f>
        <v>A- المركز الثقافي</v>
      </c>
      <c r="F128" s="10" t="str">
        <f ca="1">IFERROR(__xludf.DUMMYFUNCTION("""COMPUTED_VALUE"""),"ZONE A - الطابق الاول")</f>
        <v>ZONE A - الطابق الاول</v>
      </c>
      <c r="G128" s="10" t="str">
        <f ca="1">IFERROR(__xludf.DUMMYFUNCTION("""COMPUTED_VALUE"""),"إعادة سقوف ثانوية")</f>
        <v>إعادة سقوف ثانوية</v>
      </c>
      <c r="H128" s="10"/>
      <c r="I128" s="12" t="s">
        <v>17</v>
      </c>
      <c r="J128" s="13" t="s">
        <v>14</v>
      </c>
      <c r="K128" s="7">
        <v>45983.377626817135</v>
      </c>
      <c r="L128" s="67"/>
      <c r="M128" s="10"/>
    </row>
    <row r="129" spans="1:13" ht="75" customHeight="1" thickTop="1" thickBot="1">
      <c r="A129" s="7">
        <f ca="1">IFERROR(__xludf.DUMMYFUNCTION("""COMPUTED_VALUE"""),45983.448470405)</f>
        <v>45983.448470404997</v>
      </c>
      <c r="B129" s="8" t="str">
        <f ca="1">IFERROR(__xludf.DUMMYFUNCTION("""COMPUTED_VALUE"""),"المعملجي")</f>
        <v>المعملجي</v>
      </c>
      <c r="C129" s="9" t="str">
        <f ca="1">IFERROR(__xludf.DUMMYFUNCTION("""COMPUTED_VALUE"""),"عبد الله جابر")</f>
        <v>عبد الله جابر</v>
      </c>
      <c r="D129" s="10" t="str">
        <f ca="1">IFERROR(__xludf.DUMMYFUNCTION("""COMPUTED_VALUE"""),"قسم التربية والتعليم العالي")</f>
        <v>قسم التربية والتعليم العالي</v>
      </c>
      <c r="E129" s="10" t="str">
        <f ca="1">IFERROR(__xludf.DUMMYFUNCTION("""COMPUTED_VALUE"""),"المجاميع الصحية مقابل رئاسة القسم")</f>
        <v>المجاميع الصحية مقابل رئاسة القسم</v>
      </c>
      <c r="F129" s="10" t="str">
        <f ca="1">IFERROR(__xludf.DUMMYFUNCTION("""COMPUTED_VALUE"""),"ZONE A - الطابق الارضي")</f>
        <v>ZONE A - الطابق الارضي</v>
      </c>
      <c r="G129" s="10" t="str">
        <f ca="1">IFERROR(__xludf.DUMMYFUNCTION("""COMPUTED_VALUE"""),"صيانة اقفال الابواب + استبدال قبق منهولة ")</f>
        <v xml:space="preserve">صيانة اقفال الابواب + استبدال قبق منهولة </v>
      </c>
      <c r="H129" s="10"/>
      <c r="I129" s="12" t="s">
        <v>17</v>
      </c>
      <c r="J129" s="13" t="s">
        <v>14</v>
      </c>
      <c r="K129" s="7">
        <v>45983.49696315972</v>
      </c>
      <c r="L129" s="67"/>
      <c r="M129" s="10"/>
    </row>
    <row r="130" spans="1:13" ht="75" customHeight="1" thickTop="1" thickBot="1">
      <c r="A130" s="7">
        <f ca="1">IFERROR(__xludf.DUMMYFUNCTION("""COMPUTED_VALUE"""),45984.36813125)</f>
        <v>45984.368131249998</v>
      </c>
      <c r="B130" s="8" t="str">
        <f ca="1">IFERROR(__xludf.DUMMYFUNCTION("""COMPUTED_VALUE"""),"المعملجي")</f>
        <v>المعملجي</v>
      </c>
      <c r="C130" s="9" t="str">
        <f ca="1">IFERROR(__xludf.DUMMYFUNCTION("""COMPUTED_VALUE"""),"عبد الله جابر")</f>
        <v>عبد الله جابر</v>
      </c>
      <c r="D130" s="10" t="str">
        <f ca="1">IFERROR(__xludf.DUMMYFUNCTION("""COMPUTED_VALUE"""),"قسم التربية والتعليم العالي")</f>
        <v>قسم التربية والتعليم العالي</v>
      </c>
      <c r="E130" s="10" t="str">
        <f ca="1">IFERROR(__xludf.DUMMYFUNCTION("""COMPUTED_VALUE"""),"D- ثانوية العميد بناية المتوسطة  (الثانية)")</f>
        <v>D- ثانوية العميد بناية المتوسطة  (الثانية)</v>
      </c>
      <c r="F130" s="10" t="str">
        <f ca="1">IFERROR(__xludf.DUMMYFUNCTION("""COMPUTED_VALUE"""),"ZONE B - الطابق الثاني")</f>
        <v>ZONE B - الطابق الثاني</v>
      </c>
      <c r="G130" s="10" t="str">
        <f ca="1">IFERROR(__xludf.DUMMYFUNCTION("""COMPUTED_VALUE"""),"صيانة باب صحيات القاطع المستطيل")</f>
        <v>صيانة باب صحيات القاطع المستطيل</v>
      </c>
      <c r="H130" s="10"/>
      <c r="I130" s="12" t="s">
        <v>17</v>
      </c>
      <c r="J130" s="13" t="s">
        <v>14</v>
      </c>
      <c r="K130" s="7">
        <v>45984.466648240741</v>
      </c>
      <c r="L130" s="67"/>
      <c r="M130" s="10"/>
    </row>
    <row r="131" spans="1:13" ht="75" customHeight="1" thickTop="1" thickBot="1">
      <c r="A131" s="7">
        <f ca="1">IFERROR(__xludf.DUMMYFUNCTION("""COMPUTED_VALUE"""),45984.4170376851)</f>
        <v>45984.417037685103</v>
      </c>
      <c r="B131" s="8" t="str">
        <f ca="1">IFERROR(__xludf.DUMMYFUNCTION("""COMPUTED_VALUE"""),"المعملجي")</f>
        <v>المعملجي</v>
      </c>
      <c r="C131" s="9" t="str">
        <f ca="1">IFERROR(__xludf.DUMMYFUNCTION("""COMPUTED_VALUE"""),"عبد الله جابر")</f>
        <v>عبد الله جابر</v>
      </c>
      <c r="D131" s="10" t="str">
        <f ca="1">IFERROR(__xludf.DUMMYFUNCTION("""COMPUTED_VALUE"""),"قسم التربية والتعليم العالي")</f>
        <v>قسم التربية والتعليم العالي</v>
      </c>
      <c r="E131" s="10" t="str">
        <f ca="1">IFERROR(__xludf.DUMMYFUNCTION("""COMPUTED_VALUE"""),"المجاميع الصحية مقابل الشعبة المالية")</f>
        <v>المجاميع الصحية مقابل الشعبة المالية</v>
      </c>
      <c r="F131" s="10" t="str">
        <f ca="1">IFERROR(__xludf.DUMMYFUNCTION("""COMPUTED_VALUE"""),"ZONE A - الطابق الارضي")</f>
        <v>ZONE A - الطابق الارضي</v>
      </c>
      <c r="G131" s="10" t="str">
        <f ca="1">IFERROR(__xludf.DUMMYFUNCTION("""COMPUTED_VALUE"""),"صيانة يدت باب الغربي + صيانة السقف الثانوي")</f>
        <v>صيانة يدت باب الغربي + صيانة السقف الثانوي</v>
      </c>
      <c r="H131" s="10"/>
      <c r="I131" s="12" t="s">
        <v>17</v>
      </c>
      <c r="J131" s="13" t="s">
        <v>14</v>
      </c>
      <c r="K131" s="7">
        <v>45984.508651157405</v>
      </c>
      <c r="L131" s="67"/>
      <c r="M131" s="10"/>
    </row>
    <row r="132" spans="1:13" ht="75" customHeight="1" thickTop="1" thickBot="1">
      <c r="A132" s="7">
        <f ca="1">IFERROR(__xludf.DUMMYFUNCTION("""COMPUTED_VALUE"""),45984.4313388773)</f>
        <v>45984.431338877301</v>
      </c>
      <c r="B132" s="8" t="str">
        <f ca="1">IFERROR(__xludf.DUMMYFUNCTION("""COMPUTED_VALUE"""),"المعملجي")</f>
        <v>المعملجي</v>
      </c>
      <c r="C132" s="9" t="str">
        <f ca="1">IFERROR(__xludf.DUMMYFUNCTION("""COMPUTED_VALUE"""),"عبد الله جابر")</f>
        <v>عبد الله جابر</v>
      </c>
      <c r="D132" s="10" t="str">
        <f ca="1">IFERROR(__xludf.DUMMYFUNCTION("""COMPUTED_VALUE"""),"قسم التربية والتعليم العالي")</f>
        <v>قسم التربية والتعليم العالي</v>
      </c>
      <c r="E132" s="10" t="str">
        <f ca="1">IFERROR(__xludf.DUMMYFUNCTION("""COMPUTED_VALUE"""),"الصحيات مقابل رئاسة القسم")</f>
        <v>الصحيات مقابل رئاسة القسم</v>
      </c>
      <c r="F132" s="10" t="str">
        <f ca="1">IFERROR(__xludf.DUMMYFUNCTION("""COMPUTED_VALUE"""),"ZONE A - الطابق الارضي")</f>
        <v>ZONE A - الطابق الارضي</v>
      </c>
      <c r="G132" s="10" t="str">
        <f ca="1">IFERROR(__xludf.DUMMYFUNCTION("""COMPUTED_VALUE"""),"صيانة يدة باب مكسورة + فتح الماء للصحيات")</f>
        <v>صيانة يدة باب مكسورة + فتح الماء للصحيات</v>
      </c>
      <c r="H132" s="10"/>
      <c r="I132" s="12" t="s">
        <v>17</v>
      </c>
      <c r="J132" s="13" t="s">
        <v>14</v>
      </c>
      <c r="K132" s="7">
        <v>45984.470026412033</v>
      </c>
      <c r="L132" s="67"/>
      <c r="M132" s="10"/>
    </row>
    <row r="133" spans="1:13" ht="75" customHeight="1" thickTop="1" thickBot="1">
      <c r="A133" s="7">
        <f ca="1">IFERROR(__xludf.DUMMYFUNCTION("""COMPUTED_VALUE"""),45985.4050234143)</f>
        <v>45985.4050234143</v>
      </c>
      <c r="B133" s="8" t="str">
        <f ca="1">IFERROR(__xludf.DUMMYFUNCTION("""COMPUTED_VALUE"""),"المعملجي")</f>
        <v>المعملجي</v>
      </c>
      <c r="C133" s="9" t="str">
        <f ca="1">IFERROR(__xludf.DUMMYFUNCTION("""COMPUTED_VALUE"""),"عبد الله جابر")</f>
        <v>عبد الله جابر</v>
      </c>
      <c r="D133" s="10" t="str">
        <f ca="1">IFERROR(__xludf.DUMMYFUNCTION("""COMPUTED_VALUE"""),"قسم التربية والتعليم العالي")</f>
        <v>قسم التربية والتعليم العالي</v>
      </c>
      <c r="E133" s="10" t="str">
        <f ca="1">IFERROR(__xludf.DUMMYFUNCTION("""COMPUTED_VALUE"""),"H- ابتدائية القمر للبنات (الخامسة)")</f>
        <v>H- ابتدائية القمر للبنات (الخامسة)</v>
      </c>
      <c r="F133" s="10" t="str">
        <f ca="1">IFERROR(__xludf.DUMMYFUNCTION("""COMPUTED_VALUE"""),"ZONE A - الطابق الارضي")</f>
        <v>ZONE A - الطابق الارضي</v>
      </c>
      <c r="G133" s="10" t="str">
        <f ca="1">IFERROR(__xludf.DUMMYFUNCTION("""COMPUTED_VALUE"""),"تعليق سبورة كبيرة")</f>
        <v>تعليق سبورة كبيرة</v>
      </c>
      <c r="H133" s="10"/>
      <c r="I133" s="12" t="s">
        <v>17</v>
      </c>
      <c r="J133" s="13" t="s">
        <v>14</v>
      </c>
      <c r="K133" s="7">
        <v>45985.464140208336</v>
      </c>
      <c r="L133" s="67"/>
      <c r="M133" s="10"/>
    </row>
    <row r="134" spans="1:13" ht="75" customHeight="1" thickTop="1" thickBot="1">
      <c r="A134" s="7">
        <f ca="1">IFERROR(__xludf.DUMMYFUNCTION("""COMPUTED_VALUE"""),45985.4056074074)</f>
        <v>45985.405607407403</v>
      </c>
      <c r="B134" s="8" t="str">
        <f ca="1">IFERROR(__xludf.DUMMYFUNCTION("""COMPUTED_VALUE"""),"المعملجي")</f>
        <v>المعملجي</v>
      </c>
      <c r="C134" s="9" t="str">
        <f ca="1">IFERROR(__xludf.DUMMYFUNCTION("""COMPUTED_VALUE"""),"عبد الله جابر")</f>
        <v>عبد الله جابر</v>
      </c>
      <c r="D134" s="10" t="str">
        <f ca="1">IFERROR(__xludf.DUMMYFUNCTION("""COMPUTED_VALUE"""),"قسم التربية والتعليم العالي")</f>
        <v>قسم التربية والتعليم العالي</v>
      </c>
      <c r="E134" s="10" t="str">
        <f ca="1">IFERROR(__xludf.DUMMYFUNCTION("""COMPUTED_VALUE"""),"B- روضة القمر")</f>
        <v>B- روضة القمر</v>
      </c>
      <c r="F134" s="10" t="str">
        <f ca="1">IFERROR(__xludf.DUMMYFUNCTION("""COMPUTED_VALUE"""),"ZONE A - الطابق الارضي")</f>
        <v>ZONE A - الطابق الارضي</v>
      </c>
      <c r="G134" s="10" t="str">
        <f ca="1">IFERROR(__xludf.DUMMYFUNCTION("""COMPUTED_VALUE"""),"صيانة يدة شباك ( جهة اليسار )")</f>
        <v>صيانة يدة شباك ( جهة اليسار )</v>
      </c>
      <c r="H134" s="10"/>
      <c r="I134" s="12" t="s">
        <v>17</v>
      </c>
      <c r="J134" s="13" t="s">
        <v>14</v>
      </c>
      <c r="K134" s="7">
        <v>45985.464191157407</v>
      </c>
      <c r="L134" s="67"/>
      <c r="M134" s="10"/>
    </row>
    <row r="135" spans="1:13" ht="75" customHeight="1" thickTop="1" thickBot="1">
      <c r="A135" s="7">
        <f ca="1">IFERROR(__xludf.DUMMYFUNCTION("""COMPUTED_VALUE"""),45985.4488368171)</f>
        <v>45985.448836817101</v>
      </c>
      <c r="B135" s="8" t="str">
        <f ca="1">IFERROR(__xludf.DUMMYFUNCTION("""COMPUTED_VALUE"""),"المعملجي")</f>
        <v>المعملجي</v>
      </c>
      <c r="C135" s="9" t="str">
        <f ca="1">IFERROR(__xludf.DUMMYFUNCTION("""COMPUTED_VALUE"""),"عبد الله جابر")</f>
        <v>عبد الله جابر</v>
      </c>
      <c r="D135" s="10" t="str">
        <f ca="1">IFERROR(__xludf.DUMMYFUNCTION("""COMPUTED_VALUE"""),"قسم التربية والتعليم العالي")</f>
        <v>قسم التربية والتعليم العالي</v>
      </c>
      <c r="E135" s="10" t="str">
        <f ca="1">IFERROR(__xludf.DUMMYFUNCTION("""COMPUTED_VALUE"""),"J- ابتدائية الساقي للبنين الجانب الثاني (السابعة)")</f>
        <v>J- ابتدائية الساقي للبنين الجانب الثاني (السابعة)</v>
      </c>
      <c r="F135" s="10" t="str">
        <f ca="1">IFERROR(__xludf.DUMMYFUNCTION("""COMPUTED_VALUE"""),"ZONE A - الطابق الارضي, ZONE A - الطابق الاول")</f>
        <v>ZONE A - الطابق الارضي, ZONE A - الطابق الاول</v>
      </c>
      <c r="G135" s="10" t="str">
        <f ca="1">IFERROR(__xludf.DUMMYFUNCTION("""COMPUTED_VALUE"""),"صيانة الباب الرئيسية للحمام الخارجي الطابق الاول 
صيانة سقف الحمامات الخارجية الطابق الارضي 
صيانة برادات الماء")</f>
        <v>صيانة الباب الرئيسية للحمام الخارجي الطابق الاول 
صيانة سقف الحمامات الخارجية الطابق الارضي 
صيانة برادات الماء</v>
      </c>
      <c r="H135" s="10"/>
      <c r="I135" s="12" t="s">
        <v>17</v>
      </c>
      <c r="J135" s="13" t="s">
        <v>20</v>
      </c>
      <c r="K135" s="7">
        <v>45993.283717789353</v>
      </c>
      <c r="L135" s="67" t="s">
        <v>26</v>
      </c>
      <c r="M135" s="10"/>
    </row>
    <row r="136" spans="1:13" ht="75" customHeight="1" thickTop="1" thickBot="1">
      <c r="A136" s="7">
        <f ca="1">IFERROR(__xludf.DUMMYFUNCTION("""COMPUTED_VALUE"""),45985.4582169212)</f>
        <v>45985.458216921201</v>
      </c>
      <c r="B136" s="8" t="str">
        <f ca="1">IFERROR(__xludf.DUMMYFUNCTION("""COMPUTED_VALUE"""),"المعملجي")</f>
        <v>المعملجي</v>
      </c>
      <c r="C136" s="9" t="str">
        <f ca="1">IFERROR(__xludf.DUMMYFUNCTION("""COMPUTED_VALUE"""),"عبد الله جابر")</f>
        <v>عبد الله جابر</v>
      </c>
      <c r="D136" s="10" t="str">
        <f ca="1">IFERROR(__xludf.DUMMYFUNCTION("""COMPUTED_VALUE"""),"قسم التربية والتعليم العالي")</f>
        <v>قسم التربية والتعليم العالي</v>
      </c>
      <c r="E136" s="10" t="str">
        <f ca="1">IFERROR(__xludf.DUMMYFUNCTION("""COMPUTED_VALUE"""),"الصحيات مقابل الالعاب ")</f>
        <v xml:space="preserve">الصحيات مقابل الالعاب </v>
      </c>
      <c r="F136" s="10" t="str">
        <f ca="1">IFERROR(__xludf.DUMMYFUNCTION("""COMPUTED_VALUE"""),"ZONE A - الطابق الارضي")</f>
        <v>ZONE A - الطابق الارضي</v>
      </c>
      <c r="G136" s="10" t="str">
        <f ca="1">IFERROR(__xludf.DUMMYFUNCTION("""COMPUTED_VALUE"""),"صيانة بدأت باب عدد ٣")</f>
        <v>صيانة بدأت باب عدد ٣</v>
      </c>
      <c r="H136" s="10"/>
      <c r="I136" s="12" t="s">
        <v>17</v>
      </c>
      <c r="J136" s="13" t="s">
        <v>14</v>
      </c>
      <c r="K136" s="7">
        <v>45985.583611122682</v>
      </c>
      <c r="L136" s="67"/>
      <c r="M136" s="10"/>
    </row>
    <row r="137" spans="1:13" ht="75" customHeight="1" thickTop="1" thickBot="1">
      <c r="A137" s="7">
        <f ca="1">IFERROR(__xludf.DUMMYFUNCTION("""COMPUTED_VALUE"""),45985.4593092708)</f>
        <v>45985.459309270802</v>
      </c>
      <c r="B137" s="8" t="str">
        <f ca="1">IFERROR(__xludf.DUMMYFUNCTION("""COMPUTED_VALUE"""),"المعملجي")</f>
        <v>المعملجي</v>
      </c>
      <c r="C137" s="9" t="str">
        <f ca="1">IFERROR(__xludf.DUMMYFUNCTION("""COMPUTED_VALUE"""),"عبد الله جابر")</f>
        <v>عبد الله جابر</v>
      </c>
      <c r="D137" s="10" t="str">
        <f ca="1">IFERROR(__xludf.DUMMYFUNCTION("""COMPUTED_VALUE"""),"قسم التربية والتعليم العالي")</f>
        <v>قسم التربية والتعليم العالي</v>
      </c>
      <c r="E137" s="10" t="str">
        <f ca="1">IFERROR(__xludf.DUMMYFUNCTION("""COMPUTED_VALUE"""),"I- ابتدائية الساقي للبنين (السادسة)")</f>
        <v>I- ابتدائية الساقي للبنين (السادسة)</v>
      </c>
      <c r="F137" s="10" t="str">
        <f ca="1">IFERROR(__xludf.DUMMYFUNCTION("""COMPUTED_VALUE"""),"ZONE A - الطابق الارضي")</f>
        <v>ZONE A - الطابق الارضي</v>
      </c>
      <c r="G137" s="10" t="str">
        <f ca="1">IFERROR(__xludf.DUMMYFUNCTION("""COMPUTED_VALUE"""),"صيانة باب حمام الطابق الاول الخارجي")</f>
        <v>صيانة باب حمام الطابق الاول الخارجي</v>
      </c>
      <c r="H137" s="10"/>
      <c r="I137" s="12" t="s">
        <v>17</v>
      </c>
      <c r="J137" s="13" t="s">
        <v>20</v>
      </c>
      <c r="K137" s="7">
        <v>45993.283780717597</v>
      </c>
      <c r="L137" s="67" t="s">
        <v>26</v>
      </c>
      <c r="M137" s="10"/>
    </row>
    <row r="138" spans="1:13" ht="75" customHeight="1" thickTop="1" thickBot="1">
      <c r="A138" s="7">
        <f ca="1">IFERROR(__xludf.DUMMYFUNCTION("""COMPUTED_VALUE"""),45985.4655281944)</f>
        <v>45985.4655281944</v>
      </c>
      <c r="B138" s="8" t="str">
        <f ca="1">IFERROR(__xludf.DUMMYFUNCTION("""COMPUTED_VALUE"""),"المعملجي")</f>
        <v>المعملجي</v>
      </c>
      <c r="C138" s="9" t="str">
        <f ca="1">IFERROR(__xludf.DUMMYFUNCTION("""COMPUTED_VALUE"""),"عبد الله جابر")</f>
        <v>عبد الله جابر</v>
      </c>
      <c r="D138" s="10" t="str">
        <f ca="1">IFERROR(__xludf.DUMMYFUNCTION("""COMPUTED_VALUE"""),"قسم التربية والتعليم العالي")</f>
        <v>قسم التربية والتعليم العالي</v>
      </c>
      <c r="E138" s="10" t="str">
        <f ca="1">IFERROR(__xludf.DUMMYFUNCTION("""COMPUTED_VALUE"""),"B- روضة القمر")</f>
        <v>B- روضة القمر</v>
      </c>
      <c r="F138" s="10" t="str">
        <f ca="1">IFERROR(__xludf.DUMMYFUNCTION("""COMPUTED_VALUE"""),"ZONE A - الطابق الاول")</f>
        <v>ZONE A - الطابق الاول</v>
      </c>
      <c r="G138" s="10" t="str">
        <f ca="1">IFERROR(__xludf.DUMMYFUNCTION("""COMPUTED_VALUE"""),"صيانة شرقي لوكر")</f>
        <v>صيانة شرقي لوكر</v>
      </c>
      <c r="H138" s="10"/>
      <c r="I138" s="12" t="s">
        <v>17</v>
      </c>
      <c r="J138" s="13" t="s">
        <v>14</v>
      </c>
      <c r="K138" s="7">
        <v>45985.465940787035</v>
      </c>
      <c r="L138" s="67"/>
      <c r="M138" s="10"/>
    </row>
    <row r="139" spans="1:13" ht="75" customHeight="1" thickTop="1" thickBot="1">
      <c r="A139" s="7">
        <f ca="1">IFERROR(__xludf.DUMMYFUNCTION("""COMPUTED_VALUE"""),45985.56917478)</f>
        <v>45985.569174780001</v>
      </c>
      <c r="B139" s="8" t="str">
        <f ca="1">IFERROR(__xludf.DUMMYFUNCTION("""COMPUTED_VALUE"""),"المعملجي")</f>
        <v>المعملجي</v>
      </c>
      <c r="C139" s="9" t="str">
        <f ca="1">IFERROR(__xludf.DUMMYFUNCTION("""COMPUTED_VALUE"""),"عبد الله جابر")</f>
        <v>عبد الله جابر</v>
      </c>
      <c r="D139" s="10" t="str">
        <f ca="1">IFERROR(__xludf.DUMMYFUNCTION("""COMPUTED_VALUE"""),"قسم التربية والتعليم العالي")</f>
        <v>قسم التربية والتعليم العالي</v>
      </c>
      <c r="E139" s="10" t="str">
        <f ca="1">IFERROR(__xludf.DUMMYFUNCTION("""COMPUTED_VALUE"""),"G- روضة الجود")</f>
        <v>G- روضة الجود</v>
      </c>
      <c r="F139" s="10" t="str">
        <f ca="1">IFERROR(__xludf.DUMMYFUNCTION("""COMPUTED_VALUE"""),"صف البنفسج")</f>
        <v>صف البنفسج</v>
      </c>
      <c r="G139" s="10" t="str">
        <f ca="1">IFERROR(__xludf.DUMMYFUNCTION("""COMPUTED_VALUE"""),"صيانة بردة + نقطة كهربائية")</f>
        <v>صيانة بردة + نقطة كهربائية</v>
      </c>
      <c r="H139" s="10"/>
      <c r="I139" s="12" t="s">
        <v>17</v>
      </c>
      <c r="J139" s="13" t="s">
        <v>14</v>
      </c>
      <c r="K139" s="7">
        <v>45986.290637245373</v>
      </c>
      <c r="L139" s="67"/>
      <c r="M139" s="10"/>
    </row>
    <row r="140" spans="1:13" ht="75" customHeight="1" thickTop="1" thickBot="1">
      <c r="A140" s="7">
        <f ca="1">IFERROR(__xludf.DUMMYFUNCTION("""COMPUTED_VALUE"""),45986.5163606944)</f>
        <v>45986.516360694397</v>
      </c>
      <c r="B140" s="8" t="str">
        <f ca="1">IFERROR(__xludf.DUMMYFUNCTION("""COMPUTED_VALUE"""),"المعملجي")</f>
        <v>المعملجي</v>
      </c>
      <c r="C140" s="9" t="str">
        <f ca="1">IFERROR(__xludf.DUMMYFUNCTION("""COMPUTED_VALUE"""),"عبد الله جابر")</f>
        <v>عبد الله جابر</v>
      </c>
      <c r="D140" s="10" t="str">
        <f ca="1">IFERROR(__xludf.DUMMYFUNCTION("""COMPUTED_VALUE"""),"قسم التربية والتعليم العالي")</f>
        <v>قسم التربية والتعليم العالي</v>
      </c>
      <c r="E140" s="10" t="str">
        <f ca="1">IFERROR(__xludf.DUMMYFUNCTION("""COMPUTED_VALUE"""),"H- ابتدائية القمر للبنات (الخامسة)")</f>
        <v>H- ابتدائية القمر للبنات (الخامسة)</v>
      </c>
      <c r="F140" s="10" t="str">
        <f ca="1">IFERROR(__xludf.DUMMYFUNCTION("""COMPUTED_VALUE"""),"ZONE A - الطابق الثاني")</f>
        <v>ZONE A - الطابق الثاني</v>
      </c>
      <c r="G140" s="10" t="str">
        <f ca="1">IFERROR(__xludf.DUMMYFUNCTION("""COMPUTED_VALUE"""),"صيانة شباك صف السادس")</f>
        <v>صيانة شباك صف السادس</v>
      </c>
      <c r="H140" s="10"/>
      <c r="I140" s="12" t="s">
        <v>17</v>
      </c>
      <c r="J140" s="13" t="s">
        <v>14</v>
      </c>
      <c r="K140" s="7">
        <v>45987.431352175925</v>
      </c>
      <c r="L140" s="67"/>
      <c r="M140" s="10"/>
    </row>
    <row r="141" spans="1:13" ht="75" customHeight="1" thickTop="1" thickBot="1">
      <c r="A141" s="7">
        <f ca="1">IFERROR(__xludf.DUMMYFUNCTION("""COMPUTED_VALUE"""),45987.3706222106)</f>
        <v>45987.370622210598</v>
      </c>
      <c r="B141" s="8" t="str">
        <f ca="1">IFERROR(__xludf.DUMMYFUNCTION("""COMPUTED_VALUE"""),"المعملجي")</f>
        <v>المعملجي</v>
      </c>
      <c r="C141" s="9" t="str">
        <f ca="1">IFERROR(__xludf.DUMMYFUNCTION("""COMPUTED_VALUE"""),"عبد الله جابر")</f>
        <v>عبد الله جابر</v>
      </c>
      <c r="D141" s="10" t="str">
        <f ca="1">IFERROR(__xludf.DUMMYFUNCTION("""COMPUTED_VALUE"""),"قسم التربية والتعليم العالي")</f>
        <v>قسم التربية والتعليم العالي</v>
      </c>
      <c r="E141" s="10" t="str">
        <f ca="1">IFERROR(__xludf.DUMMYFUNCTION("""COMPUTED_VALUE"""),"D- ثانوية العميد بناية المتوسطة  (الثانية)")</f>
        <v>D- ثانوية العميد بناية المتوسطة  (الثانية)</v>
      </c>
      <c r="F141" s="10" t="str">
        <f ca="1">IFERROR(__xludf.DUMMYFUNCTION("""COMPUTED_VALUE"""),"ZONE A - الطابق الارضي")</f>
        <v>ZONE A - الطابق الارضي</v>
      </c>
      <c r="G141" s="10" t="str">
        <f ca="1">IFERROR(__xludf.DUMMYFUNCTION("""COMPUTED_VALUE"""),"صيانة الباب صف + شد بردة")</f>
        <v>صيانة الباب صف + شد بردة</v>
      </c>
      <c r="H141" s="10"/>
      <c r="I141" s="12" t="s">
        <v>17</v>
      </c>
      <c r="J141" s="13" t="s">
        <v>14</v>
      </c>
      <c r="K141" s="7">
        <v>45987.431950081023</v>
      </c>
      <c r="L141" s="67"/>
      <c r="M141" s="10"/>
    </row>
    <row r="142" spans="1:13" ht="75" customHeight="1" thickTop="1" thickBot="1">
      <c r="A142" s="7">
        <f ca="1">IFERROR(__xludf.DUMMYFUNCTION("""COMPUTED_VALUE"""),45987.5398645138)</f>
        <v>45987.539864513798</v>
      </c>
      <c r="B142" s="8" t="str">
        <f ca="1">IFERROR(__xludf.DUMMYFUNCTION("""COMPUTED_VALUE"""),"المعملجي")</f>
        <v>المعملجي</v>
      </c>
      <c r="C142" s="9" t="str">
        <f ca="1">IFERROR(__xludf.DUMMYFUNCTION("""COMPUTED_VALUE"""),"عبد الله جابر")</f>
        <v>عبد الله جابر</v>
      </c>
      <c r="D142" s="10" t="str">
        <f ca="1">IFERROR(__xludf.DUMMYFUNCTION("""COMPUTED_VALUE"""),"قسم التربية والتعليم العالي")</f>
        <v>قسم التربية والتعليم العالي</v>
      </c>
      <c r="E142" s="10" t="str">
        <f ca="1">IFERROR(__xludf.DUMMYFUNCTION("""COMPUTED_VALUE"""),"A- المركز الثقافي, رئاسة القسم")</f>
        <v>A- المركز الثقافي, رئاسة القسم</v>
      </c>
      <c r="F142" s="10" t="str">
        <f ca="1">IFERROR(__xludf.DUMMYFUNCTION("""COMPUTED_VALUE"""),"ZONE A - الطابق الاول")</f>
        <v>ZONE A - الطابق الاول</v>
      </c>
      <c r="G142" s="10" t="str">
        <f ca="1">IFERROR(__xludf.DUMMYFUNCTION("""COMPUTED_VALUE"""),"صبغ المطبخ")</f>
        <v>صبغ المطبخ</v>
      </c>
      <c r="H142" s="10"/>
      <c r="I142" s="12" t="s">
        <v>17</v>
      </c>
      <c r="J142" s="13" t="s">
        <v>14</v>
      </c>
      <c r="K142" s="7">
        <v>45988.479926817134</v>
      </c>
      <c r="L142" s="67"/>
      <c r="M142" s="10"/>
    </row>
    <row r="143" spans="1:13" ht="75" customHeight="1" thickTop="1" thickBot="1">
      <c r="A143" s="7">
        <f ca="1">IFERROR(__xludf.DUMMYFUNCTION("""COMPUTED_VALUE"""),45988.4054758564)</f>
        <v>45988.405475856402</v>
      </c>
      <c r="B143" s="8" t="str">
        <f ca="1">IFERROR(__xludf.DUMMYFUNCTION("""COMPUTED_VALUE"""),"المعملجي")</f>
        <v>المعملجي</v>
      </c>
      <c r="C143" s="9" t="str">
        <f ca="1">IFERROR(__xludf.DUMMYFUNCTION("""COMPUTED_VALUE"""),"عبد الله جابر")</f>
        <v>عبد الله جابر</v>
      </c>
      <c r="D143" s="10" t="str">
        <f ca="1">IFERROR(__xludf.DUMMYFUNCTION("""COMPUTED_VALUE"""),"قسم التربية والتعليم العالي")</f>
        <v>قسم التربية والتعليم العالي</v>
      </c>
      <c r="E143" s="10" t="str">
        <f ca="1">IFERROR(__xludf.DUMMYFUNCTION("""COMPUTED_VALUE"""),"B- روضة القمر")</f>
        <v>B- روضة القمر</v>
      </c>
      <c r="F143" s="10" t="str">
        <f ca="1">IFERROR(__xludf.DUMMYFUNCTION("""COMPUTED_VALUE"""),"ZONE A - الطابق الارضي")</f>
        <v>ZONE A - الطابق الارضي</v>
      </c>
      <c r="G143" s="10" t="str">
        <f ca="1">IFERROR(__xludf.DUMMYFUNCTION("""COMPUTED_VALUE"""),"اكساء الساحة الدائرية الخاصة بالالعاب  بالاسفنج لحماية الاطفال")</f>
        <v>اكساء الساحة الدائرية الخاصة بالالعاب  بالاسفنج لحماية الاطفال</v>
      </c>
      <c r="H143" s="10"/>
      <c r="I143" s="12" t="s">
        <v>17</v>
      </c>
      <c r="J143" s="13" t="s">
        <v>14</v>
      </c>
      <c r="K143" s="7">
        <v>45988.538380740742</v>
      </c>
      <c r="L143" s="67"/>
      <c r="M143" s="10"/>
    </row>
    <row r="144" spans="1:13" ht="75" customHeight="1" thickTop="1" thickBot="1">
      <c r="A144" s="7">
        <f ca="1">IFERROR(__xludf.DUMMYFUNCTION("""COMPUTED_VALUE"""),45988.5394154513)</f>
        <v>45988.539415451298</v>
      </c>
      <c r="B144" s="8" t="str">
        <f ca="1">IFERROR(__xludf.DUMMYFUNCTION("""COMPUTED_VALUE"""),"المعملجي")</f>
        <v>المعملجي</v>
      </c>
      <c r="C144" s="9" t="str">
        <f ca="1">IFERROR(__xludf.DUMMYFUNCTION("""COMPUTED_VALUE"""),"م. كريم")</f>
        <v>م. كريم</v>
      </c>
      <c r="D144" s="10" t="str">
        <f ca="1">IFERROR(__xludf.DUMMYFUNCTION("""COMPUTED_VALUE"""),"قسم المشاريع الهندسية")</f>
        <v>قسم المشاريع الهندسية</v>
      </c>
      <c r="E144" s="10" t="str">
        <f ca="1">IFERROR(__xludf.DUMMYFUNCTION("""COMPUTED_VALUE"""),"F-  ابتدائية جود العميد للبنات (الرابعة)")</f>
        <v>F-  ابتدائية جود العميد للبنات (الرابعة)</v>
      </c>
      <c r="F144" s="10" t="str">
        <f ca="1">IFERROR(__xludf.DUMMYFUNCTION("""COMPUTED_VALUE"""),"السطح")</f>
        <v>السطح</v>
      </c>
      <c r="G144" s="10" t="str">
        <f ca="1">IFERROR(__xludf.DUMMYFUNCTION("""COMPUTED_VALUE"""),"معالجة شتايكر في السطح")</f>
        <v>معالجة شتايكر في السطح</v>
      </c>
      <c r="H144" s="10"/>
      <c r="I144" s="12" t="s">
        <v>17</v>
      </c>
      <c r="J144" s="13" t="s">
        <v>14</v>
      </c>
      <c r="K144" s="7">
        <v>45988.547890439819</v>
      </c>
      <c r="L144" s="67"/>
      <c r="M144" s="10"/>
    </row>
    <row r="145" spans="1:13" ht="75" customHeight="1" thickTop="1" thickBot="1">
      <c r="A145" s="7">
        <f ca="1">IFERROR(__xludf.DUMMYFUNCTION("""COMPUTED_VALUE"""),45988.5417967939)</f>
        <v>45988.541796793899</v>
      </c>
      <c r="B145" s="8" t="str">
        <f ca="1">IFERROR(__xludf.DUMMYFUNCTION("""COMPUTED_VALUE"""),"المعملجي")</f>
        <v>المعملجي</v>
      </c>
      <c r="C145" s="9" t="str">
        <f ca="1">IFERROR(__xludf.DUMMYFUNCTION("""COMPUTED_VALUE"""),"عبد الله جابر")</f>
        <v>عبد الله جابر</v>
      </c>
      <c r="D145" s="10" t="str">
        <f ca="1">IFERROR(__xludf.DUMMYFUNCTION("""COMPUTED_VALUE"""),"قسم التربية والتعليم العالي")</f>
        <v>قسم التربية والتعليم العالي</v>
      </c>
      <c r="E145" s="10" t="str">
        <f ca="1">IFERROR(__xludf.DUMMYFUNCTION("""COMPUTED_VALUE"""),"الاستعلامات الرئيسية")</f>
        <v>الاستعلامات الرئيسية</v>
      </c>
      <c r="F145" s="10" t="str">
        <f ca="1">IFERROR(__xludf.DUMMYFUNCTION("""COMPUTED_VALUE"""),"ZONE A - الطابق الارضي")</f>
        <v>ZONE A - الطابق الارضي</v>
      </c>
      <c r="G145" s="10" t="str">
        <f ca="1">IFERROR(__xludf.DUMMYFUNCTION("""COMPUTED_VALUE"""),"تعليق لوحات عدد ٢")</f>
        <v>تعليق لوحات عدد ٢</v>
      </c>
      <c r="H145" s="10"/>
      <c r="I145" s="12" t="s">
        <v>17</v>
      </c>
      <c r="J145" s="13" t="s">
        <v>14</v>
      </c>
      <c r="K145" s="7">
        <v>45988.548347407406</v>
      </c>
      <c r="L145" s="67"/>
      <c r="M145" s="10"/>
    </row>
    <row r="146" spans="1:13" ht="75" customHeight="1" thickTop="1" thickBot="1">
      <c r="A146" s="7">
        <f ca="1">IFERROR(__xludf.DUMMYFUNCTION("""COMPUTED_VALUE"""),45988.5432345601)</f>
        <v>45988.5432345601</v>
      </c>
      <c r="B146" s="8" t="str">
        <f ca="1">IFERROR(__xludf.DUMMYFUNCTION("""COMPUTED_VALUE"""),"المعملجي")</f>
        <v>المعملجي</v>
      </c>
      <c r="C146" s="9" t="str">
        <f ca="1">IFERROR(__xludf.DUMMYFUNCTION("""COMPUTED_VALUE"""),"عبد الله جابر")</f>
        <v>عبد الله جابر</v>
      </c>
      <c r="D146" s="10" t="str">
        <f ca="1">IFERROR(__xludf.DUMMYFUNCTION("""COMPUTED_VALUE"""),"قسم التربية والتعليم العالي")</f>
        <v>قسم التربية والتعليم العالي</v>
      </c>
      <c r="E146" s="10" t="str">
        <f ca="1">IFERROR(__xludf.DUMMYFUNCTION("""COMPUTED_VALUE"""),"الصحيات الخارجية مقابل المدرسة الخامسة")</f>
        <v>الصحيات الخارجية مقابل المدرسة الخامسة</v>
      </c>
      <c r="F146" s="10" t="str">
        <f ca="1">IFERROR(__xludf.DUMMYFUNCTION("""COMPUTED_VALUE"""),"ZONE A - الطابق الارضي")</f>
        <v>ZONE A - الطابق الارضي</v>
      </c>
      <c r="G146" s="10" t="str">
        <f ca="1">IFERROR(__xludf.DUMMYFUNCTION("""COMPUTED_VALUE"""),"صيانة باب صحيات")</f>
        <v>صيانة باب صحيات</v>
      </c>
      <c r="H146" s="10"/>
      <c r="I146" s="12" t="s">
        <v>17</v>
      </c>
      <c r="J146" s="13" t="s">
        <v>14</v>
      </c>
      <c r="K146" s="7">
        <v>45988.5483971875</v>
      </c>
      <c r="L146" s="67"/>
      <c r="M146" s="10"/>
    </row>
    <row r="147" spans="1:13" ht="75" customHeight="1" thickTop="1" thickBot="1">
      <c r="A147" s="7">
        <f ca="1">IFERROR(__xludf.DUMMYFUNCTION("""COMPUTED_VALUE"""),45988.5462536805)</f>
        <v>45988.546253680499</v>
      </c>
      <c r="B147" s="8" t="str">
        <f ca="1">IFERROR(__xludf.DUMMYFUNCTION("""COMPUTED_VALUE"""),"المعملجي")</f>
        <v>المعملجي</v>
      </c>
      <c r="C147" s="9" t="str">
        <f ca="1">IFERROR(__xludf.DUMMYFUNCTION("""COMPUTED_VALUE"""),"عبد الله جابر")</f>
        <v>عبد الله جابر</v>
      </c>
      <c r="D147" s="10" t="str">
        <f ca="1">IFERROR(__xludf.DUMMYFUNCTION("""COMPUTED_VALUE"""),"قسم التربية والتعليم العالي")</f>
        <v>قسم التربية والتعليم العالي</v>
      </c>
      <c r="E147" s="10" t="str">
        <f ca="1">IFERROR(__xludf.DUMMYFUNCTION("""COMPUTED_VALUE"""),"A- المركز الثقافي, المكتب النسوي غرفة الكاميرات")</f>
        <v>A- المركز الثقافي, المكتب النسوي غرفة الكاميرات</v>
      </c>
      <c r="F147" s="10" t="str">
        <f ca="1">IFERROR(__xludf.DUMMYFUNCTION("""COMPUTED_VALUE"""),"ZONE A - الطابق الارضي")</f>
        <v>ZONE A - الطابق الارضي</v>
      </c>
      <c r="G147" s="10" t="str">
        <f ca="1">IFERROR(__xludf.DUMMYFUNCTION("""COMPUTED_VALUE"""),"تعليق رفوف")</f>
        <v>تعليق رفوف</v>
      </c>
      <c r="H147" s="10"/>
      <c r="I147" s="12" t="s">
        <v>17</v>
      </c>
      <c r="J147" s="13" t="s">
        <v>14</v>
      </c>
      <c r="K147" s="7">
        <v>45988.894582592591</v>
      </c>
      <c r="L147" s="67"/>
      <c r="M147" s="10"/>
    </row>
    <row r="148" spans="1:13" ht="75" customHeight="1" thickTop="1" thickBot="1">
      <c r="A148" s="7">
        <f ca="1">IFERROR(__xludf.DUMMYFUNCTION("""COMPUTED_VALUE"""),45991.3144069212)</f>
        <v>45991.314406921199</v>
      </c>
      <c r="B148" s="8" t="str">
        <f ca="1">IFERROR(__xludf.DUMMYFUNCTION("""COMPUTED_VALUE"""),"المعملجي")</f>
        <v>المعملجي</v>
      </c>
      <c r="C148" s="9" t="str">
        <f ca="1">IFERROR(__xludf.DUMMYFUNCTION("""COMPUTED_VALUE"""),"عبد الله جابر")</f>
        <v>عبد الله جابر</v>
      </c>
      <c r="D148" s="10" t="str">
        <f ca="1">IFERROR(__xludf.DUMMYFUNCTION("""COMPUTED_VALUE"""),"قسم التربية والتعليم العالي")</f>
        <v>قسم التربية والتعليم العالي</v>
      </c>
      <c r="E148" s="10" t="str">
        <f ca="1">IFERROR(__xludf.DUMMYFUNCTION("""COMPUTED_VALUE"""),"G- روضة الجود")</f>
        <v>G- روضة الجود</v>
      </c>
      <c r="F148" s="10" t="str">
        <f ca="1">IFERROR(__xludf.DUMMYFUNCTION("""COMPUTED_VALUE"""),"ZONE A - الطابق الارضي")</f>
        <v>ZONE A - الطابق الارضي</v>
      </c>
      <c r="G148" s="10" t="str">
        <f ca="1">IFERROR(__xludf.DUMMYFUNCTION("""COMPUTED_VALUE"""),"اصلاح مرمر متضرر في الممر الخارجي جهة المالية")</f>
        <v>اصلاح مرمر متضرر في الممر الخارجي جهة المالية</v>
      </c>
      <c r="H148" s="10"/>
      <c r="I148" s="12" t="s">
        <v>17</v>
      </c>
      <c r="J148" s="13" t="s">
        <v>14</v>
      </c>
      <c r="K148" s="7">
        <v>45992.293682766205</v>
      </c>
      <c r="L148" s="67"/>
      <c r="M148" s="10"/>
    </row>
    <row r="149" spans="1:13" ht="75" customHeight="1" thickTop="1" thickBot="1">
      <c r="A149" s="7">
        <f ca="1">IFERROR(__xludf.DUMMYFUNCTION("""COMPUTED_VALUE"""),45991.3162773611)</f>
        <v>45991.316277361097</v>
      </c>
      <c r="B149" s="8" t="str">
        <f ca="1">IFERROR(__xludf.DUMMYFUNCTION("""COMPUTED_VALUE"""),"المعملجي")</f>
        <v>المعملجي</v>
      </c>
      <c r="C149" s="9" t="str">
        <f ca="1">IFERROR(__xludf.DUMMYFUNCTION("""COMPUTED_VALUE"""),"عبد الله جابر")</f>
        <v>عبد الله جابر</v>
      </c>
      <c r="D149" s="10" t="str">
        <f ca="1">IFERROR(__xludf.DUMMYFUNCTION("""COMPUTED_VALUE"""),"قسم التربية والتعليم العالي")</f>
        <v>قسم التربية والتعليم العالي</v>
      </c>
      <c r="E149" s="10" t="str">
        <f ca="1">IFERROR(__xludf.DUMMYFUNCTION("""COMPUTED_VALUE"""),"الصحيات مقابل المالية")</f>
        <v>الصحيات مقابل المالية</v>
      </c>
      <c r="F149" s="10" t="str">
        <f ca="1">IFERROR(__xludf.DUMMYFUNCTION("""COMPUTED_VALUE"""),"ZONE A - الطابق الارضي")</f>
        <v>ZONE A - الطابق الارضي</v>
      </c>
      <c r="G149" s="10" t="str">
        <f ca="1">IFERROR(__xludf.DUMMYFUNCTION("""COMPUTED_VALUE"""),"صيانة المرمر بركن باب الصحيات الرئيسي")</f>
        <v>صيانة المرمر بركن باب الصحيات الرئيسي</v>
      </c>
      <c r="H149" s="10"/>
      <c r="I149" s="12" t="s">
        <v>17</v>
      </c>
      <c r="J149" s="13" t="s">
        <v>14</v>
      </c>
      <c r="K149" s="7">
        <v>45992.293708287034</v>
      </c>
      <c r="L149" s="67"/>
      <c r="M149" s="10"/>
    </row>
    <row r="150" spans="1:13" ht="75" customHeight="1" thickTop="1" thickBot="1">
      <c r="A150" s="7">
        <f ca="1">IFERROR(__xludf.DUMMYFUNCTION("""COMPUTED_VALUE"""),45991.5620979282)</f>
        <v>45991.562097928203</v>
      </c>
      <c r="B150" s="8" t="str">
        <f ca="1">IFERROR(__xludf.DUMMYFUNCTION("""COMPUTED_VALUE"""),"المعملجي")</f>
        <v>المعملجي</v>
      </c>
      <c r="C150" s="9" t="str">
        <f ca="1">IFERROR(__xludf.DUMMYFUNCTION("""COMPUTED_VALUE"""),"عبد الله جابر")</f>
        <v>عبد الله جابر</v>
      </c>
      <c r="D150" s="10" t="str">
        <f ca="1">IFERROR(__xludf.DUMMYFUNCTION("""COMPUTED_VALUE"""),"قسم التربية والتعليم العالي")</f>
        <v>قسم التربية والتعليم العالي</v>
      </c>
      <c r="E150" s="10" t="str">
        <f ca="1">IFERROR(__xludf.DUMMYFUNCTION("""COMPUTED_VALUE"""),"E- ابتدائية العميد للبنات (الثالثة)")</f>
        <v>E- ابتدائية العميد للبنات (الثالثة)</v>
      </c>
      <c r="F150" s="10" t="str">
        <f ca="1">IFERROR(__xludf.DUMMYFUNCTION("""COMPUTED_VALUE"""),"ZONE A - الطابق الاول")</f>
        <v>ZONE A - الطابق الاول</v>
      </c>
      <c r="G150" s="10" t="str">
        <f ca="1">IFERROR(__xludf.DUMMYFUNCTION("""COMPUTED_VALUE"""),"عليق بردة في غرفة المعلمات")</f>
        <v>عليق بردة في غرفة المعلمات</v>
      </c>
      <c r="H150" s="10"/>
      <c r="I150" s="12" t="s">
        <v>17</v>
      </c>
      <c r="J150" s="13" t="s">
        <v>14</v>
      </c>
      <c r="K150" s="7">
        <v>45992.293825428242</v>
      </c>
      <c r="L150" s="67"/>
      <c r="M150" s="10"/>
    </row>
    <row r="151" spans="1:13" ht="75" customHeight="1" thickTop="1" thickBot="1">
      <c r="A151" s="7">
        <f ca="1">IFERROR(__xludf.DUMMYFUNCTION("""COMPUTED_VALUE"""),45963.4412501967)</f>
        <v>45963.441250196702</v>
      </c>
      <c r="B151" s="8" t="str">
        <f ca="1">IFERROR(__xludf.DUMMYFUNCTION("""COMPUTED_VALUE"""),"المعملجي")</f>
        <v>المعملجي</v>
      </c>
      <c r="C151" s="9" t="str">
        <f ca="1">IFERROR(__xludf.DUMMYFUNCTION("""COMPUTED_VALUE"""),"عبد الله جابر")</f>
        <v>عبد الله جابر</v>
      </c>
      <c r="D151" s="10" t="str">
        <f ca="1">IFERROR(__xludf.DUMMYFUNCTION("""COMPUTED_VALUE"""),"قسم التربية والتعليم العالي")</f>
        <v>قسم التربية والتعليم العالي</v>
      </c>
      <c r="E151" s="10" t="str">
        <f ca="1">IFERROR(__xludf.DUMMYFUNCTION("""COMPUTED_VALUE"""),"B- روضة القمر")</f>
        <v>B- روضة القمر</v>
      </c>
      <c r="F151" s="10" t="str">
        <f ca="1">IFERROR(__xludf.DUMMYFUNCTION("""COMPUTED_VALUE"""),"ZONE A - الطابق الارضي")</f>
        <v>ZONE A - الطابق الارضي</v>
      </c>
      <c r="G151" s="10" t="str">
        <f ca="1">IFERROR(__xludf.DUMMYFUNCTION("""COMPUTED_VALUE"""),"صيانة مجرى مغسلة الحمام")</f>
        <v>صيانة مجرى مغسلة الحمام</v>
      </c>
      <c r="H151" s="10"/>
      <c r="I151" s="12" t="s">
        <v>18</v>
      </c>
      <c r="J151" s="13" t="s">
        <v>14</v>
      </c>
      <c r="K151" s="7">
        <v>45963.493251562497</v>
      </c>
      <c r="L151" s="67"/>
      <c r="M151" s="10"/>
    </row>
    <row r="152" spans="1:13" ht="75" customHeight="1" thickTop="1" thickBot="1">
      <c r="A152" s="7">
        <f ca="1">IFERROR(__xludf.DUMMYFUNCTION("""COMPUTED_VALUE"""),45964.5126804745)</f>
        <v>45964.512680474501</v>
      </c>
      <c r="B152" s="8" t="str">
        <f ca="1">IFERROR(__xludf.DUMMYFUNCTION("""COMPUTED_VALUE"""),"المعملجي")</f>
        <v>المعملجي</v>
      </c>
      <c r="C152" s="9" t="str">
        <f ca="1">IFERROR(__xludf.DUMMYFUNCTION("""COMPUTED_VALUE"""),"عبد الله جابر")</f>
        <v>عبد الله جابر</v>
      </c>
      <c r="D152" s="10" t="str">
        <f ca="1">IFERROR(__xludf.DUMMYFUNCTION("""COMPUTED_VALUE"""),"قسم التربية والتعليم العالي")</f>
        <v>قسم التربية والتعليم العالي</v>
      </c>
      <c r="E152" s="10" t="str">
        <f ca="1">IFERROR(__xludf.DUMMYFUNCTION("""COMPUTED_VALUE"""),"موقع المولدات بين روضة الجود و ابتدائية القمر")</f>
        <v>موقع المولدات بين روضة الجود و ابتدائية القمر</v>
      </c>
      <c r="F152" s="10" t="str">
        <f ca="1">IFERROR(__xludf.DUMMYFUNCTION("""COMPUTED_VALUE"""),"المرر")</f>
        <v>المرر</v>
      </c>
      <c r="G152" s="10" t="str">
        <f ca="1">IFERROR(__xludf.DUMMYFUNCTION("""COMPUTED_VALUE"""),"صيانة نضوح حنفية ماء")</f>
        <v>صيانة نضوح حنفية ماء</v>
      </c>
      <c r="H152" s="10"/>
      <c r="I152" s="12" t="s">
        <v>18</v>
      </c>
      <c r="J152" s="13" t="s">
        <v>14</v>
      </c>
      <c r="K152" s="7">
        <v>45964.528928449072</v>
      </c>
      <c r="L152" s="67"/>
      <c r="M152" s="10"/>
    </row>
    <row r="153" spans="1:13" ht="75" customHeight="1" thickTop="1" thickBot="1">
      <c r="A153" s="7">
        <f ca="1">IFERROR(__xludf.DUMMYFUNCTION("""COMPUTED_VALUE"""),45964.5134257523)</f>
        <v>45964.513425752302</v>
      </c>
      <c r="B153" s="8" t="str">
        <f ca="1">IFERROR(__xludf.DUMMYFUNCTION("""COMPUTED_VALUE"""),"المعملجي")</f>
        <v>المعملجي</v>
      </c>
      <c r="C153" s="9" t="str">
        <f ca="1">IFERROR(__xludf.DUMMYFUNCTION("""COMPUTED_VALUE"""),"عبد الله جابر")</f>
        <v>عبد الله جابر</v>
      </c>
      <c r="D153" s="10" t="str">
        <f ca="1">IFERROR(__xludf.DUMMYFUNCTION("""COMPUTED_VALUE"""),"قسم التربية والتعليم العالي")</f>
        <v>قسم التربية والتعليم العالي</v>
      </c>
      <c r="E153" s="10" t="str">
        <f ca="1">IFERROR(__xludf.DUMMYFUNCTION("""COMPUTED_VALUE"""),"J- ابتدائية الساقي للبنين الجانب الثاني (السابعة)")</f>
        <v>J- ابتدائية الساقي للبنين الجانب الثاني (السابعة)</v>
      </c>
      <c r="F153" s="10" t="str">
        <f ca="1">IFERROR(__xludf.DUMMYFUNCTION("""COMPUTED_VALUE"""),"ZONE A - الطابق الارضي")</f>
        <v>ZONE A - الطابق الارضي</v>
      </c>
      <c r="G153" s="10" t="str">
        <f ca="1">IFERROR(__xludf.DUMMYFUNCTION("""COMPUTED_VALUE"""),"شد بردة ")</f>
        <v xml:space="preserve">شد بردة </v>
      </c>
      <c r="H153" s="10"/>
      <c r="I153" s="12" t="s">
        <v>18</v>
      </c>
      <c r="J153" s="13" t="s">
        <v>14</v>
      </c>
      <c r="K153" s="7">
        <v>45965.535070439815</v>
      </c>
      <c r="L153" s="67"/>
      <c r="M153" s="10"/>
    </row>
    <row r="154" spans="1:13" ht="75" customHeight="1" thickTop="1" thickBot="1">
      <c r="A154" s="7">
        <f ca="1">IFERROR(__xludf.DUMMYFUNCTION("""COMPUTED_VALUE"""),45964.5147159375)</f>
        <v>45964.514715937497</v>
      </c>
      <c r="B154" s="8" t="str">
        <f ca="1">IFERROR(__xludf.DUMMYFUNCTION("""COMPUTED_VALUE"""),"المعملجي")</f>
        <v>المعملجي</v>
      </c>
      <c r="C154" s="9" t="str">
        <f ca="1">IFERROR(__xludf.DUMMYFUNCTION("""COMPUTED_VALUE"""),"عبد الله جابر")</f>
        <v>عبد الله جابر</v>
      </c>
      <c r="D154" s="10" t="str">
        <f ca="1">IFERROR(__xludf.DUMMYFUNCTION("""COMPUTED_VALUE"""),"قسم التربية والتعليم العالي")</f>
        <v>قسم التربية والتعليم العالي</v>
      </c>
      <c r="E154" s="10" t="str">
        <f ca="1">IFERROR(__xludf.DUMMYFUNCTION("""COMPUTED_VALUE"""),"B- روضة القمر")</f>
        <v>B- روضة القمر</v>
      </c>
      <c r="F154" s="10" t="str">
        <f ca="1">IFERROR(__xludf.DUMMYFUNCTION("""COMPUTED_VALUE"""),"الصحيات")</f>
        <v>الصحيات</v>
      </c>
      <c r="G154" s="10" t="str">
        <f ca="1">IFERROR(__xludf.DUMMYFUNCTION("""COMPUTED_VALUE"""),"لا يوجد ماء في صحيات البناية")</f>
        <v>لا يوجد ماء في صحيات البناية</v>
      </c>
      <c r="H154" s="10"/>
      <c r="I154" s="12" t="s">
        <v>18</v>
      </c>
      <c r="J154" s="13" t="s">
        <v>14</v>
      </c>
      <c r="K154" s="7">
        <v>45964.529534861111</v>
      </c>
      <c r="L154" s="67"/>
      <c r="M154" s="10"/>
    </row>
    <row r="155" spans="1:13" ht="75" customHeight="1" thickTop="1" thickBot="1">
      <c r="A155" s="7">
        <f ca="1">IFERROR(__xludf.DUMMYFUNCTION("""COMPUTED_VALUE"""),45964.6749675115)</f>
        <v>45964.674967511499</v>
      </c>
      <c r="B155" s="8" t="str">
        <f ca="1">IFERROR(__xludf.DUMMYFUNCTION("""COMPUTED_VALUE"""),"المعملجي")</f>
        <v>المعملجي</v>
      </c>
      <c r="C155" s="9" t="str">
        <f ca="1">IFERROR(__xludf.DUMMYFUNCTION("""COMPUTED_VALUE"""),"عبد الله جابر")</f>
        <v>عبد الله جابر</v>
      </c>
      <c r="D155" s="10" t="str">
        <f ca="1">IFERROR(__xludf.DUMMYFUNCTION("""COMPUTED_VALUE"""),"قسم التربية والتعليم العالي")</f>
        <v>قسم التربية والتعليم العالي</v>
      </c>
      <c r="E155" s="10" t="str">
        <f ca="1">IFERROR(__xludf.DUMMYFUNCTION("""COMPUTED_VALUE"""),"H- ابتدائية القمر للبنات (الخامسة)")</f>
        <v>H- ابتدائية القمر للبنات (الخامسة)</v>
      </c>
      <c r="F155" s="10" t="str">
        <f ca="1">IFERROR(__xludf.DUMMYFUNCTION("""COMPUTED_VALUE"""),"ZONE A - الطابق الارضي")</f>
        <v>ZONE A - الطابق الارضي</v>
      </c>
      <c r="G155" s="10" t="str">
        <f ca="1">IFERROR(__xludf.DUMMYFUNCTION("""COMPUTED_VALUE"""),"صيانة حنفيات البراد")</f>
        <v>صيانة حنفيات البراد</v>
      </c>
      <c r="H155" s="10"/>
      <c r="I155" s="12" t="s">
        <v>18</v>
      </c>
      <c r="J155" s="13" t="s">
        <v>14</v>
      </c>
      <c r="K155" s="7">
        <v>45965.403686921301</v>
      </c>
      <c r="L155" s="67"/>
      <c r="M155" s="10"/>
    </row>
    <row r="156" spans="1:13" ht="75" customHeight="1" thickTop="1" thickBot="1">
      <c r="A156" s="7">
        <f ca="1">IFERROR(__xludf.DUMMYFUNCTION("""COMPUTED_VALUE"""),45966.3214570023)</f>
        <v>45966.321457002297</v>
      </c>
      <c r="B156" s="8" t="str">
        <f ca="1">IFERROR(__xludf.DUMMYFUNCTION("""COMPUTED_VALUE"""),"المعملجي")</f>
        <v>المعملجي</v>
      </c>
      <c r="C156" s="9" t="str">
        <f ca="1">IFERROR(__xludf.DUMMYFUNCTION("""COMPUTED_VALUE"""),"عبد الله جابر")</f>
        <v>عبد الله جابر</v>
      </c>
      <c r="D156" s="10" t="str">
        <f ca="1">IFERROR(__xludf.DUMMYFUNCTION("""COMPUTED_VALUE"""),"قسم التربية والتعليم العالي")</f>
        <v>قسم التربية والتعليم العالي</v>
      </c>
      <c r="E156" s="10" t="str">
        <f ca="1">IFERROR(__xludf.DUMMYFUNCTION("""COMPUTED_VALUE"""),"موقع المولدات بين روضة الجود والبناية الخامسة")</f>
        <v>موقع المولدات بين روضة الجود والبناية الخامسة</v>
      </c>
      <c r="F156" s="10" t="str">
        <f ca="1">IFERROR(__xludf.DUMMYFUNCTION("""COMPUTED_VALUE"""),"ZONE A - الطابق الارضي")</f>
        <v>ZONE A - الطابق الارضي</v>
      </c>
      <c r="G156" s="10" t="str">
        <f ca="1">IFERROR(__xludf.DUMMYFUNCTION("""COMPUTED_VALUE"""),"صيانة بوري ماء مع وجود نضوح")</f>
        <v>صيانة بوري ماء مع وجود نضوح</v>
      </c>
      <c r="H156" s="10"/>
      <c r="I156" s="12" t="s">
        <v>18</v>
      </c>
      <c r="J156" s="13" t="s">
        <v>14</v>
      </c>
      <c r="K156" s="7">
        <v>45966.37539828704</v>
      </c>
      <c r="L156" s="67"/>
      <c r="M156" s="10"/>
    </row>
    <row r="157" spans="1:13" ht="75" customHeight="1" thickTop="1" thickBot="1">
      <c r="A157" s="7">
        <f ca="1">IFERROR(__xludf.DUMMYFUNCTION("""COMPUTED_VALUE"""),45966.4526005208)</f>
        <v>45966.452600520803</v>
      </c>
      <c r="B157" s="8" t="str">
        <f ca="1">IFERROR(__xludf.DUMMYFUNCTION("""COMPUTED_VALUE"""),"المعملجي")</f>
        <v>المعملجي</v>
      </c>
      <c r="C157" s="9" t="str">
        <f ca="1">IFERROR(__xludf.DUMMYFUNCTION("""COMPUTED_VALUE"""),"عبد الله جابر")</f>
        <v>عبد الله جابر</v>
      </c>
      <c r="D157" s="10" t="str">
        <f ca="1">IFERROR(__xludf.DUMMYFUNCTION("""COMPUTED_VALUE"""),"قسم التربية والتعليم العالي")</f>
        <v>قسم التربية والتعليم العالي</v>
      </c>
      <c r="E157" s="10" t="str">
        <f ca="1">IFERROR(__xludf.DUMMYFUNCTION("""COMPUTED_VALUE"""),"I- ابتدائية الساقي للبنين (السادسة)")</f>
        <v>I- ابتدائية الساقي للبنين (السادسة)</v>
      </c>
      <c r="F157" s="10" t="str">
        <f ca="1">IFERROR(__xludf.DUMMYFUNCTION("""COMPUTED_VALUE"""),"بجانب البناية")</f>
        <v>بجانب البناية</v>
      </c>
      <c r="G157" s="10" t="str">
        <f ca="1">IFERROR(__xludf.DUMMYFUNCTION("""COMPUTED_VALUE"""),"كاك سقي")</f>
        <v>كاك سقي</v>
      </c>
      <c r="H157" s="10"/>
      <c r="I157" s="12" t="s">
        <v>18</v>
      </c>
      <c r="J157" s="13" t="s">
        <v>14</v>
      </c>
      <c r="K157" s="7">
        <v>45966.452801979161</v>
      </c>
      <c r="L157" s="67"/>
      <c r="M157" s="10"/>
    </row>
    <row r="158" spans="1:13" ht="75" customHeight="1" thickTop="1" thickBot="1">
      <c r="A158" s="7">
        <f ca="1">IFERROR(__xludf.DUMMYFUNCTION("""COMPUTED_VALUE"""),45966.5328430555)</f>
        <v>45966.532843055502</v>
      </c>
      <c r="B158" s="8" t="str">
        <f ca="1">IFERROR(__xludf.DUMMYFUNCTION("""COMPUTED_VALUE"""),"المعملجي")</f>
        <v>المعملجي</v>
      </c>
      <c r="C158" s="9" t="str">
        <f ca="1">IFERROR(__xludf.DUMMYFUNCTION("""COMPUTED_VALUE"""),"عبد الله جابر")</f>
        <v>عبد الله جابر</v>
      </c>
      <c r="D158" s="10" t="str">
        <f ca="1">IFERROR(__xludf.DUMMYFUNCTION("""COMPUTED_VALUE"""),"قسم التربية والتعليم العالي")</f>
        <v>قسم التربية والتعليم العالي</v>
      </c>
      <c r="E158" s="10" t="str">
        <f ca="1">IFERROR(__xludf.DUMMYFUNCTION("""COMPUTED_VALUE"""),"J- ابتدائية الساقي للبنين الجانب الثاني (السابعة)")</f>
        <v>J- ابتدائية الساقي للبنين الجانب الثاني (السابعة)</v>
      </c>
      <c r="F158" s="10" t="str">
        <f ca="1">IFERROR(__xludf.DUMMYFUNCTION("""COMPUTED_VALUE"""),"ZONE A - الطابق الارضي")</f>
        <v>ZONE A - الطابق الارضي</v>
      </c>
      <c r="G158" s="10" t="str">
        <f ca="1">IFERROR(__xludf.DUMMYFUNCTION("""COMPUTED_VALUE"""),"صيانه برادات ")</f>
        <v xml:space="preserve">صيانه برادات </v>
      </c>
      <c r="H158" s="10"/>
      <c r="I158" s="12" t="s">
        <v>18</v>
      </c>
      <c r="J158" s="13" t="s">
        <v>14</v>
      </c>
      <c r="K158" s="7">
        <v>45966.56868733796</v>
      </c>
      <c r="L158" s="67"/>
      <c r="M158" s="10"/>
    </row>
    <row r="159" spans="1:13" ht="75" customHeight="1" thickTop="1" thickBot="1">
      <c r="A159" s="7">
        <f ca="1">IFERROR(__xludf.DUMMYFUNCTION("""COMPUTED_VALUE"""),45962.606371331)</f>
        <v>45962.606371331</v>
      </c>
      <c r="B159" s="8" t="str">
        <f ca="1">IFERROR(__xludf.DUMMYFUNCTION("""COMPUTED_VALUE"""),"المعملجي")</f>
        <v>المعملجي</v>
      </c>
      <c r="C159" s="9" t="str">
        <f ca="1">IFERROR(__xludf.DUMMYFUNCTION("""COMPUTED_VALUE"""),"م. مرتضى")</f>
        <v>م. مرتضى</v>
      </c>
      <c r="D159" s="10" t="str">
        <f ca="1">IFERROR(__xludf.DUMMYFUNCTION("""COMPUTED_VALUE"""),"قسم المشاريع الهندسية")</f>
        <v>قسم المشاريع الهندسية</v>
      </c>
      <c r="E159" s="10" t="str">
        <f ca="1">IFERROR(__xludf.DUMMYFUNCTION("""COMPUTED_VALUE"""),"النافورة")</f>
        <v>النافورة</v>
      </c>
      <c r="F159" s="10" t="str">
        <f ca="1">IFERROR(__xludf.DUMMYFUNCTION("""COMPUTED_VALUE"""),"الارضي")</f>
        <v>الارضي</v>
      </c>
      <c r="G159" s="11" t="str">
        <f ca="1">IFERROR(__xludf.DUMMYFUNCTION("""COMPUTED_VALUE"""),"تم ثقب براغي أنبوب النافورة 
")</f>
        <v xml:space="preserve">تم ثقب براغي أنبوب النافورة 
</v>
      </c>
      <c r="H159" s="10"/>
      <c r="I159" s="12" t="s">
        <v>15</v>
      </c>
      <c r="J159" s="13" t="s">
        <v>14</v>
      </c>
      <c r="K159" s="7">
        <v>45962.606660289355</v>
      </c>
      <c r="L159" s="67"/>
      <c r="M159" s="10"/>
    </row>
    <row r="160" spans="1:13" ht="75" customHeight="1" thickTop="1" thickBot="1">
      <c r="A160" s="14">
        <f ca="1">IFERROR(__xludf.DUMMYFUNCTION("""COMPUTED_VALUE"""),45963.336497199)</f>
        <v>45963.336497199001</v>
      </c>
      <c r="B160" s="8" t="str">
        <f ca="1">IFERROR(__xludf.DUMMYFUNCTION("""COMPUTED_VALUE"""),"المعملجي")</f>
        <v>المعملجي</v>
      </c>
      <c r="C160" s="9" t="str">
        <f ca="1">IFERROR(__xludf.DUMMYFUNCTION("""COMPUTED_VALUE"""),"عبد الله جابر")</f>
        <v>عبد الله جابر</v>
      </c>
      <c r="D160" s="10" t="str">
        <f ca="1">IFERROR(__xludf.DUMMYFUNCTION("""COMPUTED_VALUE"""),"قسم التربية والتعليم العالي")</f>
        <v>قسم التربية والتعليم العالي</v>
      </c>
      <c r="E160" s="10" t="str">
        <f ca="1">IFERROR(__xludf.DUMMYFUNCTION("""COMPUTED_VALUE"""),"B- روضة القمر")</f>
        <v>B- روضة القمر</v>
      </c>
      <c r="F160" s="10" t="str">
        <f ca="1">IFERROR(__xludf.DUMMYFUNCTION("""COMPUTED_VALUE"""),"المجاميع الصحية داخل البناية")</f>
        <v>المجاميع الصحية داخل البناية</v>
      </c>
      <c r="G160" s="11" t="str">
        <f ca="1">IFERROR(__xludf.DUMMYFUNCTION("""COMPUTED_VALUE"""),"ضعف في الماء")</f>
        <v>ضعف في الماء</v>
      </c>
      <c r="H160" s="10"/>
      <c r="I160" s="12" t="s">
        <v>15</v>
      </c>
      <c r="J160" s="13" t="s">
        <v>14</v>
      </c>
      <c r="K160" s="7">
        <v>45963.367570173607</v>
      </c>
      <c r="L160" s="67"/>
      <c r="M160" s="10"/>
    </row>
    <row r="161" spans="1:13" ht="75" customHeight="1" thickTop="1" thickBot="1">
      <c r="A161" s="7">
        <f ca="1">IFERROR(__xludf.DUMMYFUNCTION("""COMPUTED_VALUE"""),45963.3373381365)</f>
        <v>45963.337338136502</v>
      </c>
      <c r="B161" s="8" t="str">
        <f ca="1">IFERROR(__xludf.DUMMYFUNCTION("""COMPUTED_VALUE"""),"المعملجي")</f>
        <v>المعملجي</v>
      </c>
      <c r="C161" s="9" t="str">
        <f ca="1">IFERROR(__xludf.DUMMYFUNCTION("""COMPUTED_VALUE"""),"عبد الله جابر")</f>
        <v>عبد الله جابر</v>
      </c>
      <c r="D161" s="10" t="str">
        <f ca="1">IFERROR(__xludf.DUMMYFUNCTION("""COMPUTED_VALUE"""),"قسم التربية والتعليم العالي")</f>
        <v>قسم التربية والتعليم العالي</v>
      </c>
      <c r="E161" s="10" t="str">
        <f ca="1">IFERROR(__xludf.DUMMYFUNCTION("""COMPUTED_VALUE"""),"B- روضة القمر")</f>
        <v>B- روضة القمر</v>
      </c>
      <c r="F161" s="10" t="str">
        <f ca="1">IFERROR(__xludf.DUMMYFUNCTION("""COMPUTED_VALUE"""),"منظومة ماء الشرب")</f>
        <v>منظومة ماء الشرب</v>
      </c>
      <c r="G161" s="10" t="str">
        <f ca="1">IFERROR(__xludf.DUMMYFUNCTION("""COMPUTED_VALUE"""),"لا يوجد ماء في المنظومة")</f>
        <v>لا يوجد ماء في المنظومة</v>
      </c>
      <c r="H161" s="10"/>
      <c r="I161" s="12" t="s">
        <v>15</v>
      </c>
      <c r="J161" s="13" t="s">
        <v>14</v>
      </c>
      <c r="K161" s="7">
        <v>45963.36761079861</v>
      </c>
      <c r="L161" s="67"/>
      <c r="M161" s="10"/>
    </row>
    <row r="162" spans="1:13" ht="75" customHeight="1" thickTop="1" thickBot="1">
      <c r="A162" s="7">
        <f ca="1">IFERROR(__xludf.DUMMYFUNCTION("""COMPUTED_VALUE"""),45969.3780637615)</f>
        <v>45969.378063761498</v>
      </c>
      <c r="B162" s="8" t="str">
        <f ca="1">IFERROR(__xludf.DUMMYFUNCTION("""COMPUTED_VALUE"""),"المعملجي")</f>
        <v>المعملجي</v>
      </c>
      <c r="C162" s="9" t="str">
        <f ca="1">IFERROR(__xludf.DUMMYFUNCTION("""COMPUTED_VALUE"""),"عبد الله جابر")</f>
        <v>عبد الله جابر</v>
      </c>
      <c r="D162" s="10" t="str">
        <f ca="1">IFERROR(__xludf.DUMMYFUNCTION("""COMPUTED_VALUE"""),"قسم التربية والتعليم العالي")</f>
        <v>قسم التربية والتعليم العالي</v>
      </c>
      <c r="E162" s="10" t="str">
        <f ca="1">IFERROR(__xludf.DUMMYFUNCTION("""COMPUTED_VALUE"""),"D- ثانوية العميد بناية المتوسطة  (الثانية)")</f>
        <v>D- ثانوية العميد بناية المتوسطة  (الثانية)</v>
      </c>
      <c r="F162" s="10" t="str">
        <f ca="1">IFERROR(__xludf.DUMMYFUNCTION("""COMPUTED_VALUE"""),"البنايه  كامله ")</f>
        <v xml:space="preserve">البنايه  كامله </v>
      </c>
      <c r="G162" s="10" t="str">
        <f ca="1">IFERROR(__xludf.DUMMYFUNCTION("""COMPUTED_VALUE"""),"لايوجد ماء اساله ")</f>
        <v xml:space="preserve">لايوجد ماء اساله </v>
      </c>
      <c r="H162" s="10"/>
      <c r="I162" s="12" t="s">
        <v>15</v>
      </c>
      <c r="J162" s="13" t="s">
        <v>14</v>
      </c>
      <c r="K162" s="7">
        <v>45969.441579351856</v>
      </c>
      <c r="L162" s="67"/>
      <c r="M162" s="10"/>
    </row>
    <row r="163" spans="1:13" ht="75" customHeight="1" thickTop="1" thickBot="1">
      <c r="A163" s="7">
        <f ca="1">IFERROR(__xludf.DUMMYFUNCTION("""COMPUTED_VALUE"""),45969.4498763773)</f>
        <v>45969.449876377301</v>
      </c>
      <c r="B163" s="8" t="str">
        <f ca="1">IFERROR(__xludf.DUMMYFUNCTION("""COMPUTED_VALUE"""),"المعملجي")</f>
        <v>المعملجي</v>
      </c>
      <c r="C163" s="9" t="str">
        <f ca="1">IFERROR(__xludf.DUMMYFUNCTION("""COMPUTED_VALUE"""),"م. مرتضى")</f>
        <v>م. مرتضى</v>
      </c>
      <c r="D163" s="10" t="str">
        <f ca="1">IFERROR(__xludf.DUMMYFUNCTION("""COMPUTED_VALUE"""),"قسم المشاريع الهندسية")</f>
        <v>قسم المشاريع الهندسية</v>
      </c>
      <c r="E163" s="10" t="str">
        <f ca="1">IFERROR(__xludf.DUMMYFUNCTION("""COMPUTED_VALUE"""),"نافورة")</f>
        <v>نافورة</v>
      </c>
      <c r="F163" s="10" t="str">
        <f ca="1">IFERROR(__xludf.DUMMYFUNCTION("""COMPUTED_VALUE"""),"مقابل الشاشة")</f>
        <v>مقابل الشاشة</v>
      </c>
      <c r="G163" s="10" t="str">
        <f ca="1">IFERROR(__xludf.DUMMYFUNCTION("""COMPUTED_VALUE"""),"غسل فلاتر النافورة")</f>
        <v>غسل فلاتر النافورة</v>
      </c>
      <c r="H163" s="10"/>
      <c r="I163" s="12" t="s">
        <v>15</v>
      </c>
      <c r="J163" s="13" t="s">
        <v>14</v>
      </c>
      <c r="K163" s="7">
        <v>45969.452415706022</v>
      </c>
      <c r="L163" s="67"/>
      <c r="M163" s="10"/>
    </row>
    <row r="164" spans="1:13" ht="75" customHeight="1" thickTop="1" thickBot="1">
      <c r="A164" s="7">
        <f ca="1">IFERROR(__xludf.DUMMYFUNCTION("""COMPUTED_VALUE"""),45969.4513268865)</f>
        <v>45969.451326886498</v>
      </c>
      <c r="B164" s="8" t="str">
        <f ca="1">IFERROR(__xludf.DUMMYFUNCTION("""COMPUTED_VALUE"""),"المعملجي")</f>
        <v>المعملجي</v>
      </c>
      <c r="C164" s="9" t="str">
        <f ca="1">IFERROR(__xludf.DUMMYFUNCTION("""COMPUTED_VALUE"""),"م. مرتضى ")</f>
        <v xml:space="preserve">م. مرتضى </v>
      </c>
      <c r="D164" s="10" t="str">
        <f ca="1">IFERROR(__xludf.DUMMYFUNCTION("""COMPUTED_VALUE"""),"قسم المشاريع الهندسية")</f>
        <v>قسم المشاريع الهندسية</v>
      </c>
      <c r="E164" s="10" t="str">
        <f ca="1">IFERROR(__xludf.DUMMYFUNCTION("""COMPUTED_VALUE"""),"E- ابتدائية العميد للبنات (الثالثة)")</f>
        <v>E- ابتدائية العميد للبنات (الثالثة)</v>
      </c>
      <c r="F164" s="10" t="str">
        <f ca="1">IFERROR(__xludf.DUMMYFUNCTION("""COMPUTED_VALUE"""),"ZONE B - الطابق الارضي")</f>
        <v>ZONE B - الطابق الارضي</v>
      </c>
      <c r="G164" s="10" t="str">
        <f ca="1">IFERROR(__xludf.DUMMYFUNCTION("""COMPUTED_VALUE"""),"تبديل كاك زاوية")</f>
        <v>تبديل كاك زاوية</v>
      </c>
      <c r="H164" s="10"/>
      <c r="I164" s="12" t="s">
        <v>15</v>
      </c>
      <c r="J164" s="13" t="s">
        <v>14</v>
      </c>
      <c r="K164" s="7">
        <v>45969.452437719912</v>
      </c>
      <c r="L164" s="67"/>
      <c r="M164" s="10"/>
    </row>
    <row r="165" spans="1:13" ht="75" customHeight="1" thickTop="1" thickBot="1">
      <c r="A165" s="7">
        <f ca="1">IFERROR(__xludf.DUMMYFUNCTION("""COMPUTED_VALUE"""),45970.5104035763)</f>
        <v>45970.5104035763</v>
      </c>
      <c r="B165" s="8" t="str">
        <f ca="1">IFERROR(__xludf.DUMMYFUNCTION("""COMPUTED_VALUE"""),"المعملجي")</f>
        <v>المعملجي</v>
      </c>
      <c r="C165" s="9" t="str">
        <f ca="1">IFERROR(__xludf.DUMMYFUNCTION("""COMPUTED_VALUE"""),"عبد الله جابر")</f>
        <v>عبد الله جابر</v>
      </c>
      <c r="D165" s="10" t="str">
        <f ca="1">IFERROR(__xludf.DUMMYFUNCTION("""COMPUTED_VALUE"""),"قسم التربية والتعليم العالي")</f>
        <v>قسم التربية والتعليم العالي</v>
      </c>
      <c r="E165" s="10" t="str">
        <f ca="1">IFERROR(__xludf.DUMMYFUNCTION("""COMPUTED_VALUE"""),"F-  ابتدائية جود العميد للبنات (الرابعة)")</f>
        <v>F-  ابتدائية جود العميد للبنات (الرابعة)</v>
      </c>
      <c r="F165" s="10" t="str">
        <f ca="1">IFERROR(__xludf.DUMMYFUNCTION("""COMPUTED_VALUE"""),"ZONE A - الطابق الارضي")</f>
        <v>ZONE A - الطابق الارضي</v>
      </c>
      <c r="G165" s="10" t="str">
        <f ca="1">IFERROR(__xludf.DUMMYFUNCTION("""COMPUTED_VALUE"""),"صيانه الغربي وصيانه  زنجيل صحيات الادارة ")</f>
        <v xml:space="preserve">صيانه الغربي وصيانه  زنجيل صحيات الادارة </v>
      </c>
      <c r="H165" s="10"/>
      <c r="I165" s="12" t="s">
        <v>15</v>
      </c>
      <c r="J165" s="13" t="s">
        <v>14</v>
      </c>
      <c r="K165" s="7">
        <v>45970.440001932875</v>
      </c>
      <c r="L165" s="67"/>
      <c r="M165" s="10"/>
    </row>
    <row r="166" spans="1:13" ht="75" customHeight="1" thickTop="1" thickBot="1">
      <c r="A166" s="7">
        <f ca="1">IFERROR(__xludf.DUMMYFUNCTION("""COMPUTED_VALUE"""),45970.5133150231)</f>
        <v>45970.513315023098</v>
      </c>
      <c r="B166" s="8" t="str">
        <f ca="1">IFERROR(__xludf.DUMMYFUNCTION("""COMPUTED_VALUE"""),"المعملجي")</f>
        <v>المعملجي</v>
      </c>
      <c r="C166" s="9" t="str">
        <f ca="1">IFERROR(__xludf.DUMMYFUNCTION("""COMPUTED_VALUE"""),"عبد الله جابر")</f>
        <v>عبد الله جابر</v>
      </c>
      <c r="D166" s="10" t="str">
        <f ca="1">IFERROR(__xludf.DUMMYFUNCTION("""COMPUTED_VALUE"""),"قسم التربية والتعليم العالي")</f>
        <v>قسم التربية والتعليم العالي</v>
      </c>
      <c r="E166" s="10" t="str">
        <f ca="1">IFERROR(__xludf.DUMMYFUNCTION("""COMPUTED_VALUE"""),"F-  ابتدائية جود العميد للبنات (الرابعة)")</f>
        <v>F-  ابتدائية جود العميد للبنات (الرابعة)</v>
      </c>
      <c r="F166" s="10" t="str">
        <f ca="1">IFERROR(__xludf.DUMMYFUNCTION("""COMPUTED_VALUE"""),"ZONE B - الطابق الارضي, ZONE B - الطابق الاول")</f>
        <v>ZONE B - الطابق الارضي, ZONE B - الطابق الاول</v>
      </c>
      <c r="G166" s="10" t="str">
        <f ca="1">IFERROR(__xludf.DUMMYFUNCTION("""COMPUTED_VALUE"""),"صحيات الغربي مكسور ")</f>
        <v xml:space="preserve">صحيات الغربي مكسور </v>
      </c>
      <c r="H166" s="10"/>
      <c r="I166" s="12" t="s">
        <v>15</v>
      </c>
      <c r="J166" s="13" t="s">
        <v>14</v>
      </c>
      <c r="K166" s="7">
        <v>45971.346603761573</v>
      </c>
      <c r="L166" s="67"/>
      <c r="M166" s="10"/>
    </row>
    <row r="167" spans="1:13" ht="75" customHeight="1" thickTop="1" thickBot="1">
      <c r="A167" s="7">
        <f ca="1">IFERROR(__xludf.DUMMYFUNCTION("""COMPUTED_VALUE"""),45970.5157330324)</f>
        <v>45970.5157330324</v>
      </c>
      <c r="B167" s="8" t="str">
        <f ca="1">IFERROR(__xludf.DUMMYFUNCTION("""COMPUTED_VALUE"""),"المعملجي")</f>
        <v>المعملجي</v>
      </c>
      <c r="C167" s="9" t="str">
        <f ca="1">IFERROR(__xludf.DUMMYFUNCTION("""COMPUTED_VALUE"""),"عبد الله جابر")</f>
        <v>عبد الله جابر</v>
      </c>
      <c r="D167" s="10" t="str">
        <f ca="1">IFERROR(__xludf.DUMMYFUNCTION("""COMPUTED_VALUE"""),"قسم التربية والتعليم العالي")</f>
        <v>قسم التربية والتعليم العالي</v>
      </c>
      <c r="E167" s="10" t="str">
        <f ca="1">IFERROR(__xludf.DUMMYFUNCTION("""COMPUTED_VALUE"""),"F-  ابتدائية جود العميد للبنات (الرابعة)")</f>
        <v>F-  ابتدائية جود العميد للبنات (الرابعة)</v>
      </c>
      <c r="F167" s="10" t="str">
        <f ca="1">IFERROR(__xludf.DUMMYFUNCTION("""COMPUTED_VALUE"""),"ZONE B - الطابق الارضي, ZONE B - الطابق الثاني")</f>
        <v>ZONE B - الطابق الارضي, ZONE B - الطابق الثاني</v>
      </c>
      <c r="G167" s="10" t="str">
        <f ca="1">IFERROR(__xludf.DUMMYFUNCTION("""COMPUTED_VALUE"""),"السقف الثانوي يسرب ماء ")</f>
        <v xml:space="preserve">السقف الثانوي يسرب ماء </v>
      </c>
      <c r="H167" s="10"/>
      <c r="I167" s="12" t="s">
        <v>15</v>
      </c>
      <c r="J167" s="13" t="s">
        <v>14</v>
      </c>
      <c r="K167" s="7">
        <v>45970.753285601852</v>
      </c>
      <c r="L167" s="67"/>
      <c r="M167" s="10"/>
    </row>
    <row r="168" spans="1:13" ht="75" customHeight="1" thickTop="1" thickBot="1">
      <c r="A168" s="7">
        <f ca="1">IFERROR(__xludf.DUMMYFUNCTION("""COMPUTED_VALUE"""),45970.5163772106)</f>
        <v>45970.516377210603</v>
      </c>
      <c r="B168" s="8" t="str">
        <f ca="1">IFERROR(__xludf.DUMMYFUNCTION("""COMPUTED_VALUE"""),"المعملجي")</f>
        <v>المعملجي</v>
      </c>
      <c r="C168" s="9" t="str">
        <f ca="1">IFERROR(__xludf.DUMMYFUNCTION("""COMPUTED_VALUE"""),"عبد الله جابر")</f>
        <v>عبد الله جابر</v>
      </c>
      <c r="D168" s="10" t="str">
        <f ca="1">IFERROR(__xludf.DUMMYFUNCTION("""COMPUTED_VALUE"""),"قسم التربية والتعليم العالي")</f>
        <v>قسم التربية والتعليم العالي</v>
      </c>
      <c r="E168" s="10" t="str">
        <f ca="1">IFERROR(__xludf.DUMMYFUNCTION("""COMPUTED_VALUE"""),"F-  ابتدائية جود العميد للبنات (الرابعة)")</f>
        <v>F-  ابتدائية جود العميد للبنات (الرابعة)</v>
      </c>
      <c r="F168" s="10" t="str">
        <f ca="1">IFERROR(__xludf.DUMMYFUNCTION("""COMPUTED_VALUE"""),"ZONE B - الطابق الارضي, ZONE B - الطابق الاول")</f>
        <v>ZONE B - الطابق الارضي, ZONE B - الطابق الاول</v>
      </c>
      <c r="G168" s="10" t="str">
        <f ca="1">IFERROR(__xludf.DUMMYFUNCTION("""COMPUTED_VALUE"""),"قاعدة الصابون +شفاط +الغربي ")</f>
        <v xml:space="preserve">قاعدة الصابون +شفاط +الغربي </v>
      </c>
      <c r="H168" s="10"/>
      <c r="I168" s="12" t="s">
        <v>15</v>
      </c>
      <c r="J168" s="13" t="s">
        <v>14</v>
      </c>
      <c r="K168" s="7">
        <v>45971.346719374997</v>
      </c>
      <c r="L168" s="67"/>
      <c r="M168" s="10"/>
    </row>
    <row r="169" spans="1:13" ht="75" customHeight="1" thickTop="1" thickBot="1">
      <c r="A169" s="7">
        <f ca="1">IFERROR(__xludf.DUMMYFUNCTION("""COMPUTED_VALUE"""),45970.5169469676)</f>
        <v>45970.516946967597</v>
      </c>
      <c r="B169" s="8" t="str">
        <f ca="1">IFERROR(__xludf.DUMMYFUNCTION("""COMPUTED_VALUE"""),"المعملجي")</f>
        <v>المعملجي</v>
      </c>
      <c r="C169" s="9" t="str">
        <f ca="1">IFERROR(__xludf.DUMMYFUNCTION("""COMPUTED_VALUE"""),"عبد الله جابر")</f>
        <v>عبد الله جابر</v>
      </c>
      <c r="D169" s="10" t="str">
        <f ca="1">IFERROR(__xludf.DUMMYFUNCTION("""COMPUTED_VALUE"""),"قسم التربية والتعليم العالي")</f>
        <v>قسم التربية والتعليم العالي</v>
      </c>
      <c r="E169" s="10" t="str">
        <f ca="1">IFERROR(__xludf.DUMMYFUNCTION("""COMPUTED_VALUE"""),"F-  ابتدائية جود العميد للبنات (الرابعة)")</f>
        <v>F-  ابتدائية جود العميد للبنات (الرابعة)</v>
      </c>
      <c r="F169" s="10" t="str">
        <f ca="1">IFERROR(__xludf.DUMMYFUNCTION("""COMPUTED_VALUE"""),"ZONE B - الطابق الثاني")</f>
        <v>ZONE B - الطابق الثاني</v>
      </c>
      <c r="G169" s="10" t="str">
        <f ca="1">IFERROR(__xludf.DUMMYFUNCTION("""COMPUTED_VALUE"""),"الغربي مكسور + زنجيل ")</f>
        <v xml:space="preserve">الغربي مكسور + زنجيل </v>
      </c>
      <c r="H169" s="10"/>
      <c r="I169" s="12" t="s">
        <v>15</v>
      </c>
      <c r="J169" s="13" t="s">
        <v>14</v>
      </c>
      <c r="K169" s="7">
        <v>45972.317214895833</v>
      </c>
      <c r="L169" s="67"/>
      <c r="M169" s="10"/>
    </row>
    <row r="170" spans="1:13" ht="75" customHeight="1" thickTop="1" thickBot="1">
      <c r="A170" s="7">
        <f ca="1">IFERROR(__xludf.DUMMYFUNCTION("""COMPUTED_VALUE"""),45971.4327183564)</f>
        <v>45971.432718356402</v>
      </c>
      <c r="B170" s="8" t="str">
        <f ca="1">IFERROR(__xludf.DUMMYFUNCTION("""COMPUTED_VALUE"""),"المعملجي")</f>
        <v>المعملجي</v>
      </c>
      <c r="C170" s="9" t="str">
        <f ca="1">IFERROR(__xludf.DUMMYFUNCTION("""COMPUTED_VALUE"""),"عبد الله جابر")</f>
        <v>عبد الله جابر</v>
      </c>
      <c r="D170" s="10" t="str">
        <f ca="1">IFERROR(__xludf.DUMMYFUNCTION("""COMPUTED_VALUE"""),"قسم التربية والتعليم العالي")</f>
        <v>قسم التربية والتعليم العالي</v>
      </c>
      <c r="E170" s="10" t="str">
        <f ca="1">IFERROR(__xludf.DUMMYFUNCTION("""COMPUTED_VALUE"""),"H- ابتدائية القمر للبنات (الخامسة)")</f>
        <v>H- ابتدائية القمر للبنات (الخامسة)</v>
      </c>
      <c r="F170" s="10" t="str">
        <f ca="1">IFERROR(__xludf.DUMMYFUNCTION("""COMPUTED_VALUE"""),"ZONE A - الطابق الاول")</f>
        <v>ZONE A - الطابق الاول</v>
      </c>
      <c r="G170" s="10" t="str">
        <f ca="1">IFERROR(__xludf.DUMMYFUNCTION("""COMPUTED_VALUE"""),"صيانة مغسلة وانسداد داخل حمامات الطالبات")</f>
        <v>صيانة مغسلة وانسداد داخل حمامات الطالبات</v>
      </c>
      <c r="H170" s="10"/>
      <c r="I170" s="12" t="s">
        <v>15</v>
      </c>
      <c r="J170" s="13" t="s">
        <v>14</v>
      </c>
      <c r="K170" s="7">
        <v>45972.543081342592</v>
      </c>
      <c r="L170" s="67"/>
      <c r="M170" s="10"/>
    </row>
    <row r="171" spans="1:13" ht="75" customHeight="1" thickTop="1" thickBot="1">
      <c r="A171" s="7">
        <f ca="1">IFERROR(__xludf.DUMMYFUNCTION("""COMPUTED_VALUE"""),45973.3098613078)</f>
        <v>45973.309861307796</v>
      </c>
      <c r="B171" s="8" t="str">
        <f ca="1">IFERROR(__xludf.DUMMYFUNCTION("""COMPUTED_VALUE"""),"المعملجي")</f>
        <v>المعملجي</v>
      </c>
      <c r="C171" s="9" t="str">
        <f ca="1">IFERROR(__xludf.DUMMYFUNCTION("""COMPUTED_VALUE"""),"عبد الله جابر")</f>
        <v>عبد الله جابر</v>
      </c>
      <c r="D171" s="10" t="str">
        <f ca="1">IFERROR(__xludf.DUMMYFUNCTION("""COMPUTED_VALUE"""),"قسم التربية والتعليم العالي")</f>
        <v>قسم التربية والتعليم العالي</v>
      </c>
      <c r="E171" s="10" t="str">
        <f ca="1">IFERROR(__xludf.DUMMYFUNCTION("""COMPUTED_VALUE"""),"مقابل الاستعلامات الرئسية")</f>
        <v>مقابل الاستعلامات الرئسية</v>
      </c>
      <c r="F171" s="10" t="str">
        <f ca="1">IFERROR(__xludf.DUMMYFUNCTION("""COMPUTED_VALUE"""),"حديقة")</f>
        <v>حديقة</v>
      </c>
      <c r="G171" s="10" t="str">
        <f ca="1">IFERROR(__xludf.DUMMYFUNCTION("""COMPUTED_VALUE"""),"تبديل كاك ")</f>
        <v xml:space="preserve">تبديل كاك </v>
      </c>
      <c r="H171" s="10"/>
      <c r="I171" s="12" t="s">
        <v>15</v>
      </c>
      <c r="J171" s="13" t="s">
        <v>14</v>
      </c>
      <c r="K171" s="7">
        <v>45973.318784687501</v>
      </c>
      <c r="L171" s="67"/>
      <c r="M171" s="10"/>
    </row>
    <row r="172" spans="1:13" ht="75" customHeight="1" thickTop="1" thickBot="1">
      <c r="A172" s="7">
        <f ca="1">IFERROR(__xludf.DUMMYFUNCTION("""COMPUTED_VALUE"""),45973.3112275694)</f>
        <v>45973.3112275694</v>
      </c>
      <c r="B172" s="8" t="str">
        <f ca="1">IFERROR(__xludf.DUMMYFUNCTION("""COMPUTED_VALUE"""),"المعملجي")</f>
        <v>المعملجي</v>
      </c>
      <c r="C172" s="9" t="str">
        <f ca="1">IFERROR(__xludf.DUMMYFUNCTION("""COMPUTED_VALUE"""),"م. مرتضى ")</f>
        <v xml:space="preserve">م. مرتضى </v>
      </c>
      <c r="D172" s="10" t="str">
        <f ca="1">IFERROR(__xludf.DUMMYFUNCTION("""COMPUTED_VALUE"""),"قسم المشاريع الهندسية")</f>
        <v>قسم المشاريع الهندسية</v>
      </c>
      <c r="E172" s="10" t="str">
        <f ca="1">IFERROR(__xludf.DUMMYFUNCTION("""COMPUTED_VALUE"""),"C- ثانوية العميد بناية الاعدادية  (الاولى)")</f>
        <v>C- ثانوية العميد بناية الاعدادية  (الاولى)</v>
      </c>
      <c r="F172" s="10" t="str">
        <f ca="1">IFERROR(__xludf.DUMMYFUNCTION("""COMPUTED_VALUE"""),"السطح")</f>
        <v>السطح</v>
      </c>
      <c r="G172" s="10" t="str">
        <f ca="1">IFERROR(__xludf.DUMMYFUNCTION("""COMPUTED_VALUE"""),"غسل وإعادة صبغ الأجزاء المتاكسدة ")</f>
        <v xml:space="preserve">غسل وإعادة صبغ الأجزاء المتاكسدة </v>
      </c>
      <c r="H172" s="10"/>
      <c r="I172" s="12" t="s">
        <v>15</v>
      </c>
      <c r="J172" s="13" t="s">
        <v>14</v>
      </c>
      <c r="K172" s="7">
        <v>45973.318871689815</v>
      </c>
      <c r="L172" s="67"/>
      <c r="M172" s="10"/>
    </row>
    <row r="173" spans="1:13" ht="75" customHeight="1" thickTop="1" thickBot="1">
      <c r="A173" s="7">
        <f ca="1">IFERROR(__xludf.DUMMYFUNCTION("""COMPUTED_VALUE"""),45973.3177058912)</f>
        <v>45973.317705891197</v>
      </c>
      <c r="B173" s="8" t="str">
        <f ca="1">IFERROR(__xludf.DUMMYFUNCTION("""COMPUTED_VALUE"""),"المعملجي")</f>
        <v>المعملجي</v>
      </c>
      <c r="C173" s="9" t="str">
        <f ca="1">IFERROR(__xludf.DUMMYFUNCTION("""COMPUTED_VALUE"""),"م. مرتضى ")</f>
        <v xml:space="preserve">م. مرتضى </v>
      </c>
      <c r="D173" s="10" t="str">
        <f ca="1">IFERROR(__xludf.DUMMYFUNCTION("""COMPUTED_VALUE"""),"قسم المشاريع الهندسية")</f>
        <v>قسم المشاريع الهندسية</v>
      </c>
      <c r="E173" s="10" t="str">
        <f ca="1">IFERROR(__xludf.DUMMYFUNCTION("""COMPUTED_VALUE"""),"C- ثانوية العميد بناية الاعدادية  (الاولى), D- ثانوية العميد بناية المتوسطة  (الثانية), E- ابتدائية العميد للبنات (الثالثة)")</f>
        <v>C- ثانوية العميد بناية الاعدادية  (الاولى), D- ثانوية العميد بناية المتوسطة  (الثانية), E- ابتدائية العميد للبنات (الثالثة)</v>
      </c>
      <c r="F173" s="10" t="str">
        <f ca="1">IFERROR(__xludf.DUMMYFUNCTION("""COMPUTED_VALUE"""),"السطح")</f>
        <v>السطح</v>
      </c>
      <c r="G173" s="10" t="str">
        <f ca="1">IFERROR(__xludf.DUMMYFUNCTION("""COMPUTED_VALUE"""),"تشغيل منظومات التحلية للبنايات")</f>
        <v>تشغيل منظومات التحلية للبنايات</v>
      </c>
      <c r="H173" s="10"/>
      <c r="I173" s="12" t="s">
        <v>15</v>
      </c>
      <c r="J173" s="13" t="s">
        <v>14</v>
      </c>
      <c r="K173" s="7">
        <v>45973.318914178242</v>
      </c>
      <c r="L173" s="67"/>
      <c r="M173" s="10"/>
    </row>
    <row r="174" spans="1:13" ht="75" customHeight="1" thickTop="1" thickBot="1">
      <c r="A174" s="7">
        <f ca="1">IFERROR(__xludf.DUMMYFUNCTION("""COMPUTED_VALUE"""),45973.3185847222)</f>
        <v>45973.318584722198</v>
      </c>
      <c r="B174" s="8" t="str">
        <f ca="1">IFERROR(__xludf.DUMMYFUNCTION("""COMPUTED_VALUE"""),"المعملجي")</f>
        <v>المعملجي</v>
      </c>
      <c r="C174" s="9" t="str">
        <f ca="1">IFERROR(__xludf.DUMMYFUNCTION("""COMPUTED_VALUE"""),"م. مرتضى ")</f>
        <v xml:space="preserve">م. مرتضى </v>
      </c>
      <c r="D174" s="10" t="str">
        <f ca="1">IFERROR(__xludf.DUMMYFUNCTION("""COMPUTED_VALUE"""),"قسم المشاريع الهندسية")</f>
        <v>قسم المشاريع الهندسية</v>
      </c>
      <c r="E174" s="10" t="str">
        <f ca="1">IFERROR(__xludf.DUMMYFUNCTION("""COMPUTED_VALUE"""),"F-  ابتدائية جود العميد للبنات (الرابعة), H- ابتدائية القمر للبنات (الخامسة), I- ابتدائية الساقي للبنين (السادسة)")</f>
        <v>F-  ابتدائية جود العميد للبنات (الرابعة), H- ابتدائية القمر للبنات (الخامسة), I- ابتدائية الساقي للبنين (السادسة)</v>
      </c>
      <c r="F174" s="10" t="str">
        <f ca="1">IFERROR(__xludf.DUMMYFUNCTION("""COMPUTED_VALUE"""),"السطح")</f>
        <v>السطح</v>
      </c>
      <c r="G174" s="10" t="str">
        <f ca="1">IFERROR(__xludf.DUMMYFUNCTION("""COMPUTED_VALUE"""),"تشغيل منظومات التحلية للبنايات")</f>
        <v>تشغيل منظومات التحلية للبنايات</v>
      </c>
      <c r="H174" s="10"/>
      <c r="I174" s="12" t="s">
        <v>15</v>
      </c>
      <c r="J174" s="13" t="s">
        <v>14</v>
      </c>
      <c r="K174" s="7">
        <v>45973.31897226852</v>
      </c>
      <c r="L174" s="67"/>
      <c r="M174" s="10"/>
    </row>
    <row r="175" spans="1:13" ht="75" customHeight="1" thickTop="1" thickBot="1">
      <c r="A175" s="7">
        <f ca="1">IFERROR(__xludf.DUMMYFUNCTION("""COMPUTED_VALUE"""),45976.3653248958)</f>
        <v>45976.3653248958</v>
      </c>
      <c r="B175" s="8" t="str">
        <f ca="1">IFERROR(__xludf.DUMMYFUNCTION("""COMPUTED_VALUE"""),"المعملجي")</f>
        <v>المعملجي</v>
      </c>
      <c r="C175" s="9" t="str">
        <f ca="1">IFERROR(__xludf.DUMMYFUNCTION("""COMPUTED_VALUE"""),"عبد الله جابر")</f>
        <v>عبد الله جابر</v>
      </c>
      <c r="D175" s="10" t="str">
        <f ca="1">IFERROR(__xludf.DUMMYFUNCTION("""COMPUTED_VALUE"""),"قسم التربية والتعليم العالي")</f>
        <v>قسم التربية والتعليم العالي</v>
      </c>
      <c r="E175" s="10"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F175" s="10" t="str">
        <f ca="1">IFERROR(__xludf.DUMMYFUNCTION("""COMPUTED_VALUE"""),"ZONE B - الطابق الارضي")</f>
        <v>ZONE B - الطابق الارضي</v>
      </c>
      <c r="G175" s="10" t="str">
        <f ca="1">IFERROR(__xludf.DUMMYFUNCTION("""COMPUTED_VALUE"""),"صيانة حمامات الساحة وحمامات القاطع الدائري")</f>
        <v>صيانة حمامات الساحة وحمامات القاطع الدائري</v>
      </c>
      <c r="H175" s="10"/>
      <c r="I175" s="12" t="s">
        <v>15</v>
      </c>
      <c r="J175" s="13" t="s">
        <v>14</v>
      </c>
      <c r="K175" s="7">
        <v>45976.440787604166</v>
      </c>
      <c r="L175" s="67"/>
      <c r="M175" s="10"/>
    </row>
    <row r="176" spans="1:13" ht="75" customHeight="1" thickTop="1" thickBot="1">
      <c r="A176" s="7">
        <f ca="1">IFERROR(__xludf.DUMMYFUNCTION("""COMPUTED_VALUE"""),45977.4986451736)</f>
        <v>45977.498645173597</v>
      </c>
      <c r="B176" s="8" t="str">
        <f ca="1">IFERROR(__xludf.DUMMYFUNCTION("""COMPUTED_VALUE"""),"المعملجي")</f>
        <v>المعملجي</v>
      </c>
      <c r="C176" s="9" t="str">
        <f ca="1">IFERROR(__xludf.DUMMYFUNCTION("""COMPUTED_VALUE"""),"عبد الله جابر")</f>
        <v>عبد الله جابر</v>
      </c>
      <c r="D176" s="10" t="str">
        <f ca="1">IFERROR(__xludf.DUMMYFUNCTION("""COMPUTED_VALUE"""),"قسم التربية والتعليم العالي")</f>
        <v>قسم التربية والتعليم العالي</v>
      </c>
      <c r="E176" s="10" t="str">
        <f ca="1">IFERROR(__xludf.DUMMYFUNCTION("""COMPUTED_VALUE"""),"B- روضة القمر")</f>
        <v>B- روضة القمر</v>
      </c>
      <c r="F176" s="10" t="str">
        <f ca="1">IFERROR(__xludf.DUMMYFUNCTION("""COMPUTED_VALUE"""),"ZONE A - الطابق الارضي")</f>
        <v>ZONE A - الطابق الارضي</v>
      </c>
      <c r="G176" s="10" t="str">
        <f ca="1">IFERROR(__xludf.DUMMYFUNCTION("""COMPUTED_VALUE"""),"لايوجد ماء في المنظومه ")</f>
        <v xml:space="preserve">لايوجد ماء في المنظومه </v>
      </c>
      <c r="H176" s="10"/>
      <c r="I176" s="12" t="s">
        <v>15</v>
      </c>
      <c r="J176" s="13" t="s">
        <v>14</v>
      </c>
      <c r="K176" s="7">
        <v>45977.721480983797</v>
      </c>
      <c r="L176" s="67"/>
      <c r="M176" s="10"/>
    </row>
    <row r="177" spans="1:13" ht="75" customHeight="1" thickTop="1" thickBot="1">
      <c r="A177" s="7">
        <f ca="1">IFERROR(__xludf.DUMMYFUNCTION("""COMPUTED_VALUE"""),45977.5077439583)</f>
        <v>45977.507743958296</v>
      </c>
      <c r="B177" s="8" t="str">
        <f ca="1">IFERROR(__xludf.DUMMYFUNCTION("""COMPUTED_VALUE"""),"المعملجي")</f>
        <v>المعملجي</v>
      </c>
      <c r="C177" s="9" t="str">
        <f ca="1">IFERROR(__xludf.DUMMYFUNCTION("""COMPUTED_VALUE"""),"عبد الله جابر")</f>
        <v>عبد الله جابر</v>
      </c>
      <c r="D177" s="10" t="str">
        <f ca="1">IFERROR(__xludf.DUMMYFUNCTION("""COMPUTED_VALUE"""),"قسم التربية والتعليم العالي")</f>
        <v>قسم التربية والتعليم العالي</v>
      </c>
      <c r="E177" s="10" t="str">
        <f ca="1">IFERROR(__xludf.DUMMYFUNCTION("""COMPUTED_VALUE"""),"E- ابتدائية العميد للبنات (الثالثة)")</f>
        <v>E- ابتدائية العميد للبنات (الثالثة)</v>
      </c>
      <c r="F177" s="10" t="str">
        <f ca="1">IFERROR(__xludf.DUMMYFUNCTION("""COMPUTED_VALUE"""),"ZONE A - الطابق الاول, ZONE A - الطابق الثاني")</f>
        <v>ZONE A - الطابق الاول, ZONE A - الطابق الثاني</v>
      </c>
      <c r="G177" s="10" t="str">
        <f ca="1">IFERROR(__xludf.DUMMYFUNCTION("""COMPUTED_VALUE"""),"لايوجد ماء اساله ")</f>
        <v xml:space="preserve">لايوجد ماء اساله </v>
      </c>
      <c r="H177" s="10"/>
      <c r="I177" s="12" t="s">
        <v>15</v>
      </c>
      <c r="J177" s="13" t="s">
        <v>14</v>
      </c>
      <c r="K177" s="7">
        <v>45977.547631689813</v>
      </c>
      <c r="L177" s="67"/>
      <c r="M177" s="10"/>
    </row>
    <row r="178" spans="1:13" ht="75" customHeight="1" thickTop="1" thickBot="1">
      <c r="A178" s="7">
        <f ca="1">IFERROR(__xludf.DUMMYFUNCTION("""COMPUTED_VALUE"""),45977.521717743)</f>
        <v>45977.521717743002</v>
      </c>
      <c r="B178" s="8" t="str">
        <f ca="1">IFERROR(__xludf.DUMMYFUNCTION("""COMPUTED_VALUE"""),"المعملجي")</f>
        <v>المعملجي</v>
      </c>
      <c r="C178" s="9" t="str">
        <f ca="1">IFERROR(__xludf.DUMMYFUNCTION("""COMPUTED_VALUE"""),"عبد الله جابر")</f>
        <v>عبد الله جابر</v>
      </c>
      <c r="D178" s="10" t="str">
        <f ca="1">IFERROR(__xludf.DUMMYFUNCTION("""COMPUTED_VALUE"""),"قسم التربية والتعليم العالي")</f>
        <v>قسم التربية والتعليم العالي</v>
      </c>
      <c r="E178" s="10" t="str">
        <f ca="1">IFERROR(__xludf.DUMMYFUNCTION("""COMPUTED_VALUE"""),"B- روضة القمر")</f>
        <v>B- روضة القمر</v>
      </c>
      <c r="F178" s="10" t="str">
        <f ca="1">IFERROR(__xludf.DUMMYFUNCTION("""COMPUTED_VALUE"""),"ZONE A - الطابق الارضي, ZONE A - الطابق الثاني")</f>
        <v>ZONE A - الطابق الارضي, ZONE A - الطابق الثاني</v>
      </c>
      <c r="G178" s="10" t="str">
        <f ca="1">IFERROR(__xludf.DUMMYFUNCTION("""COMPUTED_VALUE"""),"لا يوجد ماء اسالة في صحيات البناية")</f>
        <v>لا يوجد ماء اسالة في صحيات البناية</v>
      </c>
      <c r="H178" s="10"/>
      <c r="I178" s="12" t="s">
        <v>15</v>
      </c>
      <c r="J178" s="13" t="s">
        <v>14</v>
      </c>
      <c r="K178" s="7">
        <v>45977.547663935184</v>
      </c>
      <c r="L178" s="67"/>
      <c r="M178" s="10"/>
    </row>
    <row r="179" spans="1:13" ht="75" customHeight="1" thickTop="1" thickBot="1">
      <c r="A179" s="7">
        <f ca="1">IFERROR(__xludf.DUMMYFUNCTION("""COMPUTED_VALUE"""),45978.3541290277)</f>
        <v>45978.354129027699</v>
      </c>
      <c r="B179" s="8" t="str">
        <f ca="1">IFERROR(__xludf.DUMMYFUNCTION("""COMPUTED_VALUE"""),"المعملجي")</f>
        <v>المعملجي</v>
      </c>
      <c r="C179" s="9" t="str">
        <f ca="1">IFERROR(__xludf.DUMMYFUNCTION("""COMPUTED_VALUE"""),"عبد الله جابر")</f>
        <v>عبد الله جابر</v>
      </c>
      <c r="D179" s="10" t="str">
        <f ca="1">IFERROR(__xludf.DUMMYFUNCTION("""COMPUTED_VALUE"""),"قسم التربية والتعليم العالي")</f>
        <v>قسم التربية والتعليم العالي</v>
      </c>
      <c r="E179" s="10" t="str">
        <f ca="1">IFERROR(__xludf.DUMMYFUNCTION("""COMPUTED_VALUE"""),"J- ابتدائية الساقي للبنين الجانب الثاني (السابعة)")</f>
        <v>J- ابتدائية الساقي للبنين الجانب الثاني (السابعة)</v>
      </c>
      <c r="F179" s="10" t="str">
        <f ca="1">IFERROR(__xludf.DUMMYFUNCTION("""COMPUTED_VALUE"""),"ZONE A - الطابق الارضي")</f>
        <v>ZONE A - الطابق الارضي</v>
      </c>
      <c r="G179" s="10" t="str">
        <f ca="1">IFERROR(__xludf.DUMMYFUNCTION("""COMPUTED_VALUE"""),"صيانة برادات الماء بسبب وجود تنقيط")</f>
        <v>صيانة برادات الماء بسبب وجود تنقيط</v>
      </c>
      <c r="H179" s="10"/>
      <c r="I179" s="12" t="s">
        <v>15</v>
      </c>
      <c r="J179" s="13" t="s">
        <v>14</v>
      </c>
      <c r="K179" s="7">
        <v>45979.309364513887</v>
      </c>
      <c r="L179" s="67"/>
      <c r="M179" s="10"/>
    </row>
    <row r="180" spans="1:13" ht="75" customHeight="1" thickTop="1" thickBot="1">
      <c r="A180" s="7">
        <f ca="1">IFERROR(__xludf.DUMMYFUNCTION("""COMPUTED_VALUE"""),45979.4075665856)</f>
        <v>45979.4075665856</v>
      </c>
      <c r="B180" s="8" t="str">
        <f ca="1">IFERROR(__xludf.DUMMYFUNCTION("""COMPUTED_VALUE"""),"المعملجي")</f>
        <v>المعملجي</v>
      </c>
      <c r="C180" s="9" t="str">
        <f ca="1">IFERROR(__xludf.DUMMYFUNCTION("""COMPUTED_VALUE"""),"عبد الله جابر")</f>
        <v>عبد الله جابر</v>
      </c>
      <c r="D180" s="10" t="str">
        <f ca="1">IFERROR(__xludf.DUMMYFUNCTION("""COMPUTED_VALUE"""),"قسم التربية والتعليم العالي")</f>
        <v>قسم التربية والتعليم العالي</v>
      </c>
      <c r="E180" s="10" t="str">
        <f ca="1">IFERROR(__xludf.DUMMYFUNCTION("""COMPUTED_VALUE"""),"H- ابتدائية القمر للبنات (الخامسة)")</f>
        <v>H- ابتدائية القمر للبنات (الخامسة)</v>
      </c>
      <c r="F180" s="10" t="str">
        <f ca="1">IFERROR(__xludf.DUMMYFUNCTION("""COMPUTED_VALUE"""),"ZONE A - الطابق الارضي")</f>
        <v>ZONE A - الطابق الارضي</v>
      </c>
      <c r="G180" s="10" t="str">
        <f ca="1">IFERROR(__xludf.DUMMYFUNCTION("""COMPUTED_VALUE"""),"تعلاكة صودة في حمامات المعلمات + صيانة حمام غربي مكسور")</f>
        <v>تعلاكة صودة في حمامات المعلمات + صيانة حمام غربي مكسور</v>
      </c>
      <c r="H180" s="10"/>
      <c r="I180" s="12" t="s">
        <v>15</v>
      </c>
      <c r="J180" s="13" t="s">
        <v>14</v>
      </c>
      <c r="K180" s="7">
        <v>45979.494176666667</v>
      </c>
      <c r="L180" s="67"/>
      <c r="M180" s="10"/>
    </row>
    <row r="181" spans="1:13" ht="75" customHeight="1" thickTop="1" thickBot="1">
      <c r="A181" s="7">
        <f ca="1">IFERROR(__xludf.DUMMYFUNCTION("""COMPUTED_VALUE"""),45979.4087903703)</f>
        <v>45979.408790370297</v>
      </c>
      <c r="B181" s="8" t="str">
        <f ca="1">IFERROR(__xludf.DUMMYFUNCTION("""COMPUTED_VALUE"""),"المعملجي")</f>
        <v>المعملجي</v>
      </c>
      <c r="C181" s="9" t="str">
        <f ca="1">IFERROR(__xludf.DUMMYFUNCTION("""COMPUTED_VALUE"""),"عبد الله جابر")</f>
        <v>عبد الله جابر</v>
      </c>
      <c r="D181" s="10" t="str">
        <f ca="1">IFERROR(__xludf.DUMMYFUNCTION("""COMPUTED_VALUE"""),"قسم التربية والتعليم العالي")</f>
        <v>قسم التربية والتعليم العالي</v>
      </c>
      <c r="E181" s="10" t="str">
        <f ca="1">IFERROR(__xludf.DUMMYFUNCTION("""COMPUTED_VALUE"""),"H- ابتدائية القمر للبنات (الخامسة)")</f>
        <v>H- ابتدائية القمر للبنات (الخامسة)</v>
      </c>
      <c r="F181" s="10" t="str">
        <f ca="1">IFERROR(__xludf.DUMMYFUNCTION("""COMPUTED_VALUE"""),"ZONE A - الطابق الاول")</f>
        <v>ZONE A - الطابق الاول</v>
      </c>
      <c r="G181" s="10" t="str">
        <f ca="1">IFERROR(__xludf.DUMMYFUNCTION("""COMPUTED_VALUE"""),"صيانة مغاسل عدد2  + انسداد في الصحيات الخارجيات")</f>
        <v>صيانة مغاسل عدد2  + انسداد في الصحيات الخارجيات</v>
      </c>
      <c r="H181" s="10"/>
      <c r="I181" s="12" t="s">
        <v>15</v>
      </c>
      <c r="J181" s="13" t="s">
        <v>14</v>
      </c>
      <c r="K181" s="7">
        <v>45979.494249953699</v>
      </c>
      <c r="L181" s="67"/>
      <c r="M181" s="10"/>
    </row>
    <row r="182" spans="1:13" ht="75" customHeight="1" thickTop="1" thickBot="1">
      <c r="A182" s="7">
        <f ca="1">IFERROR(__xludf.DUMMYFUNCTION("""COMPUTED_VALUE"""),45979.4949058333)</f>
        <v>45979.4949058333</v>
      </c>
      <c r="B182" s="8" t="str">
        <f ca="1">IFERROR(__xludf.DUMMYFUNCTION("""COMPUTED_VALUE"""),"المعملجي")</f>
        <v>المعملجي</v>
      </c>
      <c r="C182" s="9" t="str">
        <f ca="1">IFERROR(__xludf.DUMMYFUNCTION("""COMPUTED_VALUE"""),"م. مرتضى عباس")</f>
        <v>م. مرتضى عباس</v>
      </c>
      <c r="D182" s="10" t="str">
        <f ca="1">IFERROR(__xludf.DUMMYFUNCTION("""COMPUTED_VALUE"""),"قسم المشاريع الهندسية")</f>
        <v>قسم المشاريع الهندسية</v>
      </c>
      <c r="E182" s="10" t="str">
        <f ca="1">IFERROR(__xludf.DUMMYFUNCTION("""COMPUTED_VALUE"""),"F-  ابتدائية جود العميد للبنات (الرابعة)")</f>
        <v>F-  ابتدائية جود العميد للبنات (الرابعة)</v>
      </c>
      <c r="F182" s="10" t="str">
        <f ca="1">IFERROR(__xludf.DUMMYFUNCTION("""COMPUTED_VALUE"""),"ZONE B - الطابق الثاني")</f>
        <v>ZONE B - الطابق الثاني</v>
      </c>
      <c r="G182" s="10" t="str">
        <f ca="1">IFERROR(__xludf.DUMMYFUNCTION("""COMPUTED_VALUE"""),"تبديل كاك زاوية ")</f>
        <v xml:space="preserve">تبديل كاك زاوية </v>
      </c>
      <c r="H182" s="10"/>
      <c r="I182" s="12" t="s">
        <v>15</v>
      </c>
      <c r="J182" s="13" t="s">
        <v>14</v>
      </c>
      <c r="K182" s="7">
        <v>45979.497260659722</v>
      </c>
      <c r="L182" s="67"/>
      <c r="M182" s="10"/>
    </row>
    <row r="183" spans="1:13" ht="75" customHeight="1" thickTop="1" thickBot="1">
      <c r="A183" s="7">
        <f ca="1">IFERROR(__xludf.DUMMYFUNCTION("""COMPUTED_VALUE"""),45979.4958808217)</f>
        <v>45979.495880821698</v>
      </c>
      <c r="B183" s="8" t="str">
        <f ca="1">IFERROR(__xludf.DUMMYFUNCTION("""COMPUTED_VALUE"""),"المعملجي")</f>
        <v>المعملجي</v>
      </c>
      <c r="C183" s="9" t="str">
        <f ca="1">IFERROR(__xludf.DUMMYFUNCTION("""COMPUTED_VALUE"""),"م. مرتضى ")</f>
        <v xml:space="preserve">م. مرتضى </v>
      </c>
      <c r="D183" s="10" t="str">
        <f ca="1">IFERROR(__xludf.DUMMYFUNCTION("""COMPUTED_VALUE"""),"قسم المشاريع الهندسية")</f>
        <v>قسم المشاريع الهندسية</v>
      </c>
      <c r="E183" s="10" t="str">
        <f ca="1">IFERROR(__xludf.DUMMYFUNCTION("""COMPUTED_VALUE"""),"F-  ابتدائية جود العميد للبنات (الرابعة)")</f>
        <v>F-  ابتدائية جود العميد للبنات (الرابعة)</v>
      </c>
      <c r="F183" s="10" t="str">
        <f ca="1">IFERROR(__xludf.DUMMYFUNCTION("""COMPUTED_VALUE"""),"ZONE B - الطابق الثاني")</f>
        <v>ZONE B - الطابق الثاني</v>
      </c>
      <c r="G183" s="10" t="str">
        <f ca="1">IFERROR(__xludf.DUMMYFUNCTION("""COMPUTED_VALUE"""),"صيانة غربي")</f>
        <v>صيانة غربي</v>
      </c>
      <c r="H183" s="10"/>
      <c r="I183" s="12" t="s">
        <v>15</v>
      </c>
      <c r="J183" s="13" t="s">
        <v>14</v>
      </c>
      <c r="K183" s="7">
        <v>45979.497313217595</v>
      </c>
      <c r="L183" s="67"/>
      <c r="M183" s="10"/>
    </row>
    <row r="184" spans="1:13" ht="75" customHeight="1" thickTop="1" thickBot="1">
      <c r="A184" s="7">
        <f ca="1">IFERROR(__xludf.DUMMYFUNCTION("""COMPUTED_VALUE"""),45979.4969077199)</f>
        <v>45979.496907719898</v>
      </c>
      <c r="B184" s="8" t="str">
        <f ca="1">IFERROR(__xludf.DUMMYFUNCTION("""COMPUTED_VALUE"""),"المعملجي")</f>
        <v>المعملجي</v>
      </c>
      <c r="C184" s="9" t="str">
        <f ca="1">IFERROR(__xludf.DUMMYFUNCTION("""COMPUTED_VALUE"""),"م. مرتضى")</f>
        <v>م. مرتضى</v>
      </c>
      <c r="D184" s="10" t="str">
        <f ca="1">IFERROR(__xludf.DUMMYFUNCTION("""COMPUTED_VALUE"""),"قسم المشاريع الهندسية")</f>
        <v>قسم المشاريع الهندسية</v>
      </c>
      <c r="E184" s="10" t="str">
        <f ca="1">IFERROR(__xludf.DUMMYFUNCTION("""COMPUTED_VALUE"""),"H- ابتدائية القمر للبنات (الخامسة)")</f>
        <v>H- ابتدائية القمر للبنات (الخامسة)</v>
      </c>
      <c r="F184" s="10" t="str">
        <f ca="1">IFERROR(__xludf.DUMMYFUNCTION("""COMPUTED_VALUE"""),"ZONE B - الطابق الاول")</f>
        <v>ZONE B - الطابق الاول</v>
      </c>
      <c r="G184" s="10" t="str">
        <f ca="1">IFERROR(__xludf.DUMMYFUNCTION("""COMPUTED_VALUE"""),"تبديل كاك زاوية ")</f>
        <v xml:space="preserve">تبديل كاك زاوية </v>
      </c>
      <c r="H184" s="10"/>
      <c r="I184" s="12" t="s">
        <v>15</v>
      </c>
      <c r="J184" s="13" t="s">
        <v>14</v>
      </c>
      <c r="K184" s="7">
        <v>45979.497388842588</v>
      </c>
      <c r="L184" s="67"/>
      <c r="M184" s="10"/>
    </row>
    <row r="185" spans="1:13" ht="75" customHeight="1" thickTop="1" thickBot="1">
      <c r="A185" s="7">
        <f ca="1">IFERROR(__xludf.DUMMYFUNCTION("""COMPUTED_VALUE"""),45979.4983551273)</f>
        <v>45979.498355127304</v>
      </c>
      <c r="B185" s="8" t="str">
        <f ca="1">IFERROR(__xludf.DUMMYFUNCTION("""COMPUTED_VALUE"""),"المعملجي")</f>
        <v>المعملجي</v>
      </c>
      <c r="C185" s="9" t="str">
        <f ca="1">IFERROR(__xludf.DUMMYFUNCTION("""COMPUTED_VALUE"""),"م.مرتضى")</f>
        <v>م.مرتضى</v>
      </c>
      <c r="D185" s="10" t="str">
        <f ca="1">IFERROR(__xludf.DUMMYFUNCTION("""COMPUTED_VALUE"""),"قسم المشاريع الهندسية")</f>
        <v>قسم المشاريع الهندسية</v>
      </c>
      <c r="E185" s="10" t="str">
        <f ca="1">IFERROR(__xludf.DUMMYFUNCTION("""COMPUTED_VALUE"""),"H- ابتدائية القمر للبنات (الخامسة)")</f>
        <v>H- ابتدائية القمر للبنات (الخامسة)</v>
      </c>
      <c r="F185" s="10" t="str">
        <f ca="1">IFERROR(__xludf.DUMMYFUNCTION("""COMPUTED_VALUE"""),"ZONE B - الطابق الثاني")</f>
        <v>ZONE B - الطابق الثاني</v>
      </c>
      <c r="G185" s="10" t="str">
        <f ca="1">IFERROR(__xludf.DUMMYFUNCTION("""COMPUTED_VALUE"""),"تبديل ماسكات عدد٢")</f>
        <v>تبديل ماسكات عدد٢</v>
      </c>
      <c r="H185" s="10"/>
      <c r="I185" s="12" t="s">
        <v>15</v>
      </c>
      <c r="J185" s="13" t="s">
        <v>14</v>
      </c>
      <c r="K185" s="7">
        <v>45979.498960590281</v>
      </c>
      <c r="L185" s="67"/>
      <c r="M185" s="10"/>
    </row>
    <row r="186" spans="1:13" ht="75" customHeight="1" thickTop="1" thickBot="1">
      <c r="A186" s="7">
        <f ca="1">IFERROR(__xludf.DUMMYFUNCTION("""COMPUTED_VALUE"""),45979.5015115046)</f>
        <v>45979.501511504597</v>
      </c>
      <c r="B186" s="8" t="str">
        <f ca="1">IFERROR(__xludf.DUMMYFUNCTION("""COMPUTED_VALUE"""),"المعملجي")</f>
        <v>المعملجي</v>
      </c>
      <c r="C186" s="9" t="str">
        <f ca="1">IFERROR(__xludf.DUMMYFUNCTION("""COMPUTED_VALUE"""),"م.مرتضى")</f>
        <v>م.مرتضى</v>
      </c>
      <c r="D186" s="10" t="str">
        <f ca="1">IFERROR(__xludf.DUMMYFUNCTION("""COMPUTED_VALUE"""),"قسم المشاريع الهندسية")</f>
        <v>قسم المشاريع الهندسية</v>
      </c>
      <c r="E186" s="10" t="str">
        <f ca="1">IFERROR(__xludf.DUMMYFUNCTION("""COMPUTED_VALUE"""),"C- ثانوية العميد بناية الاعدادية  (الاولى)")</f>
        <v>C- ثانوية العميد بناية الاعدادية  (الاولى)</v>
      </c>
      <c r="F186" s="10" t="str">
        <f ca="1">IFERROR(__xludf.DUMMYFUNCTION("""COMPUTED_VALUE"""),"السطح")</f>
        <v>السطح</v>
      </c>
      <c r="G186" s="10" t="str">
        <f ca="1">IFERROR(__xludf.DUMMYFUNCTION("""COMPUTED_VALUE"""),"صيانة و ادامة منظومة إطفاء الحرائق الخاصة بالمدرسة")</f>
        <v>صيانة و ادامة منظومة إطفاء الحرائق الخاصة بالمدرسة</v>
      </c>
      <c r="H186" s="10"/>
      <c r="I186" s="12" t="s">
        <v>15</v>
      </c>
      <c r="J186" s="13" t="s">
        <v>14</v>
      </c>
      <c r="K186" s="7">
        <v>45979.503687025463</v>
      </c>
      <c r="L186" s="67"/>
      <c r="M186" s="10"/>
    </row>
    <row r="187" spans="1:13" ht="75" customHeight="1" thickTop="1" thickBot="1">
      <c r="A187" s="7">
        <f ca="1">IFERROR(__xludf.DUMMYFUNCTION("""COMPUTED_VALUE"""),45979.502093368)</f>
        <v>45979.502093367999</v>
      </c>
      <c r="B187" s="8" t="str">
        <f ca="1">IFERROR(__xludf.DUMMYFUNCTION("""COMPUTED_VALUE"""),"المعملجي")</f>
        <v>المعملجي</v>
      </c>
      <c r="C187" s="9" t="str">
        <f ca="1">IFERROR(__xludf.DUMMYFUNCTION("""COMPUTED_VALUE"""),"م. مرتضى ")</f>
        <v xml:space="preserve">م. مرتضى </v>
      </c>
      <c r="D187" s="10" t="str">
        <f ca="1">IFERROR(__xludf.DUMMYFUNCTION("""COMPUTED_VALUE"""),"قسم المشاريع الهندسية")</f>
        <v>قسم المشاريع الهندسية</v>
      </c>
      <c r="E187" s="10" t="str">
        <f ca="1">IFERROR(__xludf.DUMMYFUNCTION("""COMPUTED_VALUE"""),"D- ثانوية العميد بناية المتوسطة  (الثانية)")</f>
        <v>D- ثانوية العميد بناية المتوسطة  (الثانية)</v>
      </c>
      <c r="F187" s="10" t="str">
        <f ca="1">IFERROR(__xludf.DUMMYFUNCTION("""COMPUTED_VALUE"""),"السطح")</f>
        <v>السطح</v>
      </c>
      <c r="G187" s="10" t="str">
        <f ca="1">IFERROR(__xludf.DUMMYFUNCTION("""COMPUTED_VALUE"""),"صيانة و إدامة منظومة إطفاء الحرائق في البناية ")</f>
        <v xml:space="preserve">صيانة و إدامة منظومة إطفاء الحرائق في البناية </v>
      </c>
      <c r="H187" s="10"/>
      <c r="I187" s="12" t="s">
        <v>15</v>
      </c>
      <c r="J187" s="13" t="s">
        <v>14</v>
      </c>
      <c r="K187" s="7">
        <v>45979.503760740743</v>
      </c>
      <c r="L187" s="67"/>
      <c r="M187" s="10"/>
    </row>
    <row r="188" spans="1:13" ht="75" customHeight="1" thickTop="1" thickBot="1">
      <c r="A188" s="7">
        <f ca="1">IFERROR(__xludf.DUMMYFUNCTION("""COMPUTED_VALUE"""),45980.4284909143)</f>
        <v>45980.428490914303</v>
      </c>
      <c r="B188" s="8" t="str">
        <f ca="1">IFERROR(__xludf.DUMMYFUNCTION("""COMPUTED_VALUE"""),"المعملجي")</f>
        <v>المعملجي</v>
      </c>
      <c r="C188" s="9" t="str">
        <f ca="1">IFERROR(__xludf.DUMMYFUNCTION("""COMPUTED_VALUE"""),"عبد الله جابر")</f>
        <v>عبد الله جابر</v>
      </c>
      <c r="D188" s="10" t="str">
        <f ca="1">IFERROR(__xludf.DUMMYFUNCTION("""COMPUTED_VALUE"""),"قسم التربية والتعليم العالي")</f>
        <v>قسم التربية والتعليم العالي</v>
      </c>
      <c r="E188" s="10" t="str">
        <f ca="1">IFERROR(__xludf.DUMMYFUNCTION("""COMPUTED_VALUE"""),"B- روضة القمر")</f>
        <v>B- روضة القمر</v>
      </c>
      <c r="F188" s="10" t="str">
        <f ca="1">IFERROR(__xludf.DUMMYFUNCTION("""COMPUTED_VALUE"""),"ZONE A - الطابق الثاني")</f>
        <v>ZONE A - الطابق الثاني</v>
      </c>
      <c r="G188" s="10" t="str">
        <f ca="1">IFERROR(__xludf.DUMMYFUNCTION("""COMPUTED_VALUE"""),"صيانة مغسلة انسداد في مجرى التصريف و الخرطوم تالف + صيانة حمام غربي المقعد يحتاج الى تثبيت")</f>
        <v>صيانة مغسلة انسداد في مجرى التصريف و الخرطوم تالف + صيانة حمام غربي المقعد يحتاج الى تثبيت</v>
      </c>
      <c r="H188" s="10"/>
      <c r="I188" s="12" t="s">
        <v>15</v>
      </c>
      <c r="J188" s="13" t="s">
        <v>14</v>
      </c>
      <c r="K188" s="7">
        <v>45980.53957277778</v>
      </c>
      <c r="L188" s="67"/>
      <c r="M188" s="10"/>
    </row>
    <row r="189" spans="1:13" ht="75" customHeight="1" thickTop="1" thickBot="1">
      <c r="A189" s="7">
        <f ca="1">IFERROR(__xludf.DUMMYFUNCTION("""COMPUTED_VALUE"""),45981.3171844328)</f>
        <v>45981.317184432803</v>
      </c>
      <c r="B189" s="8" t="str">
        <f ca="1">IFERROR(__xludf.DUMMYFUNCTION("""COMPUTED_VALUE"""),"المعملجي")</f>
        <v>المعملجي</v>
      </c>
      <c r="C189" s="9" t="str">
        <f ca="1">IFERROR(__xludf.DUMMYFUNCTION("""COMPUTED_VALUE"""),"عبد الله جابر")</f>
        <v>عبد الله جابر</v>
      </c>
      <c r="D189" s="10" t="str">
        <f ca="1">IFERROR(__xludf.DUMMYFUNCTION("""COMPUTED_VALUE"""),"قسم التربية والتعليم العالي")</f>
        <v>قسم التربية والتعليم العالي</v>
      </c>
      <c r="E189" s="10" t="str">
        <f ca="1">IFERROR(__xludf.DUMMYFUNCTION("""COMPUTED_VALUE"""),"H- ابتدائية القمر للبنات (الخامسة)")</f>
        <v>H- ابتدائية القمر للبنات (الخامسة)</v>
      </c>
      <c r="F189" s="10" t="str">
        <f ca="1">IFERROR(__xludf.DUMMYFUNCTION("""COMPUTED_VALUE"""),"ZONE A - الطابق الارضي")</f>
        <v>ZONE A - الطابق الارضي</v>
      </c>
      <c r="G189" s="10" t="str">
        <f ca="1">IFERROR(__xludf.DUMMYFUNCTION("""COMPUTED_VALUE"""),"لا يوجد ماء في المنظومة ")</f>
        <v xml:space="preserve">لا يوجد ماء في المنظومة </v>
      </c>
      <c r="H189" s="10"/>
      <c r="I189" s="12" t="s">
        <v>15</v>
      </c>
      <c r="J189" s="13" t="s">
        <v>14</v>
      </c>
      <c r="K189" s="7">
        <v>45981.383719652775</v>
      </c>
      <c r="L189" s="67"/>
      <c r="M189" s="10"/>
    </row>
    <row r="190" spans="1:13" ht="75" customHeight="1" thickTop="1" thickBot="1">
      <c r="A190" s="7">
        <f ca="1">IFERROR(__xludf.DUMMYFUNCTION("""COMPUTED_VALUE"""),45981.3504852546)</f>
        <v>45981.350485254603</v>
      </c>
      <c r="B190" s="8" t="str">
        <f ca="1">IFERROR(__xludf.DUMMYFUNCTION("""COMPUTED_VALUE"""),"المعملجي")</f>
        <v>المعملجي</v>
      </c>
      <c r="C190" s="9" t="str">
        <f ca="1">IFERROR(__xludf.DUMMYFUNCTION("""COMPUTED_VALUE"""),"عبد الله جابر")</f>
        <v>عبد الله جابر</v>
      </c>
      <c r="D190" s="10" t="str">
        <f ca="1">IFERROR(__xludf.DUMMYFUNCTION("""COMPUTED_VALUE"""),"قسم التربية والتعليم العالي")</f>
        <v>قسم التربية والتعليم العالي</v>
      </c>
      <c r="E190" s="10" t="str">
        <f ca="1">IFERROR(__xludf.DUMMYFUNCTION("""COMPUTED_VALUE"""),"C- ثانوية العميد بناية الاعدادية  (الاولى)")</f>
        <v>C- ثانوية العميد بناية الاعدادية  (الاولى)</v>
      </c>
      <c r="F190" s="10" t="str">
        <f ca="1">IFERROR(__xludf.DUMMYFUNCTION("""COMPUTED_VALUE"""),"ZONE A - الطابق الارضي")</f>
        <v>ZONE A - الطابق الارضي</v>
      </c>
      <c r="G190" s="10" t="str">
        <f ca="1">IFERROR(__xludf.DUMMYFUNCTION("""COMPUTED_VALUE"""),"صيانة حمامات ")</f>
        <v xml:space="preserve">صيانة حمامات </v>
      </c>
      <c r="H190" s="10"/>
      <c r="I190" s="12" t="s">
        <v>15</v>
      </c>
      <c r="J190" s="13" t="s">
        <v>14</v>
      </c>
      <c r="K190" s="7">
        <v>45983.371487442128</v>
      </c>
      <c r="L190" s="67"/>
      <c r="M190" s="10"/>
    </row>
    <row r="191" spans="1:13" ht="75" customHeight="1" thickTop="1" thickBot="1">
      <c r="A191" s="7">
        <f ca="1">IFERROR(__xludf.DUMMYFUNCTION("""COMPUTED_VALUE"""),45981.4570973379)</f>
        <v>45981.457097337901</v>
      </c>
      <c r="B191" s="8" t="str">
        <f ca="1">IFERROR(__xludf.DUMMYFUNCTION("""COMPUTED_VALUE"""),"المعملجي")</f>
        <v>المعملجي</v>
      </c>
      <c r="C191" s="9" t="str">
        <f ca="1">IFERROR(__xludf.DUMMYFUNCTION("""COMPUTED_VALUE"""),"عبد الله جابر")</f>
        <v>عبد الله جابر</v>
      </c>
      <c r="D191" s="10" t="str">
        <f ca="1">IFERROR(__xludf.DUMMYFUNCTION("""COMPUTED_VALUE"""),"قسم التربية والتعليم العالي")</f>
        <v>قسم التربية والتعليم العالي</v>
      </c>
      <c r="E191" s="10" t="str">
        <f ca="1">IFERROR(__xludf.DUMMYFUNCTION("""COMPUTED_VALUE"""),"الاستعلامات الرئيسية")</f>
        <v>الاستعلامات الرئيسية</v>
      </c>
      <c r="F191" s="10" t="str">
        <f ca="1">IFERROR(__xludf.DUMMYFUNCTION("""COMPUTED_VALUE"""),"ZONE A - الطابق الارضي, الصحيات قرب البصمة")</f>
        <v>ZONE A - الطابق الارضي, الصحيات قرب البصمة</v>
      </c>
      <c r="G191" s="10" t="str">
        <f ca="1">IFERROR(__xludf.DUMMYFUNCTION("""COMPUTED_VALUE"""),"صيانة الخيط الخاص بحوض الفلاش")</f>
        <v>صيانة الخيط الخاص بحوض الفلاش</v>
      </c>
      <c r="H191" s="10"/>
      <c r="I191" s="12" t="s">
        <v>15</v>
      </c>
      <c r="J191" s="13" t="s">
        <v>14</v>
      </c>
      <c r="K191" s="7">
        <v>45981.583344166662</v>
      </c>
      <c r="L191" s="67"/>
      <c r="M191" s="10"/>
    </row>
    <row r="192" spans="1:13" ht="75" customHeight="1" thickTop="1" thickBot="1">
      <c r="A192" s="7">
        <f ca="1">IFERROR(__xludf.DUMMYFUNCTION("""COMPUTED_VALUE"""),45981.5361304861)</f>
        <v>45981.5361304861</v>
      </c>
      <c r="B192" s="8" t="str">
        <f ca="1">IFERROR(__xludf.DUMMYFUNCTION("""COMPUTED_VALUE"""),"المعملجي")</f>
        <v>المعملجي</v>
      </c>
      <c r="C192" s="9" t="str">
        <f ca="1">IFERROR(__xludf.DUMMYFUNCTION("""COMPUTED_VALUE"""),"عبد الله جابر")</f>
        <v>عبد الله جابر</v>
      </c>
      <c r="D192" s="10" t="str">
        <f ca="1">IFERROR(__xludf.DUMMYFUNCTION("""COMPUTED_VALUE"""),"قسم التربية والتعليم العالي")</f>
        <v>قسم التربية والتعليم العالي</v>
      </c>
      <c r="E192" s="10" t="str">
        <f ca="1">IFERROR(__xludf.DUMMYFUNCTION("""COMPUTED_VALUE"""),"E- ابتدائية العميد للبنات (الثالثة)")</f>
        <v>E- ابتدائية العميد للبنات (الثالثة)</v>
      </c>
      <c r="F192" s="10" t="str">
        <f ca="1">IFERROR(__xludf.DUMMYFUNCTION("""COMPUTED_VALUE"""),"ZONE A - الطابق الاول")</f>
        <v>ZONE A - الطابق الاول</v>
      </c>
      <c r="G192" s="10" t="str">
        <f ca="1">IFERROR(__xludf.DUMMYFUNCTION("""COMPUTED_VALUE"""),"صيانه في الحمام  ")</f>
        <v xml:space="preserve">صيانه في الحمام  </v>
      </c>
      <c r="H192" s="10"/>
      <c r="I192" s="12" t="s">
        <v>15</v>
      </c>
      <c r="J192" s="13" t="s">
        <v>14</v>
      </c>
      <c r="K192" s="7">
        <v>45983.536908877315</v>
      </c>
      <c r="L192" s="67"/>
      <c r="M192" s="10"/>
    </row>
    <row r="193" spans="1:13" ht="75" customHeight="1" thickTop="1" thickBot="1">
      <c r="A193" s="7">
        <f ca="1">IFERROR(__xludf.DUMMYFUNCTION("""COMPUTED_VALUE"""),45984.4867976273)</f>
        <v>45984.486797627302</v>
      </c>
      <c r="B193" s="8" t="str">
        <f ca="1">IFERROR(__xludf.DUMMYFUNCTION("""COMPUTED_VALUE"""),"المعملجي")</f>
        <v>المعملجي</v>
      </c>
      <c r="C193" s="9" t="str">
        <f ca="1">IFERROR(__xludf.DUMMYFUNCTION("""COMPUTED_VALUE"""),"م. مرتضى ")</f>
        <v xml:space="preserve">م. مرتضى </v>
      </c>
      <c r="D193" s="10" t="str">
        <f ca="1">IFERROR(__xludf.DUMMYFUNCTION("""COMPUTED_VALUE"""),"قسم المشاريع الهندسية")</f>
        <v>قسم المشاريع الهندسية</v>
      </c>
      <c r="E193" s="10" t="str">
        <f ca="1">IFERROR(__xludf.DUMMYFUNCTION("""COMPUTED_VALUE"""),"E- ابتدائية العميد للبنات (الثالثة)")</f>
        <v>E- ابتدائية العميد للبنات (الثالثة)</v>
      </c>
      <c r="F193" s="10" t="str">
        <f ca="1">IFERROR(__xludf.DUMMYFUNCTION("""COMPUTED_VALUE"""),"السطح")</f>
        <v>السطح</v>
      </c>
      <c r="G193" s="10" t="str">
        <f ca="1">IFERROR(__xludf.DUMMYFUNCTION("""COMPUTED_VALUE"""),"صيانة و إدامة منظومة إطفاء الحرائق في البناية ")</f>
        <v xml:space="preserve">صيانة و إدامة منظومة إطفاء الحرائق في البناية </v>
      </c>
      <c r="H193" s="10"/>
      <c r="I193" s="12" t="s">
        <v>15</v>
      </c>
      <c r="J193" s="13" t="s">
        <v>14</v>
      </c>
      <c r="K193" s="7">
        <v>45984.50082346065</v>
      </c>
      <c r="L193" s="67"/>
      <c r="M193" s="10"/>
    </row>
    <row r="194" spans="1:13" ht="75" customHeight="1" thickTop="1" thickBot="1">
      <c r="A194" s="7">
        <f ca="1">IFERROR(__xludf.DUMMYFUNCTION("""COMPUTED_VALUE"""),45984.4872029976)</f>
        <v>45984.487202997603</v>
      </c>
      <c r="B194" s="8" t="str">
        <f ca="1">IFERROR(__xludf.DUMMYFUNCTION("""COMPUTED_VALUE"""),"المعملجي")</f>
        <v>المعملجي</v>
      </c>
      <c r="C194" s="9" t="str">
        <f ca="1">IFERROR(__xludf.DUMMYFUNCTION("""COMPUTED_VALUE"""),"م. مرتضى ")</f>
        <v xml:space="preserve">م. مرتضى </v>
      </c>
      <c r="D194" s="10" t="str">
        <f ca="1">IFERROR(__xludf.DUMMYFUNCTION("""COMPUTED_VALUE"""),"قسم المشاريع الهندسية")</f>
        <v>قسم المشاريع الهندسية</v>
      </c>
      <c r="E194" s="10" t="str">
        <f ca="1">IFERROR(__xludf.DUMMYFUNCTION("""COMPUTED_VALUE"""),"F-  ابتدائية جود العميد للبنات (الرابعة)")</f>
        <v>F-  ابتدائية جود العميد للبنات (الرابعة)</v>
      </c>
      <c r="F194" s="10" t="str">
        <f ca="1">IFERROR(__xludf.DUMMYFUNCTION("""COMPUTED_VALUE"""),"السطح")</f>
        <v>السطح</v>
      </c>
      <c r="G194" s="10" t="str">
        <f ca="1">IFERROR(__xludf.DUMMYFUNCTION("""COMPUTED_VALUE"""),"صيانة و إدامة منظومة إطفاء الحرائق في البناية ")</f>
        <v xml:space="preserve">صيانة و إدامة منظومة إطفاء الحرائق في البناية </v>
      </c>
      <c r="H194" s="10"/>
      <c r="I194" s="12" t="s">
        <v>15</v>
      </c>
      <c r="J194" s="13" t="s">
        <v>14</v>
      </c>
      <c r="K194" s="7">
        <v>45984.500883425921</v>
      </c>
      <c r="L194" s="67"/>
      <c r="M194" s="10"/>
    </row>
    <row r="195" spans="1:13" ht="75" customHeight="1" thickTop="1" thickBot="1">
      <c r="A195" s="7">
        <f ca="1">IFERROR(__xludf.DUMMYFUNCTION("""COMPUTED_VALUE"""),45984.4882705092)</f>
        <v>45984.488270509202</v>
      </c>
      <c r="B195" s="8" t="str">
        <f ca="1">IFERROR(__xludf.DUMMYFUNCTION("""COMPUTED_VALUE"""),"المعملجي")</f>
        <v>المعملجي</v>
      </c>
      <c r="C195" s="9" t="str">
        <f ca="1">IFERROR(__xludf.DUMMYFUNCTION("""COMPUTED_VALUE"""),"م. مرتضى ")</f>
        <v xml:space="preserve">م. مرتضى </v>
      </c>
      <c r="D195" s="10" t="str">
        <f ca="1">IFERROR(__xludf.DUMMYFUNCTION("""COMPUTED_VALUE"""),"قسم المشاريع الهندسية")</f>
        <v>قسم المشاريع الهندسية</v>
      </c>
      <c r="E195" s="10" t="str">
        <f ca="1">IFERROR(__xludf.DUMMYFUNCTION("""COMPUTED_VALUE"""),"غرفة المظخات")</f>
        <v>غرفة المظخات</v>
      </c>
      <c r="F195" s="10" t="str">
        <f ca="1">IFERROR(__xludf.DUMMYFUNCTION("""COMPUTED_VALUE"""),"شعبة الصيانة")</f>
        <v>شعبة الصيانة</v>
      </c>
      <c r="G195" s="10" t="str">
        <f ca="1">IFERROR(__xludf.DUMMYFUNCTION("""COMPUTED_VALUE"""),"صيانة الكابلنك الخاص بمضخة الجوكي")</f>
        <v>صيانة الكابلنك الخاص بمضخة الجوكي</v>
      </c>
      <c r="H195" s="10"/>
      <c r="I195" s="12" t="s">
        <v>15</v>
      </c>
      <c r="J195" s="13" t="s">
        <v>14</v>
      </c>
      <c r="K195" s="7">
        <v>45984.500984363425</v>
      </c>
      <c r="L195" s="67"/>
      <c r="M195" s="10"/>
    </row>
    <row r="196" spans="1:13" ht="75" customHeight="1" thickTop="1" thickBot="1">
      <c r="A196" s="7">
        <f ca="1">IFERROR(__xludf.DUMMYFUNCTION("""COMPUTED_VALUE"""),45984.5348341435)</f>
        <v>45984.534834143502</v>
      </c>
      <c r="B196" s="8" t="str">
        <f ca="1">IFERROR(__xludf.DUMMYFUNCTION("""COMPUTED_VALUE"""),"المعملجي")</f>
        <v>المعملجي</v>
      </c>
      <c r="C196" s="9" t="str">
        <f ca="1">IFERROR(__xludf.DUMMYFUNCTION("""COMPUTED_VALUE"""),"عبد الله جابر")</f>
        <v>عبد الله جابر</v>
      </c>
      <c r="D196" s="10" t="str">
        <f ca="1">IFERROR(__xludf.DUMMYFUNCTION("""COMPUTED_VALUE"""),"قسم التربية والتعليم العالي")</f>
        <v>قسم التربية والتعليم العالي</v>
      </c>
      <c r="E196" s="10" t="str">
        <f ca="1">IFERROR(__xludf.DUMMYFUNCTION("""COMPUTED_VALUE"""),"I- ابتدائية الساقي للبنين (السادسة)")</f>
        <v>I- ابتدائية الساقي للبنين (السادسة)</v>
      </c>
      <c r="F196" s="10" t="str">
        <f ca="1">IFERROR(__xludf.DUMMYFUNCTION("""COMPUTED_VALUE"""),"المجاميع الصحية")</f>
        <v>المجاميع الصحية</v>
      </c>
      <c r="G196" s="10" t="str">
        <f ca="1">IFERROR(__xludf.DUMMYFUNCTION("""COMPUTED_VALUE"""),"لا يوجد ماء في الصحيات")</f>
        <v>لا يوجد ماء في الصحيات</v>
      </c>
      <c r="H196" s="10"/>
      <c r="I196" s="12" t="s">
        <v>15</v>
      </c>
      <c r="J196" s="13" t="s">
        <v>14</v>
      </c>
      <c r="K196" s="7">
        <v>45984.540885925926</v>
      </c>
      <c r="L196" s="67"/>
      <c r="M196" s="10"/>
    </row>
    <row r="197" spans="1:13" ht="75" customHeight="1" thickTop="1" thickBot="1">
      <c r="A197" s="7">
        <f ca="1">IFERROR(__xludf.DUMMYFUNCTION("""COMPUTED_VALUE"""),45985.3834819907)</f>
        <v>45985.383481990699</v>
      </c>
      <c r="B197" s="8" t="str">
        <f ca="1">IFERROR(__xludf.DUMMYFUNCTION("""COMPUTED_VALUE"""),"المعملجي")</f>
        <v>المعملجي</v>
      </c>
      <c r="C197" s="9" t="str">
        <f ca="1">IFERROR(__xludf.DUMMYFUNCTION("""COMPUTED_VALUE"""),"عبد الله جابر")</f>
        <v>عبد الله جابر</v>
      </c>
      <c r="D197" s="10" t="str">
        <f ca="1">IFERROR(__xludf.DUMMYFUNCTION("""COMPUTED_VALUE"""),"قسم التربية والتعليم العالي")</f>
        <v>قسم التربية والتعليم العالي</v>
      </c>
      <c r="E197" s="10" t="str">
        <f ca="1">IFERROR(__xludf.DUMMYFUNCTION("""COMPUTED_VALUE"""),"A- المركز الثقافي, الممر المحاذي لمدخل باب رئاسة القسم")</f>
        <v>A- المركز الثقافي, الممر المحاذي لمدخل باب رئاسة القسم</v>
      </c>
      <c r="F197" s="10" t="str">
        <f ca="1">IFERROR(__xludf.DUMMYFUNCTION("""COMPUTED_VALUE"""),"ZONE A - الطابق الارضي")</f>
        <v>ZONE A - الطابق الارضي</v>
      </c>
      <c r="G197" s="10" t="str">
        <f ca="1">IFERROR(__xludf.DUMMYFUNCTION("""COMPUTED_VALUE"""),"استبدال قبق منهولة ")</f>
        <v xml:space="preserve">استبدال قبق منهولة </v>
      </c>
      <c r="H197" s="10"/>
      <c r="I197" s="12" t="s">
        <v>15</v>
      </c>
      <c r="J197" s="13" t="s">
        <v>14</v>
      </c>
      <c r="K197" s="7">
        <v>45985.478058541667</v>
      </c>
      <c r="L197" s="67"/>
      <c r="M197" s="10"/>
    </row>
    <row r="198" spans="1:13" ht="75" customHeight="1" thickTop="1" thickBot="1">
      <c r="A198" s="7">
        <f ca="1">IFERROR(__xludf.DUMMYFUNCTION("""COMPUTED_VALUE"""),45985.4481815856)</f>
        <v>45985.448181585598</v>
      </c>
      <c r="B198" s="8" t="str">
        <f ca="1">IFERROR(__xludf.DUMMYFUNCTION("""COMPUTED_VALUE"""),"المعملجي")</f>
        <v>المعملجي</v>
      </c>
      <c r="C198" s="9" t="str">
        <f ca="1">IFERROR(__xludf.DUMMYFUNCTION("""COMPUTED_VALUE"""),"عبد الله جابر")</f>
        <v>عبد الله جابر</v>
      </c>
      <c r="D198" s="10" t="str">
        <f ca="1">IFERROR(__xludf.DUMMYFUNCTION("""COMPUTED_VALUE"""),"قسم التربية والتعليم العالي")</f>
        <v>قسم التربية والتعليم العالي</v>
      </c>
      <c r="E198" s="10" t="str">
        <f ca="1">IFERROR(__xludf.DUMMYFUNCTION("""COMPUTED_VALUE"""),"I- ابتدائية الساقي للبنين (السادسة)")</f>
        <v>I- ابتدائية الساقي للبنين (السادسة)</v>
      </c>
      <c r="F198" s="10" t="str">
        <f ca="1">IFERROR(__xludf.DUMMYFUNCTION("""COMPUTED_VALUE"""),"ZONE A - الطابق الارضي")</f>
        <v>ZONE A - الطابق الارضي</v>
      </c>
      <c r="G198" s="10" t="str">
        <f ca="1">IFERROR(__xludf.DUMMYFUNCTION("""COMPUTED_VALUE"""),"صيانة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هـ"&amp;" صيانة رحلات
صيانة بردات ثالث د
ثالث هـ صيانة كرسي المعلمة")</f>
        <v>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 صيانة رحلات
صيانة بردات ثالث د
ثالث هـ صيانة كرسي المعلمة</v>
      </c>
      <c r="H198" s="10"/>
      <c r="I198" s="12" t="s">
        <v>15</v>
      </c>
      <c r="J198" s="13" t="s">
        <v>14</v>
      </c>
      <c r="K198" s="7">
        <v>45986.295926203704</v>
      </c>
      <c r="L198" s="67"/>
      <c r="M198" s="10"/>
    </row>
    <row r="199" spans="1:13" ht="75" customHeight="1" thickTop="1" thickBot="1">
      <c r="A199" s="7">
        <f ca="1">IFERROR(__xludf.DUMMYFUNCTION("""COMPUTED_VALUE"""),45985.4601900578)</f>
        <v>45985.460190057798</v>
      </c>
      <c r="B199" s="8" t="str">
        <f ca="1">IFERROR(__xludf.DUMMYFUNCTION("""COMPUTED_VALUE"""),"المعملجي")</f>
        <v>المعملجي</v>
      </c>
      <c r="C199" s="9" t="str">
        <f ca="1">IFERROR(__xludf.DUMMYFUNCTION("""COMPUTED_VALUE"""),"عبد الله جابر")</f>
        <v>عبد الله جابر</v>
      </c>
      <c r="D199" s="10" t="str">
        <f ca="1">IFERROR(__xludf.DUMMYFUNCTION("""COMPUTED_VALUE"""),"قسم التربية والتعليم العالي")</f>
        <v>قسم التربية والتعليم العالي</v>
      </c>
      <c r="E199" s="10" t="str">
        <f ca="1">IFERROR(__xludf.DUMMYFUNCTION("""COMPUTED_VALUE"""),"J- جامعة العميد (السابعة)")</f>
        <v>J- جامعة العميد (السابعة)</v>
      </c>
      <c r="F199" s="10" t="str">
        <f ca="1">IFERROR(__xludf.DUMMYFUNCTION("""COMPUTED_VALUE"""),"ZONE A - الطابق الارضي")</f>
        <v>ZONE A - الطابق الارضي</v>
      </c>
      <c r="G199" s="10" t="str">
        <f ca="1">IFERROR(__xludf.DUMMYFUNCTION("""COMPUTED_VALUE"""),"صيانة براد ماء")</f>
        <v>صيانة براد ماء</v>
      </c>
      <c r="H199" s="10"/>
      <c r="I199" s="12" t="s">
        <v>15</v>
      </c>
      <c r="J199" s="13" t="s">
        <v>14</v>
      </c>
      <c r="K199" s="7">
        <v>45985.542530439816</v>
      </c>
      <c r="L199" s="67"/>
      <c r="M199" s="10"/>
    </row>
    <row r="200" spans="1:13" ht="75" customHeight="1" thickTop="1" thickBot="1">
      <c r="A200" s="7">
        <f ca="1">IFERROR(__xludf.DUMMYFUNCTION("""COMPUTED_VALUE"""),45985.5270898148)</f>
        <v>45985.527089814801</v>
      </c>
      <c r="B200" s="8" t="str">
        <f ca="1">IFERROR(__xludf.DUMMYFUNCTION("""COMPUTED_VALUE"""),"المعملجي")</f>
        <v>المعملجي</v>
      </c>
      <c r="C200" s="9" t="str">
        <f ca="1">IFERROR(__xludf.DUMMYFUNCTION("""COMPUTED_VALUE"""),"عبد الله جابر")</f>
        <v>عبد الله جابر</v>
      </c>
      <c r="D200" s="10" t="str">
        <f ca="1">IFERROR(__xludf.DUMMYFUNCTION("""COMPUTED_VALUE"""),"قسم التربية والتعليم العالي")</f>
        <v>قسم التربية والتعليم العالي</v>
      </c>
      <c r="E200" s="10" t="str">
        <f ca="1">IFERROR(__xludf.DUMMYFUNCTION("""COMPUTED_VALUE"""),"الاستعلامات الرئيسية")</f>
        <v>الاستعلامات الرئيسية</v>
      </c>
      <c r="F200" s="10" t="str">
        <f ca="1">IFERROR(__xludf.DUMMYFUNCTION("""COMPUTED_VALUE"""),"ZONE A - الطابق الارضي")</f>
        <v>ZONE A - الطابق الارضي</v>
      </c>
      <c r="G200" s="10" t="str">
        <f ca="1">IFERROR(__xludf.DUMMYFUNCTION("""COMPUTED_VALUE"""),"اضافة مقعد شرقي الى الحمام")</f>
        <v>اضافة مقعد شرقي الى الحمام</v>
      </c>
      <c r="H200" s="10"/>
      <c r="I200" s="12" t="s">
        <v>15</v>
      </c>
      <c r="J200" s="13" t="s">
        <v>14</v>
      </c>
      <c r="K200" s="7">
        <v>45987.432706840278</v>
      </c>
      <c r="L200" s="67"/>
      <c r="M200" s="10"/>
    </row>
    <row r="201" spans="1:13" ht="75" customHeight="1" thickTop="1" thickBot="1">
      <c r="A201" s="7">
        <f ca="1">IFERROR(__xludf.DUMMYFUNCTION("""COMPUTED_VALUE"""),45986.3465484259)</f>
        <v>45986.3465484259</v>
      </c>
      <c r="B201" s="8" t="str">
        <f ca="1">IFERROR(__xludf.DUMMYFUNCTION("""COMPUTED_VALUE"""),"المعملجي")</f>
        <v>المعملجي</v>
      </c>
      <c r="C201" s="9" t="str">
        <f ca="1">IFERROR(__xludf.DUMMYFUNCTION("""COMPUTED_VALUE"""),"عبد الله جابر")</f>
        <v>عبد الله جابر</v>
      </c>
      <c r="D201" s="10" t="str">
        <f ca="1">IFERROR(__xludf.DUMMYFUNCTION("""COMPUTED_VALUE"""),"قسم التربية والتعليم العالي")</f>
        <v>قسم التربية والتعليم العالي</v>
      </c>
      <c r="E201" s="10" t="str">
        <f ca="1">IFERROR(__xludf.DUMMYFUNCTION("""COMPUTED_VALUE"""),"C- ثانوية العميد بناية الاعدادية  (الاولى)")</f>
        <v>C- ثانوية العميد بناية الاعدادية  (الاولى)</v>
      </c>
      <c r="F201" s="10" t="str">
        <f ca="1">IFERROR(__xludf.DUMMYFUNCTION("""COMPUTED_VALUE"""),"ZONE A - الطابق الارضي")</f>
        <v>ZONE A - الطابق الارضي</v>
      </c>
      <c r="G201" s="10" t="str">
        <f ca="1">IFERROR(__xludf.DUMMYFUNCTION("""COMPUTED_VALUE"""),"انقطاع الماء الارو
")</f>
        <v xml:space="preserve">انقطاع الماء الارو
</v>
      </c>
      <c r="H201" s="10"/>
      <c r="I201" s="12" t="s">
        <v>15</v>
      </c>
      <c r="J201" s="13" t="s">
        <v>14</v>
      </c>
      <c r="K201" s="7">
        <v>45986.503371122686</v>
      </c>
      <c r="L201" s="67"/>
      <c r="M201" s="10"/>
    </row>
    <row r="202" spans="1:13" ht="75" customHeight="1" thickTop="1" thickBot="1">
      <c r="A202" s="7">
        <f ca="1">IFERROR(__xludf.DUMMYFUNCTION("""COMPUTED_VALUE"""),45986.5674043287)</f>
        <v>45986.5674043287</v>
      </c>
      <c r="B202" s="8" t="str">
        <f ca="1">IFERROR(__xludf.DUMMYFUNCTION("""COMPUTED_VALUE"""),"المعملجي")</f>
        <v>المعملجي</v>
      </c>
      <c r="C202" s="9" t="str">
        <f ca="1">IFERROR(__xludf.DUMMYFUNCTION("""COMPUTED_VALUE"""),"عبد الله جابر")</f>
        <v>عبد الله جابر</v>
      </c>
      <c r="D202" s="10" t="str">
        <f ca="1">IFERROR(__xludf.DUMMYFUNCTION("""COMPUTED_VALUE"""),"قسم التربية والتعليم العالي")</f>
        <v>قسم التربية والتعليم العالي</v>
      </c>
      <c r="E202" s="10" t="str">
        <f ca="1">IFERROR(__xludf.DUMMYFUNCTION("""COMPUTED_VALUE"""),"B- روضة القمر")</f>
        <v>B- روضة القمر</v>
      </c>
      <c r="F202" s="10" t="str">
        <f ca="1">IFERROR(__xludf.DUMMYFUNCTION("""COMPUTED_VALUE"""),"ZONE A - الطابق الارضي, ZONE A - الطابق الاول")</f>
        <v>ZONE A - الطابق الارضي, ZONE A - الطابق الاول</v>
      </c>
      <c r="G202" s="10" t="str">
        <f ca="1">IFERROR(__xludf.DUMMYFUNCTION("""COMPUTED_VALUE"""),"لايوجد ماء في الصحيات ")</f>
        <v xml:space="preserve">لايوجد ماء في الصحيات </v>
      </c>
      <c r="H202" s="10"/>
      <c r="I202" s="12" t="s">
        <v>15</v>
      </c>
      <c r="J202" s="13" t="s">
        <v>14</v>
      </c>
      <c r="K202" s="7">
        <v>45987.431469247684</v>
      </c>
      <c r="L202" s="67"/>
      <c r="M202" s="10"/>
    </row>
    <row r="203" spans="1:13" ht="75" customHeight="1" thickTop="1" thickBot="1">
      <c r="A203" s="7">
        <f ca="1">IFERROR(__xludf.DUMMYFUNCTION("""COMPUTED_VALUE"""),45987.3187756481)</f>
        <v>45987.318775648098</v>
      </c>
      <c r="B203" s="8" t="str">
        <f ca="1">IFERROR(__xludf.DUMMYFUNCTION("""COMPUTED_VALUE"""),"المعملجي")</f>
        <v>المعملجي</v>
      </c>
      <c r="C203" s="9" t="str">
        <f ca="1">IFERROR(__xludf.DUMMYFUNCTION("""COMPUTED_VALUE"""),"عبد الله جابر")</f>
        <v>عبد الله جابر</v>
      </c>
      <c r="D203" s="10" t="str">
        <f ca="1">IFERROR(__xludf.DUMMYFUNCTION("""COMPUTED_VALUE"""),"قسم التربية والتعليم العالي")</f>
        <v>قسم التربية والتعليم العالي</v>
      </c>
      <c r="E203" s="10" t="str">
        <f ca="1">IFERROR(__xludf.DUMMYFUNCTION("""COMPUTED_VALUE"""),"الاستعلامات الرئيسية")</f>
        <v>الاستعلامات الرئيسية</v>
      </c>
      <c r="F203" s="10" t="str">
        <f ca="1">IFERROR(__xludf.DUMMYFUNCTION("""COMPUTED_VALUE"""),"الصحيات")</f>
        <v>الصحيات</v>
      </c>
      <c r="G203" s="10" t="str">
        <f ca="1">IFERROR(__xludf.DUMMYFUNCTION("""COMPUTED_VALUE"""),"صيانة او استبدال الدوش")</f>
        <v>صيانة او استبدال الدوش</v>
      </c>
      <c r="H203" s="10"/>
      <c r="I203" s="12" t="s">
        <v>15</v>
      </c>
      <c r="J203" s="13" t="s">
        <v>14</v>
      </c>
      <c r="K203" s="7">
        <v>45987.431631307874</v>
      </c>
      <c r="L203" s="67"/>
      <c r="M203" s="10"/>
    </row>
    <row r="204" spans="1:13" ht="75" customHeight="1" thickTop="1" thickBot="1">
      <c r="A204" s="7">
        <f ca="1">IFERROR(__xludf.DUMMYFUNCTION("""COMPUTED_VALUE"""),45987.3668730902)</f>
        <v>45987.366873090199</v>
      </c>
      <c r="B204" s="8" t="str">
        <f ca="1">IFERROR(__xludf.DUMMYFUNCTION("""COMPUTED_VALUE"""),"المعملجي")</f>
        <v>المعملجي</v>
      </c>
      <c r="C204" s="9" t="str">
        <f ca="1">IFERROR(__xludf.DUMMYFUNCTION("""COMPUTED_VALUE"""),"عبد الله جابر")</f>
        <v>عبد الله جابر</v>
      </c>
      <c r="D204" s="10" t="str">
        <f ca="1">IFERROR(__xludf.DUMMYFUNCTION("""COMPUTED_VALUE"""),"قسم التربية والتعليم العالي")</f>
        <v>قسم التربية والتعليم العالي</v>
      </c>
      <c r="E204" s="10" t="str">
        <f ca="1">IFERROR(__xludf.DUMMYFUNCTION("""COMPUTED_VALUE"""),"B- روضة القمر")</f>
        <v>B- روضة القمر</v>
      </c>
      <c r="F204" s="10" t="str">
        <f ca="1">IFERROR(__xludf.DUMMYFUNCTION("""COMPUTED_VALUE"""),"ZONE A - الطابق الارضي")</f>
        <v>ZONE A - الطابق الارضي</v>
      </c>
      <c r="G204" s="10" t="str">
        <f ca="1">IFERROR(__xludf.DUMMYFUNCTION("""COMPUTED_VALUE"""),"لا يوجد ماء في الحمامات")</f>
        <v>لا يوجد ماء في الحمامات</v>
      </c>
      <c r="H204" s="10"/>
      <c r="I204" s="12" t="s">
        <v>15</v>
      </c>
      <c r="J204" s="13" t="s">
        <v>14</v>
      </c>
      <c r="K204" s="7">
        <v>45987.431722453708</v>
      </c>
      <c r="L204" s="67"/>
      <c r="M204" s="10"/>
    </row>
    <row r="205" spans="1:13" ht="75" customHeight="1" thickTop="1" thickBot="1">
      <c r="A205" s="7">
        <f ca="1">IFERROR(__xludf.DUMMYFUNCTION("""COMPUTED_VALUE"""),45987.3671912037)</f>
        <v>45987.367191203703</v>
      </c>
      <c r="B205" s="8" t="str">
        <f ca="1">IFERROR(__xludf.DUMMYFUNCTION("""COMPUTED_VALUE"""),"المعملجي")</f>
        <v>المعملجي</v>
      </c>
      <c r="C205" s="9" t="str">
        <f ca="1">IFERROR(__xludf.DUMMYFUNCTION("""COMPUTED_VALUE"""),"عبد الله جابر")</f>
        <v>عبد الله جابر</v>
      </c>
      <c r="D205" s="10" t="str">
        <f ca="1">IFERROR(__xludf.DUMMYFUNCTION("""COMPUTED_VALUE"""),"قسم التربية والتعليم العالي")</f>
        <v>قسم التربية والتعليم العالي</v>
      </c>
      <c r="E205" s="10" t="str">
        <f ca="1">IFERROR(__xludf.DUMMYFUNCTION("""COMPUTED_VALUE"""),"F-  ابتدائية جود العميد للبنات (الرابعة)")</f>
        <v>F-  ابتدائية جود العميد للبنات (الرابعة)</v>
      </c>
      <c r="F205" s="10" t="str">
        <f ca="1">IFERROR(__xludf.DUMMYFUNCTION("""COMPUTED_VALUE"""),"ZONE A - الطابق الارضي")</f>
        <v>ZONE A - الطابق الارضي</v>
      </c>
      <c r="G205" s="10" t="str">
        <f ca="1">IFERROR(__xludf.DUMMYFUNCTION("""COMPUTED_VALUE"""),"لا يوجد ماء ارو")</f>
        <v>لا يوجد ماء ارو</v>
      </c>
      <c r="H205" s="10"/>
      <c r="I205" s="12" t="s">
        <v>15</v>
      </c>
      <c r="J205" s="13" t="s">
        <v>14</v>
      </c>
      <c r="K205" s="7">
        <v>45987.431839502315</v>
      </c>
      <c r="L205" s="67"/>
      <c r="M205" s="10"/>
    </row>
    <row r="206" spans="1:13" ht="75" customHeight="1" thickTop="1" thickBot="1">
      <c r="A206" s="7">
        <f ca="1">IFERROR(__xludf.DUMMYFUNCTION("""COMPUTED_VALUE"""),45987.3678681828)</f>
        <v>45987.367868182802</v>
      </c>
      <c r="B206" s="8" t="str">
        <f ca="1">IFERROR(__xludf.DUMMYFUNCTION("""COMPUTED_VALUE"""),"المعملجي")</f>
        <v>المعملجي</v>
      </c>
      <c r="C206" s="9" t="str">
        <f ca="1">IFERROR(__xludf.DUMMYFUNCTION("""COMPUTED_VALUE"""),"عبد الله جابر")</f>
        <v>عبد الله جابر</v>
      </c>
      <c r="D206" s="10" t="str">
        <f ca="1">IFERROR(__xludf.DUMMYFUNCTION("""COMPUTED_VALUE"""),"قسم التربية والتعليم العالي")</f>
        <v>قسم التربية والتعليم العالي</v>
      </c>
      <c r="E206" s="10" t="str">
        <f ca="1">IFERROR(__xludf.DUMMYFUNCTION("""COMPUTED_VALUE"""),"النافورة الرئيسية")</f>
        <v>النافورة الرئيسية</v>
      </c>
      <c r="F206" s="10" t="str">
        <f ca="1">IFERROR(__xludf.DUMMYFUNCTION("""COMPUTED_VALUE"""),"ZONE A - الطابق الارضي")</f>
        <v>ZONE A - الطابق الارضي</v>
      </c>
      <c r="G206" s="10" t="str">
        <f ca="1">IFERROR(__xludf.DUMMYFUNCTION("""COMPUTED_VALUE"""),"صيانة بوري ماء متحرك داخل النافورة")</f>
        <v>صيانة بوري ماء متحرك داخل النافورة</v>
      </c>
      <c r="H206" s="10"/>
      <c r="I206" s="12" t="s">
        <v>15</v>
      </c>
      <c r="J206" s="13" t="s">
        <v>14</v>
      </c>
      <c r="K206" s="7">
        <v>45988.399791689815</v>
      </c>
      <c r="L206" s="67"/>
      <c r="M206" s="10"/>
    </row>
    <row r="207" spans="1:13" ht="75" customHeight="1" thickTop="1" thickBot="1">
      <c r="A207" s="7">
        <f ca="1">IFERROR(__xludf.DUMMYFUNCTION("""COMPUTED_VALUE"""),45987.4004050347)</f>
        <v>45987.400405034699</v>
      </c>
      <c r="B207" s="8" t="str">
        <f ca="1">IFERROR(__xludf.DUMMYFUNCTION("""COMPUTED_VALUE"""),"المعملجي")</f>
        <v>المعملجي</v>
      </c>
      <c r="C207" s="9" t="str">
        <f ca="1">IFERROR(__xludf.DUMMYFUNCTION("""COMPUTED_VALUE"""),"عبد الله جابر")</f>
        <v>عبد الله جابر</v>
      </c>
      <c r="D207" s="10" t="str">
        <f ca="1">IFERROR(__xludf.DUMMYFUNCTION("""COMPUTED_VALUE"""),"قسم التربية والتعليم العالي")</f>
        <v>قسم التربية والتعليم العالي</v>
      </c>
      <c r="E207" s="10" t="str">
        <f ca="1">IFERROR(__xludf.DUMMYFUNCTION("""COMPUTED_VALUE"""),"B- روضة القمر")</f>
        <v>B- روضة القمر</v>
      </c>
      <c r="F207" s="10" t="str">
        <f ca="1">IFERROR(__xludf.DUMMYFUNCTION("""COMPUTED_VALUE"""),"ZONE A - الطابق الثاني")</f>
        <v>ZONE A - الطابق الثاني</v>
      </c>
      <c r="G207" s="10" t="str">
        <f ca="1">IFERROR(__xludf.DUMMYFUNCTION("""COMPUTED_VALUE"""),"لا يوجد ماء")</f>
        <v>لا يوجد ماء</v>
      </c>
      <c r="H207" s="10"/>
      <c r="I207" s="12" t="s">
        <v>15</v>
      </c>
      <c r="J207" s="13" t="s">
        <v>14</v>
      </c>
      <c r="K207" s="7">
        <v>45987.43226858796</v>
      </c>
      <c r="L207" s="67"/>
      <c r="M207" s="10"/>
    </row>
    <row r="208" spans="1:13" ht="75" customHeight="1" thickTop="1" thickBot="1">
      <c r="A208" s="7">
        <f ca="1">IFERROR(__xludf.DUMMYFUNCTION("""COMPUTED_VALUE"""),45988.3452534953)</f>
        <v>45988.345253495303</v>
      </c>
      <c r="B208" s="8" t="str">
        <f ca="1">IFERROR(__xludf.DUMMYFUNCTION("""COMPUTED_VALUE"""),"المعملجي")</f>
        <v>المعملجي</v>
      </c>
      <c r="C208" s="9" t="str">
        <f ca="1">IFERROR(__xludf.DUMMYFUNCTION("""COMPUTED_VALUE"""),"عبد الله جابر")</f>
        <v>عبد الله جابر</v>
      </c>
      <c r="D208" s="10" t="str">
        <f ca="1">IFERROR(__xludf.DUMMYFUNCTION("""COMPUTED_VALUE"""),"قسم التربية والتعليم العالي")</f>
        <v>قسم التربية والتعليم العالي</v>
      </c>
      <c r="E208" s="10" t="str">
        <f ca="1">IFERROR(__xludf.DUMMYFUNCTION("""COMPUTED_VALUE"""),"B- روضة القمر")</f>
        <v>B- روضة القمر</v>
      </c>
      <c r="F208" s="10" t="str">
        <f ca="1">IFERROR(__xludf.DUMMYFUNCTION("""COMPUTED_VALUE"""),"ZONE A - الطابق الارضي")</f>
        <v>ZONE A - الطابق الارضي</v>
      </c>
      <c r="G208" s="10" t="str">
        <f ca="1">IFERROR(__xludf.DUMMYFUNCTION("""COMPUTED_VALUE"""),"لا يوجد ماء في منظومة الشرب")</f>
        <v>لا يوجد ماء في منظومة الشرب</v>
      </c>
      <c r="H208" s="10"/>
      <c r="I208" s="12" t="s">
        <v>15</v>
      </c>
      <c r="J208" s="13" t="s">
        <v>14</v>
      </c>
      <c r="K208" s="7">
        <v>45988.480941608796</v>
      </c>
      <c r="L208" s="67"/>
      <c r="M208" s="10"/>
    </row>
    <row r="209" spans="1:13" ht="75" customHeight="1" thickTop="1" thickBot="1">
      <c r="A209" s="7">
        <f ca="1">IFERROR(__xludf.DUMMYFUNCTION("""COMPUTED_VALUE"""),45990.4054327662)</f>
        <v>45990.405432766202</v>
      </c>
      <c r="B209" s="8" t="str">
        <f ca="1">IFERROR(__xludf.DUMMYFUNCTION("""COMPUTED_VALUE"""),"المعملجي")</f>
        <v>المعملجي</v>
      </c>
      <c r="C209" s="9" t="str">
        <f ca="1">IFERROR(__xludf.DUMMYFUNCTION("""COMPUTED_VALUE"""),"عبد الله جابر")</f>
        <v>عبد الله جابر</v>
      </c>
      <c r="D209" s="10" t="str">
        <f ca="1">IFERROR(__xludf.DUMMYFUNCTION("""COMPUTED_VALUE"""),"قسم التربية والتعليم العالي")</f>
        <v>قسم التربية والتعليم العالي</v>
      </c>
      <c r="E209" s="10" t="str">
        <f ca="1">IFERROR(__xludf.DUMMYFUNCTION("""COMPUTED_VALUE"""),"F-  ابتدائية جود العميد للبنات (الرابعة)")</f>
        <v>F-  ابتدائية جود العميد للبنات (الرابعة)</v>
      </c>
      <c r="F209" s="10" t="str">
        <f ca="1">IFERROR(__xludf.DUMMYFUNCTION("""COMPUTED_VALUE"""),"ZONE A - الطابق الارضي")</f>
        <v>ZONE A - الطابق الارضي</v>
      </c>
      <c r="G209" s="10" t="str">
        <f ca="1">IFERROR(__xludf.DUMMYFUNCTION("""COMPUTED_VALUE"""),"لا يوجد ماء اسالة")</f>
        <v>لا يوجد ماء اسالة</v>
      </c>
      <c r="H209" s="10"/>
      <c r="I209" s="12" t="s">
        <v>15</v>
      </c>
      <c r="J209" s="13" t="s">
        <v>14</v>
      </c>
      <c r="K209" s="7">
        <v>45990.435597569449</v>
      </c>
      <c r="L209" s="67"/>
      <c r="M209" s="10"/>
    </row>
    <row r="210" spans="1:13" ht="75" customHeight="1" thickTop="1" thickBot="1">
      <c r="A210" s="7">
        <f ca="1">IFERROR(__xludf.DUMMYFUNCTION("""COMPUTED_VALUE"""),45964.3514819213)</f>
        <v>45964.351481921301</v>
      </c>
      <c r="B210" s="8" t="str">
        <f ca="1">IFERROR(__xludf.DUMMYFUNCTION("""COMPUTED_VALUE"""),"المعملجي")</f>
        <v>المعملجي</v>
      </c>
      <c r="C210" s="9" t="str">
        <f ca="1">IFERROR(__xludf.DUMMYFUNCTION("""COMPUTED_VALUE"""),"عبد الله جابر")</f>
        <v>عبد الله جابر</v>
      </c>
      <c r="D210" s="10" t="str">
        <f ca="1">IFERROR(__xludf.DUMMYFUNCTION("""COMPUTED_VALUE"""),"قسم التربية والتعليم العالي")</f>
        <v>قسم التربية والتعليم العالي</v>
      </c>
      <c r="E210" s="10" t="str">
        <f ca="1">IFERROR(__xludf.DUMMYFUNCTION("""COMPUTED_VALUE"""),"D- ثانوية العميد بناية المتوسطة  (الثانية)")</f>
        <v>D- ثانوية العميد بناية المتوسطة  (الثانية)</v>
      </c>
      <c r="F210" s="10" t="str">
        <f ca="1">IFERROR(__xludf.DUMMYFUNCTION("""COMPUTED_VALUE"""),"ZONE A - الطابق الارضي")</f>
        <v>ZONE A - الطابق الارضي</v>
      </c>
      <c r="G210" s="10" t="str">
        <f ca="1">IFERROR(__xludf.DUMMYFUNCTION("""COMPUTED_VALUE"""),"صيانة جهاز كبس حراري ")</f>
        <v xml:space="preserve">صيانة جهاز كبس حراري </v>
      </c>
      <c r="H210" s="10"/>
      <c r="I210" s="12"/>
      <c r="J210" s="13" t="s">
        <v>20</v>
      </c>
      <c r="K210" s="7">
        <v>45966.734869456021</v>
      </c>
      <c r="L210" s="67" t="s">
        <v>21</v>
      </c>
      <c r="M210" s="10"/>
    </row>
    <row r="211" spans="1:13" ht="75" customHeight="1" thickTop="1" thickBot="1">
      <c r="A211" s="7">
        <f ca="1">IFERROR(__xludf.DUMMYFUNCTION("""COMPUTED_VALUE"""),45973.3432333564)</f>
        <v>45973.343233356398</v>
      </c>
      <c r="B211" s="8" t="str">
        <f ca="1">IFERROR(__xludf.DUMMYFUNCTION("""COMPUTED_VALUE"""),"المعملجي")</f>
        <v>المعملجي</v>
      </c>
      <c r="C211" s="9" t="str">
        <f ca="1">IFERROR(__xludf.DUMMYFUNCTION("""COMPUTED_VALUE"""),"عبد الله جابر")</f>
        <v>عبد الله جابر</v>
      </c>
      <c r="D211" s="10" t="str">
        <f ca="1">IFERROR(__xludf.DUMMYFUNCTION("""COMPUTED_VALUE"""),"قسم التربية والتعليم العالي")</f>
        <v>قسم التربية والتعليم العالي</v>
      </c>
      <c r="E211" s="10" t="str">
        <f ca="1">IFERROR(__xludf.DUMMYFUNCTION("""COMPUTED_VALUE"""),"I- ابتدائية الساقي للبنين (السادسة)")</f>
        <v>I- ابتدائية الساقي للبنين (السادسة)</v>
      </c>
      <c r="F211" s="10" t="str">
        <f ca="1">IFERROR(__xludf.DUMMYFUNCTION("""COMPUTED_VALUE"""),"ZONE A - الطابق الارضي")</f>
        <v>ZONE A - الطابق الارضي</v>
      </c>
      <c r="G211" s="10" t="str">
        <f ca="1">IFERROR(__xludf.DUMMYFUNCTION("""COMPUTED_VALUE"""),"المصعد لايعمل ")</f>
        <v xml:space="preserve">المصعد لايعمل </v>
      </c>
      <c r="H211" s="10"/>
      <c r="I211" s="12"/>
      <c r="J211" s="13" t="s">
        <v>20</v>
      </c>
      <c r="K211" s="7">
        <v>45973.371892326388</v>
      </c>
      <c r="L211" s="67" t="s">
        <v>25</v>
      </c>
      <c r="M211" s="10"/>
    </row>
    <row r="212" spans="1:13" ht="75" customHeight="1" thickTop="1" thickBot="1">
      <c r="A212" s="7"/>
      <c r="B212" s="8"/>
      <c r="C212" s="9"/>
      <c r="D212" s="10"/>
      <c r="E212" s="10"/>
      <c r="F212" s="10"/>
      <c r="G212" s="10"/>
      <c r="H212" s="10"/>
      <c r="I212" s="12"/>
      <c r="J212" s="13"/>
      <c r="K212" s="7"/>
      <c r="L212" s="67"/>
      <c r="M212" s="10"/>
    </row>
    <row r="213" spans="1:13" ht="75" customHeight="1" thickTop="1" thickBot="1">
      <c r="A213" s="7"/>
      <c r="B213" s="8"/>
      <c r="C213" s="9"/>
      <c r="D213" s="10"/>
      <c r="E213" s="10"/>
      <c r="F213" s="10"/>
      <c r="G213" s="10"/>
      <c r="H213" s="10"/>
      <c r="I213" s="12"/>
      <c r="J213" s="13"/>
      <c r="K213" s="7"/>
      <c r="L213" s="67"/>
      <c r="M213" s="10"/>
    </row>
    <row r="214" spans="1:13" ht="75" customHeight="1" thickTop="1" thickBot="1">
      <c r="A214" s="7"/>
      <c r="B214" s="8"/>
      <c r="C214" s="9"/>
      <c r="D214" s="10"/>
      <c r="E214" s="10"/>
      <c r="F214" s="10"/>
      <c r="G214" s="10"/>
      <c r="H214" s="10"/>
      <c r="I214" s="12"/>
      <c r="J214" s="13"/>
      <c r="K214" s="7"/>
      <c r="L214" s="67"/>
      <c r="M214" s="10"/>
    </row>
    <row r="215" spans="1:13" ht="75" customHeight="1" thickTop="1" thickBot="1">
      <c r="A215" s="7"/>
      <c r="B215" s="8"/>
      <c r="C215" s="9"/>
      <c r="D215" s="10"/>
      <c r="E215" s="10"/>
      <c r="F215" s="10"/>
      <c r="G215" s="10"/>
      <c r="H215" s="10"/>
      <c r="I215" s="12"/>
      <c r="J215" s="13"/>
      <c r="K215" s="7"/>
      <c r="L215" s="67"/>
      <c r="M215" s="10"/>
    </row>
    <row r="216" spans="1:13" ht="75" customHeight="1" thickTop="1" thickBot="1">
      <c r="A216" s="7"/>
      <c r="B216" s="8"/>
      <c r="C216" s="9"/>
      <c r="D216" s="10"/>
      <c r="E216" s="10"/>
      <c r="F216" s="10"/>
      <c r="G216" s="10"/>
      <c r="H216" s="10"/>
      <c r="I216" s="12"/>
      <c r="J216" s="13"/>
      <c r="K216" s="7"/>
      <c r="L216" s="67"/>
      <c r="M216" s="10"/>
    </row>
    <row r="217" spans="1:13" ht="75" customHeight="1" thickTop="1" thickBot="1">
      <c r="A217" s="7"/>
      <c r="B217" s="8"/>
      <c r="C217" s="9"/>
      <c r="D217" s="10"/>
      <c r="E217" s="10"/>
      <c r="F217" s="10"/>
      <c r="G217" s="10"/>
      <c r="H217" s="10"/>
      <c r="I217" s="12"/>
      <c r="J217" s="13"/>
      <c r="K217" s="7"/>
      <c r="L217" s="67"/>
      <c r="M217" s="10"/>
    </row>
    <row r="218" spans="1:13" ht="75" customHeight="1" thickTop="1" thickBot="1">
      <c r="A218" s="7"/>
      <c r="B218" s="8"/>
      <c r="C218" s="9"/>
      <c r="D218" s="10"/>
      <c r="E218" s="10"/>
      <c r="F218" s="10"/>
      <c r="G218" s="10"/>
      <c r="H218" s="10"/>
      <c r="I218" s="12"/>
      <c r="J218" s="13"/>
      <c r="K218" s="7"/>
      <c r="L218" s="67"/>
      <c r="M218" s="10"/>
    </row>
    <row r="219" spans="1:13" ht="75" customHeight="1" thickTop="1" thickBot="1">
      <c r="A219" s="7"/>
      <c r="B219" s="8"/>
      <c r="C219" s="9"/>
      <c r="D219" s="10"/>
      <c r="E219" s="10"/>
      <c r="F219" s="10"/>
      <c r="G219" s="10"/>
      <c r="H219" s="10"/>
      <c r="I219" s="12"/>
      <c r="J219" s="13"/>
      <c r="K219" s="7"/>
      <c r="L219" s="67"/>
      <c r="M219" s="10"/>
    </row>
    <row r="220" spans="1:13" ht="75" customHeight="1" thickTop="1" thickBot="1">
      <c r="A220" s="7"/>
      <c r="B220" s="8"/>
      <c r="C220" s="9"/>
      <c r="D220" s="10"/>
      <c r="E220" s="10"/>
      <c r="F220" s="10"/>
      <c r="G220" s="10"/>
      <c r="H220" s="10"/>
      <c r="I220" s="12"/>
      <c r="J220" s="13"/>
      <c r="K220" s="7"/>
      <c r="L220" s="67"/>
      <c r="M220" s="10"/>
    </row>
    <row r="221" spans="1:13" ht="75" customHeight="1" thickTop="1" thickBot="1">
      <c r="A221" s="7"/>
      <c r="B221" s="8"/>
      <c r="C221" s="9"/>
      <c r="D221" s="10"/>
      <c r="E221" s="10"/>
      <c r="F221" s="10"/>
      <c r="G221" s="10"/>
      <c r="H221" s="10"/>
      <c r="I221" s="12"/>
      <c r="J221" s="13"/>
      <c r="K221" s="7"/>
      <c r="L221" s="67"/>
      <c r="M221" s="10"/>
    </row>
    <row r="222" spans="1:13" ht="75" customHeight="1" thickTop="1" thickBot="1">
      <c r="A222" s="7"/>
      <c r="B222" s="8"/>
      <c r="C222" s="9"/>
      <c r="D222" s="10"/>
      <c r="E222" s="10"/>
      <c r="F222" s="10"/>
      <c r="G222" s="10"/>
      <c r="H222" s="10"/>
      <c r="I222" s="12"/>
      <c r="J222" s="13"/>
      <c r="K222" s="7"/>
      <c r="L222" s="67"/>
      <c r="M222" s="10"/>
    </row>
    <row r="223" spans="1:13" ht="75" customHeight="1" thickTop="1" thickBot="1">
      <c r="A223" s="7"/>
      <c r="B223" s="8"/>
      <c r="C223" s="9"/>
      <c r="D223" s="10"/>
      <c r="E223" s="10"/>
      <c r="F223" s="10"/>
      <c r="G223" s="10"/>
      <c r="H223" s="10"/>
      <c r="I223" s="12"/>
      <c r="J223" s="13"/>
      <c r="K223" s="7"/>
      <c r="L223" s="67"/>
      <c r="M223" s="10"/>
    </row>
    <row r="224" spans="1:13" ht="75" customHeight="1" thickTop="1" thickBot="1">
      <c r="A224" s="7"/>
      <c r="B224" s="8"/>
      <c r="C224" s="9"/>
      <c r="D224" s="10"/>
      <c r="E224" s="10"/>
      <c r="F224" s="10"/>
      <c r="G224" s="10"/>
      <c r="H224" s="10"/>
      <c r="I224" s="12"/>
      <c r="J224" s="13"/>
      <c r="K224" s="7"/>
      <c r="L224" s="67"/>
      <c r="M224" s="10"/>
    </row>
    <row r="225" spans="1:13" ht="75" customHeight="1" thickTop="1" thickBot="1">
      <c r="A225" s="7"/>
      <c r="B225" s="8"/>
      <c r="C225" s="9"/>
      <c r="D225" s="10"/>
      <c r="E225" s="10"/>
      <c r="F225" s="10"/>
      <c r="G225" s="10"/>
      <c r="H225" s="10"/>
      <c r="I225" s="12"/>
      <c r="J225" s="13"/>
      <c r="K225" s="7"/>
      <c r="L225" s="67"/>
      <c r="M225" s="10"/>
    </row>
    <row r="226" spans="1:13" ht="75" customHeight="1" thickTop="1" thickBot="1">
      <c r="A226" s="7"/>
      <c r="B226" s="8"/>
      <c r="C226" s="9"/>
      <c r="D226" s="10"/>
      <c r="E226" s="10"/>
      <c r="F226" s="10"/>
      <c r="G226" s="10"/>
      <c r="H226" s="10"/>
      <c r="I226" s="12"/>
      <c r="J226" s="13"/>
      <c r="K226" s="7"/>
      <c r="L226" s="67"/>
      <c r="M226" s="10"/>
    </row>
    <row r="227" spans="1:13" ht="75" customHeight="1" thickTop="1" thickBot="1">
      <c r="A227" s="7"/>
      <c r="B227" s="8"/>
      <c r="C227" s="9"/>
      <c r="D227" s="10"/>
      <c r="E227" s="10"/>
      <c r="F227" s="10"/>
      <c r="G227" s="10"/>
      <c r="H227" s="10"/>
      <c r="I227" s="12"/>
      <c r="J227" s="13"/>
      <c r="K227" s="7"/>
      <c r="L227" s="67"/>
      <c r="M227" s="10"/>
    </row>
    <row r="228" spans="1:13" ht="75" customHeight="1" thickTop="1" thickBot="1">
      <c r="A228" s="7"/>
      <c r="B228" s="8"/>
      <c r="C228" s="9"/>
      <c r="D228" s="10"/>
      <c r="E228" s="10"/>
      <c r="F228" s="10"/>
      <c r="G228" s="10"/>
      <c r="H228" s="10"/>
      <c r="I228" s="12"/>
      <c r="J228" s="13"/>
      <c r="K228" s="7"/>
      <c r="L228" s="67"/>
      <c r="M228" s="10"/>
    </row>
    <row r="229" spans="1:13" ht="75" customHeight="1" thickTop="1" thickBot="1">
      <c r="A229" s="7"/>
      <c r="B229" s="8"/>
      <c r="C229" s="9"/>
      <c r="D229" s="10"/>
      <c r="E229" s="10"/>
      <c r="F229" s="10"/>
      <c r="G229" s="10"/>
      <c r="H229" s="10"/>
      <c r="I229" s="12"/>
      <c r="J229" s="13"/>
      <c r="K229" s="7"/>
      <c r="L229" s="67"/>
      <c r="M229" s="10"/>
    </row>
    <row r="230" spans="1:13" ht="75" customHeight="1" thickTop="1" thickBot="1">
      <c r="A230" s="7"/>
      <c r="B230" s="8"/>
      <c r="C230" s="9"/>
      <c r="D230" s="10"/>
      <c r="E230" s="10"/>
      <c r="F230" s="10"/>
      <c r="G230" s="10"/>
      <c r="H230" s="10"/>
      <c r="I230" s="12"/>
      <c r="J230" s="13"/>
      <c r="K230" s="7"/>
      <c r="L230" s="67"/>
      <c r="M230" s="10"/>
    </row>
    <row r="231" spans="1:13" ht="75" customHeight="1" thickTop="1" thickBot="1">
      <c r="A231" s="7"/>
      <c r="B231" s="8"/>
      <c r="C231" s="9"/>
      <c r="D231" s="10"/>
      <c r="E231" s="10"/>
      <c r="F231" s="10"/>
      <c r="G231" s="10"/>
      <c r="H231" s="10"/>
      <c r="I231" s="12"/>
      <c r="J231" s="13"/>
      <c r="K231" s="7"/>
      <c r="L231" s="67"/>
      <c r="M231" s="10"/>
    </row>
    <row r="232" spans="1:13" ht="75" customHeight="1" thickTop="1" thickBot="1">
      <c r="A232" s="7"/>
      <c r="B232" s="8"/>
      <c r="C232" s="9"/>
      <c r="D232" s="10"/>
      <c r="E232" s="10"/>
      <c r="F232" s="10"/>
      <c r="G232" s="10"/>
      <c r="H232" s="10"/>
      <c r="I232" s="12"/>
      <c r="J232" s="13"/>
      <c r="K232" s="7"/>
      <c r="L232" s="67"/>
      <c r="M232" s="10"/>
    </row>
    <row r="233" spans="1:13" ht="75" customHeight="1" thickTop="1" thickBot="1">
      <c r="A233" s="7"/>
      <c r="B233" s="8"/>
      <c r="C233" s="9"/>
      <c r="D233" s="10"/>
      <c r="E233" s="10"/>
      <c r="F233" s="10"/>
      <c r="G233" s="10"/>
      <c r="H233" s="10"/>
      <c r="I233" s="12"/>
      <c r="J233" s="13"/>
      <c r="K233" s="7"/>
      <c r="L233" s="67"/>
      <c r="M233" s="10"/>
    </row>
    <row r="234" spans="1:13" ht="75" customHeight="1" thickTop="1" thickBot="1">
      <c r="A234" s="7"/>
      <c r="B234" s="8"/>
      <c r="C234" s="9"/>
      <c r="D234" s="10"/>
      <c r="E234" s="10"/>
      <c r="F234" s="10"/>
      <c r="G234" s="10"/>
      <c r="H234" s="10"/>
      <c r="I234" s="12"/>
      <c r="J234" s="13"/>
      <c r="K234" s="7"/>
      <c r="L234" s="67"/>
      <c r="M234" s="10"/>
    </row>
    <row r="235" spans="1:13" ht="75" customHeight="1" thickTop="1" thickBot="1">
      <c r="A235" s="7"/>
      <c r="B235" s="8"/>
      <c r="C235" s="9"/>
      <c r="D235" s="10"/>
      <c r="E235" s="10"/>
      <c r="F235" s="10"/>
      <c r="G235" s="10"/>
      <c r="H235" s="10"/>
      <c r="I235" s="12"/>
      <c r="J235" s="13"/>
      <c r="K235" s="7"/>
      <c r="L235" s="67"/>
      <c r="M235" s="10"/>
    </row>
    <row r="236" spans="1:13" ht="75" customHeight="1" thickTop="1" thickBot="1">
      <c r="A236" s="7"/>
      <c r="B236" s="8"/>
      <c r="C236" s="9"/>
      <c r="D236" s="10"/>
      <c r="E236" s="10"/>
      <c r="F236" s="10"/>
      <c r="G236" s="10"/>
      <c r="H236" s="10"/>
      <c r="I236" s="12"/>
      <c r="J236" s="13"/>
      <c r="K236" s="7"/>
      <c r="L236" s="67"/>
      <c r="M236" s="10"/>
    </row>
    <row r="237" spans="1:13" ht="75" customHeight="1" thickTop="1" thickBot="1">
      <c r="A237" s="7"/>
      <c r="B237" s="8"/>
      <c r="C237" s="9"/>
      <c r="D237" s="10"/>
      <c r="E237" s="10"/>
      <c r="F237" s="10"/>
      <c r="G237" s="10"/>
      <c r="H237" s="10"/>
      <c r="I237" s="12"/>
      <c r="J237" s="13"/>
      <c r="K237" s="7"/>
      <c r="L237" s="67"/>
      <c r="M237" s="10"/>
    </row>
    <row r="238" spans="1:13" ht="75" customHeight="1" thickTop="1" thickBot="1">
      <c r="A238" s="7"/>
      <c r="B238" s="8"/>
      <c r="C238" s="9"/>
      <c r="D238" s="10"/>
      <c r="E238" s="10"/>
      <c r="F238" s="10"/>
      <c r="G238" s="10"/>
      <c r="H238" s="10"/>
      <c r="I238" s="12"/>
      <c r="J238" s="13"/>
      <c r="K238" s="7"/>
      <c r="L238" s="67"/>
      <c r="M238" s="10"/>
    </row>
    <row r="239" spans="1:13" ht="75" customHeight="1" thickTop="1" thickBot="1">
      <c r="A239" s="7"/>
      <c r="B239" s="8"/>
      <c r="C239" s="9"/>
      <c r="D239" s="10"/>
      <c r="E239" s="10"/>
      <c r="F239" s="10"/>
      <c r="G239" s="10"/>
      <c r="H239" s="10"/>
      <c r="I239" s="12"/>
      <c r="J239" s="13"/>
      <c r="K239" s="7"/>
      <c r="L239" s="67"/>
      <c r="M239" s="10"/>
    </row>
    <row r="240" spans="1:13" ht="75" customHeight="1" thickTop="1" thickBot="1">
      <c r="A240" s="7"/>
      <c r="B240" s="8"/>
      <c r="C240" s="9"/>
      <c r="D240" s="10"/>
      <c r="E240" s="10"/>
      <c r="F240" s="10"/>
      <c r="G240" s="10"/>
      <c r="H240" s="10"/>
      <c r="I240" s="12"/>
      <c r="J240" s="13"/>
      <c r="K240" s="7"/>
      <c r="L240" s="67"/>
      <c r="M240" s="10"/>
    </row>
    <row r="241" spans="1:13" ht="75" customHeight="1" thickTop="1" thickBot="1">
      <c r="A241" s="7"/>
      <c r="B241" s="8"/>
      <c r="C241" s="9"/>
      <c r="D241" s="10"/>
      <c r="E241" s="10"/>
      <c r="F241" s="10"/>
      <c r="G241" s="10"/>
      <c r="H241" s="10"/>
      <c r="I241" s="12"/>
      <c r="J241" s="13"/>
      <c r="K241" s="7"/>
      <c r="L241" s="67"/>
      <c r="M241" s="10"/>
    </row>
    <row r="242" spans="1:13" ht="75" customHeight="1" thickTop="1" thickBot="1">
      <c r="A242" s="7"/>
      <c r="B242" s="8"/>
      <c r="C242" s="9"/>
      <c r="D242" s="10"/>
      <c r="E242" s="10"/>
      <c r="F242" s="10"/>
      <c r="G242" s="10"/>
      <c r="H242" s="10"/>
      <c r="I242" s="12"/>
      <c r="J242" s="13"/>
      <c r="K242" s="7"/>
      <c r="L242" s="67"/>
      <c r="M242" s="10"/>
    </row>
    <row r="243" spans="1:13" ht="75" customHeight="1" thickTop="1" thickBot="1">
      <c r="A243" s="7"/>
      <c r="B243" s="8"/>
      <c r="C243" s="9"/>
      <c r="D243" s="10"/>
      <c r="E243" s="10"/>
      <c r="F243" s="10"/>
      <c r="G243" s="10"/>
      <c r="H243" s="10"/>
      <c r="I243" s="12"/>
      <c r="J243" s="13"/>
      <c r="K243" s="7"/>
      <c r="L243" s="67"/>
      <c r="M243" s="10"/>
    </row>
    <row r="244" spans="1:13" ht="75" customHeight="1" thickTop="1" thickBot="1">
      <c r="A244" s="7"/>
      <c r="B244" s="8"/>
      <c r="C244" s="9"/>
      <c r="D244" s="10"/>
      <c r="E244" s="10"/>
      <c r="F244" s="10"/>
      <c r="G244" s="10"/>
      <c r="H244" s="10"/>
      <c r="I244" s="12"/>
      <c r="J244" s="13"/>
      <c r="K244" s="7"/>
      <c r="L244" s="67"/>
      <c r="M244" s="10"/>
    </row>
    <row r="245" spans="1:13" ht="75" customHeight="1" thickTop="1" thickBot="1">
      <c r="A245" s="7"/>
      <c r="B245" s="8"/>
      <c r="C245" s="9"/>
      <c r="D245" s="10"/>
      <c r="E245" s="10"/>
      <c r="F245" s="10"/>
      <c r="G245" s="10"/>
      <c r="H245" s="10"/>
      <c r="I245" s="12"/>
      <c r="J245" s="13"/>
      <c r="K245" s="7"/>
      <c r="L245" s="67"/>
      <c r="M245" s="10"/>
    </row>
    <row r="246" spans="1:13" ht="75" customHeight="1" thickTop="1" thickBot="1">
      <c r="A246" s="7"/>
      <c r="B246" s="8"/>
      <c r="C246" s="9"/>
      <c r="D246" s="10"/>
      <c r="E246" s="10"/>
      <c r="F246" s="10"/>
      <c r="G246" s="10"/>
      <c r="H246" s="10"/>
      <c r="I246" s="12"/>
      <c r="J246" s="13"/>
      <c r="K246" s="7"/>
      <c r="L246" s="67"/>
      <c r="M246" s="10"/>
    </row>
    <row r="247" spans="1:13" ht="75" customHeight="1" thickTop="1" thickBot="1">
      <c r="A247" s="7"/>
      <c r="B247" s="8"/>
      <c r="C247" s="9"/>
      <c r="D247" s="10"/>
      <c r="E247" s="10"/>
      <c r="F247" s="10"/>
      <c r="G247" s="10"/>
      <c r="H247" s="10"/>
      <c r="I247" s="12"/>
      <c r="J247" s="13"/>
      <c r="K247" s="7"/>
      <c r="L247" s="67"/>
      <c r="M247" s="10"/>
    </row>
    <row r="248" spans="1:13" ht="75" customHeight="1" thickTop="1" thickBot="1">
      <c r="A248" s="7"/>
      <c r="B248" s="8"/>
      <c r="C248" s="9"/>
      <c r="D248" s="10"/>
      <c r="E248" s="10"/>
      <c r="F248" s="10"/>
      <c r="G248" s="10"/>
      <c r="H248" s="10"/>
      <c r="I248" s="12"/>
      <c r="J248" s="13"/>
      <c r="K248" s="7"/>
      <c r="L248" s="67"/>
      <c r="M248" s="10"/>
    </row>
    <row r="249" spans="1:13" ht="75" customHeight="1" thickTop="1" thickBot="1">
      <c r="A249" s="7"/>
      <c r="B249" s="8"/>
      <c r="C249" s="9"/>
      <c r="D249" s="10"/>
      <c r="E249" s="10"/>
      <c r="F249" s="10"/>
      <c r="G249" s="10"/>
      <c r="H249" s="10"/>
      <c r="I249" s="12"/>
      <c r="J249" s="13"/>
      <c r="K249" s="7"/>
      <c r="L249" s="67"/>
      <c r="M249" s="10"/>
    </row>
    <row r="250" spans="1:13" ht="75" customHeight="1" thickTop="1" thickBot="1">
      <c r="A250" s="7"/>
      <c r="B250" s="8"/>
      <c r="C250" s="9"/>
      <c r="D250" s="10"/>
      <c r="E250" s="10"/>
      <c r="F250" s="10"/>
      <c r="G250" s="10"/>
      <c r="H250" s="10"/>
      <c r="I250" s="12"/>
      <c r="J250" s="13"/>
      <c r="K250" s="7"/>
      <c r="L250" s="67"/>
      <c r="M250" s="10"/>
    </row>
    <row r="251" spans="1:13" ht="75" customHeight="1" thickTop="1" thickBot="1">
      <c r="A251" s="7"/>
      <c r="B251" s="8"/>
      <c r="C251" s="9"/>
      <c r="D251" s="10"/>
      <c r="E251" s="10"/>
      <c r="F251" s="10"/>
      <c r="G251" s="10"/>
      <c r="H251" s="10"/>
      <c r="I251" s="12"/>
      <c r="J251" s="13"/>
      <c r="K251" s="7"/>
      <c r="L251" s="67"/>
      <c r="M251" s="10"/>
    </row>
    <row r="252" spans="1:13" ht="75" customHeight="1" thickTop="1" thickBot="1">
      <c r="A252" s="7"/>
      <c r="B252" s="8"/>
      <c r="C252" s="9"/>
      <c r="D252" s="10"/>
      <c r="E252" s="10"/>
      <c r="F252" s="10"/>
      <c r="G252" s="10"/>
      <c r="H252" s="10"/>
      <c r="I252" s="12"/>
      <c r="J252" s="13"/>
      <c r="K252" s="7"/>
      <c r="L252" s="67"/>
      <c r="M252" s="10"/>
    </row>
    <row r="253" spans="1:13" ht="75" customHeight="1" thickTop="1" thickBot="1">
      <c r="A253" s="7"/>
      <c r="B253" s="8"/>
      <c r="C253" s="9"/>
      <c r="D253" s="10"/>
      <c r="E253" s="10"/>
      <c r="F253" s="10"/>
      <c r="G253" s="10"/>
      <c r="H253" s="10"/>
      <c r="I253" s="12"/>
      <c r="J253" s="13"/>
      <c r="K253" s="7"/>
      <c r="L253" s="67"/>
      <c r="M253" s="10"/>
    </row>
    <row r="254" spans="1:13" ht="75" customHeight="1" thickTop="1" thickBot="1">
      <c r="A254" s="7"/>
      <c r="B254" s="8"/>
      <c r="C254" s="9"/>
      <c r="D254" s="10"/>
      <c r="E254" s="10"/>
      <c r="F254" s="10"/>
      <c r="G254" s="10"/>
      <c r="H254" s="10"/>
      <c r="I254" s="12"/>
      <c r="J254" s="13"/>
      <c r="K254" s="7"/>
      <c r="L254" s="67"/>
      <c r="M254" s="10"/>
    </row>
    <row r="255" spans="1:13" ht="75" customHeight="1" thickTop="1" thickBot="1">
      <c r="A255" s="7"/>
      <c r="B255" s="8"/>
      <c r="C255" s="9"/>
      <c r="D255" s="10"/>
      <c r="E255" s="10"/>
      <c r="F255" s="10"/>
      <c r="G255" s="10"/>
      <c r="H255" s="10"/>
      <c r="I255" s="12"/>
      <c r="J255" s="13"/>
      <c r="K255" s="7"/>
      <c r="L255" s="67"/>
      <c r="M255" s="10"/>
    </row>
    <row r="256" spans="1:13" ht="75" customHeight="1" thickTop="1" thickBot="1">
      <c r="A256" s="7"/>
      <c r="B256" s="8"/>
      <c r="C256" s="9"/>
      <c r="D256" s="10"/>
      <c r="E256" s="10"/>
      <c r="F256" s="10"/>
      <c r="G256" s="10"/>
      <c r="H256" s="10"/>
      <c r="I256" s="12"/>
      <c r="J256" s="13"/>
      <c r="K256" s="7"/>
      <c r="L256" s="67"/>
      <c r="M256" s="10"/>
    </row>
    <row r="257" spans="1:13" ht="75" customHeight="1" thickTop="1" thickBot="1">
      <c r="A257" s="7"/>
      <c r="B257" s="8"/>
      <c r="C257" s="9"/>
      <c r="D257" s="10"/>
      <c r="E257" s="10"/>
      <c r="F257" s="10"/>
      <c r="G257" s="10"/>
      <c r="H257" s="10"/>
      <c r="I257" s="12"/>
      <c r="J257" s="13"/>
      <c r="K257" s="7"/>
      <c r="L257" s="67"/>
      <c r="M257" s="10"/>
    </row>
    <row r="258" spans="1:13" ht="75" customHeight="1" thickTop="1" thickBot="1">
      <c r="A258" s="7"/>
      <c r="B258" s="8"/>
      <c r="C258" s="9"/>
      <c r="D258" s="10"/>
      <c r="E258" s="10"/>
      <c r="F258" s="10"/>
      <c r="G258" s="10"/>
      <c r="H258" s="10"/>
      <c r="I258" s="12"/>
      <c r="J258" s="13"/>
      <c r="K258" s="7"/>
      <c r="L258" s="67"/>
      <c r="M258" s="10"/>
    </row>
    <row r="259" spans="1:13" ht="75" customHeight="1" thickTop="1" thickBot="1">
      <c r="A259" s="7"/>
      <c r="B259" s="8"/>
      <c r="C259" s="9"/>
      <c r="D259" s="10"/>
      <c r="E259" s="10"/>
      <c r="F259" s="10"/>
      <c r="G259" s="10"/>
      <c r="H259" s="10"/>
      <c r="I259" s="12"/>
      <c r="J259" s="13"/>
      <c r="K259" s="7"/>
      <c r="L259" s="67"/>
      <c r="M259" s="10"/>
    </row>
    <row r="260" spans="1:13" ht="75" customHeight="1" thickTop="1" thickBot="1">
      <c r="A260" s="7"/>
      <c r="B260" s="8"/>
      <c r="C260" s="9"/>
      <c r="D260" s="10"/>
      <c r="E260" s="10"/>
      <c r="F260" s="10"/>
      <c r="G260" s="10"/>
      <c r="H260" s="10"/>
      <c r="I260" s="12"/>
      <c r="J260" s="13"/>
      <c r="K260" s="7"/>
      <c r="L260" s="67"/>
      <c r="M260" s="10"/>
    </row>
    <row r="261" spans="1:13" ht="75" customHeight="1" thickTop="1" thickBot="1">
      <c r="A261" s="7"/>
      <c r="B261" s="8"/>
      <c r="C261" s="9"/>
      <c r="D261" s="10"/>
      <c r="E261" s="10"/>
      <c r="F261" s="10"/>
      <c r="G261" s="10"/>
      <c r="H261" s="10"/>
      <c r="I261" s="12"/>
      <c r="J261" s="13"/>
      <c r="K261" s="7"/>
      <c r="L261" s="67"/>
      <c r="M261" s="10"/>
    </row>
    <row r="262" spans="1:13" ht="75" customHeight="1" thickTop="1" thickBot="1">
      <c r="A262" s="7"/>
      <c r="B262" s="8"/>
      <c r="C262" s="9"/>
      <c r="D262" s="10"/>
      <c r="E262" s="10"/>
      <c r="F262" s="10"/>
      <c r="G262" s="10"/>
      <c r="H262" s="10"/>
      <c r="I262" s="12"/>
      <c r="J262" s="13"/>
      <c r="K262" s="7"/>
      <c r="L262" s="67"/>
      <c r="M262" s="10"/>
    </row>
    <row r="263" spans="1:13" ht="75" customHeight="1" thickTop="1" thickBot="1">
      <c r="A263" s="7"/>
      <c r="B263" s="8"/>
      <c r="C263" s="9"/>
      <c r="D263" s="10"/>
      <c r="E263" s="10"/>
      <c r="F263" s="10"/>
      <c r="G263" s="10"/>
      <c r="H263" s="10"/>
      <c r="I263" s="12"/>
      <c r="J263" s="13"/>
      <c r="K263" s="7"/>
      <c r="L263" s="67"/>
      <c r="M263" s="10"/>
    </row>
    <row r="264" spans="1:13" ht="75" customHeight="1" thickTop="1" thickBot="1">
      <c r="A264" s="7"/>
      <c r="B264" s="8"/>
      <c r="C264" s="9"/>
      <c r="D264" s="10"/>
      <c r="E264" s="10"/>
      <c r="F264" s="10"/>
      <c r="G264" s="10"/>
      <c r="H264" s="10"/>
      <c r="I264" s="12"/>
      <c r="J264" s="13"/>
      <c r="K264" s="7"/>
      <c r="L264" s="67"/>
      <c r="M264" s="10"/>
    </row>
    <row r="265" spans="1:13" ht="75" customHeight="1" thickTop="1" thickBot="1">
      <c r="A265" s="7"/>
      <c r="B265" s="8"/>
      <c r="C265" s="9"/>
      <c r="D265" s="10"/>
      <c r="E265" s="10"/>
      <c r="F265" s="10"/>
      <c r="G265" s="10"/>
      <c r="H265" s="10"/>
      <c r="I265" s="12"/>
      <c r="J265" s="13"/>
      <c r="K265" s="7"/>
      <c r="L265" s="67"/>
      <c r="M265" s="10"/>
    </row>
    <row r="266" spans="1:13" ht="75" customHeight="1" thickTop="1" thickBot="1">
      <c r="A266" s="7"/>
      <c r="B266" s="8"/>
      <c r="C266" s="9"/>
      <c r="D266" s="10"/>
      <c r="E266" s="10"/>
      <c r="F266" s="10"/>
      <c r="G266" s="10"/>
      <c r="H266" s="10"/>
      <c r="I266" s="12"/>
      <c r="J266" s="13"/>
      <c r="K266" s="7"/>
      <c r="L266" s="67"/>
      <c r="M266" s="10"/>
    </row>
    <row r="267" spans="1:13" ht="75" customHeight="1" thickTop="1" thickBot="1">
      <c r="A267" s="7"/>
      <c r="B267" s="8"/>
      <c r="C267" s="9"/>
      <c r="D267" s="10"/>
      <c r="E267" s="10"/>
      <c r="F267" s="10"/>
      <c r="G267" s="10"/>
      <c r="H267" s="10"/>
      <c r="I267" s="12"/>
      <c r="J267" s="13"/>
      <c r="K267" s="7"/>
      <c r="L267" s="67"/>
      <c r="M267" s="10"/>
    </row>
    <row r="268" spans="1:13" ht="75" customHeight="1" thickTop="1" thickBot="1">
      <c r="A268" s="7"/>
      <c r="B268" s="8"/>
      <c r="C268" s="9"/>
      <c r="D268" s="10"/>
      <c r="E268" s="10"/>
      <c r="F268" s="10"/>
      <c r="G268" s="10"/>
      <c r="H268" s="10"/>
      <c r="I268" s="12"/>
      <c r="J268" s="13"/>
      <c r="K268" s="7"/>
      <c r="L268" s="67"/>
      <c r="M268" s="10"/>
    </row>
    <row r="269" spans="1:13" ht="75" customHeight="1" thickTop="1" thickBot="1">
      <c r="A269" s="7"/>
      <c r="B269" s="8"/>
      <c r="C269" s="9"/>
      <c r="D269" s="10"/>
      <c r="E269" s="10"/>
      <c r="F269" s="10"/>
      <c r="G269" s="10"/>
      <c r="H269" s="10"/>
      <c r="I269" s="12"/>
      <c r="J269" s="13"/>
      <c r="K269" s="7"/>
      <c r="L269" s="67"/>
      <c r="M269" s="10"/>
    </row>
    <row r="270" spans="1:13" ht="75" customHeight="1" thickTop="1" thickBot="1">
      <c r="A270" s="7"/>
      <c r="B270" s="8"/>
      <c r="C270" s="9"/>
      <c r="D270" s="10"/>
      <c r="E270" s="10"/>
      <c r="F270" s="10"/>
      <c r="G270" s="10"/>
      <c r="H270" s="10"/>
      <c r="I270" s="12"/>
      <c r="J270" s="13"/>
      <c r="K270" s="7"/>
      <c r="L270" s="67"/>
      <c r="M270" s="10"/>
    </row>
    <row r="271" spans="1:13" ht="75" customHeight="1" thickTop="1" thickBot="1">
      <c r="A271" s="7"/>
      <c r="B271" s="8"/>
      <c r="C271" s="9"/>
      <c r="D271" s="10"/>
      <c r="E271" s="10"/>
      <c r="F271" s="10"/>
      <c r="G271" s="10"/>
      <c r="H271" s="10"/>
      <c r="I271" s="12"/>
      <c r="J271" s="13"/>
      <c r="K271" s="7"/>
      <c r="L271" s="67"/>
      <c r="M271" s="10"/>
    </row>
    <row r="272" spans="1:13" ht="75" customHeight="1" thickTop="1" thickBot="1">
      <c r="A272" s="7"/>
      <c r="B272" s="8"/>
      <c r="C272" s="9"/>
      <c r="D272" s="10"/>
      <c r="E272" s="10"/>
      <c r="F272" s="10"/>
      <c r="G272" s="10"/>
      <c r="H272" s="10"/>
      <c r="I272" s="12"/>
      <c r="J272" s="13"/>
      <c r="K272" s="7"/>
      <c r="L272" s="67"/>
      <c r="M272" s="10"/>
    </row>
    <row r="273" spans="1:13" ht="75" customHeight="1" thickTop="1" thickBot="1">
      <c r="A273" s="7"/>
      <c r="B273" s="8"/>
      <c r="C273" s="9"/>
      <c r="D273" s="10"/>
      <c r="E273" s="10"/>
      <c r="F273" s="10"/>
      <c r="G273" s="10"/>
      <c r="H273" s="10"/>
      <c r="I273" s="12"/>
      <c r="J273" s="13"/>
      <c r="K273" s="7"/>
      <c r="L273" s="67"/>
      <c r="M273" s="10"/>
    </row>
    <row r="274" spans="1:13" ht="75" customHeight="1" thickTop="1" thickBot="1">
      <c r="A274" s="7"/>
      <c r="B274" s="8"/>
      <c r="C274" s="9"/>
      <c r="D274" s="10"/>
      <c r="E274" s="10"/>
      <c r="F274" s="10"/>
      <c r="G274" s="10"/>
      <c r="H274" s="10"/>
      <c r="I274" s="12"/>
      <c r="J274" s="13"/>
      <c r="K274" s="7"/>
      <c r="L274" s="67"/>
      <c r="M274" s="10"/>
    </row>
    <row r="275" spans="1:13" ht="75" customHeight="1" thickTop="1" thickBot="1">
      <c r="A275" s="7"/>
      <c r="B275" s="8"/>
      <c r="C275" s="9"/>
      <c r="D275" s="10"/>
      <c r="E275" s="10"/>
      <c r="F275" s="10"/>
      <c r="G275" s="10"/>
      <c r="H275" s="10"/>
      <c r="I275" s="12"/>
      <c r="J275" s="13"/>
      <c r="K275" s="7"/>
      <c r="L275" s="67"/>
      <c r="M275" s="10"/>
    </row>
    <row r="276" spans="1:13" ht="75" customHeight="1" thickTop="1" thickBot="1">
      <c r="A276" s="7"/>
      <c r="B276" s="8"/>
      <c r="C276" s="9"/>
      <c r="D276" s="10"/>
      <c r="E276" s="10"/>
      <c r="F276" s="10"/>
      <c r="G276" s="10"/>
      <c r="H276" s="10"/>
      <c r="I276" s="12"/>
      <c r="J276" s="13"/>
      <c r="K276" s="7"/>
      <c r="L276" s="67"/>
      <c r="M276" s="10"/>
    </row>
    <row r="277" spans="1:13" ht="75" customHeight="1" thickTop="1" thickBot="1">
      <c r="A277" s="7"/>
      <c r="B277" s="8"/>
      <c r="C277" s="9"/>
      <c r="D277" s="10"/>
      <c r="E277" s="10"/>
      <c r="F277" s="10"/>
      <c r="G277" s="10"/>
      <c r="H277" s="10"/>
      <c r="I277" s="12"/>
      <c r="J277" s="13"/>
      <c r="K277" s="7"/>
      <c r="L277" s="67"/>
      <c r="M277" s="10"/>
    </row>
    <row r="278" spans="1:13" ht="75" customHeight="1" thickTop="1" thickBot="1">
      <c r="A278" s="7"/>
      <c r="B278" s="8"/>
      <c r="C278" s="9"/>
      <c r="D278" s="10"/>
      <c r="E278" s="10"/>
      <c r="F278" s="10"/>
      <c r="G278" s="10"/>
      <c r="H278" s="10"/>
      <c r="I278" s="12"/>
      <c r="J278" s="13"/>
      <c r="K278" s="7"/>
      <c r="L278" s="67"/>
      <c r="M278" s="10"/>
    </row>
    <row r="279" spans="1:13" ht="75" customHeight="1" thickTop="1" thickBot="1">
      <c r="A279" s="7"/>
      <c r="B279" s="8"/>
      <c r="C279" s="9"/>
      <c r="D279" s="10"/>
      <c r="E279" s="10"/>
      <c r="F279" s="10"/>
      <c r="G279" s="10"/>
      <c r="H279" s="10"/>
      <c r="I279" s="12"/>
      <c r="J279" s="13"/>
      <c r="K279" s="7"/>
      <c r="L279" s="67"/>
      <c r="M279" s="10"/>
    </row>
    <row r="280" spans="1:13" ht="75" customHeight="1" thickTop="1" thickBot="1">
      <c r="A280" s="7"/>
      <c r="B280" s="8"/>
      <c r="C280" s="9"/>
      <c r="D280" s="10"/>
      <c r="E280" s="10"/>
      <c r="F280" s="10"/>
      <c r="G280" s="10"/>
      <c r="H280" s="10"/>
      <c r="I280" s="12"/>
      <c r="J280" s="13"/>
      <c r="K280" s="7"/>
      <c r="L280" s="67"/>
      <c r="M280" s="10"/>
    </row>
    <row r="281" spans="1:13" ht="75" customHeight="1" thickTop="1" thickBot="1">
      <c r="A281" s="7"/>
      <c r="B281" s="8"/>
      <c r="C281" s="9"/>
      <c r="D281" s="10"/>
      <c r="E281" s="10"/>
      <c r="F281" s="10"/>
      <c r="G281" s="10"/>
      <c r="H281" s="10"/>
      <c r="I281" s="12"/>
      <c r="J281" s="13"/>
      <c r="K281" s="7"/>
      <c r="L281" s="67"/>
      <c r="M281" s="10"/>
    </row>
    <row r="282" spans="1:13" ht="75" customHeight="1" thickTop="1" thickBot="1">
      <c r="A282" s="7"/>
      <c r="B282" s="8"/>
      <c r="C282" s="9"/>
      <c r="D282" s="10"/>
      <c r="E282" s="10"/>
      <c r="F282" s="10"/>
      <c r="G282" s="10"/>
      <c r="H282" s="10"/>
      <c r="I282" s="12"/>
      <c r="J282" s="13"/>
      <c r="K282" s="7"/>
      <c r="L282" s="67"/>
      <c r="M282" s="10"/>
    </row>
    <row r="283" spans="1:13" ht="75" customHeight="1" thickTop="1" thickBot="1">
      <c r="A283" s="7"/>
      <c r="B283" s="8"/>
      <c r="C283" s="9"/>
      <c r="D283" s="10"/>
      <c r="E283" s="10"/>
      <c r="F283" s="10"/>
      <c r="G283" s="10"/>
      <c r="H283" s="10"/>
      <c r="I283" s="12"/>
      <c r="J283" s="13"/>
      <c r="K283" s="7"/>
      <c r="L283" s="67"/>
      <c r="M283" s="10"/>
    </row>
    <row r="284" spans="1:13" ht="75" customHeight="1" thickTop="1" thickBot="1">
      <c r="A284" s="7"/>
      <c r="B284" s="8"/>
      <c r="C284" s="9"/>
      <c r="D284" s="10"/>
      <c r="E284" s="10"/>
      <c r="F284" s="10"/>
      <c r="G284" s="10"/>
      <c r="H284" s="10"/>
      <c r="I284" s="12"/>
      <c r="J284" s="13"/>
      <c r="K284" s="7"/>
      <c r="L284" s="67"/>
      <c r="M284" s="10"/>
    </row>
    <row r="285" spans="1:13" ht="75" customHeight="1" thickTop="1" thickBot="1">
      <c r="A285" s="7"/>
      <c r="B285" s="8"/>
      <c r="C285" s="9"/>
      <c r="D285" s="10"/>
      <c r="E285" s="10"/>
      <c r="F285" s="10"/>
      <c r="G285" s="10"/>
      <c r="H285" s="10"/>
      <c r="I285" s="12"/>
      <c r="J285" s="13"/>
      <c r="K285" s="7"/>
      <c r="L285" s="67"/>
      <c r="M285" s="10"/>
    </row>
    <row r="286" spans="1:13" ht="75" customHeight="1" thickTop="1" thickBot="1">
      <c r="A286" s="7"/>
      <c r="B286" s="8"/>
      <c r="C286" s="9"/>
      <c r="D286" s="10"/>
      <c r="E286" s="10"/>
      <c r="F286" s="10"/>
      <c r="G286" s="10"/>
      <c r="H286" s="10"/>
      <c r="I286" s="12"/>
      <c r="J286" s="13"/>
      <c r="K286" s="7"/>
      <c r="L286" s="67"/>
      <c r="M286" s="10"/>
    </row>
    <row r="287" spans="1:13" ht="75" customHeight="1" thickTop="1" thickBot="1">
      <c r="A287" s="7"/>
      <c r="B287" s="8"/>
      <c r="C287" s="9"/>
      <c r="D287" s="10"/>
      <c r="E287" s="10"/>
      <c r="F287" s="10"/>
      <c r="G287" s="10"/>
      <c r="H287" s="10"/>
      <c r="I287" s="12"/>
      <c r="J287" s="13"/>
      <c r="K287" s="7"/>
      <c r="L287" s="67"/>
      <c r="M287" s="10"/>
    </row>
    <row r="288" spans="1:13" ht="75" customHeight="1" thickTop="1" thickBot="1">
      <c r="A288" s="7"/>
      <c r="B288" s="8"/>
      <c r="C288" s="9"/>
      <c r="D288" s="10"/>
      <c r="E288" s="10"/>
      <c r="F288" s="10"/>
      <c r="G288" s="10"/>
      <c r="H288" s="10"/>
      <c r="I288" s="12"/>
      <c r="J288" s="13"/>
      <c r="K288" s="7"/>
      <c r="L288" s="67"/>
      <c r="M288" s="10"/>
    </row>
    <row r="289" spans="1:13" ht="75" customHeight="1" thickTop="1" thickBot="1">
      <c r="A289" s="7"/>
      <c r="B289" s="8"/>
      <c r="C289" s="9"/>
      <c r="D289" s="10"/>
      <c r="E289" s="10"/>
      <c r="F289" s="10"/>
      <c r="G289" s="10"/>
      <c r="H289" s="10"/>
      <c r="I289" s="12"/>
      <c r="J289" s="13"/>
      <c r="K289" s="7"/>
      <c r="L289" s="67"/>
      <c r="M289" s="10"/>
    </row>
    <row r="290" spans="1:13" ht="75" customHeight="1" thickTop="1" thickBot="1">
      <c r="A290" s="7"/>
      <c r="B290" s="8"/>
      <c r="C290" s="9"/>
      <c r="D290" s="10"/>
      <c r="E290" s="10"/>
      <c r="F290" s="10"/>
      <c r="G290" s="10"/>
      <c r="H290" s="10"/>
      <c r="I290" s="12"/>
      <c r="J290" s="13"/>
      <c r="K290" s="7"/>
      <c r="L290" s="67"/>
      <c r="M290" s="10"/>
    </row>
    <row r="291" spans="1:13" ht="75" customHeight="1" thickTop="1" thickBot="1">
      <c r="A291" s="7"/>
      <c r="B291" s="8"/>
      <c r="C291" s="9"/>
      <c r="D291" s="10"/>
      <c r="E291" s="10"/>
      <c r="F291" s="10"/>
      <c r="G291" s="10"/>
      <c r="H291" s="10"/>
      <c r="I291" s="12"/>
      <c r="J291" s="13"/>
      <c r="K291" s="7"/>
      <c r="L291" s="67"/>
      <c r="M291" s="10"/>
    </row>
    <row r="292" spans="1:13" ht="75" customHeight="1" thickTop="1" thickBot="1">
      <c r="A292" s="7"/>
      <c r="B292" s="8"/>
      <c r="C292" s="9"/>
      <c r="D292" s="10"/>
      <c r="E292" s="10"/>
      <c r="F292" s="10"/>
      <c r="G292" s="10"/>
      <c r="H292" s="10"/>
      <c r="I292" s="12"/>
      <c r="J292" s="13"/>
      <c r="K292" s="7"/>
      <c r="L292" s="67"/>
      <c r="M292" s="10"/>
    </row>
    <row r="293" spans="1:13" ht="75" customHeight="1" thickTop="1" thickBot="1">
      <c r="A293" s="7"/>
      <c r="B293" s="8"/>
      <c r="C293" s="9"/>
      <c r="D293" s="10"/>
      <c r="E293" s="10"/>
      <c r="F293" s="10"/>
      <c r="G293" s="10"/>
      <c r="H293" s="10"/>
      <c r="I293" s="12"/>
      <c r="J293" s="13"/>
      <c r="K293" s="7"/>
      <c r="L293" s="67"/>
      <c r="M293" s="10"/>
    </row>
    <row r="294" spans="1:13" ht="75" customHeight="1" thickTop="1" thickBot="1">
      <c r="A294" s="7"/>
      <c r="B294" s="8"/>
      <c r="C294" s="9"/>
      <c r="D294" s="10"/>
      <c r="E294" s="10"/>
      <c r="F294" s="10"/>
      <c r="G294" s="10"/>
      <c r="H294" s="10"/>
      <c r="I294" s="12"/>
      <c r="J294" s="13"/>
      <c r="K294" s="7"/>
      <c r="L294" s="67"/>
      <c r="M294" s="10"/>
    </row>
    <row r="295" spans="1:13" ht="75" customHeight="1" thickTop="1" thickBot="1">
      <c r="A295" s="7"/>
      <c r="B295" s="8"/>
      <c r="C295" s="9"/>
      <c r="D295" s="10"/>
      <c r="E295" s="10"/>
      <c r="F295" s="10"/>
      <c r="G295" s="10"/>
      <c r="H295" s="10"/>
      <c r="I295" s="12"/>
      <c r="J295" s="13"/>
      <c r="K295" s="7"/>
      <c r="L295" s="67"/>
      <c r="M295" s="10"/>
    </row>
    <row r="296" spans="1:13" ht="75" customHeight="1" thickTop="1" thickBot="1">
      <c r="A296" s="7"/>
      <c r="B296" s="8"/>
      <c r="C296" s="9"/>
      <c r="D296" s="10"/>
      <c r="E296" s="10"/>
      <c r="F296" s="10"/>
      <c r="G296" s="10"/>
      <c r="H296" s="10"/>
      <c r="I296" s="12"/>
      <c r="J296" s="13"/>
      <c r="K296" s="7"/>
      <c r="L296" s="67"/>
      <c r="M296" s="10"/>
    </row>
    <row r="297" spans="1:13" ht="75" customHeight="1" thickTop="1" thickBot="1">
      <c r="A297" s="7"/>
      <c r="B297" s="8"/>
      <c r="C297" s="9"/>
      <c r="D297" s="10"/>
      <c r="E297" s="10"/>
      <c r="F297" s="10"/>
      <c r="G297" s="10"/>
      <c r="H297" s="10"/>
      <c r="I297" s="12"/>
      <c r="J297" s="13"/>
      <c r="K297" s="7"/>
      <c r="L297" s="67"/>
      <c r="M297" s="10"/>
    </row>
    <row r="298" spans="1:13" ht="75" customHeight="1" thickTop="1" thickBot="1">
      <c r="A298" s="7"/>
      <c r="B298" s="8"/>
      <c r="C298" s="9"/>
      <c r="D298" s="10"/>
      <c r="E298" s="10"/>
      <c r="F298" s="10"/>
      <c r="G298" s="10"/>
      <c r="H298" s="10"/>
      <c r="I298" s="12"/>
      <c r="J298" s="13"/>
      <c r="K298" s="7"/>
      <c r="L298" s="67"/>
      <c r="M298" s="10"/>
    </row>
    <row r="299" spans="1:13" ht="75" customHeight="1" thickTop="1" thickBot="1">
      <c r="A299" s="7"/>
      <c r="B299" s="8"/>
      <c r="C299" s="9"/>
      <c r="D299" s="10"/>
      <c r="E299" s="10"/>
      <c r="F299" s="10"/>
      <c r="G299" s="10"/>
      <c r="H299" s="10"/>
      <c r="I299" s="12"/>
      <c r="J299" s="13"/>
      <c r="K299" s="7"/>
      <c r="L299" s="67"/>
      <c r="M299" s="10"/>
    </row>
    <row r="300" spans="1:13" ht="75" customHeight="1" thickTop="1" thickBot="1">
      <c r="A300" s="7"/>
      <c r="B300" s="8"/>
      <c r="C300" s="9"/>
      <c r="D300" s="10"/>
      <c r="E300" s="10"/>
      <c r="F300" s="10"/>
      <c r="G300" s="10"/>
      <c r="H300" s="10"/>
      <c r="I300" s="12"/>
      <c r="J300" s="13"/>
      <c r="K300" s="7"/>
      <c r="L300" s="67"/>
      <c r="M300" s="10"/>
    </row>
    <row r="301" spans="1:13" ht="75" customHeight="1" thickTop="1" thickBot="1">
      <c r="A301" s="7"/>
      <c r="B301" s="8"/>
      <c r="C301" s="9"/>
      <c r="D301" s="10"/>
      <c r="E301" s="10"/>
      <c r="F301" s="10"/>
      <c r="G301" s="10"/>
      <c r="H301" s="10"/>
      <c r="I301" s="12"/>
      <c r="J301" s="13"/>
      <c r="K301" s="7"/>
      <c r="L301" s="67"/>
      <c r="M301" s="10"/>
    </row>
    <row r="302" spans="1:13" ht="75" customHeight="1" thickTop="1" thickBot="1">
      <c r="A302" s="7"/>
      <c r="B302" s="8"/>
      <c r="C302" s="9"/>
      <c r="D302" s="10"/>
      <c r="E302" s="10"/>
      <c r="F302" s="10"/>
      <c r="G302" s="10"/>
      <c r="H302" s="10"/>
      <c r="I302" s="12"/>
      <c r="J302" s="13"/>
      <c r="K302" s="7"/>
      <c r="L302" s="67"/>
      <c r="M302" s="10"/>
    </row>
    <row r="303" spans="1:13" ht="75" customHeight="1" thickTop="1" thickBot="1">
      <c r="A303" s="7"/>
      <c r="B303" s="8"/>
      <c r="C303" s="9"/>
      <c r="D303" s="10"/>
      <c r="E303" s="10"/>
      <c r="F303" s="10"/>
      <c r="G303" s="10"/>
      <c r="H303" s="10"/>
      <c r="I303" s="12"/>
      <c r="J303" s="13"/>
      <c r="K303" s="7"/>
      <c r="L303" s="67"/>
      <c r="M303" s="10"/>
    </row>
    <row r="304" spans="1:13" ht="75" customHeight="1" thickTop="1" thickBot="1">
      <c r="A304" s="7"/>
      <c r="B304" s="8"/>
      <c r="C304" s="9"/>
      <c r="D304" s="10"/>
      <c r="E304" s="10"/>
      <c r="F304" s="10"/>
      <c r="G304" s="10"/>
      <c r="H304" s="10"/>
      <c r="I304" s="12"/>
      <c r="J304" s="13"/>
      <c r="K304" s="7"/>
      <c r="L304" s="67"/>
      <c r="M304" s="10"/>
    </row>
    <row r="305" spans="1:13" ht="75" customHeight="1" thickTop="1" thickBot="1">
      <c r="A305" s="7"/>
      <c r="B305" s="8"/>
      <c r="C305" s="9"/>
      <c r="D305" s="10"/>
      <c r="E305" s="10"/>
      <c r="F305" s="10"/>
      <c r="G305" s="10"/>
      <c r="H305" s="10"/>
      <c r="I305" s="12"/>
      <c r="J305" s="13"/>
      <c r="K305" s="7"/>
      <c r="L305" s="67"/>
      <c r="M305" s="10"/>
    </row>
    <row r="306" spans="1:13" ht="75" customHeight="1" thickTop="1" thickBot="1">
      <c r="A306" s="7"/>
      <c r="B306" s="8"/>
      <c r="C306" s="9"/>
      <c r="D306" s="10"/>
      <c r="E306" s="10"/>
      <c r="F306" s="10"/>
      <c r="G306" s="10"/>
      <c r="H306" s="10"/>
      <c r="I306" s="12"/>
      <c r="J306" s="13"/>
      <c r="K306" s="7"/>
      <c r="L306" s="67"/>
      <c r="M306" s="10"/>
    </row>
    <row r="307" spans="1:13" ht="75" customHeight="1" thickTop="1" thickBot="1">
      <c r="A307" s="7"/>
      <c r="B307" s="8"/>
      <c r="C307" s="9"/>
      <c r="D307" s="10"/>
      <c r="E307" s="10"/>
      <c r="F307" s="10"/>
      <c r="G307" s="10"/>
      <c r="H307" s="10"/>
      <c r="I307" s="12"/>
      <c r="J307" s="13"/>
      <c r="K307" s="7"/>
      <c r="L307" s="67"/>
      <c r="M307" s="10"/>
    </row>
    <row r="308" spans="1:13" ht="75" customHeight="1" thickTop="1" thickBot="1">
      <c r="A308" s="7"/>
      <c r="B308" s="8"/>
      <c r="C308" s="9"/>
      <c r="D308" s="10"/>
      <c r="E308" s="10"/>
      <c r="F308" s="10"/>
      <c r="G308" s="10"/>
      <c r="H308" s="10"/>
      <c r="I308" s="12"/>
      <c r="J308" s="13"/>
      <c r="K308" s="7"/>
      <c r="L308" s="67"/>
      <c r="M308" s="10"/>
    </row>
    <row r="309" spans="1:13" ht="75" customHeight="1" thickTop="1" thickBot="1">
      <c r="A309" s="7"/>
      <c r="B309" s="8"/>
      <c r="C309" s="9"/>
      <c r="D309" s="10"/>
      <c r="E309" s="10"/>
      <c r="F309" s="10"/>
      <c r="G309" s="10"/>
      <c r="H309" s="10"/>
      <c r="I309" s="12"/>
      <c r="J309" s="13"/>
      <c r="K309" s="7"/>
      <c r="L309" s="67"/>
      <c r="M309" s="10"/>
    </row>
    <row r="310" spans="1:13" ht="75" customHeight="1" thickTop="1" thickBot="1">
      <c r="A310" s="7"/>
      <c r="B310" s="8"/>
      <c r="C310" s="9"/>
      <c r="D310" s="10"/>
      <c r="E310" s="10"/>
      <c r="F310" s="10"/>
      <c r="G310" s="10"/>
      <c r="H310" s="10"/>
      <c r="I310" s="12"/>
      <c r="J310" s="13"/>
      <c r="K310" s="7"/>
      <c r="L310" s="67"/>
      <c r="M310" s="10"/>
    </row>
    <row r="311" spans="1:13" ht="75" customHeight="1" thickTop="1" thickBot="1">
      <c r="A311" s="7"/>
      <c r="B311" s="8"/>
      <c r="C311" s="9"/>
      <c r="D311" s="10"/>
      <c r="E311" s="10"/>
      <c r="F311" s="10"/>
      <c r="G311" s="10"/>
      <c r="H311" s="10"/>
      <c r="I311" s="12"/>
      <c r="J311" s="13"/>
      <c r="K311" s="7"/>
      <c r="L311" s="67"/>
      <c r="M311" s="10"/>
    </row>
    <row r="312" spans="1:13" ht="75" customHeight="1" thickTop="1" thickBot="1">
      <c r="A312" s="7"/>
      <c r="B312" s="8"/>
      <c r="C312" s="9"/>
      <c r="D312" s="10"/>
      <c r="E312" s="10"/>
      <c r="F312" s="10"/>
      <c r="G312" s="10"/>
      <c r="H312" s="10"/>
      <c r="I312" s="12"/>
      <c r="J312" s="13"/>
      <c r="K312" s="7"/>
      <c r="L312" s="67"/>
      <c r="M312" s="10"/>
    </row>
    <row r="313" spans="1:13" ht="75" customHeight="1" thickTop="1" thickBot="1">
      <c r="A313" s="7"/>
      <c r="B313" s="8"/>
      <c r="C313" s="9"/>
      <c r="D313" s="10"/>
      <c r="E313" s="10"/>
      <c r="F313" s="10"/>
      <c r="G313" s="10"/>
      <c r="H313" s="10"/>
      <c r="I313" s="12"/>
      <c r="J313" s="13"/>
      <c r="K313" s="7"/>
      <c r="L313" s="67"/>
      <c r="M313" s="10"/>
    </row>
    <row r="314" spans="1:13" ht="75" customHeight="1" thickTop="1" thickBot="1">
      <c r="A314" s="7"/>
      <c r="B314" s="8"/>
      <c r="C314" s="9"/>
      <c r="D314" s="10"/>
      <c r="E314" s="10"/>
      <c r="F314" s="10"/>
      <c r="G314" s="10"/>
      <c r="H314" s="10"/>
      <c r="I314" s="12"/>
      <c r="J314" s="13"/>
      <c r="K314" s="7"/>
      <c r="L314" s="67"/>
      <c r="M314" s="10"/>
    </row>
    <row r="315" spans="1:13" ht="75" customHeight="1" thickTop="1" thickBot="1">
      <c r="A315" s="7"/>
      <c r="B315" s="8"/>
      <c r="C315" s="9"/>
      <c r="D315" s="10"/>
      <c r="E315" s="10"/>
      <c r="F315" s="10"/>
      <c r="G315" s="10"/>
      <c r="H315" s="10"/>
      <c r="I315" s="12"/>
      <c r="J315" s="13"/>
      <c r="K315" s="7"/>
      <c r="L315" s="67"/>
      <c r="M315" s="10"/>
    </row>
    <row r="316" spans="1:13" ht="75" customHeight="1" thickTop="1" thickBot="1">
      <c r="A316" s="7"/>
      <c r="B316" s="8"/>
      <c r="C316" s="9"/>
      <c r="D316" s="10"/>
      <c r="E316" s="10"/>
      <c r="F316" s="10"/>
      <c r="G316" s="10"/>
      <c r="H316" s="10"/>
      <c r="I316" s="12"/>
      <c r="J316" s="13"/>
      <c r="K316" s="7"/>
      <c r="L316" s="67"/>
      <c r="M316" s="10"/>
    </row>
    <row r="317" spans="1:13" ht="75" customHeight="1" thickTop="1" thickBot="1">
      <c r="A317" s="7"/>
      <c r="B317" s="8"/>
      <c r="C317" s="9"/>
      <c r="D317" s="10"/>
      <c r="E317" s="10"/>
      <c r="F317" s="10"/>
      <c r="G317" s="10"/>
      <c r="H317" s="10"/>
      <c r="I317" s="12"/>
      <c r="J317" s="13"/>
      <c r="K317" s="7"/>
      <c r="L317" s="67"/>
      <c r="M317" s="10"/>
    </row>
    <row r="318" spans="1:13" ht="75" customHeight="1" thickTop="1" thickBot="1">
      <c r="A318" s="7"/>
      <c r="B318" s="8"/>
      <c r="C318" s="9"/>
      <c r="D318" s="10"/>
      <c r="E318" s="10"/>
      <c r="F318" s="10"/>
      <c r="G318" s="10"/>
      <c r="H318" s="10"/>
      <c r="I318" s="12"/>
      <c r="J318" s="13"/>
      <c r="K318" s="7"/>
      <c r="L318" s="67"/>
      <c r="M318" s="10"/>
    </row>
    <row r="319" spans="1:13" ht="75" customHeight="1" thickTop="1" thickBot="1">
      <c r="A319" s="7"/>
      <c r="B319" s="8"/>
      <c r="C319" s="9"/>
      <c r="D319" s="10"/>
      <c r="E319" s="10"/>
      <c r="F319" s="10"/>
      <c r="G319" s="10"/>
      <c r="H319" s="10"/>
      <c r="I319" s="12"/>
      <c r="J319" s="13"/>
      <c r="K319" s="7"/>
      <c r="L319" s="67"/>
      <c r="M319" s="10"/>
    </row>
    <row r="320" spans="1:13" ht="75" customHeight="1" thickTop="1" thickBot="1">
      <c r="A320" s="7"/>
      <c r="B320" s="8"/>
      <c r="C320" s="9"/>
      <c r="D320" s="10"/>
      <c r="E320" s="10"/>
      <c r="F320" s="10"/>
      <c r="G320" s="10"/>
      <c r="H320" s="10"/>
      <c r="I320" s="12"/>
      <c r="J320" s="13"/>
      <c r="K320" s="7"/>
      <c r="L320" s="67"/>
      <c r="M320" s="10"/>
    </row>
    <row r="321" spans="1:13" ht="75" customHeight="1" thickTop="1" thickBot="1">
      <c r="A321" s="7"/>
      <c r="B321" s="8"/>
      <c r="C321" s="9"/>
      <c r="D321" s="10"/>
      <c r="E321" s="10"/>
      <c r="F321" s="10"/>
      <c r="G321" s="10"/>
      <c r="H321" s="10"/>
      <c r="I321" s="12"/>
      <c r="J321" s="13"/>
      <c r="K321" s="7"/>
      <c r="L321" s="67"/>
      <c r="M321" s="10"/>
    </row>
    <row r="322" spans="1:13" ht="75" customHeight="1" thickTop="1" thickBot="1">
      <c r="A322" s="7"/>
      <c r="B322" s="8"/>
      <c r="C322" s="9"/>
      <c r="D322" s="10"/>
      <c r="E322" s="10"/>
      <c r="F322" s="10"/>
      <c r="G322" s="10"/>
      <c r="H322" s="10"/>
      <c r="I322" s="12"/>
      <c r="J322" s="13"/>
      <c r="K322" s="7"/>
      <c r="L322" s="67"/>
      <c r="M322" s="10"/>
    </row>
    <row r="323" spans="1:13" ht="75" customHeight="1" thickTop="1" thickBot="1">
      <c r="A323" s="7"/>
      <c r="B323" s="8"/>
      <c r="C323" s="9"/>
      <c r="D323" s="10"/>
      <c r="E323" s="10"/>
      <c r="F323" s="10"/>
      <c r="G323" s="10"/>
      <c r="H323" s="10"/>
      <c r="I323" s="12"/>
      <c r="J323" s="13"/>
      <c r="K323" s="7"/>
      <c r="L323" s="67"/>
      <c r="M323" s="10"/>
    </row>
    <row r="324" spans="1:13" ht="75" customHeight="1" thickTop="1" thickBot="1">
      <c r="A324" s="7"/>
      <c r="B324" s="8"/>
      <c r="C324" s="9"/>
      <c r="D324" s="10"/>
      <c r="E324" s="10"/>
      <c r="F324" s="10"/>
      <c r="G324" s="10"/>
      <c r="H324" s="10"/>
      <c r="I324" s="12"/>
      <c r="J324" s="13"/>
      <c r="K324" s="7"/>
      <c r="L324" s="67"/>
      <c r="M324" s="10"/>
    </row>
    <row r="325" spans="1:13" ht="75" customHeight="1" thickTop="1" thickBot="1">
      <c r="A325" s="7"/>
      <c r="B325" s="8"/>
      <c r="C325" s="9"/>
      <c r="D325" s="10"/>
      <c r="E325" s="10"/>
      <c r="F325" s="10"/>
      <c r="G325" s="10"/>
      <c r="H325" s="10"/>
      <c r="I325" s="12"/>
      <c r="J325" s="13"/>
      <c r="K325" s="7"/>
      <c r="L325" s="67"/>
      <c r="M325" s="10"/>
    </row>
    <row r="326" spans="1:13" ht="75" customHeight="1" thickTop="1" thickBot="1">
      <c r="A326" s="7"/>
      <c r="B326" s="8"/>
      <c r="C326" s="9"/>
      <c r="D326" s="10"/>
      <c r="E326" s="10"/>
      <c r="F326" s="10"/>
      <c r="G326" s="10"/>
      <c r="H326" s="10"/>
      <c r="I326" s="12"/>
      <c r="J326" s="13"/>
      <c r="K326" s="7"/>
      <c r="L326" s="67"/>
      <c r="M326" s="10"/>
    </row>
    <row r="327" spans="1:13" ht="75" customHeight="1" thickTop="1" thickBot="1">
      <c r="A327" s="7"/>
      <c r="B327" s="8"/>
      <c r="C327" s="9"/>
      <c r="D327" s="10"/>
      <c r="E327" s="10"/>
      <c r="F327" s="10"/>
      <c r="G327" s="10"/>
      <c r="H327" s="10"/>
      <c r="I327" s="12"/>
      <c r="J327" s="13"/>
      <c r="K327" s="7"/>
      <c r="L327" s="67"/>
      <c r="M327" s="10"/>
    </row>
    <row r="328" spans="1:13" ht="75" customHeight="1" thickTop="1" thickBot="1">
      <c r="A328" s="7"/>
      <c r="B328" s="8"/>
      <c r="C328" s="9"/>
      <c r="D328" s="10"/>
      <c r="E328" s="10"/>
      <c r="F328" s="10"/>
      <c r="G328" s="10"/>
      <c r="H328" s="10"/>
      <c r="I328" s="12"/>
      <c r="J328" s="13"/>
      <c r="K328" s="7"/>
      <c r="L328" s="67"/>
      <c r="M328" s="10"/>
    </row>
    <row r="329" spans="1:13" ht="75" customHeight="1" thickTop="1" thickBot="1">
      <c r="A329" s="7"/>
      <c r="B329" s="8"/>
      <c r="C329" s="9"/>
      <c r="D329" s="10"/>
      <c r="E329" s="10"/>
      <c r="F329" s="10"/>
      <c r="G329" s="10"/>
      <c r="H329" s="10"/>
      <c r="I329" s="12"/>
      <c r="J329" s="13"/>
      <c r="K329" s="7"/>
      <c r="L329" s="67"/>
      <c r="M329" s="10"/>
    </row>
    <row r="330" spans="1:13" ht="75" customHeight="1" thickTop="1" thickBot="1">
      <c r="A330" s="7"/>
      <c r="B330" s="8"/>
      <c r="C330" s="9"/>
      <c r="D330" s="10"/>
      <c r="E330" s="10"/>
      <c r="F330" s="10"/>
      <c r="G330" s="10"/>
      <c r="H330" s="10"/>
      <c r="I330" s="12"/>
      <c r="J330" s="13"/>
      <c r="K330" s="7"/>
      <c r="L330" s="67"/>
      <c r="M330" s="10"/>
    </row>
    <row r="331" spans="1:13" ht="75" customHeight="1" thickTop="1" thickBot="1">
      <c r="A331" s="7"/>
      <c r="B331" s="8"/>
      <c r="C331" s="9"/>
      <c r="D331" s="10"/>
      <c r="E331" s="10"/>
      <c r="F331" s="10"/>
      <c r="G331" s="10"/>
      <c r="H331" s="10"/>
      <c r="I331" s="12"/>
      <c r="J331" s="13"/>
      <c r="K331" s="7"/>
      <c r="L331" s="67"/>
      <c r="M331" s="10"/>
    </row>
    <row r="332" spans="1:13" ht="75" customHeight="1" thickTop="1" thickBot="1">
      <c r="A332" s="7"/>
      <c r="B332" s="8"/>
      <c r="C332" s="9"/>
      <c r="D332" s="10"/>
      <c r="E332" s="10"/>
      <c r="F332" s="10"/>
      <c r="G332" s="10"/>
      <c r="H332" s="10"/>
      <c r="I332" s="12"/>
      <c r="J332" s="13"/>
      <c r="K332" s="7"/>
      <c r="L332" s="67"/>
      <c r="M332" s="10"/>
    </row>
    <row r="333" spans="1:13" ht="75" customHeight="1" thickTop="1" thickBot="1">
      <c r="A333" s="7"/>
      <c r="B333" s="8"/>
      <c r="C333" s="9"/>
      <c r="D333" s="10"/>
      <c r="E333" s="10"/>
      <c r="F333" s="10"/>
      <c r="G333" s="10"/>
      <c r="H333" s="10"/>
      <c r="I333" s="12"/>
      <c r="J333" s="13"/>
      <c r="K333" s="7"/>
      <c r="L333" s="67"/>
      <c r="M333" s="10"/>
    </row>
    <row r="334" spans="1:13" ht="75" customHeight="1" thickTop="1" thickBot="1">
      <c r="A334" s="7"/>
      <c r="B334" s="8"/>
      <c r="C334" s="9"/>
      <c r="D334" s="10"/>
      <c r="E334" s="10"/>
      <c r="F334" s="10"/>
      <c r="G334" s="10"/>
      <c r="H334" s="10"/>
      <c r="I334" s="12"/>
      <c r="J334" s="13"/>
      <c r="K334" s="7"/>
      <c r="L334" s="67"/>
      <c r="M334" s="10"/>
    </row>
    <row r="335" spans="1:13" ht="75" customHeight="1" thickTop="1" thickBot="1">
      <c r="A335" s="7"/>
      <c r="B335" s="8"/>
      <c r="C335" s="9"/>
      <c r="D335" s="10"/>
      <c r="E335" s="10"/>
      <c r="F335" s="10"/>
      <c r="G335" s="10"/>
      <c r="H335" s="10"/>
      <c r="I335" s="12"/>
      <c r="J335" s="13"/>
      <c r="K335" s="7"/>
      <c r="L335" s="67"/>
      <c r="M335" s="10"/>
    </row>
    <row r="336" spans="1:13" ht="75" customHeight="1" thickTop="1" thickBot="1">
      <c r="A336" s="7"/>
      <c r="B336" s="8"/>
      <c r="C336" s="9"/>
      <c r="D336" s="10"/>
      <c r="E336" s="10"/>
      <c r="F336" s="10"/>
      <c r="G336" s="10"/>
      <c r="H336" s="10"/>
      <c r="I336" s="12"/>
      <c r="J336" s="13"/>
      <c r="K336" s="7"/>
      <c r="L336" s="67"/>
      <c r="M336" s="10"/>
    </row>
    <row r="337" spans="1:13" ht="75" customHeight="1" thickTop="1" thickBot="1">
      <c r="A337" s="7"/>
      <c r="B337" s="8"/>
      <c r="C337" s="9"/>
      <c r="D337" s="10"/>
      <c r="E337" s="10"/>
      <c r="F337" s="10"/>
      <c r="G337" s="10"/>
      <c r="H337" s="10"/>
      <c r="I337" s="12"/>
      <c r="J337" s="13"/>
      <c r="K337" s="7"/>
      <c r="L337" s="67"/>
      <c r="M337" s="10"/>
    </row>
    <row r="338" spans="1:13" ht="75" customHeight="1" thickTop="1" thickBot="1">
      <c r="A338" s="7"/>
      <c r="B338" s="8"/>
      <c r="C338" s="9"/>
      <c r="D338" s="10"/>
      <c r="E338" s="10"/>
      <c r="F338" s="10"/>
      <c r="G338" s="10"/>
      <c r="H338" s="10"/>
      <c r="I338" s="12"/>
      <c r="J338" s="13"/>
      <c r="K338" s="7"/>
      <c r="L338" s="67"/>
      <c r="M338" s="10"/>
    </row>
    <row r="339" spans="1:13" ht="75" customHeight="1" thickTop="1" thickBot="1">
      <c r="A339" s="7"/>
      <c r="B339" s="8"/>
      <c r="C339" s="9"/>
      <c r="D339" s="10"/>
      <c r="E339" s="10"/>
      <c r="F339" s="10"/>
      <c r="G339" s="10"/>
      <c r="H339" s="10"/>
      <c r="I339" s="12"/>
      <c r="J339" s="13"/>
      <c r="K339" s="7"/>
      <c r="L339" s="67"/>
      <c r="M339" s="10"/>
    </row>
    <row r="340" spans="1:13" ht="75" customHeight="1" thickTop="1" thickBot="1">
      <c r="A340" s="7"/>
      <c r="B340" s="8"/>
      <c r="C340" s="9"/>
      <c r="D340" s="10"/>
      <c r="E340" s="10"/>
      <c r="F340" s="10"/>
      <c r="G340" s="10"/>
      <c r="H340" s="10"/>
      <c r="I340" s="12"/>
      <c r="J340" s="13"/>
      <c r="K340" s="7"/>
      <c r="L340" s="67"/>
      <c r="M340" s="10"/>
    </row>
    <row r="341" spans="1:13" ht="75" customHeight="1" thickTop="1" thickBot="1">
      <c r="A341" s="7"/>
      <c r="B341" s="8"/>
      <c r="C341" s="9"/>
      <c r="D341" s="10"/>
      <c r="E341" s="10"/>
      <c r="F341" s="10"/>
      <c r="G341" s="10"/>
      <c r="H341" s="10"/>
      <c r="I341" s="12"/>
      <c r="J341" s="13"/>
      <c r="K341" s="7"/>
      <c r="L341" s="67"/>
      <c r="M341" s="10"/>
    </row>
    <row r="342" spans="1:13" ht="75" customHeight="1" thickTop="1" thickBot="1">
      <c r="A342" s="7"/>
      <c r="B342" s="8"/>
      <c r="C342" s="9"/>
      <c r="D342" s="10"/>
      <c r="E342" s="10"/>
      <c r="F342" s="10"/>
      <c r="G342" s="10"/>
      <c r="H342" s="10"/>
      <c r="I342" s="12"/>
      <c r="J342" s="13"/>
      <c r="K342" s="7"/>
      <c r="L342" s="67"/>
      <c r="M342" s="10"/>
    </row>
    <row r="343" spans="1:13" ht="75" customHeight="1" thickTop="1" thickBot="1">
      <c r="A343" s="7"/>
      <c r="B343" s="8"/>
      <c r="C343" s="9"/>
      <c r="D343" s="10"/>
      <c r="E343" s="10"/>
      <c r="F343" s="10"/>
      <c r="G343" s="10"/>
      <c r="H343" s="10"/>
      <c r="I343" s="12"/>
      <c r="J343" s="13"/>
      <c r="K343" s="7"/>
      <c r="L343" s="67"/>
      <c r="M343" s="10"/>
    </row>
    <row r="344" spans="1:13" ht="75" customHeight="1" thickTop="1" thickBot="1">
      <c r="A344" s="7"/>
      <c r="B344" s="8"/>
      <c r="C344" s="9"/>
      <c r="D344" s="10"/>
      <c r="E344" s="10"/>
      <c r="F344" s="10"/>
      <c r="G344" s="10"/>
      <c r="H344" s="10"/>
      <c r="I344" s="12"/>
      <c r="J344" s="13"/>
      <c r="K344" s="7"/>
      <c r="L344" s="67"/>
      <c r="M344" s="10"/>
    </row>
    <row r="345" spans="1:13" ht="75" customHeight="1" thickTop="1" thickBot="1">
      <c r="A345" s="7"/>
      <c r="B345" s="8"/>
      <c r="C345" s="9"/>
      <c r="D345" s="10"/>
      <c r="E345" s="10"/>
      <c r="F345" s="10"/>
      <c r="G345" s="10"/>
      <c r="H345" s="10"/>
      <c r="I345" s="12"/>
      <c r="J345" s="13"/>
      <c r="K345" s="7"/>
      <c r="L345" s="67"/>
      <c r="M345" s="10"/>
    </row>
    <row r="346" spans="1:13" ht="75" customHeight="1" thickTop="1" thickBot="1">
      <c r="A346" s="7"/>
      <c r="B346" s="8"/>
      <c r="C346" s="9"/>
      <c r="D346" s="10"/>
      <c r="E346" s="10"/>
      <c r="F346" s="10"/>
      <c r="G346" s="10"/>
      <c r="H346" s="10"/>
      <c r="I346" s="12"/>
      <c r="J346" s="13"/>
      <c r="K346" s="7"/>
      <c r="L346" s="67"/>
      <c r="M346" s="10"/>
    </row>
    <row r="347" spans="1:13" ht="75" customHeight="1" thickTop="1" thickBot="1">
      <c r="A347" s="7"/>
      <c r="B347" s="8"/>
      <c r="C347" s="9"/>
      <c r="D347" s="10"/>
      <c r="E347" s="10"/>
      <c r="F347" s="10"/>
      <c r="G347" s="10"/>
      <c r="H347" s="10"/>
      <c r="I347" s="12"/>
      <c r="J347" s="13"/>
      <c r="K347" s="7"/>
      <c r="L347" s="67"/>
      <c r="M347" s="10"/>
    </row>
    <row r="348" spans="1:13" ht="75" customHeight="1" thickTop="1" thickBot="1">
      <c r="A348" s="7"/>
      <c r="B348" s="8"/>
      <c r="C348" s="9"/>
      <c r="D348" s="10"/>
      <c r="E348" s="10"/>
      <c r="F348" s="10"/>
      <c r="G348" s="10"/>
      <c r="H348" s="10"/>
      <c r="I348" s="12"/>
      <c r="J348" s="13"/>
      <c r="K348" s="7"/>
      <c r="L348" s="67"/>
      <c r="M348" s="10"/>
    </row>
    <row r="349" spans="1:13" ht="75" customHeight="1" thickTop="1" thickBot="1">
      <c r="A349" s="7"/>
      <c r="B349" s="8"/>
      <c r="C349" s="9"/>
      <c r="D349" s="10"/>
      <c r="E349" s="10"/>
      <c r="F349" s="10"/>
      <c r="G349" s="10"/>
      <c r="H349" s="10"/>
      <c r="I349" s="12"/>
      <c r="J349" s="13"/>
      <c r="K349" s="7"/>
      <c r="L349" s="67"/>
      <c r="M349" s="10"/>
    </row>
    <row r="350" spans="1:13" ht="75" customHeight="1" thickTop="1" thickBot="1">
      <c r="A350" s="7"/>
      <c r="B350" s="8"/>
      <c r="C350" s="9"/>
      <c r="D350" s="10"/>
      <c r="E350" s="10"/>
      <c r="F350" s="10"/>
      <c r="G350" s="10"/>
      <c r="H350" s="10"/>
      <c r="I350" s="12"/>
      <c r="J350" s="13"/>
      <c r="K350" s="7"/>
      <c r="L350" s="67"/>
      <c r="M350" s="10"/>
    </row>
    <row r="351" spans="1:13" ht="75" customHeight="1" thickTop="1" thickBot="1">
      <c r="A351" s="7"/>
      <c r="B351" s="8"/>
      <c r="C351" s="9"/>
      <c r="D351" s="10"/>
      <c r="E351" s="10"/>
      <c r="F351" s="10"/>
      <c r="G351" s="10"/>
      <c r="H351" s="10"/>
      <c r="I351" s="12"/>
      <c r="J351" s="13"/>
      <c r="K351" s="7"/>
      <c r="L351" s="67"/>
      <c r="M351" s="10"/>
    </row>
    <row r="352" spans="1:13" ht="75" customHeight="1" thickTop="1" thickBot="1">
      <c r="A352" s="7"/>
      <c r="B352" s="8"/>
      <c r="C352" s="9"/>
      <c r="D352" s="10"/>
      <c r="E352" s="10"/>
      <c r="F352" s="10"/>
      <c r="G352" s="10"/>
      <c r="H352" s="10"/>
      <c r="I352" s="12"/>
      <c r="J352" s="13"/>
      <c r="K352" s="7"/>
      <c r="L352" s="67"/>
      <c r="M352" s="10"/>
    </row>
    <row r="353" spans="1:13" ht="75" customHeight="1" thickTop="1" thickBot="1">
      <c r="A353" s="7"/>
      <c r="B353" s="8"/>
      <c r="C353" s="9"/>
      <c r="D353" s="10"/>
      <c r="E353" s="10"/>
      <c r="F353" s="10"/>
      <c r="G353" s="10"/>
      <c r="H353" s="10"/>
      <c r="I353" s="12"/>
      <c r="J353" s="13"/>
      <c r="K353" s="7"/>
      <c r="L353" s="67"/>
      <c r="M353" s="10"/>
    </row>
    <row r="354" spans="1:13" ht="75" customHeight="1" thickTop="1" thickBot="1">
      <c r="A354" s="7"/>
      <c r="B354" s="8"/>
      <c r="C354" s="9"/>
      <c r="D354" s="10"/>
      <c r="E354" s="10"/>
      <c r="F354" s="10"/>
      <c r="G354" s="10"/>
      <c r="H354" s="10"/>
      <c r="I354" s="12"/>
      <c r="J354" s="13"/>
      <c r="K354" s="7"/>
      <c r="L354" s="67"/>
      <c r="M354" s="10"/>
    </row>
    <row r="355" spans="1:13" ht="75" customHeight="1" thickTop="1" thickBot="1">
      <c r="A355" s="7"/>
      <c r="B355" s="8"/>
      <c r="C355" s="9"/>
      <c r="D355" s="10"/>
      <c r="E355" s="10"/>
      <c r="F355" s="10"/>
      <c r="G355" s="10"/>
      <c r="H355" s="10"/>
      <c r="I355" s="12"/>
      <c r="J355" s="13"/>
      <c r="K355" s="7"/>
      <c r="L355" s="67"/>
      <c r="M355" s="10"/>
    </row>
    <row r="356" spans="1:13" ht="75" customHeight="1" thickTop="1" thickBot="1">
      <c r="A356" s="7"/>
      <c r="B356" s="8"/>
      <c r="C356" s="9"/>
      <c r="D356" s="10"/>
      <c r="E356" s="10"/>
      <c r="F356" s="10"/>
      <c r="G356" s="10"/>
      <c r="H356" s="10"/>
      <c r="I356" s="12"/>
      <c r="J356" s="13"/>
      <c r="K356" s="7"/>
      <c r="L356" s="67"/>
      <c r="M356" s="10"/>
    </row>
    <row r="357" spans="1:13" ht="75" customHeight="1" thickTop="1" thickBot="1">
      <c r="A357" s="7"/>
      <c r="B357" s="8"/>
      <c r="C357" s="9"/>
      <c r="D357" s="10"/>
      <c r="E357" s="10"/>
      <c r="F357" s="10"/>
      <c r="G357" s="10"/>
      <c r="H357" s="10"/>
      <c r="I357" s="12"/>
      <c r="J357" s="13"/>
      <c r="K357" s="7"/>
      <c r="L357" s="67"/>
      <c r="M357" s="10"/>
    </row>
    <row r="358" spans="1:13" ht="75" customHeight="1" thickTop="1" thickBot="1">
      <c r="A358" s="7"/>
      <c r="B358" s="8"/>
      <c r="C358" s="9"/>
      <c r="D358" s="10"/>
      <c r="E358" s="10"/>
      <c r="F358" s="10"/>
      <c r="G358" s="10"/>
      <c r="H358" s="10"/>
      <c r="I358" s="12"/>
      <c r="J358" s="13"/>
      <c r="K358" s="7"/>
      <c r="L358" s="67"/>
      <c r="M358" s="10"/>
    </row>
    <row r="359" spans="1:13" ht="75" customHeight="1" thickTop="1" thickBot="1">
      <c r="A359" s="7"/>
      <c r="B359" s="8"/>
      <c r="C359" s="9"/>
      <c r="D359" s="10"/>
      <c r="E359" s="10"/>
      <c r="F359" s="10"/>
      <c r="G359" s="10"/>
      <c r="H359" s="10"/>
      <c r="I359" s="12"/>
      <c r="J359" s="13"/>
      <c r="K359" s="7"/>
      <c r="L359" s="67"/>
      <c r="M359" s="10"/>
    </row>
    <row r="360" spans="1:13" ht="75" customHeight="1" thickTop="1" thickBot="1">
      <c r="A360" s="7"/>
      <c r="B360" s="8"/>
      <c r="C360" s="9"/>
      <c r="D360" s="10"/>
      <c r="E360" s="10"/>
      <c r="F360" s="10"/>
      <c r="G360" s="10"/>
      <c r="H360" s="10"/>
      <c r="I360" s="12"/>
      <c r="J360" s="13"/>
      <c r="K360" s="7"/>
      <c r="L360" s="67"/>
      <c r="M360" s="10"/>
    </row>
    <row r="361" spans="1:13" ht="75" customHeight="1" thickTop="1" thickBot="1">
      <c r="A361" s="7"/>
      <c r="B361" s="8"/>
      <c r="C361" s="9"/>
      <c r="D361" s="10"/>
      <c r="E361" s="10"/>
      <c r="F361" s="10"/>
      <c r="G361" s="10"/>
      <c r="H361" s="10"/>
      <c r="I361" s="12"/>
      <c r="J361" s="13"/>
      <c r="K361" s="7"/>
      <c r="L361" s="67"/>
      <c r="M361" s="10"/>
    </row>
    <row r="362" spans="1:13" ht="75" customHeight="1" thickTop="1" thickBot="1">
      <c r="A362" s="7"/>
      <c r="B362" s="8"/>
      <c r="C362" s="9"/>
      <c r="D362" s="10"/>
      <c r="E362" s="10"/>
      <c r="F362" s="10"/>
      <c r="G362" s="10"/>
      <c r="H362" s="10"/>
      <c r="I362" s="12"/>
      <c r="J362" s="13"/>
      <c r="K362" s="7"/>
      <c r="L362" s="67"/>
      <c r="M362" s="10"/>
    </row>
    <row r="363" spans="1:13" ht="75" customHeight="1" thickTop="1" thickBot="1">
      <c r="A363" s="7"/>
      <c r="B363" s="8"/>
      <c r="C363" s="9"/>
      <c r="D363" s="10"/>
      <c r="E363" s="10"/>
      <c r="F363" s="10"/>
      <c r="G363" s="10"/>
      <c r="H363" s="10"/>
      <c r="I363" s="12"/>
      <c r="J363" s="13"/>
      <c r="K363" s="7"/>
      <c r="L363" s="67"/>
      <c r="M363" s="10"/>
    </row>
    <row r="364" spans="1:13" ht="75" customHeight="1" thickTop="1" thickBot="1">
      <c r="A364" s="7"/>
      <c r="B364" s="8"/>
      <c r="C364" s="9"/>
      <c r="D364" s="10"/>
      <c r="E364" s="10"/>
      <c r="F364" s="10"/>
      <c r="G364" s="10"/>
      <c r="H364" s="10"/>
      <c r="I364" s="12"/>
      <c r="J364" s="13"/>
      <c r="K364" s="7"/>
      <c r="L364" s="67"/>
      <c r="M364" s="10"/>
    </row>
    <row r="365" spans="1:13" ht="75" customHeight="1" thickTop="1" thickBot="1">
      <c r="A365" s="7"/>
      <c r="B365" s="8"/>
      <c r="C365" s="9"/>
      <c r="D365" s="10"/>
      <c r="E365" s="10"/>
      <c r="F365" s="10"/>
      <c r="G365" s="10"/>
      <c r="H365" s="10"/>
      <c r="I365" s="12"/>
      <c r="J365" s="13"/>
      <c r="K365" s="7"/>
      <c r="L365" s="67"/>
      <c r="M365" s="10"/>
    </row>
    <row r="366" spans="1:13" ht="75" customHeight="1" thickTop="1" thickBot="1">
      <c r="A366" s="7"/>
      <c r="B366" s="8"/>
      <c r="C366" s="9"/>
      <c r="D366" s="10"/>
      <c r="E366" s="10"/>
      <c r="F366" s="10"/>
      <c r="G366" s="10"/>
      <c r="H366" s="10"/>
      <c r="I366" s="12"/>
      <c r="J366" s="13"/>
      <c r="K366" s="7"/>
      <c r="L366" s="67"/>
      <c r="M366" s="10"/>
    </row>
    <row r="367" spans="1:13" ht="75" customHeight="1" thickTop="1" thickBot="1">
      <c r="A367" s="7"/>
      <c r="B367" s="8"/>
      <c r="C367" s="9"/>
      <c r="D367" s="10"/>
      <c r="E367" s="10"/>
      <c r="F367" s="10"/>
      <c r="G367" s="10"/>
      <c r="H367" s="10"/>
      <c r="I367" s="12"/>
      <c r="J367" s="13"/>
      <c r="K367" s="7"/>
      <c r="L367" s="67"/>
      <c r="M367" s="10"/>
    </row>
    <row r="368" spans="1:13" ht="75" customHeight="1" thickTop="1" thickBot="1">
      <c r="A368" s="7"/>
      <c r="B368" s="8"/>
      <c r="C368" s="9"/>
      <c r="D368" s="10"/>
      <c r="E368" s="10"/>
      <c r="F368" s="10"/>
      <c r="G368" s="10"/>
      <c r="H368" s="10"/>
      <c r="I368" s="12"/>
      <c r="J368" s="13"/>
      <c r="K368" s="7"/>
      <c r="L368" s="67"/>
      <c r="M368" s="10"/>
    </row>
    <row r="369" spans="1:13" ht="75" customHeight="1" thickTop="1" thickBot="1">
      <c r="A369" s="7"/>
      <c r="B369" s="8"/>
      <c r="C369" s="9"/>
      <c r="D369" s="10"/>
      <c r="E369" s="10"/>
      <c r="F369" s="10"/>
      <c r="G369" s="10"/>
      <c r="H369" s="10"/>
      <c r="I369" s="12"/>
      <c r="J369" s="13"/>
      <c r="K369" s="7"/>
      <c r="L369" s="67"/>
      <c r="M369" s="10"/>
    </row>
    <row r="370" spans="1:13" ht="75" customHeight="1" thickTop="1" thickBot="1">
      <c r="A370" s="7"/>
      <c r="B370" s="8"/>
      <c r="C370" s="9"/>
      <c r="D370" s="10"/>
      <c r="E370" s="10"/>
      <c r="F370" s="10"/>
      <c r="G370" s="10"/>
      <c r="H370" s="10"/>
      <c r="I370" s="12"/>
      <c r="J370" s="13"/>
      <c r="K370" s="7"/>
      <c r="L370" s="67"/>
      <c r="M370" s="10"/>
    </row>
    <row r="371" spans="1:13" ht="75" customHeight="1" thickTop="1" thickBot="1">
      <c r="A371" s="7"/>
      <c r="B371" s="8"/>
      <c r="C371" s="9"/>
      <c r="D371" s="10"/>
      <c r="E371" s="10"/>
      <c r="F371" s="10"/>
      <c r="G371" s="10"/>
      <c r="H371" s="10"/>
      <c r="I371" s="12"/>
      <c r="J371" s="13"/>
      <c r="K371" s="7"/>
      <c r="L371" s="67"/>
      <c r="M371" s="10"/>
    </row>
    <row r="372" spans="1:13" ht="75" customHeight="1" thickTop="1" thickBot="1">
      <c r="A372" s="7"/>
      <c r="B372" s="8"/>
      <c r="C372" s="9"/>
      <c r="D372" s="10"/>
      <c r="E372" s="10"/>
      <c r="F372" s="10"/>
      <c r="G372" s="10"/>
      <c r="H372" s="10"/>
      <c r="I372" s="12"/>
      <c r="J372" s="13"/>
      <c r="K372" s="7"/>
      <c r="L372" s="67"/>
      <c r="M372" s="10"/>
    </row>
    <row r="373" spans="1:13" ht="75" customHeight="1" thickTop="1" thickBot="1">
      <c r="A373" s="7"/>
      <c r="B373" s="8"/>
      <c r="C373" s="9"/>
      <c r="D373" s="10"/>
      <c r="E373" s="10"/>
      <c r="F373" s="10"/>
      <c r="G373" s="10"/>
      <c r="H373" s="10"/>
      <c r="I373" s="12"/>
      <c r="J373" s="13"/>
      <c r="K373" s="7"/>
      <c r="L373" s="67"/>
      <c r="M373" s="10"/>
    </row>
    <row r="374" spans="1:13" ht="75" customHeight="1" thickTop="1" thickBot="1">
      <c r="A374" s="7"/>
      <c r="B374" s="8"/>
      <c r="C374" s="9"/>
      <c r="D374" s="10"/>
      <c r="E374" s="10"/>
      <c r="F374" s="10"/>
      <c r="G374" s="10"/>
      <c r="H374" s="10"/>
      <c r="I374" s="12"/>
      <c r="J374" s="13"/>
      <c r="K374" s="7"/>
      <c r="L374" s="67"/>
      <c r="M374" s="10"/>
    </row>
    <row r="375" spans="1:13" ht="75" customHeight="1" thickTop="1" thickBot="1">
      <c r="A375" s="7"/>
      <c r="B375" s="8"/>
      <c r="C375" s="9"/>
      <c r="D375" s="10"/>
      <c r="E375" s="10"/>
      <c r="F375" s="10"/>
      <c r="G375" s="10"/>
      <c r="H375" s="10"/>
      <c r="I375" s="12"/>
      <c r="J375" s="13"/>
      <c r="K375" s="7"/>
      <c r="L375" s="67"/>
      <c r="M375" s="10"/>
    </row>
    <row r="376" spans="1:13" ht="75" customHeight="1" thickTop="1" thickBot="1">
      <c r="A376" s="7"/>
      <c r="B376" s="8"/>
      <c r="C376" s="9"/>
      <c r="D376" s="10"/>
      <c r="E376" s="10"/>
      <c r="F376" s="10"/>
      <c r="G376" s="10"/>
      <c r="H376" s="10"/>
      <c r="I376" s="12"/>
      <c r="J376" s="13"/>
      <c r="K376" s="7"/>
      <c r="L376" s="67"/>
      <c r="M376" s="10"/>
    </row>
    <row r="377" spans="1:13" ht="75" customHeight="1" thickTop="1" thickBot="1">
      <c r="A377" s="7"/>
      <c r="B377" s="8"/>
      <c r="C377" s="9"/>
      <c r="D377" s="10"/>
      <c r="E377" s="10"/>
      <c r="F377" s="10"/>
      <c r="G377" s="10"/>
      <c r="H377" s="10"/>
      <c r="I377" s="12"/>
      <c r="J377" s="13"/>
      <c r="K377" s="7"/>
      <c r="L377" s="67"/>
      <c r="M377" s="10"/>
    </row>
    <row r="378" spans="1:13" ht="75" customHeight="1" thickTop="1" thickBot="1">
      <c r="A378" s="7"/>
      <c r="B378" s="8"/>
      <c r="C378" s="9"/>
      <c r="D378" s="10"/>
      <c r="E378" s="10"/>
      <c r="F378" s="10"/>
      <c r="G378" s="10"/>
      <c r="H378" s="10"/>
      <c r="I378" s="12"/>
      <c r="J378" s="13"/>
      <c r="K378" s="7"/>
      <c r="L378" s="67"/>
      <c r="M378" s="10"/>
    </row>
    <row r="379" spans="1:13" ht="75" customHeight="1" thickTop="1" thickBot="1">
      <c r="A379" s="7"/>
      <c r="B379" s="8"/>
      <c r="C379" s="9"/>
      <c r="D379" s="10"/>
      <c r="E379" s="10"/>
      <c r="F379" s="10"/>
      <c r="G379" s="10"/>
      <c r="H379" s="10"/>
      <c r="I379" s="12"/>
      <c r="J379" s="13"/>
      <c r="K379" s="7"/>
      <c r="L379" s="67"/>
      <c r="M379" s="10"/>
    </row>
    <row r="380" spans="1:13" ht="75" customHeight="1" thickTop="1" thickBot="1">
      <c r="A380" s="7"/>
      <c r="B380" s="8"/>
      <c r="C380" s="9"/>
      <c r="D380" s="10"/>
      <c r="E380" s="10"/>
      <c r="F380" s="10"/>
      <c r="G380" s="10"/>
      <c r="H380" s="10"/>
      <c r="I380" s="12"/>
      <c r="J380" s="13"/>
      <c r="K380" s="7"/>
      <c r="L380" s="67"/>
      <c r="M380" s="10"/>
    </row>
    <row r="381" spans="1:13" ht="75" customHeight="1" thickTop="1" thickBot="1">
      <c r="A381" s="7"/>
      <c r="B381" s="8"/>
      <c r="C381" s="9"/>
      <c r="D381" s="10"/>
      <c r="E381" s="10"/>
      <c r="F381" s="10"/>
      <c r="G381" s="10"/>
      <c r="H381" s="10"/>
      <c r="I381" s="12"/>
      <c r="J381" s="13"/>
      <c r="K381" s="7"/>
      <c r="L381" s="67"/>
      <c r="M381" s="10"/>
    </row>
    <row r="382" spans="1:13" ht="75" customHeight="1" thickTop="1" thickBot="1">
      <c r="A382" s="7"/>
      <c r="B382" s="8"/>
      <c r="C382" s="9"/>
      <c r="D382" s="10"/>
      <c r="E382" s="10"/>
      <c r="F382" s="10"/>
      <c r="G382" s="10"/>
      <c r="H382" s="10"/>
      <c r="I382" s="12"/>
      <c r="J382" s="13"/>
      <c r="K382" s="7"/>
      <c r="L382" s="67"/>
      <c r="M382" s="10"/>
    </row>
    <row r="383" spans="1:13" ht="75" customHeight="1" thickTop="1" thickBot="1">
      <c r="A383" s="7"/>
      <c r="B383" s="8"/>
      <c r="C383" s="9"/>
      <c r="D383" s="10"/>
      <c r="E383" s="10"/>
      <c r="F383" s="10"/>
      <c r="G383" s="10"/>
      <c r="H383" s="10"/>
      <c r="I383" s="12"/>
      <c r="J383" s="13"/>
      <c r="K383" s="7"/>
      <c r="L383" s="67"/>
      <c r="M383" s="10"/>
    </row>
    <row r="384" spans="1:13" ht="75" customHeight="1" thickTop="1" thickBot="1">
      <c r="A384" s="7"/>
      <c r="B384" s="8"/>
      <c r="C384" s="9"/>
      <c r="D384" s="10"/>
      <c r="E384" s="10"/>
      <c r="F384" s="10"/>
      <c r="G384" s="10"/>
      <c r="H384" s="10"/>
      <c r="I384" s="12"/>
      <c r="J384" s="13"/>
      <c r="K384" s="7"/>
      <c r="L384" s="67"/>
      <c r="M384" s="10"/>
    </row>
    <row r="385" spans="1:13" ht="75" customHeight="1" thickTop="1" thickBot="1">
      <c r="A385" s="7"/>
      <c r="B385" s="8"/>
      <c r="C385" s="9"/>
      <c r="D385" s="10"/>
      <c r="E385" s="10"/>
      <c r="F385" s="10"/>
      <c r="G385" s="10"/>
      <c r="H385" s="10"/>
      <c r="I385" s="12"/>
      <c r="J385" s="13"/>
      <c r="K385" s="7"/>
      <c r="L385" s="67"/>
      <c r="M385" s="10"/>
    </row>
    <row r="386" spans="1:13" ht="75" customHeight="1" thickTop="1" thickBot="1">
      <c r="A386" s="7"/>
      <c r="B386" s="8"/>
      <c r="C386" s="9"/>
      <c r="D386" s="10"/>
      <c r="E386" s="10"/>
      <c r="F386" s="10"/>
      <c r="G386" s="10"/>
      <c r="H386" s="10"/>
      <c r="I386" s="12"/>
      <c r="J386" s="13"/>
      <c r="K386" s="7"/>
      <c r="L386" s="67"/>
      <c r="M386" s="10"/>
    </row>
    <row r="387" spans="1:13" ht="75" customHeight="1" thickTop="1" thickBot="1">
      <c r="A387" s="7"/>
      <c r="B387" s="8"/>
      <c r="C387" s="9"/>
      <c r="D387" s="10"/>
      <c r="E387" s="10"/>
      <c r="F387" s="10"/>
      <c r="G387" s="10"/>
      <c r="H387" s="10"/>
      <c r="I387" s="12"/>
      <c r="J387" s="13"/>
      <c r="K387" s="7"/>
      <c r="L387" s="67"/>
      <c r="M387" s="10"/>
    </row>
    <row r="388" spans="1:13" ht="75" customHeight="1" thickTop="1" thickBot="1">
      <c r="A388" s="7"/>
      <c r="B388" s="8"/>
      <c r="C388" s="9"/>
      <c r="D388" s="10"/>
      <c r="E388" s="10"/>
      <c r="F388" s="10"/>
      <c r="G388" s="10"/>
      <c r="H388" s="10"/>
      <c r="I388" s="12"/>
      <c r="J388" s="13"/>
      <c r="K388" s="7"/>
      <c r="L388" s="67"/>
      <c r="M388" s="10"/>
    </row>
    <row r="389" spans="1:13" ht="75" customHeight="1" thickTop="1" thickBot="1">
      <c r="A389" s="7"/>
      <c r="B389" s="8"/>
      <c r="C389" s="9"/>
      <c r="D389" s="10"/>
      <c r="E389" s="10"/>
      <c r="F389" s="10"/>
      <c r="G389" s="10"/>
      <c r="H389" s="10"/>
      <c r="I389" s="12"/>
      <c r="J389" s="13"/>
      <c r="K389" s="7"/>
      <c r="L389" s="67"/>
      <c r="M389" s="10"/>
    </row>
    <row r="390" spans="1:13" ht="75" customHeight="1" thickTop="1" thickBot="1">
      <c r="A390" s="7"/>
      <c r="B390" s="8"/>
      <c r="C390" s="9"/>
      <c r="D390" s="10"/>
      <c r="E390" s="10"/>
      <c r="F390" s="10"/>
      <c r="G390" s="10"/>
      <c r="H390" s="10"/>
      <c r="I390" s="12"/>
      <c r="J390" s="13"/>
      <c r="K390" s="7"/>
      <c r="L390" s="67"/>
      <c r="M390" s="10"/>
    </row>
    <row r="391" spans="1:13" ht="75" customHeight="1" thickTop="1" thickBot="1">
      <c r="A391" s="7"/>
      <c r="B391" s="8"/>
      <c r="C391" s="9"/>
      <c r="D391" s="10"/>
      <c r="E391" s="10"/>
      <c r="F391" s="10"/>
      <c r="G391" s="10"/>
      <c r="H391" s="10"/>
      <c r="I391" s="12"/>
      <c r="J391" s="13"/>
      <c r="K391" s="7"/>
      <c r="L391" s="67"/>
      <c r="M391" s="10"/>
    </row>
    <row r="392" spans="1:13" ht="75" customHeight="1" thickTop="1" thickBot="1">
      <c r="A392" s="7"/>
      <c r="B392" s="8"/>
      <c r="C392" s="9"/>
      <c r="D392" s="10"/>
      <c r="E392" s="10"/>
      <c r="F392" s="10"/>
      <c r="G392" s="10"/>
      <c r="H392" s="10"/>
      <c r="I392" s="12"/>
      <c r="J392" s="13"/>
      <c r="K392" s="7"/>
      <c r="L392" s="67"/>
      <c r="M392" s="10"/>
    </row>
    <row r="393" spans="1:13" ht="75" customHeight="1" thickTop="1" thickBot="1">
      <c r="A393" s="7"/>
      <c r="B393" s="8"/>
      <c r="C393" s="9"/>
      <c r="D393" s="10"/>
      <c r="E393" s="10"/>
      <c r="F393" s="10"/>
      <c r="G393" s="10"/>
      <c r="H393" s="10"/>
      <c r="I393" s="12"/>
      <c r="J393" s="13"/>
      <c r="K393" s="7"/>
      <c r="L393" s="67"/>
      <c r="M393" s="10"/>
    </row>
    <row r="394" spans="1:13" ht="75" customHeight="1" thickTop="1" thickBot="1">
      <c r="A394" s="7"/>
      <c r="B394" s="8"/>
      <c r="C394" s="9"/>
      <c r="D394" s="10"/>
      <c r="E394" s="10"/>
      <c r="F394" s="10"/>
      <c r="G394" s="10"/>
      <c r="H394" s="10"/>
      <c r="I394" s="12"/>
      <c r="J394" s="13"/>
      <c r="K394" s="7"/>
      <c r="L394" s="67"/>
      <c r="M394" s="10"/>
    </row>
    <row r="395" spans="1:13" ht="75" customHeight="1" thickTop="1" thickBot="1">
      <c r="A395" s="7"/>
      <c r="B395" s="8"/>
      <c r="C395" s="9"/>
      <c r="D395" s="10"/>
      <c r="E395" s="10"/>
      <c r="F395" s="10"/>
      <c r="G395" s="10"/>
      <c r="H395" s="10"/>
      <c r="I395" s="12"/>
      <c r="J395" s="13"/>
      <c r="K395" s="7"/>
      <c r="L395" s="67"/>
      <c r="M395" s="10"/>
    </row>
    <row r="396" spans="1:13" ht="75" customHeight="1" thickTop="1" thickBot="1">
      <c r="A396" s="7"/>
      <c r="B396" s="8"/>
      <c r="C396" s="9"/>
      <c r="D396" s="10"/>
      <c r="E396" s="10"/>
      <c r="F396" s="10"/>
      <c r="G396" s="10"/>
      <c r="H396" s="10"/>
      <c r="I396" s="12"/>
      <c r="J396" s="13"/>
      <c r="K396" s="7"/>
      <c r="L396" s="67"/>
      <c r="M396" s="10"/>
    </row>
    <row r="397" spans="1:13" ht="75" customHeight="1" thickTop="1" thickBot="1">
      <c r="A397" s="7"/>
      <c r="B397" s="8"/>
      <c r="C397" s="9"/>
      <c r="D397" s="10"/>
      <c r="E397" s="10"/>
      <c r="F397" s="10"/>
      <c r="G397" s="10"/>
      <c r="H397" s="10"/>
      <c r="I397" s="12"/>
      <c r="J397" s="13"/>
      <c r="K397" s="7"/>
      <c r="L397" s="67"/>
      <c r="M397" s="10"/>
    </row>
    <row r="398" spans="1:13" ht="75" customHeight="1" thickTop="1" thickBot="1">
      <c r="A398" s="7"/>
      <c r="B398" s="8"/>
      <c r="C398" s="9"/>
      <c r="D398" s="10"/>
      <c r="E398" s="10"/>
      <c r="F398" s="10"/>
      <c r="G398" s="10"/>
      <c r="H398" s="10"/>
      <c r="I398" s="12"/>
      <c r="J398" s="13"/>
      <c r="K398" s="7"/>
      <c r="L398" s="67"/>
      <c r="M398" s="10"/>
    </row>
    <row r="399" spans="1:13" ht="75" customHeight="1" thickTop="1" thickBot="1">
      <c r="A399" s="7"/>
      <c r="B399" s="8"/>
      <c r="C399" s="9"/>
      <c r="D399" s="10"/>
      <c r="E399" s="10"/>
      <c r="F399" s="10"/>
      <c r="G399" s="10"/>
      <c r="H399" s="10"/>
      <c r="I399" s="12"/>
      <c r="J399" s="13"/>
      <c r="K399" s="7"/>
      <c r="L399" s="67"/>
      <c r="M399" s="10"/>
    </row>
    <row r="400" spans="1:13" ht="75" customHeight="1" thickTop="1" thickBot="1">
      <c r="A400" s="7"/>
      <c r="B400" s="8"/>
      <c r="C400" s="9"/>
      <c r="D400" s="10"/>
      <c r="E400" s="10"/>
      <c r="F400" s="10"/>
      <c r="G400" s="10"/>
      <c r="H400" s="10"/>
      <c r="I400" s="12"/>
      <c r="J400" s="13"/>
      <c r="K400" s="7"/>
      <c r="L400" s="67"/>
      <c r="M400" s="10"/>
    </row>
    <row r="401" spans="1:13" ht="75" customHeight="1" thickTop="1" thickBot="1">
      <c r="A401" s="7"/>
      <c r="B401" s="8"/>
      <c r="C401" s="9"/>
      <c r="D401" s="10"/>
      <c r="E401" s="10"/>
      <c r="F401" s="10"/>
      <c r="G401" s="10"/>
      <c r="H401" s="10"/>
      <c r="I401" s="12"/>
      <c r="J401" s="13"/>
      <c r="K401" s="7"/>
      <c r="L401" s="67"/>
      <c r="M401" s="10"/>
    </row>
    <row r="402" spans="1:13" ht="75" customHeight="1" thickTop="1" thickBot="1">
      <c r="A402" s="7"/>
      <c r="B402" s="8"/>
      <c r="C402" s="9"/>
      <c r="D402" s="10"/>
      <c r="E402" s="10"/>
      <c r="F402" s="10"/>
      <c r="G402" s="10"/>
      <c r="H402" s="10"/>
      <c r="I402" s="12"/>
      <c r="J402" s="13"/>
      <c r="K402" s="7"/>
      <c r="L402" s="67"/>
      <c r="M402" s="10"/>
    </row>
    <row r="403" spans="1:13" ht="75" customHeight="1" thickTop="1" thickBot="1">
      <c r="A403" s="7"/>
      <c r="B403" s="8"/>
      <c r="C403" s="9"/>
      <c r="D403" s="10"/>
      <c r="E403" s="10"/>
      <c r="F403" s="10"/>
      <c r="G403" s="10"/>
      <c r="H403" s="10"/>
      <c r="I403" s="12"/>
      <c r="J403" s="13"/>
      <c r="K403" s="7"/>
      <c r="L403" s="67"/>
      <c r="M403" s="10"/>
    </row>
    <row r="404" spans="1:13" ht="75" customHeight="1" thickTop="1" thickBot="1">
      <c r="A404" s="7"/>
      <c r="B404" s="8"/>
      <c r="C404" s="9"/>
      <c r="D404" s="10"/>
      <c r="E404" s="10"/>
      <c r="F404" s="10"/>
      <c r="G404" s="10"/>
      <c r="H404" s="10"/>
      <c r="I404" s="12"/>
      <c r="J404" s="13"/>
      <c r="K404" s="7"/>
      <c r="L404" s="67"/>
      <c r="M404" s="10"/>
    </row>
    <row r="405" spans="1:13" ht="75" customHeight="1" thickTop="1" thickBot="1">
      <c r="A405" s="7"/>
      <c r="B405" s="8"/>
      <c r="C405" s="9"/>
      <c r="D405" s="10"/>
      <c r="E405" s="10"/>
      <c r="F405" s="10"/>
      <c r="G405" s="10"/>
      <c r="H405" s="10"/>
      <c r="I405" s="12"/>
      <c r="J405" s="13"/>
      <c r="K405" s="7"/>
      <c r="L405" s="67"/>
      <c r="M405" s="10"/>
    </row>
    <row r="406" spans="1:13" ht="75" customHeight="1" thickTop="1" thickBot="1">
      <c r="A406" s="7"/>
      <c r="B406" s="8"/>
      <c r="C406" s="9"/>
      <c r="D406" s="10"/>
      <c r="E406" s="10"/>
      <c r="F406" s="10"/>
      <c r="G406" s="10"/>
      <c r="H406" s="10"/>
      <c r="I406" s="12"/>
      <c r="J406" s="13"/>
      <c r="K406" s="7"/>
      <c r="L406" s="67"/>
      <c r="M406" s="10"/>
    </row>
    <row r="407" spans="1:13" ht="75" customHeight="1" thickTop="1" thickBot="1">
      <c r="A407" s="7"/>
      <c r="B407" s="8"/>
      <c r="C407" s="9"/>
      <c r="D407" s="10"/>
      <c r="E407" s="10"/>
      <c r="F407" s="10"/>
      <c r="G407" s="10"/>
      <c r="H407" s="10"/>
      <c r="I407" s="12"/>
      <c r="J407" s="13"/>
      <c r="K407" s="7"/>
      <c r="L407" s="67"/>
      <c r="M407" s="10"/>
    </row>
    <row r="408" spans="1:13" ht="75" customHeight="1" thickTop="1" thickBot="1">
      <c r="A408" s="7"/>
      <c r="B408" s="8"/>
      <c r="C408" s="9"/>
      <c r="D408" s="10"/>
      <c r="E408" s="10"/>
      <c r="F408" s="10"/>
      <c r="G408" s="10"/>
      <c r="H408" s="10"/>
      <c r="I408" s="12"/>
      <c r="J408" s="13"/>
      <c r="K408" s="7"/>
      <c r="L408" s="67"/>
      <c r="M408" s="10"/>
    </row>
    <row r="409" spans="1:13" ht="75" customHeight="1" thickTop="1" thickBot="1">
      <c r="A409" s="7"/>
      <c r="B409" s="8"/>
      <c r="C409" s="9"/>
      <c r="D409" s="10"/>
      <c r="E409" s="10"/>
      <c r="F409" s="10"/>
      <c r="G409" s="10"/>
      <c r="H409" s="10"/>
      <c r="I409" s="12"/>
      <c r="J409" s="13"/>
      <c r="K409" s="7"/>
      <c r="L409" s="67"/>
      <c r="M409" s="10"/>
    </row>
    <row r="410" spans="1:13" ht="75" customHeight="1" thickTop="1" thickBot="1">
      <c r="A410" s="7"/>
      <c r="B410" s="8"/>
      <c r="C410" s="9"/>
      <c r="D410" s="10"/>
      <c r="E410" s="10"/>
      <c r="F410" s="10"/>
      <c r="G410" s="10"/>
      <c r="H410" s="10"/>
      <c r="I410" s="12"/>
      <c r="J410" s="13"/>
      <c r="K410" s="7"/>
      <c r="L410" s="67"/>
      <c r="M410" s="10"/>
    </row>
    <row r="411" spans="1:13" ht="75" customHeight="1" thickTop="1" thickBot="1">
      <c r="A411" s="7"/>
      <c r="B411" s="8"/>
      <c r="C411" s="9"/>
      <c r="D411" s="10"/>
      <c r="E411" s="10"/>
      <c r="F411" s="10"/>
      <c r="G411" s="10"/>
      <c r="H411" s="10"/>
      <c r="I411" s="12"/>
      <c r="J411" s="13"/>
      <c r="K411" s="7"/>
      <c r="L411" s="67"/>
      <c r="M411" s="10"/>
    </row>
    <row r="412" spans="1:13" ht="75" customHeight="1" thickTop="1" thickBot="1">
      <c r="A412" s="7"/>
      <c r="B412" s="8"/>
      <c r="C412" s="9"/>
      <c r="D412" s="10"/>
      <c r="E412" s="10"/>
      <c r="F412" s="10"/>
      <c r="G412" s="10"/>
      <c r="H412" s="10"/>
      <c r="I412" s="12"/>
      <c r="J412" s="13"/>
      <c r="K412" s="7"/>
      <c r="L412" s="67"/>
      <c r="M412" s="10"/>
    </row>
    <row r="413" spans="1:13" ht="75" customHeight="1" thickTop="1" thickBot="1">
      <c r="A413" s="7"/>
      <c r="B413" s="8"/>
      <c r="C413" s="9"/>
      <c r="D413" s="10"/>
      <c r="E413" s="10"/>
      <c r="F413" s="10"/>
      <c r="G413" s="10"/>
      <c r="H413" s="10"/>
      <c r="I413" s="12"/>
      <c r="J413" s="13"/>
      <c r="K413" s="7"/>
      <c r="L413" s="67"/>
      <c r="M413" s="10"/>
    </row>
    <row r="414" spans="1:13" ht="75" customHeight="1" thickTop="1" thickBot="1">
      <c r="A414" s="7"/>
      <c r="B414" s="8"/>
      <c r="C414" s="9"/>
      <c r="D414" s="10"/>
      <c r="E414" s="10"/>
      <c r="F414" s="10"/>
      <c r="G414" s="10"/>
      <c r="H414" s="10"/>
      <c r="I414" s="12"/>
      <c r="J414" s="13"/>
      <c r="K414" s="7"/>
      <c r="L414" s="67"/>
      <c r="M414" s="10"/>
    </row>
    <row r="415" spans="1:13" ht="75" customHeight="1" thickTop="1" thickBot="1">
      <c r="A415" s="7"/>
      <c r="B415" s="8"/>
      <c r="C415" s="9"/>
      <c r="D415" s="10"/>
      <c r="E415" s="10"/>
      <c r="F415" s="10"/>
      <c r="G415" s="10"/>
      <c r="H415" s="10"/>
      <c r="I415" s="12"/>
      <c r="J415" s="13"/>
      <c r="K415" s="7"/>
      <c r="L415" s="67"/>
      <c r="M415" s="10"/>
    </row>
    <row r="416" spans="1:13" ht="75" customHeight="1" thickTop="1" thickBot="1">
      <c r="A416" s="7"/>
      <c r="B416" s="8"/>
      <c r="C416" s="9"/>
      <c r="D416" s="10"/>
      <c r="E416" s="10"/>
      <c r="F416" s="10"/>
      <c r="G416" s="10"/>
      <c r="H416" s="10"/>
      <c r="I416" s="12"/>
      <c r="J416" s="13"/>
      <c r="K416" s="7"/>
      <c r="L416" s="67"/>
      <c r="M416" s="10"/>
    </row>
    <row r="417" spans="1:13" ht="75" customHeight="1" thickTop="1" thickBot="1">
      <c r="A417" s="7"/>
      <c r="B417" s="8"/>
      <c r="C417" s="9"/>
      <c r="D417" s="10"/>
      <c r="E417" s="10"/>
      <c r="F417" s="10"/>
      <c r="G417" s="10"/>
      <c r="H417" s="10"/>
      <c r="I417" s="12"/>
      <c r="J417" s="13"/>
      <c r="K417" s="7"/>
      <c r="L417" s="67"/>
      <c r="M417" s="10"/>
    </row>
    <row r="418" spans="1:13" ht="75" customHeight="1" thickTop="1" thickBot="1">
      <c r="A418" s="7"/>
      <c r="B418" s="8"/>
      <c r="C418" s="9"/>
      <c r="D418" s="10"/>
      <c r="E418" s="10"/>
      <c r="F418" s="10"/>
      <c r="G418" s="10"/>
      <c r="H418" s="10"/>
      <c r="I418" s="12"/>
      <c r="J418" s="13"/>
      <c r="K418" s="7"/>
      <c r="L418" s="67"/>
      <c r="M418" s="10"/>
    </row>
    <row r="419" spans="1:13" ht="75" customHeight="1" thickTop="1" thickBot="1">
      <c r="A419" s="7"/>
      <c r="B419" s="8"/>
      <c r="C419" s="9"/>
      <c r="D419" s="10"/>
      <c r="E419" s="10"/>
      <c r="F419" s="10"/>
      <c r="G419" s="10"/>
      <c r="H419" s="10"/>
      <c r="I419" s="12"/>
      <c r="J419" s="13"/>
      <c r="K419" s="7"/>
      <c r="L419" s="67"/>
      <c r="M419" s="10"/>
    </row>
    <row r="420" spans="1:13" ht="75" customHeight="1" thickTop="1" thickBot="1">
      <c r="A420" s="7"/>
      <c r="B420" s="8"/>
      <c r="C420" s="9"/>
      <c r="D420" s="10"/>
      <c r="E420" s="10"/>
      <c r="F420" s="10"/>
      <c r="G420" s="10"/>
      <c r="H420" s="10"/>
      <c r="I420" s="12"/>
      <c r="J420" s="13"/>
      <c r="K420" s="7"/>
      <c r="L420" s="67"/>
      <c r="M420" s="10"/>
    </row>
    <row r="421" spans="1:13" ht="75" customHeight="1" thickTop="1" thickBot="1">
      <c r="A421" s="7"/>
      <c r="B421" s="8"/>
      <c r="C421" s="9"/>
      <c r="D421" s="10"/>
      <c r="E421" s="10"/>
      <c r="F421" s="10"/>
      <c r="G421" s="10"/>
      <c r="H421" s="10"/>
      <c r="I421" s="12"/>
      <c r="J421" s="13"/>
      <c r="K421" s="7"/>
      <c r="L421" s="67"/>
      <c r="M421" s="10"/>
    </row>
    <row r="422" spans="1:13" ht="75" customHeight="1" thickTop="1" thickBot="1">
      <c r="A422" s="7"/>
      <c r="B422" s="8"/>
      <c r="C422" s="9"/>
      <c r="D422" s="10"/>
      <c r="E422" s="10"/>
      <c r="F422" s="10"/>
      <c r="G422" s="10"/>
      <c r="H422" s="10"/>
      <c r="I422" s="12"/>
      <c r="J422" s="13"/>
      <c r="K422" s="7"/>
      <c r="L422" s="67"/>
      <c r="M422" s="10"/>
    </row>
    <row r="423" spans="1:13" ht="75" customHeight="1" thickTop="1" thickBot="1">
      <c r="A423" s="7"/>
      <c r="B423" s="8"/>
      <c r="C423" s="9"/>
      <c r="D423" s="10"/>
      <c r="E423" s="10"/>
      <c r="F423" s="10"/>
      <c r="G423" s="10"/>
      <c r="H423" s="10"/>
      <c r="I423" s="12"/>
      <c r="J423" s="13"/>
      <c r="K423" s="7"/>
      <c r="L423" s="67"/>
      <c r="M423" s="10"/>
    </row>
    <row r="424" spans="1:13" ht="75" customHeight="1" thickTop="1" thickBot="1">
      <c r="A424" s="7"/>
      <c r="B424" s="8"/>
      <c r="C424" s="9"/>
      <c r="D424" s="10"/>
      <c r="E424" s="10"/>
      <c r="F424" s="10"/>
      <c r="G424" s="10"/>
      <c r="H424" s="10"/>
      <c r="I424" s="12"/>
      <c r="J424" s="13"/>
      <c r="K424" s="7"/>
      <c r="L424" s="67"/>
      <c r="M424" s="10"/>
    </row>
    <row r="425" spans="1:13" ht="75" customHeight="1" thickTop="1" thickBot="1">
      <c r="A425" s="7"/>
      <c r="B425" s="8"/>
      <c r="C425" s="9"/>
      <c r="D425" s="10"/>
      <c r="E425" s="10"/>
      <c r="F425" s="10"/>
      <c r="G425" s="10"/>
      <c r="H425" s="10"/>
      <c r="I425" s="12"/>
      <c r="J425" s="13"/>
      <c r="K425" s="7"/>
      <c r="L425" s="67"/>
      <c r="M425" s="10"/>
    </row>
    <row r="426" spans="1:13" ht="75" customHeight="1" thickTop="1" thickBot="1">
      <c r="A426" s="7"/>
      <c r="B426" s="8"/>
      <c r="C426" s="9"/>
      <c r="D426" s="10"/>
      <c r="E426" s="10"/>
      <c r="F426" s="10"/>
      <c r="G426" s="10"/>
      <c r="H426" s="10"/>
      <c r="I426" s="12"/>
      <c r="J426" s="13"/>
      <c r="K426" s="7"/>
      <c r="L426" s="67"/>
      <c r="M426" s="10"/>
    </row>
    <row r="427" spans="1:13" ht="75" customHeight="1" thickTop="1" thickBot="1">
      <c r="A427" s="7"/>
      <c r="B427" s="8"/>
      <c r="C427" s="9"/>
      <c r="D427" s="10"/>
      <c r="E427" s="10"/>
      <c r="F427" s="10"/>
      <c r="G427" s="10"/>
      <c r="H427" s="10"/>
      <c r="I427" s="12"/>
      <c r="J427" s="13"/>
      <c r="K427" s="7"/>
      <c r="L427" s="67"/>
      <c r="M427" s="10"/>
    </row>
    <row r="428" spans="1:13" ht="75" customHeight="1" thickTop="1" thickBot="1">
      <c r="A428" s="7"/>
      <c r="B428" s="8"/>
      <c r="C428" s="9"/>
      <c r="D428" s="10"/>
      <c r="E428" s="10"/>
      <c r="F428" s="10"/>
      <c r="G428" s="10"/>
      <c r="H428" s="10"/>
      <c r="I428" s="12"/>
      <c r="J428" s="13"/>
      <c r="K428" s="7"/>
      <c r="L428" s="67"/>
      <c r="M428" s="10"/>
    </row>
    <row r="429" spans="1:13" ht="75" customHeight="1" thickTop="1" thickBot="1">
      <c r="A429" s="7"/>
      <c r="B429" s="8"/>
      <c r="C429" s="9"/>
      <c r="D429" s="10"/>
      <c r="E429" s="10"/>
      <c r="F429" s="10"/>
      <c r="G429" s="10"/>
      <c r="H429" s="10"/>
      <c r="I429" s="12"/>
      <c r="J429" s="13"/>
      <c r="K429" s="7"/>
      <c r="L429" s="67"/>
      <c r="M429" s="10"/>
    </row>
    <row r="430" spans="1:13" ht="75" customHeight="1" thickTop="1" thickBot="1">
      <c r="A430" s="7"/>
      <c r="B430" s="8"/>
      <c r="C430" s="9"/>
      <c r="D430" s="10"/>
      <c r="E430" s="10"/>
      <c r="F430" s="10"/>
      <c r="G430" s="10"/>
      <c r="H430" s="10"/>
      <c r="I430" s="12"/>
      <c r="J430" s="13"/>
      <c r="K430" s="7"/>
      <c r="L430" s="67"/>
      <c r="M430" s="10"/>
    </row>
    <row r="431" spans="1:13" ht="75" customHeight="1" thickTop="1" thickBot="1">
      <c r="A431" s="7"/>
      <c r="B431" s="8"/>
      <c r="C431" s="9"/>
      <c r="D431" s="10"/>
      <c r="E431" s="10"/>
      <c r="F431" s="10"/>
      <c r="G431" s="10"/>
      <c r="H431" s="10"/>
      <c r="I431" s="12"/>
      <c r="J431" s="13"/>
      <c r="K431" s="7"/>
      <c r="L431" s="67"/>
      <c r="M431" s="10"/>
    </row>
    <row r="432" spans="1:13" ht="75" customHeight="1" thickTop="1" thickBot="1">
      <c r="A432" s="7"/>
      <c r="B432" s="8"/>
      <c r="C432" s="9"/>
      <c r="D432" s="10"/>
      <c r="E432" s="10"/>
      <c r="F432" s="10"/>
      <c r="G432" s="10"/>
      <c r="H432" s="10"/>
      <c r="I432" s="12"/>
      <c r="J432" s="13"/>
      <c r="K432" s="7"/>
      <c r="L432" s="67"/>
      <c r="M432" s="10"/>
    </row>
    <row r="433" spans="1:13" ht="75" customHeight="1" thickTop="1" thickBot="1">
      <c r="A433" s="7"/>
      <c r="B433" s="8"/>
      <c r="C433" s="9"/>
      <c r="D433" s="10"/>
      <c r="E433" s="10"/>
      <c r="F433" s="10"/>
      <c r="G433" s="10"/>
      <c r="H433" s="10"/>
      <c r="I433" s="12"/>
      <c r="J433" s="13"/>
      <c r="K433" s="7"/>
      <c r="L433" s="67"/>
      <c r="M433" s="10"/>
    </row>
    <row r="434" spans="1:13" ht="75" customHeight="1" thickTop="1" thickBot="1">
      <c r="A434" s="7"/>
      <c r="B434" s="8"/>
      <c r="C434" s="9"/>
      <c r="D434" s="10"/>
      <c r="E434" s="10"/>
      <c r="F434" s="10"/>
      <c r="G434" s="10"/>
      <c r="H434" s="10"/>
      <c r="I434" s="12"/>
      <c r="J434" s="13"/>
      <c r="K434" s="7"/>
      <c r="L434" s="67"/>
      <c r="M434" s="10"/>
    </row>
    <row r="435" spans="1:13" ht="75" customHeight="1" thickTop="1" thickBot="1">
      <c r="A435" s="7"/>
      <c r="B435" s="8"/>
      <c r="C435" s="9"/>
      <c r="D435" s="10"/>
      <c r="E435" s="10"/>
      <c r="F435" s="10"/>
      <c r="G435" s="10"/>
      <c r="H435" s="10"/>
      <c r="I435" s="12"/>
      <c r="J435" s="13"/>
      <c r="K435" s="7"/>
      <c r="L435" s="67"/>
      <c r="M435" s="10"/>
    </row>
    <row r="436" spans="1:13" ht="75" customHeight="1" thickTop="1" thickBot="1">
      <c r="A436" s="7"/>
      <c r="B436" s="8"/>
      <c r="C436" s="9"/>
      <c r="D436" s="10"/>
      <c r="E436" s="10"/>
      <c r="F436" s="10"/>
      <c r="G436" s="10"/>
      <c r="H436" s="10"/>
      <c r="I436" s="12"/>
      <c r="J436" s="13"/>
      <c r="K436" s="7"/>
      <c r="L436" s="67"/>
      <c r="M436" s="10"/>
    </row>
    <row r="437" spans="1:13" ht="75" customHeight="1" thickTop="1" thickBot="1">
      <c r="A437" s="7"/>
      <c r="B437" s="8"/>
      <c r="C437" s="9"/>
      <c r="D437" s="10"/>
      <c r="E437" s="10"/>
      <c r="F437" s="10"/>
      <c r="G437" s="10"/>
      <c r="H437" s="10"/>
      <c r="I437" s="12"/>
      <c r="J437" s="13"/>
      <c r="K437" s="7"/>
      <c r="L437" s="67"/>
      <c r="M437" s="10"/>
    </row>
    <row r="438" spans="1:13" ht="75" customHeight="1" thickTop="1" thickBot="1">
      <c r="A438" s="7"/>
      <c r="B438" s="8"/>
      <c r="C438" s="9"/>
      <c r="D438" s="10"/>
      <c r="E438" s="10"/>
      <c r="F438" s="10"/>
      <c r="G438" s="10"/>
      <c r="H438" s="10"/>
      <c r="I438" s="12"/>
      <c r="J438" s="13"/>
      <c r="K438" s="7"/>
      <c r="L438" s="67"/>
      <c r="M438" s="10"/>
    </row>
    <row r="439" spans="1:13" ht="75" customHeight="1" thickTop="1" thickBot="1">
      <c r="A439" s="7"/>
      <c r="B439" s="8"/>
      <c r="C439" s="9"/>
      <c r="D439" s="10"/>
      <c r="E439" s="10"/>
      <c r="F439" s="10"/>
      <c r="G439" s="10"/>
      <c r="H439" s="10"/>
      <c r="I439" s="12"/>
      <c r="J439" s="13"/>
      <c r="K439" s="7"/>
      <c r="L439" s="67"/>
      <c r="M439" s="10"/>
    </row>
    <row r="440" spans="1:13" ht="75" customHeight="1" thickTop="1" thickBot="1">
      <c r="A440" s="7"/>
      <c r="B440" s="8"/>
      <c r="C440" s="9"/>
      <c r="D440" s="10"/>
      <c r="E440" s="10"/>
      <c r="F440" s="10"/>
      <c r="G440" s="10"/>
      <c r="H440" s="10"/>
      <c r="I440" s="12"/>
      <c r="J440" s="13"/>
      <c r="K440" s="7"/>
      <c r="L440" s="67"/>
      <c r="M440" s="10"/>
    </row>
    <row r="441" spans="1:13" ht="75" customHeight="1" thickTop="1" thickBot="1">
      <c r="A441" s="7"/>
      <c r="B441" s="8"/>
      <c r="C441" s="9"/>
      <c r="D441" s="10"/>
      <c r="E441" s="10"/>
      <c r="F441" s="10"/>
      <c r="G441" s="10"/>
      <c r="H441" s="10"/>
      <c r="I441" s="12"/>
      <c r="J441" s="13"/>
      <c r="K441" s="7"/>
      <c r="L441" s="67"/>
      <c r="M441" s="10"/>
    </row>
    <row r="442" spans="1:13" ht="75" customHeight="1" thickTop="1" thickBot="1">
      <c r="A442" s="7"/>
      <c r="B442" s="8"/>
      <c r="C442" s="9"/>
      <c r="D442" s="10"/>
      <c r="E442" s="10"/>
      <c r="F442" s="10"/>
      <c r="G442" s="10"/>
      <c r="H442" s="10"/>
      <c r="I442" s="12"/>
      <c r="J442" s="13"/>
      <c r="K442" s="7"/>
      <c r="L442" s="67"/>
      <c r="M442" s="10"/>
    </row>
    <row r="443" spans="1:13" ht="75" customHeight="1" thickTop="1" thickBot="1">
      <c r="A443" s="7"/>
      <c r="B443" s="8"/>
      <c r="C443" s="9"/>
      <c r="D443" s="10"/>
      <c r="E443" s="10"/>
      <c r="F443" s="10"/>
      <c r="G443" s="10"/>
      <c r="H443" s="10"/>
      <c r="I443" s="12"/>
      <c r="J443" s="13"/>
      <c r="K443" s="7"/>
      <c r="L443" s="67"/>
      <c r="M443" s="10"/>
    </row>
    <row r="444" spans="1:13" ht="75" customHeight="1" thickTop="1" thickBot="1">
      <c r="A444" s="7"/>
      <c r="B444" s="8"/>
      <c r="C444" s="9"/>
      <c r="D444" s="10"/>
      <c r="E444" s="10"/>
      <c r="F444" s="10"/>
      <c r="G444" s="10"/>
      <c r="H444" s="10"/>
      <c r="I444" s="12"/>
      <c r="J444" s="13"/>
      <c r="K444" s="7"/>
      <c r="L444" s="67"/>
      <c r="M444" s="10"/>
    </row>
    <row r="445" spans="1:13" ht="75" customHeight="1" thickTop="1" thickBot="1">
      <c r="A445" s="7"/>
      <c r="B445" s="8"/>
      <c r="C445" s="9"/>
      <c r="D445" s="10"/>
      <c r="E445" s="10"/>
      <c r="F445" s="10"/>
      <c r="G445" s="10"/>
      <c r="H445" s="10"/>
      <c r="I445" s="12"/>
      <c r="J445" s="13"/>
      <c r="K445" s="7"/>
      <c r="L445" s="67"/>
      <c r="M445" s="10"/>
    </row>
    <row r="446" spans="1:13" ht="75" customHeight="1" thickTop="1" thickBot="1">
      <c r="A446" s="7"/>
      <c r="B446" s="8"/>
      <c r="C446" s="9"/>
      <c r="D446" s="10"/>
      <c r="E446" s="10"/>
      <c r="F446" s="10"/>
      <c r="G446" s="10"/>
      <c r="H446" s="10"/>
      <c r="I446" s="12"/>
      <c r="J446" s="13"/>
      <c r="K446" s="7"/>
      <c r="L446" s="67"/>
      <c r="M446" s="10"/>
    </row>
    <row r="447" spans="1:13" ht="75" customHeight="1" thickTop="1" thickBot="1">
      <c r="A447" s="7"/>
      <c r="B447" s="8"/>
      <c r="C447" s="9"/>
      <c r="D447" s="10"/>
      <c r="E447" s="10"/>
      <c r="F447" s="10"/>
      <c r="G447" s="10"/>
      <c r="H447" s="10"/>
      <c r="I447" s="12"/>
      <c r="J447" s="13"/>
      <c r="K447" s="7"/>
      <c r="L447" s="67"/>
      <c r="M447" s="10"/>
    </row>
    <row r="448" spans="1:13" ht="75" customHeight="1" thickTop="1" thickBot="1">
      <c r="A448" s="7"/>
      <c r="B448" s="8"/>
      <c r="C448" s="9"/>
      <c r="D448" s="10"/>
      <c r="E448" s="10"/>
      <c r="F448" s="10"/>
      <c r="G448" s="10"/>
      <c r="H448" s="10"/>
      <c r="I448" s="12"/>
      <c r="J448" s="13"/>
      <c r="K448" s="7"/>
      <c r="L448" s="67"/>
      <c r="M448" s="10"/>
    </row>
    <row r="449" spans="1:13" ht="75" customHeight="1" thickTop="1" thickBot="1">
      <c r="A449" s="7"/>
      <c r="B449" s="8"/>
      <c r="C449" s="9"/>
      <c r="D449" s="10"/>
      <c r="E449" s="10"/>
      <c r="F449" s="10"/>
      <c r="G449" s="10"/>
      <c r="H449" s="10"/>
      <c r="I449" s="12"/>
      <c r="J449" s="13"/>
      <c r="K449" s="7"/>
      <c r="L449" s="67"/>
      <c r="M449" s="10"/>
    </row>
    <row r="450" spans="1:13" ht="75" customHeight="1" thickTop="1" thickBot="1">
      <c r="A450" s="7"/>
      <c r="B450" s="8"/>
      <c r="C450" s="9"/>
      <c r="D450" s="10"/>
      <c r="E450" s="10"/>
      <c r="F450" s="10"/>
      <c r="G450" s="10"/>
      <c r="H450" s="10"/>
      <c r="I450" s="12"/>
      <c r="J450" s="13"/>
      <c r="K450" s="7"/>
      <c r="L450" s="67"/>
      <c r="M450" s="10"/>
    </row>
    <row r="451" spans="1:13" ht="75" customHeight="1" thickTop="1" thickBot="1">
      <c r="A451" s="7"/>
      <c r="B451" s="8"/>
      <c r="C451" s="9"/>
      <c r="D451" s="10"/>
      <c r="E451" s="10"/>
      <c r="F451" s="10"/>
      <c r="G451" s="10"/>
      <c r="H451" s="10"/>
      <c r="I451" s="12"/>
      <c r="J451" s="13"/>
      <c r="K451" s="7"/>
      <c r="L451" s="67"/>
      <c r="M451" s="10"/>
    </row>
    <row r="452" spans="1:13" ht="75" customHeight="1" thickTop="1" thickBot="1">
      <c r="A452" s="7"/>
      <c r="B452" s="8"/>
      <c r="C452" s="9"/>
      <c r="D452" s="10"/>
      <c r="E452" s="10"/>
      <c r="F452" s="10"/>
      <c r="G452" s="10"/>
      <c r="H452" s="10"/>
      <c r="I452" s="12"/>
      <c r="J452" s="13"/>
      <c r="K452" s="7"/>
      <c r="L452" s="67"/>
      <c r="M452" s="10"/>
    </row>
    <row r="453" spans="1:13" ht="75" customHeight="1" thickTop="1" thickBot="1">
      <c r="A453" s="7"/>
      <c r="B453" s="8"/>
      <c r="C453" s="9"/>
      <c r="D453" s="10"/>
      <c r="E453" s="10"/>
      <c r="F453" s="10"/>
      <c r="G453" s="10"/>
      <c r="H453" s="10"/>
      <c r="I453" s="12"/>
      <c r="J453" s="13"/>
      <c r="K453" s="7"/>
      <c r="L453" s="67"/>
      <c r="M453" s="10"/>
    </row>
    <row r="454" spans="1:13" ht="75" customHeight="1" thickTop="1" thickBot="1">
      <c r="A454" s="7"/>
      <c r="B454" s="8"/>
      <c r="C454" s="9"/>
      <c r="D454" s="10"/>
      <c r="E454" s="10"/>
      <c r="F454" s="10"/>
      <c r="G454" s="10"/>
      <c r="H454" s="10"/>
      <c r="I454" s="12"/>
      <c r="J454" s="13"/>
      <c r="K454" s="7"/>
      <c r="L454" s="67"/>
      <c r="M454" s="10"/>
    </row>
    <row r="455" spans="1:13" ht="75" customHeight="1" thickTop="1" thickBot="1">
      <c r="A455" s="7"/>
      <c r="B455" s="8"/>
      <c r="C455" s="9"/>
      <c r="D455" s="10"/>
      <c r="E455" s="10"/>
      <c r="F455" s="10"/>
      <c r="G455" s="10"/>
      <c r="H455" s="10"/>
      <c r="I455" s="12"/>
      <c r="J455" s="13"/>
      <c r="K455" s="7"/>
      <c r="L455" s="67"/>
      <c r="M455" s="10"/>
    </row>
    <row r="456" spans="1:13" ht="75" customHeight="1" thickTop="1" thickBot="1">
      <c r="A456" s="7"/>
      <c r="B456" s="8"/>
      <c r="C456" s="9"/>
      <c r="D456" s="10"/>
      <c r="E456" s="10"/>
      <c r="F456" s="10"/>
      <c r="G456" s="10"/>
      <c r="H456" s="10"/>
      <c r="I456" s="12"/>
      <c r="J456" s="13"/>
      <c r="K456" s="7"/>
      <c r="L456" s="67"/>
      <c r="M456" s="10"/>
    </row>
    <row r="457" spans="1:13" ht="75" customHeight="1" thickTop="1" thickBot="1">
      <c r="A457" s="7"/>
      <c r="B457" s="8"/>
      <c r="C457" s="9"/>
      <c r="D457" s="10"/>
      <c r="E457" s="10"/>
      <c r="F457" s="10"/>
      <c r="G457" s="10"/>
      <c r="H457" s="10"/>
      <c r="I457" s="12"/>
      <c r="J457" s="13"/>
      <c r="K457" s="7"/>
      <c r="L457" s="67"/>
      <c r="M457" s="10"/>
    </row>
    <row r="458" spans="1:13" ht="75" customHeight="1" thickTop="1" thickBot="1">
      <c r="A458" s="7"/>
      <c r="B458" s="8"/>
      <c r="C458" s="9"/>
      <c r="D458" s="10"/>
      <c r="E458" s="10"/>
      <c r="F458" s="10"/>
      <c r="G458" s="10"/>
      <c r="H458" s="10"/>
      <c r="I458" s="12"/>
      <c r="J458" s="13"/>
      <c r="K458" s="7"/>
      <c r="L458" s="67"/>
      <c r="M458" s="10"/>
    </row>
    <row r="459" spans="1:13" ht="75" customHeight="1" thickTop="1" thickBot="1">
      <c r="A459" s="7"/>
      <c r="B459" s="8"/>
      <c r="C459" s="9"/>
      <c r="D459" s="10"/>
      <c r="E459" s="10"/>
      <c r="F459" s="10"/>
      <c r="G459" s="10"/>
      <c r="H459" s="10"/>
      <c r="I459" s="12"/>
      <c r="J459" s="13"/>
      <c r="K459" s="7"/>
      <c r="L459" s="67"/>
      <c r="M459" s="10"/>
    </row>
    <row r="460" spans="1:13" ht="75" customHeight="1" thickTop="1" thickBot="1">
      <c r="A460" s="7"/>
      <c r="B460" s="8"/>
      <c r="C460" s="9"/>
      <c r="D460" s="10"/>
      <c r="E460" s="10"/>
      <c r="F460" s="10"/>
      <c r="G460" s="10"/>
      <c r="H460" s="10"/>
      <c r="I460" s="12"/>
      <c r="J460" s="13"/>
      <c r="K460" s="7"/>
      <c r="L460" s="67"/>
      <c r="M460" s="10"/>
    </row>
    <row r="461" spans="1:13" ht="75" customHeight="1" thickTop="1" thickBot="1">
      <c r="A461" s="7"/>
      <c r="B461" s="8"/>
      <c r="C461" s="9"/>
      <c r="D461" s="10"/>
      <c r="E461" s="10"/>
      <c r="F461" s="10"/>
      <c r="G461" s="10"/>
      <c r="H461" s="10"/>
      <c r="I461" s="12"/>
      <c r="J461" s="13"/>
      <c r="K461" s="7"/>
      <c r="L461" s="67"/>
      <c r="M461" s="10"/>
    </row>
    <row r="462" spans="1:13" ht="75" customHeight="1" thickTop="1" thickBot="1">
      <c r="A462" s="7"/>
      <c r="B462" s="8"/>
      <c r="C462" s="9"/>
      <c r="D462" s="10"/>
      <c r="E462" s="10"/>
      <c r="F462" s="10"/>
      <c r="G462" s="10"/>
      <c r="H462" s="10"/>
      <c r="I462" s="12"/>
      <c r="J462" s="13"/>
      <c r="K462" s="7"/>
      <c r="L462" s="67"/>
      <c r="M462" s="10"/>
    </row>
    <row r="463" spans="1:13" ht="75" customHeight="1" thickTop="1" thickBot="1">
      <c r="A463" s="7"/>
      <c r="B463" s="8"/>
      <c r="C463" s="9"/>
      <c r="D463" s="10"/>
      <c r="E463" s="10"/>
      <c r="F463" s="10"/>
      <c r="G463" s="10"/>
      <c r="H463" s="10"/>
      <c r="I463" s="12"/>
      <c r="J463" s="13"/>
      <c r="K463" s="7"/>
      <c r="L463" s="67"/>
      <c r="M463" s="10"/>
    </row>
    <row r="464" spans="1:13" ht="75" customHeight="1" thickTop="1" thickBot="1">
      <c r="A464" s="7"/>
      <c r="B464" s="8"/>
      <c r="C464" s="9"/>
      <c r="D464" s="10"/>
      <c r="E464" s="10"/>
      <c r="F464" s="10"/>
      <c r="G464" s="10"/>
      <c r="H464" s="10"/>
      <c r="I464" s="12"/>
      <c r="J464" s="13"/>
      <c r="K464" s="7"/>
      <c r="L464" s="67"/>
      <c r="M464" s="10"/>
    </row>
    <row r="465" spans="1:13" ht="75" customHeight="1" thickTop="1" thickBot="1">
      <c r="A465" s="7"/>
      <c r="B465" s="8"/>
      <c r="C465" s="9"/>
      <c r="D465" s="10"/>
      <c r="E465" s="10"/>
      <c r="F465" s="10"/>
      <c r="G465" s="10"/>
      <c r="H465" s="10"/>
      <c r="I465" s="12"/>
      <c r="J465" s="13"/>
      <c r="K465" s="7"/>
      <c r="L465" s="67"/>
      <c r="M465" s="10"/>
    </row>
    <row r="466" spans="1:13" ht="75" customHeight="1" thickTop="1" thickBot="1">
      <c r="A466" s="7"/>
      <c r="B466" s="8"/>
      <c r="C466" s="9"/>
      <c r="D466" s="10"/>
      <c r="E466" s="10"/>
      <c r="F466" s="10"/>
      <c r="G466" s="10"/>
      <c r="H466" s="10"/>
      <c r="I466" s="12"/>
      <c r="J466" s="13"/>
      <c r="K466" s="7"/>
      <c r="L466" s="67"/>
      <c r="M466" s="10"/>
    </row>
    <row r="467" spans="1:13" ht="75" customHeight="1" thickTop="1" thickBot="1">
      <c r="A467" s="7"/>
      <c r="B467" s="8"/>
      <c r="C467" s="9"/>
      <c r="D467" s="10"/>
      <c r="E467" s="10"/>
      <c r="F467" s="10"/>
      <c r="G467" s="10"/>
      <c r="H467" s="10"/>
      <c r="I467" s="12"/>
      <c r="J467" s="13"/>
      <c r="K467" s="7"/>
      <c r="L467" s="67"/>
      <c r="M467" s="10"/>
    </row>
    <row r="468" spans="1:13" ht="75" customHeight="1" thickTop="1" thickBot="1">
      <c r="A468" s="7"/>
      <c r="B468" s="8"/>
      <c r="C468" s="9"/>
      <c r="D468" s="10"/>
      <c r="E468" s="10"/>
      <c r="F468" s="10"/>
      <c r="G468" s="10"/>
      <c r="H468" s="10"/>
      <c r="I468" s="12"/>
      <c r="J468" s="13"/>
      <c r="K468" s="7"/>
      <c r="L468" s="67"/>
      <c r="M468" s="10"/>
    </row>
    <row r="469" spans="1:13" ht="75" customHeight="1" thickTop="1" thickBot="1">
      <c r="A469" s="7"/>
      <c r="B469" s="8"/>
      <c r="C469" s="9"/>
      <c r="D469" s="10"/>
      <c r="E469" s="10"/>
      <c r="F469" s="10"/>
      <c r="G469" s="10"/>
      <c r="H469" s="10"/>
      <c r="I469" s="12"/>
      <c r="J469" s="13"/>
      <c r="K469" s="7"/>
      <c r="L469" s="67"/>
      <c r="M469" s="10"/>
    </row>
    <row r="470" spans="1:13" ht="75" customHeight="1" thickTop="1" thickBot="1">
      <c r="A470" s="7"/>
      <c r="B470" s="8"/>
      <c r="C470" s="9"/>
      <c r="D470" s="10"/>
      <c r="E470" s="10"/>
      <c r="F470" s="10"/>
      <c r="G470" s="10"/>
      <c r="H470" s="10"/>
      <c r="I470" s="12"/>
      <c r="J470" s="13"/>
      <c r="K470" s="7"/>
      <c r="L470" s="67"/>
      <c r="M470" s="10"/>
    </row>
    <row r="471" spans="1:13" ht="75" customHeight="1" thickTop="1" thickBot="1">
      <c r="A471" s="7"/>
      <c r="B471" s="8"/>
      <c r="C471" s="9"/>
      <c r="D471" s="10"/>
      <c r="E471" s="10"/>
      <c r="F471" s="10"/>
      <c r="G471" s="10"/>
      <c r="H471" s="10"/>
      <c r="I471" s="12"/>
      <c r="J471" s="13"/>
      <c r="K471" s="7"/>
      <c r="L471" s="67"/>
      <c r="M471" s="10"/>
    </row>
    <row r="472" spans="1:13" ht="75" customHeight="1" thickTop="1" thickBot="1">
      <c r="A472" s="7"/>
      <c r="B472" s="8"/>
      <c r="C472" s="9"/>
      <c r="D472" s="10"/>
      <c r="E472" s="10"/>
      <c r="F472" s="10"/>
      <c r="G472" s="10"/>
      <c r="H472" s="10"/>
      <c r="I472" s="12"/>
      <c r="J472" s="13"/>
      <c r="K472" s="7"/>
      <c r="L472" s="67"/>
      <c r="M472" s="10"/>
    </row>
    <row r="473" spans="1:13" ht="75" customHeight="1" thickTop="1" thickBot="1">
      <c r="A473" s="7"/>
      <c r="B473" s="8"/>
      <c r="C473" s="9"/>
      <c r="D473" s="10"/>
      <c r="E473" s="10"/>
      <c r="F473" s="10"/>
      <c r="G473" s="10"/>
      <c r="H473" s="10"/>
      <c r="I473" s="12"/>
      <c r="J473" s="13"/>
      <c r="K473" s="7"/>
      <c r="L473" s="67"/>
      <c r="M473" s="10"/>
    </row>
    <row r="474" spans="1:13" ht="75" customHeight="1" thickTop="1" thickBot="1">
      <c r="A474" s="7"/>
      <c r="B474" s="8"/>
      <c r="C474" s="9"/>
      <c r="D474" s="10"/>
      <c r="E474" s="10"/>
      <c r="F474" s="10"/>
      <c r="G474" s="10"/>
      <c r="H474" s="10"/>
      <c r="I474" s="12"/>
      <c r="J474" s="13"/>
      <c r="K474" s="7"/>
      <c r="L474" s="67"/>
      <c r="M474" s="10"/>
    </row>
    <row r="475" spans="1:13" ht="75" customHeight="1" thickTop="1" thickBot="1">
      <c r="A475" s="7"/>
      <c r="B475" s="8"/>
      <c r="C475" s="9"/>
      <c r="D475" s="10"/>
      <c r="E475" s="10"/>
      <c r="F475" s="10"/>
      <c r="G475" s="10"/>
      <c r="H475" s="10"/>
      <c r="I475" s="12"/>
      <c r="J475" s="13"/>
      <c r="K475" s="7"/>
      <c r="L475" s="67"/>
      <c r="M475" s="10"/>
    </row>
    <row r="476" spans="1:13" ht="75" customHeight="1" thickTop="1" thickBot="1">
      <c r="A476" s="7"/>
      <c r="B476" s="8"/>
      <c r="C476" s="9"/>
      <c r="D476" s="10"/>
      <c r="E476" s="10"/>
      <c r="F476" s="10"/>
      <c r="G476" s="10"/>
      <c r="H476" s="10"/>
      <c r="I476" s="12"/>
      <c r="J476" s="13"/>
      <c r="K476" s="7"/>
      <c r="L476" s="67"/>
      <c r="M476" s="10"/>
    </row>
    <row r="477" spans="1:13" ht="75" customHeight="1" thickTop="1" thickBot="1">
      <c r="A477" s="7"/>
      <c r="B477" s="8"/>
      <c r="C477" s="9"/>
      <c r="D477" s="10"/>
      <c r="E477" s="10"/>
      <c r="F477" s="10"/>
      <c r="G477" s="10"/>
      <c r="H477" s="10"/>
      <c r="I477" s="12"/>
      <c r="J477" s="13"/>
      <c r="K477" s="7"/>
      <c r="L477" s="67"/>
      <c r="M477" s="10"/>
    </row>
    <row r="478" spans="1:13" ht="75" customHeight="1" thickTop="1" thickBot="1">
      <c r="A478" s="7"/>
      <c r="B478" s="8"/>
      <c r="C478" s="9"/>
      <c r="D478" s="10"/>
      <c r="E478" s="10"/>
      <c r="F478" s="10"/>
      <c r="G478" s="10"/>
      <c r="H478" s="10"/>
      <c r="I478" s="12"/>
      <c r="J478" s="13"/>
      <c r="K478" s="7"/>
      <c r="L478" s="67"/>
      <c r="M478" s="10"/>
    </row>
    <row r="479" spans="1:13" ht="75" customHeight="1" thickTop="1" thickBot="1">
      <c r="A479" s="7"/>
      <c r="B479" s="8"/>
      <c r="C479" s="9"/>
      <c r="D479" s="10"/>
      <c r="E479" s="10"/>
      <c r="F479" s="10"/>
      <c r="G479" s="10"/>
      <c r="H479" s="10"/>
      <c r="I479" s="12"/>
      <c r="J479" s="13"/>
      <c r="K479" s="7"/>
      <c r="L479" s="67"/>
      <c r="M479" s="10"/>
    </row>
    <row r="480" spans="1:13" ht="75" customHeight="1" thickTop="1" thickBot="1">
      <c r="A480" s="7"/>
      <c r="B480" s="8"/>
      <c r="C480" s="9"/>
      <c r="D480" s="10"/>
      <c r="E480" s="10"/>
      <c r="F480" s="10"/>
      <c r="G480" s="10"/>
      <c r="H480" s="10"/>
      <c r="I480" s="12"/>
      <c r="J480" s="13"/>
      <c r="K480" s="7"/>
      <c r="L480" s="67"/>
      <c r="M480" s="10"/>
    </row>
    <row r="481" spans="1:13" ht="75" customHeight="1" thickTop="1" thickBot="1">
      <c r="A481" s="7"/>
      <c r="B481" s="8"/>
      <c r="C481" s="9"/>
      <c r="D481" s="10"/>
      <c r="E481" s="10"/>
      <c r="F481" s="10"/>
      <c r="G481" s="10"/>
      <c r="H481" s="10"/>
      <c r="I481" s="12"/>
      <c r="J481" s="13"/>
      <c r="K481" s="7"/>
      <c r="L481" s="67"/>
      <c r="M481" s="10"/>
    </row>
    <row r="482" spans="1:13" ht="75" customHeight="1" thickTop="1" thickBot="1">
      <c r="A482" s="7"/>
      <c r="B482" s="8"/>
      <c r="C482" s="9"/>
      <c r="D482" s="10"/>
      <c r="E482" s="10"/>
      <c r="F482" s="10"/>
      <c r="G482" s="10"/>
      <c r="H482" s="10"/>
      <c r="I482" s="12"/>
      <c r="J482" s="13"/>
      <c r="K482" s="7"/>
      <c r="L482" s="67"/>
      <c r="M482" s="10"/>
    </row>
    <row r="483" spans="1:13" ht="75" customHeight="1" thickTop="1" thickBot="1">
      <c r="A483" s="7"/>
      <c r="B483" s="8"/>
      <c r="C483" s="9"/>
      <c r="D483" s="10"/>
      <c r="E483" s="10"/>
      <c r="F483" s="10"/>
      <c r="G483" s="10"/>
      <c r="H483" s="10"/>
      <c r="I483" s="12"/>
      <c r="J483" s="13"/>
      <c r="K483" s="7"/>
      <c r="L483" s="67"/>
      <c r="M483" s="10"/>
    </row>
    <row r="484" spans="1:13" ht="75" customHeight="1" thickTop="1" thickBot="1">
      <c r="A484" s="7"/>
      <c r="B484" s="8"/>
      <c r="C484" s="9"/>
      <c r="D484" s="10"/>
      <c r="E484" s="10"/>
      <c r="F484" s="10"/>
      <c r="G484" s="10"/>
      <c r="H484" s="10"/>
      <c r="I484" s="12"/>
      <c r="J484" s="13"/>
      <c r="K484" s="7"/>
      <c r="L484" s="67"/>
      <c r="M484" s="10"/>
    </row>
    <row r="485" spans="1:13" ht="75" customHeight="1" thickTop="1" thickBot="1">
      <c r="A485" s="7"/>
      <c r="B485" s="8"/>
      <c r="C485" s="9"/>
      <c r="D485" s="10"/>
      <c r="E485" s="10"/>
      <c r="F485" s="10"/>
      <c r="G485" s="10"/>
      <c r="H485" s="10"/>
      <c r="I485" s="12"/>
      <c r="J485" s="13"/>
      <c r="K485" s="7"/>
      <c r="L485" s="67"/>
      <c r="M485" s="10"/>
    </row>
    <row r="486" spans="1:13" ht="75" customHeight="1" thickTop="1" thickBot="1">
      <c r="A486" s="7"/>
      <c r="B486" s="8"/>
      <c r="C486" s="9"/>
      <c r="D486" s="10"/>
      <c r="E486" s="10"/>
      <c r="F486" s="10"/>
      <c r="G486" s="10"/>
      <c r="H486" s="10"/>
      <c r="I486" s="12"/>
      <c r="J486" s="13"/>
      <c r="K486" s="7"/>
      <c r="L486" s="67"/>
      <c r="M486" s="10"/>
    </row>
    <row r="487" spans="1:13" ht="75" customHeight="1" thickTop="1" thickBot="1">
      <c r="A487" s="7"/>
      <c r="B487" s="8"/>
      <c r="C487" s="9"/>
      <c r="D487" s="10"/>
      <c r="E487" s="10"/>
      <c r="F487" s="10"/>
      <c r="G487" s="10"/>
      <c r="H487" s="10"/>
      <c r="I487" s="12"/>
      <c r="J487" s="13"/>
      <c r="K487" s="7"/>
      <c r="L487" s="67"/>
      <c r="M487" s="10"/>
    </row>
    <row r="488" spans="1:13" ht="75" customHeight="1" thickTop="1" thickBot="1">
      <c r="A488" s="7"/>
      <c r="B488" s="8"/>
      <c r="C488" s="9"/>
      <c r="D488" s="10"/>
      <c r="E488" s="10"/>
      <c r="F488" s="10"/>
      <c r="G488" s="10"/>
      <c r="H488" s="10"/>
      <c r="I488" s="12"/>
      <c r="J488" s="13"/>
      <c r="K488" s="7"/>
      <c r="L488" s="67"/>
      <c r="M488" s="10"/>
    </row>
    <row r="489" spans="1:13" ht="75" customHeight="1" thickTop="1" thickBot="1">
      <c r="A489" s="7"/>
      <c r="B489" s="8"/>
      <c r="C489" s="9"/>
      <c r="D489" s="10"/>
      <c r="E489" s="10"/>
      <c r="F489" s="10"/>
      <c r="G489" s="10"/>
      <c r="H489" s="10"/>
      <c r="I489" s="12"/>
      <c r="J489" s="13"/>
      <c r="K489" s="7"/>
      <c r="L489" s="67"/>
      <c r="M489" s="10"/>
    </row>
    <row r="490" spans="1:13" ht="75" customHeight="1" thickTop="1" thickBot="1">
      <c r="A490" s="7"/>
      <c r="B490" s="8"/>
      <c r="C490" s="9"/>
      <c r="D490" s="10"/>
      <c r="E490" s="10"/>
      <c r="F490" s="10"/>
      <c r="G490" s="10"/>
      <c r="H490" s="10"/>
      <c r="I490" s="12"/>
      <c r="J490" s="13"/>
      <c r="K490" s="7"/>
      <c r="L490" s="67"/>
      <c r="M490" s="10"/>
    </row>
    <row r="491" spans="1:13" ht="75" customHeight="1" thickTop="1" thickBot="1">
      <c r="A491" s="7"/>
      <c r="B491" s="8"/>
      <c r="C491" s="9"/>
      <c r="D491" s="10"/>
      <c r="E491" s="10"/>
      <c r="F491" s="10"/>
      <c r="G491" s="10"/>
      <c r="H491" s="10"/>
      <c r="I491" s="12"/>
      <c r="J491" s="13"/>
      <c r="K491" s="7"/>
      <c r="L491" s="67"/>
      <c r="M491" s="10"/>
    </row>
    <row r="492" spans="1:13" ht="75" customHeight="1" thickTop="1" thickBot="1">
      <c r="A492" s="7"/>
      <c r="B492" s="8"/>
      <c r="C492" s="9"/>
      <c r="D492" s="10"/>
      <c r="E492" s="10"/>
      <c r="F492" s="10"/>
      <c r="G492" s="10"/>
      <c r="H492" s="10"/>
      <c r="I492" s="12"/>
      <c r="J492" s="13"/>
      <c r="K492" s="7"/>
      <c r="L492" s="67"/>
      <c r="M492" s="10"/>
    </row>
    <row r="493" spans="1:13" ht="75" customHeight="1" thickTop="1" thickBot="1">
      <c r="A493" s="7"/>
      <c r="B493" s="8"/>
      <c r="C493" s="9"/>
      <c r="D493" s="10"/>
      <c r="E493" s="10"/>
      <c r="F493" s="10"/>
      <c r="G493" s="10"/>
      <c r="H493" s="10"/>
      <c r="I493" s="12"/>
      <c r="J493" s="13"/>
      <c r="K493" s="7"/>
      <c r="L493" s="67"/>
      <c r="M493" s="10"/>
    </row>
    <row r="494" spans="1:13" ht="75" customHeight="1" thickTop="1" thickBot="1">
      <c r="A494" s="7"/>
      <c r="B494" s="8"/>
      <c r="C494" s="9"/>
      <c r="D494" s="10"/>
      <c r="E494" s="10"/>
      <c r="F494" s="10"/>
      <c r="G494" s="10"/>
      <c r="H494" s="10"/>
      <c r="I494" s="12"/>
      <c r="J494" s="13"/>
      <c r="K494" s="7"/>
      <c r="L494" s="67"/>
      <c r="M494" s="10"/>
    </row>
    <row r="495" spans="1:13" ht="75" customHeight="1" thickTop="1" thickBot="1">
      <c r="A495" s="7"/>
      <c r="B495" s="8"/>
      <c r="C495" s="9"/>
      <c r="D495" s="10"/>
      <c r="E495" s="10"/>
      <c r="F495" s="10"/>
      <c r="G495" s="10"/>
      <c r="H495" s="10"/>
      <c r="I495" s="12"/>
      <c r="J495" s="13"/>
      <c r="K495" s="7"/>
      <c r="L495" s="67"/>
      <c r="M495" s="10"/>
    </row>
    <row r="496" spans="1:13" ht="75" customHeight="1" thickTop="1" thickBot="1">
      <c r="A496" s="7"/>
      <c r="B496" s="8"/>
      <c r="C496" s="9"/>
      <c r="D496" s="10"/>
      <c r="E496" s="10"/>
      <c r="F496" s="10"/>
      <c r="G496" s="10"/>
      <c r="H496" s="10"/>
      <c r="I496" s="12"/>
      <c r="J496" s="13"/>
      <c r="K496" s="7"/>
      <c r="L496" s="67"/>
      <c r="M496" s="10"/>
    </row>
    <row r="497" spans="1:13" ht="75" customHeight="1" thickTop="1" thickBot="1">
      <c r="A497" s="7"/>
      <c r="B497" s="8"/>
      <c r="C497" s="9"/>
      <c r="D497" s="10"/>
      <c r="E497" s="10"/>
      <c r="F497" s="10"/>
      <c r="G497" s="10"/>
      <c r="H497" s="10"/>
      <c r="I497" s="12"/>
      <c r="J497" s="13"/>
      <c r="K497" s="7"/>
      <c r="L497" s="67"/>
      <c r="M497" s="10"/>
    </row>
    <row r="498" spans="1:13" ht="75" customHeight="1" thickTop="1" thickBot="1">
      <c r="A498" s="7"/>
      <c r="B498" s="8"/>
      <c r="C498" s="9"/>
      <c r="D498" s="10"/>
      <c r="E498" s="10"/>
      <c r="F498" s="10"/>
      <c r="G498" s="10"/>
      <c r="H498" s="10"/>
      <c r="I498" s="12"/>
      <c r="J498" s="13"/>
      <c r="K498" s="7"/>
      <c r="L498" s="67"/>
      <c r="M498" s="10"/>
    </row>
    <row r="499" spans="1:13" ht="75" customHeight="1" thickTop="1" thickBot="1">
      <c r="A499" s="7"/>
      <c r="B499" s="8"/>
      <c r="C499" s="9"/>
      <c r="D499" s="10"/>
      <c r="E499" s="10"/>
      <c r="F499" s="10"/>
      <c r="G499" s="10"/>
      <c r="H499" s="10"/>
      <c r="I499" s="12"/>
      <c r="J499" s="13"/>
      <c r="K499" s="7"/>
      <c r="L499" s="67"/>
      <c r="M499" s="10"/>
    </row>
    <row r="500" spans="1:13" ht="75" customHeight="1" thickTop="1" thickBot="1">
      <c r="A500" s="7"/>
      <c r="B500" s="8"/>
      <c r="C500" s="9"/>
      <c r="D500" s="10"/>
      <c r="E500" s="10"/>
      <c r="F500" s="10"/>
      <c r="G500" s="10"/>
      <c r="H500" s="10"/>
      <c r="I500" s="12"/>
      <c r="J500" s="13"/>
      <c r="K500" s="7"/>
      <c r="L500" s="67"/>
      <c r="M500" s="10"/>
    </row>
    <row r="501" spans="1:13" ht="75" customHeight="1" thickTop="1" thickBot="1">
      <c r="A501" s="7"/>
      <c r="B501" s="8"/>
      <c r="C501" s="9"/>
      <c r="D501" s="10"/>
      <c r="E501" s="10"/>
      <c r="F501" s="10"/>
      <c r="G501" s="10"/>
      <c r="H501" s="10"/>
      <c r="I501" s="12"/>
      <c r="J501" s="13"/>
      <c r="K501" s="7"/>
      <c r="L501" s="67"/>
      <c r="M501" s="10"/>
    </row>
    <row r="502" spans="1:13" ht="75" customHeight="1" thickTop="1" thickBot="1">
      <c r="A502" s="7"/>
      <c r="B502" s="8"/>
      <c r="C502" s="9"/>
      <c r="D502" s="10"/>
      <c r="E502" s="10"/>
      <c r="F502" s="10"/>
      <c r="G502" s="10"/>
      <c r="H502" s="10"/>
      <c r="I502" s="12"/>
      <c r="J502" s="13"/>
      <c r="K502" s="7"/>
      <c r="L502" s="67"/>
      <c r="M502" s="10"/>
    </row>
    <row r="503" spans="1:13" ht="75" customHeight="1" thickTop="1" thickBot="1">
      <c r="A503" s="7"/>
      <c r="B503" s="8"/>
      <c r="C503" s="9"/>
      <c r="D503" s="10"/>
      <c r="E503" s="10"/>
      <c r="F503" s="10"/>
      <c r="G503" s="10"/>
      <c r="H503" s="10"/>
      <c r="I503" s="12"/>
      <c r="J503" s="13"/>
      <c r="K503" s="7"/>
      <c r="L503" s="67"/>
      <c r="M503" s="10"/>
    </row>
    <row r="504" spans="1:13" ht="75" customHeight="1" thickTop="1" thickBot="1">
      <c r="A504" s="7"/>
      <c r="B504" s="8"/>
      <c r="C504" s="9"/>
      <c r="D504" s="10"/>
      <c r="E504" s="10"/>
      <c r="F504" s="10"/>
      <c r="G504" s="10"/>
      <c r="H504" s="10"/>
      <c r="I504" s="12"/>
      <c r="J504" s="13"/>
      <c r="K504" s="7"/>
      <c r="L504" s="67"/>
      <c r="M504" s="10"/>
    </row>
    <row r="505" spans="1:13" ht="75" customHeight="1" thickTop="1" thickBot="1">
      <c r="A505" s="7"/>
      <c r="B505" s="8"/>
      <c r="C505" s="9"/>
      <c r="D505" s="10"/>
      <c r="E505" s="10"/>
      <c r="F505" s="10"/>
      <c r="G505" s="10"/>
      <c r="H505" s="10"/>
      <c r="I505" s="12"/>
      <c r="J505" s="13"/>
      <c r="K505" s="7"/>
      <c r="L505" s="67"/>
      <c r="M505" s="10"/>
    </row>
    <row r="506" spans="1:13" ht="75" customHeight="1" thickTop="1" thickBot="1">
      <c r="A506" s="7"/>
      <c r="B506" s="8"/>
      <c r="C506" s="9"/>
      <c r="D506" s="10"/>
      <c r="E506" s="10"/>
      <c r="F506" s="10"/>
      <c r="G506" s="10"/>
      <c r="H506" s="10"/>
      <c r="I506" s="12"/>
      <c r="J506" s="13"/>
      <c r="K506" s="7"/>
      <c r="L506" s="67"/>
      <c r="M506" s="10"/>
    </row>
    <row r="507" spans="1:13" ht="75" customHeight="1" thickTop="1" thickBot="1">
      <c r="A507" s="7"/>
      <c r="B507" s="8"/>
      <c r="C507" s="9"/>
      <c r="D507" s="10"/>
      <c r="E507" s="10"/>
      <c r="F507" s="10"/>
      <c r="G507" s="10"/>
      <c r="H507" s="10"/>
      <c r="I507" s="12"/>
      <c r="J507" s="13"/>
      <c r="K507" s="7"/>
      <c r="L507" s="67"/>
      <c r="M507" s="10"/>
    </row>
    <row r="508" spans="1:13" ht="75" customHeight="1" thickTop="1" thickBot="1">
      <c r="A508" s="7"/>
      <c r="B508" s="8"/>
      <c r="C508" s="9"/>
      <c r="D508" s="10"/>
      <c r="E508" s="10"/>
      <c r="F508" s="10"/>
      <c r="G508" s="10"/>
      <c r="H508" s="10"/>
      <c r="I508" s="12"/>
      <c r="J508" s="13"/>
      <c r="K508" s="7"/>
      <c r="L508" s="67"/>
      <c r="M508" s="10"/>
    </row>
    <row r="509" spans="1:13" ht="75" customHeight="1" thickTop="1" thickBot="1">
      <c r="A509" s="7"/>
      <c r="B509" s="8"/>
      <c r="C509" s="9"/>
      <c r="D509" s="10"/>
      <c r="E509" s="10"/>
      <c r="F509" s="10"/>
      <c r="G509" s="10"/>
      <c r="H509" s="10"/>
      <c r="I509" s="12"/>
      <c r="J509" s="13"/>
      <c r="K509" s="7"/>
      <c r="L509" s="67"/>
      <c r="M509" s="10"/>
    </row>
    <row r="510" spans="1:13" ht="75" customHeight="1" thickTop="1" thickBot="1">
      <c r="A510" s="7"/>
      <c r="B510" s="8"/>
      <c r="C510" s="9"/>
      <c r="D510" s="10"/>
      <c r="E510" s="10"/>
      <c r="F510" s="10"/>
      <c r="G510" s="10"/>
      <c r="H510" s="10"/>
      <c r="I510" s="12"/>
      <c r="J510" s="13"/>
      <c r="K510" s="7"/>
      <c r="L510" s="67"/>
      <c r="M510" s="10"/>
    </row>
    <row r="511" spans="1:13" ht="75" customHeight="1" thickTop="1" thickBot="1">
      <c r="A511" s="7"/>
      <c r="B511" s="8"/>
      <c r="C511" s="9"/>
      <c r="D511" s="10"/>
      <c r="E511" s="10"/>
      <c r="F511" s="10"/>
      <c r="G511" s="10"/>
      <c r="H511" s="10"/>
      <c r="I511" s="12"/>
      <c r="J511" s="13"/>
      <c r="K511" s="7"/>
      <c r="L511" s="67"/>
      <c r="M511" s="10"/>
    </row>
    <row r="512" spans="1:13" ht="75" customHeight="1" thickTop="1" thickBot="1">
      <c r="A512" s="7"/>
      <c r="B512" s="8"/>
      <c r="C512" s="9"/>
      <c r="D512" s="10"/>
      <c r="E512" s="10"/>
      <c r="F512" s="10"/>
      <c r="G512" s="10"/>
      <c r="H512" s="10"/>
      <c r="I512" s="12"/>
      <c r="J512" s="13"/>
      <c r="K512" s="7"/>
      <c r="L512" s="67"/>
      <c r="M512" s="10"/>
    </row>
    <row r="513" spans="1:13" ht="75" customHeight="1" thickTop="1" thickBot="1">
      <c r="A513" s="7"/>
      <c r="B513" s="8"/>
      <c r="C513" s="9"/>
      <c r="D513" s="10"/>
      <c r="E513" s="10"/>
      <c r="F513" s="10"/>
      <c r="G513" s="10"/>
      <c r="H513" s="10"/>
      <c r="I513" s="12"/>
      <c r="J513" s="13"/>
      <c r="K513" s="7"/>
      <c r="L513" s="67"/>
      <c r="M513" s="10"/>
    </row>
    <row r="514" spans="1:13" ht="75" customHeight="1" thickTop="1" thickBot="1">
      <c r="A514" s="7"/>
      <c r="B514" s="8"/>
      <c r="C514" s="9"/>
      <c r="D514" s="10"/>
      <c r="E514" s="10"/>
      <c r="F514" s="10"/>
      <c r="G514" s="10"/>
      <c r="H514" s="10"/>
      <c r="I514" s="12"/>
      <c r="J514" s="13"/>
      <c r="K514" s="7"/>
      <c r="L514" s="67"/>
      <c r="M514" s="10"/>
    </row>
    <row r="515" spans="1:13" ht="75" customHeight="1" thickTop="1" thickBot="1">
      <c r="A515" s="7"/>
      <c r="B515" s="8"/>
      <c r="C515" s="9"/>
      <c r="D515" s="10"/>
      <c r="E515" s="10"/>
      <c r="F515" s="10"/>
      <c r="G515" s="10"/>
      <c r="H515" s="10"/>
      <c r="I515" s="12"/>
      <c r="J515" s="13"/>
      <c r="K515" s="7"/>
      <c r="L515" s="67"/>
      <c r="M515" s="10"/>
    </row>
    <row r="516" spans="1:13" ht="75" customHeight="1" thickTop="1" thickBot="1">
      <c r="A516" s="7"/>
      <c r="B516" s="8"/>
      <c r="C516" s="9"/>
      <c r="D516" s="10"/>
      <c r="E516" s="10"/>
      <c r="F516" s="10"/>
      <c r="G516" s="10"/>
      <c r="H516" s="10"/>
      <c r="I516" s="12"/>
      <c r="J516" s="13"/>
      <c r="K516" s="7"/>
      <c r="L516" s="67"/>
      <c r="M516" s="10"/>
    </row>
    <row r="517" spans="1:13" ht="75" customHeight="1" thickTop="1" thickBot="1">
      <c r="A517" s="7"/>
      <c r="B517" s="8"/>
      <c r="C517" s="9"/>
      <c r="D517" s="10"/>
      <c r="E517" s="10"/>
      <c r="F517" s="10"/>
      <c r="G517" s="10"/>
      <c r="H517" s="10"/>
      <c r="I517" s="12"/>
      <c r="J517" s="13"/>
      <c r="K517" s="7"/>
      <c r="L517" s="67"/>
      <c r="M517" s="10"/>
    </row>
    <row r="518" spans="1:13" ht="75" customHeight="1" thickTop="1" thickBot="1">
      <c r="A518" s="7"/>
      <c r="B518" s="8"/>
      <c r="C518" s="9"/>
      <c r="D518" s="10"/>
      <c r="E518" s="10"/>
      <c r="F518" s="10"/>
      <c r="G518" s="10"/>
      <c r="H518" s="10"/>
      <c r="I518" s="12"/>
      <c r="J518" s="13"/>
      <c r="K518" s="7"/>
      <c r="L518" s="67"/>
      <c r="M518" s="10"/>
    </row>
    <row r="519" spans="1:13" ht="75" customHeight="1" thickTop="1" thickBot="1">
      <c r="A519" s="7"/>
      <c r="B519" s="8"/>
      <c r="C519" s="9"/>
      <c r="D519" s="10"/>
      <c r="E519" s="10"/>
      <c r="F519" s="10"/>
      <c r="G519" s="10"/>
      <c r="H519" s="10"/>
      <c r="I519" s="12"/>
      <c r="J519" s="13"/>
      <c r="K519" s="7"/>
      <c r="L519" s="67"/>
      <c r="M519" s="10"/>
    </row>
    <row r="520" spans="1:13" ht="75" customHeight="1" thickTop="1" thickBot="1">
      <c r="A520" s="7"/>
      <c r="B520" s="8"/>
      <c r="C520" s="9"/>
      <c r="D520" s="10"/>
      <c r="E520" s="10"/>
      <c r="F520" s="10"/>
      <c r="G520" s="10"/>
      <c r="H520" s="10"/>
      <c r="I520" s="12"/>
      <c r="J520" s="13"/>
      <c r="K520" s="7"/>
      <c r="L520" s="67"/>
      <c r="M520" s="10"/>
    </row>
    <row r="521" spans="1:13" ht="75" customHeight="1" thickTop="1" thickBot="1">
      <c r="A521" s="7"/>
      <c r="B521" s="8"/>
      <c r="C521" s="9"/>
      <c r="D521" s="10"/>
      <c r="E521" s="10"/>
      <c r="F521" s="10"/>
      <c r="G521" s="10"/>
      <c r="H521" s="10"/>
      <c r="I521" s="12"/>
      <c r="J521" s="13"/>
      <c r="K521" s="7"/>
      <c r="L521" s="67"/>
      <c r="M521" s="10"/>
    </row>
    <row r="522" spans="1:13" ht="75" customHeight="1" thickTop="1" thickBot="1">
      <c r="A522" s="7"/>
      <c r="B522" s="8"/>
      <c r="C522" s="9"/>
      <c r="D522" s="10"/>
      <c r="E522" s="10"/>
      <c r="F522" s="10"/>
      <c r="G522" s="10"/>
      <c r="H522" s="10"/>
      <c r="I522" s="12"/>
      <c r="J522" s="13"/>
      <c r="K522" s="7"/>
      <c r="L522" s="67"/>
      <c r="M522" s="10"/>
    </row>
    <row r="523" spans="1:13" ht="75" customHeight="1" thickTop="1" thickBot="1">
      <c r="A523" s="7"/>
      <c r="B523" s="8"/>
      <c r="C523" s="9"/>
      <c r="D523" s="10"/>
      <c r="E523" s="10"/>
      <c r="F523" s="10"/>
      <c r="G523" s="10"/>
      <c r="H523" s="10"/>
      <c r="I523" s="12"/>
      <c r="J523" s="13"/>
      <c r="K523" s="7"/>
      <c r="L523" s="67"/>
      <c r="M523" s="10"/>
    </row>
    <row r="524" spans="1:13" ht="75" customHeight="1" thickTop="1" thickBot="1">
      <c r="A524" s="7"/>
      <c r="B524" s="8"/>
      <c r="C524" s="9"/>
      <c r="D524" s="10"/>
      <c r="E524" s="10"/>
      <c r="F524" s="10"/>
      <c r="G524" s="10"/>
      <c r="H524" s="10"/>
      <c r="I524" s="12"/>
      <c r="J524" s="13"/>
      <c r="K524" s="7"/>
      <c r="L524" s="67"/>
      <c r="M524" s="10"/>
    </row>
    <row r="525" spans="1:13" ht="75" customHeight="1" thickTop="1" thickBot="1">
      <c r="A525" s="7"/>
      <c r="B525" s="8"/>
      <c r="C525" s="9"/>
      <c r="D525" s="10"/>
      <c r="E525" s="10"/>
      <c r="F525" s="10"/>
      <c r="G525" s="10"/>
      <c r="H525" s="10"/>
      <c r="I525" s="12"/>
      <c r="J525" s="13"/>
      <c r="K525" s="7"/>
      <c r="L525" s="67"/>
      <c r="M525" s="10"/>
    </row>
    <row r="526" spans="1:13" ht="75" customHeight="1" thickTop="1" thickBot="1">
      <c r="A526" s="7"/>
      <c r="B526" s="8"/>
      <c r="C526" s="9"/>
      <c r="D526" s="10"/>
      <c r="E526" s="10"/>
      <c r="F526" s="10"/>
      <c r="G526" s="10"/>
      <c r="H526" s="10"/>
      <c r="I526" s="12"/>
      <c r="J526" s="13"/>
      <c r="K526" s="7"/>
      <c r="L526" s="67"/>
      <c r="M526" s="10"/>
    </row>
    <row r="527" spans="1:13" ht="75" customHeight="1" thickTop="1" thickBot="1">
      <c r="A527" s="7"/>
      <c r="B527" s="8"/>
      <c r="C527" s="9"/>
      <c r="D527" s="10"/>
      <c r="E527" s="10"/>
      <c r="F527" s="10"/>
      <c r="G527" s="10"/>
      <c r="H527" s="10"/>
      <c r="I527" s="12"/>
      <c r="J527" s="13"/>
      <c r="K527" s="7"/>
      <c r="L527" s="67"/>
      <c r="M527" s="10"/>
    </row>
    <row r="528" spans="1:13" ht="75" customHeight="1" thickTop="1" thickBot="1">
      <c r="A528" s="7"/>
      <c r="B528" s="8"/>
      <c r="C528" s="9"/>
      <c r="D528" s="10"/>
      <c r="E528" s="10"/>
      <c r="F528" s="10"/>
      <c r="G528" s="10"/>
      <c r="H528" s="10"/>
      <c r="I528" s="12"/>
      <c r="J528" s="13"/>
      <c r="K528" s="7"/>
      <c r="L528" s="67"/>
      <c r="M528" s="10"/>
    </row>
    <row r="529" spans="1:13" ht="75" customHeight="1" thickTop="1" thickBot="1">
      <c r="A529" s="7"/>
      <c r="B529" s="8"/>
      <c r="C529" s="9"/>
      <c r="D529" s="10"/>
      <c r="E529" s="10"/>
      <c r="F529" s="10"/>
      <c r="G529" s="10"/>
      <c r="H529" s="10"/>
      <c r="I529" s="12"/>
      <c r="J529" s="13"/>
      <c r="K529" s="7"/>
      <c r="L529" s="67"/>
      <c r="M529" s="10"/>
    </row>
    <row r="530" spans="1:13" ht="75" customHeight="1" thickTop="1" thickBot="1">
      <c r="A530" s="7"/>
      <c r="B530" s="8"/>
      <c r="C530" s="9"/>
      <c r="D530" s="10"/>
      <c r="E530" s="10"/>
      <c r="F530" s="10"/>
      <c r="G530" s="10"/>
      <c r="H530" s="10"/>
      <c r="I530" s="12"/>
      <c r="J530" s="13"/>
      <c r="K530" s="7"/>
      <c r="L530" s="67"/>
      <c r="M530" s="10"/>
    </row>
    <row r="531" spans="1:13" ht="75" customHeight="1" thickTop="1" thickBot="1">
      <c r="A531" s="7"/>
      <c r="B531" s="8"/>
      <c r="C531" s="9"/>
      <c r="D531" s="10"/>
      <c r="E531" s="10"/>
      <c r="F531" s="10"/>
      <c r="G531" s="10"/>
      <c r="H531" s="10"/>
      <c r="I531" s="12"/>
      <c r="J531" s="13"/>
      <c r="K531" s="7"/>
      <c r="L531" s="67"/>
      <c r="M531" s="10"/>
    </row>
    <row r="532" spans="1:13" ht="75" customHeight="1" thickTop="1" thickBot="1">
      <c r="A532" s="7"/>
      <c r="B532" s="8"/>
      <c r="C532" s="9"/>
      <c r="D532" s="10"/>
      <c r="E532" s="10"/>
      <c r="F532" s="10"/>
      <c r="G532" s="10"/>
      <c r="H532" s="10"/>
      <c r="I532" s="12"/>
      <c r="J532" s="13"/>
      <c r="K532" s="7"/>
      <c r="L532" s="67"/>
      <c r="M532" s="10"/>
    </row>
    <row r="533" spans="1:13" ht="75" customHeight="1" thickTop="1" thickBot="1">
      <c r="A533" s="7"/>
      <c r="B533" s="8"/>
      <c r="C533" s="9"/>
      <c r="D533" s="10"/>
      <c r="E533" s="10"/>
      <c r="F533" s="10"/>
      <c r="G533" s="10"/>
      <c r="H533" s="10"/>
      <c r="I533" s="12"/>
      <c r="J533" s="13"/>
      <c r="K533" s="7"/>
      <c r="L533" s="67"/>
      <c r="M533" s="10"/>
    </row>
    <row r="534" spans="1:13" ht="75" customHeight="1" thickTop="1" thickBot="1">
      <c r="A534" s="7"/>
      <c r="B534" s="8"/>
      <c r="C534" s="9"/>
      <c r="D534" s="10"/>
      <c r="E534" s="10"/>
      <c r="F534" s="10"/>
      <c r="G534" s="10"/>
      <c r="H534" s="10"/>
      <c r="I534" s="12"/>
      <c r="J534" s="13"/>
      <c r="K534" s="7"/>
      <c r="L534" s="67"/>
      <c r="M534" s="10"/>
    </row>
    <row r="535" spans="1:13" ht="75" customHeight="1" thickTop="1" thickBot="1">
      <c r="A535" s="7"/>
      <c r="B535" s="8"/>
      <c r="C535" s="9"/>
      <c r="D535" s="10"/>
      <c r="E535" s="10"/>
      <c r="F535" s="10"/>
      <c r="G535" s="10"/>
      <c r="H535" s="10"/>
      <c r="I535" s="12"/>
      <c r="J535" s="13"/>
      <c r="K535" s="7"/>
      <c r="L535" s="67"/>
      <c r="M535" s="10"/>
    </row>
    <row r="536" spans="1:13" ht="75" customHeight="1" thickTop="1" thickBot="1">
      <c r="A536" s="7"/>
      <c r="B536" s="8"/>
      <c r="C536" s="9"/>
      <c r="D536" s="10"/>
      <c r="E536" s="10"/>
      <c r="F536" s="10"/>
      <c r="G536" s="10"/>
      <c r="H536" s="10"/>
      <c r="I536" s="12"/>
      <c r="J536" s="13"/>
      <c r="K536" s="7"/>
      <c r="L536" s="67"/>
      <c r="M536" s="10"/>
    </row>
    <row r="537" spans="1:13" ht="75" customHeight="1" thickTop="1" thickBot="1">
      <c r="A537" s="7"/>
      <c r="B537" s="8"/>
      <c r="C537" s="9"/>
      <c r="D537" s="10"/>
      <c r="E537" s="10"/>
      <c r="F537" s="10"/>
      <c r="G537" s="10"/>
      <c r="H537" s="10"/>
      <c r="I537" s="12"/>
      <c r="J537" s="13"/>
      <c r="K537" s="7"/>
      <c r="L537" s="67"/>
      <c r="M537" s="10"/>
    </row>
    <row r="538" spans="1:13" ht="75" customHeight="1" thickTop="1" thickBot="1">
      <c r="A538" s="7"/>
      <c r="B538" s="8"/>
      <c r="C538" s="9"/>
      <c r="D538" s="10"/>
      <c r="E538" s="10"/>
      <c r="F538" s="10"/>
      <c r="G538" s="10"/>
      <c r="H538" s="10"/>
      <c r="I538" s="12"/>
      <c r="J538" s="13"/>
      <c r="K538" s="7"/>
      <c r="L538" s="67"/>
      <c r="M538" s="10"/>
    </row>
    <row r="539" spans="1:13" ht="75" customHeight="1" thickTop="1" thickBot="1">
      <c r="A539" s="7"/>
      <c r="B539" s="8"/>
      <c r="C539" s="9"/>
      <c r="D539" s="10"/>
      <c r="E539" s="10"/>
      <c r="F539" s="10"/>
      <c r="G539" s="10"/>
      <c r="H539" s="10"/>
      <c r="I539" s="12"/>
      <c r="J539" s="13"/>
      <c r="K539" s="7"/>
      <c r="L539" s="67"/>
      <c r="M539" s="10"/>
    </row>
    <row r="540" spans="1:13" ht="75" customHeight="1" thickTop="1" thickBot="1">
      <c r="A540" s="7"/>
      <c r="B540" s="8"/>
      <c r="C540" s="9"/>
      <c r="D540" s="10"/>
      <c r="E540" s="10"/>
      <c r="F540" s="10"/>
      <c r="G540" s="10"/>
      <c r="H540" s="10"/>
      <c r="I540" s="12"/>
      <c r="J540" s="13"/>
      <c r="K540" s="7"/>
      <c r="L540" s="67"/>
      <c r="M540" s="10"/>
    </row>
    <row r="541" spans="1:13" ht="75" customHeight="1" thickTop="1" thickBot="1">
      <c r="A541" s="7"/>
      <c r="B541" s="8"/>
      <c r="C541" s="9"/>
      <c r="D541" s="10"/>
      <c r="E541" s="10"/>
      <c r="F541" s="10"/>
      <c r="G541" s="10"/>
      <c r="H541" s="10"/>
      <c r="I541" s="12"/>
      <c r="J541" s="13"/>
      <c r="K541" s="7"/>
      <c r="L541" s="67"/>
      <c r="M541" s="10"/>
    </row>
    <row r="542" spans="1:13" ht="75" customHeight="1" thickTop="1" thickBot="1">
      <c r="A542" s="7"/>
      <c r="B542" s="8"/>
      <c r="C542" s="9"/>
      <c r="D542" s="10"/>
      <c r="E542" s="10"/>
      <c r="F542" s="10"/>
      <c r="G542" s="10"/>
      <c r="H542" s="10"/>
      <c r="I542" s="12"/>
      <c r="J542" s="13"/>
      <c r="K542" s="7"/>
      <c r="L542" s="67"/>
      <c r="M542" s="10"/>
    </row>
    <row r="543" spans="1:13" ht="75" customHeight="1" thickTop="1" thickBot="1">
      <c r="A543" s="7"/>
      <c r="B543" s="8"/>
      <c r="C543" s="9"/>
      <c r="D543" s="10"/>
      <c r="E543" s="10"/>
      <c r="F543" s="10"/>
      <c r="G543" s="10"/>
      <c r="H543" s="10"/>
      <c r="I543" s="12"/>
      <c r="J543" s="13"/>
      <c r="K543" s="7"/>
      <c r="L543" s="67"/>
      <c r="M543" s="10"/>
    </row>
    <row r="544" spans="1:13" ht="75" customHeight="1" thickTop="1" thickBot="1">
      <c r="A544" s="7"/>
      <c r="B544" s="8"/>
      <c r="C544" s="9"/>
      <c r="D544" s="10"/>
      <c r="E544" s="10"/>
      <c r="F544" s="10"/>
      <c r="G544" s="10"/>
      <c r="H544" s="10"/>
      <c r="I544" s="12"/>
      <c r="J544" s="13"/>
      <c r="K544" s="7"/>
      <c r="L544" s="67"/>
      <c r="M544" s="10"/>
    </row>
    <row r="545" spans="1:13" ht="75" customHeight="1" thickTop="1" thickBot="1">
      <c r="A545" s="7"/>
      <c r="B545" s="8"/>
      <c r="C545" s="9"/>
      <c r="D545" s="10"/>
      <c r="E545" s="10"/>
      <c r="F545" s="10"/>
      <c r="G545" s="10"/>
      <c r="H545" s="10"/>
      <c r="I545" s="12"/>
      <c r="J545" s="13"/>
      <c r="K545" s="7"/>
      <c r="L545" s="67"/>
      <c r="M545" s="10"/>
    </row>
    <row r="546" spans="1:13" ht="75" customHeight="1" thickTop="1" thickBot="1">
      <c r="A546" s="7"/>
      <c r="B546" s="8"/>
      <c r="C546" s="9"/>
      <c r="D546" s="10"/>
      <c r="E546" s="10"/>
      <c r="F546" s="10"/>
      <c r="G546" s="10"/>
      <c r="H546" s="10"/>
      <c r="I546" s="12"/>
      <c r="J546" s="13"/>
      <c r="K546" s="7"/>
      <c r="L546" s="67"/>
      <c r="M546" s="10"/>
    </row>
    <row r="547" spans="1:13" ht="75" customHeight="1" thickTop="1" thickBot="1">
      <c r="A547" s="7"/>
      <c r="B547" s="8"/>
      <c r="C547" s="9"/>
      <c r="D547" s="10"/>
      <c r="E547" s="10"/>
      <c r="F547" s="10"/>
      <c r="G547" s="10"/>
      <c r="H547" s="10"/>
      <c r="I547" s="12"/>
      <c r="J547" s="13"/>
      <c r="K547" s="7"/>
      <c r="L547" s="67"/>
      <c r="M547" s="10"/>
    </row>
    <row r="548" spans="1:13" ht="75" customHeight="1" thickTop="1" thickBot="1">
      <c r="A548" s="7"/>
      <c r="B548" s="8"/>
      <c r="C548" s="9"/>
      <c r="D548" s="10"/>
      <c r="E548" s="10"/>
      <c r="F548" s="10"/>
      <c r="G548" s="10"/>
      <c r="H548" s="10"/>
      <c r="I548" s="12"/>
      <c r="J548" s="13"/>
      <c r="K548" s="7"/>
      <c r="L548" s="67"/>
      <c r="M548" s="10"/>
    </row>
    <row r="549" spans="1:13" ht="75" customHeight="1" thickTop="1" thickBot="1">
      <c r="A549" s="7"/>
      <c r="B549" s="8"/>
      <c r="C549" s="9"/>
      <c r="D549" s="10"/>
      <c r="E549" s="10"/>
      <c r="F549" s="10"/>
      <c r="G549" s="10"/>
      <c r="H549" s="10"/>
      <c r="I549" s="12"/>
      <c r="J549" s="13"/>
      <c r="K549" s="7"/>
      <c r="L549" s="67"/>
      <c r="M549" s="10"/>
    </row>
    <row r="550" spans="1:13" ht="75" customHeight="1" thickTop="1" thickBot="1">
      <c r="A550" s="7"/>
      <c r="B550" s="8"/>
      <c r="C550" s="9"/>
      <c r="D550" s="10"/>
      <c r="E550" s="10"/>
      <c r="F550" s="10"/>
      <c r="G550" s="10"/>
      <c r="H550" s="10"/>
      <c r="I550" s="12"/>
      <c r="J550" s="13"/>
      <c r="K550" s="7"/>
      <c r="L550" s="67"/>
      <c r="M550" s="10"/>
    </row>
    <row r="551" spans="1:13" ht="75" customHeight="1" thickTop="1" thickBot="1">
      <c r="A551" s="7"/>
      <c r="B551" s="8"/>
      <c r="C551" s="9"/>
      <c r="D551" s="10"/>
      <c r="E551" s="10"/>
      <c r="F551" s="10"/>
      <c r="G551" s="10"/>
      <c r="H551" s="10"/>
      <c r="I551" s="12"/>
      <c r="J551" s="13"/>
      <c r="K551" s="7"/>
      <c r="L551" s="67"/>
      <c r="M551" s="10"/>
    </row>
    <row r="552" spans="1:13" ht="75" customHeight="1" thickTop="1" thickBot="1">
      <c r="A552" s="7"/>
      <c r="B552" s="8"/>
      <c r="C552" s="9"/>
      <c r="D552" s="10"/>
      <c r="E552" s="10"/>
      <c r="F552" s="10"/>
      <c r="G552" s="10"/>
      <c r="H552" s="10"/>
      <c r="I552" s="12"/>
      <c r="J552" s="13"/>
      <c r="K552" s="7"/>
      <c r="L552" s="67"/>
      <c r="M552" s="10"/>
    </row>
    <row r="553" spans="1:13" ht="75" customHeight="1" thickTop="1" thickBot="1">
      <c r="A553" s="7"/>
      <c r="B553" s="8"/>
      <c r="C553" s="9"/>
      <c r="D553" s="10"/>
      <c r="E553" s="10"/>
      <c r="F553" s="10"/>
      <c r="G553" s="10"/>
      <c r="H553" s="10"/>
      <c r="I553" s="12"/>
      <c r="J553" s="13"/>
      <c r="K553" s="7"/>
      <c r="L553" s="67"/>
      <c r="M553" s="10"/>
    </row>
    <row r="554" spans="1:13" ht="75" customHeight="1" thickTop="1" thickBot="1">
      <c r="A554" s="7"/>
      <c r="B554" s="8"/>
      <c r="C554" s="9"/>
      <c r="D554" s="10"/>
      <c r="E554" s="10"/>
      <c r="F554" s="10"/>
      <c r="G554" s="10"/>
      <c r="H554" s="10"/>
      <c r="I554" s="12"/>
      <c r="J554" s="13"/>
      <c r="K554" s="7"/>
      <c r="L554" s="67"/>
      <c r="M554" s="10"/>
    </row>
    <row r="555" spans="1:13" ht="75" customHeight="1" thickTop="1" thickBot="1">
      <c r="A555" s="7"/>
      <c r="B555" s="8"/>
      <c r="C555" s="9"/>
      <c r="D555" s="10"/>
      <c r="E555" s="10"/>
      <c r="F555" s="10"/>
      <c r="G555" s="10"/>
      <c r="H555" s="10"/>
      <c r="I555" s="12"/>
      <c r="J555" s="13"/>
      <c r="K555" s="7"/>
      <c r="L555" s="67"/>
      <c r="M555" s="10"/>
    </row>
    <row r="556" spans="1:13" ht="75" customHeight="1" thickTop="1" thickBot="1">
      <c r="A556" s="7"/>
      <c r="B556" s="8"/>
      <c r="C556" s="9"/>
      <c r="D556" s="10"/>
      <c r="E556" s="10"/>
      <c r="F556" s="10"/>
      <c r="G556" s="10"/>
      <c r="H556" s="10"/>
      <c r="I556" s="12"/>
      <c r="J556" s="13"/>
      <c r="K556" s="7"/>
      <c r="L556" s="67"/>
      <c r="M556" s="10"/>
    </row>
    <row r="557" spans="1:13" ht="75" customHeight="1" thickTop="1" thickBot="1">
      <c r="A557" s="7"/>
      <c r="B557" s="8"/>
      <c r="C557" s="9"/>
      <c r="D557" s="10"/>
      <c r="E557" s="10"/>
      <c r="F557" s="10"/>
      <c r="G557" s="10"/>
      <c r="H557" s="10"/>
      <c r="I557" s="12"/>
      <c r="J557" s="13"/>
      <c r="K557" s="7"/>
      <c r="L557" s="67"/>
      <c r="M557" s="10"/>
    </row>
    <row r="558" spans="1:13" ht="75" customHeight="1" thickTop="1" thickBot="1">
      <c r="A558" s="7"/>
      <c r="B558" s="8"/>
      <c r="C558" s="9"/>
      <c r="D558" s="10"/>
      <c r="E558" s="10"/>
      <c r="F558" s="10"/>
      <c r="G558" s="10"/>
      <c r="H558" s="10"/>
      <c r="I558" s="12"/>
      <c r="J558" s="13"/>
      <c r="K558" s="7"/>
      <c r="L558" s="67"/>
      <c r="M558" s="10"/>
    </row>
    <row r="559" spans="1:13" ht="75" customHeight="1" thickTop="1" thickBot="1">
      <c r="A559" s="7"/>
      <c r="B559" s="8"/>
      <c r="C559" s="9"/>
      <c r="D559" s="10"/>
      <c r="E559" s="10"/>
      <c r="F559" s="10"/>
      <c r="G559" s="10"/>
      <c r="H559" s="10"/>
      <c r="I559" s="12"/>
      <c r="J559" s="13"/>
      <c r="K559" s="7"/>
      <c r="L559" s="67"/>
      <c r="M559" s="10"/>
    </row>
    <row r="560" spans="1:13" ht="75" customHeight="1" thickTop="1" thickBot="1">
      <c r="A560" s="7"/>
      <c r="B560" s="8"/>
      <c r="C560" s="9"/>
      <c r="D560" s="10"/>
      <c r="E560" s="10"/>
      <c r="F560" s="10"/>
      <c r="G560" s="10"/>
      <c r="H560" s="10"/>
      <c r="I560" s="12"/>
      <c r="J560" s="13"/>
      <c r="K560" s="7"/>
      <c r="L560" s="67"/>
      <c r="M560" s="10"/>
    </row>
    <row r="561" spans="1:13" ht="75" customHeight="1" thickTop="1" thickBot="1">
      <c r="A561" s="7"/>
      <c r="B561" s="8"/>
      <c r="C561" s="9"/>
      <c r="D561" s="10"/>
      <c r="E561" s="10"/>
      <c r="F561" s="10"/>
      <c r="G561" s="10"/>
      <c r="H561" s="10"/>
      <c r="I561" s="12"/>
      <c r="J561" s="13"/>
      <c r="K561" s="7"/>
      <c r="L561" s="67"/>
      <c r="M561" s="10"/>
    </row>
    <row r="562" spans="1:13" ht="75" customHeight="1" thickTop="1" thickBot="1">
      <c r="A562" s="7"/>
      <c r="B562" s="8"/>
      <c r="C562" s="9"/>
      <c r="D562" s="10"/>
      <c r="E562" s="10"/>
      <c r="F562" s="10"/>
      <c r="G562" s="10"/>
      <c r="H562" s="10"/>
      <c r="I562" s="12"/>
      <c r="J562" s="13"/>
      <c r="K562" s="7"/>
      <c r="L562" s="67"/>
      <c r="M562" s="10"/>
    </row>
    <row r="563" spans="1:13" ht="75" customHeight="1" thickTop="1" thickBot="1">
      <c r="A563" s="7"/>
      <c r="B563" s="8"/>
      <c r="C563" s="9"/>
      <c r="D563" s="10"/>
      <c r="E563" s="10"/>
      <c r="F563" s="10"/>
      <c r="G563" s="10"/>
      <c r="H563" s="10"/>
      <c r="I563" s="12"/>
      <c r="J563" s="13"/>
      <c r="K563" s="7"/>
      <c r="L563" s="67"/>
      <c r="M563" s="10"/>
    </row>
    <row r="564" spans="1:13" ht="75" customHeight="1" thickTop="1" thickBot="1">
      <c r="A564" s="7"/>
      <c r="B564" s="8"/>
      <c r="C564" s="9"/>
      <c r="D564" s="10"/>
      <c r="E564" s="10"/>
      <c r="F564" s="10"/>
      <c r="G564" s="10"/>
      <c r="H564" s="10"/>
      <c r="I564" s="12"/>
      <c r="J564" s="13"/>
      <c r="K564" s="7"/>
      <c r="L564" s="67"/>
      <c r="M564" s="10"/>
    </row>
    <row r="565" spans="1:13" ht="75" customHeight="1" thickTop="1" thickBot="1">
      <c r="A565" s="7"/>
      <c r="B565" s="8"/>
      <c r="C565" s="9"/>
      <c r="D565" s="10"/>
      <c r="E565" s="10"/>
      <c r="F565" s="10"/>
      <c r="G565" s="10"/>
      <c r="H565" s="10"/>
      <c r="I565" s="12"/>
      <c r="J565" s="13"/>
      <c r="K565" s="7"/>
      <c r="L565" s="67"/>
      <c r="M565" s="10"/>
    </row>
    <row r="566" spans="1:13" ht="75" customHeight="1" thickTop="1" thickBot="1">
      <c r="A566" s="7"/>
      <c r="B566" s="8"/>
      <c r="C566" s="9"/>
      <c r="D566" s="10"/>
      <c r="E566" s="10"/>
      <c r="F566" s="10"/>
      <c r="G566" s="10"/>
      <c r="H566" s="10"/>
      <c r="I566" s="12"/>
      <c r="J566" s="13"/>
      <c r="K566" s="7"/>
      <c r="L566" s="67"/>
      <c r="M566" s="10"/>
    </row>
    <row r="567" spans="1:13" ht="75" customHeight="1" thickTop="1" thickBot="1">
      <c r="A567" s="7"/>
      <c r="B567" s="8"/>
      <c r="C567" s="9"/>
      <c r="D567" s="10"/>
      <c r="E567" s="10"/>
      <c r="F567" s="10"/>
      <c r="G567" s="10"/>
      <c r="H567" s="10"/>
      <c r="I567" s="12"/>
      <c r="J567" s="13"/>
      <c r="K567" s="7"/>
      <c r="L567" s="67"/>
      <c r="M567" s="10"/>
    </row>
    <row r="568" spans="1:13" ht="75" customHeight="1" thickTop="1" thickBot="1">
      <c r="A568" s="7"/>
      <c r="B568" s="8"/>
      <c r="C568" s="9"/>
      <c r="D568" s="10"/>
      <c r="E568" s="10"/>
      <c r="F568" s="10"/>
      <c r="G568" s="10"/>
      <c r="H568" s="10"/>
      <c r="I568" s="12"/>
      <c r="J568" s="13"/>
      <c r="K568" s="7"/>
      <c r="L568" s="67"/>
      <c r="M568" s="10"/>
    </row>
    <row r="569" spans="1:13" ht="75" customHeight="1" thickTop="1" thickBot="1">
      <c r="A569" s="7"/>
      <c r="B569" s="8"/>
      <c r="C569" s="9"/>
      <c r="D569" s="10"/>
      <c r="E569" s="10"/>
      <c r="F569" s="10"/>
      <c r="G569" s="10"/>
      <c r="H569" s="10"/>
      <c r="I569" s="12"/>
      <c r="J569" s="13"/>
      <c r="K569" s="7"/>
      <c r="L569" s="67"/>
      <c r="M569" s="10"/>
    </row>
    <row r="570" spans="1:13" ht="75" customHeight="1" thickTop="1" thickBot="1">
      <c r="A570" s="7"/>
      <c r="B570" s="8"/>
      <c r="C570" s="9"/>
      <c r="D570" s="10"/>
      <c r="E570" s="10"/>
      <c r="F570" s="10"/>
      <c r="G570" s="10"/>
      <c r="H570" s="10"/>
      <c r="I570" s="12"/>
      <c r="J570" s="13"/>
      <c r="K570" s="7"/>
      <c r="L570" s="67"/>
      <c r="M570" s="10"/>
    </row>
    <row r="571" spans="1:13" ht="75" customHeight="1" thickTop="1" thickBot="1">
      <c r="A571" s="7"/>
      <c r="B571" s="8"/>
      <c r="C571" s="9"/>
      <c r="D571" s="10"/>
      <c r="E571" s="10"/>
      <c r="F571" s="10"/>
      <c r="G571" s="10"/>
      <c r="H571" s="10"/>
      <c r="I571" s="12"/>
      <c r="J571" s="13"/>
      <c r="K571" s="7"/>
      <c r="L571" s="67"/>
      <c r="M571" s="10"/>
    </row>
    <row r="572" spans="1:13" ht="75" customHeight="1" thickTop="1" thickBot="1">
      <c r="A572" s="7"/>
      <c r="B572" s="8"/>
      <c r="C572" s="9"/>
      <c r="D572" s="10"/>
      <c r="E572" s="10"/>
      <c r="F572" s="10"/>
      <c r="G572" s="10"/>
      <c r="H572" s="10"/>
      <c r="I572" s="12"/>
      <c r="J572" s="13"/>
      <c r="K572" s="7"/>
      <c r="L572" s="67"/>
      <c r="M572" s="10"/>
    </row>
    <row r="573" spans="1:13" ht="75" customHeight="1" thickTop="1" thickBot="1">
      <c r="A573" s="7"/>
      <c r="B573" s="8"/>
      <c r="C573" s="9"/>
      <c r="D573" s="10"/>
      <c r="E573" s="10"/>
      <c r="F573" s="10"/>
      <c r="G573" s="10"/>
      <c r="H573" s="10"/>
      <c r="I573" s="12"/>
      <c r="J573" s="13"/>
      <c r="K573" s="7"/>
      <c r="L573" s="67"/>
      <c r="M573" s="10"/>
    </row>
    <row r="574" spans="1:13" ht="75" customHeight="1" thickTop="1" thickBot="1">
      <c r="A574" s="7"/>
      <c r="B574" s="8"/>
      <c r="C574" s="9"/>
      <c r="D574" s="10"/>
      <c r="E574" s="10"/>
      <c r="F574" s="10"/>
      <c r="G574" s="10"/>
      <c r="H574" s="10"/>
      <c r="I574" s="12"/>
      <c r="J574" s="13"/>
      <c r="K574" s="7"/>
      <c r="L574" s="67"/>
      <c r="M574" s="10"/>
    </row>
    <row r="575" spans="1:13" ht="75" customHeight="1" thickTop="1" thickBot="1">
      <c r="A575" s="7"/>
      <c r="B575" s="8"/>
      <c r="C575" s="9"/>
      <c r="D575" s="10"/>
      <c r="E575" s="10"/>
      <c r="F575" s="10"/>
      <c r="G575" s="10"/>
      <c r="H575" s="10"/>
      <c r="I575" s="12"/>
      <c r="J575" s="13"/>
      <c r="K575" s="7"/>
      <c r="L575" s="67"/>
      <c r="M575" s="10"/>
    </row>
    <row r="576" spans="1:13" ht="75" customHeight="1" thickTop="1" thickBot="1">
      <c r="A576" s="7"/>
      <c r="B576" s="8"/>
      <c r="C576" s="9"/>
      <c r="D576" s="10"/>
      <c r="E576" s="10"/>
      <c r="F576" s="10"/>
      <c r="G576" s="10"/>
      <c r="H576" s="10"/>
      <c r="I576" s="12"/>
      <c r="J576" s="13"/>
      <c r="K576" s="7"/>
      <c r="L576" s="67"/>
      <c r="M576" s="10"/>
    </row>
    <row r="577" spans="1:13" ht="75" customHeight="1" thickTop="1" thickBot="1">
      <c r="A577" s="7"/>
      <c r="B577" s="8"/>
      <c r="C577" s="9"/>
      <c r="D577" s="10"/>
      <c r="E577" s="10"/>
      <c r="F577" s="10"/>
      <c r="G577" s="10"/>
      <c r="H577" s="10"/>
      <c r="I577" s="12"/>
      <c r="J577" s="13"/>
      <c r="K577" s="7"/>
      <c r="L577" s="67"/>
      <c r="M577" s="10"/>
    </row>
    <row r="578" spans="1:13" ht="75" customHeight="1" thickTop="1" thickBot="1">
      <c r="A578" s="7"/>
      <c r="B578" s="8"/>
      <c r="C578" s="9"/>
      <c r="D578" s="10"/>
      <c r="E578" s="10"/>
      <c r="F578" s="10"/>
      <c r="G578" s="10"/>
      <c r="H578" s="10"/>
      <c r="I578" s="12"/>
      <c r="J578" s="13"/>
      <c r="K578" s="7"/>
      <c r="L578" s="67"/>
      <c r="M578" s="10"/>
    </row>
    <row r="579" spans="1:13" ht="75" customHeight="1" thickTop="1" thickBot="1">
      <c r="A579" s="7"/>
      <c r="B579" s="8"/>
      <c r="C579" s="9"/>
      <c r="D579" s="10"/>
      <c r="E579" s="10"/>
      <c r="F579" s="10"/>
      <c r="G579" s="10"/>
      <c r="H579" s="10"/>
      <c r="I579" s="12"/>
      <c r="J579" s="13"/>
      <c r="K579" s="7"/>
      <c r="L579" s="67"/>
      <c r="M579" s="10"/>
    </row>
    <row r="580" spans="1:13" ht="75" customHeight="1" thickTop="1" thickBot="1">
      <c r="A580" s="7"/>
      <c r="B580" s="8"/>
      <c r="C580" s="9"/>
      <c r="D580" s="10"/>
      <c r="E580" s="10"/>
      <c r="F580" s="10"/>
      <c r="G580" s="10"/>
      <c r="H580" s="10"/>
      <c r="I580" s="12"/>
      <c r="J580" s="13"/>
      <c r="K580" s="7"/>
      <c r="L580" s="67"/>
      <c r="M580" s="10"/>
    </row>
    <row r="581" spans="1:13" ht="75" customHeight="1" thickTop="1" thickBot="1">
      <c r="A581" s="7"/>
      <c r="B581" s="8"/>
      <c r="C581" s="9"/>
      <c r="D581" s="10"/>
      <c r="E581" s="10"/>
      <c r="F581" s="10"/>
      <c r="G581" s="10"/>
      <c r="H581" s="10"/>
      <c r="I581" s="12"/>
      <c r="J581" s="13"/>
      <c r="K581" s="7"/>
      <c r="L581" s="67"/>
      <c r="M581" s="10"/>
    </row>
    <row r="582" spans="1:13" ht="75" customHeight="1" thickTop="1" thickBot="1">
      <c r="A582" s="7"/>
      <c r="B582" s="8"/>
      <c r="C582" s="9"/>
      <c r="D582" s="10"/>
      <c r="E582" s="10"/>
      <c r="F582" s="10"/>
      <c r="G582" s="10"/>
      <c r="H582" s="10"/>
      <c r="I582" s="12"/>
      <c r="J582" s="13"/>
      <c r="K582" s="7"/>
      <c r="L582" s="67"/>
      <c r="M582" s="10"/>
    </row>
    <row r="583" spans="1:13" ht="75" customHeight="1" thickTop="1" thickBot="1">
      <c r="A583" s="7"/>
      <c r="B583" s="8"/>
      <c r="C583" s="9"/>
      <c r="D583" s="10"/>
      <c r="E583" s="10"/>
      <c r="F583" s="10"/>
      <c r="G583" s="10"/>
      <c r="H583" s="10"/>
      <c r="I583" s="12"/>
      <c r="J583" s="13"/>
      <c r="K583" s="7"/>
      <c r="L583" s="67"/>
      <c r="M583" s="10"/>
    </row>
    <row r="584" spans="1:13" ht="75" customHeight="1" thickTop="1" thickBot="1">
      <c r="A584" s="7"/>
      <c r="B584" s="8"/>
      <c r="C584" s="9"/>
      <c r="D584" s="10"/>
      <c r="E584" s="10"/>
      <c r="F584" s="10"/>
      <c r="G584" s="10"/>
      <c r="H584" s="10"/>
      <c r="I584" s="12"/>
      <c r="J584" s="13"/>
      <c r="K584" s="7"/>
      <c r="L584" s="67"/>
      <c r="M584" s="10"/>
    </row>
    <row r="585" spans="1:13" ht="75" customHeight="1" thickTop="1" thickBot="1">
      <c r="A585" s="7"/>
      <c r="B585" s="8"/>
      <c r="C585" s="9"/>
      <c r="D585" s="10"/>
      <c r="E585" s="10"/>
      <c r="F585" s="10"/>
      <c r="G585" s="10"/>
      <c r="H585" s="10"/>
      <c r="I585" s="12"/>
      <c r="J585" s="13"/>
      <c r="K585" s="7"/>
      <c r="L585" s="67"/>
      <c r="M585" s="10"/>
    </row>
    <row r="586" spans="1:13" ht="75" customHeight="1" thickTop="1" thickBot="1">
      <c r="A586" s="7"/>
      <c r="B586" s="8"/>
      <c r="C586" s="9"/>
      <c r="D586" s="10"/>
      <c r="E586" s="10"/>
      <c r="F586" s="10"/>
      <c r="G586" s="10"/>
      <c r="H586" s="10"/>
      <c r="I586" s="12"/>
      <c r="J586" s="13"/>
      <c r="K586" s="7"/>
      <c r="L586" s="67"/>
      <c r="M586" s="10"/>
    </row>
    <row r="587" spans="1:13" ht="75" customHeight="1" thickTop="1" thickBot="1">
      <c r="A587" s="7"/>
      <c r="B587" s="8"/>
      <c r="C587" s="9"/>
      <c r="D587" s="10"/>
      <c r="E587" s="10"/>
      <c r="F587" s="10"/>
      <c r="G587" s="10"/>
      <c r="H587" s="10"/>
      <c r="I587" s="12"/>
      <c r="J587" s="13"/>
      <c r="K587" s="7"/>
      <c r="L587" s="67"/>
      <c r="M587" s="10"/>
    </row>
    <row r="588" spans="1:13" ht="75" customHeight="1" thickTop="1" thickBot="1">
      <c r="A588" s="7"/>
      <c r="B588" s="8"/>
      <c r="C588" s="9"/>
      <c r="D588" s="10"/>
      <c r="E588" s="10"/>
      <c r="F588" s="10"/>
      <c r="G588" s="10"/>
      <c r="H588" s="10"/>
      <c r="I588" s="12"/>
      <c r="J588" s="13"/>
      <c r="K588" s="7"/>
      <c r="L588" s="67"/>
      <c r="M588" s="10"/>
    </row>
    <row r="589" spans="1:13" ht="75" customHeight="1" thickTop="1" thickBot="1">
      <c r="A589" s="7"/>
      <c r="B589" s="8"/>
      <c r="C589" s="9"/>
      <c r="D589" s="10"/>
      <c r="E589" s="10"/>
      <c r="F589" s="10"/>
      <c r="G589" s="10"/>
      <c r="H589" s="10"/>
      <c r="I589" s="12"/>
      <c r="J589" s="13"/>
      <c r="K589" s="7"/>
      <c r="L589" s="67"/>
      <c r="M589" s="10"/>
    </row>
    <row r="590" spans="1:13" ht="75" customHeight="1" thickTop="1" thickBot="1">
      <c r="A590" s="7"/>
      <c r="B590" s="8"/>
      <c r="C590" s="9"/>
      <c r="D590" s="10"/>
      <c r="E590" s="10"/>
      <c r="F590" s="10"/>
      <c r="G590" s="10"/>
      <c r="H590" s="10"/>
      <c r="I590" s="12"/>
      <c r="J590" s="13"/>
      <c r="K590" s="7"/>
      <c r="L590" s="67"/>
      <c r="M590" s="10"/>
    </row>
    <row r="591" spans="1:13" ht="75" customHeight="1" thickTop="1" thickBot="1">
      <c r="A591" s="7"/>
      <c r="B591" s="8"/>
      <c r="C591" s="9"/>
      <c r="D591" s="10"/>
      <c r="E591" s="10"/>
      <c r="F591" s="10"/>
      <c r="G591" s="10"/>
      <c r="H591" s="10"/>
      <c r="I591" s="12"/>
      <c r="J591" s="13"/>
      <c r="K591" s="7"/>
      <c r="L591" s="67"/>
      <c r="M591" s="10"/>
    </row>
    <row r="592" spans="1:13" ht="75" customHeight="1" thickTop="1" thickBot="1">
      <c r="A592" s="7"/>
      <c r="B592" s="8"/>
      <c r="C592" s="9"/>
      <c r="D592" s="10"/>
      <c r="E592" s="10"/>
      <c r="F592" s="10"/>
      <c r="G592" s="10"/>
      <c r="H592" s="10"/>
      <c r="I592" s="12"/>
      <c r="J592" s="13"/>
      <c r="K592" s="7"/>
      <c r="L592" s="67"/>
      <c r="M592" s="10"/>
    </row>
    <row r="593" spans="1:13" ht="75" customHeight="1" thickTop="1" thickBot="1">
      <c r="A593" s="7"/>
      <c r="B593" s="8"/>
      <c r="C593" s="9"/>
      <c r="D593" s="10"/>
      <c r="E593" s="10"/>
      <c r="F593" s="10"/>
      <c r="G593" s="10"/>
      <c r="H593" s="10"/>
      <c r="I593" s="12"/>
      <c r="J593" s="13"/>
      <c r="K593" s="7"/>
      <c r="L593" s="67"/>
      <c r="M593" s="10"/>
    </row>
    <row r="594" spans="1:13" ht="75" customHeight="1" thickTop="1" thickBot="1">
      <c r="A594" s="7"/>
      <c r="B594" s="8"/>
      <c r="C594" s="9"/>
      <c r="D594" s="10"/>
      <c r="E594" s="10"/>
      <c r="F594" s="10"/>
      <c r="G594" s="10"/>
      <c r="H594" s="10"/>
      <c r="I594" s="12"/>
      <c r="J594" s="13"/>
      <c r="K594" s="7"/>
      <c r="L594" s="67"/>
      <c r="M594" s="10"/>
    </row>
    <row r="595" spans="1:13" ht="75" customHeight="1" thickTop="1" thickBot="1">
      <c r="A595" s="7"/>
      <c r="B595" s="8"/>
      <c r="C595" s="9"/>
      <c r="D595" s="10"/>
      <c r="E595" s="10"/>
      <c r="F595" s="10"/>
      <c r="G595" s="10"/>
      <c r="H595" s="10"/>
      <c r="I595" s="12"/>
      <c r="J595" s="13"/>
      <c r="K595" s="7"/>
      <c r="L595" s="67"/>
      <c r="M595" s="10"/>
    </row>
    <row r="596" spans="1:13" ht="75" customHeight="1" thickTop="1" thickBot="1">
      <c r="A596" s="7"/>
      <c r="B596" s="8"/>
      <c r="C596" s="9"/>
      <c r="D596" s="10"/>
      <c r="E596" s="10"/>
      <c r="F596" s="10"/>
      <c r="G596" s="10"/>
      <c r="H596" s="10"/>
      <c r="I596" s="12"/>
      <c r="J596" s="13"/>
      <c r="K596" s="7"/>
      <c r="L596" s="67"/>
      <c r="M596" s="10"/>
    </row>
    <row r="597" spans="1:13" ht="75" customHeight="1" thickTop="1" thickBot="1">
      <c r="A597" s="7"/>
      <c r="B597" s="8"/>
      <c r="C597" s="9"/>
      <c r="D597" s="10"/>
      <c r="E597" s="10"/>
      <c r="F597" s="10"/>
      <c r="G597" s="10"/>
      <c r="H597" s="10"/>
      <c r="I597" s="12"/>
      <c r="J597" s="13"/>
      <c r="K597" s="7"/>
      <c r="L597" s="67"/>
      <c r="M597" s="10"/>
    </row>
    <row r="598" spans="1:13" ht="75" customHeight="1" thickTop="1" thickBot="1">
      <c r="A598" s="7"/>
      <c r="B598" s="8"/>
      <c r="C598" s="9"/>
      <c r="D598" s="10"/>
      <c r="E598" s="10"/>
      <c r="F598" s="10"/>
      <c r="G598" s="10"/>
      <c r="H598" s="10"/>
      <c r="I598" s="12"/>
      <c r="J598" s="13"/>
      <c r="K598" s="7"/>
      <c r="L598" s="67"/>
      <c r="M598" s="10"/>
    </row>
    <row r="599" spans="1:13" ht="75" customHeight="1" thickTop="1" thickBot="1">
      <c r="A599" s="7"/>
      <c r="B599" s="8"/>
      <c r="C599" s="9"/>
      <c r="D599" s="10"/>
      <c r="E599" s="10"/>
      <c r="F599" s="10"/>
      <c r="G599" s="10"/>
      <c r="H599" s="10"/>
      <c r="I599" s="12"/>
      <c r="J599" s="13"/>
      <c r="K599" s="7"/>
      <c r="L599" s="67"/>
      <c r="M599" s="10"/>
    </row>
    <row r="600" spans="1:13" ht="75" customHeight="1" thickTop="1" thickBot="1">
      <c r="A600" s="7"/>
      <c r="B600" s="8"/>
      <c r="C600" s="9"/>
      <c r="D600" s="10"/>
      <c r="E600" s="10"/>
      <c r="F600" s="10"/>
      <c r="G600" s="10"/>
      <c r="H600" s="10"/>
      <c r="I600" s="12"/>
      <c r="J600" s="13"/>
      <c r="K600" s="7"/>
      <c r="L600" s="67"/>
      <c r="M600" s="10"/>
    </row>
    <row r="601" spans="1:13" ht="75" customHeight="1" thickTop="1" thickBot="1">
      <c r="A601" s="7"/>
      <c r="B601" s="8"/>
      <c r="C601" s="9"/>
      <c r="D601" s="10"/>
      <c r="E601" s="10"/>
      <c r="F601" s="10"/>
      <c r="G601" s="10"/>
      <c r="H601" s="10"/>
      <c r="I601" s="12"/>
      <c r="J601" s="13"/>
      <c r="K601" s="7"/>
      <c r="L601" s="67"/>
      <c r="M601" s="10"/>
    </row>
    <row r="602" spans="1:13" ht="75" customHeight="1" thickTop="1" thickBot="1">
      <c r="A602" s="7"/>
      <c r="B602" s="8"/>
      <c r="C602" s="9"/>
      <c r="D602" s="10"/>
      <c r="E602" s="10"/>
      <c r="F602" s="10"/>
      <c r="G602" s="10"/>
      <c r="H602" s="10"/>
      <c r="I602" s="12"/>
      <c r="J602" s="13"/>
      <c r="K602" s="7"/>
      <c r="L602" s="67"/>
      <c r="M602" s="10"/>
    </row>
    <row r="603" spans="1:13" ht="75" customHeight="1" thickTop="1" thickBot="1">
      <c r="A603" s="7"/>
      <c r="B603" s="8"/>
      <c r="C603" s="9"/>
      <c r="D603" s="10"/>
      <c r="E603" s="10"/>
      <c r="F603" s="10"/>
      <c r="G603" s="10"/>
      <c r="H603" s="10"/>
      <c r="I603" s="12"/>
      <c r="J603" s="13"/>
      <c r="K603" s="7"/>
      <c r="L603" s="67"/>
      <c r="M603" s="10"/>
    </row>
    <row r="604" spans="1:13" ht="75" customHeight="1" thickTop="1" thickBot="1">
      <c r="A604" s="7"/>
      <c r="B604" s="8"/>
      <c r="C604" s="9"/>
      <c r="D604" s="10"/>
      <c r="E604" s="10"/>
      <c r="F604" s="10"/>
      <c r="G604" s="10"/>
      <c r="H604" s="10"/>
      <c r="I604" s="12"/>
      <c r="J604" s="13"/>
      <c r="K604" s="7"/>
      <c r="L604" s="67"/>
      <c r="M604" s="10"/>
    </row>
    <row r="605" spans="1:13" ht="75" customHeight="1" thickTop="1" thickBot="1">
      <c r="A605" s="7"/>
      <c r="B605" s="8"/>
      <c r="C605" s="9"/>
      <c r="D605" s="10"/>
      <c r="E605" s="10"/>
      <c r="F605" s="10"/>
      <c r="G605" s="10"/>
      <c r="H605" s="10"/>
      <c r="I605" s="12"/>
      <c r="J605" s="13"/>
      <c r="K605" s="7"/>
      <c r="L605" s="67"/>
      <c r="M605" s="10"/>
    </row>
    <row r="606" spans="1:13" ht="75" customHeight="1" thickTop="1" thickBot="1">
      <c r="A606" s="7"/>
      <c r="B606" s="8"/>
      <c r="C606" s="9"/>
      <c r="D606" s="10"/>
      <c r="E606" s="10"/>
      <c r="F606" s="10"/>
      <c r="G606" s="10"/>
      <c r="H606" s="10"/>
      <c r="I606" s="12"/>
      <c r="J606" s="13"/>
      <c r="K606" s="7"/>
      <c r="L606" s="67"/>
      <c r="M606" s="10"/>
    </row>
    <row r="607" spans="1:13" ht="75" customHeight="1" thickTop="1" thickBot="1">
      <c r="A607" s="7"/>
      <c r="B607" s="8"/>
      <c r="C607" s="9"/>
      <c r="D607" s="10"/>
      <c r="E607" s="10"/>
      <c r="F607" s="10"/>
      <c r="G607" s="10"/>
      <c r="H607" s="10"/>
      <c r="I607" s="12"/>
      <c r="J607" s="13"/>
      <c r="K607" s="7"/>
      <c r="L607" s="67"/>
      <c r="M607" s="10"/>
    </row>
    <row r="608" spans="1:13" ht="75" customHeight="1" thickTop="1" thickBot="1">
      <c r="A608" s="7"/>
      <c r="B608" s="8"/>
      <c r="C608" s="9"/>
      <c r="D608" s="10"/>
      <c r="E608" s="10"/>
      <c r="F608" s="10"/>
      <c r="G608" s="10"/>
      <c r="H608" s="10"/>
      <c r="I608" s="12"/>
      <c r="J608" s="13"/>
      <c r="K608" s="7"/>
      <c r="L608" s="67"/>
      <c r="M608" s="10"/>
    </row>
    <row r="609" spans="1:13" ht="75" customHeight="1" thickTop="1" thickBot="1">
      <c r="A609" s="7"/>
      <c r="B609" s="8"/>
      <c r="C609" s="9"/>
      <c r="D609" s="10"/>
      <c r="E609" s="10"/>
      <c r="F609" s="10"/>
      <c r="G609" s="10"/>
      <c r="H609" s="10"/>
      <c r="I609" s="12"/>
      <c r="J609" s="13"/>
      <c r="K609" s="7"/>
      <c r="L609" s="67"/>
      <c r="M609" s="10"/>
    </row>
    <row r="610" spans="1:13" ht="75" customHeight="1" thickTop="1" thickBot="1">
      <c r="A610" s="7"/>
      <c r="B610" s="8"/>
      <c r="C610" s="9"/>
      <c r="D610" s="10"/>
      <c r="E610" s="10"/>
      <c r="F610" s="10"/>
      <c r="G610" s="10"/>
      <c r="H610" s="10"/>
      <c r="I610" s="12"/>
      <c r="J610" s="13"/>
      <c r="K610" s="7"/>
      <c r="L610" s="67"/>
      <c r="M610" s="10"/>
    </row>
    <row r="611" spans="1:13" ht="75" customHeight="1" thickTop="1" thickBot="1">
      <c r="A611" s="7"/>
      <c r="B611" s="8"/>
      <c r="C611" s="9"/>
      <c r="D611" s="10"/>
      <c r="E611" s="10"/>
      <c r="F611" s="10"/>
      <c r="G611" s="10"/>
      <c r="H611" s="10"/>
      <c r="I611" s="12"/>
      <c r="J611" s="13"/>
      <c r="K611" s="7"/>
      <c r="L611" s="67"/>
      <c r="M611" s="10"/>
    </row>
    <row r="612" spans="1:13" ht="75" customHeight="1" thickTop="1" thickBot="1">
      <c r="A612" s="7"/>
      <c r="B612" s="8"/>
      <c r="C612" s="9"/>
      <c r="D612" s="10"/>
      <c r="E612" s="10"/>
      <c r="F612" s="10"/>
      <c r="G612" s="10"/>
      <c r="H612" s="10"/>
      <c r="I612" s="12"/>
      <c r="J612" s="13"/>
      <c r="K612" s="7"/>
      <c r="L612" s="67"/>
      <c r="M612" s="10"/>
    </row>
    <row r="613" spans="1:13" ht="75" customHeight="1" thickTop="1" thickBot="1">
      <c r="A613" s="7"/>
      <c r="B613" s="8"/>
      <c r="C613" s="9"/>
      <c r="D613" s="10"/>
      <c r="E613" s="10"/>
      <c r="F613" s="10"/>
      <c r="G613" s="10"/>
      <c r="H613" s="10"/>
      <c r="I613" s="12"/>
      <c r="J613" s="13"/>
      <c r="K613" s="7"/>
      <c r="L613" s="67"/>
      <c r="M613" s="10"/>
    </row>
    <row r="614" spans="1:13" ht="75" customHeight="1" thickTop="1" thickBot="1">
      <c r="A614" s="7"/>
      <c r="B614" s="8"/>
      <c r="C614" s="9"/>
      <c r="D614" s="10"/>
      <c r="E614" s="10"/>
      <c r="F614" s="10"/>
      <c r="G614" s="10"/>
      <c r="H614" s="10"/>
      <c r="I614" s="12"/>
      <c r="J614" s="13"/>
      <c r="K614" s="7"/>
      <c r="L614" s="67"/>
      <c r="M614" s="10"/>
    </row>
    <row r="615" spans="1:13" ht="75" customHeight="1" thickTop="1" thickBot="1">
      <c r="A615" s="7"/>
      <c r="B615" s="8"/>
      <c r="C615" s="9"/>
      <c r="D615" s="10"/>
      <c r="E615" s="10"/>
      <c r="F615" s="10"/>
      <c r="G615" s="10"/>
      <c r="H615" s="10"/>
      <c r="I615" s="12"/>
      <c r="J615" s="13"/>
      <c r="K615" s="7"/>
      <c r="L615" s="67"/>
      <c r="M615" s="10"/>
    </row>
    <row r="616" spans="1:13" ht="75" customHeight="1" thickTop="1" thickBot="1">
      <c r="A616" s="7"/>
      <c r="B616" s="8"/>
      <c r="C616" s="9"/>
      <c r="D616" s="10"/>
      <c r="E616" s="10"/>
      <c r="F616" s="10"/>
      <c r="G616" s="10"/>
      <c r="H616" s="10"/>
      <c r="I616" s="12"/>
      <c r="J616" s="13"/>
      <c r="K616" s="7"/>
      <c r="L616" s="67"/>
      <c r="M616" s="10"/>
    </row>
    <row r="617" spans="1:13" ht="75" customHeight="1" thickTop="1" thickBot="1">
      <c r="A617" s="7"/>
      <c r="B617" s="8"/>
      <c r="C617" s="9"/>
      <c r="D617" s="10"/>
      <c r="E617" s="10"/>
      <c r="F617" s="10"/>
      <c r="G617" s="10"/>
      <c r="H617" s="10"/>
      <c r="I617" s="12"/>
      <c r="J617" s="13"/>
      <c r="K617" s="7"/>
      <c r="L617" s="67"/>
      <c r="M617" s="10"/>
    </row>
    <row r="618" spans="1:13" ht="75" customHeight="1" thickTop="1" thickBot="1">
      <c r="A618" s="7"/>
      <c r="B618" s="8"/>
      <c r="C618" s="9"/>
      <c r="D618" s="10"/>
      <c r="E618" s="10"/>
      <c r="F618" s="10"/>
      <c r="G618" s="10"/>
      <c r="H618" s="10"/>
      <c r="I618" s="12"/>
      <c r="J618" s="13"/>
      <c r="K618" s="7"/>
      <c r="L618" s="67"/>
      <c r="M618" s="10"/>
    </row>
    <row r="619" spans="1:13" ht="75" customHeight="1" thickTop="1" thickBot="1">
      <c r="A619" s="7"/>
      <c r="B619" s="8"/>
      <c r="C619" s="9"/>
      <c r="D619" s="10"/>
      <c r="E619" s="10"/>
      <c r="F619" s="10"/>
      <c r="G619" s="10"/>
      <c r="H619" s="10"/>
      <c r="I619" s="12"/>
      <c r="J619" s="13"/>
      <c r="K619" s="7"/>
      <c r="L619" s="67"/>
      <c r="M619" s="10"/>
    </row>
    <row r="620" spans="1:13" ht="75" customHeight="1" thickTop="1" thickBot="1">
      <c r="A620" s="7"/>
      <c r="B620" s="8"/>
      <c r="C620" s="9"/>
      <c r="D620" s="10"/>
      <c r="E620" s="10"/>
      <c r="F620" s="10"/>
      <c r="G620" s="10"/>
      <c r="H620" s="10"/>
      <c r="I620" s="12"/>
      <c r="J620" s="13"/>
      <c r="K620" s="7"/>
      <c r="L620" s="67"/>
      <c r="M620" s="10"/>
    </row>
    <row r="621" spans="1:13" ht="75" customHeight="1" thickTop="1" thickBot="1">
      <c r="A621" s="7"/>
      <c r="B621" s="8"/>
      <c r="C621" s="9"/>
      <c r="D621" s="10"/>
      <c r="E621" s="10"/>
      <c r="F621" s="10"/>
      <c r="G621" s="10"/>
      <c r="H621" s="10"/>
      <c r="I621" s="12"/>
      <c r="J621" s="13"/>
      <c r="K621" s="7"/>
      <c r="L621" s="67"/>
      <c r="M621" s="10"/>
    </row>
    <row r="622" spans="1:13" ht="75" customHeight="1" thickTop="1" thickBot="1">
      <c r="A622" s="7"/>
      <c r="B622" s="8"/>
      <c r="C622" s="9"/>
      <c r="D622" s="10"/>
      <c r="E622" s="10"/>
      <c r="F622" s="10"/>
      <c r="G622" s="10"/>
      <c r="H622" s="10"/>
      <c r="I622" s="12"/>
      <c r="J622" s="13"/>
      <c r="K622" s="7"/>
      <c r="L622" s="67"/>
      <c r="M622" s="10"/>
    </row>
    <row r="623" spans="1:13" ht="75" customHeight="1" thickTop="1" thickBot="1">
      <c r="A623" s="7"/>
      <c r="B623" s="8"/>
      <c r="C623" s="9"/>
      <c r="D623" s="10"/>
      <c r="E623" s="10"/>
      <c r="F623" s="10"/>
      <c r="G623" s="10"/>
      <c r="H623" s="10"/>
      <c r="I623" s="12"/>
      <c r="J623" s="13"/>
      <c r="K623" s="7"/>
      <c r="L623" s="67"/>
      <c r="M623" s="10"/>
    </row>
    <row r="624" spans="1:13" ht="75" customHeight="1" thickTop="1" thickBot="1">
      <c r="A624" s="7"/>
      <c r="B624" s="8"/>
      <c r="C624" s="9"/>
      <c r="D624" s="10"/>
      <c r="E624" s="10"/>
      <c r="F624" s="10"/>
      <c r="G624" s="10"/>
      <c r="H624" s="10"/>
      <c r="I624" s="12"/>
      <c r="J624" s="13"/>
      <c r="K624" s="7"/>
      <c r="L624" s="67"/>
      <c r="M624" s="10"/>
    </row>
    <row r="625" spans="1:13" ht="75" customHeight="1" thickTop="1" thickBot="1">
      <c r="A625" s="7"/>
      <c r="B625" s="8"/>
      <c r="C625" s="9"/>
      <c r="D625" s="10"/>
      <c r="E625" s="10"/>
      <c r="F625" s="10"/>
      <c r="G625" s="10"/>
      <c r="H625" s="10"/>
      <c r="I625" s="12"/>
      <c r="J625" s="13"/>
      <c r="K625" s="7"/>
      <c r="L625" s="67"/>
      <c r="M625" s="10"/>
    </row>
    <row r="626" spans="1:13" ht="75" customHeight="1" thickTop="1" thickBot="1">
      <c r="A626" s="7"/>
      <c r="B626" s="8"/>
      <c r="C626" s="9"/>
      <c r="D626" s="10"/>
      <c r="E626" s="10"/>
      <c r="F626" s="10"/>
      <c r="G626" s="10"/>
      <c r="H626" s="10"/>
      <c r="I626" s="12"/>
      <c r="J626" s="13"/>
      <c r="K626" s="7"/>
      <c r="L626" s="67"/>
      <c r="M626" s="10"/>
    </row>
    <row r="627" spans="1:13" ht="75" customHeight="1" thickTop="1" thickBot="1">
      <c r="A627" s="7"/>
      <c r="B627" s="8"/>
      <c r="C627" s="9"/>
      <c r="D627" s="10"/>
      <c r="E627" s="10"/>
      <c r="F627" s="10"/>
      <c r="G627" s="10"/>
      <c r="H627" s="10"/>
      <c r="I627" s="12"/>
      <c r="J627" s="13"/>
      <c r="K627" s="7"/>
      <c r="L627" s="67"/>
      <c r="M627" s="10"/>
    </row>
    <row r="628" spans="1:13" ht="75" customHeight="1" thickTop="1" thickBot="1">
      <c r="A628" s="7"/>
      <c r="B628" s="8"/>
      <c r="C628" s="9"/>
      <c r="D628" s="10"/>
      <c r="E628" s="10"/>
      <c r="F628" s="10"/>
      <c r="G628" s="10"/>
      <c r="H628" s="10"/>
      <c r="I628" s="12"/>
      <c r="J628" s="13"/>
      <c r="K628" s="7"/>
      <c r="L628" s="67"/>
      <c r="M628" s="10"/>
    </row>
    <row r="629" spans="1:13" ht="75" customHeight="1" thickTop="1" thickBot="1">
      <c r="A629" s="7"/>
      <c r="B629" s="8"/>
      <c r="C629" s="9"/>
      <c r="D629" s="10"/>
      <c r="E629" s="10"/>
      <c r="F629" s="10"/>
      <c r="G629" s="10"/>
      <c r="H629" s="10"/>
      <c r="I629" s="12"/>
      <c r="J629" s="13"/>
      <c r="K629" s="7"/>
      <c r="L629" s="67"/>
      <c r="M629" s="10"/>
    </row>
    <row r="630" spans="1:13" ht="75" customHeight="1" thickTop="1" thickBot="1">
      <c r="A630" s="7"/>
      <c r="B630" s="8"/>
      <c r="C630" s="9"/>
      <c r="D630" s="10"/>
      <c r="E630" s="10"/>
      <c r="F630" s="10"/>
      <c r="G630" s="10"/>
      <c r="H630" s="10"/>
      <c r="I630" s="12"/>
      <c r="J630" s="13"/>
      <c r="K630" s="7"/>
      <c r="L630" s="67"/>
      <c r="M630" s="10"/>
    </row>
    <row r="631" spans="1:13" ht="75" customHeight="1" thickTop="1" thickBot="1">
      <c r="A631" s="7"/>
      <c r="B631" s="8"/>
      <c r="C631" s="9"/>
      <c r="D631" s="10"/>
      <c r="E631" s="10"/>
      <c r="F631" s="10"/>
      <c r="G631" s="10"/>
      <c r="H631" s="10"/>
      <c r="I631" s="12"/>
      <c r="J631" s="13"/>
      <c r="K631" s="7"/>
      <c r="L631" s="67"/>
      <c r="M631" s="10"/>
    </row>
    <row r="632" spans="1:13" ht="75" customHeight="1" thickTop="1" thickBot="1">
      <c r="A632" s="7"/>
      <c r="B632" s="8"/>
      <c r="C632" s="9"/>
      <c r="D632" s="10"/>
      <c r="E632" s="10"/>
      <c r="F632" s="10"/>
      <c r="G632" s="10"/>
      <c r="H632" s="10"/>
      <c r="I632" s="12"/>
      <c r="J632" s="13"/>
      <c r="K632" s="7"/>
      <c r="L632" s="67"/>
      <c r="M632" s="10"/>
    </row>
    <row r="633" spans="1:13" ht="75" customHeight="1" thickTop="1" thickBot="1">
      <c r="A633" s="7"/>
      <c r="B633" s="8"/>
      <c r="C633" s="9"/>
      <c r="D633" s="10"/>
      <c r="E633" s="10"/>
      <c r="F633" s="10"/>
      <c r="G633" s="10"/>
      <c r="H633" s="10"/>
      <c r="I633" s="12"/>
      <c r="J633" s="13"/>
      <c r="K633" s="7"/>
      <c r="L633" s="67"/>
      <c r="M633" s="10"/>
    </row>
    <row r="634" spans="1:13" ht="75" customHeight="1" thickTop="1" thickBot="1">
      <c r="A634" s="7"/>
      <c r="B634" s="8"/>
      <c r="C634" s="9"/>
      <c r="D634" s="10"/>
      <c r="E634" s="10"/>
      <c r="F634" s="10"/>
      <c r="G634" s="10"/>
      <c r="H634" s="10"/>
      <c r="I634" s="12"/>
      <c r="J634" s="13"/>
      <c r="K634" s="7"/>
      <c r="L634" s="67"/>
      <c r="M634" s="10"/>
    </row>
    <row r="635" spans="1:13" ht="75" customHeight="1" thickTop="1" thickBot="1">
      <c r="A635" s="7"/>
      <c r="B635" s="8"/>
      <c r="C635" s="9"/>
      <c r="D635" s="10"/>
      <c r="E635" s="10"/>
      <c r="F635" s="10"/>
      <c r="G635" s="10"/>
      <c r="H635" s="10"/>
      <c r="I635" s="12"/>
      <c r="J635" s="13"/>
      <c r="K635" s="7"/>
      <c r="L635" s="67"/>
      <c r="M635" s="10"/>
    </row>
    <row r="636" spans="1:13" ht="75" customHeight="1" thickTop="1" thickBot="1">
      <c r="A636" s="7"/>
      <c r="B636" s="8"/>
      <c r="C636" s="9"/>
      <c r="D636" s="10"/>
      <c r="E636" s="10"/>
      <c r="F636" s="10"/>
      <c r="G636" s="10"/>
      <c r="H636" s="10"/>
      <c r="I636" s="12"/>
      <c r="J636" s="13"/>
      <c r="K636" s="7"/>
      <c r="L636" s="67"/>
      <c r="M636" s="10"/>
    </row>
    <row r="637" spans="1:13" ht="75" customHeight="1" thickTop="1" thickBot="1">
      <c r="A637" s="7"/>
      <c r="B637" s="8"/>
      <c r="C637" s="9"/>
      <c r="D637" s="10"/>
      <c r="E637" s="10"/>
      <c r="F637" s="10"/>
      <c r="G637" s="10"/>
      <c r="H637" s="10"/>
      <c r="I637" s="12"/>
      <c r="J637" s="13"/>
      <c r="K637" s="7"/>
      <c r="L637" s="67"/>
      <c r="M637" s="10"/>
    </row>
    <row r="638" spans="1:13" ht="75" customHeight="1" thickTop="1" thickBot="1">
      <c r="A638" s="7"/>
      <c r="B638" s="8"/>
      <c r="C638" s="9"/>
      <c r="D638" s="10"/>
      <c r="E638" s="10"/>
      <c r="F638" s="10"/>
      <c r="G638" s="10"/>
      <c r="H638" s="10"/>
      <c r="I638" s="12"/>
      <c r="J638" s="13"/>
      <c r="K638" s="7"/>
      <c r="L638" s="67"/>
      <c r="M638" s="10"/>
    </row>
    <row r="639" spans="1:13" ht="75" customHeight="1" thickTop="1" thickBot="1">
      <c r="A639" s="7"/>
      <c r="B639" s="8"/>
      <c r="C639" s="9"/>
      <c r="D639" s="10"/>
      <c r="E639" s="10"/>
      <c r="F639" s="10"/>
      <c r="G639" s="10"/>
      <c r="H639" s="10"/>
      <c r="I639" s="12"/>
      <c r="J639" s="13"/>
      <c r="K639" s="7"/>
      <c r="L639" s="67"/>
      <c r="M639" s="10"/>
    </row>
    <row r="640" spans="1:13" ht="75" customHeight="1" thickTop="1" thickBot="1">
      <c r="A640" s="7"/>
      <c r="B640" s="8"/>
      <c r="C640" s="9"/>
      <c r="D640" s="10"/>
      <c r="E640" s="10"/>
      <c r="F640" s="10"/>
      <c r="G640" s="10"/>
      <c r="H640" s="10"/>
      <c r="I640" s="12"/>
      <c r="J640" s="13"/>
      <c r="K640" s="7"/>
      <c r="L640" s="67"/>
      <c r="M640" s="10"/>
    </row>
    <row r="641" spans="1:13" ht="75" customHeight="1" thickTop="1" thickBot="1">
      <c r="A641" s="7"/>
      <c r="B641" s="8"/>
      <c r="C641" s="9"/>
      <c r="D641" s="10"/>
      <c r="E641" s="10"/>
      <c r="F641" s="10"/>
      <c r="G641" s="10"/>
      <c r="H641" s="10"/>
      <c r="I641" s="12"/>
      <c r="J641" s="13"/>
      <c r="K641" s="7"/>
      <c r="L641" s="67"/>
      <c r="M641" s="10"/>
    </row>
    <row r="642" spans="1:13" ht="75" customHeight="1" thickTop="1" thickBot="1">
      <c r="A642" s="7"/>
      <c r="B642" s="8"/>
      <c r="C642" s="9"/>
      <c r="D642" s="10"/>
      <c r="E642" s="10"/>
      <c r="F642" s="10"/>
      <c r="G642" s="10"/>
      <c r="H642" s="10"/>
      <c r="I642" s="12"/>
      <c r="J642" s="13"/>
      <c r="K642" s="7"/>
      <c r="L642" s="67"/>
      <c r="M642" s="10"/>
    </row>
    <row r="643" spans="1:13" ht="75" customHeight="1" thickTop="1" thickBot="1">
      <c r="A643" s="7"/>
      <c r="B643" s="8"/>
      <c r="C643" s="9"/>
      <c r="D643" s="10"/>
      <c r="E643" s="10"/>
      <c r="F643" s="10"/>
      <c r="G643" s="10"/>
      <c r="H643" s="10"/>
      <c r="I643" s="12"/>
      <c r="J643" s="13"/>
      <c r="K643" s="7"/>
      <c r="L643" s="67"/>
      <c r="M643" s="10"/>
    </row>
    <row r="644" spans="1:13" ht="75" customHeight="1" thickTop="1" thickBot="1">
      <c r="A644" s="7"/>
      <c r="B644" s="8"/>
      <c r="C644" s="9"/>
      <c r="D644" s="10"/>
      <c r="E644" s="10"/>
      <c r="F644" s="10"/>
      <c r="G644" s="10"/>
      <c r="H644" s="10"/>
      <c r="I644" s="12"/>
      <c r="J644" s="13"/>
      <c r="K644" s="7"/>
      <c r="L644" s="67"/>
      <c r="M644" s="10"/>
    </row>
    <row r="645" spans="1:13" ht="75" customHeight="1" thickTop="1" thickBot="1">
      <c r="A645" s="7"/>
      <c r="B645" s="8"/>
      <c r="C645" s="9"/>
      <c r="D645" s="10"/>
      <c r="E645" s="10"/>
      <c r="F645" s="10"/>
      <c r="G645" s="10"/>
      <c r="H645" s="10"/>
      <c r="I645" s="12"/>
      <c r="J645" s="13"/>
      <c r="K645" s="7"/>
      <c r="L645" s="67"/>
      <c r="M645" s="10"/>
    </row>
    <row r="646" spans="1:13" ht="75" customHeight="1" thickTop="1" thickBot="1">
      <c r="A646" s="7"/>
      <c r="B646" s="8"/>
      <c r="C646" s="9"/>
      <c r="D646" s="10"/>
      <c r="E646" s="10"/>
      <c r="F646" s="10"/>
      <c r="G646" s="10"/>
      <c r="H646" s="10"/>
      <c r="I646" s="12"/>
      <c r="J646" s="13"/>
      <c r="K646" s="7"/>
      <c r="L646" s="67"/>
      <c r="M646" s="10"/>
    </row>
    <row r="647" spans="1:13" ht="75" customHeight="1" thickTop="1" thickBot="1">
      <c r="A647" s="7"/>
      <c r="B647" s="8"/>
      <c r="C647" s="9"/>
      <c r="D647" s="10"/>
      <c r="E647" s="10"/>
      <c r="F647" s="10"/>
      <c r="G647" s="10"/>
      <c r="H647" s="10"/>
      <c r="I647" s="12"/>
      <c r="J647" s="13"/>
      <c r="K647" s="7"/>
      <c r="L647" s="67"/>
      <c r="M647" s="10"/>
    </row>
    <row r="648" spans="1:13" ht="75" customHeight="1" thickTop="1" thickBot="1">
      <c r="A648" s="7"/>
      <c r="B648" s="8"/>
      <c r="C648" s="9"/>
      <c r="D648" s="10"/>
      <c r="E648" s="10"/>
      <c r="F648" s="10"/>
      <c r="G648" s="10"/>
      <c r="H648" s="10"/>
      <c r="I648" s="12"/>
      <c r="J648" s="13"/>
      <c r="K648" s="7"/>
      <c r="L648" s="67"/>
      <c r="M648" s="10"/>
    </row>
    <row r="649" spans="1:13" ht="75" customHeight="1" thickTop="1" thickBot="1">
      <c r="A649" s="7"/>
      <c r="B649" s="8"/>
      <c r="C649" s="9"/>
      <c r="D649" s="10"/>
      <c r="E649" s="10"/>
      <c r="F649" s="10"/>
      <c r="G649" s="10"/>
      <c r="H649" s="10"/>
      <c r="I649" s="12"/>
      <c r="J649" s="13"/>
      <c r="K649" s="7"/>
      <c r="L649" s="67"/>
      <c r="M649" s="10"/>
    </row>
    <row r="650" spans="1:13" ht="75" customHeight="1" thickTop="1" thickBot="1">
      <c r="A650" s="7"/>
      <c r="B650" s="8"/>
      <c r="C650" s="9"/>
      <c r="D650" s="10"/>
      <c r="E650" s="10"/>
      <c r="F650" s="10"/>
      <c r="G650" s="10"/>
      <c r="H650" s="10"/>
      <c r="I650" s="12"/>
      <c r="J650" s="13"/>
      <c r="K650" s="7"/>
      <c r="L650" s="67"/>
      <c r="M650" s="10"/>
    </row>
    <row r="651" spans="1:13" ht="75" customHeight="1" thickTop="1" thickBot="1">
      <c r="A651" s="7"/>
      <c r="B651" s="8"/>
      <c r="C651" s="9"/>
      <c r="D651" s="10"/>
      <c r="E651" s="10"/>
      <c r="F651" s="10"/>
      <c r="G651" s="10"/>
      <c r="H651" s="10"/>
      <c r="I651" s="12"/>
      <c r="J651" s="13"/>
      <c r="K651" s="7"/>
      <c r="L651" s="67"/>
      <c r="M651" s="10"/>
    </row>
    <row r="652" spans="1:13" ht="75" customHeight="1" thickTop="1" thickBot="1">
      <c r="A652" s="7"/>
      <c r="B652" s="8"/>
      <c r="C652" s="9"/>
      <c r="D652" s="10"/>
      <c r="E652" s="10"/>
      <c r="F652" s="10"/>
      <c r="G652" s="10"/>
      <c r="H652" s="10"/>
      <c r="I652" s="12"/>
      <c r="J652" s="13"/>
      <c r="K652" s="7"/>
      <c r="L652" s="67"/>
      <c r="M652" s="10"/>
    </row>
    <row r="653" spans="1:13" ht="75" customHeight="1" thickTop="1" thickBot="1">
      <c r="A653" s="7"/>
      <c r="B653" s="8"/>
      <c r="C653" s="9"/>
      <c r="D653" s="10"/>
      <c r="E653" s="10"/>
      <c r="F653" s="10"/>
      <c r="G653" s="10"/>
      <c r="H653" s="10"/>
      <c r="I653" s="12"/>
      <c r="J653" s="13"/>
      <c r="K653" s="7"/>
      <c r="L653" s="67"/>
      <c r="M653" s="10"/>
    </row>
    <row r="654" spans="1:13" ht="75" customHeight="1" thickTop="1" thickBot="1">
      <c r="A654" s="7"/>
      <c r="B654" s="8"/>
      <c r="C654" s="9"/>
      <c r="D654" s="10"/>
      <c r="E654" s="10"/>
      <c r="F654" s="10"/>
      <c r="G654" s="10"/>
      <c r="H654" s="10"/>
      <c r="I654" s="12"/>
      <c r="J654" s="13"/>
      <c r="K654" s="7"/>
      <c r="L654" s="67"/>
      <c r="M654" s="10"/>
    </row>
    <row r="655" spans="1:13" ht="75" customHeight="1" thickTop="1" thickBot="1">
      <c r="A655" s="7"/>
      <c r="B655" s="8"/>
      <c r="C655" s="9"/>
      <c r="D655" s="10"/>
      <c r="E655" s="10"/>
      <c r="F655" s="10"/>
      <c r="G655" s="10"/>
      <c r="H655" s="10"/>
      <c r="I655" s="12"/>
      <c r="J655" s="13"/>
      <c r="K655" s="7"/>
      <c r="L655" s="67"/>
      <c r="M655" s="10"/>
    </row>
    <row r="656" spans="1:13" ht="75" customHeight="1" thickTop="1" thickBot="1">
      <c r="A656" s="7"/>
      <c r="B656" s="8"/>
      <c r="C656" s="9"/>
      <c r="D656" s="10"/>
      <c r="E656" s="10"/>
      <c r="F656" s="10"/>
      <c r="G656" s="10"/>
      <c r="H656" s="10"/>
      <c r="I656" s="12"/>
      <c r="J656" s="13"/>
      <c r="K656" s="7"/>
      <c r="L656" s="67"/>
      <c r="M656" s="10"/>
    </row>
    <row r="657" spans="1:13" ht="75" customHeight="1" thickTop="1" thickBot="1">
      <c r="A657" s="7"/>
      <c r="B657" s="8"/>
      <c r="C657" s="9"/>
      <c r="D657" s="10"/>
      <c r="E657" s="10"/>
      <c r="F657" s="10"/>
      <c r="G657" s="10"/>
      <c r="H657" s="10"/>
      <c r="I657" s="12"/>
      <c r="J657" s="13"/>
      <c r="K657" s="7"/>
      <c r="L657" s="67"/>
      <c r="M657" s="10"/>
    </row>
    <row r="658" spans="1:13" ht="75" customHeight="1" thickTop="1" thickBot="1">
      <c r="A658" s="7"/>
      <c r="B658" s="8"/>
      <c r="C658" s="9"/>
      <c r="D658" s="10"/>
      <c r="E658" s="10"/>
      <c r="F658" s="10"/>
      <c r="G658" s="10"/>
      <c r="H658" s="10"/>
      <c r="I658" s="12"/>
      <c r="J658" s="13"/>
      <c r="K658" s="7"/>
      <c r="L658" s="67"/>
      <c r="M658" s="10"/>
    </row>
    <row r="659" spans="1:13" ht="75" customHeight="1" thickTop="1" thickBot="1">
      <c r="A659" s="7"/>
      <c r="B659" s="8"/>
      <c r="C659" s="9"/>
      <c r="D659" s="10"/>
      <c r="E659" s="10"/>
      <c r="F659" s="10"/>
      <c r="G659" s="10"/>
      <c r="H659" s="10"/>
      <c r="I659" s="12"/>
      <c r="J659" s="13"/>
      <c r="K659" s="7"/>
      <c r="L659" s="67"/>
      <c r="M659" s="10"/>
    </row>
    <row r="660" spans="1:13" ht="75" customHeight="1" thickTop="1" thickBot="1">
      <c r="A660" s="7"/>
      <c r="B660" s="8"/>
      <c r="C660" s="9"/>
      <c r="D660" s="10"/>
      <c r="E660" s="10"/>
      <c r="F660" s="10"/>
      <c r="G660" s="10"/>
      <c r="H660" s="10"/>
      <c r="I660" s="12"/>
      <c r="J660" s="13"/>
      <c r="K660" s="7"/>
      <c r="L660" s="67"/>
      <c r="M660" s="10"/>
    </row>
    <row r="661" spans="1:13" ht="75" customHeight="1" thickTop="1" thickBot="1">
      <c r="A661" s="7"/>
      <c r="B661" s="8"/>
      <c r="C661" s="9"/>
      <c r="D661" s="10"/>
      <c r="E661" s="10"/>
      <c r="F661" s="10"/>
      <c r="G661" s="10"/>
      <c r="H661" s="10"/>
      <c r="I661" s="12"/>
      <c r="J661" s="13"/>
      <c r="K661" s="7"/>
      <c r="L661" s="67"/>
      <c r="M661" s="10"/>
    </row>
    <row r="662" spans="1:13" ht="75" customHeight="1" thickTop="1" thickBot="1">
      <c r="A662" s="7"/>
      <c r="B662" s="8"/>
      <c r="C662" s="9"/>
      <c r="D662" s="10"/>
      <c r="E662" s="10"/>
      <c r="F662" s="10"/>
      <c r="G662" s="10"/>
      <c r="H662" s="10"/>
      <c r="I662" s="12"/>
      <c r="J662" s="13"/>
      <c r="K662" s="7"/>
      <c r="L662" s="67"/>
      <c r="M662" s="10"/>
    </row>
    <row r="663" spans="1:13" ht="75" customHeight="1" thickTop="1" thickBot="1">
      <c r="A663" s="7"/>
      <c r="B663" s="8"/>
      <c r="C663" s="9"/>
      <c r="D663" s="10"/>
      <c r="E663" s="10"/>
      <c r="F663" s="10"/>
      <c r="G663" s="10"/>
      <c r="H663" s="10"/>
      <c r="I663" s="12"/>
      <c r="J663" s="13"/>
      <c r="K663" s="7"/>
      <c r="L663" s="67"/>
      <c r="M663" s="10"/>
    </row>
    <row r="664" spans="1:13" ht="75" customHeight="1" thickTop="1" thickBot="1">
      <c r="A664" s="7"/>
      <c r="B664" s="8"/>
      <c r="C664" s="9"/>
      <c r="D664" s="10"/>
      <c r="E664" s="10"/>
      <c r="F664" s="10"/>
      <c r="G664" s="10"/>
      <c r="H664" s="10"/>
      <c r="I664" s="12"/>
      <c r="J664" s="13"/>
      <c r="K664" s="7"/>
      <c r="L664" s="67"/>
      <c r="M664" s="10"/>
    </row>
    <row r="665" spans="1:13" ht="75" customHeight="1" thickTop="1" thickBot="1">
      <c r="A665" s="7"/>
      <c r="B665" s="8"/>
      <c r="C665" s="9"/>
      <c r="D665" s="10"/>
      <c r="E665" s="10"/>
      <c r="F665" s="10"/>
      <c r="G665" s="10"/>
      <c r="H665" s="10"/>
      <c r="I665" s="12"/>
      <c r="J665" s="13"/>
      <c r="K665" s="7"/>
      <c r="L665" s="67"/>
      <c r="M665" s="10"/>
    </row>
    <row r="666" spans="1:13" ht="75" customHeight="1" thickTop="1" thickBot="1">
      <c r="A666" s="7"/>
      <c r="B666" s="8"/>
      <c r="C666" s="9"/>
      <c r="D666" s="10"/>
      <c r="E666" s="10"/>
      <c r="F666" s="10"/>
      <c r="G666" s="10"/>
      <c r="H666" s="10"/>
      <c r="I666" s="12"/>
      <c r="J666" s="13"/>
      <c r="K666" s="7"/>
      <c r="L666" s="67"/>
      <c r="M666" s="10"/>
    </row>
    <row r="667" spans="1:13" ht="75" customHeight="1" thickTop="1" thickBot="1">
      <c r="A667" s="7"/>
      <c r="B667" s="8"/>
      <c r="C667" s="9"/>
      <c r="D667" s="10"/>
      <c r="E667" s="10"/>
      <c r="F667" s="10"/>
      <c r="G667" s="10"/>
      <c r="H667" s="10"/>
      <c r="I667" s="12"/>
      <c r="J667" s="13"/>
      <c r="K667" s="7"/>
      <c r="L667" s="67"/>
      <c r="M667" s="10"/>
    </row>
    <row r="668" spans="1:13" ht="75" customHeight="1" thickTop="1" thickBot="1">
      <c r="A668" s="7"/>
      <c r="B668" s="8"/>
      <c r="C668" s="9"/>
      <c r="D668" s="10"/>
      <c r="E668" s="10"/>
      <c r="F668" s="10"/>
      <c r="G668" s="10"/>
      <c r="H668" s="10"/>
      <c r="I668" s="12"/>
      <c r="J668" s="13"/>
      <c r="K668" s="7"/>
      <c r="L668" s="67"/>
      <c r="M668" s="10"/>
    </row>
    <row r="669" spans="1:13" ht="75" customHeight="1" thickTop="1" thickBot="1">
      <c r="A669" s="7"/>
      <c r="B669" s="8"/>
      <c r="C669" s="9"/>
      <c r="D669" s="10"/>
      <c r="E669" s="10"/>
      <c r="F669" s="10"/>
      <c r="G669" s="10"/>
      <c r="H669" s="10"/>
      <c r="I669" s="12"/>
      <c r="J669" s="13"/>
      <c r="K669" s="7"/>
      <c r="L669" s="67"/>
      <c r="M669" s="10"/>
    </row>
    <row r="670" spans="1:13" ht="75" customHeight="1" thickTop="1" thickBot="1">
      <c r="A670" s="7"/>
      <c r="B670" s="8"/>
      <c r="C670" s="9"/>
      <c r="D670" s="10"/>
      <c r="E670" s="10"/>
      <c r="F670" s="10"/>
      <c r="G670" s="10"/>
      <c r="H670" s="10"/>
      <c r="I670" s="12"/>
      <c r="J670" s="13"/>
      <c r="K670" s="7"/>
      <c r="L670" s="67"/>
      <c r="M670" s="10"/>
    </row>
    <row r="671" spans="1:13" ht="75" customHeight="1" thickTop="1" thickBot="1">
      <c r="A671" s="7"/>
      <c r="B671" s="8"/>
      <c r="C671" s="9"/>
      <c r="D671" s="10"/>
      <c r="E671" s="10"/>
      <c r="F671" s="10"/>
      <c r="G671" s="10"/>
      <c r="H671" s="10"/>
      <c r="I671" s="12"/>
      <c r="J671" s="13"/>
      <c r="K671" s="7"/>
      <c r="L671" s="67"/>
      <c r="M671" s="10"/>
    </row>
    <row r="672" spans="1:13" ht="75" customHeight="1" thickTop="1" thickBot="1">
      <c r="A672" s="7"/>
      <c r="B672" s="8"/>
      <c r="C672" s="9"/>
      <c r="D672" s="10"/>
      <c r="E672" s="10"/>
      <c r="F672" s="10"/>
      <c r="G672" s="10"/>
      <c r="H672" s="10"/>
      <c r="I672" s="12"/>
      <c r="J672" s="13"/>
      <c r="K672" s="7"/>
      <c r="L672" s="67"/>
      <c r="M672" s="10"/>
    </row>
    <row r="673" spans="1:13" ht="75" customHeight="1" thickTop="1" thickBot="1">
      <c r="A673" s="7"/>
      <c r="B673" s="8"/>
      <c r="C673" s="9"/>
      <c r="D673" s="10"/>
      <c r="E673" s="10"/>
      <c r="F673" s="10"/>
      <c r="G673" s="10"/>
      <c r="H673" s="10"/>
      <c r="I673" s="12"/>
      <c r="J673" s="13"/>
      <c r="K673" s="7"/>
      <c r="L673" s="67"/>
      <c r="M673" s="10"/>
    </row>
    <row r="674" spans="1:13" ht="75" customHeight="1" thickTop="1" thickBot="1">
      <c r="A674" s="7"/>
      <c r="B674" s="8"/>
      <c r="C674" s="9"/>
      <c r="D674" s="10"/>
      <c r="E674" s="10"/>
      <c r="F674" s="10"/>
      <c r="G674" s="10"/>
      <c r="H674" s="10"/>
      <c r="I674" s="12"/>
      <c r="J674" s="13"/>
      <c r="K674" s="7"/>
      <c r="L674" s="67"/>
      <c r="M674" s="10"/>
    </row>
    <row r="675" spans="1:13" ht="75" customHeight="1" thickTop="1" thickBot="1">
      <c r="A675" s="7"/>
      <c r="B675" s="8"/>
      <c r="C675" s="9"/>
      <c r="D675" s="10"/>
      <c r="E675" s="10"/>
      <c r="F675" s="10"/>
      <c r="G675" s="10"/>
      <c r="H675" s="10"/>
      <c r="I675" s="12"/>
      <c r="J675" s="13"/>
      <c r="K675" s="7"/>
      <c r="L675" s="67"/>
      <c r="M675" s="10"/>
    </row>
    <row r="676" spans="1:13" ht="75" customHeight="1" thickTop="1" thickBot="1">
      <c r="A676" s="7"/>
      <c r="B676" s="8"/>
      <c r="C676" s="9"/>
      <c r="D676" s="10"/>
      <c r="E676" s="10"/>
      <c r="F676" s="10"/>
      <c r="G676" s="10"/>
      <c r="H676" s="10"/>
      <c r="I676" s="12"/>
      <c r="J676" s="13"/>
      <c r="K676" s="7"/>
      <c r="L676" s="67"/>
      <c r="M676" s="10"/>
    </row>
    <row r="677" spans="1:13" ht="75" customHeight="1" thickTop="1" thickBot="1">
      <c r="A677" s="7"/>
      <c r="B677" s="8"/>
      <c r="C677" s="9"/>
      <c r="D677" s="10"/>
      <c r="E677" s="10"/>
      <c r="F677" s="10"/>
      <c r="G677" s="10"/>
      <c r="H677" s="10"/>
      <c r="I677" s="12"/>
      <c r="J677" s="13"/>
      <c r="K677" s="7"/>
      <c r="L677" s="67"/>
      <c r="M677" s="10"/>
    </row>
    <row r="678" spans="1:13" ht="75" customHeight="1" thickTop="1" thickBot="1">
      <c r="A678" s="7"/>
      <c r="B678" s="8"/>
      <c r="C678" s="9"/>
      <c r="D678" s="10"/>
      <c r="E678" s="10"/>
      <c r="F678" s="10"/>
      <c r="G678" s="10"/>
      <c r="H678" s="10"/>
      <c r="I678" s="12"/>
      <c r="J678" s="13"/>
      <c r="K678" s="7"/>
      <c r="L678" s="67"/>
      <c r="M678" s="10"/>
    </row>
    <row r="679" spans="1:13" ht="75" customHeight="1" thickTop="1" thickBot="1">
      <c r="A679" s="7"/>
      <c r="B679" s="8"/>
      <c r="C679" s="9"/>
      <c r="D679" s="10"/>
      <c r="E679" s="10"/>
      <c r="F679" s="10"/>
      <c r="G679" s="10"/>
      <c r="H679" s="10"/>
      <c r="I679" s="12"/>
      <c r="J679" s="13"/>
      <c r="K679" s="7"/>
      <c r="L679" s="67"/>
      <c r="M679" s="10"/>
    </row>
    <row r="680" spans="1:13" ht="75" customHeight="1" thickTop="1" thickBot="1">
      <c r="A680" s="7"/>
      <c r="B680" s="8"/>
      <c r="C680" s="9"/>
      <c r="D680" s="10"/>
      <c r="E680" s="10"/>
      <c r="F680" s="10"/>
      <c r="G680" s="10"/>
      <c r="H680" s="10"/>
      <c r="I680" s="12"/>
      <c r="J680" s="13"/>
      <c r="K680" s="7"/>
      <c r="L680" s="67"/>
      <c r="M680" s="10"/>
    </row>
    <row r="681" spans="1:13" ht="75" customHeight="1" thickTop="1" thickBot="1">
      <c r="A681" s="7"/>
      <c r="B681" s="8"/>
      <c r="C681" s="9"/>
      <c r="D681" s="10"/>
      <c r="E681" s="10"/>
      <c r="F681" s="10"/>
      <c r="G681" s="10"/>
      <c r="H681" s="10"/>
      <c r="I681" s="12"/>
      <c r="J681" s="13"/>
      <c r="K681" s="7"/>
      <c r="L681" s="67"/>
      <c r="M681" s="10"/>
    </row>
    <row r="682" spans="1:13" ht="75" customHeight="1" thickTop="1" thickBot="1">
      <c r="A682" s="7"/>
      <c r="B682" s="8"/>
      <c r="C682" s="9"/>
      <c r="D682" s="10"/>
      <c r="E682" s="10"/>
      <c r="F682" s="10"/>
      <c r="G682" s="10"/>
      <c r="H682" s="10"/>
      <c r="I682" s="12"/>
      <c r="J682" s="13"/>
      <c r="K682" s="7"/>
      <c r="L682" s="67"/>
      <c r="M682" s="10"/>
    </row>
    <row r="683" spans="1:13" ht="75" customHeight="1" thickTop="1" thickBot="1">
      <c r="A683" s="7"/>
      <c r="B683" s="8"/>
      <c r="C683" s="9"/>
      <c r="D683" s="10"/>
      <c r="E683" s="10"/>
      <c r="F683" s="10"/>
      <c r="G683" s="10"/>
      <c r="H683" s="10"/>
      <c r="I683" s="12"/>
      <c r="J683" s="13"/>
      <c r="K683" s="7"/>
      <c r="L683" s="67"/>
      <c r="M683" s="10"/>
    </row>
    <row r="684" spans="1:13" ht="75" customHeight="1" thickTop="1" thickBot="1">
      <c r="A684" s="7"/>
      <c r="B684" s="8"/>
      <c r="C684" s="9"/>
      <c r="D684" s="10"/>
      <c r="E684" s="10"/>
      <c r="F684" s="10"/>
      <c r="G684" s="10"/>
      <c r="H684" s="10"/>
      <c r="I684" s="12"/>
      <c r="J684" s="13"/>
      <c r="K684" s="7"/>
      <c r="L684" s="67"/>
      <c r="M684" s="10"/>
    </row>
    <row r="685" spans="1:13" ht="75" customHeight="1" thickTop="1" thickBot="1">
      <c r="A685" s="7"/>
      <c r="B685" s="8"/>
      <c r="C685" s="9"/>
      <c r="D685" s="10"/>
      <c r="E685" s="10"/>
      <c r="F685" s="10"/>
      <c r="G685" s="10"/>
      <c r="H685" s="10"/>
      <c r="I685" s="12"/>
      <c r="J685" s="13"/>
      <c r="K685" s="7"/>
      <c r="L685" s="67"/>
      <c r="M685" s="10"/>
    </row>
    <row r="686" spans="1:13" ht="75" customHeight="1" thickTop="1" thickBot="1">
      <c r="A686" s="7"/>
      <c r="B686" s="8"/>
      <c r="C686" s="9"/>
      <c r="D686" s="10"/>
      <c r="E686" s="10"/>
      <c r="F686" s="10"/>
      <c r="G686" s="10"/>
      <c r="H686" s="10"/>
      <c r="I686" s="12"/>
      <c r="J686" s="13"/>
      <c r="K686" s="7"/>
      <c r="L686" s="67"/>
      <c r="M686" s="10"/>
    </row>
    <row r="687" spans="1:13" ht="75" customHeight="1" thickTop="1" thickBot="1">
      <c r="A687" s="7"/>
      <c r="B687" s="8"/>
      <c r="C687" s="9"/>
      <c r="D687" s="10"/>
      <c r="E687" s="10"/>
      <c r="F687" s="10"/>
      <c r="G687" s="10"/>
      <c r="H687" s="10"/>
      <c r="I687" s="12"/>
      <c r="J687" s="13"/>
      <c r="K687" s="7"/>
      <c r="L687" s="67"/>
      <c r="M687" s="10"/>
    </row>
    <row r="688" spans="1:13" ht="75" customHeight="1" thickTop="1" thickBot="1">
      <c r="A688" s="7"/>
      <c r="B688" s="8"/>
      <c r="C688" s="9"/>
      <c r="D688" s="10"/>
      <c r="E688" s="10"/>
      <c r="F688" s="10"/>
      <c r="G688" s="10"/>
      <c r="H688" s="10"/>
      <c r="I688" s="12"/>
      <c r="J688" s="13"/>
      <c r="K688" s="7"/>
      <c r="L688" s="67"/>
      <c r="M688" s="10"/>
    </row>
    <row r="689" spans="1:13" ht="75" customHeight="1" thickTop="1" thickBot="1">
      <c r="A689" s="7"/>
      <c r="B689" s="8"/>
      <c r="C689" s="9"/>
      <c r="D689" s="10"/>
      <c r="E689" s="10"/>
      <c r="F689" s="10"/>
      <c r="G689" s="10"/>
      <c r="H689" s="10"/>
      <c r="I689" s="12"/>
      <c r="J689" s="13"/>
      <c r="K689" s="7"/>
      <c r="L689" s="67"/>
      <c r="M689" s="10"/>
    </row>
    <row r="690" spans="1:13" ht="75" customHeight="1" thickTop="1" thickBot="1">
      <c r="A690" s="7"/>
      <c r="B690" s="8"/>
      <c r="C690" s="9"/>
      <c r="D690" s="10"/>
      <c r="E690" s="10"/>
      <c r="F690" s="10"/>
      <c r="G690" s="10"/>
      <c r="H690" s="10"/>
      <c r="I690" s="12"/>
      <c r="J690" s="13"/>
      <c r="K690" s="7"/>
      <c r="L690" s="67"/>
      <c r="M690" s="10"/>
    </row>
    <row r="691" spans="1:13" ht="75" customHeight="1" thickTop="1" thickBot="1">
      <c r="A691" s="7"/>
      <c r="B691" s="8"/>
      <c r="C691" s="9"/>
      <c r="D691" s="10"/>
      <c r="E691" s="10"/>
      <c r="F691" s="10"/>
      <c r="G691" s="10"/>
      <c r="H691" s="10"/>
      <c r="I691" s="12"/>
      <c r="J691" s="13"/>
      <c r="K691" s="7"/>
      <c r="L691" s="67"/>
      <c r="M691" s="10"/>
    </row>
    <row r="692" spans="1:13" ht="75" customHeight="1" thickTop="1" thickBot="1">
      <c r="A692" s="7"/>
      <c r="B692" s="8"/>
      <c r="C692" s="9"/>
      <c r="D692" s="10"/>
      <c r="E692" s="10"/>
      <c r="F692" s="10"/>
      <c r="G692" s="10"/>
      <c r="H692" s="10"/>
      <c r="I692" s="12"/>
      <c r="J692" s="13"/>
      <c r="K692" s="7"/>
      <c r="L692" s="67"/>
      <c r="M692" s="10"/>
    </row>
    <row r="693" spans="1:13" ht="75" customHeight="1" thickTop="1" thickBot="1">
      <c r="A693" s="7"/>
      <c r="B693" s="8"/>
      <c r="C693" s="9"/>
      <c r="D693" s="10"/>
      <c r="E693" s="10"/>
      <c r="F693" s="10"/>
      <c r="G693" s="10"/>
      <c r="H693" s="10"/>
      <c r="I693" s="12"/>
      <c r="J693" s="13"/>
      <c r="K693" s="7"/>
      <c r="L693" s="67"/>
      <c r="M693" s="10"/>
    </row>
    <row r="694" spans="1:13" ht="75" customHeight="1" thickTop="1" thickBot="1">
      <c r="A694" s="7"/>
      <c r="B694" s="8"/>
      <c r="C694" s="9"/>
      <c r="D694" s="10"/>
      <c r="E694" s="10"/>
      <c r="F694" s="10"/>
      <c r="G694" s="10"/>
      <c r="H694" s="10"/>
      <c r="I694" s="12"/>
      <c r="J694" s="13"/>
      <c r="K694" s="7"/>
      <c r="L694" s="67"/>
      <c r="M694" s="10"/>
    </row>
    <row r="695" spans="1:13" ht="75" customHeight="1" thickTop="1" thickBot="1">
      <c r="A695" s="7"/>
      <c r="B695" s="8"/>
      <c r="C695" s="9"/>
      <c r="D695" s="10"/>
      <c r="E695" s="10"/>
      <c r="F695" s="10"/>
      <c r="G695" s="10"/>
      <c r="H695" s="10"/>
      <c r="I695" s="12"/>
      <c r="J695" s="13"/>
      <c r="K695" s="7"/>
      <c r="L695" s="67"/>
      <c r="M695" s="10"/>
    </row>
    <row r="696" spans="1:13" ht="75" customHeight="1" thickTop="1" thickBot="1">
      <c r="A696" s="7"/>
      <c r="B696" s="8"/>
      <c r="C696" s="9"/>
      <c r="D696" s="10"/>
      <c r="E696" s="10"/>
      <c r="F696" s="10"/>
      <c r="G696" s="10"/>
      <c r="H696" s="10"/>
      <c r="I696" s="12"/>
      <c r="J696" s="13"/>
      <c r="K696" s="7"/>
      <c r="L696" s="67"/>
      <c r="M696" s="10"/>
    </row>
    <row r="697" spans="1:13" ht="75" customHeight="1" thickTop="1" thickBot="1">
      <c r="A697" s="7"/>
      <c r="B697" s="8"/>
      <c r="C697" s="9"/>
      <c r="D697" s="10"/>
      <c r="E697" s="10"/>
      <c r="F697" s="10"/>
      <c r="G697" s="10"/>
      <c r="H697" s="10"/>
      <c r="I697" s="12"/>
      <c r="J697" s="13"/>
      <c r="K697" s="7"/>
      <c r="L697" s="67"/>
      <c r="M697" s="10"/>
    </row>
    <row r="698" spans="1:13" ht="75" customHeight="1" thickTop="1" thickBot="1">
      <c r="A698" s="7"/>
      <c r="B698" s="8"/>
      <c r="C698" s="9"/>
      <c r="D698" s="10"/>
      <c r="E698" s="10"/>
      <c r="F698" s="10"/>
      <c r="G698" s="10"/>
      <c r="H698" s="10"/>
      <c r="I698" s="12"/>
      <c r="J698" s="13"/>
      <c r="K698" s="7"/>
      <c r="L698" s="67"/>
      <c r="M698" s="10"/>
    </row>
    <row r="699" spans="1:13" ht="75" customHeight="1" thickTop="1" thickBot="1">
      <c r="A699" s="7"/>
      <c r="B699" s="8"/>
      <c r="C699" s="9"/>
      <c r="D699" s="10"/>
      <c r="E699" s="10"/>
      <c r="F699" s="10"/>
      <c r="G699" s="10"/>
      <c r="H699" s="10"/>
      <c r="I699" s="12"/>
      <c r="J699" s="13"/>
      <c r="K699" s="7"/>
      <c r="L699" s="67"/>
      <c r="M699" s="10"/>
    </row>
    <row r="700" spans="1:13" ht="75" customHeight="1" thickTop="1" thickBot="1">
      <c r="A700" s="7"/>
      <c r="B700" s="8"/>
      <c r="C700" s="9"/>
      <c r="D700" s="10"/>
      <c r="E700" s="10"/>
      <c r="F700" s="10"/>
      <c r="G700" s="10"/>
      <c r="H700" s="10"/>
      <c r="I700" s="12"/>
      <c r="J700" s="13"/>
      <c r="K700" s="7"/>
      <c r="L700" s="67"/>
      <c r="M700" s="10"/>
    </row>
    <row r="701" spans="1:13" ht="75" customHeight="1" thickTop="1" thickBot="1">
      <c r="A701" s="7"/>
      <c r="B701" s="8"/>
      <c r="C701" s="9"/>
      <c r="D701" s="10"/>
      <c r="E701" s="10"/>
      <c r="F701" s="10"/>
      <c r="G701" s="10"/>
      <c r="H701" s="10"/>
      <c r="I701" s="12"/>
      <c r="J701" s="13"/>
      <c r="K701" s="7"/>
      <c r="L701" s="67"/>
      <c r="M701" s="10"/>
    </row>
    <row r="702" spans="1:13" ht="75" customHeight="1" thickTop="1" thickBot="1">
      <c r="A702" s="7"/>
      <c r="B702" s="8"/>
      <c r="C702" s="9"/>
      <c r="D702" s="10"/>
      <c r="E702" s="10"/>
      <c r="F702" s="10"/>
      <c r="G702" s="10"/>
      <c r="H702" s="10"/>
      <c r="I702" s="12"/>
      <c r="J702" s="13"/>
      <c r="K702" s="7"/>
      <c r="L702" s="67"/>
      <c r="M702" s="10"/>
    </row>
    <row r="703" spans="1:13" ht="75" customHeight="1" thickTop="1" thickBot="1">
      <c r="A703" s="7"/>
      <c r="B703" s="8"/>
      <c r="C703" s="9"/>
      <c r="D703" s="10"/>
      <c r="E703" s="10"/>
      <c r="F703" s="10"/>
      <c r="G703" s="10"/>
      <c r="H703" s="10"/>
      <c r="I703" s="12"/>
      <c r="J703" s="13"/>
      <c r="K703" s="7"/>
      <c r="L703" s="67"/>
      <c r="M703" s="10"/>
    </row>
    <row r="704" spans="1:13" ht="75" customHeight="1" thickTop="1" thickBot="1">
      <c r="A704" s="7"/>
      <c r="B704" s="8"/>
      <c r="C704" s="9"/>
      <c r="D704" s="10"/>
      <c r="E704" s="10"/>
      <c r="F704" s="10"/>
      <c r="G704" s="10"/>
      <c r="H704" s="10"/>
      <c r="I704" s="12"/>
      <c r="J704" s="13"/>
      <c r="K704" s="7"/>
      <c r="L704" s="67"/>
      <c r="M704" s="10"/>
    </row>
    <row r="705" spans="1:13" ht="75" customHeight="1" thickTop="1" thickBot="1">
      <c r="A705" s="7"/>
      <c r="B705" s="8"/>
      <c r="C705" s="9"/>
      <c r="D705" s="10"/>
      <c r="E705" s="10"/>
      <c r="F705" s="10"/>
      <c r="G705" s="10"/>
      <c r="H705" s="10"/>
      <c r="I705" s="12"/>
      <c r="J705" s="13"/>
      <c r="K705" s="7"/>
      <c r="L705" s="67"/>
      <c r="M705" s="10"/>
    </row>
    <row r="706" spans="1:13" ht="75" customHeight="1" thickTop="1" thickBot="1">
      <c r="A706" s="7"/>
      <c r="B706" s="8"/>
      <c r="C706" s="9"/>
      <c r="D706" s="10"/>
      <c r="E706" s="10"/>
      <c r="F706" s="10"/>
      <c r="G706" s="10"/>
      <c r="H706" s="10"/>
      <c r="I706" s="12"/>
      <c r="J706" s="13"/>
      <c r="K706" s="7"/>
      <c r="L706" s="67"/>
      <c r="M706" s="10"/>
    </row>
    <row r="707" spans="1:13" ht="75" customHeight="1" thickTop="1" thickBot="1">
      <c r="A707" s="7"/>
      <c r="B707" s="8"/>
      <c r="C707" s="9"/>
      <c r="D707" s="10"/>
      <c r="E707" s="10"/>
      <c r="F707" s="10"/>
      <c r="G707" s="10"/>
      <c r="H707" s="10"/>
      <c r="I707" s="12"/>
      <c r="J707" s="13"/>
      <c r="K707" s="7"/>
      <c r="L707" s="67"/>
      <c r="M707" s="10"/>
    </row>
    <row r="708" spans="1:13" ht="75" customHeight="1" thickTop="1" thickBot="1">
      <c r="A708" s="7"/>
      <c r="B708" s="8"/>
      <c r="C708" s="9"/>
      <c r="D708" s="10"/>
      <c r="E708" s="10"/>
      <c r="F708" s="10"/>
      <c r="G708" s="10"/>
      <c r="H708" s="10"/>
      <c r="I708" s="12"/>
      <c r="J708" s="13"/>
      <c r="K708" s="7"/>
      <c r="L708" s="67"/>
      <c r="M708" s="10"/>
    </row>
    <row r="709" spans="1:13" ht="75" customHeight="1" thickTop="1" thickBot="1">
      <c r="A709" s="7"/>
      <c r="B709" s="8"/>
      <c r="C709" s="9"/>
      <c r="D709" s="10"/>
      <c r="E709" s="10"/>
      <c r="F709" s="10"/>
      <c r="G709" s="10"/>
      <c r="H709" s="10"/>
      <c r="I709" s="12"/>
      <c r="J709" s="13"/>
      <c r="K709" s="7"/>
      <c r="L709" s="67"/>
      <c r="M709" s="10"/>
    </row>
    <row r="710" spans="1:13" ht="75" customHeight="1" thickTop="1" thickBot="1">
      <c r="A710" s="7"/>
      <c r="B710" s="8"/>
      <c r="C710" s="9"/>
      <c r="D710" s="10"/>
      <c r="E710" s="10"/>
      <c r="F710" s="10"/>
      <c r="G710" s="10"/>
      <c r="H710" s="10"/>
      <c r="I710" s="12"/>
      <c r="J710" s="13"/>
      <c r="K710" s="7"/>
      <c r="L710" s="67"/>
      <c r="M710" s="10"/>
    </row>
    <row r="711" spans="1:13" ht="75" customHeight="1" thickTop="1" thickBot="1">
      <c r="A711" s="7"/>
      <c r="B711" s="8"/>
      <c r="C711" s="9"/>
      <c r="D711" s="10"/>
      <c r="E711" s="10"/>
      <c r="F711" s="10"/>
      <c r="G711" s="10"/>
      <c r="H711" s="10"/>
      <c r="I711" s="12"/>
      <c r="J711" s="13"/>
      <c r="K711" s="7"/>
      <c r="L711" s="67"/>
      <c r="M711" s="10"/>
    </row>
    <row r="712" spans="1:13" ht="75" customHeight="1" thickTop="1" thickBot="1">
      <c r="A712" s="7"/>
      <c r="B712" s="8"/>
      <c r="C712" s="9"/>
      <c r="D712" s="10"/>
      <c r="E712" s="10"/>
      <c r="F712" s="10"/>
      <c r="G712" s="10"/>
      <c r="H712" s="10"/>
      <c r="I712" s="12"/>
      <c r="J712" s="13"/>
      <c r="K712" s="7"/>
      <c r="L712" s="67"/>
      <c r="M712" s="10"/>
    </row>
    <row r="713" spans="1:13" ht="75" customHeight="1" thickTop="1" thickBot="1">
      <c r="A713" s="7"/>
      <c r="B713" s="8"/>
      <c r="C713" s="9"/>
      <c r="D713" s="10"/>
      <c r="E713" s="10"/>
      <c r="F713" s="10"/>
      <c r="G713" s="10"/>
      <c r="H713" s="10"/>
      <c r="I713" s="12"/>
      <c r="J713" s="13"/>
      <c r="K713" s="7"/>
      <c r="L713" s="67"/>
      <c r="M713" s="10"/>
    </row>
    <row r="714" spans="1:13" ht="75" customHeight="1" thickTop="1" thickBot="1">
      <c r="A714" s="7"/>
      <c r="B714" s="8"/>
      <c r="C714" s="9"/>
      <c r="D714" s="10"/>
      <c r="E714" s="10"/>
      <c r="F714" s="10"/>
      <c r="G714" s="10"/>
      <c r="H714" s="10"/>
      <c r="I714" s="12"/>
      <c r="J714" s="13"/>
      <c r="K714" s="7"/>
      <c r="L714" s="67"/>
      <c r="M714" s="10"/>
    </row>
    <row r="715" spans="1:13" ht="75" customHeight="1" thickTop="1" thickBot="1">
      <c r="A715" s="7"/>
      <c r="B715" s="8"/>
      <c r="C715" s="9"/>
      <c r="D715" s="10"/>
      <c r="E715" s="10"/>
      <c r="F715" s="10"/>
      <c r="G715" s="10"/>
      <c r="H715" s="10"/>
      <c r="I715" s="12"/>
      <c r="J715" s="13"/>
      <c r="K715" s="7"/>
      <c r="L715" s="67"/>
      <c r="M715" s="10"/>
    </row>
    <row r="716" spans="1:13" ht="75" customHeight="1" thickTop="1" thickBot="1">
      <c r="A716" s="7"/>
      <c r="B716" s="8"/>
      <c r="C716" s="9"/>
      <c r="D716" s="10"/>
      <c r="E716" s="10"/>
      <c r="F716" s="10"/>
      <c r="G716" s="10"/>
      <c r="H716" s="10"/>
      <c r="I716" s="12"/>
      <c r="J716" s="13"/>
      <c r="K716" s="7"/>
      <c r="L716" s="67"/>
      <c r="M716" s="10"/>
    </row>
    <row r="717" spans="1:13" ht="75" customHeight="1" thickTop="1" thickBot="1">
      <c r="A717" s="7"/>
      <c r="B717" s="8"/>
      <c r="C717" s="9"/>
      <c r="D717" s="10"/>
      <c r="E717" s="10"/>
      <c r="F717" s="10"/>
      <c r="G717" s="10"/>
      <c r="H717" s="10"/>
      <c r="I717" s="12"/>
      <c r="J717" s="13"/>
      <c r="K717" s="7"/>
      <c r="L717" s="67"/>
      <c r="M717" s="10"/>
    </row>
    <row r="718" spans="1:13" ht="75" customHeight="1" thickTop="1" thickBot="1">
      <c r="A718" s="7"/>
      <c r="B718" s="8"/>
      <c r="C718" s="9"/>
      <c r="D718" s="10"/>
      <c r="E718" s="10"/>
      <c r="F718" s="10"/>
      <c r="G718" s="10"/>
      <c r="H718" s="10"/>
      <c r="I718" s="12"/>
      <c r="J718" s="13"/>
      <c r="K718" s="7"/>
      <c r="L718" s="67"/>
      <c r="M718" s="10"/>
    </row>
    <row r="719" spans="1:13" ht="75" customHeight="1" thickTop="1" thickBot="1">
      <c r="A719" s="7"/>
      <c r="B719" s="8"/>
      <c r="C719" s="9"/>
      <c r="D719" s="10"/>
      <c r="E719" s="10"/>
      <c r="F719" s="10"/>
      <c r="G719" s="10"/>
      <c r="H719" s="10"/>
      <c r="I719" s="12"/>
      <c r="J719" s="13"/>
      <c r="K719" s="7"/>
      <c r="L719" s="67"/>
      <c r="M719" s="10"/>
    </row>
    <row r="720" spans="1:13" ht="75" customHeight="1" thickTop="1" thickBot="1">
      <c r="A720" s="7"/>
      <c r="B720" s="8"/>
      <c r="C720" s="9"/>
      <c r="D720" s="10"/>
      <c r="E720" s="10"/>
      <c r="F720" s="10"/>
      <c r="G720" s="10"/>
      <c r="H720" s="10"/>
      <c r="I720" s="12"/>
      <c r="J720" s="13"/>
      <c r="K720" s="7"/>
      <c r="L720" s="67"/>
      <c r="M720" s="10"/>
    </row>
    <row r="721" spans="1:13" ht="75" customHeight="1" thickTop="1" thickBot="1">
      <c r="A721" s="7"/>
      <c r="B721" s="8"/>
      <c r="C721" s="9"/>
      <c r="D721" s="10"/>
      <c r="E721" s="10"/>
      <c r="F721" s="10"/>
      <c r="G721" s="10"/>
      <c r="H721" s="10"/>
      <c r="I721" s="12"/>
      <c r="J721" s="13"/>
      <c r="K721" s="7"/>
      <c r="L721" s="67"/>
      <c r="M721" s="10"/>
    </row>
    <row r="722" spans="1:13" ht="75" customHeight="1" thickTop="1" thickBot="1">
      <c r="A722" s="7"/>
      <c r="B722" s="8"/>
      <c r="C722" s="9"/>
      <c r="D722" s="10"/>
      <c r="E722" s="10"/>
      <c r="F722" s="10"/>
      <c r="G722" s="10"/>
      <c r="H722" s="10"/>
      <c r="I722" s="12"/>
      <c r="J722" s="13"/>
      <c r="K722" s="7"/>
      <c r="L722" s="67"/>
      <c r="M722" s="10"/>
    </row>
    <row r="723" spans="1:13" ht="75" customHeight="1" thickTop="1" thickBot="1">
      <c r="A723" s="7"/>
      <c r="B723" s="8"/>
      <c r="C723" s="9"/>
      <c r="D723" s="10"/>
      <c r="E723" s="10"/>
      <c r="F723" s="10"/>
      <c r="G723" s="10"/>
      <c r="H723" s="10"/>
      <c r="I723" s="12"/>
      <c r="J723" s="13"/>
      <c r="K723" s="7"/>
      <c r="L723" s="67"/>
      <c r="M723" s="10"/>
    </row>
    <row r="724" spans="1:13" ht="75" customHeight="1" thickTop="1" thickBot="1">
      <c r="A724" s="7"/>
      <c r="B724" s="8"/>
      <c r="C724" s="9"/>
      <c r="D724" s="10"/>
      <c r="E724" s="10"/>
      <c r="F724" s="10"/>
      <c r="G724" s="10"/>
      <c r="H724" s="10"/>
      <c r="I724" s="12"/>
      <c r="J724" s="13"/>
      <c r="K724" s="7"/>
      <c r="L724" s="67"/>
      <c r="M724" s="10"/>
    </row>
    <row r="725" spans="1:13" ht="75" customHeight="1" thickTop="1" thickBot="1">
      <c r="A725" s="7"/>
      <c r="B725" s="8"/>
      <c r="C725" s="9"/>
      <c r="D725" s="10"/>
      <c r="E725" s="10"/>
      <c r="F725" s="10"/>
      <c r="G725" s="10"/>
      <c r="H725" s="10"/>
      <c r="I725" s="12"/>
      <c r="J725" s="13"/>
      <c r="K725" s="7"/>
      <c r="L725" s="67"/>
      <c r="M725" s="10"/>
    </row>
    <row r="726" spans="1:13" ht="75" customHeight="1" thickTop="1" thickBot="1">
      <c r="A726" s="7"/>
      <c r="B726" s="8"/>
      <c r="C726" s="9"/>
      <c r="D726" s="10"/>
      <c r="E726" s="10"/>
      <c r="F726" s="10"/>
      <c r="G726" s="10"/>
      <c r="H726" s="10"/>
      <c r="I726" s="12"/>
      <c r="J726" s="13"/>
      <c r="K726" s="7"/>
      <c r="L726" s="67"/>
      <c r="M726" s="10"/>
    </row>
    <row r="727" spans="1:13" ht="75" customHeight="1" thickTop="1" thickBot="1">
      <c r="A727" s="7"/>
      <c r="B727" s="8"/>
      <c r="C727" s="9"/>
      <c r="D727" s="10"/>
      <c r="E727" s="10"/>
      <c r="F727" s="10"/>
      <c r="G727" s="10"/>
      <c r="H727" s="10"/>
      <c r="I727" s="12"/>
      <c r="J727" s="13"/>
      <c r="K727" s="7"/>
      <c r="L727" s="67"/>
      <c r="M727" s="10"/>
    </row>
    <row r="728" spans="1:13" ht="75" customHeight="1" thickTop="1" thickBot="1">
      <c r="A728" s="7"/>
      <c r="B728" s="8"/>
      <c r="C728" s="9"/>
      <c r="D728" s="10"/>
      <c r="E728" s="10"/>
      <c r="F728" s="10"/>
      <c r="G728" s="10"/>
      <c r="H728" s="10"/>
      <c r="I728" s="12"/>
      <c r="J728" s="13"/>
      <c r="K728" s="7"/>
      <c r="L728" s="67"/>
      <c r="M728" s="10"/>
    </row>
    <row r="729" spans="1:13" ht="75" customHeight="1" thickTop="1" thickBot="1">
      <c r="A729" s="7"/>
      <c r="B729" s="8"/>
      <c r="C729" s="9"/>
      <c r="D729" s="10"/>
      <c r="E729" s="10"/>
      <c r="F729" s="10"/>
      <c r="G729" s="10"/>
      <c r="H729" s="10"/>
      <c r="I729" s="12"/>
      <c r="J729" s="13"/>
      <c r="K729" s="7"/>
      <c r="L729" s="67"/>
      <c r="M729" s="10"/>
    </row>
    <row r="730" spans="1:13" ht="75" customHeight="1" thickTop="1" thickBot="1">
      <c r="A730" s="7"/>
      <c r="B730" s="8"/>
      <c r="C730" s="9"/>
      <c r="D730" s="10"/>
      <c r="E730" s="10"/>
      <c r="F730" s="10"/>
      <c r="G730" s="10"/>
      <c r="H730" s="10"/>
      <c r="I730" s="12"/>
      <c r="J730" s="13"/>
      <c r="K730" s="7"/>
      <c r="L730" s="67"/>
      <c r="M730" s="10"/>
    </row>
    <row r="731" spans="1:13" ht="75" customHeight="1" thickTop="1" thickBot="1">
      <c r="A731" s="7"/>
      <c r="B731" s="8"/>
      <c r="C731" s="9"/>
      <c r="D731" s="10"/>
      <c r="E731" s="10"/>
      <c r="F731" s="10"/>
      <c r="G731" s="10"/>
      <c r="H731" s="10"/>
      <c r="I731" s="12"/>
      <c r="J731" s="13"/>
      <c r="K731" s="7"/>
      <c r="L731" s="67"/>
      <c r="M731" s="10"/>
    </row>
    <row r="732" spans="1:13" ht="75" customHeight="1" thickTop="1" thickBot="1">
      <c r="A732" s="7"/>
      <c r="B732" s="8"/>
      <c r="C732" s="9"/>
      <c r="D732" s="10"/>
      <c r="E732" s="10"/>
      <c r="F732" s="10"/>
      <c r="G732" s="10"/>
      <c r="H732" s="10"/>
      <c r="I732" s="12"/>
      <c r="J732" s="13"/>
      <c r="K732" s="7"/>
      <c r="L732" s="67"/>
      <c r="M732" s="10"/>
    </row>
    <row r="733" spans="1:13" ht="75" customHeight="1" thickTop="1" thickBot="1">
      <c r="A733" s="7"/>
      <c r="B733" s="8"/>
      <c r="C733" s="9"/>
      <c r="D733" s="10"/>
      <c r="E733" s="10"/>
      <c r="F733" s="10"/>
      <c r="G733" s="10"/>
      <c r="H733" s="10"/>
      <c r="I733" s="12"/>
      <c r="J733" s="13"/>
      <c r="K733" s="7"/>
      <c r="L733" s="67"/>
      <c r="M733" s="10"/>
    </row>
    <row r="734" spans="1:13" ht="75" customHeight="1" thickTop="1" thickBot="1">
      <c r="A734" s="7"/>
      <c r="B734" s="8"/>
      <c r="C734" s="9"/>
      <c r="D734" s="10"/>
      <c r="E734" s="10"/>
      <c r="F734" s="10"/>
      <c r="G734" s="10"/>
      <c r="H734" s="10"/>
      <c r="I734" s="12"/>
      <c r="J734" s="13"/>
      <c r="K734" s="7"/>
      <c r="L734" s="67"/>
      <c r="M734" s="10"/>
    </row>
    <row r="735" spans="1:13" ht="75" customHeight="1" thickTop="1" thickBot="1">
      <c r="A735" s="7"/>
      <c r="B735" s="8"/>
      <c r="C735" s="9"/>
      <c r="D735" s="10"/>
      <c r="E735" s="10"/>
      <c r="F735" s="10"/>
      <c r="G735" s="10"/>
      <c r="H735" s="10"/>
      <c r="I735" s="12"/>
      <c r="J735" s="13"/>
      <c r="K735" s="7"/>
      <c r="L735" s="67"/>
      <c r="M735" s="10"/>
    </row>
    <row r="736" spans="1:13" ht="75" customHeight="1" thickTop="1" thickBot="1">
      <c r="A736" s="7"/>
      <c r="B736" s="8"/>
      <c r="C736" s="9"/>
      <c r="D736" s="10"/>
      <c r="E736" s="10"/>
      <c r="F736" s="10"/>
      <c r="G736" s="10"/>
      <c r="H736" s="10"/>
      <c r="I736" s="12"/>
      <c r="J736" s="13"/>
      <c r="K736" s="7"/>
      <c r="L736" s="67"/>
      <c r="M736" s="10"/>
    </row>
    <row r="737" spans="1:13" ht="75" customHeight="1" thickTop="1" thickBot="1">
      <c r="A737" s="7"/>
      <c r="B737" s="8"/>
      <c r="C737" s="9"/>
      <c r="D737" s="10"/>
      <c r="E737" s="10"/>
      <c r="F737" s="10"/>
      <c r="G737" s="10"/>
      <c r="H737" s="10"/>
      <c r="I737" s="12"/>
      <c r="J737" s="13"/>
      <c r="K737" s="7"/>
      <c r="L737" s="67"/>
      <c r="M737" s="10"/>
    </row>
    <row r="738" spans="1:13" ht="75" customHeight="1" thickTop="1" thickBot="1">
      <c r="A738" s="7"/>
      <c r="B738" s="8"/>
      <c r="C738" s="9"/>
      <c r="D738" s="10"/>
      <c r="E738" s="10"/>
      <c r="F738" s="10"/>
      <c r="G738" s="10"/>
      <c r="H738" s="10"/>
      <c r="I738" s="12"/>
      <c r="J738" s="13"/>
      <c r="K738" s="7"/>
      <c r="L738" s="67"/>
      <c r="M738" s="10"/>
    </row>
    <row r="739" spans="1:13" ht="75" customHeight="1" thickTop="1" thickBot="1">
      <c r="A739" s="7"/>
      <c r="B739" s="8"/>
      <c r="C739" s="9"/>
      <c r="D739" s="10"/>
      <c r="E739" s="10"/>
      <c r="F739" s="10"/>
      <c r="G739" s="10"/>
      <c r="H739" s="10"/>
      <c r="I739" s="12"/>
      <c r="J739" s="13"/>
      <c r="K739" s="7"/>
      <c r="L739" s="67"/>
      <c r="M739" s="10"/>
    </row>
    <row r="740" spans="1:13" ht="75" customHeight="1" thickTop="1" thickBot="1">
      <c r="A740" s="7"/>
      <c r="B740" s="8"/>
      <c r="C740" s="9"/>
      <c r="D740" s="10"/>
      <c r="E740" s="10"/>
      <c r="F740" s="10"/>
      <c r="G740" s="10"/>
      <c r="H740" s="10"/>
      <c r="I740" s="12"/>
      <c r="J740" s="13"/>
      <c r="K740" s="7"/>
      <c r="L740" s="67"/>
      <c r="M740" s="10"/>
    </row>
    <row r="741" spans="1:13" ht="75" customHeight="1" thickTop="1" thickBot="1">
      <c r="A741" s="7"/>
      <c r="B741" s="8"/>
      <c r="C741" s="9"/>
      <c r="D741" s="10"/>
      <c r="E741" s="10"/>
      <c r="F741" s="10"/>
      <c r="G741" s="10"/>
      <c r="H741" s="10"/>
      <c r="I741" s="12"/>
      <c r="J741" s="13"/>
      <c r="K741" s="7"/>
      <c r="L741" s="67"/>
      <c r="M741" s="10"/>
    </row>
    <row r="742" spans="1:13" ht="75" customHeight="1" thickTop="1" thickBot="1">
      <c r="A742" s="7"/>
      <c r="B742" s="8"/>
      <c r="C742" s="9"/>
      <c r="D742" s="10"/>
      <c r="E742" s="10"/>
      <c r="F742" s="10"/>
      <c r="G742" s="10"/>
      <c r="H742" s="10"/>
      <c r="I742" s="12"/>
      <c r="J742" s="13"/>
      <c r="K742" s="7"/>
      <c r="L742" s="67"/>
      <c r="M742" s="10"/>
    </row>
    <row r="743" spans="1:13" ht="75" customHeight="1" thickTop="1" thickBot="1">
      <c r="A743" s="7"/>
      <c r="B743" s="8"/>
      <c r="C743" s="9"/>
      <c r="D743" s="10"/>
      <c r="E743" s="10"/>
      <c r="F743" s="10"/>
      <c r="G743" s="10"/>
      <c r="H743" s="10"/>
      <c r="I743" s="12"/>
      <c r="J743" s="13"/>
      <c r="K743" s="7"/>
      <c r="L743" s="67"/>
      <c r="M743" s="10"/>
    </row>
    <row r="744" spans="1:13" ht="75" customHeight="1" thickTop="1" thickBot="1">
      <c r="A744" s="7"/>
      <c r="B744" s="8"/>
      <c r="C744" s="9"/>
      <c r="D744" s="10"/>
      <c r="E744" s="10"/>
      <c r="F744" s="10"/>
      <c r="G744" s="10"/>
      <c r="H744" s="10"/>
      <c r="I744" s="12"/>
      <c r="J744" s="13"/>
      <c r="K744" s="7"/>
      <c r="L744" s="67"/>
      <c r="M744" s="10"/>
    </row>
    <row r="745" spans="1:13" ht="75" customHeight="1" thickTop="1" thickBot="1">
      <c r="A745" s="7"/>
      <c r="B745" s="8"/>
      <c r="C745" s="9"/>
      <c r="D745" s="10"/>
      <c r="E745" s="10"/>
      <c r="F745" s="10"/>
      <c r="G745" s="10"/>
      <c r="H745" s="10"/>
      <c r="I745" s="12"/>
      <c r="J745" s="13"/>
      <c r="K745" s="7"/>
      <c r="L745" s="67"/>
      <c r="M745" s="10"/>
    </row>
    <row r="746" spans="1:13" ht="75" customHeight="1" thickTop="1" thickBot="1">
      <c r="A746" s="7"/>
      <c r="B746" s="8"/>
      <c r="C746" s="9"/>
      <c r="D746" s="10"/>
      <c r="E746" s="10"/>
      <c r="F746" s="10"/>
      <c r="G746" s="10"/>
      <c r="H746" s="10"/>
      <c r="I746" s="12"/>
      <c r="J746" s="13"/>
      <c r="K746" s="7"/>
      <c r="L746" s="67"/>
      <c r="M746" s="10"/>
    </row>
    <row r="747" spans="1:13" ht="75" customHeight="1" thickTop="1" thickBot="1">
      <c r="A747" s="7"/>
      <c r="B747" s="8"/>
      <c r="C747" s="9"/>
      <c r="D747" s="10"/>
      <c r="E747" s="10"/>
      <c r="F747" s="10"/>
      <c r="G747" s="10"/>
      <c r="H747" s="10"/>
      <c r="I747" s="12"/>
      <c r="J747" s="13"/>
      <c r="K747" s="7"/>
      <c r="L747" s="67"/>
      <c r="M747" s="10"/>
    </row>
    <row r="748" spans="1:13" ht="75" customHeight="1" thickTop="1" thickBot="1">
      <c r="A748" s="7"/>
      <c r="B748" s="8"/>
      <c r="C748" s="9"/>
      <c r="D748" s="10"/>
      <c r="E748" s="10"/>
      <c r="F748" s="10"/>
      <c r="G748" s="10"/>
      <c r="H748" s="10"/>
      <c r="I748" s="12"/>
      <c r="J748" s="13"/>
      <c r="K748" s="7"/>
      <c r="L748" s="67"/>
      <c r="M748" s="10"/>
    </row>
    <row r="749" spans="1:13" ht="75" customHeight="1" thickTop="1" thickBot="1">
      <c r="A749" s="7"/>
      <c r="B749" s="8"/>
      <c r="C749" s="9"/>
      <c r="D749" s="10"/>
      <c r="E749" s="10"/>
      <c r="F749" s="10"/>
      <c r="G749" s="10"/>
      <c r="H749" s="10"/>
      <c r="I749" s="12"/>
      <c r="J749" s="13"/>
      <c r="K749" s="7"/>
      <c r="L749" s="67"/>
      <c r="M749" s="10"/>
    </row>
    <row r="750" spans="1:13" ht="75" customHeight="1" thickTop="1" thickBot="1">
      <c r="A750" s="7"/>
      <c r="B750" s="8"/>
      <c r="C750" s="9"/>
      <c r="D750" s="10"/>
      <c r="E750" s="10"/>
      <c r="F750" s="10"/>
      <c r="G750" s="10"/>
      <c r="H750" s="10"/>
      <c r="I750" s="12"/>
      <c r="J750" s="13"/>
      <c r="K750" s="7"/>
      <c r="L750" s="67"/>
      <c r="M750" s="10"/>
    </row>
    <row r="751" spans="1:13" ht="75" customHeight="1" thickTop="1" thickBot="1">
      <c r="A751" s="7"/>
      <c r="B751" s="8"/>
      <c r="C751" s="9"/>
      <c r="D751" s="10"/>
      <c r="E751" s="10"/>
      <c r="F751" s="10"/>
      <c r="G751" s="10"/>
      <c r="H751" s="10"/>
      <c r="I751" s="12"/>
      <c r="J751" s="13"/>
      <c r="K751" s="7"/>
      <c r="L751" s="67"/>
      <c r="M751" s="10"/>
    </row>
    <row r="752" spans="1:13" ht="75" customHeight="1" thickTop="1" thickBot="1">
      <c r="A752" s="7"/>
      <c r="B752" s="8"/>
      <c r="C752" s="9"/>
      <c r="D752" s="10"/>
      <c r="E752" s="10"/>
      <c r="F752" s="10"/>
      <c r="G752" s="10"/>
      <c r="H752" s="10"/>
      <c r="I752" s="12"/>
      <c r="J752" s="13"/>
      <c r="K752" s="7"/>
      <c r="L752" s="67"/>
      <c r="M752" s="10"/>
    </row>
    <row r="753" spans="1:13" ht="75" customHeight="1" thickTop="1" thickBot="1">
      <c r="A753" s="7"/>
      <c r="B753" s="8"/>
      <c r="C753" s="9"/>
      <c r="D753" s="10"/>
      <c r="E753" s="10"/>
      <c r="F753" s="10"/>
      <c r="G753" s="10"/>
      <c r="H753" s="10"/>
      <c r="I753" s="12"/>
      <c r="J753" s="13"/>
      <c r="K753" s="7"/>
      <c r="L753" s="67"/>
      <c r="M753" s="10"/>
    </row>
    <row r="754" spans="1:13" ht="75" customHeight="1" thickTop="1" thickBot="1">
      <c r="A754" s="7"/>
      <c r="B754" s="8"/>
      <c r="C754" s="9"/>
      <c r="D754" s="10"/>
      <c r="E754" s="10"/>
      <c r="F754" s="10"/>
      <c r="G754" s="10"/>
      <c r="H754" s="10"/>
      <c r="I754" s="12"/>
      <c r="J754" s="13"/>
      <c r="K754" s="7"/>
      <c r="L754" s="67"/>
      <c r="M754" s="10"/>
    </row>
    <row r="755" spans="1:13" ht="75" customHeight="1" thickTop="1" thickBot="1">
      <c r="A755" s="7"/>
      <c r="B755" s="8"/>
      <c r="C755" s="9"/>
      <c r="D755" s="10"/>
      <c r="E755" s="10"/>
      <c r="F755" s="10"/>
      <c r="G755" s="10"/>
      <c r="H755" s="10"/>
      <c r="I755" s="12"/>
      <c r="J755" s="13"/>
      <c r="K755" s="7"/>
      <c r="L755" s="67"/>
      <c r="M755" s="10"/>
    </row>
    <row r="756" spans="1:13" ht="75" customHeight="1" thickTop="1" thickBot="1">
      <c r="A756" s="7"/>
      <c r="B756" s="8"/>
      <c r="C756" s="9"/>
      <c r="D756" s="10"/>
      <c r="E756" s="10"/>
      <c r="F756" s="10"/>
      <c r="G756" s="10"/>
      <c r="H756" s="10"/>
      <c r="I756" s="12"/>
      <c r="J756" s="13"/>
      <c r="K756" s="7"/>
      <c r="L756" s="67"/>
      <c r="M756" s="10"/>
    </row>
    <row r="757" spans="1:13" ht="75" customHeight="1" thickTop="1" thickBot="1">
      <c r="A757" s="7"/>
      <c r="B757" s="8"/>
      <c r="C757" s="9"/>
      <c r="D757" s="10"/>
      <c r="E757" s="10"/>
      <c r="F757" s="10"/>
      <c r="G757" s="10"/>
      <c r="H757" s="10"/>
      <c r="I757" s="12"/>
      <c r="J757" s="13"/>
      <c r="K757" s="7"/>
      <c r="L757" s="67"/>
      <c r="M757" s="10"/>
    </row>
    <row r="758" spans="1:13" ht="75" customHeight="1" thickTop="1" thickBot="1">
      <c r="A758" s="7"/>
      <c r="B758" s="8"/>
      <c r="C758" s="9"/>
      <c r="D758" s="10"/>
      <c r="E758" s="10"/>
      <c r="F758" s="10"/>
      <c r="G758" s="10"/>
      <c r="H758" s="10"/>
      <c r="I758" s="12"/>
      <c r="J758" s="13"/>
      <c r="K758" s="7"/>
      <c r="L758" s="67"/>
      <c r="M758" s="10"/>
    </row>
    <row r="759" spans="1:13" ht="75" customHeight="1" thickTop="1" thickBot="1">
      <c r="A759" s="7"/>
      <c r="B759" s="8"/>
      <c r="C759" s="9"/>
      <c r="D759" s="10"/>
      <c r="E759" s="10"/>
      <c r="F759" s="10"/>
      <c r="G759" s="10"/>
      <c r="H759" s="10"/>
      <c r="I759" s="12"/>
      <c r="J759" s="13"/>
      <c r="K759" s="7"/>
      <c r="L759" s="67"/>
      <c r="M759" s="10"/>
    </row>
    <row r="760" spans="1:13" ht="75" customHeight="1" thickTop="1" thickBot="1">
      <c r="A760" s="7"/>
      <c r="B760" s="8"/>
      <c r="C760" s="9"/>
      <c r="D760" s="10"/>
      <c r="E760" s="10"/>
      <c r="F760" s="10"/>
      <c r="G760" s="10"/>
      <c r="H760" s="10"/>
      <c r="I760" s="12"/>
      <c r="J760" s="13"/>
      <c r="K760" s="7"/>
      <c r="L760" s="67"/>
      <c r="M760" s="10"/>
    </row>
    <row r="761" spans="1:13" ht="75" customHeight="1" thickTop="1" thickBot="1">
      <c r="A761" s="7"/>
      <c r="B761" s="8"/>
      <c r="C761" s="9"/>
      <c r="D761" s="10"/>
      <c r="E761" s="10"/>
      <c r="F761" s="10"/>
      <c r="G761" s="10"/>
      <c r="H761" s="10"/>
      <c r="I761" s="12"/>
      <c r="J761" s="13"/>
      <c r="K761" s="7"/>
      <c r="L761" s="67"/>
      <c r="M761" s="10"/>
    </row>
    <row r="762" spans="1:13" ht="75" customHeight="1" thickTop="1" thickBot="1">
      <c r="A762" s="7"/>
      <c r="B762" s="8"/>
      <c r="C762" s="9"/>
      <c r="D762" s="10"/>
      <c r="E762" s="10"/>
      <c r="F762" s="10"/>
      <c r="G762" s="10"/>
      <c r="H762" s="10"/>
      <c r="I762" s="12"/>
      <c r="J762" s="13"/>
      <c r="K762" s="7"/>
      <c r="L762" s="67"/>
      <c r="M762" s="10"/>
    </row>
    <row r="763" spans="1:13" ht="75" customHeight="1" thickTop="1" thickBot="1">
      <c r="A763" s="7"/>
      <c r="B763" s="8"/>
      <c r="C763" s="9"/>
      <c r="D763" s="10"/>
      <c r="E763" s="10"/>
      <c r="F763" s="10"/>
      <c r="G763" s="10"/>
      <c r="H763" s="10"/>
      <c r="I763" s="12"/>
      <c r="J763" s="13"/>
      <c r="K763" s="7"/>
      <c r="L763" s="67"/>
      <c r="M763" s="10"/>
    </row>
    <row r="764" spans="1:13" ht="75" customHeight="1" thickTop="1" thickBot="1">
      <c r="A764" s="7"/>
      <c r="B764" s="8"/>
      <c r="C764" s="9"/>
      <c r="D764" s="10"/>
      <c r="E764" s="10"/>
      <c r="F764" s="10"/>
      <c r="G764" s="10"/>
      <c r="H764" s="10"/>
      <c r="I764" s="12"/>
      <c r="J764" s="13"/>
      <c r="K764" s="7"/>
      <c r="L764" s="67"/>
      <c r="M764" s="10"/>
    </row>
    <row r="765" spans="1:13" ht="75" customHeight="1" thickTop="1" thickBot="1">
      <c r="A765" s="7"/>
      <c r="B765" s="8"/>
      <c r="C765" s="9"/>
      <c r="D765" s="10"/>
      <c r="E765" s="10"/>
      <c r="F765" s="10"/>
      <c r="G765" s="10"/>
      <c r="H765" s="10"/>
      <c r="I765" s="12"/>
      <c r="J765" s="13"/>
      <c r="K765" s="7"/>
      <c r="L765" s="67"/>
      <c r="M765" s="10"/>
    </row>
    <row r="766" spans="1:13" ht="75" customHeight="1" thickTop="1" thickBot="1">
      <c r="A766" s="7"/>
      <c r="B766" s="8"/>
      <c r="C766" s="9"/>
      <c r="D766" s="10"/>
      <c r="E766" s="10"/>
      <c r="F766" s="10"/>
      <c r="G766" s="10"/>
      <c r="H766" s="10"/>
      <c r="I766" s="12"/>
      <c r="J766" s="13"/>
      <c r="K766" s="7"/>
      <c r="L766" s="67"/>
      <c r="M766" s="10"/>
    </row>
    <row r="767" spans="1:13" ht="75" customHeight="1" thickTop="1" thickBot="1">
      <c r="A767" s="7"/>
      <c r="B767" s="8"/>
      <c r="C767" s="9"/>
      <c r="D767" s="10"/>
      <c r="E767" s="10"/>
      <c r="F767" s="10"/>
      <c r="G767" s="10"/>
      <c r="H767" s="10"/>
      <c r="I767" s="12"/>
      <c r="J767" s="13"/>
      <c r="K767" s="7"/>
      <c r="L767" s="67"/>
      <c r="M767" s="10"/>
    </row>
    <row r="768" spans="1:13" ht="75" customHeight="1" thickTop="1" thickBot="1">
      <c r="A768" s="7"/>
      <c r="B768" s="8"/>
      <c r="C768" s="9"/>
      <c r="D768" s="10"/>
      <c r="E768" s="10"/>
      <c r="F768" s="10"/>
      <c r="G768" s="10"/>
      <c r="H768" s="10"/>
      <c r="I768" s="12"/>
      <c r="J768" s="13"/>
      <c r="K768" s="7"/>
      <c r="L768" s="67"/>
      <c r="M768" s="10"/>
    </row>
    <row r="769" spans="1:13" ht="75" customHeight="1" thickTop="1" thickBot="1">
      <c r="A769" s="7"/>
      <c r="B769" s="8"/>
      <c r="C769" s="9"/>
      <c r="D769" s="10"/>
      <c r="E769" s="10"/>
      <c r="F769" s="10"/>
      <c r="G769" s="10"/>
      <c r="H769" s="10"/>
      <c r="I769" s="12"/>
      <c r="J769" s="13"/>
      <c r="K769" s="7"/>
      <c r="L769" s="67"/>
      <c r="M769" s="10"/>
    </row>
    <row r="770" spans="1:13" ht="75" customHeight="1" thickTop="1" thickBot="1">
      <c r="A770" s="7"/>
      <c r="B770" s="8"/>
      <c r="C770" s="9"/>
      <c r="D770" s="10"/>
      <c r="E770" s="10"/>
      <c r="F770" s="10"/>
      <c r="G770" s="10"/>
      <c r="H770" s="10"/>
      <c r="I770" s="12"/>
      <c r="J770" s="13"/>
      <c r="K770" s="7"/>
      <c r="L770" s="67"/>
      <c r="M770" s="10"/>
    </row>
    <row r="771" spans="1:13" ht="75" customHeight="1" thickTop="1" thickBot="1">
      <c r="A771" s="7"/>
      <c r="B771" s="8"/>
      <c r="C771" s="9"/>
      <c r="D771" s="10"/>
      <c r="E771" s="10"/>
      <c r="F771" s="10"/>
      <c r="G771" s="10"/>
      <c r="H771" s="10"/>
      <c r="I771" s="12"/>
      <c r="J771" s="13"/>
      <c r="K771" s="7"/>
      <c r="L771" s="67"/>
      <c r="M771" s="10"/>
    </row>
    <row r="772" spans="1:13" ht="75" customHeight="1" thickTop="1" thickBot="1">
      <c r="A772" s="7"/>
      <c r="B772" s="8"/>
      <c r="C772" s="9"/>
      <c r="D772" s="10"/>
      <c r="E772" s="10"/>
      <c r="F772" s="10"/>
      <c r="G772" s="10"/>
      <c r="H772" s="10"/>
      <c r="I772" s="12"/>
      <c r="J772" s="13"/>
      <c r="K772" s="7"/>
      <c r="L772" s="67"/>
      <c r="M772" s="10"/>
    </row>
    <row r="773" spans="1:13" ht="75" customHeight="1" thickTop="1" thickBot="1">
      <c r="A773" s="7"/>
      <c r="B773" s="8"/>
      <c r="C773" s="9"/>
      <c r="D773" s="10"/>
      <c r="E773" s="10"/>
      <c r="F773" s="10"/>
      <c r="G773" s="10"/>
      <c r="H773" s="10"/>
      <c r="I773" s="12"/>
      <c r="J773" s="13"/>
      <c r="K773" s="7"/>
      <c r="L773" s="67"/>
      <c r="M773" s="10"/>
    </row>
    <row r="774" spans="1:13" ht="75" customHeight="1" thickTop="1" thickBot="1">
      <c r="A774" s="7"/>
      <c r="B774" s="8"/>
      <c r="C774" s="9"/>
      <c r="D774" s="10"/>
      <c r="E774" s="10"/>
      <c r="F774" s="10"/>
      <c r="G774" s="10"/>
      <c r="H774" s="10"/>
      <c r="I774" s="12"/>
      <c r="J774" s="13"/>
      <c r="K774" s="7"/>
      <c r="L774" s="67"/>
      <c r="M774" s="10"/>
    </row>
    <row r="775" spans="1:13" ht="75" customHeight="1" thickTop="1" thickBot="1">
      <c r="A775" s="7"/>
      <c r="B775" s="8"/>
      <c r="C775" s="9"/>
      <c r="D775" s="10"/>
      <c r="E775" s="10"/>
      <c r="F775" s="10"/>
      <c r="G775" s="10"/>
      <c r="H775" s="10"/>
      <c r="I775" s="12"/>
      <c r="J775" s="13"/>
      <c r="K775" s="7"/>
      <c r="L775" s="67"/>
      <c r="M775" s="10"/>
    </row>
    <row r="776" spans="1:13" ht="75" customHeight="1" thickTop="1" thickBot="1">
      <c r="A776" s="7"/>
      <c r="B776" s="8"/>
      <c r="C776" s="9"/>
      <c r="D776" s="10"/>
      <c r="E776" s="10"/>
      <c r="F776" s="10"/>
      <c r="G776" s="10"/>
      <c r="H776" s="10"/>
      <c r="I776" s="12"/>
      <c r="J776" s="13"/>
      <c r="K776" s="7"/>
      <c r="L776" s="67"/>
      <c r="M776" s="10"/>
    </row>
    <row r="777" spans="1:13" ht="75" customHeight="1" thickTop="1" thickBot="1">
      <c r="A777" s="7"/>
      <c r="B777" s="8"/>
      <c r="C777" s="9"/>
      <c r="D777" s="10"/>
      <c r="E777" s="10"/>
      <c r="F777" s="10"/>
      <c r="G777" s="10"/>
      <c r="H777" s="10"/>
      <c r="I777" s="12"/>
      <c r="J777" s="13"/>
      <c r="K777" s="7"/>
      <c r="L777" s="67"/>
      <c r="M777" s="10"/>
    </row>
    <row r="778" spans="1:13" ht="75" customHeight="1" thickTop="1" thickBot="1">
      <c r="A778" s="7"/>
      <c r="B778" s="8"/>
      <c r="C778" s="9"/>
      <c r="D778" s="10"/>
      <c r="E778" s="10"/>
      <c r="F778" s="10"/>
      <c r="G778" s="10"/>
      <c r="H778" s="10"/>
      <c r="I778" s="12"/>
      <c r="J778" s="13"/>
      <c r="K778" s="7"/>
      <c r="L778" s="67"/>
      <c r="M778" s="10"/>
    </row>
    <row r="779" spans="1:13" ht="75" customHeight="1" thickTop="1" thickBot="1">
      <c r="A779" s="7"/>
      <c r="B779" s="8"/>
      <c r="C779" s="9"/>
      <c r="D779" s="10"/>
      <c r="E779" s="10"/>
      <c r="F779" s="10"/>
      <c r="G779" s="10"/>
      <c r="H779" s="10"/>
      <c r="I779" s="12"/>
      <c r="J779" s="13"/>
      <c r="K779" s="7"/>
      <c r="L779" s="67"/>
      <c r="M779" s="10"/>
    </row>
    <row r="780" spans="1:13" ht="75" customHeight="1" thickTop="1" thickBot="1">
      <c r="A780" s="7"/>
      <c r="B780" s="8"/>
      <c r="C780" s="9"/>
      <c r="D780" s="10"/>
      <c r="E780" s="10"/>
      <c r="F780" s="10"/>
      <c r="G780" s="10"/>
      <c r="H780" s="10"/>
      <c r="I780" s="12"/>
      <c r="J780" s="13"/>
      <c r="K780" s="7"/>
      <c r="L780" s="67"/>
      <c r="M780" s="10"/>
    </row>
    <row r="781" spans="1:13" ht="75" customHeight="1" thickTop="1" thickBot="1">
      <c r="A781" s="7"/>
      <c r="B781" s="8"/>
      <c r="C781" s="9"/>
      <c r="D781" s="10"/>
      <c r="E781" s="10"/>
      <c r="F781" s="10"/>
      <c r="G781" s="10"/>
      <c r="H781" s="10"/>
      <c r="I781" s="12"/>
      <c r="J781" s="13"/>
      <c r="K781" s="7"/>
      <c r="L781" s="67"/>
      <c r="M781" s="10"/>
    </row>
    <row r="782" spans="1:13" ht="75" customHeight="1" thickTop="1" thickBot="1">
      <c r="A782" s="7"/>
      <c r="B782" s="8"/>
      <c r="C782" s="9"/>
      <c r="D782" s="10"/>
      <c r="E782" s="10"/>
      <c r="F782" s="10"/>
      <c r="G782" s="10"/>
      <c r="H782" s="10"/>
      <c r="I782" s="12"/>
      <c r="J782" s="13"/>
      <c r="K782" s="7"/>
      <c r="L782" s="67"/>
      <c r="M782" s="10"/>
    </row>
    <row r="783" spans="1:13" ht="75" customHeight="1" thickTop="1" thickBot="1">
      <c r="A783" s="7"/>
      <c r="B783" s="8"/>
      <c r="C783" s="9"/>
      <c r="D783" s="10"/>
      <c r="E783" s="10"/>
      <c r="F783" s="10"/>
      <c r="G783" s="10"/>
      <c r="H783" s="10"/>
      <c r="I783" s="12"/>
      <c r="J783" s="13"/>
      <c r="K783" s="7"/>
      <c r="L783" s="67"/>
      <c r="M783" s="10"/>
    </row>
    <row r="784" spans="1:13" ht="75" customHeight="1" thickTop="1" thickBot="1">
      <c r="A784" s="7"/>
      <c r="B784" s="8"/>
      <c r="C784" s="9"/>
      <c r="D784" s="10"/>
      <c r="E784" s="10"/>
      <c r="F784" s="10"/>
      <c r="G784" s="10"/>
      <c r="H784" s="10"/>
      <c r="I784" s="12"/>
      <c r="J784" s="13"/>
      <c r="K784" s="7"/>
      <c r="L784" s="67"/>
      <c r="M784" s="10"/>
    </row>
    <row r="785" spans="1:13" ht="75" customHeight="1" thickTop="1" thickBot="1">
      <c r="A785" s="7"/>
      <c r="B785" s="8"/>
      <c r="C785" s="9"/>
      <c r="D785" s="10"/>
      <c r="E785" s="10"/>
      <c r="F785" s="10"/>
      <c r="G785" s="10"/>
      <c r="H785" s="10"/>
      <c r="I785" s="12"/>
      <c r="J785" s="13"/>
      <c r="K785" s="7"/>
      <c r="L785" s="67"/>
      <c r="M785" s="10"/>
    </row>
    <row r="786" spans="1:13" ht="75" customHeight="1" thickTop="1" thickBot="1">
      <c r="A786" s="7"/>
      <c r="B786" s="8"/>
      <c r="C786" s="9"/>
      <c r="D786" s="10"/>
      <c r="E786" s="10"/>
      <c r="F786" s="10"/>
      <c r="G786" s="10"/>
      <c r="H786" s="10"/>
      <c r="I786" s="12"/>
      <c r="J786" s="13"/>
      <c r="K786" s="7"/>
      <c r="L786" s="67"/>
      <c r="M786" s="10"/>
    </row>
    <row r="787" spans="1:13" ht="75" customHeight="1" thickTop="1" thickBot="1">
      <c r="A787" s="7"/>
      <c r="B787" s="8"/>
      <c r="C787" s="9"/>
      <c r="D787" s="10"/>
      <c r="E787" s="10"/>
      <c r="F787" s="10"/>
      <c r="G787" s="10"/>
      <c r="H787" s="10"/>
      <c r="I787" s="12"/>
      <c r="J787" s="13"/>
      <c r="K787" s="7"/>
      <c r="L787" s="67"/>
      <c r="M787" s="10"/>
    </row>
    <row r="788" spans="1:13" ht="75" customHeight="1" thickTop="1" thickBot="1">
      <c r="A788" s="7"/>
      <c r="B788" s="8"/>
      <c r="C788" s="9"/>
      <c r="D788" s="10"/>
      <c r="E788" s="10"/>
      <c r="F788" s="10"/>
      <c r="G788" s="10"/>
      <c r="H788" s="10"/>
      <c r="I788" s="12"/>
      <c r="J788" s="13"/>
      <c r="K788" s="7"/>
      <c r="L788" s="67"/>
      <c r="M788" s="10"/>
    </row>
    <row r="789" spans="1:13" ht="75" customHeight="1" thickTop="1" thickBot="1">
      <c r="A789" s="7"/>
      <c r="B789" s="8"/>
      <c r="C789" s="9"/>
      <c r="D789" s="10"/>
      <c r="E789" s="10"/>
      <c r="F789" s="10"/>
      <c r="G789" s="10"/>
      <c r="H789" s="10"/>
      <c r="I789" s="12"/>
      <c r="J789" s="13"/>
      <c r="K789" s="7"/>
      <c r="L789" s="67"/>
      <c r="M789" s="10"/>
    </row>
    <row r="790" spans="1:13" ht="75" customHeight="1" thickTop="1" thickBot="1">
      <c r="A790" s="7"/>
      <c r="B790" s="8"/>
      <c r="C790" s="9"/>
      <c r="D790" s="10"/>
      <c r="E790" s="10"/>
      <c r="F790" s="10"/>
      <c r="G790" s="10"/>
      <c r="H790" s="10"/>
      <c r="I790" s="12"/>
      <c r="J790" s="13"/>
      <c r="K790" s="7"/>
      <c r="L790" s="67"/>
      <c r="M790" s="10"/>
    </row>
    <row r="791" spans="1:13" ht="75" customHeight="1" thickTop="1" thickBot="1">
      <c r="A791" s="7"/>
      <c r="B791" s="8"/>
      <c r="C791" s="9"/>
      <c r="D791" s="10"/>
      <c r="E791" s="10"/>
      <c r="F791" s="10"/>
      <c r="G791" s="10"/>
      <c r="H791" s="10"/>
      <c r="I791" s="12"/>
      <c r="J791" s="13"/>
      <c r="K791" s="7"/>
      <c r="L791" s="67"/>
      <c r="M791" s="10"/>
    </row>
    <row r="792" spans="1:13" ht="75" customHeight="1" thickTop="1" thickBot="1">
      <c r="A792" s="7"/>
      <c r="B792" s="8"/>
      <c r="C792" s="9"/>
      <c r="D792" s="10"/>
      <c r="E792" s="10"/>
      <c r="F792" s="10"/>
      <c r="G792" s="10"/>
      <c r="H792" s="10"/>
      <c r="I792" s="12"/>
      <c r="J792" s="13"/>
      <c r="K792" s="7"/>
      <c r="L792" s="67"/>
      <c r="M792" s="10"/>
    </row>
    <row r="793" spans="1:13" ht="75" customHeight="1" thickTop="1" thickBot="1">
      <c r="A793" s="7"/>
      <c r="B793" s="8"/>
      <c r="C793" s="9"/>
      <c r="D793" s="10"/>
      <c r="E793" s="10"/>
      <c r="F793" s="10"/>
      <c r="G793" s="10"/>
      <c r="H793" s="10"/>
      <c r="I793" s="12"/>
      <c r="J793" s="13"/>
      <c r="K793" s="7"/>
      <c r="L793" s="67"/>
      <c r="M793" s="10"/>
    </row>
    <row r="794" spans="1:13" ht="75" customHeight="1" thickTop="1" thickBot="1">
      <c r="A794" s="7"/>
      <c r="B794" s="8"/>
      <c r="C794" s="9"/>
      <c r="D794" s="10"/>
      <c r="E794" s="10"/>
      <c r="F794" s="10"/>
      <c r="G794" s="10"/>
      <c r="H794" s="10"/>
      <c r="I794" s="12"/>
      <c r="J794" s="13"/>
      <c r="K794" s="7"/>
      <c r="L794" s="67"/>
      <c r="M794" s="10"/>
    </row>
    <row r="795" spans="1:13" ht="75" customHeight="1" thickTop="1" thickBot="1">
      <c r="A795" s="7"/>
      <c r="B795" s="8"/>
      <c r="C795" s="9"/>
      <c r="D795" s="10"/>
      <c r="E795" s="10"/>
      <c r="F795" s="10"/>
      <c r="G795" s="10"/>
      <c r="H795" s="10"/>
      <c r="I795" s="12"/>
      <c r="J795" s="13"/>
      <c r="K795" s="7"/>
      <c r="L795" s="67"/>
      <c r="M795" s="10"/>
    </row>
    <row r="796" spans="1:13" ht="75" customHeight="1" thickTop="1" thickBot="1">
      <c r="A796" s="7"/>
      <c r="B796" s="8"/>
      <c r="C796" s="9"/>
      <c r="D796" s="10"/>
      <c r="E796" s="10"/>
      <c r="F796" s="10"/>
      <c r="G796" s="10"/>
      <c r="H796" s="10"/>
      <c r="I796" s="12"/>
      <c r="J796" s="13"/>
      <c r="K796" s="7"/>
      <c r="L796" s="67"/>
      <c r="M796" s="10"/>
    </row>
    <row r="797" spans="1:13" ht="75" customHeight="1" thickTop="1" thickBot="1">
      <c r="A797" s="7"/>
      <c r="B797" s="8"/>
      <c r="C797" s="9"/>
      <c r="D797" s="10"/>
      <c r="E797" s="10"/>
      <c r="F797" s="10"/>
      <c r="G797" s="10"/>
      <c r="H797" s="10"/>
      <c r="I797" s="12"/>
      <c r="J797" s="13"/>
      <c r="K797" s="7"/>
      <c r="L797" s="67"/>
      <c r="M797" s="10"/>
    </row>
    <row r="798" spans="1:13" ht="75" customHeight="1" thickTop="1" thickBot="1">
      <c r="A798" s="7"/>
      <c r="B798" s="8"/>
      <c r="C798" s="9"/>
      <c r="D798" s="10"/>
      <c r="E798" s="10"/>
      <c r="F798" s="10"/>
      <c r="G798" s="10"/>
      <c r="H798" s="10"/>
      <c r="I798" s="12"/>
      <c r="J798" s="13"/>
      <c r="K798" s="7"/>
      <c r="L798" s="67"/>
      <c r="M798" s="10"/>
    </row>
    <row r="799" spans="1:13" ht="75" customHeight="1" thickTop="1" thickBot="1">
      <c r="A799" s="7"/>
      <c r="B799" s="8"/>
      <c r="C799" s="9"/>
      <c r="D799" s="10"/>
      <c r="E799" s="10"/>
      <c r="F799" s="10"/>
      <c r="G799" s="10"/>
      <c r="H799" s="10"/>
      <c r="I799" s="12"/>
      <c r="J799" s="13"/>
      <c r="K799" s="7"/>
      <c r="L799" s="67"/>
      <c r="M799" s="10"/>
    </row>
    <row r="800" spans="1:13" ht="75" customHeight="1" thickTop="1" thickBot="1">
      <c r="A800" s="7"/>
      <c r="B800" s="8"/>
      <c r="C800" s="9"/>
      <c r="D800" s="10"/>
      <c r="E800" s="10"/>
      <c r="F800" s="10"/>
      <c r="G800" s="10"/>
      <c r="H800" s="10"/>
      <c r="I800" s="12"/>
      <c r="J800" s="13"/>
      <c r="K800" s="7"/>
      <c r="L800" s="67"/>
      <c r="M800" s="10"/>
    </row>
    <row r="801" spans="1:13" ht="75" customHeight="1" thickTop="1" thickBot="1">
      <c r="A801" s="7"/>
      <c r="B801" s="8"/>
      <c r="C801" s="9"/>
      <c r="D801" s="10"/>
      <c r="E801" s="10"/>
      <c r="F801" s="10"/>
      <c r="G801" s="10"/>
      <c r="H801" s="10"/>
      <c r="I801" s="12"/>
      <c r="J801" s="13"/>
      <c r="K801" s="7"/>
      <c r="L801" s="67"/>
      <c r="M801" s="10"/>
    </row>
    <row r="802" spans="1:13" ht="75" customHeight="1" thickTop="1" thickBot="1">
      <c r="A802" s="7"/>
      <c r="B802" s="8"/>
      <c r="C802" s="9"/>
      <c r="D802" s="10"/>
      <c r="E802" s="10"/>
      <c r="F802" s="10"/>
      <c r="G802" s="10"/>
      <c r="H802" s="10"/>
      <c r="I802" s="12"/>
      <c r="J802" s="13"/>
      <c r="K802" s="7"/>
      <c r="L802" s="67"/>
      <c r="M802" s="10"/>
    </row>
    <row r="803" spans="1:13" ht="75" customHeight="1" thickTop="1" thickBot="1">
      <c r="A803" s="7"/>
      <c r="B803" s="8"/>
      <c r="C803" s="9"/>
      <c r="D803" s="10"/>
      <c r="E803" s="10"/>
      <c r="F803" s="10"/>
      <c r="G803" s="10"/>
      <c r="H803" s="10"/>
      <c r="I803" s="12"/>
      <c r="J803" s="13"/>
      <c r="K803" s="7"/>
      <c r="L803" s="67"/>
      <c r="M803" s="10"/>
    </row>
    <row r="804" spans="1:13" ht="75" customHeight="1" thickTop="1" thickBot="1">
      <c r="A804" s="7"/>
      <c r="B804" s="8"/>
      <c r="C804" s="9"/>
      <c r="D804" s="10"/>
      <c r="E804" s="10"/>
      <c r="F804" s="10"/>
      <c r="G804" s="10"/>
      <c r="H804" s="10"/>
      <c r="I804" s="12"/>
      <c r="J804" s="13"/>
      <c r="K804" s="7"/>
      <c r="L804" s="67"/>
      <c r="M804" s="10"/>
    </row>
    <row r="805" spans="1:13" ht="75" customHeight="1" thickTop="1" thickBot="1">
      <c r="A805" s="7"/>
      <c r="B805" s="8"/>
      <c r="C805" s="9"/>
      <c r="D805" s="10"/>
      <c r="E805" s="10"/>
      <c r="F805" s="10"/>
      <c r="G805" s="10"/>
      <c r="H805" s="10"/>
      <c r="I805" s="12"/>
      <c r="J805" s="13"/>
      <c r="K805" s="7"/>
      <c r="L805" s="67"/>
      <c r="M805" s="10"/>
    </row>
    <row r="806" spans="1:13" ht="75" customHeight="1" thickTop="1" thickBot="1">
      <c r="A806" s="7"/>
      <c r="B806" s="8"/>
      <c r="C806" s="9"/>
      <c r="D806" s="10"/>
      <c r="E806" s="10"/>
      <c r="F806" s="10"/>
      <c r="G806" s="10"/>
      <c r="H806" s="10"/>
      <c r="I806" s="12"/>
      <c r="J806" s="13"/>
      <c r="K806" s="7"/>
      <c r="L806" s="67"/>
      <c r="M806" s="10"/>
    </row>
    <row r="807" spans="1:13" ht="75" customHeight="1" thickTop="1" thickBot="1">
      <c r="A807" s="7"/>
      <c r="B807" s="8"/>
      <c r="C807" s="9"/>
      <c r="D807" s="10"/>
      <c r="E807" s="10"/>
      <c r="F807" s="10"/>
      <c r="G807" s="10"/>
      <c r="H807" s="10"/>
      <c r="I807" s="12"/>
      <c r="J807" s="13"/>
      <c r="K807" s="7"/>
      <c r="L807" s="67"/>
      <c r="M807" s="10"/>
    </row>
    <row r="808" spans="1:13" ht="75" customHeight="1" thickTop="1" thickBot="1">
      <c r="A808" s="7"/>
      <c r="B808" s="8"/>
      <c r="C808" s="9"/>
      <c r="D808" s="10"/>
      <c r="E808" s="10"/>
      <c r="F808" s="10"/>
      <c r="G808" s="10"/>
      <c r="H808" s="10"/>
      <c r="I808" s="12"/>
      <c r="J808" s="13"/>
      <c r="K808" s="7"/>
      <c r="L808" s="67"/>
      <c r="M808" s="10"/>
    </row>
    <row r="809" spans="1:13" ht="75" customHeight="1" thickTop="1" thickBot="1">
      <c r="A809" s="7"/>
      <c r="B809" s="8"/>
      <c r="C809" s="9"/>
      <c r="D809" s="10"/>
      <c r="E809" s="10"/>
      <c r="F809" s="10"/>
      <c r="G809" s="10"/>
      <c r="H809" s="10"/>
      <c r="I809" s="12"/>
      <c r="J809" s="13"/>
      <c r="K809" s="7"/>
      <c r="L809" s="67"/>
      <c r="M809" s="10"/>
    </row>
    <row r="810" spans="1:13" ht="75" customHeight="1" thickTop="1" thickBot="1">
      <c r="A810" s="7"/>
      <c r="B810" s="8"/>
      <c r="C810" s="9"/>
      <c r="D810" s="10"/>
      <c r="E810" s="10"/>
      <c r="F810" s="10"/>
      <c r="G810" s="10"/>
      <c r="H810" s="10"/>
      <c r="I810" s="12"/>
      <c r="J810" s="13"/>
      <c r="K810" s="7"/>
      <c r="L810" s="67"/>
      <c r="M810" s="10"/>
    </row>
    <row r="811" spans="1:13" ht="75" customHeight="1" thickTop="1" thickBot="1">
      <c r="A811" s="7"/>
      <c r="B811" s="8"/>
      <c r="C811" s="9"/>
      <c r="D811" s="10"/>
      <c r="E811" s="10"/>
      <c r="F811" s="10"/>
      <c r="G811" s="10"/>
      <c r="H811" s="10"/>
      <c r="I811" s="12"/>
      <c r="J811" s="13"/>
      <c r="K811" s="7"/>
      <c r="L811" s="67"/>
      <c r="M811" s="10"/>
    </row>
    <row r="812" spans="1:13" ht="75" customHeight="1" thickTop="1" thickBot="1">
      <c r="A812" s="7"/>
      <c r="B812" s="8"/>
      <c r="C812" s="9"/>
      <c r="D812" s="10"/>
      <c r="E812" s="10"/>
      <c r="F812" s="10"/>
      <c r="G812" s="10"/>
      <c r="H812" s="10"/>
      <c r="I812" s="12"/>
      <c r="J812" s="13"/>
      <c r="K812" s="7"/>
      <c r="L812" s="67"/>
      <c r="M812" s="10"/>
    </row>
    <row r="813" spans="1:13" ht="75" customHeight="1" thickTop="1" thickBot="1">
      <c r="A813" s="7"/>
      <c r="B813" s="8"/>
      <c r="C813" s="9"/>
      <c r="D813" s="10"/>
      <c r="E813" s="10"/>
      <c r="F813" s="10"/>
      <c r="G813" s="10"/>
      <c r="H813" s="10"/>
      <c r="I813" s="12"/>
      <c r="J813" s="13"/>
      <c r="K813" s="7"/>
      <c r="L813" s="67"/>
      <c r="M813" s="10"/>
    </row>
    <row r="814" spans="1:13" ht="75" customHeight="1" thickTop="1" thickBot="1">
      <c r="A814" s="7"/>
      <c r="B814" s="8"/>
      <c r="C814" s="9"/>
      <c r="D814" s="10"/>
      <c r="E814" s="10"/>
      <c r="F814" s="10"/>
      <c r="G814" s="10"/>
      <c r="H814" s="10"/>
      <c r="I814" s="12"/>
      <c r="J814" s="13"/>
      <c r="K814" s="7"/>
      <c r="L814" s="67"/>
      <c r="M814" s="10"/>
    </row>
    <row r="815" spans="1:13" ht="75" customHeight="1" thickTop="1" thickBot="1">
      <c r="A815" s="7"/>
      <c r="B815" s="8"/>
      <c r="C815" s="9"/>
      <c r="D815" s="10"/>
      <c r="E815" s="10"/>
      <c r="F815" s="10"/>
      <c r="G815" s="10"/>
      <c r="H815" s="10"/>
      <c r="I815" s="12"/>
      <c r="J815" s="13"/>
      <c r="K815" s="7"/>
      <c r="L815" s="67"/>
      <c r="M815" s="10"/>
    </row>
    <row r="816" spans="1:13" ht="75" customHeight="1" thickTop="1" thickBot="1">
      <c r="A816" s="7"/>
      <c r="B816" s="8"/>
      <c r="C816" s="9"/>
      <c r="D816" s="10"/>
      <c r="E816" s="10"/>
      <c r="F816" s="10"/>
      <c r="G816" s="10"/>
      <c r="H816" s="10"/>
      <c r="I816" s="12"/>
      <c r="J816" s="13"/>
      <c r="K816" s="7"/>
      <c r="L816" s="67"/>
      <c r="M816" s="10"/>
    </row>
    <row r="817" spans="1:13" ht="75" customHeight="1" thickTop="1" thickBot="1">
      <c r="A817" s="7"/>
      <c r="B817" s="8"/>
      <c r="C817" s="9"/>
      <c r="D817" s="10"/>
      <c r="E817" s="10"/>
      <c r="F817" s="10"/>
      <c r="G817" s="10"/>
      <c r="H817" s="10"/>
      <c r="I817" s="12"/>
      <c r="J817" s="13"/>
      <c r="K817" s="7"/>
      <c r="L817" s="67"/>
      <c r="M817" s="10"/>
    </row>
    <row r="818" spans="1:13" ht="75" customHeight="1" thickTop="1" thickBot="1">
      <c r="A818" s="7"/>
      <c r="B818" s="8"/>
      <c r="C818" s="9"/>
      <c r="D818" s="10"/>
      <c r="E818" s="10"/>
      <c r="F818" s="10"/>
      <c r="G818" s="10"/>
      <c r="H818" s="10"/>
      <c r="I818" s="12"/>
      <c r="J818" s="13"/>
      <c r="K818" s="7"/>
      <c r="L818" s="67"/>
      <c r="M818" s="10"/>
    </row>
    <row r="819" spans="1:13" ht="75" customHeight="1" thickTop="1" thickBot="1">
      <c r="A819" s="7"/>
      <c r="B819" s="8"/>
      <c r="C819" s="9"/>
      <c r="D819" s="10"/>
      <c r="E819" s="10"/>
      <c r="F819" s="10"/>
      <c r="G819" s="10"/>
      <c r="H819" s="10"/>
      <c r="I819" s="12"/>
      <c r="J819" s="13"/>
      <c r="K819" s="7"/>
      <c r="L819" s="67"/>
      <c r="M819" s="10"/>
    </row>
    <row r="820" spans="1:13" ht="75" customHeight="1" thickTop="1" thickBot="1">
      <c r="A820" s="7"/>
      <c r="B820" s="8"/>
      <c r="C820" s="9"/>
      <c r="D820" s="10"/>
      <c r="E820" s="10"/>
      <c r="F820" s="10"/>
      <c r="G820" s="10"/>
      <c r="H820" s="10"/>
      <c r="I820" s="12"/>
      <c r="J820" s="13"/>
      <c r="K820" s="7"/>
      <c r="L820" s="67"/>
      <c r="M820" s="10"/>
    </row>
    <row r="821" spans="1:13" ht="75" customHeight="1" thickTop="1" thickBot="1">
      <c r="A821" s="7"/>
      <c r="B821" s="8"/>
      <c r="C821" s="9"/>
      <c r="D821" s="10"/>
      <c r="E821" s="10"/>
      <c r="F821" s="10"/>
      <c r="G821" s="10"/>
      <c r="H821" s="10"/>
      <c r="I821" s="12"/>
      <c r="J821" s="13"/>
      <c r="K821" s="7"/>
      <c r="L821" s="67"/>
      <c r="M821" s="10"/>
    </row>
    <row r="822" spans="1:13" ht="75" customHeight="1" thickTop="1" thickBot="1">
      <c r="A822" s="7"/>
      <c r="B822" s="8"/>
      <c r="C822" s="9"/>
      <c r="D822" s="10"/>
      <c r="E822" s="10"/>
      <c r="F822" s="10"/>
      <c r="G822" s="10"/>
      <c r="H822" s="10"/>
      <c r="I822" s="12"/>
      <c r="J822" s="13"/>
      <c r="K822" s="7"/>
      <c r="L822" s="67"/>
      <c r="M822" s="10"/>
    </row>
    <row r="823" spans="1:13" ht="75" customHeight="1" thickTop="1" thickBot="1">
      <c r="A823" s="7"/>
      <c r="B823" s="8"/>
      <c r="C823" s="9"/>
      <c r="D823" s="10"/>
      <c r="E823" s="10"/>
      <c r="F823" s="10"/>
      <c r="G823" s="10"/>
      <c r="H823" s="10"/>
      <c r="I823" s="12"/>
      <c r="J823" s="13"/>
      <c r="K823" s="7"/>
      <c r="L823" s="67"/>
      <c r="M823" s="10"/>
    </row>
    <row r="824" spans="1:13" ht="75" customHeight="1" thickTop="1" thickBot="1">
      <c r="A824" s="7"/>
      <c r="B824" s="8"/>
      <c r="C824" s="9"/>
      <c r="D824" s="10"/>
      <c r="E824" s="10"/>
      <c r="F824" s="10"/>
      <c r="G824" s="10"/>
      <c r="H824" s="10"/>
      <c r="I824" s="12"/>
      <c r="J824" s="13"/>
      <c r="K824" s="7"/>
      <c r="L824" s="67"/>
      <c r="M824" s="10"/>
    </row>
    <row r="825" spans="1:13" ht="75" customHeight="1" thickTop="1" thickBot="1">
      <c r="A825" s="7"/>
      <c r="B825" s="8"/>
      <c r="C825" s="9"/>
      <c r="D825" s="10"/>
      <c r="E825" s="10"/>
      <c r="F825" s="10"/>
      <c r="G825" s="10"/>
      <c r="H825" s="10"/>
      <c r="I825" s="12"/>
      <c r="J825" s="13"/>
      <c r="K825" s="7"/>
      <c r="L825" s="67"/>
      <c r="M825" s="10"/>
    </row>
    <row r="826" spans="1:13" ht="75" customHeight="1" thickTop="1" thickBot="1">
      <c r="A826" s="7"/>
      <c r="B826" s="8"/>
      <c r="C826" s="9"/>
      <c r="D826" s="10"/>
      <c r="E826" s="10"/>
      <c r="F826" s="10"/>
      <c r="G826" s="10"/>
      <c r="H826" s="10"/>
      <c r="I826" s="12"/>
      <c r="J826" s="13"/>
      <c r="K826" s="7"/>
      <c r="L826" s="67"/>
      <c r="M826" s="10"/>
    </row>
    <row r="827" spans="1:13" ht="75" customHeight="1" thickTop="1" thickBot="1">
      <c r="A827" s="7"/>
      <c r="B827" s="8"/>
      <c r="C827" s="9"/>
      <c r="D827" s="10"/>
      <c r="E827" s="10"/>
      <c r="F827" s="10"/>
      <c r="G827" s="10"/>
      <c r="H827" s="10"/>
      <c r="I827" s="12"/>
      <c r="J827" s="13"/>
      <c r="K827" s="7"/>
      <c r="L827" s="67"/>
      <c r="M827" s="10"/>
    </row>
    <row r="828" spans="1:13" ht="75" customHeight="1" thickTop="1" thickBot="1">
      <c r="A828" s="7"/>
      <c r="B828" s="8"/>
      <c r="C828" s="9"/>
      <c r="D828" s="10"/>
      <c r="E828" s="10"/>
      <c r="F828" s="10"/>
      <c r="G828" s="10"/>
      <c r="H828" s="10"/>
      <c r="I828" s="12"/>
      <c r="J828" s="13"/>
      <c r="K828" s="7"/>
      <c r="L828" s="67"/>
      <c r="M828" s="10"/>
    </row>
    <row r="829" spans="1:13" ht="75" customHeight="1" thickTop="1" thickBot="1">
      <c r="A829" s="7"/>
      <c r="B829" s="8"/>
      <c r="C829" s="9"/>
      <c r="D829" s="10"/>
      <c r="E829" s="10"/>
      <c r="F829" s="10"/>
      <c r="G829" s="10"/>
      <c r="H829" s="10"/>
      <c r="I829" s="12"/>
      <c r="J829" s="13"/>
      <c r="K829" s="7"/>
      <c r="L829" s="67"/>
      <c r="M829" s="10"/>
    </row>
    <row r="830" spans="1:13" ht="75" customHeight="1" thickTop="1" thickBot="1">
      <c r="A830" s="7"/>
      <c r="B830" s="8"/>
      <c r="C830" s="9"/>
      <c r="D830" s="10"/>
      <c r="E830" s="10"/>
      <c r="F830" s="10"/>
      <c r="G830" s="10"/>
      <c r="H830" s="10"/>
      <c r="I830" s="12"/>
      <c r="J830" s="13"/>
      <c r="K830" s="7"/>
      <c r="L830" s="67"/>
      <c r="M830" s="10"/>
    </row>
    <row r="831" spans="1:13" ht="75" customHeight="1" thickTop="1" thickBot="1">
      <c r="A831" s="7"/>
      <c r="B831" s="8"/>
      <c r="C831" s="9"/>
      <c r="D831" s="10"/>
      <c r="E831" s="10"/>
      <c r="F831" s="10"/>
      <c r="G831" s="10"/>
      <c r="H831" s="10"/>
      <c r="I831" s="12"/>
      <c r="J831" s="13"/>
      <c r="K831" s="7"/>
      <c r="L831" s="67"/>
      <c r="M831" s="10"/>
    </row>
    <row r="832" spans="1:13" ht="75" customHeight="1" thickTop="1" thickBot="1">
      <c r="A832" s="7"/>
      <c r="B832" s="8"/>
      <c r="C832" s="9"/>
      <c r="D832" s="10"/>
      <c r="E832" s="10"/>
      <c r="F832" s="10"/>
      <c r="G832" s="10"/>
      <c r="H832" s="10"/>
      <c r="I832" s="12"/>
      <c r="J832" s="13"/>
      <c r="K832" s="7"/>
      <c r="L832" s="67"/>
      <c r="M832" s="10"/>
    </row>
    <row r="833" spans="1:13" ht="75" customHeight="1" thickTop="1" thickBot="1">
      <c r="A833" s="7"/>
      <c r="B833" s="8"/>
      <c r="C833" s="9"/>
      <c r="D833" s="10"/>
      <c r="E833" s="10"/>
      <c r="F833" s="10"/>
      <c r="G833" s="10"/>
      <c r="H833" s="10"/>
      <c r="I833" s="12"/>
      <c r="J833" s="13"/>
      <c r="K833" s="7"/>
      <c r="L833" s="67"/>
      <c r="M833" s="10"/>
    </row>
    <row r="834" spans="1:13" ht="75" customHeight="1" thickTop="1" thickBot="1">
      <c r="A834" s="7"/>
      <c r="B834" s="8"/>
      <c r="C834" s="9"/>
      <c r="D834" s="10"/>
      <c r="E834" s="10"/>
      <c r="F834" s="10"/>
      <c r="G834" s="10"/>
      <c r="H834" s="10"/>
      <c r="I834" s="12"/>
      <c r="J834" s="13"/>
      <c r="K834" s="7"/>
      <c r="L834" s="67"/>
      <c r="M834" s="10"/>
    </row>
    <row r="835" spans="1:13" ht="75" customHeight="1" thickTop="1" thickBot="1">
      <c r="A835" s="7"/>
      <c r="B835" s="8"/>
      <c r="C835" s="9"/>
      <c r="D835" s="10"/>
      <c r="E835" s="10"/>
      <c r="F835" s="10"/>
      <c r="G835" s="10"/>
      <c r="H835" s="10"/>
      <c r="I835" s="12"/>
      <c r="J835" s="13"/>
      <c r="K835" s="7"/>
      <c r="L835" s="67"/>
      <c r="M835" s="10"/>
    </row>
    <row r="836" spans="1:13" ht="75" customHeight="1" thickTop="1" thickBot="1">
      <c r="A836" s="7"/>
      <c r="B836" s="8"/>
      <c r="C836" s="9"/>
      <c r="D836" s="10"/>
      <c r="E836" s="10"/>
      <c r="F836" s="10"/>
      <c r="G836" s="10"/>
      <c r="H836" s="10"/>
      <c r="I836" s="12"/>
      <c r="J836" s="13"/>
      <c r="K836" s="7"/>
      <c r="L836" s="67"/>
      <c r="M836" s="10"/>
    </row>
    <row r="837" spans="1:13" ht="75" customHeight="1" thickTop="1" thickBot="1">
      <c r="A837" s="7"/>
      <c r="B837" s="8"/>
      <c r="C837" s="9"/>
      <c r="D837" s="10"/>
      <c r="E837" s="10"/>
      <c r="F837" s="10"/>
      <c r="G837" s="10"/>
      <c r="H837" s="10"/>
      <c r="I837" s="12"/>
      <c r="J837" s="13"/>
      <c r="K837" s="7"/>
      <c r="L837" s="67"/>
      <c r="M837" s="10"/>
    </row>
    <row r="838" spans="1:13" ht="75" customHeight="1" thickTop="1" thickBot="1">
      <c r="A838" s="7"/>
      <c r="B838" s="8"/>
      <c r="C838" s="9"/>
      <c r="D838" s="10"/>
      <c r="E838" s="10"/>
      <c r="F838" s="10"/>
      <c r="G838" s="10"/>
      <c r="H838" s="10"/>
      <c r="I838" s="12"/>
      <c r="J838" s="13"/>
      <c r="K838" s="7"/>
      <c r="L838" s="67"/>
      <c r="M838" s="10"/>
    </row>
    <row r="839" spans="1:13" ht="75" customHeight="1" thickTop="1" thickBot="1">
      <c r="A839" s="7"/>
      <c r="B839" s="8"/>
      <c r="C839" s="9"/>
      <c r="D839" s="10"/>
      <c r="E839" s="10"/>
      <c r="F839" s="10"/>
      <c r="G839" s="10"/>
      <c r="H839" s="10"/>
      <c r="I839" s="12"/>
      <c r="J839" s="13"/>
      <c r="K839" s="7"/>
      <c r="L839" s="67"/>
      <c r="M839" s="10"/>
    </row>
    <row r="840" spans="1:13" ht="75" customHeight="1" thickTop="1" thickBot="1">
      <c r="A840" s="7"/>
      <c r="B840" s="8"/>
      <c r="C840" s="9"/>
      <c r="D840" s="10"/>
      <c r="E840" s="10"/>
      <c r="F840" s="10"/>
      <c r="G840" s="10"/>
      <c r="H840" s="10"/>
      <c r="I840" s="12"/>
      <c r="J840" s="13"/>
      <c r="K840" s="7"/>
      <c r="L840" s="67"/>
      <c r="M840" s="10"/>
    </row>
    <row r="841" spans="1:13" ht="75" customHeight="1" thickTop="1" thickBot="1">
      <c r="A841" s="7"/>
      <c r="B841" s="8"/>
      <c r="C841" s="9"/>
      <c r="D841" s="10"/>
      <c r="E841" s="10"/>
      <c r="F841" s="10"/>
      <c r="G841" s="10"/>
      <c r="H841" s="10"/>
      <c r="I841" s="12"/>
      <c r="J841" s="13"/>
      <c r="K841" s="7"/>
      <c r="L841" s="67"/>
      <c r="M841" s="10"/>
    </row>
    <row r="842" spans="1:13" ht="75" customHeight="1" thickTop="1" thickBot="1">
      <c r="A842" s="7"/>
      <c r="B842" s="8"/>
      <c r="C842" s="9"/>
      <c r="D842" s="10"/>
      <c r="E842" s="10"/>
      <c r="F842" s="10"/>
      <c r="G842" s="10"/>
      <c r="H842" s="10"/>
      <c r="I842" s="12"/>
      <c r="J842" s="13"/>
      <c r="K842" s="7"/>
      <c r="L842" s="67"/>
      <c r="M842" s="10"/>
    </row>
    <row r="843" spans="1:13" ht="75" customHeight="1" thickTop="1" thickBot="1">
      <c r="A843" s="7"/>
      <c r="B843" s="8"/>
      <c r="C843" s="9"/>
      <c r="D843" s="10"/>
      <c r="E843" s="10"/>
      <c r="F843" s="10"/>
      <c r="G843" s="10"/>
      <c r="H843" s="10"/>
      <c r="I843" s="12"/>
      <c r="J843" s="13"/>
      <c r="K843" s="7"/>
      <c r="L843" s="67"/>
      <c r="M843" s="10"/>
    </row>
    <row r="844" spans="1:13" ht="75" customHeight="1" thickTop="1" thickBot="1">
      <c r="A844" s="7"/>
      <c r="B844" s="8"/>
      <c r="C844" s="9"/>
      <c r="D844" s="10"/>
      <c r="E844" s="10"/>
      <c r="F844" s="10"/>
      <c r="G844" s="10"/>
      <c r="H844" s="10"/>
      <c r="I844" s="12"/>
      <c r="J844" s="13"/>
      <c r="K844" s="7"/>
      <c r="L844" s="67"/>
      <c r="M844" s="10"/>
    </row>
    <row r="845" spans="1:13" ht="75" customHeight="1" thickTop="1" thickBot="1">
      <c r="A845" s="7"/>
      <c r="B845" s="8"/>
      <c r="C845" s="9"/>
      <c r="D845" s="10"/>
      <c r="E845" s="10"/>
      <c r="F845" s="10"/>
      <c r="G845" s="10"/>
      <c r="H845" s="10"/>
      <c r="I845" s="12"/>
      <c r="J845" s="13"/>
      <c r="K845" s="7"/>
      <c r="L845" s="67"/>
      <c r="M845" s="10"/>
    </row>
    <row r="846" spans="1:13" ht="75" customHeight="1" thickTop="1" thickBot="1">
      <c r="A846" s="7"/>
      <c r="B846" s="8"/>
      <c r="C846" s="9"/>
      <c r="D846" s="10"/>
      <c r="E846" s="10"/>
      <c r="F846" s="10"/>
      <c r="G846" s="10"/>
      <c r="H846" s="10"/>
      <c r="I846" s="12"/>
      <c r="J846" s="13"/>
      <c r="K846" s="7"/>
      <c r="L846" s="67"/>
      <c r="M846" s="10"/>
    </row>
    <row r="847" spans="1:13" ht="75" customHeight="1" thickTop="1" thickBot="1">
      <c r="A847" s="7"/>
      <c r="B847" s="8"/>
      <c r="C847" s="9"/>
      <c r="D847" s="10"/>
      <c r="E847" s="10"/>
      <c r="F847" s="10"/>
      <c r="G847" s="10"/>
      <c r="H847" s="10"/>
      <c r="I847" s="12"/>
      <c r="J847" s="13"/>
      <c r="K847" s="7"/>
      <c r="L847" s="67"/>
      <c r="M847" s="10"/>
    </row>
    <row r="848" spans="1:13" ht="75" customHeight="1" thickTop="1" thickBot="1">
      <c r="A848" s="7"/>
      <c r="B848" s="8"/>
      <c r="C848" s="9"/>
      <c r="D848" s="10"/>
      <c r="E848" s="10"/>
      <c r="F848" s="10"/>
      <c r="G848" s="10"/>
      <c r="H848" s="10"/>
      <c r="I848" s="12"/>
      <c r="J848" s="13"/>
      <c r="K848" s="7"/>
      <c r="L848" s="67"/>
      <c r="M848" s="10"/>
    </row>
    <row r="849" spans="1:13" ht="75" customHeight="1" thickTop="1" thickBot="1">
      <c r="A849" s="7"/>
      <c r="B849" s="8"/>
      <c r="C849" s="9"/>
      <c r="D849" s="10"/>
      <c r="E849" s="10"/>
      <c r="F849" s="10"/>
      <c r="G849" s="10"/>
      <c r="H849" s="10"/>
      <c r="I849" s="12"/>
      <c r="J849" s="13"/>
      <c r="K849" s="7"/>
      <c r="L849" s="67"/>
      <c r="M849" s="10"/>
    </row>
    <row r="850" spans="1:13" ht="75" customHeight="1" thickTop="1" thickBot="1">
      <c r="A850" s="7"/>
      <c r="B850" s="8"/>
      <c r="C850" s="9"/>
      <c r="D850" s="10"/>
      <c r="E850" s="10"/>
      <c r="F850" s="10"/>
      <c r="G850" s="10"/>
      <c r="H850" s="10"/>
      <c r="I850" s="12"/>
      <c r="J850" s="13"/>
      <c r="K850" s="7"/>
      <c r="L850" s="67"/>
      <c r="M850" s="10"/>
    </row>
    <row r="851" spans="1:13" ht="75" customHeight="1" thickTop="1" thickBot="1">
      <c r="A851" s="7"/>
      <c r="B851" s="8"/>
      <c r="C851" s="9"/>
      <c r="D851" s="10"/>
      <c r="E851" s="10"/>
      <c r="F851" s="10"/>
      <c r="G851" s="10"/>
      <c r="H851" s="10"/>
      <c r="I851" s="12"/>
      <c r="J851" s="13"/>
      <c r="K851" s="7"/>
      <c r="L851" s="67"/>
      <c r="M851" s="10"/>
    </row>
    <row r="852" spans="1:13" ht="75" customHeight="1" thickTop="1" thickBot="1">
      <c r="A852" s="7"/>
      <c r="B852" s="8"/>
      <c r="C852" s="9"/>
      <c r="D852" s="10"/>
      <c r="E852" s="10"/>
      <c r="F852" s="10"/>
      <c r="G852" s="10"/>
      <c r="H852" s="10"/>
      <c r="I852" s="12"/>
      <c r="J852" s="13"/>
      <c r="K852" s="7"/>
      <c r="L852" s="67"/>
      <c r="M852" s="10"/>
    </row>
    <row r="853" spans="1:13" ht="75" customHeight="1" thickTop="1" thickBot="1">
      <c r="A853" s="7"/>
      <c r="B853" s="8"/>
      <c r="C853" s="9"/>
      <c r="D853" s="10"/>
      <c r="E853" s="10"/>
      <c r="F853" s="10"/>
      <c r="G853" s="10"/>
      <c r="H853" s="10"/>
      <c r="I853" s="12"/>
      <c r="J853" s="13"/>
      <c r="K853" s="7"/>
      <c r="L853" s="67"/>
      <c r="M853" s="10"/>
    </row>
    <row r="854" spans="1:13" ht="75" customHeight="1" thickTop="1" thickBot="1">
      <c r="A854" s="7"/>
      <c r="B854" s="8"/>
      <c r="C854" s="9"/>
      <c r="D854" s="10"/>
      <c r="E854" s="10"/>
      <c r="F854" s="10"/>
      <c r="G854" s="10"/>
      <c r="H854" s="10"/>
      <c r="I854" s="12"/>
      <c r="J854" s="13"/>
      <c r="K854" s="7"/>
      <c r="L854" s="67"/>
      <c r="M854" s="10"/>
    </row>
    <row r="855" spans="1:13" ht="75" customHeight="1" thickTop="1" thickBot="1">
      <c r="A855" s="7"/>
      <c r="B855" s="8"/>
      <c r="C855" s="9"/>
      <c r="D855" s="10"/>
      <c r="E855" s="10"/>
      <c r="F855" s="10"/>
      <c r="G855" s="10"/>
      <c r="H855" s="10"/>
      <c r="I855" s="12"/>
      <c r="J855" s="13"/>
      <c r="K855" s="7"/>
      <c r="L855" s="67"/>
      <c r="M855" s="10"/>
    </row>
    <row r="856" spans="1:13" ht="75" customHeight="1" thickTop="1" thickBot="1">
      <c r="A856" s="7"/>
      <c r="B856" s="8"/>
      <c r="C856" s="9"/>
      <c r="D856" s="10"/>
      <c r="E856" s="10"/>
      <c r="F856" s="10"/>
      <c r="G856" s="10"/>
      <c r="H856" s="10"/>
      <c r="I856" s="12"/>
      <c r="J856" s="13"/>
      <c r="K856" s="7"/>
      <c r="L856" s="67"/>
      <c r="M856" s="10"/>
    </row>
    <row r="857" spans="1:13" ht="75" customHeight="1" thickTop="1" thickBot="1">
      <c r="A857" s="7"/>
      <c r="B857" s="8"/>
      <c r="C857" s="9"/>
      <c r="D857" s="10"/>
      <c r="E857" s="10"/>
      <c r="F857" s="10"/>
      <c r="G857" s="10"/>
      <c r="H857" s="10"/>
      <c r="I857" s="12"/>
      <c r="J857" s="13"/>
      <c r="K857" s="7"/>
      <c r="L857" s="67"/>
      <c r="M857" s="10"/>
    </row>
    <row r="858" spans="1:13" ht="75" customHeight="1" thickTop="1" thickBot="1">
      <c r="A858" s="7"/>
      <c r="B858" s="8"/>
      <c r="C858" s="9"/>
      <c r="D858" s="10"/>
      <c r="E858" s="10"/>
      <c r="F858" s="10"/>
      <c r="G858" s="10"/>
      <c r="H858" s="10"/>
      <c r="I858" s="12"/>
      <c r="J858" s="13"/>
      <c r="K858" s="7"/>
      <c r="L858" s="67"/>
      <c r="M858" s="10"/>
    </row>
    <row r="859" spans="1:13" ht="75" customHeight="1" thickTop="1" thickBot="1">
      <c r="A859" s="7"/>
      <c r="B859" s="8"/>
      <c r="C859" s="9"/>
      <c r="D859" s="10"/>
      <c r="E859" s="10"/>
      <c r="F859" s="10"/>
      <c r="G859" s="10"/>
      <c r="H859" s="10"/>
      <c r="I859" s="12"/>
      <c r="J859" s="13"/>
      <c r="K859" s="7"/>
      <c r="L859" s="67"/>
      <c r="M859" s="10"/>
    </row>
    <row r="860" spans="1:13" ht="75" customHeight="1" thickTop="1" thickBot="1">
      <c r="A860" s="7"/>
      <c r="B860" s="8"/>
      <c r="C860" s="9"/>
      <c r="D860" s="10"/>
      <c r="E860" s="10"/>
      <c r="F860" s="10"/>
      <c r="G860" s="10"/>
      <c r="H860" s="10"/>
      <c r="I860" s="12"/>
      <c r="J860" s="13"/>
      <c r="K860" s="7"/>
      <c r="L860" s="67"/>
      <c r="M860" s="10"/>
    </row>
    <row r="861" spans="1:13" ht="75" customHeight="1" thickTop="1" thickBot="1">
      <c r="A861" s="7"/>
      <c r="B861" s="8"/>
      <c r="C861" s="9"/>
      <c r="D861" s="10"/>
      <c r="E861" s="10"/>
      <c r="F861" s="10"/>
      <c r="G861" s="10"/>
      <c r="H861" s="10"/>
      <c r="I861" s="12"/>
      <c r="J861" s="13"/>
      <c r="K861" s="7"/>
      <c r="L861" s="67"/>
      <c r="M861" s="10"/>
    </row>
    <row r="862" spans="1:13" ht="75" customHeight="1" thickTop="1" thickBot="1">
      <c r="A862" s="7"/>
      <c r="B862" s="8"/>
      <c r="C862" s="9"/>
      <c r="D862" s="10"/>
      <c r="E862" s="10"/>
      <c r="F862" s="10"/>
      <c r="G862" s="10"/>
      <c r="H862" s="10"/>
      <c r="I862" s="12"/>
      <c r="J862" s="13"/>
      <c r="K862" s="7"/>
      <c r="L862" s="67"/>
      <c r="M862" s="10"/>
    </row>
    <row r="863" spans="1:13" ht="75" customHeight="1" thickTop="1" thickBot="1">
      <c r="A863" s="7"/>
      <c r="B863" s="8"/>
      <c r="C863" s="9"/>
      <c r="D863" s="10"/>
      <c r="E863" s="10"/>
      <c r="F863" s="10"/>
      <c r="G863" s="10"/>
      <c r="H863" s="10"/>
      <c r="I863" s="12"/>
      <c r="J863" s="13"/>
      <c r="K863" s="7"/>
      <c r="L863" s="67"/>
      <c r="M863" s="10"/>
    </row>
    <row r="864" spans="1:13" ht="75" customHeight="1" thickTop="1" thickBot="1">
      <c r="A864" s="7"/>
      <c r="B864" s="8"/>
      <c r="C864" s="9"/>
      <c r="D864" s="10"/>
      <c r="E864" s="10"/>
      <c r="F864" s="10"/>
      <c r="G864" s="10"/>
      <c r="H864" s="10"/>
      <c r="I864" s="12"/>
      <c r="J864" s="13"/>
      <c r="K864" s="7"/>
      <c r="L864" s="67"/>
      <c r="M864" s="10"/>
    </row>
    <row r="865" spans="1:13" ht="75" customHeight="1" thickTop="1" thickBot="1">
      <c r="A865" s="7"/>
      <c r="B865" s="8"/>
      <c r="C865" s="9"/>
      <c r="D865" s="10"/>
      <c r="E865" s="10"/>
      <c r="F865" s="10"/>
      <c r="G865" s="10"/>
      <c r="H865" s="10"/>
      <c r="I865" s="12"/>
      <c r="J865" s="13"/>
      <c r="K865" s="7"/>
      <c r="L865" s="67"/>
      <c r="M865" s="10"/>
    </row>
    <row r="866" spans="1:13" ht="75" customHeight="1" thickTop="1" thickBot="1">
      <c r="A866" s="7"/>
      <c r="B866" s="8"/>
      <c r="C866" s="9"/>
      <c r="D866" s="10"/>
      <c r="E866" s="10"/>
      <c r="F866" s="10"/>
      <c r="G866" s="10"/>
      <c r="H866" s="10"/>
      <c r="I866" s="12"/>
      <c r="J866" s="13"/>
      <c r="K866" s="7"/>
      <c r="L866" s="67"/>
      <c r="M866" s="10"/>
    </row>
    <row r="867" spans="1:13" ht="75" customHeight="1" thickTop="1" thickBot="1">
      <c r="A867" s="7"/>
      <c r="B867" s="8"/>
      <c r="C867" s="9"/>
      <c r="D867" s="10"/>
      <c r="E867" s="10"/>
      <c r="F867" s="10"/>
      <c r="G867" s="10"/>
      <c r="H867" s="10"/>
      <c r="I867" s="12"/>
      <c r="J867" s="13"/>
      <c r="K867" s="7"/>
      <c r="L867" s="67"/>
      <c r="M867" s="10"/>
    </row>
    <row r="868" spans="1:13" ht="75" customHeight="1" thickTop="1" thickBot="1">
      <c r="A868" s="7"/>
      <c r="B868" s="8"/>
      <c r="C868" s="9"/>
      <c r="D868" s="10"/>
      <c r="E868" s="10"/>
      <c r="F868" s="10"/>
      <c r="G868" s="10"/>
      <c r="H868" s="10"/>
      <c r="I868" s="12"/>
      <c r="J868" s="13"/>
      <c r="K868" s="7"/>
      <c r="L868" s="67"/>
      <c r="M868" s="10"/>
    </row>
    <row r="869" spans="1:13" ht="75" customHeight="1" thickTop="1" thickBot="1">
      <c r="A869" s="7"/>
      <c r="B869" s="8"/>
      <c r="C869" s="9"/>
      <c r="D869" s="10"/>
      <c r="E869" s="10"/>
      <c r="F869" s="10"/>
      <c r="G869" s="10"/>
      <c r="H869" s="10"/>
      <c r="I869" s="12"/>
      <c r="J869" s="13"/>
      <c r="K869" s="7"/>
      <c r="L869" s="67"/>
      <c r="M869" s="10"/>
    </row>
    <row r="870" spans="1:13" ht="75" customHeight="1" thickTop="1" thickBot="1">
      <c r="A870" s="7"/>
      <c r="B870" s="8"/>
      <c r="C870" s="9"/>
      <c r="D870" s="10"/>
      <c r="E870" s="10"/>
      <c r="F870" s="10"/>
      <c r="G870" s="10"/>
      <c r="H870" s="10"/>
      <c r="I870" s="12"/>
      <c r="J870" s="13"/>
      <c r="K870" s="7"/>
      <c r="L870" s="67"/>
      <c r="M870" s="10"/>
    </row>
    <row r="871" spans="1:13" ht="75" customHeight="1" thickTop="1" thickBot="1">
      <c r="A871" s="7"/>
      <c r="B871" s="8"/>
      <c r="C871" s="9"/>
      <c r="D871" s="10"/>
      <c r="E871" s="10"/>
      <c r="F871" s="10"/>
      <c r="G871" s="10"/>
      <c r="H871" s="10"/>
      <c r="I871" s="12"/>
      <c r="J871" s="13"/>
      <c r="K871" s="7"/>
      <c r="L871" s="67"/>
      <c r="M871" s="10"/>
    </row>
    <row r="872" spans="1:13" ht="75" customHeight="1" thickTop="1" thickBot="1">
      <c r="A872" s="7"/>
      <c r="B872" s="8"/>
      <c r="C872" s="9"/>
      <c r="D872" s="10"/>
      <c r="E872" s="10"/>
      <c r="F872" s="10"/>
      <c r="G872" s="10"/>
      <c r="H872" s="10"/>
      <c r="I872" s="12"/>
      <c r="J872" s="13"/>
      <c r="K872" s="7"/>
      <c r="L872" s="67"/>
      <c r="M872" s="10"/>
    </row>
    <row r="873" spans="1:13" ht="75" customHeight="1" thickTop="1" thickBot="1">
      <c r="A873" s="7"/>
      <c r="B873" s="8"/>
      <c r="C873" s="9"/>
      <c r="D873" s="10"/>
      <c r="E873" s="10"/>
      <c r="F873" s="10"/>
      <c r="G873" s="10"/>
      <c r="H873" s="10"/>
      <c r="I873" s="12"/>
      <c r="J873" s="13"/>
      <c r="K873" s="7"/>
      <c r="L873" s="67"/>
      <c r="M873" s="10"/>
    </row>
    <row r="874" spans="1:13" ht="75" customHeight="1" thickTop="1" thickBot="1">
      <c r="A874" s="7"/>
      <c r="B874" s="8"/>
      <c r="C874" s="9"/>
      <c r="D874" s="10"/>
      <c r="E874" s="10"/>
      <c r="F874" s="10"/>
      <c r="G874" s="10"/>
      <c r="H874" s="10"/>
      <c r="I874" s="12"/>
      <c r="J874" s="13"/>
      <c r="K874" s="7"/>
      <c r="L874" s="67"/>
      <c r="M874" s="10"/>
    </row>
    <row r="875" spans="1:13" ht="75" customHeight="1" thickTop="1" thickBot="1">
      <c r="A875" s="7"/>
      <c r="B875" s="8"/>
      <c r="C875" s="9"/>
      <c r="D875" s="10"/>
      <c r="E875" s="10"/>
      <c r="F875" s="10"/>
      <c r="G875" s="10"/>
      <c r="H875" s="10"/>
      <c r="I875" s="12"/>
      <c r="J875" s="13"/>
      <c r="K875" s="7"/>
      <c r="L875" s="67"/>
      <c r="M875" s="10"/>
    </row>
    <row r="876" spans="1:13" ht="75" customHeight="1" thickTop="1" thickBot="1">
      <c r="A876" s="7"/>
      <c r="B876" s="8"/>
      <c r="C876" s="9"/>
      <c r="D876" s="10"/>
      <c r="E876" s="10"/>
      <c r="F876" s="10"/>
      <c r="G876" s="10"/>
      <c r="H876" s="10"/>
      <c r="I876" s="12"/>
      <c r="J876" s="13"/>
      <c r="K876" s="7"/>
      <c r="L876" s="67"/>
      <c r="M876" s="10"/>
    </row>
    <row r="877" spans="1:13" ht="75" customHeight="1" thickTop="1" thickBot="1">
      <c r="A877" s="7"/>
      <c r="B877" s="8"/>
      <c r="C877" s="9"/>
      <c r="D877" s="10"/>
      <c r="E877" s="10"/>
      <c r="F877" s="10"/>
      <c r="G877" s="10"/>
      <c r="H877" s="10"/>
      <c r="I877" s="12"/>
      <c r="J877" s="13"/>
      <c r="K877" s="7"/>
      <c r="L877" s="67"/>
      <c r="M877" s="10"/>
    </row>
    <row r="878" spans="1:13" ht="75" customHeight="1" thickTop="1" thickBot="1">
      <c r="A878" s="7"/>
      <c r="B878" s="8"/>
      <c r="C878" s="9"/>
      <c r="D878" s="10"/>
      <c r="E878" s="10"/>
      <c r="F878" s="10"/>
      <c r="G878" s="10"/>
      <c r="H878" s="10"/>
      <c r="I878" s="12"/>
      <c r="J878" s="13"/>
      <c r="K878" s="7"/>
      <c r="L878" s="67"/>
      <c r="M878" s="10"/>
    </row>
    <row r="879" spans="1:13" ht="75" customHeight="1" thickTop="1" thickBot="1">
      <c r="A879" s="7"/>
      <c r="B879" s="8"/>
      <c r="C879" s="9"/>
      <c r="D879" s="10"/>
      <c r="E879" s="10"/>
      <c r="F879" s="10"/>
      <c r="G879" s="10"/>
      <c r="H879" s="10"/>
      <c r="I879" s="12"/>
      <c r="J879" s="13"/>
      <c r="K879" s="7"/>
      <c r="L879" s="67"/>
      <c r="M879" s="10"/>
    </row>
    <row r="880" spans="1:13" ht="75" customHeight="1" thickTop="1" thickBot="1">
      <c r="A880" s="7"/>
      <c r="B880" s="8"/>
      <c r="C880" s="9"/>
      <c r="D880" s="10"/>
      <c r="E880" s="10"/>
      <c r="F880" s="10"/>
      <c r="G880" s="10"/>
      <c r="H880" s="10"/>
      <c r="I880" s="12"/>
      <c r="J880" s="13"/>
      <c r="K880" s="7"/>
      <c r="L880" s="67"/>
      <c r="M880" s="10"/>
    </row>
    <row r="881" spans="1:13" ht="75" customHeight="1" thickTop="1" thickBot="1">
      <c r="A881" s="7"/>
      <c r="B881" s="8"/>
      <c r="C881" s="9"/>
      <c r="D881" s="10"/>
      <c r="E881" s="10"/>
      <c r="F881" s="10"/>
      <c r="G881" s="10"/>
      <c r="H881" s="10"/>
      <c r="I881" s="12"/>
      <c r="J881" s="13"/>
      <c r="K881" s="7"/>
      <c r="L881" s="67"/>
      <c r="M881" s="10"/>
    </row>
    <row r="882" spans="1:13" ht="75" customHeight="1" thickTop="1" thickBot="1">
      <c r="A882" s="7"/>
      <c r="B882" s="8"/>
      <c r="C882" s="9"/>
      <c r="D882" s="10"/>
      <c r="E882" s="10"/>
      <c r="F882" s="10"/>
      <c r="G882" s="10"/>
      <c r="H882" s="10"/>
      <c r="I882" s="12"/>
      <c r="J882" s="13"/>
      <c r="K882" s="7"/>
      <c r="L882" s="67"/>
      <c r="M882" s="10"/>
    </row>
    <row r="883" spans="1:13" ht="75" customHeight="1" thickTop="1" thickBot="1">
      <c r="A883" s="7"/>
      <c r="B883" s="8"/>
      <c r="C883" s="9"/>
      <c r="D883" s="10"/>
      <c r="E883" s="10"/>
      <c r="F883" s="10"/>
      <c r="G883" s="10"/>
      <c r="H883" s="10"/>
      <c r="I883" s="12"/>
      <c r="J883" s="13"/>
      <c r="K883" s="7"/>
      <c r="L883" s="67"/>
      <c r="M883" s="10"/>
    </row>
    <row r="884" spans="1:13" ht="75" customHeight="1" thickTop="1" thickBot="1">
      <c r="A884" s="7"/>
      <c r="B884" s="8"/>
      <c r="C884" s="9"/>
      <c r="D884" s="10"/>
      <c r="E884" s="10"/>
      <c r="F884" s="10"/>
      <c r="G884" s="10"/>
      <c r="H884" s="10"/>
      <c r="I884" s="12"/>
      <c r="J884" s="13"/>
      <c r="K884" s="7"/>
      <c r="L884" s="67"/>
      <c r="M884" s="10"/>
    </row>
    <row r="885" spans="1:13" ht="75" customHeight="1" thickTop="1" thickBot="1">
      <c r="A885" s="7"/>
      <c r="B885" s="8"/>
      <c r="C885" s="9"/>
      <c r="D885" s="10"/>
      <c r="E885" s="10"/>
      <c r="F885" s="10"/>
      <c r="G885" s="10"/>
      <c r="H885" s="10"/>
      <c r="I885" s="12"/>
      <c r="J885" s="13"/>
      <c r="K885" s="7"/>
      <c r="L885" s="67"/>
      <c r="M885" s="10"/>
    </row>
    <row r="886" spans="1:13" ht="75" customHeight="1" thickTop="1" thickBot="1">
      <c r="A886" s="7"/>
      <c r="B886" s="8"/>
      <c r="C886" s="9"/>
      <c r="D886" s="10"/>
      <c r="E886" s="10"/>
      <c r="F886" s="10"/>
      <c r="G886" s="10"/>
      <c r="H886" s="10"/>
      <c r="I886" s="12"/>
      <c r="J886" s="13"/>
      <c r="K886" s="7"/>
      <c r="L886" s="67"/>
      <c r="M886" s="10"/>
    </row>
    <row r="887" spans="1:13" ht="75" customHeight="1" thickTop="1" thickBot="1">
      <c r="A887" s="7"/>
      <c r="B887" s="8"/>
      <c r="C887" s="9"/>
      <c r="D887" s="10"/>
      <c r="E887" s="10"/>
      <c r="F887" s="10"/>
      <c r="G887" s="10"/>
      <c r="H887" s="10"/>
      <c r="I887" s="12"/>
      <c r="J887" s="13"/>
      <c r="K887" s="7"/>
      <c r="L887" s="67"/>
      <c r="M887" s="10"/>
    </row>
    <row r="888" spans="1:13" ht="75" customHeight="1" thickTop="1" thickBot="1">
      <c r="A888" s="7"/>
      <c r="B888" s="8"/>
      <c r="C888" s="9"/>
      <c r="D888" s="10"/>
      <c r="E888" s="10"/>
      <c r="F888" s="10"/>
      <c r="G888" s="10"/>
      <c r="H888" s="10"/>
      <c r="I888" s="12"/>
      <c r="J888" s="13"/>
      <c r="K888" s="7"/>
      <c r="L888" s="67"/>
      <c r="M888" s="10"/>
    </row>
    <row r="889" spans="1:13" ht="75" customHeight="1" thickTop="1" thickBot="1">
      <c r="A889" s="7"/>
      <c r="B889" s="8"/>
      <c r="C889" s="9"/>
      <c r="D889" s="10"/>
      <c r="E889" s="10"/>
      <c r="F889" s="10"/>
      <c r="G889" s="10"/>
      <c r="H889" s="10"/>
      <c r="I889" s="12"/>
      <c r="J889" s="13"/>
      <c r="K889" s="7"/>
      <c r="L889" s="67"/>
      <c r="M889" s="10"/>
    </row>
    <row r="890" spans="1:13" ht="75" customHeight="1" thickTop="1" thickBot="1">
      <c r="A890" s="7"/>
      <c r="B890" s="8"/>
      <c r="C890" s="9"/>
      <c r="D890" s="10"/>
      <c r="E890" s="10"/>
      <c r="F890" s="10"/>
      <c r="G890" s="10"/>
      <c r="H890" s="10"/>
      <c r="I890" s="12"/>
      <c r="J890" s="13"/>
      <c r="K890" s="7"/>
      <c r="L890" s="67"/>
      <c r="M890" s="10"/>
    </row>
    <row r="891" spans="1:13" ht="75" customHeight="1" thickTop="1" thickBot="1">
      <c r="A891" s="7"/>
      <c r="B891" s="8"/>
      <c r="C891" s="9"/>
      <c r="D891" s="10"/>
      <c r="E891" s="10"/>
      <c r="F891" s="10"/>
      <c r="G891" s="10"/>
      <c r="H891" s="10"/>
      <c r="I891" s="12"/>
      <c r="J891" s="13"/>
      <c r="K891" s="7"/>
      <c r="L891" s="67"/>
      <c r="M891" s="10"/>
    </row>
    <row r="892" spans="1:13" ht="75" customHeight="1" thickTop="1" thickBot="1">
      <c r="A892" s="7"/>
      <c r="B892" s="8"/>
      <c r="C892" s="9"/>
      <c r="D892" s="10"/>
      <c r="E892" s="10"/>
      <c r="F892" s="10"/>
      <c r="G892" s="10"/>
      <c r="H892" s="10"/>
      <c r="I892" s="12"/>
      <c r="J892" s="13"/>
      <c r="K892" s="7"/>
      <c r="L892" s="67"/>
      <c r="M892" s="10"/>
    </row>
    <row r="893" spans="1:13" ht="75" customHeight="1" thickTop="1" thickBot="1">
      <c r="A893" s="7"/>
      <c r="B893" s="8"/>
      <c r="C893" s="9"/>
      <c r="D893" s="10"/>
      <c r="E893" s="10"/>
      <c r="F893" s="10"/>
      <c r="G893" s="10"/>
      <c r="H893" s="10"/>
      <c r="I893" s="12"/>
      <c r="J893" s="13"/>
      <c r="K893" s="7"/>
      <c r="L893" s="67"/>
      <c r="M893" s="10"/>
    </row>
    <row r="894" spans="1:13" ht="75" customHeight="1" thickTop="1" thickBot="1">
      <c r="A894" s="7"/>
      <c r="B894" s="8"/>
      <c r="C894" s="9"/>
      <c r="D894" s="10"/>
      <c r="E894" s="10"/>
      <c r="F894" s="10"/>
      <c r="G894" s="10"/>
      <c r="H894" s="10"/>
      <c r="I894" s="12"/>
      <c r="J894" s="13"/>
      <c r="K894" s="7"/>
      <c r="L894" s="67"/>
      <c r="M894" s="10"/>
    </row>
    <row r="895" spans="1:13" ht="75" customHeight="1" thickTop="1" thickBot="1">
      <c r="A895" s="7"/>
      <c r="B895" s="8"/>
      <c r="C895" s="9"/>
      <c r="D895" s="10"/>
      <c r="E895" s="10"/>
      <c r="F895" s="10"/>
      <c r="G895" s="10"/>
      <c r="H895" s="10"/>
      <c r="I895" s="12"/>
      <c r="J895" s="13"/>
      <c r="K895" s="7"/>
      <c r="L895" s="67"/>
      <c r="M895" s="10"/>
    </row>
    <row r="896" spans="1:13" ht="75" customHeight="1" thickTop="1" thickBot="1">
      <c r="A896" s="7"/>
      <c r="B896" s="8"/>
      <c r="C896" s="9"/>
      <c r="D896" s="10"/>
      <c r="E896" s="10"/>
      <c r="F896" s="10"/>
      <c r="G896" s="10"/>
      <c r="H896" s="10"/>
      <c r="I896" s="12"/>
      <c r="J896" s="13"/>
      <c r="K896" s="7"/>
      <c r="L896" s="67"/>
      <c r="M896" s="10"/>
    </row>
    <row r="897" spans="1:13" ht="75" customHeight="1" thickTop="1" thickBot="1">
      <c r="A897" s="7"/>
      <c r="B897" s="8"/>
      <c r="C897" s="9"/>
      <c r="D897" s="10"/>
      <c r="E897" s="10"/>
      <c r="F897" s="10"/>
      <c r="G897" s="10"/>
      <c r="H897" s="10"/>
      <c r="I897" s="12"/>
      <c r="J897" s="13"/>
      <c r="K897" s="7"/>
      <c r="L897" s="67"/>
      <c r="M897" s="10"/>
    </row>
    <row r="898" spans="1:13" ht="75" customHeight="1" thickTop="1" thickBot="1">
      <c r="A898" s="7"/>
      <c r="B898" s="8"/>
      <c r="C898" s="9"/>
      <c r="D898" s="10"/>
      <c r="E898" s="10"/>
      <c r="F898" s="10"/>
      <c r="G898" s="10"/>
      <c r="H898" s="10"/>
      <c r="I898" s="12"/>
      <c r="J898" s="13"/>
      <c r="K898" s="7"/>
      <c r="L898" s="67"/>
      <c r="M898" s="10"/>
    </row>
    <row r="899" spans="1:13" ht="75" customHeight="1" thickTop="1" thickBot="1">
      <c r="A899" s="7"/>
      <c r="B899" s="8"/>
      <c r="C899" s="9"/>
      <c r="D899" s="10"/>
      <c r="E899" s="10"/>
      <c r="F899" s="10"/>
      <c r="G899" s="10"/>
      <c r="H899" s="10"/>
      <c r="I899" s="12"/>
      <c r="J899" s="13"/>
      <c r="K899" s="7"/>
      <c r="L899" s="67"/>
      <c r="M899" s="10"/>
    </row>
    <row r="900" spans="1:13" ht="75" customHeight="1" thickTop="1" thickBot="1">
      <c r="A900" s="7"/>
      <c r="B900" s="8"/>
      <c r="C900" s="9"/>
      <c r="D900" s="10"/>
      <c r="E900" s="10"/>
      <c r="F900" s="10"/>
      <c r="G900" s="10"/>
      <c r="H900" s="10"/>
      <c r="I900" s="12"/>
      <c r="J900" s="13"/>
      <c r="K900" s="7"/>
      <c r="L900" s="67"/>
      <c r="M900" s="10"/>
    </row>
    <row r="901" spans="1:13" ht="75" customHeight="1" thickTop="1" thickBot="1">
      <c r="A901" s="7"/>
      <c r="B901" s="8"/>
      <c r="C901" s="9"/>
      <c r="D901" s="10"/>
      <c r="E901" s="10"/>
      <c r="F901" s="10"/>
      <c r="G901" s="10"/>
      <c r="H901" s="10"/>
      <c r="I901" s="12"/>
      <c r="J901" s="13"/>
      <c r="K901" s="7"/>
      <c r="L901" s="67"/>
      <c r="M901" s="10"/>
    </row>
    <row r="902" spans="1:13" ht="75" customHeight="1" thickTop="1" thickBot="1">
      <c r="A902" s="7"/>
      <c r="B902" s="8"/>
      <c r="C902" s="9"/>
      <c r="D902" s="10"/>
      <c r="E902" s="10"/>
      <c r="F902" s="10"/>
      <c r="G902" s="10"/>
      <c r="H902" s="10"/>
      <c r="I902" s="12"/>
      <c r="J902" s="13"/>
      <c r="K902" s="7"/>
      <c r="L902" s="67"/>
      <c r="M902" s="10"/>
    </row>
    <row r="903" spans="1:13" ht="75" customHeight="1" thickTop="1" thickBot="1">
      <c r="A903" s="7"/>
      <c r="B903" s="8"/>
      <c r="C903" s="9"/>
      <c r="D903" s="10"/>
      <c r="E903" s="10"/>
      <c r="F903" s="10"/>
      <c r="G903" s="10"/>
      <c r="H903" s="10"/>
      <c r="I903" s="12"/>
      <c r="J903" s="13"/>
      <c r="K903" s="7"/>
      <c r="L903" s="67"/>
      <c r="M903" s="10"/>
    </row>
    <row r="904" spans="1:13" ht="75" customHeight="1" thickTop="1" thickBot="1">
      <c r="A904" s="7"/>
      <c r="B904" s="8"/>
      <c r="C904" s="9"/>
      <c r="D904" s="10"/>
      <c r="E904" s="10"/>
      <c r="F904" s="10"/>
      <c r="G904" s="10"/>
      <c r="H904" s="10"/>
      <c r="I904" s="12"/>
      <c r="J904" s="13"/>
      <c r="K904" s="7"/>
      <c r="L904" s="67"/>
      <c r="M904" s="10"/>
    </row>
    <row r="905" spans="1:13" ht="75" customHeight="1" thickTop="1" thickBot="1">
      <c r="A905" s="7"/>
      <c r="B905" s="8"/>
      <c r="C905" s="9"/>
      <c r="D905" s="10"/>
      <c r="E905" s="10"/>
      <c r="F905" s="10"/>
      <c r="G905" s="10"/>
      <c r="H905" s="10"/>
      <c r="I905" s="12"/>
      <c r="J905" s="13"/>
      <c r="K905" s="7"/>
      <c r="L905" s="67"/>
      <c r="M905" s="10"/>
    </row>
    <row r="906" spans="1:13" ht="75" customHeight="1" thickTop="1" thickBot="1">
      <c r="A906" s="7"/>
      <c r="B906" s="8"/>
      <c r="C906" s="9"/>
      <c r="D906" s="10"/>
      <c r="E906" s="10"/>
      <c r="F906" s="10"/>
      <c r="G906" s="10"/>
      <c r="H906" s="10"/>
      <c r="I906" s="12"/>
      <c r="J906" s="13"/>
      <c r="K906" s="7"/>
      <c r="L906" s="67"/>
      <c r="M906" s="10"/>
    </row>
    <row r="907" spans="1:13" ht="75" customHeight="1" thickTop="1" thickBot="1">
      <c r="A907" s="7"/>
      <c r="B907" s="8"/>
      <c r="C907" s="9"/>
      <c r="D907" s="10"/>
      <c r="E907" s="10"/>
      <c r="F907" s="10"/>
      <c r="G907" s="10"/>
      <c r="H907" s="10"/>
      <c r="I907" s="12"/>
      <c r="J907" s="13"/>
      <c r="K907" s="7"/>
      <c r="L907" s="67"/>
      <c r="M907" s="10"/>
    </row>
    <row r="908" spans="1:13" ht="75" customHeight="1" thickTop="1" thickBot="1">
      <c r="A908" s="7"/>
      <c r="B908" s="8"/>
      <c r="C908" s="9"/>
      <c r="D908" s="10"/>
      <c r="E908" s="10"/>
      <c r="F908" s="10"/>
      <c r="G908" s="10"/>
      <c r="H908" s="10"/>
      <c r="I908" s="12"/>
      <c r="J908" s="13"/>
      <c r="K908" s="7"/>
      <c r="L908" s="67"/>
      <c r="M908" s="10"/>
    </row>
    <row r="909" spans="1:13" ht="75" customHeight="1" thickTop="1" thickBot="1">
      <c r="A909" s="7"/>
      <c r="B909" s="8"/>
      <c r="C909" s="9"/>
      <c r="D909" s="10"/>
      <c r="E909" s="10"/>
      <c r="F909" s="10"/>
      <c r="G909" s="10"/>
      <c r="H909" s="10"/>
      <c r="I909" s="12"/>
      <c r="J909" s="13"/>
      <c r="K909" s="7"/>
      <c r="L909" s="67"/>
      <c r="M909" s="10"/>
    </row>
    <row r="910" spans="1:13" ht="75" customHeight="1" thickTop="1" thickBot="1">
      <c r="A910" s="7"/>
      <c r="B910" s="8"/>
      <c r="C910" s="9"/>
      <c r="D910" s="10"/>
      <c r="E910" s="10"/>
      <c r="F910" s="10"/>
      <c r="G910" s="10"/>
      <c r="H910" s="10"/>
      <c r="I910" s="12"/>
      <c r="J910" s="13"/>
      <c r="K910" s="7"/>
      <c r="L910" s="67"/>
      <c r="M910" s="10"/>
    </row>
    <row r="911" spans="1:13" ht="75" customHeight="1" thickTop="1" thickBot="1">
      <c r="A911" s="7"/>
      <c r="B911" s="8"/>
      <c r="C911" s="9"/>
      <c r="D911" s="10"/>
      <c r="E911" s="10"/>
      <c r="F911" s="10"/>
      <c r="G911" s="10"/>
      <c r="H911" s="10"/>
      <c r="I911" s="12"/>
      <c r="J911" s="13"/>
      <c r="K911" s="7"/>
      <c r="L911" s="67"/>
      <c r="M911" s="10"/>
    </row>
    <row r="912" spans="1:13" ht="75" customHeight="1" thickTop="1" thickBot="1">
      <c r="A912" s="7"/>
      <c r="B912" s="8"/>
      <c r="C912" s="9"/>
      <c r="D912" s="10"/>
      <c r="E912" s="10"/>
      <c r="F912" s="10"/>
      <c r="G912" s="10"/>
      <c r="H912" s="10"/>
      <c r="I912" s="12"/>
      <c r="J912" s="13"/>
      <c r="K912" s="7"/>
      <c r="L912" s="67"/>
      <c r="M912" s="10"/>
    </row>
    <row r="913" spans="1:13" ht="75" customHeight="1" thickTop="1" thickBot="1">
      <c r="A913" s="7"/>
      <c r="B913" s="8"/>
      <c r="C913" s="9"/>
      <c r="D913" s="10"/>
      <c r="E913" s="10"/>
      <c r="F913" s="10"/>
      <c r="G913" s="10"/>
      <c r="H913" s="10"/>
      <c r="I913" s="12"/>
      <c r="J913" s="13"/>
      <c r="K913" s="7"/>
      <c r="L913" s="67"/>
      <c r="M913" s="10"/>
    </row>
    <row r="914" spans="1:13" ht="75" customHeight="1" thickTop="1" thickBot="1">
      <c r="A914" s="7"/>
      <c r="B914" s="8"/>
      <c r="C914" s="9"/>
      <c r="D914" s="10"/>
      <c r="E914" s="10"/>
      <c r="F914" s="10"/>
      <c r="G914" s="10"/>
      <c r="H914" s="10"/>
      <c r="I914" s="12"/>
      <c r="J914" s="13"/>
      <c r="K914" s="7"/>
      <c r="L914" s="67"/>
      <c r="M914" s="10"/>
    </row>
    <row r="915" spans="1:13" ht="75" customHeight="1" thickTop="1" thickBot="1">
      <c r="A915" s="7"/>
      <c r="B915" s="8"/>
      <c r="C915" s="9"/>
      <c r="D915" s="10"/>
      <c r="E915" s="10"/>
      <c r="F915" s="10"/>
      <c r="G915" s="10"/>
      <c r="H915" s="10"/>
      <c r="I915" s="12"/>
      <c r="J915" s="13"/>
      <c r="K915" s="7"/>
      <c r="L915" s="67"/>
      <c r="M915" s="10"/>
    </row>
    <row r="916" spans="1:13" ht="75" customHeight="1" thickTop="1" thickBot="1">
      <c r="A916" s="7"/>
      <c r="B916" s="8"/>
      <c r="C916" s="9"/>
      <c r="D916" s="10"/>
      <c r="E916" s="10"/>
      <c r="F916" s="10"/>
      <c r="G916" s="10"/>
      <c r="H916" s="10"/>
      <c r="I916" s="12"/>
      <c r="J916" s="13"/>
      <c r="K916" s="7"/>
      <c r="L916" s="67"/>
      <c r="M916" s="10"/>
    </row>
    <row r="917" spans="1:13" ht="75" customHeight="1" thickTop="1" thickBot="1">
      <c r="A917" s="7"/>
      <c r="B917" s="8"/>
      <c r="C917" s="9"/>
      <c r="D917" s="10"/>
      <c r="E917" s="10"/>
      <c r="F917" s="10"/>
      <c r="G917" s="10"/>
      <c r="H917" s="10"/>
      <c r="I917" s="12"/>
      <c r="J917" s="13"/>
      <c r="K917" s="7"/>
      <c r="L917" s="67"/>
      <c r="M917" s="10"/>
    </row>
    <row r="918" spans="1:13" ht="75" customHeight="1" thickTop="1" thickBot="1">
      <c r="A918" s="7"/>
      <c r="B918" s="8"/>
      <c r="C918" s="9"/>
      <c r="D918" s="10"/>
      <c r="E918" s="10"/>
      <c r="F918" s="10"/>
      <c r="G918" s="10"/>
      <c r="H918" s="10"/>
      <c r="I918" s="12"/>
      <c r="J918" s="13"/>
      <c r="K918" s="7"/>
      <c r="L918" s="67"/>
      <c r="M918" s="10"/>
    </row>
    <row r="919" spans="1:13" ht="75" customHeight="1" thickTop="1" thickBot="1">
      <c r="A919" s="7"/>
      <c r="B919" s="8"/>
      <c r="C919" s="9"/>
      <c r="D919" s="10"/>
      <c r="E919" s="10"/>
      <c r="F919" s="10"/>
      <c r="G919" s="10"/>
      <c r="H919" s="10"/>
      <c r="I919" s="12"/>
      <c r="J919" s="13"/>
      <c r="K919" s="7"/>
      <c r="L919" s="67"/>
      <c r="M919" s="10"/>
    </row>
    <row r="920" spans="1:13" ht="75" customHeight="1" thickTop="1" thickBot="1">
      <c r="A920" s="7"/>
      <c r="B920" s="8"/>
      <c r="C920" s="9"/>
      <c r="D920" s="10"/>
      <c r="E920" s="10"/>
      <c r="F920" s="10"/>
      <c r="G920" s="10"/>
      <c r="H920" s="10"/>
      <c r="I920" s="12"/>
      <c r="J920" s="13"/>
      <c r="K920" s="7"/>
      <c r="L920" s="67"/>
      <c r="M920" s="10"/>
    </row>
    <row r="921" spans="1:13" ht="75" customHeight="1" thickTop="1" thickBot="1">
      <c r="A921" s="7"/>
      <c r="B921" s="8"/>
      <c r="C921" s="9"/>
      <c r="D921" s="10"/>
      <c r="E921" s="10"/>
      <c r="F921" s="10"/>
      <c r="G921" s="10"/>
      <c r="H921" s="10"/>
      <c r="I921" s="12"/>
      <c r="J921" s="13"/>
      <c r="K921" s="7"/>
      <c r="L921" s="67"/>
      <c r="M921" s="10"/>
    </row>
    <row r="922" spans="1:13" ht="75" customHeight="1" thickTop="1" thickBot="1">
      <c r="A922" s="7"/>
      <c r="B922" s="8"/>
      <c r="C922" s="9"/>
      <c r="D922" s="10"/>
      <c r="E922" s="10"/>
      <c r="F922" s="10"/>
      <c r="G922" s="10"/>
      <c r="H922" s="10"/>
      <c r="I922" s="12"/>
      <c r="J922" s="13"/>
      <c r="K922" s="7"/>
      <c r="L922" s="67"/>
      <c r="M922" s="10"/>
    </row>
    <row r="923" spans="1:13" ht="75" customHeight="1" thickTop="1" thickBot="1">
      <c r="A923" s="7"/>
      <c r="B923" s="8"/>
      <c r="C923" s="9"/>
      <c r="D923" s="10"/>
      <c r="E923" s="10"/>
      <c r="F923" s="10"/>
      <c r="G923" s="10"/>
      <c r="H923" s="10"/>
      <c r="I923" s="12"/>
      <c r="J923" s="13"/>
      <c r="K923" s="7"/>
      <c r="L923" s="67"/>
      <c r="M923" s="10"/>
    </row>
    <row r="924" spans="1:13" ht="75" customHeight="1" thickTop="1" thickBot="1">
      <c r="A924" s="7"/>
      <c r="B924" s="8"/>
      <c r="C924" s="9"/>
      <c r="D924" s="10"/>
      <c r="E924" s="10"/>
      <c r="F924" s="10"/>
      <c r="G924" s="10"/>
      <c r="H924" s="10"/>
      <c r="I924" s="12"/>
      <c r="J924" s="13"/>
      <c r="K924" s="7"/>
      <c r="L924" s="67"/>
      <c r="M924" s="10"/>
    </row>
    <row r="925" spans="1:13" ht="75" customHeight="1" thickTop="1" thickBot="1">
      <c r="A925" s="7"/>
      <c r="B925" s="8"/>
      <c r="C925" s="9"/>
      <c r="D925" s="10"/>
      <c r="E925" s="10"/>
      <c r="F925" s="10"/>
      <c r="G925" s="10"/>
      <c r="H925" s="10"/>
      <c r="I925" s="12"/>
      <c r="J925" s="13"/>
      <c r="K925" s="7"/>
      <c r="L925" s="67"/>
      <c r="M925" s="10"/>
    </row>
    <row r="926" spans="1:13" ht="75" customHeight="1" thickTop="1" thickBot="1">
      <c r="A926" s="7"/>
      <c r="B926" s="8"/>
      <c r="C926" s="9"/>
      <c r="D926" s="10"/>
      <c r="E926" s="10"/>
      <c r="F926" s="10"/>
      <c r="G926" s="10"/>
      <c r="H926" s="10"/>
      <c r="I926" s="12"/>
      <c r="J926" s="13"/>
      <c r="K926" s="7"/>
      <c r="L926" s="67"/>
      <c r="M926" s="10"/>
    </row>
    <row r="927" spans="1:13" ht="75" customHeight="1" thickTop="1" thickBot="1">
      <c r="A927" s="7"/>
      <c r="B927" s="8"/>
      <c r="C927" s="9"/>
      <c r="D927" s="10"/>
      <c r="E927" s="10"/>
      <c r="F927" s="10"/>
      <c r="G927" s="10"/>
      <c r="H927" s="10"/>
      <c r="I927" s="12"/>
      <c r="J927" s="13"/>
      <c r="K927" s="7"/>
      <c r="L927" s="67"/>
      <c r="M927" s="10"/>
    </row>
    <row r="928" spans="1:13" ht="75" customHeight="1" thickTop="1" thickBot="1">
      <c r="A928" s="7"/>
      <c r="B928" s="8"/>
      <c r="C928" s="9"/>
      <c r="D928" s="10"/>
      <c r="E928" s="10"/>
      <c r="F928" s="10"/>
      <c r="G928" s="10"/>
      <c r="H928" s="10"/>
      <c r="I928" s="12"/>
      <c r="J928" s="13"/>
      <c r="K928" s="7"/>
      <c r="L928" s="67"/>
      <c r="M928" s="10"/>
    </row>
    <row r="929" spans="1:13" ht="75" customHeight="1" thickTop="1" thickBot="1">
      <c r="A929" s="7"/>
      <c r="B929" s="8"/>
      <c r="C929" s="9"/>
      <c r="D929" s="10"/>
      <c r="E929" s="10"/>
      <c r="F929" s="10"/>
      <c r="G929" s="10"/>
      <c r="H929" s="10"/>
      <c r="I929" s="12"/>
      <c r="J929" s="13"/>
      <c r="K929" s="7"/>
      <c r="L929" s="67"/>
      <c r="M929" s="10"/>
    </row>
    <row r="930" spans="1:13" ht="75" customHeight="1" thickTop="1" thickBot="1">
      <c r="A930" s="7"/>
      <c r="B930" s="8"/>
      <c r="C930" s="9"/>
      <c r="D930" s="10"/>
      <c r="E930" s="10"/>
      <c r="F930" s="10"/>
      <c r="G930" s="10"/>
      <c r="H930" s="10"/>
      <c r="I930" s="12"/>
      <c r="J930" s="13"/>
      <c r="K930" s="7"/>
      <c r="L930" s="67"/>
      <c r="M930" s="10"/>
    </row>
    <row r="931" spans="1:13" ht="75" customHeight="1" thickTop="1" thickBot="1">
      <c r="A931" s="7"/>
      <c r="B931" s="8"/>
      <c r="C931" s="9"/>
      <c r="D931" s="10"/>
      <c r="E931" s="10"/>
      <c r="F931" s="10"/>
      <c r="G931" s="10"/>
      <c r="H931" s="10"/>
      <c r="I931" s="12"/>
      <c r="J931" s="13"/>
      <c r="K931" s="7"/>
      <c r="L931" s="67"/>
      <c r="M931" s="10"/>
    </row>
    <row r="932" spans="1:13" ht="75" customHeight="1" thickTop="1" thickBot="1">
      <c r="A932" s="7"/>
      <c r="B932" s="8"/>
      <c r="C932" s="9"/>
      <c r="D932" s="10"/>
      <c r="E932" s="10"/>
      <c r="F932" s="10"/>
      <c r="G932" s="10"/>
      <c r="H932" s="10"/>
      <c r="I932" s="12"/>
      <c r="J932" s="13"/>
      <c r="K932" s="7"/>
      <c r="L932" s="67"/>
      <c r="M932" s="10"/>
    </row>
    <row r="933" spans="1:13" ht="75" customHeight="1" thickTop="1" thickBot="1">
      <c r="A933" s="7"/>
      <c r="B933" s="8"/>
      <c r="C933" s="9"/>
      <c r="D933" s="10"/>
      <c r="E933" s="10"/>
      <c r="F933" s="10"/>
      <c r="G933" s="10"/>
      <c r="H933" s="10"/>
      <c r="I933" s="12"/>
      <c r="J933" s="13"/>
      <c r="K933" s="7"/>
      <c r="L933" s="67"/>
      <c r="M933" s="10"/>
    </row>
    <row r="934" spans="1:13" ht="75" customHeight="1" thickTop="1" thickBot="1">
      <c r="A934" s="7"/>
      <c r="B934" s="8"/>
      <c r="C934" s="9"/>
      <c r="D934" s="10"/>
      <c r="E934" s="10"/>
      <c r="F934" s="10"/>
      <c r="G934" s="10"/>
      <c r="H934" s="10"/>
      <c r="I934" s="12"/>
      <c r="J934" s="13"/>
      <c r="K934" s="7"/>
      <c r="L934" s="67"/>
      <c r="M934" s="10"/>
    </row>
    <row r="935" spans="1:13" ht="75" customHeight="1" thickTop="1" thickBot="1">
      <c r="A935" s="7"/>
      <c r="B935" s="8"/>
      <c r="C935" s="9"/>
      <c r="D935" s="10"/>
      <c r="E935" s="10"/>
      <c r="F935" s="10"/>
      <c r="G935" s="10"/>
      <c r="H935" s="10"/>
      <c r="I935" s="12"/>
      <c r="J935" s="13"/>
      <c r="K935" s="7"/>
      <c r="L935" s="67"/>
      <c r="M935" s="10"/>
    </row>
    <row r="936" spans="1:13" ht="75" customHeight="1" thickTop="1" thickBot="1">
      <c r="A936" s="7"/>
      <c r="B936" s="8"/>
      <c r="C936" s="9"/>
      <c r="D936" s="10"/>
      <c r="E936" s="10"/>
      <c r="F936" s="10"/>
      <c r="G936" s="10"/>
      <c r="H936" s="10"/>
      <c r="I936" s="12"/>
      <c r="J936" s="13"/>
      <c r="K936" s="7"/>
      <c r="L936" s="67"/>
      <c r="M936" s="10"/>
    </row>
    <row r="937" spans="1:13" ht="75" customHeight="1" thickTop="1" thickBot="1">
      <c r="A937" s="7"/>
      <c r="B937" s="8"/>
      <c r="C937" s="9"/>
      <c r="D937" s="10"/>
      <c r="E937" s="10"/>
      <c r="F937" s="10"/>
      <c r="G937" s="10"/>
      <c r="H937" s="10"/>
      <c r="I937" s="12"/>
      <c r="J937" s="13"/>
      <c r="K937" s="7"/>
      <c r="L937" s="67"/>
      <c r="M937" s="10"/>
    </row>
    <row r="938" spans="1:13" ht="75" customHeight="1" thickTop="1" thickBot="1">
      <c r="A938" s="7"/>
      <c r="B938" s="8"/>
      <c r="C938" s="9"/>
      <c r="D938" s="10"/>
      <c r="E938" s="10"/>
      <c r="F938" s="10"/>
      <c r="G938" s="10"/>
      <c r="H938" s="10"/>
      <c r="I938" s="12"/>
      <c r="J938" s="13"/>
      <c r="K938" s="7"/>
      <c r="L938" s="67"/>
      <c r="M938" s="10"/>
    </row>
    <row r="939" spans="1:13" ht="75" customHeight="1" thickTop="1" thickBot="1">
      <c r="A939" s="7"/>
      <c r="B939" s="8"/>
      <c r="C939" s="9"/>
      <c r="D939" s="10"/>
      <c r="E939" s="10"/>
      <c r="F939" s="10"/>
      <c r="G939" s="10"/>
      <c r="H939" s="10"/>
      <c r="I939" s="12"/>
      <c r="J939" s="13"/>
      <c r="K939" s="7"/>
      <c r="L939" s="67"/>
      <c r="M939" s="10"/>
    </row>
    <row r="940" spans="1:13" ht="75" customHeight="1" thickTop="1" thickBot="1">
      <c r="A940" s="7"/>
      <c r="B940" s="8"/>
      <c r="C940" s="9"/>
      <c r="D940" s="10"/>
      <c r="E940" s="10"/>
      <c r="F940" s="10"/>
      <c r="G940" s="10"/>
      <c r="H940" s="10"/>
      <c r="I940" s="12"/>
      <c r="J940" s="13"/>
      <c r="K940" s="7"/>
      <c r="L940" s="67"/>
      <c r="M940" s="10"/>
    </row>
    <row r="941" spans="1:13" ht="75" customHeight="1" thickTop="1" thickBot="1">
      <c r="A941" s="7"/>
      <c r="B941" s="8"/>
      <c r="C941" s="9"/>
      <c r="D941" s="10"/>
      <c r="E941" s="10"/>
      <c r="F941" s="10"/>
      <c r="G941" s="10"/>
      <c r="H941" s="10"/>
      <c r="I941" s="12"/>
      <c r="J941" s="13"/>
      <c r="K941" s="7"/>
      <c r="L941" s="67"/>
      <c r="M941" s="10"/>
    </row>
    <row r="942" spans="1:13" ht="75" customHeight="1" thickTop="1" thickBot="1">
      <c r="A942" s="7"/>
      <c r="B942" s="8"/>
      <c r="C942" s="9"/>
      <c r="D942" s="10"/>
      <c r="E942" s="10"/>
      <c r="F942" s="10"/>
      <c r="G942" s="10"/>
      <c r="H942" s="10"/>
      <c r="I942" s="12"/>
      <c r="J942" s="13"/>
      <c r="K942" s="7"/>
      <c r="L942" s="67"/>
      <c r="M942" s="10"/>
    </row>
    <row r="943" spans="1:13" ht="75" customHeight="1" thickTop="1" thickBot="1">
      <c r="A943" s="7"/>
      <c r="B943" s="8"/>
      <c r="C943" s="9"/>
      <c r="D943" s="10"/>
      <c r="E943" s="10"/>
      <c r="F943" s="10"/>
      <c r="G943" s="10"/>
      <c r="H943" s="10"/>
      <c r="I943" s="12"/>
      <c r="J943" s="13"/>
      <c r="K943" s="7"/>
      <c r="L943" s="67"/>
      <c r="M943" s="10"/>
    </row>
    <row r="944" spans="1:13" ht="75" customHeight="1" thickTop="1" thickBot="1">
      <c r="A944" s="7"/>
      <c r="B944" s="8"/>
      <c r="C944" s="9"/>
      <c r="D944" s="10"/>
      <c r="E944" s="10"/>
      <c r="F944" s="10"/>
      <c r="G944" s="10"/>
      <c r="H944" s="10"/>
      <c r="I944" s="12"/>
      <c r="J944" s="13"/>
      <c r="K944" s="7"/>
      <c r="L944" s="67"/>
      <c r="M944" s="10"/>
    </row>
    <row r="945" spans="1:13" ht="75" customHeight="1" thickTop="1" thickBot="1">
      <c r="A945" s="7"/>
      <c r="B945" s="8"/>
      <c r="C945" s="9"/>
      <c r="D945" s="10"/>
      <c r="E945" s="10"/>
      <c r="F945" s="10"/>
      <c r="G945" s="10"/>
      <c r="H945" s="10"/>
      <c r="I945" s="12"/>
      <c r="J945" s="13"/>
      <c r="K945" s="7"/>
      <c r="L945" s="67"/>
      <c r="M945" s="10"/>
    </row>
    <row r="946" spans="1:13" ht="75" customHeight="1" thickTop="1" thickBot="1">
      <c r="A946" s="7"/>
      <c r="B946" s="8"/>
      <c r="C946" s="9"/>
      <c r="D946" s="10"/>
      <c r="E946" s="10"/>
      <c r="F946" s="10"/>
      <c r="G946" s="10"/>
      <c r="H946" s="10"/>
      <c r="I946" s="12"/>
      <c r="J946" s="13"/>
      <c r="K946" s="7"/>
      <c r="L946" s="67"/>
      <c r="M946" s="10"/>
    </row>
    <row r="947" spans="1:13" ht="75" customHeight="1" thickTop="1" thickBot="1">
      <c r="A947" s="7"/>
      <c r="B947" s="8"/>
      <c r="C947" s="9"/>
      <c r="D947" s="10"/>
      <c r="E947" s="10"/>
      <c r="F947" s="10"/>
      <c r="G947" s="10"/>
      <c r="H947" s="10"/>
      <c r="I947" s="12"/>
      <c r="J947" s="13"/>
      <c r="K947" s="7"/>
      <c r="L947" s="67"/>
      <c r="M947" s="10"/>
    </row>
    <row r="948" spans="1:13" ht="75" customHeight="1" thickTop="1" thickBot="1">
      <c r="A948" s="7"/>
      <c r="B948" s="8"/>
      <c r="C948" s="9"/>
      <c r="D948" s="10"/>
      <c r="E948" s="10"/>
      <c r="F948" s="10"/>
      <c r="G948" s="10"/>
      <c r="H948" s="10"/>
      <c r="I948" s="12"/>
      <c r="J948" s="13"/>
      <c r="K948" s="7"/>
      <c r="L948" s="67"/>
      <c r="M948" s="10"/>
    </row>
    <row r="949" spans="1:13" ht="75" customHeight="1" thickTop="1" thickBot="1">
      <c r="A949" s="7"/>
      <c r="B949" s="8"/>
      <c r="C949" s="9"/>
      <c r="D949" s="10"/>
      <c r="E949" s="10"/>
      <c r="F949" s="10"/>
      <c r="G949" s="10"/>
      <c r="H949" s="10"/>
      <c r="I949" s="12"/>
      <c r="J949" s="13"/>
      <c r="K949" s="7"/>
      <c r="L949" s="67"/>
      <c r="M949" s="10"/>
    </row>
    <row r="950" spans="1:13" ht="75" customHeight="1" thickTop="1" thickBot="1">
      <c r="A950" s="7"/>
      <c r="B950" s="8"/>
      <c r="C950" s="9"/>
      <c r="D950" s="10"/>
      <c r="E950" s="10"/>
      <c r="F950" s="10"/>
      <c r="G950" s="10"/>
      <c r="H950" s="10"/>
      <c r="I950" s="12"/>
      <c r="J950" s="13"/>
      <c r="K950" s="7"/>
      <c r="L950" s="67"/>
      <c r="M950" s="10"/>
    </row>
    <row r="951" spans="1:13" ht="75" customHeight="1" thickTop="1" thickBot="1">
      <c r="A951" s="7"/>
      <c r="B951" s="8"/>
      <c r="C951" s="9"/>
      <c r="D951" s="10"/>
      <c r="E951" s="10"/>
      <c r="F951" s="10"/>
      <c r="G951" s="10"/>
      <c r="H951" s="10"/>
      <c r="I951" s="12"/>
      <c r="J951" s="13"/>
      <c r="K951" s="7"/>
      <c r="L951" s="67"/>
      <c r="M951" s="10"/>
    </row>
    <row r="952" spans="1:13" ht="75" customHeight="1" thickTop="1" thickBot="1">
      <c r="A952" s="7"/>
      <c r="B952" s="8"/>
      <c r="C952" s="9"/>
      <c r="D952" s="10"/>
      <c r="E952" s="10"/>
      <c r="F952" s="10"/>
      <c r="G952" s="10"/>
      <c r="H952" s="10"/>
      <c r="I952" s="12"/>
      <c r="J952" s="13"/>
      <c r="K952" s="7"/>
      <c r="L952" s="67"/>
      <c r="M952" s="10"/>
    </row>
    <row r="953" spans="1:13" ht="75" customHeight="1" thickTop="1" thickBot="1">
      <c r="A953" s="7"/>
      <c r="B953" s="8"/>
      <c r="C953" s="9"/>
      <c r="D953" s="10"/>
      <c r="E953" s="10"/>
      <c r="F953" s="10"/>
      <c r="G953" s="10"/>
      <c r="H953" s="10"/>
      <c r="I953" s="12"/>
      <c r="J953" s="13"/>
      <c r="K953" s="7"/>
      <c r="L953" s="67"/>
      <c r="M953" s="10"/>
    </row>
    <row r="954" spans="1:13" ht="75" customHeight="1" thickTop="1" thickBot="1">
      <c r="A954" s="7"/>
      <c r="B954" s="8"/>
      <c r="C954" s="9"/>
      <c r="D954" s="10"/>
      <c r="E954" s="10"/>
      <c r="F954" s="10"/>
      <c r="G954" s="10"/>
      <c r="H954" s="10"/>
      <c r="I954" s="12"/>
      <c r="J954" s="13"/>
      <c r="K954" s="7"/>
      <c r="L954" s="67"/>
      <c r="M954" s="10"/>
    </row>
    <row r="955" spans="1:13" ht="75" customHeight="1" thickTop="1" thickBot="1">
      <c r="A955" s="7"/>
      <c r="B955" s="8"/>
      <c r="C955" s="9"/>
      <c r="D955" s="10"/>
      <c r="E955" s="10"/>
      <c r="F955" s="10"/>
      <c r="G955" s="10"/>
      <c r="H955" s="10"/>
      <c r="I955" s="12"/>
      <c r="J955" s="13"/>
      <c r="K955" s="7"/>
      <c r="L955" s="67"/>
      <c r="M955" s="10"/>
    </row>
    <row r="956" spans="1:13" ht="75" customHeight="1" thickTop="1" thickBot="1">
      <c r="A956" s="7"/>
      <c r="B956" s="8"/>
      <c r="C956" s="9"/>
      <c r="D956" s="10"/>
      <c r="E956" s="10"/>
      <c r="F956" s="10"/>
      <c r="G956" s="10"/>
      <c r="H956" s="10"/>
      <c r="I956" s="12"/>
      <c r="J956" s="13"/>
      <c r="K956" s="7"/>
      <c r="L956" s="67"/>
      <c r="M956" s="10"/>
    </row>
    <row r="957" spans="1:13" ht="75" customHeight="1" thickTop="1" thickBot="1">
      <c r="A957" s="7"/>
      <c r="B957" s="8"/>
      <c r="C957" s="9"/>
      <c r="D957" s="10"/>
      <c r="E957" s="10"/>
      <c r="F957" s="10"/>
      <c r="G957" s="10"/>
      <c r="H957" s="10"/>
      <c r="I957" s="12"/>
      <c r="J957" s="13"/>
      <c r="K957" s="7"/>
      <c r="L957" s="67"/>
      <c r="M957" s="10"/>
    </row>
    <row r="958" spans="1:13" ht="75" customHeight="1" thickTop="1" thickBot="1">
      <c r="A958" s="7"/>
      <c r="B958" s="8"/>
      <c r="C958" s="9"/>
      <c r="D958" s="10"/>
      <c r="E958" s="10"/>
      <c r="F958" s="10"/>
      <c r="G958" s="10"/>
      <c r="H958" s="10"/>
      <c r="I958" s="12"/>
      <c r="J958" s="13"/>
      <c r="K958" s="7"/>
      <c r="L958" s="67"/>
      <c r="M958" s="10"/>
    </row>
    <row r="959" spans="1:13" ht="75" customHeight="1" thickTop="1" thickBot="1">
      <c r="A959" s="7"/>
      <c r="B959" s="8"/>
      <c r="C959" s="9"/>
      <c r="D959" s="10"/>
      <c r="E959" s="10"/>
      <c r="F959" s="10"/>
      <c r="G959" s="10"/>
      <c r="H959" s="10"/>
      <c r="I959" s="12"/>
      <c r="J959" s="13"/>
      <c r="K959" s="7"/>
      <c r="L959" s="67"/>
      <c r="M959" s="10"/>
    </row>
    <row r="960" spans="1:13" ht="75" customHeight="1" thickTop="1" thickBot="1">
      <c r="A960" s="7"/>
      <c r="B960" s="8"/>
      <c r="C960" s="9"/>
      <c r="D960" s="10"/>
      <c r="E960" s="10"/>
      <c r="F960" s="10"/>
      <c r="G960" s="10"/>
      <c r="H960" s="10"/>
      <c r="I960" s="12"/>
      <c r="J960" s="13"/>
      <c r="K960" s="7"/>
      <c r="L960" s="67"/>
      <c r="M960" s="10"/>
    </row>
    <row r="961" spans="1:13" ht="75" customHeight="1" thickTop="1" thickBot="1">
      <c r="A961" s="7"/>
      <c r="B961" s="8"/>
      <c r="C961" s="9"/>
      <c r="D961" s="10"/>
      <c r="E961" s="10"/>
      <c r="F961" s="10"/>
      <c r="G961" s="10"/>
      <c r="H961" s="10"/>
      <c r="I961" s="12"/>
      <c r="J961" s="13"/>
      <c r="K961" s="7"/>
      <c r="L961" s="67"/>
      <c r="M961" s="10"/>
    </row>
    <row r="962" spans="1:13" ht="75" customHeight="1" thickTop="1" thickBot="1">
      <c r="A962" s="7"/>
      <c r="B962" s="8"/>
      <c r="C962" s="9"/>
      <c r="D962" s="10"/>
      <c r="E962" s="10"/>
      <c r="F962" s="10"/>
      <c r="G962" s="10"/>
      <c r="H962" s="10"/>
      <c r="I962" s="12"/>
      <c r="J962" s="13"/>
      <c r="K962" s="7"/>
      <c r="L962" s="67"/>
      <c r="M962" s="10"/>
    </row>
    <row r="963" spans="1:13" ht="75" customHeight="1" thickTop="1" thickBot="1">
      <c r="A963" s="7"/>
      <c r="B963" s="8"/>
      <c r="C963" s="9"/>
      <c r="D963" s="10"/>
      <c r="E963" s="10"/>
      <c r="F963" s="10"/>
      <c r="G963" s="10"/>
      <c r="H963" s="10"/>
      <c r="I963" s="12"/>
      <c r="J963" s="13"/>
      <c r="K963" s="7"/>
      <c r="L963" s="67"/>
      <c r="M963" s="10"/>
    </row>
    <row r="964" spans="1:13" ht="75" customHeight="1" thickTop="1" thickBot="1">
      <c r="A964" s="7"/>
      <c r="B964" s="8"/>
      <c r="C964" s="9"/>
      <c r="D964" s="10"/>
      <c r="E964" s="10"/>
      <c r="F964" s="10"/>
      <c r="G964" s="10"/>
      <c r="H964" s="10"/>
      <c r="I964" s="12"/>
      <c r="J964" s="13"/>
      <c r="K964" s="7"/>
      <c r="L964" s="67"/>
      <c r="M964" s="10"/>
    </row>
    <row r="965" spans="1:13" ht="75" customHeight="1" thickTop="1" thickBot="1">
      <c r="A965" s="7"/>
      <c r="B965" s="8"/>
      <c r="C965" s="9"/>
      <c r="D965" s="10"/>
      <c r="E965" s="10"/>
      <c r="F965" s="10"/>
      <c r="G965" s="10"/>
      <c r="H965" s="10"/>
      <c r="I965" s="12"/>
      <c r="J965" s="13"/>
      <c r="K965" s="7"/>
      <c r="L965" s="67"/>
      <c r="M965" s="10"/>
    </row>
    <row r="966" spans="1:13" ht="75" customHeight="1" thickTop="1" thickBot="1">
      <c r="A966" s="7"/>
      <c r="B966" s="8"/>
      <c r="C966" s="9"/>
      <c r="D966" s="10"/>
      <c r="E966" s="10"/>
      <c r="F966" s="10"/>
      <c r="G966" s="10"/>
      <c r="H966" s="10"/>
      <c r="I966" s="12"/>
      <c r="J966" s="13"/>
      <c r="K966" s="7"/>
      <c r="L966" s="67"/>
      <c r="M966" s="10"/>
    </row>
    <row r="967" spans="1:13" ht="75" customHeight="1" thickTop="1" thickBot="1">
      <c r="A967" s="7"/>
      <c r="B967" s="8"/>
      <c r="C967" s="9"/>
      <c r="D967" s="10"/>
      <c r="E967" s="10"/>
      <c r="F967" s="10"/>
      <c r="G967" s="10"/>
      <c r="H967" s="10"/>
      <c r="I967" s="12"/>
      <c r="J967" s="13"/>
      <c r="K967" s="7"/>
      <c r="L967" s="67"/>
      <c r="M967" s="10"/>
    </row>
    <row r="968" spans="1:13" ht="75" customHeight="1" thickTop="1" thickBot="1">
      <c r="A968" s="7"/>
      <c r="B968" s="8"/>
      <c r="C968" s="9"/>
      <c r="D968" s="10"/>
      <c r="E968" s="10"/>
      <c r="F968" s="10"/>
      <c r="G968" s="10"/>
      <c r="H968" s="10"/>
      <c r="I968" s="12"/>
      <c r="J968" s="13"/>
      <c r="K968" s="7"/>
      <c r="L968" s="67"/>
      <c r="M968" s="10"/>
    </row>
    <row r="969" spans="1:13" ht="75" customHeight="1" thickTop="1" thickBot="1">
      <c r="A969" s="7"/>
      <c r="B969" s="8"/>
      <c r="C969" s="9"/>
      <c r="D969" s="10"/>
      <c r="E969" s="10"/>
      <c r="F969" s="10"/>
      <c r="G969" s="10"/>
      <c r="H969" s="10"/>
      <c r="I969" s="12"/>
      <c r="J969" s="13"/>
      <c r="K969" s="7"/>
      <c r="L969" s="67"/>
      <c r="M969" s="10"/>
    </row>
    <row r="970" spans="1:13" ht="75" customHeight="1" thickTop="1" thickBot="1">
      <c r="A970" s="7"/>
      <c r="B970" s="8"/>
      <c r="C970" s="9"/>
      <c r="D970" s="10"/>
      <c r="E970" s="10"/>
      <c r="F970" s="10"/>
      <c r="G970" s="10"/>
      <c r="H970" s="10"/>
      <c r="I970" s="12"/>
      <c r="J970" s="13"/>
      <c r="K970" s="7"/>
      <c r="L970" s="67"/>
      <c r="M970" s="10"/>
    </row>
    <row r="971" spans="1:13" ht="75" customHeight="1" thickTop="1" thickBot="1">
      <c r="A971" s="7"/>
      <c r="B971" s="8"/>
      <c r="C971" s="9"/>
      <c r="D971" s="10"/>
      <c r="E971" s="10"/>
      <c r="F971" s="10"/>
      <c r="G971" s="10"/>
      <c r="H971" s="10"/>
      <c r="I971" s="12"/>
      <c r="J971" s="13"/>
      <c r="K971" s="7"/>
      <c r="L971" s="67"/>
      <c r="M971" s="10"/>
    </row>
    <row r="972" spans="1:13" ht="75" customHeight="1" thickTop="1" thickBot="1">
      <c r="A972" s="7"/>
      <c r="B972" s="8"/>
      <c r="C972" s="9"/>
      <c r="D972" s="10"/>
      <c r="E972" s="10"/>
      <c r="F972" s="10"/>
      <c r="G972" s="10"/>
      <c r="H972" s="10"/>
      <c r="I972" s="12"/>
      <c r="J972" s="13"/>
      <c r="K972" s="7"/>
      <c r="L972" s="67"/>
      <c r="M972" s="10"/>
    </row>
    <row r="973" spans="1:13" ht="75" customHeight="1" thickTop="1" thickBot="1">
      <c r="A973" s="7"/>
      <c r="B973" s="8"/>
      <c r="C973" s="9"/>
      <c r="D973" s="10"/>
      <c r="E973" s="10"/>
      <c r="F973" s="10"/>
      <c r="G973" s="10"/>
      <c r="H973" s="10"/>
      <c r="I973" s="12"/>
      <c r="J973" s="13"/>
      <c r="K973" s="7"/>
      <c r="L973" s="67"/>
      <c r="M973" s="10"/>
    </row>
    <row r="974" spans="1:13" ht="75" customHeight="1" thickTop="1" thickBot="1">
      <c r="A974" s="7"/>
      <c r="B974" s="8"/>
      <c r="C974" s="9"/>
      <c r="D974" s="10"/>
      <c r="E974" s="10"/>
      <c r="F974" s="10"/>
      <c r="G974" s="10"/>
      <c r="H974" s="10"/>
      <c r="I974" s="12"/>
      <c r="J974" s="13"/>
      <c r="K974" s="7"/>
      <c r="L974" s="67"/>
      <c r="M974" s="10"/>
    </row>
    <row r="975" spans="1:13" ht="75" customHeight="1" thickTop="1" thickBot="1">
      <c r="A975" s="7"/>
      <c r="B975" s="8"/>
      <c r="C975" s="9"/>
      <c r="D975" s="10"/>
      <c r="E975" s="10"/>
      <c r="F975" s="10"/>
      <c r="G975" s="10"/>
      <c r="H975" s="10"/>
      <c r="I975" s="12"/>
      <c r="J975" s="13"/>
      <c r="K975" s="7"/>
      <c r="L975" s="67"/>
      <c r="M975" s="10"/>
    </row>
    <row r="976" spans="1:13" ht="75" customHeight="1" thickTop="1" thickBot="1">
      <c r="A976" s="7"/>
      <c r="B976" s="8"/>
      <c r="C976" s="9"/>
      <c r="D976" s="10"/>
      <c r="E976" s="10"/>
      <c r="F976" s="10"/>
      <c r="G976" s="10"/>
      <c r="H976" s="10"/>
      <c r="I976" s="12"/>
      <c r="J976" s="13"/>
      <c r="K976" s="7"/>
      <c r="L976" s="67"/>
      <c r="M976" s="10"/>
    </row>
    <row r="977" spans="1:13" ht="75" customHeight="1" thickTop="1" thickBot="1">
      <c r="A977" s="7"/>
      <c r="B977" s="8"/>
      <c r="C977" s="9"/>
      <c r="D977" s="10"/>
      <c r="E977" s="10"/>
      <c r="F977" s="10"/>
      <c r="G977" s="10"/>
      <c r="H977" s="10"/>
      <c r="I977" s="12"/>
      <c r="J977" s="13"/>
      <c r="K977" s="7"/>
      <c r="L977" s="67"/>
      <c r="M977" s="10"/>
    </row>
    <row r="978" spans="1:13" ht="75" customHeight="1" thickTop="1" thickBot="1">
      <c r="A978" s="7"/>
      <c r="B978" s="8"/>
      <c r="C978" s="9"/>
      <c r="D978" s="10"/>
      <c r="E978" s="10"/>
      <c r="F978" s="10"/>
      <c r="G978" s="10"/>
      <c r="H978" s="10"/>
      <c r="I978" s="12"/>
      <c r="J978" s="13"/>
      <c r="K978" s="7"/>
      <c r="L978" s="67"/>
      <c r="M978" s="10"/>
    </row>
    <row r="979" spans="1:13" ht="75" customHeight="1" thickTop="1" thickBot="1">
      <c r="A979" s="7"/>
      <c r="B979" s="8"/>
      <c r="C979" s="9"/>
      <c r="D979" s="10"/>
      <c r="E979" s="10"/>
      <c r="F979" s="10"/>
      <c r="G979" s="10"/>
      <c r="H979" s="10"/>
      <c r="I979" s="12"/>
      <c r="J979" s="13"/>
      <c r="K979" s="7"/>
      <c r="L979" s="67"/>
      <c r="M979" s="10"/>
    </row>
    <row r="980" spans="1:13" ht="75" customHeight="1" thickTop="1" thickBot="1">
      <c r="A980" s="7"/>
      <c r="B980" s="8"/>
      <c r="C980" s="9"/>
      <c r="D980" s="10"/>
      <c r="E980" s="10"/>
      <c r="F980" s="10"/>
      <c r="G980" s="10"/>
      <c r="H980" s="10"/>
      <c r="I980" s="12"/>
      <c r="J980" s="13"/>
      <c r="K980" s="7"/>
      <c r="L980" s="67"/>
      <c r="M980" s="10"/>
    </row>
    <row r="981" spans="1:13" ht="75" customHeight="1" thickTop="1" thickBot="1">
      <c r="A981" s="7"/>
      <c r="B981" s="8"/>
      <c r="C981" s="9"/>
      <c r="D981" s="10"/>
      <c r="E981" s="10"/>
      <c r="F981" s="10"/>
      <c r="G981" s="10"/>
      <c r="H981" s="10"/>
      <c r="I981" s="12"/>
      <c r="J981" s="13"/>
      <c r="K981" s="7"/>
      <c r="L981" s="67"/>
      <c r="M981" s="10"/>
    </row>
    <row r="982" spans="1:13" ht="75" customHeight="1" thickTop="1" thickBot="1">
      <c r="A982" s="7"/>
      <c r="B982" s="8"/>
      <c r="C982" s="9"/>
      <c r="D982" s="10"/>
      <c r="E982" s="10"/>
      <c r="F982" s="10"/>
      <c r="G982" s="10"/>
      <c r="H982" s="10"/>
      <c r="I982" s="12"/>
      <c r="J982" s="13"/>
      <c r="K982" s="7"/>
      <c r="L982" s="67"/>
      <c r="M982" s="10"/>
    </row>
    <row r="983" spans="1:13" ht="75" customHeight="1" thickTop="1" thickBot="1">
      <c r="A983" s="7"/>
      <c r="B983" s="8"/>
      <c r="C983" s="9"/>
      <c r="D983" s="10"/>
      <c r="E983" s="10"/>
      <c r="F983" s="10"/>
      <c r="G983" s="10"/>
      <c r="H983" s="10"/>
      <c r="I983" s="12"/>
      <c r="J983" s="13"/>
      <c r="K983" s="7"/>
      <c r="L983" s="67"/>
      <c r="M983" s="10"/>
    </row>
    <row r="984" spans="1:13" ht="75" customHeight="1" thickTop="1" thickBot="1">
      <c r="A984" s="7"/>
      <c r="B984" s="8"/>
      <c r="C984" s="9"/>
      <c r="D984" s="10"/>
      <c r="E984" s="10"/>
      <c r="F984" s="10"/>
      <c r="G984" s="10"/>
      <c r="H984" s="10"/>
      <c r="I984" s="12"/>
      <c r="J984" s="13"/>
      <c r="K984" s="7"/>
      <c r="L984" s="67"/>
      <c r="M984" s="10"/>
    </row>
    <row r="985" spans="1:13" ht="75" customHeight="1" thickTop="1" thickBot="1">
      <c r="A985" s="7"/>
      <c r="B985" s="8"/>
      <c r="C985" s="9"/>
      <c r="D985" s="10"/>
      <c r="E985" s="10"/>
      <c r="F985" s="10"/>
      <c r="G985" s="10"/>
      <c r="H985" s="10"/>
      <c r="I985" s="12"/>
      <c r="J985" s="13"/>
      <c r="K985" s="7"/>
      <c r="L985" s="67"/>
      <c r="M985" s="10"/>
    </row>
    <row r="986" spans="1:13" ht="75" customHeight="1" thickTop="1" thickBot="1">
      <c r="A986" s="7"/>
      <c r="B986" s="8"/>
      <c r="C986" s="9"/>
      <c r="D986" s="10"/>
      <c r="E986" s="10"/>
      <c r="F986" s="10"/>
      <c r="G986" s="10"/>
      <c r="H986" s="10"/>
      <c r="I986" s="12"/>
      <c r="J986" s="13"/>
      <c r="K986" s="7"/>
      <c r="L986" s="67"/>
      <c r="M986" s="10"/>
    </row>
    <row r="987" spans="1:13" ht="75" customHeight="1" thickTop="1" thickBot="1">
      <c r="A987" s="7"/>
      <c r="B987" s="8"/>
      <c r="C987" s="9"/>
      <c r="D987" s="10"/>
      <c r="E987" s="10"/>
      <c r="F987" s="10"/>
      <c r="G987" s="10"/>
      <c r="H987" s="10"/>
      <c r="I987" s="12"/>
      <c r="J987" s="13"/>
      <c r="K987" s="7"/>
      <c r="L987" s="67"/>
      <c r="M987" s="10"/>
    </row>
    <row r="988" spans="1:13" ht="75" customHeight="1" thickTop="1" thickBot="1">
      <c r="A988" s="7"/>
      <c r="B988" s="8"/>
      <c r="C988" s="9"/>
      <c r="D988" s="10"/>
      <c r="E988" s="10"/>
      <c r="F988" s="10"/>
      <c r="G988" s="10"/>
      <c r="H988" s="10"/>
      <c r="I988" s="12"/>
      <c r="J988" s="13"/>
      <c r="K988" s="7"/>
      <c r="L988" s="67"/>
      <c r="M988" s="10"/>
    </row>
    <row r="989" spans="1:13" ht="75" customHeight="1" thickTop="1" thickBot="1">
      <c r="A989" s="7"/>
      <c r="B989" s="8"/>
      <c r="C989" s="9"/>
      <c r="D989" s="10"/>
      <c r="E989" s="10"/>
      <c r="F989" s="10"/>
      <c r="G989" s="10"/>
      <c r="H989" s="10"/>
      <c r="I989" s="12"/>
      <c r="J989" s="13"/>
      <c r="K989" s="7"/>
      <c r="L989" s="67"/>
      <c r="M989" s="10"/>
    </row>
    <row r="990" spans="1:13" ht="75" customHeight="1" thickTop="1" thickBot="1">
      <c r="A990" s="7"/>
      <c r="B990" s="8"/>
      <c r="C990" s="9"/>
      <c r="D990" s="10"/>
      <c r="E990" s="10"/>
      <c r="F990" s="10"/>
      <c r="G990" s="10"/>
      <c r="H990" s="10"/>
      <c r="I990" s="12"/>
      <c r="J990" s="13"/>
      <c r="K990" s="7"/>
      <c r="L990" s="67"/>
      <c r="M990" s="10"/>
    </row>
    <row r="991" spans="1:13" ht="75" customHeight="1" thickTop="1" thickBot="1">
      <c r="A991" s="7"/>
      <c r="B991" s="8"/>
      <c r="C991" s="9"/>
      <c r="D991" s="10"/>
      <c r="E991" s="10"/>
      <c r="F991" s="10"/>
      <c r="G991" s="10"/>
      <c r="H991" s="10"/>
      <c r="I991" s="12"/>
      <c r="J991" s="13"/>
      <c r="K991" s="7"/>
      <c r="L991" s="67"/>
      <c r="M991" s="10"/>
    </row>
    <row r="992" spans="1:13" ht="75" customHeight="1" thickTop="1" thickBot="1">
      <c r="A992" s="7"/>
      <c r="B992" s="8"/>
      <c r="C992" s="9"/>
      <c r="D992" s="10"/>
      <c r="E992" s="10"/>
      <c r="F992" s="10"/>
      <c r="G992" s="10"/>
      <c r="H992" s="10"/>
      <c r="I992" s="12"/>
      <c r="J992" s="13"/>
      <c r="K992" s="7"/>
      <c r="L992" s="67"/>
      <c r="M992" s="10"/>
    </row>
    <row r="993" spans="1:13" ht="75" customHeight="1" thickTop="1" thickBot="1">
      <c r="A993" s="7"/>
      <c r="B993" s="8"/>
      <c r="C993" s="9"/>
      <c r="D993" s="10"/>
      <c r="E993" s="10"/>
      <c r="F993" s="10"/>
      <c r="G993" s="10"/>
      <c r="H993" s="10"/>
      <c r="I993" s="12"/>
      <c r="J993" s="13"/>
      <c r="K993" s="7"/>
      <c r="L993" s="67"/>
      <c r="M993" s="10"/>
    </row>
    <row r="994" spans="1:13" ht="75" customHeight="1" thickTop="1" thickBot="1">
      <c r="A994" s="7"/>
      <c r="B994" s="8"/>
      <c r="C994" s="9"/>
      <c r="D994" s="10"/>
      <c r="E994" s="10"/>
      <c r="F994" s="10"/>
      <c r="G994" s="10"/>
      <c r="H994" s="10"/>
      <c r="I994" s="12"/>
      <c r="J994" s="13"/>
      <c r="K994" s="7"/>
      <c r="L994" s="67"/>
      <c r="M994" s="10"/>
    </row>
    <row r="995" spans="1:13" ht="75" customHeight="1" thickTop="1" thickBot="1">
      <c r="A995" s="7"/>
      <c r="B995" s="8"/>
      <c r="C995" s="9"/>
      <c r="D995" s="10"/>
      <c r="E995" s="10"/>
      <c r="F995" s="10"/>
      <c r="G995" s="10"/>
      <c r="H995" s="10"/>
      <c r="I995" s="12"/>
      <c r="J995" s="13"/>
      <c r="K995" s="7"/>
      <c r="L995" s="67"/>
      <c r="M995" s="10"/>
    </row>
    <row r="996" spans="1:13" ht="75" customHeight="1" thickTop="1" thickBot="1">
      <c r="A996" s="7"/>
      <c r="B996" s="8"/>
      <c r="C996" s="9"/>
      <c r="D996" s="10"/>
      <c r="E996" s="10"/>
      <c r="F996" s="10"/>
      <c r="G996" s="10"/>
      <c r="H996" s="10"/>
      <c r="I996" s="12"/>
      <c r="J996" s="13"/>
      <c r="K996" s="7"/>
      <c r="L996" s="67"/>
      <c r="M996" s="10"/>
    </row>
    <row r="997" spans="1:13" ht="75" customHeight="1" thickTop="1" thickBot="1">
      <c r="A997" s="7"/>
      <c r="B997" s="8"/>
      <c r="C997" s="9"/>
      <c r="D997" s="10"/>
      <c r="E997" s="10"/>
      <c r="F997" s="10"/>
      <c r="G997" s="10"/>
      <c r="H997" s="10"/>
      <c r="I997" s="12"/>
      <c r="J997" s="13"/>
      <c r="K997" s="7"/>
      <c r="L997" s="67"/>
      <c r="M997" s="10"/>
    </row>
    <row r="998" spans="1:13" ht="75" customHeight="1" thickTop="1" thickBot="1">
      <c r="A998" s="7"/>
      <c r="B998" s="8"/>
      <c r="C998" s="9"/>
      <c r="D998" s="10"/>
      <c r="E998" s="10"/>
      <c r="F998" s="10"/>
      <c r="G998" s="10"/>
      <c r="H998" s="10"/>
      <c r="I998" s="12"/>
      <c r="J998" s="13"/>
      <c r="K998" s="7"/>
      <c r="L998" s="67"/>
      <c r="M998" s="10"/>
    </row>
  </sheetData>
  <customSheetViews>
    <customSheetView guid="{DEFAECCF-EBBD-406D-BCDE-E68D508B403D}" filter="1" showAutoFilter="1">
      <pageMargins left="0.7" right="0.7" top="0.75" bottom="0.75" header="0.3" footer="0.3"/>
      <autoFilter ref="A1:O998" xr:uid="{B66B6C5A-4676-43D4-B5CA-6EAD428019F6}"/>
    </customSheetView>
    <customSheetView guid="{230B7950-A2D8-4702-A7AE-58086CEB2B82}" filter="1" showAutoFilter="1">
      <pageMargins left="0.7" right="0.7" top="0.75" bottom="0.75" header="0.3" footer="0.3"/>
      <autoFilter ref="A1:O998" xr:uid="{926D1304-8A29-4A4C-B83A-D557189CA7E1}"/>
    </customSheetView>
    <customSheetView guid="{9CD84C83-20A6-43E9-845B-58E81C83F28A}" filter="1" showAutoFilter="1">
      <pageMargins left="0.7" right="0.7" top="0.75" bottom="0.75" header="0.3" footer="0.3"/>
      <autoFilter ref="A1:O998" xr:uid="{3B2796EA-6B91-4C5D-B090-8A02F0462E45}"/>
    </customSheetView>
  </customSheetViews>
  <conditionalFormatting sqref="A2:A998">
    <cfRule type="expression" dxfId="9" priority="1">
      <formula>AND($A2&lt;&gt;"", TRIM($J2)="")</formula>
    </cfRule>
    <cfRule type="expression" dxfId="8" priority="2">
      <formula>INT($A2) &lt; TODAY()</formula>
    </cfRule>
    <cfRule type="expression" dxfId="7" priority="3">
      <formula>INT($A2) = TODAY()</formula>
    </cfRule>
  </conditionalFormatting>
  <dataValidations count="2">
    <dataValidation type="list" allowBlank="1" sqref="I2:I998" xr:uid="{00000000-0002-0000-0100-000000000000}">
      <formula1>#REF!</formula1>
    </dataValidation>
    <dataValidation type="list" allowBlank="1" sqref="J2:J998" xr:uid="{00000000-0002-0000-0100-000001000000}">
      <formula1>"منجز,ملغي,تابع للتربية,مؤجل"</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L1000"/>
  <sheetViews>
    <sheetView showGridLines="0" workbookViewId="0">
      <pane ySplit="1" topLeftCell="A2" activePane="bottomLeft" state="frozen"/>
      <selection activeCell="G18" sqref="G18"/>
      <selection pane="bottomLeft" activeCell="L111" sqref="A2:L111"/>
    </sheetView>
  </sheetViews>
  <sheetFormatPr defaultColWidth="12.5546875" defaultRowHeight="15.75" customHeight="1"/>
  <cols>
    <col min="1" max="1" width="24.88671875" bestFit="1" customWidth="1"/>
    <col min="2" max="2" width="8.33203125" customWidth="1"/>
    <col min="3" max="3" width="19.33203125" customWidth="1"/>
    <col min="4" max="4" width="13.109375" customWidth="1"/>
    <col min="5" max="7" width="25.109375" customWidth="1"/>
    <col min="8" max="8" width="18.88671875" customWidth="1"/>
    <col min="9" max="9" width="16.44140625" customWidth="1"/>
    <col min="10" max="10" width="29" customWidth="1"/>
    <col min="11" max="11" width="24.88671875" bestFit="1" customWidth="1"/>
  </cols>
  <sheetData>
    <row r="1" spans="1:12" ht="37.5" customHeight="1" thickBot="1">
      <c r="A1" s="40" t="s">
        <v>0</v>
      </c>
      <c r="B1" s="41" t="s">
        <v>1</v>
      </c>
      <c r="C1" s="42" t="s">
        <v>2</v>
      </c>
      <c r="D1" s="43" t="s">
        <v>3</v>
      </c>
      <c r="E1" s="43" t="s">
        <v>4</v>
      </c>
      <c r="F1" s="43" t="s">
        <v>5</v>
      </c>
      <c r="G1" s="43" t="s">
        <v>6</v>
      </c>
      <c r="H1" s="43" t="s">
        <v>7</v>
      </c>
      <c r="I1" s="44" t="s">
        <v>8</v>
      </c>
      <c r="J1" s="44" t="s">
        <v>9</v>
      </c>
      <c r="K1" s="45" t="s">
        <v>10</v>
      </c>
      <c r="L1" s="46" t="s">
        <v>11</v>
      </c>
    </row>
    <row r="2" spans="1:12" ht="75" customHeight="1" thickTop="1" thickBot="1">
      <c r="A2" s="47">
        <f ca="1">IFERROR(__xludf.DUMMYFUNCTION("""COMPUTED_VALUE"""),45967.4973869213)</f>
        <v>45967.497386921299</v>
      </c>
      <c r="B2" s="48" t="str">
        <f ca="1">IFERROR(__xludf.DUMMYFUNCTION("""COMPUTED_VALUE"""),"الحر")</f>
        <v>الحر</v>
      </c>
      <c r="C2" s="49" t="str">
        <f ca="1">IFERROR(__xludf.DUMMYFUNCTION("""COMPUTED_VALUE"""),"علي فالح ")</f>
        <v xml:space="preserve">علي فالح </v>
      </c>
      <c r="D2" s="50" t="str">
        <f ca="1">IFERROR(__xludf.DUMMYFUNCTION("""COMPUTED_VALUE"""),"قسم التربية والتعليم العالي")</f>
        <v>قسم التربية والتعليم العالي</v>
      </c>
      <c r="E2" s="50" t="str">
        <f ca="1">IFERROR(__xludf.DUMMYFUNCTION("""COMPUTED_VALUE"""),"C- المتوسطة (البناية 3)")</f>
        <v>C- المتوسطة (البناية 3)</v>
      </c>
      <c r="F2" s="50" t="str">
        <f ca="1">IFERROR(__xludf.DUMMYFUNCTION("""COMPUTED_VALUE"""),"ZONE A - الطابق الارضي")</f>
        <v>ZONE A - الطابق الارضي</v>
      </c>
      <c r="G2" s="50" t="str">
        <f ca="1">IFERROR(__xludf.DUMMYFUNCTION("""COMPUTED_VALUE"""),"المصعد يصدر صوت عالي ومزعج يرجى التحري عن الموضوع وإجراء اللازم مع وافر الشكر والتقدير ")</f>
        <v xml:space="preserve">المصعد يصدر صوت عالي ومزعج يرجى التحري عن الموضوع وإجراء اللازم مع وافر الشكر والتقدير </v>
      </c>
      <c r="H2" s="50" t="str">
        <f ca="1">IFERROR(__xludf.DUMMYFUNCTION("""COMPUTED_VALUE"""),"تبليغ الاستاذ علي فالح")</f>
        <v>تبليغ الاستاذ علي فالح</v>
      </c>
      <c r="I2" s="52" t="s">
        <v>13</v>
      </c>
      <c r="J2" s="53" t="s">
        <v>14</v>
      </c>
      <c r="K2" s="47" t="s">
        <v>729</v>
      </c>
      <c r="L2" s="54" t="s">
        <v>730</v>
      </c>
    </row>
    <row r="3" spans="1:12" ht="75" customHeight="1" thickTop="1" thickBot="1">
      <c r="A3" s="47">
        <f ca="1">IFERROR(__xludf.DUMMYFUNCTION("""COMPUTED_VALUE"""),45970.4642169213)</f>
        <v>45970.464216921297</v>
      </c>
      <c r="B3" s="48" t="str">
        <f ca="1">IFERROR(__xludf.DUMMYFUNCTION("""COMPUTED_VALUE"""),"الحر")</f>
        <v>الحر</v>
      </c>
      <c r="C3" s="49" t="str">
        <f ca="1">IFERROR(__xludf.DUMMYFUNCTION("""COMPUTED_VALUE"""),"عيسى صالح الكلابي ")</f>
        <v xml:space="preserve">عيسى صالح الكلابي </v>
      </c>
      <c r="D3" s="50" t="str">
        <f ca="1">IFERROR(__xludf.DUMMYFUNCTION("""COMPUTED_VALUE"""),"قسم المشاريع الهندسية")</f>
        <v>قسم المشاريع الهندسية</v>
      </c>
      <c r="E3" s="50" t="str">
        <f ca="1">IFERROR(__xludf.DUMMYFUNCTION("""COMPUTED_VALUE"""),"B- الابتدائية (البناية 2), صحيات القاعة الرياضية المطلى على البناية الاولى ")</f>
        <v xml:space="preserve">B- الابتدائية (البناية 2), صحيات القاعة الرياضية المطلى على البناية الاولى </v>
      </c>
      <c r="F3" s="50" t="str">
        <f ca="1">IFERROR(__xludf.DUMMYFUNCTION("""COMPUTED_VALUE"""),"الطابق الارضي ")</f>
        <v xml:space="preserve">الطابق الارضي </v>
      </c>
      <c r="G3" s="50" t="str">
        <f ca="1">IFERROR(__xludf.DUMMYFUNCTION("""COMPUTED_VALUE"""),"صيانة سبور لايت")</f>
        <v>صيانة سبور لايت</v>
      </c>
      <c r="H3" s="50"/>
      <c r="I3" s="52" t="s">
        <v>13</v>
      </c>
      <c r="J3" s="53" t="s">
        <v>14</v>
      </c>
      <c r="K3" s="47" t="s">
        <v>734</v>
      </c>
      <c r="L3" s="54"/>
    </row>
    <row r="4" spans="1:12" ht="75" customHeight="1" thickTop="1" thickBot="1">
      <c r="A4" s="47">
        <f ca="1">IFERROR(__xludf.DUMMYFUNCTION("""COMPUTED_VALUE"""),45977.4685966898)</f>
        <v>45977.468596689803</v>
      </c>
      <c r="B4" s="48" t="str">
        <f ca="1">IFERROR(__xludf.DUMMYFUNCTION("""COMPUTED_VALUE"""),"الحر")</f>
        <v>الحر</v>
      </c>
      <c r="C4" s="49" t="str">
        <f ca="1">IFERROR(__xludf.DUMMYFUNCTION("""COMPUTED_VALUE"""),"علي الرضا ")</f>
        <v xml:space="preserve">علي الرضا </v>
      </c>
      <c r="D4" s="50" t="str">
        <f ca="1">IFERROR(__xludf.DUMMYFUNCTION("""COMPUTED_VALUE"""),"قسم المشاريع الهندسية")</f>
        <v>قسم المشاريع الهندسية</v>
      </c>
      <c r="E4" s="50" t="str">
        <f ca="1">IFERROR(__xludf.DUMMYFUNCTION("""COMPUTED_VALUE"""),"C- المتوسطة (البناية 3)")</f>
        <v>C- المتوسطة (البناية 3)</v>
      </c>
      <c r="F4" s="50" t="str">
        <f ca="1">IFERROR(__xludf.DUMMYFUNCTION("""COMPUTED_VALUE"""),"ZONE B - الطابق الثاني")</f>
        <v>ZONE B - الطابق الثاني</v>
      </c>
      <c r="G4" s="50" t="str">
        <f ca="1">IFERROR(__xludf.DUMMYFUNCTION("""COMPUTED_VALUE"""),"استبدال هيتر تالف في إحدى السخانات ")</f>
        <v xml:space="preserve">استبدال هيتر تالف في إحدى السخانات </v>
      </c>
      <c r="H4" s="50"/>
      <c r="I4" s="52" t="s">
        <v>13</v>
      </c>
      <c r="J4" s="53" t="s">
        <v>14</v>
      </c>
      <c r="K4" s="47"/>
      <c r="L4" s="54" t="s">
        <v>738</v>
      </c>
    </row>
    <row r="5" spans="1:12" ht="75" customHeight="1" thickTop="1" thickBot="1">
      <c r="A5" s="55">
        <f ca="1">IFERROR(__xludf.DUMMYFUNCTION("""COMPUTED_VALUE"""),45977.4695771064)</f>
        <v>45977.4695771064</v>
      </c>
      <c r="B5" s="56" t="str">
        <f ca="1">IFERROR(__xludf.DUMMYFUNCTION("""COMPUTED_VALUE"""),"الحر")</f>
        <v>الحر</v>
      </c>
      <c r="C5" s="57" t="str">
        <f ca="1">IFERROR(__xludf.DUMMYFUNCTION("""COMPUTED_VALUE"""),"علي الرضا ")</f>
        <v xml:space="preserve">علي الرضا </v>
      </c>
      <c r="D5" s="58" t="str">
        <f ca="1">IFERROR(__xludf.DUMMYFUNCTION("""COMPUTED_VALUE"""),"قسم المشاريع الهندسية")</f>
        <v>قسم المشاريع الهندسية</v>
      </c>
      <c r="E5" s="58" t="str">
        <f ca="1">IFERROR(__xludf.DUMMYFUNCTION("""COMPUTED_VALUE"""),"موقع المولدات")</f>
        <v>موقع المولدات</v>
      </c>
      <c r="F5" s="58" t="str">
        <f ca="1">IFERROR(__xludf.DUMMYFUNCTION("""COMPUTED_VALUE"""),"المولدات")</f>
        <v>المولدات</v>
      </c>
      <c r="G5" s="58" t="str">
        <f ca="1">IFERROR(__xludf.DUMMYFUNCTION("""COMPUTED_VALUE"""),"تنظيف بوردات السيطرة في غرفة التزامن ( السنكرو) ")</f>
        <v xml:space="preserve">تنظيف بوردات السيطرة في غرفة التزامن ( السنكرو) </v>
      </c>
      <c r="H5" s="58"/>
      <c r="I5" s="60" t="s">
        <v>13</v>
      </c>
      <c r="J5" s="61" t="s">
        <v>14</v>
      </c>
      <c r="K5" s="55"/>
      <c r="L5" s="62" t="s">
        <v>738</v>
      </c>
    </row>
    <row r="6" spans="1:12" ht="75" customHeight="1" thickTop="1" thickBot="1">
      <c r="A6" s="47">
        <f ca="1">IFERROR(__xludf.DUMMYFUNCTION("""COMPUTED_VALUE"""),45977.4707885995)</f>
        <v>45977.470788599501</v>
      </c>
      <c r="B6" s="48" t="str">
        <f ca="1">IFERROR(__xludf.DUMMYFUNCTION("""COMPUTED_VALUE"""),"الحر")</f>
        <v>الحر</v>
      </c>
      <c r="C6" s="49" t="str">
        <f ca="1">IFERROR(__xludf.DUMMYFUNCTION("""COMPUTED_VALUE"""),"علي الرضا رشاد ")</f>
        <v xml:space="preserve">علي الرضا رشاد </v>
      </c>
      <c r="D6" s="50" t="str">
        <f ca="1">IFERROR(__xludf.DUMMYFUNCTION("""COMPUTED_VALUE"""),"قسم المشاريع الهندسية")</f>
        <v>قسم المشاريع الهندسية</v>
      </c>
      <c r="E6" s="50" t="str">
        <f ca="1">IFERROR(__xludf.DUMMYFUNCTION("""COMPUTED_VALUE"""),"A- الابتدائية (البناية 1), C- المتوسطة (البناية 3), D- الاعدادية (البناية 4)")</f>
        <v>A- الابتدائية (البناية 1), C- المتوسطة (البناية 3), D- الاعدادية (البناية 4)</v>
      </c>
      <c r="F6" s="50" t="str">
        <f ca="1">IFERROR(__xludf.DUMMYFUNCTION("""COMPUTED_VALUE"""),"المصعد")</f>
        <v>المصعد</v>
      </c>
      <c r="G6" s="50" t="str">
        <f ca="1">IFERROR(__xludf.DUMMYFUNCTION("""COMPUTED_VALUE"""),"تنظيف سكك المصاعد الكهربائية ")</f>
        <v xml:space="preserve">تنظيف سكك المصاعد الكهربائية </v>
      </c>
      <c r="H6" s="50"/>
      <c r="I6" s="52" t="s">
        <v>13</v>
      </c>
      <c r="J6" s="53" t="s">
        <v>14</v>
      </c>
      <c r="K6" s="47"/>
      <c r="L6" s="54" t="s">
        <v>738</v>
      </c>
    </row>
    <row r="7" spans="1:12" ht="75" customHeight="1" thickTop="1" thickBot="1">
      <c r="A7" s="55">
        <f ca="1">IFERROR(__xludf.DUMMYFUNCTION("""COMPUTED_VALUE"""),45978.4147649421)</f>
        <v>45978.414764942099</v>
      </c>
      <c r="B7" s="56" t="str">
        <f ca="1">IFERROR(__xludf.DUMMYFUNCTION("""COMPUTED_VALUE"""),"الحر")</f>
        <v>الحر</v>
      </c>
      <c r="C7" s="57" t="str">
        <f ca="1">IFERROR(__xludf.DUMMYFUNCTION("""COMPUTED_VALUE"""),"مدير المدرسة")</f>
        <v>مدير المدرسة</v>
      </c>
      <c r="D7" s="58" t="str">
        <f ca="1">IFERROR(__xludf.DUMMYFUNCTION("""COMPUTED_VALUE"""),"قسم التربية والتعليم العالي")</f>
        <v>قسم التربية والتعليم العالي</v>
      </c>
      <c r="E7" s="58" t="str">
        <f ca="1">IFERROR(__xludf.DUMMYFUNCTION("""COMPUTED_VALUE"""),"A- الابتدائية (البناية 1)")</f>
        <v>A- الابتدائية (البناية 1)</v>
      </c>
      <c r="F7" s="58" t="str">
        <f ca="1">IFERROR(__xludf.DUMMYFUNCTION("""COMPUTED_VALUE"""),"ZONE B - الطابق الاول")</f>
        <v>ZONE B - الطابق الاول</v>
      </c>
      <c r="G7" s="58" t="str">
        <f ca="1">IFERROR(__xludf.DUMMYFUNCTION("""COMPUTED_VALUE"""),"مراوح صف الأول د لاتعمل ")</f>
        <v xml:space="preserve">مراوح صف الأول د لاتعمل </v>
      </c>
      <c r="H7" s="58" t="str">
        <f ca="1">IFERROR(__xludf.DUMMYFUNCTION("""COMPUTED_VALUE"""),"تم استخدام ريمونت ولم تعمل أيضا ")</f>
        <v xml:space="preserve">تم استخدام ريمونت ولم تعمل أيضا </v>
      </c>
      <c r="I7" s="60" t="s">
        <v>13</v>
      </c>
      <c r="J7" s="61" t="s">
        <v>14</v>
      </c>
      <c r="K7" s="55">
        <v>45978.488566030093</v>
      </c>
      <c r="L7" s="62"/>
    </row>
    <row r="8" spans="1:12" ht="75" customHeight="1" thickTop="1" thickBot="1">
      <c r="A8" s="47">
        <f ca="1">IFERROR(__xludf.DUMMYFUNCTION("""COMPUTED_VALUE"""),45979.3092139467)</f>
        <v>45979.309213946697</v>
      </c>
      <c r="B8" s="48" t="str">
        <f ca="1">IFERROR(__xludf.DUMMYFUNCTION("""COMPUTED_VALUE"""),"الحر")</f>
        <v>الحر</v>
      </c>
      <c r="C8" s="49" t="str">
        <f ca="1">IFERROR(__xludf.DUMMYFUNCTION("""COMPUTED_VALUE"""),"مثنى هلال ")</f>
        <v xml:space="preserve">مثنى هلال </v>
      </c>
      <c r="D8" s="50" t="str">
        <f ca="1">IFERROR(__xludf.DUMMYFUNCTION("""COMPUTED_VALUE"""),"قسم التربية والتعليم العالي")</f>
        <v>قسم التربية والتعليم العالي</v>
      </c>
      <c r="E8" s="50" t="str">
        <f ca="1">IFERROR(__xludf.DUMMYFUNCTION("""COMPUTED_VALUE"""),"D- الاعدادية (البناية 4)")</f>
        <v>D- الاعدادية (البناية 4)</v>
      </c>
      <c r="F8" s="50" t="str">
        <f ca="1">IFERROR(__xludf.DUMMYFUNCTION("""COMPUTED_VALUE"""),"ZONE A - الطابق الارضي")</f>
        <v>ZONE A - الطابق الارضي</v>
      </c>
      <c r="G8" s="50" t="str">
        <f ca="1">IFERROR(__xludf.DUMMYFUNCTION("""COMPUTED_VALUE"""),"انارة السقف الثانويه في الاستعلامات معطله (ترمش) ")</f>
        <v xml:space="preserve">انارة السقف الثانويه في الاستعلامات معطله (ترمش) </v>
      </c>
      <c r="H8" s="50" t="str">
        <f ca="1">IFERROR(__xludf.DUMMYFUNCTION("""COMPUTED_VALUE"""),"في واجهة الاستعلامات فوق اللوحة التعريفية")</f>
        <v>في واجهة الاستعلامات فوق اللوحة التعريفية</v>
      </c>
      <c r="I8" s="52" t="s">
        <v>13</v>
      </c>
      <c r="J8" s="53" t="s">
        <v>14</v>
      </c>
      <c r="K8" s="47">
        <v>45979.363786527778</v>
      </c>
      <c r="L8" s="54"/>
    </row>
    <row r="9" spans="1:12" ht="75" customHeight="1" thickTop="1" thickBot="1">
      <c r="A9" s="47">
        <f ca="1">IFERROR(__xludf.DUMMYFUNCTION("""COMPUTED_VALUE"""),45979.4495026157)</f>
        <v>45979.449502615702</v>
      </c>
      <c r="B9" s="48" t="str">
        <f ca="1">IFERROR(__xludf.DUMMYFUNCTION("""COMPUTED_VALUE"""),"الحر")</f>
        <v>الحر</v>
      </c>
      <c r="C9" s="49" t="str">
        <f ca="1">IFERROR(__xludf.DUMMYFUNCTION("""COMPUTED_VALUE"""),"رضا حمودي محمد حسين ")</f>
        <v xml:space="preserve">رضا حمودي محمد حسين </v>
      </c>
      <c r="D9" s="50" t="str">
        <f ca="1">IFERROR(__xludf.DUMMYFUNCTION("""COMPUTED_VALUE"""),"قسم المشاريع الهندسية")</f>
        <v>قسم المشاريع الهندسية</v>
      </c>
      <c r="E9" s="50" t="str">
        <f ca="1">IFERROR(__xludf.DUMMYFUNCTION("""COMPUTED_VALUE"""),"C- المتوسطة (البناية 3)")</f>
        <v>C- المتوسطة (البناية 3)</v>
      </c>
      <c r="F9" s="50" t="str">
        <f ca="1">IFERROR(__xludf.DUMMYFUNCTION("""COMPUTED_VALUE"""),"ZONE A - الطابق الارضي")</f>
        <v>ZONE A - الطابق الارضي</v>
      </c>
      <c r="G9" s="50" t="str">
        <f ca="1">IFERROR(__xludf.DUMMYFUNCTION("""COMPUTED_VALUE"""),"استبدال هيتر و اوتوماتيك تالف ")</f>
        <v xml:space="preserve">استبدال هيتر و اوتوماتيك تالف </v>
      </c>
      <c r="H9" s="50"/>
      <c r="I9" s="52" t="s">
        <v>13</v>
      </c>
      <c r="J9" s="53" t="s">
        <v>14</v>
      </c>
      <c r="K9" s="47">
        <v>45979.45372513889</v>
      </c>
      <c r="L9" s="54"/>
    </row>
    <row r="10" spans="1:12" ht="75" customHeight="1" thickTop="1" thickBot="1">
      <c r="A10" s="55">
        <f ca="1">IFERROR(__xludf.DUMMYFUNCTION("""COMPUTED_VALUE"""),45979.4503659837)</f>
        <v>45979.450365983699</v>
      </c>
      <c r="B10" s="56" t="str">
        <f ca="1">IFERROR(__xludf.DUMMYFUNCTION("""COMPUTED_VALUE"""),"الحر")</f>
        <v>الحر</v>
      </c>
      <c r="C10" s="57" t="str">
        <f ca="1">IFERROR(__xludf.DUMMYFUNCTION("""COMPUTED_VALUE"""),"رضا حمودي محمد حسين ")</f>
        <v xml:space="preserve">رضا حمودي محمد حسين </v>
      </c>
      <c r="D10" s="58" t="str">
        <f ca="1">IFERROR(__xludf.DUMMYFUNCTION("""COMPUTED_VALUE"""),"قسم المشاريع الهندسية")</f>
        <v>قسم المشاريع الهندسية</v>
      </c>
      <c r="E10" s="58" t="str">
        <f ca="1">IFERROR(__xludf.DUMMYFUNCTION("""COMPUTED_VALUE"""),"A- الابتدائية (البناية 1)")</f>
        <v>A- الابتدائية (البناية 1)</v>
      </c>
      <c r="F10" s="58" t="str">
        <f ca="1">IFERROR(__xludf.DUMMYFUNCTION("""COMPUTED_VALUE"""),"ZONE A - الطابق الارضي")</f>
        <v>ZONE A - الطابق الارضي</v>
      </c>
      <c r="G10" s="58" t="str">
        <f ca="1">IFERROR(__xludf.DUMMYFUNCTION("""COMPUTED_VALUE"""),"تبديل تغذية البصمة من الكهرباء العادية إلى طاقة شمسية ")</f>
        <v xml:space="preserve">تبديل تغذية البصمة من الكهرباء العادية إلى طاقة شمسية </v>
      </c>
      <c r="H10" s="58"/>
      <c r="I10" s="60" t="s">
        <v>13</v>
      </c>
      <c r="J10" s="61" t="s">
        <v>14</v>
      </c>
      <c r="K10" s="55">
        <v>45979.453750162036</v>
      </c>
      <c r="L10" s="62"/>
    </row>
    <row r="11" spans="1:12" ht="75" customHeight="1" thickTop="1" thickBot="1">
      <c r="A11" s="47">
        <f ca="1">IFERROR(__xludf.DUMMYFUNCTION("""COMPUTED_VALUE"""),45979.4507614467)</f>
        <v>45979.4507614467</v>
      </c>
      <c r="B11" s="48" t="str">
        <f ca="1">IFERROR(__xludf.DUMMYFUNCTION("""COMPUTED_VALUE"""),"الحر")</f>
        <v>الحر</v>
      </c>
      <c r="C11" s="49" t="str">
        <f ca="1">IFERROR(__xludf.DUMMYFUNCTION("""COMPUTED_VALUE"""),"رضا حمودي محمد حسين ")</f>
        <v xml:space="preserve">رضا حمودي محمد حسين </v>
      </c>
      <c r="D11" s="50" t="str">
        <f ca="1">IFERROR(__xludf.DUMMYFUNCTION("""COMPUTED_VALUE"""),"قسم المشاريع الهندسية")</f>
        <v>قسم المشاريع الهندسية</v>
      </c>
      <c r="E11" s="50" t="str">
        <f ca="1">IFERROR(__xludf.DUMMYFUNCTION("""COMPUTED_VALUE"""),"D- الاعدادية (البناية 4)")</f>
        <v>D- الاعدادية (البناية 4)</v>
      </c>
      <c r="F11" s="50" t="str">
        <f ca="1">IFERROR(__xludf.DUMMYFUNCTION("""COMPUTED_VALUE"""),"السطح")</f>
        <v>السطح</v>
      </c>
      <c r="G11" s="50" t="str">
        <f ca="1">IFERROR(__xludf.DUMMYFUNCTION("""COMPUTED_VALUE"""),"تثبيت وصيانة شمعة")</f>
        <v>تثبيت وصيانة شمعة</v>
      </c>
      <c r="H11" s="50"/>
      <c r="I11" s="52" t="s">
        <v>13</v>
      </c>
      <c r="J11" s="53" t="s">
        <v>14</v>
      </c>
      <c r="K11" s="47">
        <v>45979.453770092594</v>
      </c>
      <c r="L11" s="54"/>
    </row>
    <row r="12" spans="1:12" ht="75" customHeight="1" thickTop="1" thickBot="1">
      <c r="A12" s="55">
        <f ca="1">IFERROR(__xludf.DUMMYFUNCTION("""COMPUTED_VALUE"""),45979.4517983101)</f>
        <v>45979.451798310103</v>
      </c>
      <c r="B12" s="56" t="str">
        <f ca="1">IFERROR(__xludf.DUMMYFUNCTION("""COMPUTED_VALUE"""),"الحر")</f>
        <v>الحر</v>
      </c>
      <c r="C12" s="57" t="str">
        <f ca="1">IFERROR(__xludf.DUMMYFUNCTION("""COMPUTED_VALUE"""),"رضا حمودي محمد حسين ")</f>
        <v xml:space="preserve">رضا حمودي محمد حسين </v>
      </c>
      <c r="D12" s="58" t="str">
        <f ca="1">IFERROR(__xludf.DUMMYFUNCTION("""COMPUTED_VALUE"""),"قسم المشاريع الهندسية")</f>
        <v>قسم المشاريع الهندسية</v>
      </c>
      <c r="E12" s="58" t="str">
        <f ca="1">IFERROR(__xludf.DUMMYFUNCTION("""COMPUTED_VALUE"""),"D- الاعدادية (البناية 4)")</f>
        <v>D- الاعدادية (البناية 4)</v>
      </c>
      <c r="F12" s="58" t="str">
        <f ca="1">IFERROR(__xludf.DUMMYFUNCTION("""COMPUTED_VALUE"""),"السطح")</f>
        <v>السطح</v>
      </c>
      <c r="G12" s="58" t="str">
        <f ca="1">IFERROR(__xludf.DUMMYFUNCTION("""COMPUTED_VALUE"""),"تبديل Solenoid valve  تالف لإحدى الخزانات ")</f>
        <v xml:space="preserve">تبديل Solenoid valve  تالف لإحدى الخزانات </v>
      </c>
      <c r="H12" s="58"/>
      <c r="I12" s="60" t="s">
        <v>13</v>
      </c>
      <c r="J12" s="61" t="s">
        <v>14</v>
      </c>
      <c r="K12" s="55">
        <v>45979.453813333334</v>
      </c>
      <c r="L12" s="62"/>
    </row>
    <row r="13" spans="1:12" ht="75" customHeight="1" thickTop="1" thickBot="1">
      <c r="A13" s="55">
        <f ca="1">IFERROR(__xludf.DUMMYFUNCTION("""COMPUTED_VALUE"""),45980.6308270601)</f>
        <v>45980.6308270601</v>
      </c>
      <c r="B13" s="56" t="str">
        <f ca="1">IFERROR(__xludf.DUMMYFUNCTION("""COMPUTED_VALUE"""),"الحر")</f>
        <v>الحر</v>
      </c>
      <c r="C13" s="57" t="str">
        <f ca="1">IFERROR(__xludf.DUMMYFUNCTION("""COMPUTED_VALUE"""),"م. الشعبة")</f>
        <v>م. الشعبة</v>
      </c>
      <c r="D13" s="58" t="str">
        <f ca="1">IFERROR(__xludf.DUMMYFUNCTION("""COMPUTED_VALUE"""),"قسم التربية والتعليم العالي")</f>
        <v>قسم التربية والتعليم العالي</v>
      </c>
      <c r="E13" s="58" t="str">
        <f ca="1">IFERROR(__xludf.DUMMYFUNCTION("""COMPUTED_VALUE"""),"B- الابتدائية (البناية 2), القاعة الرياضية")</f>
        <v>B- الابتدائية (البناية 2), القاعة الرياضية</v>
      </c>
      <c r="F13" s="58" t="str">
        <f ca="1">IFERROR(__xludf.DUMMYFUNCTION("""COMPUTED_VALUE"""),"القاعة الرياضية جهة الابتدائية")</f>
        <v>القاعة الرياضية جهة الابتدائية</v>
      </c>
      <c r="G13" s="58" t="str">
        <f ca="1">IFERROR(__xludf.DUMMYFUNCTION("""COMPUTED_VALUE"""),"تشغيل الطاقة الكهربائة لغرض فحص الصوتيات والمرئيات ")</f>
        <v xml:space="preserve">تشغيل الطاقة الكهربائة لغرض فحص الصوتيات والمرئيات </v>
      </c>
      <c r="H13" s="58" t="str">
        <f ca="1">IFERROR(__xludf.DUMMYFUNCTION("""COMPUTED_VALUE"""),"ممكن على جناح السرعة لطفا الفريق بالانتظار ")</f>
        <v xml:space="preserve">ممكن على جناح السرعة لطفا الفريق بالانتظار </v>
      </c>
      <c r="I13" s="60" t="s">
        <v>13</v>
      </c>
      <c r="J13" s="61" t="s">
        <v>14</v>
      </c>
      <c r="K13" s="55">
        <v>45980.676959664357</v>
      </c>
      <c r="L13" s="62"/>
    </row>
    <row r="14" spans="1:12" ht="75" customHeight="1" thickTop="1" thickBot="1">
      <c r="A14" s="47">
        <f ca="1">IFERROR(__xludf.DUMMYFUNCTION("""COMPUTED_VALUE"""),45983.3902795601)</f>
        <v>45983.390279560102</v>
      </c>
      <c r="B14" s="48" t="str">
        <f ca="1">IFERROR(__xludf.DUMMYFUNCTION("""COMPUTED_VALUE"""),"الحر")</f>
        <v>الحر</v>
      </c>
      <c r="C14" s="49" t="str">
        <f ca="1">IFERROR(__xludf.DUMMYFUNCTION("""COMPUTED_VALUE"""),"ياس مطلك")</f>
        <v>ياس مطلك</v>
      </c>
      <c r="D14" s="50" t="str">
        <f ca="1">IFERROR(__xludf.DUMMYFUNCTION("""COMPUTED_VALUE"""),"قسم المشاريع الهندسية")</f>
        <v>قسم المشاريع الهندسية</v>
      </c>
      <c r="E14" s="50" t="str">
        <f ca="1">IFERROR(__xludf.DUMMYFUNCTION("""COMPUTED_VALUE"""),"A- الابتدائية (البناية 1)")</f>
        <v>A- الابتدائية (البناية 1)</v>
      </c>
      <c r="F14" s="50" t="str">
        <f ca="1">IFERROR(__xludf.DUMMYFUNCTION("""COMPUTED_VALUE"""),"المصعد")</f>
        <v>المصعد</v>
      </c>
      <c r="G14" s="50" t="str">
        <f ca="1">IFERROR(__xludf.DUMMYFUNCTION("""COMPUTED_VALUE"""),"انغلاق باب المصعد غلى كادر التربية")</f>
        <v>انغلاق باب المصعد غلى كادر التربية</v>
      </c>
      <c r="H14" s="50"/>
      <c r="I14" s="52" t="s">
        <v>13</v>
      </c>
      <c r="J14" s="53" t="s">
        <v>14</v>
      </c>
      <c r="K14" s="47">
        <v>45983.429549652777</v>
      </c>
      <c r="L14" s="54" t="s">
        <v>741</v>
      </c>
    </row>
    <row r="15" spans="1:12" ht="75" customHeight="1" thickTop="1" thickBot="1">
      <c r="A15" s="47">
        <f ca="1">IFERROR(__xludf.DUMMYFUNCTION("""COMPUTED_VALUE"""),45987.5114866782)</f>
        <v>45987.511486678202</v>
      </c>
      <c r="B15" s="48" t="str">
        <f ca="1">IFERROR(__xludf.DUMMYFUNCTION("""COMPUTED_VALUE"""),"الحر")</f>
        <v>الحر</v>
      </c>
      <c r="C15" s="49" t="str">
        <f ca="1">IFERROR(__xludf.DUMMYFUNCTION("""COMPUTED_VALUE"""),"م. رضا حمودي ")</f>
        <v xml:space="preserve">م. رضا حمودي </v>
      </c>
      <c r="D15" s="50" t="str">
        <f ca="1">IFERROR(__xludf.DUMMYFUNCTION("""COMPUTED_VALUE"""),"قسم المشاريع الهندسية")</f>
        <v>قسم المشاريع الهندسية</v>
      </c>
      <c r="E15" s="50" t="str">
        <f ca="1">IFERROR(__xludf.DUMMYFUNCTION("""COMPUTED_VALUE"""),"C- المتوسطة (البناية 3)")</f>
        <v>C- المتوسطة (البناية 3)</v>
      </c>
      <c r="F15" s="50" t="str">
        <f ca="1">IFERROR(__xludf.DUMMYFUNCTION("""COMPUTED_VALUE"""),"ZONE A - الطابق الارضي")</f>
        <v>ZONE A - الطابق الارضي</v>
      </c>
      <c r="G15" s="50" t="str">
        <f ca="1">IFERROR(__xludf.DUMMYFUNCTION("""COMPUTED_VALUE"""),"تغذية مأخذ قدرة بالطاقة الشمسية ")</f>
        <v xml:space="preserve">تغذية مأخذ قدرة بالطاقة الشمسية </v>
      </c>
      <c r="H15" s="50"/>
      <c r="I15" s="52" t="s">
        <v>13</v>
      </c>
      <c r="J15" s="53" t="s">
        <v>20</v>
      </c>
      <c r="K15" s="47">
        <v>45987.512694421297</v>
      </c>
      <c r="L15" s="54" t="s">
        <v>745</v>
      </c>
    </row>
    <row r="16" spans="1:12" ht="75" customHeight="1" thickTop="1" thickBot="1">
      <c r="A16" s="55">
        <f ca="1">IFERROR(__xludf.DUMMYFUNCTION("""COMPUTED_VALUE"""),45987.5121940972)</f>
        <v>45987.512194097202</v>
      </c>
      <c r="B16" s="56" t="str">
        <f ca="1">IFERROR(__xludf.DUMMYFUNCTION("""COMPUTED_VALUE"""),"الحر")</f>
        <v>الحر</v>
      </c>
      <c r="C16" s="57" t="str">
        <f ca="1">IFERROR(__xludf.DUMMYFUNCTION("""COMPUTED_VALUE"""),"م. رضا حمودي ")</f>
        <v xml:space="preserve">م. رضا حمودي </v>
      </c>
      <c r="D16" s="58" t="str">
        <f ca="1">IFERROR(__xludf.DUMMYFUNCTION("""COMPUTED_VALUE"""),"قسم المشاريع الهندسية")</f>
        <v>قسم المشاريع الهندسية</v>
      </c>
      <c r="E16" s="58" t="str">
        <f ca="1">IFERROR(__xludf.DUMMYFUNCTION("""COMPUTED_VALUE"""),"A- الابتدائية (البناية 1)")</f>
        <v>A- الابتدائية (البناية 1)</v>
      </c>
      <c r="F16" s="58" t="str">
        <f ca="1">IFERROR(__xludf.DUMMYFUNCTION("""COMPUTED_VALUE"""),"ZONE A - الطابق الارضي")</f>
        <v>ZONE A - الطابق الارضي</v>
      </c>
      <c r="G16" s="58" t="str">
        <f ca="1">IFERROR(__xludf.DUMMYFUNCTION("""COMPUTED_VALUE"""),"تغذية عدد 2 مأخذ قدرة بالطاقة الشمسية ")</f>
        <v xml:space="preserve">تغذية عدد 2 مأخذ قدرة بالطاقة الشمسية </v>
      </c>
      <c r="H16" s="58"/>
      <c r="I16" s="60" t="s">
        <v>13</v>
      </c>
      <c r="J16" s="61" t="s">
        <v>14</v>
      </c>
      <c r="K16" s="55">
        <v>45987.512907870376</v>
      </c>
      <c r="L16" s="62" t="s">
        <v>746</v>
      </c>
    </row>
    <row r="17" spans="1:12" ht="75" customHeight="1" thickTop="1" thickBot="1">
      <c r="A17" s="55">
        <f ca="1">IFERROR(__xludf.DUMMYFUNCTION("""COMPUTED_VALUE"""),45988.4698201273)</f>
        <v>45988.469820127299</v>
      </c>
      <c r="B17" s="56" t="str">
        <f ca="1">IFERROR(__xludf.DUMMYFUNCTION("""COMPUTED_VALUE"""),"الحر")</f>
        <v>الحر</v>
      </c>
      <c r="C17" s="57" t="str">
        <f ca="1">IFERROR(__xludf.DUMMYFUNCTION("""COMPUTED_VALUE"""),"ياس مطلك")</f>
        <v>ياس مطلك</v>
      </c>
      <c r="D17" s="58" t="str">
        <f ca="1">IFERROR(__xludf.DUMMYFUNCTION("""COMPUTED_VALUE"""),"قسم المشاريع الهندسية")</f>
        <v>قسم المشاريع الهندسية</v>
      </c>
      <c r="E17" s="58" t="str">
        <f ca="1">IFERROR(__xludf.DUMMYFUNCTION("""COMPUTED_VALUE"""),"ممر المولدات بين البناية الثانية والثالثة ")</f>
        <v xml:space="preserve">ممر المولدات بين البناية الثانية والثالثة </v>
      </c>
      <c r="F17" s="58" t="str">
        <f ca="1">IFERROR(__xludf.DUMMYFUNCTION("""COMPUTED_VALUE"""),"الصحيات الخارجية على جهة القاعة الرياضية المتوسطة")</f>
        <v>الصحيات الخارجية على جهة القاعة الرياضية المتوسطة</v>
      </c>
      <c r="G17" s="58" t="str">
        <f ca="1">IFERROR(__xludf.DUMMYFUNCTION("""COMPUTED_VALUE"""),"استبدال سبوتلايت فى احدى المجاميع الصحية ")</f>
        <v xml:space="preserve">استبدال سبوتلايت فى احدى المجاميع الصحية </v>
      </c>
      <c r="H17" s="58"/>
      <c r="I17" s="60" t="s">
        <v>13</v>
      </c>
      <c r="J17" s="61" t="s">
        <v>14</v>
      </c>
      <c r="K17" s="55">
        <v>45988.54646975694</v>
      </c>
      <c r="L17" s="62"/>
    </row>
    <row r="18" spans="1:12" ht="75" customHeight="1" thickTop="1" thickBot="1">
      <c r="A18" s="47">
        <f ca="1">IFERROR(__xludf.DUMMYFUNCTION("""COMPUTED_VALUE"""),45988.4797820023)</f>
        <v>45988.479782002301</v>
      </c>
      <c r="B18" s="48" t="str">
        <f ca="1">IFERROR(__xludf.DUMMYFUNCTION("""COMPUTED_VALUE"""),"الحر")</f>
        <v>الحر</v>
      </c>
      <c r="C18" s="49" t="str">
        <f ca="1">IFERROR(__xludf.DUMMYFUNCTION("""COMPUTED_VALUE"""),"محمود حيدر ")</f>
        <v xml:space="preserve">محمود حيدر </v>
      </c>
      <c r="D18" s="50" t="str">
        <f ca="1">IFERROR(__xludf.DUMMYFUNCTION("""COMPUTED_VALUE"""),"قسم التربية والتعليم العالي")</f>
        <v>قسم التربية والتعليم العالي</v>
      </c>
      <c r="E18" s="50" t="str">
        <f ca="1">IFERROR(__xludf.DUMMYFUNCTION("""COMPUTED_VALUE"""),"B- الابتدائية (البناية 2)")</f>
        <v>B- الابتدائية (البناية 2)</v>
      </c>
      <c r="F18" s="50" t="str">
        <f ca="1">IFERROR(__xludf.DUMMYFUNCTION("""COMPUTED_VALUE"""),"ZONE A - الطابق الاول")</f>
        <v>ZONE A - الطابق الاول</v>
      </c>
      <c r="G18" s="50" t="str">
        <f ca="1">IFERROR(__xludf.DUMMYFUNCTION("""COMPUTED_VALUE"""),"السادس (و) اسلاك كهرباء مكشفة وخارجة من التري كيبل نرجو اجراء اللازم على نحو عاجل ... مع التقدير والامتنان 
")</f>
        <v xml:space="preserve">السادس (و) اسلاك كهرباء مكشفة وخارجة من التري كيبل نرجو اجراء اللازم على نحو عاجل ... مع التقدير والامتنان 
</v>
      </c>
      <c r="H18" s="50" t="str">
        <f ca="1">IFERROR(__xludf.DUMMYFUNCTION("""COMPUTED_VALUE"""),"تم ارسال فديو توضيحي في المجموعة")</f>
        <v>تم ارسال فديو توضيحي في المجموعة</v>
      </c>
      <c r="I18" s="52" t="s">
        <v>13</v>
      </c>
      <c r="J18" s="53" t="s">
        <v>14</v>
      </c>
      <c r="K18" s="47">
        <v>45988.744168958336</v>
      </c>
      <c r="L18" s="54"/>
    </row>
    <row r="19" spans="1:12" ht="75" customHeight="1" thickTop="1" thickBot="1">
      <c r="A19" s="55">
        <f ca="1">IFERROR(__xludf.DUMMYFUNCTION("""COMPUTED_VALUE"""),45964.3871152546)</f>
        <v>45964.387115254598</v>
      </c>
      <c r="B19" s="56" t="str">
        <f ca="1">IFERROR(__xludf.DUMMYFUNCTION("""COMPUTED_VALUE"""),"الحر")</f>
        <v>الحر</v>
      </c>
      <c r="C19" s="57" t="str">
        <f ca="1">IFERROR(__xludf.DUMMYFUNCTION("""COMPUTED_VALUE"""),"احمد كريم عبد")</f>
        <v>احمد كريم عبد</v>
      </c>
      <c r="D19" s="58" t="str">
        <f ca="1">IFERROR(__xludf.DUMMYFUNCTION("""COMPUTED_VALUE"""),"قسم التربية والتعليم العالي")</f>
        <v>قسم التربية والتعليم العالي</v>
      </c>
      <c r="E19" s="58" t="str">
        <f ca="1">IFERROR(__xludf.DUMMYFUNCTION("""COMPUTED_VALUE"""),"القاعة الرياضية ")</f>
        <v xml:space="preserve">القاعة الرياضية </v>
      </c>
      <c r="F19" s="58" t="str">
        <f ca="1">IFERROR(__xludf.DUMMYFUNCTION("""COMPUTED_VALUE"""),"بين الثالثة والثانية")</f>
        <v>بين الثالثة والثانية</v>
      </c>
      <c r="G19" s="59" t="str">
        <f ca="1">IFERROR(__xludf.DUMMYFUNCTION("""COMPUTED_VALUE"""),"ربط قطعة عزاء داخل القاعة")</f>
        <v>ربط قطعة عزاء داخل القاعة</v>
      </c>
      <c r="H19" s="58"/>
      <c r="I19" s="60" t="s">
        <v>17</v>
      </c>
      <c r="J19" s="61" t="s">
        <v>14</v>
      </c>
      <c r="K19" s="55" t="s">
        <v>700</v>
      </c>
      <c r="L19" s="62"/>
    </row>
    <row r="20" spans="1:12" ht="75" customHeight="1" thickTop="1" thickBot="1">
      <c r="A20" s="55">
        <f ca="1">IFERROR(__xludf.DUMMYFUNCTION("""COMPUTED_VALUE"""),45965.3202837962)</f>
        <v>45965.320283796202</v>
      </c>
      <c r="B20" s="56" t="str">
        <f ca="1">IFERROR(__xludf.DUMMYFUNCTION("""COMPUTED_VALUE"""),"الحر")</f>
        <v>الحر</v>
      </c>
      <c r="C20" s="57" t="str">
        <f ca="1">IFERROR(__xludf.DUMMYFUNCTION("""COMPUTED_VALUE"""),"مثنى هلال جودة ")</f>
        <v xml:space="preserve">مثنى هلال جودة </v>
      </c>
      <c r="D20" s="58" t="str">
        <f ca="1">IFERROR(__xludf.DUMMYFUNCTION("""COMPUTED_VALUE"""),"قسم التربية والتعليم العالي")</f>
        <v>قسم التربية والتعليم العالي</v>
      </c>
      <c r="E20" s="58" t="str">
        <f ca="1">IFERROR(__xludf.DUMMYFUNCTION("""COMPUTED_VALUE"""),"D- الاعدادية (البناية 4)")</f>
        <v>D- الاعدادية (البناية 4)</v>
      </c>
      <c r="F20" s="58" t="str">
        <f ca="1">IFERROR(__xludf.DUMMYFUNCTION("""COMPUTED_VALUE"""),"ZONE A - الطابق الارضي, ZONE B - الطابق الارضي")</f>
        <v>ZONE A - الطابق الارضي, ZONE B - الطابق الارضي</v>
      </c>
      <c r="G20" s="58" t="str">
        <f ca="1">IFERROR(__xludf.DUMMYFUNCTION("""COMPUTED_VALUE"""),"قطعه معدنيه مكسوره فوق شاشة صبورة الثالث  واو ")</f>
        <v xml:space="preserve">قطعه معدنيه مكسوره فوق شاشة صبورة الثالث  واو </v>
      </c>
      <c r="H20" s="58" t="str">
        <f ca="1">IFERROR(__xludf.DUMMYFUNCTION("""COMPUTED_VALUE"""),"تم ارسال الصوره في كروب المشترك")</f>
        <v>تم ارسال الصوره في كروب المشترك</v>
      </c>
      <c r="I20" s="60" t="s">
        <v>17</v>
      </c>
      <c r="J20" s="61" t="s">
        <v>14</v>
      </c>
      <c r="K20" s="55" t="s">
        <v>702</v>
      </c>
      <c r="L20" s="62" t="s">
        <v>703</v>
      </c>
    </row>
    <row r="21" spans="1:12" ht="75" customHeight="1" thickTop="1" thickBot="1">
      <c r="A21" s="47">
        <f ca="1">IFERROR(__xludf.DUMMYFUNCTION("""COMPUTED_VALUE"""),45966.3760917708)</f>
        <v>45966.376091770799</v>
      </c>
      <c r="B21" s="48" t="str">
        <f ca="1">IFERROR(__xludf.DUMMYFUNCTION("""COMPUTED_VALUE"""),"الحر")</f>
        <v>الحر</v>
      </c>
      <c r="C21" s="49" t="str">
        <f ca="1">IFERROR(__xludf.DUMMYFUNCTION("""COMPUTED_VALUE"""),"استاذ صالح مدرسة المتوسطة")</f>
        <v>استاذ صالح مدرسة المتوسطة</v>
      </c>
      <c r="D21" s="50" t="str">
        <f ca="1">IFERROR(__xludf.DUMMYFUNCTION("""COMPUTED_VALUE"""),"قسم التربية والتعليم العالي")</f>
        <v>قسم التربية والتعليم العالي</v>
      </c>
      <c r="E21" s="50" t="str">
        <f ca="1">IFERROR(__xludf.DUMMYFUNCTION("""COMPUTED_VALUE"""),"C- المتوسطة (البناية 3)")</f>
        <v>C- المتوسطة (البناية 3)</v>
      </c>
      <c r="F21" s="50" t="str">
        <f ca="1">IFERROR(__xludf.DUMMYFUNCTION("""COMPUTED_VALUE"""),"ZONE B - الطابق الاول")</f>
        <v>ZONE B - الطابق الاول</v>
      </c>
      <c r="G21" s="50" t="str">
        <f ca="1">IFERROR(__xludf.DUMMYFUNCTION("""COMPUTED_VALUE"""),"تصليح يدة شباك ")</f>
        <v xml:space="preserve">تصليح يدة شباك </v>
      </c>
      <c r="H21" s="50" t="str">
        <f ca="1">IFERROR(__xludf.DUMMYFUNCTION("""COMPUTED_VALUE"""),"تم ارسال صورة توضيحيه ")</f>
        <v xml:space="preserve">تم ارسال صورة توضيحيه </v>
      </c>
      <c r="I21" s="52" t="s">
        <v>17</v>
      </c>
      <c r="J21" s="53" t="s">
        <v>14</v>
      </c>
      <c r="K21" s="47" t="s">
        <v>704</v>
      </c>
      <c r="L21" s="54" t="s">
        <v>705</v>
      </c>
    </row>
    <row r="22" spans="1:12" ht="75" customHeight="1" thickTop="1" thickBot="1">
      <c r="A22" s="47">
        <f ca="1">IFERROR(__xludf.DUMMYFUNCTION("""COMPUTED_VALUE"""),45966.4552798726)</f>
        <v>45966.4552798726</v>
      </c>
      <c r="B22" s="48" t="str">
        <f ca="1">IFERROR(__xludf.DUMMYFUNCTION("""COMPUTED_VALUE"""),"الحر")</f>
        <v>الحر</v>
      </c>
      <c r="C22" s="49" t="str">
        <f ca="1">IFERROR(__xludf.DUMMYFUNCTION("""COMPUTED_VALUE"""),"مدير مدرسة الابتدائية /سيد كرار ")</f>
        <v xml:space="preserve">مدير مدرسة الابتدائية /سيد كرار </v>
      </c>
      <c r="D22" s="50" t="str">
        <f ca="1">IFERROR(__xludf.DUMMYFUNCTION("""COMPUTED_VALUE"""),"قسم التربية والتعليم العالي")</f>
        <v>قسم التربية والتعليم العالي</v>
      </c>
      <c r="E22" s="50" t="str">
        <f ca="1">IFERROR(__xludf.DUMMYFUNCTION("""COMPUTED_VALUE"""),"B- الابتدائية (البناية 2)")</f>
        <v>B- الابتدائية (البناية 2)</v>
      </c>
      <c r="F22" s="50" t="str">
        <f ca="1">IFERROR(__xludf.DUMMYFUNCTION("""COMPUTED_VALUE"""),"ZONE A - الطابق الارضي, ZONE A - الطابق الاول, ZONE A - الطابق الثاني, ZONE B - الطابق الارضي, ZONE B - الطابق الاول, ZONE B - الطابق الثاني, ")</f>
        <v xml:space="preserve">ZONE A - الطابق الارضي, ZONE A - الطابق الاول, ZONE A - الطابق الثاني, ZONE B - الطابق الارضي, ZONE B - الطابق الاول, ZONE B - الطابق الثاني, </v>
      </c>
      <c r="G22" s="50" t="str">
        <f ca="1">IFERROR(__xludf.DUMMYFUNCTION("""COMPUTED_VALUE"""),"تضليل جام الصفوف للبناية كاملة")</f>
        <v>تضليل جام الصفوف للبناية كاملة</v>
      </c>
      <c r="H22" s="50" t="str">
        <f ca="1">IFERROR(__xludf.DUMMYFUNCTION("""COMPUTED_VALUE"""),"معرفة التفاصيل الدقيقة من مديرالمدرسة")</f>
        <v>معرفة التفاصيل الدقيقة من مديرالمدرسة</v>
      </c>
      <c r="I22" s="52" t="s">
        <v>17</v>
      </c>
      <c r="J22" s="53" t="s">
        <v>14</v>
      </c>
      <c r="K22" s="47" t="s">
        <v>707</v>
      </c>
      <c r="L22" s="54"/>
    </row>
    <row r="23" spans="1:12" ht="75" customHeight="1" thickTop="1" thickBot="1">
      <c r="A23" s="47">
        <f ca="1">IFERROR(__xludf.DUMMYFUNCTION("""COMPUTED_VALUE"""),45966.4861369675)</f>
        <v>45966.486136967498</v>
      </c>
      <c r="B23" s="48" t="str">
        <f ca="1">IFERROR(__xludf.DUMMYFUNCTION("""COMPUTED_VALUE"""),"الحر")</f>
        <v>الحر</v>
      </c>
      <c r="C23" s="49" t="str">
        <f ca="1">IFERROR(__xludf.DUMMYFUNCTION("""COMPUTED_VALUE"""),"ياس مطلك ")</f>
        <v xml:space="preserve">ياس مطلك </v>
      </c>
      <c r="D23" s="50" t="str">
        <f ca="1">IFERROR(__xludf.DUMMYFUNCTION("""COMPUTED_VALUE"""),"قسم المشاريع الهندسية")</f>
        <v>قسم المشاريع الهندسية</v>
      </c>
      <c r="E23" s="50" t="str">
        <f ca="1">IFERROR(__xludf.DUMMYFUNCTION("""COMPUTED_VALUE"""),"ساحة الكراج")</f>
        <v>ساحة الكراج</v>
      </c>
      <c r="F23" s="50" t="str">
        <f ca="1">IFERROR(__xludf.DUMMYFUNCTION("""COMPUTED_VALUE"""),"ساحة الكراج")</f>
        <v>ساحة الكراج</v>
      </c>
      <c r="G23" s="50" t="str">
        <f ca="1">IFERROR(__xludf.DUMMYFUNCTION("""COMPUTED_VALUE"""),"صيانة منهوله في ساحة الكراج")</f>
        <v>صيانة منهوله في ساحة الكراج</v>
      </c>
      <c r="H23" s="50"/>
      <c r="I23" s="52" t="s">
        <v>17</v>
      </c>
      <c r="J23" s="53" t="s">
        <v>14</v>
      </c>
      <c r="K23" s="47" t="s">
        <v>710</v>
      </c>
      <c r="L23" s="54" t="s">
        <v>711</v>
      </c>
    </row>
    <row r="24" spans="1:12" ht="75" customHeight="1" thickTop="1" thickBot="1">
      <c r="A24" s="55">
        <f ca="1">IFERROR(__xludf.DUMMYFUNCTION("""COMPUTED_VALUE"""),45966.4939802083)</f>
        <v>45966.493980208303</v>
      </c>
      <c r="B24" s="56" t="str">
        <f ca="1">IFERROR(__xludf.DUMMYFUNCTION("""COMPUTED_VALUE"""),"الحر")</f>
        <v>الحر</v>
      </c>
      <c r="C24" s="57" t="str">
        <f ca="1">IFERROR(__xludf.DUMMYFUNCTION("""COMPUTED_VALUE"""),"ياس مطلك")</f>
        <v>ياس مطلك</v>
      </c>
      <c r="D24" s="58" t="str">
        <f ca="1">IFERROR(__xludf.DUMMYFUNCTION("""COMPUTED_VALUE"""),"قسم المشاريع الهندسية")</f>
        <v>قسم المشاريع الهندسية</v>
      </c>
      <c r="E24" s="58" t="str">
        <f ca="1">IFERROR(__xludf.DUMMYFUNCTION("""COMPUTED_VALUE"""),"D- الاعدادية (البناية 4)")</f>
        <v>D- الاعدادية (البناية 4)</v>
      </c>
      <c r="F24" s="58" t="str">
        <f ca="1">IFERROR(__xludf.DUMMYFUNCTION("""COMPUTED_VALUE"""),"ZONE B - الطابق الاول, ZONE B - الطابق الثاني")</f>
        <v>ZONE B - الطابق الاول, ZONE B - الطابق الثاني</v>
      </c>
      <c r="G24" s="58" t="str">
        <f ca="1">IFERROR(__xludf.DUMMYFUNCTION("""COMPUTED_VALUE"""),"وضع مصدات في الصفوف")</f>
        <v>وضع مصدات في الصفوف</v>
      </c>
      <c r="H24" s="58"/>
      <c r="I24" s="60" t="s">
        <v>17</v>
      </c>
      <c r="J24" s="61" t="s">
        <v>14</v>
      </c>
      <c r="K24" s="55" t="s">
        <v>712</v>
      </c>
      <c r="L24" s="62" t="s">
        <v>713</v>
      </c>
    </row>
    <row r="25" spans="1:12" ht="75" customHeight="1" thickTop="1" thickBot="1">
      <c r="A25" s="47">
        <f ca="1">IFERROR(__xludf.DUMMYFUNCTION("""COMPUTED_VALUE"""),45966.4962980787)</f>
        <v>45966.496298078702</v>
      </c>
      <c r="B25" s="48" t="str">
        <f ca="1">IFERROR(__xludf.DUMMYFUNCTION("""COMPUTED_VALUE"""),"الحر")</f>
        <v>الحر</v>
      </c>
      <c r="C25" s="49" t="str">
        <f ca="1">IFERROR(__xludf.DUMMYFUNCTION("""COMPUTED_VALUE"""),"ياس مطلك")</f>
        <v>ياس مطلك</v>
      </c>
      <c r="D25" s="50" t="str">
        <f ca="1">IFERROR(__xludf.DUMMYFUNCTION("""COMPUTED_VALUE"""),"قسم المشاريع الهندسية")</f>
        <v>قسم المشاريع الهندسية</v>
      </c>
      <c r="E25" s="50" t="str">
        <f ca="1">IFERROR(__xludf.DUMMYFUNCTION("""COMPUTED_VALUE"""),"A- الابتدائية (البناية 1)")</f>
        <v>A- الابتدائية (البناية 1)</v>
      </c>
      <c r="F25" s="50" t="str">
        <f ca="1">IFERROR(__xludf.DUMMYFUNCTION("""COMPUTED_VALUE"""),"ZONE A - الطابق الاول")</f>
        <v>ZONE A - الطابق الاول</v>
      </c>
      <c r="G25" s="50" t="str">
        <f ca="1">IFERROR(__xludf.DUMMYFUNCTION("""COMPUTED_VALUE"""),"ادامة جدار الصحيات قرب غرفة السيطرة")</f>
        <v>ادامة جدار الصحيات قرب غرفة السيطرة</v>
      </c>
      <c r="H25" s="50"/>
      <c r="I25" s="52" t="s">
        <v>17</v>
      </c>
      <c r="J25" s="53" t="s">
        <v>14</v>
      </c>
      <c r="K25" s="47" t="s">
        <v>714</v>
      </c>
      <c r="L25" s="54" t="s">
        <v>713</v>
      </c>
    </row>
    <row r="26" spans="1:12" ht="75" customHeight="1" thickTop="1" thickBot="1">
      <c r="A26" s="55">
        <f ca="1">IFERROR(__xludf.DUMMYFUNCTION("""COMPUTED_VALUE"""),45966.5098269675)</f>
        <v>45966.5098269675</v>
      </c>
      <c r="B26" s="56" t="str">
        <f ca="1">IFERROR(__xludf.DUMMYFUNCTION("""COMPUTED_VALUE"""),"الحر")</f>
        <v>الحر</v>
      </c>
      <c r="C26" s="57" t="str">
        <f ca="1">IFERROR(__xludf.DUMMYFUNCTION("""COMPUTED_VALUE"""),"عيسى صالح حسن الكلابي ")</f>
        <v xml:space="preserve">عيسى صالح حسن الكلابي </v>
      </c>
      <c r="D26" s="58" t="str">
        <f ca="1">IFERROR(__xludf.DUMMYFUNCTION("""COMPUTED_VALUE"""),"قسم المشاريع الهندسية")</f>
        <v>قسم المشاريع الهندسية</v>
      </c>
      <c r="E26" s="58" t="str">
        <f ca="1">IFERROR(__xludf.DUMMYFUNCTION("""COMPUTED_VALUE"""),"C- المتوسطة (البناية 3)")</f>
        <v>C- المتوسطة (البناية 3)</v>
      </c>
      <c r="F26" s="58" t="str">
        <f ca="1">IFERROR(__xludf.DUMMYFUNCTION("""COMPUTED_VALUE"""),"في واجهة البناية قرب الباب الرئيسية ")</f>
        <v xml:space="preserve">في واجهة البناية قرب الباب الرئيسية </v>
      </c>
      <c r="G26" s="58" t="str">
        <f ca="1">IFERROR(__xludf.DUMMYFUNCTION("""COMPUTED_VALUE"""),"صيانة قطع مرمر عدد ثنين ")</f>
        <v xml:space="preserve">صيانة قطع مرمر عدد ثنين </v>
      </c>
      <c r="H26" s="58"/>
      <c r="I26" s="60" t="s">
        <v>17</v>
      </c>
      <c r="J26" s="61" t="s">
        <v>14</v>
      </c>
      <c r="K26" s="55" t="s">
        <v>720</v>
      </c>
      <c r="L26" s="62" t="s">
        <v>716</v>
      </c>
    </row>
    <row r="27" spans="1:12" ht="75" customHeight="1" thickTop="1" thickBot="1">
      <c r="A27" s="47">
        <f ca="1">IFERROR(__xludf.DUMMYFUNCTION("""COMPUTED_VALUE"""),45966.5149601736)</f>
        <v>45966.514960173598</v>
      </c>
      <c r="B27" s="48" t="str">
        <f ca="1">IFERROR(__xludf.DUMMYFUNCTION("""COMPUTED_VALUE"""),"الحر")</f>
        <v>الحر</v>
      </c>
      <c r="C27" s="49" t="str">
        <f ca="1">IFERROR(__xludf.DUMMYFUNCTION("""COMPUTED_VALUE"""),"عيسى صالح حسن الكلابي ")</f>
        <v xml:space="preserve">عيسى صالح حسن الكلابي </v>
      </c>
      <c r="D27" s="50" t="str">
        <f ca="1">IFERROR(__xludf.DUMMYFUNCTION("""COMPUTED_VALUE"""),"قسم المشاريع الهندسية")</f>
        <v>قسم المشاريع الهندسية</v>
      </c>
      <c r="E27" s="50" t="str">
        <f ca="1">IFERROR(__xludf.DUMMYFUNCTION("""COMPUTED_VALUE"""),"C- المتوسطة (البناية 3)")</f>
        <v>C- المتوسطة (البناية 3)</v>
      </c>
      <c r="F27" s="50" t="str">
        <f ca="1">IFERROR(__xludf.DUMMYFUNCTION("""COMPUTED_VALUE"""),"ZONE A - الطابق الثاني")</f>
        <v>ZONE A - الطابق الثاني</v>
      </c>
      <c r="G27" s="50" t="str">
        <f ca="1">IFERROR(__xludf.DUMMYFUNCTION("""COMPUTED_VALUE"""),"اعمال تقشير الجمسمبورد ومعالجته في ماده الستن في البنايه الثالثه الطابق الثاني الزون A (المطبخ)")</f>
        <v>اعمال تقشير الجمسمبورد ومعالجته في ماده الستن في البنايه الثالثه الطابق الثاني الزون A (المطبخ)</v>
      </c>
      <c r="H27" s="50"/>
      <c r="I27" s="52" t="s">
        <v>17</v>
      </c>
      <c r="J27" s="53" t="s">
        <v>14</v>
      </c>
      <c r="K27" s="47" t="s">
        <v>723</v>
      </c>
      <c r="L27" s="54" t="s">
        <v>718</v>
      </c>
    </row>
    <row r="28" spans="1:12" ht="75" customHeight="1" thickTop="1" thickBot="1">
      <c r="A28" s="55">
        <f ca="1">IFERROR(__xludf.DUMMYFUNCTION("""COMPUTED_VALUE"""),45966.5351737152)</f>
        <v>45966.535173715201</v>
      </c>
      <c r="B28" s="56" t="str">
        <f ca="1">IFERROR(__xludf.DUMMYFUNCTION("""COMPUTED_VALUE"""),"الحر")</f>
        <v>الحر</v>
      </c>
      <c r="C28" s="57" t="str">
        <f ca="1">IFERROR(__xludf.DUMMYFUNCTION("""COMPUTED_VALUE"""),"بهاء الدين حسين ")</f>
        <v xml:space="preserve">بهاء الدين حسين </v>
      </c>
      <c r="D28" s="58" t="str">
        <f ca="1">IFERROR(__xludf.DUMMYFUNCTION("""COMPUTED_VALUE"""),"قسم المشاريع الهندسية")</f>
        <v>قسم المشاريع الهندسية</v>
      </c>
      <c r="E28" s="58" t="str">
        <f ca="1">IFERROR(__xludf.DUMMYFUNCTION("""COMPUTED_VALUE"""),"A- الابتدائية (البناية 1)")</f>
        <v>A- الابتدائية (البناية 1)</v>
      </c>
      <c r="F28" s="58" t="str">
        <f ca="1">IFERROR(__xludf.DUMMYFUNCTION("""COMPUTED_VALUE"""),"ZONE B - الطابق الارضي")</f>
        <v>ZONE B - الطابق الارضي</v>
      </c>
      <c r="G28" s="58" t="str">
        <f ca="1">IFERROR(__xludf.DUMMYFUNCTION("""COMPUTED_VALUE"""),"ارجاع سقف ثانوي عدد 2 الصف الرابع الابتدائي هاء")</f>
        <v>ارجاع سقف ثانوي عدد 2 الصف الرابع الابتدائي هاء</v>
      </c>
      <c r="H28" s="58"/>
      <c r="I28" s="60" t="s">
        <v>17</v>
      </c>
      <c r="J28" s="61" t="s">
        <v>14</v>
      </c>
      <c r="K28" s="55" t="s">
        <v>724</v>
      </c>
      <c r="L28" s="62" t="s">
        <v>716</v>
      </c>
    </row>
    <row r="29" spans="1:12" ht="75" customHeight="1" thickTop="1" thickBot="1">
      <c r="A29" s="47">
        <f ca="1">IFERROR(__xludf.DUMMYFUNCTION("""COMPUTED_VALUE"""),45966.5362639583)</f>
        <v>45966.536263958304</v>
      </c>
      <c r="B29" s="48" t="str">
        <f ca="1">IFERROR(__xludf.DUMMYFUNCTION("""COMPUTED_VALUE"""),"الحر")</f>
        <v>الحر</v>
      </c>
      <c r="C29" s="49" t="str">
        <f ca="1">IFERROR(__xludf.DUMMYFUNCTION("""COMPUTED_VALUE"""),"بهاء الدين حسين ")</f>
        <v xml:space="preserve">بهاء الدين حسين </v>
      </c>
      <c r="D29" s="50" t="str">
        <f ca="1">IFERROR(__xludf.DUMMYFUNCTION("""COMPUTED_VALUE"""),"قسم المشاريع الهندسية")</f>
        <v>قسم المشاريع الهندسية</v>
      </c>
      <c r="E29" s="50" t="str">
        <f ca="1">IFERROR(__xludf.DUMMYFUNCTION("""COMPUTED_VALUE"""),"A- الابتدائية (البناية 1)")</f>
        <v>A- الابتدائية (البناية 1)</v>
      </c>
      <c r="F29" s="50" t="str">
        <f ca="1">IFERROR(__xludf.DUMMYFUNCTION("""COMPUTED_VALUE"""),"ZONE B - الطابق الثاني")</f>
        <v>ZONE B - الطابق الثاني</v>
      </c>
      <c r="G29" s="50" t="str">
        <f ca="1">IFERROR(__xludf.DUMMYFUNCTION("""COMPUTED_VALUE"""),"صيانة تور شباك عدد واحد ")</f>
        <v xml:space="preserve">صيانة تور شباك عدد واحد </v>
      </c>
      <c r="H29" s="50"/>
      <c r="I29" s="52" t="s">
        <v>17</v>
      </c>
      <c r="J29" s="53" t="s">
        <v>14</v>
      </c>
      <c r="K29" s="47" t="s">
        <v>724</v>
      </c>
      <c r="L29" s="54" t="s">
        <v>716</v>
      </c>
    </row>
    <row r="30" spans="1:12" ht="75" customHeight="1" thickTop="1" thickBot="1">
      <c r="A30" s="55">
        <f ca="1">IFERROR(__xludf.DUMMYFUNCTION("""COMPUTED_VALUE"""),45966.5371049537)</f>
        <v>45966.537104953699</v>
      </c>
      <c r="B30" s="56" t="str">
        <f ca="1">IFERROR(__xludf.DUMMYFUNCTION("""COMPUTED_VALUE"""),"الحر")</f>
        <v>الحر</v>
      </c>
      <c r="C30" s="57" t="str">
        <f ca="1">IFERROR(__xludf.DUMMYFUNCTION("""COMPUTED_VALUE"""),"بهاء الدين حسين ")</f>
        <v xml:space="preserve">بهاء الدين حسين </v>
      </c>
      <c r="D30" s="58" t="str">
        <f ca="1">IFERROR(__xludf.DUMMYFUNCTION("""COMPUTED_VALUE"""),"قسم المشاريع الهندسية")</f>
        <v>قسم المشاريع الهندسية</v>
      </c>
      <c r="E30" s="58" t="str">
        <f ca="1">IFERROR(__xludf.DUMMYFUNCTION("""COMPUTED_VALUE"""),"A- الابتدائية (البناية 1)")</f>
        <v>A- الابتدائية (البناية 1)</v>
      </c>
      <c r="F30" s="58" t="str">
        <f ca="1">IFERROR(__xludf.DUMMYFUNCTION("""COMPUTED_VALUE"""),"ZONE A - الطابق الاول")</f>
        <v>ZONE A - الطابق الاول</v>
      </c>
      <c r="G30" s="58" t="str">
        <f ca="1">IFERROR(__xludf.DUMMYFUNCTION("""COMPUTED_VALUE"""),"لبخ الجدار الحمام الخارجي ")</f>
        <v xml:space="preserve">لبخ الجدار الحمام الخارجي </v>
      </c>
      <c r="H30" s="58"/>
      <c r="I30" s="60" t="s">
        <v>17</v>
      </c>
      <c r="J30" s="61" t="s">
        <v>14</v>
      </c>
      <c r="K30" s="55" t="s">
        <v>724</v>
      </c>
      <c r="L30" s="62" t="s">
        <v>719</v>
      </c>
    </row>
    <row r="31" spans="1:12" ht="75" customHeight="1" thickTop="1" thickBot="1">
      <c r="A31" s="47">
        <f ca="1">IFERROR(__xludf.DUMMYFUNCTION("""COMPUTED_VALUE"""),45966.5388589467)</f>
        <v>45966.538858946697</v>
      </c>
      <c r="B31" s="48" t="str">
        <f ca="1">IFERROR(__xludf.DUMMYFUNCTION("""COMPUTED_VALUE"""),"الحر")</f>
        <v>الحر</v>
      </c>
      <c r="C31" s="49" t="str">
        <f ca="1">IFERROR(__xludf.DUMMYFUNCTION("""COMPUTED_VALUE"""),"بهاء الدين حسين ")</f>
        <v xml:space="preserve">بهاء الدين حسين </v>
      </c>
      <c r="D31" s="50" t="str">
        <f ca="1">IFERROR(__xludf.DUMMYFUNCTION("""COMPUTED_VALUE"""),"قسم المشاريع الهندسية")</f>
        <v>قسم المشاريع الهندسية</v>
      </c>
      <c r="E31" s="50" t="str">
        <f ca="1">IFERROR(__xludf.DUMMYFUNCTION("""COMPUTED_VALUE"""),"D- الاعدادية (البناية 4)")</f>
        <v>D- الاعدادية (البناية 4)</v>
      </c>
      <c r="F31" s="50" t="str">
        <f ca="1">IFERROR(__xludf.DUMMYFUNCTION("""COMPUTED_VALUE"""),"ZONE B - الطابق الارضي, ZONE B - الطابق الاول")</f>
        <v>ZONE B - الطابق الارضي, ZONE B - الطابق الاول</v>
      </c>
      <c r="G31" s="50" t="str">
        <f ca="1">IFERROR(__xludf.DUMMYFUNCTION("""COMPUTED_VALUE"""),"تركيب مصد باب خشب العدد 10 صف في الارضي والاول ")</f>
        <v xml:space="preserve">تركيب مصد باب خشب العدد 10 صف في الارضي والاول </v>
      </c>
      <c r="H31" s="50"/>
      <c r="I31" s="52" t="s">
        <v>17</v>
      </c>
      <c r="J31" s="53" t="s">
        <v>14</v>
      </c>
      <c r="K31" s="47" t="s">
        <v>724</v>
      </c>
      <c r="L31" s="54" t="s">
        <v>713</v>
      </c>
    </row>
    <row r="32" spans="1:12" ht="75" customHeight="1" thickTop="1" thickBot="1">
      <c r="A32" s="55">
        <f ca="1">IFERROR(__xludf.DUMMYFUNCTION("""COMPUTED_VALUE"""),45966.5421606828)</f>
        <v>45966.542160682802</v>
      </c>
      <c r="B32" s="56" t="str">
        <f ca="1">IFERROR(__xludf.DUMMYFUNCTION("""COMPUTED_VALUE"""),"الحر")</f>
        <v>الحر</v>
      </c>
      <c r="C32" s="57" t="str">
        <f ca="1">IFERROR(__xludf.DUMMYFUNCTION("""COMPUTED_VALUE"""),"عيسى صالح ")</f>
        <v xml:space="preserve">عيسى صالح </v>
      </c>
      <c r="D32" s="58" t="str">
        <f ca="1">IFERROR(__xludf.DUMMYFUNCTION("""COMPUTED_VALUE"""),"قسم المشاريع الهندسية")</f>
        <v>قسم المشاريع الهندسية</v>
      </c>
      <c r="E32" s="58" t="str">
        <f ca="1">IFERROR(__xludf.DUMMYFUNCTION("""COMPUTED_VALUE"""),"B- الابتدائية (البناية 2)")</f>
        <v>B- الابتدائية (البناية 2)</v>
      </c>
      <c r="F32" s="58" t="str">
        <f ca="1">IFERROR(__xludf.DUMMYFUNCTION("""COMPUTED_VALUE"""),"السياج الخارجي قرب الباب ")</f>
        <v xml:space="preserve">السياج الخارجي قرب الباب </v>
      </c>
      <c r="G32" s="58" t="str">
        <f ca="1">IFERROR(__xludf.DUMMYFUNCTION("""COMPUTED_VALUE"""),"صيانة قطع مرمر ")</f>
        <v xml:space="preserve">صيانة قطع مرمر </v>
      </c>
      <c r="H32" s="58"/>
      <c r="I32" s="60" t="s">
        <v>17</v>
      </c>
      <c r="J32" s="61" t="s">
        <v>14</v>
      </c>
      <c r="K32" s="55" t="s">
        <v>724</v>
      </c>
      <c r="L32" s="62"/>
    </row>
    <row r="33" spans="1:12" ht="75" customHeight="1" thickTop="1" thickBot="1">
      <c r="A33" s="47">
        <f ca="1">IFERROR(__xludf.DUMMYFUNCTION("""COMPUTED_VALUE"""),45966.5430087268)</f>
        <v>45966.543008726803</v>
      </c>
      <c r="B33" s="48" t="str">
        <f ca="1">IFERROR(__xludf.DUMMYFUNCTION("""COMPUTED_VALUE"""),"الحر")</f>
        <v>الحر</v>
      </c>
      <c r="C33" s="49" t="str">
        <f ca="1">IFERROR(__xludf.DUMMYFUNCTION("""COMPUTED_VALUE"""),"عيسى صالح ")</f>
        <v xml:space="preserve">عيسى صالح </v>
      </c>
      <c r="D33" s="50" t="str">
        <f ca="1">IFERROR(__xludf.DUMMYFUNCTION("""COMPUTED_VALUE"""),"قسم المشاريع الهندسية")</f>
        <v>قسم المشاريع الهندسية</v>
      </c>
      <c r="E33" s="50" t="str">
        <f ca="1">IFERROR(__xludf.DUMMYFUNCTION("""COMPUTED_VALUE"""),"C- المتوسطة (البناية 3)")</f>
        <v>C- المتوسطة (البناية 3)</v>
      </c>
      <c r="F33" s="50" t="str">
        <f ca="1">IFERROR(__xludf.DUMMYFUNCTION("""COMPUTED_VALUE"""),"ZONE B - الطابق الاول")</f>
        <v>ZONE B - الطابق الاول</v>
      </c>
      <c r="G33" s="50" t="str">
        <f ca="1">IFERROR(__xludf.DUMMYFUNCTION("""COMPUTED_VALUE"""),"تبديل يدة شباك عدد 2")</f>
        <v>تبديل يدة شباك عدد 2</v>
      </c>
      <c r="H33" s="50"/>
      <c r="I33" s="52" t="s">
        <v>17</v>
      </c>
      <c r="J33" s="53" t="s">
        <v>14</v>
      </c>
      <c r="K33" s="47" t="s">
        <v>724</v>
      </c>
      <c r="L33" s="54"/>
    </row>
    <row r="34" spans="1:12" ht="75" customHeight="1" thickTop="1" thickBot="1">
      <c r="A34" s="55">
        <f ca="1">IFERROR(__xludf.DUMMYFUNCTION("""COMPUTED_VALUE"""),45966.5445334143)</f>
        <v>45966.544533414301</v>
      </c>
      <c r="B34" s="56" t="str">
        <f ca="1">IFERROR(__xludf.DUMMYFUNCTION("""COMPUTED_VALUE"""),"الحر")</f>
        <v>الحر</v>
      </c>
      <c r="C34" s="57" t="str">
        <f ca="1">IFERROR(__xludf.DUMMYFUNCTION("""COMPUTED_VALUE"""),"عيسى صالح ")</f>
        <v xml:space="preserve">عيسى صالح </v>
      </c>
      <c r="D34" s="58" t="str">
        <f ca="1">IFERROR(__xludf.DUMMYFUNCTION("""COMPUTED_VALUE"""),"قسم المشاريع الهندسية")</f>
        <v>قسم المشاريع الهندسية</v>
      </c>
      <c r="E34" s="58" t="str">
        <f ca="1">IFERROR(__xludf.DUMMYFUNCTION("""COMPUTED_VALUE"""),"B- الابتدائية (البناية 2)")</f>
        <v>B- الابتدائية (البناية 2)</v>
      </c>
      <c r="F34" s="58" t="str">
        <f ca="1">IFERROR(__xludf.DUMMYFUNCTION("""COMPUTED_VALUE"""),"ZONE A - الطابق الارضي")</f>
        <v>ZONE A - الطابق الارضي</v>
      </c>
      <c r="G34" s="58" t="str">
        <f ca="1">IFERROR(__xludf.DUMMYFUNCTION("""COMPUTED_VALUE"""),"تبديل يدة باب الامنيوم يدة ولبة ")</f>
        <v xml:space="preserve">تبديل يدة باب الامنيوم يدة ولبة </v>
      </c>
      <c r="H34" s="58"/>
      <c r="I34" s="60" t="s">
        <v>17</v>
      </c>
      <c r="J34" s="61" t="s">
        <v>14</v>
      </c>
      <c r="K34" s="55" t="s">
        <v>724</v>
      </c>
      <c r="L34" s="62"/>
    </row>
    <row r="35" spans="1:12" ht="75" customHeight="1" thickTop="1" thickBot="1">
      <c r="A35" s="47">
        <f ca="1">IFERROR(__xludf.DUMMYFUNCTION("""COMPUTED_VALUE"""),45966.5456348842)</f>
        <v>45966.545634884198</v>
      </c>
      <c r="B35" s="48" t="str">
        <f ca="1">IFERROR(__xludf.DUMMYFUNCTION("""COMPUTED_VALUE"""),"الحر")</f>
        <v>الحر</v>
      </c>
      <c r="C35" s="49" t="str">
        <f ca="1">IFERROR(__xludf.DUMMYFUNCTION("""COMPUTED_VALUE"""),"عيسى صالح ")</f>
        <v xml:space="preserve">عيسى صالح </v>
      </c>
      <c r="D35" s="50" t="str">
        <f ca="1">IFERROR(__xludf.DUMMYFUNCTION("""COMPUTED_VALUE"""),"قسم المشاريع الهندسية")</f>
        <v>قسم المشاريع الهندسية</v>
      </c>
      <c r="E35" s="50" t="str">
        <f ca="1">IFERROR(__xludf.DUMMYFUNCTION("""COMPUTED_VALUE"""),"B- الابتدائية (البناية 2)")</f>
        <v>B- الابتدائية (البناية 2)</v>
      </c>
      <c r="F35" s="50" t="str">
        <f ca="1">IFERROR(__xludf.DUMMYFUNCTION("""COMPUTED_VALUE"""),"ZONE A - الطابق الارضي")</f>
        <v>ZONE A - الطابق الارضي</v>
      </c>
      <c r="G35" s="50" t="str">
        <f ca="1">IFERROR(__xludf.DUMMYFUNCTION("""COMPUTED_VALUE"""),"تبديل لبة باب خشب ")</f>
        <v xml:space="preserve">تبديل لبة باب خشب </v>
      </c>
      <c r="H35" s="50"/>
      <c r="I35" s="52" t="s">
        <v>17</v>
      </c>
      <c r="J35" s="53" t="s">
        <v>14</v>
      </c>
      <c r="K35" s="47" t="s">
        <v>724</v>
      </c>
      <c r="L35" s="54"/>
    </row>
    <row r="36" spans="1:12" ht="75" customHeight="1" thickTop="1" thickBot="1">
      <c r="A36" s="47">
        <f ca="1">IFERROR(__xludf.DUMMYFUNCTION("""COMPUTED_VALUE"""),45967.4116831481)</f>
        <v>45967.411683148101</v>
      </c>
      <c r="B36" s="48" t="str">
        <f ca="1">IFERROR(__xludf.DUMMYFUNCTION("""COMPUTED_VALUE"""),"الحر")</f>
        <v>الحر</v>
      </c>
      <c r="C36" s="49" t="str">
        <f ca="1">IFERROR(__xludf.DUMMYFUNCTION("""COMPUTED_VALUE"""),"استاذ احمد مدرس رياضه ")</f>
        <v xml:space="preserve">استاذ احمد مدرس رياضه </v>
      </c>
      <c r="D36" s="50" t="str">
        <f ca="1">IFERROR(__xludf.DUMMYFUNCTION("""COMPUTED_VALUE"""),"قسم التربية والتعليم العالي")</f>
        <v>قسم التربية والتعليم العالي</v>
      </c>
      <c r="E36" s="50" t="str">
        <f ca="1">IFERROR(__xludf.DUMMYFUNCTION("""COMPUTED_VALUE"""),"D- الاعدادية (البناية 4)")</f>
        <v>D- الاعدادية (البناية 4)</v>
      </c>
      <c r="F36" s="50" t="str">
        <f ca="1">IFERROR(__xludf.DUMMYFUNCTION("""COMPUTED_VALUE"""),"ZONE B - الطابق الارضي, باب الساحه المطله على الممر الجانبي ")</f>
        <v xml:space="preserve">ZONE B - الطابق الارضي, باب الساحه المطله على الممر الجانبي </v>
      </c>
      <c r="G36" s="50" t="str">
        <f ca="1">IFERROR(__xludf.DUMMYFUNCTION("""COMPUTED_VALUE"""),"باب الساحة المطل على الممرات  يحتاج تبديل لبة القفل فقط وليس اليده كامله فقط البة علما ان الباب مفتوح غير مقفل ")</f>
        <v xml:space="preserve">باب الساحة المطل على الممرات  يحتاج تبديل لبة القفل فقط وليس اليده كامله فقط البة علما ان الباب مفتوح غير مقفل </v>
      </c>
      <c r="H36" s="50" t="str">
        <f ca="1">IFERROR(__xludf.DUMMYFUNCTION("""COMPUTED_VALUE"""),"تزويدنا بنسخه من المفتاح الجديد... مع التقدير ")</f>
        <v xml:space="preserve">تزويدنا بنسخه من المفتاح الجديد... مع التقدير </v>
      </c>
      <c r="I36" s="52" t="s">
        <v>17</v>
      </c>
      <c r="J36" s="53" t="s">
        <v>14</v>
      </c>
      <c r="K36" s="47" t="s">
        <v>726</v>
      </c>
      <c r="L36" s="54" t="s">
        <v>727</v>
      </c>
    </row>
    <row r="37" spans="1:12" ht="75" customHeight="1" thickTop="1" thickBot="1">
      <c r="A37" s="55">
        <f ca="1">IFERROR(__xludf.DUMMYFUNCTION("""COMPUTED_VALUE"""),45969.3397062037)</f>
        <v>45969.339706203697</v>
      </c>
      <c r="B37" s="56" t="str">
        <f ca="1">IFERROR(__xludf.DUMMYFUNCTION("""COMPUTED_VALUE"""),"الحر")</f>
        <v>الحر</v>
      </c>
      <c r="C37" s="57" t="str">
        <f ca="1">IFERROR(__xludf.DUMMYFUNCTION("""COMPUTED_VALUE"""),"عيسى صالح الكلابي ")</f>
        <v xml:space="preserve">عيسى صالح الكلابي </v>
      </c>
      <c r="D37" s="58" t="str">
        <f ca="1">IFERROR(__xludf.DUMMYFUNCTION("""COMPUTED_VALUE"""),"قسم المشاريع الهندسية")</f>
        <v>قسم المشاريع الهندسية</v>
      </c>
      <c r="E37" s="58" t="str">
        <f ca="1">IFERROR(__xludf.DUMMYFUNCTION("""COMPUTED_VALUE"""),"C- المتوسطة (البناية 3)")</f>
        <v>C- المتوسطة (البناية 3)</v>
      </c>
      <c r="F37" s="58" t="str">
        <f ca="1">IFERROR(__xludf.DUMMYFUNCTION("""COMPUTED_VALUE"""),"ZONE A - الطابق الاول")</f>
        <v>ZONE A - الطابق الاول</v>
      </c>
      <c r="G37" s="58" t="str">
        <f ca="1">IFERROR(__xludf.DUMMYFUNCTION("""COMPUTED_VALUE"""),"صيانة مرد ماء في الصحيات ")</f>
        <v xml:space="preserve">صيانة مرد ماء في الصحيات </v>
      </c>
      <c r="H37" s="58" t="str">
        <f ca="1">IFERROR(__xludf.DUMMYFUNCTION("""COMPUTED_VALUE"""),"تم تبليغ حسين العيبي ")</f>
        <v xml:space="preserve">تم تبليغ حسين العيبي </v>
      </c>
      <c r="I37" s="60" t="s">
        <v>17</v>
      </c>
      <c r="J37" s="61" t="s">
        <v>14</v>
      </c>
      <c r="K37" s="55" t="s">
        <v>731</v>
      </c>
      <c r="L37" s="62"/>
    </row>
    <row r="38" spans="1:12" ht="75" customHeight="1" thickTop="1" thickBot="1">
      <c r="A38" s="47">
        <f ca="1">IFERROR(__xludf.DUMMYFUNCTION("""COMPUTED_VALUE"""),45969.3533878009)</f>
        <v>45969.353387800897</v>
      </c>
      <c r="B38" s="48" t="str">
        <f ca="1">IFERROR(__xludf.DUMMYFUNCTION("""COMPUTED_VALUE"""),"الحر")</f>
        <v>الحر</v>
      </c>
      <c r="C38" s="49" t="str">
        <f ca="1">IFERROR(__xludf.DUMMYFUNCTION("""COMPUTED_VALUE"""),"استاذ صالح المعاون")</f>
        <v>استاذ صالح المعاون</v>
      </c>
      <c r="D38" s="50" t="str">
        <f ca="1">IFERROR(__xludf.DUMMYFUNCTION("""COMPUTED_VALUE"""),"قسم التربية والتعليم العالي")</f>
        <v>قسم التربية والتعليم العالي</v>
      </c>
      <c r="E38" s="50" t="str">
        <f ca="1">IFERROR(__xludf.DUMMYFUNCTION("""COMPUTED_VALUE"""),"C- المتوسطة (البناية 3)")</f>
        <v>C- المتوسطة (البناية 3)</v>
      </c>
      <c r="F38" s="50" t="str">
        <f ca="1">IFERROR(__xludf.DUMMYFUNCTION("""COMPUTED_VALUE"""),"ZONE A - الطابق الارضي")</f>
        <v>ZONE A - الطابق الارضي</v>
      </c>
      <c r="G38" s="50" t="str">
        <f ca="1">IFERROR(__xludf.DUMMYFUNCTION("""COMPUTED_VALUE"""),"فتح واستبدال إقفال مجموعة لوكرات في غرفة المعاون الإداري ومواقع أخرى ")</f>
        <v xml:space="preserve">فتح واستبدال إقفال مجموعة لوكرات في غرفة المعاون الإداري ومواقع أخرى </v>
      </c>
      <c r="H38" s="50" t="str">
        <f ca="1">IFERROR(__xludf.DUMMYFUNCTION("""COMPUTED_VALUE"""),"يرجى التواصل مع استاذ صالح لغرض تحديد اللوكرات")</f>
        <v>يرجى التواصل مع استاذ صالح لغرض تحديد اللوكرات</v>
      </c>
      <c r="I38" s="52" t="s">
        <v>17</v>
      </c>
      <c r="J38" s="53" t="s">
        <v>14</v>
      </c>
      <c r="K38" s="47" t="s">
        <v>732</v>
      </c>
      <c r="L38" s="54"/>
    </row>
    <row r="39" spans="1:12" ht="75" customHeight="1" thickTop="1" thickBot="1">
      <c r="A39" s="55">
        <f ca="1">IFERROR(__xludf.DUMMYFUNCTION("""COMPUTED_VALUE"""),45970.4067140509)</f>
        <v>45970.4067140509</v>
      </c>
      <c r="B39" s="56" t="str">
        <f ca="1">IFERROR(__xludf.DUMMYFUNCTION("""COMPUTED_VALUE"""),"الحر")</f>
        <v>الحر</v>
      </c>
      <c r="C39" s="57" t="str">
        <f ca="1">IFERROR(__xludf.DUMMYFUNCTION("""COMPUTED_VALUE"""),"استاذ رامي")</f>
        <v>استاذ رامي</v>
      </c>
      <c r="D39" s="58" t="str">
        <f ca="1">IFERROR(__xludf.DUMMYFUNCTION("""COMPUTED_VALUE"""),"قسم التربية والتعليم العالي")</f>
        <v>قسم التربية والتعليم العالي</v>
      </c>
      <c r="E39" s="58" t="str">
        <f ca="1">IFERROR(__xludf.DUMMYFUNCTION("""COMPUTED_VALUE"""),"A- الابتدائية (البناية 1)")</f>
        <v>A- الابتدائية (البناية 1)</v>
      </c>
      <c r="F39" s="58" t="str">
        <f ca="1">IFERROR(__xludf.DUMMYFUNCTION("""COMPUTED_VALUE"""),"ZONE A - الطابق الارضي")</f>
        <v>ZONE A - الطابق الارضي</v>
      </c>
      <c r="G39" s="58" t="str">
        <f ca="1">IFERROR(__xludf.DUMMYFUNCTION("""COMPUTED_VALUE"""),"تركيب بوستر يحتاج إلى جهاز ال دريل وباقي التفاصيل عند الأستاذ رامي ")</f>
        <v xml:space="preserve">تركيب بوستر يحتاج إلى جهاز ال دريل وباقي التفاصيل عند الأستاذ رامي </v>
      </c>
      <c r="H39" s="58" t="str">
        <f ca="1">IFERROR(__xludf.DUMMYFUNCTION("""COMPUTED_VALUE"""),"التواصل مع موظف الاستعلامات لتسهيل الامر")</f>
        <v>التواصل مع موظف الاستعلامات لتسهيل الامر</v>
      </c>
      <c r="I39" s="60" t="s">
        <v>17</v>
      </c>
      <c r="J39" s="61" t="s">
        <v>14</v>
      </c>
      <c r="K39" s="55" t="s">
        <v>733</v>
      </c>
      <c r="L39" s="62"/>
    </row>
    <row r="40" spans="1:12" ht="75" customHeight="1" thickTop="1" thickBot="1">
      <c r="A40" s="55">
        <f ca="1">IFERROR(__xludf.DUMMYFUNCTION("""COMPUTED_VALUE"""),45970.5359076388)</f>
        <v>45970.535907638798</v>
      </c>
      <c r="B40" s="56" t="str">
        <f ca="1">IFERROR(__xludf.DUMMYFUNCTION("""COMPUTED_VALUE"""),"الحر")</f>
        <v>الحر</v>
      </c>
      <c r="C40" s="57" t="str">
        <f ca="1">IFERROR(__xludf.DUMMYFUNCTION("""COMPUTED_VALUE"""),"علي فالح")</f>
        <v>علي فالح</v>
      </c>
      <c r="D40" s="58" t="str">
        <f ca="1">IFERROR(__xludf.DUMMYFUNCTION("""COMPUTED_VALUE"""),"قسم التربية والتعليم العالي")</f>
        <v>قسم التربية والتعليم العالي</v>
      </c>
      <c r="E40" s="58" t="str">
        <f ca="1">IFERROR(__xludf.DUMMYFUNCTION("""COMPUTED_VALUE"""),"C- المتوسطة (البناية 3)")</f>
        <v>C- المتوسطة (البناية 3)</v>
      </c>
      <c r="F40" s="58" t="str">
        <f ca="1">IFERROR(__xludf.DUMMYFUNCTION("""COMPUTED_VALUE"""),"ZONE B - الطابق الارضي")</f>
        <v>ZONE B - الطابق الارضي</v>
      </c>
      <c r="G40" s="58" t="str">
        <f ca="1">IFERROR(__xludf.DUMMYFUNCTION("""COMPUTED_VALUE"""),"الصحيات يوجد كسر في أجزاء صغيره ")</f>
        <v xml:space="preserve">الصحيات يوجد كسر في أجزاء صغيره </v>
      </c>
      <c r="H40" s="58" t="str">
        <f ca="1">IFERROR(__xludf.DUMMYFUNCTION("""COMPUTED_VALUE"""),"تم إرسال صورة في المجموعة المشتركة")</f>
        <v>تم إرسال صورة في المجموعة المشتركة</v>
      </c>
      <c r="I40" s="60" t="s">
        <v>17</v>
      </c>
      <c r="J40" s="61" t="s">
        <v>14</v>
      </c>
      <c r="K40" s="55" t="s">
        <v>735</v>
      </c>
      <c r="L40" s="62" t="s">
        <v>736</v>
      </c>
    </row>
    <row r="41" spans="1:12" ht="75" customHeight="1" thickTop="1" thickBot="1">
      <c r="A41" s="47">
        <f ca="1">IFERROR(__xludf.DUMMYFUNCTION("""COMPUTED_VALUE"""),45971.3626378703)</f>
        <v>45971.362637870297</v>
      </c>
      <c r="B41" s="48" t="str">
        <f ca="1">IFERROR(__xludf.DUMMYFUNCTION("""COMPUTED_VALUE"""),"الحر")</f>
        <v>الحر</v>
      </c>
      <c r="C41" s="49" t="str">
        <f ca="1">IFERROR(__xludf.DUMMYFUNCTION("""COMPUTED_VALUE"""),"استاذ منتظر استعلامات ")</f>
        <v xml:space="preserve">استاذ منتظر استعلامات </v>
      </c>
      <c r="D41" s="50" t="str">
        <f ca="1">IFERROR(__xludf.DUMMYFUNCTION("""COMPUTED_VALUE"""),"قسم التربية والتعليم العالي")</f>
        <v>قسم التربية والتعليم العالي</v>
      </c>
      <c r="E41" s="50" t="str">
        <f ca="1">IFERROR(__xludf.DUMMYFUNCTION("""COMPUTED_VALUE"""),"A- الابتدائية (البناية 1)")</f>
        <v>A- الابتدائية (البناية 1)</v>
      </c>
      <c r="F41" s="50" t="str">
        <f ca="1">IFERROR(__xludf.DUMMYFUNCTION("""COMPUTED_VALUE"""),"ZONE A - الطابق الارضي")</f>
        <v>ZONE A - الطابق الارضي</v>
      </c>
      <c r="G41" s="50" t="str">
        <f ca="1">IFERROR(__xludf.DUMMYFUNCTION("""COMPUTED_VALUE"""),"سيراميك الهزاره ساقط في الغرفة المقابل الادراة")</f>
        <v>سيراميك الهزاره ساقط في الغرفة المقابل الادراة</v>
      </c>
      <c r="H41" s="50" t="str">
        <f ca="1">IFERROR(__xludf.DUMMYFUNCTION("""COMPUTED_VALUE"""),"استعلام عن الموقع من خلال موظف الاستعلامات.... مع التقدير")</f>
        <v>استعلام عن الموقع من خلال موظف الاستعلامات.... مع التقدير</v>
      </c>
      <c r="I41" s="52" t="s">
        <v>17</v>
      </c>
      <c r="J41" s="53" t="s">
        <v>14</v>
      </c>
      <c r="K41" s="47" t="s">
        <v>737</v>
      </c>
      <c r="L41" s="54"/>
    </row>
    <row r="42" spans="1:12" ht="75" customHeight="1" thickTop="1" thickBot="1">
      <c r="A42" s="55">
        <f ca="1">IFERROR(__xludf.DUMMYFUNCTION("""COMPUTED_VALUE"""),45977.3642105208)</f>
        <v>45977.364210520798</v>
      </c>
      <c r="B42" s="56" t="str">
        <f ca="1">IFERROR(__xludf.DUMMYFUNCTION("""COMPUTED_VALUE"""),"الحر")</f>
        <v>الحر</v>
      </c>
      <c r="C42" s="57" t="str">
        <f ca="1">IFERROR(__xludf.DUMMYFUNCTION("""COMPUTED_VALUE"""),"ابو كميل ")</f>
        <v xml:space="preserve">ابو كميل </v>
      </c>
      <c r="D42" s="58" t="str">
        <f ca="1">IFERROR(__xludf.DUMMYFUNCTION("""COMPUTED_VALUE"""),"قسم التربية والتعليم العالي")</f>
        <v>قسم التربية والتعليم العالي</v>
      </c>
      <c r="E42" s="58" t="str">
        <f ca="1">IFERROR(__xludf.DUMMYFUNCTION("""COMPUTED_VALUE"""),"D- الاعدادية (البناية 4)")</f>
        <v>D- الاعدادية (البناية 4)</v>
      </c>
      <c r="F42" s="58" t="str">
        <f ca="1">IFERROR(__xludf.DUMMYFUNCTION("""COMPUTED_VALUE"""),"ZONE A - الطابق الاول")</f>
        <v>ZONE A - الطابق الاول</v>
      </c>
      <c r="G42" s="58" t="str">
        <f ca="1">IFERROR(__xludf.DUMMYFUNCTION("""COMPUTED_VALUE"""),"السقف الثانويه في الصحيات قرب المصعد يوجد فيه طيور وفضلاتها يرجى غلق فتحة قرب الدكت التبريد ")</f>
        <v xml:space="preserve">السقف الثانويه في الصحيات قرب المصعد يوجد فيه طيور وفضلاتها يرجى غلق فتحة قرب الدكت التبريد </v>
      </c>
      <c r="H42" s="58" t="str">
        <f ca="1">IFERROR(__xludf.DUMMYFUNCTION("""COMPUTED_VALUE"""),"استعلام عن الموقع من خلال المنتسب محمد محسن في نفس الطابق ")</f>
        <v xml:space="preserve">استعلام عن الموقع من خلال المنتسب محمد محسن في نفس الطابق </v>
      </c>
      <c r="I42" s="60" t="s">
        <v>17</v>
      </c>
      <c r="J42" s="61" t="s">
        <v>14</v>
      </c>
      <c r="K42" s="55"/>
      <c r="L42" s="62"/>
    </row>
    <row r="43" spans="1:12" ht="75" customHeight="1" thickTop="1" thickBot="1">
      <c r="A43" s="47">
        <f ca="1">IFERROR(__xludf.DUMMYFUNCTION("""COMPUTED_VALUE"""),45977.3726383796)</f>
        <v>45977.372638379602</v>
      </c>
      <c r="B43" s="48" t="str">
        <f ca="1">IFERROR(__xludf.DUMMYFUNCTION("""COMPUTED_VALUE"""),"الحر")</f>
        <v>الحر</v>
      </c>
      <c r="C43" s="49" t="str">
        <f ca="1">IFERROR(__xludf.DUMMYFUNCTION("""COMPUTED_VALUE"""),"احمد كريم عبد")</f>
        <v>احمد كريم عبد</v>
      </c>
      <c r="D43" s="50" t="str">
        <f ca="1">IFERROR(__xludf.DUMMYFUNCTION("""COMPUTED_VALUE"""),"قسم التربية والتعليم العالي")</f>
        <v>قسم التربية والتعليم العالي</v>
      </c>
      <c r="E43" s="50" t="str">
        <f ca="1">IFERROR(__xludf.DUMMYFUNCTION("""COMPUTED_VALUE"""),"A- الابتدائية (البناية 1), B- الابتدائية (البناية 2), C- المتوسطة (البناية 3), D- الاعدادية (البناية 4)")</f>
        <v>A- الابتدائية (البناية 1), B- الابتدائية (البناية 2), C- المتوسطة (البناية 3), D- الاعدادية (البناية 4)</v>
      </c>
      <c r="F43" s="50" t="str">
        <f ca="1">IFERROR(__xludf.DUMMYFUNCTION("""COMPUTED_VALUE"""),"ZONE A - الطابق الارضي, ZONE A - الطابق الاول, ZONE A - الطابق الثاني, ZONE B - الطابق الارضي, ZONE B - الطابق الاول, ZONE B - الطابق الثاني")</f>
        <v>ZONE A - الطابق الارضي, ZONE A - الطابق الاول, ZONE A - الطابق الثاني, ZONE B - الطابق الارضي, ZONE B - الطابق الاول, ZONE B - الطابق الثاني</v>
      </c>
      <c r="G43" s="50" t="str">
        <f ca="1">IFERROR(__xludf.DUMMYFUNCTION("""COMPUTED_VALUE"""),"شد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f>
        <v>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v>
      </c>
      <c r="H43" s="50" t="str">
        <f ca="1">IFERROR(__xludf.DUMMYFUNCTION("""COMPUTED_VALUE"""),"نرجو اكمالها في نفس اليوم لارجاعها غدا صباحا  إلى نفس الموقع قبل دخول الطلبة.. مع التقدير ")</f>
        <v xml:space="preserve">نرجو اكمالها في نفس اليوم لارجاعها غدا صباحا  إلى نفس الموقع قبل دخول الطلبة.. مع التقدير </v>
      </c>
      <c r="I43" s="52" t="s">
        <v>17</v>
      </c>
      <c r="J43" s="53" t="s">
        <v>14</v>
      </c>
      <c r="K43" s="47"/>
      <c r="L43" s="54"/>
    </row>
    <row r="44" spans="1:12" ht="75" customHeight="1" thickTop="1" thickBot="1">
      <c r="A44" s="55">
        <f ca="1">IFERROR(__xludf.DUMMYFUNCTION("""COMPUTED_VALUE"""),45977.4544892245)</f>
        <v>45977.454489224503</v>
      </c>
      <c r="B44" s="56" t="str">
        <f ca="1">IFERROR(__xludf.DUMMYFUNCTION("""COMPUTED_VALUE"""),"الحر")</f>
        <v>الحر</v>
      </c>
      <c r="C44" s="57" t="str">
        <f ca="1">IFERROR(__xludf.DUMMYFUNCTION("""COMPUTED_VALUE"""),"احمد كريم عبد")</f>
        <v>احمد كريم عبد</v>
      </c>
      <c r="D44" s="58" t="str">
        <f ca="1">IFERROR(__xludf.DUMMYFUNCTION("""COMPUTED_VALUE"""),"قسم التربية والتعليم العالي")</f>
        <v>قسم التربية والتعليم العالي</v>
      </c>
      <c r="E44" s="58" t="str">
        <f ca="1">IFERROR(__xludf.DUMMYFUNCTION("""COMPUTED_VALUE"""),"الساحه الخلفية")</f>
        <v>الساحه الخلفية</v>
      </c>
      <c r="F44" s="58" t="str">
        <f ca="1">IFERROR(__xludf.DUMMYFUNCTION("""COMPUTED_VALUE"""),"السطح, الكراج, الهيكل بين الساحات الرياضيه الخارجية.. في الكراج ")</f>
        <v xml:space="preserve">السطح, الكراج, الهيكل بين الساحات الرياضيه الخارجية.. في الكراج </v>
      </c>
      <c r="G44" s="58" t="str">
        <f ca="1">IFERROR(__xludf.DUMMYFUNCTION("""COMPUTED_VALUE"""),"تثبيت ثيل اصطناعي فوق الهيكل باستخدام جهاز المسدس الطلقة علما ان الثيل موجود في الموقع")</f>
        <v>تثبيت ثيل اصطناعي فوق الهيكل باستخدام جهاز المسدس الطلقة علما ان الثيل موجود في الموقع</v>
      </c>
      <c r="H44" s="58" t="str">
        <f ca="1">IFERROR(__xludf.DUMMYFUNCTION("""COMPUTED_VALUE"""),"التواصل مع مسؤول الشعبة في حال وجود استفسارات")</f>
        <v>التواصل مع مسؤول الشعبة في حال وجود استفسارات</v>
      </c>
      <c r="I44" s="60" t="s">
        <v>17</v>
      </c>
      <c r="J44" s="61" t="s">
        <v>14</v>
      </c>
      <c r="K44" s="55">
        <v>45978.507432395832</v>
      </c>
      <c r="L44" s="62"/>
    </row>
    <row r="45" spans="1:12" ht="75" customHeight="1" thickTop="1" thickBot="1">
      <c r="A45" s="47">
        <f ca="1">IFERROR(__xludf.DUMMYFUNCTION("""COMPUTED_VALUE"""),45979.3783963657)</f>
        <v>45979.378396365697</v>
      </c>
      <c r="B45" s="48" t="str">
        <f ca="1">IFERROR(__xludf.DUMMYFUNCTION("""COMPUTED_VALUE"""),"الحر")</f>
        <v>الحر</v>
      </c>
      <c r="C45" s="49" t="str">
        <f ca="1">IFERROR(__xludf.DUMMYFUNCTION("""COMPUTED_VALUE"""),"علي حسين")</f>
        <v>علي حسين</v>
      </c>
      <c r="D45" s="50" t="str">
        <f ca="1">IFERROR(__xludf.DUMMYFUNCTION("""COMPUTED_VALUE"""),"قسم التربية والتعليم العالي")</f>
        <v>قسم التربية والتعليم العالي</v>
      </c>
      <c r="E45" s="50" t="str">
        <f ca="1">IFERROR(__xludf.DUMMYFUNCTION("""COMPUTED_VALUE"""),"D- الاعدادية (البناية 4)")</f>
        <v>D- الاعدادية (البناية 4)</v>
      </c>
      <c r="F45" s="50" t="str">
        <f ca="1">IFERROR(__xludf.DUMMYFUNCTION("""COMPUTED_VALUE"""),"ZONE A - الطابق الارضي")</f>
        <v>ZONE A - الطابق الارضي</v>
      </c>
      <c r="G45" s="50" t="str">
        <f ca="1">IFERROR(__xludf.DUMMYFUNCTION("""COMPUTED_VALUE"""),"استبدال قلب او لبة باب المنيوم قرب الضيافة مع تسليمها المفتاح لغرفة الإدارة مع التقدير ")</f>
        <v xml:space="preserve">استبدال قلب او لبة باب المنيوم قرب الضيافة مع تسليمها المفتاح لغرفة الإدارة مع التقدير </v>
      </c>
      <c r="H45" s="50"/>
      <c r="I45" s="52" t="s">
        <v>17</v>
      </c>
      <c r="J45" s="53" t="s">
        <v>14</v>
      </c>
      <c r="K45" s="47">
        <v>45980.435375439818</v>
      </c>
      <c r="L45" s="54"/>
    </row>
    <row r="46" spans="1:12" ht="75" customHeight="1" thickTop="1" thickBot="1">
      <c r="A46" s="55">
        <f ca="1">IFERROR(__xludf.DUMMYFUNCTION("""COMPUTED_VALUE"""),45979.4177390393)</f>
        <v>45979.417739039302</v>
      </c>
      <c r="B46" s="56" t="str">
        <f ca="1">IFERROR(__xludf.DUMMYFUNCTION("""COMPUTED_VALUE"""),"الحر")</f>
        <v>الحر</v>
      </c>
      <c r="C46" s="57" t="str">
        <f ca="1">IFERROR(__xludf.DUMMYFUNCTION("""COMPUTED_VALUE"""),"علي حسين")</f>
        <v>علي حسين</v>
      </c>
      <c r="D46" s="58" t="str">
        <f ca="1">IFERROR(__xludf.DUMMYFUNCTION("""COMPUTED_VALUE"""),"قسم التربية والتعليم العالي")</f>
        <v>قسم التربية والتعليم العالي</v>
      </c>
      <c r="E46" s="58" t="str">
        <f ca="1">IFERROR(__xludf.DUMMYFUNCTION("""COMPUTED_VALUE"""),"C- المتوسطة (البناية 3)")</f>
        <v>C- المتوسطة (البناية 3)</v>
      </c>
      <c r="F46" s="58" t="str">
        <f ca="1">IFERROR(__xludf.DUMMYFUNCTION("""COMPUTED_VALUE"""),"ZONE A - الطابق الاول")</f>
        <v>ZONE A - الطابق الاول</v>
      </c>
      <c r="G46" s="58" t="str">
        <f ca="1">IFERROR(__xludf.DUMMYFUNCTION("""COMPUTED_VALUE"""),"إضافة رف الي غرفة المخزن ")</f>
        <v xml:space="preserve">إضافة رف الي غرفة المخزن </v>
      </c>
      <c r="H46" s="58"/>
      <c r="I46" s="60" t="s">
        <v>17</v>
      </c>
      <c r="J46" s="61" t="s">
        <v>24</v>
      </c>
      <c r="K46" s="55">
        <v>45979.435010069443</v>
      </c>
      <c r="L46" s="62" t="s">
        <v>740</v>
      </c>
    </row>
    <row r="47" spans="1:12" ht="75" customHeight="1" thickTop="1" thickBot="1">
      <c r="A47" s="47">
        <f ca="1">IFERROR(__xludf.DUMMYFUNCTION("""COMPUTED_VALUE"""),45979.4381931597)</f>
        <v>45979.438193159702</v>
      </c>
      <c r="B47" s="48" t="str">
        <f ca="1">IFERROR(__xludf.DUMMYFUNCTION("""COMPUTED_VALUE"""),"الحر")</f>
        <v>الحر</v>
      </c>
      <c r="C47" s="49" t="str">
        <f ca="1">IFERROR(__xludf.DUMMYFUNCTION("""COMPUTED_VALUE"""),"بهاء الدين")</f>
        <v>بهاء الدين</v>
      </c>
      <c r="D47" s="50" t="str">
        <f ca="1">IFERROR(__xludf.DUMMYFUNCTION("""COMPUTED_VALUE"""),"قسم المشاريع الهندسية")</f>
        <v>قسم المشاريع الهندسية</v>
      </c>
      <c r="E47" s="50" t="str">
        <f ca="1">IFERROR(__xludf.DUMMYFUNCTION("""COMPUTED_VALUE"""),"D- الاعدادية (البناية 4)")</f>
        <v>D- الاعدادية (البناية 4)</v>
      </c>
      <c r="F47" s="50" t="str">
        <f ca="1">IFERROR(__xludf.DUMMYFUNCTION("""COMPUTED_VALUE"""),"ZONE B - الطابق الاول")</f>
        <v>ZONE B - الطابق الاول</v>
      </c>
      <c r="G47" s="50" t="str">
        <f ca="1">IFERROR(__xludf.DUMMYFUNCTION("""COMPUTED_VALUE"""),"فتح باب مقفل في الصحيات")</f>
        <v>فتح باب مقفل في الصحيات</v>
      </c>
      <c r="H47" s="50"/>
      <c r="I47" s="52" t="s">
        <v>17</v>
      </c>
      <c r="J47" s="53" t="s">
        <v>14</v>
      </c>
      <c r="K47" s="47">
        <v>45979.438397337959</v>
      </c>
      <c r="L47" s="54"/>
    </row>
    <row r="48" spans="1:12" ht="75" customHeight="1" thickTop="1" thickBot="1">
      <c r="A48" s="55">
        <f ca="1">IFERROR(__xludf.DUMMYFUNCTION("""COMPUTED_VALUE"""),45979.4401925115)</f>
        <v>45979.440192511502</v>
      </c>
      <c r="B48" s="56" t="str">
        <f ca="1">IFERROR(__xludf.DUMMYFUNCTION("""COMPUTED_VALUE"""),"الحر")</f>
        <v>الحر</v>
      </c>
      <c r="C48" s="57" t="str">
        <f ca="1">IFERROR(__xludf.DUMMYFUNCTION("""COMPUTED_VALUE"""),"بهاء الدين")</f>
        <v>بهاء الدين</v>
      </c>
      <c r="D48" s="58" t="str">
        <f ca="1">IFERROR(__xludf.DUMMYFUNCTION("""COMPUTED_VALUE"""),"قسم المشاريع الهندسية")</f>
        <v>قسم المشاريع الهندسية</v>
      </c>
      <c r="E48" s="58" t="str">
        <f ca="1">IFERROR(__xludf.DUMMYFUNCTION("""COMPUTED_VALUE"""),"D- الاعدادية (البناية 4)")</f>
        <v>D- الاعدادية (البناية 4)</v>
      </c>
      <c r="F48" s="58" t="str">
        <f ca="1">IFERROR(__xludf.DUMMYFUNCTION("""COMPUTED_VALUE"""),"ZONE B - الطابق الثاني")</f>
        <v>ZONE B - الطابق الثاني</v>
      </c>
      <c r="G48" s="58" t="str">
        <f ca="1">IFERROR(__xludf.DUMMYFUNCTION("""COMPUTED_VALUE"""),"تبديل يدة باب حديد")</f>
        <v>تبديل يدة باب حديد</v>
      </c>
      <c r="H48" s="58"/>
      <c r="I48" s="60" t="s">
        <v>17</v>
      </c>
      <c r="J48" s="61" t="s">
        <v>14</v>
      </c>
      <c r="K48" s="55">
        <v>45979.440412094904</v>
      </c>
      <c r="L48" s="62"/>
    </row>
    <row r="49" spans="1:12" ht="75" customHeight="1" thickTop="1" thickBot="1">
      <c r="A49" s="47">
        <f ca="1">IFERROR(__xludf.DUMMYFUNCTION("""COMPUTED_VALUE"""),45979.5436449074)</f>
        <v>45979.543644907397</v>
      </c>
      <c r="B49" s="48" t="str">
        <f ca="1">IFERROR(__xludf.DUMMYFUNCTION("""COMPUTED_VALUE"""),"الحر")</f>
        <v>الحر</v>
      </c>
      <c r="C49" s="49" t="str">
        <f ca="1">IFERROR(__xludf.DUMMYFUNCTION("""COMPUTED_VALUE"""),"علي فالح ")</f>
        <v xml:space="preserve">علي فالح </v>
      </c>
      <c r="D49" s="50" t="str">
        <f ca="1">IFERROR(__xludf.DUMMYFUNCTION("""COMPUTED_VALUE"""),"قسم التربية والتعليم العالي")</f>
        <v>قسم التربية والتعليم العالي</v>
      </c>
      <c r="E49" s="50" t="str">
        <f ca="1">IFERROR(__xludf.DUMMYFUNCTION("""COMPUTED_VALUE"""),"C- المتوسطة (البناية 3)")</f>
        <v>C- المتوسطة (البناية 3)</v>
      </c>
      <c r="F49" s="50" t="str">
        <f ca="1">IFERROR(__xludf.DUMMYFUNCTION("""COMPUTED_VALUE"""),"القاعة الرياضية ")</f>
        <v xml:space="preserve">القاعة الرياضية </v>
      </c>
      <c r="G49" s="50" t="str">
        <f ca="1">IFERROR(__xludf.DUMMYFUNCTION("""COMPUTED_VALUE"""),"تبديل يدة باب القاعة الرياضية /يرجى إضافة حقل في موقع الصيانة يتضمن  القاعة الرياضيه ")</f>
        <v xml:space="preserve">تبديل يدة باب القاعة الرياضية /يرجى إضافة حقل في موقع الصيانة يتضمن  القاعة الرياضيه </v>
      </c>
      <c r="H49" s="50"/>
      <c r="I49" s="52" t="s">
        <v>17</v>
      </c>
      <c r="J49" s="53" t="s">
        <v>14</v>
      </c>
      <c r="K49" s="47">
        <v>45980.314362129633</v>
      </c>
      <c r="L49" s="54"/>
    </row>
    <row r="50" spans="1:12" ht="75" customHeight="1" thickTop="1" thickBot="1">
      <c r="A50" s="55">
        <f ca="1">IFERROR(__xludf.DUMMYFUNCTION("""COMPUTED_VALUE"""),45979.5473060763)</f>
        <v>45979.547306076303</v>
      </c>
      <c r="B50" s="56" t="str">
        <f ca="1">IFERROR(__xludf.DUMMYFUNCTION("""COMPUTED_VALUE"""),"الحر")</f>
        <v>الحر</v>
      </c>
      <c r="C50" s="57" t="str">
        <f ca="1">IFERROR(__xludf.DUMMYFUNCTION("""COMPUTED_VALUE"""),"علي حسين ")</f>
        <v xml:space="preserve">علي حسين </v>
      </c>
      <c r="D50" s="58" t="str">
        <f ca="1">IFERROR(__xludf.DUMMYFUNCTION("""COMPUTED_VALUE"""),"قسم التربية والتعليم العالي")</f>
        <v>قسم التربية والتعليم العالي</v>
      </c>
      <c r="E50" s="58" t="str">
        <f ca="1">IFERROR(__xludf.DUMMYFUNCTION("""COMPUTED_VALUE"""),"C- المتوسطة (البناية 3)")</f>
        <v>C- المتوسطة (البناية 3)</v>
      </c>
      <c r="F50" s="58" t="str">
        <f ca="1">IFERROR(__xludf.DUMMYFUNCTION("""COMPUTED_VALUE"""),"القاعة الرياضية ")</f>
        <v xml:space="preserve">القاعة الرياضية </v>
      </c>
      <c r="G50" s="58" t="str">
        <f ca="1">IFERROR(__xludf.DUMMYFUNCTION("""COMPUTED_VALUE"""),"ازالة بوستر العزاء وارجاع اهداف كرة السلة ")</f>
        <v xml:space="preserve">ازالة بوستر العزاء وارجاع اهداف كرة السلة </v>
      </c>
      <c r="H50" s="58"/>
      <c r="I50" s="60" t="s">
        <v>17</v>
      </c>
      <c r="J50" s="61" t="s">
        <v>14</v>
      </c>
      <c r="K50" s="55">
        <v>45981.309390740746</v>
      </c>
      <c r="L50" s="62"/>
    </row>
    <row r="51" spans="1:12" ht="75" customHeight="1" thickTop="1" thickBot="1">
      <c r="A51" s="47">
        <f ca="1">IFERROR(__xludf.DUMMYFUNCTION("""COMPUTED_VALUE"""),45980.3886554745)</f>
        <v>45980.388655474497</v>
      </c>
      <c r="B51" s="48" t="str">
        <f ca="1">IFERROR(__xludf.DUMMYFUNCTION("""COMPUTED_VALUE"""),"الحر")</f>
        <v>الحر</v>
      </c>
      <c r="C51" s="49" t="str">
        <f ca="1">IFERROR(__xludf.DUMMYFUNCTION("""COMPUTED_VALUE"""),"علي حسين عليوي")</f>
        <v>علي حسين عليوي</v>
      </c>
      <c r="D51" s="50" t="str">
        <f ca="1">IFERROR(__xludf.DUMMYFUNCTION("""COMPUTED_VALUE"""),"قسم التربية والتعليم العالي")</f>
        <v>قسم التربية والتعليم العالي</v>
      </c>
      <c r="E51" s="50" t="str">
        <f ca="1">IFERROR(__xludf.DUMMYFUNCTION("""COMPUTED_VALUE"""),"القاعة الرياضية ")</f>
        <v xml:space="preserve">القاعة الرياضية </v>
      </c>
      <c r="F51" s="50" t="str">
        <f ca="1">IFERROR(__xludf.DUMMYFUNCTION("""COMPUTED_VALUE"""),"القاعة الرياضية جهة الابتدائية")</f>
        <v>القاعة الرياضية جهة الابتدائية</v>
      </c>
      <c r="G51" s="50" t="str">
        <f ca="1">IFERROR(__xludf.DUMMYFUNCTION("""COMPUTED_VALUE"""),"فتح السلة فقط الخاصة بالقاعة ")</f>
        <v xml:space="preserve">فتح السلة فقط الخاصة بالقاعة </v>
      </c>
      <c r="H51" s="50" t="str">
        <f ca="1">IFERROR(__xludf.DUMMYFUNCTION("""COMPUTED_VALUE"""),"تفضلكم ب انجاز العمل بسرعة الممكنه")</f>
        <v>تفضلكم ب انجاز العمل بسرعة الممكنه</v>
      </c>
      <c r="I51" s="52" t="s">
        <v>17</v>
      </c>
      <c r="J51" s="53" t="s">
        <v>14</v>
      </c>
      <c r="K51" s="47">
        <v>45980.435120497685</v>
      </c>
      <c r="L51" s="54"/>
    </row>
    <row r="52" spans="1:12" ht="75" customHeight="1" thickTop="1" thickBot="1">
      <c r="A52" s="47">
        <f ca="1">IFERROR(__xludf.DUMMYFUNCTION("""COMPUTED_VALUE"""),45981.5160438078)</f>
        <v>45981.516043807802</v>
      </c>
      <c r="B52" s="48" t="str">
        <f ca="1">IFERROR(__xludf.DUMMYFUNCTION("""COMPUTED_VALUE"""),"الحر")</f>
        <v>الحر</v>
      </c>
      <c r="C52" s="49" t="str">
        <f ca="1">IFERROR(__xludf.DUMMYFUNCTION("""COMPUTED_VALUE"""),"علي حسين عليوي ")</f>
        <v xml:space="preserve">علي حسين عليوي </v>
      </c>
      <c r="D52" s="50" t="str">
        <f ca="1">IFERROR(__xludf.DUMMYFUNCTION("""COMPUTED_VALUE"""),"قسم التربية والتعليم العالي")</f>
        <v>قسم التربية والتعليم العالي</v>
      </c>
      <c r="E52" s="50" t="str">
        <f ca="1">IFERROR(__xludf.DUMMYFUNCTION("""COMPUTED_VALUE"""),"A- الابتدائية (البناية 1)")</f>
        <v>A- الابتدائية (البناية 1)</v>
      </c>
      <c r="F52" s="50" t="str">
        <f ca="1">IFERROR(__xludf.DUMMYFUNCTION("""COMPUTED_VALUE"""),"ZONE B - الطابق الارضي")</f>
        <v>ZONE B - الطابق الارضي</v>
      </c>
      <c r="G52" s="50" t="str">
        <f ca="1">IFERROR(__xludf.DUMMYFUNCTION("""COMPUTED_VALUE"""),"باب الصف الرابع أ عند الفتح يحتك بالارضية")</f>
        <v>باب الصف الرابع أ عند الفتح يحتك بالارضية</v>
      </c>
      <c r="H52" s="50"/>
      <c r="I52" s="52" t="s">
        <v>17</v>
      </c>
      <c r="J52" s="53" t="s">
        <v>14</v>
      </c>
      <c r="K52" s="47">
        <v>45983.310877442127</v>
      </c>
      <c r="L52" s="54"/>
    </row>
    <row r="53" spans="1:12" ht="75" customHeight="1" thickTop="1" thickBot="1">
      <c r="A53" s="47">
        <f ca="1">IFERROR(__xludf.DUMMYFUNCTION("""COMPUTED_VALUE"""),45984.4270394674)</f>
        <v>45984.427039467402</v>
      </c>
      <c r="B53" s="48" t="str">
        <f ca="1">IFERROR(__xludf.DUMMYFUNCTION("""COMPUTED_VALUE"""),"الحر")</f>
        <v>الحر</v>
      </c>
      <c r="C53" s="49" t="str">
        <f ca="1">IFERROR(__xludf.DUMMYFUNCTION("""COMPUTED_VALUE"""),"علي حسين عليوي ")</f>
        <v xml:space="preserve">علي حسين عليوي </v>
      </c>
      <c r="D53" s="50" t="str">
        <f ca="1">IFERROR(__xludf.DUMMYFUNCTION("""COMPUTED_VALUE"""),"قسم التربية والتعليم العالي")</f>
        <v>قسم التربية والتعليم العالي</v>
      </c>
      <c r="E53" s="50" t="str">
        <f ca="1">IFERROR(__xludf.DUMMYFUNCTION("""COMPUTED_VALUE"""),"A- الابتدائية (البناية 1)")</f>
        <v>A- الابتدائية (البناية 1)</v>
      </c>
      <c r="F53" s="50" t="str">
        <f ca="1">IFERROR(__xludf.DUMMYFUNCTION("""COMPUTED_VALUE"""),"ZONE A - الطابق الارضي")</f>
        <v>ZONE A - الطابق الارضي</v>
      </c>
      <c r="G53" s="50" t="str">
        <f ca="1">IFERROR(__xludf.DUMMYFUNCTION("""COMPUTED_VALUE"""),"تبديل قفل اللوكر لغرفة الضيافة")</f>
        <v>تبديل قفل اللوكر لغرفة الضيافة</v>
      </c>
      <c r="H53" s="50"/>
      <c r="I53" s="52" t="s">
        <v>17</v>
      </c>
      <c r="J53" s="53" t="s">
        <v>14</v>
      </c>
      <c r="K53" s="47">
        <v>45984.429103715273</v>
      </c>
      <c r="L53" s="54"/>
    </row>
    <row r="54" spans="1:12" ht="75" customHeight="1" thickTop="1" thickBot="1">
      <c r="A54" s="55">
        <f ca="1">IFERROR(__xludf.DUMMYFUNCTION("""COMPUTED_VALUE"""),45984.4709553588)</f>
        <v>45984.470955358804</v>
      </c>
      <c r="B54" s="56" t="str">
        <f ca="1">IFERROR(__xludf.DUMMYFUNCTION("""COMPUTED_VALUE"""),"الحر")</f>
        <v>الحر</v>
      </c>
      <c r="C54" s="57" t="str">
        <f ca="1">IFERROR(__xludf.DUMMYFUNCTION("""COMPUTED_VALUE"""),"علي حسين عليوي ")</f>
        <v xml:space="preserve">علي حسين عليوي </v>
      </c>
      <c r="D54" s="58" t="str">
        <f ca="1">IFERROR(__xludf.DUMMYFUNCTION("""COMPUTED_VALUE"""),"قسم التربية والتعليم العالي")</f>
        <v>قسم التربية والتعليم العالي</v>
      </c>
      <c r="E54" s="58" t="str">
        <f ca="1">IFERROR(__xludf.DUMMYFUNCTION("""COMPUTED_VALUE"""),"القاعة الرياضية ")</f>
        <v xml:space="preserve">القاعة الرياضية </v>
      </c>
      <c r="F54" s="58" t="str">
        <f ca="1">IFERROR(__xludf.DUMMYFUNCTION("""COMPUTED_VALUE"""),"القاعة الرياضية جهة المتوسطة")</f>
        <v>القاعة الرياضية جهة المتوسطة</v>
      </c>
      <c r="G54" s="58" t="str">
        <f ca="1">IFERROR(__xludf.DUMMYFUNCTION("""COMPUTED_VALUE"""),"يرجى تفضلكم بتركيب البوردات الخاصة بكرة السلة ")</f>
        <v xml:space="preserve">يرجى تفضلكم بتركيب البوردات الخاصة بكرة السلة </v>
      </c>
      <c r="H54" s="58"/>
      <c r="I54" s="60" t="s">
        <v>17</v>
      </c>
      <c r="J54" s="61" t="s">
        <v>14</v>
      </c>
      <c r="K54" s="55">
        <v>45986.361650208331</v>
      </c>
      <c r="L54" s="62"/>
    </row>
    <row r="55" spans="1:12" ht="75" customHeight="1" thickTop="1" thickBot="1">
      <c r="A55" s="47">
        <f ca="1">IFERROR(__xludf.DUMMYFUNCTION("""COMPUTED_VALUE"""),45985.407687581)</f>
        <v>45985.407687580999</v>
      </c>
      <c r="B55" s="48" t="str">
        <f ca="1">IFERROR(__xludf.DUMMYFUNCTION("""COMPUTED_VALUE"""),"الحر")</f>
        <v>الحر</v>
      </c>
      <c r="C55" s="49" t="str">
        <f ca="1">IFERROR(__xludf.DUMMYFUNCTION("""COMPUTED_VALUE"""),"طه سكرتير الدكتور ")</f>
        <v xml:space="preserve">طه سكرتير الدكتور </v>
      </c>
      <c r="D55" s="50" t="str">
        <f ca="1">IFERROR(__xludf.DUMMYFUNCTION("""COMPUTED_VALUE"""),"قسم التربية والتعليم العالي")</f>
        <v>قسم التربية والتعليم العالي</v>
      </c>
      <c r="E55" s="50" t="str">
        <f ca="1">IFERROR(__xludf.DUMMYFUNCTION("""COMPUTED_VALUE"""),"D- الاعدادية (البناية 4)")</f>
        <v>D- الاعدادية (البناية 4)</v>
      </c>
      <c r="F55" s="50" t="str">
        <f ca="1">IFERROR(__xludf.DUMMYFUNCTION("""COMPUTED_VALUE"""),"ZONE A - الطابق الارضي")</f>
        <v>ZONE A - الطابق الارضي</v>
      </c>
      <c r="G55" s="50" t="str">
        <f ca="1">IFERROR(__xludf.DUMMYFUNCTION("""COMPUTED_VALUE"""),"تركيب سبورة عدد ١ في غرفة سكرتير الدكتور قرب غرفة الدكتور عند الأستاذ طه ")</f>
        <v xml:space="preserve">تركيب سبورة عدد ١ في غرفة سكرتير الدكتور قرب غرفة الدكتور عند الأستاذ طه </v>
      </c>
      <c r="H55" s="50" t="str">
        <f ca="1">IFERROR(__xludf.DUMMYFUNCTION("""COMPUTED_VALUE"""),"السبورة موجوده في الموقع  في الانتظار")</f>
        <v>السبورة موجوده في الموقع  في الانتظار</v>
      </c>
      <c r="I55" s="52" t="s">
        <v>17</v>
      </c>
      <c r="J55" s="53" t="s">
        <v>14</v>
      </c>
      <c r="K55" s="47">
        <v>45986.361903634257</v>
      </c>
      <c r="L55" s="54"/>
    </row>
    <row r="56" spans="1:12" ht="75" customHeight="1" thickTop="1" thickBot="1">
      <c r="A56" s="55">
        <f ca="1">IFERROR(__xludf.DUMMYFUNCTION("""COMPUTED_VALUE"""),45985.4087995254)</f>
        <v>45985.408799525401</v>
      </c>
      <c r="B56" s="56" t="str">
        <f ca="1">IFERROR(__xludf.DUMMYFUNCTION("""COMPUTED_VALUE"""),"الحر")</f>
        <v>الحر</v>
      </c>
      <c r="C56" s="57" t="str">
        <f ca="1">IFERROR(__xludf.DUMMYFUNCTION("""COMPUTED_VALUE"""),"ابو كميل")</f>
        <v>ابو كميل</v>
      </c>
      <c r="D56" s="58" t="str">
        <f ca="1">IFERROR(__xludf.DUMMYFUNCTION("""COMPUTED_VALUE"""),"قسم التربية والتعليم العالي")</f>
        <v>قسم التربية والتعليم العالي</v>
      </c>
      <c r="E56" s="58" t="str">
        <f ca="1">IFERROR(__xludf.DUMMYFUNCTION("""COMPUTED_VALUE"""),"A- الابتدائية (البناية 1)")</f>
        <v>A- الابتدائية (البناية 1)</v>
      </c>
      <c r="F56" s="58" t="str">
        <f ca="1">IFERROR(__xludf.DUMMYFUNCTION("""COMPUTED_VALUE"""),"ZONE A - الطابق الارضي")</f>
        <v>ZONE A - الطابق الارضي</v>
      </c>
      <c r="G56" s="58" t="str">
        <f ca="1">IFERROR(__xludf.DUMMYFUNCTION("""COMPUTED_VALUE"""),"غرفة المصلى قرب الضيافه تبديل لبة باب المصلى ")</f>
        <v xml:space="preserve">غرفة المصلى قرب الضيافه تبديل لبة باب المصلى </v>
      </c>
      <c r="H56" s="58" t="str">
        <f ca="1">IFERROR(__xludf.DUMMYFUNCTION("""COMPUTED_VALUE"""),"الاستعلام من منتسب طه تحسين ضيافه")</f>
        <v>الاستعلام من منتسب طه تحسين ضيافه</v>
      </c>
      <c r="I56" s="60" t="s">
        <v>17</v>
      </c>
      <c r="J56" s="61" t="s">
        <v>14</v>
      </c>
      <c r="K56" s="55">
        <v>45986.526844837965</v>
      </c>
      <c r="L56" s="62"/>
    </row>
    <row r="57" spans="1:12" ht="75" customHeight="1" thickTop="1" thickBot="1">
      <c r="A57" s="55">
        <f ca="1">IFERROR(__xludf.DUMMYFUNCTION("""COMPUTED_VALUE"""),45985.4564958564)</f>
        <v>45985.456495856401</v>
      </c>
      <c r="B57" s="56" t="str">
        <f ca="1">IFERROR(__xludf.DUMMYFUNCTION("""COMPUTED_VALUE"""),"الحر")</f>
        <v>الحر</v>
      </c>
      <c r="C57" s="57" t="str">
        <f ca="1">IFERROR(__xludf.DUMMYFUNCTION("""COMPUTED_VALUE"""),"علي حسين عليوي ")</f>
        <v xml:space="preserve">علي حسين عليوي </v>
      </c>
      <c r="D57" s="58" t="str">
        <f ca="1">IFERROR(__xludf.DUMMYFUNCTION("""COMPUTED_VALUE"""),"قسم التربية والتعليم العالي")</f>
        <v>قسم التربية والتعليم العالي</v>
      </c>
      <c r="E57" s="58" t="str">
        <f ca="1">IFERROR(__xludf.DUMMYFUNCTION("""COMPUTED_VALUE"""),"A- الابتدائية (البناية 1)")</f>
        <v>A- الابتدائية (البناية 1)</v>
      </c>
      <c r="F57" s="58" t="str">
        <f ca="1">IFERROR(__xludf.DUMMYFUNCTION("""COMPUTED_VALUE"""),"ZONE B - الطابق الارضي")</f>
        <v>ZONE B - الطابق الارضي</v>
      </c>
      <c r="G57" s="58" t="str">
        <f ca="1">IFERROR(__xludf.DUMMYFUNCTION("""COMPUTED_VALUE"""),"الهزارة الخشبية بحاجة الى تثبيت ")</f>
        <v xml:space="preserve">الهزارة الخشبية بحاجة الى تثبيت </v>
      </c>
      <c r="H57" s="58" t="str">
        <f ca="1">IFERROR(__xludf.DUMMYFUNCTION("""COMPUTED_VALUE"""),"الصف الرابع (ج)")</f>
        <v>الصف الرابع (ج)</v>
      </c>
      <c r="I57" s="60" t="s">
        <v>17</v>
      </c>
      <c r="J57" s="61" t="s">
        <v>14</v>
      </c>
      <c r="K57" s="55"/>
      <c r="L57" s="62"/>
    </row>
    <row r="58" spans="1:12" ht="75" customHeight="1" thickTop="1" thickBot="1">
      <c r="A58" s="47">
        <f ca="1">IFERROR(__xludf.DUMMYFUNCTION("""COMPUTED_VALUE"""),45986.3070428009)</f>
        <v>45986.307042800901</v>
      </c>
      <c r="B58" s="48" t="str">
        <f ca="1">IFERROR(__xludf.DUMMYFUNCTION("""COMPUTED_VALUE"""),"الحر")</f>
        <v>الحر</v>
      </c>
      <c r="C58" s="49" t="str">
        <f ca="1">IFERROR(__xludf.DUMMYFUNCTION("""COMPUTED_VALUE"""),"استاذ صالح المعاون ")</f>
        <v xml:space="preserve">استاذ صالح المعاون </v>
      </c>
      <c r="D58" s="50" t="str">
        <f ca="1">IFERROR(__xludf.DUMMYFUNCTION("""COMPUTED_VALUE"""),"قسم التربية والتعليم العالي")</f>
        <v>قسم التربية والتعليم العالي</v>
      </c>
      <c r="E58" s="50" t="str">
        <f ca="1">IFERROR(__xludf.DUMMYFUNCTION("""COMPUTED_VALUE"""),"C- المتوسطة (البناية 3)")</f>
        <v>C- المتوسطة (البناية 3)</v>
      </c>
      <c r="F58" s="50" t="str">
        <f ca="1">IFERROR(__xludf.DUMMYFUNCTION("""COMPUTED_VALUE"""),"ZONE A - الطابق الارضي")</f>
        <v>ZONE A - الطابق الارضي</v>
      </c>
      <c r="G58" s="50" t="str">
        <f ca="1">IFERROR(__xludf.DUMMYFUNCTION("""COMPUTED_VALUE"""),"غرفة الإدارة تعطل هيدروليك الكراسي المكتبيه الكبيره عدد ٢ ")</f>
        <v xml:space="preserve">غرفة الإدارة تعطل هيدروليك الكراسي المكتبيه الكبيره عدد ٢ </v>
      </c>
      <c r="H58" s="50" t="str">
        <f ca="1">IFERROR(__xludf.DUMMYFUNCTION("""COMPUTED_VALUE"""),"التواصل مع استاذ صالح ")</f>
        <v xml:space="preserve">التواصل مع استاذ صالح </v>
      </c>
      <c r="I58" s="52" t="s">
        <v>17</v>
      </c>
      <c r="J58" s="53" t="s">
        <v>14</v>
      </c>
      <c r="K58" s="47"/>
      <c r="L58" s="54"/>
    </row>
    <row r="59" spans="1:12" ht="75" customHeight="1" thickTop="1" thickBot="1">
      <c r="A59" s="55">
        <f ca="1">IFERROR(__xludf.DUMMYFUNCTION("""COMPUTED_VALUE"""),45986.3370829513)</f>
        <v>45986.337082951301</v>
      </c>
      <c r="B59" s="56" t="str">
        <f ca="1">IFERROR(__xludf.DUMMYFUNCTION("""COMPUTED_VALUE"""),"الحر")</f>
        <v>الحر</v>
      </c>
      <c r="C59" s="57" t="str">
        <f ca="1">IFERROR(__xludf.DUMMYFUNCTION("""COMPUTED_VALUE"""),"علي حسين عليوي ")</f>
        <v xml:space="preserve">علي حسين عليوي </v>
      </c>
      <c r="D59" s="58" t="str">
        <f ca="1">IFERROR(__xludf.DUMMYFUNCTION("""COMPUTED_VALUE"""),"قسم التربية والتعليم العالي")</f>
        <v>قسم التربية والتعليم العالي</v>
      </c>
      <c r="E59" s="58" t="str">
        <f ca="1">IFERROR(__xludf.DUMMYFUNCTION("""COMPUTED_VALUE"""),"A- الابتدائية (البناية 1)")</f>
        <v>A- الابتدائية (البناية 1)</v>
      </c>
      <c r="F59" s="58" t="str">
        <f ca="1">IFERROR(__xludf.DUMMYFUNCTION("""COMPUTED_VALUE"""),"ZONE A - الطابق الارضي")</f>
        <v>ZONE A - الطابق الارضي</v>
      </c>
      <c r="G59" s="58" t="str">
        <f ca="1">IFERROR(__xludf.DUMMYFUNCTION("""COMPUTED_VALUE"""),"تفضلكم بتبديل قلب الكيلون الخاص بباب المصلى المجاور غرفة الضيافة في الطابق الأرضي الزون A")</f>
        <v>تفضلكم بتبديل قلب الكيلون الخاص بباب المصلى المجاور غرفة الضيافة في الطابق الأرضي الزون A</v>
      </c>
      <c r="H59" s="58"/>
      <c r="I59" s="60" t="s">
        <v>17</v>
      </c>
      <c r="J59" s="61" t="s">
        <v>14</v>
      </c>
      <c r="K59" s="55"/>
      <c r="L59" s="62"/>
    </row>
    <row r="60" spans="1:12" ht="75" customHeight="1" thickTop="1" thickBot="1">
      <c r="A60" s="55">
        <f ca="1">IFERROR(__xludf.DUMMYFUNCTION("""COMPUTED_VALUE"""),45986.4823057753)</f>
        <v>45986.482305775302</v>
      </c>
      <c r="B60" s="56" t="str">
        <f ca="1">IFERROR(__xludf.DUMMYFUNCTION("""COMPUTED_VALUE"""),"الحر")</f>
        <v>الحر</v>
      </c>
      <c r="C60" s="57" t="str">
        <f ca="1">IFERROR(__xludf.DUMMYFUNCTION("""COMPUTED_VALUE"""),"استاذ صالح")</f>
        <v>استاذ صالح</v>
      </c>
      <c r="D60" s="58" t="str">
        <f ca="1">IFERROR(__xludf.DUMMYFUNCTION("""COMPUTED_VALUE"""),"قسم التربية والتعليم العالي")</f>
        <v>قسم التربية والتعليم العالي</v>
      </c>
      <c r="E60" s="58" t="str">
        <f ca="1">IFERROR(__xludf.DUMMYFUNCTION("""COMPUTED_VALUE"""),"C- المتوسطة (البناية 3)")</f>
        <v>C- المتوسطة (البناية 3)</v>
      </c>
      <c r="F60" s="58" t="str">
        <f ca="1">IFERROR(__xludf.DUMMYFUNCTION("""COMPUTED_VALUE"""),"ZONE B - الطابق الاول, ZONE B - الطابق الثاني")</f>
        <v>ZONE B - الطابق الاول, ZONE B - الطابق الثاني</v>
      </c>
      <c r="G60" s="58" t="str">
        <f ca="1">IFERROR(__xludf.DUMMYFUNCTION("""COMPUTED_VALUE"""),"سلايت الشاشه يحتاج إلى صيانة وبردات الزيبرا في شعبة الأول أ في طابق الأول... وشعبة الأول ز في طابق الثاني ")</f>
        <v xml:space="preserve">سلايت الشاشه يحتاج إلى صيانة وبردات الزيبرا في شعبة الأول أ في طابق الأول... وشعبة الأول ز في طابق الثاني </v>
      </c>
      <c r="H60" s="58" t="str">
        <f ca="1">IFERROR(__xludf.DUMMYFUNCTION("""COMPUTED_VALUE"""),"علما تم ارسال الصيانة في طلب واحد بسبب نفس العطل وبطابقين مختلفين ")</f>
        <v xml:space="preserve">علما تم ارسال الصيانة في طلب واحد بسبب نفس العطل وبطابقين مختلفين </v>
      </c>
      <c r="I60" s="60" t="s">
        <v>17</v>
      </c>
      <c r="J60" s="61" t="s">
        <v>14</v>
      </c>
      <c r="K60" s="55">
        <v>45986.572780914357</v>
      </c>
      <c r="L60" s="62" t="s">
        <v>743</v>
      </c>
    </row>
    <row r="61" spans="1:12" ht="75" customHeight="1" thickTop="1" thickBot="1">
      <c r="A61" s="47">
        <f ca="1">IFERROR(__xludf.DUMMYFUNCTION("""COMPUTED_VALUE"""),45986.5934197569)</f>
        <v>45986.5934197569</v>
      </c>
      <c r="B61" s="48" t="str">
        <f ca="1">IFERROR(__xludf.DUMMYFUNCTION("""COMPUTED_VALUE"""),"الحر")</f>
        <v>الحر</v>
      </c>
      <c r="C61" s="49" t="str">
        <f ca="1">IFERROR(__xludf.DUMMYFUNCTION("""COMPUTED_VALUE"""),"ابو كميل")</f>
        <v>ابو كميل</v>
      </c>
      <c r="D61" s="50" t="str">
        <f ca="1">IFERROR(__xludf.DUMMYFUNCTION("""COMPUTED_VALUE"""),"قسم التربية والتعليم العالي")</f>
        <v>قسم التربية والتعليم العالي</v>
      </c>
      <c r="E61" s="50" t="str">
        <f ca="1">IFERROR(__xludf.DUMMYFUNCTION("""COMPUTED_VALUE"""),"D- الاعدادية (البناية 4)")</f>
        <v>D- الاعدادية (البناية 4)</v>
      </c>
      <c r="F61" s="50" t="str">
        <f ca="1">IFERROR(__xludf.DUMMYFUNCTION("""COMPUTED_VALUE"""),"ZONE B - الطابق الارضي")</f>
        <v>ZONE B - الطابق الارضي</v>
      </c>
      <c r="G61" s="50" t="str">
        <f ca="1">IFERROR(__xludf.DUMMYFUNCTION("""COMPUTED_VALUE"""),"يدة باب وقاعدت صونده في الصحيات الطلبه تحتاج إلى صيانه ")</f>
        <v xml:space="preserve">يدة باب وقاعدت صونده في الصحيات الطلبه تحتاج إلى صيانه </v>
      </c>
      <c r="H61" s="50"/>
      <c r="I61" s="52" t="s">
        <v>17</v>
      </c>
      <c r="J61" s="53" t="s">
        <v>14</v>
      </c>
      <c r="K61" s="47">
        <v>45986.685130821759</v>
      </c>
      <c r="L61" s="54" t="s">
        <v>744</v>
      </c>
    </row>
    <row r="62" spans="1:12" ht="75" customHeight="1" thickTop="1" thickBot="1">
      <c r="A62" s="55">
        <f ca="1">IFERROR(__xludf.DUMMYFUNCTION("""COMPUTED_VALUE"""),45986.5949870023)</f>
        <v>45986.594987002303</v>
      </c>
      <c r="B62" s="56" t="str">
        <f ca="1">IFERROR(__xludf.DUMMYFUNCTION("""COMPUTED_VALUE"""),"الحر")</f>
        <v>الحر</v>
      </c>
      <c r="C62" s="57" t="str">
        <f ca="1">IFERROR(__xludf.DUMMYFUNCTION("""COMPUTED_VALUE"""),"علي حسين عليوي ")</f>
        <v xml:space="preserve">علي حسين عليوي </v>
      </c>
      <c r="D62" s="58" t="str">
        <f ca="1">IFERROR(__xludf.DUMMYFUNCTION("""COMPUTED_VALUE"""),"قسم التربية والتعليم العالي")</f>
        <v>قسم التربية والتعليم العالي</v>
      </c>
      <c r="E62" s="58" t="str">
        <f ca="1">IFERROR(__xludf.DUMMYFUNCTION("""COMPUTED_VALUE"""),"A- الابتدائية (البناية 1)")</f>
        <v>A- الابتدائية (البناية 1)</v>
      </c>
      <c r="F62" s="58" t="str">
        <f ca="1">IFERROR(__xludf.DUMMYFUNCTION("""COMPUTED_VALUE"""),"ZONE B - الطابق الارضي")</f>
        <v>ZONE B - الطابق الارضي</v>
      </c>
      <c r="G62" s="58" t="str">
        <f ca="1">IFERROR(__xludf.DUMMYFUNCTION("""COMPUTED_VALUE"""),"الرابع ابتدائي (أ) الباب الخاصة بالصف تحتاج إلى صيانة ")</f>
        <v xml:space="preserve">الرابع ابتدائي (أ) الباب الخاصة بالصف تحتاج إلى صيانة </v>
      </c>
      <c r="H62" s="58"/>
      <c r="I62" s="60" t="s">
        <v>17</v>
      </c>
      <c r="J62" s="61" t="s">
        <v>14</v>
      </c>
      <c r="K62" s="55">
        <v>45986.695225659721</v>
      </c>
      <c r="L62" s="62"/>
    </row>
    <row r="63" spans="1:12" ht="75" customHeight="1" thickTop="1" thickBot="1">
      <c r="A63" s="47">
        <f ca="1">IFERROR(__xludf.DUMMYFUNCTION("""COMPUTED_VALUE"""),45986.655464537)</f>
        <v>45986.655464536998</v>
      </c>
      <c r="B63" s="48" t="str">
        <f ca="1">IFERROR(__xludf.DUMMYFUNCTION("""COMPUTED_VALUE"""),"الحر")</f>
        <v>الحر</v>
      </c>
      <c r="C63" s="49" t="str">
        <f ca="1">IFERROR(__xludf.DUMMYFUNCTION("""COMPUTED_VALUE"""),"عيسى صالح ")</f>
        <v xml:space="preserve">عيسى صالح </v>
      </c>
      <c r="D63" s="50" t="str">
        <f ca="1">IFERROR(__xludf.DUMMYFUNCTION("""COMPUTED_VALUE"""),"قسم المشاريع الهندسية")</f>
        <v>قسم المشاريع الهندسية</v>
      </c>
      <c r="E63" s="50" t="str">
        <f ca="1">IFERROR(__xludf.DUMMYFUNCTION("""COMPUTED_VALUE"""),"C- المتوسطة (البناية 3)")</f>
        <v>C- المتوسطة (البناية 3)</v>
      </c>
      <c r="F63" s="50" t="str">
        <f ca="1">IFERROR(__xludf.DUMMYFUNCTION("""COMPUTED_VALUE"""),"ZONE A - الطابق الارضي")</f>
        <v>ZONE A - الطابق الارضي</v>
      </c>
      <c r="G63" s="50" t="str">
        <f ca="1">IFERROR(__xludf.DUMMYFUNCTION("""COMPUTED_VALUE"""),"تم تركيب استان شاشه عدد (٢) غرفه المرقاب الالي ")</f>
        <v xml:space="preserve">تم تركيب استان شاشه عدد (٢) غرفه المرقاب الالي </v>
      </c>
      <c r="H63" s="50" t="str">
        <f ca="1">IFERROR(__xludf.DUMMYFUNCTION("""COMPUTED_VALUE"""),"انجز العمل من قبل المنتسبين بهاء الدين امير احمد محمد عباس ")</f>
        <v xml:space="preserve">انجز العمل من قبل المنتسبين بهاء الدين امير احمد محمد عباس </v>
      </c>
      <c r="I63" s="52" t="s">
        <v>17</v>
      </c>
      <c r="J63" s="53" t="s">
        <v>14</v>
      </c>
      <c r="K63" s="47">
        <v>45986.655914918985</v>
      </c>
      <c r="L63" s="54" t="s">
        <v>743</v>
      </c>
    </row>
    <row r="64" spans="1:12" ht="75" customHeight="1" thickTop="1" thickBot="1">
      <c r="A64" s="55">
        <f ca="1">IFERROR(__xludf.DUMMYFUNCTION("""COMPUTED_VALUE"""),45987.4261515393)</f>
        <v>45987.426151539301</v>
      </c>
      <c r="B64" s="56" t="str">
        <f ca="1">IFERROR(__xludf.DUMMYFUNCTION("""COMPUTED_VALUE"""),"الحر")</f>
        <v>الحر</v>
      </c>
      <c r="C64" s="57" t="str">
        <f ca="1">IFERROR(__xludf.DUMMYFUNCTION("""COMPUTED_VALUE"""),"علي فالح ")</f>
        <v xml:space="preserve">علي فالح </v>
      </c>
      <c r="D64" s="58" t="str">
        <f ca="1">IFERROR(__xludf.DUMMYFUNCTION("""COMPUTED_VALUE"""),"قسم التربية والتعليم العالي")</f>
        <v>قسم التربية والتعليم العالي</v>
      </c>
      <c r="E64" s="58" t="str">
        <f ca="1">IFERROR(__xludf.DUMMYFUNCTION("""COMPUTED_VALUE"""),"C- المتوسطة (البناية 3)")</f>
        <v>C- المتوسطة (البناية 3)</v>
      </c>
      <c r="F64" s="58" t="str">
        <f ca="1">IFERROR(__xludf.DUMMYFUNCTION("""COMPUTED_VALUE"""),"الباب الرئيسي الخارجي ")</f>
        <v xml:space="preserve">الباب الرئيسي الخارجي </v>
      </c>
      <c r="G64" s="58" t="str">
        <f ca="1">IFERROR(__xludf.DUMMYFUNCTION("""COMPUTED_VALUE"""),"سيراميك منفصل عن الجدار في الباحه الخارجيه بين الباب الرئيسي والاستعلامات")</f>
        <v>سيراميك منفصل عن الجدار في الباحه الخارجيه بين الباب الرئيسي والاستعلامات</v>
      </c>
      <c r="H64" s="58" t="str">
        <f ca="1">IFERROR(__xludf.DUMMYFUNCTION("""COMPUTED_VALUE"""),"التواصل مع موظف الاستعلامات لتسهيل معرفة الموقع")</f>
        <v>التواصل مع موظف الاستعلامات لتسهيل معرفة الموقع</v>
      </c>
      <c r="I64" s="60" t="s">
        <v>17</v>
      </c>
      <c r="J64" s="61" t="s">
        <v>14</v>
      </c>
      <c r="K64" s="55">
        <v>45987.480448483795</v>
      </c>
      <c r="L64" s="62"/>
    </row>
    <row r="65" spans="1:12" ht="75" customHeight="1" thickTop="1" thickBot="1">
      <c r="A65" s="47">
        <f ca="1">IFERROR(__xludf.DUMMYFUNCTION("""COMPUTED_VALUE"""),45987.6177412615)</f>
        <v>45987.6177412615</v>
      </c>
      <c r="B65" s="48" t="str">
        <f ca="1">IFERROR(__xludf.DUMMYFUNCTION("""COMPUTED_VALUE"""),"الحر")</f>
        <v>الحر</v>
      </c>
      <c r="C65" s="49" t="str">
        <f ca="1">IFERROR(__xludf.DUMMYFUNCTION("""COMPUTED_VALUE"""),"عيسى صالح الكلابي ")</f>
        <v xml:space="preserve">عيسى صالح الكلابي </v>
      </c>
      <c r="D65" s="50" t="str">
        <f ca="1">IFERROR(__xludf.DUMMYFUNCTION("""COMPUTED_VALUE"""),"الشركة الأمنية ")</f>
        <v xml:space="preserve">الشركة الأمنية </v>
      </c>
      <c r="E65" s="50" t="str">
        <f ca="1">IFERROR(__xludf.DUMMYFUNCTION("""COMPUTED_VALUE"""),"C- المتوسطة (البناية 3)")</f>
        <v>C- المتوسطة (البناية 3)</v>
      </c>
      <c r="F65" s="50" t="str">
        <f ca="1">IFERROR(__xludf.DUMMYFUNCTION("""COMPUTED_VALUE"""),"الباب الكبيرة الرئيسة ")</f>
        <v xml:space="preserve">الباب الكبيرة الرئيسة </v>
      </c>
      <c r="G65" s="50" t="str">
        <f ca="1">IFERROR(__xludf.DUMMYFUNCTION("""COMPUTED_VALUE"""),"صيانة كيلون باب ")</f>
        <v xml:space="preserve">صيانة كيلون باب </v>
      </c>
      <c r="H65" s="50"/>
      <c r="I65" s="52" t="s">
        <v>17</v>
      </c>
      <c r="J65" s="53" t="s">
        <v>14</v>
      </c>
      <c r="K65" s="47">
        <v>45987.618132372685</v>
      </c>
      <c r="L65" s="54" t="s">
        <v>744</v>
      </c>
    </row>
    <row r="66" spans="1:12" ht="75" customHeight="1" thickTop="1" thickBot="1">
      <c r="A66" s="55">
        <f ca="1">IFERROR(__xludf.DUMMYFUNCTION("""COMPUTED_VALUE"""),45988.4008004861)</f>
        <v>45988.400800486103</v>
      </c>
      <c r="B66" s="56" t="str">
        <f ca="1">IFERROR(__xludf.DUMMYFUNCTION("""COMPUTED_VALUE"""),"الحر")</f>
        <v>الحر</v>
      </c>
      <c r="C66" s="57" t="str">
        <f ca="1">IFERROR(__xludf.DUMMYFUNCTION("""COMPUTED_VALUE"""),"علي حسين عليوي ")</f>
        <v xml:space="preserve">علي حسين عليوي </v>
      </c>
      <c r="D66" s="58" t="str">
        <f ca="1">IFERROR(__xludf.DUMMYFUNCTION("""COMPUTED_VALUE"""),"قسم التربية والتعليم العالي")</f>
        <v>قسم التربية والتعليم العالي</v>
      </c>
      <c r="E66" s="58" t="str">
        <f ca="1">IFERROR(__xludf.DUMMYFUNCTION("""COMPUTED_VALUE"""),"D- الاعدادية (البناية 4)")</f>
        <v>D- الاعدادية (البناية 4)</v>
      </c>
      <c r="F66" s="58" t="str">
        <f ca="1">IFERROR(__xludf.DUMMYFUNCTION("""COMPUTED_VALUE"""),"ZONE A - الطابق الارضي")</f>
        <v>ZONE A - الطابق الارضي</v>
      </c>
      <c r="G66" s="58" t="str">
        <f ca="1">IFERROR(__xludf.DUMMYFUNCTION("""COMPUTED_VALUE"""),"تثبيت لوحة المفاتيح في غرفة ادارة المجمع")</f>
        <v>تثبيت لوحة المفاتيح في غرفة ادارة المجمع</v>
      </c>
      <c r="H66" s="58"/>
      <c r="I66" s="60" t="s">
        <v>17</v>
      </c>
      <c r="J66" s="61" t="s">
        <v>14</v>
      </c>
      <c r="K66" s="55">
        <v>45988.454456712963</v>
      </c>
      <c r="L66" s="62"/>
    </row>
    <row r="67" spans="1:12" ht="75" customHeight="1" thickTop="1" thickBot="1">
      <c r="A67" s="47">
        <f ca="1">IFERROR(__xludf.DUMMYFUNCTION("""COMPUTED_VALUE"""),45988.452785949)</f>
        <v>45988.452785948997</v>
      </c>
      <c r="B67" s="48" t="str">
        <f ca="1">IFERROR(__xludf.DUMMYFUNCTION("""COMPUTED_VALUE"""),"الحر")</f>
        <v>الحر</v>
      </c>
      <c r="C67" s="49" t="str">
        <f ca="1">IFERROR(__xludf.DUMMYFUNCTION("""COMPUTED_VALUE"""),"ياسين ضيافة")</f>
        <v>ياسين ضيافة</v>
      </c>
      <c r="D67" s="50" t="str">
        <f ca="1">IFERROR(__xludf.DUMMYFUNCTION("""COMPUTED_VALUE"""),"قسم التربية والتعليم العالي")</f>
        <v>قسم التربية والتعليم العالي</v>
      </c>
      <c r="E67" s="50" t="str">
        <f ca="1">IFERROR(__xludf.DUMMYFUNCTION("""COMPUTED_VALUE"""),"D- الاعدادية (البناية 4)")</f>
        <v>D- الاعدادية (البناية 4)</v>
      </c>
      <c r="F67" s="50" t="str">
        <f ca="1">IFERROR(__xludf.DUMMYFUNCTION("""COMPUTED_VALUE"""),"ZONE A - الطابق الارضي, الضيافة ")</f>
        <v xml:space="preserve">ZONE A - الطابق الارضي, الضيافة </v>
      </c>
      <c r="G67" s="50" t="str">
        <f ca="1">IFERROR(__xludf.DUMMYFUNCTION("""COMPUTED_VALUE"""),"تبديل لبة باب الامنيوم للضيافة البناية الرابعة ")</f>
        <v xml:space="preserve">تبديل لبة باب الامنيوم للضيافة البناية الرابعة </v>
      </c>
      <c r="H67" s="50"/>
      <c r="I67" s="52" t="s">
        <v>17</v>
      </c>
      <c r="J67" s="53" t="s">
        <v>14</v>
      </c>
      <c r="K67" s="47">
        <v>45988.475509664349</v>
      </c>
      <c r="L67" s="54"/>
    </row>
    <row r="68" spans="1:12" ht="75" customHeight="1" thickTop="1" thickBot="1">
      <c r="A68" s="55">
        <f ca="1">IFERROR(__xludf.DUMMYFUNCTION("""COMPUTED_VALUE"""),45988.4815022222)</f>
        <v>45988.481502222203</v>
      </c>
      <c r="B68" s="56" t="str">
        <f ca="1">IFERROR(__xludf.DUMMYFUNCTION("""COMPUTED_VALUE"""),"الحر")</f>
        <v>الحر</v>
      </c>
      <c r="C68" s="57" t="str">
        <f ca="1">IFERROR(__xludf.DUMMYFUNCTION("""COMPUTED_VALUE"""),"علي فالح ")</f>
        <v xml:space="preserve">علي فالح </v>
      </c>
      <c r="D68" s="58" t="str">
        <f ca="1">IFERROR(__xludf.DUMMYFUNCTION("""COMPUTED_VALUE"""),"قسم التربية والتعليم العالي")</f>
        <v>قسم التربية والتعليم العالي</v>
      </c>
      <c r="E68" s="58" t="str">
        <f ca="1">IFERROR(__xludf.DUMMYFUNCTION("""COMPUTED_VALUE"""),"C- المتوسطة (البناية 3)")</f>
        <v>C- المتوسطة (البناية 3)</v>
      </c>
      <c r="F68" s="58" t="str">
        <f ca="1">IFERROR(__xludf.DUMMYFUNCTION("""COMPUTED_VALUE"""),"ZONE A - الطابق الارضي")</f>
        <v>ZONE A - الطابق الارضي</v>
      </c>
      <c r="G68" s="58" t="str">
        <f ca="1">IFERROR(__xludf.DUMMYFUNCTION("""COMPUTED_VALUE"""),"مقبض نافذة الحانوت مكسورة تحتاج الى استبدال")</f>
        <v>مقبض نافذة الحانوت مكسورة تحتاج الى استبدال</v>
      </c>
      <c r="H68" s="58" t="str">
        <f ca="1">IFERROR(__xludf.DUMMYFUNCTION("""COMPUTED_VALUE"""),"الحانوت المدرسي ")</f>
        <v xml:space="preserve">الحانوت المدرسي </v>
      </c>
      <c r="I68" s="60" t="s">
        <v>17</v>
      </c>
      <c r="J68" s="61" t="s">
        <v>14</v>
      </c>
      <c r="K68" s="55">
        <v>45988.563797256946</v>
      </c>
      <c r="L68" s="62"/>
    </row>
    <row r="69" spans="1:12" ht="75" customHeight="1" thickTop="1" thickBot="1">
      <c r="A69" s="47">
        <f ca="1">IFERROR(__xludf.DUMMYFUNCTION("""COMPUTED_VALUE"""),45988.636132662)</f>
        <v>45988.636132662003</v>
      </c>
      <c r="B69" s="48" t="str">
        <f ca="1">IFERROR(__xludf.DUMMYFUNCTION("""COMPUTED_VALUE"""),"الحر")</f>
        <v>الحر</v>
      </c>
      <c r="C69" s="49" t="str">
        <f ca="1">IFERROR(__xludf.DUMMYFUNCTION("""COMPUTED_VALUE"""),"حسين فارس ")</f>
        <v xml:space="preserve">حسين فارس </v>
      </c>
      <c r="D69" s="50" t="str">
        <f ca="1">IFERROR(__xludf.DUMMYFUNCTION("""COMPUTED_VALUE"""),"قسم التربية والتعليم العالي")</f>
        <v>قسم التربية والتعليم العالي</v>
      </c>
      <c r="E69" s="50" t="str">
        <f ca="1">IFERROR(__xludf.DUMMYFUNCTION("""COMPUTED_VALUE"""),"B- الابتدائية (البناية 2)")</f>
        <v>B- الابتدائية (البناية 2)</v>
      </c>
      <c r="F69" s="50" t="str">
        <f ca="1">IFERROR(__xludf.DUMMYFUNCTION("""COMPUTED_VALUE"""),"ZONE A - الطابق الارضي")</f>
        <v>ZONE A - الطابق الارضي</v>
      </c>
      <c r="G69" s="50" t="str">
        <f ca="1">IFERROR(__xludf.DUMMYFUNCTION("""COMPUTED_VALUE"""),"السركي مال باب الاستعلامات قافل السركي لتثبيت الباب من الأسفل ")</f>
        <v xml:space="preserve">السركي مال باب الاستعلامات قافل السركي لتثبيت الباب من الأسفل </v>
      </c>
      <c r="H69" s="50"/>
      <c r="I69" s="52" t="s">
        <v>17</v>
      </c>
      <c r="J69" s="53" t="s">
        <v>24</v>
      </c>
      <c r="K69" s="47">
        <v>45988.685790462958</v>
      </c>
      <c r="L69" s="54" t="s">
        <v>747</v>
      </c>
    </row>
    <row r="70" spans="1:12" ht="75" customHeight="1" thickTop="1" thickBot="1">
      <c r="A70" s="47">
        <f ca="1">IFERROR(__xludf.DUMMYFUNCTION("""COMPUTED_VALUE"""),45990.406147743)</f>
        <v>45990.406147743</v>
      </c>
      <c r="B70" s="48" t="str">
        <f ca="1">IFERROR(__xludf.DUMMYFUNCTION("""COMPUTED_VALUE"""),"الحر")</f>
        <v>الحر</v>
      </c>
      <c r="C70" s="49" t="str">
        <f ca="1">IFERROR(__xludf.DUMMYFUNCTION("""COMPUTED_VALUE"""),"حسين فارس ")</f>
        <v xml:space="preserve">حسين فارس </v>
      </c>
      <c r="D70" s="50" t="str">
        <f ca="1">IFERROR(__xludf.DUMMYFUNCTION("""COMPUTED_VALUE"""),"قسم التربية والتعليم العالي")</f>
        <v>قسم التربية والتعليم العالي</v>
      </c>
      <c r="E70" s="50" t="str">
        <f ca="1">IFERROR(__xludf.DUMMYFUNCTION("""COMPUTED_VALUE"""),"B- الابتدائية (البناية 2)")</f>
        <v>B- الابتدائية (البناية 2)</v>
      </c>
      <c r="F70" s="50" t="str">
        <f ca="1">IFERROR(__xludf.DUMMYFUNCTION("""COMPUTED_VALUE"""),"الغرف الخارجيه")</f>
        <v>الغرف الخارجيه</v>
      </c>
      <c r="G70" s="50" t="str">
        <f ca="1">IFERROR(__xludf.DUMMYFUNCTION("""COMPUTED_VALUE"""),"تركيب مفرغة مفصوله بالحمام الخارجي")</f>
        <v>تركيب مفرغة مفصوله بالحمام الخارجي</v>
      </c>
      <c r="H70" s="50" t="str">
        <f ca="1">IFERROR(__xludf.DUMMYFUNCTION("""COMPUTED_VALUE"""),"التواصل مع موظف الاستعلامات ")</f>
        <v xml:space="preserve">التواصل مع موظف الاستعلامات </v>
      </c>
      <c r="I70" s="52" t="s">
        <v>17</v>
      </c>
      <c r="J70" s="53" t="s">
        <v>14</v>
      </c>
      <c r="K70" s="47">
        <v>45990.574322060187</v>
      </c>
      <c r="L70" s="54"/>
    </row>
    <row r="71" spans="1:12" ht="75" customHeight="1" thickTop="1" thickBot="1">
      <c r="A71" s="47">
        <f ca="1">IFERROR(__xludf.DUMMYFUNCTION("""COMPUTED_VALUE"""),45990.4135195833)</f>
        <v>45990.413519583301</v>
      </c>
      <c r="B71" s="48" t="str">
        <f ca="1">IFERROR(__xludf.DUMMYFUNCTION("""COMPUTED_VALUE"""),"الحر")</f>
        <v>الحر</v>
      </c>
      <c r="C71" s="49" t="str">
        <f ca="1">IFERROR(__xludf.DUMMYFUNCTION("""COMPUTED_VALUE"""),"علي فالح")</f>
        <v>علي فالح</v>
      </c>
      <c r="D71" s="50" t="str">
        <f ca="1">IFERROR(__xludf.DUMMYFUNCTION("""COMPUTED_VALUE"""),"قسم التربية والتعليم العالي")</f>
        <v>قسم التربية والتعليم العالي</v>
      </c>
      <c r="E71" s="50" t="str">
        <f ca="1">IFERROR(__xludf.DUMMYFUNCTION("""COMPUTED_VALUE"""),"C- المتوسطة (البناية 3)")</f>
        <v>C- المتوسطة (البناية 3)</v>
      </c>
      <c r="F71" s="50" t="str">
        <f ca="1">IFERROR(__xludf.DUMMYFUNCTION("""COMPUTED_VALUE"""),"ZONE B - الطابق الثاني")</f>
        <v>ZONE B - الطابق الثاني</v>
      </c>
      <c r="G71" s="50" t="str">
        <f ca="1">IFERROR(__xludf.DUMMYFUNCTION("""COMPUTED_VALUE"""),"معجون النافذة مشلوع صف الاول و")</f>
        <v>معجون النافذة مشلوع صف الاول و</v>
      </c>
      <c r="H71" s="50"/>
      <c r="I71" s="52" t="s">
        <v>17</v>
      </c>
      <c r="J71" s="53" t="s">
        <v>14</v>
      </c>
      <c r="K71" s="47">
        <v>45990.564327835644</v>
      </c>
      <c r="L71" s="54"/>
    </row>
    <row r="72" spans="1:12" ht="75" customHeight="1" thickTop="1" thickBot="1">
      <c r="A72" s="55">
        <f ca="1">IFERROR(__xludf.DUMMYFUNCTION("""COMPUTED_VALUE"""),45990.4139968055)</f>
        <v>45990.413996805502</v>
      </c>
      <c r="B72" s="56" t="str">
        <f ca="1">IFERROR(__xludf.DUMMYFUNCTION("""COMPUTED_VALUE"""),"الحر")</f>
        <v>الحر</v>
      </c>
      <c r="C72" s="57" t="str">
        <f ca="1">IFERROR(__xludf.DUMMYFUNCTION("""COMPUTED_VALUE"""),"علي فالح ")</f>
        <v xml:space="preserve">علي فالح </v>
      </c>
      <c r="D72" s="58" t="str">
        <f ca="1">IFERROR(__xludf.DUMMYFUNCTION("""COMPUTED_VALUE"""),"قسم التربية والتعليم العالي")</f>
        <v>قسم التربية والتعليم العالي</v>
      </c>
      <c r="E72" s="58" t="str">
        <f ca="1">IFERROR(__xludf.DUMMYFUNCTION("""COMPUTED_VALUE"""),"C- المتوسطة (البناية 3)")</f>
        <v>C- المتوسطة (البناية 3)</v>
      </c>
      <c r="F72" s="58" t="str">
        <f ca="1">IFERROR(__xludf.DUMMYFUNCTION("""COMPUTED_VALUE"""),"ZONE B - الطابق الثاني")</f>
        <v>ZONE B - الطابق الثاني</v>
      </c>
      <c r="G72" s="58" t="str">
        <f ca="1">IFERROR(__xludf.DUMMYFUNCTION("""COMPUTED_VALUE"""),"صحيات الطلبة احد الابواب الداخلية مقفول ")</f>
        <v xml:space="preserve">صحيات الطلبة احد الابواب الداخلية مقفول </v>
      </c>
      <c r="H72" s="58"/>
      <c r="I72" s="60" t="s">
        <v>17</v>
      </c>
      <c r="J72" s="61" t="s">
        <v>14</v>
      </c>
      <c r="K72" s="55">
        <v>45990.563548356484</v>
      </c>
      <c r="L72" s="62"/>
    </row>
    <row r="73" spans="1:12" ht="75" customHeight="1" thickTop="1" thickBot="1">
      <c r="A73" s="47">
        <f ca="1">IFERROR(__xludf.DUMMYFUNCTION("""COMPUTED_VALUE"""),45991.380432662)</f>
        <v>45991.380432662001</v>
      </c>
      <c r="B73" s="48" t="str">
        <f ca="1">IFERROR(__xludf.DUMMYFUNCTION("""COMPUTED_VALUE"""),"الحر")</f>
        <v>الحر</v>
      </c>
      <c r="C73" s="49" t="str">
        <f ca="1">IFERROR(__xludf.DUMMYFUNCTION("""COMPUTED_VALUE"""),"علي حسين عليوي ")</f>
        <v xml:space="preserve">علي حسين عليوي </v>
      </c>
      <c r="D73" s="50" t="str">
        <f ca="1">IFERROR(__xludf.DUMMYFUNCTION("""COMPUTED_VALUE"""),"قسم التربية والتعليم العالي")</f>
        <v>قسم التربية والتعليم العالي</v>
      </c>
      <c r="E73" s="50" t="str">
        <f ca="1">IFERROR(__xludf.DUMMYFUNCTION("""COMPUTED_VALUE"""),"B- الابتدائية (البناية 2)")</f>
        <v>B- الابتدائية (البناية 2)</v>
      </c>
      <c r="F73" s="50" t="str">
        <f ca="1">IFERROR(__xludf.DUMMYFUNCTION("""COMPUTED_VALUE"""),"القاعة الرياضية جهة المتوسطة")</f>
        <v>القاعة الرياضية جهة المتوسطة</v>
      </c>
      <c r="G73" s="50" t="str">
        <f ca="1">IFERROR(__xludf.DUMMYFUNCTION("""COMPUTED_VALUE"""),"ربط الاهداف الخاصه بكرة السلة ")</f>
        <v xml:space="preserve">ربط الاهداف الخاصه بكرة السلة </v>
      </c>
      <c r="H73" s="50"/>
      <c r="I73" s="52" t="s">
        <v>17</v>
      </c>
      <c r="J73" s="53" t="s">
        <v>14</v>
      </c>
      <c r="K73" s="47">
        <v>45991.427271967594</v>
      </c>
      <c r="L73" s="54"/>
    </row>
    <row r="74" spans="1:12" ht="75" customHeight="1" thickTop="1" thickBot="1">
      <c r="A74" s="55">
        <f ca="1">IFERROR(__xludf.DUMMYFUNCTION("""COMPUTED_VALUE"""),45991.3818489467)</f>
        <v>45991.381848946701</v>
      </c>
      <c r="B74" s="56" t="str">
        <f ca="1">IFERROR(__xludf.DUMMYFUNCTION("""COMPUTED_VALUE"""),"الحر")</f>
        <v>الحر</v>
      </c>
      <c r="C74" s="57" t="str">
        <f ca="1">IFERROR(__xludf.DUMMYFUNCTION("""COMPUTED_VALUE"""),"علي حسين عليوي ")</f>
        <v xml:space="preserve">علي حسين عليوي </v>
      </c>
      <c r="D74" s="58" t="str">
        <f ca="1">IFERROR(__xludf.DUMMYFUNCTION("""COMPUTED_VALUE"""),"قسم التربية والتعليم العالي")</f>
        <v>قسم التربية والتعليم العالي</v>
      </c>
      <c r="E74" s="58" t="str">
        <f ca="1">IFERROR(__xludf.DUMMYFUNCTION("""COMPUTED_VALUE"""),"B- الابتدائية (البناية 2)")</f>
        <v>B- الابتدائية (البناية 2)</v>
      </c>
      <c r="F74" s="58" t="str">
        <f ca="1">IFERROR(__xludf.DUMMYFUNCTION("""COMPUTED_VALUE"""),"القاعة الرياضية جهة المتوسطة")</f>
        <v>القاعة الرياضية جهة المتوسطة</v>
      </c>
      <c r="G74" s="58" t="str">
        <f ca="1">IFERROR(__xludf.DUMMYFUNCTION("""COMPUTED_VALUE"""),"تبديل الكيلون الخاص بالقاعة الرياضية ")</f>
        <v xml:space="preserve">تبديل الكيلون الخاص بالقاعة الرياضية </v>
      </c>
      <c r="H74" s="58"/>
      <c r="I74" s="60" t="s">
        <v>17</v>
      </c>
      <c r="J74" s="61" t="s">
        <v>14</v>
      </c>
      <c r="K74" s="55">
        <v>45991.420671840278</v>
      </c>
      <c r="L74" s="62"/>
    </row>
    <row r="75" spans="1:12" ht="75" customHeight="1" thickTop="1" thickBot="1">
      <c r="A75" s="55">
        <f ca="1">IFERROR(__xludf.DUMMYFUNCTION("""COMPUTED_VALUE"""),45966.4471878356)</f>
        <v>45966.447187835598</v>
      </c>
      <c r="B75" s="56" t="str">
        <f ca="1">IFERROR(__xludf.DUMMYFUNCTION("""COMPUTED_VALUE"""),"الحر")</f>
        <v>الحر</v>
      </c>
      <c r="C75" s="57" t="str">
        <f ca="1">IFERROR(__xludf.DUMMYFUNCTION("""COMPUTED_VALUE"""),"علي فالح")</f>
        <v>علي فالح</v>
      </c>
      <c r="D75" s="58" t="str">
        <f ca="1">IFERROR(__xludf.DUMMYFUNCTION("""COMPUTED_VALUE"""),"قسم التربية والتعليم العالي")</f>
        <v>قسم التربية والتعليم العالي</v>
      </c>
      <c r="E75" s="58" t="str">
        <f ca="1">IFERROR(__xludf.DUMMYFUNCTION("""COMPUTED_VALUE"""),"C- المتوسطة (البناية 3)")</f>
        <v>C- المتوسطة (البناية 3)</v>
      </c>
      <c r="F75" s="58" t="str">
        <f ca="1">IFERROR(__xludf.DUMMYFUNCTION("""COMPUTED_VALUE"""),"ZONE A - الطابق الارضي")</f>
        <v>ZONE A - الطابق الارضي</v>
      </c>
      <c r="G75" s="58" t="str">
        <f ca="1">IFERROR(__xludf.DUMMYFUNCTION("""COMPUTED_VALUE"""),"لايوجد ماء في برادات ماء البطل ")</f>
        <v xml:space="preserve">لايوجد ماء في برادات ماء البطل </v>
      </c>
      <c r="H75" s="58" t="str">
        <f ca="1">IFERROR(__xludf.DUMMYFUNCTION("""COMPUTED_VALUE"""),"إجراء اللازم بشكل عاجل")</f>
        <v>إجراء اللازم بشكل عاجل</v>
      </c>
      <c r="I75" s="60" t="s">
        <v>18</v>
      </c>
      <c r="J75" s="61" t="s">
        <v>14</v>
      </c>
      <c r="K75" s="55" t="s">
        <v>706</v>
      </c>
      <c r="L75" s="62"/>
    </row>
    <row r="76" spans="1:12" ht="75" customHeight="1" thickTop="1" thickBot="1">
      <c r="A76" s="47">
        <f ca="1">IFERROR(__xludf.DUMMYFUNCTION("QUERY('الطلبات'!A2:O998, ""SELECT A,C,J,K,L,M,N,O WHERE C='الحر' "")"),45963.5262667939)</f>
        <v>45963.526266793902</v>
      </c>
      <c r="B76" s="48" t="str">
        <f ca="1">IFERROR(__xludf.DUMMYFUNCTION("""COMPUTED_VALUE"""),"الحر")</f>
        <v>الحر</v>
      </c>
      <c r="C76" s="49" t="str">
        <f ca="1">IFERROR(__xludf.DUMMYFUNCTION("""COMPUTED_VALUE"""),"علي فالح")</f>
        <v>علي فالح</v>
      </c>
      <c r="D76" s="50" t="str">
        <f ca="1">IFERROR(__xludf.DUMMYFUNCTION("""COMPUTED_VALUE"""),"قسم التربية والتعليم العالي")</f>
        <v>قسم التربية والتعليم العالي</v>
      </c>
      <c r="E76" s="50" t="str">
        <f ca="1">IFERROR(__xludf.DUMMYFUNCTION("""COMPUTED_VALUE"""),"C- المتوسطة (البناية 3)")</f>
        <v>C- المتوسطة (البناية 3)</v>
      </c>
      <c r="F76" s="50" t="str">
        <f ca="1">IFERROR(__xludf.DUMMYFUNCTION("""COMPUTED_VALUE"""),"ZONE A - الطابق الارضي")</f>
        <v>ZONE A - الطابق الارضي</v>
      </c>
      <c r="G76" s="51" t="str">
        <f ca="1">IFERROR(__xludf.DUMMYFUNCTION("""COMPUTED_VALUE"""),"سلام عليكم اخوان 
بنايه ثالثه زون A  صحيات بصف المصعد")</f>
        <v>سلام عليكم اخوان 
بنايه ثالثه زون A  صحيات بصف المصعد</v>
      </c>
      <c r="H76" s="50"/>
      <c r="I76" s="52" t="s">
        <v>15</v>
      </c>
      <c r="J76" s="53" t="s">
        <v>14</v>
      </c>
      <c r="K76" s="47" t="s">
        <v>699</v>
      </c>
      <c r="L76" s="54"/>
    </row>
    <row r="77" spans="1:12" ht="75" customHeight="1" thickTop="1" thickBot="1">
      <c r="A77" s="63">
        <f ca="1">IFERROR(__xludf.DUMMYFUNCTION("""COMPUTED_VALUE"""),45965.3187228935)</f>
        <v>45965.318722893498</v>
      </c>
      <c r="B77" s="48" t="str">
        <f ca="1">IFERROR(__xludf.DUMMYFUNCTION("""COMPUTED_VALUE"""),"الحر")</f>
        <v>الحر</v>
      </c>
      <c r="C77" s="49" t="str">
        <f ca="1">IFERROR(__xludf.DUMMYFUNCTION("""COMPUTED_VALUE"""),"مثنى هلال جودة ")</f>
        <v xml:space="preserve">مثنى هلال جودة </v>
      </c>
      <c r="D77" s="50" t="str">
        <f ca="1">IFERROR(__xludf.DUMMYFUNCTION("""COMPUTED_VALUE"""),"قسم التربية والتعليم العالي")</f>
        <v>قسم التربية والتعليم العالي</v>
      </c>
      <c r="E77" s="50" t="str">
        <f ca="1">IFERROR(__xludf.DUMMYFUNCTION("""COMPUTED_VALUE"""),"D- الاعدادية (البناية 4)")</f>
        <v>D- الاعدادية (البناية 4)</v>
      </c>
      <c r="F77" s="50" t="str">
        <f ca="1">IFERROR(__xludf.DUMMYFUNCTION("""COMPUTED_VALUE"""),"ZONE A - الطابق الارضي")</f>
        <v>ZONE A - الطابق الارضي</v>
      </c>
      <c r="G77" s="51" t="str">
        <f ca="1">IFERROR(__xludf.DUMMYFUNCTION("""COMPUTED_VALUE"""),"قفل براد الساحه مكسور ")</f>
        <v xml:space="preserve">قفل براد الساحه مكسور </v>
      </c>
      <c r="H77" s="50"/>
      <c r="I77" s="52" t="s">
        <v>15</v>
      </c>
      <c r="J77" s="53" t="s">
        <v>14</v>
      </c>
      <c r="K77" s="47" t="s">
        <v>701</v>
      </c>
      <c r="L77" s="54"/>
    </row>
    <row r="78" spans="1:12" ht="75" customHeight="1" thickTop="1" thickBot="1">
      <c r="A78" s="55">
        <f ca="1">IFERROR(__xludf.DUMMYFUNCTION("""COMPUTED_VALUE"""),45966.4699149189)</f>
        <v>45966.469914918896</v>
      </c>
      <c r="B78" s="56" t="str">
        <f ca="1">IFERROR(__xludf.DUMMYFUNCTION("""COMPUTED_VALUE"""),"الحر")</f>
        <v>الحر</v>
      </c>
      <c r="C78" s="57" t="str">
        <f ca="1">IFERROR(__xludf.DUMMYFUNCTION("""COMPUTED_VALUE"""),"م. حسين راضي")</f>
        <v>م. حسين راضي</v>
      </c>
      <c r="D78" s="58" t="str">
        <f ca="1">IFERROR(__xludf.DUMMYFUNCTION("""COMPUTED_VALUE"""),"قسم المشاريع الهندسية")</f>
        <v>قسم المشاريع الهندسية</v>
      </c>
      <c r="E78" s="58" t="str">
        <f ca="1">IFERROR(__xludf.DUMMYFUNCTION("""COMPUTED_VALUE"""),"C- المتوسطة (البناية 3)")</f>
        <v>C- المتوسطة (البناية 3)</v>
      </c>
      <c r="F78" s="58" t="str">
        <f ca="1">IFERROR(__xludf.DUMMYFUNCTION("""COMPUTED_VALUE"""),"السطح")</f>
        <v>السطح</v>
      </c>
      <c r="G78" s="58" t="str">
        <f ca="1">IFERROR(__xludf.DUMMYFUNCTION("""COMPUTED_VALUE"""),"نضوح ماء الـ (R.O)")</f>
        <v>نضوح ماء الـ (R.O)</v>
      </c>
      <c r="H78" s="58"/>
      <c r="I78" s="60" t="s">
        <v>15</v>
      </c>
      <c r="J78" s="61" t="s">
        <v>14</v>
      </c>
      <c r="K78" s="55" t="s">
        <v>708</v>
      </c>
      <c r="L78" s="62" t="s">
        <v>709</v>
      </c>
    </row>
    <row r="79" spans="1:12" ht="75" customHeight="1" thickTop="1" thickBot="1">
      <c r="A79" s="55">
        <f ca="1">IFERROR(__xludf.DUMMYFUNCTION("""COMPUTED_VALUE"""),45966.5010133333)</f>
        <v>45966.501013333298</v>
      </c>
      <c r="B79" s="56" t="str">
        <f ca="1">IFERROR(__xludf.DUMMYFUNCTION("""COMPUTED_VALUE"""),"الحر")</f>
        <v>الحر</v>
      </c>
      <c r="C79" s="57" t="str">
        <f ca="1">IFERROR(__xludf.DUMMYFUNCTION("""COMPUTED_VALUE"""),"م.حسين راضي ")</f>
        <v xml:space="preserve">م.حسين راضي </v>
      </c>
      <c r="D79" s="58" t="str">
        <f ca="1">IFERROR(__xludf.DUMMYFUNCTION("""COMPUTED_VALUE"""),"قسم المشاريع الهندسية")</f>
        <v>قسم المشاريع الهندسية</v>
      </c>
      <c r="E79" s="58" t="str">
        <f ca="1">IFERROR(__xludf.DUMMYFUNCTION("""COMPUTED_VALUE"""),"C- المتوسطة (البناية 3)")</f>
        <v>C- المتوسطة (البناية 3)</v>
      </c>
      <c r="F79" s="58" t="str">
        <f ca="1">IFERROR(__xludf.DUMMYFUNCTION("""COMPUTED_VALUE"""),"ZONE A - الطابق الارضي")</f>
        <v>ZONE A - الطابق الارضي</v>
      </c>
      <c r="G79" s="58" t="str">
        <f ca="1">IFERROR(__xludf.DUMMYFUNCTION("""COMPUTED_VALUE"""),"اضافة حافظة اقداح ماء للبراد")</f>
        <v>اضافة حافظة اقداح ماء للبراد</v>
      </c>
      <c r="H79" s="58"/>
      <c r="I79" s="60" t="s">
        <v>15</v>
      </c>
      <c r="J79" s="61" t="s">
        <v>14</v>
      </c>
      <c r="K79" s="55" t="s">
        <v>715</v>
      </c>
      <c r="L79" s="62" t="s">
        <v>716</v>
      </c>
    </row>
    <row r="80" spans="1:12" ht="75" customHeight="1" thickTop="1" thickBot="1">
      <c r="A80" s="47">
        <f ca="1">IFERROR(__xludf.DUMMYFUNCTION("""COMPUTED_VALUE"""),45966.502166875)</f>
        <v>45966.502166874998</v>
      </c>
      <c r="B80" s="48" t="str">
        <f ca="1">IFERROR(__xludf.DUMMYFUNCTION("""COMPUTED_VALUE"""),"الحر")</f>
        <v>الحر</v>
      </c>
      <c r="C80" s="49" t="str">
        <f ca="1">IFERROR(__xludf.DUMMYFUNCTION("""COMPUTED_VALUE"""),"م.حسين راضي ")</f>
        <v xml:space="preserve">م.حسين راضي </v>
      </c>
      <c r="D80" s="50" t="str">
        <f ca="1">IFERROR(__xludf.DUMMYFUNCTION("""COMPUTED_VALUE"""),"قسم المشاريع الهندسية")</f>
        <v>قسم المشاريع الهندسية</v>
      </c>
      <c r="E80" s="50" t="str">
        <f ca="1">IFERROR(__xludf.DUMMYFUNCTION("""COMPUTED_VALUE"""),"A- الابتدائية (البناية 1)")</f>
        <v>A- الابتدائية (البناية 1)</v>
      </c>
      <c r="F80" s="50" t="str">
        <f ca="1">IFERROR(__xludf.DUMMYFUNCTION("""COMPUTED_VALUE"""),"ZONE A - الطابق الارضي")</f>
        <v>ZONE A - الطابق الارضي</v>
      </c>
      <c r="G80" s="50" t="str">
        <f ca="1">IFERROR(__xludf.DUMMYFUNCTION("""COMPUTED_VALUE"""),"صيانه انسداد في المجاميع الصحيه ")</f>
        <v xml:space="preserve">صيانه انسداد في المجاميع الصحيه </v>
      </c>
      <c r="H80" s="50"/>
      <c r="I80" s="52" t="s">
        <v>15</v>
      </c>
      <c r="J80" s="64" t="s">
        <v>14</v>
      </c>
      <c r="K80" s="47" t="s">
        <v>717</v>
      </c>
      <c r="L80" s="54" t="s">
        <v>718</v>
      </c>
    </row>
    <row r="81" spans="1:12" ht="75" customHeight="1" thickTop="1" thickBot="1">
      <c r="A81" s="55">
        <f ca="1">IFERROR(__xludf.DUMMYFUNCTION("""COMPUTED_VALUE"""),45966.5029674421)</f>
        <v>45966.502967442102</v>
      </c>
      <c r="B81" s="56" t="str">
        <f ca="1">IFERROR(__xludf.DUMMYFUNCTION("""COMPUTED_VALUE"""),"الحر")</f>
        <v>الحر</v>
      </c>
      <c r="C81" s="57" t="str">
        <f ca="1">IFERROR(__xludf.DUMMYFUNCTION("""COMPUTED_VALUE"""),"م.حسين راضي ")</f>
        <v xml:space="preserve">م.حسين راضي </v>
      </c>
      <c r="D81" s="58" t="str">
        <f ca="1">IFERROR(__xludf.DUMMYFUNCTION("""COMPUTED_VALUE"""),"قسم المشاريع الهندسية")</f>
        <v>قسم المشاريع الهندسية</v>
      </c>
      <c r="E81" s="58" t="str">
        <f ca="1">IFERROR(__xludf.DUMMYFUNCTION("""COMPUTED_VALUE"""),"A- الابتدائية (البناية 1)")</f>
        <v>A- الابتدائية (البناية 1)</v>
      </c>
      <c r="F81" s="58" t="str">
        <f ca="1">IFERROR(__xludf.DUMMYFUNCTION("""COMPUTED_VALUE"""),"ZONE A - الطابق الثاني")</f>
        <v>ZONE A - الطابق الثاني</v>
      </c>
      <c r="G81" s="58" t="str">
        <f ca="1">IFERROR(__xludf.DUMMYFUNCTION("""COMPUTED_VALUE"""),"صيانه براد ماء")</f>
        <v>صيانه براد ماء</v>
      </c>
      <c r="H81" s="58"/>
      <c r="I81" s="60" t="s">
        <v>15</v>
      </c>
      <c r="J81" s="61" t="s">
        <v>14</v>
      </c>
      <c r="K81" s="55" t="s">
        <v>717</v>
      </c>
      <c r="L81" s="62" t="s">
        <v>719</v>
      </c>
    </row>
    <row r="82" spans="1:12" ht="75" customHeight="1" thickTop="1" thickBot="1">
      <c r="A82" s="47">
        <f ca="1">IFERROR(__xludf.DUMMYFUNCTION("""COMPUTED_VALUE"""),45966.5035538657)</f>
        <v>45966.503553865703</v>
      </c>
      <c r="B82" s="48" t="str">
        <f ca="1">IFERROR(__xludf.DUMMYFUNCTION("""COMPUTED_VALUE"""),"الحر")</f>
        <v>الحر</v>
      </c>
      <c r="C82" s="49" t="str">
        <f ca="1">IFERROR(__xludf.DUMMYFUNCTION("""COMPUTED_VALUE"""),"م.حسين راضي ")</f>
        <v xml:space="preserve">م.حسين راضي </v>
      </c>
      <c r="D82" s="50" t="str">
        <f ca="1">IFERROR(__xludf.DUMMYFUNCTION("""COMPUTED_VALUE"""),"قسم المشاريع الهندسية")</f>
        <v>قسم المشاريع الهندسية</v>
      </c>
      <c r="E82" s="50" t="str">
        <f ca="1">IFERROR(__xludf.DUMMYFUNCTION("""COMPUTED_VALUE"""),"C- المتوسطة (البناية 3)")</f>
        <v>C- المتوسطة (البناية 3)</v>
      </c>
      <c r="F82" s="50" t="str">
        <f ca="1">IFERROR(__xludf.DUMMYFUNCTION("""COMPUTED_VALUE"""),"ZONE A - الطابق الارضي, ZONE A - الطابق الاول")</f>
        <v>ZONE A - الطابق الارضي, ZONE A - الطابق الاول</v>
      </c>
      <c r="G82" s="50" t="str">
        <f ca="1">IFERROR(__xludf.DUMMYFUNCTION("""COMPUTED_VALUE"""),"صيانه المجاميع الصحيه ")</f>
        <v xml:space="preserve">صيانه المجاميع الصحيه </v>
      </c>
      <c r="H82" s="50"/>
      <c r="I82" s="52" t="s">
        <v>15</v>
      </c>
      <c r="J82" s="53" t="s">
        <v>14</v>
      </c>
      <c r="K82" s="47" t="s">
        <v>717</v>
      </c>
      <c r="L82" s="54" t="s">
        <v>719</v>
      </c>
    </row>
    <row r="83" spans="1:12" ht="75" customHeight="1" thickTop="1" thickBot="1">
      <c r="A83" s="55">
        <f ca="1">IFERROR(__xludf.DUMMYFUNCTION("""COMPUTED_VALUE"""),45966.5056937731)</f>
        <v>45966.505693773099</v>
      </c>
      <c r="B83" s="56" t="str">
        <f ca="1">IFERROR(__xludf.DUMMYFUNCTION("""COMPUTED_VALUE"""),"الحر")</f>
        <v>الحر</v>
      </c>
      <c r="C83" s="57" t="str">
        <f ca="1">IFERROR(__xludf.DUMMYFUNCTION("""COMPUTED_VALUE"""),"م.حسين راضي ")</f>
        <v xml:space="preserve">م.حسين راضي </v>
      </c>
      <c r="D83" s="58" t="str">
        <f ca="1">IFERROR(__xludf.DUMMYFUNCTION("""COMPUTED_VALUE"""),"قسم المشاريع الهندسية")</f>
        <v>قسم المشاريع الهندسية</v>
      </c>
      <c r="E83" s="58" t="str">
        <f ca="1">IFERROR(__xludf.DUMMYFUNCTION("""COMPUTED_VALUE"""),"D- الاعدادية (البناية 4)")</f>
        <v>D- الاعدادية (البناية 4)</v>
      </c>
      <c r="F83" s="58" t="str">
        <f ca="1">IFERROR(__xludf.DUMMYFUNCTION("""COMPUTED_VALUE"""),"ZONE B - الطابق الارضي, ZONE B - الطابق الثاني")</f>
        <v>ZONE B - الطابق الارضي, ZONE B - الطابق الثاني</v>
      </c>
      <c r="G83" s="58" t="str">
        <f ca="1">IFERROR(__xludf.DUMMYFUNCTION("""COMPUTED_VALUE"""),"تثبيت حامله اقداح ماء براد +تثبيت حامله شطاف")</f>
        <v>تثبيت حامله اقداح ماء براد +تثبيت حامله شطاف</v>
      </c>
      <c r="H83" s="58"/>
      <c r="I83" s="60" t="s">
        <v>15</v>
      </c>
      <c r="J83" s="61" t="s">
        <v>14</v>
      </c>
      <c r="K83" s="55" t="s">
        <v>717</v>
      </c>
      <c r="L83" s="62" t="s">
        <v>719</v>
      </c>
    </row>
    <row r="84" spans="1:12" ht="75" customHeight="1" thickTop="1" thickBot="1">
      <c r="A84" s="47">
        <f ca="1">IFERROR(__xludf.DUMMYFUNCTION("""COMPUTED_VALUE"""),45966.5075042592)</f>
        <v>45966.5075042592</v>
      </c>
      <c r="B84" s="48" t="str">
        <f ca="1">IFERROR(__xludf.DUMMYFUNCTION("""COMPUTED_VALUE"""),"الحر")</f>
        <v>الحر</v>
      </c>
      <c r="C84" s="49" t="str">
        <f ca="1">IFERROR(__xludf.DUMMYFUNCTION("""COMPUTED_VALUE"""),"م.حسين راضي")</f>
        <v>م.حسين راضي</v>
      </c>
      <c r="D84" s="50" t="str">
        <f ca="1">IFERROR(__xludf.DUMMYFUNCTION("""COMPUTED_VALUE"""),"قسم المشاريع الهندسية")</f>
        <v>قسم المشاريع الهندسية</v>
      </c>
      <c r="E84" s="50" t="str">
        <f ca="1">IFERROR(__xludf.DUMMYFUNCTION("""COMPUTED_VALUE"""),"C- المتوسطة (البناية 3)")</f>
        <v>C- المتوسطة (البناية 3)</v>
      </c>
      <c r="F84" s="50" t="str">
        <f ca="1">IFERROR(__xludf.DUMMYFUNCTION("""COMPUTED_VALUE"""),"ZONE B - الطابق الارضي, ZONE B - الطابق الاول, ZONE B - الطابق الثاني")</f>
        <v>ZONE B - الطابق الارضي, ZONE B - الطابق الاول, ZONE B - الطابق الثاني</v>
      </c>
      <c r="G84" s="50" t="str">
        <f ca="1">IFERROR(__xludf.DUMMYFUNCTION("""COMPUTED_VALUE"""),"صيانه قفل براد +ربط براد ماء جديدعدد٢+صيانه كاك براد+ربط برادات مع مجرى تصريف المياه ")</f>
        <v xml:space="preserve">صيانه قفل براد +ربط براد ماء جديدعدد٢+صيانه كاك براد+ربط برادات مع مجرى تصريف المياه </v>
      </c>
      <c r="H84" s="50"/>
      <c r="I84" s="52" t="s">
        <v>15</v>
      </c>
      <c r="J84" s="53" t="s">
        <v>14</v>
      </c>
      <c r="K84" s="47" t="s">
        <v>717</v>
      </c>
      <c r="L84" s="54" t="s">
        <v>713</v>
      </c>
    </row>
    <row r="85" spans="1:12" ht="75" customHeight="1" thickTop="1" thickBot="1">
      <c r="A85" s="55">
        <f ca="1">IFERROR(__xludf.DUMMYFUNCTION("""COMPUTED_VALUE"""),45966.5086125231)</f>
        <v>45966.508612523103</v>
      </c>
      <c r="B85" s="56" t="str">
        <f ca="1">IFERROR(__xludf.DUMMYFUNCTION("""COMPUTED_VALUE"""),"الحر")</f>
        <v>الحر</v>
      </c>
      <c r="C85" s="57" t="str">
        <f ca="1">IFERROR(__xludf.DUMMYFUNCTION("""COMPUTED_VALUE"""),"م.حسين راضي ")</f>
        <v xml:space="preserve">م.حسين راضي </v>
      </c>
      <c r="D85" s="58" t="str">
        <f ca="1">IFERROR(__xludf.DUMMYFUNCTION("""COMPUTED_VALUE"""),"قسم المشاريع الهندسية")</f>
        <v>قسم المشاريع الهندسية</v>
      </c>
      <c r="E85" s="58" t="str">
        <f ca="1">IFERROR(__xludf.DUMMYFUNCTION("""COMPUTED_VALUE"""),"D- الاعدادية (البناية 4)")</f>
        <v>D- الاعدادية (البناية 4)</v>
      </c>
      <c r="F85" s="58" t="str">
        <f ca="1">IFERROR(__xludf.DUMMYFUNCTION("""COMPUTED_VALUE"""),"ZONE B - الطابق الاول, ZONE B - الطابق الثاني")</f>
        <v>ZONE B - الطابق الاول, ZONE B - الطابق الثاني</v>
      </c>
      <c r="G85" s="58" t="str">
        <f ca="1">IFERROR(__xludf.DUMMYFUNCTION("""COMPUTED_VALUE"""),"ربط براد ماء جديد +ربط فضله البراد مع مجرى تصريف المياه ")</f>
        <v xml:space="preserve">ربط براد ماء جديد +ربط فضله البراد مع مجرى تصريف المياه </v>
      </c>
      <c r="H85" s="58"/>
      <c r="I85" s="60" t="s">
        <v>15</v>
      </c>
      <c r="J85" s="61" t="s">
        <v>14</v>
      </c>
      <c r="K85" s="55" t="s">
        <v>717</v>
      </c>
      <c r="L85" s="62" t="s">
        <v>713</v>
      </c>
    </row>
    <row r="86" spans="1:12" ht="75" customHeight="1" thickTop="1" thickBot="1">
      <c r="A86" s="47">
        <f ca="1">IFERROR(__xludf.DUMMYFUNCTION("""COMPUTED_VALUE"""),45966.509586412)</f>
        <v>45966.509586412001</v>
      </c>
      <c r="B86" s="48" t="str">
        <f ca="1">IFERROR(__xludf.DUMMYFUNCTION("""COMPUTED_VALUE"""),"الحر")</f>
        <v>الحر</v>
      </c>
      <c r="C86" s="49" t="str">
        <f ca="1">IFERROR(__xludf.DUMMYFUNCTION("""COMPUTED_VALUE"""),"م.حسين راضي ")</f>
        <v xml:space="preserve">م.حسين راضي </v>
      </c>
      <c r="D86" s="50" t="str">
        <f ca="1">IFERROR(__xludf.DUMMYFUNCTION("""COMPUTED_VALUE"""),"قسم المشاريع الهندسية")</f>
        <v>قسم المشاريع الهندسية</v>
      </c>
      <c r="E86" s="50" t="str">
        <f ca="1">IFERROR(__xludf.DUMMYFUNCTION("""COMPUTED_VALUE"""),"A- الابتدائية (البناية 1)")</f>
        <v>A- الابتدائية (البناية 1)</v>
      </c>
      <c r="F86" s="50" t="str">
        <f ca="1">IFERROR(__xludf.DUMMYFUNCTION("""COMPUTED_VALUE"""),"ZONE A - الطابق الارضي, ZONE A - الطابق الاول, ZONE A - الطابق الثاني, ZONE B - الطابق الارضي, ZONE B - الطابق الاول, ZONE B - الطابق الثاني")</f>
        <v>ZONE A - الطابق الارضي, ZONE A - الطابق الاول, ZONE A - الطابق الثاني, ZONE B - الطابق الارضي, ZONE B - الطابق الاول, ZONE B - الطابق الثاني</v>
      </c>
      <c r="G86" s="50" t="str">
        <f ca="1">IFERROR(__xludf.DUMMYFUNCTION("""COMPUTED_VALUE"""),"صيانه المجاميع الصحيه للبنايه بالكامل")</f>
        <v>صيانه المجاميع الصحيه للبنايه بالكامل</v>
      </c>
      <c r="H86" s="50"/>
      <c r="I86" s="52" t="s">
        <v>15</v>
      </c>
      <c r="J86" s="53" t="s">
        <v>14</v>
      </c>
      <c r="K86" s="47" t="s">
        <v>717</v>
      </c>
      <c r="L86" s="54" t="s">
        <v>713</v>
      </c>
    </row>
    <row r="87" spans="1:12" ht="75" customHeight="1" thickTop="1" thickBot="1">
      <c r="A87" s="47">
        <f ca="1">IFERROR(__xludf.DUMMYFUNCTION("""COMPUTED_VALUE"""),45966.5113958449)</f>
        <v>45966.5113958449</v>
      </c>
      <c r="B87" s="48" t="str">
        <f ca="1">IFERROR(__xludf.DUMMYFUNCTION("""COMPUTED_VALUE"""),"الحر")</f>
        <v>الحر</v>
      </c>
      <c r="C87" s="49" t="str">
        <f ca="1">IFERROR(__xludf.DUMMYFUNCTION("""COMPUTED_VALUE"""),"م.حسين راضي ")</f>
        <v xml:space="preserve">م.حسين راضي </v>
      </c>
      <c r="D87" s="50" t="str">
        <f ca="1">IFERROR(__xludf.DUMMYFUNCTION("""COMPUTED_VALUE"""),"قسم المشاريع الهندسية")</f>
        <v>قسم المشاريع الهندسية</v>
      </c>
      <c r="E87" s="50" t="str">
        <f ca="1">IFERROR(__xludf.DUMMYFUNCTION("""COMPUTED_VALUE"""),"B- الابتدائية (البناية 2)")</f>
        <v>B- الابتدائية (البناية 2)</v>
      </c>
      <c r="F87" s="50" t="str">
        <f ca="1">IFERROR(__xludf.DUMMYFUNCTION("""COMPUTED_VALUE"""),"السطح")</f>
        <v>السطح</v>
      </c>
      <c r="G87" s="50" t="str">
        <f ca="1">IFERROR(__xludf.DUMMYFUNCTION("""COMPUTED_VALUE"""),"صيانه منظومة التهوية ال Dx")</f>
        <v>صيانه منظومة التهوية ال Dx</v>
      </c>
      <c r="H87" s="50"/>
      <c r="I87" s="52" t="s">
        <v>15</v>
      </c>
      <c r="J87" s="53" t="s">
        <v>14</v>
      </c>
      <c r="K87" s="47" t="s">
        <v>721</v>
      </c>
      <c r="L87" s="54" t="s">
        <v>722</v>
      </c>
    </row>
    <row r="88" spans="1:12" ht="75" customHeight="1" thickTop="1" thickBot="1">
      <c r="A88" s="55">
        <f ca="1">IFERROR(__xludf.DUMMYFUNCTION("""COMPUTED_VALUE"""),45966.5121837615)</f>
        <v>45966.512183761501</v>
      </c>
      <c r="B88" s="56" t="str">
        <f ca="1">IFERROR(__xludf.DUMMYFUNCTION("""COMPUTED_VALUE"""),"الحر")</f>
        <v>الحر</v>
      </c>
      <c r="C88" s="57" t="str">
        <f ca="1">IFERROR(__xludf.DUMMYFUNCTION("""COMPUTED_VALUE"""),"م.حسين راضي")</f>
        <v>م.حسين راضي</v>
      </c>
      <c r="D88" s="58" t="str">
        <f ca="1">IFERROR(__xludf.DUMMYFUNCTION("""COMPUTED_VALUE"""),"قسم المشاريع الهندسية")</f>
        <v>قسم المشاريع الهندسية</v>
      </c>
      <c r="E88" s="58" t="str">
        <f ca="1">IFERROR(__xludf.DUMMYFUNCTION("""COMPUTED_VALUE"""),"C- المتوسطة (البناية 3)")</f>
        <v>C- المتوسطة (البناية 3)</v>
      </c>
      <c r="F88" s="58" t="str">
        <f ca="1">IFERROR(__xludf.DUMMYFUNCTION("""COMPUTED_VALUE"""),"السطح")</f>
        <v>السطح</v>
      </c>
      <c r="G88" s="58" t="str">
        <f ca="1">IFERROR(__xludf.DUMMYFUNCTION("""COMPUTED_VALUE"""),"صيانه منظومة التهوية الDx")</f>
        <v>صيانه منظومة التهوية الDx</v>
      </c>
      <c r="H88" s="58"/>
      <c r="I88" s="60" t="s">
        <v>15</v>
      </c>
      <c r="J88" s="61" t="s">
        <v>14</v>
      </c>
      <c r="K88" s="55" t="s">
        <v>721</v>
      </c>
      <c r="L88" s="62" t="s">
        <v>722</v>
      </c>
    </row>
    <row r="89" spans="1:12" ht="75" customHeight="1" thickTop="1" thickBot="1">
      <c r="A89" s="55">
        <f ca="1">IFERROR(__xludf.DUMMYFUNCTION("""COMPUTED_VALUE"""),45967.3301309953)</f>
        <v>45967.330130995302</v>
      </c>
      <c r="B89" s="56" t="str">
        <f ca="1">IFERROR(__xludf.DUMMYFUNCTION("""COMPUTED_VALUE"""),"الحر")</f>
        <v>الحر</v>
      </c>
      <c r="C89" s="57" t="str">
        <f ca="1">IFERROR(__xludf.DUMMYFUNCTION("""COMPUTED_VALUE"""),"مثنى هلال ")</f>
        <v xml:space="preserve">مثنى هلال </v>
      </c>
      <c r="D89" s="58" t="str">
        <f ca="1">IFERROR(__xludf.DUMMYFUNCTION("""COMPUTED_VALUE"""),"قسم التربية والتعليم العالي")</f>
        <v>قسم التربية والتعليم العالي</v>
      </c>
      <c r="E89" s="58" t="str">
        <f ca="1">IFERROR(__xludf.DUMMYFUNCTION("""COMPUTED_VALUE"""),"C- المتوسطة (البناية 3)")</f>
        <v>C- المتوسطة (البناية 3)</v>
      </c>
      <c r="F89" s="58" t="str">
        <f ca="1">IFERROR(__xludf.DUMMYFUNCTION("""COMPUTED_VALUE"""),"ZONE A - الطابق الاول")</f>
        <v>ZONE A - الطابق الاول</v>
      </c>
      <c r="G89" s="58" t="str">
        <f ca="1">IFERROR(__xludf.DUMMYFUNCTION("""COMPUTED_VALUE"""),"براد فائض يحتاج معالجه سريعة ")</f>
        <v xml:space="preserve">براد فائض يحتاج معالجه سريعة </v>
      </c>
      <c r="H89" s="58" t="str">
        <f ca="1">IFERROR(__xludf.DUMMYFUNCTION("""COMPUTED_VALUE"""),"المبلغ استاذ علي فالح استعلامات المدرسة")</f>
        <v>المبلغ استاذ علي فالح استعلامات المدرسة</v>
      </c>
      <c r="I89" s="60" t="s">
        <v>15</v>
      </c>
      <c r="J89" s="61" t="s">
        <v>14</v>
      </c>
      <c r="K89" s="55" t="s">
        <v>725</v>
      </c>
      <c r="L89" s="62"/>
    </row>
    <row r="90" spans="1:12" ht="75" customHeight="1" thickTop="1" thickBot="1">
      <c r="A90" s="55">
        <f ca="1">IFERROR(__xludf.DUMMYFUNCTION("""COMPUTED_VALUE"""),45967.4794038773)</f>
        <v>45967.479403877303</v>
      </c>
      <c r="B90" s="56" t="str">
        <f ca="1">IFERROR(__xludf.DUMMYFUNCTION("""COMPUTED_VALUE"""),"الحر")</f>
        <v>الحر</v>
      </c>
      <c r="C90" s="57" t="str">
        <f ca="1">IFERROR(__xludf.DUMMYFUNCTION("""COMPUTED_VALUE"""),"م.حسين راضي ")</f>
        <v xml:space="preserve">م.حسين راضي </v>
      </c>
      <c r="D90" s="58" t="str">
        <f ca="1">IFERROR(__xludf.DUMMYFUNCTION("""COMPUTED_VALUE"""),"قسم المشاريع الهندسية")</f>
        <v>قسم المشاريع الهندسية</v>
      </c>
      <c r="E90" s="58" t="str">
        <f ca="1">IFERROR(__xludf.DUMMYFUNCTION("""COMPUTED_VALUE"""),"B- الابتدائية (البناية 2)")</f>
        <v>B- الابتدائية (البناية 2)</v>
      </c>
      <c r="F90" s="58" t="str">
        <f ca="1">IFERROR(__xludf.DUMMYFUNCTION("""COMPUTED_VALUE"""),"ZONE A - الطابق الارضي")</f>
        <v>ZONE A - الطابق الارضي</v>
      </c>
      <c r="G90" s="58" t="str">
        <f ca="1">IFERROR(__xludf.DUMMYFUNCTION("""COMPUTED_VALUE"""),"معالجة مجرى تصريف في القاعه الرياضية المحزن")</f>
        <v>معالجة مجرى تصريف في القاعه الرياضية المحزن</v>
      </c>
      <c r="H90" s="58" t="str">
        <f ca="1">IFERROR(__xludf.DUMMYFUNCTION("""COMPUTED_VALUE"""),"مقابل البنايه الاولى")</f>
        <v>مقابل البنايه الاولى</v>
      </c>
      <c r="I90" s="60" t="s">
        <v>15</v>
      </c>
      <c r="J90" s="61" t="s">
        <v>14</v>
      </c>
      <c r="K90" s="55" t="s">
        <v>728</v>
      </c>
      <c r="L90" s="62"/>
    </row>
    <row r="91" spans="1:12" ht="75" customHeight="1" thickTop="1" thickBot="1">
      <c r="A91" s="55">
        <f ca="1">IFERROR(__xludf.DUMMYFUNCTION("""COMPUTED_VALUE"""),45977.441385706)</f>
        <v>45977.441385705999</v>
      </c>
      <c r="B91" s="56" t="str">
        <f ca="1">IFERROR(__xludf.DUMMYFUNCTION("""COMPUTED_VALUE"""),"الحر")</f>
        <v>الحر</v>
      </c>
      <c r="C91" s="57" t="str">
        <f ca="1">IFERROR(__xludf.DUMMYFUNCTION("""COMPUTED_VALUE"""),"م.علي عقيل ")</f>
        <v xml:space="preserve">م.علي عقيل </v>
      </c>
      <c r="D91" s="58" t="str">
        <f ca="1">IFERROR(__xludf.DUMMYFUNCTION("""COMPUTED_VALUE"""),"قسم المشاريع الهندسية")</f>
        <v>قسم المشاريع الهندسية</v>
      </c>
      <c r="E91" s="58" t="str">
        <f ca="1">IFERROR(__xludf.DUMMYFUNCTION("""COMPUTED_VALUE"""),"D- الاعدادية (البناية 4)")</f>
        <v>D- الاعدادية (البناية 4)</v>
      </c>
      <c r="F91" s="58" t="str">
        <f ca="1">IFERROR(__xludf.DUMMYFUNCTION("""COMPUTED_VALUE"""),"ZONE A - الطابق الاول")</f>
        <v>ZONE A - الطابق الاول</v>
      </c>
      <c r="G91" s="58" t="str">
        <f ca="1">IFERROR(__xludf.DUMMYFUNCTION("""COMPUTED_VALUE"""),"انسداد في الصحيات")</f>
        <v>انسداد في الصحيات</v>
      </c>
      <c r="H91" s="58"/>
      <c r="I91" s="60" t="s">
        <v>15</v>
      </c>
      <c r="J91" s="61" t="s">
        <v>14</v>
      </c>
      <c r="K91" s="55"/>
      <c r="L91" s="62" t="s">
        <v>738</v>
      </c>
    </row>
    <row r="92" spans="1:12" ht="75" customHeight="1" thickTop="1" thickBot="1">
      <c r="A92" s="47">
        <f ca="1">IFERROR(__xludf.DUMMYFUNCTION("""COMPUTED_VALUE"""),45977.4422086111)</f>
        <v>45977.442208611101</v>
      </c>
      <c r="B92" s="48" t="str">
        <f ca="1">IFERROR(__xludf.DUMMYFUNCTION("""COMPUTED_VALUE"""),"الحر")</f>
        <v>الحر</v>
      </c>
      <c r="C92" s="49" t="str">
        <f ca="1">IFERROR(__xludf.DUMMYFUNCTION("""COMPUTED_VALUE"""),"م.علي عقيل")</f>
        <v>م.علي عقيل</v>
      </c>
      <c r="D92" s="50" t="str">
        <f ca="1">IFERROR(__xludf.DUMMYFUNCTION("""COMPUTED_VALUE"""),"قسم المشاريع الهندسية")</f>
        <v>قسم المشاريع الهندسية</v>
      </c>
      <c r="E92" s="50" t="str">
        <f ca="1">IFERROR(__xludf.DUMMYFUNCTION("""COMPUTED_VALUE"""),"A- الابتدائية (البناية 1)")</f>
        <v>A- الابتدائية (البناية 1)</v>
      </c>
      <c r="F92" s="50" t="str">
        <f ca="1">IFERROR(__xludf.DUMMYFUNCTION("""COMPUTED_VALUE"""),"قرب الخزان الرئيسي")</f>
        <v>قرب الخزان الرئيسي</v>
      </c>
      <c r="G92" s="50" t="str">
        <f ca="1">IFERROR(__xludf.DUMMYFUNCTION("""COMPUTED_VALUE"""),"رفع خرطوم ماء الطوارئ ")</f>
        <v xml:space="preserve">رفع خرطوم ماء الطوارئ </v>
      </c>
      <c r="H92" s="50"/>
      <c r="I92" s="52" t="s">
        <v>15</v>
      </c>
      <c r="J92" s="53" t="s">
        <v>14</v>
      </c>
      <c r="K92" s="47"/>
      <c r="L92" s="54" t="s">
        <v>738</v>
      </c>
    </row>
    <row r="93" spans="1:12" ht="75" customHeight="1" thickTop="1" thickBot="1">
      <c r="A93" s="55">
        <f ca="1">IFERROR(__xludf.DUMMYFUNCTION("""COMPUTED_VALUE"""),45977.4426729513)</f>
        <v>45977.4426729513</v>
      </c>
      <c r="B93" s="56" t="str">
        <f ca="1">IFERROR(__xludf.DUMMYFUNCTION("""COMPUTED_VALUE"""),"الحر")</f>
        <v>الحر</v>
      </c>
      <c r="C93" s="57" t="str">
        <f ca="1">IFERROR(__xludf.DUMMYFUNCTION("""COMPUTED_VALUE"""),"م.علي عقيل")</f>
        <v>م.علي عقيل</v>
      </c>
      <c r="D93" s="58" t="str">
        <f ca="1">IFERROR(__xludf.DUMMYFUNCTION("""COMPUTED_VALUE"""),"قسم المشاريع الهندسية")</f>
        <v>قسم المشاريع الهندسية</v>
      </c>
      <c r="E93" s="58" t="str">
        <f ca="1">IFERROR(__xludf.DUMMYFUNCTION("""COMPUTED_VALUE"""),"C- المتوسطة (البناية 3)")</f>
        <v>C- المتوسطة (البناية 3)</v>
      </c>
      <c r="F93" s="58" t="str">
        <f ca="1">IFERROR(__xludf.DUMMYFUNCTION("""COMPUTED_VALUE"""),"ZONE A - الطابق الارضي")</f>
        <v>ZONE A - الطابق الارضي</v>
      </c>
      <c r="G93" s="58" t="str">
        <f ca="1">IFERROR(__xludf.DUMMYFUNCTION("""COMPUTED_VALUE"""),"تغيير هيتر سخان واتماتيك")</f>
        <v>تغيير هيتر سخان واتماتيك</v>
      </c>
      <c r="H93" s="58"/>
      <c r="I93" s="60" t="s">
        <v>15</v>
      </c>
      <c r="J93" s="61" t="s">
        <v>14</v>
      </c>
      <c r="K93" s="55"/>
      <c r="L93" s="62" t="s">
        <v>738</v>
      </c>
    </row>
    <row r="94" spans="1:12" ht="75" customHeight="1" thickTop="1" thickBot="1">
      <c r="A94" s="47">
        <f ca="1">IFERROR(__xludf.DUMMYFUNCTION("""COMPUTED_VALUE"""),45977.4436027662)</f>
        <v>45977.443602766201</v>
      </c>
      <c r="B94" s="48" t="str">
        <f ca="1">IFERROR(__xludf.DUMMYFUNCTION("""COMPUTED_VALUE"""),"الحر")</f>
        <v>الحر</v>
      </c>
      <c r="C94" s="49" t="str">
        <f ca="1">IFERROR(__xludf.DUMMYFUNCTION("""COMPUTED_VALUE"""),"م.علي عقيل")</f>
        <v>م.علي عقيل</v>
      </c>
      <c r="D94" s="50" t="str">
        <f ca="1">IFERROR(__xludf.DUMMYFUNCTION("""COMPUTED_VALUE"""),"قسم المشاريع الهندسية")</f>
        <v>قسم المشاريع الهندسية</v>
      </c>
      <c r="E94" s="50" t="str">
        <f ca="1">IFERROR(__xludf.DUMMYFUNCTION("""COMPUTED_VALUE"""),"C- المتوسطة (البناية 3)")</f>
        <v>C- المتوسطة (البناية 3)</v>
      </c>
      <c r="F94" s="50" t="str">
        <f ca="1">IFERROR(__xludf.DUMMYFUNCTION("""COMPUTED_VALUE"""),"ZONE A - الطابق الارضي")</f>
        <v>ZONE A - الطابق الارضي</v>
      </c>
      <c r="G94" s="50" t="str">
        <f ca="1">IFERROR(__xludf.DUMMYFUNCTION("""COMPUTED_VALUE"""),"تغيير صوندات شطاف")</f>
        <v>تغيير صوندات شطاف</v>
      </c>
      <c r="H94" s="50"/>
      <c r="I94" s="52" t="s">
        <v>15</v>
      </c>
      <c r="J94" s="53" t="s">
        <v>14</v>
      </c>
      <c r="K94" s="47"/>
      <c r="L94" s="54" t="s">
        <v>738</v>
      </c>
    </row>
    <row r="95" spans="1:12" ht="75" customHeight="1" thickTop="1" thickBot="1">
      <c r="A95" s="55">
        <f ca="1">IFERROR(__xludf.DUMMYFUNCTION("""COMPUTED_VALUE"""),45979.3125468634)</f>
        <v>45979.312546863403</v>
      </c>
      <c r="B95" s="56" t="str">
        <f ca="1">IFERROR(__xludf.DUMMYFUNCTION("""COMPUTED_VALUE"""),"الحر")</f>
        <v>الحر</v>
      </c>
      <c r="C95" s="57" t="str">
        <f ca="1">IFERROR(__xludf.DUMMYFUNCTION("""COMPUTED_VALUE"""),"م.علي عقيل ")</f>
        <v xml:space="preserve">م.علي عقيل </v>
      </c>
      <c r="D95" s="58" t="str">
        <f ca="1">IFERROR(__xludf.DUMMYFUNCTION("""COMPUTED_VALUE"""),"قسم المشاريع الهندسية")</f>
        <v>قسم المشاريع الهندسية</v>
      </c>
      <c r="E95" s="58" t="str">
        <f ca="1">IFERROR(__xludf.DUMMYFUNCTION("""COMPUTED_VALUE"""),"B- الابتدائية (البناية 2), D- الاعدادية (البناية 4)")</f>
        <v>B- الابتدائية (البناية 2), D- الاعدادية (البناية 4)</v>
      </c>
      <c r="F95" s="58" t="str">
        <f ca="1">IFERROR(__xludf.DUMMYFUNCTION("""COMPUTED_VALUE"""),"السطح")</f>
        <v>السطح</v>
      </c>
      <c r="G95" s="58" t="str">
        <f ca="1">IFERROR(__xludf.DUMMYFUNCTION("""COMPUTED_VALUE"""),"تغيير solenoid valve لخزان ماء RO")</f>
        <v>تغيير solenoid valve لخزان ماء RO</v>
      </c>
      <c r="H95" s="58"/>
      <c r="I95" s="60" t="s">
        <v>15</v>
      </c>
      <c r="J95" s="61" t="s">
        <v>14</v>
      </c>
      <c r="K95" s="55">
        <v>45979.320338854166</v>
      </c>
      <c r="L95" s="62" t="s">
        <v>739</v>
      </c>
    </row>
    <row r="96" spans="1:12" ht="75" customHeight="1" thickTop="1" thickBot="1">
      <c r="A96" s="47">
        <f ca="1">IFERROR(__xludf.DUMMYFUNCTION("""COMPUTED_VALUE"""),45979.3154104166)</f>
        <v>45979.315410416602</v>
      </c>
      <c r="B96" s="48" t="str">
        <f ca="1">IFERROR(__xludf.DUMMYFUNCTION("""COMPUTED_VALUE"""),"الحر")</f>
        <v>الحر</v>
      </c>
      <c r="C96" s="49" t="str">
        <f ca="1">IFERROR(__xludf.DUMMYFUNCTION("""COMPUTED_VALUE"""),"م.علي عقيل")</f>
        <v>م.علي عقيل</v>
      </c>
      <c r="D96" s="50" t="str">
        <f ca="1">IFERROR(__xludf.DUMMYFUNCTION("""COMPUTED_VALUE"""),"قسم المشاريع الهندسية")</f>
        <v>قسم المشاريع الهندسية</v>
      </c>
      <c r="E96" s="50" t="str">
        <f ca="1">IFERROR(__xludf.DUMMYFUNCTION("""COMPUTED_VALUE"""),"D- الاعدادية (البناية 4)")</f>
        <v>D- الاعدادية (البناية 4)</v>
      </c>
      <c r="F96" s="50" t="str">
        <f ca="1">IFERROR(__xludf.DUMMYFUNCTION("""COMPUTED_VALUE"""),"السطح")</f>
        <v>السطح</v>
      </c>
      <c r="G96" s="50" t="str">
        <f ca="1">IFERROR(__xludf.DUMMYFUNCTION("""COMPUTED_VALUE"""),"تم تغيير صمام صجمة حجم 2,5” لخزان ماء ثانوي بسبب خلل وحدوث وتسريب بالماء")</f>
        <v>تم تغيير صمام صجمة حجم 2,5” لخزان ماء ثانوي بسبب خلل وحدوث وتسريب بالماء</v>
      </c>
      <c r="H96" s="50"/>
      <c r="I96" s="52" t="s">
        <v>15</v>
      </c>
      <c r="J96" s="53" t="s">
        <v>14</v>
      </c>
      <c r="K96" s="47">
        <v>45979.320361134261</v>
      </c>
      <c r="L96" s="54" t="s">
        <v>739</v>
      </c>
    </row>
    <row r="97" spans="1:12" ht="75" customHeight="1" thickTop="1" thickBot="1">
      <c r="A97" s="55">
        <f ca="1">IFERROR(__xludf.DUMMYFUNCTION("""COMPUTED_VALUE"""),45979.3167989814)</f>
        <v>45979.316798981403</v>
      </c>
      <c r="B97" s="56" t="str">
        <f ca="1">IFERROR(__xludf.DUMMYFUNCTION("""COMPUTED_VALUE"""),"الحر")</f>
        <v>الحر</v>
      </c>
      <c r="C97" s="57" t="str">
        <f ca="1">IFERROR(__xludf.DUMMYFUNCTION("""COMPUTED_VALUE"""),"م.علي عقيل")</f>
        <v>م.علي عقيل</v>
      </c>
      <c r="D97" s="58" t="str">
        <f ca="1">IFERROR(__xludf.DUMMYFUNCTION("""COMPUTED_VALUE"""),"قسم المشاريع الهندسية")</f>
        <v>قسم المشاريع الهندسية</v>
      </c>
      <c r="E97" s="58" t="str">
        <f ca="1">IFERROR(__xludf.DUMMYFUNCTION("""COMPUTED_VALUE"""),"D- الاعدادية (البناية 4)")</f>
        <v>D- الاعدادية (البناية 4)</v>
      </c>
      <c r="F97" s="58" t="str">
        <f ca="1">IFERROR(__xludf.DUMMYFUNCTION("""COMPUTED_VALUE"""),"السطح")</f>
        <v>السطح</v>
      </c>
      <c r="G97" s="58" t="str">
        <f ca="1">IFERROR(__xludf.DUMMYFUNCTION("""COMPUTED_VALUE"""),"تغيير solenoid valve لخزان الماء الثانوي في سطح البنايه الرابعه بسبب تلفة وعدم استقبال اشاره لفتح بوابة الصمام وملئ الخزان/حجم 2”")</f>
        <v>تغيير solenoid valve لخزان الماء الثانوي في سطح البنايه الرابعه بسبب تلفة وعدم استقبال اشاره لفتح بوابة الصمام وملئ الخزان/حجم 2”</v>
      </c>
      <c r="H97" s="58"/>
      <c r="I97" s="60" t="s">
        <v>15</v>
      </c>
      <c r="J97" s="61" t="s">
        <v>14</v>
      </c>
      <c r="K97" s="55">
        <v>45979.320723518518</v>
      </c>
      <c r="L97" s="62" t="s">
        <v>739</v>
      </c>
    </row>
    <row r="98" spans="1:12" ht="75" customHeight="1" thickTop="1" thickBot="1">
      <c r="A98" s="47">
        <f ca="1">IFERROR(__xludf.DUMMYFUNCTION("""COMPUTED_VALUE"""),45979.3180134838)</f>
        <v>45979.318013483797</v>
      </c>
      <c r="B98" s="48" t="str">
        <f ca="1">IFERROR(__xludf.DUMMYFUNCTION("""COMPUTED_VALUE"""),"الحر")</f>
        <v>الحر</v>
      </c>
      <c r="C98" s="49" t="str">
        <f ca="1">IFERROR(__xludf.DUMMYFUNCTION("""COMPUTED_VALUE"""),"م.علي عقيل ")</f>
        <v xml:space="preserve">م.علي عقيل </v>
      </c>
      <c r="D98" s="50" t="str">
        <f ca="1">IFERROR(__xludf.DUMMYFUNCTION("""COMPUTED_VALUE"""),"قسم المشاريع الهندسية")</f>
        <v>قسم المشاريع الهندسية</v>
      </c>
      <c r="E98" s="50" t="str">
        <f ca="1">IFERROR(__xludf.DUMMYFUNCTION("""COMPUTED_VALUE"""),"A- الابتدائية (البناية 1)")</f>
        <v>A- الابتدائية (البناية 1)</v>
      </c>
      <c r="F98" s="50" t="str">
        <f ca="1">IFERROR(__xludf.DUMMYFUNCTION("""COMPUTED_VALUE"""),"قرب الخزان الرئيسي ")</f>
        <v xml:space="preserve">قرب الخزان الرئيسي </v>
      </c>
      <c r="G98" s="50" t="str">
        <f ca="1">IFERROR(__xludf.DUMMYFUNCTION("""COMPUTED_VALUE"""),"ربط خط ماء الطوارئ بسبب انقطاع الماء …وتفريغ سيارة حجم 20,000 L في الشفت الصباحي والمسائي")</f>
        <v>ربط خط ماء الطوارئ بسبب انقطاع الماء …وتفريغ سيارة حجم 20,000 L في الشفت الصباحي والمسائي</v>
      </c>
      <c r="H98" s="50"/>
      <c r="I98" s="52" t="s">
        <v>15</v>
      </c>
      <c r="J98" s="53" t="s">
        <v>14</v>
      </c>
      <c r="K98" s="47">
        <v>45979.320759780094</v>
      </c>
      <c r="L98" s="54" t="s">
        <v>739</v>
      </c>
    </row>
    <row r="99" spans="1:12" ht="75" customHeight="1" thickTop="1" thickBot="1">
      <c r="A99" s="55">
        <f ca="1">IFERROR(__xludf.DUMMYFUNCTION("""COMPUTED_VALUE"""),45979.3547030092)</f>
        <v>45979.354703009201</v>
      </c>
      <c r="B99" s="56" t="str">
        <f ca="1">IFERROR(__xludf.DUMMYFUNCTION("""COMPUTED_VALUE"""),"الحر")</f>
        <v>الحر</v>
      </c>
      <c r="C99" s="57" t="str">
        <f ca="1">IFERROR(__xludf.DUMMYFUNCTION("""COMPUTED_VALUE"""),"علي فالح موظف الاستعلامات ")</f>
        <v xml:space="preserve">علي فالح موظف الاستعلامات </v>
      </c>
      <c r="D99" s="58" t="str">
        <f ca="1">IFERROR(__xludf.DUMMYFUNCTION("""COMPUTED_VALUE"""),"قسم التربية والتعليم العالي")</f>
        <v>قسم التربية والتعليم العالي</v>
      </c>
      <c r="E99" s="58" t="str">
        <f ca="1">IFERROR(__xludf.DUMMYFUNCTION("""COMPUTED_VALUE"""),"C- المتوسطة (البناية 3)")</f>
        <v>C- المتوسطة (البناية 3)</v>
      </c>
      <c r="F99" s="58" t="str">
        <f ca="1">IFERROR(__xludf.DUMMYFUNCTION("""COMPUTED_VALUE"""),"ZONE A - الطابق الارضي, ZONE B - الطابق الاول")</f>
        <v>ZONE A - الطابق الارضي, ZONE B - الطابق الاول</v>
      </c>
      <c r="G99" s="58" t="str">
        <f ca="1">IFERROR(__xludf.DUMMYFUNCTION("""COMPUTED_VALUE"""),"الطابق الأرضي براد ماء مكسور /الطابق الأول مقبض باب مكسور صحيات الطلبة ")</f>
        <v xml:space="preserve">الطابق الأرضي براد ماء مكسور /الطابق الأول مقبض باب مكسور صحيات الطلبة </v>
      </c>
      <c r="H99" s="58" t="str">
        <f ca="1">IFERROR(__xludf.DUMMYFUNCTION("""COMPUTED_VALUE"""),"تم ارسال صور بالمحادثه المشتركه")</f>
        <v>تم ارسال صور بالمحادثه المشتركه</v>
      </c>
      <c r="I99" s="60" t="s">
        <v>15</v>
      </c>
      <c r="J99" s="61" t="s">
        <v>14</v>
      </c>
      <c r="K99" s="55">
        <v>45979.456016215277</v>
      </c>
      <c r="L99" s="62"/>
    </row>
    <row r="100" spans="1:12" ht="75" customHeight="1" thickTop="1" thickBot="1">
      <c r="A100" s="47">
        <f ca="1">IFERROR(__xludf.DUMMYFUNCTION("""COMPUTED_VALUE"""),45980.6814308449)</f>
        <v>45980.681430844903</v>
      </c>
      <c r="B100" s="48" t="str">
        <f ca="1">IFERROR(__xludf.DUMMYFUNCTION("""COMPUTED_VALUE"""),"الحر")</f>
        <v>الحر</v>
      </c>
      <c r="C100" s="49" t="str">
        <f ca="1">IFERROR(__xludf.DUMMYFUNCTION("""COMPUTED_VALUE"""),"ابو. كميل ")</f>
        <v xml:space="preserve">ابو. كميل </v>
      </c>
      <c r="D100" s="50" t="str">
        <f ca="1">IFERROR(__xludf.DUMMYFUNCTION("""COMPUTED_VALUE"""),"قسم التربية والتعليم العالي")</f>
        <v>قسم التربية والتعليم العالي</v>
      </c>
      <c r="E100" s="50" t="str">
        <f ca="1">IFERROR(__xludf.DUMMYFUNCTION("""COMPUTED_VALUE"""),"C- المتوسطة (البناية 3)")</f>
        <v>C- المتوسطة (البناية 3)</v>
      </c>
      <c r="F100" s="50" t="str">
        <f ca="1">IFERROR(__xludf.DUMMYFUNCTION("""COMPUTED_VALUE"""),"قرب الغرفه الخارجيه ")</f>
        <v xml:space="preserve">قرب الغرفه الخارجيه </v>
      </c>
      <c r="G100" s="50" t="str">
        <f ca="1">IFERROR(__xludf.DUMMYFUNCTION("""COMPUTED_VALUE"""),"ماطور ماء يسرب ماء قرب الغرفه الخارجيه للبنايه المتوسطه من قرب باب الدخول الخارجيه")</f>
        <v>ماطور ماء يسرب ماء قرب الغرفه الخارجيه للبنايه المتوسطه من قرب باب الدخول الخارجيه</v>
      </c>
      <c r="H100" s="50"/>
      <c r="I100" s="65" t="s">
        <v>15</v>
      </c>
      <c r="J100" s="53" t="s">
        <v>14</v>
      </c>
      <c r="K100" s="47">
        <v>45980.834110219905</v>
      </c>
      <c r="L100" s="54"/>
    </row>
    <row r="101" spans="1:12" ht="75" customHeight="1" thickTop="1" thickBot="1">
      <c r="A101" s="55">
        <f ca="1">IFERROR(__xludf.DUMMYFUNCTION("""COMPUTED_VALUE"""),45981.4191823379)</f>
        <v>45981.419182337901</v>
      </c>
      <c r="B101" s="56" t="str">
        <f ca="1">IFERROR(__xludf.DUMMYFUNCTION("""COMPUTED_VALUE"""),"الحر")</f>
        <v>الحر</v>
      </c>
      <c r="C101" s="57" t="str">
        <f ca="1">IFERROR(__xludf.DUMMYFUNCTION("""COMPUTED_VALUE"""),"علي حسين ")</f>
        <v xml:space="preserve">علي حسين </v>
      </c>
      <c r="D101" s="58" t="str">
        <f ca="1">IFERROR(__xludf.DUMMYFUNCTION("""COMPUTED_VALUE"""),"قسم التربية والتعليم العالي")</f>
        <v>قسم التربية والتعليم العالي</v>
      </c>
      <c r="E101" s="58" t="str">
        <f ca="1">IFERROR(__xludf.DUMMYFUNCTION("""COMPUTED_VALUE"""),"D- الاعدادية (البناية 4)")</f>
        <v>D- الاعدادية (البناية 4)</v>
      </c>
      <c r="F101" s="58" t="str">
        <f ca="1">IFERROR(__xludf.DUMMYFUNCTION("""COMPUTED_VALUE"""),"ZONE A - الطابق الارضي")</f>
        <v>ZONE A - الطابق الارضي</v>
      </c>
      <c r="G101" s="58" t="str">
        <f ca="1">IFERROR(__xludf.DUMMYFUNCTION("""COMPUTED_VALUE"""),"حنفية ماء في الساحه الداخليه زون a")</f>
        <v>حنفية ماء في الساحه الداخليه زون a</v>
      </c>
      <c r="H101" s="58" t="str">
        <f ca="1">IFERROR(__xludf.DUMMYFUNCTION("""COMPUTED_VALUE"""),"مكسوره")</f>
        <v>مكسوره</v>
      </c>
      <c r="I101" s="60" t="s">
        <v>15</v>
      </c>
      <c r="J101" s="61" t="s">
        <v>14</v>
      </c>
      <c r="K101" s="55">
        <v>45981.43343020833</v>
      </c>
      <c r="L101" s="62"/>
    </row>
    <row r="102" spans="1:12" ht="75" customHeight="1" thickTop="1" thickBot="1">
      <c r="A102" s="55">
        <f ca="1">IFERROR(__xludf.DUMMYFUNCTION("""COMPUTED_VALUE"""),45983.3504857754)</f>
        <v>45983.350485775401</v>
      </c>
      <c r="B102" s="56" t="str">
        <f ca="1">IFERROR(__xludf.DUMMYFUNCTION("""COMPUTED_VALUE"""),"الحر")</f>
        <v>الحر</v>
      </c>
      <c r="C102" s="57" t="str">
        <f ca="1">IFERROR(__xludf.DUMMYFUNCTION("""COMPUTED_VALUE"""),"علي حسين عليوي ")</f>
        <v xml:space="preserve">علي حسين عليوي </v>
      </c>
      <c r="D102" s="58" t="str">
        <f ca="1">IFERROR(__xludf.DUMMYFUNCTION("""COMPUTED_VALUE"""),"قسم التربية والتعليم العالي")</f>
        <v>قسم التربية والتعليم العالي</v>
      </c>
      <c r="E102" s="58" t="str">
        <f ca="1">IFERROR(__xludf.DUMMYFUNCTION("""COMPUTED_VALUE"""),"A- الابتدائية (البناية 1)")</f>
        <v>A- الابتدائية (البناية 1)</v>
      </c>
      <c r="F102" s="58" t="str">
        <f ca="1">IFERROR(__xludf.DUMMYFUNCTION("""COMPUTED_VALUE"""),"ZONE B - الطابق الارضي")</f>
        <v>ZONE B - الطابق الارضي</v>
      </c>
      <c r="G102" s="58" t="str">
        <f ca="1">IFERROR(__xludf.DUMMYFUNCTION("""COMPUTED_VALUE"""),"الصحيات بحاجة الى صيانة يوجد انسداد في الصحيات الاولى و الثانية ")</f>
        <v xml:space="preserve">الصحيات بحاجة الى صيانة يوجد انسداد في الصحيات الاولى و الثانية </v>
      </c>
      <c r="H102" s="58" t="str">
        <f ca="1">IFERROR(__xludf.DUMMYFUNCTION("""COMPUTED_VALUE"""),"تفضلكم باجراء اللازم لطفا ")</f>
        <v xml:space="preserve">تفضلكم باجراء اللازم لطفا </v>
      </c>
      <c r="I102" s="60" t="s">
        <v>15</v>
      </c>
      <c r="J102" s="61" t="s">
        <v>14</v>
      </c>
      <c r="K102" s="55">
        <v>45984.36912072917</v>
      </c>
      <c r="L102" s="62"/>
    </row>
    <row r="103" spans="1:12" ht="75" customHeight="1" thickTop="1" thickBot="1">
      <c r="A103" s="55">
        <f ca="1">IFERROR(__xludf.DUMMYFUNCTION("""COMPUTED_VALUE"""),45984.3965302083)</f>
        <v>45984.396530208302</v>
      </c>
      <c r="B103" s="56" t="str">
        <f ca="1">IFERROR(__xludf.DUMMYFUNCTION("""COMPUTED_VALUE"""),"الحر")</f>
        <v>الحر</v>
      </c>
      <c r="C103" s="57" t="str">
        <f ca="1">IFERROR(__xludf.DUMMYFUNCTION("""COMPUTED_VALUE"""),"سيد كرار حانوت ")</f>
        <v xml:space="preserve">سيد كرار حانوت </v>
      </c>
      <c r="D103" s="58" t="str">
        <f ca="1">IFERROR(__xludf.DUMMYFUNCTION("""COMPUTED_VALUE"""),"قسم التربية والتعليم العالي")</f>
        <v>قسم التربية والتعليم العالي</v>
      </c>
      <c r="E103" s="58" t="str">
        <f ca="1">IFERROR(__xludf.DUMMYFUNCTION("""COMPUTED_VALUE"""),"C- المتوسطة (البناية 3)")</f>
        <v>C- المتوسطة (البناية 3)</v>
      </c>
      <c r="F103" s="58" t="str">
        <f ca="1">IFERROR(__xludf.DUMMYFUNCTION("""COMPUTED_VALUE"""),"ZONE A - الطابق الثاني, المطعم ")</f>
        <v xml:space="preserve">ZONE A - الطابق الثاني, المطعم </v>
      </c>
      <c r="G103" s="58" t="str">
        <f ca="1">IFERROR(__xludf.DUMMYFUNCTION("""COMPUTED_VALUE"""),"عطل صوندة السنك تحتاج إلى تبديل بشكل عاجل بسبب توقف عمل الأخوة في التغذيه.. مع التقدير")</f>
        <v>عطل صوندة السنك تحتاج إلى تبديل بشكل عاجل بسبب توقف عمل الأخوة في التغذيه.. مع التقدير</v>
      </c>
      <c r="H103" s="58"/>
      <c r="I103" s="60" t="s">
        <v>15</v>
      </c>
      <c r="J103" s="61" t="s">
        <v>14</v>
      </c>
      <c r="K103" s="55">
        <v>45984.409449444443</v>
      </c>
      <c r="L103" s="62"/>
    </row>
    <row r="104" spans="1:12" ht="75" customHeight="1" thickTop="1" thickBot="1">
      <c r="A104" s="47">
        <f ca="1">IFERROR(__xludf.DUMMYFUNCTION("""COMPUTED_VALUE"""),45985.4311278588)</f>
        <v>45985.431127858799</v>
      </c>
      <c r="B104" s="48" t="str">
        <f ca="1">IFERROR(__xludf.DUMMYFUNCTION("""COMPUTED_VALUE"""),"الحر")</f>
        <v>الحر</v>
      </c>
      <c r="C104" s="49" t="str">
        <f ca="1">IFERROR(__xludf.DUMMYFUNCTION("""COMPUTED_VALUE"""),"غيث احمد")</f>
        <v>غيث احمد</v>
      </c>
      <c r="D104" s="50" t="str">
        <f ca="1">IFERROR(__xludf.DUMMYFUNCTION("""COMPUTED_VALUE"""),"قسم التربية والتعليم العالي")</f>
        <v>قسم التربية والتعليم العالي</v>
      </c>
      <c r="E104" s="50" t="str">
        <f ca="1">IFERROR(__xludf.DUMMYFUNCTION("""COMPUTED_VALUE"""),"D- الاعدادية (البناية 4)")</f>
        <v>D- الاعدادية (البناية 4)</v>
      </c>
      <c r="F104" s="50" t="str">
        <f ca="1">IFERROR(__xludf.DUMMYFUNCTION("""COMPUTED_VALUE"""),"ZONE A - الطابق الارضي")</f>
        <v>ZONE A - الطابق الارضي</v>
      </c>
      <c r="G104" s="50" t="str">
        <f ca="1">IFERROR(__xludf.DUMMYFUNCTION("""COMPUTED_VALUE"""),"صحيات ربط شطاف مخلوع في الصحيات الغربي قرب ادارة المجمع")</f>
        <v>صحيات ربط شطاف مخلوع في الصحيات الغربي قرب ادارة المجمع</v>
      </c>
      <c r="H104" s="50"/>
      <c r="I104" s="52" t="s">
        <v>15</v>
      </c>
      <c r="J104" s="53" t="s">
        <v>14</v>
      </c>
      <c r="K104" s="47">
        <v>45986.373092349539</v>
      </c>
      <c r="L104" s="54"/>
    </row>
    <row r="105" spans="1:12" ht="75" customHeight="1" thickTop="1" thickBot="1">
      <c r="A105" s="47">
        <f ca="1">IFERROR(__xludf.DUMMYFUNCTION("""COMPUTED_VALUE"""),45986.3645989004)</f>
        <v>45986.3645989004</v>
      </c>
      <c r="B105" s="48" t="str">
        <f ca="1">IFERROR(__xludf.DUMMYFUNCTION("""COMPUTED_VALUE"""),"الحر")</f>
        <v>الحر</v>
      </c>
      <c r="C105" s="49" t="str">
        <f ca="1">IFERROR(__xludf.DUMMYFUNCTION("""COMPUTED_VALUE"""),"محمد عباس حانوت")</f>
        <v>محمد عباس حانوت</v>
      </c>
      <c r="D105" s="50" t="str">
        <f ca="1">IFERROR(__xludf.DUMMYFUNCTION("""COMPUTED_VALUE"""),"قسم التربية والتعليم العالي")</f>
        <v>قسم التربية والتعليم العالي</v>
      </c>
      <c r="E105" s="50" t="str">
        <f ca="1">IFERROR(__xludf.DUMMYFUNCTION("""COMPUTED_VALUE"""),"C- المتوسطة (البناية 3)")</f>
        <v>C- المتوسطة (البناية 3)</v>
      </c>
      <c r="F105" s="50" t="str">
        <f ca="1">IFERROR(__xludf.DUMMYFUNCTION("""COMPUTED_VALUE"""),"ZONE A - الطابق الارضي, الغرف الملحق في الباب الرئيسية ")</f>
        <v xml:space="preserve">ZONE A - الطابق الارضي, الغرف الملحق في الباب الرئيسية </v>
      </c>
      <c r="G105" s="50" t="str">
        <f ca="1">IFERROR(__xludf.DUMMYFUNCTION("""COMPUTED_VALUE"""),"لايوجد ماء في غرفة السواق و الحنفية الخارجيه قرب الباب الرئيسي الخارجي ")</f>
        <v xml:space="preserve">لايوجد ماء في غرفة السواق و الحنفية الخارجيه قرب الباب الرئيسي الخارجي </v>
      </c>
      <c r="H105" s="50"/>
      <c r="I105" s="52" t="s">
        <v>15</v>
      </c>
      <c r="J105" s="53" t="s">
        <v>14</v>
      </c>
      <c r="K105" s="47"/>
      <c r="L105" s="54"/>
    </row>
    <row r="106" spans="1:12" ht="75" customHeight="1" thickTop="1" thickBot="1">
      <c r="A106" s="55">
        <f ca="1">IFERROR(__xludf.DUMMYFUNCTION("""COMPUTED_VALUE"""),45986.3878458333)</f>
        <v>45986.387845833298</v>
      </c>
      <c r="B106" s="56" t="str">
        <f ca="1">IFERROR(__xludf.DUMMYFUNCTION("""COMPUTED_VALUE"""),"الحر")</f>
        <v>الحر</v>
      </c>
      <c r="C106" s="57" t="str">
        <f ca="1">IFERROR(__xludf.DUMMYFUNCTION("""COMPUTED_VALUE"""),"محمد محسن")</f>
        <v>محمد محسن</v>
      </c>
      <c r="D106" s="58" t="str">
        <f ca="1">IFERROR(__xludf.DUMMYFUNCTION("""COMPUTED_VALUE"""),"قسم التربية والتعليم العالي")</f>
        <v>قسم التربية والتعليم العالي</v>
      </c>
      <c r="E106" s="58" t="str">
        <f ca="1">IFERROR(__xludf.DUMMYFUNCTION("""COMPUTED_VALUE"""),"D- الاعدادية (البناية 4)")</f>
        <v>D- الاعدادية (البناية 4)</v>
      </c>
      <c r="F106" s="58" t="str">
        <f ca="1">IFERROR(__xludf.DUMMYFUNCTION("""COMPUTED_VALUE"""),"ZONE A - الطابق الاول")</f>
        <v>ZONE A - الطابق الاول</v>
      </c>
      <c r="G106" s="58" t="str">
        <f ca="1">IFERROR(__xludf.DUMMYFUNCTION("""COMPUTED_VALUE"""),"صوندات الصحيات قرب المصعد تحتاج إلى تركيب ")</f>
        <v xml:space="preserve">صوندات الصحيات قرب المصعد تحتاج إلى تركيب </v>
      </c>
      <c r="H106" s="58"/>
      <c r="I106" s="60" t="s">
        <v>15</v>
      </c>
      <c r="J106" s="61" t="s">
        <v>14</v>
      </c>
      <c r="K106" s="55">
        <v>45987.311720972226</v>
      </c>
      <c r="L106" s="62" t="s">
        <v>742</v>
      </c>
    </row>
    <row r="107" spans="1:12" ht="75" customHeight="1" thickTop="1" thickBot="1">
      <c r="A107" s="47">
        <f ca="1">IFERROR(__xludf.DUMMYFUNCTION("""COMPUTED_VALUE"""),45986.3885163078)</f>
        <v>45986.388516307801</v>
      </c>
      <c r="B107" s="48" t="str">
        <f ca="1">IFERROR(__xludf.DUMMYFUNCTION("""COMPUTED_VALUE"""),"الحر")</f>
        <v>الحر</v>
      </c>
      <c r="C107" s="49" t="str">
        <f ca="1">IFERROR(__xludf.DUMMYFUNCTION("""COMPUTED_VALUE"""),"محمد محسن")</f>
        <v>محمد محسن</v>
      </c>
      <c r="D107" s="50" t="str">
        <f ca="1">IFERROR(__xludf.DUMMYFUNCTION("""COMPUTED_VALUE"""),"قسم التربية والتعليم العالي")</f>
        <v>قسم التربية والتعليم العالي</v>
      </c>
      <c r="E107" s="50" t="str">
        <f ca="1">IFERROR(__xludf.DUMMYFUNCTION("""COMPUTED_VALUE"""),"D- الاعدادية (البناية 4)")</f>
        <v>D- الاعدادية (البناية 4)</v>
      </c>
      <c r="F107" s="50" t="str">
        <f ca="1">IFERROR(__xludf.DUMMYFUNCTION("""COMPUTED_VALUE"""),"ZONE B - الطابق الاول")</f>
        <v>ZONE B - الطابق الاول</v>
      </c>
      <c r="G107" s="50" t="str">
        <f ca="1">IFERROR(__xludf.DUMMYFUNCTION("""COMPUTED_VALUE"""),"كابينه في صحيات الطلبه تحتاج إلى تسليك بسبب انغلاقها ")</f>
        <v xml:space="preserve">كابينه في صحيات الطلبه تحتاج إلى تسليك بسبب انغلاقها </v>
      </c>
      <c r="H107" s="50"/>
      <c r="I107" s="52" t="s">
        <v>15</v>
      </c>
      <c r="J107" s="53" t="s">
        <v>14</v>
      </c>
      <c r="K107" s="47">
        <v>45987.311750243054</v>
      </c>
      <c r="L107" s="54" t="s">
        <v>742</v>
      </c>
    </row>
    <row r="108" spans="1:12" ht="75" customHeight="1" thickTop="1" thickBot="1">
      <c r="A108" s="55">
        <f ca="1">IFERROR(__xludf.DUMMYFUNCTION("""COMPUTED_VALUE"""),45987.3126129166)</f>
        <v>45987.312612916598</v>
      </c>
      <c r="B108" s="56" t="str">
        <f ca="1">IFERROR(__xludf.DUMMYFUNCTION("""COMPUTED_VALUE"""),"الحر")</f>
        <v>الحر</v>
      </c>
      <c r="C108" s="57" t="str">
        <f ca="1">IFERROR(__xludf.DUMMYFUNCTION("""COMPUTED_VALUE"""),"مثنى هلال جودة ")</f>
        <v xml:space="preserve">مثنى هلال جودة </v>
      </c>
      <c r="D108" s="58" t="str">
        <f ca="1">IFERROR(__xludf.DUMMYFUNCTION("""COMPUTED_VALUE"""),"قسم التربية والتعليم العالي")</f>
        <v>قسم التربية والتعليم العالي</v>
      </c>
      <c r="E108" s="58" t="str">
        <f ca="1">IFERROR(__xludf.DUMMYFUNCTION("""COMPUTED_VALUE"""),"D- الاعدادية (البناية 4)")</f>
        <v>D- الاعدادية (البناية 4)</v>
      </c>
      <c r="F108" s="58" t="str">
        <f ca="1">IFERROR(__xludf.DUMMYFUNCTION("""COMPUTED_VALUE"""),"ZONE A - الطابق الارضي")</f>
        <v>ZONE A - الطابق الارضي</v>
      </c>
      <c r="G108" s="58" t="str">
        <f ca="1">IFERROR(__xludf.DUMMYFUNCTION("""COMPUTED_VALUE"""),"لايوجد ماء في برادات البناية الرابعة ")</f>
        <v xml:space="preserve">لايوجد ماء في برادات البناية الرابعة </v>
      </c>
      <c r="H108" s="58"/>
      <c r="I108" s="60" t="s">
        <v>15</v>
      </c>
      <c r="J108" s="61" t="s">
        <v>14</v>
      </c>
      <c r="K108" s="55">
        <v>45987.357354131949</v>
      </c>
      <c r="L108" s="62"/>
    </row>
    <row r="109" spans="1:12" ht="75" customHeight="1" thickTop="1" thickBot="1">
      <c r="A109" s="47">
        <f ca="1">IFERROR(__xludf.DUMMYFUNCTION("""COMPUTED_VALUE"""),45987.3830609838)</f>
        <v>45987.383060983797</v>
      </c>
      <c r="B109" s="48" t="str">
        <f ca="1">IFERROR(__xludf.DUMMYFUNCTION("""COMPUTED_VALUE"""),"الحر")</f>
        <v>الحر</v>
      </c>
      <c r="C109" s="49" t="str">
        <f ca="1">IFERROR(__xludf.DUMMYFUNCTION("""COMPUTED_VALUE"""),"علي حسين عليوي ")</f>
        <v xml:space="preserve">علي حسين عليوي </v>
      </c>
      <c r="D109" s="50" t="str">
        <f ca="1">IFERROR(__xludf.DUMMYFUNCTION("""COMPUTED_VALUE"""),"قسم التربية والتعليم العالي")</f>
        <v>قسم التربية والتعليم العالي</v>
      </c>
      <c r="E109" s="50" t="str">
        <f ca="1">IFERROR(__xludf.DUMMYFUNCTION("""COMPUTED_VALUE"""),"A- الابتدائية (البناية 1)")</f>
        <v>A- الابتدائية (البناية 1)</v>
      </c>
      <c r="F109" s="50" t="str">
        <f ca="1">IFERROR(__xludf.DUMMYFUNCTION("""COMPUTED_VALUE"""),"ZONE B - الطابق الثاني")</f>
        <v>ZONE B - الطابق الثاني</v>
      </c>
      <c r="G109" s="50" t="str">
        <f ca="1">IFERROR(__xludf.DUMMYFUNCTION("""COMPUTED_VALUE"""),"الماء مقطوع داخل الصحيات")</f>
        <v>الماء مقطوع داخل الصحيات</v>
      </c>
      <c r="H109" s="50"/>
      <c r="I109" s="52" t="s">
        <v>15</v>
      </c>
      <c r="J109" s="53" t="s">
        <v>14</v>
      </c>
      <c r="K109" s="47">
        <v>45987.396764872683</v>
      </c>
      <c r="L109" s="54"/>
    </row>
    <row r="110" spans="1:12" ht="75" customHeight="1" thickTop="1" thickBot="1">
      <c r="A110" s="55">
        <f ca="1">IFERROR(__xludf.DUMMYFUNCTION("""COMPUTED_VALUE"""),45990.405270405)</f>
        <v>45990.405270404997</v>
      </c>
      <c r="B110" s="56" t="str">
        <f ca="1">IFERROR(__xludf.DUMMYFUNCTION("""COMPUTED_VALUE"""),"الحر")</f>
        <v>الحر</v>
      </c>
      <c r="C110" s="57" t="str">
        <f ca="1">IFERROR(__xludf.DUMMYFUNCTION("""COMPUTED_VALUE"""),"علي حسين عليوي ")</f>
        <v xml:space="preserve">علي حسين عليوي </v>
      </c>
      <c r="D110" s="58" t="str">
        <f ca="1">IFERROR(__xludf.DUMMYFUNCTION("""COMPUTED_VALUE"""),"قسم التربية والتعليم العالي")</f>
        <v>قسم التربية والتعليم العالي</v>
      </c>
      <c r="E110" s="58" t="str">
        <f ca="1">IFERROR(__xludf.DUMMYFUNCTION("""COMPUTED_VALUE"""),"D- الاعدادية (البناية 4)")</f>
        <v>D- الاعدادية (البناية 4)</v>
      </c>
      <c r="F110" s="58" t="str">
        <f ca="1">IFERROR(__xludf.DUMMYFUNCTION("""COMPUTED_VALUE"""),"ZONE A - الطابق الثاني")</f>
        <v>ZONE A - الطابق الثاني</v>
      </c>
      <c r="G110" s="58" t="str">
        <f ca="1">IFERROR(__xludf.DUMMYFUNCTION("""COMPUTED_VALUE"""),"صيانة عنق الخلاط الخاص بالمطعم")</f>
        <v>صيانة عنق الخلاط الخاص بالمطعم</v>
      </c>
      <c r="H110" s="58"/>
      <c r="I110" s="60" t="s">
        <v>15</v>
      </c>
      <c r="J110" s="61" t="s">
        <v>24</v>
      </c>
      <c r="K110" s="55">
        <v>45990.51145424768</v>
      </c>
      <c r="L110" s="62" t="s">
        <v>747</v>
      </c>
    </row>
    <row r="111" spans="1:12" ht="75" customHeight="1" thickTop="1" thickBot="1">
      <c r="A111" s="55">
        <f ca="1">IFERROR(__xludf.DUMMYFUNCTION("""COMPUTED_VALUE"""),45990.407553125)</f>
        <v>45990.407553124998</v>
      </c>
      <c r="B111" s="56" t="str">
        <f ca="1">IFERROR(__xludf.DUMMYFUNCTION("""COMPUTED_VALUE"""),"الحر")</f>
        <v>الحر</v>
      </c>
      <c r="C111" s="57" t="str">
        <f ca="1">IFERROR(__xludf.DUMMYFUNCTION("""COMPUTED_VALUE"""),"علي حسين عليوي ")</f>
        <v xml:space="preserve">علي حسين عليوي </v>
      </c>
      <c r="D111" s="58" t="str">
        <f ca="1">IFERROR(__xludf.DUMMYFUNCTION("""COMPUTED_VALUE"""),"قسم التربية والتعليم العالي")</f>
        <v>قسم التربية والتعليم العالي</v>
      </c>
      <c r="E111" s="58" t="str">
        <f ca="1">IFERROR(__xludf.DUMMYFUNCTION("""COMPUTED_VALUE"""),"D- الاعدادية (البناية 4)")</f>
        <v>D- الاعدادية (البناية 4)</v>
      </c>
      <c r="F111" s="58" t="str">
        <f ca="1">IFERROR(__xludf.DUMMYFUNCTION("""COMPUTED_VALUE"""),"ZONE B - الطابق الارضي")</f>
        <v>ZONE B - الطابق الارضي</v>
      </c>
      <c r="G111" s="58" t="str">
        <f ca="1">IFERROR(__xludf.DUMMYFUNCTION("""COMPUTED_VALUE"""),"صيانة حاملة الشطاف")</f>
        <v>صيانة حاملة الشطاف</v>
      </c>
      <c r="H111" s="58"/>
      <c r="I111" s="60" t="s">
        <v>15</v>
      </c>
      <c r="J111" s="61" t="s">
        <v>14</v>
      </c>
      <c r="K111" s="55">
        <v>45990.538353807875</v>
      </c>
      <c r="L111" s="62"/>
    </row>
    <row r="112" spans="1:12" ht="75" customHeight="1" thickTop="1" thickBot="1">
      <c r="A112" s="7"/>
      <c r="B112" s="16"/>
      <c r="C112" s="9"/>
      <c r="D112" s="10"/>
      <c r="E112" s="10"/>
      <c r="F112" s="10"/>
      <c r="G112" s="10"/>
      <c r="H112" s="10"/>
      <c r="I112" s="12"/>
      <c r="J112" s="13"/>
    </row>
    <row r="113" spans="1:10" ht="75" customHeight="1">
      <c r="A113" s="7"/>
      <c r="B113" s="16"/>
      <c r="C113" s="9"/>
      <c r="D113" s="10"/>
      <c r="E113" s="10"/>
      <c r="F113" s="10"/>
      <c r="G113" s="10"/>
      <c r="H113" s="10"/>
      <c r="I113" s="12"/>
      <c r="J113" s="13"/>
    </row>
    <row r="114" spans="1:10" ht="75" customHeight="1">
      <c r="A114" s="7"/>
      <c r="B114" s="16"/>
      <c r="C114" s="9"/>
      <c r="D114" s="10"/>
      <c r="E114" s="10"/>
      <c r="F114" s="10"/>
      <c r="G114" s="10"/>
      <c r="H114" s="10"/>
      <c r="I114" s="12"/>
      <c r="J114" s="13"/>
    </row>
    <row r="115" spans="1:10" ht="75" customHeight="1">
      <c r="A115" s="7"/>
      <c r="B115" s="16"/>
      <c r="C115" s="9"/>
      <c r="D115" s="10"/>
      <c r="E115" s="10"/>
      <c r="F115" s="10"/>
      <c r="G115" s="10"/>
      <c r="H115" s="10"/>
      <c r="I115" s="12"/>
      <c r="J115" s="13"/>
    </row>
    <row r="116" spans="1:10" ht="75" customHeight="1">
      <c r="A116" s="7"/>
      <c r="B116" s="16"/>
      <c r="C116" s="9"/>
      <c r="D116" s="10"/>
      <c r="E116" s="10"/>
      <c r="F116" s="10"/>
      <c r="G116" s="10"/>
      <c r="H116" s="10"/>
      <c r="I116" s="12"/>
      <c r="J116" s="13"/>
    </row>
    <row r="117" spans="1:10" ht="75" customHeight="1">
      <c r="A117" s="7"/>
      <c r="B117" s="16"/>
      <c r="C117" s="9"/>
      <c r="D117" s="10"/>
      <c r="E117" s="10"/>
      <c r="F117" s="10"/>
      <c r="G117" s="10"/>
      <c r="H117" s="10"/>
      <c r="I117" s="12"/>
      <c r="J117" s="13"/>
    </row>
    <row r="118" spans="1:10" ht="75" customHeight="1">
      <c r="A118" s="7"/>
      <c r="B118" s="16"/>
      <c r="C118" s="9"/>
      <c r="D118" s="10"/>
      <c r="E118" s="10"/>
      <c r="F118" s="10"/>
      <c r="G118" s="10"/>
      <c r="H118" s="10"/>
      <c r="I118" s="12"/>
      <c r="J118" s="13"/>
    </row>
    <row r="119" spans="1:10" ht="75" customHeight="1">
      <c r="A119" s="7"/>
      <c r="B119" s="16"/>
      <c r="C119" s="9"/>
      <c r="D119" s="10"/>
      <c r="E119" s="10"/>
      <c r="F119" s="10"/>
      <c r="G119" s="10"/>
      <c r="H119" s="10"/>
      <c r="I119" s="12"/>
      <c r="J119" s="13"/>
    </row>
    <row r="120" spans="1:10" ht="75" customHeight="1">
      <c r="A120" s="7"/>
      <c r="B120" s="16"/>
      <c r="C120" s="9"/>
      <c r="D120" s="10"/>
      <c r="E120" s="10"/>
      <c r="F120" s="10"/>
      <c r="G120" s="10"/>
      <c r="H120" s="10"/>
      <c r="I120" s="12"/>
      <c r="J120" s="13"/>
    </row>
    <row r="121" spans="1:10" ht="75" customHeight="1">
      <c r="A121" s="7"/>
      <c r="B121" s="16"/>
      <c r="C121" s="9"/>
      <c r="D121" s="10"/>
      <c r="E121" s="10"/>
      <c r="F121" s="10"/>
      <c r="G121" s="10"/>
      <c r="H121" s="10"/>
      <c r="I121" s="12"/>
      <c r="J121" s="13"/>
    </row>
    <row r="122" spans="1:10" ht="75" customHeight="1">
      <c r="A122" s="7"/>
      <c r="B122" s="16"/>
      <c r="C122" s="9"/>
      <c r="D122" s="10"/>
      <c r="E122" s="10"/>
      <c r="F122" s="10"/>
      <c r="G122" s="10"/>
      <c r="H122" s="10"/>
      <c r="I122" s="12"/>
      <c r="J122" s="13"/>
    </row>
    <row r="123" spans="1:10" ht="75" customHeight="1">
      <c r="A123" s="7"/>
      <c r="B123" s="16"/>
      <c r="C123" s="9"/>
      <c r="D123" s="10"/>
      <c r="E123" s="10"/>
      <c r="F123" s="10"/>
      <c r="G123" s="10"/>
      <c r="H123" s="10"/>
      <c r="I123" s="12"/>
      <c r="J123" s="13"/>
    </row>
    <row r="124" spans="1:10" ht="75" customHeight="1">
      <c r="A124" s="7"/>
      <c r="B124" s="16"/>
      <c r="C124" s="9"/>
      <c r="D124" s="10"/>
      <c r="E124" s="10"/>
      <c r="F124" s="10"/>
      <c r="G124" s="10"/>
      <c r="H124" s="10"/>
      <c r="I124" s="12"/>
      <c r="J124" s="13"/>
    </row>
    <row r="125" spans="1:10" ht="75" customHeight="1">
      <c r="A125" s="7"/>
      <c r="B125" s="16"/>
      <c r="C125" s="9"/>
      <c r="D125" s="10"/>
      <c r="E125" s="10"/>
      <c r="F125" s="10"/>
      <c r="G125" s="10"/>
      <c r="H125" s="10"/>
      <c r="I125" s="12"/>
      <c r="J125" s="13"/>
    </row>
    <row r="126" spans="1:10" ht="75" customHeight="1">
      <c r="A126" s="7"/>
      <c r="B126" s="16"/>
      <c r="C126" s="9"/>
      <c r="D126" s="10"/>
      <c r="E126" s="10"/>
      <c r="F126" s="10"/>
      <c r="G126" s="10"/>
      <c r="H126" s="10"/>
      <c r="I126" s="12"/>
      <c r="J126" s="13"/>
    </row>
    <row r="127" spans="1:10" ht="75" customHeight="1">
      <c r="A127" s="7"/>
      <c r="B127" s="16"/>
      <c r="C127" s="9"/>
      <c r="D127" s="10"/>
      <c r="E127" s="10"/>
      <c r="F127" s="10"/>
      <c r="G127" s="10"/>
      <c r="H127" s="10"/>
      <c r="I127" s="12"/>
      <c r="J127" s="13"/>
    </row>
    <row r="128" spans="1:10" ht="75" customHeight="1">
      <c r="A128" s="7"/>
      <c r="B128" s="16"/>
      <c r="C128" s="9"/>
      <c r="D128" s="10"/>
      <c r="E128" s="10"/>
      <c r="F128" s="10"/>
      <c r="G128" s="10"/>
      <c r="H128" s="10"/>
      <c r="I128" s="12"/>
      <c r="J128" s="13"/>
    </row>
    <row r="129" spans="1:10" ht="75" customHeight="1">
      <c r="A129" s="7"/>
      <c r="B129" s="16"/>
      <c r="C129" s="9"/>
      <c r="D129" s="10"/>
      <c r="E129" s="10"/>
      <c r="F129" s="10"/>
      <c r="G129" s="10"/>
      <c r="H129" s="10"/>
      <c r="I129" s="12"/>
      <c r="J129" s="13"/>
    </row>
    <row r="130" spans="1:10" ht="75" customHeight="1">
      <c r="A130" s="7"/>
      <c r="B130" s="16"/>
      <c r="C130" s="9"/>
      <c r="D130" s="10"/>
      <c r="E130" s="10"/>
      <c r="F130" s="10"/>
      <c r="G130" s="10"/>
      <c r="H130" s="10"/>
      <c r="I130" s="12"/>
      <c r="J130" s="13"/>
    </row>
    <row r="131" spans="1:10" ht="75" customHeight="1">
      <c r="A131" s="7"/>
      <c r="B131" s="16"/>
      <c r="C131" s="9"/>
      <c r="D131" s="10"/>
      <c r="E131" s="10"/>
      <c r="F131" s="10"/>
      <c r="G131" s="10"/>
      <c r="H131" s="10"/>
      <c r="I131" s="12"/>
      <c r="J131" s="13"/>
    </row>
    <row r="132" spans="1:10" ht="75" customHeight="1">
      <c r="A132" s="7"/>
      <c r="B132" s="16"/>
      <c r="C132" s="9"/>
      <c r="D132" s="10"/>
      <c r="E132" s="10"/>
      <c r="F132" s="10"/>
      <c r="G132" s="10"/>
      <c r="H132" s="10"/>
      <c r="I132" s="12"/>
      <c r="J132" s="13"/>
    </row>
    <row r="133" spans="1:10" ht="75" customHeight="1">
      <c r="A133" s="7"/>
      <c r="B133" s="16"/>
      <c r="C133" s="9"/>
      <c r="D133" s="10"/>
      <c r="E133" s="10"/>
      <c r="F133" s="10"/>
      <c r="G133" s="10"/>
      <c r="H133" s="10"/>
      <c r="I133" s="12"/>
      <c r="J133" s="13"/>
    </row>
    <row r="134" spans="1:10" ht="75" customHeight="1">
      <c r="A134" s="7"/>
      <c r="B134" s="16"/>
      <c r="C134" s="9"/>
      <c r="D134" s="10"/>
      <c r="E134" s="10"/>
      <c r="F134" s="10"/>
      <c r="G134" s="10"/>
      <c r="H134" s="10"/>
      <c r="I134" s="12"/>
      <c r="J134" s="13"/>
    </row>
    <row r="135" spans="1:10" ht="75" customHeight="1">
      <c r="A135" s="7"/>
      <c r="B135" s="16"/>
      <c r="C135" s="9"/>
      <c r="D135" s="10"/>
      <c r="E135" s="10"/>
      <c r="F135" s="10"/>
      <c r="G135" s="10"/>
      <c r="H135" s="10"/>
      <c r="I135" s="12"/>
      <c r="J135" s="13"/>
    </row>
    <row r="136" spans="1:10" ht="75" customHeight="1">
      <c r="A136" s="7"/>
      <c r="B136" s="16"/>
      <c r="C136" s="9"/>
      <c r="D136" s="10"/>
      <c r="E136" s="10"/>
      <c r="F136" s="10"/>
      <c r="G136" s="10"/>
      <c r="H136" s="10"/>
      <c r="I136" s="12"/>
      <c r="J136" s="13"/>
    </row>
    <row r="137" spans="1:10" ht="75" customHeight="1">
      <c r="A137" s="7"/>
      <c r="B137" s="16"/>
      <c r="C137" s="9"/>
      <c r="D137" s="10"/>
      <c r="E137" s="10"/>
      <c r="F137" s="10"/>
      <c r="G137" s="10"/>
      <c r="H137" s="10"/>
      <c r="I137" s="12"/>
      <c r="J137" s="13"/>
    </row>
    <row r="138" spans="1:10" ht="75" customHeight="1">
      <c r="A138" s="7"/>
      <c r="B138" s="16"/>
      <c r="C138" s="9"/>
      <c r="D138" s="10"/>
      <c r="E138" s="10"/>
      <c r="F138" s="10"/>
      <c r="G138" s="10"/>
      <c r="H138" s="10"/>
      <c r="I138" s="12"/>
      <c r="J138" s="13"/>
    </row>
    <row r="139" spans="1:10" ht="75" customHeight="1">
      <c r="A139" s="7"/>
      <c r="B139" s="16"/>
      <c r="C139" s="9"/>
      <c r="D139" s="10"/>
      <c r="E139" s="10"/>
      <c r="F139" s="10"/>
      <c r="G139" s="10"/>
      <c r="H139" s="10"/>
      <c r="I139" s="12"/>
      <c r="J139" s="13"/>
    </row>
    <row r="140" spans="1:10" ht="75" customHeight="1">
      <c r="A140" s="7"/>
      <c r="B140" s="16"/>
      <c r="C140" s="9"/>
      <c r="D140" s="10"/>
      <c r="E140" s="10"/>
      <c r="F140" s="10"/>
      <c r="G140" s="10"/>
      <c r="H140" s="10"/>
      <c r="I140" s="12"/>
      <c r="J140" s="13"/>
    </row>
    <row r="141" spans="1:10" ht="75" customHeight="1">
      <c r="A141" s="7"/>
      <c r="B141" s="16"/>
      <c r="C141" s="9"/>
      <c r="D141" s="10"/>
      <c r="E141" s="10"/>
      <c r="F141" s="10"/>
      <c r="G141" s="10"/>
      <c r="H141" s="10"/>
      <c r="I141" s="12"/>
      <c r="J141" s="13"/>
    </row>
    <row r="142" spans="1:10" ht="75" customHeight="1">
      <c r="A142" s="7"/>
      <c r="B142" s="16"/>
      <c r="C142" s="9"/>
      <c r="D142" s="10"/>
      <c r="E142" s="10"/>
      <c r="F142" s="10"/>
      <c r="G142" s="10"/>
      <c r="H142" s="10"/>
      <c r="I142" s="12"/>
      <c r="J142" s="13"/>
    </row>
    <row r="143" spans="1:10" ht="75" customHeight="1">
      <c r="A143" s="7"/>
      <c r="B143" s="16"/>
      <c r="C143" s="9"/>
      <c r="D143" s="10"/>
      <c r="E143" s="10"/>
      <c r="F143" s="10"/>
      <c r="G143" s="10"/>
      <c r="H143" s="10"/>
      <c r="I143" s="12"/>
      <c r="J143" s="13"/>
    </row>
    <row r="144" spans="1:10" ht="75" customHeight="1">
      <c r="A144" s="7"/>
      <c r="B144" s="16"/>
      <c r="C144" s="9"/>
      <c r="D144" s="10"/>
      <c r="E144" s="10"/>
      <c r="F144" s="10"/>
      <c r="G144" s="10"/>
      <c r="H144" s="10"/>
      <c r="I144" s="12"/>
      <c r="J144" s="13"/>
    </row>
    <row r="145" spans="1:10" ht="75" customHeight="1">
      <c r="A145" s="7"/>
      <c r="B145" s="16"/>
      <c r="C145" s="9"/>
      <c r="D145" s="10"/>
      <c r="E145" s="10"/>
      <c r="F145" s="10"/>
      <c r="G145" s="10"/>
      <c r="H145" s="10"/>
      <c r="I145" s="12"/>
      <c r="J145" s="13"/>
    </row>
    <row r="146" spans="1:10" ht="75" customHeight="1">
      <c r="A146" s="7"/>
      <c r="B146" s="16"/>
      <c r="C146" s="9"/>
      <c r="D146" s="10"/>
      <c r="E146" s="10"/>
      <c r="F146" s="10"/>
      <c r="G146" s="10"/>
      <c r="H146" s="10"/>
      <c r="I146" s="12"/>
      <c r="J146" s="13"/>
    </row>
    <row r="147" spans="1:10" ht="75" customHeight="1">
      <c r="A147" s="7"/>
      <c r="B147" s="16"/>
      <c r="C147" s="9"/>
      <c r="D147" s="10"/>
      <c r="E147" s="10"/>
      <c r="F147" s="10"/>
      <c r="G147" s="10"/>
      <c r="H147" s="10"/>
      <c r="I147" s="12"/>
      <c r="J147" s="13"/>
    </row>
    <row r="148" spans="1:10" ht="75" customHeight="1">
      <c r="A148" s="7"/>
      <c r="B148" s="16"/>
      <c r="C148" s="9"/>
      <c r="D148" s="10"/>
      <c r="E148" s="10"/>
      <c r="F148" s="10"/>
      <c r="G148" s="10"/>
      <c r="H148" s="10"/>
      <c r="I148" s="12"/>
      <c r="J148" s="13"/>
    </row>
    <row r="149" spans="1:10" ht="75" customHeight="1">
      <c r="A149" s="7"/>
      <c r="B149" s="16"/>
      <c r="C149" s="9"/>
      <c r="D149" s="10"/>
      <c r="E149" s="10"/>
      <c r="F149" s="10"/>
      <c r="G149" s="10"/>
      <c r="H149" s="10"/>
      <c r="I149" s="12"/>
      <c r="J149" s="13"/>
    </row>
    <row r="150" spans="1:10" ht="75" customHeight="1">
      <c r="A150" s="7"/>
      <c r="B150" s="16"/>
      <c r="C150" s="9"/>
      <c r="D150" s="10"/>
      <c r="E150" s="10"/>
      <c r="F150" s="10"/>
      <c r="G150" s="10"/>
      <c r="H150" s="10"/>
      <c r="I150" s="12"/>
      <c r="J150" s="13"/>
    </row>
    <row r="151" spans="1:10" ht="75" customHeight="1">
      <c r="A151" s="7"/>
      <c r="B151" s="16"/>
      <c r="C151" s="9"/>
      <c r="D151" s="10"/>
      <c r="E151" s="10"/>
      <c r="F151" s="10"/>
      <c r="G151" s="10"/>
      <c r="H151" s="10"/>
      <c r="I151" s="12"/>
      <c r="J151" s="13"/>
    </row>
    <row r="152" spans="1:10" ht="75" customHeight="1">
      <c r="A152" s="7"/>
      <c r="B152" s="16"/>
      <c r="C152" s="9"/>
      <c r="D152" s="10"/>
      <c r="E152" s="10"/>
      <c r="F152" s="10"/>
      <c r="G152" s="10"/>
      <c r="H152" s="10"/>
      <c r="I152" s="12"/>
      <c r="J152" s="13"/>
    </row>
    <row r="153" spans="1:10" ht="75" customHeight="1">
      <c r="A153" s="7"/>
      <c r="B153" s="16"/>
      <c r="C153" s="9"/>
      <c r="D153" s="10"/>
      <c r="E153" s="10"/>
      <c r="F153" s="10"/>
      <c r="G153" s="10"/>
      <c r="H153" s="10"/>
      <c r="I153" s="12"/>
      <c r="J153" s="13"/>
    </row>
    <row r="154" spans="1:10" ht="75" customHeight="1">
      <c r="A154" s="7"/>
      <c r="B154" s="16"/>
      <c r="C154" s="9"/>
      <c r="D154" s="10"/>
      <c r="E154" s="10"/>
      <c r="F154" s="10"/>
      <c r="G154" s="10"/>
      <c r="H154" s="10"/>
      <c r="I154" s="12"/>
      <c r="J154" s="13"/>
    </row>
    <row r="155" spans="1:10" ht="75" customHeight="1">
      <c r="A155" s="7"/>
      <c r="B155" s="16"/>
      <c r="C155" s="9"/>
      <c r="D155" s="10"/>
      <c r="E155" s="10"/>
      <c r="F155" s="10"/>
      <c r="G155" s="10"/>
      <c r="H155" s="10"/>
      <c r="I155" s="12"/>
      <c r="J155" s="13"/>
    </row>
    <row r="156" spans="1:10" ht="75" customHeight="1">
      <c r="A156" s="7"/>
      <c r="B156" s="16"/>
      <c r="C156" s="9"/>
      <c r="D156" s="10"/>
      <c r="E156" s="10"/>
      <c r="F156" s="10"/>
      <c r="G156" s="10"/>
      <c r="H156" s="10"/>
      <c r="I156" s="12"/>
      <c r="J156" s="13"/>
    </row>
    <row r="157" spans="1:10" ht="75" customHeight="1">
      <c r="A157" s="7"/>
      <c r="B157" s="16"/>
      <c r="C157" s="9"/>
      <c r="D157" s="10"/>
      <c r="E157" s="10"/>
      <c r="F157" s="10"/>
      <c r="G157" s="10"/>
      <c r="H157" s="10"/>
      <c r="I157" s="12"/>
      <c r="J157" s="13"/>
    </row>
    <row r="158" spans="1:10" ht="75" customHeight="1">
      <c r="A158" s="7"/>
      <c r="B158" s="16"/>
      <c r="C158" s="9"/>
      <c r="D158" s="10"/>
      <c r="E158" s="10"/>
      <c r="F158" s="10"/>
      <c r="G158" s="10"/>
      <c r="H158" s="10"/>
      <c r="I158" s="12"/>
      <c r="J158" s="13"/>
    </row>
    <row r="159" spans="1:10" ht="75" customHeight="1">
      <c r="A159" s="7"/>
      <c r="B159" s="16"/>
      <c r="C159" s="9"/>
      <c r="D159" s="10"/>
      <c r="E159" s="10"/>
      <c r="F159" s="10"/>
      <c r="G159" s="10"/>
      <c r="H159" s="10"/>
      <c r="I159" s="12"/>
      <c r="J159" s="13"/>
    </row>
    <row r="160" spans="1:10" ht="75" customHeight="1">
      <c r="A160" s="7"/>
      <c r="B160" s="16"/>
      <c r="C160" s="9"/>
      <c r="D160" s="10"/>
      <c r="E160" s="10"/>
      <c r="F160" s="10"/>
      <c r="G160" s="10"/>
      <c r="H160" s="10"/>
      <c r="I160" s="12"/>
      <c r="J160" s="13"/>
    </row>
    <row r="161" spans="1:10" ht="75" customHeight="1">
      <c r="A161" s="7"/>
      <c r="B161" s="16"/>
      <c r="C161" s="9"/>
      <c r="D161" s="10"/>
      <c r="E161" s="10"/>
      <c r="F161" s="10"/>
      <c r="G161" s="10"/>
      <c r="H161" s="10"/>
      <c r="I161" s="12"/>
      <c r="J161" s="13"/>
    </row>
    <row r="162" spans="1:10" ht="75" customHeight="1">
      <c r="A162" s="7"/>
      <c r="B162" s="16"/>
      <c r="C162" s="9"/>
      <c r="D162" s="10"/>
      <c r="E162" s="10"/>
      <c r="F162" s="10"/>
      <c r="G162" s="10"/>
      <c r="H162" s="10"/>
      <c r="I162" s="12"/>
      <c r="J162" s="13"/>
    </row>
    <row r="163" spans="1:10" ht="75" customHeight="1">
      <c r="A163" s="7"/>
      <c r="B163" s="16"/>
      <c r="C163" s="9"/>
      <c r="D163" s="10"/>
      <c r="E163" s="10"/>
      <c r="F163" s="10"/>
      <c r="G163" s="10"/>
      <c r="H163" s="10"/>
      <c r="I163" s="12"/>
      <c r="J163" s="13"/>
    </row>
    <row r="164" spans="1:10" ht="75" customHeight="1">
      <c r="A164" s="7"/>
      <c r="B164" s="16"/>
      <c r="C164" s="9"/>
      <c r="D164" s="10"/>
      <c r="E164" s="10"/>
      <c r="F164" s="10"/>
      <c r="G164" s="10"/>
      <c r="H164" s="10"/>
      <c r="I164" s="12"/>
      <c r="J164" s="13"/>
    </row>
    <row r="165" spans="1:10" ht="75" customHeight="1">
      <c r="A165" s="7"/>
      <c r="B165" s="16"/>
      <c r="C165" s="9"/>
      <c r="D165" s="10"/>
      <c r="E165" s="10"/>
      <c r="F165" s="10"/>
      <c r="G165" s="10"/>
      <c r="H165" s="10"/>
      <c r="I165" s="12"/>
      <c r="J165" s="13"/>
    </row>
    <row r="166" spans="1:10" ht="75" customHeight="1">
      <c r="A166" s="7"/>
      <c r="B166" s="16"/>
      <c r="C166" s="9"/>
      <c r="D166" s="10"/>
      <c r="E166" s="10"/>
      <c r="F166" s="10"/>
      <c r="G166" s="10"/>
      <c r="H166" s="10"/>
      <c r="I166" s="12"/>
      <c r="J166" s="13"/>
    </row>
    <row r="167" spans="1:10" ht="75" customHeight="1">
      <c r="A167" s="7"/>
      <c r="B167" s="16"/>
      <c r="C167" s="9"/>
      <c r="D167" s="10"/>
      <c r="E167" s="10"/>
      <c r="F167" s="10"/>
      <c r="G167" s="10"/>
      <c r="H167" s="10"/>
      <c r="I167" s="12"/>
      <c r="J167" s="13"/>
    </row>
    <row r="168" spans="1:10" ht="75" customHeight="1">
      <c r="A168" s="7"/>
      <c r="B168" s="16"/>
      <c r="C168" s="9"/>
      <c r="D168" s="10"/>
      <c r="E168" s="10"/>
      <c r="F168" s="10"/>
      <c r="G168" s="10"/>
      <c r="H168" s="10"/>
      <c r="I168" s="12"/>
      <c r="J168" s="13"/>
    </row>
    <row r="169" spans="1:10" ht="75" customHeight="1">
      <c r="A169" s="7"/>
      <c r="B169" s="16"/>
      <c r="C169" s="9"/>
      <c r="D169" s="10"/>
      <c r="E169" s="10"/>
      <c r="F169" s="10"/>
      <c r="G169" s="10"/>
      <c r="H169" s="10"/>
      <c r="I169" s="12"/>
      <c r="J169" s="13"/>
    </row>
    <row r="170" spans="1:10" ht="75" customHeight="1">
      <c r="A170" s="7"/>
      <c r="B170" s="16"/>
      <c r="C170" s="9"/>
      <c r="D170" s="10"/>
      <c r="E170" s="10"/>
      <c r="F170" s="10"/>
      <c r="G170" s="10"/>
      <c r="H170" s="10"/>
      <c r="I170" s="12"/>
      <c r="J170" s="13"/>
    </row>
    <row r="171" spans="1:10" ht="75" customHeight="1">
      <c r="A171" s="7"/>
      <c r="B171" s="16"/>
      <c r="C171" s="9"/>
      <c r="D171" s="10"/>
      <c r="E171" s="10"/>
      <c r="F171" s="10"/>
      <c r="G171" s="10"/>
      <c r="H171" s="10"/>
      <c r="I171" s="12"/>
      <c r="J171" s="13"/>
    </row>
    <row r="172" spans="1:10" ht="75" customHeight="1">
      <c r="A172" s="7"/>
      <c r="B172" s="16"/>
      <c r="C172" s="9"/>
      <c r="D172" s="10"/>
      <c r="E172" s="10"/>
      <c r="F172" s="10"/>
      <c r="G172" s="10"/>
      <c r="H172" s="10"/>
      <c r="I172" s="12"/>
      <c r="J172" s="13"/>
    </row>
    <row r="173" spans="1:10" ht="75" customHeight="1">
      <c r="A173" s="7"/>
      <c r="B173" s="16"/>
      <c r="C173" s="9"/>
      <c r="D173" s="10"/>
      <c r="E173" s="10"/>
      <c r="F173" s="10"/>
      <c r="G173" s="10"/>
      <c r="H173" s="10"/>
      <c r="I173" s="12"/>
      <c r="J173" s="13"/>
    </row>
    <row r="174" spans="1:10" ht="75" customHeight="1">
      <c r="A174" s="7"/>
      <c r="B174" s="16"/>
      <c r="C174" s="9"/>
      <c r="D174" s="10"/>
      <c r="E174" s="10"/>
      <c r="F174" s="10"/>
      <c r="G174" s="10"/>
      <c r="H174" s="10"/>
      <c r="I174" s="12"/>
      <c r="J174" s="13"/>
    </row>
    <row r="175" spans="1:10" ht="75" customHeight="1">
      <c r="A175" s="7"/>
      <c r="B175" s="16"/>
      <c r="C175" s="9"/>
      <c r="D175" s="10"/>
      <c r="E175" s="10"/>
      <c r="F175" s="10"/>
      <c r="G175" s="10"/>
      <c r="H175" s="10"/>
      <c r="I175" s="12"/>
      <c r="J175" s="13"/>
    </row>
    <row r="176" spans="1:10" ht="75" customHeight="1">
      <c r="A176" s="7"/>
      <c r="B176" s="16"/>
      <c r="C176" s="9"/>
      <c r="D176" s="10"/>
      <c r="E176" s="10"/>
      <c r="F176" s="10"/>
      <c r="G176" s="10"/>
      <c r="H176" s="10"/>
      <c r="I176" s="12"/>
      <c r="J176" s="13"/>
    </row>
    <row r="177" spans="1:10" ht="75" customHeight="1">
      <c r="A177" s="7"/>
      <c r="B177" s="16"/>
      <c r="C177" s="9"/>
      <c r="D177" s="10"/>
      <c r="E177" s="10"/>
      <c r="F177" s="10"/>
      <c r="G177" s="10"/>
      <c r="H177" s="10"/>
      <c r="I177" s="12"/>
      <c r="J177" s="13"/>
    </row>
    <row r="178" spans="1:10" ht="75" customHeight="1">
      <c r="A178" s="7"/>
      <c r="B178" s="16"/>
      <c r="C178" s="9"/>
      <c r="D178" s="10"/>
      <c r="E178" s="10"/>
      <c r="F178" s="10"/>
      <c r="G178" s="10"/>
      <c r="H178" s="10"/>
      <c r="I178" s="12"/>
      <c r="J178" s="13"/>
    </row>
    <row r="179" spans="1:10" ht="75" customHeight="1">
      <c r="A179" s="7"/>
      <c r="B179" s="16"/>
      <c r="C179" s="9"/>
      <c r="D179" s="10"/>
      <c r="E179" s="10"/>
      <c r="F179" s="10"/>
      <c r="G179" s="10"/>
      <c r="H179" s="10"/>
      <c r="I179" s="12"/>
      <c r="J179" s="13"/>
    </row>
    <row r="180" spans="1:10" ht="75" customHeight="1">
      <c r="A180" s="7"/>
      <c r="B180" s="16"/>
      <c r="C180" s="9"/>
      <c r="D180" s="10"/>
      <c r="E180" s="10"/>
      <c r="F180" s="10"/>
      <c r="G180" s="10"/>
      <c r="H180" s="10"/>
      <c r="I180" s="12"/>
      <c r="J180" s="13"/>
    </row>
    <row r="181" spans="1:10" ht="75" customHeight="1">
      <c r="A181" s="7"/>
      <c r="B181" s="16"/>
      <c r="C181" s="9"/>
      <c r="D181" s="10"/>
      <c r="E181" s="10"/>
      <c r="F181" s="10"/>
      <c r="G181" s="10"/>
      <c r="H181" s="10"/>
      <c r="I181" s="12"/>
      <c r="J181" s="13"/>
    </row>
    <row r="182" spans="1:10" ht="75" customHeight="1">
      <c r="A182" s="7"/>
      <c r="B182" s="16"/>
      <c r="C182" s="9"/>
      <c r="D182" s="10"/>
      <c r="E182" s="10"/>
      <c r="F182" s="10"/>
      <c r="G182" s="10"/>
      <c r="H182" s="10"/>
      <c r="I182" s="12"/>
      <c r="J182" s="13"/>
    </row>
    <row r="183" spans="1:10" ht="75" customHeight="1">
      <c r="A183" s="7"/>
      <c r="B183" s="16"/>
      <c r="C183" s="9"/>
      <c r="D183" s="10"/>
      <c r="E183" s="10"/>
      <c r="F183" s="10"/>
      <c r="G183" s="10"/>
      <c r="H183" s="10"/>
      <c r="I183" s="12"/>
      <c r="J183" s="13"/>
    </row>
    <row r="184" spans="1:10" ht="75" customHeight="1">
      <c r="A184" s="7"/>
      <c r="B184" s="16"/>
      <c r="C184" s="9"/>
      <c r="D184" s="10"/>
      <c r="E184" s="10"/>
      <c r="F184" s="10"/>
      <c r="G184" s="10"/>
      <c r="H184" s="10"/>
      <c r="I184" s="12"/>
      <c r="J184" s="13"/>
    </row>
    <row r="185" spans="1:10" ht="75" customHeight="1">
      <c r="A185" s="7"/>
      <c r="B185" s="16"/>
      <c r="C185" s="9"/>
      <c r="D185" s="10"/>
      <c r="E185" s="10"/>
      <c r="F185" s="10"/>
      <c r="G185" s="10"/>
      <c r="H185" s="10"/>
      <c r="I185" s="12"/>
      <c r="J185" s="13"/>
    </row>
    <row r="186" spans="1:10" ht="75" customHeight="1">
      <c r="A186" s="7"/>
      <c r="B186" s="16"/>
      <c r="C186" s="9"/>
      <c r="D186" s="10"/>
      <c r="E186" s="10"/>
      <c r="F186" s="10"/>
      <c r="G186" s="10"/>
      <c r="H186" s="10"/>
      <c r="I186" s="12"/>
      <c r="J186" s="13"/>
    </row>
    <row r="187" spans="1:10" ht="75" customHeight="1">
      <c r="A187" s="7"/>
      <c r="B187" s="16"/>
      <c r="C187" s="9"/>
      <c r="D187" s="10"/>
      <c r="E187" s="10"/>
      <c r="F187" s="10"/>
      <c r="G187" s="10"/>
      <c r="H187" s="10"/>
      <c r="I187" s="12"/>
      <c r="J187" s="13"/>
    </row>
    <row r="188" spans="1:10" ht="75" customHeight="1">
      <c r="A188" s="7"/>
      <c r="B188" s="16"/>
      <c r="C188" s="9"/>
      <c r="D188" s="10"/>
      <c r="E188" s="10"/>
      <c r="F188" s="10"/>
      <c r="G188" s="10"/>
      <c r="H188" s="10"/>
      <c r="I188" s="12"/>
      <c r="J188" s="13"/>
    </row>
    <row r="189" spans="1:10" ht="75" customHeight="1">
      <c r="A189" s="7"/>
      <c r="B189" s="16"/>
      <c r="C189" s="9"/>
      <c r="D189" s="10"/>
      <c r="E189" s="10"/>
      <c r="F189" s="10"/>
      <c r="G189" s="10"/>
      <c r="H189" s="10"/>
      <c r="I189" s="12"/>
      <c r="J189" s="13"/>
    </row>
    <row r="190" spans="1:10" ht="75" customHeight="1">
      <c r="A190" s="7"/>
      <c r="B190" s="16"/>
      <c r="C190" s="9"/>
      <c r="D190" s="10"/>
      <c r="E190" s="10"/>
      <c r="F190" s="10"/>
      <c r="G190" s="10"/>
      <c r="H190" s="10"/>
      <c r="I190" s="12"/>
      <c r="J190" s="13"/>
    </row>
    <row r="191" spans="1:10" ht="75" customHeight="1">
      <c r="A191" s="7"/>
      <c r="B191" s="16"/>
      <c r="C191" s="9"/>
      <c r="D191" s="10"/>
      <c r="E191" s="10"/>
      <c r="F191" s="10"/>
      <c r="G191" s="10"/>
      <c r="H191" s="10"/>
      <c r="I191" s="12"/>
      <c r="J191" s="13"/>
    </row>
    <row r="192" spans="1:10" ht="75" customHeight="1">
      <c r="A192" s="7"/>
      <c r="B192" s="16"/>
      <c r="C192" s="9"/>
      <c r="D192" s="10"/>
      <c r="E192" s="10"/>
      <c r="F192" s="10"/>
      <c r="G192" s="10"/>
      <c r="H192" s="10"/>
      <c r="I192" s="12"/>
      <c r="J192" s="13"/>
    </row>
    <row r="193" spans="1:10" ht="75" customHeight="1">
      <c r="A193" s="7"/>
      <c r="B193" s="16"/>
      <c r="C193" s="9"/>
      <c r="D193" s="10"/>
      <c r="E193" s="10"/>
      <c r="F193" s="10"/>
      <c r="G193" s="10"/>
      <c r="H193" s="10"/>
      <c r="I193" s="12"/>
      <c r="J193" s="13"/>
    </row>
    <row r="194" spans="1:10" ht="75" customHeight="1">
      <c r="A194" s="7"/>
      <c r="B194" s="16"/>
      <c r="C194" s="9"/>
      <c r="D194" s="10"/>
      <c r="E194" s="10"/>
      <c r="F194" s="10"/>
      <c r="G194" s="10"/>
      <c r="H194" s="10"/>
      <c r="I194" s="12"/>
      <c r="J194" s="13"/>
    </row>
    <row r="195" spans="1:10" ht="75" customHeight="1">
      <c r="A195" s="7"/>
      <c r="B195" s="16"/>
      <c r="C195" s="9"/>
      <c r="D195" s="10"/>
      <c r="E195" s="10"/>
      <c r="F195" s="10"/>
      <c r="G195" s="10"/>
      <c r="H195" s="10"/>
      <c r="I195" s="12"/>
      <c r="J195" s="13"/>
    </row>
    <row r="196" spans="1:10" ht="75" customHeight="1">
      <c r="A196" s="7"/>
      <c r="B196" s="16"/>
      <c r="C196" s="9"/>
      <c r="D196" s="10"/>
      <c r="E196" s="10"/>
      <c r="F196" s="10"/>
      <c r="G196" s="10"/>
      <c r="H196" s="10"/>
      <c r="I196" s="12"/>
      <c r="J196" s="13"/>
    </row>
    <row r="197" spans="1:10" ht="75" customHeight="1">
      <c r="A197" s="7"/>
      <c r="B197" s="16"/>
      <c r="C197" s="9"/>
      <c r="D197" s="10"/>
      <c r="E197" s="10"/>
      <c r="F197" s="10"/>
      <c r="G197" s="10"/>
      <c r="H197" s="10"/>
      <c r="I197" s="12"/>
      <c r="J197" s="13"/>
    </row>
    <row r="198" spans="1:10" ht="75" customHeight="1">
      <c r="A198" s="7"/>
      <c r="B198" s="16"/>
      <c r="C198" s="9"/>
      <c r="D198" s="10"/>
      <c r="E198" s="10"/>
      <c r="F198" s="10"/>
      <c r="G198" s="10"/>
      <c r="H198" s="10"/>
      <c r="I198" s="12"/>
      <c r="J198" s="13"/>
    </row>
    <row r="199" spans="1:10" ht="75" customHeight="1">
      <c r="A199" s="7"/>
      <c r="B199" s="16"/>
      <c r="C199" s="9"/>
      <c r="D199" s="10"/>
      <c r="E199" s="10"/>
      <c r="F199" s="10"/>
      <c r="G199" s="10"/>
      <c r="H199" s="10"/>
      <c r="I199" s="12"/>
      <c r="J199" s="13"/>
    </row>
    <row r="200" spans="1:10" ht="75" customHeight="1">
      <c r="A200" s="7"/>
      <c r="B200" s="16"/>
      <c r="C200" s="9"/>
      <c r="D200" s="10"/>
      <c r="E200" s="10"/>
      <c r="F200" s="10"/>
      <c r="G200" s="10"/>
      <c r="H200" s="10"/>
      <c r="I200" s="12"/>
      <c r="J200" s="13"/>
    </row>
    <row r="201" spans="1:10" ht="75" customHeight="1">
      <c r="A201" s="7"/>
      <c r="B201" s="16"/>
      <c r="C201" s="9"/>
      <c r="D201" s="10"/>
      <c r="E201" s="10"/>
      <c r="F201" s="10"/>
      <c r="G201" s="10"/>
      <c r="H201" s="10"/>
      <c r="I201" s="12"/>
      <c r="J201" s="13"/>
    </row>
    <row r="202" spans="1:10" ht="75" customHeight="1">
      <c r="A202" s="7"/>
      <c r="B202" s="16"/>
      <c r="C202" s="9"/>
      <c r="D202" s="10"/>
      <c r="E202" s="10"/>
      <c r="F202" s="10"/>
      <c r="G202" s="10"/>
      <c r="H202" s="10"/>
      <c r="I202" s="12"/>
      <c r="J202" s="13"/>
    </row>
    <row r="203" spans="1:10" ht="75" customHeight="1">
      <c r="A203" s="7"/>
      <c r="B203" s="16"/>
      <c r="C203" s="9"/>
      <c r="D203" s="10"/>
      <c r="E203" s="10"/>
      <c r="F203" s="10"/>
      <c r="G203" s="10"/>
      <c r="H203" s="10"/>
      <c r="I203" s="12"/>
      <c r="J203" s="13"/>
    </row>
    <row r="204" spans="1:10" ht="75" customHeight="1">
      <c r="A204" s="7"/>
      <c r="B204" s="16"/>
      <c r="C204" s="9"/>
      <c r="D204" s="10"/>
      <c r="E204" s="10"/>
      <c r="F204" s="10"/>
      <c r="G204" s="10"/>
      <c r="H204" s="10"/>
      <c r="I204" s="12"/>
      <c r="J204" s="13"/>
    </row>
    <row r="205" spans="1:10" ht="75" customHeight="1">
      <c r="A205" s="7"/>
      <c r="B205" s="16"/>
      <c r="C205" s="9"/>
      <c r="D205" s="10"/>
      <c r="E205" s="10"/>
      <c r="F205" s="10"/>
      <c r="G205" s="10"/>
      <c r="H205" s="10"/>
      <c r="I205" s="12"/>
      <c r="J205" s="13"/>
    </row>
    <row r="206" spans="1:10" ht="75" customHeight="1">
      <c r="A206" s="7"/>
      <c r="B206" s="16"/>
      <c r="C206" s="9"/>
      <c r="D206" s="10"/>
      <c r="E206" s="10"/>
      <c r="F206" s="10"/>
      <c r="G206" s="10"/>
      <c r="H206" s="10"/>
      <c r="I206" s="12"/>
      <c r="J206" s="13"/>
    </row>
    <row r="207" spans="1:10" ht="75" customHeight="1">
      <c r="A207" s="7"/>
      <c r="B207" s="16"/>
      <c r="C207" s="9"/>
      <c r="D207" s="10"/>
      <c r="E207" s="10"/>
      <c r="F207" s="10"/>
      <c r="G207" s="10"/>
      <c r="H207" s="10"/>
      <c r="I207" s="12"/>
      <c r="J207" s="13"/>
    </row>
    <row r="208" spans="1:10" ht="75" customHeight="1">
      <c r="A208" s="7"/>
      <c r="B208" s="16"/>
      <c r="C208" s="9"/>
      <c r="D208" s="10"/>
      <c r="E208" s="10"/>
      <c r="F208" s="10"/>
      <c r="G208" s="10"/>
      <c r="H208" s="10"/>
      <c r="I208" s="12"/>
      <c r="J208" s="13"/>
    </row>
    <row r="209" spans="1:10" ht="75" customHeight="1">
      <c r="A209" s="7"/>
      <c r="B209" s="16"/>
      <c r="C209" s="9"/>
      <c r="D209" s="10"/>
      <c r="E209" s="10"/>
      <c r="F209" s="10"/>
      <c r="G209" s="10"/>
      <c r="H209" s="10"/>
      <c r="I209" s="12"/>
      <c r="J209" s="13"/>
    </row>
    <row r="210" spans="1:10" ht="75" customHeight="1">
      <c r="A210" s="7"/>
      <c r="B210" s="16"/>
      <c r="C210" s="9"/>
      <c r="D210" s="10"/>
      <c r="E210" s="10"/>
      <c r="F210" s="10"/>
      <c r="G210" s="10"/>
      <c r="H210" s="10"/>
      <c r="I210" s="12"/>
      <c r="J210" s="13"/>
    </row>
    <row r="211" spans="1:10" ht="75" customHeight="1">
      <c r="A211" s="7"/>
      <c r="B211" s="16"/>
      <c r="C211" s="9"/>
      <c r="D211" s="10"/>
      <c r="E211" s="10"/>
      <c r="F211" s="10"/>
      <c r="G211" s="10"/>
      <c r="H211" s="10"/>
      <c r="I211" s="12"/>
      <c r="J211" s="13"/>
    </row>
    <row r="212" spans="1:10" ht="75" customHeight="1">
      <c r="A212" s="7"/>
      <c r="B212" s="16"/>
      <c r="C212" s="9"/>
      <c r="D212" s="10"/>
      <c r="E212" s="10"/>
      <c r="F212" s="10"/>
      <c r="G212" s="10"/>
      <c r="H212" s="10"/>
      <c r="I212" s="12"/>
      <c r="J212" s="13"/>
    </row>
    <row r="213" spans="1:10" ht="75" customHeight="1">
      <c r="A213" s="7"/>
      <c r="B213" s="16"/>
      <c r="C213" s="9"/>
      <c r="D213" s="10"/>
      <c r="E213" s="10"/>
      <c r="F213" s="10"/>
      <c r="G213" s="10"/>
      <c r="H213" s="10"/>
      <c r="I213" s="12"/>
      <c r="J213" s="13"/>
    </row>
    <row r="214" spans="1:10" ht="75" customHeight="1">
      <c r="A214" s="7"/>
      <c r="B214" s="16"/>
      <c r="C214" s="9"/>
      <c r="D214" s="10"/>
      <c r="E214" s="10"/>
      <c r="F214" s="10"/>
      <c r="G214" s="10"/>
      <c r="H214" s="10"/>
      <c r="I214" s="12"/>
      <c r="J214" s="13"/>
    </row>
    <row r="215" spans="1:10" ht="75" customHeight="1">
      <c r="A215" s="7"/>
      <c r="B215" s="16"/>
      <c r="C215" s="9"/>
      <c r="D215" s="10"/>
      <c r="E215" s="10"/>
      <c r="F215" s="10"/>
      <c r="G215" s="10"/>
      <c r="H215" s="10"/>
      <c r="I215" s="12"/>
      <c r="J215" s="13"/>
    </row>
    <row r="216" spans="1:10" ht="75" customHeight="1">
      <c r="A216" s="7"/>
      <c r="B216" s="16"/>
      <c r="C216" s="9"/>
      <c r="D216" s="10"/>
      <c r="E216" s="10"/>
      <c r="F216" s="10"/>
      <c r="G216" s="10"/>
      <c r="H216" s="10"/>
      <c r="I216" s="12"/>
      <c r="J216" s="13"/>
    </row>
    <row r="217" spans="1:10" ht="75" customHeight="1">
      <c r="A217" s="7"/>
      <c r="B217" s="16"/>
      <c r="C217" s="9"/>
      <c r="D217" s="10"/>
      <c r="E217" s="10"/>
      <c r="F217" s="10"/>
      <c r="G217" s="10"/>
      <c r="H217" s="10"/>
      <c r="I217" s="12"/>
      <c r="J217" s="13"/>
    </row>
    <row r="218" spans="1:10" ht="75" customHeight="1">
      <c r="A218" s="7"/>
      <c r="B218" s="16"/>
      <c r="C218" s="9"/>
      <c r="D218" s="10"/>
      <c r="E218" s="10"/>
      <c r="F218" s="10"/>
      <c r="G218" s="10"/>
      <c r="H218" s="10"/>
      <c r="I218" s="12"/>
      <c r="J218" s="13"/>
    </row>
    <row r="219" spans="1:10" ht="75" customHeight="1">
      <c r="A219" s="7"/>
      <c r="B219" s="16"/>
      <c r="C219" s="9"/>
      <c r="D219" s="10"/>
      <c r="E219" s="10"/>
      <c r="F219" s="10"/>
      <c r="G219" s="10"/>
      <c r="H219" s="10"/>
      <c r="I219" s="12"/>
      <c r="J219" s="13"/>
    </row>
    <row r="220" spans="1:10" ht="75" customHeight="1">
      <c r="A220" s="7"/>
      <c r="B220" s="16"/>
      <c r="C220" s="9"/>
      <c r="D220" s="10"/>
      <c r="E220" s="10"/>
      <c r="F220" s="10"/>
      <c r="G220" s="10"/>
      <c r="H220" s="10"/>
      <c r="I220" s="12"/>
      <c r="J220" s="13"/>
    </row>
    <row r="221" spans="1:10" ht="75" customHeight="1">
      <c r="A221" s="7"/>
      <c r="B221" s="16"/>
      <c r="C221" s="9"/>
      <c r="D221" s="10"/>
      <c r="E221" s="10"/>
      <c r="F221" s="10"/>
      <c r="G221" s="10"/>
      <c r="H221" s="10"/>
      <c r="I221" s="12"/>
      <c r="J221" s="13"/>
    </row>
    <row r="222" spans="1:10" ht="75" customHeight="1">
      <c r="A222" s="7"/>
      <c r="B222" s="16"/>
      <c r="C222" s="9"/>
      <c r="D222" s="10"/>
      <c r="E222" s="10"/>
      <c r="F222" s="10"/>
      <c r="G222" s="10"/>
      <c r="H222" s="10"/>
      <c r="I222" s="12"/>
      <c r="J222" s="13"/>
    </row>
    <row r="223" spans="1:10" ht="75" customHeight="1">
      <c r="A223" s="7"/>
      <c r="B223" s="16"/>
      <c r="C223" s="9"/>
      <c r="D223" s="10"/>
      <c r="E223" s="10"/>
      <c r="F223" s="10"/>
      <c r="G223" s="10"/>
      <c r="H223" s="10"/>
      <c r="I223" s="12"/>
      <c r="J223" s="13"/>
    </row>
    <row r="224" spans="1:10" ht="75" customHeight="1">
      <c r="A224" s="7"/>
      <c r="B224" s="16"/>
      <c r="C224" s="9"/>
      <c r="D224" s="10"/>
      <c r="E224" s="10"/>
      <c r="F224" s="10"/>
      <c r="G224" s="10"/>
      <c r="H224" s="10"/>
      <c r="I224" s="12"/>
      <c r="J224" s="13"/>
    </row>
    <row r="225" spans="1:10" ht="75" customHeight="1">
      <c r="A225" s="7"/>
      <c r="B225" s="16"/>
      <c r="C225" s="9"/>
      <c r="D225" s="10"/>
      <c r="E225" s="10"/>
      <c r="F225" s="10"/>
      <c r="G225" s="10"/>
      <c r="H225" s="10"/>
      <c r="I225" s="12"/>
      <c r="J225" s="13"/>
    </row>
    <row r="226" spans="1:10" ht="75" customHeight="1">
      <c r="A226" s="7"/>
      <c r="B226" s="16"/>
      <c r="C226" s="9"/>
      <c r="D226" s="10"/>
      <c r="E226" s="10"/>
      <c r="F226" s="10"/>
      <c r="G226" s="10"/>
      <c r="H226" s="10"/>
      <c r="I226" s="12"/>
      <c r="J226" s="13"/>
    </row>
    <row r="227" spans="1:10" ht="75" customHeight="1">
      <c r="A227" s="7"/>
      <c r="B227" s="16"/>
      <c r="C227" s="9"/>
      <c r="D227" s="10"/>
      <c r="E227" s="10"/>
      <c r="F227" s="10"/>
      <c r="G227" s="10"/>
      <c r="H227" s="10"/>
      <c r="I227" s="12"/>
      <c r="J227" s="13"/>
    </row>
    <row r="228" spans="1:10" ht="75" customHeight="1">
      <c r="A228" s="7"/>
      <c r="B228" s="16"/>
      <c r="C228" s="9"/>
      <c r="D228" s="10"/>
      <c r="E228" s="10"/>
      <c r="F228" s="10"/>
      <c r="G228" s="10"/>
      <c r="H228" s="10"/>
      <c r="I228" s="12"/>
      <c r="J228" s="13"/>
    </row>
    <row r="229" spans="1:10" ht="75" customHeight="1">
      <c r="A229" s="7"/>
      <c r="B229" s="16"/>
      <c r="C229" s="9"/>
      <c r="D229" s="10"/>
      <c r="E229" s="10"/>
      <c r="F229" s="10"/>
      <c r="G229" s="10"/>
      <c r="H229" s="10"/>
      <c r="I229" s="12"/>
      <c r="J229" s="13"/>
    </row>
    <row r="230" spans="1:10" ht="75" customHeight="1">
      <c r="A230" s="7"/>
      <c r="B230" s="16"/>
      <c r="C230" s="9"/>
      <c r="D230" s="10"/>
      <c r="E230" s="10"/>
      <c r="F230" s="10"/>
      <c r="G230" s="10"/>
      <c r="H230" s="10"/>
      <c r="I230" s="12"/>
      <c r="J230" s="13"/>
    </row>
    <row r="231" spans="1:10" ht="75" customHeight="1">
      <c r="A231" s="7"/>
      <c r="B231" s="16"/>
      <c r="C231" s="9"/>
      <c r="D231" s="10"/>
      <c r="E231" s="10"/>
      <c r="F231" s="10"/>
      <c r="G231" s="10"/>
      <c r="H231" s="10"/>
      <c r="I231" s="12"/>
      <c r="J231" s="13"/>
    </row>
    <row r="232" spans="1:10" ht="75" customHeight="1">
      <c r="A232" s="7"/>
      <c r="B232" s="16"/>
      <c r="C232" s="9"/>
      <c r="D232" s="10"/>
      <c r="E232" s="10"/>
      <c r="F232" s="10"/>
      <c r="G232" s="10"/>
      <c r="H232" s="10"/>
      <c r="I232" s="12"/>
      <c r="J232" s="13"/>
    </row>
    <row r="233" spans="1:10" ht="75" customHeight="1">
      <c r="A233" s="7"/>
      <c r="B233" s="16"/>
      <c r="C233" s="9"/>
      <c r="D233" s="10"/>
      <c r="E233" s="10"/>
      <c r="F233" s="10"/>
      <c r="G233" s="10"/>
      <c r="H233" s="10"/>
      <c r="I233" s="12"/>
      <c r="J233" s="13"/>
    </row>
    <row r="234" spans="1:10" ht="75" customHeight="1">
      <c r="A234" s="7"/>
      <c r="B234" s="16"/>
      <c r="C234" s="9"/>
      <c r="D234" s="10"/>
      <c r="E234" s="10"/>
      <c r="F234" s="10"/>
      <c r="G234" s="10"/>
      <c r="H234" s="10"/>
      <c r="I234" s="12"/>
      <c r="J234" s="13"/>
    </row>
    <row r="235" spans="1:10" ht="75" customHeight="1">
      <c r="A235" s="7"/>
      <c r="B235" s="16"/>
      <c r="C235" s="9"/>
      <c r="D235" s="10"/>
      <c r="E235" s="10"/>
      <c r="F235" s="10"/>
      <c r="G235" s="10"/>
      <c r="H235" s="10"/>
      <c r="I235" s="12"/>
      <c r="J235" s="13"/>
    </row>
    <row r="236" spans="1:10" ht="75" customHeight="1">
      <c r="A236" s="7"/>
      <c r="B236" s="16"/>
      <c r="C236" s="9"/>
      <c r="D236" s="10"/>
      <c r="E236" s="10"/>
      <c r="F236" s="10"/>
      <c r="G236" s="10"/>
      <c r="H236" s="10"/>
      <c r="I236" s="12"/>
      <c r="J236" s="13"/>
    </row>
    <row r="237" spans="1:10" ht="75" customHeight="1">
      <c r="A237" s="7"/>
      <c r="B237" s="16"/>
      <c r="C237" s="9"/>
      <c r="D237" s="10"/>
      <c r="E237" s="10"/>
      <c r="F237" s="10"/>
      <c r="G237" s="10"/>
      <c r="H237" s="10"/>
      <c r="I237" s="12"/>
      <c r="J237" s="13"/>
    </row>
    <row r="238" spans="1:10" ht="75" customHeight="1">
      <c r="A238" s="7"/>
      <c r="B238" s="16"/>
      <c r="C238" s="9"/>
      <c r="D238" s="10"/>
      <c r="E238" s="10"/>
      <c r="F238" s="10"/>
      <c r="G238" s="10"/>
      <c r="H238" s="10"/>
      <c r="I238" s="12"/>
      <c r="J238" s="13"/>
    </row>
    <row r="239" spans="1:10" ht="75" customHeight="1">
      <c r="A239" s="7"/>
      <c r="B239" s="16"/>
      <c r="C239" s="9"/>
      <c r="D239" s="10"/>
      <c r="E239" s="10"/>
      <c r="F239" s="10"/>
      <c r="G239" s="10"/>
      <c r="H239" s="10"/>
      <c r="I239" s="12"/>
      <c r="J239" s="13"/>
    </row>
    <row r="240" spans="1:10" ht="75" customHeight="1">
      <c r="A240" s="7"/>
      <c r="B240" s="16"/>
      <c r="C240" s="9"/>
      <c r="D240" s="10"/>
      <c r="E240" s="10"/>
      <c r="F240" s="10"/>
      <c r="G240" s="10"/>
      <c r="H240" s="10"/>
      <c r="I240" s="12"/>
      <c r="J240" s="13"/>
    </row>
    <row r="241" spans="1:10" ht="75" customHeight="1">
      <c r="A241" s="7"/>
      <c r="B241" s="16"/>
      <c r="C241" s="9"/>
      <c r="D241" s="10"/>
      <c r="E241" s="10"/>
      <c r="F241" s="10"/>
      <c r="G241" s="10"/>
      <c r="H241" s="10"/>
      <c r="I241" s="12"/>
      <c r="J241" s="13"/>
    </row>
    <row r="242" spans="1:10" ht="75" customHeight="1">
      <c r="A242" s="7"/>
      <c r="B242" s="16"/>
      <c r="C242" s="9"/>
      <c r="D242" s="10"/>
      <c r="E242" s="10"/>
      <c r="F242" s="10"/>
      <c r="G242" s="10"/>
      <c r="H242" s="10"/>
      <c r="I242" s="12"/>
      <c r="J242" s="13"/>
    </row>
    <row r="243" spans="1:10" ht="75" customHeight="1">
      <c r="A243" s="7"/>
      <c r="B243" s="16"/>
      <c r="C243" s="9"/>
      <c r="D243" s="10"/>
      <c r="E243" s="10"/>
      <c r="F243" s="10"/>
      <c r="G243" s="10"/>
      <c r="H243" s="10"/>
      <c r="I243" s="12"/>
      <c r="J243" s="13"/>
    </row>
    <row r="244" spans="1:10" ht="75" customHeight="1">
      <c r="A244" s="7"/>
      <c r="B244" s="16"/>
      <c r="C244" s="9"/>
      <c r="D244" s="10"/>
      <c r="E244" s="10"/>
      <c r="F244" s="10"/>
      <c r="G244" s="10"/>
      <c r="H244" s="10"/>
      <c r="I244" s="12"/>
      <c r="J244" s="13"/>
    </row>
    <row r="245" spans="1:10" ht="75" customHeight="1">
      <c r="A245" s="7"/>
      <c r="B245" s="16"/>
      <c r="C245" s="9"/>
      <c r="D245" s="10"/>
      <c r="E245" s="10"/>
      <c r="F245" s="10"/>
      <c r="G245" s="10"/>
      <c r="H245" s="10"/>
      <c r="I245" s="12"/>
      <c r="J245" s="13"/>
    </row>
    <row r="246" spans="1:10" ht="75" customHeight="1">
      <c r="A246" s="7"/>
      <c r="B246" s="16"/>
      <c r="C246" s="9"/>
      <c r="D246" s="10"/>
      <c r="E246" s="10"/>
      <c r="F246" s="10"/>
      <c r="G246" s="10"/>
      <c r="H246" s="10"/>
      <c r="I246" s="12"/>
      <c r="J246" s="13"/>
    </row>
    <row r="247" spans="1:10" ht="75" customHeight="1">
      <c r="A247" s="7"/>
      <c r="B247" s="16"/>
      <c r="C247" s="9"/>
      <c r="D247" s="10"/>
      <c r="E247" s="10"/>
      <c r="F247" s="10"/>
      <c r="G247" s="10"/>
      <c r="H247" s="10"/>
      <c r="I247" s="12"/>
      <c r="J247" s="13"/>
    </row>
    <row r="248" spans="1:10" ht="75" customHeight="1">
      <c r="A248" s="7"/>
      <c r="B248" s="16"/>
      <c r="C248" s="9"/>
      <c r="D248" s="10"/>
      <c r="E248" s="10"/>
      <c r="F248" s="10"/>
      <c r="G248" s="10"/>
      <c r="H248" s="10"/>
      <c r="I248" s="12"/>
      <c r="J248" s="13"/>
    </row>
    <row r="249" spans="1:10" ht="75" customHeight="1">
      <c r="A249" s="7"/>
      <c r="B249" s="16"/>
      <c r="C249" s="9"/>
      <c r="D249" s="10"/>
      <c r="E249" s="10"/>
      <c r="F249" s="10"/>
      <c r="G249" s="10"/>
      <c r="H249" s="10"/>
      <c r="I249" s="12"/>
      <c r="J249" s="13"/>
    </row>
    <row r="250" spans="1:10" ht="75" customHeight="1">
      <c r="A250" s="7"/>
      <c r="B250" s="16"/>
      <c r="C250" s="9"/>
      <c r="D250" s="10"/>
      <c r="E250" s="10"/>
      <c r="F250" s="10"/>
      <c r="G250" s="10"/>
      <c r="H250" s="10"/>
      <c r="I250" s="12"/>
      <c r="J250" s="13"/>
    </row>
    <row r="251" spans="1:10" ht="75" customHeight="1">
      <c r="A251" s="7"/>
      <c r="B251" s="16"/>
      <c r="C251" s="9"/>
      <c r="D251" s="10"/>
      <c r="E251" s="10"/>
      <c r="F251" s="10"/>
      <c r="G251" s="10"/>
      <c r="H251" s="10"/>
      <c r="I251" s="12"/>
      <c r="J251" s="13"/>
    </row>
    <row r="252" spans="1:10" ht="75" customHeight="1">
      <c r="A252" s="7"/>
      <c r="B252" s="16"/>
      <c r="C252" s="9"/>
      <c r="D252" s="10"/>
      <c r="E252" s="10"/>
      <c r="F252" s="10"/>
      <c r="G252" s="10"/>
      <c r="H252" s="10"/>
      <c r="I252" s="12"/>
      <c r="J252" s="13"/>
    </row>
    <row r="253" spans="1:10" ht="75" customHeight="1">
      <c r="A253" s="7"/>
      <c r="B253" s="16"/>
      <c r="C253" s="9"/>
      <c r="D253" s="10"/>
      <c r="E253" s="10"/>
      <c r="F253" s="10"/>
      <c r="G253" s="10"/>
      <c r="H253" s="10"/>
      <c r="I253" s="12"/>
      <c r="J253" s="13"/>
    </row>
    <row r="254" spans="1:10" ht="75" customHeight="1">
      <c r="A254" s="7"/>
      <c r="B254" s="16"/>
      <c r="C254" s="9"/>
      <c r="D254" s="10"/>
      <c r="E254" s="10"/>
      <c r="F254" s="10"/>
      <c r="G254" s="10"/>
      <c r="H254" s="10"/>
      <c r="I254" s="12"/>
      <c r="J254" s="13"/>
    </row>
    <row r="255" spans="1:10" ht="75" customHeight="1">
      <c r="A255" s="7"/>
      <c r="B255" s="16"/>
      <c r="C255" s="9"/>
      <c r="D255" s="10"/>
      <c r="E255" s="10"/>
      <c r="F255" s="10"/>
      <c r="G255" s="10"/>
      <c r="H255" s="10"/>
      <c r="I255" s="12"/>
      <c r="J255" s="13"/>
    </row>
    <row r="256" spans="1:10" ht="75" customHeight="1">
      <c r="A256" s="7"/>
      <c r="B256" s="16"/>
      <c r="C256" s="9"/>
      <c r="D256" s="10"/>
      <c r="E256" s="10"/>
      <c r="F256" s="10"/>
      <c r="G256" s="10"/>
      <c r="H256" s="10"/>
      <c r="I256" s="12"/>
      <c r="J256" s="13"/>
    </row>
    <row r="257" spans="1:10" ht="75" customHeight="1">
      <c r="A257" s="7"/>
      <c r="B257" s="16"/>
      <c r="C257" s="9"/>
      <c r="D257" s="10"/>
      <c r="E257" s="10"/>
      <c r="F257" s="10"/>
      <c r="G257" s="10"/>
      <c r="H257" s="10"/>
      <c r="I257" s="12"/>
      <c r="J257" s="13"/>
    </row>
    <row r="258" spans="1:10" ht="75" customHeight="1">
      <c r="A258" s="7"/>
      <c r="B258" s="16"/>
      <c r="C258" s="9"/>
      <c r="D258" s="10"/>
      <c r="E258" s="10"/>
      <c r="F258" s="10"/>
      <c r="G258" s="10"/>
      <c r="H258" s="10"/>
      <c r="I258" s="12"/>
      <c r="J258" s="13"/>
    </row>
    <row r="259" spans="1:10" ht="75" customHeight="1">
      <c r="A259" s="7"/>
      <c r="B259" s="16"/>
      <c r="C259" s="9"/>
      <c r="D259" s="10"/>
      <c r="E259" s="10"/>
      <c r="F259" s="10"/>
      <c r="G259" s="10"/>
      <c r="H259" s="10"/>
      <c r="I259" s="12"/>
      <c r="J259" s="13"/>
    </row>
    <row r="260" spans="1:10" ht="75" customHeight="1">
      <c r="A260" s="7"/>
      <c r="B260" s="16"/>
      <c r="C260" s="9"/>
      <c r="D260" s="10"/>
      <c r="E260" s="10"/>
      <c r="F260" s="10"/>
      <c r="G260" s="10"/>
      <c r="H260" s="10"/>
      <c r="I260" s="12"/>
      <c r="J260" s="13"/>
    </row>
    <row r="261" spans="1:10" ht="75" customHeight="1">
      <c r="A261" s="7"/>
      <c r="B261" s="16"/>
      <c r="C261" s="9"/>
      <c r="D261" s="10"/>
      <c r="E261" s="10"/>
      <c r="F261" s="10"/>
      <c r="G261" s="10"/>
      <c r="H261" s="10"/>
      <c r="I261" s="12"/>
      <c r="J261" s="13"/>
    </row>
    <row r="262" spans="1:10" ht="75" customHeight="1">
      <c r="A262" s="7"/>
      <c r="B262" s="16"/>
      <c r="C262" s="9"/>
      <c r="D262" s="10"/>
      <c r="E262" s="10"/>
      <c r="F262" s="10"/>
      <c r="G262" s="10"/>
      <c r="H262" s="10"/>
      <c r="I262" s="12"/>
      <c r="J262" s="13"/>
    </row>
    <row r="263" spans="1:10" ht="75" customHeight="1">
      <c r="A263" s="7"/>
      <c r="B263" s="16"/>
      <c r="C263" s="9"/>
      <c r="D263" s="10"/>
      <c r="E263" s="10"/>
      <c r="F263" s="10"/>
      <c r="G263" s="10"/>
      <c r="H263" s="10"/>
      <c r="I263" s="12"/>
      <c r="J263" s="13"/>
    </row>
    <row r="264" spans="1:10" ht="75" customHeight="1">
      <c r="A264" s="7"/>
      <c r="B264" s="16"/>
      <c r="C264" s="9"/>
      <c r="D264" s="10"/>
      <c r="E264" s="10"/>
      <c r="F264" s="10"/>
      <c r="G264" s="10"/>
      <c r="H264" s="10"/>
      <c r="I264" s="12"/>
      <c r="J264" s="13"/>
    </row>
    <row r="265" spans="1:10" ht="75" customHeight="1">
      <c r="A265" s="7"/>
      <c r="B265" s="16"/>
      <c r="C265" s="9"/>
      <c r="D265" s="10"/>
      <c r="E265" s="10"/>
      <c r="F265" s="10"/>
      <c r="G265" s="10"/>
      <c r="H265" s="10"/>
      <c r="I265" s="12"/>
      <c r="J265" s="13"/>
    </row>
    <row r="266" spans="1:10" ht="75" customHeight="1">
      <c r="A266" s="7"/>
      <c r="B266" s="16"/>
      <c r="C266" s="9"/>
      <c r="D266" s="10"/>
      <c r="E266" s="10"/>
      <c r="F266" s="10"/>
      <c r="G266" s="10"/>
      <c r="H266" s="10"/>
      <c r="I266" s="12"/>
      <c r="J266" s="13"/>
    </row>
    <row r="267" spans="1:10" ht="75" customHeight="1">
      <c r="A267" s="7"/>
      <c r="B267" s="16"/>
      <c r="C267" s="9"/>
      <c r="D267" s="10"/>
      <c r="E267" s="10"/>
      <c r="F267" s="10"/>
      <c r="G267" s="10"/>
      <c r="H267" s="10"/>
      <c r="I267" s="12"/>
      <c r="J267" s="13"/>
    </row>
    <row r="268" spans="1:10" ht="75" customHeight="1">
      <c r="A268" s="7"/>
      <c r="B268" s="16"/>
      <c r="C268" s="9"/>
      <c r="D268" s="10"/>
      <c r="E268" s="10"/>
      <c r="F268" s="10"/>
      <c r="G268" s="10"/>
      <c r="H268" s="10"/>
      <c r="I268" s="12"/>
      <c r="J268" s="13"/>
    </row>
    <row r="269" spans="1:10" ht="75" customHeight="1">
      <c r="A269" s="7"/>
      <c r="B269" s="16"/>
      <c r="C269" s="9"/>
      <c r="D269" s="10"/>
      <c r="E269" s="10"/>
      <c r="F269" s="10"/>
      <c r="G269" s="10"/>
      <c r="H269" s="10"/>
      <c r="I269" s="12"/>
      <c r="J269" s="13"/>
    </row>
    <row r="270" spans="1:10" ht="75" customHeight="1">
      <c r="A270" s="7"/>
      <c r="B270" s="16"/>
      <c r="C270" s="9"/>
      <c r="D270" s="10"/>
      <c r="E270" s="10"/>
      <c r="F270" s="10"/>
      <c r="G270" s="10"/>
      <c r="H270" s="10"/>
      <c r="I270" s="12"/>
      <c r="J270" s="13"/>
    </row>
    <row r="271" spans="1:10" ht="75" customHeight="1">
      <c r="A271" s="7"/>
      <c r="B271" s="16"/>
      <c r="C271" s="9"/>
      <c r="D271" s="10"/>
      <c r="E271" s="10"/>
      <c r="F271" s="10"/>
      <c r="G271" s="10"/>
      <c r="H271" s="10"/>
      <c r="I271" s="12"/>
      <c r="J271" s="13"/>
    </row>
    <row r="272" spans="1:10" ht="75" customHeight="1">
      <c r="A272" s="7"/>
      <c r="B272" s="16"/>
      <c r="C272" s="9"/>
      <c r="D272" s="10"/>
      <c r="E272" s="10"/>
      <c r="F272" s="10"/>
      <c r="G272" s="10"/>
      <c r="H272" s="10"/>
      <c r="I272" s="12"/>
      <c r="J272" s="13"/>
    </row>
    <row r="273" spans="1:10" ht="75" customHeight="1">
      <c r="A273" s="7"/>
      <c r="B273" s="16"/>
      <c r="C273" s="9"/>
      <c r="D273" s="10"/>
      <c r="E273" s="10"/>
      <c r="F273" s="10"/>
      <c r="G273" s="10"/>
      <c r="H273" s="10"/>
      <c r="I273" s="12"/>
      <c r="J273" s="13"/>
    </row>
    <row r="274" spans="1:10" ht="75" customHeight="1">
      <c r="A274" s="7"/>
      <c r="B274" s="16"/>
      <c r="C274" s="9"/>
      <c r="D274" s="10"/>
      <c r="E274" s="10"/>
      <c r="F274" s="10"/>
      <c r="G274" s="10"/>
      <c r="H274" s="10"/>
      <c r="I274" s="12"/>
      <c r="J274" s="13"/>
    </row>
    <row r="275" spans="1:10" ht="75" customHeight="1">
      <c r="A275" s="7"/>
      <c r="B275" s="16"/>
      <c r="C275" s="9"/>
      <c r="D275" s="10"/>
      <c r="E275" s="10"/>
      <c r="F275" s="10"/>
      <c r="G275" s="10"/>
      <c r="H275" s="10"/>
      <c r="I275" s="12"/>
      <c r="J275" s="13"/>
    </row>
    <row r="276" spans="1:10" ht="75" customHeight="1">
      <c r="A276" s="7"/>
      <c r="B276" s="16"/>
      <c r="C276" s="9"/>
      <c r="D276" s="10"/>
      <c r="E276" s="10"/>
      <c r="F276" s="10"/>
      <c r="G276" s="10"/>
      <c r="H276" s="10"/>
      <c r="I276" s="12"/>
      <c r="J276" s="13"/>
    </row>
    <row r="277" spans="1:10" ht="75" customHeight="1">
      <c r="A277" s="7"/>
      <c r="B277" s="16"/>
      <c r="C277" s="9"/>
      <c r="D277" s="10"/>
      <c r="E277" s="10"/>
      <c r="F277" s="10"/>
      <c r="G277" s="10"/>
      <c r="H277" s="10"/>
      <c r="I277" s="12"/>
      <c r="J277" s="13"/>
    </row>
    <row r="278" spans="1:10" ht="75" customHeight="1">
      <c r="A278" s="7"/>
      <c r="B278" s="16"/>
      <c r="C278" s="9"/>
      <c r="D278" s="10"/>
      <c r="E278" s="10"/>
      <c r="F278" s="10"/>
      <c r="G278" s="10"/>
      <c r="H278" s="10"/>
      <c r="I278" s="12"/>
      <c r="J278" s="13"/>
    </row>
    <row r="279" spans="1:10" ht="75" customHeight="1">
      <c r="A279" s="7"/>
      <c r="B279" s="16"/>
      <c r="C279" s="9"/>
      <c r="D279" s="10"/>
      <c r="E279" s="10"/>
      <c r="F279" s="10"/>
      <c r="G279" s="10"/>
      <c r="H279" s="10"/>
      <c r="I279" s="12"/>
      <c r="J279" s="13"/>
    </row>
    <row r="280" spans="1:10" ht="75" customHeight="1">
      <c r="A280" s="7"/>
      <c r="B280" s="16"/>
      <c r="C280" s="9"/>
      <c r="D280" s="10"/>
      <c r="E280" s="10"/>
      <c r="F280" s="10"/>
      <c r="G280" s="10"/>
      <c r="H280" s="10"/>
      <c r="I280" s="12"/>
      <c r="J280" s="13"/>
    </row>
    <row r="281" spans="1:10" ht="75" customHeight="1">
      <c r="A281" s="7"/>
      <c r="B281" s="16"/>
      <c r="C281" s="9"/>
      <c r="D281" s="10"/>
      <c r="E281" s="10"/>
      <c r="F281" s="10"/>
      <c r="G281" s="10"/>
      <c r="H281" s="10"/>
      <c r="I281" s="12"/>
      <c r="J281" s="13"/>
    </row>
    <row r="282" spans="1:10" ht="75" customHeight="1">
      <c r="A282" s="7"/>
      <c r="B282" s="16"/>
      <c r="C282" s="9"/>
      <c r="D282" s="10"/>
      <c r="E282" s="10"/>
      <c r="F282" s="10"/>
      <c r="G282" s="10"/>
      <c r="H282" s="10"/>
      <c r="I282" s="12"/>
      <c r="J282" s="13"/>
    </row>
    <row r="283" spans="1:10" ht="75" customHeight="1">
      <c r="A283" s="7"/>
      <c r="B283" s="16"/>
      <c r="C283" s="9"/>
      <c r="D283" s="10"/>
      <c r="E283" s="10"/>
      <c r="F283" s="10"/>
      <c r="G283" s="10"/>
      <c r="H283" s="10"/>
      <c r="I283" s="12"/>
      <c r="J283" s="13"/>
    </row>
    <row r="284" spans="1:10" ht="75" customHeight="1">
      <c r="A284" s="7"/>
      <c r="B284" s="16"/>
      <c r="C284" s="9"/>
      <c r="D284" s="10"/>
      <c r="E284" s="10"/>
      <c r="F284" s="10"/>
      <c r="G284" s="10"/>
      <c r="H284" s="10"/>
      <c r="I284" s="12"/>
      <c r="J284" s="13"/>
    </row>
    <row r="285" spans="1:10" ht="75" customHeight="1">
      <c r="A285" s="7"/>
      <c r="B285" s="16"/>
      <c r="C285" s="9"/>
      <c r="D285" s="10"/>
      <c r="E285" s="10"/>
      <c r="F285" s="10"/>
      <c r="G285" s="10"/>
      <c r="H285" s="10"/>
      <c r="I285" s="12"/>
      <c r="J285" s="13"/>
    </row>
    <row r="286" spans="1:10" ht="75" customHeight="1">
      <c r="A286" s="7"/>
      <c r="B286" s="16"/>
      <c r="C286" s="9"/>
      <c r="D286" s="10"/>
      <c r="E286" s="10"/>
      <c r="F286" s="10"/>
      <c r="G286" s="10"/>
      <c r="H286" s="10"/>
      <c r="I286" s="12"/>
      <c r="J286" s="13"/>
    </row>
    <row r="287" spans="1:10" ht="75" customHeight="1">
      <c r="A287" s="7"/>
      <c r="B287" s="16"/>
      <c r="C287" s="9"/>
      <c r="D287" s="10"/>
      <c r="E287" s="10"/>
      <c r="F287" s="10"/>
      <c r="G287" s="10"/>
      <c r="H287" s="10"/>
      <c r="I287" s="12"/>
      <c r="J287" s="13"/>
    </row>
    <row r="288" spans="1:10" ht="75" customHeight="1">
      <c r="A288" s="7"/>
      <c r="B288" s="16"/>
      <c r="C288" s="9"/>
      <c r="D288" s="10"/>
      <c r="E288" s="10"/>
      <c r="F288" s="10"/>
      <c r="G288" s="10"/>
      <c r="H288" s="10"/>
      <c r="I288" s="12"/>
      <c r="J288" s="13"/>
    </row>
    <row r="289" spans="1:10" ht="75" customHeight="1">
      <c r="A289" s="7"/>
      <c r="B289" s="16"/>
      <c r="C289" s="9"/>
      <c r="D289" s="10"/>
      <c r="E289" s="10"/>
      <c r="F289" s="10"/>
      <c r="G289" s="10"/>
      <c r="H289" s="10"/>
      <c r="I289" s="12"/>
      <c r="J289" s="13"/>
    </row>
    <row r="290" spans="1:10" ht="75" customHeight="1">
      <c r="A290" s="7"/>
      <c r="B290" s="16"/>
      <c r="C290" s="9"/>
      <c r="D290" s="10"/>
      <c r="E290" s="10"/>
      <c r="F290" s="10"/>
      <c r="G290" s="10"/>
      <c r="H290" s="10"/>
      <c r="I290" s="12"/>
      <c r="J290" s="13"/>
    </row>
    <row r="291" spans="1:10" ht="75" customHeight="1">
      <c r="A291" s="7"/>
      <c r="B291" s="16"/>
      <c r="C291" s="9"/>
      <c r="D291" s="10"/>
      <c r="E291" s="10"/>
      <c r="F291" s="10"/>
      <c r="G291" s="10"/>
      <c r="H291" s="10"/>
      <c r="I291" s="12"/>
      <c r="J291" s="13"/>
    </row>
    <row r="292" spans="1:10" ht="75" customHeight="1">
      <c r="A292" s="7"/>
      <c r="B292" s="16"/>
      <c r="C292" s="9"/>
      <c r="D292" s="10"/>
      <c r="E292" s="10"/>
      <c r="F292" s="10"/>
      <c r="G292" s="10"/>
      <c r="H292" s="10"/>
      <c r="I292" s="12"/>
      <c r="J292" s="13"/>
    </row>
    <row r="293" spans="1:10" ht="75" customHeight="1">
      <c r="A293" s="7"/>
      <c r="B293" s="16"/>
      <c r="C293" s="9"/>
      <c r="D293" s="10"/>
      <c r="E293" s="10"/>
      <c r="F293" s="10"/>
      <c r="G293" s="10"/>
      <c r="H293" s="10"/>
      <c r="I293" s="12"/>
      <c r="J293" s="13"/>
    </row>
    <row r="294" spans="1:10" ht="75" customHeight="1">
      <c r="A294" s="7"/>
      <c r="B294" s="16"/>
      <c r="C294" s="9"/>
      <c r="D294" s="10"/>
      <c r="E294" s="10"/>
      <c r="F294" s="10"/>
      <c r="G294" s="10"/>
      <c r="H294" s="10"/>
      <c r="I294" s="12"/>
      <c r="J294" s="13"/>
    </row>
    <row r="295" spans="1:10" ht="75" customHeight="1">
      <c r="A295" s="7"/>
      <c r="B295" s="16"/>
      <c r="C295" s="9"/>
      <c r="D295" s="10"/>
      <c r="E295" s="10"/>
      <c r="F295" s="10"/>
      <c r="G295" s="10"/>
      <c r="H295" s="10"/>
      <c r="I295" s="12"/>
      <c r="J295" s="13"/>
    </row>
    <row r="296" spans="1:10" ht="75" customHeight="1">
      <c r="A296" s="7"/>
      <c r="B296" s="16"/>
      <c r="C296" s="9"/>
      <c r="D296" s="10"/>
      <c r="E296" s="10"/>
      <c r="F296" s="10"/>
      <c r="G296" s="10"/>
      <c r="H296" s="10"/>
      <c r="I296" s="12"/>
      <c r="J296" s="13"/>
    </row>
    <row r="297" spans="1:10" ht="75" customHeight="1">
      <c r="A297" s="7"/>
      <c r="B297" s="16"/>
      <c r="C297" s="9"/>
      <c r="D297" s="10"/>
      <c r="E297" s="10"/>
      <c r="F297" s="10"/>
      <c r="G297" s="10"/>
      <c r="H297" s="10"/>
      <c r="I297" s="12"/>
      <c r="J297" s="13"/>
    </row>
    <row r="298" spans="1:10" ht="75" customHeight="1">
      <c r="A298" s="7"/>
      <c r="B298" s="16"/>
      <c r="C298" s="9"/>
      <c r="D298" s="10"/>
      <c r="E298" s="10"/>
      <c r="F298" s="10"/>
      <c r="G298" s="10"/>
      <c r="H298" s="10"/>
      <c r="I298" s="12"/>
      <c r="J298" s="13"/>
    </row>
    <row r="299" spans="1:10" ht="75" customHeight="1">
      <c r="A299" s="7"/>
      <c r="B299" s="16"/>
      <c r="C299" s="9"/>
      <c r="D299" s="10"/>
      <c r="E299" s="10"/>
      <c r="F299" s="10"/>
      <c r="G299" s="10"/>
      <c r="H299" s="10"/>
      <c r="I299" s="12"/>
      <c r="J299" s="13"/>
    </row>
    <row r="300" spans="1:10" ht="75" customHeight="1">
      <c r="A300" s="7"/>
      <c r="B300" s="16"/>
      <c r="C300" s="9"/>
      <c r="D300" s="10"/>
      <c r="E300" s="10"/>
      <c r="F300" s="10"/>
      <c r="G300" s="10"/>
      <c r="H300" s="10"/>
      <c r="I300" s="12"/>
      <c r="J300" s="13"/>
    </row>
    <row r="301" spans="1:10" ht="75" customHeight="1">
      <c r="A301" s="7"/>
      <c r="B301" s="16"/>
      <c r="C301" s="9"/>
      <c r="D301" s="10"/>
      <c r="E301" s="10"/>
      <c r="F301" s="10"/>
      <c r="G301" s="10"/>
      <c r="H301" s="10"/>
      <c r="I301" s="12"/>
      <c r="J301" s="13"/>
    </row>
    <row r="302" spans="1:10" ht="75" customHeight="1">
      <c r="A302" s="7"/>
      <c r="B302" s="16"/>
      <c r="C302" s="9"/>
      <c r="D302" s="10"/>
      <c r="E302" s="10"/>
      <c r="F302" s="10"/>
      <c r="G302" s="10"/>
      <c r="H302" s="10"/>
      <c r="I302" s="12"/>
      <c r="J302" s="13"/>
    </row>
    <row r="303" spans="1:10" ht="75" customHeight="1">
      <c r="A303" s="7"/>
      <c r="B303" s="16"/>
      <c r="C303" s="9"/>
      <c r="D303" s="10"/>
      <c r="E303" s="10"/>
      <c r="F303" s="10"/>
      <c r="G303" s="10"/>
      <c r="H303" s="10"/>
      <c r="I303" s="12"/>
      <c r="J303" s="13"/>
    </row>
    <row r="304" spans="1:10" ht="75" customHeight="1">
      <c r="A304" s="7"/>
      <c r="B304" s="16"/>
      <c r="C304" s="9"/>
      <c r="D304" s="10"/>
      <c r="E304" s="10"/>
      <c r="F304" s="10"/>
      <c r="G304" s="10"/>
      <c r="H304" s="10"/>
      <c r="I304" s="12"/>
      <c r="J304" s="13"/>
    </row>
    <row r="305" spans="1:10" ht="75" customHeight="1">
      <c r="A305" s="7"/>
      <c r="B305" s="16"/>
      <c r="C305" s="9"/>
      <c r="D305" s="10"/>
      <c r="E305" s="10"/>
      <c r="F305" s="10"/>
      <c r="G305" s="10"/>
      <c r="H305" s="10"/>
      <c r="I305" s="12"/>
      <c r="J305" s="13"/>
    </row>
    <row r="306" spans="1:10" ht="75" customHeight="1">
      <c r="A306" s="7"/>
      <c r="B306" s="16"/>
      <c r="C306" s="9"/>
      <c r="D306" s="10"/>
      <c r="E306" s="10"/>
      <c r="F306" s="10"/>
      <c r="G306" s="10"/>
      <c r="H306" s="10"/>
      <c r="I306" s="12"/>
      <c r="J306" s="13"/>
    </row>
    <row r="307" spans="1:10" ht="75" customHeight="1">
      <c r="A307" s="7"/>
      <c r="B307" s="16"/>
      <c r="C307" s="9"/>
      <c r="D307" s="10"/>
      <c r="E307" s="10"/>
      <c r="F307" s="10"/>
      <c r="G307" s="10"/>
      <c r="H307" s="10"/>
      <c r="I307" s="12"/>
      <c r="J307" s="13"/>
    </row>
    <row r="308" spans="1:10" ht="75" customHeight="1">
      <c r="A308" s="7"/>
      <c r="B308" s="16"/>
      <c r="C308" s="9"/>
      <c r="D308" s="10"/>
      <c r="E308" s="10"/>
      <c r="F308" s="10"/>
      <c r="G308" s="10"/>
      <c r="H308" s="10"/>
      <c r="I308" s="12"/>
      <c r="J308" s="13"/>
    </row>
    <row r="309" spans="1:10" ht="75" customHeight="1">
      <c r="A309" s="7"/>
      <c r="B309" s="16"/>
      <c r="C309" s="9"/>
      <c r="D309" s="10"/>
      <c r="E309" s="10"/>
      <c r="F309" s="10"/>
      <c r="G309" s="10"/>
      <c r="H309" s="10"/>
      <c r="I309" s="12"/>
      <c r="J309" s="13"/>
    </row>
    <row r="310" spans="1:10" ht="75" customHeight="1">
      <c r="A310" s="7"/>
      <c r="B310" s="16"/>
      <c r="C310" s="9"/>
      <c r="D310" s="10"/>
      <c r="E310" s="10"/>
      <c r="F310" s="10"/>
      <c r="G310" s="10"/>
      <c r="H310" s="10"/>
      <c r="I310" s="12"/>
      <c r="J310" s="13"/>
    </row>
    <row r="311" spans="1:10" ht="75" customHeight="1">
      <c r="A311" s="7"/>
      <c r="B311" s="16"/>
      <c r="C311" s="9"/>
      <c r="D311" s="10"/>
      <c r="E311" s="10"/>
      <c r="F311" s="10"/>
      <c r="G311" s="10"/>
      <c r="H311" s="10"/>
      <c r="I311" s="12"/>
      <c r="J311" s="13"/>
    </row>
    <row r="312" spans="1:10" ht="75" customHeight="1">
      <c r="A312" s="7"/>
      <c r="B312" s="16"/>
      <c r="C312" s="9"/>
      <c r="D312" s="10"/>
      <c r="E312" s="10"/>
      <c r="F312" s="10"/>
      <c r="G312" s="10"/>
      <c r="H312" s="10"/>
      <c r="I312" s="12"/>
      <c r="J312" s="13"/>
    </row>
    <row r="313" spans="1:10" ht="75" customHeight="1">
      <c r="A313" s="7"/>
      <c r="B313" s="16"/>
      <c r="C313" s="9"/>
      <c r="D313" s="10"/>
      <c r="E313" s="10"/>
      <c r="F313" s="10"/>
      <c r="G313" s="10"/>
      <c r="H313" s="10"/>
      <c r="I313" s="12"/>
      <c r="J313" s="13"/>
    </row>
    <row r="314" spans="1:10" ht="75" customHeight="1">
      <c r="A314" s="7"/>
      <c r="B314" s="16"/>
      <c r="C314" s="9"/>
      <c r="D314" s="10"/>
      <c r="E314" s="10"/>
      <c r="F314" s="10"/>
      <c r="G314" s="10"/>
      <c r="H314" s="10"/>
      <c r="I314" s="12"/>
      <c r="J314" s="13"/>
    </row>
    <row r="315" spans="1:10" ht="75" customHeight="1">
      <c r="A315" s="7"/>
      <c r="B315" s="16"/>
      <c r="C315" s="9"/>
      <c r="D315" s="10"/>
      <c r="E315" s="10"/>
      <c r="F315" s="10"/>
      <c r="G315" s="10"/>
      <c r="H315" s="10"/>
      <c r="I315" s="12"/>
      <c r="J315" s="13"/>
    </row>
    <row r="316" spans="1:10" ht="75" customHeight="1">
      <c r="A316" s="7"/>
      <c r="B316" s="16"/>
      <c r="C316" s="9"/>
      <c r="D316" s="10"/>
      <c r="E316" s="10"/>
      <c r="F316" s="10"/>
      <c r="G316" s="10"/>
      <c r="H316" s="10"/>
      <c r="I316" s="12"/>
      <c r="J316" s="13"/>
    </row>
    <row r="317" spans="1:10" ht="75" customHeight="1">
      <c r="A317" s="7"/>
      <c r="B317" s="16"/>
      <c r="C317" s="9"/>
      <c r="D317" s="10"/>
      <c r="E317" s="10"/>
      <c r="F317" s="10"/>
      <c r="G317" s="10"/>
      <c r="H317" s="10"/>
      <c r="I317" s="12"/>
      <c r="J317" s="13"/>
    </row>
    <row r="318" spans="1:10" ht="75" customHeight="1">
      <c r="A318" s="7"/>
      <c r="B318" s="16"/>
      <c r="C318" s="9"/>
      <c r="D318" s="10"/>
      <c r="E318" s="10"/>
      <c r="F318" s="10"/>
      <c r="G318" s="10"/>
      <c r="H318" s="10"/>
      <c r="I318" s="12"/>
      <c r="J318" s="13"/>
    </row>
    <row r="319" spans="1:10" ht="75" customHeight="1">
      <c r="A319" s="7"/>
      <c r="B319" s="16"/>
      <c r="C319" s="9"/>
      <c r="D319" s="10"/>
      <c r="E319" s="10"/>
      <c r="F319" s="10"/>
      <c r="G319" s="10"/>
      <c r="H319" s="10"/>
      <c r="I319" s="12"/>
      <c r="J319" s="13"/>
    </row>
    <row r="320" spans="1:10" ht="75" customHeight="1">
      <c r="A320" s="7"/>
      <c r="B320" s="16"/>
      <c r="C320" s="9"/>
      <c r="D320" s="10"/>
      <c r="E320" s="10"/>
      <c r="F320" s="10"/>
      <c r="G320" s="10"/>
      <c r="H320" s="10"/>
      <c r="I320" s="12"/>
      <c r="J320" s="13"/>
    </row>
    <row r="321" spans="1:10" ht="75" customHeight="1">
      <c r="A321" s="7"/>
      <c r="B321" s="16"/>
      <c r="C321" s="9"/>
      <c r="D321" s="10"/>
      <c r="E321" s="10"/>
      <c r="F321" s="10"/>
      <c r="G321" s="10"/>
      <c r="H321" s="10"/>
      <c r="I321" s="12"/>
      <c r="J321" s="13"/>
    </row>
    <row r="322" spans="1:10" ht="75" customHeight="1">
      <c r="A322" s="7"/>
      <c r="B322" s="16"/>
      <c r="C322" s="9"/>
      <c r="D322" s="10"/>
      <c r="E322" s="10"/>
      <c r="F322" s="10"/>
      <c r="G322" s="10"/>
      <c r="H322" s="10"/>
      <c r="I322" s="12"/>
      <c r="J322" s="13"/>
    </row>
    <row r="323" spans="1:10" ht="75" customHeight="1">
      <c r="A323" s="7"/>
      <c r="B323" s="16"/>
      <c r="C323" s="9"/>
      <c r="D323" s="10"/>
      <c r="E323" s="10"/>
      <c r="F323" s="10"/>
      <c r="G323" s="10"/>
      <c r="H323" s="10"/>
      <c r="I323" s="12"/>
      <c r="J323" s="13"/>
    </row>
    <row r="324" spans="1:10" ht="75" customHeight="1">
      <c r="A324" s="7"/>
      <c r="B324" s="16"/>
      <c r="C324" s="9"/>
      <c r="D324" s="10"/>
      <c r="E324" s="10"/>
      <c r="F324" s="10"/>
      <c r="G324" s="10"/>
      <c r="H324" s="10"/>
      <c r="I324" s="12"/>
      <c r="J324" s="13"/>
    </row>
    <row r="325" spans="1:10" ht="75" customHeight="1">
      <c r="A325" s="7"/>
      <c r="B325" s="16"/>
      <c r="C325" s="9"/>
      <c r="D325" s="10"/>
      <c r="E325" s="10"/>
      <c r="F325" s="10"/>
      <c r="G325" s="10"/>
      <c r="H325" s="10"/>
      <c r="I325" s="12"/>
      <c r="J325" s="13"/>
    </row>
    <row r="326" spans="1:10" ht="75" customHeight="1">
      <c r="A326" s="7"/>
      <c r="B326" s="16"/>
      <c r="C326" s="9"/>
      <c r="D326" s="10"/>
      <c r="E326" s="10"/>
      <c r="F326" s="10"/>
      <c r="G326" s="10"/>
      <c r="H326" s="10"/>
      <c r="I326" s="12"/>
      <c r="J326" s="13"/>
    </row>
    <row r="327" spans="1:10" ht="75" customHeight="1">
      <c r="A327" s="7"/>
      <c r="B327" s="16"/>
      <c r="C327" s="9"/>
      <c r="D327" s="10"/>
      <c r="E327" s="10"/>
      <c r="F327" s="10"/>
      <c r="G327" s="10"/>
      <c r="H327" s="10"/>
      <c r="I327" s="12"/>
      <c r="J327" s="13"/>
    </row>
    <row r="328" spans="1:10" ht="75" customHeight="1">
      <c r="A328" s="7"/>
      <c r="B328" s="16"/>
      <c r="C328" s="9"/>
      <c r="D328" s="10"/>
      <c r="E328" s="10"/>
      <c r="F328" s="10"/>
      <c r="G328" s="10"/>
      <c r="H328" s="10"/>
      <c r="I328" s="12"/>
      <c r="J328" s="13"/>
    </row>
    <row r="329" spans="1:10" ht="75" customHeight="1">
      <c r="A329" s="7"/>
      <c r="B329" s="16"/>
      <c r="C329" s="9"/>
      <c r="D329" s="10"/>
      <c r="E329" s="10"/>
      <c r="F329" s="10"/>
      <c r="G329" s="10"/>
      <c r="H329" s="10"/>
      <c r="I329" s="12"/>
      <c r="J329" s="13"/>
    </row>
    <row r="330" spans="1:10" ht="75" customHeight="1">
      <c r="A330" s="7"/>
      <c r="B330" s="16"/>
      <c r="C330" s="9"/>
      <c r="D330" s="10"/>
      <c r="E330" s="10"/>
      <c r="F330" s="10"/>
      <c r="G330" s="10"/>
      <c r="H330" s="10"/>
      <c r="I330" s="12"/>
      <c r="J330" s="13"/>
    </row>
    <row r="331" spans="1:10" ht="75" customHeight="1">
      <c r="A331" s="7"/>
      <c r="B331" s="16"/>
      <c r="C331" s="9"/>
      <c r="D331" s="10"/>
      <c r="E331" s="10"/>
      <c r="F331" s="10"/>
      <c r="G331" s="10"/>
      <c r="H331" s="10"/>
      <c r="I331" s="12"/>
      <c r="J331" s="13"/>
    </row>
    <row r="332" spans="1:10" ht="75" customHeight="1">
      <c r="A332" s="7"/>
      <c r="B332" s="16"/>
      <c r="C332" s="9"/>
      <c r="D332" s="10"/>
      <c r="E332" s="10"/>
      <c r="F332" s="10"/>
      <c r="G332" s="10"/>
      <c r="H332" s="10"/>
      <c r="I332" s="12"/>
      <c r="J332" s="13"/>
    </row>
    <row r="333" spans="1:10" ht="75" customHeight="1">
      <c r="A333" s="7"/>
      <c r="B333" s="16"/>
      <c r="C333" s="9"/>
      <c r="D333" s="10"/>
      <c r="E333" s="10"/>
      <c r="F333" s="10"/>
      <c r="G333" s="10"/>
      <c r="H333" s="10"/>
      <c r="I333" s="12"/>
      <c r="J333" s="13"/>
    </row>
    <row r="334" spans="1:10" ht="75" customHeight="1">
      <c r="A334" s="7"/>
      <c r="B334" s="16"/>
      <c r="C334" s="9"/>
      <c r="D334" s="10"/>
      <c r="E334" s="10"/>
      <c r="F334" s="10"/>
      <c r="G334" s="10"/>
      <c r="H334" s="10"/>
      <c r="I334" s="12"/>
      <c r="J334" s="13"/>
    </row>
    <row r="335" spans="1:10" ht="75" customHeight="1">
      <c r="A335" s="7"/>
      <c r="B335" s="16"/>
      <c r="C335" s="9"/>
      <c r="D335" s="10"/>
      <c r="E335" s="10"/>
      <c r="F335" s="10"/>
      <c r="G335" s="10"/>
      <c r="H335" s="10"/>
      <c r="I335" s="12"/>
      <c r="J335" s="13"/>
    </row>
    <row r="336" spans="1:10" ht="75" customHeight="1">
      <c r="A336" s="7"/>
      <c r="B336" s="16"/>
      <c r="C336" s="9"/>
      <c r="D336" s="10"/>
      <c r="E336" s="10"/>
      <c r="F336" s="10"/>
      <c r="G336" s="10"/>
      <c r="H336" s="10"/>
      <c r="I336" s="12"/>
      <c r="J336" s="13"/>
    </row>
    <row r="337" spans="1:10" ht="75" customHeight="1">
      <c r="A337" s="7"/>
      <c r="B337" s="16"/>
      <c r="C337" s="9"/>
      <c r="D337" s="10"/>
      <c r="E337" s="10"/>
      <c r="F337" s="10"/>
      <c r="G337" s="10"/>
      <c r="H337" s="10"/>
      <c r="I337" s="12"/>
      <c r="J337" s="13"/>
    </row>
    <row r="338" spans="1:10" ht="75" customHeight="1">
      <c r="A338" s="7"/>
      <c r="B338" s="16"/>
      <c r="C338" s="9"/>
      <c r="D338" s="10"/>
      <c r="E338" s="10"/>
      <c r="F338" s="10"/>
      <c r="G338" s="10"/>
      <c r="H338" s="10"/>
      <c r="I338" s="12"/>
      <c r="J338" s="13"/>
    </row>
    <row r="339" spans="1:10" ht="75" customHeight="1">
      <c r="A339" s="7"/>
      <c r="B339" s="16"/>
      <c r="C339" s="9"/>
      <c r="D339" s="10"/>
      <c r="E339" s="10"/>
      <c r="F339" s="10"/>
      <c r="G339" s="10"/>
      <c r="H339" s="10"/>
      <c r="I339" s="12"/>
      <c r="J339" s="13"/>
    </row>
    <row r="340" spans="1:10" ht="75" customHeight="1">
      <c r="A340" s="7"/>
      <c r="B340" s="16"/>
      <c r="C340" s="9"/>
      <c r="D340" s="10"/>
      <c r="E340" s="10"/>
      <c r="F340" s="10"/>
      <c r="G340" s="10"/>
      <c r="H340" s="10"/>
      <c r="I340" s="12"/>
      <c r="J340" s="13"/>
    </row>
    <row r="341" spans="1:10" ht="75" customHeight="1">
      <c r="A341" s="7"/>
      <c r="B341" s="16"/>
      <c r="C341" s="9"/>
      <c r="D341" s="10"/>
      <c r="E341" s="10"/>
      <c r="F341" s="10"/>
      <c r="G341" s="10"/>
      <c r="H341" s="10"/>
      <c r="I341" s="12"/>
      <c r="J341" s="13"/>
    </row>
    <row r="342" spans="1:10" ht="75" customHeight="1">
      <c r="A342" s="7"/>
      <c r="B342" s="16"/>
      <c r="C342" s="9"/>
      <c r="D342" s="10"/>
      <c r="E342" s="10"/>
      <c r="F342" s="10"/>
      <c r="G342" s="10"/>
      <c r="H342" s="10"/>
      <c r="I342" s="12"/>
      <c r="J342" s="13"/>
    </row>
    <row r="343" spans="1:10" ht="75" customHeight="1">
      <c r="A343" s="7"/>
      <c r="B343" s="16"/>
      <c r="C343" s="9"/>
      <c r="D343" s="10"/>
      <c r="E343" s="10"/>
      <c r="F343" s="10"/>
      <c r="G343" s="10"/>
      <c r="H343" s="10"/>
      <c r="I343" s="12"/>
      <c r="J343" s="13"/>
    </row>
    <row r="344" spans="1:10" ht="75" customHeight="1">
      <c r="A344" s="7"/>
      <c r="B344" s="16"/>
      <c r="C344" s="9"/>
      <c r="D344" s="10"/>
      <c r="E344" s="10"/>
      <c r="F344" s="10"/>
      <c r="G344" s="10"/>
      <c r="H344" s="10"/>
      <c r="I344" s="12"/>
      <c r="J344" s="13"/>
    </row>
    <row r="345" spans="1:10" ht="75" customHeight="1">
      <c r="A345" s="7"/>
      <c r="B345" s="16"/>
      <c r="C345" s="9"/>
      <c r="D345" s="10"/>
      <c r="E345" s="10"/>
      <c r="F345" s="10"/>
      <c r="G345" s="10"/>
      <c r="H345" s="10"/>
      <c r="I345" s="12"/>
      <c r="J345" s="13"/>
    </row>
    <row r="346" spans="1:10" ht="75" customHeight="1">
      <c r="A346" s="7"/>
      <c r="B346" s="16"/>
      <c r="C346" s="9"/>
      <c r="D346" s="10"/>
      <c r="E346" s="10"/>
      <c r="F346" s="10"/>
      <c r="G346" s="10"/>
      <c r="H346" s="10"/>
      <c r="I346" s="12"/>
      <c r="J346" s="13"/>
    </row>
    <row r="347" spans="1:10" ht="75" customHeight="1">
      <c r="A347" s="7"/>
      <c r="B347" s="16"/>
      <c r="C347" s="9"/>
      <c r="D347" s="10"/>
      <c r="E347" s="10"/>
      <c r="F347" s="10"/>
      <c r="G347" s="10"/>
      <c r="H347" s="10"/>
      <c r="I347" s="12"/>
      <c r="J347" s="13"/>
    </row>
    <row r="348" spans="1:10" ht="75" customHeight="1">
      <c r="A348" s="7"/>
      <c r="B348" s="16"/>
      <c r="C348" s="9"/>
      <c r="D348" s="10"/>
      <c r="E348" s="10"/>
      <c r="F348" s="10"/>
      <c r="G348" s="10"/>
      <c r="H348" s="10"/>
      <c r="I348" s="12"/>
      <c r="J348" s="13"/>
    </row>
    <row r="349" spans="1:10" ht="75" customHeight="1">
      <c r="A349" s="7"/>
      <c r="B349" s="16"/>
      <c r="C349" s="9"/>
      <c r="D349" s="10"/>
      <c r="E349" s="10"/>
      <c r="F349" s="10"/>
      <c r="G349" s="10"/>
      <c r="H349" s="10"/>
      <c r="I349" s="12"/>
      <c r="J349" s="13"/>
    </row>
    <row r="350" spans="1:10" ht="75" customHeight="1">
      <c r="A350" s="7"/>
      <c r="B350" s="16"/>
      <c r="C350" s="9"/>
      <c r="D350" s="10"/>
      <c r="E350" s="10"/>
      <c r="F350" s="10"/>
      <c r="G350" s="10"/>
      <c r="H350" s="10"/>
      <c r="I350" s="12"/>
      <c r="J350" s="13"/>
    </row>
    <row r="351" spans="1:10" ht="75" customHeight="1">
      <c r="A351" s="7"/>
      <c r="B351" s="16"/>
      <c r="C351" s="9"/>
      <c r="D351" s="10"/>
      <c r="E351" s="10"/>
      <c r="F351" s="10"/>
      <c r="G351" s="10"/>
      <c r="H351" s="10"/>
      <c r="I351" s="12"/>
      <c r="J351" s="13"/>
    </row>
    <row r="352" spans="1:10" ht="75" customHeight="1">
      <c r="A352" s="7"/>
      <c r="B352" s="16"/>
      <c r="C352" s="9"/>
      <c r="D352" s="10"/>
      <c r="E352" s="10"/>
      <c r="F352" s="10"/>
      <c r="G352" s="10"/>
      <c r="H352" s="10"/>
      <c r="I352" s="12"/>
      <c r="J352" s="13"/>
    </row>
    <row r="353" spans="1:10" ht="75" customHeight="1">
      <c r="A353" s="7"/>
      <c r="B353" s="16"/>
      <c r="C353" s="9"/>
      <c r="D353" s="10"/>
      <c r="E353" s="10"/>
      <c r="F353" s="10"/>
      <c r="G353" s="10"/>
      <c r="H353" s="10"/>
      <c r="I353" s="12"/>
      <c r="J353" s="13"/>
    </row>
    <row r="354" spans="1:10" ht="75" customHeight="1">
      <c r="A354" s="7"/>
      <c r="B354" s="16"/>
      <c r="C354" s="9"/>
      <c r="D354" s="10"/>
      <c r="E354" s="10"/>
      <c r="F354" s="10"/>
      <c r="G354" s="10"/>
      <c r="H354" s="10"/>
      <c r="I354" s="12"/>
      <c r="J354" s="13"/>
    </row>
    <row r="355" spans="1:10" ht="75" customHeight="1">
      <c r="A355" s="7"/>
      <c r="B355" s="16"/>
      <c r="C355" s="9"/>
      <c r="D355" s="10"/>
      <c r="E355" s="10"/>
      <c r="F355" s="10"/>
      <c r="G355" s="10"/>
      <c r="H355" s="10"/>
      <c r="I355" s="12"/>
      <c r="J355" s="13"/>
    </row>
    <row r="356" spans="1:10" ht="75" customHeight="1">
      <c r="A356" s="7"/>
      <c r="B356" s="16"/>
      <c r="C356" s="9"/>
      <c r="D356" s="10"/>
      <c r="E356" s="10"/>
      <c r="F356" s="10"/>
      <c r="G356" s="10"/>
      <c r="H356" s="10"/>
      <c r="I356" s="12"/>
      <c r="J356" s="13"/>
    </row>
    <row r="357" spans="1:10" ht="75" customHeight="1">
      <c r="A357" s="7"/>
      <c r="B357" s="16"/>
      <c r="C357" s="9"/>
      <c r="D357" s="10"/>
      <c r="E357" s="10"/>
      <c r="F357" s="10"/>
      <c r="G357" s="10"/>
      <c r="H357" s="10"/>
      <c r="I357" s="12"/>
      <c r="J357" s="13"/>
    </row>
    <row r="358" spans="1:10" ht="75" customHeight="1">
      <c r="A358" s="7"/>
      <c r="B358" s="16"/>
      <c r="C358" s="9"/>
      <c r="D358" s="10"/>
      <c r="E358" s="10"/>
      <c r="F358" s="10"/>
      <c r="G358" s="10"/>
      <c r="H358" s="10"/>
      <c r="I358" s="12"/>
      <c r="J358" s="13"/>
    </row>
    <row r="359" spans="1:10" ht="75" customHeight="1">
      <c r="A359" s="7"/>
      <c r="B359" s="16"/>
      <c r="C359" s="9"/>
      <c r="D359" s="10"/>
      <c r="E359" s="10"/>
      <c r="F359" s="10"/>
      <c r="G359" s="10"/>
      <c r="H359" s="10"/>
      <c r="I359" s="12"/>
      <c r="J359" s="13"/>
    </row>
    <row r="360" spans="1:10" ht="75" customHeight="1">
      <c r="A360" s="7"/>
      <c r="B360" s="16"/>
      <c r="C360" s="9"/>
      <c r="D360" s="10"/>
      <c r="E360" s="10"/>
      <c r="F360" s="10"/>
      <c r="G360" s="10"/>
      <c r="H360" s="10"/>
      <c r="I360" s="12"/>
      <c r="J360" s="13"/>
    </row>
    <row r="361" spans="1:10" ht="75" customHeight="1">
      <c r="A361" s="7"/>
      <c r="B361" s="16"/>
      <c r="C361" s="9"/>
      <c r="D361" s="10"/>
      <c r="E361" s="10"/>
      <c r="F361" s="10"/>
      <c r="G361" s="10"/>
      <c r="H361" s="10"/>
      <c r="I361" s="12"/>
      <c r="J361" s="13"/>
    </row>
    <row r="362" spans="1:10" ht="75" customHeight="1">
      <c r="A362" s="7"/>
      <c r="B362" s="16"/>
      <c r="C362" s="9"/>
      <c r="D362" s="10"/>
      <c r="E362" s="10"/>
      <c r="F362" s="10"/>
      <c r="G362" s="10"/>
      <c r="H362" s="10"/>
      <c r="I362" s="12"/>
      <c r="J362" s="13"/>
    </row>
    <row r="363" spans="1:10" ht="75" customHeight="1">
      <c r="A363" s="7"/>
      <c r="B363" s="16"/>
      <c r="C363" s="9"/>
      <c r="D363" s="10"/>
      <c r="E363" s="10"/>
      <c r="F363" s="10"/>
      <c r="G363" s="10"/>
      <c r="H363" s="10"/>
      <c r="I363" s="12"/>
      <c r="J363" s="13"/>
    </row>
    <row r="364" spans="1:10" ht="75" customHeight="1">
      <c r="A364" s="7"/>
      <c r="B364" s="16"/>
      <c r="C364" s="9"/>
      <c r="D364" s="10"/>
      <c r="E364" s="10"/>
      <c r="F364" s="10"/>
      <c r="G364" s="10"/>
      <c r="H364" s="10"/>
      <c r="I364" s="12"/>
      <c r="J364" s="13"/>
    </row>
    <row r="365" spans="1:10" ht="75" customHeight="1">
      <c r="A365" s="7"/>
      <c r="B365" s="16"/>
      <c r="C365" s="9"/>
      <c r="D365" s="10"/>
      <c r="E365" s="10"/>
      <c r="F365" s="10"/>
      <c r="G365" s="10"/>
      <c r="H365" s="10"/>
      <c r="I365" s="12"/>
      <c r="J365" s="13"/>
    </row>
    <row r="366" spans="1:10" ht="75" customHeight="1">
      <c r="A366" s="7"/>
      <c r="B366" s="16"/>
      <c r="C366" s="9"/>
      <c r="D366" s="10"/>
      <c r="E366" s="10"/>
      <c r="F366" s="10"/>
      <c r="G366" s="10"/>
      <c r="H366" s="10"/>
      <c r="I366" s="12"/>
      <c r="J366" s="13"/>
    </row>
    <row r="367" spans="1:10" ht="75" customHeight="1">
      <c r="A367" s="7"/>
      <c r="B367" s="16"/>
      <c r="C367" s="9"/>
      <c r="D367" s="10"/>
      <c r="E367" s="10"/>
      <c r="F367" s="10"/>
      <c r="G367" s="10"/>
      <c r="H367" s="10"/>
      <c r="I367" s="12"/>
      <c r="J367" s="13"/>
    </row>
    <row r="368" spans="1:10" ht="75" customHeight="1">
      <c r="A368" s="7"/>
      <c r="B368" s="16"/>
      <c r="C368" s="9"/>
      <c r="D368" s="10"/>
      <c r="E368" s="10"/>
      <c r="F368" s="10"/>
      <c r="G368" s="10"/>
      <c r="H368" s="10"/>
      <c r="I368" s="12"/>
      <c r="J368" s="13"/>
    </row>
    <row r="369" spans="1:10" ht="75" customHeight="1">
      <c r="A369" s="7"/>
      <c r="B369" s="16"/>
      <c r="C369" s="9"/>
      <c r="D369" s="10"/>
      <c r="E369" s="10"/>
      <c r="F369" s="10"/>
      <c r="G369" s="10"/>
      <c r="H369" s="10"/>
      <c r="I369" s="12"/>
      <c r="J369" s="13"/>
    </row>
    <row r="370" spans="1:10" ht="75" customHeight="1">
      <c r="A370" s="7"/>
      <c r="B370" s="16"/>
      <c r="C370" s="9"/>
      <c r="D370" s="10"/>
      <c r="E370" s="10"/>
      <c r="F370" s="10"/>
      <c r="G370" s="10"/>
      <c r="H370" s="10"/>
      <c r="I370" s="12"/>
      <c r="J370" s="13"/>
    </row>
    <row r="371" spans="1:10" ht="75" customHeight="1">
      <c r="A371" s="7"/>
      <c r="B371" s="16"/>
      <c r="C371" s="9"/>
      <c r="D371" s="10"/>
      <c r="E371" s="10"/>
      <c r="F371" s="10"/>
      <c r="G371" s="10"/>
      <c r="H371" s="10"/>
      <c r="I371" s="12"/>
      <c r="J371" s="13"/>
    </row>
    <row r="372" spans="1:10" ht="75" customHeight="1">
      <c r="A372" s="7"/>
      <c r="B372" s="16"/>
      <c r="C372" s="9"/>
      <c r="D372" s="10"/>
      <c r="E372" s="10"/>
      <c r="F372" s="10"/>
      <c r="G372" s="10"/>
      <c r="H372" s="10"/>
      <c r="I372" s="12"/>
      <c r="J372" s="13"/>
    </row>
    <row r="373" spans="1:10" ht="75" customHeight="1">
      <c r="A373" s="7"/>
      <c r="B373" s="16"/>
      <c r="C373" s="9"/>
      <c r="D373" s="10"/>
      <c r="E373" s="10"/>
      <c r="F373" s="10"/>
      <c r="G373" s="10"/>
      <c r="H373" s="10"/>
      <c r="I373" s="12"/>
      <c r="J373" s="13"/>
    </row>
    <row r="374" spans="1:10" ht="75" customHeight="1">
      <c r="A374" s="7"/>
      <c r="B374" s="16"/>
      <c r="C374" s="9"/>
      <c r="D374" s="10"/>
      <c r="E374" s="10"/>
      <c r="F374" s="10"/>
      <c r="G374" s="10"/>
      <c r="H374" s="10"/>
      <c r="I374" s="12"/>
      <c r="J374" s="13"/>
    </row>
    <row r="375" spans="1:10" ht="75" customHeight="1">
      <c r="A375" s="7"/>
      <c r="B375" s="16"/>
      <c r="C375" s="9"/>
      <c r="D375" s="10"/>
      <c r="E375" s="10"/>
      <c r="F375" s="10"/>
      <c r="G375" s="10"/>
      <c r="H375" s="10"/>
      <c r="I375" s="12"/>
      <c r="J375" s="13"/>
    </row>
    <row r="376" spans="1:10" ht="75" customHeight="1">
      <c r="A376" s="7"/>
      <c r="B376" s="16"/>
      <c r="C376" s="9"/>
      <c r="D376" s="10"/>
      <c r="E376" s="10"/>
      <c r="F376" s="10"/>
      <c r="G376" s="10"/>
      <c r="H376" s="10"/>
      <c r="I376" s="12"/>
      <c r="J376" s="13"/>
    </row>
    <row r="377" spans="1:10" ht="75" customHeight="1">
      <c r="A377" s="7"/>
      <c r="B377" s="16"/>
      <c r="C377" s="9"/>
      <c r="D377" s="10"/>
      <c r="E377" s="10"/>
      <c r="F377" s="10"/>
      <c r="G377" s="10"/>
      <c r="H377" s="10"/>
      <c r="I377" s="12"/>
      <c r="J377" s="13"/>
    </row>
    <row r="378" spans="1:10" ht="75" customHeight="1">
      <c r="A378" s="7"/>
      <c r="B378" s="16"/>
      <c r="C378" s="9"/>
      <c r="D378" s="10"/>
      <c r="E378" s="10"/>
      <c r="F378" s="10"/>
      <c r="G378" s="10"/>
      <c r="H378" s="10"/>
      <c r="I378" s="12"/>
      <c r="J378" s="13"/>
    </row>
    <row r="379" spans="1:10" ht="75" customHeight="1">
      <c r="A379" s="7"/>
      <c r="B379" s="16"/>
      <c r="C379" s="9"/>
      <c r="D379" s="10"/>
      <c r="E379" s="10"/>
      <c r="F379" s="10"/>
      <c r="G379" s="10"/>
      <c r="H379" s="10"/>
      <c r="I379" s="12"/>
      <c r="J379" s="13"/>
    </row>
    <row r="380" spans="1:10" ht="75" customHeight="1">
      <c r="A380" s="7"/>
      <c r="B380" s="16"/>
      <c r="C380" s="9"/>
      <c r="D380" s="10"/>
      <c r="E380" s="10"/>
      <c r="F380" s="10"/>
      <c r="G380" s="10"/>
      <c r="H380" s="10"/>
      <c r="I380" s="12"/>
      <c r="J380" s="13"/>
    </row>
    <row r="381" spans="1:10" ht="75" customHeight="1">
      <c r="A381" s="7"/>
      <c r="B381" s="16"/>
      <c r="C381" s="9"/>
      <c r="D381" s="10"/>
      <c r="E381" s="10"/>
      <c r="F381" s="10"/>
      <c r="G381" s="10"/>
      <c r="H381" s="10"/>
      <c r="I381" s="12"/>
      <c r="J381" s="13"/>
    </row>
    <row r="382" spans="1:10" ht="75" customHeight="1">
      <c r="A382" s="7"/>
      <c r="B382" s="16"/>
      <c r="C382" s="9"/>
      <c r="D382" s="10"/>
      <c r="E382" s="10"/>
      <c r="F382" s="10"/>
      <c r="G382" s="10"/>
      <c r="H382" s="10"/>
      <c r="I382" s="12"/>
      <c r="J382" s="13"/>
    </row>
    <row r="383" spans="1:10" ht="75" customHeight="1">
      <c r="A383" s="7"/>
      <c r="B383" s="16"/>
      <c r="C383" s="9"/>
      <c r="D383" s="10"/>
      <c r="E383" s="10"/>
      <c r="F383" s="10"/>
      <c r="G383" s="10"/>
      <c r="H383" s="10"/>
      <c r="I383" s="12"/>
      <c r="J383" s="13"/>
    </row>
    <row r="384" spans="1:10" ht="75" customHeight="1">
      <c r="A384" s="7"/>
      <c r="B384" s="16"/>
      <c r="C384" s="9"/>
      <c r="D384" s="10"/>
      <c r="E384" s="10"/>
      <c r="F384" s="10"/>
      <c r="G384" s="10"/>
      <c r="H384" s="10"/>
      <c r="I384" s="12"/>
      <c r="J384" s="13"/>
    </row>
    <row r="385" spans="1:10" ht="75" customHeight="1">
      <c r="A385" s="7"/>
      <c r="B385" s="16"/>
      <c r="C385" s="9"/>
      <c r="D385" s="10"/>
      <c r="E385" s="10"/>
      <c r="F385" s="10"/>
      <c r="G385" s="10"/>
      <c r="H385" s="10"/>
      <c r="I385" s="12"/>
      <c r="J385" s="13"/>
    </row>
    <row r="386" spans="1:10" ht="75" customHeight="1">
      <c r="A386" s="7"/>
      <c r="B386" s="16"/>
      <c r="C386" s="9"/>
      <c r="D386" s="10"/>
      <c r="E386" s="10"/>
      <c r="F386" s="10"/>
      <c r="G386" s="10"/>
      <c r="H386" s="10"/>
      <c r="I386" s="12"/>
      <c r="J386" s="13"/>
    </row>
    <row r="387" spans="1:10" ht="75" customHeight="1">
      <c r="A387" s="7"/>
      <c r="B387" s="16"/>
      <c r="C387" s="9"/>
      <c r="D387" s="10"/>
      <c r="E387" s="10"/>
      <c r="F387" s="10"/>
      <c r="G387" s="10"/>
      <c r="H387" s="10"/>
      <c r="I387" s="12"/>
      <c r="J387" s="13"/>
    </row>
    <row r="388" spans="1:10" ht="75" customHeight="1">
      <c r="A388" s="7"/>
      <c r="B388" s="16"/>
      <c r="C388" s="9"/>
      <c r="D388" s="10"/>
      <c r="E388" s="10"/>
      <c r="F388" s="10"/>
      <c r="G388" s="10"/>
      <c r="H388" s="10"/>
      <c r="I388" s="12"/>
      <c r="J388" s="13"/>
    </row>
    <row r="389" spans="1:10" ht="75" customHeight="1">
      <c r="A389" s="7"/>
      <c r="B389" s="16"/>
      <c r="C389" s="9"/>
      <c r="D389" s="10"/>
      <c r="E389" s="10"/>
      <c r="F389" s="10"/>
      <c r="G389" s="10"/>
      <c r="H389" s="10"/>
      <c r="I389" s="12"/>
      <c r="J389" s="13"/>
    </row>
    <row r="390" spans="1:10" ht="75" customHeight="1">
      <c r="A390" s="7"/>
      <c r="B390" s="16"/>
      <c r="C390" s="9"/>
      <c r="D390" s="10"/>
      <c r="E390" s="10"/>
      <c r="F390" s="10"/>
      <c r="G390" s="10"/>
      <c r="H390" s="10"/>
      <c r="I390" s="12"/>
      <c r="J390" s="13"/>
    </row>
    <row r="391" spans="1:10" ht="75" customHeight="1">
      <c r="A391" s="7"/>
      <c r="B391" s="16"/>
      <c r="C391" s="9"/>
      <c r="D391" s="10"/>
      <c r="E391" s="10"/>
      <c r="F391" s="10"/>
      <c r="G391" s="10"/>
      <c r="H391" s="10"/>
      <c r="I391" s="12"/>
      <c r="J391" s="13"/>
    </row>
    <row r="392" spans="1:10" ht="75" customHeight="1">
      <c r="A392" s="7"/>
      <c r="B392" s="16"/>
      <c r="C392" s="9"/>
      <c r="D392" s="10"/>
      <c r="E392" s="10"/>
      <c r="F392" s="10"/>
      <c r="G392" s="10"/>
      <c r="H392" s="10"/>
      <c r="I392" s="12"/>
      <c r="J392" s="13"/>
    </row>
    <row r="393" spans="1:10" ht="75" customHeight="1">
      <c r="A393" s="7"/>
      <c r="B393" s="16"/>
      <c r="C393" s="9"/>
      <c r="D393" s="10"/>
      <c r="E393" s="10"/>
      <c r="F393" s="10"/>
      <c r="G393" s="10"/>
      <c r="H393" s="10"/>
      <c r="I393" s="12"/>
      <c r="J393" s="13"/>
    </row>
    <row r="394" spans="1:10" ht="75" customHeight="1">
      <c r="A394" s="7"/>
      <c r="B394" s="16"/>
      <c r="C394" s="9"/>
      <c r="D394" s="10"/>
      <c r="E394" s="10"/>
      <c r="F394" s="10"/>
      <c r="G394" s="10"/>
      <c r="H394" s="10"/>
      <c r="I394" s="12"/>
      <c r="J394" s="13"/>
    </row>
    <row r="395" spans="1:10" ht="75" customHeight="1">
      <c r="A395" s="7"/>
      <c r="B395" s="16"/>
      <c r="C395" s="9"/>
      <c r="D395" s="10"/>
      <c r="E395" s="10"/>
      <c r="F395" s="10"/>
      <c r="G395" s="10"/>
      <c r="H395" s="10"/>
      <c r="I395" s="12"/>
      <c r="J395" s="13"/>
    </row>
    <row r="396" spans="1:10" ht="75" customHeight="1">
      <c r="A396" s="7"/>
      <c r="B396" s="16"/>
      <c r="C396" s="9"/>
      <c r="D396" s="10"/>
      <c r="E396" s="10"/>
      <c r="F396" s="10"/>
      <c r="G396" s="10"/>
      <c r="H396" s="10"/>
      <c r="I396" s="12"/>
      <c r="J396" s="13"/>
    </row>
    <row r="397" spans="1:10" ht="75" customHeight="1">
      <c r="A397" s="7"/>
      <c r="B397" s="16"/>
      <c r="C397" s="9"/>
      <c r="D397" s="10"/>
      <c r="E397" s="10"/>
      <c r="F397" s="10"/>
      <c r="G397" s="10"/>
      <c r="H397" s="10"/>
      <c r="I397" s="12"/>
      <c r="J397" s="13"/>
    </row>
    <row r="398" spans="1:10" ht="75" customHeight="1">
      <c r="A398" s="7"/>
      <c r="B398" s="16"/>
      <c r="C398" s="9"/>
      <c r="D398" s="10"/>
      <c r="E398" s="10"/>
      <c r="F398" s="10"/>
      <c r="G398" s="10"/>
      <c r="H398" s="10"/>
      <c r="I398" s="12"/>
      <c r="J398" s="13"/>
    </row>
    <row r="399" spans="1:10" ht="75" customHeight="1">
      <c r="A399" s="7"/>
      <c r="B399" s="16"/>
      <c r="C399" s="9"/>
      <c r="D399" s="10"/>
      <c r="E399" s="10"/>
      <c r="F399" s="10"/>
      <c r="G399" s="10"/>
      <c r="H399" s="10"/>
      <c r="I399" s="12"/>
      <c r="J399" s="13"/>
    </row>
    <row r="400" spans="1:10" ht="75" customHeight="1">
      <c r="A400" s="7"/>
      <c r="B400" s="16"/>
      <c r="C400" s="9"/>
      <c r="D400" s="10"/>
      <c r="E400" s="10"/>
      <c r="F400" s="10"/>
      <c r="G400" s="10"/>
      <c r="H400" s="10"/>
      <c r="I400" s="12"/>
      <c r="J400" s="13"/>
    </row>
    <row r="401" spans="1:10" ht="75" customHeight="1">
      <c r="A401" s="7"/>
      <c r="B401" s="16"/>
      <c r="C401" s="9"/>
      <c r="D401" s="10"/>
      <c r="E401" s="10"/>
      <c r="F401" s="10"/>
      <c r="G401" s="10"/>
      <c r="H401" s="10"/>
      <c r="I401" s="12"/>
      <c r="J401" s="13"/>
    </row>
    <row r="402" spans="1:10" ht="75" customHeight="1">
      <c r="A402" s="7"/>
      <c r="B402" s="16"/>
      <c r="C402" s="9"/>
      <c r="D402" s="10"/>
      <c r="E402" s="10"/>
      <c r="F402" s="10"/>
      <c r="G402" s="10"/>
      <c r="H402" s="10"/>
      <c r="I402" s="12"/>
      <c r="J402" s="13"/>
    </row>
    <row r="403" spans="1:10" ht="75" customHeight="1">
      <c r="A403" s="7"/>
      <c r="B403" s="16"/>
      <c r="C403" s="9"/>
      <c r="D403" s="10"/>
      <c r="E403" s="10"/>
      <c r="F403" s="10"/>
      <c r="G403" s="10"/>
      <c r="H403" s="10"/>
      <c r="I403" s="12"/>
      <c r="J403" s="13"/>
    </row>
    <row r="404" spans="1:10" ht="75" customHeight="1">
      <c r="A404" s="7"/>
      <c r="B404" s="16"/>
      <c r="C404" s="9"/>
      <c r="D404" s="10"/>
      <c r="E404" s="10"/>
      <c r="F404" s="10"/>
      <c r="G404" s="10"/>
      <c r="H404" s="10"/>
      <c r="I404" s="12"/>
      <c r="J404" s="13"/>
    </row>
    <row r="405" spans="1:10" ht="75" customHeight="1">
      <c r="A405" s="7"/>
      <c r="B405" s="16"/>
      <c r="C405" s="9"/>
      <c r="D405" s="10"/>
      <c r="E405" s="10"/>
      <c r="F405" s="10"/>
      <c r="G405" s="10"/>
      <c r="H405" s="10"/>
      <c r="I405" s="12"/>
      <c r="J405" s="13"/>
    </row>
    <row r="406" spans="1:10" ht="75" customHeight="1">
      <c r="A406" s="7"/>
      <c r="B406" s="16"/>
      <c r="C406" s="9"/>
      <c r="D406" s="10"/>
      <c r="E406" s="10"/>
      <c r="F406" s="10"/>
      <c r="G406" s="10"/>
      <c r="H406" s="10"/>
      <c r="I406" s="12"/>
      <c r="J406" s="13"/>
    </row>
    <row r="407" spans="1:10" ht="75" customHeight="1">
      <c r="A407" s="7"/>
      <c r="B407" s="16"/>
      <c r="C407" s="9"/>
      <c r="D407" s="10"/>
      <c r="E407" s="10"/>
      <c r="F407" s="10"/>
      <c r="G407" s="10"/>
      <c r="H407" s="10"/>
      <c r="I407" s="12"/>
      <c r="J407" s="13"/>
    </row>
    <row r="408" spans="1:10" ht="75" customHeight="1">
      <c r="A408" s="7"/>
      <c r="B408" s="16"/>
      <c r="C408" s="9"/>
      <c r="D408" s="10"/>
      <c r="E408" s="10"/>
      <c r="F408" s="10"/>
      <c r="G408" s="10"/>
      <c r="H408" s="10"/>
      <c r="I408" s="12"/>
      <c r="J408" s="13"/>
    </row>
    <row r="409" spans="1:10" ht="75" customHeight="1">
      <c r="A409" s="7"/>
      <c r="B409" s="16"/>
      <c r="C409" s="9"/>
      <c r="D409" s="10"/>
      <c r="E409" s="10"/>
      <c r="F409" s="10"/>
      <c r="G409" s="10"/>
      <c r="H409" s="10"/>
      <c r="I409" s="12"/>
      <c r="J409" s="13"/>
    </row>
    <row r="410" spans="1:10" ht="75" customHeight="1">
      <c r="A410" s="7"/>
      <c r="B410" s="16"/>
      <c r="C410" s="9"/>
      <c r="D410" s="10"/>
      <c r="E410" s="10"/>
      <c r="F410" s="10"/>
      <c r="G410" s="10"/>
      <c r="H410" s="10"/>
      <c r="I410" s="12"/>
      <c r="J410" s="13"/>
    </row>
    <row r="411" spans="1:10" ht="75" customHeight="1">
      <c r="A411" s="7"/>
      <c r="B411" s="16"/>
      <c r="C411" s="9"/>
      <c r="D411" s="10"/>
      <c r="E411" s="10"/>
      <c r="F411" s="10"/>
      <c r="G411" s="10"/>
      <c r="H411" s="10"/>
      <c r="I411" s="12"/>
      <c r="J411" s="13"/>
    </row>
    <row r="412" spans="1:10" ht="75" customHeight="1">
      <c r="A412" s="7"/>
      <c r="B412" s="16"/>
      <c r="C412" s="9"/>
      <c r="D412" s="10"/>
      <c r="E412" s="10"/>
      <c r="F412" s="10"/>
      <c r="G412" s="10"/>
      <c r="H412" s="10"/>
      <c r="I412" s="12"/>
      <c r="J412" s="13"/>
    </row>
    <row r="413" spans="1:10" ht="75" customHeight="1">
      <c r="A413" s="7"/>
      <c r="B413" s="16"/>
      <c r="C413" s="9"/>
      <c r="D413" s="10"/>
      <c r="E413" s="10"/>
      <c r="F413" s="10"/>
      <c r="G413" s="10"/>
      <c r="H413" s="10"/>
      <c r="I413" s="12"/>
      <c r="J413" s="13"/>
    </row>
    <row r="414" spans="1:10" ht="75" customHeight="1">
      <c r="A414" s="7"/>
      <c r="B414" s="16"/>
      <c r="C414" s="9"/>
      <c r="D414" s="10"/>
      <c r="E414" s="10"/>
      <c r="F414" s="10"/>
      <c r="G414" s="10"/>
      <c r="H414" s="10"/>
      <c r="I414" s="12"/>
      <c r="J414" s="13"/>
    </row>
    <row r="415" spans="1:10" ht="75" customHeight="1">
      <c r="A415" s="7"/>
      <c r="B415" s="16"/>
      <c r="C415" s="9"/>
      <c r="D415" s="10"/>
      <c r="E415" s="10"/>
      <c r="F415" s="10"/>
      <c r="G415" s="10"/>
      <c r="H415" s="10"/>
      <c r="I415" s="12"/>
      <c r="J415" s="13"/>
    </row>
    <row r="416" spans="1:10" ht="75" customHeight="1">
      <c r="A416" s="7"/>
      <c r="B416" s="16"/>
      <c r="C416" s="9"/>
      <c r="D416" s="10"/>
      <c r="E416" s="10"/>
      <c r="F416" s="10"/>
      <c r="G416" s="10"/>
      <c r="H416" s="10"/>
      <c r="I416" s="12"/>
      <c r="J416" s="13"/>
    </row>
    <row r="417" spans="1:10" ht="75" customHeight="1">
      <c r="A417" s="7"/>
      <c r="B417" s="16"/>
      <c r="C417" s="9"/>
      <c r="D417" s="10"/>
      <c r="E417" s="10"/>
      <c r="F417" s="10"/>
      <c r="G417" s="10"/>
      <c r="H417" s="10"/>
      <c r="I417" s="12"/>
      <c r="J417" s="13"/>
    </row>
    <row r="418" spans="1:10" ht="75" customHeight="1">
      <c r="A418" s="7"/>
      <c r="B418" s="16"/>
      <c r="C418" s="9"/>
      <c r="D418" s="10"/>
      <c r="E418" s="10"/>
      <c r="F418" s="10"/>
      <c r="G418" s="10"/>
      <c r="H418" s="10"/>
      <c r="I418" s="12"/>
      <c r="J418" s="13"/>
    </row>
    <row r="419" spans="1:10" ht="75" customHeight="1">
      <c r="A419" s="7"/>
      <c r="B419" s="16"/>
      <c r="C419" s="9"/>
      <c r="D419" s="10"/>
      <c r="E419" s="10"/>
      <c r="F419" s="10"/>
      <c r="G419" s="10"/>
      <c r="H419" s="10"/>
      <c r="I419" s="12"/>
      <c r="J419" s="13"/>
    </row>
    <row r="420" spans="1:10" ht="75" customHeight="1">
      <c r="A420" s="7"/>
      <c r="B420" s="16"/>
      <c r="C420" s="9"/>
      <c r="D420" s="10"/>
      <c r="E420" s="10"/>
      <c r="F420" s="10"/>
      <c r="G420" s="10"/>
      <c r="H420" s="10"/>
      <c r="I420" s="12"/>
      <c r="J420" s="13"/>
    </row>
    <row r="421" spans="1:10" ht="75" customHeight="1">
      <c r="A421" s="7"/>
      <c r="B421" s="16"/>
      <c r="C421" s="9"/>
      <c r="D421" s="10"/>
      <c r="E421" s="10"/>
      <c r="F421" s="10"/>
      <c r="G421" s="10"/>
      <c r="H421" s="10"/>
      <c r="I421" s="12"/>
      <c r="J421" s="13"/>
    </row>
    <row r="422" spans="1:10" ht="75" customHeight="1">
      <c r="A422" s="7"/>
      <c r="B422" s="16"/>
      <c r="C422" s="9"/>
      <c r="D422" s="10"/>
      <c r="E422" s="10"/>
      <c r="F422" s="10"/>
      <c r="G422" s="10"/>
      <c r="H422" s="10"/>
      <c r="I422" s="12"/>
      <c r="J422" s="13"/>
    </row>
    <row r="423" spans="1:10" ht="75" customHeight="1">
      <c r="A423" s="7"/>
      <c r="B423" s="16"/>
      <c r="C423" s="9"/>
      <c r="D423" s="10"/>
      <c r="E423" s="10"/>
      <c r="F423" s="10"/>
      <c r="G423" s="10"/>
      <c r="H423" s="10"/>
      <c r="I423" s="12"/>
      <c r="J423" s="13"/>
    </row>
    <row r="424" spans="1:10" ht="75" customHeight="1">
      <c r="A424" s="7"/>
      <c r="B424" s="16"/>
      <c r="C424" s="9"/>
      <c r="D424" s="10"/>
      <c r="E424" s="10"/>
      <c r="F424" s="10"/>
      <c r="G424" s="10"/>
      <c r="H424" s="10"/>
      <c r="I424" s="12"/>
      <c r="J424" s="13"/>
    </row>
    <row r="425" spans="1:10" ht="75" customHeight="1">
      <c r="A425" s="7"/>
      <c r="B425" s="16"/>
      <c r="C425" s="9"/>
      <c r="D425" s="10"/>
      <c r="E425" s="10"/>
      <c r="F425" s="10"/>
      <c r="G425" s="10"/>
      <c r="H425" s="10"/>
      <c r="I425" s="12"/>
      <c r="J425" s="13"/>
    </row>
    <row r="426" spans="1:10" ht="75" customHeight="1">
      <c r="A426" s="7"/>
      <c r="B426" s="16"/>
      <c r="C426" s="9"/>
      <c r="D426" s="10"/>
      <c r="E426" s="10"/>
      <c r="F426" s="10"/>
      <c r="G426" s="10"/>
      <c r="H426" s="10"/>
      <c r="I426" s="12"/>
      <c r="J426" s="13"/>
    </row>
    <row r="427" spans="1:10" ht="75" customHeight="1">
      <c r="A427" s="7"/>
      <c r="B427" s="16"/>
      <c r="C427" s="9"/>
      <c r="D427" s="10"/>
      <c r="E427" s="10"/>
      <c r="F427" s="10"/>
      <c r="G427" s="10"/>
      <c r="H427" s="10"/>
      <c r="I427" s="12"/>
      <c r="J427" s="13"/>
    </row>
    <row r="428" spans="1:10" ht="75" customHeight="1">
      <c r="A428" s="7"/>
      <c r="B428" s="16"/>
      <c r="C428" s="9"/>
      <c r="D428" s="10"/>
      <c r="E428" s="10"/>
      <c r="F428" s="10"/>
      <c r="G428" s="10"/>
      <c r="H428" s="10"/>
      <c r="I428" s="12"/>
      <c r="J428" s="13"/>
    </row>
    <row r="429" spans="1:10" ht="75" customHeight="1">
      <c r="A429" s="7"/>
      <c r="B429" s="16"/>
      <c r="C429" s="9"/>
      <c r="D429" s="10"/>
      <c r="E429" s="10"/>
      <c r="F429" s="10"/>
      <c r="G429" s="10"/>
      <c r="H429" s="10"/>
      <c r="I429" s="12"/>
      <c r="J429" s="13"/>
    </row>
    <row r="430" spans="1:10" ht="75" customHeight="1">
      <c r="A430" s="7"/>
      <c r="B430" s="16"/>
      <c r="C430" s="9"/>
      <c r="D430" s="10"/>
      <c r="E430" s="10"/>
      <c r="F430" s="10"/>
      <c r="G430" s="10"/>
      <c r="H430" s="10"/>
      <c r="I430" s="12"/>
      <c r="J430" s="13"/>
    </row>
    <row r="431" spans="1:10" ht="75" customHeight="1">
      <c r="A431" s="7"/>
      <c r="B431" s="16"/>
      <c r="C431" s="9"/>
      <c r="D431" s="10"/>
      <c r="E431" s="10"/>
      <c r="F431" s="10"/>
      <c r="G431" s="10"/>
      <c r="H431" s="10"/>
      <c r="I431" s="12"/>
      <c r="J431" s="13"/>
    </row>
    <row r="432" spans="1:10" ht="75" customHeight="1">
      <c r="A432" s="7"/>
      <c r="B432" s="16"/>
      <c r="C432" s="9"/>
      <c r="D432" s="10"/>
      <c r="E432" s="10"/>
      <c r="F432" s="10"/>
      <c r="G432" s="10"/>
      <c r="H432" s="10"/>
      <c r="I432" s="12"/>
      <c r="J432" s="13"/>
    </row>
    <row r="433" spans="1:10" ht="75" customHeight="1">
      <c r="A433" s="7"/>
      <c r="B433" s="16"/>
      <c r="C433" s="9"/>
      <c r="D433" s="10"/>
      <c r="E433" s="10"/>
      <c r="F433" s="10"/>
      <c r="G433" s="10"/>
      <c r="H433" s="10"/>
      <c r="I433" s="12"/>
      <c r="J433" s="13"/>
    </row>
    <row r="434" spans="1:10" ht="75" customHeight="1">
      <c r="A434" s="7"/>
      <c r="B434" s="16"/>
      <c r="C434" s="9"/>
      <c r="D434" s="10"/>
      <c r="E434" s="10"/>
      <c r="F434" s="10"/>
      <c r="G434" s="10"/>
      <c r="H434" s="10"/>
      <c r="I434" s="12"/>
      <c r="J434" s="13"/>
    </row>
    <row r="435" spans="1:10" ht="75" customHeight="1">
      <c r="A435" s="7"/>
      <c r="B435" s="16"/>
      <c r="C435" s="9"/>
      <c r="D435" s="10"/>
      <c r="E435" s="10"/>
      <c r="F435" s="10"/>
      <c r="G435" s="10"/>
      <c r="H435" s="10"/>
      <c r="I435" s="12"/>
      <c r="J435" s="13"/>
    </row>
    <row r="436" spans="1:10" ht="75" customHeight="1">
      <c r="A436" s="7"/>
      <c r="B436" s="16"/>
      <c r="C436" s="9"/>
      <c r="D436" s="10"/>
      <c r="E436" s="10"/>
      <c r="F436" s="10"/>
      <c r="G436" s="10"/>
      <c r="H436" s="10"/>
      <c r="I436" s="12"/>
      <c r="J436" s="13"/>
    </row>
    <row r="437" spans="1:10" ht="75" customHeight="1">
      <c r="A437" s="7"/>
      <c r="B437" s="16"/>
      <c r="C437" s="9"/>
      <c r="D437" s="10"/>
      <c r="E437" s="10"/>
      <c r="F437" s="10"/>
      <c r="G437" s="10"/>
      <c r="H437" s="10"/>
      <c r="I437" s="12"/>
      <c r="J437" s="13"/>
    </row>
    <row r="438" spans="1:10" ht="75" customHeight="1">
      <c r="A438" s="7"/>
      <c r="B438" s="16"/>
      <c r="C438" s="9"/>
      <c r="D438" s="10"/>
      <c r="E438" s="10"/>
      <c r="F438" s="10"/>
      <c r="G438" s="10"/>
      <c r="H438" s="10"/>
      <c r="I438" s="12"/>
      <c r="J438" s="13"/>
    </row>
    <row r="439" spans="1:10" ht="75" customHeight="1">
      <c r="A439" s="7"/>
      <c r="B439" s="16"/>
      <c r="C439" s="9"/>
      <c r="D439" s="10"/>
      <c r="E439" s="10"/>
      <c r="F439" s="10"/>
      <c r="G439" s="10"/>
      <c r="H439" s="10"/>
      <c r="I439" s="12"/>
      <c r="J439" s="13"/>
    </row>
    <row r="440" spans="1:10" ht="75" customHeight="1">
      <c r="A440" s="7"/>
      <c r="B440" s="16"/>
      <c r="C440" s="9"/>
      <c r="D440" s="10"/>
      <c r="E440" s="10"/>
      <c r="F440" s="10"/>
      <c r="G440" s="10"/>
      <c r="H440" s="10"/>
      <c r="I440" s="12"/>
      <c r="J440" s="13"/>
    </row>
    <row r="441" spans="1:10" ht="75" customHeight="1">
      <c r="A441" s="7"/>
      <c r="B441" s="16"/>
      <c r="C441" s="9"/>
      <c r="D441" s="10"/>
      <c r="E441" s="10"/>
      <c r="F441" s="10"/>
      <c r="G441" s="10"/>
      <c r="H441" s="10"/>
      <c r="I441" s="12"/>
      <c r="J441" s="13"/>
    </row>
    <row r="442" spans="1:10" ht="75" customHeight="1">
      <c r="A442" s="7"/>
      <c r="B442" s="16"/>
      <c r="C442" s="9"/>
      <c r="D442" s="10"/>
      <c r="E442" s="10"/>
      <c r="F442" s="10"/>
      <c r="G442" s="10"/>
      <c r="H442" s="10"/>
      <c r="I442" s="12"/>
      <c r="J442" s="13"/>
    </row>
    <row r="443" spans="1:10" ht="75" customHeight="1">
      <c r="A443" s="7"/>
      <c r="B443" s="16"/>
      <c r="C443" s="9"/>
      <c r="D443" s="10"/>
      <c r="E443" s="10"/>
      <c r="F443" s="10"/>
      <c r="G443" s="10"/>
      <c r="H443" s="10"/>
      <c r="I443" s="12"/>
      <c r="J443" s="13"/>
    </row>
    <row r="444" spans="1:10" ht="75" customHeight="1">
      <c r="A444" s="7"/>
      <c r="B444" s="16"/>
      <c r="C444" s="9"/>
      <c r="D444" s="10"/>
      <c r="E444" s="10"/>
      <c r="F444" s="10"/>
      <c r="G444" s="10"/>
      <c r="H444" s="10"/>
      <c r="I444" s="12"/>
      <c r="J444" s="13"/>
    </row>
    <row r="445" spans="1:10" ht="75" customHeight="1">
      <c r="A445" s="7"/>
      <c r="B445" s="16"/>
      <c r="C445" s="9"/>
      <c r="D445" s="10"/>
      <c r="E445" s="10"/>
      <c r="F445" s="10"/>
      <c r="G445" s="10"/>
      <c r="H445" s="10"/>
      <c r="I445" s="12"/>
      <c r="J445" s="13"/>
    </row>
    <row r="446" spans="1:10" ht="75" customHeight="1">
      <c r="A446" s="7"/>
      <c r="B446" s="16"/>
      <c r="C446" s="9"/>
      <c r="D446" s="10"/>
      <c r="E446" s="10"/>
      <c r="F446" s="10"/>
      <c r="G446" s="10"/>
      <c r="H446" s="10"/>
      <c r="I446" s="12"/>
      <c r="J446" s="13"/>
    </row>
    <row r="447" spans="1:10" ht="75" customHeight="1">
      <c r="A447" s="7"/>
      <c r="B447" s="16"/>
      <c r="C447" s="9"/>
      <c r="D447" s="10"/>
      <c r="E447" s="10"/>
      <c r="F447" s="10"/>
      <c r="G447" s="10"/>
      <c r="H447" s="10"/>
      <c r="I447" s="12"/>
      <c r="J447" s="13"/>
    </row>
    <row r="448" spans="1:10" ht="75" customHeight="1">
      <c r="A448" s="7"/>
      <c r="B448" s="16"/>
      <c r="C448" s="9"/>
      <c r="D448" s="10"/>
      <c r="E448" s="10"/>
      <c r="F448" s="10"/>
      <c r="G448" s="10"/>
      <c r="H448" s="10"/>
      <c r="I448" s="12"/>
      <c r="J448" s="13"/>
    </row>
    <row r="449" spans="1:10" ht="75" customHeight="1">
      <c r="A449" s="7"/>
      <c r="B449" s="16"/>
      <c r="C449" s="9"/>
      <c r="D449" s="10"/>
      <c r="E449" s="10"/>
      <c r="F449" s="10"/>
      <c r="G449" s="10"/>
      <c r="H449" s="10"/>
      <c r="I449" s="12"/>
      <c r="J449" s="13"/>
    </row>
    <row r="450" spans="1:10" ht="75" customHeight="1">
      <c r="A450" s="7"/>
      <c r="B450" s="16"/>
      <c r="C450" s="9"/>
      <c r="D450" s="10"/>
      <c r="E450" s="10"/>
      <c r="F450" s="10"/>
      <c r="G450" s="10"/>
      <c r="H450" s="10"/>
      <c r="I450" s="12"/>
      <c r="J450" s="13"/>
    </row>
    <row r="451" spans="1:10" ht="75" customHeight="1">
      <c r="A451" s="7"/>
      <c r="B451" s="16"/>
      <c r="C451" s="9"/>
      <c r="D451" s="10"/>
      <c r="E451" s="10"/>
      <c r="F451" s="10"/>
      <c r="G451" s="10"/>
      <c r="H451" s="10"/>
      <c r="I451" s="12"/>
      <c r="J451" s="13"/>
    </row>
    <row r="452" spans="1:10" ht="75" customHeight="1">
      <c r="A452" s="7"/>
      <c r="B452" s="16"/>
      <c r="C452" s="9"/>
      <c r="D452" s="10"/>
      <c r="E452" s="10"/>
      <c r="F452" s="10"/>
      <c r="G452" s="10"/>
      <c r="H452" s="10"/>
      <c r="I452" s="12"/>
      <c r="J452" s="13"/>
    </row>
    <row r="453" spans="1:10" ht="75" customHeight="1">
      <c r="A453" s="7"/>
      <c r="B453" s="16"/>
      <c r="C453" s="9"/>
      <c r="D453" s="10"/>
      <c r="E453" s="10"/>
      <c r="F453" s="10"/>
      <c r="G453" s="10"/>
      <c r="H453" s="10"/>
      <c r="I453" s="12"/>
      <c r="J453" s="13"/>
    </row>
    <row r="454" spans="1:10" ht="75" customHeight="1">
      <c r="A454" s="7"/>
      <c r="B454" s="16"/>
      <c r="C454" s="9"/>
      <c r="D454" s="10"/>
      <c r="E454" s="10"/>
      <c r="F454" s="10"/>
      <c r="G454" s="10"/>
      <c r="H454" s="10"/>
      <c r="I454" s="12"/>
      <c r="J454" s="13"/>
    </row>
    <row r="455" spans="1:10" ht="75" customHeight="1">
      <c r="A455" s="7"/>
      <c r="B455" s="16"/>
      <c r="C455" s="9"/>
      <c r="D455" s="10"/>
      <c r="E455" s="10"/>
      <c r="F455" s="10"/>
      <c r="G455" s="10"/>
      <c r="H455" s="10"/>
      <c r="I455" s="12"/>
      <c r="J455" s="13"/>
    </row>
    <row r="456" spans="1:10" ht="75" customHeight="1">
      <c r="A456" s="7"/>
      <c r="B456" s="16"/>
      <c r="C456" s="9"/>
      <c r="D456" s="10"/>
      <c r="E456" s="10"/>
      <c r="F456" s="10"/>
      <c r="G456" s="10"/>
      <c r="H456" s="10"/>
      <c r="I456" s="12"/>
      <c r="J456" s="13"/>
    </row>
    <row r="457" spans="1:10" ht="75" customHeight="1">
      <c r="A457" s="7"/>
      <c r="B457" s="16"/>
      <c r="C457" s="9"/>
      <c r="D457" s="10"/>
      <c r="E457" s="10"/>
      <c r="F457" s="10"/>
      <c r="G457" s="10"/>
      <c r="H457" s="10"/>
      <c r="I457" s="12"/>
      <c r="J457" s="13"/>
    </row>
    <row r="458" spans="1:10" ht="75" customHeight="1">
      <c r="A458" s="7"/>
      <c r="B458" s="16"/>
      <c r="C458" s="9"/>
      <c r="D458" s="10"/>
      <c r="E458" s="10"/>
      <c r="F458" s="10"/>
      <c r="G458" s="10"/>
      <c r="H458" s="10"/>
      <c r="I458" s="12"/>
      <c r="J458" s="13"/>
    </row>
    <row r="459" spans="1:10" ht="75" customHeight="1">
      <c r="A459" s="7"/>
      <c r="B459" s="16"/>
      <c r="C459" s="9"/>
      <c r="D459" s="10"/>
      <c r="E459" s="10"/>
      <c r="F459" s="10"/>
      <c r="G459" s="10"/>
      <c r="H459" s="10"/>
      <c r="I459" s="12"/>
      <c r="J459" s="13"/>
    </row>
    <row r="460" spans="1:10" ht="75" customHeight="1">
      <c r="A460" s="7"/>
      <c r="B460" s="16"/>
      <c r="C460" s="9"/>
      <c r="D460" s="10"/>
      <c r="E460" s="10"/>
      <c r="F460" s="10"/>
      <c r="G460" s="10"/>
      <c r="H460" s="10"/>
      <c r="I460" s="12"/>
      <c r="J460" s="13"/>
    </row>
    <row r="461" spans="1:10" ht="75" customHeight="1">
      <c r="A461" s="7"/>
      <c r="B461" s="16"/>
      <c r="C461" s="9"/>
      <c r="D461" s="10"/>
      <c r="E461" s="10"/>
      <c r="F461" s="10"/>
      <c r="G461" s="10"/>
      <c r="H461" s="10"/>
      <c r="I461" s="12"/>
      <c r="J461" s="13"/>
    </row>
    <row r="462" spans="1:10" ht="75" customHeight="1">
      <c r="A462" s="7"/>
      <c r="B462" s="16"/>
      <c r="C462" s="9"/>
      <c r="D462" s="10"/>
      <c r="E462" s="10"/>
      <c r="F462" s="10"/>
      <c r="G462" s="10"/>
      <c r="H462" s="10"/>
      <c r="I462" s="12"/>
      <c r="J462" s="13"/>
    </row>
    <row r="463" spans="1:10" ht="75" customHeight="1">
      <c r="A463" s="7"/>
      <c r="B463" s="16"/>
      <c r="C463" s="9"/>
      <c r="D463" s="10"/>
      <c r="E463" s="10"/>
      <c r="F463" s="10"/>
      <c r="G463" s="10"/>
      <c r="H463" s="10"/>
      <c r="I463" s="12"/>
      <c r="J463" s="13"/>
    </row>
    <row r="464" spans="1:10" ht="75" customHeight="1">
      <c r="A464" s="7"/>
      <c r="B464" s="16"/>
      <c r="C464" s="9"/>
      <c r="D464" s="10"/>
      <c r="E464" s="10"/>
      <c r="F464" s="10"/>
      <c r="G464" s="10"/>
      <c r="H464" s="10"/>
      <c r="I464" s="12"/>
      <c r="J464" s="13"/>
    </row>
    <row r="465" spans="1:10" ht="75" customHeight="1">
      <c r="A465" s="7"/>
      <c r="B465" s="16"/>
      <c r="C465" s="9"/>
      <c r="D465" s="10"/>
      <c r="E465" s="10"/>
      <c r="F465" s="10"/>
      <c r="G465" s="10"/>
      <c r="H465" s="10"/>
      <c r="I465" s="12"/>
      <c r="J465" s="13"/>
    </row>
    <row r="466" spans="1:10" ht="75" customHeight="1">
      <c r="A466" s="7"/>
      <c r="B466" s="16"/>
      <c r="C466" s="9"/>
      <c r="D466" s="10"/>
      <c r="E466" s="10"/>
      <c r="F466" s="10"/>
      <c r="G466" s="10"/>
      <c r="H466" s="10"/>
      <c r="I466" s="12"/>
      <c r="J466" s="13"/>
    </row>
    <row r="467" spans="1:10" ht="75" customHeight="1">
      <c r="A467" s="7"/>
      <c r="B467" s="16"/>
      <c r="C467" s="9"/>
      <c r="D467" s="10"/>
      <c r="E467" s="10"/>
      <c r="F467" s="10"/>
      <c r="G467" s="10"/>
      <c r="H467" s="10"/>
      <c r="I467" s="12"/>
      <c r="J467" s="13"/>
    </row>
    <row r="468" spans="1:10" ht="75" customHeight="1">
      <c r="A468" s="7"/>
      <c r="B468" s="16"/>
      <c r="C468" s="9"/>
      <c r="D468" s="10"/>
      <c r="E468" s="10"/>
      <c r="F468" s="10"/>
      <c r="G468" s="10"/>
      <c r="H468" s="10"/>
      <c r="I468" s="12"/>
      <c r="J468" s="13"/>
    </row>
    <row r="469" spans="1:10" ht="75" customHeight="1">
      <c r="A469" s="7"/>
      <c r="B469" s="16"/>
      <c r="C469" s="9"/>
      <c r="D469" s="10"/>
      <c r="E469" s="10"/>
      <c r="F469" s="10"/>
      <c r="G469" s="10"/>
      <c r="H469" s="10"/>
      <c r="I469" s="12"/>
      <c r="J469" s="13"/>
    </row>
    <row r="470" spans="1:10" ht="75" customHeight="1">
      <c r="A470" s="7"/>
      <c r="B470" s="16"/>
      <c r="C470" s="9"/>
      <c r="D470" s="10"/>
      <c r="E470" s="10"/>
      <c r="F470" s="10"/>
      <c r="G470" s="10"/>
      <c r="H470" s="10"/>
      <c r="I470" s="12"/>
      <c r="J470" s="13"/>
    </row>
    <row r="471" spans="1:10" ht="75" customHeight="1">
      <c r="A471" s="7"/>
      <c r="B471" s="16"/>
      <c r="C471" s="9"/>
      <c r="D471" s="10"/>
      <c r="E471" s="10"/>
      <c r="F471" s="10"/>
      <c r="G471" s="10"/>
      <c r="H471" s="10"/>
      <c r="I471" s="12"/>
      <c r="J471" s="13"/>
    </row>
    <row r="472" spans="1:10" ht="75" customHeight="1">
      <c r="A472" s="7"/>
      <c r="B472" s="16"/>
      <c r="C472" s="9"/>
      <c r="D472" s="10"/>
      <c r="E472" s="10"/>
      <c r="F472" s="10"/>
      <c r="G472" s="10"/>
      <c r="H472" s="10"/>
      <c r="I472" s="12"/>
      <c r="J472" s="13"/>
    </row>
    <row r="473" spans="1:10" ht="75" customHeight="1">
      <c r="A473" s="7"/>
      <c r="B473" s="16"/>
      <c r="C473" s="9"/>
      <c r="D473" s="10"/>
      <c r="E473" s="10"/>
      <c r="F473" s="10"/>
      <c r="G473" s="10"/>
      <c r="H473" s="10"/>
      <c r="I473" s="12"/>
      <c r="J473" s="13"/>
    </row>
    <row r="474" spans="1:10" ht="75" customHeight="1">
      <c r="A474" s="7"/>
      <c r="B474" s="16"/>
      <c r="C474" s="9"/>
      <c r="D474" s="10"/>
      <c r="E474" s="10"/>
      <c r="F474" s="10"/>
      <c r="G474" s="10"/>
      <c r="H474" s="10"/>
      <c r="I474" s="12"/>
      <c r="J474" s="13"/>
    </row>
    <row r="475" spans="1:10" ht="75" customHeight="1">
      <c r="A475" s="7"/>
      <c r="B475" s="16"/>
      <c r="C475" s="9"/>
      <c r="D475" s="10"/>
      <c r="E475" s="10"/>
      <c r="F475" s="10"/>
      <c r="G475" s="10"/>
      <c r="H475" s="10"/>
      <c r="I475" s="12"/>
      <c r="J475" s="13"/>
    </row>
    <row r="476" spans="1:10" ht="75" customHeight="1">
      <c r="A476" s="7"/>
      <c r="B476" s="16"/>
      <c r="C476" s="9"/>
      <c r="D476" s="10"/>
      <c r="E476" s="10"/>
      <c r="F476" s="10"/>
      <c r="G476" s="10"/>
      <c r="H476" s="10"/>
      <c r="I476" s="12"/>
      <c r="J476" s="13"/>
    </row>
    <row r="477" spans="1:10" ht="75" customHeight="1">
      <c r="A477" s="7"/>
      <c r="B477" s="16"/>
      <c r="C477" s="9"/>
      <c r="D477" s="10"/>
      <c r="E477" s="10"/>
      <c r="F477" s="10"/>
      <c r="G477" s="10"/>
      <c r="H477" s="10"/>
      <c r="I477" s="12"/>
      <c r="J477" s="13"/>
    </row>
    <row r="478" spans="1:10" ht="75" customHeight="1">
      <c r="A478" s="7"/>
      <c r="B478" s="16"/>
      <c r="C478" s="9"/>
      <c r="D478" s="10"/>
      <c r="E478" s="10"/>
      <c r="F478" s="10"/>
      <c r="G478" s="10"/>
      <c r="H478" s="10"/>
      <c r="I478" s="12"/>
      <c r="J478" s="13"/>
    </row>
    <row r="479" spans="1:10" ht="75" customHeight="1">
      <c r="A479" s="7"/>
      <c r="B479" s="16"/>
      <c r="C479" s="9"/>
      <c r="D479" s="10"/>
      <c r="E479" s="10"/>
      <c r="F479" s="10"/>
      <c r="G479" s="10"/>
      <c r="H479" s="10"/>
      <c r="I479" s="12"/>
      <c r="J479" s="13"/>
    </row>
    <row r="480" spans="1:10" ht="75" customHeight="1">
      <c r="A480" s="7"/>
      <c r="B480" s="16"/>
      <c r="C480" s="9"/>
      <c r="D480" s="10"/>
      <c r="E480" s="10"/>
      <c r="F480" s="10"/>
      <c r="G480" s="10"/>
      <c r="H480" s="10"/>
      <c r="I480" s="12"/>
      <c r="J480" s="13"/>
    </row>
    <row r="481" spans="1:10" ht="75" customHeight="1">
      <c r="A481" s="7"/>
      <c r="B481" s="16"/>
      <c r="C481" s="9"/>
      <c r="D481" s="10"/>
      <c r="E481" s="10"/>
      <c r="F481" s="10"/>
      <c r="G481" s="10"/>
      <c r="H481" s="10"/>
      <c r="I481" s="12"/>
      <c r="J481" s="13"/>
    </row>
    <row r="482" spans="1:10" ht="75" customHeight="1">
      <c r="A482" s="7"/>
      <c r="B482" s="16"/>
      <c r="C482" s="9"/>
      <c r="D482" s="10"/>
      <c r="E482" s="10"/>
      <c r="F482" s="10"/>
      <c r="G482" s="10"/>
      <c r="H482" s="10"/>
      <c r="I482" s="12"/>
      <c r="J482" s="13"/>
    </row>
    <row r="483" spans="1:10" ht="75" customHeight="1">
      <c r="A483" s="7"/>
      <c r="B483" s="16"/>
      <c r="C483" s="9"/>
      <c r="D483" s="10"/>
      <c r="E483" s="10"/>
      <c r="F483" s="10"/>
      <c r="G483" s="10"/>
      <c r="H483" s="10"/>
      <c r="I483" s="12"/>
      <c r="J483" s="13"/>
    </row>
    <row r="484" spans="1:10" ht="75" customHeight="1">
      <c r="A484" s="7"/>
      <c r="B484" s="16"/>
      <c r="C484" s="9"/>
      <c r="D484" s="10"/>
      <c r="E484" s="10"/>
      <c r="F484" s="10"/>
      <c r="G484" s="10"/>
      <c r="H484" s="10"/>
      <c r="I484" s="12"/>
      <c r="J484" s="13"/>
    </row>
    <row r="485" spans="1:10" ht="75" customHeight="1">
      <c r="A485" s="7"/>
      <c r="B485" s="16"/>
      <c r="C485" s="9"/>
      <c r="D485" s="10"/>
      <c r="E485" s="10"/>
      <c r="F485" s="10"/>
      <c r="G485" s="10"/>
      <c r="H485" s="10"/>
      <c r="I485" s="12"/>
      <c r="J485" s="13"/>
    </row>
    <row r="486" spans="1:10" ht="75" customHeight="1">
      <c r="A486" s="7"/>
      <c r="B486" s="16"/>
      <c r="C486" s="9"/>
      <c r="D486" s="10"/>
      <c r="E486" s="10"/>
      <c r="F486" s="10"/>
      <c r="G486" s="10"/>
      <c r="H486" s="10"/>
      <c r="I486" s="12"/>
      <c r="J486" s="13"/>
    </row>
    <row r="487" spans="1:10" ht="75" customHeight="1">
      <c r="A487" s="7"/>
      <c r="B487" s="16"/>
      <c r="C487" s="9"/>
      <c r="D487" s="10"/>
      <c r="E487" s="10"/>
      <c r="F487" s="10"/>
      <c r="G487" s="10"/>
      <c r="H487" s="10"/>
      <c r="I487" s="12"/>
      <c r="J487" s="13"/>
    </row>
    <row r="488" spans="1:10" ht="75" customHeight="1">
      <c r="A488" s="7"/>
      <c r="B488" s="16"/>
      <c r="C488" s="9"/>
      <c r="D488" s="10"/>
      <c r="E488" s="10"/>
      <c r="F488" s="10"/>
      <c r="G488" s="10"/>
      <c r="H488" s="10"/>
      <c r="I488" s="12"/>
      <c r="J488" s="13"/>
    </row>
    <row r="489" spans="1:10" ht="75" customHeight="1">
      <c r="A489" s="7"/>
      <c r="B489" s="16"/>
      <c r="C489" s="9"/>
      <c r="D489" s="10"/>
      <c r="E489" s="10"/>
      <c r="F489" s="10"/>
      <c r="G489" s="10"/>
      <c r="H489" s="10"/>
      <c r="I489" s="12"/>
      <c r="J489" s="13"/>
    </row>
    <row r="490" spans="1:10" ht="75" customHeight="1">
      <c r="A490" s="7"/>
      <c r="B490" s="16"/>
      <c r="C490" s="9"/>
      <c r="D490" s="10"/>
      <c r="E490" s="10"/>
      <c r="F490" s="10"/>
      <c r="G490" s="10"/>
      <c r="H490" s="10"/>
      <c r="I490" s="12"/>
      <c r="J490" s="13"/>
    </row>
    <row r="491" spans="1:10" ht="75" customHeight="1">
      <c r="A491" s="7"/>
      <c r="B491" s="16"/>
      <c r="C491" s="9"/>
      <c r="D491" s="10"/>
      <c r="E491" s="10"/>
      <c r="F491" s="10"/>
      <c r="G491" s="10"/>
      <c r="H491" s="10"/>
      <c r="I491" s="12"/>
      <c r="J491" s="13"/>
    </row>
    <row r="492" spans="1:10" ht="75" customHeight="1">
      <c r="A492" s="7"/>
      <c r="B492" s="16"/>
      <c r="C492" s="9"/>
      <c r="D492" s="10"/>
      <c r="E492" s="10"/>
      <c r="F492" s="10"/>
      <c r="G492" s="10"/>
      <c r="H492" s="10"/>
      <c r="I492" s="12"/>
      <c r="J492" s="13"/>
    </row>
    <row r="493" spans="1:10" ht="75" customHeight="1">
      <c r="A493" s="7"/>
      <c r="B493" s="16"/>
      <c r="C493" s="9"/>
      <c r="D493" s="10"/>
      <c r="E493" s="10"/>
      <c r="F493" s="10"/>
      <c r="G493" s="10"/>
      <c r="H493" s="10"/>
      <c r="I493" s="12"/>
      <c r="J493" s="13"/>
    </row>
    <row r="494" spans="1:10" ht="75" customHeight="1">
      <c r="A494" s="7"/>
      <c r="B494" s="16"/>
      <c r="C494" s="9"/>
      <c r="D494" s="10"/>
      <c r="E494" s="10"/>
      <c r="F494" s="10"/>
      <c r="G494" s="10"/>
      <c r="H494" s="10"/>
      <c r="I494" s="12"/>
      <c r="J494" s="13"/>
    </row>
    <row r="495" spans="1:10" ht="75" customHeight="1">
      <c r="A495" s="7"/>
      <c r="B495" s="16"/>
      <c r="C495" s="9"/>
      <c r="D495" s="10"/>
      <c r="E495" s="10"/>
      <c r="F495" s="10"/>
      <c r="G495" s="10"/>
      <c r="H495" s="10"/>
      <c r="I495" s="12"/>
      <c r="J495" s="13"/>
    </row>
    <row r="496" spans="1:10" ht="75" customHeight="1">
      <c r="A496" s="7"/>
      <c r="B496" s="16"/>
      <c r="C496" s="9"/>
      <c r="D496" s="10"/>
      <c r="E496" s="10"/>
      <c r="F496" s="10"/>
      <c r="G496" s="10"/>
      <c r="H496" s="10"/>
      <c r="I496" s="12"/>
      <c r="J496" s="13"/>
    </row>
    <row r="497" spans="1:10" ht="75" customHeight="1">
      <c r="A497" s="7"/>
      <c r="B497" s="16"/>
      <c r="C497" s="9"/>
      <c r="D497" s="10"/>
      <c r="E497" s="10"/>
      <c r="F497" s="10"/>
      <c r="G497" s="10"/>
      <c r="H497" s="10"/>
      <c r="I497" s="12"/>
      <c r="J497" s="13"/>
    </row>
    <row r="498" spans="1:10" ht="75" customHeight="1">
      <c r="A498" s="7"/>
      <c r="B498" s="16"/>
      <c r="C498" s="9"/>
      <c r="D498" s="10"/>
      <c r="E498" s="10"/>
      <c r="F498" s="10"/>
      <c r="G498" s="10"/>
      <c r="H498" s="10"/>
      <c r="I498" s="12"/>
      <c r="J498" s="13"/>
    </row>
    <row r="499" spans="1:10" ht="75" customHeight="1">
      <c r="A499" s="7"/>
      <c r="B499" s="16"/>
      <c r="C499" s="9"/>
      <c r="D499" s="10"/>
      <c r="E499" s="10"/>
      <c r="F499" s="10"/>
      <c r="G499" s="10"/>
      <c r="H499" s="10"/>
      <c r="I499" s="12"/>
      <c r="J499" s="13"/>
    </row>
    <row r="500" spans="1:10" ht="75" customHeight="1">
      <c r="A500" s="7"/>
      <c r="B500" s="16"/>
      <c r="C500" s="9"/>
      <c r="D500" s="10"/>
      <c r="E500" s="10"/>
      <c r="F500" s="10"/>
      <c r="G500" s="10"/>
      <c r="H500" s="10"/>
      <c r="I500" s="12"/>
      <c r="J500" s="13"/>
    </row>
    <row r="501" spans="1:10" ht="75" customHeight="1">
      <c r="A501" s="7"/>
      <c r="B501" s="16"/>
      <c r="C501" s="9"/>
      <c r="D501" s="10"/>
      <c r="E501" s="10"/>
      <c r="F501" s="10"/>
      <c r="G501" s="10"/>
      <c r="H501" s="10"/>
      <c r="I501" s="12"/>
      <c r="J501" s="13"/>
    </row>
    <row r="502" spans="1:10" ht="75" customHeight="1">
      <c r="A502" s="7"/>
      <c r="B502" s="16"/>
      <c r="C502" s="9"/>
      <c r="D502" s="10"/>
      <c r="E502" s="10"/>
      <c r="F502" s="10"/>
      <c r="G502" s="10"/>
      <c r="H502" s="10"/>
      <c r="I502" s="12"/>
      <c r="J502" s="13"/>
    </row>
    <row r="503" spans="1:10" ht="75" customHeight="1">
      <c r="A503" s="7"/>
      <c r="B503" s="16"/>
      <c r="C503" s="9"/>
      <c r="D503" s="10"/>
      <c r="E503" s="10"/>
      <c r="F503" s="10"/>
      <c r="G503" s="10"/>
      <c r="H503" s="10"/>
      <c r="I503" s="12"/>
      <c r="J503" s="13"/>
    </row>
    <row r="504" spans="1:10" ht="75" customHeight="1">
      <c r="A504" s="7"/>
      <c r="B504" s="16"/>
      <c r="C504" s="9"/>
      <c r="D504" s="10"/>
      <c r="E504" s="10"/>
      <c r="F504" s="10"/>
      <c r="G504" s="10"/>
      <c r="H504" s="10"/>
      <c r="I504" s="12"/>
      <c r="J504" s="13"/>
    </row>
    <row r="505" spans="1:10" ht="75" customHeight="1">
      <c r="A505" s="7"/>
      <c r="B505" s="16"/>
      <c r="C505" s="9"/>
      <c r="D505" s="10"/>
      <c r="E505" s="10"/>
      <c r="F505" s="10"/>
      <c r="G505" s="10"/>
      <c r="H505" s="10"/>
      <c r="I505" s="12"/>
      <c r="J505" s="13"/>
    </row>
    <row r="506" spans="1:10" ht="75" customHeight="1">
      <c r="A506" s="7"/>
      <c r="B506" s="16"/>
      <c r="C506" s="9"/>
      <c r="D506" s="10"/>
      <c r="E506" s="10"/>
      <c r="F506" s="10"/>
      <c r="G506" s="10"/>
      <c r="H506" s="10"/>
      <c r="I506" s="12"/>
      <c r="J506" s="13"/>
    </row>
    <row r="507" spans="1:10" ht="75" customHeight="1">
      <c r="A507" s="7"/>
      <c r="B507" s="16"/>
      <c r="C507" s="9"/>
      <c r="D507" s="10"/>
      <c r="E507" s="10"/>
      <c r="F507" s="10"/>
      <c r="G507" s="10"/>
      <c r="H507" s="10"/>
      <c r="I507" s="12"/>
      <c r="J507" s="13"/>
    </row>
    <row r="508" spans="1:10" ht="75" customHeight="1">
      <c r="A508" s="7"/>
      <c r="B508" s="16"/>
      <c r="C508" s="9"/>
      <c r="D508" s="10"/>
      <c r="E508" s="10"/>
      <c r="F508" s="10"/>
      <c r="G508" s="10"/>
      <c r="H508" s="10"/>
      <c r="I508" s="12"/>
      <c r="J508" s="13"/>
    </row>
    <row r="509" spans="1:10" ht="75" customHeight="1">
      <c r="A509" s="7"/>
      <c r="B509" s="16"/>
      <c r="C509" s="9"/>
      <c r="D509" s="10"/>
      <c r="E509" s="10"/>
      <c r="F509" s="10"/>
      <c r="G509" s="10"/>
      <c r="H509" s="10"/>
      <c r="I509" s="12"/>
      <c r="J509" s="13"/>
    </row>
    <row r="510" spans="1:10" ht="75" customHeight="1">
      <c r="A510" s="7"/>
      <c r="B510" s="16"/>
      <c r="C510" s="9"/>
      <c r="D510" s="10"/>
      <c r="E510" s="10"/>
      <c r="F510" s="10"/>
      <c r="G510" s="10"/>
      <c r="H510" s="10"/>
      <c r="I510" s="12"/>
      <c r="J510" s="13"/>
    </row>
    <row r="511" spans="1:10" ht="75" customHeight="1">
      <c r="A511" s="7"/>
      <c r="B511" s="16"/>
      <c r="C511" s="9"/>
      <c r="D511" s="10"/>
      <c r="E511" s="10"/>
      <c r="F511" s="10"/>
      <c r="G511" s="10"/>
      <c r="H511" s="10"/>
      <c r="I511" s="12"/>
      <c r="J511" s="13"/>
    </row>
    <row r="512" spans="1:10" ht="75" customHeight="1">
      <c r="A512" s="7"/>
      <c r="B512" s="16"/>
      <c r="C512" s="9"/>
      <c r="D512" s="10"/>
      <c r="E512" s="10"/>
      <c r="F512" s="10"/>
      <c r="G512" s="10"/>
      <c r="H512" s="10"/>
      <c r="I512" s="12"/>
      <c r="J512" s="13"/>
    </row>
    <row r="513" spans="1:10" ht="75" customHeight="1">
      <c r="A513" s="7"/>
      <c r="B513" s="16"/>
      <c r="C513" s="9"/>
      <c r="D513" s="10"/>
      <c r="E513" s="10"/>
      <c r="F513" s="10"/>
      <c r="G513" s="10"/>
      <c r="H513" s="10"/>
      <c r="I513" s="12"/>
      <c r="J513" s="13"/>
    </row>
    <row r="514" spans="1:10" ht="75" customHeight="1">
      <c r="A514" s="7"/>
      <c r="B514" s="16"/>
      <c r="C514" s="9"/>
      <c r="D514" s="10"/>
      <c r="E514" s="10"/>
      <c r="F514" s="10"/>
      <c r="G514" s="10"/>
      <c r="H514" s="10"/>
      <c r="I514" s="12"/>
      <c r="J514" s="13"/>
    </row>
    <row r="515" spans="1:10" ht="75" customHeight="1">
      <c r="A515" s="7"/>
      <c r="B515" s="16"/>
      <c r="C515" s="9"/>
      <c r="D515" s="10"/>
      <c r="E515" s="10"/>
      <c r="F515" s="10"/>
      <c r="G515" s="10"/>
      <c r="H515" s="10"/>
      <c r="I515" s="12"/>
      <c r="J515" s="13"/>
    </row>
    <row r="516" spans="1:10" ht="75" customHeight="1">
      <c r="A516" s="7"/>
      <c r="B516" s="16"/>
      <c r="C516" s="9"/>
      <c r="D516" s="10"/>
      <c r="E516" s="10"/>
      <c r="F516" s="10"/>
      <c r="G516" s="10"/>
      <c r="H516" s="10"/>
      <c r="I516" s="12"/>
      <c r="J516" s="13"/>
    </row>
    <row r="517" spans="1:10" ht="75" customHeight="1">
      <c r="A517" s="7"/>
      <c r="B517" s="16"/>
      <c r="C517" s="9"/>
      <c r="D517" s="10"/>
      <c r="E517" s="10"/>
      <c r="F517" s="10"/>
      <c r="G517" s="10"/>
      <c r="H517" s="10"/>
      <c r="I517" s="12"/>
      <c r="J517" s="13"/>
    </row>
    <row r="518" spans="1:10" ht="75" customHeight="1">
      <c r="A518" s="7"/>
      <c r="B518" s="16"/>
      <c r="C518" s="9"/>
      <c r="D518" s="10"/>
      <c r="E518" s="10"/>
      <c r="F518" s="10"/>
      <c r="G518" s="10"/>
      <c r="H518" s="10"/>
      <c r="I518" s="12"/>
      <c r="J518" s="13"/>
    </row>
    <row r="519" spans="1:10" ht="75" customHeight="1">
      <c r="A519" s="7"/>
      <c r="B519" s="16"/>
      <c r="C519" s="9"/>
      <c r="D519" s="10"/>
      <c r="E519" s="10"/>
      <c r="F519" s="10"/>
      <c r="G519" s="10"/>
      <c r="H519" s="10"/>
      <c r="I519" s="12"/>
      <c r="J519" s="13"/>
    </row>
    <row r="520" spans="1:10" ht="75" customHeight="1">
      <c r="A520" s="7"/>
      <c r="B520" s="16"/>
      <c r="C520" s="9"/>
      <c r="D520" s="10"/>
      <c r="E520" s="10"/>
      <c r="F520" s="10"/>
      <c r="G520" s="10"/>
      <c r="H520" s="10"/>
      <c r="I520" s="12"/>
      <c r="J520" s="13"/>
    </row>
    <row r="521" spans="1:10" ht="75" customHeight="1">
      <c r="A521" s="7"/>
      <c r="B521" s="16"/>
      <c r="C521" s="9"/>
      <c r="D521" s="10"/>
      <c r="E521" s="10"/>
      <c r="F521" s="10"/>
      <c r="G521" s="10"/>
      <c r="H521" s="10"/>
      <c r="I521" s="12"/>
      <c r="J521" s="13"/>
    </row>
    <row r="522" spans="1:10" ht="75" customHeight="1">
      <c r="A522" s="7"/>
      <c r="B522" s="16"/>
      <c r="C522" s="9"/>
      <c r="D522" s="10"/>
      <c r="E522" s="10"/>
      <c r="F522" s="10"/>
      <c r="G522" s="10"/>
      <c r="H522" s="10"/>
      <c r="I522" s="12"/>
      <c r="J522" s="13"/>
    </row>
    <row r="523" spans="1:10" ht="75" customHeight="1">
      <c r="A523" s="7"/>
      <c r="B523" s="16"/>
      <c r="C523" s="9"/>
      <c r="D523" s="10"/>
      <c r="E523" s="10"/>
      <c r="F523" s="10"/>
      <c r="G523" s="10"/>
      <c r="H523" s="10"/>
      <c r="I523" s="12"/>
      <c r="J523" s="13"/>
    </row>
    <row r="524" spans="1:10" ht="75" customHeight="1">
      <c r="A524" s="7"/>
      <c r="B524" s="16"/>
      <c r="C524" s="9"/>
      <c r="D524" s="10"/>
      <c r="E524" s="10"/>
      <c r="F524" s="10"/>
      <c r="G524" s="10"/>
      <c r="H524" s="10"/>
      <c r="I524" s="12"/>
      <c r="J524" s="13"/>
    </row>
    <row r="525" spans="1:10" ht="75" customHeight="1">
      <c r="A525" s="7"/>
      <c r="B525" s="16"/>
      <c r="C525" s="9"/>
      <c r="D525" s="10"/>
      <c r="E525" s="10"/>
      <c r="F525" s="10"/>
      <c r="G525" s="10"/>
      <c r="H525" s="10"/>
      <c r="I525" s="12"/>
      <c r="J525" s="13"/>
    </row>
    <row r="526" spans="1:10" ht="75" customHeight="1">
      <c r="A526" s="7"/>
      <c r="B526" s="16"/>
      <c r="C526" s="9"/>
      <c r="D526" s="10"/>
      <c r="E526" s="10"/>
      <c r="F526" s="10"/>
      <c r="G526" s="10"/>
      <c r="H526" s="10"/>
      <c r="I526" s="12"/>
      <c r="J526" s="13"/>
    </row>
    <row r="527" spans="1:10" ht="75" customHeight="1">
      <c r="A527" s="7"/>
      <c r="B527" s="16"/>
      <c r="C527" s="9"/>
      <c r="D527" s="10"/>
      <c r="E527" s="10"/>
      <c r="F527" s="10"/>
      <c r="G527" s="10"/>
      <c r="H527" s="10"/>
      <c r="I527" s="12"/>
      <c r="J527" s="13"/>
    </row>
    <row r="528" spans="1:10" ht="75" customHeight="1">
      <c r="A528" s="7"/>
      <c r="B528" s="16"/>
      <c r="C528" s="9"/>
      <c r="D528" s="10"/>
      <c r="E528" s="10"/>
      <c r="F528" s="10"/>
      <c r="G528" s="10"/>
      <c r="H528" s="10"/>
      <c r="I528" s="12"/>
      <c r="J528" s="13"/>
    </row>
    <row r="529" spans="1:10" ht="75" customHeight="1">
      <c r="A529" s="7"/>
      <c r="B529" s="16"/>
      <c r="C529" s="9"/>
      <c r="D529" s="10"/>
      <c r="E529" s="10"/>
      <c r="F529" s="10"/>
      <c r="G529" s="10"/>
      <c r="H529" s="10"/>
      <c r="I529" s="12"/>
      <c r="J529" s="13"/>
    </row>
    <row r="530" spans="1:10" ht="75" customHeight="1">
      <c r="A530" s="7"/>
      <c r="B530" s="16"/>
      <c r="C530" s="9"/>
      <c r="D530" s="10"/>
      <c r="E530" s="10"/>
      <c r="F530" s="10"/>
      <c r="G530" s="10"/>
      <c r="H530" s="10"/>
      <c r="I530" s="12"/>
      <c r="J530" s="13"/>
    </row>
    <row r="531" spans="1:10" ht="75" customHeight="1">
      <c r="A531" s="7"/>
      <c r="B531" s="16"/>
      <c r="C531" s="9"/>
      <c r="D531" s="10"/>
      <c r="E531" s="10"/>
      <c r="F531" s="10"/>
      <c r="G531" s="10"/>
      <c r="H531" s="10"/>
      <c r="I531" s="12"/>
      <c r="J531" s="13"/>
    </row>
    <row r="532" spans="1:10" ht="75" customHeight="1">
      <c r="A532" s="7"/>
      <c r="B532" s="16"/>
      <c r="C532" s="9"/>
      <c r="D532" s="10"/>
      <c r="E532" s="10"/>
      <c r="F532" s="10"/>
      <c r="G532" s="10"/>
      <c r="H532" s="10"/>
      <c r="I532" s="12"/>
      <c r="J532" s="13"/>
    </row>
    <row r="533" spans="1:10" ht="75" customHeight="1">
      <c r="A533" s="7"/>
      <c r="B533" s="16"/>
      <c r="C533" s="9"/>
      <c r="D533" s="10"/>
      <c r="E533" s="10"/>
      <c r="F533" s="10"/>
      <c r="G533" s="10"/>
      <c r="H533" s="10"/>
      <c r="I533" s="12"/>
      <c r="J533" s="13"/>
    </row>
    <row r="534" spans="1:10" ht="75" customHeight="1">
      <c r="A534" s="7"/>
      <c r="B534" s="16"/>
      <c r="C534" s="9"/>
      <c r="D534" s="10"/>
      <c r="E534" s="10"/>
      <c r="F534" s="10"/>
      <c r="G534" s="10"/>
      <c r="H534" s="10"/>
      <c r="I534" s="12"/>
      <c r="J534" s="13"/>
    </row>
    <row r="535" spans="1:10" ht="75" customHeight="1">
      <c r="A535" s="7"/>
      <c r="B535" s="16"/>
      <c r="C535" s="9"/>
      <c r="D535" s="10"/>
      <c r="E535" s="10"/>
      <c r="F535" s="10"/>
      <c r="G535" s="10"/>
      <c r="H535" s="10"/>
      <c r="I535" s="12"/>
      <c r="J535" s="13"/>
    </row>
    <row r="536" spans="1:10" ht="75" customHeight="1">
      <c r="A536" s="7"/>
      <c r="B536" s="16"/>
      <c r="C536" s="9"/>
      <c r="D536" s="10"/>
      <c r="E536" s="10"/>
      <c r="F536" s="10"/>
      <c r="G536" s="10"/>
      <c r="H536" s="10"/>
      <c r="I536" s="12"/>
      <c r="J536" s="13"/>
    </row>
    <row r="537" spans="1:10" ht="75" customHeight="1">
      <c r="A537" s="7"/>
      <c r="B537" s="16"/>
      <c r="C537" s="9"/>
      <c r="D537" s="10"/>
      <c r="E537" s="10"/>
      <c r="F537" s="10"/>
      <c r="G537" s="10"/>
      <c r="H537" s="10"/>
      <c r="I537" s="12"/>
      <c r="J537" s="13"/>
    </row>
    <row r="538" spans="1:10" ht="75" customHeight="1">
      <c r="A538" s="7"/>
      <c r="B538" s="16"/>
      <c r="C538" s="9"/>
      <c r="D538" s="10"/>
      <c r="E538" s="10"/>
      <c r="F538" s="10"/>
      <c r="G538" s="10"/>
      <c r="H538" s="10"/>
      <c r="I538" s="12"/>
      <c r="J538" s="13"/>
    </row>
    <row r="539" spans="1:10" ht="75" customHeight="1">
      <c r="A539" s="7"/>
      <c r="B539" s="16"/>
      <c r="C539" s="9"/>
      <c r="D539" s="10"/>
      <c r="E539" s="10"/>
      <c r="F539" s="10"/>
      <c r="G539" s="10"/>
      <c r="H539" s="10"/>
      <c r="I539" s="12"/>
      <c r="J539" s="13"/>
    </row>
    <row r="540" spans="1:10" ht="75" customHeight="1">
      <c r="A540" s="7"/>
      <c r="B540" s="16"/>
      <c r="C540" s="9"/>
      <c r="D540" s="10"/>
      <c r="E540" s="10"/>
      <c r="F540" s="10"/>
      <c r="G540" s="10"/>
      <c r="H540" s="10"/>
      <c r="I540" s="12"/>
      <c r="J540" s="13"/>
    </row>
    <row r="541" spans="1:10" ht="75" customHeight="1">
      <c r="A541" s="7"/>
      <c r="B541" s="16"/>
      <c r="C541" s="9"/>
      <c r="D541" s="10"/>
      <c r="E541" s="10"/>
      <c r="F541" s="10"/>
      <c r="G541" s="10"/>
      <c r="H541" s="10"/>
      <c r="I541" s="12"/>
      <c r="J541" s="13"/>
    </row>
    <row r="542" spans="1:10" ht="75" customHeight="1">
      <c r="A542" s="7"/>
      <c r="B542" s="16"/>
      <c r="C542" s="9"/>
      <c r="D542" s="10"/>
      <c r="E542" s="10"/>
      <c r="F542" s="10"/>
      <c r="G542" s="10"/>
      <c r="H542" s="10"/>
      <c r="I542" s="12"/>
      <c r="J542" s="13"/>
    </row>
    <row r="543" spans="1:10" ht="75" customHeight="1">
      <c r="A543" s="7"/>
      <c r="B543" s="16"/>
      <c r="C543" s="9"/>
      <c r="D543" s="10"/>
      <c r="E543" s="10"/>
      <c r="F543" s="10"/>
      <c r="G543" s="10"/>
      <c r="H543" s="10"/>
      <c r="I543" s="12"/>
      <c r="J543" s="13"/>
    </row>
    <row r="544" spans="1:10" ht="75" customHeight="1">
      <c r="A544" s="7"/>
      <c r="B544" s="16"/>
      <c r="C544" s="9"/>
      <c r="D544" s="10"/>
      <c r="E544" s="10"/>
      <c r="F544" s="10"/>
      <c r="G544" s="10"/>
      <c r="H544" s="10"/>
      <c r="I544" s="12"/>
      <c r="J544" s="13"/>
    </row>
    <row r="545" spans="1:10" ht="75" customHeight="1">
      <c r="A545" s="7"/>
      <c r="B545" s="16"/>
      <c r="C545" s="9"/>
      <c r="D545" s="10"/>
      <c r="E545" s="10"/>
      <c r="F545" s="10"/>
      <c r="G545" s="10"/>
      <c r="H545" s="10"/>
      <c r="I545" s="12"/>
      <c r="J545" s="13"/>
    </row>
    <row r="546" spans="1:10" ht="75" customHeight="1">
      <c r="A546" s="7"/>
      <c r="B546" s="16"/>
      <c r="C546" s="9"/>
      <c r="D546" s="10"/>
      <c r="E546" s="10"/>
      <c r="F546" s="10"/>
      <c r="G546" s="10"/>
      <c r="H546" s="10"/>
      <c r="I546" s="12"/>
      <c r="J546" s="13"/>
    </row>
    <row r="547" spans="1:10" ht="75" customHeight="1">
      <c r="A547" s="7"/>
      <c r="B547" s="16"/>
      <c r="C547" s="9"/>
      <c r="D547" s="10"/>
      <c r="E547" s="10"/>
      <c r="F547" s="10"/>
      <c r="G547" s="10"/>
      <c r="H547" s="10"/>
      <c r="I547" s="12"/>
      <c r="J547" s="13"/>
    </row>
    <row r="548" spans="1:10" ht="75" customHeight="1">
      <c r="A548" s="7"/>
      <c r="B548" s="16"/>
      <c r="C548" s="9"/>
      <c r="D548" s="10"/>
      <c r="E548" s="10"/>
      <c r="F548" s="10"/>
      <c r="G548" s="10"/>
      <c r="H548" s="10"/>
      <c r="I548" s="12"/>
      <c r="J548" s="13"/>
    </row>
    <row r="549" spans="1:10" ht="75" customHeight="1">
      <c r="A549" s="7"/>
      <c r="B549" s="16"/>
      <c r="C549" s="9"/>
      <c r="D549" s="10"/>
      <c r="E549" s="10"/>
      <c r="F549" s="10"/>
      <c r="G549" s="10"/>
      <c r="H549" s="10"/>
      <c r="I549" s="12"/>
      <c r="J549" s="13"/>
    </row>
    <row r="550" spans="1:10" ht="75" customHeight="1">
      <c r="A550" s="7"/>
      <c r="B550" s="16"/>
      <c r="C550" s="9"/>
      <c r="D550" s="10"/>
      <c r="E550" s="10"/>
      <c r="F550" s="10"/>
      <c r="G550" s="10"/>
      <c r="H550" s="10"/>
      <c r="I550" s="12"/>
      <c r="J550" s="13"/>
    </row>
    <row r="551" spans="1:10" ht="75" customHeight="1">
      <c r="A551" s="7"/>
      <c r="B551" s="16"/>
      <c r="C551" s="9"/>
      <c r="D551" s="10"/>
      <c r="E551" s="10"/>
      <c r="F551" s="10"/>
      <c r="G551" s="10"/>
      <c r="H551" s="10"/>
      <c r="I551" s="12"/>
      <c r="J551" s="13"/>
    </row>
    <row r="552" spans="1:10" ht="75" customHeight="1">
      <c r="A552" s="7"/>
      <c r="B552" s="16"/>
      <c r="C552" s="9"/>
      <c r="D552" s="10"/>
      <c r="E552" s="10"/>
      <c r="F552" s="10"/>
      <c r="G552" s="10"/>
      <c r="H552" s="10"/>
      <c r="I552" s="12"/>
      <c r="J552" s="13"/>
    </row>
    <row r="553" spans="1:10" ht="75" customHeight="1">
      <c r="A553" s="7"/>
      <c r="B553" s="16"/>
      <c r="C553" s="9"/>
      <c r="D553" s="10"/>
      <c r="E553" s="10"/>
      <c r="F553" s="10"/>
      <c r="G553" s="10"/>
      <c r="H553" s="10"/>
      <c r="I553" s="12"/>
      <c r="J553" s="13"/>
    </row>
    <row r="554" spans="1:10" ht="75" customHeight="1">
      <c r="A554" s="7"/>
      <c r="B554" s="16"/>
      <c r="C554" s="9"/>
      <c r="D554" s="10"/>
      <c r="E554" s="10"/>
      <c r="F554" s="10"/>
      <c r="G554" s="10"/>
      <c r="H554" s="10"/>
      <c r="I554" s="12"/>
      <c r="J554" s="13"/>
    </row>
    <row r="555" spans="1:10" ht="75" customHeight="1">
      <c r="A555" s="7"/>
      <c r="B555" s="16"/>
      <c r="C555" s="9"/>
      <c r="D555" s="10"/>
      <c r="E555" s="10"/>
      <c r="F555" s="10"/>
      <c r="G555" s="10"/>
      <c r="H555" s="10"/>
      <c r="I555" s="12"/>
      <c r="J555" s="13"/>
    </row>
    <row r="556" spans="1:10" ht="75" customHeight="1">
      <c r="A556" s="7"/>
      <c r="B556" s="16"/>
      <c r="C556" s="9"/>
      <c r="D556" s="10"/>
      <c r="E556" s="10"/>
      <c r="F556" s="10"/>
      <c r="G556" s="10"/>
      <c r="H556" s="10"/>
      <c r="I556" s="12"/>
      <c r="J556" s="13"/>
    </row>
    <row r="557" spans="1:10" ht="75" customHeight="1">
      <c r="A557" s="7"/>
      <c r="B557" s="16"/>
      <c r="C557" s="9"/>
      <c r="D557" s="10"/>
      <c r="E557" s="10"/>
      <c r="F557" s="10"/>
      <c r="G557" s="10"/>
      <c r="H557" s="10"/>
      <c r="I557" s="12"/>
      <c r="J557" s="13"/>
    </row>
    <row r="558" spans="1:10" ht="75" customHeight="1">
      <c r="A558" s="7"/>
      <c r="B558" s="16"/>
      <c r="C558" s="9"/>
      <c r="D558" s="10"/>
      <c r="E558" s="10"/>
      <c r="F558" s="10"/>
      <c r="G558" s="10"/>
      <c r="H558" s="10"/>
      <c r="I558" s="12"/>
      <c r="J558" s="13"/>
    </row>
    <row r="559" spans="1:10" ht="75" customHeight="1">
      <c r="A559" s="7"/>
      <c r="B559" s="16"/>
      <c r="C559" s="9"/>
      <c r="D559" s="10"/>
      <c r="E559" s="10"/>
      <c r="F559" s="10"/>
      <c r="G559" s="10"/>
      <c r="H559" s="10"/>
      <c r="I559" s="12"/>
      <c r="J559" s="13"/>
    </row>
    <row r="560" spans="1:10" ht="75" customHeight="1">
      <c r="A560" s="7"/>
      <c r="B560" s="16"/>
      <c r="C560" s="9"/>
      <c r="D560" s="10"/>
      <c r="E560" s="10"/>
      <c r="F560" s="10"/>
      <c r="G560" s="10"/>
      <c r="H560" s="10"/>
      <c r="I560" s="12"/>
      <c r="J560" s="13"/>
    </row>
    <row r="561" spans="1:10" ht="75" customHeight="1">
      <c r="A561" s="7"/>
      <c r="B561" s="16"/>
      <c r="C561" s="9"/>
      <c r="D561" s="10"/>
      <c r="E561" s="10"/>
      <c r="F561" s="10"/>
      <c r="G561" s="10"/>
      <c r="H561" s="10"/>
      <c r="I561" s="12"/>
      <c r="J561" s="13"/>
    </row>
    <row r="562" spans="1:10" ht="75" customHeight="1">
      <c r="A562" s="7"/>
      <c r="B562" s="16"/>
      <c r="C562" s="9"/>
      <c r="D562" s="10"/>
      <c r="E562" s="10"/>
      <c r="F562" s="10"/>
      <c r="G562" s="10"/>
      <c r="H562" s="10"/>
      <c r="I562" s="12"/>
      <c r="J562" s="13"/>
    </row>
    <row r="563" spans="1:10" ht="75" customHeight="1">
      <c r="A563" s="7"/>
      <c r="B563" s="16"/>
      <c r="C563" s="9"/>
      <c r="D563" s="10"/>
      <c r="E563" s="10"/>
      <c r="F563" s="10"/>
      <c r="G563" s="10"/>
      <c r="H563" s="10"/>
      <c r="I563" s="12"/>
      <c r="J563" s="13"/>
    </row>
    <row r="564" spans="1:10" ht="75" customHeight="1">
      <c r="A564" s="7"/>
      <c r="B564" s="16"/>
      <c r="C564" s="9"/>
      <c r="D564" s="10"/>
      <c r="E564" s="10"/>
      <c r="F564" s="10"/>
      <c r="G564" s="10"/>
      <c r="H564" s="10"/>
      <c r="I564" s="12"/>
      <c r="J564" s="13"/>
    </row>
    <row r="565" spans="1:10" ht="75" customHeight="1">
      <c r="A565" s="7"/>
      <c r="B565" s="16"/>
      <c r="C565" s="9"/>
      <c r="D565" s="10"/>
      <c r="E565" s="10"/>
      <c r="F565" s="10"/>
      <c r="G565" s="10"/>
      <c r="H565" s="10"/>
      <c r="I565" s="12"/>
      <c r="J565" s="13"/>
    </row>
    <row r="566" spans="1:10" ht="75" customHeight="1">
      <c r="A566" s="7"/>
      <c r="B566" s="16"/>
      <c r="C566" s="9"/>
      <c r="D566" s="10"/>
      <c r="E566" s="10"/>
      <c r="F566" s="10"/>
      <c r="G566" s="10"/>
      <c r="H566" s="10"/>
      <c r="I566" s="12"/>
      <c r="J566" s="13"/>
    </row>
    <row r="567" spans="1:10" ht="75" customHeight="1">
      <c r="A567" s="7"/>
      <c r="B567" s="16"/>
      <c r="C567" s="9"/>
      <c r="D567" s="10"/>
      <c r="E567" s="10"/>
      <c r="F567" s="10"/>
      <c r="G567" s="10"/>
      <c r="H567" s="10"/>
      <c r="I567" s="12"/>
      <c r="J567" s="13"/>
    </row>
    <row r="568" spans="1:10" ht="75" customHeight="1">
      <c r="A568" s="7"/>
      <c r="B568" s="16"/>
      <c r="C568" s="9"/>
      <c r="D568" s="10"/>
      <c r="E568" s="10"/>
      <c r="F568" s="10"/>
      <c r="G568" s="10"/>
      <c r="H568" s="10"/>
      <c r="I568" s="12"/>
      <c r="J568" s="13"/>
    </row>
    <row r="569" spans="1:10" ht="75" customHeight="1">
      <c r="A569" s="7"/>
      <c r="B569" s="16"/>
      <c r="C569" s="9"/>
      <c r="D569" s="10"/>
      <c r="E569" s="10"/>
      <c r="F569" s="10"/>
      <c r="G569" s="10"/>
      <c r="H569" s="10"/>
      <c r="I569" s="12"/>
      <c r="J569" s="13"/>
    </row>
    <row r="570" spans="1:10" ht="75" customHeight="1">
      <c r="A570" s="7"/>
      <c r="B570" s="16"/>
      <c r="C570" s="9"/>
      <c r="D570" s="10"/>
      <c r="E570" s="10"/>
      <c r="F570" s="10"/>
      <c r="G570" s="10"/>
      <c r="H570" s="10"/>
      <c r="I570" s="12"/>
      <c r="J570" s="13"/>
    </row>
    <row r="571" spans="1:10" ht="75" customHeight="1">
      <c r="A571" s="7"/>
      <c r="B571" s="16"/>
      <c r="C571" s="9"/>
      <c r="D571" s="10"/>
      <c r="E571" s="10"/>
      <c r="F571" s="10"/>
      <c r="G571" s="10"/>
      <c r="H571" s="10"/>
      <c r="I571" s="12"/>
      <c r="J571" s="13"/>
    </row>
    <row r="572" spans="1:10" ht="75" customHeight="1">
      <c r="A572" s="7"/>
      <c r="B572" s="16"/>
      <c r="C572" s="9"/>
      <c r="D572" s="10"/>
      <c r="E572" s="10"/>
      <c r="F572" s="10"/>
      <c r="G572" s="10"/>
      <c r="H572" s="10"/>
      <c r="I572" s="12"/>
      <c r="J572" s="13"/>
    </row>
    <row r="573" spans="1:10" ht="75" customHeight="1">
      <c r="A573" s="7"/>
      <c r="B573" s="16"/>
      <c r="C573" s="9"/>
      <c r="D573" s="10"/>
      <c r="E573" s="10"/>
      <c r="F573" s="10"/>
      <c r="G573" s="10"/>
      <c r="H573" s="10"/>
      <c r="I573" s="12"/>
      <c r="J573" s="13"/>
    </row>
    <row r="574" spans="1:10" ht="75" customHeight="1">
      <c r="A574" s="7"/>
      <c r="B574" s="16"/>
      <c r="C574" s="9"/>
      <c r="D574" s="10"/>
      <c r="E574" s="10"/>
      <c r="F574" s="10"/>
      <c r="G574" s="10"/>
      <c r="H574" s="10"/>
      <c r="I574" s="12"/>
      <c r="J574" s="13"/>
    </row>
    <row r="575" spans="1:10" ht="75" customHeight="1">
      <c r="A575" s="7"/>
      <c r="B575" s="16"/>
      <c r="C575" s="9"/>
      <c r="D575" s="10"/>
      <c r="E575" s="10"/>
      <c r="F575" s="10"/>
      <c r="G575" s="10"/>
      <c r="H575" s="10"/>
      <c r="I575" s="12"/>
      <c r="J575" s="13"/>
    </row>
    <row r="576" spans="1:10" ht="75" customHeight="1">
      <c r="A576" s="7"/>
      <c r="B576" s="16"/>
      <c r="C576" s="9"/>
      <c r="D576" s="10"/>
      <c r="E576" s="10"/>
      <c r="F576" s="10"/>
      <c r="G576" s="10"/>
      <c r="H576" s="10"/>
      <c r="I576" s="12"/>
      <c r="J576" s="13"/>
    </row>
    <row r="577" spans="1:10" ht="75" customHeight="1">
      <c r="A577" s="7"/>
      <c r="B577" s="16"/>
      <c r="C577" s="9"/>
      <c r="D577" s="10"/>
      <c r="E577" s="10"/>
      <c r="F577" s="10"/>
      <c r="G577" s="10"/>
      <c r="H577" s="10"/>
      <c r="I577" s="12"/>
      <c r="J577" s="13"/>
    </row>
    <row r="578" spans="1:10" ht="75" customHeight="1">
      <c r="A578" s="7"/>
      <c r="B578" s="16"/>
      <c r="C578" s="9"/>
      <c r="D578" s="10"/>
      <c r="E578" s="10"/>
      <c r="F578" s="10"/>
      <c r="G578" s="10"/>
      <c r="H578" s="10"/>
      <c r="I578" s="12"/>
      <c r="J578" s="13"/>
    </row>
    <row r="579" spans="1:10" ht="75" customHeight="1">
      <c r="A579" s="7"/>
      <c r="B579" s="16"/>
      <c r="C579" s="9"/>
      <c r="D579" s="10"/>
      <c r="E579" s="10"/>
      <c r="F579" s="10"/>
      <c r="G579" s="10"/>
      <c r="H579" s="10"/>
      <c r="I579" s="12"/>
      <c r="J579" s="13"/>
    </row>
    <row r="580" spans="1:10" ht="75" customHeight="1">
      <c r="A580" s="7"/>
      <c r="B580" s="16"/>
      <c r="C580" s="9"/>
      <c r="D580" s="10"/>
      <c r="E580" s="10"/>
      <c r="F580" s="10"/>
      <c r="G580" s="10"/>
      <c r="H580" s="10"/>
      <c r="I580" s="12"/>
      <c r="J580" s="13"/>
    </row>
    <row r="581" spans="1:10" ht="75" customHeight="1">
      <c r="A581" s="7"/>
      <c r="B581" s="16"/>
      <c r="C581" s="9"/>
      <c r="D581" s="10"/>
      <c r="E581" s="10"/>
      <c r="F581" s="10"/>
      <c r="G581" s="10"/>
      <c r="H581" s="10"/>
      <c r="I581" s="12"/>
      <c r="J581" s="13"/>
    </row>
    <row r="582" spans="1:10" ht="75" customHeight="1">
      <c r="A582" s="7"/>
      <c r="B582" s="16"/>
      <c r="C582" s="9"/>
      <c r="D582" s="10"/>
      <c r="E582" s="10"/>
      <c r="F582" s="10"/>
      <c r="G582" s="10"/>
      <c r="H582" s="10"/>
      <c r="I582" s="12"/>
      <c r="J582" s="13"/>
    </row>
    <row r="583" spans="1:10" ht="75" customHeight="1">
      <c r="A583" s="7"/>
      <c r="B583" s="16"/>
      <c r="C583" s="9"/>
      <c r="D583" s="10"/>
      <c r="E583" s="10"/>
      <c r="F583" s="10"/>
      <c r="G583" s="10"/>
      <c r="H583" s="10"/>
      <c r="I583" s="12"/>
      <c r="J583" s="13"/>
    </row>
    <row r="584" spans="1:10" ht="75" customHeight="1">
      <c r="A584" s="7"/>
      <c r="B584" s="16"/>
      <c r="C584" s="9"/>
      <c r="D584" s="10"/>
      <c r="E584" s="10"/>
      <c r="F584" s="10"/>
      <c r="G584" s="10"/>
      <c r="H584" s="10"/>
      <c r="I584" s="12"/>
      <c r="J584" s="13"/>
    </row>
    <row r="585" spans="1:10" ht="75" customHeight="1">
      <c r="A585" s="7"/>
      <c r="B585" s="16"/>
      <c r="C585" s="9"/>
      <c r="D585" s="10"/>
      <c r="E585" s="10"/>
      <c r="F585" s="10"/>
      <c r="G585" s="10"/>
      <c r="H585" s="10"/>
      <c r="I585" s="12"/>
      <c r="J585" s="13"/>
    </row>
    <row r="586" spans="1:10" ht="75" customHeight="1">
      <c r="A586" s="7"/>
      <c r="B586" s="16"/>
      <c r="C586" s="9"/>
      <c r="D586" s="10"/>
      <c r="E586" s="10"/>
      <c r="F586" s="10"/>
      <c r="G586" s="10"/>
      <c r="H586" s="10"/>
      <c r="I586" s="12"/>
      <c r="J586" s="13"/>
    </row>
    <row r="587" spans="1:10" ht="75" customHeight="1">
      <c r="A587" s="7"/>
      <c r="B587" s="16"/>
      <c r="C587" s="9"/>
      <c r="D587" s="10"/>
      <c r="E587" s="10"/>
      <c r="F587" s="10"/>
      <c r="G587" s="10"/>
      <c r="H587" s="10"/>
      <c r="I587" s="12"/>
      <c r="J587" s="13"/>
    </row>
    <row r="588" spans="1:10" ht="75" customHeight="1">
      <c r="A588" s="7"/>
      <c r="B588" s="16"/>
      <c r="C588" s="9"/>
      <c r="D588" s="10"/>
      <c r="E588" s="10"/>
      <c r="F588" s="10"/>
      <c r="G588" s="10"/>
      <c r="H588" s="10"/>
      <c r="I588" s="12"/>
      <c r="J588" s="13"/>
    </row>
    <row r="589" spans="1:10" ht="75" customHeight="1">
      <c r="A589" s="7"/>
      <c r="B589" s="16"/>
      <c r="C589" s="9"/>
      <c r="D589" s="10"/>
      <c r="E589" s="10"/>
      <c r="F589" s="10"/>
      <c r="G589" s="10"/>
      <c r="H589" s="10"/>
      <c r="I589" s="12"/>
      <c r="J589" s="13"/>
    </row>
    <row r="590" spans="1:10" ht="75" customHeight="1">
      <c r="A590" s="7"/>
      <c r="B590" s="16"/>
      <c r="C590" s="9"/>
      <c r="D590" s="10"/>
      <c r="E590" s="10"/>
      <c r="F590" s="10"/>
      <c r="G590" s="10"/>
      <c r="H590" s="10"/>
      <c r="I590" s="12"/>
      <c r="J590" s="13"/>
    </row>
    <row r="591" spans="1:10" ht="75" customHeight="1">
      <c r="A591" s="7"/>
      <c r="B591" s="16"/>
      <c r="C591" s="9"/>
      <c r="D591" s="10"/>
      <c r="E591" s="10"/>
      <c r="F591" s="10"/>
      <c r="G591" s="10"/>
      <c r="H591" s="10"/>
      <c r="I591" s="12"/>
      <c r="J591" s="13"/>
    </row>
    <row r="592" spans="1:10" ht="75" customHeight="1">
      <c r="A592" s="7"/>
      <c r="B592" s="16"/>
      <c r="C592" s="9"/>
      <c r="D592" s="10"/>
      <c r="E592" s="10"/>
      <c r="F592" s="10"/>
      <c r="G592" s="10"/>
      <c r="H592" s="10"/>
      <c r="I592" s="12"/>
      <c r="J592" s="13"/>
    </row>
    <row r="593" spans="1:10" ht="75" customHeight="1">
      <c r="A593" s="7"/>
      <c r="B593" s="16"/>
      <c r="C593" s="9"/>
      <c r="D593" s="10"/>
      <c r="E593" s="10"/>
      <c r="F593" s="10"/>
      <c r="G593" s="10"/>
      <c r="H593" s="10"/>
      <c r="I593" s="12"/>
      <c r="J593" s="13"/>
    </row>
    <row r="594" spans="1:10" ht="75" customHeight="1">
      <c r="A594" s="7"/>
      <c r="B594" s="16"/>
      <c r="C594" s="9"/>
      <c r="D594" s="10"/>
      <c r="E594" s="10"/>
      <c r="F594" s="10"/>
      <c r="G594" s="10"/>
      <c r="H594" s="10"/>
      <c r="I594" s="12"/>
      <c r="J594" s="13"/>
    </row>
    <row r="595" spans="1:10" ht="75" customHeight="1">
      <c r="A595" s="7"/>
      <c r="B595" s="16"/>
      <c r="C595" s="9"/>
      <c r="D595" s="10"/>
      <c r="E595" s="10"/>
      <c r="F595" s="10"/>
      <c r="G595" s="10"/>
      <c r="H595" s="10"/>
      <c r="I595" s="12"/>
      <c r="J595" s="13"/>
    </row>
    <row r="596" spans="1:10" ht="75" customHeight="1">
      <c r="A596" s="7"/>
      <c r="B596" s="16"/>
      <c r="C596" s="9"/>
      <c r="D596" s="10"/>
      <c r="E596" s="10"/>
      <c r="F596" s="10"/>
      <c r="G596" s="10"/>
      <c r="H596" s="10"/>
      <c r="I596" s="12"/>
      <c r="J596" s="13"/>
    </row>
    <row r="597" spans="1:10" ht="75" customHeight="1">
      <c r="A597" s="7"/>
      <c r="B597" s="16"/>
      <c r="C597" s="9"/>
      <c r="D597" s="10"/>
      <c r="E597" s="10"/>
      <c r="F597" s="10"/>
      <c r="G597" s="10"/>
      <c r="H597" s="10"/>
      <c r="I597" s="12"/>
      <c r="J597" s="13"/>
    </row>
    <row r="598" spans="1:10" ht="75" customHeight="1">
      <c r="A598" s="7"/>
      <c r="B598" s="16"/>
      <c r="C598" s="9"/>
      <c r="D598" s="10"/>
      <c r="E598" s="10"/>
      <c r="F598" s="10"/>
      <c r="G598" s="10"/>
      <c r="H598" s="10"/>
      <c r="I598" s="12"/>
      <c r="J598" s="13"/>
    </row>
    <row r="599" spans="1:10" ht="75" customHeight="1">
      <c r="A599" s="7"/>
      <c r="B599" s="16"/>
      <c r="C599" s="9"/>
      <c r="D599" s="10"/>
      <c r="E599" s="10"/>
      <c r="F599" s="10"/>
      <c r="G599" s="10"/>
      <c r="H599" s="10"/>
      <c r="I599" s="12"/>
      <c r="J599" s="13"/>
    </row>
    <row r="600" spans="1:10" ht="75" customHeight="1">
      <c r="A600" s="7"/>
      <c r="B600" s="16"/>
      <c r="C600" s="9"/>
      <c r="D600" s="10"/>
      <c r="E600" s="10"/>
      <c r="F600" s="10"/>
      <c r="G600" s="10"/>
      <c r="H600" s="10"/>
      <c r="I600" s="12"/>
      <c r="J600" s="13"/>
    </row>
    <row r="601" spans="1:10" ht="75" customHeight="1">
      <c r="A601" s="7"/>
      <c r="B601" s="16"/>
      <c r="C601" s="9"/>
      <c r="D601" s="10"/>
      <c r="E601" s="10"/>
      <c r="F601" s="10"/>
      <c r="G601" s="10"/>
      <c r="H601" s="10"/>
      <c r="I601" s="12"/>
      <c r="J601" s="13"/>
    </row>
    <row r="602" spans="1:10" ht="75" customHeight="1">
      <c r="A602" s="7"/>
      <c r="B602" s="16"/>
      <c r="C602" s="9"/>
      <c r="D602" s="10"/>
      <c r="E602" s="10"/>
      <c r="F602" s="10"/>
      <c r="G602" s="10"/>
      <c r="H602" s="10"/>
      <c r="I602" s="12"/>
      <c r="J602" s="13"/>
    </row>
    <row r="603" spans="1:10" ht="75" customHeight="1">
      <c r="A603" s="7"/>
      <c r="B603" s="16"/>
      <c r="C603" s="9"/>
      <c r="D603" s="10"/>
      <c r="E603" s="10"/>
      <c r="F603" s="10"/>
      <c r="G603" s="10"/>
      <c r="H603" s="10"/>
      <c r="I603" s="12"/>
      <c r="J603" s="13"/>
    </row>
    <row r="604" spans="1:10" ht="75" customHeight="1">
      <c r="A604" s="7"/>
      <c r="B604" s="16"/>
      <c r="C604" s="9"/>
      <c r="D604" s="10"/>
      <c r="E604" s="10"/>
      <c r="F604" s="10"/>
      <c r="G604" s="10"/>
      <c r="H604" s="10"/>
      <c r="I604" s="12"/>
      <c r="J604" s="13"/>
    </row>
    <row r="605" spans="1:10" ht="75" customHeight="1">
      <c r="A605" s="7"/>
      <c r="B605" s="16"/>
      <c r="C605" s="9"/>
      <c r="D605" s="10"/>
      <c r="E605" s="10"/>
      <c r="F605" s="10"/>
      <c r="G605" s="10"/>
      <c r="H605" s="10"/>
      <c r="I605" s="12"/>
      <c r="J605" s="13"/>
    </row>
    <row r="606" spans="1:10" ht="75" customHeight="1">
      <c r="A606" s="7"/>
      <c r="B606" s="16"/>
      <c r="C606" s="9"/>
      <c r="D606" s="10"/>
      <c r="E606" s="10"/>
      <c r="F606" s="10"/>
      <c r="G606" s="10"/>
      <c r="H606" s="10"/>
      <c r="I606" s="12"/>
      <c r="J606" s="13"/>
    </row>
    <row r="607" spans="1:10" ht="75" customHeight="1">
      <c r="A607" s="7"/>
      <c r="B607" s="16"/>
      <c r="C607" s="9"/>
      <c r="D607" s="10"/>
      <c r="E607" s="10"/>
      <c r="F607" s="10"/>
      <c r="G607" s="10"/>
      <c r="H607" s="10"/>
      <c r="I607" s="12"/>
      <c r="J607" s="13"/>
    </row>
    <row r="608" spans="1:10" ht="75" customHeight="1">
      <c r="A608" s="7"/>
      <c r="B608" s="16"/>
      <c r="C608" s="9"/>
      <c r="D608" s="10"/>
      <c r="E608" s="10"/>
      <c r="F608" s="10"/>
      <c r="G608" s="10"/>
      <c r="H608" s="10"/>
      <c r="I608" s="12"/>
      <c r="J608" s="13"/>
    </row>
    <row r="609" spans="1:10" ht="75" customHeight="1">
      <c r="A609" s="7"/>
      <c r="B609" s="16"/>
      <c r="C609" s="9"/>
      <c r="D609" s="10"/>
      <c r="E609" s="10"/>
      <c r="F609" s="10"/>
      <c r="G609" s="10"/>
      <c r="H609" s="10"/>
      <c r="I609" s="12"/>
      <c r="J609" s="13"/>
    </row>
    <row r="610" spans="1:10" ht="75" customHeight="1">
      <c r="A610" s="7"/>
      <c r="B610" s="16"/>
      <c r="C610" s="9"/>
      <c r="D610" s="10"/>
      <c r="E610" s="10"/>
      <c r="F610" s="10"/>
      <c r="G610" s="10"/>
      <c r="H610" s="10"/>
      <c r="I610" s="12"/>
      <c r="J610" s="13"/>
    </row>
    <row r="611" spans="1:10" ht="75" customHeight="1">
      <c r="A611" s="7"/>
      <c r="B611" s="16"/>
      <c r="C611" s="9"/>
      <c r="D611" s="10"/>
      <c r="E611" s="10"/>
      <c r="F611" s="10"/>
      <c r="G611" s="10"/>
      <c r="H611" s="10"/>
      <c r="I611" s="12"/>
      <c r="J611" s="13"/>
    </row>
    <row r="612" spans="1:10" ht="75" customHeight="1">
      <c r="A612" s="7"/>
      <c r="B612" s="16"/>
      <c r="C612" s="9"/>
      <c r="D612" s="10"/>
      <c r="E612" s="10"/>
      <c r="F612" s="10"/>
      <c r="G612" s="10"/>
      <c r="H612" s="10"/>
      <c r="I612" s="12"/>
      <c r="J612" s="13"/>
    </row>
    <row r="613" spans="1:10" ht="75" customHeight="1">
      <c r="A613" s="7"/>
      <c r="B613" s="16"/>
      <c r="C613" s="9"/>
      <c r="D613" s="10"/>
      <c r="E613" s="10"/>
      <c r="F613" s="10"/>
      <c r="G613" s="10"/>
      <c r="H613" s="10"/>
      <c r="I613" s="12"/>
      <c r="J613" s="13"/>
    </row>
    <row r="614" spans="1:10" ht="75" customHeight="1">
      <c r="A614" s="7"/>
      <c r="B614" s="16"/>
      <c r="C614" s="9"/>
      <c r="D614" s="10"/>
      <c r="E614" s="10"/>
      <c r="F614" s="10"/>
      <c r="G614" s="10"/>
      <c r="H614" s="10"/>
      <c r="I614" s="12"/>
      <c r="J614" s="13"/>
    </row>
    <row r="615" spans="1:10" ht="75" customHeight="1">
      <c r="A615" s="7"/>
      <c r="B615" s="16"/>
      <c r="C615" s="9"/>
      <c r="D615" s="10"/>
      <c r="E615" s="10"/>
      <c r="F615" s="10"/>
      <c r="G615" s="10"/>
      <c r="H615" s="10"/>
      <c r="I615" s="12"/>
      <c r="J615" s="13"/>
    </row>
    <row r="616" spans="1:10" ht="75" customHeight="1">
      <c r="A616" s="7"/>
      <c r="B616" s="16"/>
      <c r="C616" s="9"/>
      <c r="D616" s="10"/>
      <c r="E616" s="10"/>
      <c r="F616" s="10"/>
      <c r="G616" s="10"/>
      <c r="H616" s="10"/>
      <c r="I616" s="12"/>
      <c r="J616" s="13"/>
    </row>
    <row r="617" spans="1:10" ht="75" customHeight="1">
      <c r="A617" s="7"/>
      <c r="B617" s="16"/>
      <c r="C617" s="9"/>
      <c r="D617" s="10"/>
      <c r="E617" s="10"/>
      <c r="F617" s="10"/>
      <c r="G617" s="10"/>
      <c r="H617" s="10"/>
      <c r="I617" s="12"/>
      <c r="J617" s="13"/>
    </row>
    <row r="618" spans="1:10" ht="75" customHeight="1">
      <c r="A618" s="7"/>
      <c r="B618" s="16"/>
      <c r="C618" s="9"/>
      <c r="D618" s="10"/>
      <c r="E618" s="10"/>
      <c r="F618" s="10"/>
      <c r="G618" s="10"/>
      <c r="H618" s="10"/>
      <c r="I618" s="12"/>
      <c r="J618" s="13"/>
    </row>
    <row r="619" spans="1:10" ht="75" customHeight="1">
      <c r="A619" s="7"/>
      <c r="B619" s="16"/>
      <c r="C619" s="9"/>
      <c r="D619" s="10"/>
      <c r="E619" s="10"/>
      <c r="F619" s="10"/>
      <c r="G619" s="10"/>
      <c r="H619" s="10"/>
      <c r="I619" s="12"/>
      <c r="J619" s="13"/>
    </row>
    <row r="620" spans="1:10" ht="75" customHeight="1">
      <c r="A620" s="7"/>
      <c r="B620" s="16"/>
      <c r="C620" s="9"/>
      <c r="D620" s="10"/>
      <c r="E620" s="10"/>
      <c r="F620" s="10"/>
      <c r="G620" s="10"/>
      <c r="H620" s="10"/>
      <c r="I620" s="12"/>
      <c r="J620" s="13"/>
    </row>
    <row r="621" spans="1:10" ht="75" customHeight="1">
      <c r="A621" s="7"/>
      <c r="B621" s="16"/>
      <c r="C621" s="9"/>
      <c r="D621" s="10"/>
      <c r="E621" s="10"/>
      <c r="F621" s="10"/>
      <c r="G621" s="10"/>
      <c r="H621" s="10"/>
      <c r="I621" s="12"/>
      <c r="J621" s="13"/>
    </row>
    <row r="622" spans="1:10" ht="75" customHeight="1">
      <c r="A622" s="7"/>
      <c r="B622" s="16"/>
      <c r="C622" s="9"/>
      <c r="D622" s="10"/>
      <c r="E622" s="10"/>
      <c r="F622" s="10"/>
      <c r="G622" s="10"/>
      <c r="H622" s="10"/>
      <c r="I622" s="12"/>
      <c r="J622" s="13"/>
    </row>
    <row r="623" spans="1:10" ht="75" customHeight="1">
      <c r="A623" s="7"/>
      <c r="B623" s="16"/>
      <c r="C623" s="9"/>
      <c r="D623" s="10"/>
      <c r="E623" s="10"/>
      <c r="F623" s="10"/>
      <c r="G623" s="10"/>
      <c r="H623" s="10"/>
      <c r="I623" s="12"/>
      <c r="J623" s="13"/>
    </row>
    <row r="624" spans="1:10" ht="75" customHeight="1">
      <c r="A624" s="7"/>
      <c r="B624" s="16"/>
      <c r="C624" s="9"/>
      <c r="D624" s="10"/>
      <c r="E624" s="10"/>
      <c r="F624" s="10"/>
      <c r="G624" s="10"/>
      <c r="H624" s="10"/>
      <c r="I624" s="12"/>
      <c r="J624" s="13"/>
    </row>
    <row r="625" spans="1:10" ht="75" customHeight="1">
      <c r="A625" s="7"/>
      <c r="B625" s="16"/>
      <c r="C625" s="9"/>
      <c r="D625" s="10"/>
      <c r="E625" s="10"/>
      <c r="F625" s="10"/>
      <c r="G625" s="10"/>
      <c r="H625" s="10"/>
      <c r="I625" s="12"/>
      <c r="J625" s="13"/>
    </row>
    <row r="626" spans="1:10" ht="75" customHeight="1">
      <c r="A626" s="7"/>
      <c r="B626" s="16"/>
      <c r="C626" s="9"/>
      <c r="D626" s="10"/>
      <c r="E626" s="10"/>
      <c r="F626" s="10"/>
      <c r="G626" s="10"/>
      <c r="H626" s="10"/>
      <c r="I626" s="12"/>
      <c r="J626" s="13"/>
    </row>
    <row r="627" spans="1:10" ht="75" customHeight="1">
      <c r="A627" s="7"/>
      <c r="B627" s="16"/>
      <c r="C627" s="9"/>
      <c r="D627" s="10"/>
      <c r="E627" s="10"/>
      <c r="F627" s="10"/>
      <c r="G627" s="10"/>
      <c r="H627" s="10"/>
      <c r="I627" s="12"/>
      <c r="J627" s="13"/>
    </row>
    <row r="628" spans="1:10" ht="75" customHeight="1">
      <c r="A628" s="7"/>
      <c r="B628" s="16"/>
      <c r="C628" s="9"/>
      <c r="D628" s="10"/>
      <c r="E628" s="10"/>
      <c r="F628" s="10"/>
      <c r="G628" s="10"/>
      <c r="H628" s="10"/>
      <c r="I628" s="12"/>
      <c r="J628" s="13"/>
    </row>
    <row r="629" spans="1:10" ht="75" customHeight="1">
      <c r="A629" s="7"/>
      <c r="B629" s="16"/>
      <c r="C629" s="9"/>
      <c r="D629" s="10"/>
      <c r="E629" s="10"/>
      <c r="F629" s="10"/>
      <c r="G629" s="10"/>
      <c r="H629" s="10"/>
      <c r="I629" s="12"/>
      <c r="J629" s="13"/>
    </row>
    <row r="630" spans="1:10" ht="75" customHeight="1">
      <c r="A630" s="7"/>
      <c r="B630" s="16"/>
      <c r="C630" s="9"/>
      <c r="D630" s="10"/>
      <c r="E630" s="10"/>
      <c r="F630" s="10"/>
      <c r="G630" s="10"/>
      <c r="H630" s="10"/>
      <c r="I630" s="12"/>
      <c r="J630" s="13"/>
    </row>
    <row r="631" spans="1:10" ht="75" customHeight="1">
      <c r="A631" s="7"/>
      <c r="B631" s="16"/>
      <c r="C631" s="9"/>
      <c r="D631" s="10"/>
      <c r="E631" s="10"/>
      <c r="F631" s="10"/>
      <c r="G631" s="10"/>
      <c r="H631" s="10"/>
      <c r="I631" s="12"/>
      <c r="J631" s="13"/>
    </row>
    <row r="632" spans="1:10" ht="75" customHeight="1">
      <c r="A632" s="7"/>
      <c r="B632" s="16"/>
      <c r="C632" s="9"/>
      <c r="D632" s="10"/>
      <c r="E632" s="10"/>
      <c r="F632" s="10"/>
      <c r="G632" s="10"/>
      <c r="H632" s="10"/>
      <c r="I632" s="12"/>
      <c r="J632" s="13"/>
    </row>
    <row r="633" spans="1:10" ht="75" customHeight="1">
      <c r="A633" s="7"/>
      <c r="B633" s="16"/>
      <c r="C633" s="9"/>
      <c r="D633" s="10"/>
      <c r="E633" s="10"/>
      <c r="F633" s="10"/>
      <c r="G633" s="10"/>
      <c r="H633" s="10"/>
      <c r="I633" s="12"/>
      <c r="J633" s="13"/>
    </row>
    <row r="634" spans="1:10" ht="75" customHeight="1">
      <c r="A634" s="7"/>
      <c r="B634" s="16"/>
      <c r="C634" s="9"/>
      <c r="D634" s="10"/>
      <c r="E634" s="10"/>
      <c r="F634" s="10"/>
      <c r="G634" s="10"/>
      <c r="H634" s="10"/>
      <c r="I634" s="12"/>
      <c r="J634" s="13"/>
    </row>
    <row r="635" spans="1:10" ht="75" customHeight="1">
      <c r="A635" s="7"/>
      <c r="B635" s="16"/>
      <c r="C635" s="9"/>
      <c r="D635" s="10"/>
      <c r="E635" s="10"/>
      <c r="F635" s="10"/>
      <c r="G635" s="10"/>
      <c r="H635" s="10"/>
      <c r="I635" s="12"/>
      <c r="J635" s="13"/>
    </row>
    <row r="636" spans="1:10" ht="75" customHeight="1">
      <c r="A636" s="7"/>
      <c r="B636" s="16"/>
      <c r="C636" s="9"/>
      <c r="D636" s="10"/>
      <c r="E636" s="10"/>
      <c r="F636" s="10"/>
      <c r="G636" s="10"/>
      <c r="H636" s="10"/>
      <c r="I636" s="12"/>
      <c r="J636" s="13"/>
    </row>
    <row r="637" spans="1:10" ht="75" customHeight="1">
      <c r="A637" s="7"/>
      <c r="B637" s="16"/>
      <c r="C637" s="9"/>
      <c r="D637" s="10"/>
      <c r="E637" s="10"/>
      <c r="F637" s="10"/>
      <c r="G637" s="10"/>
      <c r="H637" s="10"/>
      <c r="I637" s="12"/>
      <c r="J637" s="13"/>
    </row>
    <row r="638" spans="1:10" ht="75" customHeight="1">
      <c r="A638" s="7"/>
      <c r="B638" s="16"/>
      <c r="C638" s="9"/>
      <c r="D638" s="10"/>
      <c r="E638" s="10"/>
      <c r="F638" s="10"/>
      <c r="G638" s="10"/>
      <c r="H638" s="10"/>
      <c r="I638" s="12"/>
      <c r="J638" s="13"/>
    </row>
    <row r="639" spans="1:10" ht="75" customHeight="1">
      <c r="A639" s="7"/>
      <c r="B639" s="16"/>
      <c r="C639" s="9"/>
      <c r="D639" s="10"/>
      <c r="E639" s="10"/>
      <c r="F639" s="10"/>
      <c r="G639" s="10"/>
      <c r="H639" s="10"/>
      <c r="I639" s="12"/>
      <c r="J639" s="13"/>
    </row>
    <row r="640" spans="1:10" ht="75" customHeight="1">
      <c r="A640" s="7"/>
      <c r="B640" s="16"/>
      <c r="C640" s="9"/>
      <c r="D640" s="10"/>
      <c r="E640" s="10"/>
      <c r="F640" s="10"/>
      <c r="G640" s="10"/>
      <c r="H640" s="10"/>
      <c r="I640" s="12"/>
      <c r="J640" s="13"/>
    </row>
    <row r="641" spans="1:10" ht="75" customHeight="1">
      <c r="A641" s="7"/>
      <c r="B641" s="16"/>
      <c r="C641" s="9"/>
      <c r="D641" s="10"/>
      <c r="E641" s="10"/>
      <c r="F641" s="10"/>
      <c r="G641" s="10"/>
      <c r="H641" s="10"/>
      <c r="I641" s="12"/>
      <c r="J641" s="13"/>
    </row>
    <row r="642" spans="1:10" ht="75" customHeight="1">
      <c r="A642" s="7"/>
      <c r="B642" s="16"/>
      <c r="C642" s="9"/>
      <c r="D642" s="10"/>
      <c r="E642" s="10"/>
      <c r="F642" s="10"/>
      <c r="G642" s="10"/>
      <c r="H642" s="10"/>
      <c r="I642" s="12"/>
      <c r="J642" s="13"/>
    </row>
    <row r="643" spans="1:10" ht="75" customHeight="1">
      <c r="A643" s="7"/>
      <c r="B643" s="16"/>
      <c r="C643" s="9"/>
      <c r="D643" s="10"/>
      <c r="E643" s="10"/>
      <c r="F643" s="10"/>
      <c r="G643" s="10"/>
      <c r="H643" s="10"/>
      <c r="I643" s="12"/>
      <c r="J643" s="13"/>
    </row>
    <row r="644" spans="1:10" ht="75" customHeight="1">
      <c r="A644" s="7"/>
      <c r="B644" s="16"/>
      <c r="C644" s="9"/>
      <c r="D644" s="10"/>
      <c r="E644" s="10"/>
      <c r="F644" s="10"/>
      <c r="G644" s="10"/>
      <c r="H644" s="10"/>
      <c r="I644" s="12"/>
      <c r="J644" s="13"/>
    </row>
    <row r="645" spans="1:10" ht="75" customHeight="1">
      <c r="A645" s="7"/>
      <c r="B645" s="16"/>
      <c r="C645" s="9"/>
      <c r="D645" s="10"/>
      <c r="E645" s="10"/>
      <c r="F645" s="10"/>
      <c r="G645" s="10"/>
      <c r="H645" s="10"/>
      <c r="I645" s="12"/>
      <c r="J645" s="13"/>
    </row>
    <row r="646" spans="1:10" ht="75" customHeight="1">
      <c r="A646" s="7"/>
      <c r="B646" s="16"/>
      <c r="C646" s="9"/>
      <c r="D646" s="10"/>
      <c r="E646" s="10"/>
      <c r="F646" s="10"/>
      <c r="G646" s="10"/>
      <c r="H646" s="10"/>
      <c r="I646" s="12"/>
      <c r="J646" s="13"/>
    </row>
    <row r="647" spans="1:10" ht="75" customHeight="1">
      <c r="A647" s="7"/>
      <c r="B647" s="16"/>
      <c r="C647" s="9"/>
      <c r="D647" s="10"/>
      <c r="E647" s="10"/>
      <c r="F647" s="10"/>
      <c r="G647" s="10"/>
      <c r="H647" s="10"/>
      <c r="I647" s="12"/>
      <c r="J647" s="13"/>
    </row>
    <row r="648" spans="1:10" ht="75" customHeight="1">
      <c r="A648" s="7"/>
      <c r="B648" s="16"/>
      <c r="C648" s="9"/>
      <c r="D648" s="10"/>
      <c r="E648" s="10"/>
      <c r="F648" s="10"/>
      <c r="G648" s="10"/>
      <c r="H648" s="10"/>
      <c r="I648" s="12"/>
      <c r="J648" s="13"/>
    </row>
    <row r="649" spans="1:10" ht="75" customHeight="1">
      <c r="A649" s="7"/>
      <c r="B649" s="16"/>
      <c r="C649" s="9"/>
      <c r="D649" s="10"/>
      <c r="E649" s="10"/>
      <c r="F649" s="10"/>
      <c r="G649" s="10"/>
      <c r="H649" s="10"/>
      <c r="I649" s="12"/>
      <c r="J649" s="13"/>
    </row>
    <row r="650" spans="1:10" ht="75" customHeight="1">
      <c r="A650" s="7"/>
      <c r="B650" s="16"/>
      <c r="C650" s="9"/>
      <c r="D650" s="10"/>
      <c r="E650" s="10"/>
      <c r="F650" s="10"/>
      <c r="G650" s="10"/>
      <c r="H650" s="10"/>
      <c r="I650" s="12"/>
      <c r="J650" s="13"/>
    </row>
    <row r="651" spans="1:10" ht="75" customHeight="1">
      <c r="A651" s="7"/>
      <c r="B651" s="16"/>
      <c r="C651" s="9"/>
      <c r="D651" s="10"/>
      <c r="E651" s="10"/>
      <c r="F651" s="10"/>
      <c r="G651" s="10"/>
      <c r="H651" s="10"/>
      <c r="I651" s="12"/>
      <c r="J651" s="13"/>
    </row>
    <row r="652" spans="1:10" ht="75" customHeight="1">
      <c r="A652" s="7"/>
      <c r="B652" s="16"/>
      <c r="C652" s="9"/>
      <c r="D652" s="10"/>
      <c r="E652" s="10"/>
      <c r="F652" s="10"/>
      <c r="G652" s="10"/>
      <c r="H652" s="10"/>
      <c r="I652" s="12"/>
      <c r="J652" s="13"/>
    </row>
    <row r="653" spans="1:10" ht="75" customHeight="1">
      <c r="A653" s="7"/>
      <c r="B653" s="16"/>
      <c r="C653" s="9"/>
      <c r="D653" s="10"/>
      <c r="E653" s="10"/>
      <c r="F653" s="10"/>
      <c r="G653" s="10"/>
      <c r="H653" s="10"/>
      <c r="I653" s="12"/>
      <c r="J653" s="13"/>
    </row>
    <row r="654" spans="1:10" ht="75" customHeight="1">
      <c r="A654" s="7"/>
      <c r="B654" s="16"/>
      <c r="C654" s="9"/>
      <c r="D654" s="10"/>
      <c r="E654" s="10"/>
      <c r="F654" s="10"/>
      <c r="G654" s="10"/>
      <c r="H654" s="10"/>
      <c r="I654" s="12"/>
      <c r="J654" s="13"/>
    </row>
    <row r="655" spans="1:10" ht="75" customHeight="1">
      <c r="A655" s="7"/>
      <c r="B655" s="16"/>
      <c r="C655" s="9"/>
      <c r="D655" s="10"/>
      <c r="E655" s="10"/>
      <c r="F655" s="10"/>
      <c r="G655" s="10"/>
      <c r="H655" s="10"/>
      <c r="I655" s="12"/>
      <c r="J655" s="13"/>
    </row>
    <row r="656" spans="1:10" ht="75" customHeight="1">
      <c r="A656" s="7"/>
      <c r="B656" s="16"/>
      <c r="C656" s="9"/>
      <c r="D656" s="10"/>
      <c r="E656" s="10"/>
      <c r="F656" s="10"/>
      <c r="G656" s="10"/>
      <c r="H656" s="10"/>
      <c r="I656" s="12"/>
      <c r="J656" s="13"/>
    </row>
    <row r="657" spans="1:10" ht="75" customHeight="1">
      <c r="A657" s="7"/>
      <c r="B657" s="16"/>
      <c r="C657" s="9"/>
      <c r="D657" s="10"/>
      <c r="E657" s="10"/>
      <c r="F657" s="10"/>
      <c r="G657" s="10"/>
      <c r="H657" s="10"/>
      <c r="I657" s="12"/>
      <c r="J657" s="13"/>
    </row>
    <row r="658" spans="1:10" ht="75" customHeight="1">
      <c r="A658" s="7"/>
      <c r="B658" s="16"/>
      <c r="C658" s="9"/>
      <c r="D658" s="10"/>
      <c r="E658" s="10"/>
      <c r="F658" s="10"/>
      <c r="G658" s="10"/>
      <c r="H658" s="10"/>
      <c r="I658" s="12"/>
      <c r="J658" s="13"/>
    </row>
    <row r="659" spans="1:10" ht="75" customHeight="1">
      <c r="A659" s="7"/>
      <c r="B659" s="16"/>
      <c r="C659" s="9"/>
      <c r="D659" s="10"/>
      <c r="E659" s="10"/>
      <c r="F659" s="10"/>
      <c r="G659" s="10"/>
      <c r="H659" s="10"/>
      <c r="I659" s="12"/>
      <c r="J659" s="13"/>
    </row>
    <row r="660" spans="1:10" ht="75" customHeight="1">
      <c r="A660" s="7"/>
      <c r="B660" s="16"/>
      <c r="C660" s="9"/>
      <c r="D660" s="10"/>
      <c r="E660" s="10"/>
      <c r="F660" s="10"/>
      <c r="G660" s="10"/>
      <c r="H660" s="10"/>
      <c r="I660" s="12"/>
      <c r="J660" s="13"/>
    </row>
    <row r="661" spans="1:10" ht="75" customHeight="1">
      <c r="A661" s="7"/>
      <c r="B661" s="16"/>
      <c r="C661" s="9"/>
      <c r="D661" s="10"/>
      <c r="E661" s="10"/>
      <c r="F661" s="10"/>
      <c r="G661" s="10"/>
      <c r="H661" s="10"/>
      <c r="I661" s="12"/>
      <c r="J661" s="13"/>
    </row>
    <row r="662" spans="1:10" ht="75" customHeight="1">
      <c r="A662" s="7"/>
      <c r="B662" s="16"/>
      <c r="C662" s="9"/>
      <c r="D662" s="10"/>
      <c r="E662" s="10"/>
      <c r="F662" s="10"/>
      <c r="G662" s="10"/>
      <c r="H662" s="10"/>
      <c r="I662" s="12"/>
      <c r="J662" s="13"/>
    </row>
    <row r="663" spans="1:10" ht="75" customHeight="1">
      <c r="A663" s="7"/>
      <c r="B663" s="16"/>
      <c r="C663" s="9"/>
      <c r="D663" s="10"/>
      <c r="E663" s="10"/>
      <c r="F663" s="10"/>
      <c r="G663" s="10"/>
      <c r="H663" s="10"/>
      <c r="I663" s="12"/>
      <c r="J663" s="13"/>
    </row>
    <row r="664" spans="1:10" ht="75" customHeight="1">
      <c r="A664" s="7"/>
      <c r="B664" s="16"/>
      <c r="C664" s="9"/>
      <c r="D664" s="10"/>
      <c r="E664" s="10"/>
      <c r="F664" s="10"/>
      <c r="G664" s="10"/>
      <c r="H664" s="10"/>
      <c r="I664" s="12"/>
      <c r="J664" s="13"/>
    </row>
    <row r="665" spans="1:10" ht="75" customHeight="1">
      <c r="A665" s="7"/>
      <c r="B665" s="16"/>
      <c r="C665" s="9"/>
      <c r="D665" s="10"/>
      <c r="E665" s="10"/>
      <c r="F665" s="10"/>
      <c r="G665" s="10"/>
      <c r="H665" s="10"/>
      <c r="I665" s="12"/>
      <c r="J665" s="13"/>
    </row>
    <row r="666" spans="1:10" ht="75" customHeight="1">
      <c r="A666" s="7"/>
      <c r="B666" s="16"/>
      <c r="C666" s="9"/>
      <c r="D666" s="10"/>
      <c r="E666" s="10"/>
      <c r="F666" s="10"/>
      <c r="G666" s="10"/>
      <c r="H666" s="10"/>
      <c r="I666" s="12"/>
      <c r="J666" s="13"/>
    </row>
    <row r="667" spans="1:10" ht="75" customHeight="1">
      <c r="A667" s="7"/>
      <c r="B667" s="16"/>
      <c r="C667" s="9"/>
      <c r="D667" s="10"/>
      <c r="E667" s="10"/>
      <c r="F667" s="10"/>
      <c r="G667" s="10"/>
      <c r="H667" s="10"/>
      <c r="I667" s="12"/>
      <c r="J667" s="13"/>
    </row>
    <row r="668" spans="1:10" ht="75" customHeight="1">
      <c r="A668" s="7"/>
      <c r="B668" s="16"/>
      <c r="C668" s="9"/>
      <c r="D668" s="10"/>
      <c r="E668" s="10"/>
      <c r="F668" s="10"/>
      <c r="G668" s="10"/>
      <c r="H668" s="10"/>
      <c r="I668" s="12"/>
      <c r="J668" s="13"/>
    </row>
    <row r="669" spans="1:10" ht="75" customHeight="1">
      <c r="A669" s="7"/>
      <c r="B669" s="16"/>
      <c r="C669" s="9"/>
      <c r="D669" s="10"/>
      <c r="E669" s="10"/>
      <c r="F669" s="10"/>
      <c r="G669" s="10"/>
      <c r="H669" s="10"/>
      <c r="I669" s="12"/>
      <c r="J669" s="13"/>
    </row>
    <row r="670" spans="1:10" ht="75" customHeight="1">
      <c r="A670" s="7"/>
      <c r="B670" s="16"/>
      <c r="C670" s="9"/>
      <c r="D670" s="10"/>
      <c r="E670" s="10"/>
      <c r="F670" s="10"/>
      <c r="G670" s="10"/>
      <c r="H670" s="10"/>
      <c r="I670" s="12"/>
      <c r="J670" s="13"/>
    </row>
    <row r="671" spans="1:10" ht="75" customHeight="1">
      <c r="A671" s="7"/>
      <c r="B671" s="16"/>
      <c r="C671" s="9"/>
      <c r="D671" s="10"/>
      <c r="E671" s="10"/>
      <c r="F671" s="10"/>
      <c r="G671" s="10"/>
      <c r="H671" s="10"/>
      <c r="I671" s="12"/>
      <c r="J671" s="13"/>
    </row>
    <row r="672" spans="1:10" ht="75" customHeight="1">
      <c r="A672" s="7"/>
      <c r="B672" s="16"/>
      <c r="C672" s="9"/>
      <c r="D672" s="10"/>
      <c r="E672" s="10"/>
      <c r="F672" s="10"/>
      <c r="G672" s="10"/>
      <c r="H672" s="10"/>
      <c r="I672" s="12"/>
      <c r="J672" s="13"/>
    </row>
    <row r="673" spans="1:10" ht="75" customHeight="1">
      <c r="A673" s="7"/>
      <c r="B673" s="16"/>
      <c r="C673" s="9"/>
      <c r="D673" s="10"/>
      <c r="E673" s="10"/>
      <c r="F673" s="10"/>
      <c r="G673" s="10"/>
      <c r="H673" s="10"/>
      <c r="I673" s="12"/>
      <c r="J673" s="13"/>
    </row>
    <row r="674" spans="1:10" ht="75" customHeight="1">
      <c r="A674" s="7"/>
      <c r="B674" s="16"/>
      <c r="C674" s="9"/>
      <c r="D674" s="10"/>
      <c r="E674" s="10"/>
      <c r="F674" s="10"/>
      <c r="G674" s="10"/>
      <c r="H674" s="10"/>
      <c r="I674" s="12"/>
      <c r="J674" s="13"/>
    </row>
    <row r="675" spans="1:10" ht="75" customHeight="1">
      <c r="A675" s="7"/>
      <c r="B675" s="16"/>
      <c r="C675" s="9"/>
      <c r="D675" s="10"/>
      <c r="E675" s="10"/>
      <c r="F675" s="10"/>
      <c r="G675" s="10"/>
      <c r="H675" s="10"/>
      <c r="I675" s="12"/>
      <c r="J675" s="13"/>
    </row>
    <row r="676" spans="1:10" ht="75" customHeight="1">
      <c r="A676" s="7"/>
      <c r="B676" s="16"/>
      <c r="C676" s="9"/>
      <c r="D676" s="10"/>
      <c r="E676" s="10"/>
      <c r="F676" s="10"/>
      <c r="G676" s="10"/>
      <c r="H676" s="10"/>
      <c r="I676" s="12"/>
      <c r="J676" s="13"/>
    </row>
    <row r="677" spans="1:10" ht="75" customHeight="1">
      <c r="A677" s="7"/>
      <c r="B677" s="16"/>
      <c r="C677" s="9"/>
      <c r="D677" s="10"/>
      <c r="E677" s="10"/>
      <c r="F677" s="10"/>
      <c r="G677" s="10"/>
      <c r="H677" s="10"/>
      <c r="I677" s="12"/>
      <c r="J677" s="13"/>
    </row>
    <row r="678" spans="1:10" ht="75" customHeight="1">
      <c r="A678" s="7"/>
      <c r="B678" s="16"/>
      <c r="C678" s="9"/>
      <c r="D678" s="10"/>
      <c r="E678" s="10"/>
      <c r="F678" s="10"/>
      <c r="G678" s="10"/>
      <c r="H678" s="10"/>
      <c r="I678" s="12"/>
      <c r="J678" s="13"/>
    </row>
    <row r="679" spans="1:10" ht="75" customHeight="1">
      <c r="A679" s="7"/>
      <c r="B679" s="16"/>
      <c r="C679" s="9"/>
      <c r="D679" s="10"/>
      <c r="E679" s="10"/>
      <c r="F679" s="10"/>
      <c r="G679" s="10"/>
      <c r="H679" s="10"/>
      <c r="I679" s="12"/>
      <c r="J679" s="13"/>
    </row>
    <row r="680" spans="1:10" ht="75" customHeight="1">
      <c r="A680" s="7"/>
      <c r="B680" s="16"/>
      <c r="C680" s="9"/>
      <c r="D680" s="10"/>
      <c r="E680" s="10"/>
      <c r="F680" s="10"/>
      <c r="G680" s="10"/>
      <c r="H680" s="10"/>
      <c r="I680" s="12"/>
      <c r="J680" s="13"/>
    </row>
    <row r="681" spans="1:10" ht="75" customHeight="1">
      <c r="A681" s="7"/>
      <c r="B681" s="16"/>
      <c r="C681" s="9"/>
      <c r="D681" s="10"/>
      <c r="E681" s="10"/>
      <c r="F681" s="10"/>
      <c r="G681" s="10"/>
      <c r="H681" s="10"/>
      <c r="I681" s="12"/>
      <c r="J681" s="13"/>
    </row>
    <row r="682" spans="1:10" ht="75" customHeight="1">
      <c r="A682" s="7"/>
      <c r="B682" s="16"/>
      <c r="C682" s="9"/>
      <c r="D682" s="10"/>
      <c r="E682" s="10"/>
      <c r="F682" s="10"/>
      <c r="G682" s="10"/>
      <c r="H682" s="10"/>
      <c r="I682" s="12"/>
      <c r="J682" s="13"/>
    </row>
    <row r="683" spans="1:10" ht="75" customHeight="1">
      <c r="A683" s="7"/>
      <c r="B683" s="16"/>
      <c r="C683" s="9"/>
      <c r="D683" s="10"/>
      <c r="E683" s="10"/>
      <c r="F683" s="10"/>
      <c r="G683" s="10"/>
      <c r="H683" s="10"/>
      <c r="I683" s="12"/>
      <c r="J683" s="13"/>
    </row>
    <row r="684" spans="1:10" ht="75" customHeight="1">
      <c r="A684" s="7"/>
      <c r="B684" s="16"/>
      <c r="C684" s="9"/>
      <c r="D684" s="10"/>
      <c r="E684" s="10"/>
      <c r="F684" s="10"/>
      <c r="G684" s="10"/>
      <c r="H684" s="10"/>
      <c r="I684" s="12"/>
      <c r="J684" s="13"/>
    </row>
    <row r="685" spans="1:10" ht="75" customHeight="1">
      <c r="A685" s="7"/>
      <c r="B685" s="16"/>
      <c r="C685" s="9"/>
      <c r="D685" s="10"/>
      <c r="E685" s="10"/>
      <c r="F685" s="10"/>
      <c r="G685" s="10"/>
      <c r="H685" s="10"/>
      <c r="I685" s="12"/>
      <c r="J685" s="13"/>
    </row>
    <row r="686" spans="1:10" ht="75" customHeight="1">
      <c r="A686" s="7"/>
      <c r="B686" s="16"/>
      <c r="C686" s="9"/>
      <c r="D686" s="10"/>
      <c r="E686" s="10"/>
      <c r="F686" s="10"/>
      <c r="G686" s="10"/>
      <c r="H686" s="10"/>
      <c r="I686" s="12"/>
      <c r="J686" s="13"/>
    </row>
    <row r="687" spans="1:10" ht="75" customHeight="1">
      <c r="A687" s="7"/>
      <c r="B687" s="16"/>
      <c r="C687" s="9"/>
      <c r="D687" s="10"/>
      <c r="E687" s="10"/>
      <c r="F687" s="10"/>
      <c r="G687" s="10"/>
      <c r="H687" s="10"/>
      <c r="I687" s="12"/>
      <c r="J687" s="13"/>
    </row>
    <row r="688" spans="1:10" ht="75" customHeight="1">
      <c r="A688" s="7"/>
      <c r="B688" s="16"/>
      <c r="C688" s="9"/>
      <c r="D688" s="10"/>
      <c r="E688" s="10"/>
      <c r="F688" s="10"/>
      <c r="G688" s="10"/>
      <c r="H688" s="10"/>
      <c r="I688" s="12"/>
      <c r="J688" s="13"/>
    </row>
    <row r="689" spans="1:10" ht="75" customHeight="1">
      <c r="A689" s="7"/>
      <c r="B689" s="16"/>
      <c r="C689" s="9"/>
      <c r="D689" s="10"/>
      <c r="E689" s="10"/>
      <c r="F689" s="10"/>
      <c r="G689" s="10"/>
      <c r="H689" s="10"/>
      <c r="I689" s="12"/>
      <c r="J689" s="13"/>
    </row>
    <row r="690" spans="1:10" ht="75" customHeight="1">
      <c r="A690" s="7"/>
      <c r="B690" s="16"/>
      <c r="C690" s="9"/>
      <c r="D690" s="10"/>
      <c r="E690" s="10"/>
      <c r="F690" s="10"/>
      <c r="G690" s="10"/>
      <c r="H690" s="10"/>
      <c r="I690" s="12"/>
      <c r="J690" s="13"/>
    </row>
    <row r="691" spans="1:10" ht="75" customHeight="1">
      <c r="A691" s="7"/>
      <c r="B691" s="16"/>
      <c r="C691" s="9"/>
      <c r="D691" s="10"/>
      <c r="E691" s="10"/>
      <c r="F691" s="10"/>
      <c r="G691" s="10"/>
      <c r="H691" s="10"/>
      <c r="I691" s="12"/>
      <c r="J691" s="13"/>
    </row>
    <row r="692" spans="1:10" ht="75" customHeight="1">
      <c r="A692" s="7"/>
      <c r="B692" s="16"/>
      <c r="C692" s="9"/>
      <c r="D692" s="10"/>
      <c r="E692" s="10"/>
      <c r="F692" s="10"/>
      <c r="G692" s="10"/>
      <c r="H692" s="10"/>
      <c r="I692" s="12"/>
      <c r="J692" s="13"/>
    </row>
    <row r="693" spans="1:10" ht="75" customHeight="1">
      <c r="A693" s="7"/>
      <c r="B693" s="16"/>
      <c r="C693" s="9"/>
      <c r="D693" s="10"/>
      <c r="E693" s="10"/>
      <c r="F693" s="10"/>
      <c r="G693" s="10"/>
      <c r="H693" s="10"/>
      <c r="I693" s="12"/>
      <c r="J693" s="13"/>
    </row>
    <row r="694" spans="1:10" ht="75" customHeight="1">
      <c r="A694" s="7"/>
      <c r="B694" s="16"/>
      <c r="C694" s="9"/>
      <c r="D694" s="10"/>
      <c r="E694" s="10"/>
      <c r="F694" s="10"/>
      <c r="G694" s="10"/>
      <c r="H694" s="10"/>
      <c r="I694" s="12"/>
      <c r="J694" s="13"/>
    </row>
    <row r="695" spans="1:10" ht="75" customHeight="1">
      <c r="A695" s="7"/>
      <c r="B695" s="16"/>
      <c r="C695" s="9"/>
      <c r="D695" s="10"/>
      <c r="E695" s="10"/>
      <c r="F695" s="10"/>
      <c r="G695" s="10"/>
      <c r="H695" s="10"/>
      <c r="I695" s="12"/>
      <c r="J695" s="13"/>
    </row>
    <row r="696" spans="1:10" ht="75" customHeight="1">
      <c r="A696" s="7"/>
      <c r="B696" s="16"/>
      <c r="C696" s="9"/>
      <c r="D696" s="10"/>
      <c r="E696" s="10"/>
      <c r="F696" s="10"/>
      <c r="G696" s="10"/>
      <c r="H696" s="10"/>
      <c r="I696" s="12"/>
      <c r="J696" s="13"/>
    </row>
    <row r="697" spans="1:10" ht="75" customHeight="1">
      <c r="A697" s="7"/>
      <c r="B697" s="16"/>
      <c r="C697" s="9"/>
      <c r="D697" s="10"/>
      <c r="E697" s="10"/>
      <c r="F697" s="10"/>
      <c r="G697" s="10"/>
      <c r="H697" s="10"/>
      <c r="I697" s="12"/>
      <c r="J697" s="13"/>
    </row>
    <row r="698" spans="1:10" ht="75" customHeight="1">
      <c r="A698" s="7"/>
      <c r="B698" s="16"/>
      <c r="C698" s="9"/>
      <c r="D698" s="10"/>
      <c r="E698" s="10"/>
      <c r="F698" s="10"/>
      <c r="G698" s="10"/>
      <c r="H698" s="10"/>
      <c r="I698" s="12"/>
      <c r="J698" s="13"/>
    </row>
    <row r="699" spans="1:10" ht="75" customHeight="1">
      <c r="A699" s="7"/>
      <c r="B699" s="16"/>
      <c r="C699" s="9"/>
      <c r="D699" s="10"/>
      <c r="E699" s="10"/>
      <c r="F699" s="10"/>
      <c r="G699" s="10"/>
      <c r="H699" s="10"/>
      <c r="I699" s="12"/>
      <c r="J699" s="13"/>
    </row>
    <row r="700" spans="1:10" ht="75" customHeight="1">
      <c r="A700" s="7"/>
      <c r="B700" s="16"/>
      <c r="C700" s="9"/>
      <c r="D700" s="10"/>
      <c r="E700" s="10"/>
      <c r="F700" s="10"/>
      <c r="G700" s="10"/>
      <c r="H700" s="10"/>
      <c r="I700" s="12"/>
      <c r="J700" s="13"/>
    </row>
    <row r="701" spans="1:10" ht="75" customHeight="1">
      <c r="A701" s="7"/>
      <c r="B701" s="16"/>
      <c r="C701" s="9"/>
      <c r="D701" s="10"/>
      <c r="E701" s="10"/>
      <c r="F701" s="10"/>
      <c r="G701" s="10"/>
      <c r="H701" s="10"/>
      <c r="I701" s="12"/>
      <c r="J701" s="13"/>
    </row>
    <row r="702" spans="1:10" ht="75" customHeight="1">
      <c r="A702" s="7"/>
      <c r="B702" s="16"/>
      <c r="C702" s="9"/>
      <c r="D702" s="10"/>
      <c r="E702" s="10"/>
      <c r="F702" s="10"/>
      <c r="G702" s="10"/>
      <c r="H702" s="10"/>
      <c r="I702" s="12"/>
      <c r="J702" s="13"/>
    </row>
    <row r="703" spans="1:10" ht="75" customHeight="1">
      <c r="A703" s="7"/>
      <c r="B703" s="16"/>
      <c r="C703" s="9"/>
      <c r="D703" s="10"/>
      <c r="E703" s="10"/>
      <c r="F703" s="10"/>
      <c r="G703" s="10"/>
      <c r="H703" s="10"/>
      <c r="I703" s="12"/>
      <c r="J703" s="13"/>
    </row>
    <row r="704" spans="1:10" ht="75" customHeight="1">
      <c r="A704" s="7"/>
      <c r="B704" s="16"/>
      <c r="C704" s="9"/>
      <c r="D704" s="10"/>
      <c r="E704" s="10"/>
      <c r="F704" s="10"/>
      <c r="G704" s="10"/>
      <c r="H704" s="10"/>
      <c r="I704" s="12"/>
      <c r="J704" s="13"/>
    </row>
    <row r="705" spans="1:10" ht="75" customHeight="1">
      <c r="A705" s="7"/>
      <c r="B705" s="16"/>
      <c r="C705" s="9"/>
      <c r="D705" s="10"/>
      <c r="E705" s="10"/>
      <c r="F705" s="10"/>
      <c r="G705" s="10"/>
      <c r="H705" s="10"/>
      <c r="I705" s="12"/>
      <c r="J705" s="13"/>
    </row>
    <row r="706" spans="1:10" ht="75" customHeight="1">
      <c r="A706" s="7"/>
      <c r="B706" s="16"/>
      <c r="C706" s="9"/>
      <c r="D706" s="10"/>
      <c r="E706" s="10"/>
      <c r="F706" s="10"/>
      <c r="G706" s="10"/>
      <c r="H706" s="10"/>
      <c r="I706" s="12"/>
      <c r="J706" s="13"/>
    </row>
    <row r="707" spans="1:10" ht="75" customHeight="1">
      <c r="A707" s="7"/>
      <c r="B707" s="16"/>
      <c r="C707" s="9"/>
      <c r="D707" s="10"/>
      <c r="E707" s="10"/>
      <c r="F707" s="10"/>
      <c r="G707" s="10"/>
      <c r="H707" s="10"/>
      <c r="I707" s="12"/>
      <c r="J707" s="13"/>
    </row>
    <row r="708" spans="1:10" ht="75" customHeight="1">
      <c r="A708" s="7"/>
      <c r="B708" s="16"/>
      <c r="C708" s="9"/>
      <c r="D708" s="10"/>
      <c r="E708" s="10"/>
      <c r="F708" s="10"/>
      <c r="G708" s="10"/>
      <c r="H708" s="10"/>
      <c r="I708" s="12"/>
      <c r="J708" s="13"/>
    </row>
    <row r="709" spans="1:10" ht="75" customHeight="1">
      <c r="A709" s="7"/>
      <c r="B709" s="16"/>
      <c r="C709" s="9"/>
      <c r="D709" s="10"/>
      <c r="E709" s="10"/>
      <c r="F709" s="10"/>
      <c r="G709" s="10"/>
      <c r="H709" s="10"/>
      <c r="I709" s="12"/>
      <c r="J709" s="13"/>
    </row>
    <row r="710" spans="1:10" ht="75" customHeight="1">
      <c r="A710" s="7"/>
      <c r="B710" s="16"/>
      <c r="C710" s="9"/>
      <c r="D710" s="10"/>
      <c r="E710" s="10"/>
      <c r="F710" s="10"/>
      <c r="G710" s="10"/>
      <c r="H710" s="10"/>
      <c r="I710" s="12"/>
      <c r="J710" s="13"/>
    </row>
    <row r="711" spans="1:10" ht="75" customHeight="1">
      <c r="A711" s="7"/>
      <c r="B711" s="16"/>
      <c r="C711" s="9"/>
      <c r="D711" s="10"/>
      <c r="E711" s="10"/>
      <c r="F711" s="10"/>
      <c r="G711" s="10"/>
      <c r="H711" s="10"/>
      <c r="I711" s="12"/>
      <c r="J711" s="13"/>
    </row>
    <row r="712" spans="1:10" ht="75" customHeight="1">
      <c r="A712" s="7"/>
      <c r="B712" s="16"/>
      <c r="C712" s="9"/>
      <c r="D712" s="10"/>
      <c r="E712" s="10"/>
      <c r="F712" s="10"/>
      <c r="G712" s="10"/>
      <c r="H712" s="10"/>
      <c r="I712" s="12"/>
      <c r="J712" s="13"/>
    </row>
    <row r="713" spans="1:10" ht="75" customHeight="1">
      <c r="A713" s="7"/>
      <c r="B713" s="16"/>
      <c r="C713" s="9"/>
      <c r="D713" s="10"/>
      <c r="E713" s="10"/>
      <c r="F713" s="10"/>
      <c r="G713" s="10"/>
      <c r="H713" s="10"/>
      <c r="I713" s="12"/>
      <c r="J713" s="13"/>
    </row>
    <row r="714" spans="1:10" ht="75" customHeight="1">
      <c r="A714" s="7"/>
      <c r="B714" s="16"/>
      <c r="C714" s="9"/>
      <c r="D714" s="10"/>
      <c r="E714" s="10"/>
      <c r="F714" s="10"/>
      <c r="G714" s="10"/>
      <c r="H714" s="10"/>
      <c r="I714" s="12"/>
      <c r="J714" s="13"/>
    </row>
    <row r="715" spans="1:10" ht="75" customHeight="1">
      <c r="A715" s="7"/>
      <c r="B715" s="16"/>
      <c r="C715" s="9"/>
      <c r="D715" s="10"/>
      <c r="E715" s="10"/>
      <c r="F715" s="10"/>
      <c r="G715" s="10"/>
      <c r="H715" s="10"/>
      <c r="I715" s="12"/>
      <c r="J715" s="13"/>
    </row>
    <row r="716" spans="1:10" ht="75" customHeight="1">
      <c r="A716" s="7"/>
      <c r="B716" s="16"/>
      <c r="C716" s="9"/>
      <c r="D716" s="10"/>
      <c r="E716" s="10"/>
      <c r="F716" s="10"/>
      <c r="G716" s="10"/>
      <c r="H716" s="10"/>
      <c r="I716" s="12"/>
      <c r="J716" s="13"/>
    </row>
    <row r="717" spans="1:10" ht="75" customHeight="1">
      <c r="A717" s="7"/>
      <c r="B717" s="16"/>
      <c r="C717" s="9"/>
      <c r="D717" s="10"/>
      <c r="E717" s="10"/>
      <c r="F717" s="10"/>
      <c r="G717" s="10"/>
      <c r="H717" s="10"/>
      <c r="I717" s="12"/>
      <c r="J717" s="13"/>
    </row>
    <row r="718" spans="1:10" ht="75" customHeight="1">
      <c r="A718" s="7"/>
      <c r="B718" s="16"/>
      <c r="C718" s="9"/>
      <c r="D718" s="10"/>
      <c r="E718" s="10"/>
      <c r="F718" s="10"/>
      <c r="G718" s="10"/>
      <c r="H718" s="10"/>
      <c r="I718" s="12"/>
      <c r="J718" s="13"/>
    </row>
    <row r="719" spans="1:10" ht="75" customHeight="1">
      <c r="A719" s="7"/>
      <c r="B719" s="16"/>
      <c r="C719" s="9"/>
      <c r="D719" s="10"/>
      <c r="E719" s="10"/>
      <c r="F719" s="10"/>
      <c r="G719" s="10"/>
      <c r="H719" s="10"/>
      <c r="I719" s="12"/>
      <c r="J719" s="13"/>
    </row>
    <row r="720" spans="1:10" ht="75" customHeight="1">
      <c r="A720" s="7"/>
      <c r="B720" s="16"/>
      <c r="C720" s="9"/>
      <c r="D720" s="10"/>
      <c r="E720" s="10"/>
      <c r="F720" s="10"/>
      <c r="G720" s="10"/>
      <c r="H720" s="10"/>
      <c r="I720" s="12"/>
      <c r="J720" s="13"/>
    </row>
    <row r="721" spans="1:10" ht="75" customHeight="1">
      <c r="A721" s="7"/>
      <c r="B721" s="16"/>
      <c r="C721" s="9"/>
      <c r="D721" s="10"/>
      <c r="E721" s="10"/>
      <c r="F721" s="10"/>
      <c r="G721" s="10"/>
      <c r="H721" s="10"/>
      <c r="I721" s="12"/>
      <c r="J721" s="13"/>
    </row>
    <row r="722" spans="1:10" ht="75" customHeight="1">
      <c r="A722" s="7"/>
      <c r="B722" s="16"/>
      <c r="C722" s="9"/>
      <c r="D722" s="10"/>
      <c r="E722" s="10"/>
      <c r="F722" s="10"/>
      <c r="G722" s="10"/>
      <c r="H722" s="10"/>
      <c r="I722" s="12"/>
      <c r="J722" s="13"/>
    </row>
    <row r="723" spans="1:10" ht="75" customHeight="1">
      <c r="A723" s="7"/>
      <c r="B723" s="16"/>
      <c r="C723" s="9"/>
      <c r="D723" s="10"/>
      <c r="E723" s="10"/>
      <c r="F723" s="10"/>
      <c r="G723" s="10"/>
      <c r="H723" s="10"/>
      <c r="I723" s="12"/>
      <c r="J723" s="13"/>
    </row>
    <row r="724" spans="1:10" ht="75" customHeight="1">
      <c r="A724" s="7"/>
      <c r="B724" s="16"/>
      <c r="C724" s="9"/>
      <c r="D724" s="10"/>
      <c r="E724" s="10"/>
      <c r="F724" s="10"/>
      <c r="G724" s="10"/>
      <c r="H724" s="10"/>
      <c r="I724" s="12"/>
      <c r="J724" s="13"/>
    </row>
    <row r="725" spans="1:10" ht="75" customHeight="1">
      <c r="A725" s="7"/>
      <c r="B725" s="16"/>
      <c r="C725" s="9"/>
      <c r="D725" s="10"/>
      <c r="E725" s="10"/>
      <c r="F725" s="10"/>
      <c r="G725" s="10"/>
      <c r="H725" s="10"/>
      <c r="I725" s="12"/>
      <c r="J725" s="13"/>
    </row>
    <row r="726" spans="1:10" ht="75" customHeight="1">
      <c r="A726" s="7"/>
      <c r="B726" s="16"/>
      <c r="C726" s="9"/>
      <c r="D726" s="10"/>
      <c r="E726" s="10"/>
      <c r="F726" s="10"/>
      <c r="G726" s="10"/>
      <c r="H726" s="10"/>
      <c r="I726" s="12"/>
      <c r="J726" s="13"/>
    </row>
    <row r="727" spans="1:10" ht="75" customHeight="1">
      <c r="A727" s="7"/>
      <c r="B727" s="16"/>
      <c r="C727" s="9"/>
      <c r="D727" s="10"/>
      <c r="E727" s="10"/>
      <c r="F727" s="10"/>
      <c r="G727" s="10"/>
      <c r="H727" s="10"/>
      <c r="I727" s="12"/>
      <c r="J727" s="13"/>
    </row>
    <row r="728" spans="1:10" ht="75" customHeight="1">
      <c r="A728" s="7"/>
      <c r="B728" s="16"/>
      <c r="C728" s="9"/>
      <c r="D728" s="10"/>
      <c r="E728" s="10"/>
      <c r="F728" s="10"/>
      <c r="G728" s="10"/>
      <c r="H728" s="10"/>
      <c r="I728" s="12"/>
      <c r="J728" s="13"/>
    </row>
    <row r="729" spans="1:10" ht="75" customHeight="1">
      <c r="A729" s="7"/>
      <c r="B729" s="16"/>
      <c r="C729" s="9"/>
      <c r="D729" s="10"/>
      <c r="E729" s="10"/>
      <c r="F729" s="10"/>
      <c r="G729" s="10"/>
      <c r="H729" s="10"/>
      <c r="I729" s="12"/>
      <c r="J729" s="13"/>
    </row>
    <row r="730" spans="1:10" ht="75" customHeight="1">
      <c r="A730" s="7"/>
      <c r="B730" s="16"/>
      <c r="C730" s="9"/>
      <c r="D730" s="10"/>
      <c r="E730" s="10"/>
      <c r="F730" s="10"/>
      <c r="G730" s="10"/>
      <c r="H730" s="10"/>
      <c r="I730" s="12"/>
      <c r="J730" s="13"/>
    </row>
    <row r="731" spans="1:10" ht="75" customHeight="1">
      <c r="A731" s="7"/>
      <c r="B731" s="16"/>
      <c r="C731" s="9"/>
      <c r="D731" s="10"/>
      <c r="E731" s="10"/>
      <c r="F731" s="10"/>
      <c r="G731" s="10"/>
      <c r="H731" s="10"/>
      <c r="I731" s="12"/>
      <c r="J731" s="13"/>
    </row>
    <row r="732" spans="1:10" ht="75" customHeight="1">
      <c r="A732" s="7"/>
      <c r="B732" s="16"/>
      <c r="C732" s="9"/>
      <c r="D732" s="10"/>
      <c r="E732" s="10"/>
      <c r="F732" s="10"/>
      <c r="G732" s="10"/>
      <c r="H732" s="10"/>
      <c r="I732" s="12"/>
      <c r="J732" s="13"/>
    </row>
    <row r="733" spans="1:10" ht="75" customHeight="1">
      <c r="A733" s="7"/>
      <c r="B733" s="16"/>
      <c r="C733" s="9"/>
      <c r="D733" s="10"/>
      <c r="E733" s="10"/>
      <c r="F733" s="10"/>
      <c r="G733" s="10"/>
      <c r="H733" s="10"/>
      <c r="I733" s="12"/>
      <c r="J733" s="13"/>
    </row>
    <row r="734" spans="1:10" ht="75" customHeight="1">
      <c r="A734" s="7"/>
      <c r="B734" s="16"/>
      <c r="C734" s="9"/>
      <c r="D734" s="10"/>
      <c r="E734" s="10"/>
      <c r="F734" s="10"/>
      <c r="G734" s="10"/>
      <c r="H734" s="10"/>
      <c r="I734" s="12"/>
      <c r="J734" s="13"/>
    </row>
    <row r="735" spans="1:10" ht="75" customHeight="1">
      <c r="A735" s="7"/>
      <c r="B735" s="16"/>
      <c r="C735" s="9"/>
      <c r="D735" s="10"/>
      <c r="E735" s="10"/>
      <c r="F735" s="10"/>
      <c r="G735" s="10"/>
      <c r="H735" s="10"/>
      <c r="I735" s="12"/>
      <c r="J735" s="13"/>
    </row>
    <row r="736" spans="1:10" ht="75" customHeight="1">
      <c r="A736" s="7"/>
      <c r="B736" s="16"/>
      <c r="C736" s="9"/>
      <c r="D736" s="10"/>
      <c r="E736" s="10"/>
      <c r="F736" s="10"/>
      <c r="G736" s="10"/>
      <c r="H736" s="10"/>
      <c r="I736" s="12"/>
      <c r="J736" s="13"/>
    </row>
    <row r="737" spans="1:10" ht="75" customHeight="1">
      <c r="A737" s="7"/>
      <c r="B737" s="16"/>
      <c r="C737" s="9"/>
      <c r="D737" s="10"/>
      <c r="E737" s="10"/>
      <c r="F737" s="10"/>
      <c r="G737" s="10"/>
      <c r="H737" s="10"/>
      <c r="I737" s="12"/>
      <c r="J737" s="13"/>
    </row>
    <row r="738" spans="1:10" ht="75" customHeight="1">
      <c r="A738" s="7"/>
      <c r="B738" s="16"/>
      <c r="C738" s="9"/>
      <c r="D738" s="10"/>
      <c r="E738" s="10"/>
      <c r="F738" s="10"/>
      <c r="G738" s="10"/>
      <c r="H738" s="10"/>
      <c r="I738" s="12"/>
      <c r="J738" s="13"/>
    </row>
    <row r="739" spans="1:10" ht="75" customHeight="1">
      <c r="A739" s="7"/>
      <c r="B739" s="16"/>
      <c r="C739" s="9"/>
      <c r="D739" s="10"/>
      <c r="E739" s="10"/>
      <c r="F739" s="10"/>
      <c r="G739" s="10"/>
      <c r="H739" s="10"/>
      <c r="I739" s="12"/>
      <c r="J739" s="13"/>
    </row>
    <row r="740" spans="1:10" ht="75" customHeight="1">
      <c r="A740" s="7"/>
      <c r="B740" s="16"/>
      <c r="C740" s="9"/>
      <c r="D740" s="10"/>
      <c r="E740" s="10"/>
      <c r="F740" s="10"/>
      <c r="G740" s="10"/>
      <c r="H740" s="10"/>
      <c r="I740" s="12"/>
      <c r="J740" s="13"/>
    </row>
    <row r="741" spans="1:10" ht="75" customHeight="1">
      <c r="A741" s="7"/>
      <c r="B741" s="16"/>
      <c r="C741" s="9"/>
      <c r="D741" s="10"/>
      <c r="E741" s="10"/>
      <c r="F741" s="10"/>
      <c r="G741" s="10"/>
      <c r="H741" s="10"/>
      <c r="I741" s="12"/>
      <c r="J741" s="13"/>
    </row>
    <row r="742" spans="1:10" ht="75" customHeight="1">
      <c r="A742" s="7"/>
      <c r="B742" s="16"/>
      <c r="C742" s="9"/>
      <c r="D742" s="10"/>
      <c r="E742" s="10"/>
      <c r="F742" s="10"/>
      <c r="G742" s="10"/>
      <c r="H742" s="10"/>
      <c r="I742" s="12"/>
      <c r="J742" s="13"/>
    </row>
    <row r="743" spans="1:10" ht="75" customHeight="1">
      <c r="A743" s="7"/>
      <c r="B743" s="16"/>
      <c r="C743" s="9"/>
      <c r="D743" s="10"/>
      <c r="E743" s="10"/>
      <c r="F743" s="10"/>
      <c r="G743" s="10"/>
      <c r="H743" s="10"/>
      <c r="I743" s="12"/>
      <c r="J743" s="13"/>
    </row>
    <row r="744" spans="1:10" ht="75" customHeight="1">
      <c r="A744" s="7"/>
      <c r="B744" s="16"/>
      <c r="C744" s="9"/>
      <c r="D744" s="10"/>
      <c r="E744" s="10"/>
      <c r="F744" s="10"/>
      <c r="G744" s="10"/>
      <c r="H744" s="10"/>
      <c r="I744" s="12"/>
      <c r="J744" s="13"/>
    </row>
    <row r="745" spans="1:10" ht="75" customHeight="1">
      <c r="A745" s="7"/>
      <c r="B745" s="16"/>
      <c r="C745" s="9"/>
      <c r="D745" s="10"/>
      <c r="E745" s="10"/>
      <c r="F745" s="10"/>
      <c r="G745" s="10"/>
      <c r="H745" s="10"/>
      <c r="I745" s="12"/>
      <c r="J745" s="13"/>
    </row>
    <row r="746" spans="1:10" ht="75" customHeight="1">
      <c r="A746" s="7"/>
      <c r="B746" s="16"/>
      <c r="C746" s="9"/>
      <c r="D746" s="10"/>
      <c r="E746" s="10"/>
      <c r="F746" s="10"/>
      <c r="G746" s="10"/>
      <c r="H746" s="10"/>
      <c r="I746" s="12"/>
      <c r="J746" s="13"/>
    </row>
    <row r="747" spans="1:10" ht="75" customHeight="1">
      <c r="A747" s="7"/>
      <c r="B747" s="16"/>
      <c r="C747" s="9"/>
      <c r="D747" s="10"/>
      <c r="E747" s="10"/>
      <c r="F747" s="10"/>
      <c r="G747" s="10"/>
      <c r="H747" s="10"/>
      <c r="I747" s="12"/>
      <c r="J747" s="13"/>
    </row>
    <row r="748" spans="1:10" ht="75" customHeight="1">
      <c r="A748" s="7"/>
      <c r="B748" s="16"/>
      <c r="C748" s="9"/>
      <c r="D748" s="10"/>
      <c r="E748" s="10"/>
      <c r="F748" s="10"/>
      <c r="G748" s="10"/>
      <c r="H748" s="10"/>
      <c r="I748" s="12"/>
      <c r="J748" s="13"/>
    </row>
    <row r="749" spans="1:10" ht="75" customHeight="1">
      <c r="A749" s="7"/>
      <c r="B749" s="16"/>
      <c r="C749" s="9"/>
      <c r="D749" s="10"/>
      <c r="E749" s="10"/>
      <c r="F749" s="10"/>
      <c r="G749" s="10"/>
      <c r="H749" s="10"/>
      <c r="I749" s="12"/>
      <c r="J749" s="13"/>
    </row>
    <row r="750" spans="1:10" ht="75" customHeight="1">
      <c r="A750" s="7"/>
      <c r="B750" s="16"/>
      <c r="C750" s="9"/>
      <c r="D750" s="10"/>
      <c r="E750" s="10"/>
      <c r="F750" s="10"/>
      <c r="G750" s="10"/>
      <c r="H750" s="10"/>
      <c r="I750" s="12"/>
      <c r="J750" s="13"/>
    </row>
    <row r="751" spans="1:10" ht="75" customHeight="1">
      <c r="A751" s="7"/>
      <c r="B751" s="16"/>
      <c r="C751" s="9"/>
      <c r="D751" s="10"/>
      <c r="E751" s="10"/>
      <c r="F751" s="10"/>
      <c r="G751" s="10"/>
      <c r="H751" s="10"/>
      <c r="I751" s="12"/>
      <c r="J751" s="13"/>
    </row>
    <row r="752" spans="1:10" ht="75" customHeight="1">
      <c r="A752" s="7"/>
      <c r="B752" s="16"/>
      <c r="C752" s="9"/>
      <c r="D752" s="10"/>
      <c r="E752" s="10"/>
      <c r="F752" s="10"/>
      <c r="G752" s="10"/>
      <c r="H752" s="10"/>
      <c r="I752" s="12"/>
      <c r="J752" s="13"/>
    </row>
    <row r="753" spans="1:10" ht="75" customHeight="1">
      <c r="A753" s="7"/>
      <c r="B753" s="16"/>
      <c r="C753" s="9"/>
      <c r="D753" s="10"/>
      <c r="E753" s="10"/>
      <c r="F753" s="10"/>
      <c r="G753" s="10"/>
      <c r="H753" s="10"/>
      <c r="I753" s="12"/>
      <c r="J753" s="13"/>
    </row>
    <row r="754" spans="1:10" ht="75" customHeight="1">
      <c r="A754" s="7"/>
      <c r="B754" s="16"/>
      <c r="C754" s="9"/>
      <c r="D754" s="10"/>
      <c r="E754" s="10"/>
      <c r="F754" s="10"/>
      <c r="G754" s="10"/>
      <c r="H754" s="10"/>
      <c r="I754" s="12"/>
      <c r="J754" s="13"/>
    </row>
    <row r="755" spans="1:10" ht="75" customHeight="1">
      <c r="A755" s="7"/>
      <c r="B755" s="16"/>
      <c r="C755" s="9"/>
      <c r="D755" s="10"/>
      <c r="E755" s="10"/>
      <c r="F755" s="10"/>
      <c r="G755" s="10"/>
      <c r="H755" s="10"/>
      <c r="I755" s="12"/>
      <c r="J755" s="13"/>
    </row>
    <row r="756" spans="1:10" ht="75" customHeight="1">
      <c r="A756" s="7"/>
      <c r="B756" s="16"/>
      <c r="C756" s="9"/>
      <c r="D756" s="10"/>
      <c r="E756" s="10"/>
      <c r="F756" s="10"/>
      <c r="G756" s="10"/>
      <c r="H756" s="10"/>
      <c r="I756" s="12"/>
      <c r="J756" s="13"/>
    </row>
    <row r="757" spans="1:10" ht="75" customHeight="1">
      <c r="A757" s="7"/>
      <c r="B757" s="16"/>
      <c r="C757" s="9"/>
      <c r="D757" s="10"/>
      <c r="E757" s="10"/>
      <c r="F757" s="10"/>
      <c r="G757" s="10"/>
      <c r="H757" s="10"/>
      <c r="I757" s="12"/>
      <c r="J757" s="13"/>
    </row>
    <row r="758" spans="1:10" ht="75" customHeight="1">
      <c r="A758" s="7"/>
      <c r="B758" s="16"/>
      <c r="C758" s="9"/>
      <c r="D758" s="10"/>
      <c r="E758" s="10"/>
      <c r="F758" s="10"/>
      <c r="G758" s="10"/>
      <c r="H758" s="10"/>
      <c r="I758" s="12"/>
      <c r="J758" s="13"/>
    </row>
    <row r="759" spans="1:10" ht="75" customHeight="1">
      <c r="A759" s="7"/>
      <c r="B759" s="16"/>
      <c r="C759" s="9"/>
      <c r="D759" s="10"/>
      <c r="E759" s="10"/>
      <c r="F759" s="10"/>
      <c r="G759" s="10"/>
      <c r="H759" s="10"/>
      <c r="I759" s="12"/>
      <c r="J759" s="13"/>
    </row>
    <row r="760" spans="1:10" ht="75" customHeight="1">
      <c r="A760" s="7"/>
      <c r="B760" s="16"/>
      <c r="C760" s="9"/>
      <c r="D760" s="10"/>
      <c r="E760" s="10"/>
      <c r="F760" s="10"/>
      <c r="G760" s="10"/>
      <c r="H760" s="10"/>
      <c r="I760" s="12"/>
      <c r="J760" s="13"/>
    </row>
    <row r="761" spans="1:10" ht="75" customHeight="1">
      <c r="A761" s="7"/>
      <c r="B761" s="16"/>
      <c r="C761" s="9"/>
      <c r="D761" s="10"/>
      <c r="E761" s="10"/>
      <c r="F761" s="10"/>
      <c r="G761" s="10"/>
      <c r="H761" s="10"/>
      <c r="I761" s="12"/>
      <c r="J761" s="13"/>
    </row>
    <row r="762" spans="1:10" ht="75" customHeight="1">
      <c r="A762" s="7"/>
      <c r="B762" s="16"/>
      <c r="C762" s="9"/>
      <c r="D762" s="10"/>
      <c r="E762" s="10"/>
      <c r="F762" s="10"/>
      <c r="G762" s="10"/>
      <c r="H762" s="10"/>
      <c r="I762" s="12"/>
      <c r="J762" s="13"/>
    </row>
    <row r="763" spans="1:10" ht="75" customHeight="1">
      <c r="A763" s="7"/>
      <c r="B763" s="16"/>
      <c r="C763" s="9"/>
      <c r="D763" s="10"/>
      <c r="E763" s="10"/>
      <c r="F763" s="10"/>
      <c r="G763" s="10"/>
      <c r="H763" s="10"/>
      <c r="I763" s="12"/>
      <c r="J763" s="13"/>
    </row>
    <row r="764" spans="1:10" ht="75" customHeight="1">
      <c r="A764" s="7"/>
      <c r="B764" s="16"/>
      <c r="C764" s="9"/>
      <c r="D764" s="10"/>
      <c r="E764" s="10"/>
      <c r="F764" s="10"/>
      <c r="G764" s="10"/>
      <c r="H764" s="10"/>
      <c r="I764" s="12"/>
      <c r="J764" s="13"/>
    </row>
    <row r="765" spans="1:10" ht="75" customHeight="1">
      <c r="A765" s="7"/>
      <c r="B765" s="16"/>
      <c r="C765" s="9"/>
      <c r="D765" s="10"/>
      <c r="E765" s="10"/>
      <c r="F765" s="10"/>
      <c r="G765" s="10"/>
      <c r="H765" s="10"/>
      <c r="I765" s="12"/>
      <c r="J765" s="13"/>
    </row>
    <row r="766" spans="1:10" ht="75" customHeight="1">
      <c r="A766" s="7"/>
      <c r="B766" s="16"/>
      <c r="C766" s="9"/>
      <c r="D766" s="10"/>
      <c r="E766" s="10"/>
      <c r="F766" s="10"/>
      <c r="G766" s="10"/>
      <c r="H766" s="10"/>
      <c r="I766" s="12"/>
      <c r="J766" s="13"/>
    </row>
    <row r="767" spans="1:10" ht="75" customHeight="1">
      <c r="A767" s="7"/>
      <c r="B767" s="16"/>
      <c r="C767" s="9"/>
      <c r="D767" s="10"/>
      <c r="E767" s="10"/>
      <c r="F767" s="10"/>
      <c r="G767" s="10"/>
      <c r="H767" s="10"/>
      <c r="I767" s="12"/>
      <c r="J767" s="13"/>
    </row>
    <row r="768" spans="1:10" ht="75" customHeight="1">
      <c r="A768" s="7"/>
      <c r="B768" s="16"/>
      <c r="C768" s="9"/>
      <c r="D768" s="10"/>
      <c r="E768" s="10"/>
      <c r="F768" s="10"/>
      <c r="G768" s="10"/>
      <c r="H768" s="10"/>
      <c r="I768" s="12"/>
      <c r="J768" s="13"/>
    </row>
    <row r="769" spans="1:10" ht="75" customHeight="1">
      <c r="A769" s="7"/>
      <c r="B769" s="16"/>
      <c r="C769" s="9"/>
      <c r="D769" s="10"/>
      <c r="E769" s="10"/>
      <c r="F769" s="10"/>
      <c r="G769" s="10"/>
      <c r="H769" s="10"/>
      <c r="I769" s="12"/>
      <c r="J769" s="13"/>
    </row>
    <row r="770" spans="1:10" ht="75" customHeight="1">
      <c r="A770" s="7"/>
      <c r="B770" s="16"/>
      <c r="C770" s="9"/>
      <c r="D770" s="10"/>
      <c r="E770" s="10"/>
      <c r="F770" s="10"/>
      <c r="G770" s="10"/>
      <c r="H770" s="10"/>
      <c r="I770" s="12"/>
      <c r="J770" s="13"/>
    </row>
    <row r="771" spans="1:10" ht="75" customHeight="1">
      <c r="A771" s="7"/>
      <c r="B771" s="16"/>
      <c r="C771" s="9"/>
      <c r="D771" s="10"/>
      <c r="E771" s="10"/>
      <c r="F771" s="10"/>
      <c r="G771" s="10"/>
      <c r="H771" s="10"/>
      <c r="I771" s="12"/>
      <c r="J771" s="13"/>
    </row>
    <row r="772" spans="1:10" ht="75" customHeight="1">
      <c r="A772" s="7"/>
      <c r="B772" s="16"/>
      <c r="C772" s="9"/>
      <c r="D772" s="10"/>
      <c r="E772" s="10"/>
      <c r="F772" s="10"/>
      <c r="G772" s="10"/>
      <c r="H772" s="10"/>
      <c r="I772" s="12"/>
      <c r="J772" s="13"/>
    </row>
    <row r="773" spans="1:10" ht="75" customHeight="1">
      <c r="A773" s="7"/>
      <c r="B773" s="16"/>
      <c r="C773" s="9"/>
      <c r="D773" s="10"/>
      <c r="E773" s="10"/>
      <c r="F773" s="10"/>
      <c r="G773" s="10"/>
      <c r="H773" s="10"/>
      <c r="I773" s="12"/>
      <c r="J773" s="13"/>
    </row>
    <row r="774" spans="1:10" ht="75" customHeight="1">
      <c r="A774" s="7"/>
      <c r="B774" s="16"/>
      <c r="C774" s="9"/>
      <c r="D774" s="10"/>
      <c r="E774" s="10"/>
      <c r="F774" s="10"/>
      <c r="G774" s="10"/>
      <c r="H774" s="10"/>
      <c r="I774" s="12"/>
      <c r="J774" s="13"/>
    </row>
    <row r="775" spans="1:10" ht="75" customHeight="1">
      <c r="A775" s="7"/>
      <c r="B775" s="16"/>
      <c r="C775" s="9"/>
      <c r="D775" s="10"/>
      <c r="E775" s="10"/>
      <c r="F775" s="10"/>
      <c r="G775" s="10"/>
      <c r="H775" s="10"/>
      <c r="I775" s="12"/>
      <c r="J775" s="13"/>
    </row>
    <row r="776" spans="1:10" ht="75" customHeight="1">
      <c r="A776" s="7"/>
      <c r="B776" s="16"/>
      <c r="C776" s="9"/>
      <c r="D776" s="10"/>
      <c r="E776" s="10"/>
      <c r="F776" s="10"/>
      <c r="G776" s="10"/>
      <c r="H776" s="10"/>
      <c r="I776" s="12"/>
      <c r="J776" s="13"/>
    </row>
    <row r="777" spans="1:10" ht="75" customHeight="1">
      <c r="A777" s="7"/>
      <c r="B777" s="16"/>
      <c r="C777" s="9"/>
      <c r="D777" s="10"/>
      <c r="E777" s="10"/>
      <c r="F777" s="10"/>
      <c r="G777" s="10"/>
      <c r="H777" s="10"/>
      <c r="I777" s="12"/>
      <c r="J777" s="13"/>
    </row>
    <row r="778" spans="1:10" ht="75" customHeight="1">
      <c r="A778" s="7"/>
      <c r="B778" s="16"/>
      <c r="C778" s="9"/>
      <c r="D778" s="10"/>
      <c r="E778" s="10"/>
      <c r="F778" s="10"/>
      <c r="G778" s="10"/>
      <c r="H778" s="10"/>
      <c r="I778" s="12"/>
      <c r="J778" s="13"/>
    </row>
    <row r="779" spans="1:10" ht="75" customHeight="1">
      <c r="A779" s="7"/>
      <c r="B779" s="16"/>
      <c r="C779" s="9"/>
      <c r="D779" s="10"/>
      <c r="E779" s="10"/>
      <c r="F779" s="10"/>
      <c r="G779" s="10"/>
      <c r="H779" s="10"/>
      <c r="I779" s="12"/>
      <c r="J779" s="13"/>
    </row>
    <row r="780" spans="1:10" ht="75" customHeight="1">
      <c r="A780" s="7"/>
      <c r="B780" s="16"/>
      <c r="C780" s="9"/>
      <c r="D780" s="10"/>
      <c r="E780" s="10"/>
      <c r="F780" s="10"/>
      <c r="G780" s="10"/>
      <c r="H780" s="10"/>
      <c r="I780" s="12"/>
      <c r="J780" s="13"/>
    </row>
    <row r="781" spans="1:10" ht="75" customHeight="1">
      <c r="A781" s="7"/>
      <c r="B781" s="16"/>
      <c r="C781" s="9"/>
      <c r="D781" s="10"/>
      <c r="E781" s="10"/>
      <c r="F781" s="10"/>
      <c r="G781" s="10"/>
      <c r="H781" s="10"/>
      <c r="I781" s="12"/>
      <c r="J781" s="13"/>
    </row>
    <row r="782" spans="1:10" ht="75" customHeight="1">
      <c r="A782" s="7"/>
      <c r="B782" s="16"/>
      <c r="C782" s="9"/>
      <c r="D782" s="10"/>
      <c r="E782" s="10"/>
      <c r="F782" s="10"/>
      <c r="G782" s="10"/>
      <c r="H782" s="10"/>
      <c r="I782" s="12"/>
      <c r="J782" s="13"/>
    </row>
    <row r="783" spans="1:10" ht="75" customHeight="1">
      <c r="A783" s="7"/>
      <c r="B783" s="16"/>
      <c r="C783" s="9"/>
      <c r="D783" s="10"/>
      <c r="E783" s="10"/>
      <c r="F783" s="10"/>
      <c r="G783" s="10"/>
      <c r="H783" s="10"/>
      <c r="I783" s="12"/>
      <c r="J783" s="13"/>
    </row>
    <row r="784" spans="1:10" ht="75" customHeight="1">
      <c r="A784" s="7"/>
      <c r="B784" s="16"/>
      <c r="C784" s="9"/>
      <c r="D784" s="10"/>
      <c r="E784" s="10"/>
      <c r="F784" s="10"/>
      <c r="G784" s="10"/>
      <c r="H784" s="10"/>
      <c r="I784" s="12"/>
      <c r="J784" s="13"/>
    </row>
    <row r="785" spans="1:10" ht="75" customHeight="1">
      <c r="A785" s="7"/>
      <c r="B785" s="16"/>
      <c r="C785" s="9"/>
      <c r="D785" s="10"/>
      <c r="E785" s="10"/>
      <c r="F785" s="10"/>
      <c r="G785" s="10"/>
      <c r="H785" s="10"/>
      <c r="I785" s="12"/>
      <c r="J785" s="13"/>
    </row>
    <row r="786" spans="1:10" ht="75" customHeight="1">
      <c r="A786" s="7"/>
      <c r="B786" s="16"/>
      <c r="C786" s="9"/>
      <c r="D786" s="10"/>
      <c r="E786" s="10"/>
      <c r="F786" s="10"/>
      <c r="G786" s="10"/>
      <c r="H786" s="10"/>
      <c r="I786" s="12"/>
      <c r="J786" s="13"/>
    </row>
    <row r="787" spans="1:10" ht="75" customHeight="1">
      <c r="A787" s="7"/>
      <c r="B787" s="16"/>
      <c r="C787" s="9"/>
      <c r="D787" s="10"/>
      <c r="E787" s="10"/>
      <c r="F787" s="10"/>
      <c r="G787" s="10"/>
      <c r="H787" s="10"/>
      <c r="I787" s="12"/>
      <c r="J787" s="13"/>
    </row>
    <row r="788" spans="1:10" ht="75" customHeight="1">
      <c r="A788" s="7"/>
      <c r="B788" s="16"/>
      <c r="C788" s="9"/>
      <c r="D788" s="10"/>
      <c r="E788" s="10"/>
      <c r="F788" s="10"/>
      <c r="G788" s="10"/>
      <c r="H788" s="10"/>
      <c r="I788" s="12"/>
      <c r="J788" s="13"/>
    </row>
    <row r="789" spans="1:10" ht="75" customHeight="1">
      <c r="A789" s="7"/>
      <c r="B789" s="16"/>
      <c r="C789" s="9"/>
      <c r="D789" s="10"/>
      <c r="E789" s="10"/>
      <c r="F789" s="10"/>
      <c r="G789" s="10"/>
      <c r="H789" s="10"/>
      <c r="I789" s="12"/>
      <c r="J789" s="13"/>
    </row>
    <row r="790" spans="1:10" ht="75" customHeight="1">
      <c r="A790" s="7"/>
      <c r="B790" s="16"/>
      <c r="C790" s="9"/>
      <c r="D790" s="10"/>
      <c r="E790" s="10"/>
      <c r="F790" s="10"/>
      <c r="G790" s="10"/>
      <c r="H790" s="10"/>
      <c r="I790" s="12"/>
      <c r="J790" s="13"/>
    </row>
    <row r="791" spans="1:10" ht="75" customHeight="1">
      <c r="A791" s="7"/>
      <c r="B791" s="16"/>
      <c r="C791" s="9"/>
      <c r="D791" s="10"/>
      <c r="E791" s="10"/>
      <c r="F791" s="10"/>
      <c r="G791" s="10"/>
      <c r="H791" s="10"/>
      <c r="I791" s="12"/>
      <c r="J791" s="13"/>
    </row>
    <row r="792" spans="1:10" ht="75" customHeight="1">
      <c r="A792" s="7"/>
      <c r="B792" s="16"/>
      <c r="C792" s="9"/>
      <c r="D792" s="10"/>
      <c r="E792" s="10"/>
      <c r="F792" s="10"/>
      <c r="G792" s="10"/>
      <c r="H792" s="10"/>
      <c r="I792" s="12"/>
      <c r="J792" s="13"/>
    </row>
    <row r="793" spans="1:10" ht="75" customHeight="1">
      <c r="A793" s="7"/>
      <c r="B793" s="16"/>
      <c r="C793" s="9"/>
      <c r="D793" s="10"/>
      <c r="E793" s="10"/>
      <c r="F793" s="10"/>
      <c r="G793" s="10"/>
      <c r="H793" s="10"/>
      <c r="I793" s="12"/>
      <c r="J793" s="13"/>
    </row>
    <row r="794" spans="1:10" ht="75" customHeight="1">
      <c r="A794" s="7"/>
      <c r="B794" s="16"/>
      <c r="C794" s="9"/>
      <c r="D794" s="10"/>
      <c r="E794" s="10"/>
      <c r="F794" s="10"/>
      <c r="G794" s="10"/>
      <c r="H794" s="10"/>
      <c r="I794" s="12"/>
      <c r="J794" s="13"/>
    </row>
    <row r="795" spans="1:10" ht="75" customHeight="1">
      <c r="A795" s="7"/>
      <c r="B795" s="16"/>
      <c r="C795" s="9"/>
      <c r="D795" s="10"/>
      <c r="E795" s="10"/>
      <c r="F795" s="10"/>
      <c r="G795" s="10"/>
      <c r="H795" s="10"/>
      <c r="I795" s="12"/>
      <c r="J795" s="13"/>
    </row>
    <row r="796" spans="1:10" ht="75" customHeight="1">
      <c r="A796" s="7"/>
      <c r="B796" s="16"/>
      <c r="C796" s="9"/>
      <c r="D796" s="10"/>
      <c r="E796" s="10"/>
      <c r="F796" s="10"/>
      <c r="G796" s="10"/>
      <c r="H796" s="10"/>
      <c r="I796" s="12"/>
      <c r="J796" s="13"/>
    </row>
    <row r="797" spans="1:10" ht="75" customHeight="1">
      <c r="A797" s="7"/>
      <c r="B797" s="16"/>
      <c r="C797" s="9"/>
      <c r="D797" s="10"/>
      <c r="E797" s="10"/>
      <c r="F797" s="10"/>
      <c r="G797" s="10"/>
      <c r="H797" s="10"/>
      <c r="I797" s="12"/>
      <c r="J797" s="13"/>
    </row>
    <row r="798" spans="1:10" ht="75" customHeight="1">
      <c r="A798" s="7"/>
      <c r="B798" s="16"/>
      <c r="C798" s="9"/>
      <c r="D798" s="10"/>
      <c r="E798" s="10"/>
      <c r="F798" s="10"/>
      <c r="G798" s="10"/>
      <c r="H798" s="10"/>
      <c r="I798" s="12"/>
      <c r="J798" s="13"/>
    </row>
    <row r="799" spans="1:10" ht="75" customHeight="1">
      <c r="A799" s="7"/>
      <c r="B799" s="16"/>
      <c r="C799" s="9"/>
      <c r="D799" s="10"/>
      <c r="E799" s="10"/>
      <c r="F799" s="10"/>
      <c r="G799" s="10"/>
      <c r="H799" s="10"/>
      <c r="I799" s="12"/>
      <c r="J799" s="13"/>
    </row>
    <row r="800" spans="1:10" ht="75" customHeight="1">
      <c r="A800" s="7"/>
      <c r="B800" s="16"/>
      <c r="C800" s="9"/>
      <c r="D800" s="10"/>
      <c r="E800" s="10"/>
      <c r="F800" s="10"/>
      <c r="G800" s="10"/>
      <c r="H800" s="10"/>
      <c r="I800" s="12"/>
      <c r="J800" s="13"/>
    </row>
    <row r="801" spans="1:10" ht="75" customHeight="1">
      <c r="A801" s="7"/>
      <c r="B801" s="16"/>
      <c r="C801" s="9"/>
      <c r="D801" s="10"/>
      <c r="E801" s="10"/>
      <c r="F801" s="10"/>
      <c r="G801" s="10"/>
      <c r="H801" s="10"/>
      <c r="I801" s="12"/>
      <c r="J801" s="13"/>
    </row>
    <row r="802" spans="1:10" ht="75" customHeight="1">
      <c r="A802" s="7"/>
      <c r="B802" s="16"/>
      <c r="C802" s="9"/>
      <c r="D802" s="10"/>
      <c r="E802" s="10"/>
      <c r="F802" s="10"/>
      <c r="G802" s="10"/>
      <c r="H802" s="10"/>
      <c r="I802" s="12"/>
      <c r="J802" s="13"/>
    </row>
    <row r="803" spans="1:10" ht="75" customHeight="1">
      <c r="A803" s="7"/>
      <c r="B803" s="16"/>
      <c r="C803" s="9"/>
      <c r="D803" s="10"/>
      <c r="E803" s="10"/>
      <c r="F803" s="10"/>
      <c r="G803" s="10"/>
      <c r="H803" s="10"/>
      <c r="I803" s="12"/>
      <c r="J803" s="13"/>
    </row>
    <row r="804" spans="1:10" ht="75" customHeight="1">
      <c r="A804" s="7"/>
      <c r="B804" s="16"/>
      <c r="C804" s="9"/>
      <c r="D804" s="10"/>
      <c r="E804" s="10"/>
      <c r="F804" s="10"/>
      <c r="G804" s="10"/>
      <c r="H804" s="10"/>
      <c r="I804" s="12"/>
      <c r="J804" s="13"/>
    </row>
    <row r="805" spans="1:10" ht="75" customHeight="1">
      <c r="A805" s="7"/>
      <c r="B805" s="16"/>
      <c r="C805" s="9"/>
      <c r="D805" s="10"/>
      <c r="E805" s="10"/>
      <c r="F805" s="10"/>
      <c r="G805" s="10"/>
      <c r="H805" s="10"/>
      <c r="I805" s="12"/>
      <c r="J805" s="13"/>
    </row>
    <row r="806" spans="1:10" ht="75" customHeight="1">
      <c r="A806" s="7"/>
      <c r="B806" s="16"/>
      <c r="C806" s="9"/>
      <c r="D806" s="10"/>
      <c r="E806" s="10"/>
      <c r="F806" s="10"/>
      <c r="G806" s="10"/>
      <c r="H806" s="10"/>
      <c r="I806" s="12"/>
      <c r="J806" s="13"/>
    </row>
    <row r="807" spans="1:10" ht="75" customHeight="1">
      <c r="A807" s="7"/>
      <c r="B807" s="16"/>
      <c r="C807" s="9"/>
      <c r="D807" s="10"/>
      <c r="E807" s="10"/>
      <c r="F807" s="10"/>
      <c r="G807" s="10"/>
      <c r="H807" s="10"/>
      <c r="I807" s="12"/>
      <c r="J807" s="13"/>
    </row>
    <row r="808" spans="1:10" ht="75" customHeight="1">
      <c r="A808" s="7"/>
      <c r="B808" s="16"/>
      <c r="C808" s="9"/>
      <c r="D808" s="10"/>
      <c r="E808" s="10"/>
      <c r="F808" s="10"/>
      <c r="G808" s="10"/>
      <c r="H808" s="10"/>
      <c r="I808" s="12"/>
      <c r="J808" s="13"/>
    </row>
    <row r="809" spans="1:10" ht="75" customHeight="1">
      <c r="A809" s="7"/>
      <c r="B809" s="16"/>
      <c r="C809" s="9"/>
      <c r="D809" s="10"/>
      <c r="E809" s="10"/>
      <c r="F809" s="10"/>
      <c r="G809" s="10"/>
      <c r="H809" s="10"/>
      <c r="I809" s="12"/>
      <c r="J809" s="13"/>
    </row>
    <row r="810" spans="1:10" ht="75" customHeight="1">
      <c r="A810" s="7"/>
      <c r="B810" s="16"/>
      <c r="C810" s="9"/>
      <c r="D810" s="10"/>
      <c r="E810" s="10"/>
      <c r="F810" s="10"/>
      <c r="G810" s="10"/>
      <c r="H810" s="10"/>
      <c r="I810" s="12"/>
      <c r="J810" s="13"/>
    </row>
    <row r="811" spans="1:10" ht="75" customHeight="1">
      <c r="A811" s="7"/>
      <c r="B811" s="16"/>
      <c r="C811" s="9"/>
      <c r="D811" s="10"/>
      <c r="E811" s="10"/>
      <c r="F811" s="10"/>
      <c r="G811" s="10"/>
      <c r="H811" s="10"/>
      <c r="I811" s="12"/>
      <c r="J811" s="13"/>
    </row>
    <row r="812" spans="1:10" ht="75" customHeight="1">
      <c r="A812" s="7"/>
      <c r="B812" s="16"/>
      <c r="C812" s="9"/>
      <c r="D812" s="10"/>
      <c r="E812" s="10"/>
      <c r="F812" s="10"/>
      <c r="G812" s="10"/>
      <c r="H812" s="10"/>
      <c r="I812" s="12"/>
      <c r="J812" s="13"/>
    </row>
    <row r="813" spans="1:10" ht="75" customHeight="1">
      <c r="A813" s="7"/>
      <c r="B813" s="16"/>
      <c r="C813" s="9"/>
      <c r="D813" s="10"/>
      <c r="E813" s="10"/>
      <c r="F813" s="10"/>
      <c r="G813" s="10"/>
      <c r="H813" s="10"/>
      <c r="I813" s="12"/>
      <c r="J813" s="13"/>
    </row>
    <row r="814" spans="1:10" ht="75" customHeight="1">
      <c r="A814" s="7"/>
      <c r="B814" s="16"/>
      <c r="C814" s="9"/>
      <c r="D814" s="10"/>
      <c r="E814" s="10"/>
      <c r="F814" s="10"/>
      <c r="G814" s="10"/>
      <c r="H814" s="10"/>
      <c r="I814" s="12"/>
      <c r="J814" s="13"/>
    </row>
    <row r="815" spans="1:10" ht="75" customHeight="1">
      <c r="A815" s="7"/>
      <c r="B815" s="16"/>
      <c r="C815" s="9"/>
      <c r="D815" s="10"/>
      <c r="E815" s="10"/>
      <c r="F815" s="10"/>
      <c r="G815" s="10"/>
      <c r="H815" s="10"/>
      <c r="I815" s="12"/>
      <c r="J815" s="13"/>
    </row>
    <row r="816" spans="1:10" ht="75" customHeight="1">
      <c r="A816" s="7"/>
      <c r="B816" s="16"/>
      <c r="C816" s="9"/>
      <c r="D816" s="10"/>
      <c r="E816" s="10"/>
      <c r="F816" s="10"/>
      <c r="G816" s="10"/>
      <c r="H816" s="10"/>
      <c r="I816" s="12"/>
      <c r="J816" s="13"/>
    </row>
    <row r="817" spans="1:10" ht="75" customHeight="1">
      <c r="A817" s="7"/>
      <c r="B817" s="16"/>
      <c r="C817" s="9"/>
      <c r="D817" s="10"/>
      <c r="E817" s="10"/>
      <c r="F817" s="10"/>
      <c r="G817" s="10"/>
      <c r="H817" s="10"/>
      <c r="I817" s="12"/>
      <c r="J817" s="13"/>
    </row>
    <row r="818" spans="1:10" ht="75" customHeight="1">
      <c r="A818" s="7"/>
      <c r="B818" s="16"/>
      <c r="C818" s="9"/>
      <c r="D818" s="10"/>
      <c r="E818" s="10"/>
      <c r="F818" s="10"/>
      <c r="G818" s="10"/>
      <c r="H818" s="10"/>
      <c r="I818" s="12"/>
      <c r="J818" s="13"/>
    </row>
    <row r="819" spans="1:10" ht="75" customHeight="1">
      <c r="A819" s="7"/>
      <c r="B819" s="16"/>
      <c r="C819" s="9"/>
      <c r="D819" s="10"/>
      <c r="E819" s="10"/>
      <c r="F819" s="10"/>
      <c r="G819" s="10"/>
      <c r="H819" s="10"/>
      <c r="I819" s="12"/>
      <c r="J819" s="13"/>
    </row>
    <row r="820" spans="1:10" ht="75" customHeight="1">
      <c r="A820" s="7"/>
      <c r="B820" s="16"/>
      <c r="C820" s="9"/>
      <c r="D820" s="10"/>
      <c r="E820" s="10"/>
      <c r="F820" s="10"/>
      <c r="G820" s="10"/>
      <c r="H820" s="10"/>
      <c r="I820" s="12"/>
      <c r="J820" s="13"/>
    </row>
    <row r="821" spans="1:10" ht="75" customHeight="1">
      <c r="A821" s="7"/>
      <c r="B821" s="16"/>
      <c r="C821" s="9"/>
      <c r="D821" s="10"/>
      <c r="E821" s="10"/>
      <c r="F821" s="10"/>
      <c r="G821" s="10"/>
      <c r="H821" s="10"/>
      <c r="I821" s="12"/>
      <c r="J821" s="13"/>
    </row>
    <row r="822" spans="1:10" ht="75" customHeight="1">
      <c r="A822" s="7"/>
      <c r="B822" s="16"/>
      <c r="C822" s="9"/>
      <c r="D822" s="10"/>
      <c r="E822" s="10"/>
      <c r="F822" s="10"/>
      <c r="G822" s="10"/>
      <c r="H822" s="10"/>
      <c r="I822" s="12"/>
      <c r="J822" s="13"/>
    </row>
    <row r="823" spans="1:10" ht="75" customHeight="1">
      <c r="A823" s="7"/>
      <c r="B823" s="16"/>
      <c r="C823" s="9"/>
      <c r="D823" s="10"/>
      <c r="E823" s="10"/>
      <c r="F823" s="10"/>
      <c r="G823" s="10"/>
      <c r="H823" s="10"/>
      <c r="I823" s="12"/>
      <c r="J823" s="13"/>
    </row>
    <row r="824" spans="1:10" ht="75" customHeight="1">
      <c r="A824" s="7"/>
      <c r="B824" s="16"/>
      <c r="C824" s="9"/>
      <c r="D824" s="10"/>
      <c r="E824" s="10"/>
      <c r="F824" s="10"/>
      <c r="G824" s="10"/>
      <c r="H824" s="10"/>
      <c r="I824" s="12"/>
      <c r="J824" s="13"/>
    </row>
    <row r="825" spans="1:10" ht="75" customHeight="1">
      <c r="A825" s="7"/>
      <c r="B825" s="16"/>
      <c r="C825" s="9"/>
      <c r="D825" s="10"/>
      <c r="E825" s="10"/>
      <c r="F825" s="10"/>
      <c r="G825" s="10"/>
      <c r="H825" s="10"/>
      <c r="I825" s="12"/>
      <c r="J825" s="13"/>
    </row>
    <row r="826" spans="1:10" ht="75" customHeight="1">
      <c r="A826" s="7"/>
      <c r="B826" s="16"/>
      <c r="C826" s="9"/>
      <c r="D826" s="10"/>
      <c r="E826" s="10"/>
      <c r="F826" s="10"/>
      <c r="G826" s="10"/>
      <c r="H826" s="10"/>
      <c r="I826" s="12"/>
      <c r="J826" s="13"/>
    </row>
    <row r="827" spans="1:10" ht="75" customHeight="1">
      <c r="A827" s="7"/>
      <c r="B827" s="16"/>
      <c r="C827" s="9"/>
      <c r="D827" s="10"/>
      <c r="E827" s="10"/>
      <c r="F827" s="10"/>
      <c r="G827" s="10"/>
      <c r="H827" s="10"/>
      <c r="I827" s="12"/>
      <c r="J827" s="13"/>
    </row>
    <row r="828" spans="1:10" ht="75" customHeight="1">
      <c r="A828" s="7"/>
      <c r="B828" s="16"/>
      <c r="C828" s="9"/>
      <c r="D828" s="10"/>
      <c r="E828" s="10"/>
      <c r="F828" s="10"/>
      <c r="G828" s="10"/>
      <c r="H828" s="10"/>
      <c r="I828" s="12"/>
      <c r="J828" s="13"/>
    </row>
    <row r="829" spans="1:10" ht="75" customHeight="1">
      <c r="A829" s="7"/>
      <c r="B829" s="16"/>
      <c r="C829" s="9"/>
      <c r="D829" s="10"/>
      <c r="E829" s="10"/>
      <c r="F829" s="10"/>
      <c r="G829" s="10"/>
      <c r="H829" s="10"/>
      <c r="I829" s="12"/>
      <c r="J829" s="13"/>
    </row>
    <row r="830" spans="1:10" ht="75" customHeight="1">
      <c r="A830" s="7"/>
      <c r="B830" s="16"/>
      <c r="C830" s="9"/>
      <c r="D830" s="10"/>
      <c r="E830" s="10"/>
      <c r="F830" s="10"/>
      <c r="G830" s="10"/>
      <c r="H830" s="10"/>
      <c r="I830" s="12"/>
      <c r="J830" s="13"/>
    </row>
    <row r="831" spans="1:10" ht="75" customHeight="1">
      <c r="A831" s="7"/>
      <c r="B831" s="16"/>
      <c r="C831" s="9"/>
      <c r="D831" s="10"/>
      <c r="E831" s="10"/>
      <c r="F831" s="10"/>
      <c r="G831" s="10"/>
      <c r="H831" s="10"/>
      <c r="I831" s="12"/>
      <c r="J831" s="13"/>
    </row>
    <row r="832" spans="1:10" ht="75" customHeight="1">
      <c r="A832" s="7"/>
      <c r="B832" s="16"/>
      <c r="C832" s="9"/>
      <c r="D832" s="10"/>
      <c r="E832" s="10"/>
      <c r="F832" s="10"/>
      <c r="G832" s="10"/>
      <c r="H832" s="10"/>
      <c r="I832" s="12"/>
      <c r="J832" s="13"/>
    </row>
    <row r="833" spans="1:10" ht="75" customHeight="1">
      <c r="A833" s="7"/>
      <c r="B833" s="16"/>
      <c r="C833" s="9"/>
      <c r="D833" s="10"/>
      <c r="E833" s="10"/>
      <c r="F833" s="10"/>
      <c r="G833" s="10"/>
      <c r="H833" s="10"/>
      <c r="I833" s="12"/>
      <c r="J833" s="13"/>
    </row>
    <row r="834" spans="1:10" ht="75" customHeight="1">
      <c r="A834" s="7"/>
      <c r="B834" s="16"/>
      <c r="C834" s="9"/>
      <c r="D834" s="10"/>
      <c r="E834" s="10"/>
      <c r="F834" s="10"/>
      <c r="G834" s="10"/>
      <c r="H834" s="10"/>
      <c r="I834" s="12"/>
      <c r="J834" s="13"/>
    </row>
    <row r="835" spans="1:10" ht="75" customHeight="1">
      <c r="A835" s="7"/>
      <c r="B835" s="16"/>
      <c r="C835" s="9"/>
      <c r="D835" s="10"/>
      <c r="E835" s="10"/>
      <c r="F835" s="10"/>
      <c r="G835" s="10"/>
      <c r="H835" s="10"/>
      <c r="I835" s="12"/>
      <c r="J835" s="13"/>
    </row>
    <row r="836" spans="1:10" ht="75" customHeight="1">
      <c r="A836" s="7"/>
      <c r="B836" s="16"/>
      <c r="C836" s="9"/>
      <c r="D836" s="10"/>
      <c r="E836" s="10"/>
      <c r="F836" s="10"/>
      <c r="G836" s="10"/>
      <c r="H836" s="10"/>
      <c r="I836" s="12"/>
      <c r="J836" s="13"/>
    </row>
    <row r="837" spans="1:10" ht="75" customHeight="1">
      <c r="A837" s="7"/>
      <c r="B837" s="16"/>
      <c r="C837" s="9"/>
      <c r="D837" s="10"/>
      <c r="E837" s="10"/>
      <c r="F837" s="10"/>
      <c r="G837" s="10"/>
      <c r="H837" s="10"/>
      <c r="I837" s="12"/>
      <c r="J837" s="13"/>
    </row>
    <row r="838" spans="1:10" ht="75" customHeight="1">
      <c r="A838" s="7"/>
      <c r="B838" s="16"/>
      <c r="C838" s="9"/>
      <c r="D838" s="10"/>
      <c r="E838" s="10"/>
      <c r="F838" s="10"/>
      <c r="G838" s="10"/>
      <c r="H838" s="10"/>
      <c r="I838" s="12"/>
      <c r="J838" s="13"/>
    </row>
    <row r="839" spans="1:10" ht="75" customHeight="1">
      <c r="A839" s="7"/>
      <c r="B839" s="16"/>
      <c r="C839" s="9"/>
      <c r="D839" s="10"/>
      <c r="E839" s="10"/>
      <c r="F839" s="10"/>
      <c r="G839" s="10"/>
      <c r="H839" s="10"/>
      <c r="I839" s="12"/>
      <c r="J839" s="13"/>
    </row>
    <row r="840" spans="1:10" ht="75" customHeight="1">
      <c r="A840" s="7"/>
      <c r="B840" s="16"/>
      <c r="C840" s="9"/>
      <c r="D840" s="10"/>
      <c r="E840" s="10"/>
      <c r="F840" s="10"/>
      <c r="G840" s="10"/>
      <c r="H840" s="10"/>
      <c r="I840" s="12"/>
      <c r="J840" s="13"/>
    </row>
    <row r="841" spans="1:10" ht="75" customHeight="1">
      <c r="A841" s="7"/>
      <c r="B841" s="16"/>
      <c r="C841" s="9"/>
      <c r="D841" s="10"/>
      <c r="E841" s="10"/>
      <c r="F841" s="10"/>
      <c r="G841" s="10"/>
      <c r="H841" s="10"/>
      <c r="I841" s="12"/>
      <c r="J841" s="13"/>
    </row>
    <row r="842" spans="1:10" ht="75" customHeight="1">
      <c r="A842" s="7"/>
      <c r="B842" s="16"/>
      <c r="C842" s="9"/>
      <c r="D842" s="10"/>
      <c r="E842" s="10"/>
      <c r="F842" s="10"/>
      <c r="G842" s="10"/>
      <c r="H842" s="10"/>
      <c r="I842" s="12"/>
      <c r="J842" s="13"/>
    </row>
    <row r="843" spans="1:10" ht="75" customHeight="1">
      <c r="A843" s="7"/>
      <c r="B843" s="16"/>
      <c r="C843" s="9"/>
      <c r="D843" s="10"/>
      <c r="E843" s="10"/>
      <c r="F843" s="10"/>
      <c r="G843" s="10"/>
      <c r="H843" s="10"/>
      <c r="I843" s="12"/>
      <c r="J843" s="13"/>
    </row>
    <row r="844" spans="1:10" ht="75" customHeight="1">
      <c r="A844" s="7"/>
      <c r="B844" s="16"/>
      <c r="C844" s="9"/>
      <c r="D844" s="10"/>
      <c r="E844" s="10"/>
      <c r="F844" s="10"/>
      <c r="G844" s="10"/>
      <c r="H844" s="10"/>
      <c r="I844" s="12"/>
      <c r="J844" s="13"/>
    </row>
    <row r="845" spans="1:10" ht="75" customHeight="1">
      <c r="A845" s="7"/>
      <c r="B845" s="16"/>
      <c r="C845" s="9"/>
      <c r="D845" s="10"/>
      <c r="E845" s="10"/>
      <c r="F845" s="10"/>
      <c r="G845" s="10"/>
      <c r="H845" s="10"/>
      <c r="I845" s="12"/>
      <c r="J845" s="13"/>
    </row>
    <row r="846" spans="1:10" ht="75" customHeight="1">
      <c r="A846" s="7"/>
      <c r="B846" s="16"/>
      <c r="C846" s="9"/>
      <c r="D846" s="10"/>
      <c r="E846" s="10"/>
      <c r="F846" s="10"/>
      <c r="G846" s="10"/>
      <c r="H846" s="10"/>
      <c r="I846" s="12"/>
      <c r="J846" s="13"/>
    </row>
    <row r="847" spans="1:10" ht="75" customHeight="1">
      <c r="A847" s="7"/>
      <c r="B847" s="16"/>
      <c r="C847" s="9"/>
      <c r="D847" s="10"/>
      <c r="E847" s="10"/>
      <c r="F847" s="10"/>
      <c r="G847" s="10"/>
      <c r="H847" s="10"/>
      <c r="I847" s="12"/>
      <c r="J847" s="13"/>
    </row>
    <row r="848" spans="1:10" ht="75" customHeight="1">
      <c r="A848" s="7"/>
      <c r="B848" s="16"/>
      <c r="C848" s="9"/>
      <c r="D848" s="10"/>
      <c r="E848" s="10"/>
      <c r="F848" s="10"/>
      <c r="G848" s="10"/>
      <c r="H848" s="10"/>
      <c r="I848" s="12"/>
      <c r="J848" s="13"/>
    </row>
    <row r="849" spans="1:10" ht="75" customHeight="1">
      <c r="A849" s="7"/>
      <c r="B849" s="16"/>
      <c r="C849" s="9"/>
      <c r="D849" s="10"/>
      <c r="E849" s="10"/>
      <c r="F849" s="10"/>
      <c r="G849" s="10"/>
      <c r="H849" s="10"/>
      <c r="I849" s="12"/>
      <c r="J849" s="13"/>
    </row>
    <row r="850" spans="1:10" ht="75" customHeight="1">
      <c r="A850" s="7"/>
      <c r="B850" s="16"/>
      <c r="C850" s="9"/>
      <c r="D850" s="10"/>
      <c r="E850" s="10"/>
      <c r="F850" s="10"/>
      <c r="G850" s="10"/>
      <c r="H850" s="10"/>
      <c r="I850" s="12"/>
      <c r="J850" s="13"/>
    </row>
    <row r="851" spans="1:10" ht="75" customHeight="1">
      <c r="A851" s="7"/>
      <c r="B851" s="16"/>
      <c r="C851" s="9"/>
      <c r="D851" s="10"/>
      <c r="E851" s="10"/>
      <c r="F851" s="10"/>
      <c r="G851" s="10"/>
      <c r="H851" s="10"/>
      <c r="I851" s="12"/>
      <c r="J851" s="13"/>
    </row>
    <row r="852" spans="1:10" ht="75" customHeight="1">
      <c r="A852" s="7"/>
      <c r="B852" s="16"/>
      <c r="C852" s="9"/>
      <c r="D852" s="10"/>
      <c r="E852" s="10"/>
      <c r="F852" s="10"/>
      <c r="G852" s="10"/>
      <c r="H852" s="10"/>
      <c r="I852" s="12"/>
      <c r="J852" s="13"/>
    </row>
    <row r="853" spans="1:10" ht="75" customHeight="1">
      <c r="A853" s="7"/>
      <c r="B853" s="16"/>
      <c r="C853" s="9"/>
      <c r="D853" s="10"/>
      <c r="E853" s="10"/>
      <c r="F853" s="10"/>
      <c r="G853" s="10"/>
      <c r="H853" s="10"/>
      <c r="I853" s="12"/>
      <c r="J853" s="13"/>
    </row>
    <row r="854" spans="1:10" ht="75" customHeight="1">
      <c r="A854" s="7"/>
      <c r="B854" s="16"/>
      <c r="C854" s="9"/>
      <c r="D854" s="10"/>
      <c r="E854" s="10"/>
      <c r="F854" s="10"/>
      <c r="G854" s="10"/>
      <c r="H854" s="10"/>
      <c r="I854" s="12"/>
      <c r="J854" s="13"/>
    </row>
    <row r="855" spans="1:10" ht="75" customHeight="1">
      <c r="A855" s="7"/>
      <c r="B855" s="16"/>
      <c r="C855" s="9"/>
      <c r="D855" s="10"/>
      <c r="E855" s="10"/>
      <c r="F855" s="10"/>
      <c r="G855" s="10"/>
      <c r="H855" s="10"/>
      <c r="I855" s="12"/>
      <c r="J855" s="13"/>
    </row>
    <row r="856" spans="1:10" ht="75" customHeight="1">
      <c r="A856" s="7"/>
      <c r="B856" s="16"/>
      <c r="C856" s="9"/>
      <c r="D856" s="10"/>
      <c r="E856" s="10"/>
      <c r="F856" s="10"/>
      <c r="G856" s="10"/>
      <c r="H856" s="10"/>
      <c r="I856" s="12"/>
      <c r="J856" s="13"/>
    </row>
    <row r="857" spans="1:10" ht="75" customHeight="1">
      <c r="A857" s="7"/>
      <c r="B857" s="16"/>
      <c r="C857" s="9"/>
      <c r="D857" s="10"/>
      <c r="E857" s="10"/>
      <c r="F857" s="10"/>
      <c r="G857" s="10"/>
      <c r="H857" s="10"/>
      <c r="I857" s="12"/>
      <c r="J857" s="13"/>
    </row>
    <row r="858" spans="1:10" ht="75" customHeight="1">
      <c r="A858" s="7"/>
      <c r="B858" s="16"/>
      <c r="C858" s="9"/>
      <c r="D858" s="10"/>
      <c r="E858" s="10"/>
      <c r="F858" s="10"/>
      <c r="G858" s="10"/>
      <c r="H858" s="10"/>
      <c r="I858" s="12"/>
      <c r="J858" s="13"/>
    </row>
    <row r="859" spans="1:10" ht="75" customHeight="1">
      <c r="A859" s="7"/>
      <c r="B859" s="16"/>
      <c r="C859" s="9"/>
      <c r="D859" s="10"/>
      <c r="E859" s="10"/>
      <c r="F859" s="10"/>
      <c r="G859" s="10"/>
      <c r="H859" s="10"/>
      <c r="I859" s="12"/>
      <c r="J859" s="13"/>
    </row>
    <row r="860" spans="1:10" ht="75" customHeight="1">
      <c r="A860" s="7"/>
      <c r="B860" s="16"/>
      <c r="C860" s="9"/>
      <c r="D860" s="10"/>
      <c r="E860" s="10"/>
      <c r="F860" s="10"/>
      <c r="G860" s="10"/>
      <c r="H860" s="10"/>
      <c r="I860" s="12"/>
      <c r="J860" s="13"/>
    </row>
    <row r="861" spans="1:10" ht="75" customHeight="1">
      <c r="A861" s="7"/>
      <c r="B861" s="16"/>
      <c r="C861" s="9"/>
      <c r="D861" s="10"/>
      <c r="E861" s="10"/>
      <c r="F861" s="10"/>
      <c r="G861" s="10"/>
      <c r="H861" s="10"/>
      <c r="I861" s="12"/>
      <c r="J861" s="13"/>
    </row>
    <row r="862" spans="1:10" ht="75" customHeight="1">
      <c r="A862" s="7"/>
      <c r="B862" s="16"/>
      <c r="C862" s="9"/>
      <c r="D862" s="10"/>
      <c r="E862" s="10"/>
      <c r="F862" s="10"/>
      <c r="G862" s="10"/>
      <c r="H862" s="10"/>
      <c r="I862" s="12"/>
      <c r="J862" s="13"/>
    </row>
    <row r="863" spans="1:10" ht="75" customHeight="1">
      <c r="A863" s="7"/>
      <c r="B863" s="16"/>
      <c r="C863" s="9"/>
      <c r="D863" s="10"/>
      <c r="E863" s="10"/>
      <c r="F863" s="10"/>
      <c r="G863" s="10"/>
      <c r="H863" s="10"/>
      <c r="I863" s="12"/>
      <c r="J863" s="13"/>
    </row>
    <row r="864" spans="1:10" ht="75" customHeight="1">
      <c r="A864" s="7"/>
      <c r="B864" s="16"/>
      <c r="C864" s="9"/>
      <c r="D864" s="10"/>
      <c r="E864" s="10"/>
      <c r="F864" s="10"/>
      <c r="G864" s="10"/>
      <c r="H864" s="10"/>
      <c r="I864" s="12"/>
      <c r="J864" s="13"/>
    </row>
    <row r="865" spans="1:10" ht="75" customHeight="1">
      <c r="A865" s="7"/>
      <c r="B865" s="16"/>
      <c r="C865" s="9"/>
      <c r="D865" s="10"/>
      <c r="E865" s="10"/>
      <c r="F865" s="10"/>
      <c r="G865" s="10"/>
      <c r="H865" s="10"/>
      <c r="I865" s="12"/>
      <c r="J865" s="13"/>
    </row>
    <row r="866" spans="1:10" ht="75" customHeight="1">
      <c r="A866" s="7"/>
      <c r="B866" s="16"/>
      <c r="C866" s="9"/>
      <c r="D866" s="10"/>
      <c r="E866" s="10"/>
      <c r="F866" s="10"/>
      <c r="G866" s="10"/>
      <c r="H866" s="10"/>
      <c r="I866" s="12"/>
      <c r="J866" s="13"/>
    </row>
    <row r="867" spans="1:10" ht="75" customHeight="1">
      <c r="A867" s="7"/>
      <c r="B867" s="16"/>
      <c r="C867" s="9"/>
      <c r="D867" s="10"/>
      <c r="E867" s="10"/>
      <c r="F867" s="10"/>
      <c r="G867" s="10"/>
      <c r="H867" s="10"/>
      <c r="I867" s="12"/>
      <c r="J867" s="13"/>
    </row>
    <row r="868" spans="1:10" ht="75" customHeight="1">
      <c r="A868" s="7"/>
      <c r="B868" s="16"/>
      <c r="C868" s="9"/>
      <c r="D868" s="10"/>
      <c r="E868" s="10"/>
      <c r="F868" s="10"/>
      <c r="G868" s="10"/>
      <c r="H868" s="10"/>
      <c r="I868" s="12"/>
      <c r="J868" s="13"/>
    </row>
    <row r="869" spans="1:10" ht="75" customHeight="1">
      <c r="A869" s="7"/>
      <c r="B869" s="16"/>
      <c r="C869" s="9"/>
      <c r="D869" s="10"/>
      <c r="E869" s="10"/>
      <c r="F869" s="10"/>
      <c r="G869" s="10"/>
      <c r="H869" s="10"/>
      <c r="I869" s="12"/>
      <c r="J869" s="13"/>
    </row>
    <row r="870" spans="1:10" ht="75" customHeight="1">
      <c r="A870" s="7"/>
      <c r="B870" s="16"/>
      <c r="C870" s="9"/>
      <c r="D870" s="10"/>
      <c r="E870" s="10"/>
      <c r="F870" s="10"/>
      <c r="G870" s="10"/>
      <c r="H870" s="10"/>
      <c r="I870" s="12"/>
      <c r="J870" s="13"/>
    </row>
    <row r="871" spans="1:10" ht="75" customHeight="1">
      <c r="A871" s="7"/>
      <c r="B871" s="16"/>
      <c r="C871" s="9"/>
      <c r="D871" s="10"/>
      <c r="E871" s="10"/>
      <c r="F871" s="10"/>
      <c r="G871" s="10"/>
      <c r="H871" s="10"/>
      <c r="I871" s="12"/>
      <c r="J871" s="13"/>
    </row>
    <row r="872" spans="1:10" ht="75" customHeight="1">
      <c r="A872" s="7"/>
      <c r="B872" s="16"/>
      <c r="C872" s="9"/>
      <c r="D872" s="10"/>
      <c r="E872" s="10"/>
      <c r="F872" s="10"/>
      <c r="G872" s="10"/>
      <c r="H872" s="10"/>
      <c r="I872" s="12"/>
      <c r="J872" s="13"/>
    </row>
    <row r="873" spans="1:10" ht="75" customHeight="1">
      <c r="A873" s="7"/>
      <c r="B873" s="16"/>
      <c r="C873" s="9"/>
      <c r="D873" s="10"/>
      <c r="E873" s="10"/>
      <c r="F873" s="10"/>
      <c r="G873" s="10"/>
      <c r="H873" s="10"/>
      <c r="I873" s="12"/>
      <c r="J873" s="13"/>
    </row>
    <row r="874" spans="1:10" ht="75" customHeight="1">
      <c r="A874" s="7"/>
      <c r="B874" s="16"/>
      <c r="C874" s="9"/>
      <c r="D874" s="10"/>
      <c r="E874" s="10"/>
      <c r="F874" s="10"/>
      <c r="G874" s="10"/>
      <c r="H874" s="10"/>
      <c r="I874" s="12"/>
      <c r="J874" s="13"/>
    </row>
    <row r="875" spans="1:10" ht="75" customHeight="1">
      <c r="A875" s="7"/>
      <c r="B875" s="16"/>
      <c r="C875" s="9"/>
      <c r="D875" s="10"/>
      <c r="E875" s="10"/>
      <c r="F875" s="10"/>
      <c r="G875" s="10"/>
      <c r="H875" s="10"/>
      <c r="I875" s="12"/>
      <c r="J875" s="13"/>
    </row>
    <row r="876" spans="1:10" ht="75" customHeight="1">
      <c r="A876" s="7"/>
      <c r="B876" s="16"/>
      <c r="C876" s="9"/>
      <c r="D876" s="10"/>
      <c r="E876" s="10"/>
      <c r="F876" s="10"/>
      <c r="G876" s="10"/>
      <c r="H876" s="10"/>
      <c r="I876" s="12"/>
      <c r="J876" s="13"/>
    </row>
    <row r="877" spans="1:10" ht="75" customHeight="1">
      <c r="A877" s="7"/>
      <c r="B877" s="16"/>
      <c r="C877" s="9"/>
      <c r="D877" s="10"/>
      <c r="E877" s="10"/>
      <c r="F877" s="10"/>
      <c r="G877" s="10"/>
      <c r="H877" s="10"/>
      <c r="I877" s="12"/>
      <c r="J877" s="13"/>
    </row>
    <row r="878" spans="1:10" ht="75" customHeight="1">
      <c r="A878" s="7"/>
      <c r="B878" s="16"/>
      <c r="C878" s="9"/>
      <c r="D878" s="10"/>
      <c r="E878" s="10"/>
      <c r="F878" s="10"/>
      <c r="G878" s="10"/>
      <c r="H878" s="10"/>
      <c r="I878" s="12"/>
      <c r="J878" s="13"/>
    </row>
    <row r="879" spans="1:10" ht="75" customHeight="1">
      <c r="A879" s="7"/>
      <c r="B879" s="16"/>
      <c r="C879" s="9"/>
      <c r="D879" s="10"/>
      <c r="E879" s="10"/>
      <c r="F879" s="10"/>
      <c r="G879" s="10"/>
      <c r="H879" s="10"/>
      <c r="I879" s="12"/>
      <c r="J879" s="13"/>
    </row>
    <row r="880" spans="1:10" ht="75" customHeight="1">
      <c r="A880" s="7"/>
      <c r="B880" s="16"/>
      <c r="C880" s="9"/>
      <c r="D880" s="10"/>
      <c r="E880" s="10"/>
      <c r="F880" s="10"/>
      <c r="G880" s="10"/>
      <c r="H880" s="10"/>
      <c r="I880" s="12"/>
      <c r="J880" s="13"/>
    </row>
    <row r="881" spans="1:10" ht="75" customHeight="1">
      <c r="A881" s="7"/>
      <c r="B881" s="16"/>
      <c r="C881" s="9"/>
      <c r="D881" s="10"/>
      <c r="E881" s="10"/>
      <c r="F881" s="10"/>
      <c r="G881" s="10"/>
      <c r="H881" s="10"/>
      <c r="I881" s="12"/>
      <c r="J881" s="13"/>
    </row>
    <row r="882" spans="1:10" ht="75" customHeight="1">
      <c r="A882" s="7"/>
      <c r="B882" s="16"/>
      <c r="C882" s="9"/>
      <c r="D882" s="10"/>
      <c r="E882" s="10"/>
      <c r="F882" s="10"/>
      <c r="G882" s="10"/>
      <c r="H882" s="10"/>
      <c r="I882" s="12"/>
      <c r="J882" s="13"/>
    </row>
    <row r="883" spans="1:10" ht="75" customHeight="1">
      <c r="A883" s="7"/>
      <c r="B883" s="16"/>
      <c r="C883" s="9"/>
      <c r="D883" s="10"/>
      <c r="E883" s="10"/>
      <c r="F883" s="10"/>
      <c r="G883" s="10"/>
      <c r="H883" s="10"/>
      <c r="I883" s="12"/>
      <c r="J883" s="13"/>
    </row>
    <row r="884" spans="1:10" ht="75" customHeight="1">
      <c r="A884" s="7"/>
      <c r="B884" s="16"/>
      <c r="C884" s="9"/>
      <c r="D884" s="10"/>
      <c r="E884" s="10"/>
      <c r="F884" s="10"/>
      <c r="G884" s="10"/>
      <c r="H884" s="10"/>
      <c r="I884" s="12"/>
      <c r="J884" s="13"/>
    </row>
    <row r="885" spans="1:10" ht="75" customHeight="1">
      <c r="A885" s="7"/>
      <c r="B885" s="16"/>
      <c r="C885" s="9"/>
      <c r="D885" s="10"/>
      <c r="E885" s="10"/>
      <c r="F885" s="10"/>
      <c r="G885" s="10"/>
      <c r="H885" s="10"/>
      <c r="I885" s="12"/>
      <c r="J885" s="13"/>
    </row>
    <row r="886" spans="1:10" ht="75" customHeight="1">
      <c r="A886" s="7"/>
      <c r="B886" s="16"/>
      <c r="C886" s="9"/>
      <c r="D886" s="10"/>
      <c r="E886" s="10"/>
      <c r="F886" s="10"/>
      <c r="G886" s="10"/>
      <c r="H886" s="10"/>
      <c r="I886" s="12"/>
      <c r="J886" s="13"/>
    </row>
    <row r="887" spans="1:10" ht="75" customHeight="1">
      <c r="A887" s="7"/>
      <c r="B887" s="16"/>
      <c r="C887" s="9"/>
      <c r="D887" s="10"/>
      <c r="E887" s="10"/>
      <c r="F887" s="10"/>
      <c r="G887" s="10"/>
      <c r="H887" s="10"/>
      <c r="I887" s="12"/>
      <c r="J887" s="13"/>
    </row>
    <row r="888" spans="1:10" ht="75" customHeight="1">
      <c r="A888" s="7"/>
      <c r="B888" s="16"/>
      <c r="C888" s="9"/>
      <c r="D888" s="10"/>
      <c r="E888" s="10"/>
      <c r="F888" s="10"/>
      <c r="G888" s="10"/>
      <c r="H888" s="10"/>
      <c r="I888" s="12"/>
      <c r="J888" s="13"/>
    </row>
    <row r="889" spans="1:10" ht="75" customHeight="1">
      <c r="A889" s="7"/>
      <c r="B889" s="16"/>
      <c r="C889" s="9"/>
      <c r="D889" s="10"/>
      <c r="E889" s="10"/>
      <c r="F889" s="10"/>
      <c r="G889" s="10"/>
      <c r="H889" s="10"/>
      <c r="I889" s="12"/>
      <c r="J889" s="13"/>
    </row>
    <row r="890" spans="1:10" ht="75" customHeight="1">
      <c r="A890" s="7"/>
      <c r="B890" s="16"/>
      <c r="C890" s="9"/>
      <c r="D890" s="10"/>
      <c r="E890" s="10"/>
      <c r="F890" s="10"/>
      <c r="G890" s="10"/>
      <c r="H890" s="10"/>
      <c r="I890" s="12"/>
      <c r="J890" s="13"/>
    </row>
    <row r="891" spans="1:10" ht="75" customHeight="1">
      <c r="A891" s="7"/>
      <c r="B891" s="16"/>
      <c r="C891" s="9"/>
      <c r="D891" s="10"/>
      <c r="E891" s="10"/>
      <c r="F891" s="10"/>
      <c r="G891" s="10"/>
      <c r="H891" s="10"/>
      <c r="I891" s="12"/>
      <c r="J891" s="13"/>
    </row>
    <row r="892" spans="1:10" ht="75" customHeight="1">
      <c r="A892" s="7"/>
      <c r="B892" s="16"/>
      <c r="C892" s="9"/>
      <c r="D892" s="10"/>
      <c r="E892" s="10"/>
      <c r="F892" s="10"/>
      <c r="G892" s="10"/>
      <c r="H892" s="10"/>
      <c r="I892" s="12"/>
      <c r="J892" s="13"/>
    </row>
    <row r="893" spans="1:10" ht="75" customHeight="1">
      <c r="A893" s="7"/>
      <c r="B893" s="16"/>
      <c r="C893" s="9"/>
      <c r="D893" s="10"/>
      <c r="E893" s="10"/>
      <c r="F893" s="10"/>
      <c r="G893" s="10"/>
      <c r="H893" s="10"/>
      <c r="I893" s="12"/>
      <c r="J893" s="13"/>
    </row>
    <row r="894" spans="1:10" ht="75" customHeight="1">
      <c r="A894" s="7"/>
      <c r="B894" s="16"/>
      <c r="C894" s="9"/>
      <c r="D894" s="10"/>
      <c r="E894" s="10"/>
      <c r="F894" s="10"/>
      <c r="G894" s="10"/>
      <c r="H894" s="10"/>
      <c r="I894" s="12"/>
      <c r="J894" s="13"/>
    </row>
    <row r="895" spans="1:10" ht="75" customHeight="1">
      <c r="A895" s="7"/>
      <c r="B895" s="16"/>
      <c r="C895" s="9"/>
      <c r="D895" s="10"/>
      <c r="E895" s="10"/>
      <c r="F895" s="10"/>
      <c r="G895" s="10"/>
      <c r="H895" s="10"/>
      <c r="I895" s="12"/>
      <c r="J895" s="13"/>
    </row>
    <row r="896" spans="1:10" ht="75" customHeight="1">
      <c r="A896" s="7"/>
      <c r="B896" s="16"/>
      <c r="C896" s="9"/>
      <c r="D896" s="10"/>
      <c r="E896" s="10"/>
      <c r="F896" s="10"/>
      <c r="G896" s="10"/>
      <c r="H896" s="10"/>
      <c r="I896" s="12"/>
      <c r="J896" s="13"/>
    </row>
    <row r="897" spans="1:10" ht="75" customHeight="1">
      <c r="A897" s="7"/>
      <c r="B897" s="16"/>
      <c r="C897" s="9"/>
      <c r="D897" s="10"/>
      <c r="E897" s="10"/>
      <c r="F897" s="10"/>
      <c r="G897" s="10"/>
      <c r="H897" s="10"/>
      <c r="I897" s="12"/>
      <c r="J897" s="13"/>
    </row>
    <row r="898" spans="1:10" ht="75" customHeight="1">
      <c r="A898" s="7"/>
      <c r="B898" s="16"/>
      <c r="C898" s="9"/>
      <c r="D898" s="10"/>
      <c r="E898" s="10"/>
      <c r="F898" s="10"/>
      <c r="G898" s="10"/>
      <c r="H898" s="10"/>
      <c r="I898" s="12"/>
      <c r="J898" s="13"/>
    </row>
    <row r="899" spans="1:10" ht="75" customHeight="1">
      <c r="A899" s="7"/>
      <c r="B899" s="16"/>
      <c r="C899" s="9"/>
      <c r="D899" s="10"/>
      <c r="E899" s="10"/>
      <c r="F899" s="10"/>
      <c r="G899" s="10"/>
      <c r="H899" s="10"/>
      <c r="I899" s="12"/>
      <c r="J899" s="13"/>
    </row>
    <row r="900" spans="1:10" ht="75" customHeight="1">
      <c r="A900" s="7"/>
      <c r="B900" s="16"/>
      <c r="C900" s="9"/>
      <c r="D900" s="10"/>
      <c r="E900" s="10"/>
      <c r="F900" s="10"/>
      <c r="G900" s="10"/>
      <c r="H900" s="10"/>
      <c r="I900" s="12"/>
      <c r="J900" s="13"/>
    </row>
    <row r="901" spans="1:10" ht="75" customHeight="1">
      <c r="A901" s="7"/>
      <c r="B901" s="16"/>
      <c r="C901" s="9"/>
      <c r="D901" s="10"/>
      <c r="E901" s="10"/>
      <c r="F901" s="10"/>
      <c r="G901" s="10"/>
      <c r="H901" s="10"/>
      <c r="I901" s="12"/>
      <c r="J901" s="13"/>
    </row>
    <row r="902" spans="1:10" ht="75" customHeight="1">
      <c r="A902" s="7"/>
      <c r="B902" s="16"/>
      <c r="C902" s="9"/>
      <c r="D902" s="10"/>
      <c r="E902" s="10"/>
      <c r="F902" s="10"/>
      <c r="G902" s="10"/>
      <c r="H902" s="10"/>
      <c r="I902" s="12"/>
      <c r="J902" s="13"/>
    </row>
    <row r="903" spans="1:10" ht="75" customHeight="1">
      <c r="A903" s="7"/>
      <c r="B903" s="16"/>
      <c r="C903" s="9"/>
      <c r="D903" s="10"/>
      <c r="E903" s="10"/>
      <c r="F903" s="10"/>
      <c r="G903" s="10"/>
      <c r="H903" s="10"/>
      <c r="I903" s="12"/>
      <c r="J903" s="13"/>
    </row>
    <row r="904" spans="1:10" ht="75" customHeight="1">
      <c r="A904" s="7"/>
      <c r="B904" s="16"/>
      <c r="C904" s="9"/>
      <c r="D904" s="10"/>
      <c r="E904" s="10"/>
      <c r="F904" s="10"/>
      <c r="G904" s="10"/>
      <c r="H904" s="10"/>
      <c r="I904" s="12"/>
      <c r="J904" s="13"/>
    </row>
    <row r="905" spans="1:10" ht="75" customHeight="1">
      <c r="A905" s="7"/>
      <c r="B905" s="16"/>
      <c r="C905" s="9"/>
      <c r="D905" s="10"/>
      <c r="E905" s="10"/>
      <c r="F905" s="10"/>
      <c r="G905" s="10"/>
      <c r="H905" s="10"/>
      <c r="I905" s="12"/>
      <c r="J905" s="13"/>
    </row>
    <row r="906" spans="1:10" ht="75" customHeight="1">
      <c r="A906" s="7"/>
      <c r="B906" s="16"/>
      <c r="C906" s="9"/>
      <c r="D906" s="10"/>
      <c r="E906" s="10"/>
      <c r="F906" s="10"/>
      <c r="G906" s="10"/>
      <c r="H906" s="10"/>
      <c r="I906" s="12"/>
      <c r="J906" s="13"/>
    </row>
    <row r="907" spans="1:10" ht="75" customHeight="1">
      <c r="A907" s="7"/>
      <c r="B907" s="16"/>
      <c r="C907" s="9"/>
      <c r="D907" s="10"/>
      <c r="E907" s="10"/>
      <c r="F907" s="10"/>
      <c r="G907" s="10"/>
      <c r="H907" s="10"/>
      <c r="I907" s="12"/>
      <c r="J907" s="13"/>
    </row>
    <row r="908" spans="1:10" ht="75" customHeight="1">
      <c r="A908" s="7"/>
      <c r="B908" s="16"/>
      <c r="C908" s="9"/>
      <c r="D908" s="10"/>
      <c r="E908" s="10"/>
      <c r="F908" s="10"/>
      <c r="G908" s="10"/>
      <c r="H908" s="10"/>
      <c r="I908" s="12"/>
      <c r="J908" s="13"/>
    </row>
    <row r="909" spans="1:10" ht="75" customHeight="1">
      <c r="A909" s="7"/>
      <c r="B909" s="16"/>
      <c r="C909" s="9"/>
      <c r="D909" s="10"/>
      <c r="E909" s="10"/>
      <c r="F909" s="10"/>
      <c r="G909" s="10"/>
      <c r="H909" s="10"/>
      <c r="I909" s="12"/>
      <c r="J909" s="13"/>
    </row>
    <row r="910" spans="1:10" ht="75" customHeight="1">
      <c r="A910" s="7"/>
      <c r="B910" s="16"/>
      <c r="C910" s="9"/>
      <c r="D910" s="10"/>
      <c r="E910" s="10"/>
      <c r="F910" s="10"/>
      <c r="G910" s="10"/>
      <c r="H910" s="10"/>
      <c r="I910" s="12"/>
      <c r="J910" s="13"/>
    </row>
    <row r="911" spans="1:10" ht="75" customHeight="1">
      <c r="A911" s="7"/>
      <c r="B911" s="16"/>
      <c r="C911" s="9"/>
      <c r="D911" s="10"/>
      <c r="E911" s="10"/>
      <c r="F911" s="10"/>
      <c r="G911" s="10"/>
      <c r="H911" s="10"/>
      <c r="I911" s="12"/>
      <c r="J911" s="13"/>
    </row>
    <row r="912" spans="1:10" ht="75" customHeight="1">
      <c r="A912" s="7"/>
      <c r="B912" s="16"/>
      <c r="C912" s="9"/>
      <c r="D912" s="10"/>
      <c r="E912" s="10"/>
      <c r="F912" s="10"/>
      <c r="G912" s="10"/>
      <c r="H912" s="10"/>
      <c r="I912" s="12"/>
      <c r="J912" s="13"/>
    </row>
    <row r="913" spans="1:10" ht="75" customHeight="1">
      <c r="A913" s="7"/>
      <c r="B913" s="16"/>
      <c r="C913" s="9"/>
      <c r="D913" s="10"/>
      <c r="E913" s="10"/>
      <c r="F913" s="10"/>
      <c r="G913" s="10"/>
      <c r="H913" s="10"/>
      <c r="I913" s="12"/>
      <c r="J913" s="13"/>
    </row>
    <row r="914" spans="1:10" ht="75" customHeight="1">
      <c r="A914" s="7"/>
      <c r="B914" s="16"/>
      <c r="C914" s="9"/>
      <c r="D914" s="10"/>
      <c r="E914" s="10"/>
      <c r="F914" s="10"/>
      <c r="G914" s="10"/>
      <c r="H914" s="10"/>
      <c r="I914" s="12"/>
      <c r="J914" s="13"/>
    </row>
    <row r="915" spans="1:10" ht="75" customHeight="1">
      <c r="A915" s="7"/>
      <c r="B915" s="16"/>
      <c r="C915" s="9"/>
      <c r="D915" s="10"/>
      <c r="E915" s="10"/>
      <c r="F915" s="10"/>
      <c r="G915" s="10"/>
      <c r="H915" s="10"/>
      <c r="I915" s="12"/>
      <c r="J915" s="13"/>
    </row>
    <row r="916" spans="1:10" ht="75" customHeight="1">
      <c r="A916" s="7"/>
      <c r="B916" s="16"/>
      <c r="C916" s="9"/>
      <c r="D916" s="10"/>
      <c r="E916" s="10"/>
      <c r="F916" s="10"/>
      <c r="G916" s="10"/>
      <c r="H916" s="10"/>
      <c r="I916" s="12"/>
      <c r="J916" s="13"/>
    </row>
    <row r="917" spans="1:10" ht="75" customHeight="1">
      <c r="A917" s="7"/>
      <c r="B917" s="16"/>
      <c r="C917" s="9"/>
      <c r="D917" s="10"/>
      <c r="E917" s="10"/>
      <c r="F917" s="10"/>
      <c r="G917" s="10"/>
      <c r="H917" s="10"/>
      <c r="I917" s="12"/>
      <c r="J917" s="13"/>
    </row>
    <row r="918" spans="1:10" ht="75" customHeight="1">
      <c r="A918" s="7"/>
      <c r="B918" s="16"/>
      <c r="C918" s="9"/>
      <c r="D918" s="10"/>
      <c r="E918" s="10"/>
      <c r="F918" s="10"/>
      <c r="G918" s="10"/>
      <c r="H918" s="10"/>
      <c r="I918" s="12"/>
      <c r="J918" s="13"/>
    </row>
    <row r="919" spans="1:10" ht="75" customHeight="1">
      <c r="A919" s="7"/>
      <c r="B919" s="16"/>
      <c r="C919" s="9"/>
      <c r="D919" s="10"/>
      <c r="E919" s="10"/>
      <c r="F919" s="10"/>
      <c r="G919" s="10"/>
      <c r="H919" s="10"/>
      <c r="I919" s="12"/>
      <c r="J919" s="13"/>
    </row>
    <row r="920" spans="1:10" ht="75" customHeight="1">
      <c r="A920" s="7"/>
      <c r="B920" s="16"/>
      <c r="C920" s="9"/>
      <c r="D920" s="10"/>
      <c r="E920" s="10"/>
      <c r="F920" s="10"/>
      <c r="G920" s="10"/>
      <c r="H920" s="10"/>
      <c r="I920" s="12"/>
      <c r="J920" s="13"/>
    </row>
    <row r="921" spans="1:10" ht="75" customHeight="1">
      <c r="A921" s="7"/>
      <c r="B921" s="16"/>
      <c r="C921" s="9"/>
      <c r="D921" s="10"/>
      <c r="E921" s="10"/>
      <c r="F921" s="10"/>
      <c r="G921" s="10"/>
      <c r="H921" s="10"/>
      <c r="I921" s="12"/>
      <c r="J921" s="13"/>
    </row>
    <row r="922" spans="1:10" ht="75" customHeight="1">
      <c r="A922" s="7"/>
      <c r="B922" s="16"/>
      <c r="C922" s="9"/>
      <c r="D922" s="10"/>
      <c r="E922" s="10"/>
      <c r="F922" s="10"/>
      <c r="G922" s="10"/>
      <c r="H922" s="10"/>
      <c r="I922" s="12"/>
      <c r="J922" s="13"/>
    </row>
    <row r="923" spans="1:10" ht="75" customHeight="1">
      <c r="A923" s="7"/>
      <c r="B923" s="16"/>
      <c r="C923" s="9"/>
      <c r="D923" s="10"/>
      <c r="E923" s="10"/>
      <c r="F923" s="10"/>
      <c r="G923" s="10"/>
      <c r="H923" s="10"/>
      <c r="I923" s="12"/>
      <c r="J923" s="13"/>
    </row>
    <row r="924" spans="1:10" ht="75" customHeight="1">
      <c r="A924" s="7"/>
      <c r="B924" s="16"/>
      <c r="C924" s="9"/>
      <c r="D924" s="10"/>
      <c r="E924" s="10"/>
      <c r="F924" s="10"/>
      <c r="G924" s="10"/>
      <c r="H924" s="10"/>
      <c r="I924" s="12"/>
      <c r="J924" s="13"/>
    </row>
    <row r="925" spans="1:10" ht="75" customHeight="1">
      <c r="A925" s="7"/>
      <c r="B925" s="16"/>
      <c r="C925" s="9"/>
      <c r="D925" s="10"/>
      <c r="E925" s="10"/>
      <c r="F925" s="10"/>
      <c r="G925" s="10"/>
      <c r="H925" s="10"/>
      <c r="I925" s="12"/>
      <c r="J925" s="13"/>
    </row>
    <row r="926" spans="1:10" ht="75" customHeight="1">
      <c r="A926" s="7"/>
      <c r="B926" s="16"/>
      <c r="C926" s="9"/>
      <c r="D926" s="10"/>
      <c r="E926" s="10"/>
      <c r="F926" s="10"/>
      <c r="G926" s="10"/>
      <c r="H926" s="10"/>
      <c r="I926" s="12"/>
      <c r="J926" s="13"/>
    </row>
    <row r="927" spans="1:10" ht="75" customHeight="1">
      <c r="A927" s="7"/>
      <c r="B927" s="16"/>
      <c r="C927" s="9"/>
      <c r="D927" s="10"/>
      <c r="E927" s="10"/>
      <c r="F927" s="10"/>
      <c r="G927" s="10"/>
      <c r="H927" s="10"/>
      <c r="I927" s="12"/>
      <c r="J927" s="13"/>
    </row>
    <row r="928" spans="1:10" ht="75" customHeight="1">
      <c r="A928" s="7"/>
      <c r="B928" s="16"/>
      <c r="C928" s="9"/>
      <c r="D928" s="10"/>
      <c r="E928" s="10"/>
      <c r="F928" s="10"/>
      <c r="G928" s="10"/>
      <c r="H928" s="10"/>
      <c r="I928" s="12"/>
      <c r="J928" s="13"/>
    </row>
    <row r="929" spans="1:10" ht="75" customHeight="1">
      <c r="A929" s="7"/>
      <c r="B929" s="16"/>
      <c r="C929" s="9"/>
      <c r="D929" s="10"/>
      <c r="E929" s="10"/>
      <c r="F929" s="10"/>
      <c r="G929" s="10"/>
      <c r="H929" s="10"/>
      <c r="I929" s="12"/>
      <c r="J929" s="13"/>
    </row>
    <row r="930" spans="1:10" ht="75" customHeight="1">
      <c r="A930" s="7"/>
      <c r="B930" s="16"/>
      <c r="C930" s="9"/>
      <c r="D930" s="10"/>
      <c r="E930" s="10"/>
      <c r="F930" s="10"/>
      <c r="G930" s="10"/>
      <c r="H930" s="10"/>
      <c r="I930" s="12"/>
      <c r="J930" s="13"/>
    </row>
    <row r="931" spans="1:10" ht="75" customHeight="1">
      <c r="A931" s="7"/>
      <c r="B931" s="16"/>
      <c r="C931" s="9"/>
      <c r="D931" s="10"/>
      <c r="E931" s="10"/>
      <c r="F931" s="10"/>
      <c r="G931" s="10"/>
      <c r="H931" s="10"/>
      <c r="I931" s="12"/>
      <c r="J931" s="13"/>
    </row>
    <row r="932" spans="1:10" ht="75" customHeight="1">
      <c r="A932" s="7"/>
      <c r="B932" s="16"/>
      <c r="C932" s="9"/>
      <c r="D932" s="10"/>
      <c r="E932" s="10"/>
      <c r="F932" s="10"/>
      <c r="G932" s="10"/>
      <c r="H932" s="10"/>
      <c r="I932" s="12"/>
      <c r="J932" s="13"/>
    </row>
    <row r="933" spans="1:10" ht="75" customHeight="1">
      <c r="A933" s="7"/>
      <c r="B933" s="16"/>
      <c r="C933" s="9"/>
      <c r="D933" s="10"/>
      <c r="E933" s="10"/>
      <c r="F933" s="10"/>
      <c r="G933" s="10"/>
      <c r="H933" s="10"/>
      <c r="I933" s="12"/>
      <c r="J933" s="13"/>
    </row>
    <row r="934" spans="1:10" ht="75" customHeight="1">
      <c r="A934" s="7"/>
      <c r="B934" s="16"/>
      <c r="C934" s="9"/>
      <c r="D934" s="10"/>
      <c r="E934" s="10"/>
      <c r="F934" s="10"/>
      <c r="G934" s="10"/>
      <c r="H934" s="10"/>
      <c r="I934" s="12"/>
      <c r="J934" s="13"/>
    </row>
    <row r="935" spans="1:10" ht="75" customHeight="1">
      <c r="A935" s="7"/>
      <c r="B935" s="16"/>
      <c r="C935" s="9"/>
      <c r="D935" s="10"/>
      <c r="E935" s="10"/>
      <c r="F935" s="10"/>
      <c r="G935" s="10"/>
      <c r="H935" s="10"/>
      <c r="I935" s="12"/>
      <c r="J935" s="13"/>
    </row>
    <row r="936" spans="1:10" ht="75" customHeight="1">
      <c r="A936" s="7"/>
      <c r="B936" s="16"/>
      <c r="C936" s="9"/>
      <c r="D936" s="10"/>
      <c r="E936" s="10"/>
      <c r="F936" s="10"/>
      <c r="G936" s="10"/>
      <c r="H936" s="10"/>
      <c r="I936" s="12"/>
      <c r="J936" s="13"/>
    </row>
    <row r="937" spans="1:10" ht="75" customHeight="1">
      <c r="A937" s="7"/>
      <c r="B937" s="16"/>
      <c r="C937" s="9"/>
      <c r="D937" s="10"/>
      <c r="E937" s="10"/>
      <c r="F937" s="10"/>
      <c r="G937" s="10"/>
      <c r="H937" s="10"/>
      <c r="I937" s="12"/>
      <c r="J937" s="13"/>
    </row>
    <row r="938" spans="1:10" ht="75" customHeight="1">
      <c r="A938" s="7"/>
      <c r="B938" s="16"/>
      <c r="C938" s="9"/>
      <c r="D938" s="10"/>
      <c r="E938" s="10"/>
      <c r="F938" s="10"/>
      <c r="G938" s="10"/>
      <c r="H938" s="10"/>
      <c r="I938" s="12"/>
      <c r="J938" s="13"/>
    </row>
    <row r="939" spans="1:10" ht="75" customHeight="1">
      <c r="A939" s="7"/>
      <c r="B939" s="16"/>
      <c r="C939" s="9"/>
      <c r="D939" s="10"/>
      <c r="E939" s="10"/>
      <c r="F939" s="10"/>
      <c r="G939" s="10"/>
      <c r="H939" s="10"/>
      <c r="I939" s="12"/>
      <c r="J939" s="13"/>
    </row>
    <row r="940" spans="1:10" ht="75" customHeight="1">
      <c r="A940" s="7"/>
      <c r="B940" s="16"/>
      <c r="C940" s="9"/>
      <c r="D940" s="10"/>
      <c r="E940" s="10"/>
      <c r="F940" s="10"/>
      <c r="G940" s="10"/>
      <c r="H940" s="10"/>
      <c r="I940" s="12"/>
      <c r="J940" s="13"/>
    </row>
    <row r="941" spans="1:10" ht="75" customHeight="1">
      <c r="A941" s="7"/>
      <c r="B941" s="16"/>
      <c r="C941" s="9"/>
      <c r="D941" s="10"/>
      <c r="E941" s="10"/>
      <c r="F941" s="10"/>
      <c r="G941" s="10"/>
      <c r="H941" s="10"/>
      <c r="I941" s="12"/>
      <c r="J941" s="13"/>
    </row>
    <row r="942" spans="1:10" ht="75" customHeight="1">
      <c r="A942" s="7"/>
      <c r="B942" s="16"/>
      <c r="C942" s="9"/>
      <c r="D942" s="10"/>
      <c r="E942" s="10"/>
      <c r="F942" s="10"/>
      <c r="G942" s="10"/>
      <c r="H942" s="10"/>
      <c r="I942" s="12"/>
      <c r="J942" s="13"/>
    </row>
    <row r="943" spans="1:10" ht="75" customHeight="1">
      <c r="A943" s="7"/>
      <c r="B943" s="16"/>
      <c r="C943" s="9"/>
      <c r="D943" s="10"/>
      <c r="E943" s="10"/>
      <c r="F943" s="10"/>
      <c r="G943" s="10"/>
      <c r="H943" s="10"/>
      <c r="I943" s="12"/>
      <c r="J943" s="13"/>
    </row>
    <row r="944" spans="1:10" ht="75" customHeight="1">
      <c r="A944" s="7"/>
      <c r="B944" s="16"/>
      <c r="C944" s="9"/>
      <c r="D944" s="10"/>
      <c r="E944" s="10"/>
      <c r="F944" s="10"/>
      <c r="G944" s="10"/>
      <c r="H944" s="10"/>
      <c r="I944" s="12"/>
      <c r="J944" s="13"/>
    </row>
    <row r="945" spans="1:10" ht="75" customHeight="1">
      <c r="A945" s="7"/>
      <c r="B945" s="16"/>
      <c r="C945" s="9"/>
      <c r="D945" s="10"/>
      <c r="E945" s="10"/>
      <c r="F945" s="10"/>
      <c r="G945" s="10"/>
      <c r="H945" s="10"/>
      <c r="I945" s="12"/>
      <c r="J945" s="13"/>
    </row>
    <row r="946" spans="1:10" ht="75" customHeight="1">
      <c r="A946" s="7"/>
      <c r="B946" s="16"/>
      <c r="C946" s="9"/>
      <c r="D946" s="10"/>
      <c r="E946" s="10"/>
      <c r="F946" s="10"/>
      <c r="G946" s="10"/>
      <c r="H946" s="10"/>
      <c r="I946" s="12"/>
      <c r="J946" s="13"/>
    </row>
    <row r="947" spans="1:10" ht="75" customHeight="1">
      <c r="A947" s="7"/>
      <c r="B947" s="16"/>
      <c r="C947" s="9"/>
      <c r="D947" s="10"/>
      <c r="E947" s="10"/>
      <c r="F947" s="10"/>
      <c r="G947" s="10"/>
      <c r="H947" s="10"/>
      <c r="I947" s="12"/>
      <c r="J947" s="13"/>
    </row>
    <row r="948" spans="1:10" ht="75" customHeight="1">
      <c r="A948" s="7"/>
      <c r="B948" s="16"/>
      <c r="C948" s="9"/>
      <c r="D948" s="10"/>
      <c r="E948" s="10"/>
      <c r="F948" s="10"/>
      <c r="G948" s="10"/>
      <c r="H948" s="10"/>
      <c r="I948" s="12"/>
      <c r="J948" s="13"/>
    </row>
    <row r="949" spans="1:10" ht="75" customHeight="1">
      <c r="A949" s="7"/>
      <c r="B949" s="16"/>
      <c r="C949" s="9"/>
      <c r="D949" s="10"/>
      <c r="E949" s="10"/>
      <c r="F949" s="10"/>
      <c r="G949" s="10"/>
      <c r="H949" s="10"/>
      <c r="I949" s="12"/>
      <c r="J949" s="13"/>
    </row>
    <row r="950" spans="1:10" ht="75" customHeight="1">
      <c r="A950" s="7"/>
      <c r="B950" s="16"/>
      <c r="C950" s="9"/>
      <c r="D950" s="10"/>
      <c r="E950" s="10"/>
      <c r="F950" s="10"/>
      <c r="G950" s="10"/>
      <c r="H950" s="10"/>
      <c r="I950" s="12"/>
      <c r="J950" s="13"/>
    </row>
    <row r="951" spans="1:10" ht="75" customHeight="1">
      <c r="A951" s="7"/>
      <c r="B951" s="16"/>
      <c r="C951" s="9"/>
      <c r="D951" s="10"/>
      <c r="E951" s="10"/>
      <c r="F951" s="10"/>
      <c r="G951" s="10"/>
      <c r="H951" s="10"/>
      <c r="I951" s="12"/>
      <c r="J951" s="13"/>
    </row>
    <row r="952" spans="1:10" ht="75" customHeight="1">
      <c r="A952" s="7"/>
      <c r="B952" s="16"/>
      <c r="C952" s="9"/>
      <c r="D952" s="10"/>
      <c r="E952" s="10"/>
      <c r="F952" s="10"/>
      <c r="G952" s="10"/>
      <c r="H952" s="10"/>
      <c r="I952" s="12"/>
      <c r="J952" s="13"/>
    </row>
    <row r="953" spans="1:10" ht="75" customHeight="1">
      <c r="A953" s="7"/>
      <c r="B953" s="16"/>
      <c r="C953" s="9"/>
      <c r="D953" s="10"/>
      <c r="E953" s="10"/>
      <c r="F953" s="10"/>
      <c r="G953" s="10"/>
      <c r="H953" s="10"/>
      <c r="I953" s="12"/>
      <c r="J953" s="13"/>
    </row>
    <row r="954" spans="1:10" ht="75" customHeight="1">
      <c r="A954" s="7"/>
      <c r="B954" s="16"/>
      <c r="C954" s="9"/>
      <c r="D954" s="10"/>
      <c r="E954" s="10"/>
      <c r="F954" s="10"/>
      <c r="G954" s="10"/>
      <c r="H954" s="10"/>
      <c r="I954" s="12"/>
      <c r="J954" s="13"/>
    </row>
    <row r="955" spans="1:10" ht="75" customHeight="1">
      <c r="A955" s="7"/>
      <c r="B955" s="16"/>
      <c r="C955" s="9"/>
      <c r="D955" s="10"/>
      <c r="E955" s="10"/>
      <c r="F955" s="10"/>
      <c r="G955" s="10"/>
      <c r="H955" s="10"/>
      <c r="I955" s="12"/>
      <c r="J955" s="13"/>
    </row>
    <row r="956" spans="1:10" ht="75" customHeight="1">
      <c r="A956" s="7"/>
      <c r="B956" s="16"/>
      <c r="C956" s="9"/>
      <c r="D956" s="10"/>
      <c r="E956" s="10"/>
      <c r="F956" s="10"/>
      <c r="G956" s="10"/>
      <c r="H956" s="10"/>
      <c r="I956" s="12"/>
      <c r="J956" s="13"/>
    </row>
    <row r="957" spans="1:10" ht="75" customHeight="1">
      <c r="A957" s="7"/>
      <c r="B957" s="16"/>
      <c r="C957" s="9"/>
      <c r="D957" s="10"/>
      <c r="E957" s="10"/>
      <c r="F957" s="10"/>
      <c r="G957" s="10"/>
      <c r="H957" s="10"/>
      <c r="I957" s="12"/>
      <c r="J957" s="13"/>
    </row>
    <row r="958" spans="1:10" ht="75" customHeight="1">
      <c r="A958" s="7"/>
      <c r="B958" s="16"/>
      <c r="C958" s="9"/>
      <c r="D958" s="10"/>
      <c r="E958" s="10"/>
      <c r="F958" s="10"/>
      <c r="G958" s="10"/>
      <c r="H958" s="10"/>
      <c r="I958" s="12"/>
      <c r="J958" s="13"/>
    </row>
    <row r="959" spans="1:10" ht="75" customHeight="1">
      <c r="A959" s="7"/>
      <c r="B959" s="16"/>
      <c r="C959" s="9"/>
      <c r="D959" s="10"/>
      <c r="E959" s="10"/>
      <c r="F959" s="10"/>
      <c r="G959" s="10"/>
      <c r="H959" s="10"/>
      <c r="I959" s="12"/>
      <c r="J959" s="13"/>
    </row>
    <row r="960" spans="1:10" ht="75" customHeight="1">
      <c r="A960" s="7"/>
      <c r="B960" s="16"/>
      <c r="C960" s="9"/>
      <c r="D960" s="10"/>
      <c r="E960" s="10"/>
      <c r="F960" s="10"/>
      <c r="G960" s="10"/>
      <c r="H960" s="10"/>
      <c r="I960" s="12"/>
      <c r="J960" s="13"/>
    </row>
    <row r="961" spans="1:10" ht="75" customHeight="1">
      <c r="A961" s="7"/>
      <c r="B961" s="16"/>
      <c r="C961" s="9"/>
      <c r="D961" s="10"/>
      <c r="E961" s="10"/>
      <c r="F961" s="10"/>
      <c r="G961" s="10"/>
      <c r="H961" s="10"/>
      <c r="I961" s="12"/>
      <c r="J961" s="13"/>
    </row>
    <row r="962" spans="1:10" ht="75" customHeight="1">
      <c r="A962" s="7"/>
      <c r="B962" s="16"/>
      <c r="C962" s="9"/>
      <c r="D962" s="10"/>
      <c r="E962" s="10"/>
      <c r="F962" s="10"/>
      <c r="G962" s="10"/>
      <c r="H962" s="10"/>
      <c r="I962" s="12"/>
      <c r="J962" s="13"/>
    </row>
    <row r="963" spans="1:10" ht="75" customHeight="1">
      <c r="A963" s="7"/>
      <c r="B963" s="16"/>
      <c r="C963" s="9"/>
      <c r="D963" s="10"/>
      <c r="E963" s="10"/>
      <c r="F963" s="10"/>
      <c r="G963" s="10"/>
      <c r="H963" s="10"/>
      <c r="I963" s="12"/>
      <c r="J963" s="13"/>
    </row>
    <row r="964" spans="1:10" ht="75" customHeight="1">
      <c r="A964" s="7"/>
      <c r="B964" s="16"/>
      <c r="C964" s="9"/>
      <c r="D964" s="10"/>
      <c r="E964" s="10"/>
      <c r="F964" s="10"/>
      <c r="G964" s="10"/>
      <c r="H964" s="10"/>
      <c r="I964" s="12"/>
      <c r="J964" s="13"/>
    </row>
    <row r="965" spans="1:10" ht="75" customHeight="1">
      <c r="A965" s="7"/>
      <c r="B965" s="16"/>
      <c r="C965" s="9"/>
      <c r="D965" s="10"/>
      <c r="E965" s="10"/>
      <c r="F965" s="10"/>
      <c r="G965" s="10"/>
      <c r="H965" s="10"/>
      <c r="I965" s="12"/>
      <c r="J965" s="13"/>
    </row>
    <row r="966" spans="1:10" ht="75" customHeight="1">
      <c r="A966" s="7"/>
      <c r="B966" s="16"/>
      <c r="C966" s="9"/>
      <c r="D966" s="10"/>
      <c r="E966" s="10"/>
      <c r="F966" s="10"/>
      <c r="G966" s="10"/>
      <c r="H966" s="10"/>
      <c r="I966" s="12"/>
      <c r="J966" s="13"/>
    </row>
    <row r="967" spans="1:10" ht="75" customHeight="1">
      <c r="A967" s="7"/>
      <c r="B967" s="16"/>
      <c r="C967" s="9"/>
      <c r="D967" s="10"/>
      <c r="E967" s="10"/>
      <c r="F967" s="10"/>
      <c r="G967" s="10"/>
      <c r="H967" s="10"/>
      <c r="I967" s="12"/>
      <c r="J967" s="13"/>
    </row>
    <row r="968" spans="1:10" ht="75" customHeight="1">
      <c r="A968" s="7"/>
      <c r="B968" s="16"/>
      <c r="C968" s="9"/>
      <c r="D968" s="10"/>
      <c r="E968" s="10"/>
      <c r="F968" s="10"/>
      <c r="G968" s="10"/>
      <c r="H968" s="10"/>
      <c r="I968" s="12"/>
      <c r="J968" s="13"/>
    </row>
    <row r="969" spans="1:10" ht="75" customHeight="1">
      <c r="A969" s="7"/>
      <c r="B969" s="16"/>
      <c r="C969" s="9"/>
      <c r="D969" s="10"/>
      <c r="E969" s="10"/>
      <c r="F969" s="10"/>
      <c r="G969" s="10"/>
      <c r="H969" s="10"/>
      <c r="I969" s="12"/>
      <c r="J969" s="13"/>
    </row>
    <row r="970" spans="1:10" ht="75" customHeight="1">
      <c r="A970" s="7"/>
      <c r="B970" s="16"/>
      <c r="C970" s="9"/>
      <c r="D970" s="10"/>
      <c r="E970" s="10"/>
      <c r="F970" s="10"/>
      <c r="G970" s="10"/>
      <c r="H970" s="10"/>
      <c r="I970" s="12"/>
      <c r="J970" s="13"/>
    </row>
    <row r="971" spans="1:10" ht="75" customHeight="1">
      <c r="A971" s="7"/>
      <c r="B971" s="16"/>
      <c r="C971" s="9"/>
      <c r="D971" s="10"/>
      <c r="E971" s="10"/>
      <c r="F971" s="10"/>
      <c r="G971" s="10"/>
      <c r="H971" s="10"/>
      <c r="I971" s="12"/>
      <c r="J971" s="13"/>
    </row>
    <row r="972" spans="1:10" ht="75" customHeight="1">
      <c r="A972" s="7"/>
      <c r="B972" s="16"/>
      <c r="C972" s="9"/>
      <c r="D972" s="10"/>
      <c r="E972" s="10"/>
      <c r="F972" s="10"/>
      <c r="G972" s="10"/>
      <c r="H972" s="10"/>
      <c r="I972" s="12"/>
      <c r="J972" s="13"/>
    </row>
    <row r="973" spans="1:10" ht="75" customHeight="1">
      <c r="A973" s="7"/>
      <c r="B973" s="16"/>
      <c r="C973" s="9"/>
      <c r="D973" s="10"/>
      <c r="E973" s="10"/>
      <c r="F973" s="10"/>
      <c r="G973" s="10"/>
      <c r="H973" s="10"/>
      <c r="I973" s="12"/>
      <c r="J973" s="13"/>
    </row>
    <row r="974" spans="1:10" ht="75" customHeight="1">
      <c r="A974" s="7"/>
      <c r="B974" s="16"/>
      <c r="C974" s="9"/>
      <c r="D974" s="10"/>
      <c r="E974" s="10"/>
      <c r="F974" s="10"/>
      <c r="G974" s="10"/>
      <c r="H974" s="10"/>
      <c r="I974" s="12"/>
      <c r="J974" s="13"/>
    </row>
    <row r="975" spans="1:10" ht="75" customHeight="1">
      <c r="A975" s="7"/>
      <c r="B975" s="16"/>
      <c r="C975" s="9"/>
      <c r="D975" s="10"/>
      <c r="E975" s="10"/>
      <c r="F975" s="10"/>
      <c r="G975" s="10"/>
      <c r="H975" s="10"/>
      <c r="I975" s="12"/>
      <c r="J975" s="13"/>
    </row>
    <row r="976" spans="1:10" ht="75" customHeight="1">
      <c r="A976" s="7"/>
      <c r="B976" s="16"/>
      <c r="C976" s="9"/>
      <c r="D976" s="10"/>
      <c r="E976" s="10"/>
      <c r="F976" s="10"/>
      <c r="G976" s="10"/>
      <c r="H976" s="10"/>
      <c r="I976" s="12"/>
      <c r="J976" s="13"/>
    </row>
    <row r="977" spans="1:10" ht="75" customHeight="1">
      <c r="A977" s="7"/>
      <c r="B977" s="16"/>
      <c r="C977" s="9"/>
      <c r="D977" s="10"/>
      <c r="E977" s="10"/>
      <c r="F977" s="10"/>
      <c r="G977" s="10"/>
      <c r="H977" s="10"/>
      <c r="I977" s="12"/>
      <c r="J977" s="13"/>
    </row>
    <row r="978" spans="1:10" ht="75" customHeight="1">
      <c r="A978" s="7"/>
      <c r="B978" s="16"/>
      <c r="C978" s="9"/>
      <c r="D978" s="10"/>
      <c r="E978" s="10"/>
      <c r="F978" s="10"/>
      <c r="G978" s="10"/>
      <c r="H978" s="10"/>
      <c r="I978" s="12"/>
      <c r="J978" s="13"/>
    </row>
    <row r="979" spans="1:10" ht="75" customHeight="1">
      <c r="A979" s="7"/>
      <c r="B979" s="16"/>
      <c r="C979" s="9"/>
      <c r="D979" s="10"/>
      <c r="E979" s="10"/>
      <c r="F979" s="10"/>
      <c r="G979" s="10"/>
      <c r="H979" s="10"/>
      <c r="I979" s="12"/>
      <c r="J979" s="13"/>
    </row>
    <row r="980" spans="1:10" ht="75" customHeight="1">
      <c r="A980" s="7"/>
      <c r="B980" s="16"/>
      <c r="C980" s="9"/>
      <c r="D980" s="10"/>
      <c r="E980" s="10"/>
      <c r="F980" s="10"/>
      <c r="G980" s="10"/>
      <c r="H980" s="10"/>
      <c r="I980" s="12"/>
      <c r="J980" s="13"/>
    </row>
    <row r="981" spans="1:10" ht="75" customHeight="1">
      <c r="A981" s="7"/>
      <c r="B981" s="16"/>
      <c r="C981" s="9"/>
      <c r="D981" s="10"/>
      <c r="E981" s="10"/>
      <c r="F981" s="10"/>
      <c r="G981" s="10"/>
      <c r="H981" s="10"/>
      <c r="I981" s="12"/>
      <c r="J981" s="13"/>
    </row>
    <row r="982" spans="1:10" ht="75" customHeight="1">
      <c r="A982" s="7"/>
      <c r="B982" s="16"/>
      <c r="C982" s="9"/>
      <c r="D982" s="10"/>
      <c r="E982" s="10"/>
      <c r="F982" s="10"/>
      <c r="G982" s="10"/>
      <c r="H982" s="10"/>
      <c r="I982" s="12"/>
      <c r="J982" s="13"/>
    </row>
    <row r="983" spans="1:10" ht="75" customHeight="1">
      <c r="A983" s="7"/>
      <c r="B983" s="16"/>
      <c r="C983" s="9"/>
      <c r="D983" s="10"/>
      <c r="E983" s="10"/>
      <c r="F983" s="10"/>
      <c r="G983" s="10"/>
      <c r="H983" s="10"/>
      <c r="I983" s="12"/>
      <c r="J983" s="13"/>
    </row>
    <row r="984" spans="1:10" ht="75" customHeight="1">
      <c r="A984" s="7"/>
      <c r="B984" s="16"/>
      <c r="C984" s="9"/>
      <c r="D984" s="10"/>
      <c r="E984" s="10"/>
      <c r="F984" s="10"/>
      <c r="G984" s="10"/>
      <c r="H984" s="10"/>
      <c r="I984" s="12"/>
      <c r="J984" s="13"/>
    </row>
    <row r="985" spans="1:10" ht="75" customHeight="1">
      <c r="A985" s="7"/>
      <c r="B985" s="16"/>
      <c r="C985" s="9"/>
      <c r="D985" s="10"/>
      <c r="E985" s="10"/>
      <c r="F985" s="10"/>
      <c r="G985" s="10"/>
      <c r="H985" s="10"/>
      <c r="I985" s="12"/>
      <c r="J985" s="13"/>
    </row>
    <row r="986" spans="1:10" ht="75" customHeight="1">
      <c r="A986" s="7"/>
      <c r="B986" s="16"/>
      <c r="C986" s="9"/>
      <c r="D986" s="10"/>
      <c r="E986" s="10"/>
      <c r="F986" s="10"/>
      <c r="G986" s="10"/>
      <c r="H986" s="10"/>
      <c r="I986" s="12"/>
      <c r="J986" s="13"/>
    </row>
    <row r="987" spans="1:10" ht="75" customHeight="1">
      <c r="A987" s="7"/>
      <c r="B987" s="16"/>
      <c r="C987" s="9"/>
      <c r="D987" s="10"/>
      <c r="E987" s="10"/>
      <c r="F987" s="10"/>
      <c r="G987" s="10"/>
      <c r="H987" s="10"/>
      <c r="I987" s="12"/>
      <c r="J987" s="13"/>
    </row>
    <row r="988" spans="1:10" ht="75" customHeight="1">
      <c r="A988" s="7"/>
      <c r="B988" s="16"/>
      <c r="C988" s="9"/>
      <c r="D988" s="10"/>
      <c r="E988" s="10"/>
      <c r="F988" s="10"/>
      <c r="G988" s="10"/>
      <c r="H988" s="10"/>
      <c r="I988" s="12"/>
      <c r="J988" s="13"/>
    </row>
    <row r="989" spans="1:10" ht="75" customHeight="1">
      <c r="A989" s="7"/>
      <c r="B989" s="16"/>
      <c r="C989" s="9"/>
      <c r="D989" s="10"/>
      <c r="E989" s="10"/>
      <c r="F989" s="10"/>
      <c r="G989" s="10"/>
      <c r="H989" s="10"/>
      <c r="I989" s="12"/>
      <c r="J989" s="13"/>
    </row>
    <row r="990" spans="1:10" ht="75" customHeight="1">
      <c r="A990" s="7"/>
      <c r="B990" s="16"/>
      <c r="C990" s="9"/>
      <c r="D990" s="10"/>
      <c r="E990" s="10"/>
      <c r="F990" s="10"/>
      <c r="G990" s="10"/>
      <c r="H990" s="10"/>
      <c r="I990" s="12"/>
      <c r="J990" s="13"/>
    </row>
    <row r="991" spans="1:10" ht="75" customHeight="1">
      <c r="A991" s="7"/>
      <c r="B991" s="16"/>
      <c r="C991" s="9"/>
      <c r="D991" s="10"/>
      <c r="E991" s="10"/>
      <c r="F991" s="10"/>
      <c r="G991" s="10"/>
      <c r="H991" s="10"/>
      <c r="I991" s="12"/>
      <c r="J991" s="13"/>
    </row>
    <row r="992" spans="1:10" ht="75" customHeight="1">
      <c r="A992" s="7"/>
      <c r="B992" s="16"/>
      <c r="C992" s="9"/>
      <c r="D992" s="10"/>
      <c r="E992" s="10"/>
      <c r="F992" s="10"/>
      <c r="G992" s="10"/>
      <c r="H992" s="10"/>
      <c r="I992" s="12"/>
      <c r="J992" s="13"/>
    </row>
    <row r="993" spans="1:10" ht="75" customHeight="1">
      <c r="A993" s="7"/>
      <c r="B993" s="16"/>
      <c r="C993" s="9"/>
      <c r="D993" s="10"/>
      <c r="E993" s="10"/>
      <c r="F993" s="10"/>
      <c r="G993" s="10"/>
      <c r="H993" s="10"/>
      <c r="I993" s="12"/>
      <c r="J993" s="13"/>
    </row>
    <row r="994" spans="1:10" ht="75" customHeight="1">
      <c r="A994" s="7"/>
      <c r="B994" s="16"/>
      <c r="C994" s="9"/>
      <c r="D994" s="10"/>
      <c r="E994" s="10"/>
      <c r="F994" s="10"/>
      <c r="G994" s="10"/>
      <c r="H994" s="10"/>
      <c r="I994" s="12"/>
      <c r="J994" s="13"/>
    </row>
    <row r="995" spans="1:10" ht="75" customHeight="1">
      <c r="A995" s="7"/>
      <c r="B995" s="16"/>
      <c r="C995" s="9"/>
      <c r="D995" s="10"/>
      <c r="E995" s="10"/>
      <c r="F995" s="10"/>
      <c r="G995" s="10"/>
      <c r="H995" s="10"/>
      <c r="I995" s="12"/>
      <c r="J995" s="13"/>
    </row>
    <row r="996" spans="1:10" ht="75" customHeight="1">
      <c r="A996" s="7"/>
      <c r="B996" s="16"/>
      <c r="C996" s="9"/>
      <c r="D996" s="10"/>
      <c r="E996" s="10"/>
      <c r="F996" s="10"/>
      <c r="G996" s="10"/>
      <c r="H996" s="10"/>
      <c r="I996" s="12"/>
      <c r="J996" s="13"/>
    </row>
    <row r="997" spans="1:10" ht="75" customHeight="1">
      <c r="A997" s="7"/>
      <c r="B997" s="16"/>
      <c r="C997" s="9"/>
      <c r="D997" s="10"/>
      <c r="E997" s="10"/>
      <c r="F997" s="10"/>
      <c r="G997" s="10"/>
      <c r="H997" s="10"/>
      <c r="I997" s="12"/>
      <c r="J997" s="13"/>
    </row>
    <row r="998" spans="1:10" ht="75" customHeight="1">
      <c r="A998" s="7"/>
      <c r="B998" s="16"/>
      <c r="C998" s="9"/>
      <c r="D998" s="10"/>
      <c r="E998" s="10"/>
      <c r="F998" s="10"/>
      <c r="G998" s="10"/>
      <c r="H998" s="10"/>
      <c r="I998" s="12"/>
      <c r="J998" s="13"/>
    </row>
    <row r="999" spans="1:10" ht="75" customHeight="1">
      <c r="A999" s="7"/>
      <c r="B999" s="16"/>
      <c r="C999" s="9"/>
      <c r="D999" s="10"/>
      <c r="E999" s="10"/>
      <c r="F999" s="10"/>
      <c r="G999" s="10"/>
      <c r="H999" s="10"/>
      <c r="I999" s="12"/>
      <c r="J999" s="13"/>
    </row>
    <row r="1000" spans="1:10" ht="75" customHeight="1">
      <c r="A1000" s="7"/>
      <c r="B1000" s="16"/>
      <c r="C1000" s="9"/>
      <c r="D1000" s="10"/>
      <c r="E1000" s="10"/>
      <c r="F1000" s="10"/>
      <c r="G1000" s="10"/>
      <c r="H1000" s="10"/>
      <c r="I1000" s="12"/>
      <c r="J1000" s="13"/>
    </row>
  </sheetData>
  <autoFilter ref="A1:L111" xr:uid="{00000000-0009-0000-0000-000002000000}">
    <sortState xmlns:xlrd2="http://schemas.microsoft.com/office/spreadsheetml/2017/richdata2" ref="A2:L111">
      <sortCondition ref="I1:I111"/>
    </sortState>
  </autoFilter>
  <customSheetViews>
    <customSheetView guid="{9CD84C83-20A6-43E9-845B-58E81C83F28A}" filter="1" showAutoFilter="1">
      <pageMargins left="0.7" right="0.7" top="0.75" bottom="0.75" header="0.3" footer="0.3"/>
      <autoFilter ref="A1:J1000" xr:uid="{AE40576F-BB77-45C6-8945-98359C07A329}"/>
    </customSheetView>
    <customSheetView guid="{DEFAECCF-EBBD-406D-BCDE-E68D508B403D}" filter="1" showAutoFilter="1">
      <pageMargins left="0.7" right="0.7" top="0.75" bottom="0.75" header="0.3" footer="0.3"/>
      <autoFilter ref="A1:J1000" xr:uid="{FF39657B-6111-4ADD-97CD-14593550DCEA}"/>
    </customSheetView>
    <customSheetView guid="{230B7950-A2D8-4702-A7AE-58086CEB2B82}" filter="1" showAutoFilter="1">
      <pageMargins left="0.7" right="0.7" top="0.75" bottom="0.75" header="0.3" footer="0.3"/>
      <autoFilter ref="A1:J1000" xr:uid="{964BE4E7-4611-4F96-AB9C-3E4F6CE7AFEF}"/>
    </customSheetView>
  </customSheetViews>
  <conditionalFormatting sqref="A2:A1000">
    <cfRule type="expression" dxfId="6" priority="1">
      <formula>AND($A2&lt;&gt;"", TRIM($J2)="")</formula>
    </cfRule>
    <cfRule type="expression" dxfId="5" priority="2">
      <formula>INT($A2) &lt; TODAY()</formula>
    </cfRule>
    <cfRule type="expression" dxfId="4" priority="3">
      <formula>INT($A2) = TODAY()</formula>
    </cfRule>
  </conditionalFormatting>
  <conditionalFormatting sqref="I112:I1000">
    <cfRule type="cellIs" dxfId="3" priority="10" operator="equal">
      <formula>"منجز"</formula>
    </cfRule>
    <cfRule type="cellIs" dxfId="2" priority="11" operator="equal">
      <formula>"ملغي"</formula>
    </cfRule>
    <cfRule type="cellIs" dxfId="1" priority="12" operator="equal">
      <formula>"تابع للتربية"</formula>
    </cfRule>
    <cfRule type="cellIs" dxfId="0" priority="13" operator="equal">
      <formula>"مؤجل"</formula>
    </cfRule>
  </conditionalFormatting>
  <dataValidations count="2">
    <dataValidation type="list" allowBlank="1" sqref="J2:J111" xr:uid="{00000000-0002-0000-0200-000000000000}">
      <formula1>"منجز,ملغي,تابع للتربية,مؤجل"</formula1>
    </dataValidation>
    <dataValidation type="list" allowBlank="1" sqref="I2:I111" xr:uid="{00000000-0002-0000-0200-000001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338"/>
  <sheetViews>
    <sheetView workbookViewId="0">
      <pane ySplit="1" topLeftCell="A2" activePane="bottomLeft" state="frozen"/>
      <selection pane="bottomLeft" activeCell="G18" sqref="G18"/>
    </sheetView>
  </sheetViews>
  <sheetFormatPr defaultColWidth="12.5546875" defaultRowHeight="15.75" customHeight="1"/>
  <cols>
    <col min="1" max="1" width="18.88671875" customWidth="1"/>
    <col min="2" max="2" width="21.44140625" customWidth="1"/>
    <col min="3" max="21" width="18.88671875" customWidth="1"/>
  </cols>
  <sheetData>
    <row r="1" spans="1:15" ht="22.5" customHeight="1">
      <c r="A1" s="17" t="s">
        <v>28</v>
      </c>
      <c r="B1" s="17" t="s">
        <v>29</v>
      </c>
      <c r="C1" s="17" t="s">
        <v>30</v>
      </c>
      <c r="D1" s="17" t="s">
        <v>31</v>
      </c>
      <c r="E1" s="17" t="s">
        <v>3</v>
      </c>
      <c r="F1" s="17" t="s">
        <v>4</v>
      </c>
      <c r="G1" s="17" t="s">
        <v>32</v>
      </c>
      <c r="H1" s="17" t="s">
        <v>33</v>
      </c>
      <c r="I1" s="17" t="s">
        <v>34</v>
      </c>
      <c r="J1" s="17" t="s">
        <v>31</v>
      </c>
      <c r="K1" s="17" t="s">
        <v>3</v>
      </c>
      <c r="L1" s="17" t="s">
        <v>4</v>
      </c>
      <c r="M1" s="17" t="s">
        <v>32</v>
      </c>
      <c r="N1" s="17" t="s">
        <v>33</v>
      </c>
      <c r="O1" s="17" t="s">
        <v>34</v>
      </c>
    </row>
    <row r="2" spans="1:15" ht="22.5" customHeight="1">
      <c r="A2" s="18">
        <v>45962.566807233801</v>
      </c>
      <c r="B2" s="19" t="s">
        <v>35</v>
      </c>
      <c r="C2" s="19" t="s">
        <v>36</v>
      </c>
      <c r="D2" s="19" t="s">
        <v>37</v>
      </c>
      <c r="E2" s="19" t="s">
        <v>38</v>
      </c>
      <c r="F2" s="19" t="s">
        <v>39</v>
      </c>
      <c r="G2" s="19" t="s">
        <v>40</v>
      </c>
      <c r="H2" s="19" t="s">
        <v>41</v>
      </c>
      <c r="I2" s="19"/>
      <c r="J2" s="19"/>
      <c r="K2" s="19"/>
      <c r="L2" s="19"/>
      <c r="M2" s="19"/>
      <c r="N2" s="19"/>
      <c r="O2" s="19"/>
    </row>
    <row r="3" spans="1:15" ht="22.5" customHeight="1">
      <c r="A3" s="18">
        <v>45962.606371331014</v>
      </c>
      <c r="B3" s="19" t="s">
        <v>35</v>
      </c>
      <c r="C3" s="19" t="s">
        <v>36</v>
      </c>
      <c r="D3" s="19" t="s">
        <v>42</v>
      </c>
      <c r="E3" s="19" t="s">
        <v>43</v>
      </c>
      <c r="F3" s="19" t="s">
        <v>44</v>
      </c>
      <c r="G3" s="19" t="s">
        <v>45</v>
      </c>
      <c r="H3" s="19" t="s">
        <v>46</v>
      </c>
    </row>
    <row r="4" spans="1:15" ht="22.5" customHeight="1">
      <c r="A4" s="18">
        <v>45963.336497199074</v>
      </c>
      <c r="B4" s="19" t="s">
        <v>47</v>
      </c>
      <c r="C4" s="19" t="s">
        <v>36</v>
      </c>
      <c r="D4" s="19" t="s">
        <v>37</v>
      </c>
      <c r="E4" s="19" t="s">
        <v>38</v>
      </c>
      <c r="F4" s="19" t="s">
        <v>48</v>
      </c>
      <c r="G4" s="19" t="s">
        <v>49</v>
      </c>
      <c r="H4" s="19" t="s">
        <v>50</v>
      </c>
    </row>
    <row r="5" spans="1:15" ht="22.5" customHeight="1">
      <c r="A5" s="18">
        <v>45963.337338136575</v>
      </c>
      <c r="B5" s="19" t="s">
        <v>47</v>
      </c>
      <c r="C5" s="19" t="s">
        <v>36</v>
      </c>
      <c r="D5" s="19" t="s">
        <v>37</v>
      </c>
      <c r="E5" s="19" t="s">
        <v>38</v>
      </c>
      <c r="F5" s="19" t="s">
        <v>48</v>
      </c>
      <c r="G5" s="19" t="s">
        <v>51</v>
      </c>
      <c r="H5" s="19" t="s">
        <v>52</v>
      </c>
    </row>
    <row r="6" spans="1:15" ht="22.5" customHeight="1">
      <c r="A6" s="18">
        <v>45963.353289282408</v>
      </c>
      <c r="B6" s="19" t="s">
        <v>47</v>
      </c>
      <c r="C6" s="19" t="s">
        <v>36</v>
      </c>
      <c r="D6" s="19" t="s">
        <v>37</v>
      </c>
      <c r="E6" s="19" t="s">
        <v>38</v>
      </c>
      <c r="F6" s="19" t="s">
        <v>53</v>
      </c>
      <c r="G6" s="19" t="s">
        <v>54</v>
      </c>
      <c r="H6" s="19" t="s">
        <v>55</v>
      </c>
    </row>
    <row r="7" spans="1:15" ht="22.5" customHeight="1">
      <c r="A7" s="18">
        <v>45963.366834479166</v>
      </c>
      <c r="B7" s="19" t="s">
        <v>56</v>
      </c>
      <c r="C7" s="19" t="s">
        <v>36</v>
      </c>
      <c r="D7" s="19" t="s">
        <v>57</v>
      </c>
      <c r="E7" s="19" t="s">
        <v>38</v>
      </c>
      <c r="F7" s="19" t="s">
        <v>58</v>
      </c>
      <c r="G7" s="19" t="s">
        <v>59</v>
      </c>
      <c r="H7" s="19" t="s">
        <v>60</v>
      </c>
    </row>
    <row r="8" spans="1:15" ht="22.5" customHeight="1">
      <c r="A8" s="18">
        <v>45963.435816840283</v>
      </c>
      <c r="B8" s="19" t="s">
        <v>47</v>
      </c>
      <c r="C8" s="19" t="s">
        <v>36</v>
      </c>
      <c r="D8" s="19" t="s">
        <v>37</v>
      </c>
      <c r="E8" s="19" t="s">
        <v>38</v>
      </c>
      <c r="F8" s="19" t="s">
        <v>58</v>
      </c>
      <c r="G8" s="19" t="s">
        <v>61</v>
      </c>
      <c r="H8" s="19" t="s">
        <v>62</v>
      </c>
    </row>
    <row r="9" spans="1:15" ht="22.5" customHeight="1">
      <c r="A9" s="18">
        <v>45963.436743043982</v>
      </c>
      <c r="B9" s="19" t="s">
        <v>47</v>
      </c>
      <c r="C9" s="19" t="s">
        <v>36</v>
      </c>
      <c r="D9" s="19" t="s">
        <v>37</v>
      </c>
      <c r="E9" s="19" t="s">
        <v>38</v>
      </c>
      <c r="F9" s="19" t="s">
        <v>39</v>
      </c>
      <c r="G9" s="19" t="s">
        <v>63</v>
      </c>
      <c r="H9" s="19" t="s">
        <v>64</v>
      </c>
    </row>
    <row r="10" spans="1:15" ht="22.5" customHeight="1">
      <c r="A10" s="18">
        <v>45963.440333969906</v>
      </c>
      <c r="B10" s="19" t="s">
        <v>47</v>
      </c>
      <c r="C10" s="19" t="s">
        <v>36</v>
      </c>
      <c r="D10" s="19" t="s">
        <v>37</v>
      </c>
      <c r="E10" s="19" t="s">
        <v>38</v>
      </c>
      <c r="F10" s="19" t="s">
        <v>65</v>
      </c>
      <c r="G10" s="19" t="s">
        <v>66</v>
      </c>
      <c r="H10" s="19" t="s">
        <v>67</v>
      </c>
    </row>
    <row r="11" spans="1:15" ht="22.5" customHeight="1">
      <c r="A11" s="18">
        <v>45963.44125019676</v>
      </c>
      <c r="B11" s="19" t="s">
        <v>47</v>
      </c>
      <c r="C11" s="19" t="s">
        <v>36</v>
      </c>
      <c r="D11" s="19" t="s">
        <v>37</v>
      </c>
      <c r="E11" s="19" t="s">
        <v>38</v>
      </c>
      <c r="F11" s="19" t="s">
        <v>48</v>
      </c>
      <c r="G11" s="19" t="s">
        <v>66</v>
      </c>
      <c r="H11" s="19" t="s">
        <v>68</v>
      </c>
    </row>
    <row r="12" spans="1:15" ht="22.5" customHeight="1">
      <c r="A12" s="18">
        <v>45963.526266793982</v>
      </c>
      <c r="B12" s="19" t="s">
        <v>69</v>
      </c>
      <c r="C12" s="19" t="s">
        <v>70</v>
      </c>
      <c r="J12" s="19" t="s">
        <v>71</v>
      </c>
      <c r="K12" s="19" t="s">
        <v>38</v>
      </c>
      <c r="L12" s="19" t="s">
        <v>72</v>
      </c>
      <c r="M12" s="19" t="s">
        <v>66</v>
      </c>
      <c r="N12" s="19" t="s">
        <v>73</v>
      </c>
    </row>
    <row r="13" spans="1:15" ht="22.5" customHeight="1">
      <c r="A13" s="18">
        <v>45963.583526087961</v>
      </c>
      <c r="B13" s="19" t="s">
        <v>47</v>
      </c>
      <c r="C13" s="19" t="s">
        <v>36</v>
      </c>
      <c r="D13" s="19" t="s">
        <v>37</v>
      </c>
      <c r="E13" s="19" t="s">
        <v>38</v>
      </c>
      <c r="F13" s="19" t="s">
        <v>58</v>
      </c>
      <c r="G13" s="19" t="s">
        <v>74</v>
      </c>
      <c r="H13" s="19" t="s">
        <v>75</v>
      </c>
    </row>
    <row r="14" spans="1:15" ht="22.5" customHeight="1">
      <c r="A14" s="18">
        <v>45964.310046631945</v>
      </c>
      <c r="B14" s="19" t="s">
        <v>47</v>
      </c>
      <c r="C14" s="19" t="s">
        <v>36</v>
      </c>
      <c r="D14" s="19" t="s">
        <v>37</v>
      </c>
      <c r="E14" s="19" t="s">
        <v>38</v>
      </c>
      <c r="F14" s="19" t="s">
        <v>58</v>
      </c>
      <c r="G14" s="19" t="s">
        <v>76</v>
      </c>
      <c r="H14" s="19" t="s">
        <v>77</v>
      </c>
    </row>
    <row r="15" spans="1:15" ht="22.5" customHeight="1">
      <c r="A15" s="18">
        <v>45964.337581041662</v>
      </c>
      <c r="B15" s="19" t="s">
        <v>47</v>
      </c>
      <c r="C15" s="19" t="s">
        <v>36</v>
      </c>
      <c r="D15" s="19" t="s">
        <v>37</v>
      </c>
      <c r="E15" s="19" t="s">
        <v>38</v>
      </c>
      <c r="F15" s="19" t="s">
        <v>78</v>
      </c>
      <c r="G15" s="19" t="s">
        <v>79</v>
      </c>
      <c r="H15" s="19" t="s">
        <v>80</v>
      </c>
    </row>
    <row r="16" spans="1:15" ht="22.5" customHeight="1">
      <c r="A16" s="18">
        <v>45964.338396446758</v>
      </c>
      <c r="B16" s="19" t="s">
        <v>47</v>
      </c>
      <c r="C16" s="19" t="s">
        <v>36</v>
      </c>
      <c r="D16" s="19" t="s">
        <v>37</v>
      </c>
      <c r="E16" s="19" t="s">
        <v>38</v>
      </c>
      <c r="F16" s="19" t="s">
        <v>53</v>
      </c>
      <c r="G16" s="19" t="s">
        <v>81</v>
      </c>
      <c r="H16" s="19" t="s">
        <v>82</v>
      </c>
    </row>
    <row r="17" spans="1:15" ht="22.5" customHeight="1">
      <c r="A17" s="18">
        <v>45964.351481921301</v>
      </c>
      <c r="B17" s="19" t="s">
        <v>47</v>
      </c>
      <c r="C17" s="19" t="s">
        <v>36</v>
      </c>
      <c r="D17" s="19" t="s">
        <v>37</v>
      </c>
      <c r="E17" s="19" t="s">
        <v>38</v>
      </c>
      <c r="F17" s="19" t="s">
        <v>78</v>
      </c>
      <c r="G17" s="19" t="s">
        <v>66</v>
      </c>
      <c r="H17" s="19" t="s">
        <v>83</v>
      </c>
    </row>
    <row r="18" spans="1:15" ht="22.5" customHeight="1">
      <c r="A18" s="18">
        <v>45964.387115254634</v>
      </c>
      <c r="B18" s="19" t="s">
        <v>84</v>
      </c>
      <c r="C18" s="19" t="s">
        <v>70</v>
      </c>
      <c r="J18" s="19" t="s">
        <v>85</v>
      </c>
      <c r="K18" s="19" t="s">
        <v>38</v>
      </c>
      <c r="L18" s="19" t="s">
        <v>86</v>
      </c>
      <c r="M18" s="19" t="s">
        <v>87</v>
      </c>
      <c r="N18" s="19" t="s">
        <v>88</v>
      </c>
    </row>
    <row r="19" spans="1:15" ht="22.5" customHeight="1">
      <c r="A19" s="18">
        <v>45964.512680474538</v>
      </c>
      <c r="B19" s="19" t="s">
        <v>47</v>
      </c>
      <c r="C19" s="19" t="s">
        <v>36</v>
      </c>
      <c r="D19" s="19" t="s">
        <v>37</v>
      </c>
      <c r="E19" s="19" t="s">
        <v>38</v>
      </c>
      <c r="F19" s="19" t="s">
        <v>89</v>
      </c>
      <c r="G19" s="19" t="s">
        <v>90</v>
      </c>
      <c r="H19" s="19" t="s">
        <v>91</v>
      </c>
    </row>
    <row r="20" spans="1:15" ht="22.5" customHeight="1">
      <c r="A20" s="18">
        <v>45964.513425752317</v>
      </c>
      <c r="B20" s="19" t="s">
        <v>47</v>
      </c>
      <c r="C20" s="19" t="s">
        <v>36</v>
      </c>
      <c r="D20" s="19" t="s">
        <v>37</v>
      </c>
      <c r="E20" s="19" t="s">
        <v>38</v>
      </c>
      <c r="F20" s="19" t="s">
        <v>92</v>
      </c>
      <c r="G20" s="19" t="s">
        <v>66</v>
      </c>
      <c r="H20" s="19" t="s">
        <v>93</v>
      </c>
    </row>
    <row r="21" spans="1:15" ht="22.5" customHeight="1">
      <c r="A21" s="18">
        <v>45964.51420125</v>
      </c>
      <c r="B21" s="19" t="s">
        <v>47</v>
      </c>
      <c r="C21" s="19" t="s">
        <v>36</v>
      </c>
      <c r="D21" s="19" t="s">
        <v>37</v>
      </c>
      <c r="E21" s="19" t="s">
        <v>38</v>
      </c>
      <c r="F21" s="19" t="s">
        <v>78</v>
      </c>
      <c r="G21" s="19" t="s">
        <v>94</v>
      </c>
      <c r="H21" s="19" t="s">
        <v>95</v>
      </c>
    </row>
    <row r="22" spans="1:15" ht="22.5" customHeight="1">
      <c r="A22" s="18">
        <v>45964.514715937505</v>
      </c>
      <c r="B22" s="19" t="s">
        <v>47</v>
      </c>
      <c r="C22" s="19" t="s">
        <v>36</v>
      </c>
      <c r="D22" s="19" t="s">
        <v>37</v>
      </c>
      <c r="E22" s="19" t="s">
        <v>38</v>
      </c>
      <c r="F22" s="19" t="s">
        <v>48</v>
      </c>
      <c r="G22" s="19" t="s">
        <v>96</v>
      </c>
      <c r="H22" s="19" t="s">
        <v>97</v>
      </c>
    </row>
    <row r="23" spans="1:15" ht="22.5" customHeight="1">
      <c r="A23" s="18">
        <v>45964.548432824071</v>
      </c>
      <c r="B23" s="19" t="s">
        <v>47</v>
      </c>
      <c r="C23" s="19" t="s">
        <v>36</v>
      </c>
      <c r="D23" s="19" t="s">
        <v>37</v>
      </c>
      <c r="E23" s="19" t="s">
        <v>38</v>
      </c>
      <c r="F23" s="19" t="s">
        <v>53</v>
      </c>
      <c r="G23" s="19" t="s">
        <v>98</v>
      </c>
      <c r="H23" s="19" t="s">
        <v>99</v>
      </c>
    </row>
    <row r="24" spans="1:15" ht="22.5" customHeight="1">
      <c r="A24" s="18">
        <v>45964.548961168985</v>
      </c>
      <c r="B24" s="19" t="s">
        <v>47</v>
      </c>
      <c r="C24" s="19" t="s">
        <v>36</v>
      </c>
      <c r="D24" s="19" t="s">
        <v>37</v>
      </c>
      <c r="E24" s="19" t="s">
        <v>38</v>
      </c>
      <c r="F24" s="19" t="s">
        <v>78</v>
      </c>
      <c r="G24" s="19" t="s">
        <v>100</v>
      </c>
      <c r="H24" s="19" t="s">
        <v>80</v>
      </c>
    </row>
    <row r="25" spans="1:15" ht="22.5" customHeight="1">
      <c r="A25" s="18">
        <v>45964.674967511572</v>
      </c>
      <c r="B25" s="19" t="s">
        <v>101</v>
      </c>
      <c r="C25" s="19" t="s">
        <v>36</v>
      </c>
      <c r="D25" s="19" t="s">
        <v>37</v>
      </c>
      <c r="E25" s="19" t="s">
        <v>38</v>
      </c>
      <c r="F25" s="19" t="s">
        <v>102</v>
      </c>
      <c r="G25" s="19" t="s">
        <v>66</v>
      </c>
      <c r="H25" s="19" t="s">
        <v>103</v>
      </c>
    </row>
    <row r="26" spans="1:15" ht="22.5" customHeight="1">
      <c r="A26" s="18">
        <v>45965.31872289352</v>
      </c>
      <c r="B26" s="19" t="s">
        <v>69</v>
      </c>
      <c r="C26" s="19" t="s">
        <v>70</v>
      </c>
      <c r="J26" s="19" t="s">
        <v>104</v>
      </c>
      <c r="K26" s="19" t="s">
        <v>38</v>
      </c>
      <c r="L26" s="19" t="s">
        <v>105</v>
      </c>
      <c r="M26" s="19" t="s">
        <v>66</v>
      </c>
      <c r="N26" s="19" t="s">
        <v>106</v>
      </c>
    </row>
    <row r="27" spans="1:15" ht="22.5" customHeight="1">
      <c r="A27" s="18">
        <v>45965.320283796296</v>
      </c>
      <c r="B27" s="19" t="s">
        <v>69</v>
      </c>
      <c r="C27" s="19" t="s">
        <v>70</v>
      </c>
      <c r="J27" s="19" t="s">
        <v>104</v>
      </c>
      <c r="K27" s="19" t="s">
        <v>38</v>
      </c>
      <c r="L27" s="19" t="s">
        <v>105</v>
      </c>
      <c r="M27" s="19" t="s">
        <v>107</v>
      </c>
      <c r="N27" s="19" t="s">
        <v>108</v>
      </c>
      <c r="O27" s="19" t="s">
        <v>109</v>
      </c>
    </row>
    <row r="28" spans="1:15" ht="22.5" customHeight="1">
      <c r="A28" s="18">
        <v>45965.412781018516</v>
      </c>
      <c r="B28" s="19" t="s">
        <v>56</v>
      </c>
      <c r="C28" s="19" t="s">
        <v>36</v>
      </c>
      <c r="D28" s="19" t="s">
        <v>110</v>
      </c>
      <c r="E28" s="19" t="s">
        <v>38</v>
      </c>
      <c r="F28" s="19" t="s">
        <v>111</v>
      </c>
      <c r="G28" s="19" t="s">
        <v>112</v>
      </c>
      <c r="H28" s="19" t="s">
        <v>113</v>
      </c>
    </row>
    <row r="29" spans="1:15" ht="22.5" customHeight="1">
      <c r="A29" s="18">
        <v>45965.415157395837</v>
      </c>
      <c r="B29" s="19" t="s">
        <v>56</v>
      </c>
      <c r="C29" s="19" t="s">
        <v>36</v>
      </c>
      <c r="D29" s="19" t="s">
        <v>114</v>
      </c>
      <c r="E29" s="19" t="s">
        <v>43</v>
      </c>
      <c r="F29" s="19" t="s">
        <v>58</v>
      </c>
      <c r="G29" s="19" t="s">
        <v>115</v>
      </c>
      <c r="H29" s="19" t="s">
        <v>116</v>
      </c>
    </row>
    <row r="30" spans="1:15" ht="22.5" customHeight="1">
      <c r="A30" s="18">
        <v>45965.416183171299</v>
      </c>
      <c r="B30" s="19" t="s">
        <v>56</v>
      </c>
      <c r="C30" s="19" t="s">
        <v>36</v>
      </c>
      <c r="D30" s="19" t="s">
        <v>114</v>
      </c>
      <c r="E30" s="19" t="s">
        <v>43</v>
      </c>
      <c r="F30" s="19" t="s">
        <v>39</v>
      </c>
      <c r="G30" s="19" t="s">
        <v>117</v>
      </c>
      <c r="H30" s="19" t="s">
        <v>118</v>
      </c>
    </row>
    <row r="31" spans="1:15" ht="22.5" customHeight="1">
      <c r="A31" s="18">
        <v>45965.417475381946</v>
      </c>
      <c r="B31" s="19" t="s">
        <v>56</v>
      </c>
      <c r="C31" s="19" t="s">
        <v>36</v>
      </c>
      <c r="D31" s="19" t="s">
        <v>119</v>
      </c>
      <c r="E31" s="19" t="s">
        <v>38</v>
      </c>
      <c r="F31" s="19" t="s">
        <v>92</v>
      </c>
      <c r="G31" s="19" t="s">
        <v>120</v>
      </c>
      <c r="H31" s="19" t="s">
        <v>121</v>
      </c>
    </row>
    <row r="32" spans="1:15" ht="22.5" customHeight="1">
      <c r="A32" s="18">
        <v>45965.41848818287</v>
      </c>
      <c r="B32" s="19" t="s">
        <v>56</v>
      </c>
      <c r="C32" s="19" t="s">
        <v>36</v>
      </c>
      <c r="D32" s="19" t="s">
        <v>114</v>
      </c>
      <c r="E32" s="19" t="s">
        <v>43</v>
      </c>
      <c r="F32" s="19" t="s">
        <v>122</v>
      </c>
      <c r="G32" s="19" t="s">
        <v>123</v>
      </c>
      <c r="H32" s="19" t="s">
        <v>124</v>
      </c>
    </row>
    <row r="33" spans="1:15" ht="22.5" customHeight="1">
      <c r="A33" s="18">
        <v>45965.444651631944</v>
      </c>
      <c r="B33" s="19" t="s">
        <v>35</v>
      </c>
      <c r="C33" s="19" t="s">
        <v>36</v>
      </c>
      <c r="D33" s="19" t="s">
        <v>37</v>
      </c>
      <c r="E33" s="19" t="s">
        <v>38</v>
      </c>
      <c r="F33" s="19" t="s">
        <v>92</v>
      </c>
      <c r="G33" s="19" t="s">
        <v>66</v>
      </c>
      <c r="H33" s="19" t="s">
        <v>125</v>
      </c>
    </row>
    <row r="34" spans="1:15" ht="22.5" customHeight="1">
      <c r="A34" s="18">
        <v>45965.445269699077</v>
      </c>
      <c r="B34" s="19" t="s">
        <v>35</v>
      </c>
      <c r="C34" s="19" t="s">
        <v>36</v>
      </c>
      <c r="D34" s="19" t="s">
        <v>37</v>
      </c>
      <c r="E34" s="19" t="s">
        <v>43</v>
      </c>
      <c r="F34" s="19" t="s">
        <v>126</v>
      </c>
      <c r="G34" s="19" t="s">
        <v>66</v>
      </c>
      <c r="H34" s="19" t="s">
        <v>127</v>
      </c>
    </row>
    <row r="35" spans="1:15" ht="22.5" customHeight="1">
      <c r="A35" s="18">
        <v>45965.456960277777</v>
      </c>
      <c r="B35" s="19" t="s">
        <v>128</v>
      </c>
      <c r="C35" s="19" t="s">
        <v>36</v>
      </c>
      <c r="D35" s="19" t="s">
        <v>37</v>
      </c>
      <c r="E35" s="19" t="s">
        <v>38</v>
      </c>
      <c r="F35" s="19" t="s">
        <v>92</v>
      </c>
      <c r="G35" s="19" t="s">
        <v>129</v>
      </c>
      <c r="H35" s="19" t="s">
        <v>130</v>
      </c>
    </row>
    <row r="36" spans="1:15" ht="22.5" customHeight="1">
      <c r="A36" s="18">
        <v>45965.467504513887</v>
      </c>
      <c r="B36" s="19" t="s">
        <v>35</v>
      </c>
      <c r="C36" s="19" t="s">
        <v>36</v>
      </c>
      <c r="D36" s="19" t="s">
        <v>37</v>
      </c>
      <c r="E36" s="19" t="s">
        <v>38</v>
      </c>
      <c r="F36" s="19" t="s">
        <v>58</v>
      </c>
      <c r="G36" s="19" t="s">
        <v>131</v>
      </c>
      <c r="H36" s="19" t="s">
        <v>132</v>
      </c>
    </row>
    <row r="37" spans="1:15" ht="22.5" customHeight="1">
      <c r="A37" s="18">
        <v>45965.487635381942</v>
      </c>
      <c r="B37" s="19" t="s">
        <v>56</v>
      </c>
      <c r="C37" s="19" t="s">
        <v>36</v>
      </c>
      <c r="D37" s="19" t="s">
        <v>133</v>
      </c>
      <c r="E37" s="19" t="s">
        <v>43</v>
      </c>
      <c r="F37" s="19" t="s">
        <v>58</v>
      </c>
      <c r="G37" s="19" t="s">
        <v>134</v>
      </c>
      <c r="H37" s="19" t="s">
        <v>135</v>
      </c>
    </row>
    <row r="38" spans="1:15" ht="22.5" customHeight="1">
      <c r="A38" s="18">
        <v>45965.560053425928</v>
      </c>
      <c r="B38" s="19" t="s">
        <v>35</v>
      </c>
      <c r="C38" s="19" t="s">
        <v>36</v>
      </c>
      <c r="D38" s="19" t="s">
        <v>37</v>
      </c>
      <c r="E38" s="19" t="s">
        <v>38</v>
      </c>
      <c r="F38" s="19" t="s">
        <v>102</v>
      </c>
      <c r="G38" s="19" t="s">
        <v>66</v>
      </c>
      <c r="H38" s="19" t="s">
        <v>136</v>
      </c>
    </row>
    <row r="39" spans="1:15" ht="22.5" customHeight="1">
      <c r="A39" s="18">
        <v>45965.561203888894</v>
      </c>
      <c r="B39" s="19" t="s">
        <v>35</v>
      </c>
      <c r="C39" s="19" t="s">
        <v>36</v>
      </c>
      <c r="D39" s="19" t="s">
        <v>37</v>
      </c>
      <c r="E39" s="19" t="s">
        <v>38</v>
      </c>
      <c r="F39" s="19" t="s">
        <v>39</v>
      </c>
      <c r="G39" s="19" t="s">
        <v>66</v>
      </c>
      <c r="H39" s="19" t="s">
        <v>137</v>
      </c>
    </row>
    <row r="40" spans="1:15" ht="22.5" customHeight="1">
      <c r="A40" s="18">
        <v>45966.313237962968</v>
      </c>
      <c r="B40" s="19" t="s">
        <v>47</v>
      </c>
      <c r="C40" s="19" t="s">
        <v>36</v>
      </c>
      <c r="D40" s="19" t="s">
        <v>37</v>
      </c>
      <c r="E40" s="19" t="s">
        <v>38</v>
      </c>
      <c r="F40" s="19" t="s">
        <v>100</v>
      </c>
      <c r="G40" s="19" t="s">
        <v>138</v>
      </c>
      <c r="H40" s="19" t="s">
        <v>80</v>
      </c>
    </row>
    <row r="41" spans="1:15" ht="22.5" customHeight="1">
      <c r="A41" s="18">
        <v>45966.319982777779</v>
      </c>
      <c r="B41" s="19" t="s">
        <v>47</v>
      </c>
      <c r="C41" s="19" t="s">
        <v>36</v>
      </c>
      <c r="D41" s="19" t="s">
        <v>37</v>
      </c>
      <c r="E41" s="19" t="s">
        <v>38</v>
      </c>
      <c r="F41" s="19" t="s">
        <v>139</v>
      </c>
      <c r="G41" s="19" t="s">
        <v>138</v>
      </c>
      <c r="H41" s="19" t="s">
        <v>80</v>
      </c>
    </row>
    <row r="42" spans="1:15" ht="22.5" customHeight="1">
      <c r="A42" s="18">
        <v>45966.321457002312</v>
      </c>
      <c r="B42" s="19" t="s">
        <v>47</v>
      </c>
      <c r="C42" s="19" t="s">
        <v>36</v>
      </c>
      <c r="D42" s="19" t="s">
        <v>37</v>
      </c>
      <c r="E42" s="19" t="s">
        <v>38</v>
      </c>
      <c r="F42" s="19" t="s">
        <v>140</v>
      </c>
      <c r="G42" s="19" t="s">
        <v>66</v>
      </c>
      <c r="H42" s="19" t="s">
        <v>141</v>
      </c>
    </row>
    <row r="43" spans="1:15" ht="22.5" customHeight="1">
      <c r="A43" s="18">
        <v>45966.376091770835</v>
      </c>
      <c r="B43" s="19" t="s">
        <v>69</v>
      </c>
      <c r="C43" s="19" t="s">
        <v>70</v>
      </c>
      <c r="J43" s="19" t="s">
        <v>142</v>
      </c>
      <c r="K43" s="19" t="s">
        <v>38</v>
      </c>
      <c r="L43" s="19" t="s">
        <v>72</v>
      </c>
      <c r="M43" s="19" t="s">
        <v>143</v>
      </c>
      <c r="N43" s="19" t="s">
        <v>144</v>
      </c>
      <c r="O43" s="19" t="s">
        <v>145</v>
      </c>
    </row>
    <row r="44" spans="1:15" ht="22.5" customHeight="1">
      <c r="A44" s="18">
        <v>45966.447187835649</v>
      </c>
      <c r="B44" s="19" t="s">
        <v>69</v>
      </c>
      <c r="C44" s="19" t="s">
        <v>70</v>
      </c>
      <c r="J44" s="19" t="s">
        <v>71</v>
      </c>
      <c r="K44" s="19" t="s">
        <v>38</v>
      </c>
      <c r="L44" s="19" t="s">
        <v>72</v>
      </c>
      <c r="M44" s="19" t="s">
        <v>66</v>
      </c>
      <c r="N44" s="19" t="s">
        <v>146</v>
      </c>
      <c r="O44" s="19" t="s">
        <v>147</v>
      </c>
    </row>
    <row r="45" spans="1:15" ht="22.5" customHeight="1">
      <c r="A45" s="18">
        <v>45966.452600520832</v>
      </c>
      <c r="B45" s="19" t="s">
        <v>35</v>
      </c>
      <c r="C45" s="19" t="s">
        <v>36</v>
      </c>
      <c r="D45" s="19" t="s">
        <v>37</v>
      </c>
      <c r="E45" s="19" t="s">
        <v>38</v>
      </c>
      <c r="F45" s="19" t="s">
        <v>148</v>
      </c>
      <c r="G45" s="19" t="s">
        <v>149</v>
      </c>
      <c r="H45" s="19" t="s">
        <v>150</v>
      </c>
    </row>
    <row r="46" spans="1:15" ht="22.5" customHeight="1">
      <c r="A46" s="18">
        <v>45966.45527987268</v>
      </c>
      <c r="B46" s="19" t="s">
        <v>69</v>
      </c>
      <c r="C46" s="19" t="s">
        <v>70</v>
      </c>
      <c r="J46" s="19" t="s">
        <v>151</v>
      </c>
      <c r="K46" s="19" t="s">
        <v>38</v>
      </c>
      <c r="L46" s="19" t="s">
        <v>152</v>
      </c>
      <c r="M46" s="19" t="s">
        <v>153</v>
      </c>
      <c r="N46" s="19" t="s">
        <v>154</v>
      </c>
      <c r="O46" s="19" t="s">
        <v>155</v>
      </c>
    </row>
    <row r="47" spans="1:15" ht="22.5" customHeight="1">
      <c r="A47" s="18">
        <v>45966.456810046293</v>
      </c>
      <c r="B47" s="19" t="s">
        <v>47</v>
      </c>
      <c r="C47" s="19" t="s">
        <v>36</v>
      </c>
      <c r="D47" s="19" t="s">
        <v>37</v>
      </c>
      <c r="E47" s="19" t="s">
        <v>38</v>
      </c>
      <c r="F47" s="19" t="s">
        <v>78</v>
      </c>
      <c r="G47" s="19" t="s">
        <v>66</v>
      </c>
      <c r="H47" s="19" t="s">
        <v>156</v>
      </c>
    </row>
    <row r="48" spans="1:15" ht="22.5" customHeight="1">
      <c r="A48" s="18">
        <v>45966.469914918984</v>
      </c>
      <c r="B48" s="19" t="s">
        <v>157</v>
      </c>
      <c r="C48" s="19" t="s">
        <v>70</v>
      </c>
      <c r="J48" s="19" t="s">
        <v>158</v>
      </c>
      <c r="K48" s="19" t="s">
        <v>43</v>
      </c>
      <c r="L48" s="19" t="s">
        <v>72</v>
      </c>
      <c r="M48" s="19" t="s">
        <v>159</v>
      </c>
      <c r="N48" s="19" t="s">
        <v>160</v>
      </c>
    </row>
    <row r="49" spans="1:14" ht="22.5" customHeight="1">
      <c r="A49" s="18">
        <v>45966.486136967593</v>
      </c>
      <c r="B49" s="19" t="s">
        <v>157</v>
      </c>
      <c r="C49" s="19" t="s">
        <v>70</v>
      </c>
      <c r="J49" s="19" t="s">
        <v>161</v>
      </c>
      <c r="K49" s="19" t="s">
        <v>43</v>
      </c>
      <c r="L49" s="19" t="s">
        <v>162</v>
      </c>
      <c r="M49" s="19" t="s">
        <v>162</v>
      </c>
      <c r="N49" s="19" t="s">
        <v>163</v>
      </c>
    </row>
    <row r="50" spans="1:14" ht="22.5" customHeight="1">
      <c r="A50" s="18">
        <v>45966.493980208332</v>
      </c>
      <c r="B50" s="19" t="s">
        <v>157</v>
      </c>
      <c r="C50" s="19" t="s">
        <v>70</v>
      </c>
      <c r="J50" s="19" t="s">
        <v>164</v>
      </c>
      <c r="K50" s="19" t="s">
        <v>43</v>
      </c>
      <c r="L50" s="19" t="s">
        <v>105</v>
      </c>
      <c r="M50" s="19" t="s">
        <v>165</v>
      </c>
      <c r="N50" s="19" t="s">
        <v>166</v>
      </c>
    </row>
    <row r="51" spans="1:14" ht="22.5" customHeight="1">
      <c r="A51" s="18">
        <v>45966.496298078702</v>
      </c>
      <c r="B51" s="19" t="s">
        <v>157</v>
      </c>
      <c r="C51" s="19" t="s">
        <v>70</v>
      </c>
      <c r="J51" s="19" t="s">
        <v>164</v>
      </c>
      <c r="K51" s="19" t="s">
        <v>43</v>
      </c>
      <c r="L51" s="19" t="s">
        <v>167</v>
      </c>
      <c r="M51" s="19" t="s">
        <v>138</v>
      </c>
      <c r="N51" s="19" t="s">
        <v>168</v>
      </c>
    </row>
    <row r="52" spans="1:14" ht="22.5" customHeight="1">
      <c r="A52" s="18">
        <v>45966.501013333334</v>
      </c>
      <c r="B52" s="19" t="s">
        <v>169</v>
      </c>
      <c r="C52" s="19" t="s">
        <v>70</v>
      </c>
      <c r="J52" s="19" t="s">
        <v>170</v>
      </c>
      <c r="K52" s="19" t="s">
        <v>43</v>
      </c>
      <c r="L52" s="19" t="s">
        <v>72</v>
      </c>
      <c r="M52" s="19" t="s">
        <v>66</v>
      </c>
      <c r="N52" s="19" t="s">
        <v>171</v>
      </c>
    </row>
    <row r="53" spans="1:14" ht="22.5" customHeight="1">
      <c r="A53" s="18">
        <v>45966.502166874998</v>
      </c>
      <c r="B53" s="19" t="s">
        <v>169</v>
      </c>
      <c r="C53" s="19" t="s">
        <v>70</v>
      </c>
      <c r="J53" s="19" t="s">
        <v>170</v>
      </c>
      <c r="K53" s="19" t="s">
        <v>43</v>
      </c>
      <c r="L53" s="19" t="s">
        <v>167</v>
      </c>
      <c r="M53" s="19" t="s">
        <v>66</v>
      </c>
      <c r="N53" s="19" t="s">
        <v>172</v>
      </c>
    </row>
    <row r="54" spans="1:14" ht="22.5" customHeight="1">
      <c r="A54" s="18">
        <v>45966.502967442131</v>
      </c>
      <c r="B54" s="19" t="s">
        <v>169</v>
      </c>
      <c r="C54" s="19" t="s">
        <v>70</v>
      </c>
      <c r="J54" s="19" t="s">
        <v>170</v>
      </c>
      <c r="K54" s="19" t="s">
        <v>43</v>
      </c>
      <c r="L54" s="19" t="s">
        <v>167</v>
      </c>
      <c r="M54" s="19" t="s">
        <v>173</v>
      </c>
      <c r="N54" s="19" t="s">
        <v>174</v>
      </c>
    </row>
    <row r="55" spans="1:14" ht="22.5" customHeight="1">
      <c r="A55" s="18">
        <v>45966.503553865739</v>
      </c>
      <c r="B55" s="19" t="s">
        <v>169</v>
      </c>
      <c r="C55" s="19" t="s">
        <v>70</v>
      </c>
      <c r="J55" s="19" t="s">
        <v>170</v>
      </c>
      <c r="K55" s="19" t="s">
        <v>43</v>
      </c>
      <c r="L55" s="19" t="s">
        <v>72</v>
      </c>
      <c r="M55" s="19" t="s">
        <v>175</v>
      </c>
      <c r="N55" s="19" t="s">
        <v>176</v>
      </c>
    </row>
    <row r="56" spans="1:14" ht="22.5" customHeight="1">
      <c r="A56" s="18">
        <v>45966.50569377315</v>
      </c>
      <c r="B56" s="19" t="s">
        <v>169</v>
      </c>
      <c r="C56" s="19" t="s">
        <v>70</v>
      </c>
      <c r="J56" s="19" t="s">
        <v>170</v>
      </c>
      <c r="K56" s="19" t="s">
        <v>43</v>
      </c>
      <c r="L56" s="19" t="s">
        <v>105</v>
      </c>
      <c r="M56" s="19" t="s">
        <v>177</v>
      </c>
      <c r="N56" s="19" t="s">
        <v>178</v>
      </c>
    </row>
    <row r="57" spans="1:14" ht="22.5" customHeight="1">
      <c r="A57" s="18">
        <v>45966.507504259258</v>
      </c>
      <c r="B57" s="19" t="s">
        <v>169</v>
      </c>
      <c r="C57" s="19" t="s">
        <v>70</v>
      </c>
      <c r="J57" s="19" t="s">
        <v>179</v>
      </c>
      <c r="K57" s="19" t="s">
        <v>43</v>
      </c>
      <c r="L57" s="19" t="s">
        <v>72</v>
      </c>
      <c r="M57" s="19" t="s">
        <v>180</v>
      </c>
      <c r="N57" s="19" t="s">
        <v>181</v>
      </c>
    </row>
    <row r="58" spans="1:14" ht="22.5" customHeight="1">
      <c r="A58" s="18">
        <v>45966.508612523146</v>
      </c>
      <c r="B58" s="19" t="s">
        <v>169</v>
      </c>
      <c r="C58" s="19" t="s">
        <v>70</v>
      </c>
      <c r="J58" s="19" t="s">
        <v>170</v>
      </c>
      <c r="K58" s="19" t="s">
        <v>43</v>
      </c>
      <c r="L58" s="19" t="s">
        <v>105</v>
      </c>
      <c r="M58" s="19" t="s">
        <v>165</v>
      </c>
      <c r="N58" s="19" t="s">
        <v>182</v>
      </c>
    </row>
    <row r="59" spans="1:14" ht="22.5" customHeight="1">
      <c r="A59" s="18">
        <v>45966.509586412038</v>
      </c>
      <c r="B59" s="19" t="s">
        <v>169</v>
      </c>
      <c r="C59" s="19" t="s">
        <v>70</v>
      </c>
      <c r="J59" s="19" t="s">
        <v>170</v>
      </c>
      <c r="K59" s="19" t="s">
        <v>43</v>
      </c>
      <c r="L59" s="19" t="s">
        <v>167</v>
      </c>
      <c r="M59" s="19" t="s">
        <v>183</v>
      </c>
      <c r="N59" s="19" t="s">
        <v>184</v>
      </c>
    </row>
    <row r="60" spans="1:14" ht="22.5" customHeight="1">
      <c r="A60" s="18">
        <v>45966.509826967595</v>
      </c>
      <c r="B60" s="19" t="s">
        <v>185</v>
      </c>
      <c r="C60" s="19" t="s">
        <v>70</v>
      </c>
      <c r="J60" s="19" t="s">
        <v>186</v>
      </c>
      <c r="K60" s="19" t="s">
        <v>43</v>
      </c>
      <c r="L60" s="19" t="s">
        <v>72</v>
      </c>
      <c r="M60" s="19" t="s">
        <v>187</v>
      </c>
      <c r="N60" s="19" t="s">
        <v>188</v>
      </c>
    </row>
    <row r="61" spans="1:14" ht="22.5" customHeight="1">
      <c r="A61" s="18">
        <v>45966.511395844907</v>
      </c>
      <c r="B61" s="19" t="s">
        <v>169</v>
      </c>
      <c r="C61" s="19" t="s">
        <v>70</v>
      </c>
      <c r="J61" s="19" t="s">
        <v>170</v>
      </c>
      <c r="K61" s="19" t="s">
        <v>43</v>
      </c>
      <c r="L61" s="19" t="s">
        <v>152</v>
      </c>
      <c r="M61" s="19" t="s">
        <v>159</v>
      </c>
      <c r="N61" s="19" t="s">
        <v>189</v>
      </c>
    </row>
    <row r="62" spans="1:14" ht="22.5" customHeight="1">
      <c r="A62" s="18">
        <v>45966.512183761573</v>
      </c>
      <c r="B62" s="19" t="s">
        <v>169</v>
      </c>
      <c r="C62" s="19" t="s">
        <v>70</v>
      </c>
      <c r="J62" s="19" t="s">
        <v>179</v>
      </c>
      <c r="K62" s="19" t="s">
        <v>43</v>
      </c>
      <c r="L62" s="19" t="s">
        <v>72</v>
      </c>
      <c r="M62" s="19" t="s">
        <v>159</v>
      </c>
      <c r="N62" s="19" t="s">
        <v>190</v>
      </c>
    </row>
    <row r="63" spans="1:14" ht="22.5" customHeight="1">
      <c r="A63" s="18">
        <v>45966.514960173612</v>
      </c>
      <c r="B63" s="19" t="s">
        <v>185</v>
      </c>
      <c r="C63" s="19" t="s">
        <v>70</v>
      </c>
      <c r="J63" s="19" t="s">
        <v>186</v>
      </c>
      <c r="K63" s="19" t="s">
        <v>43</v>
      </c>
      <c r="L63" s="19" t="s">
        <v>72</v>
      </c>
      <c r="M63" s="19" t="s">
        <v>173</v>
      </c>
      <c r="N63" s="19" t="s">
        <v>191</v>
      </c>
    </row>
    <row r="64" spans="1:14" ht="22.5" customHeight="1">
      <c r="A64" s="18">
        <v>45966.531171574075</v>
      </c>
      <c r="B64" s="19" t="s">
        <v>47</v>
      </c>
      <c r="C64" s="19" t="s">
        <v>36</v>
      </c>
      <c r="D64" s="19" t="s">
        <v>37</v>
      </c>
      <c r="E64" s="19" t="s">
        <v>38</v>
      </c>
      <c r="F64" s="19" t="s">
        <v>53</v>
      </c>
      <c r="G64" s="19" t="s">
        <v>66</v>
      </c>
      <c r="H64" s="19" t="s">
        <v>192</v>
      </c>
    </row>
    <row r="65" spans="1:15" ht="22.5" customHeight="1">
      <c r="A65" s="18">
        <v>45966.531761759259</v>
      </c>
      <c r="B65" s="19" t="s">
        <v>47</v>
      </c>
      <c r="C65" s="19" t="s">
        <v>36</v>
      </c>
      <c r="D65" s="19" t="s">
        <v>37</v>
      </c>
      <c r="E65" s="19" t="s">
        <v>38</v>
      </c>
      <c r="F65" s="19" t="s">
        <v>193</v>
      </c>
      <c r="G65" s="19" t="s">
        <v>66</v>
      </c>
      <c r="H65" s="19" t="s">
        <v>194</v>
      </c>
    </row>
    <row r="66" spans="1:15" ht="22.5" customHeight="1">
      <c r="A66" s="18">
        <v>45966.532843055553</v>
      </c>
      <c r="B66" s="19" t="s">
        <v>47</v>
      </c>
      <c r="C66" s="19" t="s">
        <v>36</v>
      </c>
      <c r="D66" s="19" t="s">
        <v>37</v>
      </c>
      <c r="E66" s="19" t="s">
        <v>38</v>
      </c>
      <c r="F66" s="19" t="s">
        <v>92</v>
      </c>
      <c r="G66" s="19" t="s">
        <v>66</v>
      </c>
      <c r="H66" s="19" t="s">
        <v>195</v>
      </c>
    </row>
    <row r="67" spans="1:15" ht="22.5" customHeight="1">
      <c r="A67" s="18">
        <v>45966.535173715281</v>
      </c>
      <c r="B67" s="19" t="s">
        <v>185</v>
      </c>
      <c r="C67" s="19" t="s">
        <v>70</v>
      </c>
      <c r="J67" s="19" t="s">
        <v>196</v>
      </c>
      <c r="K67" s="19" t="s">
        <v>43</v>
      </c>
      <c r="L67" s="19" t="s">
        <v>167</v>
      </c>
      <c r="M67" s="19" t="s">
        <v>129</v>
      </c>
      <c r="N67" s="19" t="s">
        <v>197</v>
      </c>
    </row>
    <row r="68" spans="1:15" ht="22.5" customHeight="1">
      <c r="A68" s="18">
        <v>45966.536263958333</v>
      </c>
      <c r="B68" s="19" t="s">
        <v>185</v>
      </c>
      <c r="C68" s="19" t="s">
        <v>70</v>
      </c>
      <c r="J68" s="19" t="s">
        <v>196</v>
      </c>
      <c r="K68" s="19" t="s">
        <v>43</v>
      </c>
      <c r="L68" s="19" t="s">
        <v>167</v>
      </c>
      <c r="M68" s="19" t="s">
        <v>198</v>
      </c>
      <c r="N68" s="19" t="s">
        <v>199</v>
      </c>
    </row>
    <row r="69" spans="1:15" ht="22.5" customHeight="1">
      <c r="A69" s="18">
        <v>45966.537104953706</v>
      </c>
      <c r="B69" s="19" t="s">
        <v>185</v>
      </c>
      <c r="C69" s="19" t="s">
        <v>70</v>
      </c>
      <c r="J69" s="19" t="s">
        <v>196</v>
      </c>
      <c r="K69" s="19" t="s">
        <v>43</v>
      </c>
      <c r="L69" s="19" t="s">
        <v>167</v>
      </c>
      <c r="M69" s="19" t="s">
        <v>138</v>
      </c>
      <c r="N69" s="19" t="s">
        <v>200</v>
      </c>
    </row>
    <row r="70" spans="1:15" ht="22.5" customHeight="1">
      <c r="A70" s="18">
        <v>45966.538858946762</v>
      </c>
      <c r="B70" s="19" t="s">
        <v>185</v>
      </c>
      <c r="C70" s="19" t="s">
        <v>70</v>
      </c>
      <c r="J70" s="19" t="s">
        <v>196</v>
      </c>
      <c r="K70" s="19" t="s">
        <v>43</v>
      </c>
      <c r="L70" s="19" t="s">
        <v>105</v>
      </c>
      <c r="M70" s="19" t="s">
        <v>201</v>
      </c>
      <c r="N70" s="19" t="s">
        <v>202</v>
      </c>
    </row>
    <row r="71" spans="1:15" ht="22.5" customHeight="1">
      <c r="A71" s="18">
        <v>45966.542160682875</v>
      </c>
      <c r="B71" s="19" t="s">
        <v>185</v>
      </c>
      <c r="C71" s="19" t="s">
        <v>70</v>
      </c>
      <c r="J71" s="19" t="s">
        <v>203</v>
      </c>
      <c r="K71" s="19" t="s">
        <v>43</v>
      </c>
      <c r="L71" s="19" t="s">
        <v>152</v>
      </c>
      <c r="M71" s="19" t="s">
        <v>204</v>
      </c>
      <c r="N71" s="19" t="s">
        <v>205</v>
      </c>
    </row>
    <row r="72" spans="1:15" ht="22.5" customHeight="1">
      <c r="A72" s="18">
        <v>45966.543008726847</v>
      </c>
      <c r="B72" s="19" t="s">
        <v>185</v>
      </c>
      <c r="C72" s="19" t="s">
        <v>70</v>
      </c>
      <c r="J72" s="19" t="s">
        <v>203</v>
      </c>
      <c r="K72" s="19" t="s">
        <v>43</v>
      </c>
      <c r="L72" s="19" t="s">
        <v>72</v>
      </c>
      <c r="M72" s="19" t="s">
        <v>143</v>
      </c>
      <c r="N72" s="19" t="s">
        <v>206</v>
      </c>
    </row>
    <row r="73" spans="1:15" ht="22.5" customHeight="1">
      <c r="A73" s="18">
        <v>45966.544533414351</v>
      </c>
      <c r="B73" s="19" t="s">
        <v>185</v>
      </c>
      <c r="C73" s="19" t="s">
        <v>70</v>
      </c>
      <c r="J73" s="19" t="s">
        <v>203</v>
      </c>
      <c r="K73" s="19" t="s">
        <v>43</v>
      </c>
      <c r="L73" s="19" t="s">
        <v>152</v>
      </c>
      <c r="M73" s="19" t="s">
        <v>66</v>
      </c>
      <c r="N73" s="19" t="s">
        <v>207</v>
      </c>
    </row>
    <row r="74" spans="1:15" ht="22.5" customHeight="1">
      <c r="A74" s="18">
        <v>45966.545634884256</v>
      </c>
      <c r="B74" s="19" t="s">
        <v>185</v>
      </c>
      <c r="C74" s="19" t="s">
        <v>70</v>
      </c>
      <c r="J74" s="19" t="s">
        <v>203</v>
      </c>
      <c r="K74" s="19" t="s">
        <v>43</v>
      </c>
      <c r="L74" s="19" t="s">
        <v>152</v>
      </c>
      <c r="M74" s="19" t="s">
        <v>66</v>
      </c>
      <c r="N74" s="19" t="s">
        <v>208</v>
      </c>
    </row>
    <row r="75" spans="1:15" ht="22.5" customHeight="1">
      <c r="A75" s="18">
        <v>45967.330130995368</v>
      </c>
      <c r="B75" s="19" t="s">
        <v>69</v>
      </c>
      <c r="C75" s="19" t="s">
        <v>70</v>
      </c>
      <c r="J75" s="19" t="s">
        <v>209</v>
      </c>
      <c r="K75" s="19" t="s">
        <v>38</v>
      </c>
      <c r="L75" s="19" t="s">
        <v>72</v>
      </c>
      <c r="M75" s="19" t="s">
        <v>138</v>
      </c>
      <c r="N75" s="19" t="s">
        <v>210</v>
      </c>
      <c r="O75" s="19" t="s">
        <v>211</v>
      </c>
    </row>
    <row r="76" spans="1:15" ht="22.5" customHeight="1">
      <c r="A76" s="18">
        <v>45967.35424612269</v>
      </c>
      <c r="B76" s="19" t="s">
        <v>47</v>
      </c>
      <c r="C76" s="19" t="s">
        <v>36</v>
      </c>
      <c r="D76" s="19" t="s">
        <v>37</v>
      </c>
      <c r="E76" s="19" t="s">
        <v>38</v>
      </c>
      <c r="F76" s="19" t="s">
        <v>212</v>
      </c>
      <c r="G76" s="19" t="s">
        <v>66</v>
      </c>
      <c r="H76" s="19" t="s">
        <v>213</v>
      </c>
    </row>
    <row r="77" spans="1:15" ht="22.5" customHeight="1">
      <c r="A77" s="18">
        <v>45967.383939791667</v>
      </c>
      <c r="B77" s="19" t="s">
        <v>47</v>
      </c>
      <c r="C77" s="19" t="s">
        <v>36</v>
      </c>
      <c r="D77" s="19" t="s">
        <v>37</v>
      </c>
      <c r="E77" s="19" t="s">
        <v>38</v>
      </c>
      <c r="F77" s="19" t="s">
        <v>58</v>
      </c>
      <c r="G77" s="19" t="s">
        <v>214</v>
      </c>
      <c r="H77" s="19" t="s">
        <v>215</v>
      </c>
    </row>
    <row r="78" spans="1:15" ht="22.5" customHeight="1">
      <c r="A78" s="18">
        <v>45967.39466233796</v>
      </c>
      <c r="B78" s="19" t="s">
        <v>47</v>
      </c>
      <c r="C78" s="19" t="s">
        <v>36</v>
      </c>
      <c r="D78" s="19" t="s">
        <v>37</v>
      </c>
      <c r="E78" s="19" t="s">
        <v>38</v>
      </c>
      <c r="F78" s="19" t="s">
        <v>78</v>
      </c>
      <c r="G78" s="19" t="s">
        <v>216</v>
      </c>
      <c r="H78" s="19" t="s">
        <v>80</v>
      </c>
    </row>
    <row r="79" spans="1:15" ht="22.5" customHeight="1">
      <c r="A79" s="18">
        <v>45967.411683148151</v>
      </c>
      <c r="B79" s="19" t="s">
        <v>69</v>
      </c>
      <c r="C79" s="19" t="s">
        <v>70</v>
      </c>
      <c r="J79" s="19" t="s">
        <v>217</v>
      </c>
      <c r="K79" s="19" t="s">
        <v>38</v>
      </c>
      <c r="L79" s="19" t="s">
        <v>105</v>
      </c>
      <c r="M79" s="19" t="s">
        <v>218</v>
      </c>
      <c r="N79" s="19" t="s">
        <v>219</v>
      </c>
      <c r="O79" s="19" t="s">
        <v>220</v>
      </c>
    </row>
    <row r="80" spans="1:15" ht="22.5" customHeight="1">
      <c r="A80" s="18">
        <v>45967.421748912035</v>
      </c>
      <c r="B80" s="19" t="s">
        <v>47</v>
      </c>
      <c r="C80" s="19" t="s">
        <v>36</v>
      </c>
      <c r="D80" s="19" t="s">
        <v>37</v>
      </c>
      <c r="E80" s="19" t="s">
        <v>38</v>
      </c>
      <c r="F80" s="19" t="s">
        <v>58</v>
      </c>
      <c r="G80" s="19" t="s">
        <v>221</v>
      </c>
      <c r="H80" s="19" t="s">
        <v>222</v>
      </c>
    </row>
    <row r="81" spans="1:15" ht="22.5" customHeight="1">
      <c r="A81" s="18">
        <v>45967.463249537039</v>
      </c>
      <c r="B81" s="19" t="s">
        <v>47</v>
      </c>
      <c r="C81" s="19" t="s">
        <v>36</v>
      </c>
      <c r="D81" s="19" t="s">
        <v>37</v>
      </c>
      <c r="E81" s="19" t="s">
        <v>38</v>
      </c>
      <c r="F81" s="19" t="s">
        <v>148</v>
      </c>
      <c r="G81" s="19" t="s">
        <v>100</v>
      </c>
      <c r="H81" s="19" t="s">
        <v>223</v>
      </c>
    </row>
    <row r="82" spans="1:15" ht="22.5" customHeight="1">
      <c r="A82" s="18">
        <v>45967.479403877311</v>
      </c>
      <c r="B82" s="19" t="s">
        <v>169</v>
      </c>
      <c r="C82" s="19" t="s">
        <v>70</v>
      </c>
      <c r="J82" s="19" t="s">
        <v>170</v>
      </c>
      <c r="K82" s="19" t="s">
        <v>43</v>
      </c>
      <c r="L82" s="19" t="s">
        <v>152</v>
      </c>
      <c r="M82" s="19" t="s">
        <v>66</v>
      </c>
      <c r="N82" s="19" t="s">
        <v>224</v>
      </c>
      <c r="O82" s="19" t="s">
        <v>225</v>
      </c>
    </row>
    <row r="83" spans="1:15" ht="22.5" customHeight="1">
      <c r="A83" s="18">
        <v>45967.497386921299</v>
      </c>
      <c r="B83" s="19" t="s">
        <v>69</v>
      </c>
      <c r="C83" s="19" t="s">
        <v>70</v>
      </c>
      <c r="J83" s="19" t="s">
        <v>226</v>
      </c>
      <c r="K83" s="19" t="s">
        <v>38</v>
      </c>
      <c r="L83" s="19" t="s">
        <v>72</v>
      </c>
      <c r="M83" s="19" t="s">
        <v>66</v>
      </c>
      <c r="N83" s="19" t="s">
        <v>227</v>
      </c>
      <c r="O83" s="19" t="s">
        <v>228</v>
      </c>
    </row>
    <row r="84" spans="1:15" ht="22.5" customHeight="1">
      <c r="A84" s="18">
        <v>45967.840405648152</v>
      </c>
      <c r="B84" s="19" t="s">
        <v>56</v>
      </c>
      <c r="C84" s="19" t="s">
        <v>36</v>
      </c>
      <c r="D84" s="19" t="s">
        <v>133</v>
      </c>
      <c r="E84" s="19" t="s">
        <v>43</v>
      </c>
      <c r="F84" s="19" t="s">
        <v>58</v>
      </c>
      <c r="G84" s="19" t="s">
        <v>229</v>
      </c>
      <c r="H84" s="19" t="s">
        <v>230</v>
      </c>
      <c r="I84" s="19" t="s">
        <v>231</v>
      </c>
    </row>
    <row r="85" spans="1:15" ht="22.5" customHeight="1">
      <c r="A85" s="18">
        <v>45967.84388965278</v>
      </c>
      <c r="B85" s="19" t="s">
        <v>56</v>
      </c>
      <c r="C85" s="19" t="s">
        <v>36</v>
      </c>
      <c r="D85" s="19" t="s">
        <v>133</v>
      </c>
      <c r="E85" s="19" t="s">
        <v>43</v>
      </c>
      <c r="F85" s="19" t="s">
        <v>126</v>
      </c>
      <c r="G85" s="19" t="s">
        <v>232</v>
      </c>
      <c r="H85" s="19" t="s">
        <v>233</v>
      </c>
      <c r="I85" s="19" t="s">
        <v>14</v>
      </c>
    </row>
    <row r="86" spans="1:15" ht="22.5" customHeight="1">
      <c r="A86" s="18">
        <v>45967.847125439817</v>
      </c>
      <c r="B86" s="19" t="s">
        <v>56</v>
      </c>
      <c r="C86" s="19" t="s">
        <v>36</v>
      </c>
      <c r="D86" s="19" t="s">
        <v>114</v>
      </c>
      <c r="E86" s="19" t="s">
        <v>43</v>
      </c>
      <c r="F86" s="20" t="s">
        <v>234</v>
      </c>
      <c r="G86" s="19" t="s">
        <v>235</v>
      </c>
      <c r="H86" s="19" t="s">
        <v>236</v>
      </c>
    </row>
    <row r="87" spans="1:15" ht="22.5" customHeight="1">
      <c r="A87" s="18">
        <v>45969.339706203704</v>
      </c>
      <c r="B87" s="19" t="s">
        <v>185</v>
      </c>
      <c r="C87" s="19" t="s">
        <v>70</v>
      </c>
      <c r="J87" s="19" t="s">
        <v>237</v>
      </c>
      <c r="K87" s="19" t="s">
        <v>43</v>
      </c>
      <c r="L87" s="19" t="s">
        <v>72</v>
      </c>
      <c r="M87" s="19" t="s">
        <v>138</v>
      </c>
      <c r="N87" s="19" t="s">
        <v>238</v>
      </c>
      <c r="O87" s="19" t="s">
        <v>239</v>
      </c>
    </row>
    <row r="88" spans="1:15" ht="22.5" customHeight="1">
      <c r="A88" s="18">
        <v>45969.353387800926</v>
      </c>
      <c r="B88" s="19" t="s">
        <v>69</v>
      </c>
      <c r="C88" s="19" t="s">
        <v>70</v>
      </c>
      <c r="J88" s="19" t="s">
        <v>240</v>
      </c>
      <c r="K88" s="19" t="s">
        <v>38</v>
      </c>
      <c r="L88" s="19" t="s">
        <v>72</v>
      </c>
      <c r="M88" s="19" t="s">
        <v>66</v>
      </c>
      <c r="N88" s="19" t="s">
        <v>241</v>
      </c>
      <c r="O88" s="19" t="s">
        <v>242</v>
      </c>
    </row>
    <row r="89" spans="1:15" ht="22.5" customHeight="1">
      <c r="A89" s="18">
        <v>45969.378063761571</v>
      </c>
      <c r="B89" s="19" t="s">
        <v>47</v>
      </c>
      <c r="C89" s="19" t="s">
        <v>36</v>
      </c>
      <c r="D89" s="19" t="s">
        <v>37</v>
      </c>
      <c r="E89" s="19" t="s">
        <v>38</v>
      </c>
      <c r="F89" s="19" t="s">
        <v>78</v>
      </c>
      <c r="G89" s="19" t="s">
        <v>243</v>
      </c>
      <c r="H89" s="19" t="s">
        <v>244</v>
      </c>
    </row>
    <row r="90" spans="1:15" ht="22.5" customHeight="1">
      <c r="A90" s="18">
        <v>45969.444801481484</v>
      </c>
      <c r="B90" s="19" t="s">
        <v>35</v>
      </c>
      <c r="C90" s="19" t="s">
        <v>36</v>
      </c>
      <c r="D90" s="19" t="s">
        <v>245</v>
      </c>
      <c r="E90" s="19" t="s">
        <v>43</v>
      </c>
      <c r="F90" s="19" t="s">
        <v>193</v>
      </c>
      <c r="G90" s="19" t="s">
        <v>159</v>
      </c>
      <c r="H90" s="19" t="s">
        <v>246</v>
      </c>
    </row>
    <row r="91" spans="1:15" ht="22.5" customHeight="1">
      <c r="A91" s="18">
        <v>45969.446308761573</v>
      </c>
      <c r="B91" s="19" t="s">
        <v>35</v>
      </c>
      <c r="C91" s="19" t="s">
        <v>36</v>
      </c>
      <c r="D91" s="19" t="s">
        <v>245</v>
      </c>
      <c r="E91" s="19" t="s">
        <v>43</v>
      </c>
      <c r="F91" s="19" t="s">
        <v>92</v>
      </c>
      <c r="G91" s="19" t="s">
        <v>165</v>
      </c>
      <c r="H91" s="19" t="s">
        <v>247</v>
      </c>
    </row>
    <row r="92" spans="1:15" ht="22.5" customHeight="1">
      <c r="A92" s="18">
        <v>45969.449876377315</v>
      </c>
      <c r="B92" s="19" t="s">
        <v>35</v>
      </c>
      <c r="C92" s="19" t="s">
        <v>36</v>
      </c>
      <c r="D92" s="19" t="s">
        <v>42</v>
      </c>
      <c r="E92" s="19" t="s">
        <v>43</v>
      </c>
      <c r="F92" s="19" t="s">
        <v>248</v>
      </c>
      <c r="G92" s="19" t="s">
        <v>249</v>
      </c>
      <c r="H92" s="19" t="s">
        <v>250</v>
      </c>
    </row>
    <row r="93" spans="1:15" ht="22.5" customHeight="1">
      <c r="A93" s="18">
        <v>45969.45132688657</v>
      </c>
      <c r="B93" s="19" t="s">
        <v>35</v>
      </c>
      <c r="C93" s="19" t="s">
        <v>36</v>
      </c>
      <c r="D93" s="19" t="s">
        <v>251</v>
      </c>
      <c r="E93" s="19" t="s">
        <v>43</v>
      </c>
      <c r="F93" s="19" t="s">
        <v>212</v>
      </c>
      <c r="G93" s="19" t="s">
        <v>129</v>
      </c>
      <c r="H93" s="19" t="s">
        <v>252</v>
      </c>
    </row>
    <row r="94" spans="1:15" ht="22.5" customHeight="1">
      <c r="A94" s="18">
        <v>45969.465511678238</v>
      </c>
      <c r="B94" s="19" t="s">
        <v>35</v>
      </c>
      <c r="C94" s="19" t="s">
        <v>36</v>
      </c>
      <c r="D94" s="19" t="s">
        <v>37</v>
      </c>
      <c r="E94" s="19" t="s">
        <v>38</v>
      </c>
      <c r="F94" s="19" t="s">
        <v>48</v>
      </c>
      <c r="G94" s="19" t="s">
        <v>66</v>
      </c>
      <c r="H94" s="19" t="s">
        <v>253</v>
      </c>
    </row>
    <row r="95" spans="1:15" ht="22.5" customHeight="1">
      <c r="A95" s="18">
        <v>45970.406714050929</v>
      </c>
      <c r="B95" s="19" t="s">
        <v>69</v>
      </c>
      <c r="C95" s="19" t="s">
        <v>70</v>
      </c>
      <c r="J95" s="19" t="s">
        <v>254</v>
      </c>
      <c r="K95" s="19" t="s">
        <v>38</v>
      </c>
      <c r="L95" s="19" t="s">
        <v>167</v>
      </c>
      <c r="M95" s="19" t="s">
        <v>66</v>
      </c>
      <c r="N95" s="19" t="s">
        <v>255</v>
      </c>
      <c r="O95" s="19" t="s">
        <v>256</v>
      </c>
    </row>
    <row r="96" spans="1:15" ht="22.5" customHeight="1">
      <c r="A96" s="18">
        <v>45970.422716990739</v>
      </c>
      <c r="B96" s="19" t="s">
        <v>47</v>
      </c>
      <c r="C96" s="19" t="s">
        <v>36</v>
      </c>
      <c r="D96" s="19" t="s">
        <v>37</v>
      </c>
      <c r="E96" s="19" t="s">
        <v>38</v>
      </c>
      <c r="F96" s="19" t="s">
        <v>257</v>
      </c>
      <c r="G96" s="19" t="s">
        <v>66</v>
      </c>
      <c r="H96" s="19" t="s">
        <v>258</v>
      </c>
    </row>
    <row r="97" spans="1:15" ht="22.5" customHeight="1">
      <c r="A97" s="18">
        <v>45970.464216921297</v>
      </c>
      <c r="B97" s="19" t="s">
        <v>185</v>
      </c>
      <c r="C97" s="19" t="s">
        <v>70</v>
      </c>
      <c r="J97" s="19" t="s">
        <v>237</v>
      </c>
      <c r="K97" s="19" t="s">
        <v>43</v>
      </c>
      <c r="L97" s="19" t="s">
        <v>259</v>
      </c>
      <c r="M97" s="19" t="s">
        <v>260</v>
      </c>
      <c r="N97" s="19" t="s">
        <v>261</v>
      </c>
    </row>
    <row r="98" spans="1:15" ht="22.5" customHeight="1">
      <c r="A98" s="18">
        <v>45970.510403576394</v>
      </c>
      <c r="B98" s="19" t="s">
        <v>47</v>
      </c>
      <c r="C98" s="19" t="s">
        <v>36</v>
      </c>
      <c r="D98" s="19" t="s">
        <v>37</v>
      </c>
      <c r="E98" s="19" t="s">
        <v>38</v>
      </c>
      <c r="F98" s="19" t="s">
        <v>39</v>
      </c>
      <c r="G98" s="19" t="s">
        <v>66</v>
      </c>
      <c r="H98" s="19" t="s">
        <v>262</v>
      </c>
    </row>
    <row r="99" spans="1:15" ht="22.5" customHeight="1">
      <c r="A99" s="18">
        <v>45970.51098658565</v>
      </c>
      <c r="B99" s="19" t="s">
        <v>47</v>
      </c>
      <c r="C99" s="19" t="s">
        <v>36</v>
      </c>
      <c r="D99" s="19" t="s">
        <v>37</v>
      </c>
      <c r="E99" s="19" t="s">
        <v>38</v>
      </c>
      <c r="F99" s="19" t="s">
        <v>39</v>
      </c>
      <c r="G99" s="19" t="s">
        <v>66</v>
      </c>
      <c r="H99" s="19" t="s">
        <v>263</v>
      </c>
    </row>
    <row r="100" spans="1:15" ht="22.5" customHeight="1">
      <c r="A100" s="18">
        <v>45970.512176724536</v>
      </c>
      <c r="B100" s="19" t="s">
        <v>47</v>
      </c>
      <c r="C100" s="19" t="s">
        <v>36</v>
      </c>
      <c r="D100" s="19" t="s">
        <v>37</v>
      </c>
      <c r="E100" s="19" t="s">
        <v>38</v>
      </c>
      <c r="F100" s="19" t="s">
        <v>39</v>
      </c>
      <c r="G100" s="19" t="s">
        <v>173</v>
      </c>
      <c r="H100" s="19" t="s">
        <v>264</v>
      </c>
    </row>
    <row r="101" spans="1:15" ht="22.5" customHeight="1">
      <c r="A101" s="18">
        <v>45970.513315023149</v>
      </c>
      <c r="B101" s="19" t="s">
        <v>47</v>
      </c>
      <c r="C101" s="19" t="s">
        <v>36</v>
      </c>
      <c r="D101" s="19" t="s">
        <v>37</v>
      </c>
      <c r="E101" s="19" t="s">
        <v>38</v>
      </c>
      <c r="F101" s="19" t="s">
        <v>39</v>
      </c>
      <c r="G101" s="19" t="s">
        <v>201</v>
      </c>
      <c r="H101" s="19" t="s">
        <v>265</v>
      </c>
    </row>
    <row r="102" spans="1:15" ht="22.5" customHeight="1">
      <c r="A102" s="18">
        <v>45970.514759699072</v>
      </c>
      <c r="B102" s="19" t="s">
        <v>47</v>
      </c>
      <c r="C102" s="19" t="s">
        <v>36</v>
      </c>
      <c r="D102" s="19" t="s">
        <v>37</v>
      </c>
      <c r="E102" s="19" t="s">
        <v>38</v>
      </c>
      <c r="F102" s="19" t="s">
        <v>39</v>
      </c>
      <c r="G102" s="19" t="s">
        <v>266</v>
      </c>
      <c r="H102" s="19" t="s">
        <v>267</v>
      </c>
    </row>
    <row r="103" spans="1:15" ht="22.5" customHeight="1">
      <c r="A103" s="18">
        <v>45970.515733032407</v>
      </c>
      <c r="B103" s="19" t="s">
        <v>47</v>
      </c>
      <c r="C103" s="19" t="s">
        <v>36</v>
      </c>
      <c r="D103" s="19" t="s">
        <v>37</v>
      </c>
      <c r="E103" s="19" t="s">
        <v>38</v>
      </c>
      <c r="F103" s="19" t="s">
        <v>39</v>
      </c>
      <c r="G103" s="19" t="s">
        <v>177</v>
      </c>
      <c r="H103" s="19" t="s">
        <v>268</v>
      </c>
    </row>
    <row r="104" spans="1:15" ht="22.5" customHeight="1">
      <c r="A104" s="18">
        <v>45970.516377210646</v>
      </c>
      <c r="B104" s="19" t="s">
        <v>47</v>
      </c>
      <c r="C104" s="19" t="s">
        <v>36</v>
      </c>
      <c r="D104" s="19" t="s">
        <v>37</v>
      </c>
      <c r="E104" s="19" t="s">
        <v>38</v>
      </c>
      <c r="F104" s="19" t="s">
        <v>39</v>
      </c>
      <c r="G104" s="19" t="s">
        <v>201</v>
      </c>
      <c r="H104" s="19" t="s">
        <v>269</v>
      </c>
    </row>
    <row r="105" spans="1:15" ht="22.5" customHeight="1">
      <c r="A105" s="18">
        <v>45970.516946967589</v>
      </c>
      <c r="B105" s="19" t="s">
        <v>47</v>
      </c>
      <c r="C105" s="19" t="s">
        <v>36</v>
      </c>
      <c r="D105" s="19" t="s">
        <v>37</v>
      </c>
      <c r="E105" s="19" t="s">
        <v>38</v>
      </c>
      <c r="F105" s="19" t="s">
        <v>39</v>
      </c>
      <c r="G105" s="19" t="s">
        <v>198</v>
      </c>
      <c r="H105" s="19" t="s">
        <v>270</v>
      </c>
    </row>
    <row r="106" spans="1:15" ht="22.5" customHeight="1">
      <c r="A106" s="18">
        <v>45970.535907638885</v>
      </c>
      <c r="B106" s="19" t="s">
        <v>69</v>
      </c>
      <c r="C106" s="19" t="s">
        <v>70</v>
      </c>
      <c r="J106" s="19" t="s">
        <v>71</v>
      </c>
      <c r="K106" s="19" t="s">
        <v>38</v>
      </c>
      <c r="L106" s="19" t="s">
        <v>72</v>
      </c>
      <c r="M106" s="19" t="s">
        <v>129</v>
      </c>
      <c r="N106" s="19" t="s">
        <v>271</v>
      </c>
      <c r="O106" s="19" t="s">
        <v>272</v>
      </c>
    </row>
    <row r="107" spans="1:15" ht="22.5" customHeight="1">
      <c r="A107" s="18">
        <v>45970.550799837962</v>
      </c>
      <c r="B107" s="19" t="s">
        <v>56</v>
      </c>
      <c r="C107" s="19" t="s">
        <v>36</v>
      </c>
      <c r="D107" s="19" t="s">
        <v>114</v>
      </c>
      <c r="E107" s="19" t="s">
        <v>43</v>
      </c>
      <c r="F107" s="19" t="s">
        <v>273</v>
      </c>
      <c r="G107" s="19" t="s">
        <v>274</v>
      </c>
      <c r="H107" s="19" t="s">
        <v>275</v>
      </c>
      <c r="I107" s="19" t="s">
        <v>276</v>
      </c>
    </row>
    <row r="108" spans="1:15" ht="22.5" customHeight="1">
      <c r="A108" s="18">
        <v>45971.36263787037</v>
      </c>
      <c r="B108" s="19" t="s">
        <v>69</v>
      </c>
      <c r="C108" s="19" t="s">
        <v>70</v>
      </c>
      <c r="J108" s="19" t="s">
        <v>277</v>
      </c>
      <c r="K108" s="19" t="s">
        <v>38</v>
      </c>
      <c r="L108" s="19" t="s">
        <v>167</v>
      </c>
      <c r="M108" s="19" t="s">
        <v>66</v>
      </c>
      <c r="N108" s="19" t="s">
        <v>278</v>
      </c>
      <c r="O108" s="19" t="s">
        <v>279</v>
      </c>
    </row>
    <row r="109" spans="1:15" ht="22.5" customHeight="1">
      <c r="A109" s="18">
        <v>45971.432718356482</v>
      </c>
      <c r="B109" s="19" t="s">
        <v>47</v>
      </c>
      <c r="C109" s="19" t="s">
        <v>36</v>
      </c>
      <c r="D109" s="19" t="s">
        <v>37</v>
      </c>
      <c r="E109" s="19" t="s">
        <v>38</v>
      </c>
      <c r="F109" s="19" t="s">
        <v>102</v>
      </c>
      <c r="G109" s="19" t="s">
        <v>138</v>
      </c>
      <c r="H109" s="19" t="s">
        <v>280</v>
      </c>
    </row>
    <row r="110" spans="1:15" ht="22.5" customHeight="1">
      <c r="A110" s="18">
        <v>45971.438854097221</v>
      </c>
      <c r="B110" s="19" t="s">
        <v>47</v>
      </c>
      <c r="C110" s="19" t="s">
        <v>36</v>
      </c>
      <c r="D110" s="19" t="s">
        <v>37</v>
      </c>
      <c r="E110" s="19" t="s">
        <v>38</v>
      </c>
      <c r="F110" s="19" t="s">
        <v>58</v>
      </c>
      <c r="G110" s="19" t="s">
        <v>281</v>
      </c>
      <c r="H110" s="19" t="s">
        <v>282</v>
      </c>
    </row>
    <row r="111" spans="1:15" ht="22.5" customHeight="1">
      <c r="A111" s="18">
        <v>45973.309861307869</v>
      </c>
      <c r="B111" s="19" t="s">
        <v>35</v>
      </c>
      <c r="C111" s="19" t="s">
        <v>36</v>
      </c>
      <c r="D111" s="19" t="s">
        <v>37</v>
      </c>
      <c r="E111" s="19" t="s">
        <v>38</v>
      </c>
      <c r="F111" s="19" t="s">
        <v>283</v>
      </c>
      <c r="G111" s="19" t="s">
        <v>284</v>
      </c>
      <c r="H111" s="19" t="s">
        <v>285</v>
      </c>
    </row>
    <row r="112" spans="1:15" ht="22.5" customHeight="1">
      <c r="A112" s="18">
        <v>45973.311227569444</v>
      </c>
      <c r="B112" s="19" t="s">
        <v>35</v>
      </c>
      <c r="C112" s="19" t="s">
        <v>36</v>
      </c>
      <c r="D112" s="19" t="s">
        <v>251</v>
      </c>
      <c r="E112" s="19" t="s">
        <v>43</v>
      </c>
      <c r="F112" s="19" t="s">
        <v>53</v>
      </c>
      <c r="G112" s="19" t="s">
        <v>159</v>
      </c>
      <c r="H112" s="19" t="s">
        <v>286</v>
      </c>
    </row>
    <row r="113" spans="1:8" ht="22.5" customHeight="1">
      <c r="A113" s="18">
        <v>45973.317705891204</v>
      </c>
      <c r="B113" s="19" t="s">
        <v>35</v>
      </c>
      <c r="C113" s="19" t="s">
        <v>36</v>
      </c>
      <c r="D113" s="19" t="s">
        <v>251</v>
      </c>
      <c r="E113" s="19" t="s">
        <v>43</v>
      </c>
      <c r="F113" s="19" t="s">
        <v>287</v>
      </c>
      <c r="G113" s="19" t="s">
        <v>159</v>
      </c>
      <c r="H113" s="19" t="s">
        <v>288</v>
      </c>
    </row>
    <row r="114" spans="1:8" ht="22.5" customHeight="1">
      <c r="A114" s="18">
        <v>45973.318584722219</v>
      </c>
      <c r="B114" s="19" t="s">
        <v>35</v>
      </c>
      <c r="C114" s="19" t="s">
        <v>36</v>
      </c>
      <c r="D114" s="19" t="s">
        <v>251</v>
      </c>
      <c r="E114" s="19" t="s">
        <v>43</v>
      </c>
      <c r="F114" s="19" t="s">
        <v>289</v>
      </c>
      <c r="G114" s="19" t="s">
        <v>159</v>
      </c>
      <c r="H114" s="19" t="s">
        <v>288</v>
      </c>
    </row>
    <row r="115" spans="1:8" ht="22.5" customHeight="1">
      <c r="A115" s="18">
        <v>45973.323378993053</v>
      </c>
      <c r="B115" s="19" t="s">
        <v>35</v>
      </c>
      <c r="C115" s="19" t="s">
        <v>36</v>
      </c>
      <c r="D115" s="19" t="s">
        <v>251</v>
      </c>
      <c r="E115" s="19" t="s">
        <v>43</v>
      </c>
      <c r="F115" s="19" t="s">
        <v>53</v>
      </c>
      <c r="G115" s="19" t="s">
        <v>129</v>
      </c>
      <c r="H115" s="19" t="s">
        <v>290</v>
      </c>
    </row>
    <row r="116" spans="1:8" ht="22.5" customHeight="1">
      <c r="A116" s="18">
        <v>45973.343233356485</v>
      </c>
      <c r="B116" s="19" t="s">
        <v>47</v>
      </c>
      <c r="C116" s="19" t="s">
        <v>36</v>
      </c>
      <c r="D116" s="19" t="s">
        <v>37</v>
      </c>
      <c r="E116" s="19" t="s">
        <v>38</v>
      </c>
      <c r="F116" s="19" t="s">
        <v>148</v>
      </c>
      <c r="G116" s="19" t="s">
        <v>66</v>
      </c>
      <c r="H116" s="19" t="s">
        <v>291</v>
      </c>
    </row>
    <row r="117" spans="1:8" ht="22.5" customHeight="1">
      <c r="A117" s="18">
        <v>45973.462441238429</v>
      </c>
      <c r="B117" s="19" t="s">
        <v>47</v>
      </c>
      <c r="C117" s="19" t="s">
        <v>36</v>
      </c>
      <c r="D117" s="19" t="s">
        <v>37</v>
      </c>
      <c r="E117" s="19" t="s">
        <v>38</v>
      </c>
      <c r="F117" s="19" t="s">
        <v>39</v>
      </c>
      <c r="G117" s="19" t="s">
        <v>66</v>
      </c>
      <c r="H117" s="19" t="s">
        <v>292</v>
      </c>
    </row>
    <row r="118" spans="1:8" ht="22.5" customHeight="1">
      <c r="A118" s="18">
        <v>45973.572160405092</v>
      </c>
      <c r="B118" s="19" t="s">
        <v>47</v>
      </c>
      <c r="C118" s="19" t="s">
        <v>36</v>
      </c>
      <c r="D118" s="19" t="s">
        <v>37</v>
      </c>
      <c r="E118" s="19" t="s">
        <v>38</v>
      </c>
      <c r="F118" s="19" t="s">
        <v>212</v>
      </c>
      <c r="G118" s="19" t="s">
        <v>138</v>
      </c>
      <c r="H118" s="19" t="s">
        <v>293</v>
      </c>
    </row>
    <row r="119" spans="1:8" ht="22.5" customHeight="1">
      <c r="A119" s="18">
        <v>45974.488131412036</v>
      </c>
      <c r="B119" s="19" t="s">
        <v>294</v>
      </c>
      <c r="C119" s="19" t="s">
        <v>36</v>
      </c>
      <c r="D119" s="19" t="s">
        <v>114</v>
      </c>
      <c r="E119" s="19" t="s">
        <v>43</v>
      </c>
      <c r="F119" s="19" t="s">
        <v>295</v>
      </c>
      <c r="G119" s="19" t="s">
        <v>296</v>
      </c>
      <c r="H119" s="19" t="s">
        <v>297</v>
      </c>
    </row>
    <row r="120" spans="1:8" ht="22.5" customHeight="1">
      <c r="A120" s="18">
        <v>45974.489396516205</v>
      </c>
      <c r="B120" s="19" t="s">
        <v>294</v>
      </c>
      <c r="C120" s="19" t="s">
        <v>36</v>
      </c>
      <c r="D120" s="19" t="s">
        <v>114</v>
      </c>
      <c r="E120" s="19" t="s">
        <v>43</v>
      </c>
      <c r="F120" s="19" t="s">
        <v>92</v>
      </c>
      <c r="G120" s="19" t="s">
        <v>296</v>
      </c>
      <c r="H120" s="19" t="s">
        <v>298</v>
      </c>
    </row>
    <row r="121" spans="1:8" ht="22.5" customHeight="1">
      <c r="A121" s="18">
        <v>45974.495208657405</v>
      </c>
      <c r="B121" s="19" t="s">
        <v>294</v>
      </c>
      <c r="C121" s="19" t="s">
        <v>36</v>
      </c>
      <c r="D121" s="19" t="s">
        <v>114</v>
      </c>
      <c r="E121" s="19" t="s">
        <v>43</v>
      </c>
      <c r="F121" s="19" t="s">
        <v>58</v>
      </c>
      <c r="G121" s="19" t="s">
        <v>299</v>
      </c>
      <c r="H121" s="19" t="s">
        <v>300</v>
      </c>
    </row>
    <row r="122" spans="1:8" ht="22.5" customHeight="1">
      <c r="A122" s="18">
        <v>45974.49708458333</v>
      </c>
      <c r="B122" s="19" t="s">
        <v>294</v>
      </c>
      <c r="C122" s="19" t="s">
        <v>36</v>
      </c>
      <c r="D122" s="19" t="s">
        <v>114</v>
      </c>
      <c r="E122" s="19" t="s">
        <v>43</v>
      </c>
      <c r="F122" s="19" t="s">
        <v>44</v>
      </c>
      <c r="G122" s="19" t="s">
        <v>301</v>
      </c>
      <c r="H122" s="19" t="s">
        <v>302</v>
      </c>
    </row>
    <row r="123" spans="1:8" ht="22.5" customHeight="1">
      <c r="A123" s="18">
        <v>45974.500817129629</v>
      </c>
      <c r="B123" s="19" t="s">
        <v>294</v>
      </c>
      <c r="C123" s="19" t="s">
        <v>36</v>
      </c>
      <c r="D123" s="19" t="s">
        <v>114</v>
      </c>
      <c r="E123" s="19" t="s">
        <v>43</v>
      </c>
      <c r="F123" s="19" t="s">
        <v>48</v>
      </c>
      <c r="G123" s="19" t="s">
        <v>303</v>
      </c>
      <c r="H123" s="19" t="s">
        <v>304</v>
      </c>
    </row>
    <row r="124" spans="1:8" ht="22.5" customHeight="1">
      <c r="A124" s="18">
        <v>45974.504976944445</v>
      </c>
      <c r="B124" s="19" t="s">
        <v>294</v>
      </c>
      <c r="C124" s="19" t="s">
        <v>36</v>
      </c>
      <c r="D124" s="19" t="s">
        <v>114</v>
      </c>
      <c r="E124" s="19" t="s">
        <v>43</v>
      </c>
      <c r="F124" s="19" t="s">
        <v>53</v>
      </c>
      <c r="G124" s="19" t="s">
        <v>159</v>
      </c>
      <c r="H124" s="19" t="s">
        <v>305</v>
      </c>
    </row>
    <row r="125" spans="1:8" ht="22.5" customHeight="1">
      <c r="A125" s="18">
        <v>45974.505903379628</v>
      </c>
      <c r="B125" s="19" t="s">
        <v>35</v>
      </c>
      <c r="C125" s="19" t="s">
        <v>36</v>
      </c>
      <c r="D125" s="19" t="s">
        <v>37</v>
      </c>
      <c r="E125" s="19" t="s">
        <v>38</v>
      </c>
      <c r="F125" s="19" t="s">
        <v>212</v>
      </c>
      <c r="G125" s="19" t="s">
        <v>143</v>
      </c>
      <c r="H125" s="19" t="s">
        <v>306</v>
      </c>
    </row>
    <row r="126" spans="1:8" ht="22.5" customHeight="1">
      <c r="A126" s="18">
        <v>45974.506838460649</v>
      </c>
      <c r="B126" s="19" t="s">
        <v>35</v>
      </c>
      <c r="C126" s="19" t="s">
        <v>36</v>
      </c>
      <c r="D126" s="19" t="s">
        <v>37</v>
      </c>
      <c r="E126" s="19" t="s">
        <v>38</v>
      </c>
      <c r="F126" s="19" t="s">
        <v>307</v>
      </c>
      <c r="G126" s="19" t="s">
        <v>66</v>
      </c>
      <c r="H126" s="19" t="s">
        <v>308</v>
      </c>
    </row>
    <row r="127" spans="1:8" ht="22.5" customHeight="1">
      <c r="A127" s="18">
        <v>45974.506951608797</v>
      </c>
      <c r="B127" s="19" t="s">
        <v>294</v>
      </c>
      <c r="C127" s="19" t="s">
        <v>36</v>
      </c>
      <c r="D127" s="19" t="s">
        <v>114</v>
      </c>
      <c r="E127" s="19" t="s">
        <v>43</v>
      </c>
      <c r="F127" s="19" t="s">
        <v>58</v>
      </c>
      <c r="G127" s="19" t="s">
        <v>309</v>
      </c>
      <c r="H127" s="19" t="s">
        <v>310</v>
      </c>
    </row>
    <row r="128" spans="1:8" ht="22.5" customHeight="1">
      <c r="A128" s="18">
        <v>45974.507501712964</v>
      </c>
      <c r="B128" s="19" t="s">
        <v>35</v>
      </c>
      <c r="C128" s="19" t="s">
        <v>36</v>
      </c>
      <c r="D128" s="19" t="s">
        <v>37</v>
      </c>
      <c r="E128" s="19" t="s">
        <v>38</v>
      </c>
      <c r="F128" s="19" t="s">
        <v>212</v>
      </c>
      <c r="G128" s="19" t="s">
        <v>138</v>
      </c>
      <c r="H128" s="19" t="s">
        <v>311</v>
      </c>
    </row>
    <row r="129" spans="1:8" ht="22.5" customHeight="1">
      <c r="A129" s="18">
        <v>45974.508374988422</v>
      </c>
      <c r="B129" s="19" t="s">
        <v>294</v>
      </c>
      <c r="C129" s="19" t="s">
        <v>36</v>
      </c>
      <c r="D129" s="19" t="s">
        <v>114</v>
      </c>
      <c r="E129" s="19" t="s">
        <v>43</v>
      </c>
      <c r="F129" s="19" t="s">
        <v>312</v>
      </c>
      <c r="G129" s="19" t="s">
        <v>313</v>
      </c>
      <c r="H129" s="19" t="s">
        <v>314</v>
      </c>
    </row>
    <row r="130" spans="1:8" ht="22.5" customHeight="1">
      <c r="A130" s="18">
        <v>45974.508460625002</v>
      </c>
      <c r="B130" s="19" t="s">
        <v>35</v>
      </c>
      <c r="C130" s="19" t="s">
        <v>36</v>
      </c>
      <c r="D130" s="19" t="s">
        <v>37</v>
      </c>
      <c r="E130" s="19" t="s">
        <v>38</v>
      </c>
      <c r="F130" s="19" t="s">
        <v>212</v>
      </c>
      <c r="G130" s="19" t="s">
        <v>143</v>
      </c>
      <c r="H130" s="19" t="s">
        <v>315</v>
      </c>
    </row>
    <row r="131" spans="1:8" ht="22.5" customHeight="1">
      <c r="A131" s="18">
        <v>45974.509206944444</v>
      </c>
      <c r="B131" s="19" t="s">
        <v>35</v>
      </c>
      <c r="C131" s="19" t="s">
        <v>36</v>
      </c>
      <c r="D131" s="19" t="s">
        <v>37</v>
      </c>
      <c r="E131" s="19" t="s">
        <v>38</v>
      </c>
      <c r="F131" s="19" t="s">
        <v>212</v>
      </c>
      <c r="G131" s="19" t="s">
        <v>198</v>
      </c>
      <c r="H131" s="19" t="s">
        <v>316</v>
      </c>
    </row>
    <row r="132" spans="1:8" ht="22.5" customHeight="1">
      <c r="A132" s="18">
        <v>45974.509728715275</v>
      </c>
      <c r="B132" s="19" t="s">
        <v>35</v>
      </c>
      <c r="C132" s="19" t="s">
        <v>36</v>
      </c>
      <c r="D132" s="19" t="s">
        <v>37</v>
      </c>
      <c r="E132" s="19" t="s">
        <v>38</v>
      </c>
      <c r="F132" s="19" t="s">
        <v>58</v>
      </c>
      <c r="G132" s="19" t="s">
        <v>138</v>
      </c>
      <c r="H132" s="19" t="s">
        <v>223</v>
      </c>
    </row>
    <row r="133" spans="1:8" ht="22.5" customHeight="1">
      <c r="A133" s="18">
        <v>45974.510650648153</v>
      </c>
      <c r="B133" s="19" t="s">
        <v>35</v>
      </c>
      <c r="C133" s="19" t="s">
        <v>36</v>
      </c>
      <c r="D133" s="19" t="s">
        <v>37</v>
      </c>
      <c r="E133" s="19" t="s">
        <v>38</v>
      </c>
      <c r="F133" s="19" t="s">
        <v>248</v>
      </c>
      <c r="G133" s="19" t="s">
        <v>317</v>
      </c>
      <c r="H133" s="19" t="s">
        <v>318</v>
      </c>
    </row>
    <row r="134" spans="1:8" ht="22.5" customHeight="1">
      <c r="A134" s="18">
        <v>45974.524977685185</v>
      </c>
      <c r="B134" s="19" t="s">
        <v>294</v>
      </c>
      <c r="C134" s="19" t="s">
        <v>36</v>
      </c>
      <c r="D134" s="19" t="s">
        <v>114</v>
      </c>
      <c r="E134" s="19" t="s">
        <v>43</v>
      </c>
      <c r="F134" s="19" t="s">
        <v>53</v>
      </c>
      <c r="G134" s="19" t="s">
        <v>319</v>
      </c>
      <c r="H134" s="19" t="s">
        <v>320</v>
      </c>
    </row>
    <row r="135" spans="1:8" ht="22.5" customHeight="1">
      <c r="A135" s="18">
        <v>45974.527609456018</v>
      </c>
      <c r="B135" s="19" t="s">
        <v>294</v>
      </c>
      <c r="C135" s="19" t="s">
        <v>36</v>
      </c>
      <c r="D135" s="19" t="s">
        <v>114</v>
      </c>
      <c r="E135" s="19" t="s">
        <v>43</v>
      </c>
      <c r="F135" s="19" t="s">
        <v>44</v>
      </c>
      <c r="G135" s="19" t="s">
        <v>44</v>
      </c>
      <c r="H135" s="19" t="s">
        <v>321</v>
      </c>
    </row>
    <row r="136" spans="1:8" ht="22.5" customHeight="1">
      <c r="A136" s="18">
        <v>45974.528555520832</v>
      </c>
      <c r="B136" s="19" t="s">
        <v>294</v>
      </c>
      <c r="C136" s="19" t="s">
        <v>36</v>
      </c>
      <c r="D136" s="19" t="s">
        <v>114</v>
      </c>
      <c r="E136" s="19" t="s">
        <v>43</v>
      </c>
      <c r="F136" s="19" t="s">
        <v>322</v>
      </c>
      <c r="G136" s="19" t="s">
        <v>323</v>
      </c>
      <c r="H136" s="19" t="s">
        <v>324</v>
      </c>
    </row>
    <row r="137" spans="1:8" ht="22.5" customHeight="1">
      <c r="A137" s="18">
        <v>45974.529236979171</v>
      </c>
      <c r="B137" s="19" t="s">
        <v>294</v>
      </c>
      <c r="C137" s="19" t="s">
        <v>36</v>
      </c>
      <c r="D137" s="19" t="s">
        <v>114</v>
      </c>
      <c r="E137" s="19" t="s">
        <v>43</v>
      </c>
      <c r="F137" s="19" t="s">
        <v>48</v>
      </c>
      <c r="G137" s="19" t="s">
        <v>325</v>
      </c>
      <c r="H137" s="19" t="s">
        <v>326</v>
      </c>
    </row>
    <row r="138" spans="1:8" ht="22.5" customHeight="1">
      <c r="A138" s="18">
        <v>45974.530404583333</v>
      </c>
      <c r="B138" s="19" t="s">
        <v>294</v>
      </c>
      <c r="C138" s="19" t="s">
        <v>36</v>
      </c>
      <c r="D138" s="19" t="s">
        <v>114</v>
      </c>
      <c r="E138" s="19" t="s">
        <v>43</v>
      </c>
      <c r="F138" s="19" t="s">
        <v>53</v>
      </c>
      <c r="G138" s="19" t="s">
        <v>327</v>
      </c>
      <c r="H138" s="19" t="s">
        <v>328</v>
      </c>
    </row>
    <row r="139" spans="1:8" ht="22.5" customHeight="1">
      <c r="A139" s="18">
        <v>45974.531459189813</v>
      </c>
      <c r="B139" s="19" t="s">
        <v>294</v>
      </c>
      <c r="C139" s="19" t="s">
        <v>36</v>
      </c>
      <c r="D139" s="19" t="s">
        <v>114</v>
      </c>
      <c r="E139" s="19" t="s">
        <v>43</v>
      </c>
      <c r="F139" s="19" t="s">
        <v>58</v>
      </c>
      <c r="G139" s="19" t="s">
        <v>329</v>
      </c>
      <c r="H139" s="19" t="s">
        <v>330</v>
      </c>
    </row>
    <row r="140" spans="1:8" ht="22.5" customHeight="1">
      <c r="A140" s="18">
        <v>45974.53224912037</v>
      </c>
      <c r="B140" s="19" t="s">
        <v>294</v>
      </c>
      <c r="C140" s="19" t="s">
        <v>36</v>
      </c>
      <c r="D140" s="19" t="s">
        <v>114</v>
      </c>
      <c r="E140" s="19" t="s">
        <v>43</v>
      </c>
      <c r="F140" s="19" t="s">
        <v>58</v>
      </c>
      <c r="G140" s="19" t="s">
        <v>331</v>
      </c>
      <c r="H140" s="19" t="s">
        <v>332</v>
      </c>
    </row>
    <row r="141" spans="1:8" ht="22.5" customHeight="1">
      <c r="A141" s="18">
        <v>45974.532718738425</v>
      </c>
      <c r="B141" s="19" t="s">
        <v>294</v>
      </c>
      <c r="C141" s="19" t="s">
        <v>36</v>
      </c>
      <c r="D141" s="19" t="s">
        <v>114</v>
      </c>
      <c r="E141" s="19" t="s">
        <v>43</v>
      </c>
      <c r="F141" s="19" t="s">
        <v>58</v>
      </c>
      <c r="G141" s="19" t="s">
        <v>333</v>
      </c>
      <c r="H141" s="19" t="s">
        <v>334</v>
      </c>
    </row>
    <row r="142" spans="1:8" ht="22.5" customHeight="1">
      <c r="A142" s="18">
        <v>45976.346226481481</v>
      </c>
      <c r="B142" s="19" t="s">
        <v>56</v>
      </c>
      <c r="C142" s="19" t="s">
        <v>36</v>
      </c>
      <c r="D142" s="19" t="s">
        <v>133</v>
      </c>
      <c r="E142" s="19" t="s">
        <v>43</v>
      </c>
      <c r="F142" s="19" t="s">
        <v>335</v>
      </c>
      <c r="G142" s="19" t="s">
        <v>336</v>
      </c>
      <c r="H142" s="19" t="s">
        <v>337</v>
      </c>
    </row>
    <row r="143" spans="1:8" ht="22.5" customHeight="1">
      <c r="A143" s="18">
        <v>45976.363951597217</v>
      </c>
      <c r="B143" s="19" t="s">
        <v>47</v>
      </c>
      <c r="C143" s="19" t="s">
        <v>36</v>
      </c>
      <c r="D143" s="19" t="s">
        <v>37</v>
      </c>
      <c r="E143" s="19" t="s">
        <v>38</v>
      </c>
      <c r="F143" s="19" t="s">
        <v>78</v>
      </c>
      <c r="G143" s="19" t="s">
        <v>66</v>
      </c>
      <c r="H143" s="19" t="s">
        <v>338</v>
      </c>
    </row>
    <row r="144" spans="1:8" ht="22.5" customHeight="1">
      <c r="A144" s="18">
        <v>45976.365324895829</v>
      </c>
      <c r="B144" s="19" t="s">
        <v>47</v>
      </c>
      <c r="C144" s="19" t="s">
        <v>36</v>
      </c>
      <c r="D144" s="19" t="s">
        <v>37</v>
      </c>
      <c r="E144" s="19" t="s">
        <v>38</v>
      </c>
      <c r="F144" s="19" t="s">
        <v>339</v>
      </c>
      <c r="G144" s="19" t="s">
        <v>129</v>
      </c>
      <c r="H144" s="19" t="s">
        <v>340</v>
      </c>
    </row>
    <row r="145" spans="1:15" ht="22.5" customHeight="1">
      <c r="A145" s="18">
        <v>45976.495499178243</v>
      </c>
      <c r="B145" s="19" t="s">
        <v>47</v>
      </c>
      <c r="C145" s="19" t="s">
        <v>36</v>
      </c>
      <c r="D145" s="19" t="s">
        <v>37</v>
      </c>
      <c r="E145" s="19" t="s">
        <v>38</v>
      </c>
      <c r="F145" s="19" t="s">
        <v>58</v>
      </c>
      <c r="G145" s="19" t="s">
        <v>341</v>
      </c>
      <c r="H145" s="19" t="s">
        <v>342</v>
      </c>
    </row>
    <row r="146" spans="1:15" ht="22.5" customHeight="1">
      <c r="A146" s="18">
        <v>45977.364210520835</v>
      </c>
      <c r="B146" s="19" t="s">
        <v>69</v>
      </c>
      <c r="C146" s="19" t="s">
        <v>70</v>
      </c>
      <c r="J146" s="19" t="s">
        <v>343</v>
      </c>
      <c r="K146" s="19" t="s">
        <v>38</v>
      </c>
      <c r="L146" s="19" t="s">
        <v>105</v>
      </c>
      <c r="M146" s="19" t="s">
        <v>138</v>
      </c>
      <c r="N146" s="19" t="s">
        <v>344</v>
      </c>
      <c r="O146" s="19" t="s">
        <v>345</v>
      </c>
    </row>
    <row r="147" spans="1:15" ht="22.5" customHeight="1">
      <c r="A147" s="18">
        <v>45977.372638379631</v>
      </c>
      <c r="B147" s="19" t="s">
        <v>69</v>
      </c>
      <c r="C147" s="19" t="s">
        <v>70</v>
      </c>
      <c r="J147" s="19" t="s">
        <v>85</v>
      </c>
      <c r="K147" s="19" t="s">
        <v>38</v>
      </c>
      <c r="L147" s="19" t="s">
        <v>346</v>
      </c>
      <c r="M147" s="19" t="s">
        <v>183</v>
      </c>
      <c r="N147" s="19" t="s">
        <v>347</v>
      </c>
      <c r="O147" s="19" t="s">
        <v>348</v>
      </c>
    </row>
    <row r="148" spans="1:15" ht="22.5" customHeight="1">
      <c r="A148" s="18">
        <v>45977.388978553237</v>
      </c>
      <c r="B148" s="19" t="s">
        <v>47</v>
      </c>
      <c r="C148" s="19" t="s">
        <v>36</v>
      </c>
      <c r="D148" s="19" t="s">
        <v>37</v>
      </c>
      <c r="E148" s="19" t="s">
        <v>38</v>
      </c>
      <c r="F148" s="19" t="s">
        <v>102</v>
      </c>
      <c r="G148" s="19" t="s">
        <v>66</v>
      </c>
      <c r="H148" s="19" t="s">
        <v>349</v>
      </c>
    </row>
    <row r="149" spans="1:15" ht="22.5" customHeight="1">
      <c r="A149" s="18">
        <v>45977.435706655087</v>
      </c>
      <c r="B149" s="19" t="s">
        <v>47</v>
      </c>
      <c r="C149" s="19" t="s">
        <v>36</v>
      </c>
      <c r="D149" s="19" t="s">
        <v>37</v>
      </c>
      <c r="E149" s="19" t="s">
        <v>38</v>
      </c>
      <c r="F149" s="19" t="s">
        <v>307</v>
      </c>
      <c r="G149" s="19" t="s">
        <v>66</v>
      </c>
      <c r="H149" s="19" t="s">
        <v>350</v>
      </c>
    </row>
    <row r="150" spans="1:15" ht="22.5" customHeight="1">
      <c r="A150" s="18">
        <v>45977.441385706014</v>
      </c>
      <c r="B150" s="19" t="s">
        <v>351</v>
      </c>
      <c r="C150" s="19" t="s">
        <v>70</v>
      </c>
      <c r="J150" s="19" t="s">
        <v>352</v>
      </c>
      <c r="K150" s="19" t="s">
        <v>43</v>
      </c>
      <c r="L150" s="19" t="s">
        <v>105</v>
      </c>
      <c r="M150" s="19" t="s">
        <v>138</v>
      </c>
      <c r="N150" s="19" t="s">
        <v>353</v>
      </c>
    </row>
    <row r="151" spans="1:15" ht="22.5" customHeight="1">
      <c r="A151" s="18">
        <v>45977.442208611115</v>
      </c>
      <c r="B151" s="19" t="s">
        <v>351</v>
      </c>
      <c r="C151" s="19" t="s">
        <v>70</v>
      </c>
      <c r="J151" s="19" t="s">
        <v>354</v>
      </c>
      <c r="K151" s="19" t="s">
        <v>43</v>
      </c>
      <c r="L151" s="19" t="s">
        <v>167</v>
      </c>
      <c r="M151" s="19" t="s">
        <v>355</v>
      </c>
      <c r="N151" s="19" t="s">
        <v>356</v>
      </c>
    </row>
    <row r="152" spans="1:15" ht="22.5" customHeight="1">
      <c r="A152" s="18">
        <v>45977.442672951394</v>
      </c>
      <c r="B152" s="19" t="s">
        <v>351</v>
      </c>
      <c r="C152" s="19" t="s">
        <v>70</v>
      </c>
      <c r="J152" s="19" t="s">
        <v>354</v>
      </c>
      <c r="K152" s="19" t="s">
        <v>43</v>
      </c>
      <c r="L152" s="19" t="s">
        <v>72</v>
      </c>
      <c r="M152" s="19" t="s">
        <v>66</v>
      </c>
      <c r="N152" s="19" t="s">
        <v>357</v>
      </c>
    </row>
    <row r="153" spans="1:15" ht="22.5" customHeight="1">
      <c r="A153" s="18">
        <v>45977.443602766201</v>
      </c>
      <c r="B153" s="19" t="s">
        <v>351</v>
      </c>
      <c r="C153" s="19" t="s">
        <v>70</v>
      </c>
      <c r="J153" s="19" t="s">
        <v>354</v>
      </c>
      <c r="K153" s="19" t="s">
        <v>43</v>
      </c>
      <c r="L153" s="19" t="s">
        <v>72</v>
      </c>
      <c r="M153" s="19" t="s">
        <v>66</v>
      </c>
      <c r="N153" s="19" t="s">
        <v>358</v>
      </c>
    </row>
    <row r="154" spans="1:15" ht="22.5" customHeight="1">
      <c r="A154" s="18">
        <v>45977.454489224532</v>
      </c>
      <c r="B154" s="19" t="s">
        <v>69</v>
      </c>
      <c r="C154" s="19" t="s">
        <v>70</v>
      </c>
      <c r="J154" s="19" t="s">
        <v>85</v>
      </c>
      <c r="K154" s="19" t="s">
        <v>38</v>
      </c>
      <c r="L154" s="19" t="s">
        <v>359</v>
      </c>
      <c r="M154" s="19" t="s">
        <v>360</v>
      </c>
      <c r="N154" s="19" t="s">
        <v>361</v>
      </c>
      <c r="O154" s="19" t="s">
        <v>362</v>
      </c>
    </row>
    <row r="155" spans="1:15" ht="22.5" customHeight="1">
      <c r="A155" s="18">
        <v>45977.468596689811</v>
      </c>
      <c r="B155" s="19" t="s">
        <v>363</v>
      </c>
      <c r="C155" s="19" t="s">
        <v>70</v>
      </c>
      <c r="J155" s="19" t="s">
        <v>364</v>
      </c>
      <c r="K155" s="19" t="s">
        <v>43</v>
      </c>
      <c r="L155" s="19" t="s">
        <v>72</v>
      </c>
      <c r="M155" s="19" t="s">
        <v>198</v>
      </c>
      <c r="N155" s="19" t="s">
        <v>365</v>
      </c>
    </row>
    <row r="156" spans="1:15" ht="22.5" customHeight="1">
      <c r="A156" s="18">
        <v>45977.46957710648</v>
      </c>
      <c r="B156" s="19" t="s">
        <v>363</v>
      </c>
      <c r="C156" s="19" t="s">
        <v>70</v>
      </c>
      <c r="J156" s="19" t="s">
        <v>364</v>
      </c>
      <c r="K156" s="19" t="s">
        <v>43</v>
      </c>
      <c r="L156" s="19" t="s">
        <v>366</v>
      </c>
      <c r="M156" s="19" t="s">
        <v>367</v>
      </c>
      <c r="N156" s="19" t="s">
        <v>368</v>
      </c>
    </row>
    <row r="157" spans="1:15" ht="22.5" customHeight="1">
      <c r="A157" s="18">
        <v>45977.470788599538</v>
      </c>
      <c r="B157" s="19" t="s">
        <v>363</v>
      </c>
      <c r="C157" s="19" t="s">
        <v>70</v>
      </c>
      <c r="J157" s="19" t="s">
        <v>369</v>
      </c>
      <c r="K157" s="19" t="s">
        <v>43</v>
      </c>
      <c r="L157" s="19" t="s">
        <v>370</v>
      </c>
      <c r="M157" s="19" t="s">
        <v>63</v>
      </c>
      <c r="N157" s="19" t="s">
        <v>371</v>
      </c>
    </row>
    <row r="158" spans="1:15" ht="22.5" customHeight="1">
      <c r="A158" s="18">
        <v>45977.478653923608</v>
      </c>
      <c r="B158" s="19" t="s">
        <v>101</v>
      </c>
      <c r="C158" s="19" t="s">
        <v>36</v>
      </c>
      <c r="D158" s="19" t="s">
        <v>37</v>
      </c>
      <c r="E158" s="19" t="s">
        <v>38</v>
      </c>
      <c r="F158" s="19" t="s">
        <v>92</v>
      </c>
      <c r="G158" s="19" t="s">
        <v>66</v>
      </c>
      <c r="H158" s="19" t="s">
        <v>372</v>
      </c>
    </row>
    <row r="159" spans="1:15" ht="22.5" customHeight="1">
      <c r="A159" s="18">
        <v>45977.498645173611</v>
      </c>
      <c r="B159" s="19" t="s">
        <v>47</v>
      </c>
      <c r="C159" s="19" t="s">
        <v>36</v>
      </c>
      <c r="D159" s="19" t="s">
        <v>37</v>
      </c>
      <c r="E159" s="19" t="s">
        <v>38</v>
      </c>
      <c r="F159" s="19" t="s">
        <v>48</v>
      </c>
      <c r="G159" s="19" t="s">
        <v>66</v>
      </c>
      <c r="H159" s="19" t="s">
        <v>373</v>
      </c>
    </row>
    <row r="160" spans="1:15" ht="22.5" customHeight="1">
      <c r="A160" s="18">
        <v>45977.507743958333</v>
      </c>
      <c r="B160" s="19" t="s">
        <v>47</v>
      </c>
      <c r="C160" s="19" t="s">
        <v>36</v>
      </c>
      <c r="D160" s="19" t="s">
        <v>37</v>
      </c>
      <c r="E160" s="19" t="s">
        <v>38</v>
      </c>
      <c r="F160" s="19" t="s">
        <v>212</v>
      </c>
      <c r="G160" s="19" t="s">
        <v>374</v>
      </c>
      <c r="H160" s="19" t="s">
        <v>244</v>
      </c>
    </row>
    <row r="161" spans="1:15" ht="22.5" customHeight="1">
      <c r="A161" s="18">
        <v>45977.52171774306</v>
      </c>
      <c r="B161" s="19" t="s">
        <v>47</v>
      </c>
      <c r="C161" s="19" t="s">
        <v>36</v>
      </c>
      <c r="D161" s="19" t="s">
        <v>37</v>
      </c>
      <c r="E161" s="19" t="s">
        <v>38</v>
      </c>
      <c r="F161" s="19" t="s">
        <v>48</v>
      </c>
      <c r="G161" s="19" t="s">
        <v>375</v>
      </c>
      <c r="H161" s="19" t="s">
        <v>376</v>
      </c>
    </row>
    <row r="162" spans="1:15" ht="22.5" customHeight="1">
      <c r="A162" s="18">
        <v>45978.334539907402</v>
      </c>
      <c r="B162" s="19" t="s">
        <v>47</v>
      </c>
      <c r="C162" s="19" t="s">
        <v>36</v>
      </c>
      <c r="D162" s="19" t="s">
        <v>37</v>
      </c>
      <c r="E162" s="19" t="s">
        <v>38</v>
      </c>
      <c r="F162" s="19" t="s">
        <v>58</v>
      </c>
      <c r="G162" s="19" t="s">
        <v>377</v>
      </c>
      <c r="H162" s="19" t="s">
        <v>378</v>
      </c>
    </row>
    <row r="163" spans="1:15" ht="22.5" customHeight="1">
      <c r="A163" s="18">
        <v>45978.354129027779</v>
      </c>
      <c r="B163" s="19" t="s">
        <v>47</v>
      </c>
      <c r="C163" s="19" t="s">
        <v>36</v>
      </c>
      <c r="D163" s="19" t="s">
        <v>37</v>
      </c>
      <c r="E163" s="19" t="s">
        <v>38</v>
      </c>
      <c r="F163" s="19" t="s">
        <v>92</v>
      </c>
      <c r="G163" s="19" t="s">
        <v>66</v>
      </c>
      <c r="H163" s="19" t="s">
        <v>379</v>
      </c>
    </row>
    <row r="164" spans="1:15" ht="22.5" customHeight="1">
      <c r="A164" s="18">
        <v>45978.414764942128</v>
      </c>
      <c r="B164" s="19" t="s">
        <v>69</v>
      </c>
      <c r="C164" s="19" t="s">
        <v>70</v>
      </c>
      <c r="J164" s="19" t="s">
        <v>380</v>
      </c>
      <c r="K164" s="19" t="s">
        <v>38</v>
      </c>
      <c r="L164" s="19" t="s">
        <v>167</v>
      </c>
      <c r="M164" s="19" t="s">
        <v>143</v>
      </c>
      <c r="N164" s="19" t="s">
        <v>381</v>
      </c>
      <c r="O164" s="19" t="s">
        <v>382</v>
      </c>
    </row>
    <row r="165" spans="1:15" ht="22.5" customHeight="1">
      <c r="A165" s="18">
        <v>45978.423461990737</v>
      </c>
      <c r="B165" s="19" t="s">
        <v>47</v>
      </c>
      <c r="C165" s="19" t="s">
        <v>36</v>
      </c>
      <c r="D165" s="19" t="s">
        <v>37</v>
      </c>
      <c r="E165" s="19" t="s">
        <v>38</v>
      </c>
      <c r="F165" s="19" t="s">
        <v>78</v>
      </c>
      <c r="G165" s="19" t="s">
        <v>66</v>
      </c>
      <c r="H165" s="19" t="s">
        <v>383</v>
      </c>
    </row>
    <row r="166" spans="1:15" ht="22.5" customHeight="1">
      <c r="A166" s="18">
        <v>45978.431813055555</v>
      </c>
      <c r="B166" s="19" t="s">
        <v>101</v>
      </c>
      <c r="C166" s="19" t="s">
        <v>36</v>
      </c>
      <c r="D166" s="19" t="s">
        <v>37</v>
      </c>
      <c r="E166" s="19" t="s">
        <v>38</v>
      </c>
      <c r="F166" s="19" t="s">
        <v>78</v>
      </c>
      <c r="G166" s="19" t="s">
        <v>384</v>
      </c>
      <c r="H166" s="19" t="s">
        <v>385</v>
      </c>
    </row>
    <row r="167" spans="1:15" ht="22.5" customHeight="1">
      <c r="A167" s="18">
        <v>45978.447698692129</v>
      </c>
      <c r="B167" s="19" t="s">
        <v>47</v>
      </c>
      <c r="C167" s="19" t="s">
        <v>36</v>
      </c>
      <c r="D167" s="19" t="s">
        <v>37</v>
      </c>
      <c r="E167" s="19" t="s">
        <v>38</v>
      </c>
      <c r="F167" s="19" t="s">
        <v>53</v>
      </c>
      <c r="G167" s="19" t="s">
        <v>386</v>
      </c>
      <c r="H167" s="19" t="s">
        <v>387</v>
      </c>
    </row>
    <row r="168" spans="1:15" ht="22.5" customHeight="1">
      <c r="A168" s="18">
        <v>45978.464766620367</v>
      </c>
      <c r="B168" s="19" t="s">
        <v>47</v>
      </c>
      <c r="C168" s="19" t="s">
        <v>36</v>
      </c>
      <c r="D168" s="19" t="s">
        <v>37</v>
      </c>
      <c r="E168" s="19" t="s">
        <v>38</v>
      </c>
      <c r="F168" s="19" t="s">
        <v>58</v>
      </c>
      <c r="G168" s="19" t="s">
        <v>388</v>
      </c>
      <c r="H168" s="19" t="s">
        <v>389</v>
      </c>
    </row>
    <row r="169" spans="1:15" ht="22.5" customHeight="1">
      <c r="A169" s="18">
        <v>45978.465334085646</v>
      </c>
      <c r="B169" s="19" t="s">
        <v>47</v>
      </c>
      <c r="C169" s="19" t="s">
        <v>36</v>
      </c>
      <c r="D169" s="19" t="s">
        <v>37</v>
      </c>
      <c r="E169" s="19" t="s">
        <v>38</v>
      </c>
      <c r="F169" s="19" t="s">
        <v>212</v>
      </c>
      <c r="G169" s="19" t="s">
        <v>66</v>
      </c>
      <c r="H169" s="19" t="s">
        <v>390</v>
      </c>
    </row>
    <row r="170" spans="1:15" ht="22.5" customHeight="1">
      <c r="A170" s="18">
        <v>45979.309213946763</v>
      </c>
      <c r="B170" s="19" t="s">
        <v>69</v>
      </c>
      <c r="C170" s="19" t="s">
        <v>70</v>
      </c>
      <c r="J170" s="19" t="s">
        <v>209</v>
      </c>
      <c r="K170" s="19" t="s">
        <v>38</v>
      </c>
      <c r="L170" s="19" t="s">
        <v>105</v>
      </c>
      <c r="M170" s="19" t="s">
        <v>66</v>
      </c>
      <c r="N170" s="19" t="s">
        <v>391</v>
      </c>
      <c r="O170" s="19" t="s">
        <v>392</v>
      </c>
    </row>
    <row r="171" spans="1:15" ht="22.5" customHeight="1">
      <c r="A171" s="18">
        <v>45979.311179502314</v>
      </c>
      <c r="B171" s="19" t="s">
        <v>35</v>
      </c>
      <c r="C171" s="19" t="s">
        <v>36</v>
      </c>
      <c r="D171" s="19" t="s">
        <v>37</v>
      </c>
      <c r="E171" s="19" t="s">
        <v>43</v>
      </c>
      <c r="F171" s="19" t="s">
        <v>58</v>
      </c>
      <c r="G171" s="19" t="s">
        <v>299</v>
      </c>
      <c r="H171" s="19" t="s">
        <v>393</v>
      </c>
    </row>
    <row r="172" spans="1:15" ht="22.5" customHeight="1">
      <c r="A172" s="18">
        <v>45979.312182488429</v>
      </c>
      <c r="B172" s="19" t="s">
        <v>35</v>
      </c>
      <c r="C172" s="19" t="s">
        <v>36</v>
      </c>
      <c r="D172" s="19" t="s">
        <v>37</v>
      </c>
      <c r="E172" s="19" t="s">
        <v>38</v>
      </c>
      <c r="F172" s="19" t="s">
        <v>48</v>
      </c>
      <c r="G172" s="19" t="s">
        <v>159</v>
      </c>
      <c r="H172" s="19" t="s">
        <v>394</v>
      </c>
    </row>
    <row r="173" spans="1:15" ht="22.5" customHeight="1">
      <c r="A173" s="18">
        <v>45979.312546863424</v>
      </c>
      <c r="B173" s="19" t="s">
        <v>351</v>
      </c>
      <c r="C173" s="19" t="s">
        <v>70</v>
      </c>
      <c r="J173" s="19" t="s">
        <v>352</v>
      </c>
      <c r="K173" s="19" t="s">
        <v>43</v>
      </c>
      <c r="L173" s="19" t="s">
        <v>395</v>
      </c>
      <c r="M173" s="19" t="s">
        <v>159</v>
      </c>
      <c r="N173" s="19" t="s">
        <v>396</v>
      </c>
    </row>
    <row r="174" spans="1:15" ht="22.5" customHeight="1">
      <c r="A174" s="18">
        <v>45979.315410416668</v>
      </c>
      <c r="B174" s="19" t="s">
        <v>351</v>
      </c>
      <c r="C174" s="19" t="s">
        <v>70</v>
      </c>
      <c r="J174" s="19" t="s">
        <v>354</v>
      </c>
      <c r="K174" s="19" t="s">
        <v>43</v>
      </c>
      <c r="L174" s="19" t="s">
        <v>105</v>
      </c>
      <c r="M174" s="19" t="s">
        <v>159</v>
      </c>
      <c r="N174" s="19" t="s">
        <v>397</v>
      </c>
    </row>
    <row r="175" spans="1:15" ht="22.5" customHeight="1">
      <c r="A175" s="18">
        <v>45979.316798981483</v>
      </c>
      <c r="B175" s="19" t="s">
        <v>351</v>
      </c>
      <c r="C175" s="19" t="s">
        <v>70</v>
      </c>
      <c r="J175" s="19" t="s">
        <v>354</v>
      </c>
      <c r="K175" s="19" t="s">
        <v>43</v>
      </c>
      <c r="L175" s="19" t="s">
        <v>105</v>
      </c>
      <c r="M175" s="19" t="s">
        <v>159</v>
      </c>
      <c r="N175" s="19" t="s">
        <v>398</v>
      </c>
    </row>
    <row r="176" spans="1:15" ht="22.5" customHeight="1">
      <c r="A176" s="18">
        <v>45979.318013483797</v>
      </c>
      <c r="B176" s="19" t="s">
        <v>351</v>
      </c>
      <c r="C176" s="19" t="s">
        <v>70</v>
      </c>
      <c r="J176" s="19" t="s">
        <v>352</v>
      </c>
      <c r="K176" s="19" t="s">
        <v>43</v>
      </c>
      <c r="L176" s="19" t="s">
        <v>167</v>
      </c>
      <c r="M176" s="19" t="s">
        <v>399</v>
      </c>
      <c r="N176" s="19" t="s">
        <v>400</v>
      </c>
    </row>
    <row r="177" spans="1:15" ht="22.5" customHeight="1">
      <c r="A177" s="18">
        <v>45979.349353877318</v>
      </c>
      <c r="B177" s="19" t="s">
        <v>47</v>
      </c>
      <c r="C177" s="19" t="s">
        <v>36</v>
      </c>
      <c r="D177" s="19" t="s">
        <v>37</v>
      </c>
      <c r="E177" s="19" t="s">
        <v>38</v>
      </c>
      <c r="F177" s="19" t="s">
        <v>58</v>
      </c>
      <c r="G177" s="19" t="s">
        <v>66</v>
      </c>
      <c r="H177" s="19" t="s">
        <v>401</v>
      </c>
    </row>
    <row r="178" spans="1:15" ht="22.5" customHeight="1">
      <c r="A178" s="18">
        <v>45979.35470300926</v>
      </c>
      <c r="B178" s="19" t="s">
        <v>69</v>
      </c>
      <c r="C178" s="19" t="s">
        <v>70</v>
      </c>
      <c r="J178" s="19" t="s">
        <v>402</v>
      </c>
      <c r="K178" s="19" t="s">
        <v>38</v>
      </c>
      <c r="L178" s="19" t="s">
        <v>72</v>
      </c>
      <c r="M178" s="19" t="s">
        <v>403</v>
      </c>
      <c r="N178" s="19" t="s">
        <v>404</v>
      </c>
      <c r="O178" s="19" t="s">
        <v>405</v>
      </c>
    </row>
    <row r="179" spans="1:15" ht="22.5" customHeight="1">
      <c r="A179" s="18">
        <v>45979.375845601855</v>
      </c>
      <c r="B179" s="19" t="s">
        <v>47</v>
      </c>
      <c r="C179" s="19" t="s">
        <v>36</v>
      </c>
      <c r="D179" s="19" t="s">
        <v>37</v>
      </c>
      <c r="E179" s="19" t="s">
        <v>38</v>
      </c>
      <c r="F179" s="19" t="s">
        <v>48</v>
      </c>
      <c r="G179" s="19" t="s">
        <v>66</v>
      </c>
      <c r="H179" s="19" t="s">
        <v>406</v>
      </c>
    </row>
    <row r="180" spans="1:15" ht="22.5" customHeight="1">
      <c r="A180" s="18">
        <v>45979.378396365741</v>
      </c>
      <c r="B180" s="19" t="s">
        <v>69</v>
      </c>
      <c r="C180" s="19" t="s">
        <v>70</v>
      </c>
      <c r="J180" s="19" t="s">
        <v>407</v>
      </c>
      <c r="K180" s="19" t="s">
        <v>38</v>
      </c>
      <c r="L180" s="19" t="s">
        <v>105</v>
      </c>
      <c r="M180" s="19" t="s">
        <v>66</v>
      </c>
      <c r="N180" s="19" t="s">
        <v>408</v>
      </c>
    </row>
    <row r="181" spans="1:15" ht="22.5" customHeight="1">
      <c r="A181" s="18">
        <v>45979.379016388892</v>
      </c>
      <c r="B181" s="19" t="s">
        <v>47</v>
      </c>
      <c r="C181" s="19" t="s">
        <v>36</v>
      </c>
      <c r="D181" s="19" t="s">
        <v>37</v>
      </c>
      <c r="E181" s="19" t="s">
        <v>38</v>
      </c>
      <c r="F181" s="19" t="s">
        <v>39</v>
      </c>
      <c r="G181" s="19" t="s">
        <v>66</v>
      </c>
      <c r="H181" s="19" t="s">
        <v>409</v>
      </c>
    </row>
    <row r="182" spans="1:15" ht="22.5" customHeight="1">
      <c r="A182" s="18">
        <v>45979.406672835648</v>
      </c>
      <c r="B182" s="19" t="s">
        <v>47</v>
      </c>
      <c r="C182" s="19" t="s">
        <v>36</v>
      </c>
      <c r="D182" s="19" t="s">
        <v>37</v>
      </c>
      <c r="E182" s="19" t="s">
        <v>38</v>
      </c>
      <c r="F182" s="19" t="s">
        <v>102</v>
      </c>
      <c r="G182" s="19" t="s">
        <v>66</v>
      </c>
      <c r="H182" s="19" t="s">
        <v>410</v>
      </c>
    </row>
    <row r="183" spans="1:15" ht="22.5" customHeight="1">
      <c r="A183" s="18">
        <v>45979.407566585651</v>
      </c>
      <c r="B183" s="19" t="s">
        <v>47</v>
      </c>
      <c r="C183" s="19" t="s">
        <v>36</v>
      </c>
      <c r="D183" s="19" t="s">
        <v>37</v>
      </c>
      <c r="E183" s="19" t="s">
        <v>38</v>
      </c>
      <c r="F183" s="19" t="s">
        <v>102</v>
      </c>
      <c r="G183" s="19" t="s">
        <v>66</v>
      </c>
      <c r="H183" s="19" t="s">
        <v>411</v>
      </c>
    </row>
    <row r="184" spans="1:15" ht="22.5" customHeight="1">
      <c r="A184" s="18">
        <v>45979.408790370369</v>
      </c>
      <c r="B184" s="19" t="s">
        <v>47</v>
      </c>
      <c r="C184" s="19" t="s">
        <v>36</v>
      </c>
      <c r="D184" s="19" t="s">
        <v>37</v>
      </c>
      <c r="E184" s="19" t="s">
        <v>38</v>
      </c>
      <c r="F184" s="19" t="s">
        <v>102</v>
      </c>
      <c r="G184" s="19" t="s">
        <v>138</v>
      </c>
      <c r="H184" s="19" t="s">
        <v>412</v>
      </c>
    </row>
    <row r="185" spans="1:15" ht="22.5" customHeight="1">
      <c r="A185" s="18">
        <v>45979.409448738428</v>
      </c>
      <c r="B185" s="19" t="s">
        <v>47</v>
      </c>
      <c r="C185" s="19" t="s">
        <v>36</v>
      </c>
      <c r="D185" s="19" t="s">
        <v>37</v>
      </c>
      <c r="E185" s="19" t="s">
        <v>38</v>
      </c>
      <c r="F185" s="19" t="s">
        <v>102</v>
      </c>
      <c r="G185" s="19" t="s">
        <v>143</v>
      </c>
      <c r="H185" s="19" t="s">
        <v>413</v>
      </c>
    </row>
    <row r="186" spans="1:15" ht="22.5" customHeight="1">
      <c r="A186" s="18">
        <v>45979.4120415625</v>
      </c>
      <c r="B186" s="19" t="s">
        <v>47</v>
      </c>
      <c r="C186" s="19" t="s">
        <v>36</v>
      </c>
      <c r="D186" s="19" t="s">
        <v>37</v>
      </c>
      <c r="E186" s="19" t="s">
        <v>38</v>
      </c>
      <c r="F186" s="19" t="s">
        <v>212</v>
      </c>
      <c r="G186" s="19" t="s">
        <v>414</v>
      </c>
      <c r="H186" s="19" t="s">
        <v>415</v>
      </c>
    </row>
    <row r="187" spans="1:15" ht="22.5" customHeight="1">
      <c r="A187" s="18">
        <v>45979.417739039352</v>
      </c>
      <c r="B187" s="19" t="s">
        <v>69</v>
      </c>
      <c r="C187" s="19" t="s">
        <v>70</v>
      </c>
      <c r="J187" s="19" t="s">
        <v>407</v>
      </c>
      <c r="K187" s="19" t="s">
        <v>38</v>
      </c>
      <c r="L187" s="19" t="s">
        <v>72</v>
      </c>
      <c r="M187" s="19" t="s">
        <v>138</v>
      </c>
      <c r="N187" s="19" t="s">
        <v>416</v>
      </c>
    </row>
    <row r="188" spans="1:15" ht="22.5" customHeight="1">
      <c r="A188" s="18">
        <v>45979.425377314816</v>
      </c>
      <c r="B188" s="19" t="s">
        <v>47</v>
      </c>
      <c r="C188" s="19" t="s">
        <v>36</v>
      </c>
      <c r="D188" s="19" t="s">
        <v>37</v>
      </c>
      <c r="E188" s="19" t="s">
        <v>38</v>
      </c>
      <c r="F188" s="19" t="s">
        <v>48</v>
      </c>
      <c r="G188" s="19" t="s">
        <v>129</v>
      </c>
      <c r="H188" s="19" t="s">
        <v>417</v>
      </c>
    </row>
    <row r="189" spans="1:15" ht="22.5" customHeight="1">
      <c r="A189" s="18">
        <v>45979.438193159724</v>
      </c>
      <c r="B189" s="19" t="s">
        <v>418</v>
      </c>
      <c r="C189" s="19" t="s">
        <v>70</v>
      </c>
      <c r="J189" s="19" t="s">
        <v>419</v>
      </c>
      <c r="K189" s="19" t="s">
        <v>43</v>
      </c>
      <c r="L189" s="19" t="s">
        <v>105</v>
      </c>
      <c r="M189" s="19" t="s">
        <v>143</v>
      </c>
      <c r="N189" s="19" t="s">
        <v>420</v>
      </c>
    </row>
    <row r="190" spans="1:15" ht="22.5" customHeight="1">
      <c r="A190" s="18">
        <v>45979.440192511574</v>
      </c>
      <c r="B190" s="19" t="s">
        <v>418</v>
      </c>
      <c r="C190" s="19" t="s">
        <v>70</v>
      </c>
      <c r="J190" s="19" t="s">
        <v>419</v>
      </c>
      <c r="K190" s="19" t="s">
        <v>43</v>
      </c>
      <c r="L190" s="19" t="s">
        <v>105</v>
      </c>
      <c r="M190" s="19" t="s">
        <v>198</v>
      </c>
      <c r="N190" s="19" t="s">
        <v>421</v>
      </c>
    </row>
    <row r="191" spans="1:15" ht="22.5" customHeight="1">
      <c r="A191" s="18">
        <v>45979.449502615738</v>
      </c>
      <c r="B191" s="19" t="s">
        <v>422</v>
      </c>
      <c r="C191" s="19" t="s">
        <v>70</v>
      </c>
      <c r="J191" s="19" t="s">
        <v>423</v>
      </c>
      <c r="K191" s="19" t="s">
        <v>43</v>
      </c>
      <c r="L191" s="19" t="s">
        <v>72</v>
      </c>
      <c r="M191" s="19" t="s">
        <v>66</v>
      </c>
      <c r="N191" s="19" t="s">
        <v>424</v>
      </c>
    </row>
    <row r="192" spans="1:15" ht="22.5" customHeight="1">
      <c r="A192" s="18">
        <v>45979.450365983794</v>
      </c>
      <c r="B192" s="19" t="s">
        <v>422</v>
      </c>
      <c r="C192" s="19" t="s">
        <v>70</v>
      </c>
      <c r="J192" s="19" t="s">
        <v>423</v>
      </c>
      <c r="K192" s="19" t="s">
        <v>43</v>
      </c>
      <c r="L192" s="19" t="s">
        <v>167</v>
      </c>
      <c r="M192" s="19" t="s">
        <v>66</v>
      </c>
      <c r="N192" s="19" t="s">
        <v>425</v>
      </c>
    </row>
    <row r="193" spans="1:15" ht="22.5" customHeight="1">
      <c r="A193" s="18">
        <v>45979.450761446758</v>
      </c>
      <c r="B193" s="19" t="s">
        <v>422</v>
      </c>
      <c r="C193" s="19" t="s">
        <v>70</v>
      </c>
      <c r="J193" s="19" t="s">
        <v>423</v>
      </c>
      <c r="K193" s="19" t="s">
        <v>43</v>
      </c>
      <c r="L193" s="19" t="s">
        <v>105</v>
      </c>
      <c r="M193" s="19" t="s">
        <v>159</v>
      </c>
      <c r="N193" s="19" t="s">
        <v>426</v>
      </c>
    </row>
    <row r="194" spans="1:15" ht="22.5" customHeight="1">
      <c r="A194" s="18">
        <v>45979.451798310183</v>
      </c>
      <c r="B194" s="19" t="s">
        <v>422</v>
      </c>
      <c r="C194" s="19" t="s">
        <v>70</v>
      </c>
      <c r="J194" s="19" t="s">
        <v>423</v>
      </c>
      <c r="K194" s="19" t="s">
        <v>43</v>
      </c>
      <c r="L194" s="19" t="s">
        <v>105</v>
      </c>
      <c r="M194" s="19" t="s">
        <v>159</v>
      </c>
      <c r="N194" s="19" t="s">
        <v>427</v>
      </c>
    </row>
    <row r="195" spans="1:15" ht="22.5" customHeight="1">
      <c r="A195" s="18">
        <v>45979.49490583333</v>
      </c>
      <c r="B195" s="19" t="s">
        <v>35</v>
      </c>
      <c r="C195" s="19" t="s">
        <v>36</v>
      </c>
      <c r="D195" s="19" t="s">
        <v>428</v>
      </c>
      <c r="E195" s="19" t="s">
        <v>43</v>
      </c>
      <c r="F195" s="19" t="s">
        <v>39</v>
      </c>
      <c r="G195" s="19" t="s">
        <v>198</v>
      </c>
      <c r="H195" s="19" t="s">
        <v>429</v>
      </c>
    </row>
    <row r="196" spans="1:15" ht="22.5" customHeight="1">
      <c r="A196" s="18">
        <v>45979.495880821763</v>
      </c>
      <c r="B196" s="19" t="s">
        <v>35</v>
      </c>
      <c r="C196" s="19" t="s">
        <v>36</v>
      </c>
      <c r="D196" s="19" t="s">
        <v>251</v>
      </c>
      <c r="E196" s="19" t="s">
        <v>43</v>
      </c>
      <c r="F196" s="19" t="s">
        <v>39</v>
      </c>
      <c r="G196" s="19" t="s">
        <v>198</v>
      </c>
      <c r="H196" s="19" t="s">
        <v>430</v>
      </c>
    </row>
    <row r="197" spans="1:15" ht="22.5" customHeight="1">
      <c r="A197" s="18">
        <v>45979.496907719906</v>
      </c>
      <c r="B197" s="19" t="s">
        <v>35</v>
      </c>
      <c r="C197" s="19" t="s">
        <v>36</v>
      </c>
      <c r="D197" s="19" t="s">
        <v>42</v>
      </c>
      <c r="E197" s="19" t="s">
        <v>43</v>
      </c>
      <c r="F197" s="19" t="s">
        <v>102</v>
      </c>
      <c r="G197" s="19" t="s">
        <v>143</v>
      </c>
      <c r="H197" s="19" t="s">
        <v>429</v>
      </c>
    </row>
    <row r="198" spans="1:15" ht="22.5" customHeight="1">
      <c r="A198" s="18">
        <v>45979.498355127318</v>
      </c>
      <c r="B198" s="19" t="s">
        <v>35</v>
      </c>
      <c r="C198" s="19" t="s">
        <v>36</v>
      </c>
      <c r="D198" s="19" t="s">
        <v>431</v>
      </c>
      <c r="E198" s="19" t="s">
        <v>43</v>
      </c>
      <c r="F198" s="19" t="s">
        <v>102</v>
      </c>
      <c r="G198" s="19" t="s">
        <v>198</v>
      </c>
      <c r="H198" s="19" t="s">
        <v>432</v>
      </c>
    </row>
    <row r="199" spans="1:15" ht="22.5" customHeight="1">
      <c r="A199" s="18">
        <v>45979.501511504626</v>
      </c>
      <c r="B199" s="19" t="s">
        <v>35</v>
      </c>
      <c r="C199" s="19" t="s">
        <v>36</v>
      </c>
      <c r="D199" s="19" t="s">
        <v>431</v>
      </c>
      <c r="E199" s="19" t="s">
        <v>43</v>
      </c>
      <c r="F199" s="19" t="s">
        <v>53</v>
      </c>
      <c r="G199" s="19" t="s">
        <v>159</v>
      </c>
      <c r="H199" s="19" t="s">
        <v>433</v>
      </c>
    </row>
    <row r="200" spans="1:15" ht="22.5" customHeight="1">
      <c r="A200" s="18">
        <v>45979.502093368057</v>
      </c>
      <c r="B200" s="19" t="s">
        <v>35</v>
      </c>
      <c r="C200" s="19" t="s">
        <v>36</v>
      </c>
      <c r="D200" s="19" t="s">
        <v>251</v>
      </c>
      <c r="E200" s="19" t="s">
        <v>43</v>
      </c>
      <c r="F200" s="19" t="s">
        <v>78</v>
      </c>
      <c r="G200" s="19" t="s">
        <v>159</v>
      </c>
      <c r="H200" s="19" t="s">
        <v>434</v>
      </c>
    </row>
    <row r="201" spans="1:15" ht="22.5" customHeight="1">
      <c r="A201" s="18">
        <v>45979.543644907404</v>
      </c>
      <c r="B201" s="19" t="s">
        <v>69</v>
      </c>
      <c r="C201" s="19" t="s">
        <v>70</v>
      </c>
      <c r="J201" s="19" t="s">
        <v>226</v>
      </c>
      <c r="K201" s="19" t="s">
        <v>38</v>
      </c>
      <c r="L201" s="19" t="s">
        <v>72</v>
      </c>
      <c r="M201" s="19" t="s">
        <v>86</v>
      </c>
      <c r="N201" s="19" t="s">
        <v>435</v>
      </c>
    </row>
    <row r="202" spans="1:15" ht="22.5" customHeight="1">
      <c r="A202" s="18">
        <v>45979.547306076391</v>
      </c>
      <c r="B202" s="19" t="s">
        <v>69</v>
      </c>
      <c r="C202" s="19" t="s">
        <v>70</v>
      </c>
      <c r="J202" s="19" t="s">
        <v>436</v>
      </c>
      <c r="K202" s="19" t="s">
        <v>38</v>
      </c>
      <c r="L202" s="19" t="s">
        <v>72</v>
      </c>
      <c r="M202" s="19" t="s">
        <v>86</v>
      </c>
      <c r="N202" s="19" t="s">
        <v>437</v>
      </c>
    </row>
    <row r="203" spans="1:15" ht="22.5" customHeight="1">
      <c r="A203" s="18">
        <v>45979.571927118057</v>
      </c>
      <c r="B203" s="19" t="s">
        <v>47</v>
      </c>
      <c r="C203" s="19" t="s">
        <v>36</v>
      </c>
      <c r="D203" s="19" t="s">
        <v>37</v>
      </c>
      <c r="E203" s="19" t="s">
        <v>38</v>
      </c>
      <c r="F203" s="19" t="s">
        <v>212</v>
      </c>
      <c r="G203" s="19" t="s">
        <v>63</v>
      </c>
      <c r="H203" s="19" t="s">
        <v>438</v>
      </c>
    </row>
    <row r="204" spans="1:15" ht="22.5" customHeight="1">
      <c r="A204" s="18">
        <v>45979.581556979167</v>
      </c>
      <c r="B204" s="19" t="s">
        <v>101</v>
      </c>
      <c r="C204" s="19" t="s">
        <v>36</v>
      </c>
      <c r="D204" s="19" t="s">
        <v>37</v>
      </c>
      <c r="E204" s="19" t="s">
        <v>38</v>
      </c>
      <c r="F204" s="19" t="s">
        <v>48</v>
      </c>
      <c r="G204" s="19" t="s">
        <v>66</v>
      </c>
      <c r="H204" s="19" t="s">
        <v>439</v>
      </c>
    </row>
    <row r="205" spans="1:15" ht="22.5" customHeight="1">
      <c r="A205" s="18">
        <v>45980.38865547454</v>
      </c>
      <c r="B205" s="19" t="s">
        <v>440</v>
      </c>
      <c r="C205" s="19" t="s">
        <v>70</v>
      </c>
      <c r="J205" s="19" t="s">
        <v>441</v>
      </c>
      <c r="K205" s="19" t="s">
        <v>38</v>
      </c>
      <c r="L205" s="19" t="s">
        <v>86</v>
      </c>
      <c r="M205" s="19" t="s">
        <v>442</v>
      </c>
      <c r="N205" s="19" t="s">
        <v>443</v>
      </c>
      <c r="O205" s="19" t="s">
        <v>444</v>
      </c>
    </row>
    <row r="206" spans="1:15" ht="22.5" customHeight="1">
      <c r="A206" s="18">
        <v>45980.391646828706</v>
      </c>
      <c r="B206" s="19" t="s">
        <v>101</v>
      </c>
      <c r="C206" s="19" t="s">
        <v>36</v>
      </c>
      <c r="D206" s="19" t="s">
        <v>37</v>
      </c>
      <c r="E206" s="19" t="s">
        <v>38</v>
      </c>
      <c r="F206" s="19" t="s">
        <v>102</v>
      </c>
      <c r="G206" s="19" t="s">
        <v>66</v>
      </c>
      <c r="H206" s="19" t="s">
        <v>445</v>
      </c>
    </row>
    <row r="207" spans="1:15" ht="22.5" customHeight="1">
      <c r="A207" s="18">
        <v>45980.400890902776</v>
      </c>
      <c r="B207" s="19" t="s">
        <v>47</v>
      </c>
      <c r="C207" s="19" t="s">
        <v>36</v>
      </c>
      <c r="D207" s="19" t="s">
        <v>37</v>
      </c>
      <c r="E207" s="19" t="s">
        <v>38</v>
      </c>
      <c r="F207" s="19" t="s">
        <v>148</v>
      </c>
      <c r="G207" s="19" t="s">
        <v>66</v>
      </c>
      <c r="H207" s="19" t="s">
        <v>446</v>
      </c>
    </row>
    <row r="208" spans="1:15" ht="22.5" customHeight="1">
      <c r="A208" s="18">
        <v>45980.40183563657</v>
      </c>
      <c r="B208" s="19" t="s">
        <v>47</v>
      </c>
      <c r="C208" s="19" t="s">
        <v>36</v>
      </c>
      <c r="D208" s="19" t="s">
        <v>37</v>
      </c>
      <c r="E208" s="19" t="s">
        <v>38</v>
      </c>
      <c r="F208" s="19" t="s">
        <v>78</v>
      </c>
      <c r="G208" s="19" t="s">
        <v>129</v>
      </c>
      <c r="H208" s="19" t="s">
        <v>447</v>
      </c>
    </row>
    <row r="209" spans="1:15" ht="22.5" customHeight="1">
      <c r="A209" s="18">
        <v>45980.428490914353</v>
      </c>
      <c r="B209" s="19" t="s">
        <v>47</v>
      </c>
      <c r="C209" s="19" t="s">
        <v>36</v>
      </c>
      <c r="D209" s="19" t="s">
        <v>37</v>
      </c>
      <c r="E209" s="19" t="s">
        <v>38</v>
      </c>
      <c r="F209" s="19" t="s">
        <v>48</v>
      </c>
      <c r="G209" s="19" t="s">
        <v>173</v>
      </c>
      <c r="H209" s="19" t="s">
        <v>448</v>
      </c>
    </row>
    <row r="210" spans="1:15" ht="22.5" customHeight="1">
      <c r="A210" s="18">
        <v>45980.514666990741</v>
      </c>
      <c r="B210" s="19" t="s">
        <v>47</v>
      </c>
      <c r="C210" s="19" t="s">
        <v>36</v>
      </c>
      <c r="D210" s="19" t="s">
        <v>37</v>
      </c>
      <c r="E210" s="19" t="s">
        <v>38</v>
      </c>
      <c r="F210" s="19" t="s">
        <v>48</v>
      </c>
      <c r="G210" s="19" t="s">
        <v>66</v>
      </c>
      <c r="H210" s="19" t="s">
        <v>449</v>
      </c>
    </row>
    <row r="211" spans="1:15" ht="22.5" customHeight="1">
      <c r="A211" s="18">
        <v>45980.630827060188</v>
      </c>
      <c r="B211" s="19" t="s">
        <v>84</v>
      </c>
      <c r="C211" s="19" t="s">
        <v>70</v>
      </c>
      <c r="J211" s="19" t="s">
        <v>450</v>
      </c>
      <c r="K211" s="19" t="s">
        <v>38</v>
      </c>
      <c r="L211" s="19" t="s">
        <v>451</v>
      </c>
      <c r="M211" s="19" t="s">
        <v>442</v>
      </c>
      <c r="N211" s="19" t="s">
        <v>452</v>
      </c>
      <c r="O211" s="19" t="s">
        <v>453</v>
      </c>
    </row>
    <row r="212" spans="1:15" ht="22.5" customHeight="1">
      <c r="A212" s="18">
        <v>45980.68143084491</v>
      </c>
      <c r="B212" s="19" t="s">
        <v>69</v>
      </c>
      <c r="C212" s="19" t="s">
        <v>70</v>
      </c>
      <c r="J212" s="19" t="s">
        <v>454</v>
      </c>
      <c r="K212" s="19" t="s">
        <v>38</v>
      </c>
      <c r="L212" s="19" t="s">
        <v>72</v>
      </c>
      <c r="M212" s="19" t="s">
        <v>455</v>
      </c>
      <c r="N212" s="19" t="s">
        <v>456</v>
      </c>
    </row>
    <row r="213" spans="1:15" ht="22.5" customHeight="1">
      <c r="A213" s="18">
        <v>45980.683878622687</v>
      </c>
      <c r="B213" s="19" t="s">
        <v>101</v>
      </c>
      <c r="C213" s="19" t="s">
        <v>36</v>
      </c>
      <c r="D213" s="19" t="s">
        <v>37</v>
      </c>
      <c r="E213" s="19" t="s">
        <v>38</v>
      </c>
      <c r="F213" s="19" t="s">
        <v>212</v>
      </c>
      <c r="G213" s="19" t="s">
        <v>66</v>
      </c>
      <c r="H213" s="19" t="s">
        <v>457</v>
      </c>
    </row>
    <row r="214" spans="1:15" ht="22.5" customHeight="1">
      <c r="A214" s="18">
        <v>45981.317184432875</v>
      </c>
      <c r="B214" s="19" t="s">
        <v>47</v>
      </c>
      <c r="C214" s="19" t="s">
        <v>36</v>
      </c>
      <c r="D214" s="19" t="s">
        <v>37</v>
      </c>
      <c r="E214" s="19" t="s">
        <v>38</v>
      </c>
      <c r="F214" s="19" t="s">
        <v>102</v>
      </c>
      <c r="G214" s="19" t="s">
        <v>66</v>
      </c>
      <c r="H214" s="19" t="s">
        <v>458</v>
      </c>
    </row>
    <row r="215" spans="1:15" ht="22.5" customHeight="1">
      <c r="A215" s="18">
        <v>45981.317733252319</v>
      </c>
      <c r="B215" s="19" t="s">
        <v>47</v>
      </c>
      <c r="C215" s="19" t="s">
        <v>36</v>
      </c>
      <c r="D215" s="19" t="s">
        <v>37</v>
      </c>
      <c r="E215" s="19" t="s">
        <v>38</v>
      </c>
      <c r="F215" s="19" t="s">
        <v>58</v>
      </c>
      <c r="G215" s="19" t="s">
        <v>299</v>
      </c>
      <c r="H215" s="19" t="s">
        <v>459</v>
      </c>
    </row>
    <row r="216" spans="1:15" ht="22.5" customHeight="1">
      <c r="A216" s="18">
        <v>45981.34924354167</v>
      </c>
      <c r="B216" s="19" t="s">
        <v>47</v>
      </c>
      <c r="C216" s="19" t="s">
        <v>36</v>
      </c>
      <c r="D216" s="19" t="s">
        <v>37</v>
      </c>
      <c r="E216" s="19" t="s">
        <v>38</v>
      </c>
      <c r="F216" s="19" t="s">
        <v>460</v>
      </c>
      <c r="G216" s="19" t="s">
        <v>66</v>
      </c>
      <c r="H216" s="19" t="s">
        <v>461</v>
      </c>
    </row>
    <row r="217" spans="1:15" ht="22.5" customHeight="1">
      <c r="A217" s="18">
        <v>45981.350032662041</v>
      </c>
      <c r="B217" s="19" t="s">
        <v>47</v>
      </c>
      <c r="C217" s="19" t="s">
        <v>36</v>
      </c>
      <c r="D217" s="19" t="s">
        <v>37</v>
      </c>
      <c r="E217" s="19" t="s">
        <v>38</v>
      </c>
      <c r="F217" s="19" t="s">
        <v>53</v>
      </c>
      <c r="G217" s="19" t="s">
        <v>143</v>
      </c>
      <c r="H217" s="19" t="s">
        <v>462</v>
      </c>
    </row>
    <row r="218" spans="1:15" ht="22.5" customHeight="1">
      <c r="A218" s="18">
        <v>45981.350485254632</v>
      </c>
      <c r="B218" s="19" t="s">
        <v>47</v>
      </c>
      <c r="C218" s="19" t="s">
        <v>36</v>
      </c>
      <c r="D218" s="19" t="s">
        <v>37</v>
      </c>
      <c r="E218" s="19" t="s">
        <v>38</v>
      </c>
      <c r="F218" s="19" t="s">
        <v>53</v>
      </c>
      <c r="G218" s="19" t="s">
        <v>66</v>
      </c>
      <c r="H218" s="19" t="s">
        <v>463</v>
      </c>
    </row>
    <row r="219" spans="1:15" ht="22.5" customHeight="1">
      <c r="A219" s="18">
        <v>45981.419182337966</v>
      </c>
      <c r="B219" s="19" t="s">
        <v>69</v>
      </c>
      <c r="C219" s="19" t="s">
        <v>70</v>
      </c>
      <c r="J219" s="19" t="s">
        <v>436</v>
      </c>
      <c r="K219" s="19" t="s">
        <v>38</v>
      </c>
      <c r="L219" s="19" t="s">
        <v>105</v>
      </c>
      <c r="M219" s="19" t="s">
        <v>66</v>
      </c>
      <c r="N219" s="19" t="s">
        <v>464</v>
      </c>
      <c r="O219" s="19" t="s">
        <v>465</v>
      </c>
    </row>
    <row r="220" spans="1:15" ht="22.5" customHeight="1">
      <c r="A220" s="18">
        <v>45981.429090925929</v>
      </c>
      <c r="B220" s="19" t="s">
        <v>101</v>
      </c>
      <c r="C220" s="19" t="s">
        <v>36</v>
      </c>
      <c r="D220" s="19" t="s">
        <v>37</v>
      </c>
      <c r="E220" s="19" t="s">
        <v>38</v>
      </c>
      <c r="F220" s="19" t="s">
        <v>58</v>
      </c>
      <c r="G220" s="19" t="s">
        <v>66</v>
      </c>
      <c r="H220" s="19" t="s">
        <v>466</v>
      </c>
    </row>
    <row r="221" spans="1:15" ht="22.5" customHeight="1">
      <c r="A221" s="18">
        <v>45981.45709733796</v>
      </c>
      <c r="B221" s="19" t="s">
        <v>101</v>
      </c>
      <c r="C221" s="19" t="s">
        <v>36</v>
      </c>
      <c r="D221" s="19" t="s">
        <v>37</v>
      </c>
      <c r="E221" s="19" t="s">
        <v>38</v>
      </c>
      <c r="F221" s="19" t="s">
        <v>307</v>
      </c>
      <c r="G221" s="19" t="s">
        <v>467</v>
      </c>
      <c r="H221" s="19" t="s">
        <v>468</v>
      </c>
    </row>
    <row r="222" spans="1:15" ht="22.5" customHeight="1">
      <c r="A222" s="18">
        <v>45981.516043807875</v>
      </c>
      <c r="B222" s="19" t="s">
        <v>440</v>
      </c>
      <c r="C222" s="19" t="s">
        <v>70</v>
      </c>
      <c r="J222" s="19" t="s">
        <v>469</v>
      </c>
      <c r="K222" s="19" t="s">
        <v>38</v>
      </c>
      <c r="L222" s="19" t="s">
        <v>167</v>
      </c>
      <c r="M222" s="19" t="s">
        <v>129</v>
      </c>
      <c r="N222" s="19" t="s">
        <v>470</v>
      </c>
    </row>
    <row r="223" spans="1:15" ht="22.5" customHeight="1">
      <c r="A223" s="18">
        <v>45981.536130486114</v>
      </c>
      <c r="B223" s="19" t="s">
        <v>47</v>
      </c>
      <c r="C223" s="19" t="s">
        <v>36</v>
      </c>
      <c r="D223" s="19" t="s">
        <v>37</v>
      </c>
      <c r="E223" s="19" t="s">
        <v>38</v>
      </c>
      <c r="F223" s="19" t="s">
        <v>212</v>
      </c>
      <c r="G223" s="19" t="s">
        <v>138</v>
      </c>
      <c r="H223" s="19" t="s">
        <v>471</v>
      </c>
    </row>
    <row r="224" spans="1:15" ht="22.5" customHeight="1">
      <c r="A224" s="18">
        <v>45983.35048577546</v>
      </c>
      <c r="B224" s="19" t="s">
        <v>440</v>
      </c>
      <c r="C224" s="19" t="s">
        <v>70</v>
      </c>
      <c r="J224" s="19" t="s">
        <v>469</v>
      </c>
      <c r="K224" s="19" t="s">
        <v>38</v>
      </c>
      <c r="L224" s="19" t="s">
        <v>167</v>
      </c>
      <c r="M224" s="19" t="s">
        <v>129</v>
      </c>
      <c r="N224" s="19" t="s">
        <v>472</v>
      </c>
      <c r="O224" s="19" t="s">
        <v>473</v>
      </c>
    </row>
    <row r="225" spans="1:14" ht="22.5" customHeight="1">
      <c r="A225" s="18">
        <v>45983.369126689809</v>
      </c>
      <c r="B225" s="19" t="s">
        <v>47</v>
      </c>
      <c r="C225" s="19" t="s">
        <v>36</v>
      </c>
      <c r="D225" s="19" t="s">
        <v>37</v>
      </c>
      <c r="E225" s="19" t="s">
        <v>38</v>
      </c>
      <c r="F225" s="19" t="s">
        <v>148</v>
      </c>
      <c r="G225" s="19" t="s">
        <v>474</v>
      </c>
      <c r="H225" s="19" t="s">
        <v>475</v>
      </c>
    </row>
    <row r="226" spans="1:14" ht="22.5" customHeight="1">
      <c r="A226" s="18">
        <v>45983.369517581013</v>
      </c>
      <c r="B226" s="19" t="s">
        <v>47</v>
      </c>
      <c r="C226" s="19" t="s">
        <v>36</v>
      </c>
      <c r="D226" s="19" t="s">
        <v>37</v>
      </c>
      <c r="E226" s="19" t="s">
        <v>38</v>
      </c>
      <c r="F226" s="19" t="s">
        <v>92</v>
      </c>
      <c r="G226" s="19" t="s">
        <v>66</v>
      </c>
      <c r="H226" s="19" t="s">
        <v>476</v>
      </c>
    </row>
    <row r="227" spans="1:14" ht="22.5" customHeight="1">
      <c r="A227" s="18">
        <v>45983.376399236113</v>
      </c>
      <c r="B227" s="19" t="s">
        <v>35</v>
      </c>
      <c r="C227" s="19" t="s">
        <v>36</v>
      </c>
      <c r="D227" s="19" t="s">
        <v>37</v>
      </c>
      <c r="E227" s="19" t="s">
        <v>43</v>
      </c>
      <c r="F227" s="19" t="s">
        <v>58</v>
      </c>
      <c r="G227" s="19" t="s">
        <v>66</v>
      </c>
      <c r="H227" s="19" t="s">
        <v>477</v>
      </c>
    </row>
    <row r="228" spans="1:14" ht="22.5" customHeight="1">
      <c r="A228" s="18">
        <v>45983.3775412963</v>
      </c>
      <c r="B228" s="19" t="s">
        <v>35</v>
      </c>
      <c r="C228" s="19" t="s">
        <v>36</v>
      </c>
      <c r="D228" s="19" t="s">
        <v>37</v>
      </c>
      <c r="E228" s="19" t="s">
        <v>38</v>
      </c>
      <c r="F228" s="19" t="s">
        <v>58</v>
      </c>
      <c r="G228" s="19" t="s">
        <v>138</v>
      </c>
      <c r="H228" s="19" t="s">
        <v>478</v>
      </c>
    </row>
    <row r="229" spans="1:14" ht="22.5" customHeight="1">
      <c r="A229" s="18">
        <v>45983.39027956019</v>
      </c>
      <c r="B229" s="19" t="s">
        <v>479</v>
      </c>
      <c r="C229" s="19" t="s">
        <v>70</v>
      </c>
      <c r="J229" s="19" t="s">
        <v>164</v>
      </c>
      <c r="K229" s="19" t="s">
        <v>43</v>
      </c>
      <c r="L229" s="19" t="s">
        <v>167</v>
      </c>
      <c r="M229" s="19" t="s">
        <v>63</v>
      </c>
      <c r="N229" s="19" t="s">
        <v>480</v>
      </c>
    </row>
    <row r="230" spans="1:14" ht="22.5" customHeight="1">
      <c r="A230" s="18">
        <v>45983.448470405092</v>
      </c>
      <c r="B230" s="19" t="s">
        <v>47</v>
      </c>
      <c r="C230" s="19" t="s">
        <v>36</v>
      </c>
      <c r="D230" s="19" t="s">
        <v>37</v>
      </c>
      <c r="E230" s="19" t="s">
        <v>38</v>
      </c>
      <c r="F230" s="19" t="s">
        <v>481</v>
      </c>
      <c r="G230" s="19" t="s">
        <v>66</v>
      </c>
      <c r="H230" s="19" t="s">
        <v>482</v>
      </c>
    </row>
    <row r="231" spans="1:14" ht="22.5" customHeight="1">
      <c r="A231" s="18">
        <v>45983.449708449072</v>
      </c>
      <c r="B231" s="19" t="s">
        <v>47</v>
      </c>
      <c r="C231" s="19" t="s">
        <v>36</v>
      </c>
      <c r="D231" s="19" t="s">
        <v>37</v>
      </c>
      <c r="E231" s="19" t="s">
        <v>38</v>
      </c>
      <c r="F231" s="19" t="s">
        <v>481</v>
      </c>
      <c r="G231" s="19" t="s">
        <v>66</v>
      </c>
      <c r="H231" s="19" t="s">
        <v>483</v>
      </c>
    </row>
    <row r="232" spans="1:14" ht="22.5" customHeight="1">
      <c r="A232" s="18">
        <v>45983.455292743056</v>
      </c>
      <c r="B232" s="19" t="s">
        <v>47</v>
      </c>
      <c r="C232" s="19" t="s">
        <v>36</v>
      </c>
      <c r="D232" s="19" t="s">
        <v>37</v>
      </c>
      <c r="E232" s="19" t="s">
        <v>38</v>
      </c>
      <c r="F232" s="19" t="s">
        <v>58</v>
      </c>
      <c r="G232" s="19" t="s">
        <v>484</v>
      </c>
      <c r="H232" s="19" t="s">
        <v>485</v>
      </c>
    </row>
    <row r="233" spans="1:14" ht="22.5" customHeight="1">
      <c r="A233" s="18">
        <v>45983.464207800927</v>
      </c>
      <c r="B233" s="19" t="s">
        <v>47</v>
      </c>
      <c r="C233" s="19" t="s">
        <v>36</v>
      </c>
      <c r="D233" s="19" t="s">
        <v>37</v>
      </c>
      <c r="E233" s="19" t="s">
        <v>38</v>
      </c>
      <c r="F233" s="19" t="s">
        <v>481</v>
      </c>
      <c r="G233" s="19" t="s">
        <v>66</v>
      </c>
      <c r="H233" s="19" t="s">
        <v>486</v>
      </c>
    </row>
    <row r="234" spans="1:14" ht="22.5" customHeight="1">
      <c r="A234" s="18">
        <v>45984.31973930556</v>
      </c>
      <c r="B234" s="19" t="s">
        <v>47</v>
      </c>
      <c r="C234" s="19" t="s">
        <v>36</v>
      </c>
      <c r="D234" s="19" t="s">
        <v>37</v>
      </c>
      <c r="E234" s="19" t="s">
        <v>38</v>
      </c>
      <c r="F234" s="19" t="s">
        <v>148</v>
      </c>
      <c r="G234" s="19" t="s">
        <v>66</v>
      </c>
      <c r="H234" s="19" t="s">
        <v>349</v>
      </c>
    </row>
    <row r="235" spans="1:14" ht="22.5" customHeight="1">
      <c r="A235" s="18">
        <v>45984.368131249998</v>
      </c>
      <c r="B235" s="19" t="s">
        <v>101</v>
      </c>
      <c r="C235" s="19" t="s">
        <v>36</v>
      </c>
      <c r="D235" s="19" t="s">
        <v>37</v>
      </c>
      <c r="E235" s="19" t="s">
        <v>38</v>
      </c>
      <c r="F235" s="19" t="s">
        <v>78</v>
      </c>
      <c r="G235" s="19" t="s">
        <v>198</v>
      </c>
      <c r="H235" s="19" t="s">
        <v>487</v>
      </c>
    </row>
    <row r="236" spans="1:14" ht="22.5" customHeight="1">
      <c r="A236" s="18">
        <v>45984.396530208338</v>
      </c>
      <c r="B236" s="19" t="s">
        <v>69</v>
      </c>
      <c r="C236" s="19" t="s">
        <v>70</v>
      </c>
      <c r="J236" s="19" t="s">
        <v>488</v>
      </c>
      <c r="K236" s="19" t="s">
        <v>38</v>
      </c>
      <c r="L236" s="19" t="s">
        <v>72</v>
      </c>
      <c r="M236" s="19" t="s">
        <v>489</v>
      </c>
      <c r="N236" s="19" t="s">
        <v>490</v>
      </c>
    </row>
    <row r="237" spans="1:14" ht="22.5" customHeight="1">
      <c r="A237" s="18">
        <v>45984.417037685183</v>
      </c>
      <c r="B237" s="19" t="s">
        <v>47</v>
      </c>
      <c r="C237" s="19" t="s">
        <v>36</v>
      </c>
      <c r="D237" s="19" t="s">
        <v>37</v>
      </c>
      <c r="E237" s="19" t="s">
        <v>38</v>
      </c>
      <c r="F237" s="19" t="s">
        <v>491</v>
      </c>
      <c r="G237" s="19" t="s">
        <v>66</v>
      </c>
      <c r="H237" s="19" t="s">
        <v>492</v>
      </c>
    </row>
    <row r="238" spans="1:14" ht="22.5" customHeight="1">
      <c r="A238" s="18">
        <v>45984.427039467591</v>
      </c>
      <c r="B238" s="19" t="s">
        <v>440</v>
      </c>
      <c r="C238" s="19" t="s">
        <v>70</v>
      </c>
      <c r="J238" s="19" t="s">
        <v>469</v>
      </c>
      <c r="K238" s="19" t="s">
        <v>38</v>
      </c>
      <c r="L238" s="19" t="s">
        <v>167</v>
      </c>
      <c r="M238" s="19" t="s">
        <v>66</v>
      </c>
      <c r="N238" s="19" t="s">
        <v>493</v>
      </c>
    </row>
    <row r="239" spans="1:14" ht="22.5" customHeight="1">
      <c r="A239" s="18">
        <v>45984.431338877315</v>
      </c>
      <c r="B239" s="19" t="s">
        <v>47</v>
      </c>
      <c r="C239" s="19" t="s">
        <v>36</v>
      </c>
      <c r="D239" s="19" t="s">
        <v>37</v>
      </c>
      <c r="E239" s="19" t="s">
        <v>38</v>
      </c>
      <c r="F239" s="19" t="s">
        <v>494</v>
      </c>
      <c r="G239" s="19" t="s">
        <v>66</v>
      </c>
      <c r="H239" s="19" t="s">
        <v>495</v>
      </c>
    </row>
    <row r="240" spans="1:14" ht="22.5" customHeight="1">
      <c r="A240" s="18">
        <v>45984.470955358796</v>
      </c>
      <c r="B240" s="19" t="s">
        <v>440</v>
      </c>
      <c r="C240" s="19" t="s">
        <v>70</v>
      </c>
      <c r="J240" s="19" t="s">
        <v>469</v>
      </c>
      <c r="K240" s="19" t="s">
        <v>38</v>
      </c>
      <c r="L240" s="19" t="s">
        <v>86</v>
      </c>
      <c r="M240" s="19" t="s">
        <v>496</v>
      </c>
      <c r="N240" s="19" t="s">
        <v>497</v>
      </c>
    </row>
    <row r="241" spans="1:15" ht="22.5" customHeight="1">
      <c r="A241" s="18">
        <v>45984.486797627316</v>
      </c>
      <c r="B241" s="19" t="s">
        <v>35</v>
      </c>
      <c r="C241" s="19" t="s">
        <v>36</v>
      </c>
      <c r="D241" s="19" t="s">
        <v>251</v>
      </c>
      <c r="E241" s="19" t="s">
        <v>43</v>
      </c>
      <c r="F241" s="19" t="s">
        <v>212</v>
      </c>
      <c r="G241" s="19" t="s">
        <v>159</v>
      </c>
      <c r="H241" s="19" t="s">
        <v>434</v>
      </c>
    </row>
    <row r="242" spans="1:15" ht="22.5" customHeight="1">
      <c r="A242" s="18">
        <v>45984.487202997683</v>
      </c>
      <c r="B242" s="19" t="s">
        <v>35</v>
      </c>
      <c r="C242" s="19" t="s">
        <v>36</v>
      </c>
      <c r="D242" s="19" t="s">
        <v>251</v>
      </c>
      <c r="E242" s="19" t="s">
        <v>43</v>
      </c>
      <c r="F242" s="19" t="s">
        <v>39</v>
      </c>
      <c r="G242" s="19" t="s">
        <v>159</v>
      </c>
      <c r="H242" s="19" t="s">
        <v>434</v>
      </c>
    </row>
    <row r="243" spans="1:15" ht="22.5" customHeight="1">
      <c r="A243" s="18">
        <v>45984.48827050926</v>
      </c>
      <c r="B243" s="19" t="s">
        <v>35</v>
      </c>
      <c r="C243" s="19" t="s">
        <v>36</v>
      </c>
      <c r="D243" s="19" t="s">
        <v>251</v>
      </c>
      <c r="E243" s="19" t="s">
        <v>43</v>
      </c>
      <c r="F243" s="19" t="s">
        <v>498</v>
      </c>
      <c r="G243" s="19" t="s">
        <v>499</v>
      </c>
      <c r="H243" s="19" t="s">
        <v>500</v>
      </c>
    </row>
    <row r="244" spans="1:15" ht="22.5" customHeight="1">
      <c r="A244" s="18">
        <v>45984.534834143516</v>
      </c>
      <c r="B244" s="19" t="s">
        <v>47</v>
      </c>
      <c r="C244" s="19" t="s">
        <v>36</v>
      </c>
      <c r="D244" s="19" t="s">
        <v>37</v>
      </c>
      <c r="E244" s="19" t="s">
        <v>38</v>
      </c>
      <c r="F244" s="19" t="s">
        <v>148</v>
      </c>
      <c r="G244" s="19" t="s">
        <v>501</v>
      </c>
      <c r="H244" s="19" t="s">
        <v>502</v>
      </c>
    </row>
    <row r="245" spans="1:15" ht="22.5" customHeight="1">
      <c r="A245" s="18">
        <v>45985.383481990742</v>
      </c>
      <c r="B245" s="19" t="s">
        <v>47</v>
      </c>
      <c r="C245" s="19" t="s">
        <v>36</v>
      </c>
      <c r="D245" s="19" t="s">
        <v>37</v>
      </c>
      <c r="E245" s="19" t="s">
        <v>38</v>
      </c>
      <c r="F245" s="19" t="s">
        <v>503</v>
      </c>
      <c r="G245" s="19" t="s">
        <v>66</v>
      </c>
      <c r="H245" s="19" t="s">
        <v>504</v>
      </c>
    </row>
    <row r="246" spans="1:15" ht="22.5" customHeight="1">
      <c r="A246" s="18">
        <v>45985.38947991898</v>
      </c>
      <c r="B246" s="19" t="s">
        <v>47</v>
      </c>
      <c r="C246" s="19" t="s">
        <v>36</v>
      </c>
      <c r="D246" s="19" t="s">
        <v>37</v>
      </c>
      <c r="E246" s="19" t="s">
        <v>38</v>
      </c>
      <c r="F246" s="19" t="s">
        <v>212</v>
      </c>
      <c r="G246" s="19" t="s">
        <v>138</v>
      </c>
      <c r="H246" s="19" t="s">
        <v>505</v>
      </c>
    </row>
    <row r="247" spans="1:15" ht="22.5" customHeight="1">
      <c r="A247" s="18">
        <v>45985.405023414351</v>
      </c>
      <c r="B247" s="19" t="s">
        <v>47</v>
      </c>
      <c r="C247" s="19" t="s">
        <v>36</v>
      </c>
      <c r="D247" s="19" t="s">
        <v>37</v>
      </c>
      <c r="E247" s="19" t="s">
        <v>38</v>
      </c>
      <c r="F247" s="19" t="s">
        <v>102</v>
      </c>
      <c r="G247" s="19" t="s">
        <v>66</v>
      </c>
      <c r="H247" s="19" t="s">
        <v>506</v>
      </c>
    </row>
    <row r="248" spans="1:15" ht="22.5" customHeight="1">
      <c r="A248" s="18">
        <v>45985.405607407403</v>
      </c>
      <c r="B248" s="19" t="s">
        <v>47</v>
      </c>
      <c r="C248" s="19" t="s">
        <v>36</v>
      </c>
      <c r="D248" s="19" t="s">
        <v>37</v>
      </c>
      <c r="E248" s="19" t="s">
        <v>38</v>
      </c>
      <c r="F248" s="19" t="s">
        <v>48</v>
      </c>
      <c r="G248" s="19" t="s">
        <v>66</v>
      </c>
      <c r="H248" s="19" t="s">
        <v>507</v>
      </c>
    </row>
    <row r="249" spans="1:15" ht="22.5" customHeight="1">
      <c r="A249" s="18">
        <v>45985.407687581013</v>
      </c>
      <c r="B249" s="19" t="s">
        <v>69</v>
      </c>
      <c r="C249" s="19" t="s">
        <v>70</v>
      </c>
      <c r="J249" s="19" t="s">
        <v>508</v>
      </c>
      <c r="K249" s="19" t="s">
        <v>38</v>
      </c>
      <c r="L249" s="19" t="s">
        <v>105</v>
      </c>
      <c r="M249" s="19" t="s">
        <v>66</v>
      </c>
      <c r="N249" s="19" t="s">
        <v>509</v>
      </c>
      <c r="O249" s="19" t="s">
        <v>510</v>
      </c>
    </row>
    <row r="250" spans="1:15" ht="22.5" customHeight="1">
      <c r="A250" s="18">
        <v>45985.408799525467</v>
      </c>
      <c r="B250" s="19" t="s">
        <v>69</v>
      </c>
      <c r="C250" s="19" t="s">
        <v>70</v>
      </c>
      <c r="J250" s="19" t="s">
        <v>511</v>
      </c>
      <c r="K250" s="19" t="s">
        <v>38</v>
      </c>
      <c r="L250" s="19" t="s">
        <v>167</v>
      </c>
      <c r="M250" s="19" t="s">
        <v>66</v>
      </c>
      <c r="N250" s="19" t="s">
        <v>512</v>
      </c>
      <c r="O250" s="19" t="s">
        <v>513</v>
      </c>
    </row>
    <row r="251" spans="1:15" ht="22.5" customHeight="1">
      <c r="A251" s="18">
        <v>45985.431127858799</v>
      </c>
      <c r="B251" s="19" t="s">
        <v>69</v>
      </c>
      <c r="C251" s="19" t="s">
        <v>70</v>
      </c>
      <c r="J251" s="19" t="s">
        <v>514</v>
      </c>
      <c r="K251" s="19" t="s">
        <v>38</v>
      </c>
      <c r="L251" s="19" t="s">
        <v>105</v>
      </c>
      <c r="M251" s="19" t="s">
        <v>66</v>
      </c>
      <c r="N251" s="19" t="s">
        <v>515</v>
      </c>
    </row>
    <row r="252" spans="1:15" ht="22.5" customHeight="1">
      <c r="A252" s="18">
        <v>45985.442812881942</v>
      </c>
      <c r="B252" s="19" t="s">
        <v>47</v>
      </c>
      <c r="C252" s="19" t="s">
        <v>36</v>
      </c>
      <c r="D252" s="19" t="s">
        <v>37</v>
      </c>
      <c r="E252" s="19" t="s">
        <v>38</v>
      </c>
      <c r="F252" s="19" t="s">
        <v>516</v>
      </c>
      <c r="G252" s="19" t="s">
        <v>66</v>
      </c>
      <c r="H252" s="19" t="s">
        <v>517</v>
      </c>
    </row>
    <row r="253" spans="1:15" ht="22.5" customHeight="1">
      <c r="A253" s="18">
        <v>45985.448181585649</v>
      </c>
      <c r="B253" s="19" t="s">
        <v>47</v>
      </c>
      <c r="C253" s="19" t="s">
        <v>36</v>
      </c>
      <c r="D253" s="19" t="s">
        <v>37</v>
      </c>
      <c r="E253" s="19" t="s">
        <v>38</v>
      </c>
      <c r="F253" s="19" t="s">
        <v>148</v>
      </c>
      <c r="G253" s="19" t="s">
        <v>66</v>
      </c>
      <c r="H253" s="19" t="s">
        <v>518</v>
      </c>
    </row>
    <row r="254" spans="1:15" ht="22.5" customHeight="1">
      <c r="A254" s="18">
        <v>45985.44883681713</v>
      </c>
      <c r="B254" s="19" t="s">
        <v>47</v>
      </c>
      <c r="C254" s="19" t="s">
        <v>36</v>
      </c>
      <c r="D254" s="19" t="s">
        <v>37</v>
      </c>
      <c r="E254" s="19" t="s">
        <v>38</v>
      </c>
      <c r="F254" s="19" t="s">
        <v>92</v>
      </c>
      <c r="G254" s="19" t="s">
        <v>175</v>
      </c>
      <c r="H254" s="19" t="s">
        <v>519</v>
      </c>
    </row>
    <row r="255" spans="1:15" ht="22.5" customHeight="1">
      <c r="A255" s="18">
        <v>45985.456495856481</v>
      </c>
      <c r="B255" s="19" t="s">
        <v>440</v>
      </c>
      <c r="C255" s="19" t="s">
        <v>70</v>
      </c>
      <c r="J255" s="19" t="s">
        <v>469</v>
      </c>
      <c r="K255" s="19" t="s">
        <v>38</v>
      </c>
      <c r="L255" s="19" t="s">
        <v>167</v>
      </c>
      <c r="M255" s="19" t="s">
        <v>129</v>
      </c>
      <c r="N255" s="19" t="s">
        <v>520</v>
      </c>
      <c r="O255" s="19" t="s">
        <v>521</v>
      </c>
    </row>
    <row r="256" spans="1:15" ht="22.5" customHeight="1">
      <c r="A256" s="18">
        <v>45985.458216921295</v>
      </c>
      <c r="B256" s="19" t="s">
        <v>35</v>
      </c>
      <c r="C256" s="19" t="s">
        <v>36</v>
      </c>
      <c r="D256" s="19" t="s">
        <v>37</v>
      </c>
      <c r="E256" s="19" t="s">
        <v>38</v>
      </c>
      <c r="F256" s="19" t="s">
        <v>516</v>
      </c>
      <c r="G256" s="19" t="s">
        <v>66</v>
      </c>
      <c r="H256" s="19" t="s">
        <v>522</v>
      </c>
    </row>
    <row r="257" spans="1:15" ht="22.5" customHeight="1">
      <c r="A257" s="18">
        <v>45985.459309270838</v>
      </c>
      <c r="B257" s="19" t="s">
        <v>35</v>
      </c>
      <c r="C257" s="19" t="s">
        <v>36</v>
      </c>
      <c r="D257" s="19" t="s">
        <v>37</v>
      </c>
      <c r="E257" s="19" t="s">
        <v>38</v>
      </c>
      <c r="F257" s="19" t="s">
        <v>148</v>
      </c>
      <c r="G257" s="19" t="s">
        <v>66</v>
      </c>
      <c r="H257" s="19" t="s">
        <v>523</v>
      </c>
    </row>
    <row r="258" spans="1:15" ht="22.5" customHeight="1">
      <c r="A258" s="18">
        <v>45985.460190057871</v>
      </c>
      <c r="B258" s="19" t="s">
        <v>35</v>
      </c>
      <c r="C258" s="19" t="s">
        <v>36</v>
      </c>
      <c r="D258" s="19" t="s">
        <v>37</v>
      </c>
      <c r="E258" s="19" t="s">
        <v>38</v>
      </c>
      <c r="F258" s="19" t="s">
        <v>126</v>
      </c>
      <c r="G258" s="19" t="s">
        <v>66</v>
      </c>
      <c r="H258" s="19" t="s">
        <v>524</v>
      </c>
    </row>
    <row r="259" spans="1:15" ht="22.5" customHeight="1">
      <c r="A259" s="18">
        <v>45985.465528194443</v>
      </c>
      <c r="B259" s="19" t="s">
        <v>35</v>
      </c>
      <c r="C259" s="19" t="s">
        <v>36</v>
      </c>
      <c r="D259" s="19" t="s">
        <v>37</v>
      </c>
      <c r="E259" s="19" t="s">
        <v>38</v>
      </c>
      <c r="F259" s="19" t="s">
        <v>48</v>
      </c>
      <c r="G259" s="19" t="s">
        <v>138</v>
      </c>
      <c r="H259" s="19" t="s">
        <v>525</v>
      </c>
    </row>
    <row r="260" spans="1:15" ht="22.5" customHeight="1">
      <c r="A260" s="18">
        <v>45985.513341400467</v>
      </c>
      <c r="B260" s="19" t="s">
        <v>47</v>
      </c>
      <c r="C260" s="19" t="s">
        <v>36</v>
      </c>
      <c r="D260" s="19" t="s">
        <v>37</v>
      </c>
      <c r="E260" s="19" t="s">
        <v>38</v>
      </c>
      <c r="F260" s="19" t="s">
        <v>312</v>
      </c>
      <c r="G260" s="19" t="s">
        <v>66</v>
      </c>
      <c r="H260" s="19" t="s">
        <v>526</v>
      </c>
    </row>
    <row r="261" spans="1:15" ht="22.5" customHeight="1">
      <c r="A261" s="18">
        <v>45985.527089814816</v>
      </c>
      <c r="B261" s="19" t="s">
        <v>47</v>
      </c>
      <c r="C261" s="19" t="s">
        <v>36</v>
      </c>
      <c r="D261" s="19" t="s">
        <v>37</v>
      </c>
      <c r="E261" s="19" t="s">
        <v>38</v>
      </c>
      <c r="F261" s="19" t="s">
        <v>307</v>
      </c>
      <c r="G261" s="19" t="s">
        <v>66</v>
      </c>
      <c r="H261" s="19" t="s">
        <v>527</v>
      </c>
    </row>
    <row r="262" spans="1:15" ht="22.5" customHeight="1">
      <c r="A262" s="18">
        <v>45985.569174780088</v>
      </c>
      <c r="B262" s="19" t="s">
        <v>47</v>
      </c>
      <c r="C262" s="19" t="s">
        <v>36</v>
      </c>
      <c r="D262" s="19" t="s">
        <v>37</v>
      </c>
      <c r="E262" s="19" t="s">
        <v>38</v>
      </c>
      <c r="F262" s="19" t="s">
        <v>193</v>
      </c>
      <c r="G262" s="19" t="s">
        <v>528</v>
      </c>
      <c r="H262" s="19" t="s">
        <v>529</v>
      </c>
    </row>
    <row r="263" spans="1:15" ht="22.5" customHeight="1">
      <c r="A263" s="18">
        <v>45986.307042800923</v>
      </c>
      <c r="B263" s="19" t="s">
        <v>69</v>
      </c>
      <c r="C263" s="19" t="s">
        <v>70</v>
      </c>
      <c r="J263" s="19" t="s">
        <v>530</v>
      </c>
      <c r="K263" s="19" t="s">
        <v>38</v>
      </c>
      <c r="L263" s="19" t="s">
        <v>72</v>
      </c>
      <c r="M263" s="19" t="s">
        <v>66</v>
      </c>
      <c r="N263" s="19" t="s">
        <v>531</v>
      </c>
      <c r="O263" s="19" t="s">
        <v>532</v>
      </c>
    </row>
    <row r="264" spans="1:15" ht="22.5" customHeight="1">
      <c r="A264" s="18">
        <v>45986.337082951388</v>
      </c>
      <c r="B264" s="19" t="s">
        <v>440</v>
      </c>
      <c r="C264" s="19" t="s">
        <v>70</v>
      </c>
      <c r="J264" s="19" t="s">
        <v>469</v>
      </c>
      <c r="K264" s="19" t="s">
        <v>38</v>
      </c>
      <c r="L264" s="19" t="s">
        <v>167</v>
      </c>
      <c r="M264" s="19" t="s">
        <v>66</v>
      </c>
      <c r="N264" s="19" t="s">
        <v>533</v>
      </c>
    </row>
    <row r="265" spans="1:15" ht="22.5" customHeight="1">
      <c r="A265" s="18">
        <v>45986.346548425921</v>
      </c>
      <c r="B265" s="19" t="s">
        <v>47</v>
      </c>
      <c r="C265" s="19" t="s">
        <v>36</v>
      </c>
      <c r="D265" s="19" t="s">
        <v>37</v>
      </c>
      <c r="E265" s="19" t="s">
        <v>38</v>
      </c>
      <c r="F265" s="19" t="s">
        <v>53</v>
      </c>
      <c r="G265" s="19" t="s">
        <v>66</v>
      </c>
      <c r="H265" s="19" t="s">
        <v>534</v>
      </c>
    </row>
    <row r="266" spans="1:15" ht="22.5" customHeight="1">
      <c r="A266" s="18">
        <v>45986.364598900458</v>
      </c>
      <c r="B266" s="19" t="s">
        <v>69</v>
      </c>
      <c r="C266" s="19" t="s">
        <v>70</v>
      </c>
      <c r="J266" s="19" t="s">
        <v>535</v>
      </c>
      <c r="K266" s="19" t="s">
        <v>38</v>
      </c>
      <c r="L266" s="19" t="s">
        <v>72</v>
      </c>
      <c r="M266" s="19" t="s">
        <v>536</v>
      </c>
      <c r="N266" s="19" t="s">
        <v>537</v>
      </c>
    </row>
    <row r="267" spans="1:15" ht="22.5" customHeight="1">
      <c r="A267" s="18">
        <v>45986.387845833335</v>
      </c>
      <c r="B267" s="19" t="s">
        <v>69</v>
      </c>
      <c r="C267" s="19" t="s">
        <v>70</v>
      </c>
      <c r="J267" s="19" t="s">
        <v>538</v>
      </c>
      <c r="K267" s="19" t="s">
        <v>38</v>
      </c>
      <c r="L267" s="19" t="s">
        <v>105</v>
      </c>
      <c r="M267" s="19" t="s">
        <v>138</v>
      </c>
      <c r="N267" s="19" t="s">
        <v>539</v>
      </c>
    </row>
    <row r="268" spans="1:15" ht="22.5" customHeight="1">
      <c r="A268" s="18">
        <v>45986.388516307867</v>
      </c>
      <c r="B268" s="19" t="s">
        <v>69</v>
      </c>
      <c r="C268" s="19" t="s">
        <v>70</v>
      </c>
      <c r="J268" s="19" t="s">
        <v>538</v>
      </c>
      <c r="K268" s="19" t="s">
        <v>38</v>
      </c>
      <c r="L268" s="19" t="s">
        <v>105</v>
      </c>
      <c r="M268" s="19" t="s">
        <v>143</v>
      </c>
      <c r="N268" s="19" t="s">
        <v>540</v>
      </c>
    </row>
    <row r="269" spans="1:15" ht="22.5" customHeight="1">
      <c r="A269" s="18">
        <v>45986.482305775462</v>
      </c>
      <c r="B269" s="19" t="s">
        <v>69</v>
      </c>
      <c r="C269" s="19" t="s">
        <v>70</v>
      </c>
      <c r="J269" s="19" t="s">
        <v>541</v>
      </c>
      <c r="K269" s="19" t="s">
        <v>38</v>
      </c>
      <c r="L269" s="19" t="s">
        <v>72</v>
      </c>
      <c r="M269" s="19" t="s">
        <v>165</v>
      </c>
      <c r="N269" s="19" t="s">
        <v>542</v>
      </c>
      <c r="O269" s="19" t="s">
        <v>543</v>
      </c>
    </row>
    <row r="270" spans="1:15" ht="22.5" customHeight="1">
      <c r="A270" s="18">
        <v>45986.516360694441</v>
      </c>
      <c r="B270" s="19" t="s">
        <v>47</v>
      </c>
      <c r="C270" s="19" t="s">
        <v>36</v>
      </c>
      <c r="D270" s="19" t="s">
        <v>37</v>
      </c>
      <c r="E270" s="19" t="s">
        <v>38</v>
      </c>
      <c r="F270" s="19" t="s">
        <v>102</v>
      </c>
      <c r="G270" s="19" t="s">
        <v>173</v>
      </c>
      <c r="H270" s="19" t="s">
        <v>544</v>
      </c>
    </row>
    <row r="271" spans="1:15" ht="22.5" customHeight="1">
      <c r="A271" s="18">
        <v>45986.5674043287</v>
      </c>
      <c r="B271" s="19" t="s">
        <v>47</v>
      </c>
      <c r="C271" s="19" t="s">
        <v>36</v>
      </c>
      <c r="D271" s="19" t="s">
        <v>37</v>
      </c>
      <c r="E271" s="19" t="s">
        <v>38</v>
      </c>
      <c r="F271" s="19" t="s">
        <v>48</v>
      </c>
      <c r="G271" s="19" t="s">
        <v>175</v>
      </c>
      <c r="H271" s="19" t="s">
        <v>545</v>
      </c>
    </row>
    <row r="272" spans="1:15" ht="22.5" customHeight="1">
      <c r="A272" s="18">
        <v>45986.593419756944</v>
      </c>
      <c r="B272" s="19" t="s">
        <v>69</v>
      </c>
      <c r="C272" s="19" t="s">
        <v>70</v>
      </c>
      <c r="J272" s="19" t="s">
        <v>511</v>
      </c>
      <c r="K272" s="19" t="s">
        <v>38</v>
      </c>
      <c r="L272" s="19" t="s">
        <v>105</v>
      </c>
      <c r="M272" s="19" t="s">
        <v>129</v>
      </c>
      <c r="N272" s="19" t="s">
        <v>546</v>
      </c>
    </row>
    <row r="273" spans="1:15" ht="22.5" customHeight="1">
      <c r="A273" s="18">
        <v>45986.594987002318</v>
      </c>
      <c r="B273" s="19" t="s">
        <v>440</v>
      </c>
      <c r="C273" s="19" t="s">
        <v>70</v>
      </c>
      <c r="J273" s="19" t="s">
        <v>469</v>
      </c>
      <c r="K273" s="19" t="s">
        <v>38</v>
      </c>
      <c r="L273" s="19" t="s">
        <v>167</v>
      </c>
      <c r="M273" s="19" t="s">
        <v>129</v>
      </c>
      <c r="N273" s="19" t="s">
        <v>547</v>
      </c>
    </row>
    <row r="274" spans="1:15" ht="22.5" customHeight="1">
      <c r="A274" s="18">
        <v>45986.655464537034</v>
      </c>
      <c r="B274" s="19" t="s">
        <v>185</v>
      </c>
      <c r="C274" s="19" t="s">
        <v>70</v>
      </c>
      <c r="J274" s="19" t="s">
        <v>203</v>
      </c>
      <c r="K274" s="19" t="s">
        <v>43</v>
      </c>
      <c r="L274" s="19" t="s">
        <v>72</v>
      </c>
      <c r="M274" s="19" t="s">
        <v>66</v>
      </c>
      <c r="N274" s="19" t="s">
        <v>548</v>
      </c>
      <c r="O274" s="19" t="s">
        <v>549</v>
      </c>
    </row>
    <row r="275" spans="1:15" ht="22.5" customHeight="1">
      <c r="A275" s="18">
        <v>45987.312612916663</v>
      </c>
      <c r="B275" s="19" t="s">
        <v>69</v>
      </c>
      <c r="C275" s="19" t="s">
        <v>70</v>
      </c>
      <c r="J275" s="19" t="s">
        <v>104</v>
      </c>
      <c r="K275" s="19" t="s">
        <v>38</v>
      </c>
      <c r="L275" s="19" t="s">
        <v>105</v>
      </c>
      <c r="M275" s="19" t="s">
        <v>66</v>
      </c>
      <c r="N275" s="19" t="s">
        <v>550</v>
      </c>
    </row>
    <row r="276" spans="1:15" ht="22.5" customHeight="1">
      <c r="A276" s="18">
        <v>45987.313264363431</v>
      </c>
      <c r="B276" s="19" t="s">
        <v>47</v>
      </c>
      <c r="C276" s="19" t="s">
        <v>36</v>
      </c>
      <c r="D276" s="19" t="s">
        <v>37</v>
      </c>
      <c r="E276" s="19" t="s">
        <v>38</v>
      </c>
      <c r="F276" s="19" t="s">
        <v>58</v>
      </c>
      <c r="G276" s="19" t="s">
        <v>551</v>
      </c>
      <c r="H276" s="19" t="s">
        <v>552</v>
      </c>
    </row>
    <row r="277" spans="1:15" ht="22.5" customHeight="1">
      <c r="A277" s="18">
        <v>45987.318775648149</v>
      </c>
      <c r="B277" s="19" t="s">
        <v>47</v>
      </c>
      <c r="C277" s="19" t="s">
        <v>36</v>
      </c>
      <c r="D277" s="19" t="s">
        <v>37</v>
      </c>
      <c r="E277" s="19" t="s">
        <v>38</v>
      </c>
      <c r="F277" s="19" t="s">
        <v>307</v>
      </c>
      <c r="G277" s="19" t="s">
        <v>96</v>
      </c>
      <c r="H277" s="19" t="s">
        <v>553</v>
      </c>
    </row>
    <row r="278" spans="1:15" ht="22.5" customHeight="1">
      <c r="A278" s="18">
        <v>45987.366873090279</v>
      </c>
      <c r="B278" s="19" t="s">
        <v>47</v>
      </c>
      <c r="C278" s="19" t="s">
        <v>36</v>
      </c>
      <c r="D278" s="19" t="s">
        <v>37</v>
      </c>
      <c r="E278" s="19" t="s">
        <v>38</v>
      </c>
      <c r="F278" s="19" t="s">
        <v>48</v>
      </c>
      <c r="G278" s="19" t="s">
        <v>66</v>
      </c>
      <c r="H278" s="19" t="s">
        <v>554</v>
      </c>
    </row>
    <row r="279" spans="1:15" ht="22.5" customHeight="1">
      <c r="A279" s="18">
        <v>45987.367191203703</v>
      </c>
      <c r="B279" s="19" t="s">
        <v>47</v>
      </c>
      <c r="C279" s="19" t="s">
        <v>36</v>
      </c>
      <c r="D279" s="19" t="s">
        <v>37</v>
      </c>
      <c r="E279" s="19" t="s">
        <v>38</v>
      </c>
      <c r="F279" s="19" t="s">
        <v>39</v>
      </c>
      <c r="G279" s="19" t="s">
        <v>66</v>
      </c>
      <c r="H279" s="19" t="s">
        <v>555</v>
      </c>
    </row>
    <row r="280" spans="1:15" ht="22.5" customHeight="1">
      <c r="A280" s="18">
        <v>45987.367868182875</v>
      </c>
      <c r="B280" s="19" t="s">
        <v>47</v>
      </c>
      <c r="C280" s="19" t="s">
        <v>36</v>
      </c>
      <c r="D280" s="19" t="s">
        <v>37</v>
      </c>
      <c r="E280" s="19" t="s">
        <v>38</v>
      </c>
      <c r="F280" s="19" t="s">
        <v>556</v>
      </c>
      <c r="G280" s="19" t="s">
        <v>66</v>
      </c>
      <c r="H280" s="19" t="s">
        <v>557</v>
      </c>
    </row>
    <row r="281" spans="1:15" ht="22.5" customHeight="1">
      <c r="A281" s="18">
        <v>45987.370622210648</v>
      </c>
      <c r="B281" s="19" t="s">
        <v>47</v>
      </c>
      <c r="C281" s="19" t="s">
        <v>36</v>
      </c>
      <c r="D281" s="19" t="s">
        <v>37</v>
      </c>
      <c r="E281" s="19" t="s">
        <v>38</v>
      </c>
      <c r="F281" s="19" t="s">
        <v>78</v>
      </c>
      <c r="G281" s="19" t="s">
        <v>66</v>
      </c>
      <c r="H281" s="19" t="s">
        <v>558</v>
      </c>
    </row>
    <row r="282" spans="1:15" ht="22.5" customHeight="1">
      <c r="A282" s="18">
        <v>45987.383060983797</v>
      </c>
      <c r="B282" s="19" t="s">
        <v>440</v>
      </c>
      <c r="C282" s="19" t="s">
        <v>70</v>
      </c>
      <c r="J282" s="19" t="s">
        <v>469</v>
      </c>
      <c r="K282" s="19" t="s">
        <v>38</v>
      </c>
      <c r="L282" s="19" t="s">
        <v>167</v>
      </c>
      <c r="M282" s="19" t="s">
        <v>198</v>
      </c>
      <c r="N282" s="19" t="s">
        <v>559</v>
      </c>
    </row>
    <row r="283" spans="1:15" ht="22.5" customHeight="1">
      <c r="A283" s="18">
        <v>45987.399459351851</v>
      </c>
      <c r="B283" s="19" t="s">
        <v>47</v>
      </c>
      <c r="C283" s="19" t="s">
        <v>36</v>
      </c>
      <c r="D283" s="19" t="s">
        <v>37</v>
      </c>
      <c r="E283" s="19" t="s">
        <v>38</v>
      </c>
      <c r="F283" s="19" t="s">
        <v>148</v>
      </c>
      <c r="G283" s="19" t="s">
        <v>560</v>
      </c>
      <c r="H283" s="19" t="s">
        <v>80</v>
      </c>
    </row>
    <row r="284" spans="1:15" ht="22.5" customHeight="1">
      <c r="A284" s="18">
        <v>45987.400405034721</v>
      </c>
      <c r="B284" s="19" t="s">
        <v>47</v>
      </c>
      <c r="C284" s="19" t="s">
        <v>36</v>
      </c>
      <c r="D284" s="19" t="s">
        <v>37</v>
      </c>
      <c r="E284" s="19" t="s">
        <v>38</v>
      </c>
      <c r="F284" s="19" t="s">
        <v>48</v>
      </c>
      <c r="G284" s="19" t="s">
        <v>173</v>
      </c>
      <c r="H284" s="19" t="s">
        <v>561</v>
      </c>
    </row>
    <row r="285" spans="1:15" ht="22.5" customHeight="1">
      <c r="A285" s="18">
        <v>45987.412844733801</v>
      </c>
      <c r="B285" s="19" t="s">
        <v>47</v>
      </c>
      <c r="C285" s="19" t="s">
        <v>36</v>
      </c>
      <c r="D285" s="19" t="s">
        <v>37</v>
      </c>
      <c r="E285" s="19" t="s">
        <v>38</v>
      </c>
      <c r="F285" s="19" t="s">
        <v>58</v>
      </c>
      <c r="G285" s="19" t="s">
        <v>562</v>
      </c>
      <c r="H285" s="19" t="s">
        <v>563</v>
      </c>
    </row>
    <row r="286" spans="1:15" ht="22.5" customHeight="1">
      <c r="A286" s="18">
        <v>45987.426151539352</v>
      </c>
      <c r="B286" s="19" t="s">
        <v>69</v>
      </c>
      <c r="C286" s="19" t="s">
        <v>70</v>
      </c>
      <c r="J286" s="19" t="s">
        <v>226</v>
      </c>
      <c r="K286" s="19" t="s">
        <v>38</v>
      </c>
      <c r="L286" s="19" t="s">
        <v>72</v>
      </c>
      <c r="M286" s="19" t="s">
        <v>564</v>
      </c>
      <c r="N286" s="19" t="s">
        <v>565</v>
      </c>
      <c r="O286" s="19" t="s">
        <v>566</v>
      </c>
    </row>
    <row r="287" spans="1:15" ht="22.5" customHeight="1">
      <c r="A287" s="18">
        <v>45987.511486678239</v>
      </c>
      <c r="B287" s="19" t="s">
        <v>422</v>
      </c>
      <c r="C287" s="19" t="s">
        <v>70</v>
      </c>
      <c r="J287" s="19" t="s">
        <v>567</v>
      </c>
      <c r="K287" s="19" t="s">
        <v>43</v>
      </c>
      <c r="L287" s="19" t="s">
        <v>72</v>
      </c>
      <c r="M287" s="19" t="s">
        <v>66</v>
      </c>
      <c r="N287" s="19" t="s">
        <v>568</v>
      </c>
    </row>
    <row r="288" spans="1:15" ht="22.5" customHeight="1">
      <c r="A288" s="18">
        <v>45987.512194097224</v>
      </c>
      <c r="B288" s="19" t="s">
        <v>422</v>
      </c>
      <c r="C288" s="19" t="s">
        <v>70</v>
      </c>
      <c r="J288" s="19" t="s">
        <v>567</v>
      </c>
      <c r="K288" s="19" t="s">
        <v>43</v>
      </c>
      <c r="L288" s="19" t="s">
        <v>167</v>
      </c>
      <c r="M288" s="19" t="s">
        <v>66</v>
      </c>
      <c r="N288" s="19" t="s">
        <v>569</v>
      </c>
    </row>
    <row r="289" spans="1:15" ht="22.5" customHeight="1">
      <c r="A289" s="18">
        <v>45987.534849270829</v>
      </c>
      <c r="B289" s="19" t="s">
        <v>35</v>
      </c>
      <c r="C289" s="19" t="s">
        <v>36</v>
      </c>
      <c r="D289" s="19" t="s">
        <v>37</v>
      </c>
      <c r="E289" s="19" t="s">
        <v>38</v>
      </c>
      <c r="F289" s="19" t="s">
        <v>307</v>
      </c>
      <c r="G289" s="19" t="s">
        <v>66</v>
      </c>
      <c r="H289" s="19" t="s">
        <v>570</v>
      </c>
    </row>
    <row r="290" spans="1:15" ht="22.5" customHeight="1">
      <c r="A290" s="18">
        <v>45987.539864513892</v>
      </c>
      <c r="B290" s="19" t="s">
        <v>47</v>
      </c>
      <c r="C290" s="19" t="s">
        <v>36</v>
      </c>
      <c r="D290" s="19" t="s">
        <v>37</v>
      </c>
      <c r="E290" s="19" t="s">
        <v>38</v>
      </c>
      <c r="F290" s="19" t="s">
        <v>571</v>
      </c>
      <c r="G290" s="19" t="s">
        <v>138</v>
      </c>
      <c r="H290" s="19" t="s">
        <v>572</v>
      </c>
    </row>
    <row r="291" spans="1:15" ht="22.5" customHeight="1">
      <c r="A291" s="18">
        <v>45987.617741261573</v>
      </c>
      <c r="B291" s="19" t="s">
        <v>185</v>
      </c>
      <c r="C291" s="19" t="s">
        <v>70</v>
      </c>
      <c r="J291" s="19" t="s">
        <v>237</v>
      </c>
      <c r="K291" s="19" t="s">
        <v>573</v>
      </c>
      <c r="L291" s="19" t="s">
        <v>72</v>
      </c>
      <c r="M291" s="19" t="s">
        <v>574</v>
      </c>
      <c r="N291" s="19" t="s">
        <v>575</v>
      </c>
    </row>
    <row r="292" spans="1:15" ht="22.5" customHeight="1">
      <c r="A292" s="18">
        <v>45988.345253495369</v>
      </c>
      <c r="B292" s="19" t="s">
        <v>101</v>
      </c>
      <c r="C292" s="19" t="s">
        <v>36</v>
      </c>
      <c r="D292" s="19" t="s">
        <v>37</v>
      </c>
      <c r="E292" s="19" t="s">
        <v>38</v>
      </c>
      <c r="F292" s="19" t="s">
        <v>48</v>
      </c>
      <c r="G292" s="19" t="s">
        <v>66</v>
      </c>
      <c r="H292" s="19" t="s">
        <v>576</v>
      </c>
    </row>
    <row r="293" spans="1:15" ht="22.5" customHeight="1">
      <c r="A293" s="18">
        <v>45988.40080048611</v>
      </c>
      <c r="B293" s="19" t="s">
        <v>440</v>
      </c>
      <c r="C293" s="19" t="s">
        <v>70</v>
      </c>
      <c r="J293" s="19" t="s">
        <v>469</v>
      </c>
      <c r="K293" s="19" t="s">
        <v>38</v>
      </c>
      <c r="L293" s="19" t="s">
        <v>105</v>
      </c>
      <c r="M293" s="19" t="s">
        <v>66</v>
      </c>
      <c r="N293" s="19" t="s">
        <v>577</v>
      </c>
    </row>
    <row r="294" spans="1:15" ht="22.5" customHeight="1">
      <c r="A294" s="18">
        <v>45988.405475856482</v>
      </c>
      <c r="B294" s="19" t="s">
        <v>47</v>
      </c>
      <c r="C294" s="19" t="s">
        <v>36</v>
      </c>
      <c r="D294" s="19" t="s">
        <v>37</v>
      </c>
      <c r="E294" s="19" t="s">
        <v>38</v>
      </c>
      <c r="F294" s="19" t="s">
        <v>48</v>
      </c>
      <c r="G294" s="19" t="s">
        <v>66</v>
      </c>
      <c r="H294" s="19" t="s">
        <v>578</v>
      </c>
    </row>
    <row r="295" spans="1:15" ht="22.5" customHeight="1">
      <c r="A295" s="18">
        <v>45988.438472592592</v>
      </c>
      <c r="B295" s="19" t="s">
        <v>47</v>
      </c>
      <c r="C295" s="19" t="s">
        <v>36</v>
      </c>
      <c r="D295" s="19" t="s">
        <v>37</v>
      </c>
      <c r="E295" s="19" t="s">
        <v>38</v>
      </c>
      <c r="F295" s="19" t="s">
        <v>53</v>
      </c>
      <c r="G295" s="19" t="s">
        <v>66</v>
      </c>
      <c r="H295" s="19" t="s">
        <v>579</v>
      </c>
    </row>
    <row r="296" spans="1:15" ht="22.5" customHeight="1">
      <c r="A296" s="18">
        <v>45988.452785949077</v>
      </c>
      <c r="B296" s="19" t="s">
        <v>580</v>
      </c>
      <c r="C296" s="19" t="s">
        <v>70</v>
      </c>
      <c r="J296" s="19" t="s">
        <v>581</v>
      </c>
      <c r="K296" s="19" t="s">
        <v>38</v>
      </c>
      <c r="L296" s="19" t="s">
        <v>105</v>
      </c>
      <c r="M296" s="19" t="s">
        <v>582</v>
      </c>
      <c r="N296" s="19" t="s">
        <v>583</v>
      </c>
    </row>
    <row r="297" spans="1:15" ht="22.5" customHeight="1">
      <c r="A297" s="18">
        <v>45988.469820127313</v>
      </c>
      <c r="B297" s="19" t="s">
        <v>157</v>
      </c>
      <c r="C297" s="19" t="s">
        <v>70</v>
      </c>
      <c r="J297" s="19" t="s">
        <v>164</v>
      </c>
      <c r="K297" s="19" t="s">
        <v>43</v>
      </c>
      <c r="L297" s="19" t="s">
        <v>584</v>
      </c>
      <c r="M297" s="19" t="s">
        <v>585</v>
      </c>
      <c r="N297" s="19" t="s">
        <v>586</v>
      </c>
    </row>
    <row r="298" spans="1:15" ht="22.5" customHeight="1">
      <c r="A298" s="18">
        <v>45988.479782002316</v>
      </c>
      <c r="B298" s="19" t="s">
        <v>580</v>
      </c>
      <c r="C298" s="19" t="s">
        <v>70</v>
      </c>
      <c r="J298" s="19" t="s">
        <v>587</v>
      </c>
      <c r="K298" s="19" t="s">
        <v>38</v>
      </c>
      <c r="L298" s="19" t="s">
        <v>152</v>
      </c>
      <c r="M298" s="19" t="s">
        <v>138</v>
      </c>
      <c r="N298" s="19" t="s">
        <v>588</v>
      </c>
      <c r="O298" s="19" t="s">
        <v>589</v>
      </c>
    </row>
    <row r="299" spans="1:15" ht="22.5" customHeight="1">
      <c r="A299" s="18">
        <v>45988.481502222217</v>
      </c>
      <c r="B299" s="19" t="s">
        <v>580</v>
      </c>
      <c r="C299" s="19" t="s">
        <v>70</v>
      </c>
      <c r="J299" s="19" t="s">
        <v>226</v>
      </c>
      <c r="K299" s="19" t="s">
        <v>38</v>
      </c>
      <c r="L299" s="19" t="s">
        <v>72</v>
      </c>
      <c r="M299" s="19" t="s">
        <v>66</v>
      </c>
      <c r="N299" s="19" t="s">
        <v>590</v>
      </c>
      <c r="O299" s="19" t="s">
        <v>591</v>
      </c>
    </row>
    <row r="300" spans="1:15" ht="22.5" customHeight="1">
      <c r="A300" s="18">
        <v>45988.509189004631</v>
      </c>
      <c r="B300" s="19" t="s">
        <v>47</v>
      </c>
      <c r="C300" s="19" t="s">
        <v>36</v>
      </c>
      <c r="D300" s="19" t="s">
        <v>37</v>
      </c>
      <c r="E300" s="19" t="s">
        <v>38</v>
      </c>
      <c r="F300" s="19" t="s">
        <v>39</v>
      </c>
      <c r="G300" s="19" t="s">
        <v>100</v>
      </c>
      <c r="H300" s="19" t="s">
        <v>592</v>
      </c>
    </row>
    <row r="301" spans="1:15" ht="22.5" customHeight="1">
      <c r="A301" s="18">
        <v>45988.539415451392</v>
      </c>
      <c r="B301" s="19" t="s">
        <v>35</v>
      </c>
      <c r="C301" s="19" t="s">
        <v>36</v>
      </c>
      <c r="D301" s="19" t="s">
        <v>593</v>
      </c>
      <c r="E301" s="19" t="s">
        <v>43</v>
      </c>
      <c r="F301" s="19" t="s">
        <v>39</v>
      </c>
      <c r="G301" s="19" t="s">
        <v>159</v>
      </c>
      <c r="H301" s="19" t="s">
        <v>594</v>
      </c>
    </row>
    <row r="302" spans="1:15" ht="22.5" customHeight="1">
      <c r="A302" s="18">
        <v>45988.541796793987</v>
      </c>
      <c r="B302" s="19" t="s">
        <v>35</v>
      </c>
      <c r="C302" s="19" t="s">
        <v>36</v>
      </c>
      <c r="D302" s="19" t="s">
        <v>37</v>
      </c>
      <c r="E302" s="19" t="s">
        <v>38</v>
      </c>
      <c r="F302" s="19" t="s">
        <v>307</v>
      </c>
      <c r="G302" s="19" t="s">
        <v>66</v>
      </c>
      <c r="H302" s="19" t="s">
        <v>595</v>
      </c>
    </row>
    <row r="303" spans="1:15" ht="22.5" customHeight="1">
      <c r="A303" s="18">
        <v>45988.543234560188</v>
      </c>
      <c r="B303" s="19" t="s">
        <v>35</v>
      </c>
      <c r="C303" s="19" t="s">
        <v>36</v>
      </c>
      <c r="D303" s="19" t="s">
        <v>37</v>
      </c>
      <c r="E303" s="19" t="s">
        <v>38</v>
      </c>
      <c r="F303" s="19" t="s">
        <v>596</v>
      </c>
      <c r="G303" s="19" t="s">
        <v>66</v>
      </c>
      <c r="H303" s="19" t="s">
        <v>476</v>
      </c>
    </row>
    <row r="304" spans="1:15" ht="22.5" customHeight="1">
      <c r="A304" s="18">
        <v>45988.544691157411</v>
      </c>
      <c r="B304" s="19" t="s">
        <v>35</v>
      </c>
      <c r="C304" s="19" t="s">
        <v>36</v>
      </c>
      <c r="D304" s="19" t="s">
        <v>245</v>
      </c>
      <c r="E304" s="19" t="s">
        <v>43</v>
      </c>
      <c r="F304" s="19" t="s">
        <v>58</v>
      </c>
      <c r="G304" s="19" t="s">
        <v>374</v>
      </c>
      <c r="H304" s="19" t="s">
        <v>597</v>
      </c>
    </row>
    <row r="305" spans="1:15" ht="22.5" customHeight="1">
      <c r="A305" s="18">
        <v>45988.545717256944</v>
      </c>
      <c r="B305" s="19" t="s">
        <v>35</v>
      </c>
      <c r="C305" s="19" t="s">
        <v>36</v>
      </c>
      <c r="D305" s="19" t="s">
        <v>245</v>
      </c>
      <c r="E305" s="19" t="s">
        <v>43</v>
      </c>
      <c r="F305" s="19" t="s">
        <v>325</v>
      </c>
      <c r="G305" s="19" t="s">
        <v>66</v>
      </c>
      <c r="H305" s="19" t="s">
        <v>598</v>
      </c>
    </row>
    <row r="306" spans="1:15" ht="22.5" customHeight="1">
      <c r="A306" s="18">
        <v>45988.546253680557</v>
      </c>
      <c r="B306" s="19" t="s">
        <v>47</v>
      </c>
      <c r="C306" s="19" t="s">
        <v>36</v>
      </c>
      <c r="D306" s="19" t="s">
        <v>37</v>
      </c>
      <c r="E306" s="19" t="s">
        <v>38</v>
      </c>
      <c r="F306" s="19" t="s">
        <v>599</v>
      </c>
      <c r="G306" s="19" t="s">
        <v>66</v>
      </c>
      <c r="H306" s="19" t="s">
        <v>600</v>
      </c>
    </row>
    <row r="307" spans="1:15" ht="22.5" customHeight="1">
      <c r="A307" s="18">
        <v>45988.54664241898</v>
      </c>
      <c r="B307" s="19" t="s">
        <v>35</v>
      </c>
      <c r="C307" s="19" t="s">
        <v>36</v>
      </c>
      <c r="D307" s="19" t="s">
        <v>601</v>
      </c>
      <c r="E307" s="19" t="s">
        <v>43</v>
      </c>
      <c r="F307" s="19" t="s">
        <v>58</v>
      </c>
      <c r="G307" s="19" t="s">
        <v>138</v>
      </c>
      <c r="H307" s="19" t="s">
        <v>602</v>
      </c>
    </row>
    <row r="308" spans="1:15" ht="22.5" customHeight="1">
      <c r="A308" s="18">
        <v>45988.636132662039</v>
      </c>
      <c r="B308" s="19" t="s">
        <v>69</v>
      </c>
      <c r="C308" s="19" t="s">
        <v>70</v>
      </c>
      <c r="J308" s="19" t="s">
        <v>603</v>
      </c>
      <c r="K308" s="19" t="s">
        <v>38</v>
      </c>
      <c r="L308" s="19" t="s">
        <v>152</v>
      </c>
      <c r="M308" s="19" t="s">
        <v>66</v>
      </c>
      <c r="N308" s="19" t="s">
        <v>604</v>
      </c>
    </row>
    <row r="309" spans="1:15" ht="22.5" customHeight="1">
      <c r="A309" s="18">
        <v>45990.405270405092</v>
      </c>
      <c r="B309" s="19" t="s">
        <v>440</v>
      </c>
      <c r="C309" s="19" t="s">
        <v>70</v>
      </c>
      <c r="J309" s="19" t="s">
        <v>469</v>
      </c>
      <c r="K309" s="19" t="s">
        <v>38</v>
      </c>
      <c r="L309" s="19" t="s">
        <v>105</v>
      </c>
      <c r="M309" s="19" t="s">
        <v>173</v>
      </c>
      <c r="N309" s="19" t="s">
        <v>605</v>
      </c>
    </row>
    <row r="310" spans="1:15" ht="22.5" customHeight="1">
      <c r="A310" s="18">
        <v>45990.405432766202</v>
      </c>
      <c r="B310" s="19" t="s">
        <v>47</v>
      </c>
      <c r="C310" s="19" t="s">
        <v>36</v>
      </c>
      <c r="D310" s="19" t="s">
        <v>37</v>
      </c>
      <c r="E310" s="19" t="s">
        <v>38</v>
      </c>
      <c r="F310" s="19" t="s">
        <v>39</v>
      </c>
      <c r="G310" s="19" t="s">
        <v>66</v>
      </c>
      <c r="H310" s="19" t="s">
        <v>606</v>
      </c>
    </row>
    <row r="311" spans="1:15" ht="22.5" customHeight="1">
      <c r="A311" s="18">
        <v>45990.406147743051</v>
      </c>
      <c r="B311" s="19" t="s">
        <v>69</v>
      </c>
      <c r="C311" s="19" t="s">
        <v>70</v>
      </c>
      <c r="J311" s="19" t="s">
        <v>603</v>
      </c>
      <c r="K311" s="19" t="s">
        <v>38</v>
      </c>
      <c r="L311" s="19" t="s">
        <v>152</v>
      </c>
      <c r="M311" s="19" t="s">
        <v>607</v>
      </c>
      <c r="N311" s="19" t="s">
        <v>608</v>
      </c>
      <c r="O311" s="19" t="s">
        <v>609</v>
      </c>
    </row>
    <row r="312" spans="1:15" ht="22.5" customHeight="1">
      <c r="A312" s="18">
        <v>45990.407553124998</v>
      </c>
      <c r="B312" s="19" t="s">
        <v>440</v>
      </c>
      <c r="C312" s="19" t="s">
        <v>70</v>
      </c>
      <c r="J312" s="19" t="s">
        <v>469</v>
      </c>
      <c r="K312" s="19" t="s">
        <v>38</v>
      </c>
      <c r="L312" s="19" t="s">
        <v>105</v>
      </c>
      <c r="M312" s="19" t="s">
        <v>129</v>
      </c>
      <c r="N312" s="19" t="s">
        <v>610</v>
      </c>
    </row>
    <row r="313" spans="1:15" ht="22.5" customHeight="1">
      <c r="A313" s="18">
        <v>45990.413519583337</v>
      </c>
      <c r="B313" s="19" t="s">
        <v>580</v>
      </c>
      <c r="C313" s="19" t="s">
        <v>70</v>
      </c>
      <c r="J313" s="19" t="s">
        <v>71</v>
      </c>
      <c r="K313" s="19" t="s">
        <v>38</v>
      </c>
      <c r="L313" s="19" t="s">
        <v>72</v>
      </c>
      <c r="M313" s="19" t="s">
        <v>198</v>
      </c>
      <c r="N313" s="19" t="s">
        <v>611</v>
      </c>
    </row>
    <row r="314" spans="1:15" ht="22.5" customHeight="1">
      <c r="A314" s="18">
        <v>45990.413996805553</v>
      </c>
      <c r="B314" s="19" t="s">
        <v>580</v>
      </c>
      <c r="C314" s="19" t="s">
        <v>70</v>
      </c>
      <c r="J314" s="19" t="s">
        <v>226</v>
      </c>
      <c r="K314" s="19" t="s">
        <v>38</v>
      </c>
      <c r="L314" s="19" t="s">
        <v>72</v>
      </c>
      <c r="M314" s="19" t="s">
        <v>198</v>
      </c>
      <c r="N314" s="19" t="s">
        <v>612</v>
      </c>
    </row>
    <row r="315" spans="1:15" ht="22.5" customHeight="1">
      <c r="A315" s="18">
        <v>45991.314406921301</v>
      </c>
      <c r="B315" s="19" t="s">
        <v>47</v>
      </c>
      <c r="C315" s="19" t="s">
        <v>36</v>
      </c>
      <c r="D315" s="19" t="s">
        <v>37</v>
      </c>
      <c r="E315" s="19" t="s">
        <v>38</v>
      </c>
      <c r="F315" s="19" t="s">
        <v>193</v>
      </c>
      <c r="G315" s="19" t="s">
        <v>66</v>
      </c>
      <c r="H315" s="19" t="s">
        <v>613</v>
      </c>
    </row>
    <row r="316" spans="1:15" ht="22.5" customHeight="1">
      <c r="A316" s="18">
        <v>45991.316277361111</v>
      </c>
      <c r="B316" s="19" t="s">
        <v>47</v>
      </c>
      <c r="C316" s="19" t="s">
        <v>36</v>
      </c>
      <c r="D316" s="19" t="s">
        <v>37</v>
      </c>
      <c r="E316" s="19" t="s">
        <v>38</v>
      </c>
      <c r="F316" s="19" t="s">
        <v>614</v>
      </c>
      <c r="G316" s="19" t="s">
        <v>66</v>
      </c>
      <c r="H316" s="19" t="s">
        <v>615</v>
      </c>
    </row>
    <row r="317" spans="1:15" ht="22.5" customHeight="1">
      <c r="A317" s="18">
        <v>45991.380432662037</v>
      </c>
      <c r="B317" s="19" t="s">
        <v>440</v>
      </c>
      <c r="C317" s="19" t="s">
        <v>70</v>
      </c>
      <c r="J317" s="19" t="s">
        <v>469</v>
      </c>
      <c r="K317" s="19" t="s">
        <v>38</v>
      </c>
      <c r="L317" s="19" t="s">
        <v>152</v>
      </c>
      <c r="M317" s="19" t="s">
        <v>496</v>
      </c>
      <c r="N317" s="19" t="s">
        <v>616</v>
      </c>
    </row>
    <row r="318" spans="1:15" ht="22.5" customHeight="1">
      <c r="A318" s="18">
        <v>45991.381848946759</v>
      </c>
      <c r="B318" s="19" t="s">
        <v>440</v>
      </c>
      <c r="C318" s="19" t="s">
        <v>70</v>
      </c>
      <c r="J318" s="19" t="s">
        <v>469</v>
      </c>
      <c r="K318" s="19" t="s">
        <v>38</v>
      </c>
      <c r="L318" s="19" t="s">
        <v>152</v>
      </c>
      <c r="M318" s="19" t="s">
        <v>496</v>
      </c>
      <c r="N318" s="19" t="s">
        <v>617</v>
      </c>
    </row>
    <row r="319" spans="1:15" ht="22.5" customHeight="1">
      <c r="A319" s="18">
        <v>45991.512804062499</v>
      </c>
      <c r="B319" s="19" t="s">
        <v>47</v>
      </c>
      <c r="C319" s="19" t="s">
        <v>36</v>
      </c>
      <c r="D319" s="19" t="s">
        <v>37</v>
      </c>
      <c r="E319" s="19" t="s">
        <v>38</v>
      </c>
      <c r="F319" s="19" t="s">
        <v>102</v>
      </c>
      <c r="G319" s="19" t="s">
        <v>66</v>
      </c>
      <c r="H319" s="19" t="s">
        <v>618</v>
      </c>
    </row>
    <row r="320" spans="1:15" ht="22.5" customHeight="1">
      <c r="A320" s="18">
        <v>45991.514796898147</v>
      </c>
      <c r="B320" s="19" t="s">
        <v>47</v>
      </c>
      <c r="C320" s="19" t="s">
        <v>36</v>
      </c>
      <c r="D320" s="19" t="s">
        <v>37</v>
      </c>
      <c r="E320" s="19" t="s">
        <v>38</v>
      </c>
      <c r="F320" s="19" t="s">
        <v>102</v>
      </c>
      <c r="G320" s="19" t="s">
        <v>138</v>
      </c>
      <c r="H320" s="19" t="s">
        <v>619</v>
      </c>
    </row>
    <row r="321" spans="1:14" ht="22.5" customHeight="1">
      <c r="A321" s="18">
        <v>45991.562097928239</v>
      </c>
      <c r="B321" s="19" t="s">
        <v>47</v>
      </c>
      <c r="C321" s="19" t="s">
        <v>36</v>
      </c>
      <c r="D321" s="19" t="s">
        <v>37</v>
      </c>
      <c r="E321" s="19" t="s">
        <v>38</v>
      </c>
      <c r="F321" s="19" t="s">
        <v>212</v>
      </c>
      <c r="G321" s="19" t="s">
        <v>138</v>
      </c>
      <c r="H321" s="19" t="s">
        <v>620</v>
      </c>
    </row>
    <row r="322" spans="1:14" ht="22.5" customHeight="1">
      <c r="A322" s="18">
        <v>45992.298852025458</v>
      </c>
      <c r="B322" s="19" t="s">
        <v>35</v>
      </c>
      <c r="C322" s="19" t="s">
        <v>36</v>
      </c>
      <c r="D322" s="19" t="s">
        <v>593</v>
      </c>
      <c r="E322" s="19" t="s">
        <v>43</v>
      </c>
      <c r="F322" s="19" t="s">
        <v>287</v>
      </c>
      <c r="G322" s="19" t="s">
        <v>175</v>
      </c>
      <c r="H322" s="19" t="s">
        <v>621</v>
      </c>
    </row>
    <row r="323" spans="1:14" ht="22.5" customHeight="1">
      <c r="A323" s="18">
        <v>45992.301007766204</v>
      </c>
      <c r="B323" s="19" t="s">
        <v>35</v>
      </c>
      <c r="C323" s="19" t="s">
        <v>36</v>
      </c>
      <c r="D323" s="19" t="s">
        <v>622</v>
      </c>
      <c r="E323" s="19" t="s">
        <v>43</v>
      </c>
      <c r="F323" s="19" t="s">
        <v>623</v>
      </c>
      <c r="G323" s="19" t="s">
        <v>624</v>
      </c>
      <c r="H323" s="19" t="s">
        <v>625</v>
      </c>
    </row>
    <row r="324" spans="1:14" ht="22.5" customHeight="1">
      <c r="A324" s="18">
        <v>45992.302114270831</v>
      </c>
      <c r="B324" s="19" t="s">
        <v>35</v>
      </c>
      <c r="C324" s="19" t="s">
        <v>36</v>
      </c>
      <c r="D324" s="19" t="s">
        <v>622</v>
      </c>
      <c r="E324" s="19" t="s">
        <v>43</v>
      </c>
      <c r="F324" s="19" t="s">
        <v>626</v>
      </c>
      <c r="G324" s="19" t="s">
        <v>180</v>
      </c>
      <c r="H324" s="19" t="s">
        <v>627</v>
      </c>
    </row>
    <row r="325" spans="1:14" ht="22.5" customHeight="1">
      <c r="A325" s="18">
        <v>45992.37397119213</v>
      </c>
      <c r="B325" s="19" t="s">
        <v>47</v>
      </c>
      <c r="C325" s="19" t="s">
        <v>36</v>
      </c>
      <c r="D325" s="19" t="s">
        <v>37</v>
      </c>
      <c r="E325" s="19" t="s">
        <v>38</v>
      </c>
      <c r="F325" s="19" t="s">
        <v>48</v>
      </c>
      <c r="G325" s="19" t="s">
        <v>66</v>
      </c>
      <c r="H325" s="19" t="s">
        <v>628</v>
      </c>
    </row>
    <row r="326" spans="1:14" ht="22.5" customHeight="1">
      <c r="A326" s="18">
        <v>45992.391058159723</v>
      </c>
      <c r="B326" s="19" t="s">
        <v>440</v>
      </c>
      <c r="C326" s="19" t="s">
        <v>70</v>
      </c>
      <c r="J326" s="19" t="s">
        <v>469</v>
      </c>
      <c r="K326" s="19" t="s">
        <v>38</v>
      </c>
      <c r="L326" s="19" t="s">
        <v>152</v>
      </c>
      <c r="M326" s="19" t="s">
        <v>629</v>
      </c>
      <c r="N326" s="19" t="s">
        <v>630</v>
      </c>
    </row>
    <row r="327" spans="1:14" ht="22.5" customHeight="1">
      <c r="A327" s="18">
        <v>45992.404908796292</v>
      </c>
      <c r="B327" s="19" t="s">
        <v>580</v>
      </c>
      <c r="C327" s="19" t="s">
        <v>70</v>
      </c>
      <c r="J327" s="19" t="s">
        <v>511</v>
      </c>
      <c r="K327" s="19" t="s">
        <v>38</v>
      </c>
      <c r="L327" s="19" t="s">
        <v>346</v>
      </c>
      <c r="M327" s="19" t="s">
        <v>159</v>
      </c>
      <c r="N327" s="19" t="s">
        <v>631</v>
      </c>
    </row>
    <row r="328" spans="1:14" ht="22.5" customHeight="1">
      <c r="A328" s="18">
        <v>45992.419065335649</v>
      </c>
      <c r="B328" s="19" t="s">
        <v>580</v>
      </c>
      <c r="C328" s="19" t="s">
        <v>70</v>
      </c>
      <c r="J328" s="19" t="s">
        <v>632</v>
      </c>
      <c r="K328" s="19" t="s">
        <v>38</v>
      </c>
      <c r="L328" s="19" t="s">
        <v>72</v>
      </c>
      <c r="M328" s="19" t="s">
        <v>66</v>
      </c>
      <c r="N328" s="19" t="s">
        <v>633</v>
      </c>
    </row>
    <row r="329" spans="1:14" ht="22.5" customHeight="1">
      <c r="A329" s="18">
        <v>45992.420239074076</v>
      </c>
      <c r="B329" s="19" t="s">
        <v>47</v>
      </c>
      <c r="C329" s="19" t="s">
        <v>36</v>
      </c>
      <c r="D329" s="19" t="s">
        <v>37</v>
      </c>
      <c r="E329" s="19" t="s">
        <v>38</v>
      </c>
      <c r="F329" s="19" t="s">
        <v>212</v>
      </c>
      <c r="G329" s="19" t="s">
        <v>66</v>
      </c>
      <c r="H329" s="19" t="s">
        <v>634</v>
      </c>
    </row>
    <row r="330" spans="1:14" ht="22.5" customHeight="1">
      <c r="A330" s="18">
        <v>45992.435837997684</v>
      </c>
      <c r="B330" s="19" t="s">
        <v>580</v>
      </c>
      <c r="C330" s="19" t="s">
        <v>70</v>
      </c>
      <c r="J330" s="19" t="s">
        <v>71</v>
      </c>
      <c r="K330" s="19" t="s">
        <v>38</v>
      </c>
      <c r="L330" s="19" t="s">
        <v>72</v>
      </c>
      <c r="M330" s="19" t="s">
        <v>143</v>
      </c>
      <c r="N330" s="19" t="s">
        <v>635</v>
      </c>
    </row>
    <row r="331" spans="1:14" ht="22.5" customHeight="1">
      <c r="A331" s="18">
        <v>45992.439100821764</v>
      </c>
      <c r="B331" s="19" t="s">
        <v>580</v>
      </c>
      <c r="C331" s="19" t="s">
        <v>70</v>
      </c>
      <c r="J331" s="19" t="s">
        <v>636</v>
      </c>
      <c r="K331" s="19" t="s">
        <v>38</v>
      </c>
      <c r="L331" s="19" t="s">
        <v>72</v>
      </c>
      <c r="M331" s="19" t="s">
        <v>143</v>
      </c>
      <c r="N331" s="19" t="s">
        <v>637</v>
      </c>
    </row>
    <row r="332" spans="1:14" ht="22.5" customHeight="1">
      <c r="A332" s="18">
        <v>45992.476010231483</v>
      </c>
      <c r="B332" s="19" t="s">
        <v>47</v>
      </c>
      <c r="C332" s="19" t="s">
        <v>36</v>
      </c>
      <c r="D332" s="19" t="s">
        <v>37</v>
      </c>
      <c r="E332" s="19" t="s">
        <v>38</v>
      </c>
      <c r="F332" s="19" t="s">
        <v>58</v>
      </c>
      <c r="G332" s="19" t="s">
        <v>638</v>
      </c>
      <c r="H332" s="19" t="s">
        <v>639</v>
      </c>
    </row>
    <row r="333" spans="1:14" ht="22.5" customHeight="1">
      <c r="A333" s="18">
        <v>45992.481856342594</v>
      </c>
      <c r="B333" s="19" t="s">
        <v>351</v>
      </c>
      <c r="C333" s="19" t="s">
        <v>70</v>
      </c>
      <c r="J333" s="19" t="s">
        <v>354</v>
      </c>
      <c r="K333" s="19" t="s">
        <v>43</v>
      </c>
      <c r="L333" s="19" t="s">
        <v>72</v>
      </c>
      <c r="M333" s="19" t="s">
        <v>159</v>
      </c>
      <c r="N333" s="19" t="s">
        <v>640</v>
      </c>
    </row>
    <row r="334" spans="1:14" ht="22.5" customHeight="1">
      <c r="A334" s="18">
        <v>45992.521511145838</v>
      </c>
      <c r="B334" s="19" t="s">
        <v>580</v>
      </c>
      <c r="C334" s="19" t="s">
        <v>70</v>
      </c>
      <c r="J334" s="19" t="s">
        <v>641</v>
      </c>
      <c r="K334" s="19" t="s">
        <v>38</v>
      </c>
      <c r="L334" s="19" t="s">
        <v>72</v>
      </c>
      <c r="M334" s="19" t="s">
        <v>129</v>
      </c>
      <c r="N334" s="19" t="s">
        <v>642</v>
      </c>
    </row>
    <row r="335" spans="1:14" ht="22.5" customHeight="1">
      <c r="A335" s="18">
        <v>45992.522288587963</v>
      </c>
      <c r="B335" s="19" t="s">
        <v>580</v>
      </c>
      <c r="C335" s="19" t="s">
        <v>70</v>
      </c>
      <c r="J335" s="19" t="s">
        <v>71</v>
      </c>
      <c r="K335" s="19" t="s">
        <v>38</v>
      </c>
      <c r="L335" s="19" t="s">
        <v>72</v>
      </c>
      <c r="M335" s="19" t="s">
        <v>129</v>
      </c>
      <c r="N335" s="19" t="s">
        <v>643</v>
      </c>
    </row>
    <row r="336" spans="1:14" ht="22.5" customHeight="1">
      <c r="A336" s="18">
        <v>45992.523641504631</v>
      </c>
      <c r="B336" s="19" t="s">
        <v>351</v>
      </c>
      <c r="C336" s="19" t="s">
        <v>70</v>
      </c>
      <c r="J336" s="19" t="s">
        <v>354</v>
      </c>
      <c r="K336" s="19" t="s">
        <v>43</v>
      </c>
      <c r="L336" s="19" t="s">
        <v>167</v>
      </c>
      <c r="M336" s="19" t="s">
        <v>138</v>
      </c>
      <c r="N336" s="19" t="s">
        <v>644</v>
      </c>
    </row>
    <row r="337" spans="1:14" ht="22.5" customHeight="1">
      <c r="A337" s="18">
        <v>45992.537140196757</v>
      </c>
      <c r="B337" s="19" t="s">
        <v>580</v>
      </c>
      <c r="C337" s="19" t="s">
        <v>70</v>
      </c>
      <c r="J337" s="19" t="s">
        <v>645</v>
      </c>
      <c r="K337" s="19" t="s">
        <v>38</v>
      </c>
      <c r="L337" s="19" t="s">
        <v>105</v>
      </c>
      <c r="M337" s="19" t="s">
        <v>173</v>
      </c>
      <c r="N337" s="19" t="s">
        <v>646</v>
      </c>
    </row>
    <row r="338" spans="1:14" ht="22.5" customHeight="1">
      <c r="A338" s="18">
        <v>45992.543785636575</v>
      </c>
      <c r="B338" s="19" t="s">
        <v>580</v>
      </c>
      <c r="C338" s="19" t="s">
        <v>70</v>
      </c>
      <c r="J338" s="19" t="s">
        <v>647</v>
      </c>
      <c r="K338" s="19" t="s">
        <v>38</v>
      </c>
      <c r="L338" s="19" t="s">
        <v>167</v>
      </c>
      <c r="M338" s="19" t="s">
        <v>129</v>
      </c>
      <c r="N338" s="19" t="s">
        <v>648</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546875" defaultRowHeight="15.75" customHeight="1"/>
  <cols>
    <col min="1" max="1" width="19.44140625" customWidth="1"/>
    <col min="2" max="2" width="46.6640625" customWidth="1"/>
    <col min="3" max="3" width="18.5546875" customWidth="1"/>
    <col min="6" max="9" width="19.44140625" customWidth="1"/>
  </cols>
  <sheetData>
    <row r="1" spans="1:9" ht="22.5" customHeight="1">
      <c r="A1" s="21" t="s">
        <v>649</v>
      </c>
      <c r="B1" s="21" t="s">
        <v>650</v>
      </c>
      <c r="C1" s="22" t="s">
        <v>651</v>
      </c>
      <c r="D1" s="21" t="s">
        <v>652</v>
      </c>
      <c r="E1" s="21" t="s">
        <v>34</v>
      </c>
      <c r="F1" s="22" t="s">
        <v>653</v>
      </c>
      <c r="G1" s="23" t="s">
        <v>654</v>
      </c>
      <c r="H1" s="23" t="s">
        <v>655</v>
      </c>
      <c r="I1" s="23" t="s">
        <v>656</v>
      </c>
    </row>
    <row r="2" spans="1:9" ht="22.5" customHeight="1">
      <c r="A2" s="24" t="s">
        <v>657</v>
      </c>
      <c r="B2" s="25" t="s">
        <v>658</v>
      </c>
      <c r="C2" s="26" t="s">
        <v>659</v>
      </c>
      <c r="D2" s="27" t="s">
        <v>660</v>
      </c>
      <c r="E2" s="27"/>
      <c r="F2" s="27">
        <v>9647747440755</v>
      </c>
      <c r="G2" s="28" t="s">
        <v>661</v>
      </c>
      <c r="H2" s="27"/>
      <c r="I2" s="29" t="s">
        <v>13</v>
      </c>
    </row>
    <row r="3" spans="1:9" ht="22.5" customHeight="1">
      <c r="A3" s="30" t="s">
        <v>662</v>
      </c>
      <c r="B3" s="31" t="s">
        <v>663</v>
      </c>
      <c r="C3" s="26" t="s">
        <v>659</v>
      </c>
      <c r="D3" s="27" t="s">
        <v>660</v>
      </c>
      <c r="E3" s="27"/>
      <c r="F3" s="27">
        <v>9647804966740</v>
      </c>
      <c r="G3" s="28" t="s">
        <v>15</v>
      </c>
      <c r="H3" s="27"/>
      <c r="I3" s="29" t="s">
        <v>15</v>
      </c>
    </row>
    <row r="4" spans="1:9" ht="22.5" customHeight="1">
      <c r="A4" s="30" t="s">
        <v>664</v>
      </c>
      <c r="B4" s="31" t="s">
        <v>665</v>
      </c>
      <c r="C4" s="26" t="s">
        <v>659</v>
      </c>
      <c r="D4" s="27" t="s">
        <v>660</v>
      </c>
      <c r="E4" s="27"/>
      <c r="F4" s="27">
        <v>9647744774982</v>
      </c>
      <c r="G4" s="28" t="s">
        <v>15</v>
      </c>
      <c r="H4" s="27"/>
      <c r="I4" s="29" t="s">
        <v>17</v>
      </c>
    </row>
    <row r="5" spans="1:9" ht="22.5" customHeight="1">
      <c r="A5" s="24" t="s">
        <v>666</v>
      </c>
      <c r="B5" s="25" t="s">
        <v>658</v>
      </c>
      <c r="C5" s="26" t="s">
        <v>659</v>
      </c>
      <c r="D5" s="27" t="s">
        <v>660</v>
      </c>
      <c r="E5" s="27"/>
      <c r="F5" s="27">
        <v>9647830414470</v>
      </c>
      <c r="G5" s="28" t="s">
        <v>15</v>
      </c>
      <c r="H5" s="27"/>
      <c r="I5" s="29" t="s">
        <v>16</v>
      </c>
    </row>
    <row r="6" spans="1:9" ht="22.5" customHeight="1">
      <c r="A6" s="30" t="s">
        <v>667</v>
      </c>
      <c r="B6" s="31" t="s">
        <v>658</v>
      </c>
      <c r="C6" s="26" t="s">
        <v>659</v>
      </c>
      <c r="D6" s="27" t="s">
        <v>660</v>
      </c>
      <c r="E6" s="27"/>
      <c r="F6" s="27">
        <v>9647719830876</v>
      </c>
      <c r="G6" s="28" t="s">
        <v>15</v>
      </c>
      <c r="H6" s="27"/>
      <c r="I6" s="29" t="s">
        <v>661</v>
      </c>
    </row>
    <row r="7" spans="1:9" ht="22.5" customHeight="1">
      <c r="A7" s="30" t="s">
        <v>668</v>
      </c>
      <c r="B7" s="31" t="s">
        <v>128</v>
      </c>
      <c r="C7" s="26" t="s">
        <v>659</v>
      </c>
      <c r="D7" s="27" t="s">
        <v>660</v>
      </c>
      <c r="E7" s="27"/>
      <c r="F7" s="27">
        <v>9647713071204</v>
      </c>
      <c r="G7" s="28" t="s">
        <v>17</v>
      </c>
      <c r="H7" s="27"/>
      <c r="I7" s="29" t="s">
        <v>499</v>
      </c>
    </row>
    <row r="8" spans="1:9" ht="22.5" customHeight="1">
      <c r="A8" s="30" t="s">
        <v>669</v>
      </c>
      <c r="B8" s="31" t="s">
        <v>658</v>
      </c>
      <c r="C8" s="26" t="s">
        <v>659</v>
      </c>
      <c r="D8" s="27" t="s">
        <v>660</v>
      </c>
      <c r="E8" s="27"/>
      <c r="F8" s="27">
        <v>9647800031322</v>
      </c>
      <c r="G8" s="28" t="s">
        <v>17</v>
      </c>
      <c r="H8" s="27"/>
      <c r="I8" s="29" t="s">
        <v>110</v>
      </c>
    </row>
    <row r="9" spans="1:9" ht="22.5" customHeight="1">
      <c r="A9" s="30" t="s">
        <v>670</v>
      </c>
      <c r="B9" s="31" t="s">
        <v>658</v>
      </c>
      <c r="C9" s="26" t="s">
        <v>659</v>
      </c>
      <c r="D9" s="27" t="s">
        <v>660</v>
      </c>
      <c r="E9" s="27"/>
      <c r="F9" s="27">
        <v>9647719155809</v>
      </c>
      <c r="G9" s="28" t="s">
        <v>17</v>
      </c>
      <c r="H9" s="27"/>
      <c r="I9" s="29" t="s">
        <v>671</v>
      </c>
    </row>
    <row r="10" spans="1:9" ht="22.5" customHeight="1">
      <c r="A10" s="30" t="s">
        <v>672</v>
      </c>
      <c r="B10" s="31" t="s">
        <v>673</v>
      </c>
      <c r="C10" s="26" t="s">
        <v>659</v>
      </c>
      <c r="D10" s="27" t="s">
        <v>660</v>
      </c>
      <c r="E10" s="27"/>
      <c r="F10" s="27">
        <v>9647730888623</v>
      </c>
      <c r="G10" s="28" t="s">
        <v>13</v>
      </c>
      <c r="H10" s="27"/>
    </row>
    <row r="11" spans="1:9" ht="22.5" customHeight="1">
      <c r="A11" s="30" t="s">
        <v>674</v>
      </c>
      <c r="B11" s="31" t="s">
        <v>675</v>
      </c>
      <c r="C11" s="26" t="s">
        <v>659</v>
      </c>
      <c r="D11" s="27" t="s">
        <v>660</v>
      </c>
      <c r="E11" s="27"/>
      <c r="F11" s="27">
        <v>9647825475204</v>
      </c>
      <c r="G11" s="28" t="s">
        <v>13</v>
      </c>
      <c r="H11" s="27"/>
    </row>
    <row r="12" spans="1:9" ht="22.5" customHeight="1">
      <c r="A12" s="30" t="s">
        <v>676</v>
      </c>
      <c r="B12" s="32" t="s">
        <v>56</v>
      </c>
      <c r="C12" s="26" t="s">
        <v>659</v>
      </c>
      <c r="D12" s="27" t="s">
        <v>660</v>
      </c>
      <c r="E12" s="27"/>
      <c r="F12" s="27">
        <v>9647735559707</v>
      </c>
      <c r="G12" s="28" t="s">
        <v>13</v>
      </c>
      <c r="H12" s="27"/>
    </row>
    <row r="13" spans="1:9" ht="22.5" customHeight="1">
      <c r="A13" s="30" t="s">
        <v>677</v>
      </c>
      <c r="B13" s="31" t="s">
        <v>658</v>
      </c>
      <c r="C13" s="26" t="s">
        <v>659</v>
      </c>
      <c r="D13" s="27" t="s">
        <v>660</v>
      </c>
      <c r="E13" s="27"/>
      <c r="F13" s="27">
        <v>9647802331887</v>
      </c>
      <c r="G13" s="28" t="s">
        <v>13</v>
      </c>
      <c r="H13" s="27"/>
      <c r="I13" s="29"/>
    </row>
    <row r="14" spans="1:9" ht="22.5" customHeight="1">
      <c r="A14" s="24" t="s">
        <v>678</v>
      </c>
      <c r="B14" s="25" t="s">
        <v>658</v>
      </c>
      <c r="C14" s="26" t="s">
        <v>659</v>
      </c>
      <c r="D14" s="27" t="s">
        <v>660</v>
      </c>
      <c r="E14" s="27"/>
      <c r="F14" s="27">
        <v>9647817773219</v>
      </c>
      <c r="G14" s="28" t="s">
        <v>13</v>
      </c>
      <c r="H14" s="27"/>
    </row>
    <row r="15" spans="1:9" ht="22.5" customHeight="1">
      <c r="A15" s="24" t="s">
        <v>679</v>
      </c>
      <c r="B15" s="25" t="s">
        <v>658</v>
      </c>
      <c r="C15" s="26" t="s">
        <v>659</v>
      </c>
      <c r="D15" s="27" t="s">
        <v>660</v>
      </c>
      <c r="E15" s="27"/>
      <c r="F15" s="27">
        <v>9647700479006</v>
      </c>
      <c r="G15" s="28" t="s">
        <v>13</v>
      </c>
      <c r="H15" s="27"/>
    </row>
    <row r="16" spans="1:9" ht="22.5" customHeight="1">
      <c r="A16" s="30" t="s">
        <v>680</v>
      </c>
      <c r="B16" s="32" t="s">
        <v>35</v>
      </c>
      <c r="C16" s="26" t="s">
        <v>681</v>
      </c>
      <c r="D16" s="27" t="s">
        <v>660</v>
      </c>
      <c r="E16" s="27" t="s">
        <v>682</v>
      </c>
      <c r="F16" s="33" t="s">
        <v>683</v>
      </c>
      <c r="G16" s="28" t="s">
        <v>499</v>
      </c>
      <c r="H16" s="33"/>
    </row>
    <row r="17" spans="1:9" ht="22.5" customHeight="1">
      <c r="A17" s="24" t="s">
        <v>680</v>
      </c>
      <c r="B17" s="34" t="s">
        <v>35</v>
      </c>
      <c r="C17" s="26" t="s">
        <v>659</v>
      </c>
      <c r="D17" s="27" t="s">
        <v>660</v>
      </c>
      <c r="E17" s="27" t="s">
        <v>684</v>
      </c>
      <c r="F17" s="27"/>
      <c r="G17" s="28" t="s">
        <v>499</v>
      </c>
      <c r="H17" s="27"/>
    </row>
    <row r="18" spans="1:9" ht="22.5" customHeight="1">
      <c r="A18" s="30" t="s">
        <v>685</v>
      </c>
      <c r="B18" s="31" t="s">
        <v>686</v>
      </c>
      <c r="C18" s="26" t="s">
        <v>659</v>
      </c>
      <c r="D18" s="27" t="s">
        <v>660</v>
      </c>
      <c r="E18" s="27"/>
      <c r="F18" s="27"/>
      <c r="G18" s="28" t="s">
        <v>499</v>
      </c>
      <c r="H18" s="27"/>
      <c r="I18" s="29"/>
    </row>
    <row r="19" spans="1:9" ht="22.5" customHeight="1">
      <c r="A19" s="30" t="s">
        <v>687</v>
      </c>
      <c r="B19" s="31" t="s">
        <v>658</v>
      </c>
      <c r="C19" s="26" t="s">
        <v>659</v>
      </c>
      <c r="D19" s="27" t="s">
        <v>660</v>
      </c>
      <c r="E19" s="27"/>
      <c r="F19" s="27">
        <v>9647715317444</v>
      </c>
      <c r="G19" s="28" t="s">
        <v>13</v>
      </c>
      <c r="H19" s="27"/>
      <c r="I19" s="29"/>
    </row>
    <row r="20" spans="1:9" ht="22.5" customHeight="1">
      <c r="A20" s="30" t="s">
        <v>688</v>
      </c>
      <c r="B20" s="31" t="s">
        <v>689</v>
      </c>
      <c r="C20" s="26" t="s">
        <v>659</v>
      </c>
      <c r="D20" s="27" t="s">
        <v>660</v>
      </c>
      <c r="E20" s="27"/>
      <c r="F20" s="27"/>
      <c r="G20" s="28" t="s">
        <v>499</v>
      </c>
      <c r="H20" s="27"/>
      <c r="I20" s="29"/>
    </row>
    <row r="21" spans="1:9" ht="22.5" customHeight="1">
      <c r="A21" s="30" t="s">
        <v>690</v>
      </c>
      <c r="B21" s="31" t="s">
        <v>691</v>
      </c>
      <c r="C21" s="26" t="s">
        <v>659</v>
      </c>
      <c r="D21" s="27" t="s">
        <v>660</v>
      </c>
      <c r="E21" s="27"/>
      <c r="F21" s="27"/>
      <c r="G21" s="28" t="s">
        <v>499</v>
      </c>
      <c r="H21" s="27"/>
      <c r="I21" s="29"/>
    </row>
    <row r="22" spans="1:9" ht="22.5" customHeight="1">
      <c r="A22" s="30"/>
      <c r="B22" s="31"/>
      <c r="C22" s="26"/>
      <c r="D22" s="27"/>
      <c r="E22" s="27"/>
      <c r="F22" s="27"/>
      <c r="G22" s="28" t="s">
        <v>110</v>
      </c>
      <c r="H22" s="27"/>
      <c r="I22" s="29"/>
    </row>
    <row r="23" spans="1:9" ht="22.5" customHeight="1">
      <c r="A23" s="30" t="s">
        <v>692</v>
      </c>
      <c r="B23" s="31" t="s">
        <v>47</v>
      </c>
      <c r="C23" s="26" t="s">
        <v>659</v>
      </c>
      <c r="D23" s="27" t="s">
        <v>660</v>
      </c>
      <c r="E23" s="27"/>
      <c r="F23" s="27"/>
      <c r="G23" s="28" t="s">
        <v>110</v>
      </c>
      <c r="H23" s="27"/>
      <c r="I23" s="29"/>
    </row>
    <row r="24" spans="1:9" ht="22.5" customHeight="1">
      <c r="A24" s="30" t="s">
        <v>693</v>
      </c>
      <c r="B24" s="31" t="s">
        <v>101</v>
      </c>
      <c r="C24" s="26" t="s">
        <v>659</v>
      </c>
      <c r="D24" s="27" t="s">
        <v>660</v>
      </c>
      <c r="E24" s="27"/>
      <c r="F24" s="27"/>
      <c r="G24" s="28" t="s">
        <v>110</v>
      </c>
      <c r="H24" s="27"/>
      <c r="I24" s="29"/>
    </row>
    <row r="25" spans="1:9" ht="22.5" customHeight="1">
      <c r="A25" s="30" t="s">
        <v>694</v>
      </c>
      <c r="B25" s="31" t="s">
        <v>695</v>
      </c>
      <c r="C25" s="26" t="s">
        <v>659</v>
      </c>
      <c r="D25" s="27"/>
      <c r="E25" s="27"/>
      <c r="F25" s="27"/>
      <c r="G25" s="28" t="s">
        <v>110</v>
      </c>
      <c r="H25" s="27"/>
      <c r="I25" s="29"/>
    </row>
    <row r="26" spans="1:9" ht="22.5" customHeight="1">
      <c r="A26" s="24" t="s">
        <v>696</v>
      </c>
      <c r="B26" s="25" t="s">
        <v>658</v>
      </c>
      <c r="C26" s="26" t="s">
        <v>659</v>
      </c>
      <c r="D26" s="27" t="s">
        <v>660</v>
      </c>
      <c r="E26" s="27"/>
      <c r="F26" s="27">
        <v>9647825457007</v>
      </c>
      <c r="G26" s="28" t="s">
        <v>16</v>
      </c>
      <c r="H26" s="27"/>
      <c r="I26" s="29"/>
    </row>
    <row r="27" spans="1:9" ht="22.5" customHeight="1">
      <c r="A27" s="24" t="s">
        <v>697</v>
      </c>
      <c r="B27" s="25" t="s">
        <v>658</v>
      </c>
      <c r="C27" s="26" t="s">
        <v>659</v>
      </c>
      <c r="D27" s="27" t="s">
        <v>660</v>
      </c>
      <c r="E27" s="27"/>
      <c r="F27" s="27">
        <v>9647711625371</v>
      </c>
      <c r="G27" s="28" t="s">
        <v>16</v>
      </c>
      <c r="H27" s="27"/>
      <c r="I27" s="29"/>
    </row>
    <row r="28" spans="1:9" ht="22.5" customHeight="1">
      <c r="A28" s="24" t="s">
        <v>698</v>
      </c>
      <c r="B28" s="25" t="s">
        <v>658</v>
      </c>
      <c r="C28" s="26" t="s">
        <v>659</v>
      </c>
      <c r="D28" s="27" t="s">
        <v>660</v>
      </c>
      <c r="E28" s="27"/>
      <c r="F28" s="27">
        <v>9647709701094</v>
      </c>
      <c r="G28" s="28" t="s">
        <v>16</v>
      </c>
      <c r="H28" s="27"/>
      <c r="I28" s="29"/>
    </row>
    <row r="29" spans="1:9" ht="22.5" customHeight="1">
      <c r="A29" s="30" t="s">
        <v>676</v>
      </c>
      <c r="B29" s="32" t="s">
        <v>56</v>
      </c>
      <c r="C29" s="26" t="s">
        <v>659</v>
      </c>
      <c r="D29" s="27" t="s">
        <v>660</v>
      </c>
      <c r="E29" s="27"/>
      <c r="F29" s="27"/>
      <c r="G29" s="28" t="s">
        <v>671</v>
      </c>
      <c r="H29" s="27"/>
      <c r="I29" s="29"/>
    </row>
    <row r="30" spans="1:9" ht="22.5" customHeight="1">
      <c r="A30" s="24" t="s">
        <v>676</v>
      </c>
      <c r="B30" s="35" t="s">
        <v>56</v>
      </c>
      <c r="C30" s="26" t="s">
        <v>681</v>
      </c>
      <c r="D30" s="27"/>
      <c r="E30" s="27"/>
      <c r="F30" s="27"/>
      <c r="G30" s="28" t="s">
        <v>671</v>
      </c>
      <c r="H30" s="27"/>
      <c r="I30" s="29"/>
    </row>
    <row r="31" spans="1:9" ht="22.5" customHeight="1">
      <c r="A31" s="36"/>
      <c r="B31" s="37"/>
      <c r="C31" s="38"/>
      <c r="D31" s="29"/>
      <c r="E31" s="29"/>
      <c r="F31" s="29"/>
      <c r="G31" s="39"/>
      <c r="H31" s="29"/>
      <c r="I31" s="29"/>
    </row>
    <row r="32" spans="1:9" ht="22.5" customHeight="1">
      <c r="A32" s="36"/>
      <c r="B32" s="37"/>
      <c r="C32" s="38"/>
      <c r="D32" s="29"/>
      <c r="E32" s="29"/>
      <c r="F32" s="29"/>
      <c r="G32" s="39"/>
      <c r="H32" s="29"/>
      <c r="I32" s="29"/>
    </row>
    <row r="33" spans="1:9" ht="22.5" customHeight="1">
      <c r="A33" s="36"/>
      <c r="B33" s="37"/>
      <c r="C33" s="38"/>
      <c r="D33" s="29"/>
      <c r="E33" s="29"/>
      <c r="F33" s="29"/>
      <c r="G33" s="39"/>
      <c r="H33" s="29"/>
      <c r="I33" s="29"/>
    </row>
    <row r="34" spans="1:9" ht="22.5" customHeight="1">
      <c r="A34" s="36"/>
      <c r="B34" s="37"/>
      <c r="C34" s="38"/>
      <c r="D34" s="29"/>
      <c r="E34" s="29"/>
      <c r="F34" s="29"/>
      <c r="G34" s="39"/>
      <c r="H34" s="29"/>
      <c r="I34" s="29"/>
    </row>
    <row r="35" spans="1:9" ht="22.5" customHeight="1">
      <c r="A35" s="36"/>
      <c r="B35" s="37"/>
      <c r="C35" s="38"/>
      <c r="D35" s="29"/>
      <c r="E35" s="29"/>
      <c r="F35" s="29"/>
      <c r="G35" s="39"/>
      <c r="H35" s="29"/>
      <c r="I35" s="29"/>
    </row>
    <row r="36" spans="1:9" ht="22.5" customHeight="1">
      <c r="A36" s="36"/>
      <c r="B36" s="37"/>
      <c r="C36" s="38"/>
      <c r="D36" s="29"/>
      <c r="E36" s="29"/>
      <c r="F36" s="29"/>
      <c r="G36" s="39"/>
      <c r="H36" s="29"/>
      <c r="I36" s="29"/>
    </row>
    <row r="37" spans="1:9" ht="22.5" customHeight="1">
      <c r="A37" s="36"/>
      <c r="B37" s="37"/>
      <c r="C37" s="38"/>
      <c r="D37" s="29"/>
      <c r="E37" s="29"/>
      <c r="F37" s="29"/>
      <c r="G37" s="39"/>
      <c r="H37" s="29"/>
      <c r="I37" s="29"/>
    </row>
    <row r="38" spans="1:9" ht="22.5" customHeight="1">
      <c r="A38" s="36"/>
      <c r="B38" s="37"/>
      <c r="C38" s="38"/>
      <c r="D38" s="29"/>
      <c r="E38" s="29"/>
      <c r="F38" s="29"/>
      <c r="G38" s="39"/>
      <c r="H38" s="29"/>
      <c r="I38" s="29"/>
    </row>
    <row r="39" spans="1:9" ht="22.5" customHeight="1">
      <c r="A39" s="36"/>
      <c r="B39" s="37"/>
      <c r="C39" s="38"/>
      <c r="D39" s="29"/>
      <c r="E39" s="29"/>
      <c r="F39" s="29"/>
      <c r="G39" s="39"/>
      <c r="H39" s="29"/>
      <c r="I39" s="29"/>
    </row>
    <row r="40" spans="1:9" ht="22.5" customHeight="1">
      <c r="A40" s="36"/>
      <c r="B40" s="37"/>
      <c r="C40" s="38"/>
      <c r="D40" s="29"/>
      <c r="E40" s="29"/>
      <c r="F40" s="29"/>
      <c r="G40" s="39"/>
      <c r="H40" s="29"/>
      <c r="I40" s="29"/>
    </row>
    <row r="41" spans="1:9" ht="22.5" customHeight="1">
      <c r="A41" s="36"/>
      <c r="B41" s="37"/>
      <c r="C41" s="38"/>
      <c r="D41" s="29"/>
      <c r="E41" s="29"/>
      <c r="F41" s="29"/>
      <c r="G41" s="39"/>
      <c r="H41" s="29"/>
      <c r="I41" s="29"/>
    </row>
    <row r="42" spans="1:9" ht="22.5" customHeight="1">
      <c r="A42" s="36"/>
      <c r="B42" s="37"/>
      <c r="C42" s="38"/>
      <c r="D42" s="29"/>
      <c r="E42" s="29"/>
      <c r="F42" s="29"/>
      <c r="G42" s="39"/>
      <c r="H42" s="29"/>
      <c r="I42" s="29"/>
    </row>
    <row r="43" spans="1:9" ht="22.5" customHeight="1">
      <c r="A43" s="36"/>
      <c r="B43" s="37"/>
      <c r="C43" s="38"/>
      <c r="D43" s="29"/>
      <c r="E43" s="29"/>
      <c r="F43" s="29"/>
      <c r="G43" s="39"/>
      <c r="H43" s="29"/>
      <c r="I43" s="29"/>
    </row>
    <row r="44" spans="1:9" ht="22.5" customHeight="1">
      <c r="A44" s="36"/>
      <c r="B44" s="37"/>
      <c r="C44" s="38"/>
      <c r="D44" s="29"/>
      <c r="E44" s="29"/>
      <c r="F44" s="29"/>
      <c r="G44" s="39"/>
      <c r="H44" s="29"/>
      <c r="I44" s="29"/>
    </row>
    <row r="45" spans="1:9" ht="22.5" customHeight="1">
      <c r="A45" s="36"/>
      <c r="B45" s="37"/>
      <c r="C45" s="38"/>
      <c r="D45" s="29"/>
      <c r="E45" s="29"/>
      <c r="F45" s="29"/>
      <c r="G45" s="39"/>
      <c r="H45" s="29"/>
      <c r="I45" s="29"/>
    </row>
    <row r="46" spans="1:9" ht="22.5" customHeight="1">
      <c r="A46" s="36"/>
      <c r="B46" s="37"/>
      <c r="C46" s="38"/>
      <c r="D46" s="29"/>
      <c r="E46" s="29"/>
      <c r="F46" s="29"/>
      <c r="G46" s="39"/>
      <c r="H46" s="29"/>
      <c r="I46" s="29"/>
    </row>
    <row r="47" spans="1:9" ht="22.5" customHeight="1">
      <c r="A47" s="36"/>
      <c r="B47" s="37"/>
      <c r="C47" s="38"/>
      <c r="D47" s="29"/>
      <c r="E47" s="29"/>
      <c r="F47" s="29"/>
      <c r="G47" s="39"/>
      <c r="H47" s="29"/>
      <c r="I47" s="29"/>
    </row>
    <row r="48" spans="1:9" ht="22.5" customHeight="1">
      <c r="A48" s="36"/>
      <c r="B48" s="37"/>
      <c r="C48" s="38"/>
      <c r="D48" s="29"/>
      <c r="E48" s="29"/>
      <c r="F48" s="29"/>
      <c r="G48" s="39"/>
      <c r="H48" s="29"/>
      <c r="I48" s="29"/>
    </row>
    <row r="49" spans="1:9" ht="22.5" customHeight="1">
      <c r="A49" s="36"/>
      <c r="B49" s="37"/>
      <c r="C49" s="38"/>
      <c r="D49" s="29"/>
      <c r="E49" s="29"/>
      <c r="F49" s="29"/>
      <c r="G49" s="39"/>
      <c r="H49" s="29"/>
      <c r="I49" s="29"/>
    </row>
    <row r="50" spans="1:9" ht="22.5" customHeight="1">
      <c r="A50" s="36"/>
      <c r="B50" s="37"/>
      <c r="C50" s="38"/>
      <c r="D50" s="29"/>
      <c r="E50" s="29"/>
      <c r="F50" s="29"/>
      <c r="G50" s="39"/>
      <c r="H50" s="29"/>
      <c r="I50" s="29"/>
    </row>
    <row r="51" spans="1:9" ht="22.5" customHeight="1">
      <c r="A51" s="36"/>
      <c r="B51" s="37"/>
      <c r="C51" s="38"/>
      <c r="D51" s="29"/>
      <c r="E51" s="29"/>
      <c r="F51" s="29"/>
      <c r="G51" s="39"/>
      <c r="H51" s="29"/>
      <c r="I51" s="29"/>
    </row>
    <row r="52" spans="1:9" ht="22.5" customHeight="1">
      <c r="A52" s="36"/>
      <c r="B52" s="37"/>
      <c r="C52" s="38"/>
      <c r="D52" s="29"/>
      <c r="E52" s="29"/>
      <c r="F52" s="29"/>
      <c r="G52" s="39"/>
      <c r="H52" s="29"/>
      <c r="I52" s="29"/>
    </row>
    <row r="53" spans="1:9" ht="22.5" customHeight="1">
      <c r="A53" s="36"/>
      <c r="B53" s="37"/>
      <c r="C53" s="38"/>
      <c r="D53" s="29"/>
      <c r="E53" s="29"/>
      <c r="F53" s="29"/>
      <c r="G53" s="39"/>
      <c r="H53" s="29"/>
      <c r="I53" s="29"/>
    </row>
    <row r="54" spans="1:9" ht="22.5" customHeight="1">
      <c r="A54" s="36"/>
      <c r="B54" s="37"/>
      <c r="C54" s="38"/>
      <c r="D54" s="29"/>
      <c r="E54" s="29"/>
      <c r="F54" s="29"/>
      <c r="G54" s="39"/>
      <c r="H54" s="29"/>
      <c r="I54" s="29"/>
    </row>
    <row r="55" spans="1:9" ht="22.5" customHeight="1">
      <c r="A55" s="36"/>
      <c r="B55" s="37"/>
      <c r="C55" s="38"/>
      <c r="D55" s="29"/>
      <c r="E55" s="29"/>
      <c r="F55" s="29"/>
      <c r="G55" s="39"/>
      <c r="H55" s="29"/>
      <c r="I55" s="29"/>
    </row>
    <row r="56" spans="1:9" ht="22.5" customHeight="1">
      <c r="A56" s="36"/>
      <c r="B56" s="37"/>
      <c r="C56" s="38"/>
      <c r="D56" s="29"/>
      <c r="E56" s="29"/>
      <c r="F56" s="29"/>
      <c r="G56" s="39"/>
      <c r="H56" s="29"/>
      <c r="I56" s="29"/>
    </row>
    <row r="57" spans="1:9" ht="22.5" customHeight="1">
      <c r="A57" s="36"/>
      <c r="B57" s="37"/>
      <c r="C57" s="38"/>
      <c r="D57" s="29"/>
      <c r="E57" s="29"/>
      <c r="F57" s="29"/>
      <c r="G57" s="39"/>
      <c r="H57" s="29"/>
      <c r="I57" s="29"/>
    </row>
    <row r="58" spans="1:9" ht="22.5" customHeight="1">
      <c r="A58" s="36"/>
      <c r="B58" s="37"/>
      <c r="C58" s="38"/>
      <c r="D58" s="29"/>
      <c r="E58" s="29"/>
      <c r="F58" s="29"/>
      <c r="G58" s="39"/>
      <c r="H58" s="29"/>
      <c r="I58" s="29"/>
    </row>
    <row r="59" spans="1:9" ht="22.5" customHeight="1">
      <c r="A59" s="36"/>
      <c r="B59" s="37"/>
      <c r="C59" s="38"/>
      <c r="D59" s="29"/>
      <c r="E59" s="29"/>
      <c r="F59" s="29"/>
      <c r="G59" s="39"/>
      <c r="H59" s="29"/>
      <c r="I59" s="29"/>
    </row>
    <row r="60" spans="1:9" ht="22.5" customHeight="1">
      <c r="A60" s="36"/>
      <c r="B60" s="37"/>
      <c r="C60" s="38"/>
      <c r="D60" s="29"/>
      <c r="E60" s="29"/>
      <c r="F60" s="29"/>
      <c r="G60" s="39"/>
      <c r="H60" s="29"/>
      <c r="I60" s="29"/>
    </row>
    <row r="61" spans="1:9" ht="22.5" customHeight="1">
      <c r="A61" s="36"/>
      <c r="B61" s="37"/>
      <c r="C61" s="38"/>
      <c r="D61" s="29"/>
      <c r="E61" s="29"/>
      <c r="F61" s="29"/>
      <c r="G61" s="39"/>
      <c r="H61" s="29"/>
      <c r="I61" s="29"/>
    </row>
    <row r="62" spans="1:9" ht="22.5" customHeight="1">
      <c r="A62" s="36"/>
      <c r="B62" s="37"/>
      <c r="C62" s="38"/>
      <c r="D62" s="29"/>
      <c r="E62" s="29"/>
      <c r="F62" s="29"/>
      <c r="G62" s="39"/>
      <c r="H62" s="29"/>
      <c r="I62" s="29"/>
    </row>
    <row r="63" spans="1:9" ht="22.5" customHeight="1">
      <c r="A63" s="36"/>
      <c r="B63" s="37"/>
      <c r="C63" s="38"/>
      <c r="D63" s="29"/>
      <c r="E63" s="29"/>
      <c r="F63" s="29"/>
      <c r="G63" s="39"/>
      <c r="H63" s="29"/>
      <c r="I63" s="29"/>
    </row>
    <row r="64" spans="1:9" ht="22.5" customHeight="1">
      <c r="A64" s="36"/>
      <c r="B64" s="37"/>
      <c r="C64" s="38"/>
      <c r="D64" s="29"/>
      <c r="E64" s="29"/>
      <c r="F64" s="29"/>
      <c r="G64" s="39"/>
      <c r="H64" s="29"/>
      <c r="I64" s="29"/>
    </row>
    <row r="65" spans="1:9" ht="22.5" customHeight="1">
      <c r="A65" s="36"/>
      <c r="B65" s="37"/>
      <c r="C65" s="38"/>
      <c r="D65" s="29"/>
      <c r="E65" s="29"/>
      <c r="F65" s="29"/>
      <c r="G65" s="39"/>
      <c r="H65" s="29"/>
      <c r="I65" s="29"/>
    </row>
    <row r="66" spans="1:9" ht="22.5" customHeight="1">
      <c r="A66" s="36"/>
      <c r="B66" s="37"/>
      <c r="C66" s="38"/>
      <c r="D66" s="29"/>
      <c r="E66" s="29"/>
      <c r="F66" s="29"/>
      <c r="G66" s="39"/>
      <c r="H66" s="29"/>
      <c r="I66" s="29"/>
    </row>
    <row r="67" spans="1:9" ht="22.5" customHeight="1">
      <c r="A67" s="36"/>
      <c r="B67" s="37"/>
      <c r="C67" s="38"/>
      <c r="D67" s="29"/>
      <c r="E67" s="29"/>
      <c r="F67" s="29"/>
      <c r="G67" s="39"/>
      <c r="H67" s="29"/>
      <c r="I67" s="29"/>
    </row>
    <row r="68" spans="1:9" ht="22.5" customHeight="1">
      <c r="A68" s="36"/>
      <c r="B68" s="37"/>
      <c r="C68" s="38"/>
      <c r="D68" s="29"/>
      <c r="E68" s="29"/>
      <c r="F68" s="29"/>
      <c r="G68" s="39"/>
      <c r="H68" s="29"/>
      <c r="I68" s="29"/>
    </row>
    <row r="69" spans="1:9" ht="22.5" customHeight="1">
      <c r="A69" s="36"/>
      <c r="B69" s="37"/>
      <c r="C69" s="38"/>
      <c r="D69" s="29"/>
      <c r="E69" s="29"/>
      <c r="F69" s="29"/>
      <c r="G69" s="39"/>
      <c r="H69" s="29"/>
      <c r="I69" s="29"/>
    </row>
    <row r="70" spans="1:9" ht="22.5" customHeight="1">
      <c r="A70" s="36"/>
      <c r="B70" s="37"/>
      <c r="C70" s="38"/>
      <c r="D70" s="29"/>
      <c r="E70" s="29"/>
      <c r="F70" s="29"/>
      <c r="G70" s="39"/>
      <c r="H70" s="29"/>
      <c r="I70" s="29"/>
    </row>
    <row r="71" spans="1:9" ht="22.5" customHeight="1">
      <c r="A71" s="36"/>
      <c r="B71" s="37"/>
      <c r="C71" s="38"/>
      <c r="D71" s="29"/>
      <c r="E71" s="29"/>
      <c r="F71" s="29"/>
      <c r="G71" s="39"/>
      <c r="H71" s="29"/>
      <c r="I71" s="29"/>
    </row>
    <row r="72" spans="1:9" ht="22.5" customHeight="1">
      <c r="A72" s="36"/>
      <c r="B72" s="37"/>
      <c r="C72" s="38"/>
      <c r="D72" s="29"/>
      <c r="E72" s="29"/>
      <c r="F72" s="29"/>
      <c r="G72" s="39"/>
      <c r="H72" s="29"/>
      <c r="I72" s="29"/>
    </row>
    <row r="73" spans="1:9" ht="22.5" customHeight="1">
      <c r="A73" s="36"/>
      <c r="B73" s="37"/>
      <c r="C73" s="38"/>
      <c r="D73" s="29"/>
      <c r="E73" s="29"/>
      <c r="F73" s="29"/>
      <c r="G73" s="39"/>
      <c r="H73" s="29"/>
      <c r="I73" s="29"/>
    </row>
    <row r="74" spans="1:9" ht="22.5" customHeight="1">
      <c r="A74" s="36"/>
      <c r="B74" s="37"/>
      <c r="C74" s="38"/>
      <c r="D74" s="29"/>
      <c r="E74" s="29"/>
      <c r="F74" s="29"/>
      <c r="G74" s="39"/>
      <c r="H74" s="29"/>
      <c r="I74" s="29"/>
    </row>
    <row r="75" spans="1:9" ht="22.5" customHeight="1">
      <c r="A75" s="36"/>
      <c r="B75" s="37"/>
      <c r="C75" s="38"/>
      <c r="D75" s="29"/>
      <c r="E75" s="29"/>
      <c r="F75" s="29"/>
      <c r="G75" s="39"/>
      <c r="H75" s="29"/>
      <c r="I75" s="29"/>
    </row>
    <row r="76" spans="1:9" ht="22.5" customHeight="1">
      <c r="A76" s="36"/>
      <c r="B76" s="37"/>
      <c r="C76" s="38"/>
      <c r="D76" s="29"/>
      <c r="E76" s="29"/>
      <c r="F76" s="29"/>
      <c r="G76" s="39"/>
      <c r="H76" s="29"/>
      <c r="I76" s="29"/>
    </row>
    <row r="77" spans="1:9" ht="22.5" customHeight="1">
      <c r="A77" s="36"/>
      <c r="B77" s="37"/>
      <c r="C77" s="38"/>
      <c r="D77" s="29"/>
      <c r="E77" s="29"/>
      <c r="F77" s="29"/>
      <c r="G77" s="39"/>
      <c r="H77" s="29"/>
      <c r="I77" s="29"/>
    </row>
    <row r="78" spans="1:9" ht="22.5" customHeight="1">
      <c r="A78" s="36"/>
      <c r="B78" s="37"/>
      <c r="C78" s="38"/>
      <c r="D78" s="29"/>
      <c r="E78" s="29"/>
      <c r="F78" s="29"/>
      <c r="G78" s="39"/>
      <c r="H78" s="29"/>
      <c r="I78" s="29"/>
    </row>
    <row r="79" spans="1:9" ht="22.5" customHeight="1">
      <c r="A79" s="36"/>
      <c r="B79" s="37"/>
      <c r="C79" s="38"/>
      <c r="D79" s="29"/>
      <c r="E79" s="29"/>
      <c r="F79" s="29"/>
      <c r="G79" s="39"/>
      <c r="H79" s="29"/>
      <c r="I79" s="29"/>
    </row>
    <row r="80" spans="1:9" ht="22.5" customHeight="1">
      <c r="A80" s="36"/>
      <c r="B80" s="37"/>
      <c r="C80" s="38"/>
      <c r="D80" s="29"/>
      <c r="E80" s="29"/>
      <c r="F80" s="29"/>
      <c r="G80" s="39"/>
      <c r="H80" s="29"/>
      <c r="I80" s="29"/>
    </row>
    <row r="81" spans="1:9" ht="22.5" customHeight="1">
      <c r="A81" s="36"/>
      <c r="B81" s="37"/>
      <c r="C81" s="38"/>
      <c r="D81" s="29"/>
      <c r="E81" s="29"/>
      <c r="F81" s="29"/>
      <c r="G81" s="39"/>
      <c r="H81" s="29"/>
      <c r="I81" s="29"/>
    </row>
    <row r="82" spans="1:9" ht="22.5" customHeight="1">
      <c r="A82" s="36"/>
      <c r="B82" s="37"/>
      <c r="C82" s="38"/>
      <c r="D82" s="29"/>
      <c r="E82" s="29"/>
      <c r="F82" s="29"/>
      <c r="G82" s="39"/>
      <c r="H82" s="29"/>
      <c r="I82" s="29"/>
    </row>
    <row r="83" spans="1:9" ht="22.5" customHeight="1">
      <c r="A83" s="36"/>
      <c r="B83" s="37"/>
      <c r="C83" s="38"/>
      <c r="D83" s="29"/>
      <c r="E83" s="29"/>
      <c r="F83" s="29"/>
      <c r="G83" s="39"/>
      <c r="H83" s="29"/>
      <c r="I83" s="29"/>
    </row>
    <row r="84" spans="1:9" ht="22.5" customHeight="1">
      <c r="A84" s="36"/>
      <c r="B84" s="37"/>
      <c r="C84" s="38"/>
      <c r="D84" s="29"/>
      <c r="E84" s="29"/>
      <c r="F84" s="29"/>
      <c r="G84" s="39"/>
      <c r="H84" s="29"/>
      <c r="I84" s="29"/>
    </row>
    <row r="85" spans="1:9" ht="22.5" customHeight="1">
      <c r="A85" s="36"/>
      <c r="B85" s="37"/>
      <c r="C85" s="38"/>
      <c r="D85" s="29"/>
      <c r="E85" s="29"/>
      <c r="F85" s="29"/>
      <c r="G85" s="39"/>
      <c r="H85" s="29"/>
      <c r="I85" s="29"/>
    </row>
    <row r="86" spans="1:9" ht="22.5" customHeight="1">
      <c r="A86" s="36"/>
      <c r="B86" s="37"/>
      <c r="C86" s="38"/>
      <c r="D86" s="29"/>
      <c r="E86" s="29"/>
      <c r="F86" s="29"/>
      <c r="G86" s="39"/>
      <c r="H86" s="29"/>
      <c r="I86" s="29"/>
    </row>
    <row r="87" spans="1:9" ht="22.5" customHeight="1">
      <c r="A87" s="36"/>
      <c r="B87" s="37"/>
      <c r="C87" s="38"/>
      <c r="D87" s="29"/>
      <c r="E87" s="29"/>
      <c r="F87" s="29"/>
      <c r="G87" s="39"/>
      <c r="H87" s="29"/>
      <c r="I87" s="29"/>
    </row>
    <row r="88" spans="1:9" ht="22.5" customHeight="1">
      <c r="A88" s="36"/>
      <c r="B88" s="37"/>
      <c r="C88" s="38"/>
      <c r="D88" s="29"/>
      <c r="E88" s="29"/>
      <c r="F88" s="29"/>
      <c r="G88" s="39"/>
      <c r="H88" s="29"/>
      <c r="I88" s="29"/>
    </row>
    <row r="89" spans="1:9" ht="22.5" customHeight="1">
      <c r="A89" s="36"/>
      <c r="B89" s="37"/>
      <c r="C89" s="38"/>
      <c r="D89" s="29"/>
      <c r="E89" s="29"/>
      <c r="F89" s="29"/>
      <c r="G89" s="39"/>
      <c r="H89" s="29"/>
      <c r="I89" s="29"/>
    </row>
    <row r="90" spans="1:9" ht="22.5" customHeight="1">
      <c r="A90" s="36"/>
      <c r="B90" s="37"/>
      <c r="C90" s="38"/>
      <c r="D90" s="29"/>
      <c r="E90" s="29"/>
      <c r="F90" s="29"/>
      <c r="G90" s="39"/>
      <c r="H90" s="29"/>
      <c r="I90" s="29"/>
    </row>
    <row r="91" spans="1:9" ht="22.5" customHeight="1">
      <c r="A91" s="36"/>
      <c r="B91" s="37"/>
      <c r="C91" s="38"/>
      <c r="D91" s="29"/>
      <c r="E91" s="29"/>
      <c r="F91" s="29"/>
      <c r="G91" s="39"/>
      <c r="H91" s="29"/>
      <c r="I91" s="29"/>
    </row>
    <row r="92" spans="1:9" ht="22.5" customHeight="1">
      <c r="A92" s="36"/>
      <c r="B92" s="37"/>
      <c r="C92" s="38"/>
      <c r="D92" s="29"/>
      <c r="E92" s="29"/>
      <c r="F92" s="29"/>
      <c r="G92" s="39"/>
      <c r="H92" s="29"/>
      <c r="I92" s="29"/>
    </row>
    <row r="93" spans="1:9" ht="22.5" customHeight="1">
      <c r="A93" s="36"/>
      <c r="B93" s="37"/>
      <c r="C93" s="38"/>
      <c r="D93" s="29"/>
      <c r="E93" s="29"/>
      <c r="F93" s="29"/>
      <c r="G93" s="39"/>
      <c r="H93" s="29"/>
      <c r="I93" s="29"/>
    </row>
    <row r="94" spans="1:9" ht="22.5" customHeight="1">
      <c r="A94" s="36"/>
      <c r="B94" s="37"/>
      <c r="C94" s="38"/>
      <c r="D94" s="29"/>
      <c r="E94" s="29"/>
      <c r="F94" s="29"/>
      <c r="G94" s="39"/>
      <c r="H94" s="29"/>
      <c r="I94" s="29"/>
    </row>
    <row r="95" spans="1:9" ht="22.5" customHeight="1">
      <c r="A95" s="36"/>
      <c r="B95" s="37"/>
      <c r="C95" s="38"/>
      <c r="D95" s="29"/>
      <c r="E95" s="29"/>
      <c r="F95" s="29"/>
      <c r="G95" s="39"/>
      <c r="H95" s="29"/>
      <c r="I95" s="29"/>
    </row>
    <row r="96" spans="1:9" ht="22.5" customHeight="1">
      <c r="A96" s="36"/>
      <c r="B96" s="37"/>
      <c r="C96" s="38"/>
      <c r="D96" s="29"/>
      <c r="E96" s="29"/>
      <c r="F96" s="29"/>
      <c r="G96" s="39"/>
      <c r="H96" s="29"/>
      <c r="I96" s="29"/>
    </row>
    <row r="97" spans="1:9" ht="22.5" customHeight="1">
      <c r="A97" s="36"/>
      <c r="B97" s="37"/>
      <c r="C97" s="38"/>
      <c r="D97" s="29"/>
      <c r="E97" s="29"/>
      <c r="F97" s="29"/>
      <c r="G97" s="39"/>
      <c r="H97" s="29"/>
      <c r="I97" s="29"/>
    </row>
    <row r="98" spans="1:9" ht="22.5" customHeight="1">
      <c r="A98" s="36"/>
      <c r="B98" s="37"/>
      <c r="C98" s="38"/>
      <c r="D98" s="29"/>
      <c r="E98" s="29"/>
      <c r="F98" s="29"/>
      <c r="G98" s="39"/>
      <c r="H98" s="29"/>
      <c r="I98" s="29"/>
    </row>
    <row r="99" spans="1:9" ht="22.5" customHeight="1">
      <c r="A99" s="36"/>
      <c r="B99" s="37"/>
      <c r="C99" s="38"/>
      <c r="D99" s="29"/>
      <c r="E99" s="29"/>
      <c r="F99" s="29"/>
      <c r="G99" s="39"/>
      <c r="H99" s="29"/>
      <c r="I99" s="29"/>
    </row>
    <row r="100" spans="1:9" ht="22.5" customHeight="1">
      <c r="A100" s="36"/>
      <c r="B100" s="37"/>
      <c r="C100" s="38"/>
      <c r="D100" s="29"/>
      <c r="E100" s="29"/>
      <c r="F100" s="29"/>
      <c r="G100" s="39"/>
      <c r="H100" s="29"/>
      <c r="I100" s="29"/>
    </row>
    <row r="101" spans="1:9" ht="22.5" customHeight="1">
      <c r="A101" s="36"/>
      <c r="B101" s="37"/>
      <c r="C101" s="38"/>
      <c r="D101" s="29"/>
      <c r="E101" s="29"/>
      <c r="F101" s="29"/>
      <c r="G101" s="39"/>
      <c r="H101" s="29"/>
      <c r="I101" s="29"/>
    </row>
    <row r="102" spans="1:9" ht="22.5" customHeight="1">
      <c r="A102" s="36"/>
      <c r="B102" s="37"/>
      <c r="C102" s="38"/>
      <c r="D102" s="29"/>
      <c r="E102" s="29"/>
      <c r="F102" s="29"/>
      <c r="G102" s="39"/>
      <c r="H102" s="29"/>
      <c r="I102" s="29"/>
    </row>
    <row r="103" spans="1:9" ht="22.5" customHeight="1">
      <c r="A103" s="36"/>
      <c r="B103" s="37"/>
      <c r="C103" s="38"/>
      <c r="D103" s="29"/>
      <c r="E103" s="29"/>
      <c r="F103" s="29"/>
      <c r="G103" s="39"/>
      <c r="H103" s="29"/>
      <c r="I103" s="29"/>
    </row>
    <row r="104" spans="1:9" ht="22.5" customHeight="1">
      <c r="A104" s="36"/>
      <c r="B104" s="37"/>
      <c r="C104" s="38"/>
      <c r="D104" s="29"/>
      <c r="E104" s="29"/>
      <c r="F104" s="29"/>
      <c r="G104" s="39"/>
      <c r="H104" s="29"/>
      <c r="I104" s="29"/>
    </row>
    <row r="105" spans="1:9" ht="22.5" customHeight="1">
      <c r="A105" s="36"/>
      <c r="B105" s="37"/>
      <c r="C105" s="38"/>
      <c r="D105" s="29"/>
      <c r="E105" s="29"/>
      <c r="F105" s="29"/>
      <c r="G105" s="39"/>
      <c r="H105" s="29"/>
      <c r="I105" s="29"/>
    </row>
    <row r="106" spans="1:9" ht="22.5" customHeight="1">
      <c r="A106" s="36"/>
      <c r="B106" s="37"/>
      <c r="C106" s="38"/>
      <c r="D106" s="29"/>
      <c r="E106" s="29"/>
      <c r="F106" s="29"/>
      <c r="G106" s="39"/>
      <c r="H106" s="29"/>
      <c r="I106" s="29"/>
    </row>
    <row r="107" spans="1:9" ht="22.5" customHeight="1">
      <c r="A107" s="36"/>
      <c r="B107" s="37"/>
      <c r="C107" s="38"/>
      <c r="D107" s="29"/>
      <c r="E107" s="29"/>
      <c r="F107" s="29"/>
      <c r="G107" s="39"/>
      <c r="H107" s="29"/>
      <c r="I107" s="29"/>
    </row>
    <row r="108" spans="1:9" ht="22.5" customHeight="1">
      <c r="A108" s="36"/>
      <c r="B108" s="37"/>
      <c r="C108" s="38"/>
      <c r="D108" s="29"/>
      <c r="E108" s="29"/>
      <c r="F108" s="29"/>
      <c r="G108" s="39"/>
      <c r="H108" s="29"/>
      <c r="I108" s="29"/>
    </row>
    <row r="109" spans="1:9" ht="22.5" customHeight="1">
      <c r="A109" s="36"/>
      <c r="B109" s="37"/>
      <c r="C109" s="38"/>
      <c r="D109" s="29"/>
      <c r="E109" s="29"/>
      <c r="F109" s="29"/>
      <c r="G109" s="39"/>
      <c r="H109" s="29"/>
      <c r="I109" s="29"/>
    </row>
    <row r="110" spans="1:9" ht="22.5" customHeight="1">
      <c r="A110" s="36"/>
      <c r="B110" s="37"/>
      <c r="C110" s="38"/>
      <c r="D110" s="29"/>
      <c r="E110" s="29"/>
      <c r="F110" s="29"/>
      <c r="G110" s="39"/>
      <c r="H110" s="29"/>
      <c r="I110" s="29"/>
    </row>
    <row r="111" spans="1:9" ht="22.5" customHeight="1">
      <c r="A111" s="36"/>
      <c r="B111" s="37"/>
      <c r="C111" s="38"/>
      <c r="D111" s="29"/>
      <c r="E111" s="29"/>
      <c r="F111" s="29"/>
      <c r="G111" s="39"/>
      <c r="H111" s="29"/>
      <c r="I111" s="29"/>
    </row>
    <row r="112" spans="1:9" ht="22.5" customHeight="1">
      <c r="A112" s="36"/>
      <c r="B112" s="37"/>
      <c r="C112" s="38"/>
      <c r="D112" s="29"/>
      <c r="E112" s="29"/>
      <c r="F112" s="29"/>
      <c r="G112" s="39"/>
      <c r="H112" s="29"/>
      <c r="I112" s="29"/>
    </row>
    <row r="113" spans="1:9" ht="22.5" customHeight="1">
      <c r="A113" s="36"/>
      <c r="B113" s="37"/>
      <c r="C113" s="38"/>
      <c r="D113" s="29"/>
      <c r="E113" s="29"/>
      <c r="F113" s="29"/>
      <c r="G113" s="39"/>
      <c r="H113" s="29"/>
      <c r="I113" s="29"/>
    </row>
    <row r="114" spans="1:9" ht="22.5" customHeight="1">
      <c r="A114" s="36"/>
      <c r="B114" s="37"/>
      <c r="C114" s="38"/>
      <c r="D114" s="29"/>
      <c r="E114" s="29"/>
      <c r="F114" s="29"/>
      <c r="G114" s="39"/>
      <c r="H114" s="29"/>
      <c r="I114" s="29"/>
    </row>
    <row r="115" spans="1:9" ht="22.5" customHeight="1">
      <c r="A115" s="36"/>
      <c r="B115" s="37"/>
      <c r="C115" s="38"/>
      <c r="D115" s="29"/>
      <c r="E115" s="29"/>
      <c r="F115" s="29"/>
      <c r="G115" s="39"/>
      <c r="H115" s="29"/>
      <c r="I115" s="29"/>
    </row>
    <row r="116" spans="1:9" ht="22.5" customHeight="1">
      <c r="A116" s="36"/>
      <c r="B116" s="37"/>
      <c r="C116" s="38"/>
      <c r="D116" s="29"/>
      <c r="E116" s="29"/>
      <c r="F116" s="29"/>
      <c r="G116" s="39"/>
      <c r="H116" s="29"/>
      <c r="I116" s="29"/>
    </row>
    <row r="117" spans="1:9" ht="22.5" customHeight="1">
      <c r="A117" s="36"/>
      <c r="B117" s="37"/>
      <c r="C117" s="38"/>
      <c r="D117" s="29"/>
      <c r="E117" s="29"/>
      <c r="F117" s="29"/>
      <c r="G117" s="39"/>
      <c r="H117" s="29"/>
      <c r="I117" s="29"/>
    </row>
    <row r="118" spans="1:9" ht="22.5" customHeight="1">
      <c r="A118" s="36"/>
      <c r="B118" s="37"/>
      <c r="C118" s="38"/>
      <c r="D118" s="29"/>
      <c r="E118" s="29"/>
      <c r="F118" s="29"/>
      <c r="G118" s="39"/>
      <c r="H118" s="29"/>
      <c r="I118" s="29"/>
    </row>
    <row r="119" spans="1:9" ht="22.5" customHeight="1">
      <c r="A119" s="36"/>
      <c r="B119" s="37"/>
      <c r="C119" s="38"/>
      <c r="D119" s="29"/>
      <c r="E119" s="29"/>
      <c r="F119" s="29"/>
      <c r="G119" s="39"/>
      <c r="H119" s="29"/>
      <c r="I119" s="29"/>
    </row>
    <row r="120" spans="1:9" ht="22.5" customHeight="1">
      <c r="A120" s="36"/>
      <c r="B120" s="37"/>
      <c r="C120" s="38"/>
      <c r="D120" s="29"/>
      <c r="E120" s="29"/>
      <c r="F120" s="29"/>
      <c r="G120" s="39"/>
      <c r="H120" s="29"/>
      <c r="I120" s="29"/>
    </row>
    <row r="121" spans="1:9" ht="22.5" customHeight="1">
      <c r="A121" s="36"/>
      <c r="B121" s="37"/>
      <c r="C121" s="38"/>
      <c r="D121" s="29"/>
      <c r="E121" s="29"/>
      <c r="F121" s="29"/>
      <c r="G121" s="39"/>
      <c r="H121" s="29"/>
      <c r="I121" s="29"/>
    </row>
    <row r="122" spans="1:9" ht="22.5" customHeight="1">
      <c r="A122" s="36"/>
      <c r="B122" s="37"/>
      <c r="C122" s="38"/>
      <c r="D122" s="29"/>
      <c r="E122" s="29"/>
      <c r="F122" s="29"/>
      <c r="G122" s="39"/>
      <c r="H122" s="29"/>
      <c r="I122" s="29"/>
    </row>
    <row r="123" spans="1:9" ht="22.5" customHeight="1">
      <c r="A123" s="36"/>
      <c r="B123" s="37"/>
      <c r="C123" s="38"/>
      <c r="D123" s="29"/>
      <c r="E123" s="29"/>
      <c r="F123" s="29"/>
      <c r="G123" s="39"/>
      <c r="H123" s="29"/>
      <c r="I123" s="29"/>
    </row>
    <row r="124" spans="1:9" ht="22.5" customHeight="1">
      <c r="A124" s="36"/>
      <c r="B124" s="37"/>
      <c r="C124" s="38"/>
      <c r="D124" s="29"/>
      <c r="E124" s="29"/>
      <c r="F124" s="29"/>
      <c r="G124" s="39"/>
      <c r="H124" s="29"/>
      <c r="I124" s="29"/>
    </row>
    <row r="125" spans="1:9" ht="22.5" customHeight="1">
      <c r="A125" s="36"/>
      <c r="B125" s="37"/>
      <c r="C125" s="38"/>
      <c r="D125" s="29"/>
      <c r="E125" s="29"/>
      <c r="F125" s="29"/>
      <c r="G125" s="39"/>
      <c r="H125" s="29"/>
      <c r="I125" s="29"/>
    </row>
    <row r="126" spans="1:9" ht="22.5" customHeight="1">
      <c r="A126" s="36"/>
      <c r="B126" s="37"/>
      <c r="C126" s="38"/>
      <c r="D126" s="29"/>
      <c r="E126" s="29"/>
      <c r="F126" s="29"/>
      <c r="G126" s="39"/>
      <c r="H126" s="29"/>
      <c r="I126" s="29"/>
    </row>
    <row r="127" spans="1:9" ht="22.5" customHeight="1">
      <c r="A127" s="36"/>
      <c r="B127" s="37"/>
      <c r="C127" s="38"/>
      <c r="D127" s="29"/>
      <c r="E127" s="29"/>
      <c r="F127" s="29"/>
      <c r="G127" s="39"/>
      <c r="H127" s="29"/>
      <c r="I127" s="29"/>
    </row>
    <row r="128" spans="1:9" ht="22.5" customHeight="1">
      <c r="A128" s="36"/>
      <c r="B128" s="37"/>
      <c r="C128" s="38"/>
      <c r="D128" s="29"/>
      <c r="E128" s="29"/>
      <c r="F128" s="29"/>
      <c r="G128" s="39"/>
      <c r="H128" s="29"/>
      <c r="I128" s="29"/>
    </row>
    <row r="129" spans="1:9" ht="22.5" customHeight="1">
      <c r="A129" s="36"/>
      <c r="B129" s="37"/>
      <c r="C129" s="38"/>
      <c r="D129" s="29"/>
      <c r="E129" s="29"/>
      <c r="F129" s="29"/>
      <c r="G129" s="39"/>
      <c r="H129" s="29"/>
      <c r="I129" s="29"/>
    </row>
    <row r="130" spans="1:9" ht="22.5" customHeight="1">
      <c r="A130" s="36"/>
      <c r="B130" s="37"/>
      <c r="C130" s="38"/>
      <c r="D130" s="29"/>
      <c r="E130" s="29"/>
      <c r="F130" s="29"/>
      <c r="G130" s="39"/>
      <c r="H130" s="29"/>
      <c r="I130" s="29"/>
    </row>
    <row r="131" spans="1:9" ht="22.5" customHeight="1">
      <c r="A131" s="36"/>
      <c r="B131" s="37"/>
      <c r="C131" s="38"/>
      <c r="D131" s="29"/>
      <c r="E131" s="29"/>
      <c r="F131" s="29"/>
      <c r="G131" s="39"/>
      <c r="H131" s="29"/>
      <c r="I131" s="29"/>
    </row>
    <row r="132" spans="1:9" ht="22.5" customHeight="1">
      <c r="A132" s="36"/>
      <c r="B132" s="37"/>
      <c r="C132" s="38"/>
      <c r="D132" s="29"/>
      <c r="E132" s="29"/>
      <c r="F132" s="29"/>
      <c r="G132" s="39"/>
      <c r="H132" s="29"/>
      <c r="I132" s="29"/>
    </row>
    <row r="133" spans="1:9" ht="22.5" customHeight="1">
      <c r="A133" s="36"/>
      <c r="B133" s="37"/>
      <c r="C133" s="38"/>
      <c r="D133" s="29"/>
      <c r="E133" s="29"/>
      <c r="F133" s="29"/>
      <c r="G133" s="39"/>
      <c r="H133" s="29"/>
      <c r="I133" s="29"/>
    </row>
    <row r="134" spans="1:9" ht="22.5" customHeight="1">
      <c r="A134" s="36"/>
      <c r="B134" s="37"/>
      <c r="C134" s="38"/>
      <c r="D134" s="29"/>
      <c r="E134" s="29"/>
      <c r="F134" s="29"/>
      <c r="G134" s="39"/>
      <c r="H134" s="29"/>
      <c r="I134" s="29"/>
    </row>
    <row r="135" spans="1:9" ht="22.5" customHeight="1">
      <c r="A135" s="36"/>
      <c r="B135" s="37"/>
      <c r="C135" s="38"/>
      <c r="D135" s="29"/>
      <c r="E135" s="29"/>
      <c r="F135" s="29"/>
      <c r="G135" s="39"/>
      <c r="H135" s="29"/>
      <c r="I135" s="29"/>
    </row>
    <row r="136" spans="1:9" ht="22.5" customHeight="1">
      <c r="A136" s="36"/>
      <c r="B136" s="37"/>
      <c r="C136" s="38"/>
      <c r="D136" s="29"/>
      <c r="E136" s="29"/>
      <c r="F136" s="29"/>
      <c r="G136" s="39"/>
      <c r="H136" s="29"/>
      <c r="I136" s="29"/>
    </row>
    <row r="137" spans="1:9" ht="22.5" customHeight="1">
      <c r="A137" s="36"/>
      <c r="B137" s="37"/>
      <c r="C137" s="38"/>
      <c r="D137" s="29"/>
      <c r="E137" s="29"/>
      <c r="F137" s="29"/>
      <c r="G137" s="39"/>
      <c r="H137" s="29"/>
      <c r="I137" s="29"/>
    </row>
    <row r="138" spans="1:9" ht="22.5" customHeight="1">
      <c r="A138" s="36"/>
      <c r="B138" s="37"/>
      <c r="C138" s="38"/>
      <c r="D138" s="29"/>
      <c r="E138" s="29"/>
      <c r="F138" s="29"/>
      <c r="G138" s="39"/>
      <c r="H138" s="29"/>
      <c r="I138" s="29"/>
    </row>
    <row r="139" spans="1:9" ht="22.5" customHeight="1">
      <c r="A139" s="36"/>
      <c r="B139" s="37"/>
      <c r="C139" s="38"/>
      <c r="D139" s="29"/>
      <c r="E139" s="29"/>
      <c r="F139" s="29"/>
      <c r="G139" s="39"/>
      <c r="H139" s="29"/>
      <c r="I139" s="29"/>
    </row>
    <row r="140" spans="1:9" ht="22.5" customHeight="1">
      <c r="A140" s="36"/>
      <c r="B140" s="37"/>
      <c r="C140" s="38"/>
      <c r="D140" s="29"/>
      <c r="E140" s="29"/>
      <c r="F140" s="29"/>
      <c r="G140" s="39"/>
      <c r="H140" s="29"/>
      <c r="I140" s="29"/>
    </row>
    <row r="141" spans="1:9" ht="22.5" customHeight="1">
      <c r="A141" s="36"/>
      <c r="B141" s="37"/>
      <c r="C141" s="38"/>
      <c r="D141" s="29"/>
      <c r="E141" s="29"/>
      <c r="F141" s="29"/>
      <c r="G141" s="39"/>
      <c r="H141" s="29"/>
      <c r="I141" s="29"/>
    </row>
    <row r="142" spans="1:9" ht="22.5" customHeight="1">
      <c r="A142" s="36"/>
      <c r="B142" s="37"/>
      <c r="C142" s="38"/>
      <c r="D142" s="29"/>
      <c r="E142" s="29"/>
      <c r="F142" s="29"/>
      <c r="G142" s="39"/>
      <c r="H142" s="29"/>
      <c r="I142" s="29"/>
    </row>
    <row r="143" spans="1:9" ht="22.5" customHeight="1">
      <c r="A143" s="36"/>
      <c r="B143" s="37"/>
      <c r="C143" s="38"/>
      <c r="D143" s="29"/>
      <c r="E143" s="29"/>
      <c r="F143" s="29"/>
      <c r="G143" s="39"/>
      <c r="H143" s="29"/>
      <c r="I143" s="29"/>
    </row>
    <row r="144" spans="1:9" ht="22.5" customHeight="1">
      <c r="A144" s="36"/>
      <c r="B144" s="37"/>
      <c r="C144" s="38"/>
      <c r="D144" s="29"/>
      <c r="E144" s="29"/>
      <c r="F144" s="29"/>
      <c r="G144" s="39"/>
      <c r="H144" s="29"/>
      <c r="I144" s="29"/>
    </row>
    <row r="145" spans="1:9" ht="22.5" customHeight="1">
      <c r="A145" s="36"/>
      <c r="B145" s="37"/>
      <c r="C145" s="38"/>
      <c r="D145" s="29"/>
      <c r="E145" s="29"/>
      <c r="F145" s="29"/>
      <c r="G145" s="39"/>
      <c r="H145" s="29"/>
      <c r="I145" s="29"/>
    </row>
    <row r="146" spans="1:9" ht="22.5" customHeight="1">
      <c r="A146" s="36"/>
      <c r="B146" s="37"/>
      <c r="C146" s="38"/>
      <c r="D146" s="29"/>
      <c r="E146" s="29"/>
      <c r="F146" s="29"/>
      <c r="G146" s="39"/>
      <c r="H146" s="29"/>
      <c r="I146" s="29"/>
    </row>
    <row r="147" spans="1:9" ht="22.5" customHeight="1">
      <c r="A147" s="36"/>
      <c r="B147" s="37"/>
      <c r="C147" s="38"/>
      <c r="D147" s="29"/>
      <c r="E147" s="29"/>
      <c r="F147" s="29"/>
      <c r="G147" s="39"/>
      <c r="H147" s="29"/>
      <c r="I147" s="29"/>
    </row>
    <row r="148" spans="1:9" ht="22.5" customHeight="1">
      <c r="A148" s="36"/>
      <c r="B148" s="37"/>
      <c r="C148" s="38"/>
      <c r="D148" s="29"/>
      <c r="E148" s="29"/>
      <c r="F148" s="29"/>
      <c r="G148" s="39"/>
      <c r="H148" s="29"/>
      <c r="I148" s="29"/>
    </row>
    <row r="149" spans="1:9" ht="22.5" customHeight="1">
      <c r="A149" s="36"/>
      <c r="B149" s="37"/>
      <c r="C149" s="38"/>
      <c r="D149" s="29"/>
      <c r="E149" s="29"/>
      <c r="F149" s="29"/>
      <c r="G149" s="39"/>
      <c r="H149" s="29"/>
      <c r="I149" s="29"/>
    </row>
    <row r="150" spans="1:9" ht="22.5" customHeight="1">
      <c r="A150" s="36"/>
      <c r="B150" s="37"/>
      <c r="C150" s="38"/>
      <c r="D150" s="29"/>
      <c r="E150" s="29"/>
      <c r="F150" s="29"/>
      <c r="G150" s="39"/>
      <c r="H150" s="29"/>
      <c r="I150" s="29"/>
    </row>
    <row r="151" spans="1:9" ht="22.5" customHeight="1">
      <c r="A151" s="36"/>
      <c r="B151" s="37"/>
      <c r="C151" s="38"/>
      <c r="D151" s="29"/>
      <c r="E151" s="29"/>
      <c r="F151" s="29"/>
      <c r="G151" s="39"/>
      <c r="H151" s="29"/>
      <c r="I151" s="29"/>
    </row>
    <row r="152" spans="1:9" ht="22.5" customHeight="1">
      <c r="A152" s="36"/>
      <c r="B152" s="37"/>
      <c r="C152" s="38"/>
      <c r="D152" s="29"/>
      <c r="E152" s="29"/>
      <c r="F152" s="29"/>
      <c r="G152" s="39"/>
      <c r="H152" s="29"/>
      <c r="I152" s="29"/>
    </row>
    <row r="153" spans="1:9" ht="22.5" customHeight="1">
      <c r="A153" s="36"/>
      <c r="B153" s="37"/>
      <c r="C153" s="38"/>
      <c r="D153" s="29"/>
      <c r="E153" s="29"/>
      <c r="F153" s="29"/>
      <c r="G153" s="39"/>
      <c r="H153" s="29"/>
      <c r="I153" s="29"/>
    </row>
    <row r="154" spans="1:9" ht="22.5" customHeight="1">
      <c r="A154" s="36"/>
      <c r="B154" s="37"/>
      <c r="C154" s="38"/>
      <c r="D154" s="29"/>
      <c r="E154" s="29"/>
      <c r="F154" s="29"/>
      <c r="G154" s="39"/>
      <c r="H154" s="29"/>
      <c r="I154" s="29"/>
    </row>
    <row r="155" spans="1:9" ht="22.5" customHeight="1">
      <c r="A155" s="36"/>
      <c r="B155" s="37"/>
      <c r="C155" s="38"/>
      <c r="D155" s="29"/>
      <c r="E155" s="29"/>
      <c r="F155" s="29"/>
      <c r="G155" s="39"/>
      <c r="H155" s="29"/>
      <c r="I155" s="29"/>
    </row>
    <row r="156" spans="1:9" ht="22.5" customHeight="1">
      <c r="A156" s="36"/>
      <c r="B156" s="37"/>
      <c r="C156" s="38"/>
      <c r="D156" s="29"/>
      <c r="E156" s="29"/>
      <c r="F156" s="29"/>
      <c r="G156" s="39"/>
      <c r="H156" s="29"/>
      <c r="I156" s="29"/>
    </row>
    <row r="157" spans="1:9" ht="22.5" customHeight="1">
      <c r="A157" s="36"/>
      <c r="B157" s="37"/>
      <c r="C157" s="38"/>
      <c r="D157" s="29"/>
      <c r="E157" s="29"/>
      <c r="F157" s="29"/>
      <c r="G157" s="39"/>
      <c r="H157" s="29"/>
      <c r="I157" s="29"/>
    </row>
    <row r="158" spans="1:9" ht="22.5" customHeight="1">
      <c r="A158" s="36"/>
      <c r="B158" s="37"/>
      <c r="C158" s="38"/>
      <c r="D158" s="29"/>
      <c r="E158" s="29"/>
      <c r="F158" s="29"/>
      <c r="G158" s="39"/>
      <c r="H158" s="29"/>
      <c r="I158" s="29"/>
    </row>
    <row r="159" spans="1:9" ht="22.5" customHeight="1">
      <c r="A159" s="36"/>
      <c r="B159" s="37"/>
      <c r="C159" s="38"/>
      <c r="D159" s="29"/>
      <c r="E159" s="29"/>
      <c r="F159" s="29"/>
      <c r="G159" s="39"/>
      <c r="H159" s="29"/>
      <c r="I159" s="29"/>
    </row>
    <row r="160" spans="1:9" ht="22.5" customHeight="1">
      <c r="A160" s="36"/>
      <c r="B160" s="37"/>
      <c r="C160" s="38"/>
      <c r="D160" s="29"/>
      <c r="E160" s="29"/>
      <c r="F160" s="29"/>
      <c r="G160" s="39"/>
      <c r="H160" s="29"/>
      <c r="I160" s="29"/>
    </row>
    <row r="161" spans="1:9" ht="22.5" customHeight="1">
      <c r="A161" s="36"/>
      <c r="B161" s="37"/>
      <c r="C161" s="38"/>
      <c r="D161" s="29"/>
      <c r="E161" s="29"/>
      <c r="F161" s="29"/>
      <c r="G161" s="39"/>
      <c r="H161" s="29"/>
      <c r="I161" s="29"/>
    </row>
    <row r="162" spans="1:9" ht="22.5" customHeight="1">
      <c r="A162" s="36"/>
      <c r="B162" s="37"/>
      <c r="C162" s="38"/>
      <c r="D162" s="29"/>
      <c r="E162" s="29"/>
      <c r="F162" s="29"/>
      <c r="G162" s="39"/>
      <c r="H162" s="29"/>
      <c r="I162" s="29"/>
    </row>
    <row r="163" spans="1:9" ht="22.5" customHeight="1">
      <c r="A163" s="36"/>
      <c r="B163" s="37"/>
      <c r="C163" s="38"/>
      <c r="D163" s="29"/>
      <c r="E163" s="29"/>
      <c r="F163" s="29"/>
      <c r="G163" s="39"/>
      <c r="H163" s="29"/>
      <c r="I163" s="29"/>
    </row>
    <row r="164" spans="1:9" ht="22.5" customHeight="1">
      <c r="A164" s="36"/>
      <c r="B164" s="37"/>
      <c r="C164" s="38"/>
      <c r="D164" s="29"/>
      <c r="E164" s="29"/>
      <c r="F164" s="29"/>
      <c r="G164" s="39"/>
      <c r="H164" s="29"/>
      <c r="I164" s="29"/>
    </row>
    <row r="165" spans="1:9" ht="22.5" customHeight="1">
      <c r="A165" s="36"/>
      <c r="B165" s="37"/>
      <c r="C165" s="38"/>
      <c r="D165" s="29"/>
      <c r="E165" s="29"/>
      <c r="F165" s="29"/>
      <c r="G165" s="39"/>
      <c r="H165" s="29"/>
      <c r="I165" s="29"/>
    </row>
    <row r="166" spans="1:9" ht="22.5" customHeight="1">
      <c r="A166" s="36"/>
      <c r="B166" s="37"/>
      <c r="C166" s="38"/>
      <c r="D166" s="29"/>
      <c r="E166" s="29"/>
      <c r="F166" s="29"/>
      <c r="G166" s="39"/>
      <c r="H166" s="29"/>
      <c r="I166" s="29"/>
    </row>
    <row r="167" spans="1:9" ht="22.5" customHeight="1">
      <c r="A167" s="36"/>
      <c r="B167" s="37"/>
      <c r="C167" s="38"/>
      <c r="D167" s="29"/>
      <c r="E167" s="29"/>
      <c r="F167" s="29"/>
      <c r="G167" s="39"/>
      <c r="H167" s="29"/>
      <c r="I167" s="29"/>
    </row>
    <row r="168" spans="1:9" ht="22.5" customHeight="1">
      <c r="A168" s="36"/>
      <c r="B168" s="37"/>
      <c r="C168" s="38"/>
      <c r="D168" s="29"/>
      <c r="E168" s="29"/>
      <c r="F168" s="29"/>
      <c r="G168" s="39"/>
      <c r="H168" s="29"/>
      <c r="I168" s="29"/>
    </row>
    <row r="169" spans="1:9" ht="22.5" customHeight="1">
      <c r="A169" s="36"/>
      <c r="B169" s="37"/>
      <c r="C169" s="38"/>
      <c r="D169" s="29"/>
      <c r="E169" s="29"/>
      <c r="F169" s="29"/>
      <c r="G169" s="39"/>
      <c r="H169" s="29"/>
      <c r="I169" s="29"/>
    </row>
    <row r="170" spans="1:9" ht="22.5" customHeight="1">
      <c r="A170" s="36"/>
      <c r="B170" s="37"/>
      <c r="C170" s="38"/>
      <c r="D170" s="29"/>
      <c r="E170" s="29"/>
      <c r="F170" s="29"/>
      <c r="G170" s="39"/>
      <c r="H170" s="29"/>
      <c r="I170" s="29"/>
    </row>
    <row r="171" spans="1:9" ht="22.5" customHeight="1">
      <c r="A171" s="36"/>
      <c r="B171" s="37"/>
      <c r="C171" s="38"/>
      <c r="D171" s="29"/>
      <c r="E171" s="29"/>
      <c r="F171" s="29"/>
      <c r="G171" s="39"/>
      <c r="H171" s="29"/>
      <c r="I171" s="29"/>
    </row>
    <row r="172" spans="1:9" ht="22.5" customHeight="1">
      <c r="A172" s="36"/>
      <c r="B172" s="37"/>
      <c r="C172" s="38"/>
      <c r="D172" s="29"/>
      <c r="E172" s="29"/>
      <c r="F172" s="29"/>
      <c r="G172" s="39"/>
      <c r="H172" s="29"/>
      <c r="I172" s="29"/>
    </row>
    <row r="173" spans="1:9" ht="22.5" customHeight="1">
      <c r="A173" s="36"/>
      <c r="B173" s="37"/>
      <c r="C173" s="38"/>
      <c r="D173" s="29"/>
      <c r="E173" s="29"/>
      <c r="F173" s="29"/>
      <c r="G173" s="39"/>
      <c r="H173" s="29"/>
      <c r="I173" s="29"/>
    </row>
    <row r="174" spans="1:9" ht="22.5" customHeight="1">
      <c r="A174" s="36"/>
      <c r="B174" s="37"/>
      <c r="C174" s="38"/>
      <c r="D174" s="29"/>
      <c r="E174" s="29"/>
      <c r="F174" s="29"/>
      <c r="G174" s="39"/>
      <c r="H174" s="29"/>
      <c r="I174" s="29"/>
    </row>
    <row r="175" spans="1:9" ht="22.5" customHeight="1">
      <c r="A175" s="36"/>
      <c r="B175" s="37"/>
      <c r="C175" s="38"/>
      <c r="D175" s="29"/>
      <c r="E175" s="29"/>
      <c r="F175" s="29"/>
      <c r="G175" s="39"/>
      <c r="H175" s="29"/>
      <c r="I175" s="29"/>
    </row>
    <row r="176" spans="1:9" ht="22.5" customHeight="1">
      <c r="A176" s="36"/>
      <c r="B176" s="37"/>
      <c r="C176" s="38"/>
      <c r="D176" s="29"/>
      <c r="E176" s="29"/>
      <c r="F176" s="29"/>
      <c r="G176" s="39"/>
      <c r="H176" s="29"/>
      <c r="I176" s="29"/>
    </row>
    <row r="177" spans="1:9" ht="22.5" customHeight="1">
      <c r="A177" s="36"/>
      <c r="B177" s="37"/>
      <c r="C177" s="38"/>
      <c r="D177" s="29"/>
      <c r="E177" s="29"/>
      <c r="F177" s="29"/>
      <c r="G177" s="39"/>
      <c r="H177" s="29"/>
      <c r="I177" s="29"/>
    </row>
    <row r="178" spans="1:9" ht="22.5" customHeight="1">
      <c r="A178" s="36"/>
      <c r="B178" s="37"/>
      <c r="C178" s="38"/>
      <c r="D178" s="29"/>
      <c r="E178" s="29"/>
      <c r="F178" s="29"/>
      <c r="G178" s="39"/>
      <c r="H178" s="29"/>
      <c r="I178" s="29"/>
    </row>
    <row r="179" spans="1:9" ht="22.5" customHeight="1">
      <c r="A179" s="36"/>
      <c r="B179" s="37"/>
      <c r="C179" s="38"/>
      <c r="D179" s="29"/>
      <c r="E179" s="29"/>
      <c r="F179" s="29"/>
      <c r="G179" s="39"/>
      <c r="H179" s="29"/>
      <c r="I179" s="29"/>
    </row>
    <row r="180" spans="1:9" ht="22.5" customHeight="1">
      <c r="A180" s="36"/>
      <c r="B180" s="37"/>
      <c r="C180" s="38"/>
      <c r="D180" s="29"/>
      <c r="E180" s="29"/>
      <c r="F180" s="29"/>
      <c r="G180" s="39"/>
      <c r="H180" s="29"/>
      <c r="I180" s="29"/>
    </row>
    <row r="181" spans="1:9" ht="22.5" customHeight="1">
      <c r="A181" s="36"/>
      <c r="B181" s="37"/>
      <c r="C181" s="38"/>
      <c r="D181" s="29"/>
      <c r="E181" s="29"/>
      <c r="F181" s="29"/>
      <c r="G181" s="39"/>
      <c r="H181" s="29"/>
      <c r="I181" s="29"/>
    </row>
    <row r="182" spans="1:9" ht="22.5" customHeight="1">
      <c r="A182" s="36"/>
      <c r="B182" s="37"/>
      <c r="C182" s="38"/>
      <c r="D182" s="29"/>
      <c r="E182" s="29"/>
      <c r="F182" s="29"/>
      <c r="G182" s="39"/>
      <c r="H182" s="29"/>
      <c r="I182" s="29"/>
    </row>
    <row r="183" spans="1:9" ht="22.5" customHeight="1">
      <c r="A183" s="36"/>
      <c r="B183" s="37"/>
      <c r="C183" s="38"/>
      <c r="D183" s="29"/>
      <c r="E183" s="29"/>
      <c r="F183" s="29"/>
      <c r="G183" s="39"/>
      <c r="H183" s="29"/>
      <c r="I183" s="29"/>
    </row>
    <row r="184" spans="1:9" ht="22.5" customHeight="1">
      <c r="A184" s="36"/>
      <c r="B184" s="37"/>
      <c r="C184" s="38"/>
      <c r="D184" s="29"/>
      <c r="E184" s="29"/>
      <c r="F184" s="29"/>
      <c r="G184" s="39"/>
      <c r="H184" s="29"/>
      <c r="I184" s="29"/>
    </row>
    <row r="185" spans="1:9" ht="22.5" customHeight="1">
      <c r="A185" s="36"/>
      <c r="B185" s="37"/>
      <c r="C185" s="38"/>
      <c r="D185" s="29"/>
      <c r="E185" s="29"/>
      <c r="F185" s="29"/>
      <c r="G185" s="39"/>
      <c r="H185" s="29"/>
      <c r="I185" s="29"/>
    </row>
    <row r="186" spans="1:9" ht="22.5" customHeight="1">
      <c r="A186" s="36"/>
      <c r="B186" s="37"/>
      <c r="C186" s="38"/>
      <c r="D186" s="29"/>
      <c r="E186" s="29"/>
      <c r="F186" s="29"/>
      <c r="G186" s="39"/>
      <c r="H186" s="29"/>
      <c r="I186" s="29"/>
    </row>
    <row r="187" spans="1:9" ht="22.5" customHeight="1">
      <c r="A187" s="36"/>
      <c r="B187" s="37"/>
      <c r="C187" s="38"/>
      <c r="D187" s="29"/>
      <c r="E187" s="29"/>
      <c r="F187" s="29"/>
      <c r="G187" s="39"/>
      <c r="H187" s="29"/>
      <c r="I187" s="29"/>
    </row>
    <row r="188" spans="1:9" ht="22.5" customHeight="1">
      <c r="A188" s="36"/>
      <c r="B188" s="37"/>
      <c r="C188" s="38"/>
      <c r="D188" s="29"/>
      <c r="E188" s="29"/>
      <c r="F188" s="29"/>
      <c r="G188" s="39"/>
      <c r="H188" s="29"/>
      <c r="I188" s="29"/>
    </row>
    <row r="189" spans="1:9" ht="22.5" customHeight="1">
      <c r="A189" s="36"/>
      <c r="B189" s="37"/>
      <c r="C189" s="38"/>
      <c r="D189" s="29"/>
      <c r="E189" s="29"/>
      <c r="F189" s="29"/>
      <c r="G189" s="39"/>
      <c r="H189" s="29"/>
      <c r="I189" s="29"/>
    </row>
    <row r="190" spans="1:9" ht="22.5" customHeight="1">
      <c r="A190" s="36"/>
      <c r="B190" s="37"/>
      <c r="C190" s="38"/>
      <c r="D190" s="29"/>
      <c r="E190" s="29"/>
      <c r="F190" s="29"/>
      <c r="G190" s="39"/>
      <c r="H190" s="29"/>
      <c r="I190" s="29"/>
    </row>
    <row r="191" spans="1:9" ht="22.5" customHeight="1">
      <c r="A191" s="36"/>
      <c r="B191" s="37"/>
      <c r="C191" s="38"/>
      <c r="D191" s="29"/>
      <c r="E191" s="29"/>
      <c r="F191" s="29"/>
      <c r="G191" s="39"/>
      <c r="H191" s="29"/>
      <c r="I191" s="29"/>
    </row>
    <row r="192" spans="1:9" ht="22.5" customHeight="1">
      <c r="A192" s="36"/>
      <c r="B192" s="37"/>
      <c r="C192" s="38"/>
      <c r="D192" s="29"/>
      <c r="E192" s="29"/>
      <c r="F192" s="29"/>
      <c r="G192" s="39"/>
      <c r="H192" s="29"/>
      <c r="I192" s="29"/>
    </row>
    <row r="193" spans="1:9" ht="22.5" customHeight="1">
      <c r="A193" s="36"/>
      <c r="B193" s="37"/>
      <c r="C193" s="38"/>
      <c r="D193" s="29"/>
      <c r="E193" s="29"/>
      <c r="F193" s="29"/>
      <c r="G193" s="39"/>
      <c r="H193" s="29"/>
      <c r="I193" s="29"/>
    </row>
    <row r="194" spans="1:9" ht="22.5" customHeight="1">
      <c r="A194" s="36"/>
      <c r="B194" s="37"/>
      <c r="C194" s="38"/>
      <c r="D194" s="29"/>
      <c r="E194" s="29"/>
      <c r="F194" s="29"/>
      <c r="G194" s="39"/>
      <c r="H194" s="29"/>
      <c r="I194" s="29"/>
    </row>
    <row r="195" spans="1:9" ht="22.5" customHeight="1">
      <c r="A195" s="36"/>
      <c r="B195" s="37"/>
      <c r="C195" s="38"/>
      <c r="D195" s="29"/>
      <c r="E195" s="29"/>
      <c r="F195" s="29"/>
      <c r="G195" s="39"/>
      <c r="H195" s="29"/>
      <c r="I195" s="29"/>
    </row>
    <row r="196" spans="1:9" ht="22.5" customHeight="1">
      <c r="A196" s="36"/>
      <c r="B196" s="37"/>
      <c r="C196" s="38"/>
      <c r="D196" s="29"/>
      <c r="E196" s="29"/>
      <c r="F196" s="29"/>
      <c r="G196" s="39"/>
      <c r="H196" s="29"/>
      <c r="I196" s="29"/>
    </row>
    <row r="197" spans="1:9" ht="22.5" customHeight="1">
      <c r="A197" s="36"/>
      <c r="B197" s="37"/>
      <c r="C197" s="38"/>
      <c r="D197" s="29"/>
      <c r="E197" s="29"/>
      <c r="F197" s="29"/>
      <c r="G197" s="39"/>
      <c r="H197" s="29"/>
      <c r="I197" s="29"/>
    </row>
    <row r="198" spans="1:9" ht="22.5" customHeight="1">
      <c r="A198" s="36"/>
      <c r="B198" s="37"/>
      <c r="C198" s="38"/>
      <c r="D198" s="29"/>
      <c r="E198" s="29"/>
      <c r="F198" s="29"/>
      <c r="G198" s="39"/>
      <c r="H198" s="29"/>
      <c r="I198" s="29"/>
    </row>
    <row r="199" spans="1:9" ht="22.5" customHeight="1">
      <c r="A199" s="36"/>
      <c r="B199" s="37"/>
      <c r="C199" s="38"/>
      <c r="D199" s="29"/>
      <c r="E199" s="29"/>
      <c r="F199" s="29"/>
      <c r="G199" s="39"/>
      <c r="H199" s="29"/>
      <c r="I199" s="29"/>
    </row>
    <row r="200" spans="1:9" ht="22.5" customHeight="1">
      <c r="A200" s="36"/>
      <c r="B200" s="37"/>
      <c r="C200" s="38"/>
      <c r="D200" s="29"/>
      <c r="E200" s="29"/>
      <c r="F200" s="29"/>
      <c r="G200" s="39"/>
      <c r="H200" s="29"/>
      <c r="I200" s="29"/>
    </row>
    <row r="201" spans="1:9" ht="22.5" customHeight="1">
      <c r="A201" s="36"/>
      <c r="B201" s="37"/>
      <c r="C201" s="38"/>
      <c r="D201" s="29"/>
      <c r="E201" s="29"/>
      <c r="F201" s="29"/>
      <c r="G201" s="39"/>
      <c r="H201" s="29"/>
      <c r="I201" s="29"/>
    </row>
    <row r="202" spans="1:9" ht="22.5" customHeight="1">
      <c r="A202" s="36"/>
      <c r="B202" s="37"/>
      <c r="C202" s="38"/>
      <c r="D202" s="29"/>
      <c r="E202" s="29"/>
      <c r="F202" s="29"/>
      <c r="G202" s="39"/>
      <c r="H202" s="29"/>
      <c r="I202" s="29"/>
    </row>
    <row r="203" spans="1:9" ht="22.5" customHeight="1">
      <c r="A203" s="36"/>
      <c r="B203" s="37"/>
      <c r="C203" s="38"/>
      <c r="D203" s="29"/>
      <c r="E203" s="29"/>
      <c r="F203" s="29"/>
      <c r="G203" s="39"/>
      <c r="H203" s="29"/>
      <c r="I203" s="29"/>
    </row>
    <row r="204" spans="1:9" ht="22.5" customHeight="1">
      <c r="A204" s="36"/>
      <c r="B204" s="37"/>
      <c r="C204" s="38"/>
      <c r="D204" s="29"/>
      <c r="E204" s="29"/>
      <c r="F204" s="29"/>
      <c r="G204" s="39"/>
      <c r="H204" s="29"/>
      <c r="I204" s="29"/>
    </row>
    <row r="205" spans="1:9" ht="22.5" customHeight="1">
      <c r="A205" s="36"/>
      <c r="B205" s="37"/>
      <c r="C205" s="38"/>
      <c r="D205" s="29"/>
      <c r="E205" s="29"/>
      <c r="F205" s="29"/>
      <c r="G205" s="39"/>
      <c r="H205" s="29"/>
      <c r="I205" s="29"/>
    </row>
    <row r="206" spans="1:9" ht="22.5" customHeight="1">
      <c r="A206" s="36"/>
      <c r="B206" s="37"/>
      <c r="C206" s="38"/>
      <c r="D206" s="29"/>
      <c r="E206" s="29"/>
      <c r="F206" s="29"/>
      <c r="G206" s="39"/>
      <c r="H206" s="29"/>
      <c r="I206" s="29"/>
    </row>
    <row r="207" spans="1:9" ht="22.5" customHeight="1">
      <c r="A207" s="36"/>
      <c r="B207" s="37"/>
      <c r="C207" s="38"/>
      <c r="D207" s="29"/>
      <c r="E207" s="29"/>
      <c r="F207" s="29"/>
      <c r="G207" s="39"/>
      <c r="H207" s="29"/>
      <c r="I207" s="29"/>
    </row>
    <row r="208" spans="1:9" ht="22.5" customHeight="1">
      <c r="A208" s="36"/>
      <c r="B208" s="37"/>
      <c r="C208" s="38"/>
      <c r="D208" s="29"/>
      <c r="E208" s="29"/>
      <c r="F208" s="29"/>
      <c r="G208" s="39"/>
      <c r="H208" s="29"/>
      <c r="I208" s="29"/>
    </row>
    <row r="209" spans="1:9" ht="22.5" customHeight="1">
      <c r="A209" s="36"/>
      <c r="B209" s="37"/>
      <c r="C209" s="38"/>
      <c r="D209" s="29"/>
      <c r="E209" s="29"/>
      <c r="F209" s="29"/>
      <c r="G209" s="39"/>
      <c r="H209" s="29"/>
      <c r="I209" s="29"/>
    </row>
    <row r="210" spans="1:9" ht="22.5" customHeight="1">
      <c r="A210" s="36"/>
      <c r="B210" s="37"/>
      <c r="C210" s="38"/>
      <c r="D210" s="29"/>
      <c r="E210" s="29"/>
      <c r="F210" s="29"/>
      <c r="G210" s="39"/>
      <c r="H210" s="29"/>
      <c r="I210" s="29"/>
    </row>
    <row r="211" spans="1:9" ht="22.5" customHeight="1">
      <c r="A211" s="36"/>
      <c r="B211" s="37"/>
      <c r="C211" s="38"/>
      <c r="D211" s="29"/>
      <c r="E211" s="29"/>
      <c r="F211" s="29"/>
      <c r="G211" s="39"/>
      <c r="H211" s="29"/>
      <c r="I211" s="29"/>
    </row>
    <row r="212" spans="1:9" ht="22.5" customHeight="1">
      <c r="A212" s="36"/>
      <c r="B212" s="37"/>
      <c r="C212" s="38"/>
      <c r="D212" s="29"/>
      <c r="E212" s="29"/>
      <c r="F212" s="29"/>
      <c r="G212" s="39"/>
      <c r="H212" s="29"/>
      <c r="I212" s="29"/>
    </row>
    <row r="213" spans="1:9" ht="22.5" customHeight="1">
      <c r="A213" s="36"/>
      <c r="B213" s="37"/>
      <c r="C213" s="38"/>
      <c r="D213" s="29"/>
      <c r="E213" s="29"/>
      <c r="F213" s="29"/>
      <c r="G213" s="39"/>
      <c r="H213" s="29"/>
      <c r="I213" s="29"/>
    </row>
    <row r="214" spans="1:9" ht="22.5" customHeight="1">
      <c r="A214" s="36"/>
      <c r="B214" s="37"/>
      <c r="C214" s="38"/>
      <c r="D214" s="29"/>
      <c r="E214" s="29"/>
      <c r="F214" s="29"/>
      <c r="G214" s="39"/>
      <c r="H214" s="29"/>
      <c r="I214" s="29"/>
    </row>
    <row r="215" spans="1:9" ht="22.5" customHeight="1">
      <c r="A215" s="36"/>
      <c r="B215" s="37"/>
      <c r="C215" s="38"/>
      <c r="D215" s="29"/>
      <c r="E215" s="29"/>
      <c r="F215" s="29"/>
      <c r="G215" s="39"/>
      <c r="H215" s="29"/>
      <c r="I215" s="29"/>
    </row>
    <row r="216" spans="1:9" ht="22.5" customHeight="1">
      <c r="A216" s="36"/>
      <c r="B216" s="37"/>
      <c r="C216" s="38"/>
      <c r="D216" s="29"/>
      <c r="E216" s="29"/>
      <c r="F216" s="29"/>
      <c r="G216" s="39"/>
      <c r="H216" s="29"/>
      <c r="I216" s="29"/>
    </row>
    <row r="217" spans="1:9" ht="22.5" customHeight="1">
      <c r="A217" s="36"/>
      <c r="B217" s="37"/>
      <c r="C217" s="38"/>
      <c r="D217" s="29"/>
      <c r="E217" s="29"/>
      <c r="F217" s="29"/>
      <c r="G217" s="39"/>
      <c r="H217" s="29"/>
      <c r="I217" s="29"/>
    </row>
    <row r="218" spans="1:9" ht="22.5" customHeight="1">
      <c r="A218" s="36"/>
      <c r="B218" s="37"/>
      <c r="C218" s="38"/>
      <c r="D218" s="29"/>
      <c r="E218" s="29"/>
      <c r="F218" s="29"/>
      <c r="G218" s="39"/>
      <c r="H218" s="29"/>
      <c r="I218" s="29"/>
    </row>
    <row r="219" spans="1:9" ht="22.5" customHeight="1">
      <c r="A219" s="36"/>
      <c r="B219" s="37"/>
      <c r="C219" s="38"/>
      <c r="D219" s="29"/>
      <c r="E219" s="29"/>
      <c r="F219" s="29"/>
      <c r="G219" s="39"/>
      <c r="H219" s="29"/>
      <c r="I219" s="29"/>
    </row>
    <row r="220" spans="1:9" ht="22.5" customHeight="1">
      <c r="A220" s="36"/>
      <c r="B220" s="37"/>
      <c r="C220" s="38"/>
      <c r="D220" s="29"/>
      <c r="E220" s="29"/>
      <c r="F220" s="29"/>
      <c r="G220" s="39"/>
      <c r="H220" s="29"/>
      <c r="I220" s="29"/>
    </row>
    <row r="221" spans="1:9" ht="22.5" customHeight="1">
      <c r="A221" s="36"/>
      <c r="B221" s="37"/>
      <c r="C221" s="38"/>
      <c r="D221" s="29"/>
      <c r="E221" s="29"/>
      <c r="F221" s="29"/>
      <c r="G221" s="39"/>
      <c r="H221" s="29"/>
      <c r="I221" s="29"/>
    </row>
    <row r="222" spans="1:9" ht="22.5" customHeight="1">
      <c r="A222" s="36"/>
      <c r="B222" s="37"/>
      <c r="C222" s="38"/>
      <c r="D222" s="29"/>
      <c r="E222" s="29"/>
      <c r="F222" s="29"/>
      <c r="G222" s="39"/>
      <c r="H222" s="29"/>
      <c r="I222" s="29"/>
    </row>
    <row r="223" spans="1:9" ht="22.5" customHeight="1">
      <c r="A223" s="36"/>
      <c r="B223" s="37"/>
      <c r="C223" s="38"/>
      <c r="D223" s="29"/>
      <c r="E223" s="29"/>
      <c r="F223" s="29"/>
      <c r="G223" s="39"/>
      <c r="H223" s="29"/>
      <c r="I223" s="29"/>
    </row>
    <row r="224" spans="1:9" ht="22.5" customHeight="1">
      <c r="A224" s="36"/>
      <c r="B224" s="37"/>
      <c r="C224" s="38"/>
      <c r="D224" s="29"/>
      <c r="E224" s="29"/>
      <c r="F224" s="29"/>
      <c r="G224" s="39"/>
      <c r="H224" s="29"/>
      <c r="I224" s="29"/>
    </row>
    <row r="225" spans="1:9" ht="22.5" customHeight="1">
      <c r="A225" s="36"/>
      <c r="B225" s="37"/>
      <c r="C225" s="38"/>
      <c r="D225" s="29"/>
      <c r="E225" s="29"/>
      <c r="F225" s="29"/>
      <c r="G225" s="39"/>
      <c r="H225" s="29"/>
      <c r="I225" s="29"/>
    </row>
    <row r="226" spans="1:9" ht="22.5" customHeight="1">
      <c r="A226" s="36"/>
      <c r="B226" s="37"/>
      <c r="C226" s="38"/>
      <c r="D226" s="29"/>
      <c r="E226" s="29"/>
      <c r="F226" s="29"/>
      <c r="G226" s="39"/>
      <c r="H226" s="29"/>
      <c r="I226" s="29"/>
    </row>
    <row r="227" spans="1:9" ht="22.5" customHeight="1">
      <c r="A227" s="36"/>
      <c r="B227" s="37"/>
      <c r="C227" s="38"/>
      <c r="D227" s="29"/>
      <c r="E227" s="29"/>
      <c r="F227" s="29"/>
      <c r="G227" s="39"/>
      <c r="H227" s="29"/>
      <c r="I227" s="29"/>
    </row>
    <row r="228" spans="1:9" ht="22.5" customHeight="1">
      <c r="A228" s="36"/>
      <c r="B228" s="37"/>
      <c r="C228" s="38"/>
      <c r="D228" s="29"/>
      <c r="E228" s="29"/>
      <c r="F228" s="29"/>
      <c r="G228" s="39"/>
      <c r="H228" s="29"/>
      <c r="I228" s="29"/>
    </row>
    <row r="229" spans="1:9" ht="22.5" customHeight="1">
      <c r="A229" s="36"/>
      <c r="B229" s="37"/>
      <c r="C229" s="38"/>
      <c r="D229" s="29"/>
      <c r="E229" s="29"/>
      <c r="F229" s="29"/>
      <c r="G229" s="39"/>
      <c r="H229" s="29"/>
      <c r="I229" s="29"/>
    </row>
    <row r="230" spans="1:9" ht="22.5" customHeight="1">
      <c r="A230" s="36"/>
      <c r="B230" s="37"/>
      <c r="C230" s="38"/>
      <c r="D230" s="29"/>
      <c r="E230" s="29"/>
      <c r="F230" s="29"/>
      <c r="G230" s="39"/>
      <c r="H230" s="29"/>
      <c r="I230" s="29"/>
    </row>
    <row r="231" spans="1:9" ht="22.5" customHeight="1">
      <c r="A231" s="36"/>
      <c r="B231" s="37"/>
      <c r="C231" s="38"/>
      <c r="D231" s="29"/>
      <c r="E231" s="29"/>
      <c r="F231" s="29"/>
      <c r="G231" s="39"/>
      <c r="H231" s="29"/>
      <c r="I231" s="29"/>
    </row>
    <row r="232" spans="1:9" ht="22.5" customHeight="1">
      <c r="A232" s="36"/>
      <c r="B232" s="37"/>
      <c r="C232" s="38"/>
      <c r="D232" s="29"/>
      <c r="E232" s="29"/>
      <c r="F232" s="29"/>
      <c r="G232" s="39"/>
      <c r="H232" s="29"/>
      <c r="I232" s="29"/>
    </row>
    <row r="233" spans="1:9" ht="22.5" customHeight="1">
      <c r="A233" s="36"/>
      <c r="B233" s="37"/>
      <c r="C233" s="38"/>
      <c r="D233" s="29"/>
      <c r="E233" s="29"/>
      <c r="F233" s="29"/>
      <c r="G233" s="39"/>
      <c r="H233" s="29"/>
      <c r="I233" s="29"/>
    </row>
    <row r="234" spans="1:9" ht="22.5" customHeight="1">
      <c r="A234" s="36"/>
      <c r="B234" s="37"/>
      <c r="C234" s="38"/>
      <c r="D234" s="29"/>
      <c r="E234" s="29"/>
      <c r="F234" s="29"/>
      <c r="G234" s="39"/>
      <c r="H234" s="29"/>
      <c r="I234" s="29"/>
    </row>
    <row r="235" spans="1:9" ht="22.5" customHeight="1">
      <c r="A235" s="36"/>
      <c r="B235" s="37"/>
      <c r="C235" s="38"/>
      <c r="D235" s="29"/>
      <c r="E235" s="29"/>
      <c r="F235" s="29"/>
      <c r="G235" s="39"/>
      <c r="H235" s="29"/>
      <c r="I235" s="29"/>
    </row>
    <row r="236" spans="1:9" ht="22.5" customHeight="1">
      <c r="A236" s="36"/>
      <c r="B236" s="37"/>
      <c r="C236" s="38"/>
      <c r="D236" s="29"/>
      <c r="E236" s="29"/>
      <c r="F236" s="29"/>
      <c r="G236" s="39"/>
      <c r="H236" s="29"/>
      <c r="I236" s="29"/>
    </row>
    <row r="237" spans="1:9" ht="22.5" customHeight="1">
      <c r="A237" s="36"/>
      <c r="B237" s="37"/>
      <c r="C237" s="38"/>
      <c r="D237" s="29"/>
      <c r="E237" s="29"/>
      <c r="F237" s="29"/>
      <c r="G237" s="39"/>
      <c r="H237" s="29"/>
      <c r="I237" s="29"/>
    </row>
    <row r="238" spans="1:9" ht="22.5" customHeight="1">
      <c r="A238" s="36"/>
      <c r="B238" s="37"/>
      <c r="C238" s="38"/>
      <c r="D238" s="29"/>
      <c r="E238" s="29"/>
      <c r="F238" s="29"/>
      <c r="G238" s="39"/>
      <c r="H238" s="29"/>
      <c r="I238" s="29"/>
    </row>
    <row r="239" spans="1:9" ht="22.5" customHeight="1">
      <c r="A239" s="36"/>
      <c r="B239" s="37"/>
      <c r="C239" s="38"/>
      <c r="D239" s="29"/>
      <c r="E239" s="29"/>
      <c r="F239" s="29"/>
      <c r="G239" s="39"/>
      <c r="H239" s="29"/>
      <c r="I239" s="29"/>
    </row>
    <row r="240" spans="1:9" ht="22.5" customHeight="1">
      <c r="A240" s="36"/>
      <c r="B240" s="37"/>
      <c r="C240" s="38"/>
      <c r="D240" s="29"/>
      <c r="E240" s="29"/>
      <c r="F240" s="29"/>
      <c r="G240" s="39"/>
      <c r="H240" s="29"/>
      <c r="I240" s="29"/>
    </row>
    <row r="241" spans="1:9" ht="22.5" customHeight="1">
      <c r="A241" s="36"/>
      <c r="B241" s="37"/>
      <c r="C241" s="38"/>
      <c r="D241" s="29"/>
      <c r="E241" s="29"/>
      <c r="F241" s="29"/>
      <c r="G241" s="39"/>
      <c r="H241" s="29"/>
      <c r="I241" s="29"/>
    </row>
    <row r="242" spans="1:9" ht="22.5" customHeight="1">
      <c r="A242" s="36"/>
      <c r="B242" s="37"/>
      <c r="C242" s="38"/>
      <c r="D242" s="29"/>
      <c r="E242" s="29"/>
      <c r="F242" s="29"/>
      <c r="G242" s="39"/>
      <c r="H242" s="29"/>
      <c r="I242" s="29"/>
    </row>
    <row r="243" spans="1:9" ht="22.5" customHeight="1">
      <c r="A243" s="36"/>
      <c r="B243" s="37"/>
      <c r="C243" s="38"/>
      <c r="D243" s="29"/>
      <c r="E243" s="29"/>
      <c r="F243" s="29"/>
      <c r="G243" s="39"/>
      <c r="H243" s="29"/>
      <c r="I243" s="29"/>
    </row>
    <row r="244" spans="1:9" ht="22.5" customHeight="1">
      <c r="A244" s="36"/>
      <c r="B244" s="37"/>
      <c r="C244" s="38"/>
      <c r="D244" s="29"/>
      <c r="E244" s="29"/>
      <c r="F244" s="29"/>
      <c r="G244" s="39"/>
      <c r="H244" s="29"/>
      <c r="I244" s="29"/>
    </row>
    <row r="245" spans="1:9" ht="22.5" customHeight="1">
      <c r="A245" s="36"/>
      <c r="B245" s="37"/>
      <c r="C245" s="38"/>
      <c r="D245" s="29"/>
      <c r="E245" s="29"/>
      <c r="F245" s="29"/>
      <c r="G245" s="39"/>
      <c r="H245" s="29"/>
      <c r="I245" s="29"/>
    </row>
    <row r="246" spans="1:9" ht="22.5" customHeight="1">
      <c r="A246" s="36"/>
      <c r="B246" s="37"/>
      <c r="C246" s="38"/>
      <c r="D246" s="29"/>
      <c r="E246" s="29"/>
      <c r="F246" s="29"/>
      <c r="G246" s="39"/>
      <c r="H246" s="29"/>
      <c r="I246" s="29"/>
    </row>
    <row r="247" spans="1:9" ht="22.5" customHeight="1">
      <c r="A247" s="36"/>
      <c r="B247" s="37"/>
      <c r="C247" s="38"/>
      <c r="D247" s="29"/>
      <c r="E247" s="29"/>
      <c r="F247" s="29"/>
      <c r="G247" s="39"/>
      <c r="H247" s="29"/>
      <c r="I247" s="29"/>
    </row>
    <row r="248" spans="1:9" ht="22.5" customHeight="1">
      <c r="A248" s="36"/>
      <c r="B248" s="37"/>
      <c r="C248" s="38"/>
      <c r="D248" s="29"/>
      <c r="E248" s="29"/>
      <c r="F248" s="29"/>
      <c r="G248" s="39"/>
      <c r="H248" s="29"/>
      <c r="I248" s="29"/>
    </row>
    <row r="249" spans="1:9" ht="22.5" customHeight="1">
      <c r="A249" s="36"/>
      <c r="B249" s="37"/>
      <c r="C249" s="38"/>
      <c r="D249" s="29"/>
      <c r="E249" s="29"/>
      <c r="F249" s="29"/>
      <c r="G249" s="39"/>
      <c r="H249" s="29"/>
      <c r="I249" s="29"/>
    </row>
    <row r="250" spans="1:9" ht="22.5" customHeight="1">
      <c r="A250" s="36"/>
      <c r="B250" s="37"/>
      <c r="C250" s="38"/>
      <c r="D250" s="29"/>
      <c r="E250" s="29"/>
      <c r="F250" s="29"/>
      <c r="G250" s="39"/>
      <c r="H250" s="29"/>
      <c r="I250" s="29"/>
    </row>
    <row r="251" spans="1:9" ht="22.5" customHeight="1">
      <c r="A251" s="36"/>
      <c r="B251" s="37"/>
      <c r="C251" s="38"/>
      <c r="D251" s="29"/>
      <c r="E251" s="29"/>
      <c r="F251" s="29"/>
      <c r="G251" s="39"/>
      <c r="H251" s="29"/>
      <c r="I251" s="29"/>
    </row>
    <row r="252" spans="1:9" ht="22.5" customHeight="1">
      <c r="A252" s="36"/>
      <c r="B252" s="37"/>
      <c r="C252" s="38"/>
      <c r="D252" s="29"/>
      <c r="E252" s="29"/>
      <c r="F252" s="29"/>
      <c r="G252" s="39"/>
      <c r="H252" s="29"/>
      <c r="I252" s="29"/>
    </row>
    <row r="253" spans="1:9" ht="22.5" customHeight="1">
      <c r="A253" s="36"/>
      <c r="B253" s="37"/>
      <c r="C253" s="38"/>
      <c r="D253" s="29"/>
      <c r="E253" s="29"/>
      <c r="F253" s="29"/>
      <c r="G253" s="39"/>
      <c r="H253" s="29"/>
      <c r="I253" s="29"/>
    </row>
    <row r="254" spans="1:9" ht="22.5" customHeight="1">
      <c r="A254" s="36"/>
      <c r="B254" s="37"/>
      <c r="C254" s="38"/>
      <c r="D254" s="29"/>
      <c r="E254" s="29"/>
      <c r="F254" s="29"/>
      <c r="G254" s="39"/>
      <c r="H254" s="29"/>
      <c r="I254" s="29"/>
    </row>
    <row r="255" spans="1:9" ht="22.5" customHeight="1">
      <c r="A255" s="36"/>
      <c r="B255" s="37"/>
      <c r="C255" s="38"/>
      <c r="D255" s="29"/>
      <c r="E255" s="29"/>
      <c r="F255" s="29"/>
      <c r="G255" s="39"/>
      <c r="H255" s="29"/>
      <c r="I255" s="29"/>
    </row>
    <row r="256" spans="1:9" ht="22.5" customHeight="1">
      <c r="A256" s="36"/>
      <c r="B256" s="37"/>
      <c r="C256" s="38"/>
      <c r="D256" s="29"/>
      <c r="E256" s="29"/>
      <c r="F256" s="29"/>
      <c r="G256" s="39"/>
      <c r="H256" s="29"/>
      <c r="I256" s="29"/>
    </row>
    <row r="257" spans="1:9" ht="22.5" customHeight="1">
      <c r="A257" s="36"/>
      <c r="B257" s="37"/>
      <c r="C257" s="38"/>
      <c r="D257" s="29"/>
      <c r="E257" s="29"/>
      <c r="F257" s="29"/>
      <c r="G257" s="39"/>
      <c r="H257" s="29"/>
      <c r="I257" s="29"/>
    </row>
    <row r="258" spans="1:9" ht="22.5" customHeight="1">
      <c r="A258" s="36"/>
      <c r="B258" s="37"/>
      <c r="C258" s="38"/>
      <c r="D258" s="29"/>
      <c r="E258" s="29"/>
      <c r="F258" s="29"/>
      <c r="G258" s="39"/>
      <c r="H258" s="29"/>
      <c r="I258" s="29"/>
    </row>
    <row r="259" spans="1:9" ht="22.5" customHeight="1">
      <c r="A259" s="36"/>
      <c r="B259" s="37"/>
      <c r="C259" s="38"/>
      <c r="D259" s="29"/>
      <c r="E259" s="29"/>
      <c r="F259" s="29"/>
      <c r="G259" s="39"/>
      <c r="H259" s="29"/>
      <c r="I259" s="29"/>
    </row>
    <row r="260" spans="1:9" ht="22.5" customHeight="1">
      <c r="A260" s="36"/>
      <c r="B260" s="37"/>
      <c r="C260" s="38"/>
      <c r="D260" s="29"/>
      <c r="E260" s="29"/>
      <c r="F260" s="29"/>
      <c r="G260" s="39"/>
      <c r="H260" s="29"/>
      <c r="I260" s="29"/>
    </row>
    <row r="261" spans="1:9" ht="22.5" customHeight="1">
      <c r="A261" s="36"/>
      <c r="B261" s="37"/>
      <c r="C261" s="38"/>
      <c r="D261" s="29"/>
      <c r="E261" s="29"/>
      <c r="F261" s="29"/>
      <c r="G261" s="39"/>
      <c r="H261" s="29"/>
      <c r="I261" s="29"/>
    </row>
    <row r="262" spans="1:9" ht="22.5" customHeight="1">
      <c r="A262" s="36"/>
      <c r="B262" s="37"/>
      <c r="C262" s="38"/>
      <c r="D262" s="29"/>
      <c r="E262" s="29"/>
      <c r="F262" s="29"/>
      <c r="G262" s="39"/>
      <c r="H262" s="29"/>
      <c r="I262" s="29"/>
    </row>
    <row r="263" spans="1:9" ht="22.5" customHeight="1">
      <c r="A263" s="36"/>
      <c r="B263" s="37"/>
      <c r="C263" s="38"/>
      <c r="D263" s="29"/>
      <c r="E263" s="29"/>
      <c r="F263" s="29"/>
      <c r="G263" s="39"/>
      <c r="H263" s="29"/>
      <c r="I263" s="29"/>
    </row>
    <row r="264" spans="1:9" ht="22.5" customHeight="1">
      <c r="A264" s="36"/>
      <c r="B264" s="37"/>
      <c r="C264" s="38"/>
      <c r="D264" s="29"/>
      <c r="E264" s="29"/>
      <c r="F264" s="29"/>
      <c r="G264" s="39"/>
      <c r="H264" s="29"/>
      <c r="I264" s="29"/>
    </row>
    <row r="265" spans="1:9" ht="22.5" customHeight="1">
      <c r="A265" s="36"/>
      <c r="B265" s="37"/>
      <c r="C265" s="38"/>
      <c r="D265" s="29"/>
      <c r="E265" s="29"/>
      <c r="F265" s="29"/>
      <c r="G265" s="39"/>
      <c r="H265" s="29"/>
      <c r="I265" s="29"/>
    </row>
    <row r="266" spans="1:9" ht="22.5" customHeight="1">
      <c r="A266" s="36"/>
      <c r="B266" s="37"/>
      <c r="C266" s="38"/>
      <c r="D266" s="29"/>
      <c r="E266" s="29"/>
      <c r="F266" s="29"/>
      <c r="G266" s="39"/>
      <c r="H266" s="29"/>
      <c r="I266" s="29"/>
    </row>
    <row r="267" spans="1:9" ht="22.5" customHeight="1">
      <c r="A267" s="36"/>
      <c r="B267" s="37"/>
      <c r="C267" s="38"/>
      <c r="D267" s="29"/>
      <c r="E267" s="29"/>
      <c r="F267" s="29"/>
      <c r="G267" s="39"/>
      <c r="H267" s="29"/>
      <c r="I267" s="29"/>
    </row>
    <row r="268" spans="1:9" ht="22.5" customHeight="1">
      <c r="A268" s="36"/>
      <c r="B268" s="37"/>
      <c r="C268" s="38"/>
      <c r="D268" s="29"/>
      <c r="E268" s="29"/>
      <c r="F268" s="29"/>
      <c r="G268" s="39"/>
      <c r="H268" s="29"/>
      <c r="I268" s="29"/>
    </row>
    <row r="269" spans="1:9" ht="22.5" customHeight="1">
      <c r="A269" s="36"/>
      <c r="B269" s="37"/>
      <c r="C269" s="38"/>
      <c r="D269" s="29"/>
      <c r="E269" s="29"/>
      <c r="F269" s="29"/>
      <c r="G269" s="39"/>
      <c r="H269" s="29"/>
      <c r="I269" s="29"/>
    </row>
    <row r="270" spans="1:9" ht="22.5" customHeight="1">
      <c r="A270" s="36"/>
      <c r="B270" s="37"/>
      <c r="C270" s="38"/>
      <c r="D270" s="29"/>
      <c r="E270" s="29"/>
      <c r="F270" s="29"/>
      <c r="G270" s="39"/>
      <c r="H270" s="29"/>
      <c r="I270" s="29"/>
    </row>
    <row r="271" spans="1:9" ht="22.5" customHeight="1">
      <c r="A271" s="36"/>
      <c r="B271" s="37"/>
      <c r="C271" s="38"/>
      <c r="D271" s="29"/>
      <c r="E271" s="29"/>
      <c r="F271" s="29"/>
      <c r="G271" s="39"/>
      <c r="H271" s="29"/>
      <c r="I271" s="29"/>
    </row>
    <row r="272" spans="1:9" ht="22.5" customHeight="1">
      <c r="A272" s="36"/>
      <c r="B272" s="37"/>
      <c r="C272" s="38"/>
      <c r="D272" s="29"/>
      <c r="E272" s="29"/>
      <c r="F272" s="29"/>
      <c r="G272" s="39"/>
      <c r="H272" s="29"/>
      <c r="I272" s="29"/>
    </row>
    <row r="273" spans="1:9" ht="22.5" customHeight="1">
      <c r="A273" s="36"/>
      <c r="B273" s="37"/>
      <c r="C273" s="38"/>
      <c r="D273" s="29"/>
      <c r="E273" s="29"/>
      <c r="F273" s="29"/>
      <c r="G273" s="39"/>
      <c r="H273" s="29"/>
      <c r="I273" s="29"/>
    </row>
    <row r="274" spans="1:9" ht="22.5" customHeight="1">
      <c r="A274" s="36"/>
      <c r="B274" s="37"/>
      <c r="C274" s="38"/>
      <c r="D274" s="29"/>
      <c r="E274" s="29"/>
      <c r="F274" s="29"/>
      <c r="G274" s="39"/>
      <c r="H274" s="29"/>
      <c r="I274" s="29"/>
    </row>
    <row r="275" spans="1:9" ht="22.5" customHeight="1">
      <c r="A275" s="36"/>
      <c r="B275" s="37"/>
      <c r="C275" s="38"/>
      <c r="D275" s="29"/>
      <c r="E275" s="29"/>
      <c r="F275" s="29"/>
      <c r="G275" s="39"/>
      <c r="H275" s="29"/>
      <c r="I275" s="29"/>
    </row>
    <row r="276" spans="1:9" ht="22.5" customHeight="1">
      <c r="A276" s="36"/>
      <c r="B276" s="37"/>
      <c r="C276" s="38"/>
      <c r="D276" s="29"/>
      <c r="E276" s="29"/>
      <c r="F276" s="29"/>
      <c r="G276" s="39"/>
      <c r="H276" s="29"/>
      <c r="I276" s="29"/>
    </row>
    <row r="277" spans="1:9" ht="22.5" customHeight="1">
      <c r="A277" s="36"/>
      <c r="B277" s="37"/>
      <c r="C277" s="38"/>
      <c r="D277" s="29"/>
      <c r="E277" s="29"/>
      <c r="F277" s="29"/>
      <c r="G277" s="39"/>
      <c r="H277" s="29"/>
      <c r="I277" s="29"/>
    </row>
    <row r="278" spans="1:9" ht="22.5" customHeight="1">
      <c r="A278" s="36"/>
      <c r="B278" s="37"/>
      <c r="C278" s="38"/>
      <c r="D278" s="29"/>
      <c r="E278" s="29"/>
      <c r="F278" s="29"/>
      <c r="G278" s="39"/>
      <c r="H278" s="29"/>
      <c r="I278" s="29"/>
    </row>
    <row r="279" spans="1:9" ht="22.5" customHeight="1">
      <c r="A279" s="36"/>
      <c r="B279" s="37"/>
      <c r="C279" s="38"/>
      <c r="D279" s="29"/>
      <c r="E279" s="29"/>
      <c r="F279" s="29"/>
      <c r="G279" s="39"/>
      <c r="H279" s="29"/>
      <c r="I279" s="29"/>
    </row>
    <row r="280" spans="1:9" ht="22.5" customHeight="1">
      <c r="A280" s="36"/>
      <c r="B280" s="37"/>
      <c r="C280" s="38"/>
      <c r="D280" s="29"/>
      <c r="E280" s="29"/>
      <c r="F280" s="29"/>
      <c r="G280" s="39"/>
      <c r="H280" s="29"/>
      <c r="I280" s="29"/>
    </row>
    <row r="281" spans="1:9" ht="22.5" customHeight="1">
      <c r="A281" s="36"/>
      <c r="B281" s="37"/>
      <c r="C281" s="38"/>
      <c r="D281" s="29"/>
      <c r="E281" s="29"/>
      <c r="F281" s="29"/>
      <c r="G281" s="39"/>
      <c r="H281" s="29"/>
      <c r="I281" s="29"/>
    </row>
    <row r="282" spans="1:9" ht="22.5" customHeight="1">
      <c r="A282" s="36"/>
      <c r="B282" s="37"/>
      <c r="C282" s="38"/>
      <c r="D282" s="29"/>
      <c r="E282" s="29"/>
      <c r="F282" s="29"/>
      <c r="G282" s="39"/>
      <c r="H282" s="29"/>
      <c r="I282" s="29"/>
    </row>
    <row r="283" spans="1:9" ht="22.5" customHeight="1">
      <c r="A283" s="36"/>
      <c r="B283" s="37"/>
      <c r="C283" s="38"/>
      <c r="D283" s="29"/>
      <c r="E283" s="29"/>
      <c r="F283" s="29"/>
      <c r="G283" s="39"/>
      <c r="H283" s="29"/>
      <c r="I283" s="29"/>
    </row>
    <row r="284" spans="1:9" ht="22.5" customHeight="1">
      <c r="A284" s="36"/>
      <c r="B284" s="37"/>
      <c r="C284" s="38"/>
      <c r="D284" s="29"/>
      <c r="E284" s="29"/>
      <c r="F284" s="29"/>
      <c r="G284" s="39"/>
      <c r="H284" s="29"/>
      <c r="I284" s="29"/>
    </row>
    <row r="285" spans="1:9" ht="22.5" customHeight="1">
      <c r="A285" s="36"/>
      <c r="B285" s="37"/>
      <c r="C285" s="38"/>
      <c r="D285" s="29"/>
      <c r="E285" s="29"/>
      <c r="F285" s="29"/>
      <c r="G285" s="39"/>
      <c r="H285" s="29"/>
      <c r="I285" s="29"/>
    </row>
    <row r="286" spans="1:9" ht="22.5" customHeight="1">
      <c r="A286" s="36"/>
      <c r="B286" s="37"/>
      <c r="C286" s="38"/>
      <c r="D286" s="29"/>
      <c r="E286" s="29"/>
      <c r="F286" s="29"/>
      <c r="G286" s="39"/>
      <c r="H286" s="29"/>
      <c r="I286" s="29"/>
    </row>
    <row r="287" spans="1:9" ht="22.5" customHeight="1">
      <c r="A287" s="36"/>
      <c r="B287" s="37"/>
      <c r="C287" s="38"/>
      <c r="D287" s="29"/>
      <c r="E287" s="29"/>
      <c r="F287" s="29"/>
      <c r="G287" s="39"/>
      <c r="H287" s="29"/>
      <c r="I287" s="29"/>
    </row>
    <row r="288" spans="1:9" ht="22.5" customHeight="1">
      <c r="A288" s="36"/>
      <c r="B288" s="37"/>
      <c r="C288" s="38"/>
      <c r="D288" s="29"/>
      <c r="E288" s="29"/>
      <c r="F288" s="29"/>
      <c r="G288" s="39"/>
      <c r="H288" s="29"/>
      <c r="I288" s="29"/>
    </row>
    <row r="289" spans="1:9" ht="22.5" customHeight="1">
      <c r="A289" s="36"/>
      <c r="B289" s="37"/>
      <c r="C289" s="38"/>
      <c r="D289" s="29"/>
      <c r="E289" s="29"/>
      <c r="F289" s="29"/>
      <c r="G289" s="39"/>
      <c r="H289" s="29"/>
      <c r="I289" s="29"/>
    </row>
    <row r="290" spans="1:9" ht="22.5" customHeight="1">
      <c r="A290" s="36"/>
      <c r="B290" s="37"/>
      <c r="C290" s="38"/>
      <c r="D290" s="29"/>
      <c r="E290" s="29"/>
      <c r="F290" s="29"/>
      <c r="G290" s="39"/>
      <c r="H290" s="29"/>
      <c r="I290" s="29"/>
    </row>
    <row r="291" spans="1:9" ht="22.5" customHeight="1">
      <c r="A291" s="36"/>
      <c r="B291" s="37"/>
      <c r="C291" s="38"/>
      <c r="D291" s="29"/>
      <c r="E291" s="29"/>
      <c r="F291" s="29"/>
      <c r="G291" s="39"/>
      <c r="H291" s="29"/>
      <c r="I291" s="29"/>
    </row>
    <row r="292" spans="1:9" ht="22.5" customHeight="1">
      <c r="A292" s="36"/>
      <c r="B292" s="37"/>
      <c r="C292" s="38"/>
      <c r="D292" s="29"/>
      <c r="E292" s="29"/>
      <c r="F292" s="29"/>
      <c r="G292" s="39"/>
      <c r="H292" s="29"/>
      <c r="I292" s="29"/>
    </row>
    <row r="293" spans="1:9" ht="22.5" customHeight="1">
      <c r="A293" s="36"/>
      <c r="B293" s="37"/>
      <c r="C293" s="38"/>
      <c r="D293" s="29"/>
      <c r="E293" s="29"/>
      <c r="F293" s="29"/>
      <c r="G293" s="39"/>
      <c r="H293" s="29"/>
      <c r="I293" s="29"/>
    </row>
    <row r="294" spans="1:9" ht="22.5" customHeight="1">
      <c r="A294" s="36"/>
      <c r="B294" s="37"/>
      <c r="C294" s="38"/>
      <c r="D294" s="29"/>
      <c r="E294" s="29"/>
      <c r="F294" s="29"/>
      <c r="G294" s="39"/>
      <c r="H294" s="29"/>
      <c r="I294" s="29"/>
    </row>
    <row r="295" spans="1:9" ht="22.5" customHeight="1">
      <c r="A295" s="36"/>
      <c r="B295" s="37"/>
      <c r="C295" s="38"/>
      <c r="D295" s="29"/>
      <c r="E295" s="29"/>
      <c r="F295" s="29"/>
      <c r="G295" s="39"/>
      <c r="H295" s="29"/>
      <c r="I295" s="29"/>
    </row>
    <row r="296" spans="1:9" ht="22.5" customHeight="1">
      <c r="A296" s="36"/>
      <c r="B296" s="37"/>
      <c r="C296" s="38"/>
      <c r="D296" s="29"/>
      <c r="E296" s="29"/>
      <c r="F296" s="29"/>
      <c r="G296" s="39"/>
      <c r="H296" s="29"/>
      <c r="I296" s="29"/>
    </row>
    <row r="297" spans="1:9" ht="22.5" customHeight="1">
      <c r="A297" s="36"/>
      <c r="B297" s="37"/>
      <c r="C297" s="38"/>
      <c r="D297" s="29"/>
      <c r="E297" s="29"/>
      <c r="F297" s="29"/>
      <c r="G297" s="39"/>
      <c r="H297" s="29"/>
      <c r="I297" s="29"/>
    </row>
    <row r="298" spans="1:9" ht="22.5" customHeight="1">
      <c r="A298" s="36"/>
      <c r="B298" s="37"/>
      <c r="C298" s="38"/>
      <c r="D298" s="29"/>
      <c r="E298" s="29"/>
      <c r="F298" s="29"/>
      <c r="G298" s="39"/>
      <c r="H298" s="29"/>
      <c r="I298" s="29"/>
    </row>
    <row r="299" spans="1:9" ht="22.5" customHeight="1">
      <c r="A299" s="36"/>
      <c r="B299" s="37"/>
      <c r="C299" s="38"/>
      <c r="D299" s="29"/>
      <c r="E299" s="29"/>
      <c r="F299" s="29"/>
      <c r="G299" s="39"/>
      <c r="H299" s="29"/>
      <c r="I299" s="29"/>
    </row>
    <row r="300" spans="1:9" ht="22.5" customHeight="1">
      <c r="A300" s="36"/>
      <c r="B300" s="37"/>
      <c r="C300" s="38"/>
      <c r="D300" s="29"/>
      <c r="E300" s="29"/>
      <c r="F300" s="29"/>
      <c r="G300" s="39"/>
      <c r="H300" s="29"/>
      <c r="I300" s="29"/>
    </row>
    <row r="301" spans="1:9" ht="22.5" customHeight="1">
      <c r="A301" s="36"/>
      <c r="B301" s="37"/>
      <c r="C301" s="38"/>
      <c r="D301" s="29"/>
      <c r="E301" s="29"/>
      <c r="F301" s="29"/>
      <c r="G301" s="39"/>
      <c r="H301" s="29"/>
      <c r="I301" s="29"/>
    </row>
    <row r="302" spans="1:9" ht="22.5" customHeight="1">
      <c r="A302" s="36"/>
      <c r="B302" s="37"/>
      <c r="C302" s="38"/>
      <c r="D302" s="29"/>
      <c r="E302" s="29"/>
      <c r="F302" s="29"/>
      <c r="G302" s="39"/>
      <c r="H302" s="29"/>
      <c r="I302" s="29"/>
    </row>
    <row r="303" spans="1:9" ht="22.5" customHeight="1">
      <c r="A303" s="36"/>
      <c r="B303" s="37"/>
      <c r="C303" s="38"/>
      <c r="D303" s="29"/>
      <c r="E303" s="29"/>
      <c r="F303" s="29"/>
      <c r="G303" s="39"/>
      <c r="H303" s="29"/>
      <c r="I303" s="29"/>
    </row>
    <row r="304" spans="1:9" ht="22.5" customHeight="1">
      <c r="A304" s="36"/>
      <c r="B304" s="37"/>
      <c r="C304" s="38"/>
      <c r="D304" s="29"/>
      <c r="E304" s="29"/>
      <c r="F304" s="29"/>
      <c r="G304" s="39"/>
      <c r="H304" s="29"/>
      <c r="I304" s="29"/>
    </row>
    <row r="305" spans="1:9" ht="22.5" customHeight="1">
      <c r="A305" s="36"/>
      <c r="B305" s="37"/>
      <c r="C305" s="38"/>
      <c r="D305" s="29"/>
      <c r="E305" s="29"/>
      <c r="F305" s="29"/>
      <c r="G305" s="39"/>
      <c r="H305" s="29"/>
      <c r="I305" s="29"/>
    </row>
    <row r="306" spans="1:9" ht="22.5" customHeight="1">
      <c r="A306" s="36"/>
      <c r="B306" s="37"/>
      <c r="C306" s="38"/>
      <c r="D306" s="29"/>
      <c r="E306" s="29"/>
      <c r="F306" s="29"/>
      <c r="G306" s="39"/>
      <c r="H306" s="29"/>
      <c r="I306" s="29"/>
    </row>
    <row r="307" spans="1:9" ht="22.5" customHeight="1">
      <c r="A307" s="36"/>
      <c r="B307" s="37"/>
      <c r="C307" s="38"/>
      <c r="D307" s="29"/>
      <c r="E307" s="29"/>
      <c r="F307" s="29"/>
      <c r="G307" s="39"/>
      <c r="H307" s="29"/>
      <c r="I307" s="29"/>
    </row>
    <row r="308" spans="1:9" ht="22.5" customHeight="1">
      <c r="A308" s="36"/>
      <c r="B308" s="37"/>
      <c r="C308" s="38"/>
      <c r="D308" s="29"/>
      <c r="E308" s="29"/>
      <c r="F308" s="29"/>
      <c r="G308" s="39"/>
      <c r="H308" s="29"/>
      <c r="I308" s="29"/>
    </row>
    <row r="309" spans="1:9" ht="22.5" customHeight="1">
      <c r="A309" s="36"/>
      <c r="B309" s="37"/>
      <c r="C309" s="38"/>
      <c r="D309" s="29"/>
      <c r="E309" s="29"/>
      <c r="F309" s="29"/>
      <c r="G309" s="39"/>
      <c r="H309" s="29"/>
      <c r="I309" s="29"/>
    </row>
    <row r="310" spans="1:9" ht="22.5" customHeight="1">
      <c r="A310" s="36"/>
      <c r="B310" s="37"/>
      <c r="C310" s="38"/>
      <c r="D310" s="29"/>
      <c r="E310" s="29"/>
      <c r="F310" s="29"/>
      <c r="G310" s="39"/>
      <c r="H310" s="29"/>
      <c r="I310" s="29"/>
    </row>
    <row r="311" spans="1:9" ht="22.5" customHeight="1">
      <c r="A311" s="36"/>
      <c r="B311" s="37"/>
      <c r="C311" s="38"/>
      <c r="D311" s="29"/>
      <c r="E311" s="29"/>
      <c r="F311" s="29"/>
      <c r="G311" s="39"/>
      <c r="H311" s="29"/>
      <c r="I311" s="29"/>
    </row>
    <row r="312" spans="1:9" ht="22.5" customHeight="1">
      <c r="A312" s="36"/>
      <c r="B312" s="37"/>
      <c r="C312" s="38"/>
      <c r="D312" s="29"/>
      <c r="E312" s="29"/>
      <c r="F312" s="29"/>
      <c r="G312" s="39"/>
      <c r="H312" s="29"/>
      <c r="I312" s="29"/>
    </row>
    <row r="313" spans="1:9" ht="22.5" customHeight="1">
      <c r="A313" s="36"/>
      <c r="B313" s="37"/>
      <c r="C313" s="38"/>
      <c r="D313" s="29"/>
      <c r="E313" s="29"/>
      <c r="F313" s="29"/>
      <c r="G313" s="39"/>
      <c r="H313" s="29"/>
      <c r="I313" s="29"/>
    </row>
    <row r="314" spans="1:9" ht="22.5" customHeight="1">
      <c r="A314" s="36"/>
      <c r="B314" s="37"/>
      <c r="C314" s="38"/>
      <c r="D314" s="29"/>
      <c r="E314" s="29"/>
      <c r="F314" s="29"/>
      <c r="G314" s="39"/>
      <c r="H314" s="29"/>
      <c r="I314" s="29"/>
    </row>
    <row r="315" spans="1:9" ht="22.5" customHeight="1">
      <c r="A315" s="36"/>
      <c r="B315" s="37"/>
      <c r="C315" s="38"/>
      <c r="D315" s="29"/>
      <c r="E315" s="29"/>
      <c r="F315" s="29"/>
      <c r="G315" s="39"/>
      <c r="H315" s="29"/>
      <c r="I315" s="29"/>
    </row>
    <row r="316" spans="1:9" ht="22.5" customHeight="1">
      <c r="A316" s="36"/>
      <c r="B316" s="37"/>
      <c r="C316" s="38"/>
      <c r="D316" s="29"/>
      <c r="E316" s="29"/>
      <c r="F316" s="29"/>
      <c r="G316" s="39"/>
      <c r="H316" s="29"/>
      <c r="I316" s="29"/>
    </row>
    <row r="317" spans="1:9" ht="22.5" customHeight="1">
      <c r="A317" s="36"/>
      <c r="B317" s="37"/>
      <c r="C317" s="38"/>
      <c r="D317" s="29"/>
      <c r="E317" s="29"/>
      <c r="F317" s="29"/>
      <c r="G317" s="39"/>
      <c r="H317" s="29"/>
      <c r="I317" s="29"/>
    </row>
    <row r="318" spans="1:9" ht="22.5" customHeight="1">
      <c r="A318" s="36"/>
      <c r="B318" s="37"/>
      <c r="C318" s="38"/>
      <c r="D318" s="29"/>
      <c r="E318" s="29"/>
      <c r="F318" s="29"/>
      <c r="G318" s="39"/>
      <c r="H318" s="29"/>
      <c r="I318" s="29"/>
    </row>
    <row r="319" spans="1:9" ht="22.5" customHeight="1">
      <c r="A319" s="36"/>
      <c r="B319" s="37"/>
      <c r="C319" s="38"/>
      <c r="D319" s="29"/>
      <c r="E319" s="29"/>
      <c r="F319" s="29"/>
      <c r="G319" s="39"/>
      <c r="H319" s="29"/>
      <c r="I319" s="29"/>
    </row>
    <row r="320" spans="1:9" ht="22.5" customHeight="1">
      <c r="A320" s="36"/>
      <c r="B320" s="37"/>
      <c r="C320" s="38"/>
      <c r="D320" s="29"/>
      <c r="E320" s="29"/>
      <c r="F320" s="29"/>
      <c r="G320" s="39"/>
      <c r="H320" s="29"/>
      <c r="I320" s="29"/>
    </row>
    <row r="321" spans="1:9" ht="22.5" customHeight="1">
      <c r="A321" s="36"/>
      <c r="B321" s="37"/>
      <c r="C321" s="38"/>
      <c r="D321" s="29"/>
      <c r="E321" s="29"/>
      <c r="F321" s="29"/>
      <c r="G321" s="39"/>
      <c r="H321" s="29"/>
      <c r="I321" s="29"/>
    </row>
    <row r="322" spans="1:9" ht="22.5" customHeight="1">
      <c r="A322" s="36"/>
      <c r="B322" s="37"/>
      <c r="C322" s="38"/>
      <c r="D322" s="29"/>
      <c r="E322" s="29"/>
      <c r="F322" s="29"/>
      <c r="G322" s="39"/>
      <c r="H322" s="29"/>
      <c r="I322" s="29"/>
    </row>
    <row r="323" spans="1:9" ht="22.5" customHeight="1">
      <c r="A323" s="36"/>
      <c r="B323" s="37"/>
      <c r="C323" s="38"/>
      <c r="D323" s="29"/>
      <c r="E323" s="29"/>
      <c r="F323" s="29"/>
      <c r="G323" s="39"/>
      <c r="H323" s="29"/>
      <c r="I323" s="29"/>
    </row>
    <row r="324" spans="1:9" ht="22.5" customHeight="1">
      <c r="A324" s="36"/>
      <c r="B324" s="37"/>
      <c r="C324" s="38"/>
      <c r="D324" s="29"/>
      <c r="E324" s="29"/>
      <c r="F324" s="29"/>
      <c r="G324" s="39"/>
      <c r="H324" s="29"/>
      <c r="I324" s="29"/>
    </row>
    <row r="325" spans="1:9" ht="22.5" customHeight="1">
      <c r="A325" s="36"/>
      <c r="B325" s="37"/>
      <c r="C325" s="38"/>
      <c r="D325" s="29"/>
      <c r="E325" s="29"/>
      <c r="F325" s="29"/>
      <c r="G325" s="39"/>
      <c r="H325" s="29"/>
      <c r="I325" s="29"/>
    </row>
    <row r="326" spans="1:9" ht="22.5" customHeight="1">
      <c r="A326" s="36"/>
      <c r="B326" s="37"/>
      <c r="C326" s="38"/>
      <c r="D326" s="29"/>
      <c r="E326" s="29"/>
      <c r="F326" s="29"/>
      <c r="G326" s="39"/>
      <c r="H326" s="29"/>
      <c r="I326" s="29"/>
    </row>
    <row r="327" spans="1:9" ht="22.5" customHeight="1">
      <c r="A327" s="36"/>
      <c r="B327" s="37"/>
      <c r="C327" s="38"/>
      <c r="D327" s="29"/>
      <c r="E327" s="29"/>
      <c r="F327" s="29"/>
      <c r="G327" s="39"/>
      <c r="H327" s="29"/>
      <c r="I327" s="29"/>
    </row>
    <row r="328" spans="1:9" ht="22.5" customHeight="1">
      <c r="A328" s="36"/>
      <c r="B328" s="37"/>
      <c r="C328" s="38"/>
      <c r="D328" s="29"/>
      <c r="E328" s="29"/>
      <c r="F328" s="29"/>
      <c r="G328" s="39"/>
      <c r="H328" s="29"/>
      <c r="I328" s="29"/>
    </row>
    <row r="329" spans="1:9" ht="22.5" customHeight="1">
      <c r="A329" s="36"/>
      <c r="B329" s="37"/>
      <c r="C329" s="38"/>
      <c r="D329" s="29"/>
      <c r="E329" s="29"/>
      <c r="F329" s="29"/>
      <c r="G329" s="39"/>
      <c r="H329" s="29"/>
      <c r="I329" s="29"/>
    </row>
    <row r="330" spans="1:9" ht="22.5" customHeight="1">
      <c r="A330" s="36"/>
      <c r="B330" s="37"/>
      <c r="C330" s="38"/>
      <c r="D330" s="29"/>
      <c r="E330" s="29"/>
      <c r="F330" s="29"/>
      <c r="G330" s="39"/>
      <c r="H330" s="29"/>
      <c r="I330" s="29"/>
    </row>
    <row r="331" spans="1:9" ht="22.5" customHeight="1">
      <c r="A331" s="36"/>
      <c r="B331" s="37"/>
      <c r="C331" s="38"/>
      <c r="D331" s="29"/>
      <c r="E331" s="29"/>
      <c r="F331" s="29"/>
      <c r="G331" s="39"/>
      <c r="H331" s="29"/>
      <c r="I331" s="29"/>
    </row>
    <row r="332" spans="1:9" ht="22.5" customHeight="1">
      <c r="A332" s="36"/>
      <c r="B332" s="37"/>
      <c r="C332" s="38"/>
      <c r="D332" s="29"/>
      <c r="E332" s="29"/>
      <c r="F332" s="29"/>
      <c r="G332" s="39"/>
      <c r="H332" s="29"/>
      <c r="I332" s="29"/>
    </row>
    <row r="333" spans="1:9" ht="22.5" customHeight="1">
      <c r="A333" s="36"/>
      <c r="B333" s="37"/>
      <c r="C333" s="38"/>
      <c r="D333" s="29"/>
      <c r="E333" s="29"/>
      <c r="F333" s="29"/>
      <c r="G333" s="39"/>
      <c r="H333" s="29"/>
      <c r="I333" s="29"/>
    </row>
    <row r="334" spans="1:9" ht="22.5" customHeight="1">
      <c r="A334" s="36"/>
      <c r="B334" s="37"/>
      <c r="C334" s="38"/>
      <c r="D334" s="29"/>
      <c r="E334" s="29"/>
      <c r="F334" s="29"/>
      <c r="G334" s="39"/>
      <c r="H334" s="29"/>
      <c r="I334" s="29"/>
    </row>
    <row r="335" spans="1:9" ht="22.5" customHeight="1">
      <c r="A335" s="36"/>
      <c r="B335" s="37"/>
      <c r="C335" s="38"/>
      <c r="D335" s="29"/>
      <c r="E335" s="29"/>
      <c r="F335" s="29"/>
      <c r="G335" s="39"/>
      <c r="H335" s="29"/>
      <c r="I335" s="29"/>
    </row>
    <row r="336" spans="1:9" ht="22.5" customHeight="1">
      <c r="A336" s="36"/>
      <c r="B336" s="37"/>
      <c r="C336" s="38"/>
      <c r="D336" s="29"/>
      <c r="E336" s="29"/>
      <c r="F336" s="29"/>
      <c r="G336" s="39"/>
      <c r="H336" s="29"/>
      <c r="I336" s="29"/>
    </row>
    <row r="337" spans="1:9" ht="22.5" customHeight="1">
      <c r="A337" s="36"/>
      <c r="B337" s="37"/>
      <c r="C337" s="38"/>
      <c r="D337" s="29"/>
      <c r="E337" s="29"/>
      <c r="F337" s="29"/>
      <c r="G337" s="39"/>
      <c r="H337" s="29"/>
      <c r="I337" s="29"/>
    </row>
    <row r="338" spans="1:9" ht="22.5" customHeight="1">
      <c r="A338" s="36"/>
      <c r="B338" s="37"/>
      <c r="C338" s="38"/>
      <c r="D338" s="29"/>
      <c r="E338" s="29"/>
      <c r="F338" s="29"/>
      <c r="G338" s="39"/>
      <c r="H338" s="29"/>
      <c r="I338" s="29"/>
    </row>
    <row r="339" spans="1:9" ht="22.5" customHeight="1">
      <c r="A339" s="36"/>
      <c r="B339" s="37"/>
      <c r="C339" s="38"/>
      <c r="D339" s="29"/>
      <c r="E339" s="29"/>
      <c r="F339" s="29"/>
      <c r="G339" s="39"/>
      <c r="H339" s="29"/>
      <c r="I339" s="29"/>
    </row>
    <row r="340" spans="1:9" ht="22.5" customHeight="1">
      <c r="A340" s="36"/>
      <c r="B340" s="37"/>
      <c r="C340" s="38"/>
      <c r="D340" s="29"/>
      <c r="E340" s="29"/>
      <c r="F340" s="29"/>
      <c r="G340" s="39"/>
      <c r="H340" s="29"/>
      <c r="I340" s="29"/>
    </row>
    <row r="341" spans="1:9" ht="22.5" customHeight="1">
      <c r="A341" s="36"/>
      <c r="B341" s="37"/>
      <c r="C341" s="38"/>
      <c r="D341" s="29"/>
      <c r="E341" s="29"/>
      <c r="F341" s="29"/>
      <c r="G341" s="39"/>
      <c r="H341" s="29"/>
      <c r="I341" s="29"/>
    </row>
    <row r="342" spans="1:9" ht="22.5" customHeight="1">
      <c r="A342" s="36"/>
      <c r="B342" s="37"/>
      <c r="C342" s="38"/>
      <c r="D342" s="29"/>
      <c r="E342" s="29"/>
      <c r="F342" s="29"/>
      <c r="G342" s="39"/>
      <c r="H342" s="29"/>
      <c r="I342" s="29"/>
    </row>
    <row r="343" spans="1:9" ht="22.5" customHeight="1">
      <c r="A343" s="36"/>
      <c r="B343" s="37"/>
      <c r="C343" s="38"/>
      <c r="D343" s="29"/>
      <c r="E343" s="29"/>
      <c r="F343" s="29"/>
      <c r="G343" s="39"/>
      <c r="H343" s="29"/>
      <c r="I343" s="29"/>
    </row>
    <row r="344" spans="1:9" ht="22.5" customHeight="1">
      <c r="A344" s="36"/>
      <c r="B344" s="37"/>
      <c r="C344" s="38"/>
      <c r="D344" s="29"/>
      <c r="E344" s="29"/>
      <c r="F344" s="29"/>
      <c r="G344" s="39"/>
      <c r="H344" s="29"/>
      <c r="I344" s="29"/>
    </row>
    <row r="345" spans="1:9" ht="22.5" customHeight="1">
      <c r="A345" s="36"/>
      <c r="B345" s="37"/>
      <c r="C345" s="38"/>
      <c r="D345" s="29"/>
      <c r="E345" s="29"/>
      <c r="F345" s="29"/>
      <c r="G345" s="39"/>
      <c r="H345" s="29"/>
      <c r="I345" s="29"/>
    </row>
    <row r="346" spans="1:9" ht="22.5" customHeight="1">
      <c r="A346" s="36"/>
      <c r="B346" s="37"/>
      <c r="C346" s="38"/>
      <c r="D346" s="29"/>
      <c r="E346" s="29"/>
      <c r="F346" s="29"/>
      <c r="G346" s="39"/>
      <c r="H346" s="29"/>
      <c r="I346" s="29"/>
    </row>
    <row r="347" spans="1:9" ht="22.5" customHeight="1">
      <c r="A347" s="36"/>
      <c r="B347" s="37"/>
      <c r="C347" s="38"/>
      <c r="D347" s="29"/>
      <c r="E347" s="29"/>
      <c r="F347" s="29"/>
      <c r="G347" s="39"/>
      <c r="H347" s="29"/>
      <c r="I347" s="29"/>
    </row>
    <row r="348" spans="1:9" ht="22.5" customHeight="1">
      <c r="A348" s="36"/>
      <c r="B348" s="37"/>
      <c r="C348" s="38"/>
      <c r="D348" s="29"/>
      <c r="E348" s="29"/>
      <c r="F348" s="29"/>
      <c r="G348" s="39"/>
      <c r="H348" s="29"/>
      <c r="I348" s="29"/>
    </row>
    <row r="349" spans="1:9" ht="22.5" customHeight="1">
      <c r="A349" s="36"/>
      <c r="B349" s="37"/>
      <c r="C349" s="38"/>
      <c r="D349" s="29"/>
      <c r="E349" s="29"/>
      <c r="F349" s="29"/>
      <c r="G349" s="39"/>
      <c r="H349" s="29"/>
      <c r="I349" s="29"/>
    </row>
    <row r="350" spans="1:9" ht="22.5" customHeight="1">
      <c r="A350" s="36"/>
      <c r="B350" s="37"/>
      <c r="C350" s="38"/>
      <c r="D350" s="29"/>
      <c r="E350" s="29"/>
      <c r="F350" s="29"/>
      <c r="G350" s="39"/>
      <c r="H350" s="29"/>
      <c r="I350" s="29"/>
    </row>
    <row r="351" spans="1:9" ht="22.5" customHeight="1">
      <c r="A351" s="36"/>
      <c r="B351" s="37"/>
      <c r="C351" s="38"/>
      <c r="D351" s="29"/>
      <c r="E351" s="29"/>
      <c r="F351" s="29"/>
      <c r="G351" s="39"/>
      <c r="H351" s="29"/>
      <c r="I351" s="29"/>
    </row>
    <row r="352" spans="1:9" ht="22.5" customHeight="1">
      <c r="A352" s="36"/>
      <c r="B352" s="37"/>
      <c r="C352" s="38"/>
      <c r="D352" s="29"/>
      <c r="E352" s="29"/>
      <c r="F352" s="29"/>
      <c r="G352" s="39"/>
      <c r="H352" s="29"/>
      <c r="I352" s="29"/>
    </row>
    <row r="353" spans="1:9" ht="22.5" customHeight="1">
      <c r="A353" s="36"/>
      <c r="B353" s="37"/>
      <c r="C353" s="38"/>
      <c r="D353" s="29"/>
      <c r="E353" s="29"/>
      <c r="F353" s="29"/>
      <c r="G353" s="39"/>
      <c r="H353" s="29"/>
      <c r="I353" s="29"/>
    </row>
    <row r="354" spans="1:9" ht="22.5" customHeight="1">
      <c r="A354" s="36"/>
      <c r="B354" s="37"/>
      <c r="C354" s="38"/>
      <c r="D354" s="29"/>
      <c r="E354" s="29"/>
      <c r="F354" s="29"/>
      <c r="G354" s="39"/>
      <c r="H354" s="29"/>
      <c r="I354" s="29"/>
    </row>
    <row r="355" spans="1:9" ht="22.5" customHeight="1">
      <c r="A355" s="36"/>
      <c r="B355" s="37"/>
      <c r="C355" s="38"/>
      <c r="D355" s="29"/>
      <c r="E355" s="29"/>
      <c r="F355" s="29"/>
      <c r="G355" s="39"/>
      <c r="H355" s="29"/>
      <c r="I355" s="29"/>
    </row>
    <row r="356" spans="1:9" ht="22.5" customHeight="1">
      <c r="A356" s="36"/>
      <c r="B356" s="37"/>
      <c r="C356" s="38"/>
      <c r="D356" s="29"/>
      <c r="E356" s="29"/>
      <c r="F356" s="29"/>
      <c r="G356" s="39"/>
      <c r="H356" s="29"/>
      <c r="I356" s="29"/>
    </row>
    <row r="357" spans="1:9" ht="22.5" customHeight="1">
      <c r="A357" s="36"/>
      <c r="B357" s="37"/>
      <c r="C357" s="38"/>
      <c r="D357" s="29"/>
      <c r="E357" s="29"/>
      <c r="F357" s="29"/>
      <c r="G357" s="39"/>
      <c r="H357" s="29"/>
      <c r="I357" s="29"/>
    </row>
    <row r="358" spans="1:9" ht="22.5" customHeight="1">
      <c r="A358" s="36"/>
      <c r="B358" s="37"/>
      <c r="C358" s="38"/>
      <c r="D358" s="29"/>
      <c r="E358" s="29"/>
      <c r="F358" s="29"/>
      <c r="G358" s="39"/>
      <c r="H358" s="29"/>
      <c r="I358" s="29"/>
    </row>
    <row r="359" spans="1:9" ht="22.5" customHeight="1">
      <c r="A359" s="36"/>
      <c r="B359" s="37"/>
      <c r="C359" s="38"/>
      <c r="D359" s="29"/>
      <c r="E359" s="29"/>
      <c r="F359" s="29"/>
      <c r="G359" s="39"/>
      <c r="H359" s="29"/>
      <c r="I359" s="29"/>
    </row>
    <row r="360" spans="1:9" ht="22.5" customHeight="1">
      <c r="A360" s="36"/>
      <c r="B360" s="37"/>
      <c r="C360" s="38"/>
      <c r="D360" s="29"/>
      <c r="E360" s="29"/>
      <c r="F360" s="29"/>
      <c r="G360" s="39"/>
      <c r="H360" s="29"/>
      <c r="I360" s="29"/>
    </row>
    <row r="361" spans="1:9" ht="22.5" customHeight="1">
      <c r="A361" s="36"/>
      <c r="B361" s="37"/>
      <c r="C361" s="38"/>
      <c r="D361" s="29"/>
      <c r="E361" s="29"/>
      <c r="F361" s="29"/>
      <c r="G361" s="39"/>
      <c r="H361" s="29"/>
      <c r="I361" s="29"/>
    </row>
    <row r="362" spans="1:9" ht="22.5" customHeight="1">
      <c r="A362" s="36"/>
      <c r="B362" s="37"/>
      <c r="C362" s="38"/>
      <c r="D362" s="29"/>
      <c r="E362" s="29"/>
      <c r="F362" s="29"/>
      <c r="G362" s="39"/>
      <c r="H362" s="29"/>
      <c r="I362" s="29"/>
    </row>
    <row r="363" spans="1:9" ht="22.5" customHeight="1">
      <c r="A363" s="36"/>
      <c r="B363" s="37"/>
      <c r="C363" s="38"/>
      <c r="D363" s="29"/>
      <c r="E363" s="29"/>
      <c r="F363" s="29"/>
      <c r="G363" s="39"/>
      <c r="H363" s="29"/>
      <c r="I363" s="29"/>
    </row>
    <row r="364" spans="1:9" ht="22.5" customHeight="1">
      <c r="A364" s="36"/>
      <c r="B364" s="37"/>
      <c r="C364" s="38"/>
      <c r="D364" s="29"/>
      <c r="E364" s="29"/>
      <c r="F364" s="29"/>
      <c r="G364" s="39"/>
      <c r="H364" s="29"/>
      <c r="I364" s="29"/>
    </row>
    <row r="365" spans="1:9" ht="22.5" customHeight="1">
      <c r="A365" s="36"/>
      <c r="B365" s="37"/>
      <c r="C365" s="38"/>
      <c r="D365" s="29"/>
      <c r="E365" s="29"/>
      <c r="F365" s="29"/>
      <c r="G365" s="39"/>
      <c r="H365" s="29"/>
      <c r="I365" s="29"/>
    </row>
    <row r="366" spans="1:9" ht="22.5" customHeight="1">
      <c r="A366" s="36"/>
      <c r="B366" s="37"/>
      <c r="C366" s="38"/>
      <c r="D366" s="29"/>
      <c r="E366" s="29"/>
      <c r="F366" s="29"/>
      <c r="G366" s="39"/>
      <c r="H366" s="29"/>
      <c r="I366" s="29"/>
    </row>
    <row r="367" spans="1:9" ht="22.5" customHeight="1">
      <c r="A367" s="36"/>
      <c r="B367" s="37"/>
      <c r="C367" s="38"/>
      <c r="D367" s="29"/>
      <c r="E367" s="29"/>
      <c r="F367" s="29"/>
      <c r="G367" s="39"/>
      <c r="H367" s="29"/>
      <c r="I367" s="29"/>
    </row>
    <row r="368" spans="1:9" ht="22.5" customHeight="1">
      <c r="A368" s="36"/>
      <c r="B368" s="37"/>
      <c r="C368" s="38"/>
      <c r="D368" s="29"/>
      <c r="E368" s="29"/>
      <c r="F368" s="29"/>
      <c r="G368" s="39"/>
      <c r="H368" s="29"/>
      <c r="I368" s="29"/>
    </row>
    <row r="369" spans="1:9" ht="22.5" customHeight="1">
      <c r="A369" s="36"/>
      <c r="B369" s="37"/>
      <c r="C369" s="38"/>
      <c r="D369" s="29"/>
      <c r="E369" s="29"/>
      <c r="F369" s="29"/>
      <c r="G369" s="39"/>
      <c r="H369" s="29"/>
      <c r="I369" s="29"/>
    </row>
    <row r="370" spans="1:9" ht="22.5" customHeight="1">
      <c r="A370" s="36"/>
      <c r="B370" s="37"/>
      <c r="C370" s="38"/>
      <c r="D370" s="29"/>
      <c r="E370" s="29"/>
      <c r="F370" s="29"/>
      <c r="G370" s="39"/>
      <c r="H370" s="29"/>
      <c r="I370" s="29"/>
    </row>
    <row r="371" spans="1:9" ht="22.5" customHeight="1">
      <c r="A371" s="36"/>
      <c r="B371" s="37"/>
      <c r="C371" s="38"/>
      <c r="D371" s="29"/>
      <c r="E371" s="29"/>
      <c r="F371" s="29"/>
      <c r="G371" s="39"/>
      <c r="H371" s="29"/>
      <c r="I371" s="29"/>
    </row>
    <row r="372" spans="1:9" ht="22.5" customHeight="1">
      <c r="A372" s="36"/>
      <c r="B372" s="37"/>
      <c r="C372" s="38"/>
      <c r="D372" s="29"/>
      <c r="E372" s="29"/>
      <c r="F372" s="29"/>
      <c r="G372" s="39"/>
      <c r="H372" s="29"/>
      <c r="I372" s="29"/>
    </row>
    <row r="373" spans="1:9" ht="22.5" customHeight="1">
      <c r="A373" s="36"/>
      <c r="B373" s="37"/>
      <c r="C373" s="38"/>
      <c r="D373" s="29"/>
      <c r="E373" s="29"/>
      <c r="F373" s="29"/>
      <c r="G373" s="39"/>
      <c r="H373" s="29"/>
      <c r="I373" s="29"/>
    </row>
    <row r="374" spans="1:9" ht="22.5" customHeight="1">
      <c r="A374" s="36"/>
      <c r="B374" s="37"/>
      <c r="C374" s="38"/>
      <c r="D374" s="29"/>
      <c r="E374" s="29"/>
      <c r="F374" s="29"/>
      <c r="G374" s="39"/>
      <c r="H374" s="29"/>
      <c r="I374" s="29"/>
    </row>
    <row r="375" spans="1:9" ht="22.5" customHeight="1">
      <c r="A375" s="36"/>
      <c r="B375" s="37"/>
      <c r="C375" s="38"/>
      <c r="D375" s="29"/>
      <c r="E375" s="29"/>
      <c r="F375" s="29"/>
      <c r="G375" s="39"/>
      <c r="H375" s="29"/>
      <c r="I375" s="29"/>
    </row>
    <row r="376" spans="1:9" ht="22.5" customHeight="1">
      <c r="A376" s="36"/>
      <c r="B376" s="37"/>
      <c r="C376" s="38"/>
      <c r="D376" s="29"/>
      <c r="E376" s="29"/>
      <c r="F376" s="29"/>
      <c r="G376" s="39"/>
      <c r="H376" s="29"/>
      <c r="I376" s="29"/>
    </row>
    <row r="377" spans="1:9" ht="22.5" customHeight="1">
      <c r="A377" s="36"/>
      <c r="B377" s="37"/>
      <c r="C377" s="38"/>
      <c r="D377" s="29"/>
      <c r="E377" s="29"/>
      <c r="F377" s="29"/>
      <c r="G377" s="39"/>
      <c r="H377" s="29"/>
      <c r="I377" s="29"/>
    </row>
    <row r="378" spans="1:9" ht="22.5" customHeight="1">
      <c r="A378" s="36"/>
      <c r="B378" s="37"/>
      <c r="C378" s="38"/>
      <c r="D378" s="29"/>
      <c r="E378" s="29"/>
      <c r="F378" s="29"/>
      <c r="G378" s="39"/>
      <c r="H378" s="29"/>
      <c r="I378" s="29"/>
    </row>
    <row r="379" spans="1:9" ht="22.5" customHeight="1">
      <c r="A379" s="36"/>
      <c r="B379" s="37"/>
      <c r="C379" s="38"/>
      <c r="D379" s="29"/>
      <c r="E379" s="29"/>
      <c r="F379" s="29"/>
      <c r="G379" s="39"/>
      <c r="H379" s="29"/>
      <c r="I379" s="29"/>
    </row>
    <row r="380" spans="1:9" ht="22.5" customHeight="1">
      <c r="A380" s="36"/>
      <c r="B380" s="37"/>
      <c r="C380" s="38"/>
      <c r="D380" s="29"/>
      <c r="E380" s="29"/>
      <c r="F380" s="29"/>
      <c r="G380" s="39"/>
      <c r="H380" s="29"/>
      <c r="I380" s="29"/>
    </row>
    <row r="381" spans="1:9" ht="22.5" customHeight="1">
      <c r="A381" s="36"/>
      <c r="B381" s="37"/>
      <c r="C381" s="38"/>
      <c r="D381" s="29"/>
      <c r="E381" s="29"/>
      <c r="F381" s="29"/>
      <c r="G381" s="39"/>
      <c r="H381" s="29"/>
      <c r="I381" s="29"/>
    </row>
    <row r="382" spans="1:9" ht="22.5" customHeight="1">
      <c r="A382" s="36"/>
      <c r="B382" s="37"/>
      <c r="C382" s="38"/>
      <c r="D382" s="29"/>
      <c r="E382" s="29"/>
      <c r="F382" s="29"/>
      <c r="G382" s="39"/>
      <c r="H382" s="29"/>
      <c r="I382" s="29"/>
    </row>
    <row r="383" spans="1:9" ht="22.5" customHeight="1">
      <c r="A383" s="36"/>
      <c r="B383" s="37"/>
      <c r="C383" s="38"/>
      <c r="D383" s="29"/>
      <c r="E383" s="29"/>
      <c r="F383" s="29"/>
      <c r="G383" s="39"/>
      <c r="H383" s="29"/>
      <c r="I383" s="29"/>
    </row>
    <row r="384" spans="1:9" ht="22.5" customHeight="1">
      <c r="A384" s="36"/>
      <c r="B384" s="37"/>
      <c r="C384" s="38"/>
      <c r="D384" s="29"/>
      <c r="E384" s="29"/>
      <c r="F384" s="29"/>
      <c r="G384" s="39"/>
      <c r="H384" s="29"/>
      <c r="I384" s="29"/>
    </row>
    <row r="385" spans="1:9" ht="22.5" customHeight="1">
      <c r="A385" s="36"/>
      <c r="B385" s="37"/>
      <c r="C385" s="38"/>
      <c r="D385" s="29"/>
      <c r="E385" s="29"/>
      <c r="F385" s="29"/>
      <c r="G385" s="39"/>
      <c r="H385" s="29"/>
      <c r="I385" s="29"/>
    </row>
    <row r="386" spans="1:9" ht="22.5" customHeight="1">
      <c r="A386" s="36"/>
      <c r="B386" s="37"/>
      <c r="C386" s="38"/>
      <c r="D386" s="29"/>
      <c r="E386" s="29"/>
      <c r="F386" s="29"/>
      <c r="G386" s="39"/>
      <c r="H386" s="29"/>
      <c r="I386" s="29"/>
    </row>
    <row r="387" spans="1:9" ht="22.5" customHeight="1">
      <c r="A387" s="36"/>
      <c r="B387" s="37"/>
      <c r="C387" s="38"/>
      <c r="D387" s="29"/>
      <c r="E387" s="29"/>
      <c r="F387" s="29"/>
      <c r="G387" s="39"/>
      <c r="H387" s="29"/>
      <c r="I387" s="29"/>
    </row>
    <row r="388" spans="1:9" ht="22.5" customHeight="1">
      <c r="A388" s="36"/>
      <c r="B388" s="37"/>
      <c r="C388" s="38"/>
      <c r="D388" s="29"/>
      <c r="E388" s="29"/>
      <c r="F388" s="29"/>
      <c r="G388" s="39"/>
      <c r="H388" s="29"/>
      <c r="I388" s="29"/>
    </row>
    <row r="389" spans="1:9" ht="22.5" customHeight="1">
      <c r="A389" s="36"/>
      <c r="B389" s="37"/>
      <c r="C389" s="38"/>
      <c r="D389" s="29"/>
      <c r="E389" s="29"/>
      <c r="F389" s="29"/>
      <c r="G389" s="39"/>
      <c r="H389" s="29"/>
      <c r="I389" s="29"/>
    </row>
    <row r="390" spans="1:9" ht="22.5" customHeight="1">
      <c r="A390" s="36"/>
      <c r="B390" s="37"/>
      <c r="C390" s="38"/>
      <c r="D390" s="29"/>
      <c r="E390" s="29"/>
      <c r="F390" s="29"/>
      <c r="G390" s="39"/>
      <c r="H390" s="29"/>
      <c r="I390" s="29"/>
    </row>
    <row r="391" spans="1:9" ht="22.5" customHeight="1">
      <c r="A391" s="36"/>
      <c r="B391" s="37"/>
      <c r="C391" s="38"/>
      <c r="D391" s="29"/>
      <c r="E391" s="29"/>
      <c r="F391" s="29"/>
      <c r="G391" s="39"/>
      <c r="H391" s="29"/>
      <c r="I391" s="29"/>
    </row>
    <row r="392" spans="1:9" ht="22.5" customHeight="1">
      <c r="A392" s="36"/>
      <c r="B392" s="37"/>
      <c r="C392" s="38"/>
      <c r="D392" s="29"/>
      <c r="E392" s="29"/>
      <c r="F392" s="29"/>
      <c r="G392" s="39"/>
      <c r="H392" s="29"/>
      <c r="I392" s="29"/>
    </row>
    <row r="393" spans="1:9" ht="22.5" customHeight="1">
      <c r="A393" s="36"/>
      <c r="B393" s="37"/>
      <c r="C393" s="38"/>
      <c r="D393" s="29"/>
      <c r="E393" s="29"/>
      <c r="F393" s="29"/>
      <c r="G393" s="39"/>
      <c r="H393" s="29"/>
      <c r="I393" s="29"/>
    </row>
    <row r="394" spans="1:9" ht="22.5" customHeight="1">
      <c r="A394" s="36"/>
      <c r="B394" s="37"/>
      <c r="C394" s="38"/>
      <c r="D394" s="29"/>
      <c r="E394" s="29"/>
      <c r="F394" s="29"/>
      <c r="G394" s="39"/>
      <c r="H394" s="29"/>
      <c r="I394" s="29"/>
    </row>
    <row r="395" spans="1:9" ht="22.5" customHeight="1">
      <c r="A395" s="36"/>
      <c r="B395" s="37"/>
      <c r="C395" s="38"/>
      <c r="D395" s="29"/>
      <c r="E395" s="29"/>
      <c r="F395" s="29"/>
      <c r="G395" s="39"/>
      <c r="H395" s="29"/>
      <c r="I395" s="29"/>
    </row>
    <row r="396" spans="1:9" ht="22.5" customHeight="1">
      <c r="A396" s="36"/>
      <c r="B396" s="37"/>
      <c r="C396" s="38"/>
      <c r="D396" s="29"/>
      <c r="E396" s="29"/>
      <c r="F396" s="29"/>
      <c r="G396" s="39"/>
      <c r="H396" s="29"/>
      <c r="I396" s="29"/>
    </row>
    <row r="397" spans="1:9" ht="22.5" customHeight="1">
      <c r="A397" s="36"/>
      <c r="B397" s="37"/>
      <c r="C397" s="38"/>
      <c r="D397" s="29"/>
      <c r="E397" s="29"/>
      <c r="F397" s="29"/>
      <c r="G397" s="39"/>
      <c r="H397" s="29"/>
      <c r="I397" s="29"/>
    </row>
    <row r="398" spans="1:9" ht="22.5" customHeight="1">
      <c r="A398" s="36"/>
      <c r="B398" s="37"/>
      <c r="C398" s="38"/>
      <c r="D398" s="29"/>
      <c r="E398" s="29"/>
      <c r="F398" s="29"/>
      <c r="G398" s="39"/>
      <c r="H398" s="29"/>
      <c r="I398" s="29"/>
    </row>
    <row r="399" spans="1:9" ht="22.5" customHeight="1">
      <c r="A399" s="36"/>
      <c r="B399" s="37"/>
      <c r="C399" s="38"/>
      <c r="D399" s="29"/>
      <c r="E399" s="29"/>
      <c r="F399" s="29"/>
      <c r="G399" s="39"/>
      <c r="H399" s="29"/>
      <c r="I399" s="29"/>
    </row>
    <row r="400" spans="1:9" ht="22.5" customHeight="1">
      <c r="A400" s="36"/>
      <c r="B400" s="37"/>
      <c r="C400" s="38"/>
      <c r="D400" s="29"/>
      <c r="E400" s="29"/>
      <c r="F400" s="29"/>
      <c r="G400" s="39"/>
      <c r="H400" s="29"/>
      <c r="I400" s="29"/>
    </row>
    <row r="401" spans="1:9" ht="22.5" customHeight="1">
      <c r="A401" s="36"/>
      <c r="B401" s="37"/>
      <c r="C401" s="38"/>
      <c r="D401" s="29"/>
      <c r="E401" s="29"/>
      <c r="F401" s="29"/>
      <c r="G401" s="39"/>
      <c r="H401" s="29"/>
      <c r="I401" s="29"/>
    </row>
    <row r="402" spans="1:9" ht="22.5" customHeight="1">
      <c r="A402" s="36"/>
      <c r="B402" s="37"/>
      <c r="C402" s="38"/>
      <c r="D402" s="29"/>
      <c r="E402" s="29"/>
      <c r="F402" s="29"/>
      <c r="G402" s="39"/>
      <c r="H402" s="29"/>
      <c r="I402" s="29"/>
    </row>
    <row r="403" spans="1:9" ht="22.5" customHeight="1">
      <c r="A403" s="36"/>
      <c r="B403" s="37"/>
      <c r="C403" s="38"/>
      <c r="D403" s="29"/>
      <c r="E403" s="29"/>
      <c r="F403" s="29"/>
      <c r="G403" s="39"/>
      <c r="H403" s="29"/>
      <c r="I403" s="29"/>
    </row>
    <row r="404" spans="1:9" ht="22.5" customHeight="1">
      <c r="A404" s="36"/>
      <c r="B404" s="37"/>
      <c r="C404" s="38"/>
      <c r="D404" s="29"/>
      <c r="E404" s="29"/>
      <c r="F404" s="29"/>
      <c r="G404" s="39"/>
      <c r="H404" s="29"/>
      <c r="I404" s="29"/>
    </row>
    <row r="405" spans="1:9" ht="22.5" customHeight="1">
      <c r="A405" s="36"/>
      <c r="B405" s="37"/>
      <c r="C405" s="38"/>
      <c r="D405" s="29"/>
      <c r="E405" s="29"/>
      <c r="F405" s="29"/>
      <c r="G405" s="39"/>
      <c r="H405" s="29"/>
      <c r="I405" s="29"/>
    </row>
    <row r="406" spans="1:9" ht="22.5" customHeight="1">
      <c r="A406" s="36"/>
      <c r="B406" s="37"/>
      <c r="C406" s="38"/>
      <c r="D406" s="29"/>
      <c r="E406" s="29"/>
      <c r="F406" s="29"/>
      <c r="G406" s="39"/>
      <c r="H406" s="29"/>
      <c r="I406" s="29"/>
    </row>
    <row r="407" spans="1:9" ht="22.5" customHeight="1">
      <c r="A407" s="36"/>
      <c r="B407" s="37"/>
      <c r="C407" s="38"/>
      <c r="D407" s="29"/>
      <c r="E407" s="29"/>
      <c r="F407" s="29"/>
      <c r="G407" s="39"/>
      <c r="H407" s="29"/>
      <c r="I407" s="29"/>
    </row>
    <row r="408" spans="1:9" ht="22.5" customHeight="1">
      <c r="A408" s="36"/>
      <c r="B408" s="37"/>
      <c r="C408" s="38"/>
      <c r="D408" s="29"/>
      <c r="E408" s="29"/>
      <c r="F408" s="29"/>
      <c r="G408" s="39"/>
      <c r="H408" s="29"/>
      <c r="I408" s="29"/>
    </row>
    <row r="409" spans="1:9" ht="22.5" customHeight="1">
      <c r="A409" s="36"/>
      <c r="B409" s="37"/>
      <c r="C409" s="38"/>
      <c r="D409" s="29"/>
      <c r="E409" s="29"/>
      <c r="F409" s="29"/>
      <c r="G409" s="39"/>
      <c r="H409" s="29"/>
      <c r="I409" s="29"/>
    </row>
    <row r="410" spans="1:9" ht="22.5" customHeight="1">
      <c r="A410" s="36"/>
      <c r="B410" s="37"/>
      <c r="C410" s="38"/>
      <c r="D410" s="29"/>
      <c r="E410" s="29"/>
      <c r="F410" s="29"/>
      <c r="G410" s="39"/>
      <c r="H410" s="29"/>
      <c r="I410" s="29"/>
    </row>
    <row r="411" spans="1:9" ht="22.5" customHeight="1">
      <c r="A411" s="36"/>
      <c r="B411" s="37"/>
      <c r="C411" s="38"/>
      <c r="D411" s="29"/>
      <c r="E411" s="29"/>
      <c r="F411" s="29"/>
      <c r="G411" s="39"/>
      <c r="H411" s="29"/>
      <c r="I411" s="29"/>
    </row>
    <row r="412" spans="1:9" ht="22.5" customHeight="1">
      <c r="A412" s="36"/>
      <c r="B412" s="37"/>
      <c r="C412" s="38"/>
      <c r="D412" s="29"/>
      <c r="E412" s="29"/>
      <c r="F412" s="29"/>
      <c r="G412" s="39"/>
      <c r="H412" s="29"/>
      <c r="I412" s="29"/>
    </row>
    <row r="413" spans="1:9" ht="22.5" customHeight="1">
      <c r="A413" s="36"/>
      <c r="B413" s="37"/>
      <c r="C413" s="38"/>
      <c r="D413" s="29"/>
      <c r="E413" s="29"/>
      <c r="F413" s="29"/>
      <c r="G413" s="39"/>
      <c r="H413" s="29"/>
      <c r="I413" s="29"/>
    </row>
    <row r="414" spans="1:9" ht="22.5" customHeight="1">
      <c r="A414" s="36"/>
      <c r="B414" s="37"/>
      <c r="C414" s="38"/>
      <c r="D414" s="29"/>
      <c r="E414" s="29"/>
      <c r="F414" s="29"/>
      <c r="G414" s="39"/>
      <c r="H414" s="29"/>
      <c r="I414" s="29"/>
    </row>
    <row r="415" spans="1:9" ht="22.5" customHeight="1">
      <c r="A415" s="36"/>
      <c r="B415" s="37"/>
      <c r="C415" s="38"/>
      <c r="D415" s="29"/>
      <c r="E415" s="29"/>
      <c r="F415" s="29"/>
      <c r="G415" s="39"/>
      <c r="H415" s="29"/>
      <c r="I415" s="29"/>
    </row>
    <row r="416" spans="1:9" ht="22.5" customHeight="1">
      <c r="A416" s="36"/>
      <c r="B416" s="37"/>
      <c r="C416" s="38"/>
      <c r="D416" s="29"/>
      <c r="E416" s="29"/>
      <c r="F416" s="29"/>
      <c r="G416" s="39"/>
      <c r="H416" s="29"/>
      <c r="I416" s="29"/>
    </row>
    <row r="417" spans="1:9" ht="22.5" customHeight="1">
      <c r="A417" s="36"/>
      <c r="B417" s="37"/>
      <c r="C417" s="38"/>
      <c r="D417" s="29"/>
      <c r="E417" s="29"/>
      <c r="F417" s="29"/>
      <c r="G417" s="39"/>
      <c r="H417" s="29"/>
      <c r="I417" s="29"/>
    </row>
    <row r="418" spans="1:9" ht="22.5" customHeight="1">
      <c r="A418" s="36"/>
      <c r="B418" s="37"/>
      <c r="C418" s="38"/>
      <c r="D418" s="29"/>
      <c r="E418" s="29"/>
      <c r="F418" s="29"/>
      <c r="G418" s="39"/>
      <c r="H418" s="29"/>
      <c r="I418" s="29"/>
    </row>
    <row r="419" spans="1:9" ht="22.5" customHeight="1">
      <c r="A419" s="36"/>
      <c r="B419" s="37"/>
      <c r="C419" s="38"/>
      <c r="D419" s="29"/>
      <c r="E419" s="29"/>
      <c r="F419" s="29"/>
      <c r="G419" s="39"/>
      <c r="H419" s="29"/>
      <c r="I419" s="29"/>
    </row>
    <row r="420" spans="1:9" ht="22.5" customHeight="1">
      <c r="A420" s="36"/>
      <c r="B420" s="37"/>
      <c r="C420" s="38"/>
      <c r="D420" s="29"/>
      <c r="E420" s="29"/>
      <c r="F420" s="29"/>
      <c r="G420" s="39"/>
      <c r="H420" s="29"/>
      <c r="I420" s="29"/>
    </row>
    <row r="421" spans="1:9" ht="22.5" customHeight="1">
      <c r="A421" s="36"/>
      <c r="B421" s="37"/>
      <c r="C421" s="38"/>
      <c r="D421" s="29"/>
      <c r="E421" s="29"/>
      <c r="F421" s="29"/>
      <c r="G421" s="39"/>
      <c r="H421" s="29"/>
      <c r="I421" s="29"/>
    </row>
    <row r="422" spans="1:9" ht="22.5" customHeight="1">
      <c r="A422" s="36"/>
      <c r="B422" s="37"/>
      <c r="C422" s="38"/>
      <c r="D422" s="29"/>
      <c r="E422" s="29"/>
      <c r="F422" s="29"/>
      <c r="G422" s="39"/>
      <c r="H422" s="29"/>
      <c r="I422" s="29"/>
    </row>
    <row r="423" spans="1:9" ht="22.5" customHeight="1">
      <c r="A423" s="36"/>
      <c r="B423" s="37"/>
      <c r="C423" s="38"/>
      <c r="D423" s="29"/>
      <c r="E423" s="29"/>
      <c r="F423" s="29"/>
      <c r="G423" s="39"/>
      <c r="H423" s="29"/>
      <c r="I423" s="29"/>
    </row>
    <row r="424" spans="1:9" ht="22.5" customHeight="1">
      <c r="A424" s="36"/>
      <c r="B424" s="37"/>
      <c r="C424" s="38"/>
      <c r="D424" s="29"/>
      <c r="E424" s="29"/>
      <c r="F424" s="29"/>
      <c r="G424" s="39"/>
      <c r="H424" s="29"/>
      <c r="I424" s="29"/>
    </row>
    <row r="425" spans="1:9" ht="22.5" customHeight="1">
      <c r="A425" s="36"/>
      <c r="B425" s="37"/>
      <c r="C425" s="38"/>
      <c r="D425" s="29"/>
      <c r="E425" s="29"/>
      <c r="F425" s="29"/>
      <c r="G425" s="39"/>
      <c r="H425" s="29"/>
      <c r="I425" s="29"/>
    </row>
    <row r="426" spans="1:9" ht="22.5" customHeight="1">
      <c r="A426" s="36"/>
      <c r="B426" s="37"/>
      <c r="C426" s="38"/>
      <c r="D426" s="29"/>
      <c r="E426" s="29"/>
      <c r="F426" s="29"/>
      <c r="G426" s="39"/>
      <c r="H426" s="29"/>
      <c r="I426" s="29"/>
    </row>
    <row r="427" spans="1:9" ht="22.5" customHeight="1">
      <c r="A427" s="36"/>
      <c r="B427" s="37"/>
      <c r="C427" s="38"/>
      <c r="D427" s="29"/>
      <c r="E427" s="29"/>
      <c r="F427" s="29"/>
      <c r="G427" s="39"/>
      <c r="H427" s="29"/>
      <c r="I427" s="29"/>
    </row>
    <row r="428" spans="1:9" ht="22.5" customHeight="1">
      <c r="A428" s="36"/>
      <c r="B428" s="37"/>
      <c r="C428" s="38"/>
      <c r="D428" s="29"/>
      <c r="E428" s="29"/>
      <c r="F428" s="29"/>
      <c r="G428" s="39"/>
      <c r="H428" s="29"/>
      <c r="I428" s="29"/>
    </row>
    <row r="429" spans="1:9" ht="22.5" customHeight="1">
      <c r="A429" s="36"/>
      <c r="B429" s="37"/>
      <c r="C429" s="38"/>
      <c r="D429" s="29"/>
      <c r="E429" s="29"/>
      <c r="F429" s="29"/>
      <c r="G429" s="39"/>
      <c r="H429" s="29"/>
      <c r="I429" s="29"/>
    </row>
    <row r="430" spans="1:9" ht="22.5" customHeight="1">
      <c r="A430" s="36"/>
      <c r="B430" s="37"/>
      <c r="C430" s="38"/>
      <c r="D430" s="29"/>
      <c r="E430" s="29"/>
      <c r="F430" s="29"/>
      <c r="G430" s="39"/>
      <c r="H430" s="29"/>
      <c r="I430" s="29"/>
    </row>
    <row r="431" spans="1:9" ht="22.5" customHeight="1">
      <c r="A431" s="36"/>
      <c r="B431" s="37"/>
      <c r="C431" s="38"/>
      <c r="D431" s="29"/>
      <c r="E431" s="29"/>
      <c r="F431" s="29"/>
      <c r="G431" s="39"/>
      <c r="H431" s="29"/>
      <c r="I431" s="29"/>
    </row>
    <row r="432" spans="1:9" ht="22.5" customHeight="1">
      <c r="A432" s="36"/>
      <c r="B432" s="37"/>
      <c r="C432" s="38"/>
      <c r="D432" s="29"/>
      <c r="E432" s="29"/>
      <c r="F432" s="29"/>
      <c r="G432" s="39"/>
      <c r="H432" s="29"/>
      <c r="I432" s="29"/>
    </row>
    <row r="433" spans="1:9" ht="22.5" customHeight="1">
      <c r="A433" s="36"/>
      <c r="B433" s="37"/>
      <c r="C433" s="38"/>
      <c r="D433" s="29"/>
      <c r="E433" s="29"/>
      <c r="F433" s="29"/>
      <c r="G433" s="39"/>
      <c r="H433" s="29"/>
      <c r="I433" s="29"/>
    </row>
    <row r="434" spans="1:9" ht="22.5" customHeight="1">
      <c r="A434" s="36"/>
      <c r="B434" s="37"/>
      <c r="C434" s="38"/>
      <c r="D434" s="29"/>
      <c r="E434" s="29"/>
      <c r="F434" s="29"/>
      <c r="G434" s="39"/>
      <c r="H434" s="29"/>
      <c r="I434" s="29"/>
    </row>
    <row r="435" spans="1:9" ht="22.5" customHeight="1">
      <c r="A435" s="36"/>
      <c r="B435" s="37"/>
      <c r="C435" s="38"/>
      <c r="D435" s="29"/>
      <c r="E435" s="29"/>
      <c r="F435" s="29"/>
      <c r="G435" s="39"/>
      <c r="H435" s="29"/>
      <c r="I435" s="29"/>
    </row>
    <row r="436" spans="1:9" ht="22.5" customHeight="1">
      <c r="A436" s="36"/>
      <c r="B436" s="37"/>
      <c r="C436" s="38"/>
      <c r="D436" s="29"/>
      <c r="E436" s="29"/>
      <c r="F436" s="29"/>
      <c r="G436" s="39"/>
      <c r="H436" s="29"/>
      <c r="I436" s="29"/>
    </row>
    <row r="437" spans="1:9" ht="22.5" customHeight="1">
      <c r="A437" s="36"/>
      <c r="B437" s="37"/>
      <c r="C437" s="38"/>
      <c r="D437" s="29"/>
      <c r="E437" s="29"/>
      <c r="F437" s="29"/>
      <c r="G437" s="39"/>
      <c r="H437" s="29"/>
      <c r="I437" s="29"/>
    </row>
    <row r="438" spans="1:9" ht="22.5" customHeight="1">
      <c r="A438" s="36"/>
      <c r="B438" s="37"/>
      <c r="C438" s="38"/>
      <c r="D438" s="29"/>
      <c r="E438" s="29"/>
      <c r="F438" s="29"/>
      <c r="G438" s="39"/>
      <c r="H438" s="29"/>
      <c r="I438" s="29"/>
    </row>
    <row r="439" spans="1:9" ht="22.5" customHeight="1">
      <c r="A439" s="36"/>
      <c r="B439" s="37"/>
      <c r="C439" s="38"/>
      <c r="D439" s="29"/>
      <c r="E439" s="29"/>
      <c r="F439" s="29"/>
      <c r="G439" s="39"/>
      <c r="H439" s="29"/>
      <c r="I439" s="29"/>
    </row>
    <row r="440" spans="1:9" ht="22.5" customHeight="1">
      <c r="A440" s="36"/>
      <c r="B440" s="37"/>
      <c r="C440" s="38"/>
      <c r="D440" s="29"/>
      <c r="E440" s="29"/>
      <c r="F440" s="29"/>
      <c r="G440" s="39"/>
      <c r="H440" s="29"/>
      <c r="I440" s="29"/>
    </row>
    <row r="441" spans="1:9" ht="22.5" customHeight="1">
      <c r="A441" s="36"/>
      <c r="B441" s="37"/>
      <c r="C441" s="38"/>
      <c r="D441" s="29"/>
      <c r="E441" s="29"/>
      <c r="F441" s="29"/>
      <c r="G441" s="39"/>
      <c r="H441" s="29"/>
      <c r="I441" s="29"/>
    </row>
    <row r="442" spans="1:9" ht="22.5" customHeight="1">
      <c r="A442" s="36"/>
      <c r="B442" s="37"/>
      <c r="C442" s="38"/>
      <c r="D442" s="29"/>
      <c r="E442" s="29"/>
      <c r="F442" s="29"/>
      <c r="G442" s="39"/>
      <c r="H442" s="29"/>
      <c r="I442" s="29"/>
    </row>
    <row r="443" spans="1:9" ht="22.5" customHeight="1">
      <c r="A443" s="36"/>
      <c r="B443" s="37"/>
      <c r="C443" s="38"/>
      <c r="D443" s="29"/>
      <c r="E443" s="29"/>
      <c r="F443" s="29"/>
      <c r="G443" s="39"/>
      <c r="H443" s="29"/>
      <c r="I443" s="29"/>
    </row>
    <row r="444" spans="1:9" ht="22.5" customHeight="1">
      <c r="A444" s="36"/>
      <c r="B444" s="37"/>
      <c r="C444" s="38"/>
      <c r="D444" s="29"/>
      <c r="E444" s="29"/>
      <c r="F444" s="29"/>
      <c r="G444" s="39"/>
      <c r="H444" s="29"/>
      <c r="I444" s="29"/>
    </row>
    <row r="445" spans="1:9" ht="22.5" customHeight="1">
      <c r="A445" s="36"/>
      <c r="B445" s="37"/>
      <c r="C445" s="38"/>
      <c r="D445" s="29"/>
      <c r="E445" s="29"/>
      <c r="F445" s="29"/>
      <c r="G445" s="39"/>
      <c r="H445" s="29"/>
      <c r="I445" s="29"/>
    </row>
    <row r="446" spans="1:9" ht="22.5" customHeight="1">
      <c r="A446" s="36"/>
      <c r="B446" s="37"/>
      <c r="C446" s="38"/>
      <c r="D446" s="29"/>
      <c r="E446" s="29"/>
      <c r="F446" s="29"/>
      <c r="G446" s="39"/>
      <c r="H446" s="29"/>
      <c r="I446" s="29"/>
    </row>
    <row r="447" spans="1:9" ht="22.5" customHeight="1">
      <c r="A447" s="36"/>
      <c r="B447" s="37"/>
      <c r="C447" s="38"/>
      <c r="D447" s="29"/>
      <c r="E447" s="29"/>
      <c r="F447" s="29"/>
      <c r="G447" s="39"/>
      <c r="H447" s="29"/>
      <c r="I447" s="29"/>
    </row>
    <row r="448" spans="1:9" ht="22.5" customHeight="1">
      <c r="A448" s="36"/>
      <c r="B448" s="37"/>
      <c r="C448" s="38"/>
      <c r="D448" s="29"/>
      <c r="E448" s="29"/>
      <c r="F448" s="29"/>
      <c r="G448" s="39"/>
      <c r="H448" s="29"/>
      <c r="I448" s="29"/>
    </row>
    <row r="449" spans="1:9" ht="22.5" customHeight="1">
      <c r="A449" s="36"/>
      <c r="B449" s="37"/>
      <c r="C449" s="38"/>
      <c r="D449" s="29"/>
      <c r="E449" s="29"/>
      <c r="F449" s="29"/>
      <c r="G449" s="39"/>
      <c r="H449" s="29"/>
      <c r="I449" s="29"/>
    </row>
    <row r="450" spans="1:9" ht="22.5" customHeight="1">
      <c r="A450" s="36"/>
      <c r="B450" s="37"/>
      <c r="C450" s="38"/>
      <c r="D450" s="29"/>
      <c r="E450" s="29"/>
      <c r="F450" s="29"/>
      <c r="G450" s="39"/>
      <c r="H450" s="29"/>
      <c r="I450" s="29"/>
    </row>
    <row r="451" spans="1:9" ht="22.5" customHeight="1">
      <c r="A451" s="36"/>
      <c r="B451" s="37"/>
      <c r="C451" s="38"/>
      <c r="D451" s="29"/>
      <c r="E451" s="29"/>
      <c r="F451" s="29"/>
      <c r="G451" s="39"/>
      <c r="H451" s="29"/>
      <c r="I451" s="29"/>
    </row>
    <row r="452" spans="1:9" ht="22.5" customHeight="1">
      <c r="A452" s="36"/>
      <c r="B452" s="37"/>
      <c r="C452" s="38"/>
      <c r="D452" s="29"/>
      <c r="E452" s="29"/>
      <c r="F452" s="29"/>
      <c r="G452" s="39"/>
      <c r="H452" s="29"/>
      <c r="I452" s="29"/>
    </row>
    <row r="453" spans="1:9" ht="22.5" customHeight="1">
      <c r="A453" s="36"/>
      <c r="B453" s="37"/>
      <c r="C453" s="38"/>
      <c r="D453" s="29"/>
      <c r="E453" s="29"/>
      <c r="F453" s="29"/>
      <c r="G453" s="39"/>
      <c r="H453" s="29"/>
      <c r="I453" s="29"/>
    </row>
    <row r="454" spans="1:9" ht="22.5" customHeight="1">
      <c r="A454" s="36"/>
      <c r="B454" s="37"/>
      <c r="C454" s="38"/>
      <c r="D454" s="29"/>
      <c r="E454" s="29"/>
      <c r="F454" s="29"/>
      <c r="G454" s="39"/>
      <c r="H454" s="29"/>
      <c r="I454" s="29"/>
    </row>
    <row r="455" spans="1:9" ht="22.5" customHeight="1">
      <c r="A455" s="36"/>
      <c r="B455" s="37"/>
      <c r="C455" s="38"/>
      <c r="D455" s="29"/>
      <c r="E455" s="29"/>
      <c r="F455" s="29"/>
      <c r="G455" s="39"/>
      <c r="H455" s="29"/>
      <c r="I455" s="29"/>
    </row>
    <row r="456" spans="1:9" ht="22.5" customHeight="1">
      <c r="A456" s="36"/>
      <c r="B456" s="37"/>
      <c r="C456" s="38"/>
      <c r="D456" s="29"/>
      <c r="E456" s="29"/>
      <c r="F456" s="29"/>
      <c r="G456" s="39"/>
      <c r="H456" s="29"/>
      <c r="I456" s="29"/>
    </row>
    <row r="457" spans="1:9" ht="22.5" customHeight="1">
      <c r="A457" s="36"/>
      <c r="B457" s="37"/>
      <c r="C457" s="38"/>
      <c r="D457" s="29"/>
      <c r="E457" s="29"/>
      <c r="F457" s="29"/>
      <c r="G457" s="39"/>
      <c r="H457" s="29"/>
      <c r="I457" s="29"/>
    </row>
    <row r="458" spans="1:9" ht="22.5" customHeight="1">
      <c r="A458" s="36"/>
      <c r="B458" s="37"/>
      <c r="C458" s="38"/>
      <c r="D458" s="29"/>
      <c r="E458" s="29"/>
      <c r="F458" s="29"/>
      <c r="G458" s="39"/>
      <c r="H458" s="29"/>
      <c r="I458" s="29"/>
    </row>
    <row r="459" spans="1:9" ht="22.5" customHeight="1">
      <c r="A459" s="36"/>
      <c r="B459" s="37"/>
      <c r="C459" s="38"/>
      <c r="D459" s="29"/>
      <c r="E459" s="29"/>
      <c r="F459" s="29"/>
      <c r="G459" s="39"/>
      <c r="H459" s="29"/>
      <c r="I459" s="29"/>
    </row>
    <row r="460" spans="1:9" ht="22.5" customHeight="1">
      <c r="A460" s="36"/>
      <c r="B460" s="37"/>
      <c r="C460" s="38"/>
      <c r="D460" s="29"/>
      <c r="E460" s="29"/>
      <c r="F460" s="29"/>
      <c r="G460" s="39"/>
      <c r="H460" s="29"/>
      <c r="I460" s="29"/>
    </row>
    <row r="461" spans="1:9" ht="22.5" customHeight="1">
      <c r="A461" s="36"/>
      <c r="B461" s="37"/>
      <c r="C461" s="38"/>
      <c r="D461" s="29"/>
      <c r="E461" s="29"/>
      <c r="F461" s="29"/>
      <c r="G461" s="39"/>
      <c r="H461" s="29"/>
      <c r="I461" s="29"/>
    </row>
    <row r="462" spans="1:9" ht="22.5" customHeight="1">
      <c r="A462" s="36"/>
      <c r="B462" s="37"/>
      <c r="C462" s="38"/>
      <c r="D462" s="29"/>
      <c r="E462" s="29"/>
      <c r="F462" s="29"/>
      <c r="G462" s="39"/>
      <c r="H462" s="29"/>
      <c r="I462" s="29"/>
    </row>
    <row r="463" spans="1:9" ht="22.5" customHeight="1">
      <c r="A463" s="36"/>
      <c r="B463" s="37"/>
      <c r="C463" s="38"/>
      <c r="D463" s="29"/>
      <c r="E463" s="29"/>
      <c r="F463" s="29"/>
      <c r="G463" s="39"/>
      <c r="H463" s="29"/>
      <c r="I463" s="29"/>
    </row>
    <row r="464" spans="1:9" ht="22.5" customHeight="1">
      <c r="A464" s="36"/>
      <c r="B464" s="37"/>
      <c r="C464" s="38"/>
      <c r="D464" s="29"/>
      <c r="E464" s="29"/>
      <c r="F464" s="29"/>
      <c r="G464" s="39"/>
      <c r="H464" s="29"/>
      <c r="I464" s="29"/>
    </row>
    <row r="465" spans="1:9" ht="22.5" customHeight="1">
      <c r="A465" s="36"/>
      <c r="B465" s="37"/>
      <c r="C465" s="38"/>
      <c r="D465" s="29"/>
      <c r="E465" s="29"/>
      <c r="F465" s="29"/>
      <c r="G465" s="39"/>
      <c r="H465" s="29"/>
      <c r="I465" s="29"/>
    </row>
    <row r="466" spans="1:9" ht="22.5" customHeight="1">
      <c r="A466" s="36"/>
      <c r="B466" s="37"/>
      <c r="C466" s="38"/>
      <c r="D466" s="29"/>
      <c r="E466" s="29"/>
      <c r="F466" s="29"/>
      <c r="G466" s="39"/>
      <c r="H466" s="29"/>
      <c r="I466" s="29"/>
    </row>
    <row r="467" spans="1:9" ht="22.5" customHeight="1">
      <c r="A467" s="36"/>
      <c r="B467" s="37"/>
      <c r="C467" s="38"/>
      <c r="D467" s="29"/>
      <c r="E467" s="29"/>
      <c r="F467" s="29"/>
      <c r="G467" s="39"/>
      <c r="H467" s="29"/>
      <c r="I467" s="29"/>
    </row>
    <row r="468" spans="1:9" ht="22.5" customHeight="1">
      <c r="A468" s="36"/>
      <c r="B468" s="37"/>
      <c r="C468" s="38"/>
      <c r="D468" s="29"/>
      <c r="E468" s="29"/>
      <c r="F468" s="29"/>
      <c r="G468" s="39"/>
      <c r="H468" s="29"/>
      <c r="I468" s="29"/>
    </row>
    <row r="469" spans="1:9" ht="22.5" customHeight="1">
      <c r="A469" s="36"/>
      <c r="B469" s="37"/>
      <c r="C469" s="38"/>
      <c r="D469" s="29"/>
      <c r="E469" s="29"/>
      <c r="F469" s="29"/>
      <c r="G469" s="39"/>
      <c r="H469" s="29"/>
      <c r="I469" s="29"/>
    </row>
    <row r="470" spans="1:9" ht="22.5" customHeight="1">
      <c r="A470" s="36"/>
      <c r="B470" s="37"/>
      <c r="C470" s="38"/>
      <c r="D470" s="29"/>
      <c r="E470" s="29"/>
      <c r="F470" s="29"/>
      <c r="G470" s="39"/>
      <c r="H470" s="29"/>
      <c r="I470" s="29"/>
    </row>
    <row r="471" spans="1:9" ht="22.5" customHeight="1">
      <c r="A471" s="36"/>
      <c r="B471" s="37"/>
      <c r="C471" s="38"/>
      <c r="D471" s="29"/>
      <c r="E471" s="29"/>
      <c r="F471" s="29"/>
      <c r="G471" s="39"/>
      <c r="H471" s="29"/>
      <c r="I471" s="29"/>
    </row>
    <row r="472" spans="1:9" ht="22.5" customHeight="1">
      <c r="A472" s="36"/>
      <c r="B472" s="37"/>
      <c r="C472" s="38"/>
      <c r="D472" s="29"/>
      <c r="E472" s="29"/>
      <c r="F472" s="29"/>
      <c r="G472" s="39"/>
      <c r="H472" s="29"/>
      <c r="I472" s="29"/>
    </row>
    <row r="473" spans="1:9" ht="22.5" customHeight="1">
      <c r="A473" s="36"/>
      <c r="B473" s="37"/>
      <c r="C473" s="38"/>
      <c r="D473" s="29"/>
      <c r="E473" s="29"/>
      <c r="F473" s="29"/>
      <c r="G473" s="39"/>
      <c r="H473" s="29"/>
      <c r="I473" s="29"/>
    </row>
    <row r="474" spans="1:9" ht="22.5" customHeight="1">
      <c r="A474" s="36"/>
      <c r="B474" s="37"/>
      <c r="C474" s="38"/>
      <c r="D474" s="29"/>
      <c r="E474" s="29"/>
      <c r="F474" s="29"/>
      <c r="G474" s="39"/>
      <c r="H474" s="29"/>
      <c r="I474" s="29"/>
    </row>
    <row r="475" spans="1:9" ht="22.5" customHeight="1">
      <c r="A475" s="36"/>
      <c r="B475" s="37"/>
      <c r="C475" s="38"/>
      <c r="D475" s="29"/>
      <c r="E475" s="29"/>
      <c r="F475" s="29"/>
      <c r="G475" s="39"/>
      <c r="H475" s="29"/>
      <c r="I475" s="29"/>
    </row>
    <row r="476" spans="1:9" ht="22.5" customHeight="1">
      <c r="A476" s="36"/>
      <c r="B476" s="37"/>
      <c r="C476" s="38"/>
      <c r="D476" s="29"/>
      <c r="E476" s="29"/>
      <c r="F476" s="29"/>
      <c r="G476" s="39"/>
      <c r="H476" s="29"/>
      <c r="I476" s="29"/>
    </row>
    <row r="477" spans="1:9" ht="22.5" customHeight="1">
      <c r="A477" s="36"/>
      <c r="B477" s="37"/>
      <c r="C477" s="38"/>
      <c r="D477" s="29"/>
      <c r="E477" s="29"/>
      <c r="F477" s="29"/>
      <c r="G477" s="39"/>
      <c r="H477" s="29"/>
      <c r="I477" s="29"/>
    </row>
    <row r="478" spans="1:9" ht="22.5" customHeight="1">
      <c r="A478" s="36"/>
      <c r="B478" s="37"/>
      <c r="C478" s="38"/>
      <c r="D478" s="29"/>
      <c r="E478" s="29"/>
      <c r="F478" s="29"/>
      <c r="G478" s="39"/>
      <c r="H478" s="29"/>
      <c r="I478" s="29"/>
    </row>
    <row r="479" spans="1:9" ht="22.5" customHeight="1">
      <c r="A479" s="36"/>
      <c r="B479" s="37"/>
      <c r="C479" s="38"/>
      <c r="D479" s="29"/>
      <c r="E479" s="29"/>
      <c r="F479" s="29"/>
      <c r="G479" s="39"/>
      <c r="H479" s="29"/>
      <c r="I479" s="29"/>
    </row>
    <row r="480" spans="1:9" ht="22.5" customHeight="1">
      <c r="A480" s="36"/>
      <c r="B480" s="37"/>
      <c r="C480" s="38"/>
      <c r="D480" s="29"/>
      <c r="E480" s="29"/>
      <c r="F480" s="29"/>
      <c r="G480" s="39"/>
      <c r="H480" s="29"/>
      <c r="I480" s="29"/>
    </row>
    <row r="481" spans="1:9" ht="22.5" customHeight="1">
      <c r="A481" s="36"/>
      <c r="B481" s="37"/>
      <c r="C481" s="38"/>
      <c r="D481" s="29"/>
      <c r="E481" s="29"/>
      <c r="F481" s="29"/>
      <c r="G481" s="39"/>
      <c r="H481" s="29"/>
      <c r="I481" s="29"/>
    </row>
    <row r="482" spans="1:9" ht="22.5" customHeight="1">
      <c r="A482" s="36"/>
      <c r="B482" s="37"/>
      <c r="C482" s="38"/>
      <c r="D482" s="29"/>
      <c r="E482" s="29"/>
      <c r="F482" s="29"/>
      <c r="G482" s="39"/>
      <c r="H482" s="29"/>
      <c r="I482" s="29"/>
    </row>
    <row r="483" spans="1:9" ht="22.5" customHeight="1">
      <c r="A483" s="36"/>
      <c r="B483" s="37"/>
      <c r="C483" s="38"/>
      <c r="D483" s="29"/>
      <c r="E483" s="29"/>
      <c r="F483" s="29"/>
      <c r="G483" s="39"/>
      <c r="H483" s="29"/>
      <c r="I483" s="29"/>
    </row>
    <row r="484" spans="1:9" ht="22.5" customHeight="1">
      <c r="A484" s="36"/>
      <c r="B484" s="37"/>
      <c r="C484" s="38"/>
      <c r="D484" s="29"/>
      <c r="E484" s="29"/>
      <c r="F484" s="29"/>
      <c r="G484" s="39"/>
      <c r="H484" s="29"/>
      <c r="I484" s="29"/>
    </row>
    <row r="485" spans="1:9" ht="22.5" customHeight="1">
      <c r="A485" s="36"/>
      <c r="B485" s="37"/>
      <c r="C485" s="38"/>
      <c r="D485" s="29"/>
      <c r="E485" s="29"/>
      <c r="F485" s="29"/>
      <c r="G485" s="39"/>
      <c r="H485" s="29"/>
      <c r="I485" s="29"/>
    </row>
    <row r="486" spans="1:9" ht="22.5" customHeight="1">
      <c r="A486" s="36"/>
      <c r="B486" s="37"/>
      <c r="C486" s="38"/>
      <c r="D486" s="29"/>
      <c r="E486" s="29"/>
      <c r="F486" s="29"/>
      <c r="G486" s="39"/>
      <c r="H486" s="29"/>
      <c r="I486" s="29"/>
    </row>
    <row r="487" spans="1:9" ht="22.5" customHeight="1">
      <c r="A487" s="36"/>
      <c r="B487" s="37"/>
      <c r="C487" s="38"/>
      <c r="D487" s="29"/>
      <c r="E487" s="29"/>
      <c r="F487" s="29"/>
      <c r="G487" s="39"/>
      <c r="H487" s="29"/>
      <c r="I487" s="29"/>
    </row>
    <row r="488" spans="1:9" ht="22.5" customHeight="1">
      <c r="A488" s="36"/>
      <c r="B488" s="37"/>
      <c r="C488" s="38"/>
      <c r="D488" s="29"/>
      <c r="E488" s="29"/>
      <c r="F488" s="29"/>
      <c r="G488" s="39"/>
      <c r="H488" s="29"/>
      <c r="I488" s="29"/>
    </row>
    <row r="489" spans="1:9" ht="22.5" customHeight="1">
      <c r="A489" s="36"/>
      <c r="B489" s="37"/>
      <c r="C489" s="38"/>
      <c r="D489" s="29"/>
      <c r="E489" s="29"/>
      <c r="F489" s="29"/>
      <c r="G489" s="39"/>
      <c r="H489" s="29"/>
      <c r="I489" s="29"/>
    </row>
    <row r="490" spans="1:9" ht="22.5" customHeight="1">
      <c r="A490" s="36"/>
      <c r="B490" s="37"/>
      <c r="C490" s="38"/>
      <c r="D490" s="29"/>
      <c r="E490" s="29"/>
      <c r="F490" s="29"/>
      <c r="G490" s="39"/>
      <c r="H490" s="29"/>
      <c r="I490" s="29"/>
    </row>
    <row r="491" spans="1:9" ht="22.5" customHeight="1">
      <c r="A491" s="36"/>
      <c r="B491" s="37"/>
      <c r="C491" s="38"/>
      <c r="D491" s="29"/>
      <c r="E491" s="29"/>
      <c r="F491" s="29"/>
      <c r="G491" s="39"/>
      <c r="H491" s="29"/>
      <c r="I491" s="29"/>
    </row>
    <row r="492" spans="1:9" ht="22.5" customHeight="1">
      <c r="A492" s="36"/>
      <c r="B492" s="37"/>
      <c r="C492" s="38"/>
      <c r="D492" s="29"/>
      <c r="E492" s="29"/>
      <c r="F492" s="29"/>
      <c r="G492" s="39"/>
      <c r="H492" s="29"/>
      <c r="I492" s="29"/>
    </row>
    <row r="493" spans="1:9" ht="22.5" customHeight="1">
      <c r="A493" s="36"/>
      <c r="B493" s="37"/>
      <c r="C493" s="38"/>
      <c r="D493" s="29"/>
      <c r="E493" s="29"/>
      <c r="F493" s="29"/>
      <c r="G493" s="39"/>
      <c r="H493" s="29"/>
      <c r="I493" s="29"/>
    </row>
    <row r="494" spans="1:9" ht="22.5" customHeight="1">
      <c r="A494" s="36"/>
      <c r="B494" s="37"/>
      <c r="C494" s="38"/>
      <c r="D494" s="29"/>
      <c r="E494" s="29"/>
      <c r="F494" s="29"/>
      <c r="G494" s="39"/>
      <c r="H494" s="29"/>
      <c r="I494" s="29"/>
    </row>
    <row r="495" spans="1:9" ht="22.5" customHeight="1">
      <c r="A495" s="36"/>
      <c r="B495" s="37"/>
      <c r="C495" s="38"/>
      <c r="D495" s="29"/>
      <c r="E495" s="29"/>
      <c r="F495" s="29"/>
      <c r="G495" s="39"/>
      <c r="H495" s="29"/>
      <c r="I495" s="29"/>
    </row>
    <row r="496" spans="1:9" ht="22.5" customHeight="1">
      <c r="A496" s="36"/>
      <c r="B496" s="37"/>
      <c r="C496" s="38"/>
      <c r="D496" s="29"/>
      <c r="E496" s="29"/>
      <c r="F496" s="29"/>
      <c r="G496" s="39"/>
      <c r="H496" s="29"/>
      <c r="I496" s="29"/>
    </row>
    <row r="497" spans="1:9" ht="22.5" customHeight="1">
      <c r="A497" s="36"/>
      <c r="B497" s="37"/>
      <c r="C497" s="38"/>
      <c r="D497" s="29"/>
      <c r="E497" s="29"/>
      <c r="F497" s="29"/>
      <c r="G497" s="39"/>
      <c r="H497" s="29"/>
      <c r="I497" s="29"/>
    </row>
    <row r="498" spans="1:9" ht="22.5" customHeight="1">
      <c r="A498" s="36"/>
      <c r="B498" s="37"/>
      <c r="C498" s="38"/>
      <c r="D498" s="29"/>
      <c r="E498" s="29"/>
      <c r="F498" s="29"/>
      <c r="G498" s="39"/>
      <c r="H498" s="29"/>
      <c r="I498" s="29"/>
    </row>
    <row r="499" spans="1:9" ht="22.5" customHeight="1">
      <c r="A499" s="36"/>
      <c r="B499" s="37"/>
      <c r="C499" s="38"/>
      <c r="D499" s="29"/>
      <c r="E499" s="29"/>
      <c r="F499" s="29"/>
      <c r="G499" s="39"/>
      <c r="H499" s="29"/>
      <c r="I499" s="29"/>
    </row>
    <row r="500" spans="1:9" ht="22.5" customHeight="1">
      <c r="A500" s="36"/>
      <c r="B500" s="37"/>
      <c r="C500" s="38"/>
      <c r="D500" s="29"/>
      <c r="E500" s="29"/>
      <c r="F500" s="29"/>
      <c r="G500" s="39"/>
      <c r="H500" s="29"/>
      <c r="I500" s="29"/>
    </row>
    <row r="501" spans="1:9" ht="22.5" customHeight="1">
      <c r="A501" s="36"/>
      <c r="B501" s="37"/>
      <c r="C501" s="38"/>
      <c r="D501" s="29"/>
      <c r="E501" s="29"/>
      <c r="F501" s="29"/>
      <c r="G501" s="39"/>
      <c r="H501" s="29"/>
      <c r="I501" s="29"/>
    </row>
    <row r="502" spans="1:9" ht="22.5" customHeight="1">
      <c r="A502" s="36"/>
      <c r="B502" s="37"/>
      <c r="C502" s="38"/>
      <c r="D502" s="29"/>
      <c r="E502" s="29"/>
      <c r="F502" s="29"/>
      <c r="G502" s="39"/>
      <c r="H502" s="29"/>
      <c r="I502" s="29"/>
    </row>
    <row r="503" spans="1:9" ht="22.5" customHeight="1">
      <c r="A503" s="36"/>
      <c r="B503" s="37"/>
      <c r="C503" s="38"/>
      <c r="D503" s="29"/>
      <c r="E503" s="29"/>
      <c r="F503" s="29"/>
      <c r="G503" s="39"/>
      <c r="H503" s="29"/>
      <c r="I503" s="29"/>
    </row>
    <row r="504" spans="1:9" ht="22.5" customHeight="1">
      <c r="A504" s="36"/>
      <c r="B504" s="37"/>
      <c r="C504" s="38"/>
      <c r="D504" s="29"/>
      <c r="E504" s="29"/>
      <c r="F504" s="29"/>
      <c r="G504" s="39"/>
      <c r="H504" s="29"/>
      <c r="I504" s="29"/>
    </row>
    <row r="505" spans="1:9" ht="22.5" customHeight="1">
      <c r="A505" s="36"/>
      <c r="B505" s="37"/>
      <c r="C505" s="38"/>
      <c r="D505" s="29"/>
      <c r="E505" s="29"/>
      <c r="F505" s="29"/>
      <c r="G505" s="39"/>
      <c r="H505" s="29"/>
      <c r="I505" s="29"/>
    </row>
    <row r="506" spans="1:9" ht="22.5" customHeight="1">
      <c r="A506" s="36"/>
      <c r="B506" s="37"/>
      <c r="C506" s="38"/>
      <c r="D506" s="29"/>
      <c r="E506" s="29"/>
      <c r="F506" s="29"/>
      <c r="G506" s="39"/>
      <c r="H506" s="29"/>
      <c r="I506" s="29"/>
    </row>
    <row r="507" spans="1:9" ht="22.5" customHeight="1">
      <c r="A507" s="36"/>
      <c r="B507" s="37"/>
      <c r="C507" s="38"/>
      <c r="D507" s="29"/>
      <c r="E507" s="29"/>
      <c r="F507" s="29"/>
      <c r="G507" s="39"/>
      <c r="H507" s="29"/>
      <c r="I507" s="29"/>
    </row>
    <row r="508" spans="1:9" ht="22.5" customHeight="1">
      <c r="A508" s="36"/>
      <c r="B508" s="37"/>
      <c r="C508" s="38"/>
      <c r="D508" s="29"/>
      <c r="E508" s="29"/>
      <c r="F508" s="29"/>
      <c r="G508" s="39"/>
      <c r="H508" s="29"/>
      <c r="I508" s="29"/>
    </row>
    <row r="509" spans="1:9" ht="22.5" customHeight="1">
      <c r="A509" s="36"/>
      <c r="B509" s="37"/>
      <c r="C509" s="38"/>
      <c r="D509" s="29"/>
      <c r="E509" s="29"/>
      <c r="F509" s="29"/>
      <c r="G509" s="39"/>
      <c r="H509" s="29"/>
      <c r="I509" s="29"/>
    </row>
    <row r="510" spans="1:9" ht="22.5" customHeight="1">
      <c r="A510" s="36"/>
      <c r="B510" s="37"/>
      <c r="C510" s="38"/>
      <c r="D510" s="29"/>
      <c r="E510" s="29"/>
      <c r="F510" s="29"/>
      <c r="G510" s="39"/>
      <c r="H510" s="29"/>
      <c r="I510" s="29"/>
    </row>
    <row r="511" spans="1:9" ht="22.5" customHeight="1">
      <c r="A511" s="36"/>
      <c r="B511" s="37"/>
      <c r="C511" s="38"/>
      <c r="D511" s="29"/>
      <c r="E511" s="29"/>
      <c r="F511" s="29"/>
      <c r="G511" s="39"/>
      <c r="H511" s="29"/>
      <c r="I511" s="29"/>
    </row>
    <row r="512" spans="1:9" ht="22.5" customHeight="1">
      <c r="A512" s="36"/>
      <c r="B512" s="37"/>
      <c r="C512" s="38"/>
      <c r="D512" s="29"/>
      <c r="E512" s="29"/>
      <c r="F512" s="29"/>
      <c r="G512" s="39"/>
      <c r="H512" s="29"/>
      <c r="I512" s="29"/>
    </row>
    <row r="513" spans="1:9" ht="22.5" customHeight="1">
      <c r="A513" s="36"/>
      <c r="B513" s="37"/>
      <c r="C513" s="38"/>
      <c r="D513" s="29"/>
      <c r="E513" s="29"/>
      <c r="F513" s="29"/>
      <c r="G513" s="39"/>
      <c r="H513" s="29"/>
      <c r="I513" s="29"/>
    </row>
    <row r="514" spans="1:9" ht="22.5" customHeight="1">
      <c r="A514" s="36"/>
      <c r="B514" s="37"/>
      <c r="C514" s="38"/>
      <c r="D514" s="29"/>
      <c r="E514" s="29"/>
      <c r="F514" s="29"/>
      <c r="G514" s="39"/>
      <c r="H514" s="29"/>
      <c r="I514" s="29"/>
    </row>
    <row r="515" spans="1:9" ht="22.5" customHeight="1">
      <c r="A515" s="36"/>
      <c r="B515" s="37"/>
      <c r="C515" s="38"/>
      <c r="D515" s="29"/>
      <c r="E515" s="29"/>
      <c r="F515" s="29"/>
      <c r="G515" s="39"/>
      <c r="H515" s="29"/>
      <c r="I515" s="29"/>
    </row>
    <row r="516" spans="1:9" ht="22.5" customHeight="1">
      <c r="A516" s="36"/>
      <c r="B516" s="37"/>
      <c r="C516" s="38"/>
      <c r="D516" s="29"/>
      <c r="E516" s="29"/>
      <c r="F516" s="29"/>
      <c r="G516" s="39"/>
      <c r="H516" s="29"/>
      <c r="I516" s="29"/>
    </row>
    <row r="517" spans="1:9" ht="22.5" customHeight="1">
      <c r="A517" s="36"/>
      <c r="B517" s="37"/>
      <c r="C517" s="38"/>
      <c r="D517" s="29"/>
      <c r="E517" s="29"/>
      <c r="F517" s="29"/>
      <c r="G517" s="39"/>
      <c r="H517" s="29"/>
      <c r="I517" s="29"/>
    </row>
    <row r="518" spans="1:9" ht="22.5" customHeight="1">
      <c r="A518" s="36"/>
      <c r="B518" s="37"/>
      <c r="C518" s="38"/>
      <c r="D518" s="29"/>
      <c r="E518" s="29"/>
      <c r="F518" s="29"/>
      <c r="G518" s="39"/>
      <c r="H518" s="29"/>
      <c r="I518" s="29"/>
    </row>
    <row r="519" spans="1:9" ht="22.5" customHeight="1">
      <c r="A519" s="36"/>
      <c r="B519" s="37"/>
      <c r="C519" s="38"/>
      <c r="D519" s="29"/>
      <c r="E519" s="29"/>
      <c r="F519" s="29"/>
      <c r="G519" s="39"/>
      <c r="H519" s="29"/>
      <c r="I519" s="29"/>
    </row>
    <row r="520" spans="1:9" ht="22.5" customHeight="1">
      <c r="A520" s="36"/>
      <c r="B520" s="37"/>
      <c r="C520" s="38"/>
      <c r="D520" s="29"/>
      <c r="E520" s="29"/>
      <c r="F520" s="29"/>
      <c r="G520" s="39"/>
      <c r="H520" s="29"/>
      <c r="I520" s="29"/>
    </row>
    <row r="521" spans="1:9" ht="22.5" customHeight="1">
      <c r="A521" s="36"/>
      <c r="B521" s="37"/>
      <c r="C521" s="38"/>
      <c r="D521" s="29"/>
      <c r="E521" s="29"/>
      <c r="F521" s="29"/>
      <c r="G521" s="39"/>
      <c r="H521" s="29"/>
      <c r="I521" s="29"/>
    </row>
    <row r="522" spans="1:9" ht="22.5" customHeight="1">
      <c r="A522" s="36"/>
      <c r="B522" s="37"/>
      <c r="C522" s="38"/>
      <c r="D522" s="29"/>
      <c r="E522" s="29"/>
      <c r="F522" s="29"/>
      <c r="G522" s="39"/>
      <c r="H522" s="29"/>
      <c r="I522" s="29"/>
    </row>
    <row r="523" spans="1:9" ht="22.5" customHeight="1">
      <c r="A523" s="36"/>
      <c r="B523" s="37"/>
      <c r="C523" s="38"/>
      <c r="D523" s="29"/>
      <c r="E523" s="29"/>
      <c r="F523" s="29"/>
      <c r="G523" s="39"/>
      <c r="H523" s="29"/>
      <c r="I523" s="29"/>
    </row>
    <row r="524" spans="1:9" ht="22.5" customHeight="1">
      <c r="A524" s="36"/>
      <c r="B524" s="37"/>
      <c r="C524" s="38"/>
      <c r="D524" s="29"/>
      <c r="E524" s="29"/>
      <c r="F524" s="29"/>
      <c r="G524" s="39"/>
      <c r="H524" s="29"/>
      <c r="I524" s="29"/>
    </row>
    <row r="525" spans="1:9" ht="22.5" customHeight="1">
      <c r="A525" s="36"/>
      <c r="B525" s="37"/>
      <c r="C525" s="38"/>
      <c r="D525" s="29"/>
      <c r="E525" s="29"/>
      <c r="F525" s="29"/>
      <c r="G525" s="39"/>
      <c r="H525" s="29"/>
      <c r="I525" s="29"/>
    </row>
    <row r="526" spans="1:9" ht="22.5" customHeight="1">
      <c r="A526" s="36"/>
      <c r="B526" s="37"/>
      <c r="C526" s="38"/>
      <c r="D526" s="29"/>
      <c r="E526" s="29"/>
      <c r="F526" s="29"/>
      <c r="G526" s="39"/>
      <c r="H526" s="29"/>
      <c r="I526" s="29"/>
    </row>
    <row r="527" spans="1:9" ht="22.5" customHeight="1">
      <c r="A527" s="36"/>
      <c r="B527" s="37"/>
      <c r="C527" s="38"/>
      <c r="D527" s="29"/>
      <c r="E527" s="29"/>
      <c r="F527" s="29"/>
      <c r="G527" s="39"/>
      <c r="H527" s="29"/>
      <c r="I527" s="29"/>
    </row>
    <row r="528" spans="1:9" ht="22.5" customHeight="1">
      <c r="A528" s="36"/>
      <c r="B528" s="37"/>
      <c r="C528" s="38"/>
      <c r="D528" s="29"/>
      <c r="E528" s="29"/>
      <c r="F528" s="29"/>
      <c r="G528" s="39"/>
      <c r="H528" s="29"/>
      <c r="I528" s="29"/>
    </row>
    <row r="529" spans="1:9" ht="22.5" customHeight="1">
      <c r="A529" s="36"/>
      <c r="B529" s="37"/>
      <c r="C529" s="38"/>
      <c r="D529" s="29"/>
      <c r="E529" s="29"/>
      <c r="F529" s="29"/>
      <c r="G529" s="39"/>
      <c r="H529" s="29"/>
      <c r="I529" s="29"/>
    </row>
    <row r="530" spans="1:9" ht="22.5" customHeight="1">
      <c r="A530" s="36"/>
      <c r="B530" s="37"/>
      <c r="C530" s="38"/>
      <c r="D530" s="29"/>
      <c r="E530" s="29"/>
      <c r="F530" s="29"/>
      <c r="G530" s="39"/>
      <c r="H530" s="29"/>
      <c r="I530" s="29"/>
    </row>
    <row r="531" spans="1:9" ht="22.5" customHeight="1">
      <c r="A531" s="36"/>
      <c r="B531" s="37"/>
      <c r="C531" s="38"/>
      <c r="D531" s="29"/>
      <c r="E531" s="29"/>
      <c r="F531" s="29"/>
      <c r="G531" s="39"/>
      <c r="H531" s="29"/>
      <c r="I531" s="29"/>
    </row>
    <row r="532" spans="1:9" ht="22.5" customHeight="1">
      <c r="A532" s="36"/>
      <c r="B532" s="37"/>
      <c r="C532" s="38"/>
      <c r="D532" s="29"/>
      <c r="E532" s="29"/>
      <c r="F532" s="29"/>
      <c r="G532" s="39"/>
      <c r="H532" s="29"/>
      <c r="I532" s="29"/>
    </row>
    <row r="533" spans="1:9" ht="22.5" customHeight="1">
      <c r="A533" s="36"/>
      <c r="B533" s="37"/>
      <c r="C533" s="38"/>
      <c r="D533" s="29"/>
      <c r="E533" s="29"/>
      <c r="F533" s="29"/>
      <c r="G533" s="39"/>
      <c r="H533" s="29"/>
      <c r="I533" s="29"/>
    </row>
    <row r="534" spans="1:9" ht="22.5" customHeight="1">
      <c r="A534" s="36"/>
      <c r="B534" s="37"/>
      <c r="C534" s="38"/>
      <c r="D534" s="29"/>
      <c r="E534" s="29"/>
      <c r="F534" s="29"/>
      <c r="G534" s="39"/>
      <c r="H534" s="29"/>
      <c r="I534" s="29"/>
    </row>
    <row r="535" spans="1:9" ht="22.5" customHeight="1">
      <c r="A535" s="36"/>
      <c r="B535" s="37"/>
      <c r="C535" s="38"/>
      <c r="D535" s="29"/>
      <c r="E535" s="29"/>
      <c r="F535" s="29"/>
      <c r="G535" s="39"/>
      <c r="H535" s="29"/>
      <c r="I535" s="29"/>
    </row>
    <row r="536" spans="1:9" ht="22.5" customHeight="1">
      <c r="A536" s="36"/>
      <c r="B536" s="37"/>
      <c r="C536" s="38"/>
      <c r="D536" s="29"/>
      <c r="E536" s="29"/>
      <c r="F536" s="29"/>
      <c r="G536" s="39"/>
      <c r="H536" s="29"/>
      <c r="I536" s="29"/>
    </row>
    <row r="537" spans="1:9" ht="22.5" customHeight="1">
      <c r="A537" s="36"/>
      <c r="B537" s="37"/>
      <c r="C537" s="38"/>
      <c r="D537" s="29"/>
      <c r="E537" s="29"/>
      <c r="F537" s="29"/>
      <c r="G537" s="39"/>
      <c r="H537" s="29"/>
      <c r="I537" s="29"/>
    </row>
    <row r="538" spans="1:9" ht="22.5" customHeight="1">
      <c r="A538" s="36"/>
      <c r="B538" s="37"/>
      <c r="C538" s="38"/>
      <c r="D538" s="29"/>
      <c r="E538" s="29"/>
      <c r="F538" s="29"/>
      <c r="G538" s="39"/>
      <c r="H538" s="29"/>
      <c r="I538" s="29"/>
    </row>
    <row r="539" spans="1:9" ht="22.5" customHeight="1">
      <c r="A539" s="36"/>
      <c r="B539" s="37"/>
      <c r="C539" s="38"/>
      <c r="D539" s="29"/>
      <c r="E539" s="29"/>
      <c r="F539" s="29"/>
      <c r="G539" s="39"/>
      <c r="H539" s="29"/>
      <c r="I539" s="29"/>
    </row>
    <row r="540" spans="1:9" ht="22.5" customHeight="1">
      <c r="A540" s="36"/>
      <c r="B540" s="37"/>
      <c r="C540" s="38"/>
      <c r="D540" s="29"/>
      <c r="E540" s="29"/>
      <c r="F540" s="29"/>
      <c r="G540" s="39"/>
      <c r="H540" s="29"/>
      <c r="I540" s="29"/>
    </row>
    <row r="541" spans="1:9" ht="22.5" customHeight="1">
      <c r="A541" s="36"/>
      <c r="B541" s="37"/>
      <c r="C541" s="38"/>
      <c r="D541" s="29"/>
      <c r="E541" s="29"/>
      <c r="F541" s="29"/>
      <c r="G541" s="39"/>
      <c r="H541" s="29"/>
      <c r="I541" s="29"/>
    </row>
    <row r="542" spans="1:9" ht="22.5" customHeight="1">
      <c r="A542" s="36"/>
      <c r="B542" s="37"/>
      <c r="C542" s="38"/>
      <c r="D542" s="29"/>
      <c r="E542" s="29"/>
      <c r="F542" s="29"/>
      <c r="G542" s="39"/>
      <c r="H542" s="29"/>
      <c r="I542" s="29"/>
    </row>
    <row r="543" spans="1:9" ht="22.5" customHeight="1">
      <c r="A543" s="36"/>
      <c r="B543" s="37"/>
      <c r="C543" s="38"/>
      <c r="D543" s="29"/>
      <c r="E543" s="29"/>
      <c r="F543" s="29"/>
      <c r="G543" s="39"/>
      <c r="H543" s="29"/>
      <c r="I543" s="29"/>
    </row>
    <row r="544" spans="1:9" ht="22.5" customHeight="1">
      <c r="A544" s="36"/>
      <c r="B544" s="37"/>
      <c r="C544" s="38"/>
      <c r="D544" s="29"/>
      <c r="E544" s="29"/>
      <c r="F544" s="29"/>
      <c r="G544" s="39"/>
      <c r="H544" s="29"/>
      <c r="I544" s="29"/>
    </row>
    <row r="545" spans="1:9" ht="22.5" customHeight="1">
      <c r="A545" s="36"/>
      <c r="B545" s="37"/>
      <c r="C545" s="38"/>
      <c r="D545" s="29"/>
      <c r="E545" s="29"/>
      <c r="F545" s="29"/>
      <c r="G545" s="39"/>
      <c r="H545" s="29"/>
      <c r="I545" s="29"/>
    </row>
    <row r="546" spans="1:9" ht="22.5" customHeight="1">
      <c r="A546" s="36"/>
      <c r="B546" s="37"/>
      <c r="C546" s="38"/>
      <c r="D546" s="29"/>
      <c r="E546" s="29"/>
      <c r="F546" s="29"/>
      <c r="G546" s="39"/>
      <c r="H546" s="29"/>
      <c r="I546" s="29"/>
    </row>
    <row r="547" spans="1:9" ht="22.5" customHeight="1">
      <c r="A547" s="36"/>
      <c r="B547" s="37"/>
      <c r="C547" s="38"/>
      <c r="D547" s="29"/>
      <c r="E547" s="29"/>
      <c r="F547" s="29"/>
      <c r="G547" s="39"/>
      <c r="H547" s="29"/>
      <c r="I547" s="29"/>
    </row>
    <row r="548" spans="1:9" ht="22.5" customHeight="1">
      <c r="A548" s="36"/>
      <c r="B548" s="37"/>
      <c r="C548" s="38"/>
      <c r="D548" s="29"/>
      <c r="E548" s="29"/>
      <c r="F548" s="29"/>
      <c r="G548" s="39"/>
      <c r="H548" s="29"/>
      <c r="I548" s="29"/>
    </row>
    <row r="549" spans="1:9" ht="22.5" customHeight="1">
      <c r="A549" s="36"/>
      <c r="B549" s="37"/>
      <c r="C549" s="38"/>
      <c r="D549" s="29"/>
      <c r="E549" s="29"/>
      <c r="F549" s="29"/>
      <c r="G549" s="39"/>
      <c r="H549" s="29"/>
      <c r="I549" s="29"/>
    </row>
    <row r="550" spans="1:9" ht="22.5" customHeight="1">
      <c r="A550" s="36"/>
      <c r="B550" s="37"/>
      <c r="C550" s="38"/>
      <c r="D550" s="29"/>
      <c r="E550" s="29"/>
      <c r="F550" s="29"/>
      <c r="G550" s="39"/>
      <c r="H550" s="29"/>
      <c r="I550" s="29"/>
    </row>
    <row r="551" spans="1:9" ht="22.5" customHeight="1">
      <c r="A551" s="36"/>
      <c r="B551" s="37"/>
      <c r="C551" s="38"/>
      <c r="D551" s="29"/>
      <c r="E551" s="29"/>
      <c r="F551" s="29"/>
      <c r="G551" s="39"/>
      <c r="H551" s="29"/>
      <c r="I551" s="29"/>
    </row>
    <row r="552" spans="1:9" ht="22.5" customHeight="1">
      <c r="A552" s="36"/>
      <c r="B552" s="37"/>
      <c r="C552" s="38"/>
      <c r="D552" s="29"/>
      <c r="E552" s="29"/>
      <c r="F552" s="29"/>
      <c r="G552" s="39"/>
      <c r="H552" s="29"/>
      <c r="I552" s="29"/>
    </row>
    <row r="553" spans="1:9" ht="22.5" customHeight="1">
      <c r="A553" s="36"/>
      <c r="B553" s="37"/>
      <c r="C553" s="38"/>
      <c r="D553" s="29"/>
      <c r="E553" s="29"/>
      <c r="F553" s="29"/>
      <c r="G553" s="39"/>
      <c r="H553" s="29"/>
      <c r="I553" s="29"/>
    </row>
    <row r="554" spans="1:9" ht="22.5" customHeight="1">
      <c r="A554" s="36"/>
      <c r="B554" s="37"/>
      <c r="C554" s="38"/>
      <c r="D554" s="29"/>
      <c r="E554" s="29"/>
      <c r="F554" s="29"/>
      <c r="G554" s="39"/>
      <c r="H554" s="29"/>
      <c r="I554" s="29"/>
    </row>
    <row r="555" spans="1:9" ht="22.5" customHeight="1">
      <c r="A555" s="36"/>
      <c r="B555" s="37"/>
      <c r="C555" s="38"/>
      <c r="D555" s="29"/>
      <c r="E555" s="29"/>
      <c r="F555" s="29"/>
      <c r="G555" s="39"/>
      <c r="H555" s="29"/>
      <c r="I555" s="29"/>
    </row>
    <row r="556" spans="1:9" ht="22.5" customHeight="1">
      <c r="A556" s="36"/>
      <c r="B556" s="37"/>
      <c r="C556" s="38"/>
      <c r="D556" s="29"/>
      <c r="E556" s="29"/>
      <c r="F556" s="29"/>
      <c r="G556" s="39"/>
      <c r="H556" s="29"/>
      <c r="I556" s="29"/>
    </row>
    <row r="557" spans="1:9" ht="22.5" customHeight="1">
      <c r="A557" s="36"/>
      <c r="B557" s="37"/>
      <c r="C557" s="38"/>
      <c r="D557" s="29"/>
      <c r="E557" s="29"/>
      <c r="F557" s="29"/>
      <c r="G557" s="39"/>
      <c r="H557" s="29"/>
      <c r="I557" s="29"/>
    </row>
    <row r="558" spans="1:9" ht="22.5" customHeight="1">
      <c r="A558" s="36"/>
      <c r="B558" s="37"/>
      <c r="C558" s="38"/>
      <c r="D558" s="29"/>
      <c r="E558" s="29"/>
      <c r="F558" s="29"/>
      <c r="G558" s="39"/>
      <c r="H558" s="29"/>
      <c r="I558" s="29"/>
    </row>
    <row r="559" spans="1:9" ht="22.5" customHeight="1">
      <c r="A559" s="36"/>
      <c r="B559" s="37"/>
      <c r="C559" s="38"/>
      <c r="D559" s="29"/>
      <c r="E559" s="29"/>
      <c r="F559" s="29"/>
      <c r="G559" s="39"/>
      <c r="H559" s="29"/>
      <c r="I559" s="29"/>
    </row>
    <row r="560" spans="1:9" ht="22.5" customHeight="1">
      <c r="A560" s="36"/>
      <c r="B560" s="37"/>
      <c r="C560" s="38"/>
      <c r="D560" s="29"/>
      <c r="E560" s="29"/>
      <c r="F560" s="29"/>
      <c r="G560" s="39"/>
      <c r="H560" s="29"/>
      <c r="I560" s="29"/>
    </row>
    <row r="561" spans="1:9" ht="22.5" customHeight="1">
      <c r="A561" s="36"/>
      <c r="B561" s="37"/>
      <c r="C561" s="38"/>
      <c r="D561" s="29"/>
      <c r="E561" s="29"/>
      <c r="F561" s="29"/>
      <c r="G561" s="39"/>
      <c r="H561" s="29"/>
      <c r="I561" s="29"/>
    </row>
    <row r="562" spans="1:9" ht="22.5" customHeight="1">
      <c r="A562" s="36"/>
      <c r="B562" s="37"/>
      <c r="C562" s="38"/>
      <c r="D562" s="29"/>
      <c r="E562" s="29"/>
      <c r="F562" s="29"/>
      <c r="G562" s="39"/>
      <c r="H562" s="29"/>
      <c r="I562" s="29"/>
    </row>
    <row r="563" spans="1:9" ht="22.5" customHeight="1">
      <c r="A563" s="36"/>
      <c r="B563" s="37"/>
      <c r="C563" s="38"/>
      <c r="D563" s="29"/>
      <c r="E563" s="29"/>
      <c r="F563" s="29"/>
      <c r="G563" s="39"/>
      <c r="H563" s="29"/>
      <c r="I563" s="29"/>
    </row>
    <row r="564" spans="1:9" ht="22.5" customHeight="1">
      <c r="A564" s="36"/>
      <c r="B564" s="37"/>
      <c r="C564" s="38"/>
      <c r="D564" s="29"/>
      <c r="E564" s="29"/>
      <c r="F564" s="29"/>
      <c r="G564" s="39"/>
      <c r="H564" s="29"/>
      <c r="I564" s="29"/>
    </row>
    <row r="565" spans="1:9" ht="22.5" customHeight="1">
      <c r="A565" s="36"/>
      <c r="B565" s="37"/>
      <c r="C565" s="38"/>
      <c r="D565" s="29"/>
      <c r="E565" s="29"/>
      <c r="F565" s="29"/>
      <c r="G565" s="39"/>
      <c r="H565" s="29"/>
      <c r="I565" s="29"/>
    </row>
    <row r="566" spans="1:9" ht="22.5" customHeight="1">
      <c r="A566" s="36"/>
      <c r="B566" s="37"/>
      <c r="C566" s="38"/>
      <c r="D566" s="29"/>
      <c r="E566" s="29"/>
      <c r="F566" s="29"/>
      <c r="G566" s="39"/>
      <c r="H566" s="29"/>
      <c r="I566" s="29"/>
    </row>
    <row r="567" spans="1:9" ht="22.5" customHeight="1">
      <c r="A567" s="36"/>
      <c r="B567" s="37"/>
      <c r="C567" s="38"/>
      <c r="D567" s="29"/>
      <c r="E567" s="29"/>
      <c r="F567" s="29"/>
      <c r="G567" s="39"/>
      <c r="H567" s="29"/>
      <c r="I567" s="29"/>
    </row>
    <row r="568" spans="1:9" ht="22.5" customHeight="1">
      <c r="A568" s="36"/>
      <c r="B568" s="37"/>
      <c r="C568" s="38"/>
      <c r="D568" s="29"/>
      <c r="E568" s="29"/>
      <c r="F568" s="29"/>
      <c r="G568" s="39"/>
      <c r="H568" s="29"/>
      <c r="I568" s="29"/>
    </row>
    <row r="569" spans="1:9" ht="22.5" customHeight="1">
      <c r="A569" s="36"/>
      <c r="B569" s="37"/>
      <c r="C569" s="38"/>
      <c r="D569" s="29"/>
      <c r="E569" s="29"/>
      <c r="F569" s="29"/>
      <c r="G569" s="39"/>
      <c r="H569" s="29"/>
      <c r="I569" s="29"/>
    </row>
    <row r="570" spans="1:9" ht="22.5" customHeight="1">
      <c r="A570" s="36"/>
      <c r="B570" s="37"/>
      <c r="C570" s="38"/>
      <c r="D570" s="29"/>
      <c r="E570" s="29"/>
      <c r="F570" s="29"/>
      <c r="G570" s="39"/>
      <c r="H570" s="29"/>
      <c r="I570" s="29"/>
    </row>
    <row r="571" spans="1:9" ht="22.5" customHeight="1">
      <c r="A571" s="36"/>
      <c r="B571" s="37"/>
      <c r="C571" s="38"/>
      <c r="D571" s="29"/>
      <c r="E571" s="29"/>
      <c r="F571" s="29"/>
      <c r="G571" s="39"/>
      <c r="H571" s="29"/>
      <c r="I571" s="29"/>
    </row>
    <row r="572" spans="1:9" ht="22.5" customHeight="1">
      <c r="A572" s="36"/>
      <c r="B572" s="37"/>
      <c r="C572" s="38"/>
      <c r="D572" s="29"/>
      <c r="E572" s="29"/>
      <c r="F572" s="29"/>
      <c r="G572" s="39"/>
      <c r="H572" s="29"/>
      <c r="I572" s="29"/>
    </row>
    <row r="573" spans="1:9" ht="22.5" customHeight="1">
      <c r="A573" s="36"/>
      <c r="B573" s="37"/>
      <c r="C573" s="38"/>
      <c r="D573" s="29"/>
      <c r="E573" s="29"/>
      <c r="F573" s="29"/>
      <c r="G573" s="39"/>
      <c r="H573" s="29"/>
      <c r="I573" s="29"/>
    </row>
    <row r="574" spans="1:9" ht="22.5" customHeight="1">
      <c r="A574" s="36"/>
      <c r="B574" s="37"/>
      <c r="C574" s="38"/>
      <c r="D574" s="29"/>
      <c r="E574" s="29"/>
      <c r="F574" s="29"/>
      <c r="G574" s="39"/>
      <c r="H574" s="29"/>
      <c r="I574" s="29"/>
    </row>
    <row r="575" spans="1:9" ht="22.5" customHeight="1">
      <c r="A575" s="36"/>
      <c r="B575" s="37"/>
      <c r="C575" s="38"/>
      <c r="D575" s="29"/>
      <c r="E575" s="29"/>
      <c r="F575" s="29"/>
      <c r="G575" s="39"/>
      <c r="H575" s="29"/>
      <c r="I575" s="29"/>
    </row>
    <row r="576" spans="1:9" ht="22.5" customHeight="1">
      <c r="A576" s="36"/>
      <c r="B576" s="37"/>
      <c r="C576" s="38"/>
      <c r="D576" s="29"/>
      <c r="E576" s="29"/>
      <c r="F576" s="29"/>
      <c r="G576" s="39"/>
      <c r="H576" s="29"/>
      <c r="I576" s="29"/>
    </row>
    <row r="577" spans="1:9" ht="22.5" customHeight="1">
      <c r="A577" s="36"/>
      <c r="B577" s="37"/>
      <c r="C577" s="38"/>
      <c r="D577" s="29"/>
      <c r="E577" s="29"/>
      <c r="F577" s="29"/>
      <c r="G577" s="39"/>
      <c r="H577" s="29"/>
      <c r="I577" s="29"/>
    </row>
    <row r="578" spans="1:9" ht="22.5" customHeight="1">
      <c r="A578" s="36"/>
      <c r="B578" s="37"/>
      <c r="C578" s="38"/>
      <c r="D578" s="29"/>
      <c r="E578" s="29"/>
      <c r="F578" s="29"/>
      <c r="G578" s="39"/>
      <c r="H578" s="29"/>
      <c r="I578" s="29"/>
    </row>
    <row r="579" spans="1:9" ht="22.5" customHeight="1">
      <c r="A579" s="36"/>
      <c r="B579" s="37"/>
      <c r="C579" s="38"/>
      <c r="D579" s="29"/>
      <c r="E579" s="29"/>
      <c r="F579" s="29"/>
      <c r="G579" s="39"/>
      <c r="H579" s="29"/>
      <c r="I579" s="29"/>
    </row>
    <row r="580" spans="1:9" ht="22.5" customHeight="1">
      <c r="A580" s="36"/>
      <c r="B580" s="37"/>
      <c r="C580" s="38"/>
      <c r="D580" s="29"/>
      <c r="E580" s="29"/>
      <c r="F580" s="29"/>
      <c r="G580" s="39"/>
      <c r="H580" s="29"/>
      <c r="I580" s="29"/>
    </row>
    <row r="581" spans="1:9" ht="22.5" customHeight="1">
      <c r="A581" s="36"/>
      <c r="B581" s="37"/>
      <c r="C581" s="38"/>
      <c r="D581" s="29"/>
      <c r="E581" s="29"/>
      <c r="F581" s="29"/>
      <c r="G581" s="39"/>
      <c r="H581" s="29"/>
      <c r="I581" s="29"/>
    </row>
    <row r="582" spans="1:9" ht="22.5" customHeight="1">
      <c r="A582" s="36"/>
      <c r="B582" s="37"/>
      <c r="C582" s="38"/>
      <c r="D582" s="29"/>
      <c r="E582" s="29"/>
      <c r="F582" s="29"/>
      <c r="G582" s="39"/>
      <c r="H582" s="29"/>
      <c r="I582" s="29"/>
    </row>
    <row r="583" spans="1:9" ht="22.5" customHeight="1">
      <c r="A583" s="36"/>
      <c r="B583" s="37"/>
      <c r="C583" s="38"/>
      <c r="D583" s="29"/>
      <c r="E583" s="29"/>
      <c r="F583" s="29"/>
      <c r="G583" s="39"/>
      <c r="H583" s="29"/>
      <c r="I583" s="29"/>
    </row>
    <row r="584" spans="1:9" ht="22.5" customHeight="1">
      <c r="A584" s="36"/>
      <c r="B584" s="37"/>
      <c r="C584" s="38"/>
      <c r="D584" s="29"/>
      <c r="E584" s="29"/>
      <c r="F584" s="29"/>
      <c r="G584" s="39"/>
      <c r="H584" s="29"/>
      <c r="I584" s="29"/>
    </row>
    <row r="585" spans="1:9" ht="22.5" customHeight="1">
      <c r="A585" s="36"/>
      <c r="B585" s="37"/>
      <c r="C585" s="38"/>
      <c r="D585" s="29"/>
      <c r="E585" s="29"/>
      <c r="F585" s="29"/>
      <c r="G585" s="39"/>
      <c r="H585" s="29"/>
      <c r="I585" s="29"/>
    </row>
    <row r="586" spans="1:9" ht="22.5" customHeight="1">
      <c r="A586" s="36"/>
      <c r="B586" s="37"/>
      <c r="C586" s="38"/>
      <c r="D586" s="29"/>
      <c r="E586" s="29"/>
      <c r="F586" s="29"/>
      <c r="G586" s="39"/>
      <c r="H586" s="29"/>
      <c r="I586" s="29"/>
    </row>
    <row r="587" spans="1:9" ht="22.5" customHeight="1">
      <c r="A587" s="36"/>
      <c r="B587" s="37"/>
      <c r="C587" s="38"/>
      <c r="D587" s="29"/>
      <c r="E587" s="29"/>
      <c r="F587" s="29"/>
      <c r="G587" s="39"/>
      <c r="H587" s="29"/>
      <c r="I587" s="29"/>
    </row>
    <row r="588" spans="1:9" ht="22.5" customHeight="1">
      <c r="A588" s="36"/>
      <c r="B588" s="37"/>
      <c r="C588" s="38"/>
      <c r="D588" s="29"/>
      <c r="E588" s="29"/>
      <c r="F588" s="29"/>
      <c r="G588" s="39"/>
      <c r="H588" s="29"/>
      <c r="I588" s="29"/>
    </row>
    <row r="589" spans="1:9" ht="22.5" customHeight="1">
      <c r="A589" s="36"/>
      <c r="B589" s="37"/>
      <c r="C589" s="38"/>
      <c r="D589" s="29"/>
      <c r="E589" s="29"/>
      <c r="F589" s="29"/>
      <c r="G589" s="39"/>
      <c r="H589" s="29"/>
      <c r="I589" s="29"/>
    </row>
    <row r="590" spans="1:9" ht="22.5" customHeight="1">
      <c r="A590" s="36"/>
      <c r="B590" s="37"/>
      <c r="C590" s="38"/>
      <c r="D590" s="29"/>
      <c r="E590" s="29"/>
      <c r="F590" s="29"/>
      <c r="G590" s="39"/>
      <c r="H590" s="29"/>
      <c r="I590" s="29"/>
    </row>
    <row r="591" spans="1:9" ht="22.5" customHeight="1">
      <c r="A591" s="36"/>
      <c r="B591" s="37"/>
      <c r="C591" s="38"/>
      <c r="D591" s="29"/>
      <c r="E591" s="29"/>
      <c r="F591" s="29"/>
      <c r="G591" s="39"/>
      <c r="H591" s="29"/>
      <c r="I591" s="29"/>
    </row>
    <row r="592" spans="1:9" ht="22.5" customHeight="1">
      <c r="A592" s="36"/>
      <c r="B592" s="37"/>
      <c r="C592" s="38"/>
      <c r="D592" s="29"/>
      <c r="E592" s="29"/>
      <c r="F592" s="29"/>
      <c r="G592" s="39"/>
      <c r="H592" s="29"/>
      <c r="I592" s="29"/>
    </row>
    <row r="593" spans="1:9" ht="22.5" customHeight="1">
      <c r="A593" s="36"/>
      <c r="B593" s="37"/>
      <c r="C593" s="38"/>
      <c r="D593" s="29"/>
      <c r="E593" s="29"/>
      <c r="F593" s="29"/>
      <c r="G593" s="39"/>
      <c r="H593" s="29"/>
      <c r="I593" s="29"/>
    </row>
    <row r="594" spans="1:9" ht="22.5" customHeight="1">
      <c r="A594" s="36"/>
      <c r="B594" s="37"/>
      <c r="C594" s="38"/>
      <c r="D594" s="29"/>
      <c r="E594" s="29"/>
      <c r="F594" s="29"/>
      <c r="G594" s="39"/>
      <c r="H594" s="29"/>
      <c r="I594" s="29"/>
    </row>
    <row r="595" spans="1:9" ht="22.5" customHeight="1">
      <c r="A595" s="36"/>
      <c r="B595" s="37"/>
      <c r="C595" s="38"/>
      <c r="D595" s="29"/>
      <c r="E595" s="29"/>
      <c r="F595" s="29"/>
      <c r="G595" s="39"/>
      <c r="H595" s="29"/>
      <c r="I595" s="29"/>
    </row>
    <row r="596" spans="1:9" ht="22.5" customHeight="1">
      <c r="A596" s="36"/>
      <c r="B596" s="37"/>
      <c r="C596" s="38"/>
      <c r="D596" s="29"/>
      <c r="E596" s="29"/>
      <c r="F596" s="29"/>
      <c r="G596" s="39"/>
      <c r="H596" s="29"/>
      <c r="I596" s="29"/>
    </row>
    <row r="597" spans="1:9" ht="22.5" customHeight="1">
      <c r="A597" s="36"/>
      <c r="B597" s="37"/>
      <c r="C597" s="38"/>
      <c r="D597" s="29"/>
      <c r="E597" s="29"/>
      <c r="F597" s="29"/>
      <c r="G597" s="39"/>
      <c r="H597" s="29"/>
      <c r="I597" s="29"/>
    </row>
    <row r="598" spans="1:9" ht="22.5" customHeight="1">
      <c r="A598" s="36"/>
      <c r="B598" s="37"/>
      <c r="C598" s="38"/>
      <c r="D598" s="29"/>
      <c r="E598" s="29"/>
      <c r="F598" s="29"/>
      <c r="G598" s="39"/>
      <c r="H598" s="29"/>
      <c r="I598" s="29"/>
    </row>
    <row r="599" spans="1:9" ht="22.5" customHeight="1">
      <c r="A599" s="36"/>
      <c r="B599" s="37"/>
      <c r="C599" s="38"/>
      <c r="D599" s="29"/>
      <c r="E599" s="29"/>
      <c r="F599" s="29"/>
      <c r="G599" s="39"/>
      <c r="H599" s="29"/>
      <c r="I599" s="29"/>
    </row>
    <row r="600" spans="1:9" ht="22.5" customHeight="1">
      <c r="A600" s="36"/>
      <c r="B600" s="37"/>
      <c r="C600" s="38"/>
      <c r="D600" s="29"/>
      <c r="E600" s="29"/>
      <c r="F600" s="29"/>
      <c r="G600" s="39"/>
      <c r="H600" s="29"/>
      <c r="I600" s="29"/>
    </row>
    <row r="601" spans="1:9" ht="22.5" customHeight="1">
      <c r="A601" s="36"/>
      <c r="B601" s="37"/>
      <c r="C601" s="38"/>
      <c r="D601" s="29"/>
      <c r="E601" s="29"/>
      <c r="F601" s="29"/>
      <c r="G601" s="39"/>
      <c r="H601" s="29"/>
      <c r="I601" s="29"/>
    </row>
    <row r="602" spans="1:9" ht="22.5" customHeight="1">
      <c r="A602" s="36"/>
      <c r="B602" s="37"/>
      <c r="C602" s="38"/>
      <c r="D602" s="29"/>
      <c r="E602" s="29"/>
      <c r="F602" s="29"/>
      <c r="G602" s="39"/>
      <c r="H602" s="29"/>
      <c r="I602" s="29"/>
    </row>
    <row r="603" spans="1:9" ht="22.5" customHeight="1">
      <c r="A603" s="36"/>
      <c r="B603" s="37"/>
      <c r="C603" s="38"/>
      <c r="D603" s="29"/>
      <c r="E603" s="29"/>
      <c r="F603" s="29"/>
      <c r="G603" s="39"/>
      <c r="H603" s="29"/>
      <c r="I603" s="29"/>
    </row>
    <row r="604" spans="1:9" ht="22.5" customHeight="1">
      <c r="A604" s="36"/>
      <c r="B604" s="37"/>
      <c r="C604" s="38"/>
      <c r="D604" s="29"/>
      <c r="E604" s="29"/>
      <c r="F604" s="29"/>
      <c r="G604" s="39"/>
      <c r="H604" s="29"/>
      <c r="I604" s="29"/>
    </row>
    <row r="605" spans="1:9" ht="22.5" customHeight="1">
      <c r="A605" s="36"/>
      <c r="B605" s="37"/>
      <c r="C605" s="38"/>
      <c r="D605" s="29"/>
      <c r="E605" s="29"/>
      <c r="F605" s="29"/>
      <c r="G605" s="39"/>
      <c r="H605" s="29"/>
      <c r="I605" s="29"/>
    </row>
    <row r="606" spans="1:9" ht="22.5" customHeight="1">
      <c r="A606" s="36"/>
      <c r="B606" s="37"/>
      <c r="C606" s="38"/>
      <c r="D606" s="29"/>
      <c r="E606" s="29"/>
      <c r="F606" s="29"/>
      <c r="G606" s="39"/>
      <c r="H606" s="29"/>
      <c r="I606" s="29"/>
    </row>
    <row r="607" spans="1:9" ht="22.5" customHeight="1">
      <c r="A607" s="36"/>
      <c r="B607" s="37"/>
      <c r="C607" s="38"/>
      <c r="D607" s="29"/>
      <c r="E607" s="29"/>
      <c r="F607" s="29"/>
      <c r="G607" s="39"/>
      <c r="H607" s="29"/>
      <c r="I607" s="29"/>
    </row>
    <row r="608" spans="1:9" ht="22.5" customHeight="1">
      <c r="A608" s="36"/>
      <c r="B608" s="37"/>
      <c r="C608" s="38"/>
      <c r="D608" s="29"/>
      <c r="E608" s="29"/>
      <c r="F608" s="29"/>
      <c r="G608" s="39"/>
      <c r="H608" s="29"/>
      <c r="I608" s="29"/>
    </row>
    <row r="609" spans="1:9" ht="22.5" customHeight="1">
      <c r="A609" s="36"/>
      <c r="B609" s="37"/>
      <c r="C609" s="38"/>
      <c r="D609" s="29"/>
      <c r="E609" s="29"/>
      <c r="F609" s="29"/>
      <c r="G609" s="39"/>
      <c r="H609" s="29"/>
      <c r="I609" s="29"/>
    </row>
    <row r="610" spans="1:9" ht="22.5" customHeight="1">
      <c r="A610" s="36"/>
      <c r="B610" s="37"/>
      <c r="C610" s="38"/>
      <c r="D610" s="29"/>
      <c r="E610" s="29"/>
      <c r="F610" s="29"/>
      <c r="G610" s="39"/>
      <c r="H610" s="29"/>
      <c r="I610" s="29"/>
    </row>
    <row r="611" spans="1:9" ht="22.5" customHeight="1">
      <c r="A611" s="36"/>
      <c r="B611" s="37"/>
      <c r="C611" s="38"/>
      <c r="D611" s="29"/>
      <c r="E611" s="29"/>
      <c r="F611" s="29"/>
      <c r="G611" s="39"/>
      <c r="H611" s="29"/>
      <c r="I611" s="29"/>
    </row>
    <row r="612" spans="1:9" ht="22.5" customHeight="1">
      <c r="A612" s="36"/>
      <c r="B612" s="37"/>
      <c r="C612" s="38"/>
      <c r="D612" s="29"/>
      <c r="E612" s="29"/>
      <c r="F612" s="29"/>
      <c r="G612" s="39"/>
      <c r="H612" s="29"/>
      <c r="I612" s="29"/>
    </row>
    <row r="613" spans="1:9" ht="22.5" customHeight="1">
      <c r="A613" s="36"/>
      <c r="B613" s="37"/>
      <c r="C613" s="38"/>
      <c r="D613" s="29"/>
      <c r="E613" s="29"/>
      <c r="F613" s="29"/>
      <c r="G613" s="39"/>
      <c r="H613" s="29"/>
      <c r="I613" s="29"/>
    </row>
    <row r="614" spans="1:9" ht="22.5" customHeight="1">
      <c r="A614" s="36"/>
      <c r="B614" s="37"/>
      <c r="C614" s="38"/>
      <c r="D614" s="29"/>
      <c r="E614" s="29"/>
      <c r="F614" s="29"/>
      <c r="G614" s="39"/>
      <c r="H614" s="29"/>
      <c r="I614" s="29"/>
    </row>
    <row r="615" spans="1:9" ht="22.5" customHeight="1">
      <c r="A615" s="36"/>
      <c r="B615" s="37"/>
      <c r="C615" s="38"/>
      <c r="D615" s="29"/>
      <c r="E615" s="29"/>
      <c r="F615" s="29"/>
      <c r="G615" s="39"/>
      <c r="H615" s="29"/>
      <c r="I615" s="29"/>
    </row>
    <row r="616" spans="1:9" ht="22.5" customHeight="1">
      <c r="A616" s="36"/>
      <c r="B616" s="37"/>
      <c r="C616" s="38"/>
      <c r="D616" s="29"/>
      <c r="E616" s="29"/>
      <c r="F616" s="29"/>
      <c r="G616" s="39"/>
      <c r="H616" s="29"/>
      <c r="I616" s="29"/>
    </row>
    <row r="617" spans="1:9" ht="22.5" customHeight="1">
      <c r="A617" s="36"/>
      <c r="B617" s="37"/>
      <c r="C617" s="38"/>
      <c r="D617" s="29"/>
      <c r="E617" s="29"/>
      <c r="F617" s="29"/>
      <c r="G617" s="39"/>
      <c r="H617" s="29"/>
      <c r="I617" s="29"/>
    </row>
    <row r="618" spans="1:9" ht="22.5" customHeight="1">
      <c r="A618" s="36"/>
      <c r="B618" s="37"/>
      <c r="C618" s="38"/>
      <c r="D618" s="29"/>
      <c r="E618" s="29"/>
      <c r="F618" s="29"/>
      <c r="G618" s="39"/>
      <c r="H618" s="29"/>
      <c r="I618" s="29"/>
    </row>
    <row r="619" spans="1:9" ht="22.5" customHeight="1">
      <c r="A619" s="36"/>
      <c r="B619" s="37"/>
      <c r="C619" s="38"/>
      <c r="D619" s="29"/>
      <c r="E619" s="29"/>
      <c r="F619" s="29"/>
      <c r="G619" s="39"/>
      <c r="H619" s="29"/>
      <c r="I619" s="29"/>
    </row>
    <row r="620" spans="1:9" ht="22.5" customHeight="1">
      <c r="A620" s="36"/>
      <c r="B620" s="37"/>
      <c r="C620" s="38"/>
      <c r="D620" s="29"/>
      <c r="E620" s="29"/>
      <c r="F620" s="29"/>
      <c r="G620" s="39"/>
      <c r="H620" s="29"/>
      <c r="I620" s="29"/>
    </row>
    <row r="621" spans="1:9" ht="22.5" customHeight="1">
      <c r="A621" s="36"/>
      <c r="B621" s="37"/>
      <c r="C621" s="38"/>
      <c r="D621" s="29"/>
      <c r="E621" s="29"/>
      <c r="F621" s="29"/>
      <c r="G621" s="39"/>
      <c r="H621" s="29"/>
      <c r="I621" s="29"/>
    </row>
    <row r="622" spans="1:9" ht="22.5" customHeight="1">
      <c r="A622" s="36"/>
      <c r="B622" s="37"/>
      <c r="C622" s="38"/>
      <c r="D622" s="29"/>
      <c r="E622" s="29"/>
      <c r="F622" s="29"/>
      <c r="G622" s="39"/>
      <c r="H622" s="29"/>
      <c r="I622" s="29"/>
    </row>
    <row r="623" spans="1:9" ht="22.5" customHeight="1">
      <c r="A623" s="36"/>
      <c r="B623" s="37"/>
      <c r="C623" s="38"/>
      <c r="D623" s="29"/>
      <c r="E623" s="29"/>
      <c r="F623" s="29"/>
      <c r="G623" s="39"/>
      <c r="H623" s="29"/>
      <c r="I623" s="29"/>
    </row>
    <row r="624" spans="1:9" ht="22.5" customHeight="1">
      <c r="A624" s="36"/>
      <c r="B624" s="37"/>
      <c r="C624" s="38"/>
      <c r="D624" s="29"/>
      <c r="E624" s="29"/>
      <c r="F624" s="29"/>
      <c r="G624" s="39"/>
      <c r="H624" s="29"/>
      <c r="I624" s="29"/>
    </row>
    <row r="625" spans="1:9" ht="22.5" customHeight="1">
      <c r="A625" s="36"/>
      <c r="B625" s="37"/>
      <c r="C625" s="38"/>
      <c r="D625" s="29"/>
      <c r="E625" s="29"/>
      <c r="F625" s="29"/>
      <c r="G625" s="39"/>
      <c r="H625" s="29"/>
      <c r="I625" s="29"/>
    </row>
    <row r="626" spans="1:9" ht="22.5" customHeight="1">
      <c r="A626" s="36"/>
      <c r="B626" s="37"/>
      <c r="C626" s="38"/>
      <c r="D626" s="29"/>
      <c r="E626" s="29"/>
      <c r="F626" s="29"/>
      <c r="G626" s="39"/>
      <c r="H626" s="29"/>
      <c r="I626" s="29"/>
    </row>
    <row r="627" spans="1:9" ht="22.5" customHeight="1">
      <c r="A627" s="36"/>
      <c r="B627" s="37"/>
      <c r="C627" s="38"/>
      <c r="D627" s="29"/>
      <c r="E627" s="29"/>
      <c r="F627" s="29"/>
      <c r="G627" s="39"/>
      <c r="H627" s="29"/>
      <c r="I627" s="29"/>
    </row>
    <row r="628" spans="1:9" ht="22.5" customHeight="1">
      <c r="A628" s="36"/>
      <c r="B628" s="37"/>
      <c r="C628" s="38"/>
      <c r="D628" s="29"/>
      <c r="E628" s="29"/>
      <c r="F628" s="29"/>
      <c r="G628" s="39"/>
      <c r="H628" s="29"/>
      <c r="I628" s="29"/>
    </row>
    <row r="629" spans="1:9" ht="22.5" customHeight="1">
      <c r="A629" s="36"/>
      <c r="B629" s="37"/>
      <c r="C629" s="38"/>
      <c r="D629" s="29"/>
      <c r="E629" s="29"/>
      <c r="F629" s="29"/>
      <c r="G629" s="39"/>
      <c r="H629" s="29"/>
      <c r="I629" s="29"/>
    </row>
    <row r="630" spans="1:9" ht="22.5" customHeight="1">
      <c r="A630" s="36"/>
      <c r="B630" s="37"/>
      <c r="C630" s="38"/>
      <c r="D630" s="29"/>
      <c r="E630" s="29"/>
      <c r="F630" s="29"/>
      <c r="G630" s="39"/>
      <c r="H630" s="29"/>
      <c r="I630" s="29"/>
    </row>
    <row r="631" spans="1:9" ht="22.5" customHeight="1">
      <c r="A631" s="36"/>
      <c r="B631" s="37"/>
      <c r="C631" s="38"/>
      <c r="D631" s="29"/>
      <c r="E631" s="29"/>
      <c r="F631" s="29"/>
      <c r="G631" s="39"/>
      <c r="H631" s="29"/>
      <c r="I631" s="29"/>
    </row>
    <row r="632" spans="1:9" ht="22.5" customHeight="1">
      <c r="A632" s="36"/>
      <c r="B632" s="37"/>
      <c r="C632" s="38"/>
      <c r="D632" s="29"/>
      <c r="E632" s="29"/>
      <c r="F632" s="29"/>
      <c r="G632" s="39"/>
      <c r="H632" s="29"/>
      <c r="I632" s="29"/>
    </row>
    <row r="633" spans="1:9" ht="22.5" customHeight="1">
      <c r="A633" s="36"/>
      <c r="B633" s="37"/>
      <c r="C633" s="38"/>
      <c r="D633" s="29"/>
      <c r="E633" s="29"/>
      <c r="F633" s="29"/>
      <c r="G633" s="39"/>
      <c r="H633" s="29"/>
      <c r="I633" s="29"/>
    </row>
    <row r="634" spans="1:9" ht="22.5" customHeight="1">
      <c r="A634" s="36"/>
      <c r="B634" s="37"/>
      <c r="C634" s="38"/>
      <c r="D634" s="29"/>
      <c r="E634" s="29"/>
      <c r="F634" s="29"/>
      <c r="G634" s="39"/>
      <c r="H634" s="29"/>
      <c r="I634" s="29"/>
    </row>
    <row r="635" spans="1:9" ht="22.5" customHeight="1">
      <c r="A635" s="36"/>
      <c r="B635" s="37"/>
      <c r="C635" s="38"/>
      <c r="D635" s="29"/>
      <c r="E635" s="29"/>
      <c r="F635" s="29"/>
      <c r="G635" s="39"/>
      <c r="H635" s="29"/>
      <c r="I635" s="29"/>
    </row>
    <row r="636" spans="1:9" ht="22.5" customHeight="1">
      <c r="A636" s="36"/>
      <c r="B636" s="37"/>
      <c r="C636" s="38"/>
      <c r="D636" s="29"/>
      <c r="E636" s="29"/>
      <c r="F636" s="29"/>
      <c r="G636" s="39"/>
      <c r="H636" s="29"/>
      <c r="I636" s="29"/>
    </row>
    <row r="637" spans="1:9" ht="22.5" customHeight="1">
      <c r="A637" s="36"/>
      <c r="B637" s="37"/>
      <c r="C637" s="38"/>
      <c r="D637" s="29"/>
      <c r="E637" s="29"/>
      <c r="F637" s="29"/>
      <c r="G637" s="39"/>
      <c r="H637" s="29"/>
      <c r="I637" s="29"/>
    </row>
    <row r="638" spans="1:9" ht="22.5" customHeight="1">
      <c r="A638" s="36"/>
      <c r="B638" s="37"/>
      <c r="C638" s="38"/>
      <c r="D638" s="29"/>
      <c r="E638" s="29"/>
      <c r="F638" s="29"/>
      <c r="G638" s="39"/>
      <c r="H638" s="29"/>
      <c r="I638" s="29"/>
    </row>
    <row r="639" spans="1:9" ht="22.5" customHeight="1">
      <c r="A639" s="36"/>
      <c r="B639" s="37"/>
      <c r="C639" s="38"/>
      <c r="D639" s="29"/>
      <c r="E639" s="29"/>
      <c r="F639" s="29"/>
      <c r="G639" s="39"/>
      <c r="H639" s="29"/>
      <c r="I639" s="29"/>
    </row>
    <row r="640" spans="1:9" ht="22.5" customHeight="1">
      <c r="A640" s="36"/>
      <c r="B640" s="37"/>
      <c r="C640" s="38"/>
      <c r="D640" s="29"/>
      <c r="E640" s="29"/>
      <c r="F640" s="29"/>
      <c r="G640" s="39"/>
      <c r="H640" s="29"/>
      <c r="I640" s="29"/>
    </row>
    <row r="641" spans="1:9" ht="22.5" customHeight="1">
      <c r="A641" s="36"/>
      <c r="B641" s="37"/>
      <c r="C641" s="38"/>
      <c r="D641" s="29"/>
      <c r="E641" s="29"/>
      <c r="F641" s="29"/>
      <c r="G641" s="39"/>
      <c r="H641" s="29"/>
      <c r="I641" s="29"/>
    </row>
    <row r="642" spans="1:9" ht="22.5" customHeight="1">
      <c r="A642" s="36"/>
      <c r="B642" s="37"/>
      <c r="C642" s="38"/>
      <c r="D642" s="29"/>
      <c r="E642" s="29"/>
      <c r="F642" s="29"/>
      <c r="G642" s="39"/>
      <c r="H642" s="29"/>
      <c r="I642" s="29"/>
    </row>
    <row r="643" spans="1:9" ht="22.5" customHeight="1">
      <c r="A643" s="36"/>
      <c r="B643" s="37"/>
      <c r="C643" s="38"/>
      <c r="D643" s="29"/>
      <c r="E643" s="29"/>
      <c r="F643" s="29"/>
      <c r="G643" s="39"/>
      <c r="H643" s="29"/>
      <c r="I643" s="29"/>
    </row>
    <row r="644" spans="1:9" ht="22.5" customHeight="1">
      <c r="A644" s="36"/>
      <c r="B644" s="37"/>
      <c r="C644" s="38"/>
      <c r="D644" s="29"/>
      <c r="E644" s="29"/>
      <c r="F644" s="29"/>
      <c r="G644" s="39"/>
      <c r="H644" s="29"/>
      <c r="I644" s="29"/>
    </row>
    <row r="645" spans="1:9" ht="22.5" customHeight="1">
      <c r="A645" s="36"/>
      <c r="B645" s="37"/>
      <c r="C645" s="38"/>
      <c r="D645" s="29"/>
      <c r="E645" s="29"/>
      <c r="F645" s="29"/>
      <c r="G645" s="39"/>
      <c r="H645" s="29"/>
      <c r="I645" s="29"/>
    </row>
    <row r="646" spans="1:9" ht="22.5" customHeight="1">
      <c r="A646" s="36"/>
      <c r="B646" s="37"/>
      <c r="C646" s="38"/>
      <c r="D646" s="29"/>
      <c r="E646" s="29"/>
      <c r="F646" s="29"/>
      <c r="G646" s="39"/>
      <c r="H646" s="29"/>
      <c r="I646" s="29"/>
    </row>
    <row r="647" spans="1:9" ht="22.5" customHeight="1">
      <c r="A647" s="36"/>
      <c r="B647" s="37"/>
      <c r="C647" s="38"/>
      <c r="D647" s="29"/>
      <c r="E647" s="29"/>
      <c r="F647" s="29"/>
      <c r="G647" s="39"/>
      <c r="H647" s="29"/>
      <c r="I647" s="29"/>
    </row>
    <row r="648" spans="1:9" ht="22.5" customHeight="1">
      <c r="A648" s="36"/>
      <c r="B648" s="37"/>
      <c r="C648" s="38"/>
      <c r="D648" s="29"/>
      <c r="E648" s="29"/>
      <c r="F648" s="29"/>
      <c r="G648" s="39"/>
      <c r="H648" s="29"/>
      <c r="I648" s="29"/>
    </row>
    <row r="649" spans="1:9" ht="22.5" customHeight="1">
      <c r="A649" s="36"/>
      <c r="B649" s="37"/>
      <c r="C649" s="38"/>
      <c r="D649" s="29"/>
      <c r="E649" s="29"/>
      <c r="F649" s="29"/>
      <c r="G649" s="39"/>
      <c r="H649" s="29"/>
      <c r="I649" s="29"/>
    </row>
    <row r="650" spans="1:9" ht="22.5" customHeight="1">
      <c r="A650" s="36"/>
      <c r="B650" s="37"/>
      <c r="C650" s="38"/>
      <c r="D650" s="29"/>
      <c r="E650" s="29"/>
      <c r="F650" s="29"/>
      <c r="G650" s="39"/>
      <c r="H650" s="29"/>
      <c r="I650" s="29"/>
    </row>
    <row r="651" spans="1:9" ht="22.5" customHeight="1">
      <c r="A651" s="36"/>
      <c r="B651" s="37"/>
      <c r="C651" s="38"/>
      <c r="D651" s="29"/>
      <c r="E651" s="29"/>
      <c r="F651" s="29"/>
      <c r="G651" s="39"/>
      <c r="H651" s="29"/>
      <c r="I651" s="29"/>
    </row>
    <row r="652" spans="1:9" ht="22.5" customHeight="1">
      <c r="A652" s="36"/>
      <c r="B652" s="37"/>
      <c r="C652" s="38"/>
      <c r="D652" s="29"/>
      <c r="E652" s="29"/>
      <c r="F652" s="29"/>
      <c r="G652" s="39"/>
      <c r="H652" s="29"/>
      <c r="I652" s="29"/>
    </row>
    <row r="653" spans="1:9" ht="22.5" customHeight="1">
      <c r="A653" s="36"/>
      <c r="B653" s="37"/>
      <c r="C653" s="38"/>
      <c r="D653" s="29"/>
      <c r="E653" s="29"/>
      <c r="F653" s="29"/>
      <c r="G653" s="39"/>
      <c r="H653" s="29"/>
      <c r="I653" s="29"/>
    </row>
    <row r="654" spans="1:9" ht="22.5" customHeight="1">
      <c r="A654" s="36"/>
      <c r="B654" s="37"/>
      <c r="C654" s="38"/>
      <c r="D654" s="29"/>
      <c r="E654" s="29"/>
      <c r="F654" s="29"/>
      <c r="G654" s="39"/>
      <c r="H654" s="29"/>
      <c r="I654" s="29"/>
    </row>
    <row r="655" spans="1:9" ht="22.5" customHeight="1">
      <c r="A655" s="36"/>
      <c r="B655" s="37"/>
      <c r="C655" s="38"/>
      <c r="D655" s="29"/>
      <c r="E655" s="29"/>
      <c r="F655" s="29"/>
      <c r="G655" s="39"/>
      <c r="H655" s="29"/>
      <c r="I655" s="29"/>
    </row>
    <row r="656" spans="1:9" ht="22.5" customHeight="1">
      <c r="A656" s="36"/>
      <c r="B656" s="37"/>
      <c r="C656" s="38"/>
      <c r="D656" s="29"/>
      <c r="E656" s="29"/>
      <c r="F656" s="29"/>
      <c r="G656" s="39"/>
      <c r="H656" s="29"/>
      <c r="I656" s="29"/>
    </row>
    <row r="657" spans="1:9" ht="22.5" customHeight="1">
      <c r="A657" s="36"/>
      <c r="B657" s="37"/>
      <c r="C657" s="38"/>
      <c r="D657" s="29"/>
      <c r="E657" s="29"/>
      <c r="F657" s="29"/>
      <c r="G657" s="39"/>
      <c r="H657" s="29"/>
      <c r="I657" s="29"/>
    </row>
    <row r="658" spans="1:9" ht="22.5" customHeight="1">
      <c r="A658" s="36"/>
      <c r="B658" s="37"/>
      <c r="C658" s="38"/>
      <c r="D658" s="29"/>
      <c r="E658" s="29"/>
      <c r="F658" s="29"/>
      <c r="G658" s="39"/>
      <c r="H658" s="29"/>
      <c r="I658" s="29"/>
    </row>
    <row r="659" spans="1:9" ht="22.5" customHeight="1">
      <c r="A659" s="36"/>
      <c r="B659" s="37"/>
      <c r="C659" s="38"/>
      <c r="D659" s="29"/>
      <c r="E659" s="29"/>
      <c r="F659" s="29"/>
      <c r="G659" s="39"/>
      <c r="H659" s="29"/>
      <c r="I659" s="29"/>
    </row>
    <row r="660" spans="1:9" ht="22.5" customHeight="1">
      <c r="A660" s="36"/>
      <c r="B660" s="37"/>
      <c r="C660" s="38"/>
      <c r="D660" s="29"/>
      <c r="E660" s="29"/>
      <c r="F660" s="29"/>
      <c r="G660" s="39"/>
      <c r="H660" s="29"/>
      <c r="I660" s="29"/>
    </row>
    <row r="661" spans="1:9" ht="22.5" customHeight="1">
      <c r="A661" s="36"/>
      <c r="B661" s="37"/>
      <c r="C661" s="38"/>
      <c r="D661" s="29"/>
      <c r="E661" s="29"/>
      <c r="F661" s="29"/>
      <c r="G661" s="39"/>
      <c r="H661" s="29"/>
      <c r="I661" s="29"/>
    </row>
    <row r="662" spans="1:9" ht="22.5" customHeight="1">
      <c r="A662" s="36"/>
      <c r="B662" s="37"/>
      <c r="C662" s="38"/>
      <c r="D662" s="29"/>
      <c r="E662" s="29"/>
      <c r="F662" s="29"/>
      <c r="G662" s="39"/>
      <c r="H662" s="29"/>
      <c r="I662" s="29"/>
    </row>
    <row r="663" spans="1:9" ht="22.5" customHeight="1">
      <c r="A663" s="36"/>
      <c r="B663" s="37"/>
      <c r="C663" s="38"/>
      <c r="D663" s="29"/>
      <c r="E663" s="29"/>
      <c r="F663" s="29"/>
      <c r="G663" s="39"/>
      <c r="H663" s="29"/>
      <c r="I663" s="29"/>
    </row>
    <row r="664" spans="1:9" ht="22.5" customHeight="1">
      <c r="A664" s="36"/>
      <c r="B664" s="37"/>
      <c r="C664" s="38"/>
      <c r="D664" s="29"/>
      <c r="E664" s="29"/>
      <c r="F664" s="29"/>
      <c r="G664" s="39"/>
      <c r="H664" s="29"/>
      <c r="I664" s="29"/>
    </row>
    <row r="665" spans="1:9" ht="22.5" customHeight="1">
      <c r="A665" s="36"/>
      <c r="B665" s="37"/>
      <c r="C665" s="38"/>
      <c r="D665" s="29"/>
      <c r="E665" s="29"/>
      <c r="F665" s="29"/>
      <c r="G665" s="39"/>
      <c r="H665" s="29"/>
      <c r="I665" s="29"/>
    </row>
    <row r="666" spans="1:9" ht="22.5" customHeight="1">
      <c r="A666" s="36"/>
      <c r="B666" s="37"/>
      <c r="C666" s="38"/>
      <c r="D666" s="29"/>
      <c r="E666" s="29"/>
      <c r="F666" s="29"/>
      <c r="G666" s="39"/>
      <c r="H666" s="29"/>
      <c r="I666" s="29"/>
    </row>
    <row r="667" spans="1:9" ht="22.5" customHeight="1">
      <c r="A667" s="36"/>
      <c r="B667" s="37"/>
      <c r="C667" s="38"/>
      <c r="D667" s="29"/>
      <c r="E667" s="29"/>
      <c r="F667" s="29"/>
      <c r="G667" s="39"/>
      <c r="H667" s="29"/>
      <c r="I667" s="29"/>
    </row>
    <row r="668" spans="1:9" ht="22.5" customHeight="1">
      <c r="A668" s="36"/>
      <c r="B668" s="37"/>
      <c r="C668" s="38"/>
      <c r="D668" s="29"/>
      <c r="E668" s="29"/>
      <c r="F668" s="29"/>
      <c r="G668" s="39"/>
      <c r="H668" s="29"/>
      <c r="I668" s="29"/>
    </row>
    <row r="669" spans="1:9" ht="22.5" customHeight="1">
      <c r="A669" s="36"/>
      <c r="B669" s="37"/>
      <c r="C669" s="38"/>
      <c r="D669" s="29"/>
      <c r="E669" s="29"/>
      <c r="F669" s="29"/>
      <c r="G669" s="39"/>
      <c r="H669" s="29"/>
      <c r="I669" s="29"/>
    </row>
    <row r="670" spans="1:9" ht="22.5" customHeight="1">
      <c r="A670" s="36"/>
      <c r="B670" s="37"/>
      <c r="C670" s="38"/>
      <c r="D670" s="29"/>
      <c r="E670" s="29"/>
      <c r="F670" s="29"/>
      <c r="G670" s="39"/>
      <c r="H670" s="29"/>
      <c r="I670" s="29"/>
    </row>
    <row r="671" spans="1:9" ht="22.5" customHeight="1">
      <c r="A671" s="36"/>
      <c r="B671" s="37"/>
      <c r="C671" s="38"/>
      <c r="D671" s="29"/>
      <c r="E671" s="29"/>
      <c r="F671" s="29"/>
      <c r="G671" s="39"/>
      <c r="H671" s="29"/>
      <c r="I671" s="29"/>
    </row>
    <row r="672" spans="1:9" ht="22.5" customHeight="1">
      <c r="A672" s="36"/>
      <c r="B672" s="37"/>
      <c r="C672" s="38"/>
      <c r="D672" s="29"/>
      <c r="E672" s="29"/>
      <c r="F672" s="29"/>
      <c r="G672" s="39"/>
      <c r="H672" s="29"/>
      <c r="I672" s="29"/>
    </row>
    <row r="673" spans="1:9" ht="22.5" customHeight="1">
      <c r="A673" s="36"/>
      <c r="B673" s="37"/>
      <c r="C673" s="38"/>
      <c r="D673" s="29"/>
      <c r="E673" s="29"/>
      <c r="F673" s="29"/>
      <c r="G673" s="39"/>
      <c r="H673" s="29"/>
      <c r="I673" s="29"/>
    </row>
    <row r="674" spans="1:9" ht="22.5" customHeight="1">
      <c r="A674" s="36"/>
      <c r="B674" s="37"/>
      <c r="C674" s="38"/>
      <c r="D674" s="29"/>
      <c r="E674" s="29"/>
      <c r="F674" s="29"/>
      <c r="G674" s="39"/>
      <c r="H674" s="29"/>
      <c r="I674" s="29"/>
    </row>
    <row r="675" spans="1:9" ht="22.5" customHeight="1">
      <c r="A675" s="36"/>
      <c r="B675" s="37"/>
      <c r="C675" s="38"/>
      <c r="D675" s="29"/>
      <c r="E675" s="29"/>
      <c r="F675" s="29"/>
      <c r="G675" s="39"/>
      <c r="H675" s="29"/>
      <c r="I675" s="29"/>
    </row>
    <row r="676" spans="1:9" ht="22.5" customHeight="1">
      <c r="A676" s="36"/>
      <c r="B676" s="37"/>
      <c r="C676" s="38"/>
      <c r="D676" s="29"/>
      <c r="E676" s="29"/>
      <c r="F676" s="29"/>
      <c r="G676" s="39"/>
      <c r="H676" s="29"/>
      <c r="I676" s="29"/>
    </row>
    <row r="677" spans="1:9" ht="22.5" customHeight="1">
      <c r="A677" s="36"/>
      <c r="B677" s="37"/>
      <c r="C677" s="38"/>
      <c r="D677" s="29"/>
      <c r="E677" s="29"/>
      <c r="F677" s="29"/>
      <c r="G677" s="39"/>
      <c r="H677" s="29"/>
      <c r="I677" s="29"/>
    </row>
    <row r="678" spans="1:9" ht="22.5" customHeight="1">
      <c r="A678" s="36"/>
      <c r="B678" s="37"/>
      <c r="C678" s="38"/>
      <c r="D678" s="29"/>
      <c r="E678" s="29"/>
      <c r="F678" s="29"/>
      <c r="G678" s="39"/>
      <c r="H678" s="29"/>
      <c r="I678" s="29"/>
    </row>
    <row r="679" spans="1:9" ht="22.5" customHeight="1">
      <c r="A679" s="36"/>
      <c r="B679" s="37"/>
      <c r="C679" s="38"/>
      <c r="D679" s="29"/>
      <c r="E679" s="29"/>
      <c r="F679" s="29"/>
      <c r="G679" s="39"/>
      <c r="H679" s="29"/>
      <c r="I679" s="29"/>
    </row>
    <row r="680" spans="1:9" ht="22.5" customHeight="1">
      <c r="A680" s="36"/>
      <c r="B680" s="37"/>
      <c r="C680" s="38"/>
      <c r="D680" s="29"/>
      <c r="E680" s="29"/>
      <c r="F680" s="29"/>
      <c r="G680" s="39"/>
      <c r="H680" s="29"/>
      <c r="I680" s="29"/>
    </row>
    <row r="681" spans="1:9" ht="22.5" customHeight="1">
      <c r="A681" s="36"/>
      <c r="B681" s="37"/>
      <c r="C681" s="38"/>
      <c r="D681" s="29"/>
      <c r="E681" s="29"/>
      <c r="F681" s="29"/>
      <c r="G681" s="39"/>
      <c r="H681" s="29"/>
      <c r="I681" s="29"/>
    </row>
    <row r="682" spans="1:9" ht="22.5" customHeight="1">
      <c r="A682" s="36"/>
      <c r="B682" s="37"/>
      <c r="C682" s="38"/>
      <c r="D682" s="29"/>
      <c r="E682" s="29"/>
      <c r="F682" s="29"/>
      <c r="G682" s="39"/>
      <c r="H682" s="29"/>
      <c r="I682" s="29"/>
    </row>
    <row r="683" spans="1:9" ht="22.5" customHeight="1">
      <c r="A683" s="36"/>
      <c r="B683" s="37"/>
      <c r="C683" s="38"/>
      <c r="D683" s="29"/>
      <c r="E683" s="29"/>
      <c r="F683" s="29"/>
      <c r="G683" s="39"/>
      <c r="H683" s="29"/>
      <c r="I683" s="29"/>
    </row>
    <row r="684" spans="1:9" ht="22.5" customHeight="1">
      <c r="A684" s="36"/>
      <c r="B684" s="37"/>
      <c r="C684" s="38"/>
      <c r="D684" s="29"/>
      <c r="E684" s="29"/>
      <c r="F684" s="29"/>
      <c r="G684" s="39"/>
      <c r="H684" s="29"/>
      <c r="I684" s="29"/>
    </row>
    <row r="685" spans="1:9" ht="22.5" customHeight="1">
      <c r="A685" s="36"/>
      <c r="B685" s="37"/>
      <c r="C685" s="38"/>
      <c r="D685" s="29"/>
      <c r="E685" s="29"/>
      <c r="F685" s="29"/>
      <c r="G685" s="39"/>
      <c r="H685" s="29"/>
      <c r="I685" s="29"/>
    </row>
    <row r="686" spans="1:9" ht="22.5" customHeight="1">
      <c r="A686" s="36"/>
      <c r="B686" s="37"/>
      <c r="C686" s="38"/>
      <c r="D686" s="29"/>
      <c r="E686" s="29"/>
      <c r="F686" s="29"/>
      <c r="G686" s="39"/>
      <c r="H686" s="29"/>
      <c r="I686" s="29"/>
    </row>
    <row r="687" spans="1:9" ht="22.5" customHeight="1">
      <c r="A687" s="36"/>
      <c r="B687" s="37"/>
      <c r="C687" s="38"/>
      <c r="D687" s="29"/>
      <c r="E687" s="29"/>
      <c r="F687" s="29"/>
      <c r="G687" s="39"/>
      <c r="H687" s="29"/>
      <c r="I687" s="29"/>
    </row>
    <row r="688" spans="1:9" ht="22.5" customHeight="1">
      <c r="A688" s="36"/>
      <c r="B688" s="37"/>
      <c r="C688" s="38"/>
      <c r="D688" s="29"/>
      <c r="E688" s="29"/>
      <c r="F688" s="29"/>
      <c r="G688" s="39"/>
      <c r="H688" s="29"/>
      <c r="I688" s="29"/>
    </row>
    <row r="689" spans="1:9" ht="22.5" customHeight="1">
      <c r="A689" s="36"/>
      <c r="B689" s="37"/>
      <c r="C689" s="38"/>
      <c r="D689" s="29"/>
      <c r="E689" s="29"/>
      <c r="F689" s="29"/>
      <c r="G689" s="39"/>
      <c r="H689" s="29"/>
      <c r="I689" s="29"/>
    </row>
    <row r="690" spans="1:9" ht="22.5" customHeight="1">
      <c r="A690" s="36"/>
      <c r="B690" s="37"/>
      <c r="C690" s="38"/>
      <c r="D690" s="29"/>
      <c r="E690" s="29"/>
      <c r="F690" s="29"/>
      <c r="G690" s="39"/>
      <c r="H690" s="29"/>
      <c r="I690" s="29"/>
    </row>
    <row r="691" spans="1:9" ht="22.5" customHeight="1">
      <c r="A691" s="36"/>
      <c r="B691" s="37"/>
      <c r="C691" s="38"/>
      <c r="D691" s="29"/>
      <c r="E691" s="29"/>
      <c r="F691" s="29"/>
      <c r="G691" s="39"/>
      <c r="H691" s="29"/>
      <c r="I691" s="29"/>
    </row>
    <row r="692" spans="1:9" ht="22.5" customHeight="1">
      <c r="A692" s="36"/>
      <c r="B692" s="37"/>
      <c r="C692" s="38"/>
      <c r="D692" s="29"/>
      <c r="E692" s="29"/>
      <c r="F692" s="29"/>
      <c r="G692" s="39"/>
      <c r="H692" s="29"/>
      <c r="I692" s="29"/>
    </row>
    <row r="693" spans="1:9" ht="22.5" customHeight="1">
      <c r="A693" s="36"/>
      <c r="B693" s="37"/>
      <c r="C693" s="38"/>
      <c r="D693" s="29"/>
      <c r="E693" s="29"/>
      <c r="F693" s="29"/>
      <c r="G693" s="39"/>
      <c r="H693" s="29"/>
      <c r="I693" s="29"/>
    </row>
    <row r="694" spans="1:9" ht="22.5" customHeight="1">
      <c r="A694" s="36"/>
      <c r="B694" s="37"/>
      <c r="C694" s="38"/>
      <c r="D694" s="29"/>
      <c r="E694" s="29"/>
      <c r="F694" s="29"/>
      <c r="G694" s="39"/>
      <c r="H694" s="29"/>
      <c r="I694" s="29"/>
    </row>
    <row r="695" spans="1:9" ht="22.5" customHeight="1">
      <c r="A695" s="36"/>
      <c r="B695" s="37"/>
      <c r="C695" s="38"/>
      <c r="D695" s="29"/>
      <c r="E695" s="29"/>
      <c r="F695" s="29"/>
      <c r="G695" s="39"/>
      <c r="H695" s="29"/>
      <c r="I695" s="29"/>
    </row>
    <row r="696" spans="1:9" ht="22.5" customHeight="1">
      <c r="A696" s="36"/>
      <c r="B696" s="37"/>
      <c r="C696" s="38"/>
      <c r="D696" s="29"/>
      <c r="E696" s="29"/>
      <c r="F696" s="29"/>
      <c r="G696" s="39"/>
      <c r="H696" s="29"/>
      <c r="I696" s="29"/>
    </row>
    <row r="697" spans="1:9" ht="22.5" customHeight="1">
      <c r="A697" s="36"/>
      <c r="B697" s="37"/>
      <c r="C697" s="38"/>
      <c r="D697" s="29"/>
      <c r="E697" s="29"/>
      <c r="F697" s="29"/>
      <c r="G697" s="39"/>
      <c r="H697" s="29"/>
      <c r="I697" s="29"/>
    </row>
    <row r="698" spans="1:9" ht="22.5" customHeight="1">
      <c r="A698" s="36"/>
      <c r="B698" s="37"/>
      <c r="C698" s="38"/>
      <c r="D698" s="29"/>
      <c r="E698" s="29"/>
      <c r="F698" s="29"/>
      <c r="G698" s="39"/>
      <c r="H698" s="29"/>
      <c r="I698" s="29"/>
    </row>
    <row r="699" spans="1:9" ht="22.5" customHeight="1">
      <c r="A699" s="36"/>
      <c r="B699" s="37"/>
      <c r="C699" s="38"/>
      <c r="D699" s="29"/>
      <c r="E699" s="29"/>
      <c r="F699" s="29"/>
      <c r="G699" s="39"/>
      <c r="H699" s="29"/>
      <c r="I699" s="29"/>
    </row>
    <row r="700" spans="1:9" ht="22.5" customHeight="1">
      <c r="A700" s="36"/>
      <c r="B700" s="37"/>
      <c r="C700" s="38"/>
      <c r="D700" s="29"/>
      <c r="E700" s="29"/>
      <c r="F700" s="29"/>
      <c r="G700" s="39"/>
      <c r="H700" s="29"/>
      <c r="I700" s="29"/>
    </row>
    <row r="701" spans="1:9" ht="22.5" customHeight="1">
      <c r="A701" s="36"/>
      <c r="B701" s="37"/>
      <c r="C701" s="38"/>
      <c r="D701" s="29"/>
      <c r="E701" s="29"/>
      <c r="F701" s="29"/>
      <c r="G701" s="39"/>
      <c r="H701" s="29"/>
      <c r="I701" s="29"/>
    </row>
    <row r="702" spans="1:9" ht="22.5" customHeight="1">
      <c r="A702" s="36"/>
      <c r="B702" s="37"/>
      <c r="C702" s="38"/>
      <c r="D702" s="29"/>
      <c r="E702" s="29"/>
      <c r="F702" s="29"/>
      <c r="G702" s="39"/>
      <c r="H702" s="29"/>
      <c r="I702" s="29"/>
    </row>
    <row r="703" spans="1:9" ht="22.5" customHeight="1">
      <c r="A703" s="36"/>
      <c r="B703" s="37"/>
      <c r="C703" s="38"/>
      <c r="D703" s="29"/>
      <c r="E703" s="29"/>
      <c r="F703" s="29"/>
      <c r="G703" s="39"/>
      <c r="H703" s="29"/>
      <c r="I703" s="29"/>
    </row>
    <row r="704" spans="1:9" ht="22.5" customHeight="1">
      <c r="A704" s="36"/>
      <c r="B704" s="37"/>
      <c r="C704" s="38"/>
      <c r="D704" s="29"/>
      <c r="E704" s="29"/>
      <c r="F704" s="29"/>
      <c r="G704" s="39"/>
      <c r="H704" s="29"/>
      <c r="I704" s="29"/>
    </row>
    <row r="705" spans="1:9" ht="22.5" customHeight="1">
      <c r="A705" s="36"/>
      <c r="B705" s="37"/>
      <c r="C705" s="38"/>
      <c r="D705" s="29"/>
      <c r="E705" s="29"/>
      <c r="F705" s="29"/>
      <c r="G705" s="39"/>
      <c r="H705" s="29"/>
      <c r="I705" s="29"/>
    </row>
    <row r="706" spans="1:9" ht="22.5" customHeight="1">
      <c r="A706" s="36"/>
      <c r="B706" s="37"/>
      <c r="C706" s="38"/>
      <c r="D706" s="29"/>
      <c r="E706" s="29"/>
      <c r="F706" s="29"/>
      <c r="G706" s="39"/>
      <c r="H706" s="29"/>
      <c r="I706" s="29"/>
    </row>
    <row r="707" spans="1:9" ht="22.5" customHeight="1">
      <c r="A707" s="36"/>
      <c r="B707" s="37"/>
      <c r="C707" s="38"/>
      <c r="D707" s="29"/>
      <c r="E707" s="29"/>
      <c r="F707" s="29"/>
      <c r="G707" s="39"/>
      <c r="H707" s="29"/>
      <c r="I707" s="29"/>
    </row>
    <row r="708" spans="1:9" ht="22.5" customHeight="1">
      <c r="A708" s="36"/>
      <c r="B708" s="37"/>
      <c r="C708" s="38"/>
      <c r="D708" s="29"/>
      <c r="E708" s="29"/>
      <c r="F708" s="29"/>
      <c r="G708" s="39"/>
      <c r="H708" s="29"/>
      <c r="I708" s="29"/>
    </row>
    <row r="709" spans="1:9" ht="22.5" customHeight="1">
      <c r="A709" s="36"/>
      <c r="B709" s="37"/>
      <c r="C709" s="38"/>
      <c r="D709" s="29"/>
      <c r="E709" s="29"/>
      <c r="F709" s="29"/>
      <c r="G709" s="39"/>
      <c r="H709" s="29"/>
      <c r="I709" s="29"/>
    </row>
    <row r="710" spans="1:9" ht="22.5" customHeight="1">
      <c r="A710" s="36"/>
      <c r="B710" s="37"/>
      <c r="C710" s="38"/>
      <c r="D710" s="29"/>
      <c r="E710" s="29"/>
      <c r="F710" s="29"/>
      <c r="G710" s="39"/>
      <c r="H710" s="29"/>
      <c r="I710" s="29"/>
    </row>
    <row r="711" spans="1:9" ht="22.5" customHeight="1">
      <c r="A711" s="36"/>
      <c r="B711" s="37"/>
      <c r="C711" s="38"/>
      <c r="D711" s="29"/>
      <c r="E711" s="29"/>
      <c r="F711" s="29"/>
      <c r="G711" s="39"/>
      <c r="H711" s="29"/>
      <c r="I711" s="29"/>
    </row>
    <row r="712" spans="1:9" ht="22.5" customHeight="1">
      <c r="A712" s="36"/>
      <c r="B712" s="37"/>
      <c r="C712" s="38"/>
      <c r="D712" s="29"/>
      <c r="E712" s="29"/>
      <c r="F712" s="29"/>
      <c r="G712" s="39"/>
      <c r="H712" s="29"/>
      <c r="I712" s="29"/>
    </row>
    <row r="713" spans="1:9" ht="22.5" customHeight="1">
      <c r="A713" s="36"/>
      <c r="B713" s="37"/>
      <c r="C713" s="38"/>
      <c r="D713" s="29"/>
      <c r="E713" s="29"/>
      <c r="F713" s="29"/>
      <c r="G713" s="39"/>
      <c r="H713" s="29"/>
      <c r="I713" s="29"/>
    </row>
    <row r="714" spans="1:9" ht="22.5" customHeight="1">
      <c r="A714" s="36"/>
      <c r="B714" s="37"/>
      <c r="C714" s="38"/>
      <c r="D714" s="29"/>
      <c r="E714" s="29"/>
      <c r="F714" s="29"/>
      <c r="G714" s="39"/>
      <c r="H714" s="29"/>
      <c r="I714" s="29"/>
    </row>
    <row r="715" spans="1:9" ht="22.5" customHeight="1">
      <c r="A715" s="36"/>
      <c r="B715" s="37"/>
      <c r="C715" s="38"/>
      <c r="D715" s="29"/>
      <c r="E715" s="29"/>
      <c r="F715" s="29"/>
      <c r="G715" s="39"/>
      <c r="H715" s="29"/>
      <c r="I715" s="29"/>
    </row>
    <row r="716" spans="1:9" ht="22.5" customHeight="1">
      <c r="A716" s="36"/>
      <c r="B716" s="37"/>
      <c r="C716" s="38"/>
      <c r="D716" s="29"/>
      <c r="E716" s="29"/>
      <c r="F716" s="29"/>
      <c r="G716" s="39"/>
      <c r="H716" s="29"/>
      <c r="I716" s="29"/>
    </row>
    <row r="717" spans="1:9" ht="22.5" customHeight="1">
      <c r="A717" s="36"/>
      <c r="B717" s="37"/>
      <c r="C717" s="38"/>
      <c r="D717" s="29"/>
      <c r="E717" s="29"/>
      <c r="F717" s="29"/>
      <c r="G717" s="39"/>
      <c r="H717" s="29"/>
      <c r="I717" s="29"/>
    </row>
    <row r="718" spans="1:9" ht="22.5" customHeight="1">
      <c r="A718" s="36"/>
      <c r="B718" s="37"/>
      <c r="C718" s="38"/>
      <c r="D718" s="29"/>
      <c r="E718" s="29"/>
      <c r="F718" s="29"/>
      <c r="G718" s="39"/>
      <c r="H718" s="29"/>
      <c r="I718" s="29"/>
    </row>
    <row r="719" spans="1:9" ht="22.5" customHeight="1">
      <c r="A719" s="36"/>
      <c r="B719" s="37"/>
      <c r="C719" s="38"/>
      <c r="D719" s="29"/>
      <c r="E719" s="29"/>
      <c r="F719" s="29"/>
      <c r="G719" s="39"/>
      <c r="H719" s="29"/>
      <c r="I719" s="29"/>
    </row>
    <row r="720" spans="1:9" ht="22.5" customHeight="1">
      <c r="A720" s="36"/>
      <c r="B720" s="37"/>
      <c r="C720" s="38"/>
      <c r="D720" s="29"/>
      <c r="E720" s="29"/>
      <c r="F720" s="29"/>
      <c r="G720" s="39"/>
      <c r="H720" s="29"/>
      <c r="I720" s="29"/>
    </row>
    <row r="721" spans="1:9" ht="22.5" customHeight="1">
      <c r="A721" s="36"/>
      <c r="B721" s="37"/>
      <c r="C721" s="38"/>
      <c r="D721" s="29"/>
      <c r="E721" s="29"/>
      <c r="F721" s="29"/>
      <c r="G721" s="39"/>
      <c r="H721" s="29"/>
      <c r="I721" s="29"/>
    </row>
    <row r="722" spans="1:9" ht="22.5" customHeight="1">
      <c r="A722" s="36"/>
      <c r="B722" s="37"/>
      <c r="C722" s="38"/>
      <c r="D722" s="29"/>
      <c r="E722" s="29"/>
      <c r="F722" s="29"/>
      <c r="G722" s="39"/>
      <c r="H722" s="29"/>
      <c r="I722" s="29"/>
    </row>
    <row r="723" spans="1:9" ht="22.5" customHeight="1">
      <c r="A723" s="36"/>
      <c r="B723" s="37"/>
      <c r="C723" s="38"/>
      <c r="D723" s="29"/>
      <c r="E723" s="29"/>
      <c r="F723" s="29"/>
      <c r="G723" s="39"/>
      <c r="H723" s="29"/>
      <c r="I723" s="29"/>
    </row>
    <row r="724" spans="1:9" ht="22.5" customHeight="1">
      <c r="A724" s="36"/>
      <c r="B724" s="37"/>
      <c r="C724" s="38"/>
      <c r="D724" s="29"/>
      <c r="E724" s="29"/>
      <c r="F724" s="29"/>
      <c r="G724" s="39"/>
      <c r="H724" s="29"/>
      <c r="I724" s="29"/>
    </row>
    <row r="725" spans="1:9" ht="22.5" customHeight="1">
      <c r="A725" s="36"/>
      <c r="B725" s="37"/>
      <c r="C725" s="38"/>
      <c r="D725" s="29"/>
      <c r="E725" s="29"/>
      <c r="F725" s="29"/>
      <c r="G725" s="39"/>
      <c r="H725" s="29"/>
      <c r="I725" s="29"/>
    </row>
    <row r="726" spans="1:9" ht="22.5" customHeight="1">
      <c r="A726" s="36"/>
      <c r="B726" s="37"/>
      <c r="C726" s="38"/>
      <c r="D726" s="29"/>
      <c r="E726" s="29"/>
      <c r="F726" s="29"/>
      <c r="G726" s="39"/>
      <c r="H726" s="29"/>
      <c r="I726" s="29"/>
    </row>
    <row r="727" spans="1:9" ht="22.5" customHeight="1">
      <c r="A727" s="36"/>
      <c r="B727" s="37"/>
      <c r="C727" s="38"/>
      <c r="D727" s="29"/>
      <c r="E727" s="29"/>
      <c r="F727" s="29"/>
      <c r="G727" s="39"/>
      <c r="H727" s="29"/>
      <c r="I727" s="29"/>
    </row>
    <row r="728" spans="1:9" ht="22.5" customHeight="1">
      <c r="A728" s="36"/>
      <c r="B728" s="37"/>
      <c r="C728" s="38"/>
      <c r="D728" s="29"/>
      <c r="E728" s="29"/>
      <c r="F728" s="29"/>
      <c r="G728" s="39"/>
      <c r="H728" s="29"/>
      <c r="I728" s="29"/>
    </row>
    <row r="729" spans="1:9" ht="22.5" customHeight="1">
      <c r="A729" s="36"/>
      <c r="B729" s="37"/>
      <c r="C729" s="38"/>
      <c r="D729" s="29"/>
      <c r="E729" s="29"/>
      <c r="F729" s="29"/>
      <c r="G729" s="39"/>
      <c r="H729" s="29"/>
      <c r="I729" s="29"/>
    </row>
    <row r="730" spans="1:9" ht="22.5" customHeight="1">
      <c r="A730" s="36"/>
      <c r="B730" s="37"/>
      <c r="C730" s="38"/>
      <c r="D730" s="29"/>
      <c r="E730" s="29"/>
      <c r="F730" s="29"/>
      <c r="G730" s="39"/>
      <c r="H730" s="29"/>
      <c r="I730" s="29"/>
    </row>
    <row r="731" spans="1:9" ht="22.5" customHeight="1">
      <c r="A731" s="36"/>
      <c r="B731" s="37"/>
      <c r="C731" s="38"/>
      <c r="D731" s="29"/>
      <c r="E731" s="29"/>
      <c r="F731" s="29"/>
      <c r="G731" s="39"/>
      <c r="H731" s="29"/>
      <c r="I731" s="29"/>
    </row>
    <row r="732" spans="1:9" ht="22.5" customHeight="1">
      <c r="A732" s="36"/>
      <c r="B732" s="37"/>
      <c r="C732" s="38"/>
      <c r="D732" s="29"/>
      <c r="E732" s="29"/>
      <c r="F732" s="29"/>
      <c r="G732" s="39"/>
      <c r="H732" s="29"/>
      <c r="I732" s="29"/>
    </row>
    <row r="733" spans="1:9" ht="22.5" customHeight="1">
      <c r="A733" s="36"/>
      <c r="B733" s="37"/>
      <c r="C733" s="38"/>
      <c r="D733" s="29"/>
      <c r="E733" s="29"/>
      <c r="F733" s="29"/>
      <c r="G733" s="39"/>
      <c r="H733" s="29"/>
      <c r="I733" s="29"/>
    </row>
    <row r="734" spans="1:9" ht="22.5" customHeight="1">
      <c r="A734" s="36"/>
      <c r="B734" s="37"/>
      <c r="C734" s="38"/>
      <c r="D734" s="29"/>
      <c r="E734" s="29"/>
      <c r="F734" s="29"/>
      <c r="G734" s="39"/>
      <c r="H734" s="29"/>
      <c r="I734" s="29"/>
    </row>
    <row r="735" spans="1:9" ht="22.5" customHeight="1">
      <c r="A735" s="36"/>
      <c r="B735" s="37"/>
      <c r="C735" s="38"/>
      <c r="D735" s="29"/>
      <c r="E735" s="29"/>
      <c r="F735" s="29"/>
      <c r="G735" s="39"/>
      <c r="H735" s="29"/>
      <c r="I735" s="29"/>
    </row>
    <row r="736" spans="1:9" ht="22.5" customHeight="1">
      <c r="A736" s="36"/>
      <c r="B736" s="37"/>
      <c r="C736" s="38"/>
      <c r="D736" s="29"/>
      <c r="E736" s="29"/>
      <c r="F736" s="29"/>
      <c r="G736" s="39"/>
      <c r="H736" s="29"/>
      <c r="I736" s="29"/>
    </row>
    <row r="737" spans="1:9" ht="22.5" customHeight="1">
      <c r="A737" s="36"/>
      <c r="B737" s="37"/>
      <c r="C737" s="38"/>
      <c r="D737" s="29"/>
      <c r="E737" s="29"/>
      <c r="F737" s="29"/>
      <c r="G737" s="39"/>
      <c r="H737" s="29"/>
      <c r="I737" s="29"/>
    </row>
    <row r="738" spans="1:9" ht="22.5" customHeight="1">
      <c r="A738" s="36"/>
      <c r="B738" s="37"/>
      <c r="C738" s="38"/>
      <c r="D738" s="29"/>
      <c r="E738" s="29"/>
      <c r="F738" s="29"/>
      <c r="G738" s="39"/>
      <c r="H738" s="29"/>
      <c r="I738" s="29"/>
    </row>
    <row r="739" spans="1:9" ht="22.5" customHeight="1">
      <c r="A739" s="36"/>
      <c r="B739" s="37"/>
      <c r="C739" s="38"/>
      <c r="D739" s="29"/>
      <c r="E739" s="29"/>
      <c r="F739" s="29"/>
      <c r="G739" s="39"/>
      <c r="H739" s="29"/>
      <c r="I739" s="29"/>
    </row>
    <row r="740" spans="1:9" ht="22.5" customHeight="1">
      <c r="A740" s="36"/>
      <c r="B740" s="37"/>
      <c r="C740" s="38"/>
      <c r="D740" s="29"/>
      <c r="E740" s="29"/>
      <c r="F740" s="29"/>
      <c r="G740" s="39"/>
      <c r="H740" s="29"/>
      <c r="I740" s="29"/>
    </row>
    <row r="741" spans="1:9" ht="22.5" customHeight="1">
      <c r="A741" s="36"/>
      <c r="B741" s="37"/>
      <c r="C741" s="38"/>
      <c r="D741" s="29"/>
      <c r="E741" s="29"/>
      <c r="F741" s="29"/>
      <c r="G741" s="39"/>
      <c r="H741" s="29"/>
      <c r="I741" s="29"/>
    </row>
    <row r="742" spans="1:9" ht="22.5" customHeight="1">
      <c r="A742" s="36"/>
      <c r="B742" s="37"/>
      <c r="C742" s="38"/>
      <c r="D742" s="29"/>
      <c r="E742" s="29"/>
      <c r="F742" s="29"/>
      <c r="G742" s="39"/>
      <c r="H742" s="29"/>
      <c r="I742" s="29"/>
    </row>
    <row r="743" spans="1:9" ht="22.5" customHeight="1">
      <c r="A743" s="36"/>
      <c r="B743" s="37"/>
      <c r="C743" s="38"/>
      <c r="D743" s="29"/>
      <c r="E743" s="29"/>
      <c r="F743" s="29"/>
      <c r="G743" s="39"/>
      <c r="H743" s="29"/>
      <c r="I743" s="29"/>
    </row>
    <row r="744" spans="1:9" ht="22.5" customHeight="1">
      <c r="A744" s="36"/>
      <c r="B744" s="37"/>
      <c r="C744" s="38"/>
      <c r="D744" s="29"/>
      <c r="E744" s="29"/>
      <c r="F744" s="29"/>
      <c r="G744" s="39"/>
      <c r="H744" s="29"/>
      <c r="I744" s="29"/>
    </row>
    <row r="745" spans="1:9" ht="22.5" customHeight="1">
      <c r="A745" s="36"/>
      <c r="B745" s="37"/>
      <c r="C745" s="38"/>
      <c r="D745" s="29"/>
      <c r="E745" s="29"/>
      <c r="F745" s="29"/>
      <c r="G745" s="39"/>
      <c r="H745" s="29"/>
      <c r="I745" s="29"/>
    </row>
    <row r="746" spans="1:9" ht="22.5" customHeight="1">
      <c r="A746" s="36"/>
      <c r="B746" s="37"/>
      <c r="C746" s="38"/>
      <c r="D746" s="29"/>
      <c r="E746" s="29"/>
      <c r="F746" s="29"/>
      <c r="G746" s="39"/>
      <c r="H746" s="29"/>
      <c r="I746" s="29"/>
    </row>
    <row r="747" spans="1:9" ht="22.5" customHeight="1">
      <c r="A747" s="36"/>
      <c r="B747" s="37"/>
      <c r="C747" s="38"/>
      <c r="D747" s="29"/>
      <c r="E747" s="29"/>
      <c r="F747" s="29"/>
      <c r="G747" s="39"/>
      <c r="H747" s="29"/>
      <c r="I747" s="29"/>
    </row>
    <row r="748" spans="1:9" ht="22.5" customHeight="1">
      <c r="A748" s="36"/>
      <c r="B748" s="37"/>
      <c r="C748" s="38"/>
      <c r="D748" s="29"/>
      <c r="E748" s="29"/>
      <c r="F748" s="29"/>
      <c r="G748" s="39"/>
      <c r="H748" s="29"/>
      <c r="I748" s="29"/>
    </row>
    <row r="749" spans="1:9" ht="22.5" customHeight="1">
      <c r="A749" s="36"/>
      <c r="B749" s="37"/>
      <c r="C749" s="38"/>
      <c r="D749" s="29"/>
      <c r="E749" s="29"/>
      <c r="F749" s="29"/>
      <c r="G749" s="39"/>
      <c r="H749" s="29"/>
      <c r="I749" s="29"/>
    </row>
    <row r="750" spans="1:9" ht="22.5" customHeight="1">
      <c r="A750" s="36"/>
      <c r="B750" s="37"/>
      <c r="C750" s="38"/>
      <c r="D750" s="29"/>
      <c r="E750" s="29"/>
      <c r="F750" s="29"/>
      <c r="G750" s="39"/>
      <c r="H750" s="29"/>
      <c r="I750" s="29"/>
    </row>
    <row r="751" spans="1:9" ht="22.5" customHeight="1">
      <c r="A751" s="36"/>
      <c r="B751" s="37"/>
      <c r="C751" s="38"/>
      <c r="D751" s="29"/>
      <c r="E751" s="29"/>
      <c r="F751" s="29"/>
      <c r="G751" s="39"/>
      <c r="H751" s="29"/>
      <c r="I751" s="29"/>
    </row>
    <row r="752" spans="1:9" ht="22.5" customHeight="1">
      <c r="A752" s="36"/>
      <c r="B752" s="37"/>
      <c r="C752" s="38"/>
      <c r="D752" s="29"/>
      <c r="E752" s="29"/>
      <c r="F752" s="29"/>
      <c r="G752" s="39"/>
      <c r="H752" s="29"/>
      <c r="I752" s="29"/>
    </row>
    <row r="753" spans="1:9" ht="22.5" customHeight="1">
      <c r="A753" s="36"/>
      <c r="B753" s="37"/>
      <c r="C753" s="38"/>
      <c r="D753" s="29"/>
      <c r="E753" s="29"/>
      <c r="F753" s="29"/>
      <c r="G753" s="39"/>
      <c r="H753" s="29"/>
      <c r="I753" s="29"/>
    </row>
    <row r="754" spans="1:9" ht="22.5" customHeight="1">
      <c r="A754" s="36"/>
      <c r="B754" s="37"/>
      <c r="C754" s="38"/>
      <c r="D754" s="29"/>
      <c r="E754" s="29"/>
      <c r="F754" s="29"/>
      <c r="G754" s="39"/>
      <c r="H754" s="29"/>
      <c r="I754" s="29"/>
    </row>
    <row r="755" spans="1:9" ht="22.5" customHeight="1">
      <c r="A755" s="36"/>
      <c r="B755" s="37"/>
      <c r="C755" s="38"/>
      <c r="D755" s="29"/>
      <c r="E755" s="29"/>
      <c r="F755" s="29"/>
      <c r="G755" s="39"/>
      <c r="H755" s="29"/>
      <c r="I755" s="29"/>
    </row>
    <row r="756" spans="1:9" ht="22.5" customHeight="1">
      <c r="A756" s="36"/>
      <c r="B756" s="37"/>
      <c r="C756" s="38"/>
      <c r="D756" s="29"/>
      <c r="E756" s="29"/>
      <c r="F756" s="29"/>
      <c r="G756" s="39"/>
      <c r="H756" s="29"/>
      <c r="I756" s="29"/>
    </row>
    <row r="757" spans="1:9" ht="22.5" customHeight="1">
      <c r="A757" s="36"/>
      <c r="B757" s="37"/>
      <c r="C757" s="38"/>
      <c r="D757" s="29"/>
      <c r="E757" s="29"/>
      <c r="F757" s="29"/>
      <c r="G757" s="39"/>
      <c r="H757" s="29"/>
      <c r="I757" s="29"/>
    </row>
    <row r="758" spans="1:9" ht="22.5" customHeight="1">
      <c r="A758" s="36"/>
      <c r="B758" s="37"/>
      <c r="C758" s="38"/>
      <c r="D758" s="29"/>
      <c r="E758" s="29"/>
      <c r="F758" s="29"/>
      <c r="G758" s="39"/>
      <c r="H758" s="29"/>
      <c r="I758" s="29"/>
    </row>
    <row r="759" spans="1:9" ht="22.5" customHeight="1">
      <c r="A759" s="36"/>
      <c r="B759" s="37"/>
      <c r="C759" s="38"/>
      <c r="D759" s="29"/>
      <c r="E759" s="29"/>
      <c r="F759" s="29"/>
      <c r="G759" s="39"/>
      <c r="H759" s="29"/>
      <c r="I759" s="29"/>
    </row>
    <row r="760" spans="1:9" ht="22.5" customHeight="1">
      <c r="A760" s="36"/>
      <c r="B760" s="37"/>
      <c r="C760" s="38"/>
      <c r="D760" s="29"/>
      <c r="E760" s="29"/>
      <c r="F760" s="29"/>
      <c r="G760" s="39"/>
      <c r="H760" s="29"/>
      <c r="I760" s="29"/>
    </row>
    <row r="761" spans="1:9" ht="22.5" customHeight="1">
      <c r="A761" s="36"/>
      <c r="B761" s="37"/>
      <c r="C761" s="38"/>
      <c r="D761" s="29"/>
      <c r="E761" s="29"/>
      <c r="F761" s="29"/>
      <c r="G761" s="39"/>
      <c r="H761" s="29"/>
      <c r="I761" s="29"/>
    </row>
    <row r="762" spans="1:9" ht="22.5" customHeight="1">
      <c r="A762" s="36"/>
      <c r="B762" s="37"/>
      <c r="C762" s="38"/>
      <c r="D762" s="29"/>
      <c r="E762" s="29"/>
      <c r="F762" s="29"/>
      <c r="G762" s="39"/>
      <c r="H762" s="29"/>
      <c r="I762" s="29"/>
    </row>
    <row r="763" spans="1:9" ht="22.5" customHeight="1">
      <c r="A763" s="36"/>
      <c r="B763" s="37"/>
      <c r="C763" s="38"/>
      <c r="D763" s="29"/>
      <c r="E763" s="29"/>
      <c r="F763" s="29"/>
      <c r="G763" s="39"/>
      <c r="H763" s="29"/>
      <c r="I763" s="29"/>
    </row>
    <row r="764" spans="1:9" ht="22.5" customHeight="1">
      <c r="A764" s="36"/>
      <c r="B764" s="37"/>
      <c r="C764" s="38"/>
      <c r="D764" s="29"/>
      <c r="E764" s="29"/>
      <c r="F764" s="29"/>
      <c r="G764" s="39"/>
      <c r="H764" s="29"/>
      <c r="I764" s="29"/>
    </row>
    <row r="765" spans="1:9" ht="22.5" customHeight="1">
      <c r="A765" s="36"/>
      <c r="B765" s="37"/>
      <c r="C765" s="38"/>
      <c r="D765" s="29"/>
      <c r="E765" s="29"/>
      <c r="F765" s="29"/>
      <c r="G765" s="39"/>
      <c r="H765" s="29"/>
      <c r="I765" s="29"/>
    </row>
    <row r="766" spans="1:9" ht="22.5" customHeight="1">
      <c r="A766" s="36"/>
      <c r="B766" s="37"/>
      <c r="C766" s="38"/>
      <c r="D766" s="29"/>
      <c r="E766" s="29"/>
      <c r="F766" s="29"/>
      <c r="G766" s="39"/>
      <c r="H766" s="29"/>
      <c r="I766" s="29"/>
    </row>
    <row r="767" spans="1:9" ht="22.5" customHeight="1">
      <c r="A767" s="36"/>
      <c r="B767" s="37"/>
      <c r="C767" s="38"/>
      <c r="D767" s="29"/>
      <c r="E767" s="29"/>
      <c r="F767" s="29"/>
      <c r="G767" s="39"/>
      <c r="H767" s="29"/>
      <c r="I767" s="29"/>
    </row>
    <row r="768" spans="1:9" ht="22.5" customHeight="1">
      <c r="A768" s="36"/>
      <c r="B768" s="37"/>
      <c r="C768" s="38"/>
      <c r="D768" s="29"/>
      <c r="E768" s="29"/>
      <c r="F768" s="29"/>
      <c r="G768" s="39"/>
      <c r="H768" s="29"/>
      <c r="I768" s="29"/>
    </row>
    <row r="769" spans="1:9" ht="22.5" customHeight="1">
      <c r="A769" s="36"/>
      <c r="B769" s="37"/>
      <c r="C769" s="38"/>
      <c r="D769" s="29"/>
      <c r="E769" s="29"/>
      <c r="F769" s="29"/>
      <c r="G769" s="39"/>
      <c r="H769" s="29"/>
      <c r="I769" s="29"/>
    </row>
    <row r="770" spans="1:9" ht="22.5" customHeight="1">
      <c r="A770" s="36"/>
      <c r="B770" s="37"/>
      <c r="C770" s="38"/>
      <c r="D770" s="29"/>
      <c r="E770" s="29"/>
      <c r="F770" s="29"/>
      <c r="G770" s="39"/>
      <c r="H770" s="29"/>
      <c r="I770" s="29"/>
    </row>
    <row r="771" spans="1:9" ht="22.5" customHeight="1">
      <c r="A771" s="36"/>
      <c r="B771" s="37"/>
      <c r="C771" s="38"/>
      <c r="D771" s="29"/>
      <c r="E771" s="29"/>
      <c r="F771" s="29"/>
      <c r="G771" s="39"/>
      <c r="H771" s="29"/>
      <c r="I771" s="29"/>
    </row>
    <row r="772" spans="1:9" ht="22.5" customHeight="1">
      <c r="A772" s="36"/>
      <c r="B772" s="37"/>
      <c r="C772" s="38"/>
      <c r="D772" s="29"/>
      <c r="E772" s="29"/>
      <c r="F772" s="29"/>
      <c r="G772" s="39"/>
      <c r="H772" s="29"/>
      <c r="I772" s="29"/>
    </row>
    <row r="773" spans="1:9" ht="22.5" customHeight="1">
      <c r="A773" s="36"/>
      <c r="B773" s="37"/>
      <c r="C773" s="38"/>
      <c r="D773" s="29"/>
      <c r="E773" s="29"/>
      <c r="F773" s="29"/>
      <c r="G773" s="39"/>
      <c r="H773" s="29"/>
      <c r="I773" s="29"/>
    </row>
    <row r="774" spans="1:9" ht="22.5" customHeight="1">
      <c r="A774" s="36"/>
      <c r="B774" s="37"/>
      <c r="C774" s="38"/>
      <c r="D774" s="29"/>
      <c r="E774" s="29"/>
      <c r="F774" s="29"/>
      <c r="G774" s="39"/>
      <c r="H774" s="29"/>
      <c r="I774" s="29"/>
    </row>
    <row r="775" spans="1:9" ht="22.5" customHeight="1">
      <c r="A775" s="36"/>
      <c r="B775" s="37"/>
      <c r="C775" s="38"/>
      <c r="D775" s="29"/>
      <c r="E775" s="29"/>
      <c r="F775" s="29"/>
      <c r="G775" s="39"/>
      <c r="H775" s="29"/>
      <c r="I775" s="29"/>
    </row>
    <row r="776" spans="1:9" ht="22.5" customHeight="1">
      <c r="A776" s="36"/>
      <c r="B776" s="37"/>
      <c r="C776" s="38"/>
      <c r="D776" s="29"/>
      <c r="E776" s="29"/>
      <c r="F776" s="29"/>
      <c r="G776" s="39"/>
      <c r="H776" s="29"/>
      <c r="I776" s="29"/>
    </row>
    <row r="777" spans="1:9" ht="22.5" customHeight="1">
      <c r="A777" s="36"/>
      <c r="B777" s="37"/>
      <c r="C777" s="38"/>
      <c r="D777" s="29"/>
      <c r="E777" s="29"/>
      <c r="F777" s="29"/>
      <c r="G777" s="39"/>
      <c r="H777" s="29"/>
      <c r="I777" s="29"/>
    </row>
    <row r="778" spans="1:9" ht="22.5" customHeight="1">
      <c r="A778" s="36"/>
      <c r="B778" s="37"/>
      <c r="C778" s="38"/>
      <c r="D778" s="29"/>
      <c r="E778" s="29"/>
      <c r="F778" s="29"/>
      <c r="G778" s="39"/>
      <c r="H778" s="29"/>
      <c r="I778" s="29"/>
    </row>
    <row r="779" spans="1:9" ht="22.5" customHeight="1">
      <c r="A779" s="36"/>
      <c r="B779" s="37"/>
      <c r="C779" s="38"/>
      <c r="D779" s="29"/>
      <c r="E779" s="29"/>
      <c r="F779" s="29"/>
      <c r="G779" s="39"/>
      <c r="H779" s="29"/>
      <c r="I779" s="29"/>
    </row>
    <row r="780" spans="1:9" ht="22.5" customHeight="1">
      <c r="A780" s="36"/>
      <c r="B780" s="37"/>
      <c r="C780" s="38"/>
      <c r="D780" s="29"/>
      <c r="E780" s="29"/>
      <c r="F780" s="29"/>
      <c r="G780" s="39"/>
      <c r="H780" s="29"/>
      <c r="I780" s="29"/>
    </row>
    <row r="781" spans="1:9" ht="22.5" customHeight="1">
      <c r="A781" s="36"/>
      <c r="B781" s="37"/>
      <c r="C781" s="38"/>
      <c r="D781" s="29"/>
      <c r="E781" s="29"/>
      <c r="F781" s="29"/>
      <c r="G781" s="39"/>
      <c r="H781" s="29"/>
      <c r="I781" s="29"/>
    </row>
    <row r="782" spans="1:9" ht="22.5" customHeight="1">
      <c r="A782" s="36"/>
      <c r="B782" s="37"/>
      <c r="C782" s="38"/>
      <c r="D782" s="29"/>
      <c r="E782" s="29"/>
      <c r="F782" s="29"/>
      <c r="G782" s="39"/>
      <c r="H782" s="29"/>
      <c r="I782" s="29"/>
    </row>
    <row r="783" spans="1:9" ht="22.5" customHeight="1">
      <c r="A783" s="36"/>
      <c r="B783" s="37"/>
      <c r="C783" s="38"/>
      <c r="D783" s="29"/>
      <c r="E783" s="29"/>
      <c r="F783" s="29"/>
      <c r="G783" s="39"/>
      <c r="H783" s="29"/>
      <c r="I783" s="29"/>
    </row>
    <row r="784" spans="1:9" ht="22.5" customHeight="1">
      <c r="A784" s="36"/>
      <c r="B784" s="37"/>
      <c r="C784" s="38"/>
      <c r="D784" s="29"/>
      <c r="E784" s="29"/>
      <c r="F784" s="29"/>
      <c r="G784" s="39"/>
      <c r="H784" s="29"/>
      <c r="I784" s="29"/>
    </row>
    <row r="785" spans="1:9" ht="22.5" customHeight="1">
      <c r="A785" s="36"/>
      <c r="B785" s="37"/>
      <c r="C785" s="38"/>
      <c r="D785" s="29"/>
      <c r="E785" s="29"/>
      <c r="F785" s="29"/>
      <c r="G785" s="39"/>
      <c r="H785" s="29"/>
      <c r="I785" s="29"/>
    </row>
    <row r="786" spans="1:9" ht="22.5" customHeight="1">
      <c r="A786" s="36"/>
      <c r="B786" s="37"/>
      <c r="C786" s="38"/>
      <c r="D786" s="29"/>
      <c r="E786" s="29"/>
      <c r="F786" s="29"/>
      <c r="G786" s="39"/>
      <c r="H786" s="29"/>
      <c r="I786" s="29"/>
    </row>
    <row r="787" spans="1:9" ht="22.5" customHeight="1">
      <c r="A787" s="36"/>
      <c r="B787" s="37"/>
      <c r="C787" s="38"/>
      <c r="D787" s="29"/>
      <c r="E787" s="29"/>
      <c r="F787" s="29"/>
      <c r="G787" s="39"/>
      <c r="H787" s="29"/>
      <c r="I787" s="29"/>
    </row>
    <row r="788" spans="1:9" ht="22.5" customHeight="1">
      <c r="A788" s="36"/>
      <c r="B788" s="37"/>
      <c r="C788" s="38"/>
      <c r="D788" s="29"/>
      <c r="E788" s="29"/>
      <c r="F788" s="29"/>
      <c r="G788" s="39"/>
      <c r="H788" s="29"/>
      <c r="I788" s="29"/>
    </row>
    <row r="789" spans="1:9" ht="22.5" customHeight="1">
      <c r="A789" s="36"/>
      <c r="B789" s="37"/>
      <c r="C789" s="38"/>
      <c r="D789" s="29"/>
      <c r="E789" s="29"/>
      <c r="F789" s="29"/>
      <c r="G789" s="39"/>
      <c r="H789" s="29"/>
      <c r="I789" s="29"/>
    </row>
    <row r="790" spans="1:9" ht="22.5" customHeight="1">
      <c r="A790" s="36"/>
      <c r="B790" s="37"/>
      <c r="C790" s="38"/>
      <c r="D790" s="29"/>
      <c r="E790" s="29"/>
      <c r="F790" s="29"/>
      <c r="G790" s="39"/>
      <c r="H790" s="29"/>
      <c r="I790" s="29"/>
    </row>
    <row r="791" spans="1:9" ht="22.5" customHeight="1">
      <c r="A791" s="36"/>
      <c r="B791" s="37"/>
      <c r="C791" s="38"/>
      <c r="D791" s="29"/>
      <c r="E791" s="29"/>
      <c r="F791" s="29"/>
      <c r="G791" s="39"/>
      <c r="H791" s="29"/>
      <c r="I791" s="29"/>
    </row>
    <row r="792" spans="1:9" ht="22.5" customHeight="1">
      <c r="A792" s="36"/>
      <c r="B792" s="37"/>
      <c r="C792" s="38"/>
      <c r="D792" s="29"/>
      <c r="E792" s="29"/>
      <c r="F792" s="29"/>
      <c r="G792" s="39"/>
      <c r="H792" s="29"/>
      <c r="I792" s="29"/>
    </row>
    <row r="793" spans="1:9" ht="22.5" customHeight="1">
      <c r="A793" s="36"/>
      <c r="B793" s="37"/>
      <c r="C793" s="38"/>
      <c r="D793" s="29"/>
      <c r="E793" s="29"/>
      <c r="F793" s="29"/>
      <c r="G793" s="39"/>
      <c r="H793" s="29"/>
      <c r="I793" s="29"/>
    </row>
    <row r="794" spans="1:9" ht="22.5" customHeight="1">
      <c r="A794" s="36"/>
      <c r="B794" s="37"/>
      <c r="C794" s="38"/>
      <c r="D794" s="29"/>
      <c r="E794" s="29"/>
      <c r="F794" s="29"/>
      <c r="G794" s="39"/>
      <c r="H794" s="29"/>
      <c r="I794" s="29"/>
    </row>
    <row r="795" spans="1:9" ht="22.5" customHeight="1">
      <c r="A795" s="36"/>
      <c r="B795" s="37"/>
      <c r="C795" s="38"/>
      <c r="D795" s="29"/>
      <c r="E795" s="29"/>
      <c r="F795" s="29"/>
      <c r="G795" s="39"/>
      <c r="H795" s="29"/>
      <c r="I795" s="29"/>
    </row>
    <row r="796" spans="1:9" ht="22.5" customHeight="1">
      <c r="A796" s="36"/>
      <c r="B796" s="37"/>
      <c r="C796" s="38"/>
      <c r="D796" s="29"/>
      <c r="E796" s="29"/>
      <c r="F796" s="29"/>
      <c r="G796" s="39"/>
      <c r="H796" s="29"/>
      <c r="I796" s="29"/>
    </row>
    <row r="797" spans="1:9" ht="22.5" customHeight="1">
      <c r="A797" s="36"/>
      <c r="B797" s="37"/>
      <c r="C797" s="38"/>
      <c r="D797" s="29"/>
      <c r="E797" s="29"/>
      <c r="F797" s="29"/>
      <c r="G797" s="39"/>
      <c r="H797" s="29"/>
      <c r="I797" s="29"/>
    </row>
    <row r="798" spans="1:9" ht="22.5" customHeight="1">
      <c r="A798" s="36"/>
      <c r="B798" s="37"/>
      <c r="C798" s="38"/>
      <c r="D798" s="29"/>
      <c r="E798" s="29"/>
      <c r="F798" s="29"/>
      <c r="G798" s="39"/>
      <c r="H798" s="29"/>
      <c r="I798" s="29"/>
    </row>
    <row r="799" spans="1:9" ht="22.5" customHeight="1">
      <c r="A799" s="36"/>
      <c r="B799" s="37"/>
      <c r="C799" s="38"/>
      <c r="D799" s="29"/>
      <c r="E799" s="29"/>
      <c r="F799" s="29"/>
      <c r="G799" s="39"/>
      <c r="H799" s="29"/>
      <c r="I799" s="29"/>
    </row>
    <row r="800" spans="1:9" ht="22.5" customHeight="1">
      <c r="A800" s="36"/>
      <c r="B800" s="37"/>
      <c r="C800" s="38"/>
      <c r="D800" s="29"/>
      <c r="E800" s="29"/>
      <c r="F800" s="29"/>
      <c r="G800" s="39"/>
      <c r="H800" s="29"/>
      <c r="I800" s="29"/>
    </row>
    <row r="801" spans="1:9" ht="22.5" customHeight="1">
      <c r="A801" s="36"/>
      <c r="B801" s="37"/>
      <c r="C801" s="38"/>
      <c r="D801" s="29"/>
      <c r="E801" s="29"/>
      <c r="F801" s="29"/>
      <c r="G801" s="39"/>
      <c r="H801" s="29"/>
      <c r="I801" s="29"/>
    </row>
    <row r="802" spans="1:9" ht="22.5" customHeight="1">
      <c r="A802" s="36"/>
      <c r="B802" s="37"/>
      <c r="C802" s="38"/>
      <c r="D802" s="29"/>
      <c r="E802" s="29"/>
      <c r="F802" s="29"/>
      <c r="G802" s="39"/>
      <c r="H802" s="29"/>
      <c r="I802" s="29"/>
    </row>
    <row r="803" spans="1:9" ht="22.5" customHeight="1">
      <c r="A803" s="36"/>
      <c r="B803" s="37"/>
      <c r="C803" s="38"/>
      <c r="D803" s="29"/>
      <c r="E803" s="29"/>
      <c r="F803" s="29"/>
      <c r="G803" s="39"/>
      <c r="H803" s="29"/>
      <c r="I803" s="29"/>
    </row>
    <row r="804" spans="1:9" ht="22.5" customHeight="1">
      <c r="A804" s="36"/>
      <c r="B804" s="37"/>
      <c r="C804" s="38"/>
      <c r="D804" s="29"/>
      <c r="E804" s="29"/>
      <c r="F804" s="29"/>
      <c r="G804" s="39"/>
      <c r="H804" s="29"/>
      <c r="I804" s="29"/>
    </row>
    <row r="805" spans="1:9" ht="22.5" customHeight="1">
      <c r="A805" s="36"/>
      <c r="B805" s="37"/>
      <c r="C805" s="38"/>
      <c r="D805" s="29"/>
      <c r="E805" s="29"/>
      <c r="F805" s="29"/>
      <c r="G805" s="39"/>
      <c r="H805" s="29"/>
      <c r="I805" s="29"/>
    </row>
    <row r="806" spans="1:9" ht="22.5" customHeight="1">
      <c r="A806" s="36"/>
      <c r="B806" s="37"/>
      <c r="C806" s="38"/>
      <c r="D806" s="29"/>
      <c r="E806" s="29"/>
      <c r="F806" s="29"/>
      <c r="G806" s="39"/>
      <c r="H806" s="29"/>
      <c r="I806" s="29"/>
    </row>
    <row r="807" spans="1:9" ht="22.5" customHeight="1">
      <c r="A807" s="36"/>
      <c r="B807" s="37"/>
      <c r="C807" s="38"/>
      <c r="D807" s="29"/>
      <c r="E807" s="29"/>
      <c r="F807" s="29"/>
      <c r="G807" s="39"/>
      <c r="H807" s="29"/>
      <c r="I807" s="29"/>
    </row>
    <row r="808" spans="1:9" ht="22.5" customHeight="1">
      <c r="A808" s="36"/>
      <c r="B808" s="37"/>
      <c r="C808" s="38"/>
      <c r="D808" s="29"/>
      <c r="E808" s="29"/>
      <c r="F808" s="29"/>
      <c r="G808" s="39"/>
      <c r="H808" s="29"/>
      <c r="I808" s="29"/>
    </row>
    <row r="809" spans="1:9" ht="22.5" customHeight="1">
      <c r="A809" s="36"/>
      <c r="B809" s="37"/>
      <c r="C809" s="38"/>
      <c r="D809" s="29"/>
      <c r="E809" s="29"/>
      <c r="F809" s="29"/>
      <c r="G809" s="39"/>
      <c r="H809" s="29"/>
      <c r="I809" s="29"/>
    </row>
    <row r="810" spans="1:9" ht="22.5" customHeight="1">
      <c r="A810" s="36"/>
      <c r="B810" s="37"/>
      <c r="C810" s="38"/>
      <c r="D810" s="29"/>
      <c r="E810" s="29"/>
      <c r="F810" s="29"/>
      <c r="G810" s="39"/>
      <c r="H810" s="29"/>
      <c r="I810" s="29"/>
    </row>
    <row r="811" spans="1:9" ht="22.5" customHeight="1">
      <c r="A811" s="36"/>
      <c r="B811" s="37"/>
      <c r="C811" s="38"/>
      <c r="D811" s="29"/>
      <c r="E811" s="29"/>
      <c r="F811" s="29"/>
      <c r="G811" s="39"/>
      <c r="H811" s="29"/>
      <c r="I811" s="29"/>
    </row>
    <row r="812" spans="1:9" ht="22.5" customHeight="1">
      <c r="A812" s="36"/>
      <c r="B812" s="37"/>
      <c r="C812" s="38"/>
      <c r="D812" s="29"/>
      <c r="E812" s="29"/>
      <c r="F812" s="29"/>
      <c r="G812" s="39"/>
      <c r="H812" s="29"/>
      <c r="I812" s="29"/>
    </row>
    <row r="813" spans="1:9" ht="22.5" customHeight="1">
      <c r="A813" s="36"/>
      <c r="B813" s="37"/>
      <c r="C813" s="38"/>
      <c r="D813" s="29"/>
      <c r="E813" s="29"/>
      <c r="F813" s="29"/>
      <c r="G813" s="39"/>
      <c r="H813" s="29"/>
      <c r="I813" s="29"/>
    </row>
    <row r="814" spans="1:9" ht="22.5" customHeight="1">
      <c r="A814" s="36"/>
      <c r="B814" s="37"/>
      <c r="C814" s="38"/>
      <c r="D814" s="29"/>
      <c r="E814" s="29"/>
      <c r="F814" s="29"/>
      <c r="G814" s="39"/>
      <c r="H814" s="29"/>
      <c r="I814" s="29"/>
    </row>
    <row r="815" spans="1:9" ht="22.5" customHeight="1">
      <c r="A815" s="36"/>
      <c r="B815" s="37"/>
      <c r="C815" s="38"/>
      <c r="D815" s="29"/>
      <c r="E815" s="29"/>
      <c r="F815" s="29"/>
      <c r="G815" s="39"/>
      <c r="H815" s="29"/>
      <c r="I815" s="29"/>
    </row>
    <row r="816" spans="1:9" ht="22.5" customHeight="1">
      <c r="A816" s="36"/>
      <c r="B816" s="37"/>
      <c r="C816" s="38"/>
      <c r="D816" s="29"/>
      <c r="E816" s="29"/>
      <c r="F816" s="29"/>
      <c r="G816" s="39"/>
      <c r="H816" s="29"/>
      <c r="I816" s="29"/>
    </row>
    <row r="817" spans="1:9" ht="22.5" customHeight="1">
      <c r="A817" s="36"/>
      <c r="B817" s="37"/>
      <c r="C817" s="38"/>
      <c r="D817" s="29"/>
      <c r="E817" s="29"/>
      <c r="F817" s="29"/>
      <c r="G817" s="39"/>
      <c r="H817" s="29"/>
      <c r="I817" s="29"/>
    </row>
    <row r="818" spans="1:9" ht="22.5" customHeight="1">
      <c r="A818" s="36"/>
      <c r="B818" s="37"/>
      <c r="C818" s="38"/>
      <c r="D818" s="29"/>
      <c r="E818" s="29"/>
      <c r="F818" s="29"/>
      <c r="G818" s="39"/>
      <c r="H818" s="29"/>
      <c r="I818" s="29"/>
    </row>
    <row r="819" spans="1:9" ht="22.5" customHeight="1">
      <c r="A819" s="36"/>
      <c r="B819" s="37"/>
      <c r="C819" s="38"/>
      <c r="D819" s="29"/>
      <c r="E819" s="29"/>
      <c r="F819" s="29"/>
      <c r="G819" s="39"/>
      <c r="H819" s="29"/>
      <c r="I819" s="29"/>
    </row>
    <row r="820" spans="1:9" ht="22.5" customHeight="1">
      <c r="A820" s="36"/>
      <c r="B820" s="37"/>
      <c r="C820" s="38"/>
      <c r="D820" s="29"/>
      <c r="E820" s="29"/>
      <c r="F820" s="29"/>
      <c r="G820" s="39"/>
      <c r="H820" s="29"/>
      <c r="I820" s="29"/>
    </row>
    <row r="821" spans="1:9" ht="22.5" customHeight="1">
      <c r="A821" s="36"/>
      <c r="B821" s="37"/>
      <c r="C821" s="38"/>
      <c r="D821" s="29"/>
      <c r="E821" s="29"/>
      <c r="F821" s="29"/>
      <c r="G821" s="39"/>
      <c r="H821" s="29"/>
      <c r="I821" s="29"/>
    </row>
    <row r="822" spans="1:9" ht="22.5" customHeight="1">
      <c r="A822" s="36"/>
      <c r="B822" s="37"/>
      <c r="C822" s="38"/>
      <c r="D822" s="29"/>
      <c r="E822" s="29"/>
      <c r="F822" s="29"/>
      <c r="G822" s="39"/>
      <c r="H822" s="29"/>
      <c r="I822" s="29"/>
    </row>
    <row r="823" spans="1:9" ht="22.5" customHeight="1">
      <c r="A823" s="36"/>
      <c r="B823" s="37"/>
      <c r="C823" s="38"/>
      <c r="D823" s="29"/>
      <c r="E823" s="29"/>
      <c r="F823" s="29"/>
      <c r="G823" s="39"/>
      <c r="H823" s="29"/>
      <c r="I823" s="29"/>
    </row>
    <row r="824" spans="1:9" ht="22.5" customHeight="1">
      <c r="A824" s="36"/>
      <c r="B824" s="37"/>
      <c r="C824" s="38"/>
      <c r="D824" s="29"/>
      <c r="E824" s="29"/>
      <c r="F824" s="29"/>
      <c r="G824" s="39"/>
      <c r="H824" s="29"/>
      <c r="I824" s="29"/>
    </row>
    <row r="825" spans="1:9" ht="22.5" customHeight="1">
      <c r="A825" s="36"/>
      <c r="B825" s="37"/>
      <c r="C825" s="38"/>
      <c r="D825" s="29"/>
      <c r="E825" s="29"/>
      <c r="F825" s="29"/>
      <c r="G825" s="39"/>
      <c r="H825" s="29"/>
      <c r="I825" s="29"/>
    </row>
    <row r="826" spans="1:9" ht="22.5" customHeight="1">
      <c r="A826" s="36"/>
      <c r="B826" s="37"/>
      <c r="C826" s="38"/>
      <c r="D826" s="29"/>
      <c r="E826" s="29"/>
      <c r="F826" s="29"/>
      <c r="G826" s="39"/>
      <c r="H826" s="29"/>
      <c r="I826" s="29"/>
    </row>
    <row r="827" spans="1:9" ht="22.5" customHeight="1">
      <c r="A827" s="36"/>
      <c r="B827" s="37"/>
      <c r="C827" s="38"/>
      <c r="D827" s="29"/>
      <c r="E827" s="29"/>
      <c r="F827" s="29"/>
      <c r="G827" s="39"/>
      <c r="H827" s="29"/>
      <c r="I827" s="29"/>
    </row>
    <row r="828" spans="1:9" ht="22.5" customHeight="1">
      <c r="A828" s="36"/>
      <c r="B828" s="37"/>
      <c r="C828" s="38"/>
      <c r="D828" s="29"/>
      <c r="E828" s="29"/>
      <c r="F828" s="29"/>
      <c r="G828" s="39"/>
      <c r="H828" s="29"/>
      <c r="I828" s="29"/>
    </row>
    <row r="829" spans="1:9" ht="22.5" customHeight="1">
      <c r="A829" s="36"/>
      <c r="B829" s="37"/>
      <c r="C829" s="38"/>
      <c r="D829" s="29"/>
      <c r="E829" s="29"/>
      <c r="F829" s="29"/>
      <c r="G829" s="39"/>
      <c r="H829" s="29"/>
      <c r="I829" s="29"/>
    </row>
    <row r="830" spans="1:9" ht="22.5" customHeight="1">
      <c r="A830" s="36"/>
      <c r="B830" s="37"/>
      <c r="C830" s="38"/>
      <c r="D830" s="29"/>
      <c r="E830" s="29"/>
      <c r="F830" s="29"/>
      <c r="G830" s="39"/>
      <c r="H830" s="29"/>
      <c r="I830" s="29"/>
    </row>
    <row r="831" spans="1:9" ht="22.5" customHeight="1">
      <c r="A831" s="36"/>
      <c r="B831" s="37"/>
      <c r="C831" s="38"/>
      <c r="D831" s="29"/>
      <c r="E831" s="29"/>
      <c r="F831" s="29"/>
      <c r="G831" s="39"/>
      <c r="H831" s="29"/>
      <c r="I831" s="29"/>
    </row>
    <row r="832" spans="1:9" ht="22.5" customHeight="1">
      <c r="A832" s="36"/>
      <c r="B832" s="37"/>
      <c r="C832" s="38"/>
      <c r="D832" s="29"/>
      <c r="E832" s="29"/>
      <c r="F832" s="29"/>
      <c r="G832" s="39"/>
      <c r="H832" s="29"/>
      <c r="I832" s="29"/>
    </row>
    <row r="833" spans="1:9" ht="22.5" customHeight="1">
      <c r="A833" s="36"/>
      <c r="B833" s="37"/>
      <c r="C833" s="38"/>
      <c r="D833" s="29"/>
      <c r="E833" s="29"/>
      <c r="F833" s="29"/>
      <c r="G833" s="39"/>
      <c r="H833" s="29"/>
      <c r="I833" s="29"/>
    </row>
    <row r="834" spans="1:9" ht="22.5" customHeight="1">
      <c r="A834" s="36"/>
      <c r="B834" s="37"/>
      <c r="C834" s="38"/>
      <c r="D834" s="29"/>
      <c r="E834" s="29"/>
      <c r="F834" s="29"/>
      <c r="G834" s="39"/>
      <c r="H834" s="29"/>
      <c r="I834" s="29"/>
    </row>
    <row r="835" spans="1:9" ht="22.5" customHeight="1">
      <c r="A835" s="36"/>
      <c r="B835" s="37"/>
      <c r="C835" s="38"/>
      <c r="D835" s="29"/>
      <c r="E835" s="29"/>
      <c r="F835" s="29"/>
      <c r="G835" s="39"/>
      <c r="H835" s="29"/>
      <c r="I835" s="29"/>
    </row>
    <row r="836" spans="1:9" ht="22.5" customHeight="1">
      <c r="A836" s="36"/>
      <c r="B836" s="37"/>
      <c r="C836" s="38"/>
      <c r="D836" s="29"/>
      <c r="E836" s="29"/>
      <c r="F836" s="29"/>
      <c r="G836" s="39"/>
      <c r="H836" s="29"/>
      <c r="I836" s="29"/>
    </row>
    <row r="837" spans="1:9" ht="22.5" customHeight="1">
      <c r="A837" s="36"/>
      <c r="B837" s="37"/>
      <c r="C837" s="38"/>
      <c r="D837" s="29"/>
      <c r="E837" s="29"/>
      <c r="F837" s="29"/>
      <c r="G837" s="39"/>
      <c r="H837" s="29"/>
      <c r="I837" s="29"/>
    </row>
    <row r="838" spans="1:9" ht="22.5" customHeight="1">
      <c r="A838" s="36"/>
      <c r="B838" s="37"/>
      <c r="C838" s="38"/>
      <c r="D838" s="29"/>
      <c r="E838" s="29"/>
      <c r="F838" s="29"/>
      <c r="G838" s="39"/>
      <c r="H838" s="29"/>
      <c r="I838" s="29"/>
    </row>
    <row r="839" spans="1:9" ht="22.5" customHeight="1">
      <c r="A839" s="36"/>
      <c r="B839" s="37"/>
      <c r="C839" s="38"/>
      <c r="D839" s="29"/>
      <c r="E839" s="29"/>
      <c r="F839" s="29"/>
      <c r="G839" s="39"/>
      <c r="H839" s="29"/>
      <c r="I839" s="29"/>
    </row>
    <row r="840" spans="1:9" ht="22.5" customHeight="1">
      <c r="A840" s="36"/>
      <c r="B840" s="37"/>
      <c r="C840" s="38"/>
      <c r="D840" s="29"/>
      <c r="E840" s="29"/>
      <c r="F840" s="29"/>
      <c r="G840" s="39"/>
      <c r="H840" s="29"/>
      <c r="I840" s="29"/>
    </row>
    <row r="841" spans="1:9" ht="22.5" customHeight="1">
      <c r="A841" s="36"/>
      <c r="B841" s="37"/>
      <c r="C841" s="38"/>
      <c r="D841" s="29"/>
      <c r="E841" s="29"/>
      <c r="F841" s="29"/>
      <c r="G841" s="39"/>
      <c r="H841" s="29"/>
      <c r="I841" s="29"/>
    </row>
    <row r="842" spans="1:9" ht="22.5" customHeight="1">
      <c r="A842" s="36"/>
      <c r="B842" s="37"/>
      <c r="C842" s="38"/>
      <c r="D842" s="29"/>
      <c r="E842" s="29"/>
      <c r="F842" s="29"/>
      <c r="G842" s="39"/>
      <c r="H842" s="29"/>
      <c r="I842" s="29"/>
    </row>
    <row r="843" spans="1:9" ht="22.5" customHeight="1">
      <c r="A843" s="36"/>
      <c r="B843" s="37"/>
      <c r="C843" s="38"/>
      <c r="D843" s="29"/>
      <c r="E843" s="29"/>
      <c r="F843" s="29"/>
      <c r="G843" s="39"/>
      <c r="H843" s="29"/>
      <c r="I843" s="29"/>
    </row>
    <row r="844" spans="1:9" ht="22.5" customHeight="1">
      <c r="A844" s="36"/>
      <c r="B844" s="37"/>
      <c r="C844" s="38"/>
      <c r="D844" s="29"/>
      <c r="E844" s="29"/>
      <c r="F844" s="29"/>
      <c r="G844" s="39"/>
      <c r="H844" s="29"/>
      <c r="I844" s="29"/>
    </row>
    <row r="845" spans="1:9" ht="22.5" customHeight="1">
      <c r="A845" s="36"/>
      <c r="B845" s="37"/>
      <c r="C845" s="38"/>
      <c r="D845" s="29"/>
      <c r="E845" s="29"/>
      <c r="F845" s="29"/>
      <c r="G845" s="39"/>
      <c r="H845" s="29"/>
      <c r="I845" s="29"/>
    </row>
    <row r="846" spans="1:9" ht="22.5" customHeight="1">
      <c r="A846" s="36"/>
      <c r="B846" s="37"/>
      <c r="C846" s="38"/>
      <c r="D846" s="29"/>
      <c r="E846" s="29"/>
      <c r="F846" s="29"/>
      <c r="G846" s="39"/>
      <c r="H846" s="29"/>
      <c r="I846" s="29"/>
    </row>
    <row r="847" spans="1:9" ht="22.5" customHeight="1">
      <c r="A847" s="36"/>
      <c r="B847" s="37"/>
      <c r="C847" s="38"/>
      <c r="D847" s="29"/>
      <c r="E847" s="29"/>
      <c r="F847" s="29"/>
      <c r="G847" s="39"/>
      <c r="H847" s="29"/>
      <c r="I847" s="29"/>
    </row>
    <row r="848" spans="1:9" ht="22.5" customHeight="1">
      <c r="A848" s="36"/>
      <c r="B848" s="37"/>
      <c r="C848" s="38"/>
      <c r="D848" s="29"/>
      <c r="E848" s="29"/>
      <c r="F848" s="29"/>
      <c r="G848" s="39"/>
      <c r="H848" s="29"/>
      <c r="I848" s="29"/>
    </row>
    <row r="849" spans="1:9" ht="22.5" customHeight="1">
      <c r="A849" s="36"/>
      <c r="B849" s="37"/>
      <c r="C849" s="38"/>
      <c r="D849" s="29"/>
      <c r="E849" s="29"/>
      <c r="F849" s="29"/>
      <c r="G849" s="39"/>
      <c r="H849" s="29"/>
      <c r="I849" s="29"/>
    </row>
    <row r="850" spans="1:9" ht="22.5" customHeight="1">
      <c r="A850" s="36"/>
      <c r="B850" s="37"/>
      <c r="C850" s="38"/>
      <c r="D850" s="29"/>
      <c r="E850" s="29"/>
      <c r="F850" s="29"/>
      <c r="G850" s="39"/>
      <c r="H850" s="29"/>
      <c r="I850" s="29"/>
    </row>
    <row r="851" spans="1:9" ht="22.5" customHeight="1">
      <c r="A851" s="36"/>
      <c r="B851" s="37"/>
      <c r="C851" s="38"/>
      <c r="D851" s="29"/>
      <c r="E851" s="29"/>
      <c r="F851" s="29"/>
      <c r="G851" s="39"/>
      <c r="H851" s="29"/>
      <c r="I851" s="29"/>
    </row>
    <row r="852" spans="1:9" ht="22.5" customHeight="1">
      <c r="A852" s="36"/>
      <c r="B852" s="37"/>
      <c r="C852" s="38"/>
      <c r="D852" s="29"/>
      <c r="E852" s="29"/>
      <c r="F852" s="29"/>
      <c r="G852" s="39"/>
      <c r="H852" s="29"/>
      <c r="I852" s="29"/>
    </row>
    <row r="853" spans="1:9" ht="22.5" customHeight="1">
      <c r="A853" s="36"/>
      <c r="B853" s="37"/>
      <c r="C853" s="38"/>
      <c r="D853" s="29"/>
      <c r="E853" s="29"/>
      <c r="F853" s="29"/>
      <c r="G853" s="39"/>
      <c r="H853" s="29"/>
      <c r="I853" s="29"/>
    </row>
    <row r="854" spans="1:9" ht="22.5" customHeight="1">
      <c r="A854" s="36"/>
      <c r="B854" s="37"/>
      <c r="C854" s="38"/>
      <c r="D854" s="29"/>
      <c r="E854" s="29"/>
      <c r="F854" s="29"/>
      <c r="G854" s="39"/>
      <c r="H854" s="29"/>
      <c r="I854" s="29"/>
    </row>
    <row r="855" spans="1:9" ht="22.5" customHeight="1">
      <c r="A855" s="36"/>
      <c r="B855" s="37"/>
      <c r="C855" s="38"/>
      <c r="D855" s="29"/>
      <c r="E855" s="29"/>
      <c r="F855" s="29"/>
      <c r="G855" s="39"/>
      <c r="H855" s="29"/>
      <c r="I855" s="29"/>
    </row>
    <row r="856" spans="1:9" ht="22.5" customHeight="1">
      <c r="A856" s="36"/>
      <c r="B856" s="37"/>
      <c r="C856" s="38"/>
      <c r="D856" s="29"/>
      <c r="E856" s="29"/>
      <c r="F856" s="29"/>
      <c r="G856" s="39"/>
      <c r="H856" s="29"/>
      <c r="I856" s="29"/>
    </row>
    <row r="857" spans="1:9" ht="22.5" customHeight="1">
      <c r="A857" s="36"/>
      <c r="B857" s="37"/>
      <c r="C857" s="38"/>
      <c r="D857" s="29"/>
      <c r="E857" s="29"/>
      <c r="F857" s="29"/>
      <c r="G857" s="39"/>
      <c r="H857" s="29"/>
      <c r="I857" s="29"/>
    </row>
    <row r="858" spans="1:9" ht="22.5" customHeight="1">
      <c r="A858" s="36"/>
      <c r="B858" s="37"/>
      <c r="C858" s="38"/>
      <c r="D858" s="29"/>
      <c r="E858" s="29"/>
      <c r="F858" s="29"/>
      <c r="G858" s="39"/>
      <c r="H858" s="29"/>
      <c r="I858" s="29"/>
    </row>
    <row r="859" spans="1:9" ht="22.5" customHeight="1">
      <c r="A859" s="36"/>
      <c r="B859" s="37"/>
      <c r="C859" s="38"/>
      <c r="D859" s="29"/>
      <c r="E859" s="29"/>
      <c r="F859" s="29"/>
      <c r="G859" s="39"/>
      <c r="H859" s="29"/>
      <c r="I859" s="29"/>
    </row>
    <row r="860" spans="1:9" ht="22.5" customHeight="1">
      <c r="A860" s="36"/>
      <c r="B860" s="37"/>
      <c r="C860" s="38"/>
      <c r="D860" s="29"/>
      <c r="E860" s="29"/>
      <c r="F860" s="29"/>
      <c r="G860" s="39"/>
      <c r="H860" s="29"/>
      <c r="I860" s="29"/>
    </row>
    <row r="861" spans="1:9" ht="22.5" customHeight="1">
      <c r="A861" s="36"/>
      <c r="B861" s="37"/>
      <c r="C861" s="38"/>
      <c r="D861" s="29"/>
      <c r="E861" s="29"/>
      <c r="F861" s="29"/>
      <c r="G861" s="39"/>
      <c r="H861" s="29"/>
      <c r="I861" s="29"/>
    </row>
    <row r="862" spans="1:9" ht="22.5" customHeight="1">
      <c r="A862" s="36"/>
      <c r="B862" s="37"/>
      <c r="C862" s="38"/>
      <c r="D862" s="29"/>
      <c r="E862" s="29"/>
      <c r="F862" s="29"/>
      <c r="G862" s="39"/>
      <c r="H862" s="29"/>
      <c r="I862" s="29"/>
    </row>
    <row r="863" spans="1:9" ht="22.5" customHeight="1">
      <c r="A863" s="36"/>
      <c r="B863" s="37"/>
      <c r="C863" s="38"/>
      <c r="D863" s="29"/>
      <c r="E863" s="29"/>
      <c r="F863" s="29"/>
      <c r="G863" s="39"/>
      <c r="H863" s="29"/>
      <c r="I863" s="29"/>
    </row>
    <row r="864" spans="1:9" ht="22.5" customHeight="1">
      <c r="A864" s="36"/>
      <c r="B864" s="37"/>
      <c r="C864" s="38"/>
      <c r="D864" s="29"/>
      <c r="E864" s="29"/>
      <c r="F864" s="29"/>
      <c r="G864" s="39"/>
      <c r="H864" s="29"/>
      <c r="I864" s="29"/>
    </row>
    <row r="865" spans="1:9" ht="22.5" customHeight="1">
      <c r="A865" s="36"/>
      <c r="B865" s="37"/>
      <c r="C865" s="38"/>
      <c r="D865" s="29"/>
      <c r="E865" s="29"/>
      <c r="F865" s="29"/>
      <c r="G865" s="39"/>
      <c r="H865" s="29"/>
      <c r="I865" s="29"/>
    </row>
    <row r="866" spans="1:9" ht="22.5" customHeight="1">
      <c r="A866" s="36"/>
      <c r="B866" s="37"/>
      <c r="C866" s="38"/>
      <c r="D866" s="29"/>
      <c r="E866" s="29"/>
      <c r="F866" s="29"/>
      <c r="G866" s="39"/>
      <c r="H866" s="29"/>
      <c r="I866" s="29"/>
    </row>
    <row r="867" spans="1:9" ht="22.5" customHeight="1">
      <c r="A867" s="36"/>
      <c r="B867" s="37"/>
      <c r="C867" s="38"/>
      <c r="D867" s="29"/>
      <c r="E867" s="29"/>
      <c r="F867" s="29"/>
      <c r="G867" s="39"/>
      <c r="H867" s="29"/>
      <c r="I867" s="29"/>
    </row>
    <row r="868" spans="1:9" ht="22.5" customHeight="1">
      <c r="A868" s="36"/>
      <c r="B868" s="37"/>
      <c r="C868" s="38"/>
      <c r="D868" s="29"/>
      <c r="E868" s="29"/>
      <c r="F868" s="29"/>
      <c r="G868" s="39"/>
      <c r="H868" s="29"/>
      <c r="I868" s="29"/>
    </row>
    <row r="869" spans="1:9" ht="22.5" customHeight="1">
      <c r="A869" s="36"/>
      <c r="B869" s="37"/>
      <c r="C869" s="38"/>
      <c r="D869" s="29"/>
      <c r="E869" s="29"/>
      <c r="F869" s="29"/>
      <c r="G869" s="39"/>
      <c r="H869" s="29"/>
      <c r="I869" s="29"/>
    </row>
    <row r="870" spans="1:9" ht="22.5" customHeight="1">
      <c r="A870" s="36"/>
      <c r="B870" s="37"/>
      <c r="C870" s="38"/>
      <c r="D870" s="29"/>
      <c r="E870" s="29"/>
      <c r="F870" s="29"/>
      <c r="G870" s="39"/>
      <c r="H870" s="29"/>
      <c r="I870" s="29"/>
    </row>
    <row r="871" spans="1:9" ht="22.5" customHeight="1">
      <c r="A871" s="36"/>
      <c r="B871" s="37"/>
      <c r="C871" s="38"/>
      <c r="D871" s="29"/>
      <c r="E871" s="29"/>
      <c r="F871" s="29"/>
      <c r="G871" s="39"/>
      <c r="H871" s="29"/>
      <c r="I871" s="29"/>
    </row>
    <row r="872" spans="1:9" ht="22.5" customHeight="1">
      <c r="A872" s="36"/>
      <c r="B872" s="37"/>
      <c r="C872" s="38"/>
      <c r="D872" s="29"/>
      <c r="E872" s="29"/>
      <c r="F872" s="29"/>
      <c r="G872" s="39"/>
      <c r="H872" s="29"/>
      <c r="I872" s="29"/>
    </row>
    <row r="873" spans="1:9" ht="22.5" customHeight="1">
      <c r="A873" s="36"/>
      <c r="B873" s="37"/>
      <c r="C873" s="38"/>
      <c r="D873" s="29"/>
      <c r="E873" s="29"/>
      <c r="F873" s="29"/>
      <c r="G873" s="39"/>
      <c r="H873" s="29"/>
      <c r="I873" s="29"/>
    </row>
    <row r="874" spans="1:9" ht="22.5" customHeight="1">
      <c r="A874" s="36"/>
      <c r="B874" s="37"/>
      <c r="C874" s="38"/>
      <c r="D874" s="29"/>
      <c r="E874" s="29"/>
      <c r="F874" s="29"/>
      <c r="G874" s="39"/>
      <c r="H874" s="29"/>
      <c r="I874" s="29"/>
    </row>
    <row r="875" spans="1:9" ht="22.5" customHeight="1">
      <c r="A875" s="36"/>
      <c r="B875" s="37"/>
      <c r="C875" s="38"/>
      <c r="D875" s="29"/>
      <c r="E875" s="29"/>
      <c r="F875" s="29"/>
      <c r="G875" s="39"/>
      <c r="H875" s="29"/>
      <c r="I875" s="29"/>
    </row>
    <row r="876" spans="1:9" ht="22.5" customHeight="1">
      <c r="A876" s="36"/>
      <c r="B876" s="37"/>
      <c r="C876" s="38"/>
      <c r="D876" s="29"/>
      <c r="E876" s="29"/>
      <c r="F876" s="29"/>
      <c r="G876" s="39"/>
      <c r="H876" s="29"/>
      <c r="I876" s="29"/>
    </row>
    <row r="877" spans="1:9" ht="22.5" customHeight="1">
      <c r="A877" s="36"/>
      <c r="B877" s="37"/>
      <c r="C877" s="38"/>
      <c r="D877" s="29"/>
      <c r="E877" s="29"/>
      <c r="F877" s="29"/>
      <c r="G877" s="39"/>
      <c r="H877" s="29"/>
      <c r="I877" s="29"/>
    </row>
    <row r="878" spans="1:9" ht="22.5" customHeight="1">
      <c r="A878" s="36"/>
      <c r="B878" s="37"/>
      <c r="C878" s="38"/>
      <c r="D878" s="29"/>
      <c r="E878" s="29"/>
      <c r="F878" s="29"/>
      <c r="G878" s="39"/>
      <c r="H878" s="29"/>
      <c r="I878" s="29"/>
    </row>
    <row r="879" spans="1:9" ht="22.5" customHeight="1">
      <c r="A879" s="36"/>
      <c r="B879" s="37"/>
      <c r="C879" s="38"/>
      <c r="D879" s="29"/>
      <c r="E879" s="29"/>
      <c r="F879" s="29"/>
      <c r="G879" s="39"/>
      <c r="H879" s="29"/>
      <c r="I879" s="29"/>
    </row>
    <row r="880" spans="1:9" ht="22.5" customHeight="1">
      <c r="A880" s="36"/>
      <c r="B880" s="37"/>
      <c r="C880" s="38"/>
      <c r="D880" s="29"/>
      <c r="E880" s="29"/>
      <c r="F880" s="29"/>
      <c r="G880" s="39"/>
      <c r="H880" s="29"/>
      <c r="I880" s="29"/>
    </row>
    <row r="881" spans="1:9" ht="22.5" customHeight="1">
      <c r="A881" s="36"/>
      <c r="B881" s="37"/>
      <c r="C881" s="38"/>
      <c r="D881" s="29"/>
      <c r="E881" s="29"/>
      <c r="F881" s="29"/>
      <c r="G881" s="39"/>
      <c r="H881" s="29"/>
      <c r="I881" s="29"/>
    </row>
    <row r="882" spans="1:9" ht="22.5" customHeight="1">
      <c r="A882" s="36"/>
      <c r="B882" s="37"/>
      <c r="C882" s="38"/>
      <c r="D882" s="29"/>
      <c r="E882" s="29"/>
      <c r="F882" s="29"/>
      <c r="G882" s="39"/>
      <c r="H882" s="29"/>
      <c r="I882" s="29"/>
    </row>
    <row r="883" spans="1:9" ht="22.5" customHeight="1">
      <c r="A883" s="36"/>
      <c r="B883" s="37"/>
      <c r="C883" s="38"/>
      <c r="D883" s="29"/>
      <c r="E883" s="29"/>
      <c r="F883" s="29"/>
      <c r="G883" s="39"/>
      <c r="H883" s="29"/>
      <c r="I883" s="29"/>
    </row>
    <row r="884" spans="1:9" ht="22.5" customHeight="1">
      <c r="A884" s="36"/>
      <c r="B884" s="37"/>
      <c r="C884" s="38"/>
      <c r="D884" s="29"/>
      <c r="E884" s="29"/>
      <c r="F884" s="29"/>
      <c r="G884" s="39"/>
      <c r="H884" s="29"/>
      <c r="I884" s="29"/>
    </row>
    <row r="885" spans="1:9" ht="22.5" customHeight="1">
      <c r="A885" s="36"/>
      <c r="B885" s="37"/>
      <c r="C885" s="38"/>
      <c r="D885" s="29"/>
      <c r="E885" s="29"/>
      <c r="F885" s="29"/>
      <c r="G885" s="39"/>
      <c r="H885" s="29"/>
      <c r="I885" s="29"/>
    </row>
    <row r="886" spans="1:9" ht="22.5" customHeight="1">
      <c r="A886" s="36"/>
      <c r="B886" s="37"/>
      <c r="C886" s="38"/>
      <c r="D886" s="29"/>
      <c r="E886" s="29"/>
      <c r="F886" s="29"/>
      <c r="G886" s="39"/>
      <c r="H886" s="29"/>
      <c r="I886" s="29"/>
    </row>
    <row r="887" spans="1:9" ht="22.5" customHeight="1">
      <c r="A887" s="36"/>
      <c r="B887" s="37"/>
      <c r="C887" s="38"/>
      <c r="D887" s="29"/>
      <c r="E887" s="29"/>
      <c r="F887" s="29"/>
      <c r="G887" s="39"/>
      <c r="H887" s="29"/>
      <c r="I887" s="29"/>
    </row>
    <row r="888" spans="1:9" ht="22.5" customHeight="1">
      <c r="A888" s="36"/>
      <c r="B888" s="37"/>
      <c r="C888" s="38"/>
      <c r="D888" s="29"/>
      <c r="E888" s="29"/>
      <c r="F888" s="29"/>
      <c r="G888" s="39"/>
      <c r="H888" s="29"/>
      <c r="I888" s="29"/>
    </row>
    <row r="889" spans="1:9" ht="22.5" customHeight="1">
      <c r="A889" s="36"/>
      <c r="B889" s="37"/>
      <c r="C889" s="38"/>
      <c r="D889" s="29"/>
      <c r="E889" s="29"/>
      <c r="F889" s="29"/>
      <c r="G889" s="39"/>
      <c r="H889" s="29"/>
      <c r="I889" s="29"/>
    </row>
    <row r="890" spans="1:9" ht="22.5" customHeight="1">
      <c r="A890" s="36"/>
      <c r="B890" s="37"/>
      <c r="C890" s="38"/>
      <c r="D890" s="29"/>
      <c r="E890" s="29"/>
      <c r="F890" s="29"/>
      <c r="G890" s="39"/>
      <c r="H890" s="29"/>
      <c r="I890" s="29"/>
    </row>
    <row r="891" spans="1:9" ht="22.5" customHeight="1">
      <c r="A891" s="36"/>
      <c r="B891" s="37"/>
      <c r="C891" s="38"/>
      <c r="D891" s="29"/>
      <c r="E891" s="29"/>
      <c r="F891" s="29"/>
      <c r="G891" s="39"/>
      <c r="H891" s="29"/>
      <c r="I891" s="29"/>
    </row>
    <row r="892" spans="1:9" ht="22.5" customHeight="1">
      <c r="A892" s="36"/>
      <c r="B892" s="37"/>
      <c r="C892" s="38"/>
      <c r="D892" s="29"/>
      <c r="E892" s="29"/>
      <c r="F892" s="29"/>
      <c r="G892" s="39"/>
      <c r="H892" s="29"/>
      <c r="I892" s="29"/>
    </row>
    <row r="893" spans="1:9" ht="22.5" customHeight="1">
      <c r="A893" s="36"/>
      <c r="B893" s="37"/>
      <c r="C893" s="38"/>
      <c r="D893" s="29"/>
      <c r="E893" s="29"/>
      <c r="F893" s="29"/>
      <c r="G893" s="39"/>
      <c r="H893" s="29"/>
      <c r="I893" s="29"/>
    </row>
    <row r="894" spans="1:9" ht="22.5" customHeight="1">
      <c r="A894" s="36"/>
      <c r="B894" s="37"/>
      <c r="C894" s="38"/>
      <c r="D894" s="29"/>
      <c r="E894" s="29"/>
      <c r="F894" s="29"/>
      <c r="G894" s="39"/>
      <c r="H894" s="29"/>
      <c r="I894" s="29"/>
    </row>
    <row r="895" spans="1:9" ht="22.5" customHeight="1">
      <c r="A895" s="36"/>
      <c r="B895" s="37"/>
      <c r="C895" s="38"/>
      <c r="D895" s="29"/>
      <c r="E895" s="29"/>
      <c r="F895" s="29"/>
      <c r="G895" s="39"/>
      <c r="H895" s="29"/>
      <c r="I895" s="29"/>
    </row>
    <row r="896" spans="1:9" ht="22.5" customHeight="1">
      <c r="A896" s="36"/>
      <c r="B896" s="37"/>
      <c r="C896" s="38"/>
      <c r="D896" s="29"/>
      <c r="E896" s="29"/>
      <c r="F896" s="29"/>
      <c r="G896" s="39"/>
      <c r="H896" s="29"/>
      <c r="I896" s="29"/>
    </row>
    <row r="897" spans="1:9" ht="22.5" customHeight="1">
      <c r="A897" s="36"/>
      <c r="B897" s="37"/>
      <c r="C897" s="38"/>
      <c r="D897" s="29"/>
      <c r="E897" s="29"/>
      <c r="F897" s="29"/>
      <c r="G897" s="39"/>
      <c r="H897" s="29"/>
      <c r="I897" s="29"/>
    </row>
    <row r="898" spans="1:9" ht="22.5" customHeight="1">
      <c r="A898" s="36"/>
      <c r="B898" s="37"/>
      <c r="C898" s="38"/>
      <c r="D898" s="29"/>
      <c r="E898" s="29"/>
      <c r="F898" s="29"/>
      <c r="G898" s="39"/>
      <c r="H898" s="29"/>
      <c r="I898" s="29"/>
    </row>
    <row r="899" spans="1:9" ht="22.5" customHeight="1">
      <c r="A899" s="36"/>
      <c r="B899" s="37"/>
      <c r="C899" s="38"/>
      <c r="D899" s="29"/>
      <c r="E899" s="29"/>
      <c r="F899" s="29"/>
      <c r="G899" s="39"/>
      <c r="H899" s="29"/>
      <c r="I899" s="29"/>
    </row>
    <row r="900" spans="1:9" ht="22.5" customHeight="1">
      <c r="A900" s="36"/>
      <c r="B900" s="37"/>
      <c r="C900" s="38"/>
      <c r="D900" s="29"/>
      <c r="E900" s="29"/>
      <c r="F900" s="29"/>
      <c r="G900" s="39"/>
      <c r="H900" s="29"/>
      <c r="I900" s="29"/>
    </row>
    <row r="901" spans="1:9" ht="22.5" customHeight="1">
      <c r="A901" s="36"/>
      <c r="B901" s="37"/>
      <c r="C901" s="38"/>
      <c r="D901" s="29"/>
      <c r="E901" s="29"/>
      <c r="F901" s="29"/>
      <c r="G901" s="39"/>
      <c r="H901" s="29"/>
      <c r="I901" s="29"/>
    </row>
    <row r="902" spans="1:9" ht="22.5" customHeight="1">
      <c r="A902" s="36"/>
      <c r="B902" s="37"/>
      <c r="C902" s="38"/>
      <c r="D902" s="29"/>
      <c r="E902" s="29"/>
      <c r="F902" s="29"/>
      <c r="G902" s="39"/>
      <c r="H902" s="29"/>
      <c r="I902" s="29"/>
    </row>
    <row r="903" spans="1:9" ht="22.5" customHeight="1">
      <c r="A903" s="36"/>
      <c r="B903" s="37"/>
      <c r="C903" s="38"/>
      <c r="D903" s="29"/>
      <c r="E903" s="29"/>
      <c r="F903" s="29"/>
      <c r="G903" s="39"/>
      <c r="H903" s="29"/>
      <c r="I903" s="29"/>
    </row>
    <row r="904" spans="1:9" ht="22.5" customHeight="1">
      <c r="A904" s="36"/>
      <c r="B904" s="37"/>
      <c r="C904" s="38"/>
      <c r="D904" s="29"/>
      <c r="E904" s="29"/>
      <c r="F904" s="29"/>
      <c r="G904" s="39"/>
      <c r="H904" s="29"/>
      <c r="I904" s="29"/>
    </row>
    <row r="905" spans="1:9" ht="22.5" customHeight="1">
      <c r="A905" s="36"/>
      <c r="B905" s="37"/>
      <c r="C905" s="38"/>
      <c r="D905" s="29"/>
      <c r="E905" s="29"/>
      <c r="F905" s="29"/>
      <c r="G905" s="39"/>
      <c r="H905" s="29"/>
      <c r="I905" s="29"/>
    </row>
    <row r="906" spans="1:9" ht="22.5" customHeight="1">
      <c r="A906" s="36"/>
      <c r="B906" s="37"/>
      <c r="C906" s="38"/>
      <c r="D906" s="29"/>
      <c r="E906" s="29"/>
      <c r="F906" s="29"/>
      <c r="G906" s="39"/>
      <c r="H906" s="29"/>
      <c r="I906" s="29"/>
    </row>
    <row r="907" spans="1:9" ht="22.5" customHeight="1">
      <c r="A907" s="36"/>
      <c r="B907" s="37"/>
      <c r="C907" s="38"/>
      <c r="D907" s="29"/>
      <c r="E907" s="29"/>
      <c r="F907" s="29"/>
      <c r="G907" s="39"/>
      <c r="H907" s="29"/>
      <c r="I907" s="29"/>
    </row>
    <row r="908" spans="1:9" ht="22.5" customHeight="1">
      <c r="A908" s="36"/>
      <c r="B908" s="37"/>
      <c r="C908" s="38"/>
      <c r="D908" s="29"/>
      <c r="E908" s="29"/>
      <c r="F908" s="29"/>
      <c r="G908" s="39"/>
      <c r="H908" s="29"/>
      <c r="I908" s="29"/>
    </row>
    <row r="909" spans="1:9" ht="22.5" customHeight="1">
      <c r="A909" s="36"/>
      <c r="B909" s="37"/>
      <c r="C909" s="38"/>
      <c r="D909" s="29"/>
      <c r="E909" s="29"/>
      <c r="F909" s="29"/>
      <c r="G909" s="39"/>
      <c r="H909" s="29"/>
      <c r="I909" s="29"/>
    </row>
    <row r="910" spans="1:9" ht="22.5" customHeight="1">
      <c r="A910" s="36"/>
      <c r="B910" s="37"/>
      <c r="C910" s="38"/>
      <c r="D910" s="29"/>
      <c r="E910" s="29"/>
      <c r="F910" s="29"/>
      <c r="G910" s="39"/>
      <c r="H910" s="29"/>
      <c r="I910" s="29"/>
    </row>
    <row r="911" spans="1:9" ht="22.5" customHeight="1">
      <c r="A911" s="36"/>
      <c r="B911" s="37"/>
      <c r="C911" s="38"/>
      <c r="D911" s="29"/>
      <c r="E911" s="29"/>
      <c r="F911" s="29"/>
      <c r="G911" s="39"/>
      <c r="H911" s="29"/>
      <c r="I911" s="29"/>
    </row>
    <row r="912" spans="1:9" ht="22.5" customHeight="1">
      <c r="A912" s="36"/>
      <c r="B912" s="37"/>
      <c r="C912" s="38"/>
      <c r="D912" s="29"/>
      <c r="E912" s="29"/>
      <c r="F912" s="29"/>
      <c r="G912" s="39"/>
      <c r="H912" s="29"/>
      <c r="I912" s="29"/>
    </row>
    <row r="913" spans="1:9" ht="22.5" customHeight="1">
      <c r="A913" s="36"/>
      <c r="B913" s="37"/>
      <c r="C913" s="38"/>
      <c r="D913" s="29"/>
      <c r="E913" s="29"/>
      <c r="F913" s="29"/>
      <c r="G913" s="39"/>
      <c r="H913" s="29"/>
      <c r="I913" s="29"/>
    </row>
    <row r="914" spans="1:9" ht="22.5" customHeight="1">
      <c r="A914" s="36"/>
      <c r="B914" s="37"/>
      <c r="C914" s="38"/>
      <c r="D914" s="29"/>
      <c r="E914" s="29"/>
      <c r="F914" s="29"/>
      <c r="G914" s="39"/>
      <c r="H914" s="29"/>
      <c r="I914" s="29"/>
    </row>
    <row r="915" spans="1:9" ht="22.5" customHeight="1">
      <c r="A915" s="36"/>
      <c r="B915" s="37"/>
      <c r="C915" s="38"/>
      <c r="D915" s="29"/>
      <c r="E915" s="29"/>
      <c r="F915" s="29"/>
      <c r="G915" s="39"/>
      <c r="H915" s="29"/>
      <c r="I915" s="29"/>
    </row>
    <row r="916" spans="1:9" ht="22.5" customHeight="1">
      <c r="A916" s="36"/>
      <c r="B916" s="37"/>
      <c r="C916" s="38"/>
      <c r="D916" s="29"/>
      <c r="E916" s="29"/>
      <c r="F916" s="29"/>
      <c r="G916" s="39"/>
      <c r="H916" s="29"/>
      <c r="I916" s="29"/>
    </row>
    <row r="917" spans="1:9" ht="22.5" customHeight="1">
      <c r="A917" s="36"/>
      <c r="B917" s="37"/>
      <c r="C917" s="38"/>
      <c r="D917" s="29"/>
      <c r="E917" s="29"/>
      <c r="F917" s="29"/>
      <c r="G917" s="39"/>
      <c r="H917" s="29"/>
      <c r="I917" s="29"/>
    </row>
    <row r="918" spans="1:9" ht="22.5" customHeight="1">
      <c r="A918" s="36"/>
      <c r="B918" s="37"/>
      <c r="C918" s="38"/>
      <c r="D918" s="29"/>
      <c r="E918" s="29"/>
      <c r="F918" s="29"/>
      <c r="G918" s="39"/>
      <c r="H918" s="29"/>
      <c r="I918" s="29"/>
    </row>
    <row r="919" spans="1:9" ht="22.5" customHeight="1">
      <c r="A919" s="36"/>
      <c r="B919" s="37"/>
      <c r="C919" s="38"/>
      <c r="D919" s="29"/>
      <c r="E919" s="29"/>
      <c r="F919" s="29"/>
      <c r="G919" s="39"/>
      <c r="H919" s="29"/>
      <c r="I919" s="29"/>
    </row>
    <row r="920" spans="1:9" ht="22.5" customHeight="1">
      <c r="A920" s="36"/>
      <c r="B920" s="37"/>
      <c r="C920" s="38"/>
      <c r="D920" s="29"/>
      <c r="E920" s="29"/>
      <c r="F920" s="29"/>
      <c r="G920" s="39"/>
      <c r="H920" s="29"/>
      <c r="I920" s="29"/>
    </row>
    <row r="921" spans="1:9" ht="22.5" customHeight="1">
      <c r="A921" s="36"/>
      <c r="B921" s="37"/>
      <c r="C921" s="38"/>
      <c r="D921" s="29"/>
      <c r="E921" s="29"/>
      <c r="F921" s="29"/>
      <c r="G921" s="39"/>
      <c r="H921" s="29"/>
      <c r="I921" s="29"/>
    </row>
    <row r="922" spans="1:9" ht="22.5" customHeight="1">
      <c r="A922" s="36"/>
      <c r="B922" s="37"/>
      <c r="C922" s="38"/>
      <c r="D922" s="29"/>
      <c r="E922" s="29"/>
      <c r="F922" s="29"/>
      <c r="G922" s="39"/>
      <c r="H922" s="29"/>
      <c r="I922" s="29"/>
    </row>
    <row r="923" spans="1:9" ht="22.5" customHeight="1">
      <c r="A923" s="36"/>
      <c r="B923" s="37"/>
      <c r="C923" s="38"/>
      <c r="D923" s="29"/>
      <c r="E923" s="29"/>
      <c r="F923" s="29"/>
      <c r="G923" s="39"/>
      <c r="H923" s="29"/>
      <c r="I923" s="29"/>
    </row>
    <row r="924" spans="1:9" ht="22.5" customHeight="1">
      <c r="A924" s="36"/>
      <c r="B924" s="37"/>
      <c r="C924" s="38"/>
      <c r="D924" s="29"/>
      <c r="E924" s="29"/>
      <c r="F924" s="29"/>
      <c r="G924" s="39"/>
      <c r="H924" s="29"/>
      <c r="I924" s="29"/>
    </row>
    <row r="925" spans="1:9" ht="22.5" customHeight="1">
      <c r="A925" s="36"/>
      <c r="B925" s="37"/>
      <c r="C925" s="38"/>
      <c r="D925" s="29"/>
      <c r="E925" s="29"/>
      <c r="F925" s="29"/>
      <c r="G925" s="39"/>
      <c r="H925" s="29"/>
      <c r="I925" s="29"/>
    </row>
    <row r="926" spans="1:9" ht="22.5" customHeight="1">
      <c r="A926" s="36"/>
      <c r="B926" s="37"/>
      <c r="C926" s="38"/>
      <c r="D926" s="29"/>
      <c r="E926" s="29"/>
      <c r="F926" s="29"/>
      <c r="G926" s="39"/>
      <c r="H926" s="29"/>
      <c r="I926" s="29"/>
    </row>
    <row r="927" spans="1:9" ht="22.5" customHeight="1">
      <c r="A927" s="36"/>
      <c r="B927" s="37"/>
      <c r="C927" s="38"/>
      <c r="D927" s="29"/>
      <c r="E927" s="29"/>
      <c r="F927" s="29"/>
      <c r="G927" s="39"/>
      <c r="H927" s="29"/>
      <c r="I927" s="29"/>
    </row>
    <row r="928" spans="1:9" ht="22.5" customHeight="1">
      <c r="A928" s="36"/>
      <c r="B928" s="37"/>
      <c r="C928" s="38"/>
      <c r="D928" s="29"/>
      <c r="E928" s="29"/>
      <c r="F928" s="29"/>
      <c r="G928" s="39"/>
      <c r="H928" s="29"/>
      <c r="I928" s="29"/>
    </row>
    <row r="929" spans="1:9" ht="22.5" customHeight="1">
      <c r="A929" s="36"/>
      <c r="B929" s="37"/>
      <c r="C929" s="38"/>
      <c r="D929" s="29"/>
      <c r="E929" s="29"/>
      <c r="F929" s="29"/>
      <c r="G929" s="39"/>
      <c r="H929" s="29"/>
      <c r="I929" s="29"/>
    </row>
    <row r="930" spans="1:9" ht="22.5" customHeight="1">
      <c r="A930" s="36"/>
      <c r="B930" s="37"/>
      <c r="C930" s="38"/>
      <c r="D930" s="29"/>
      <c r="E930" s="29"/>
      <c r="F930" s="29"/>
      <c r="G930" s="39"/>
      <c r="H930" s="29"/>
      <c r="I930" s="29"/>
    </row>
    <row r="931" spans="1:9" ht="22.5" customHeight="1">
      <c r="A931" s="36"/>
      <c r="B931" s="37"/>
      <c r="C931" s="38"/>
      <c r="D931" s="29"/>
      <c r="E931" s="29"/>
      <c r="F931" s="29"/>
      <c r="G931" s="39"/>
      <c r="H931" s="29"/>
      <c r="I931" s="29"/>
    </row>
    <row r="932" spans="1:9" ht="22.5" customHeight="1">
      <c r="A932" s="36"/>
      <c r="B932" s="37"/>
      <c r="C932" s="38"/>
      <c r="D932" s="29"/>
      <c r="E932" s="29"/>
      <c r="F932" s="29"/>
      <c r="G932" s="39"/>
      <c r="H932" s="29"/>
      <c r="I932" s="29"/>
    </row>
    <row r="933" spans="1:9" ht="22.5" customHeight="1">
      <c r="A933" s="36"/>
      <c r="B933" s="37"/>
      <c r="C933" s="38"/>
      <c r="D933" s="29"/>
      <c r="E933" s="29"/>
      <c r="F933" s="29"/>
      <c r="G933" s="39"/>
      <c r="H933" s="29"/>
      <c r="I933" s="29"/>
    </row>
    <row r="934" spans="1:9" ht="22.5" customHeight="1">
      <c r="A934" s="36"/>
      <c r="B934" s="37"/>
      <c r="C934" s="38"/>
      <c r="D934" s="29"/>
      <c r="E934" s="29"/>
      <c r="F934" s="29"/>
      <c r="G934" s="39"/>
      <c r="H934" s="29"/>
      <c r="I934" s="29"/>
    </row>
    <row r="935" spans="1:9" ht="22.5" customHeight="1">
      <c r="A935" s="36"/>
      <c r="B935" s="37"/>
      <c r="C935" s="38"/>
      <c r="D935" s="29"/>
      <c r="E935" s="29"/>
      <c r="F935" s="29"/>
      <c r="G935" s="39"/>
      <c r="H935" s="29"/>
      <c r="I935" s="29"/>
    </row>
    <row r="936" spans="1:9" ht="22.5" customHeight="1">
      <c r="A936" s="36"/>
      <c r="B936" s="37"/>
      <c r="C936" s="38"/>
      <c r="D936" s="29"/>
      <c r="E936" s="29"/>
      <c r="F936" s="29"/>
      <c r="G936" s="39"/>
      <c r="H936" s="29"/>
      <c r="I936" s="29"/>
    </row>
    <row r="937" spans="1:9" ht="22.5" customHeight="1">
      <c r="A937" s="36"/>
      <c r="B937" s="37"/>
      <c r="C937" s="38"/>
      <c r="D937" s="29"/>
      <c r="E937" s="29"/>
      <c r="F937" s="29"/>
      <c r="G937" s="39"/>
      <c r="H937" s="29"/>
      <c r="I937" s="29"/>
    </row>
    <row r="938" spans="1:9" ht="22.5" customHeight="1">
      <c r="A938" s="36"/>
      <c r="B938" s="37"/>
      <c r="C938" s="38"/>
      <c r="D938" s="29"/>
      <c r="E938" s="29"/>
      <c r="F938" s="29"/>
      <c r="G938" s="39"/>
      <c r="H938" s="29"/>
      <c r="I938" s="29"/>
    </row>
    <row r="939" spans="1:9" ht="22.5" customHeight="1">
      <c r="A939" s="36"/>
      <c r="B939" s="37"/>
      <c r="C939" s="38"/>
      <c r="D939" s="29"/>
      <c r="E939" s="29"/>
      <c r="F939" s="29"/>
      <c r="G939" s="39"/>
      <c r="H939" s="29"/>
      <c r="I939" s="29"/>
    </row>
    <row r="940" spans="1:9" ht="22.5" customHeight="1">
      <c r="A940" s="36"/>
      <c r="B940" s="37"/>
      <c r="C940" s="38"/>
      <c r="D940" s="29"/>
      <c r="E940" s="29"/>
      <c r="F940" s="29"/>
      <c r="G940" s="39"/>
      <c r="H940" s="29"/>
      <c r="I940" s="29"/>
    </row>
    <row r="941" spans="1:9" ht="22.5" customHeight="1">
      <c r="A941" s="36"/>
      <c r="B941" s="37"/>
      <c r="C941" s="38"/>
      <c r="D941" s="29"/>
      <c r="E941" s="29"/>
      <c r="F941" s="29"/>
      <c r="G941" s="39"/>
      <c r="H941" s="29"/>
      <c r="I941" s="29"/>
    </row>
    <row r="942" spans="1:9" ht="22.5" customHeight="1">
      <c r="A942" s="36"/>
      <c r="B942" s="37"/>
      <c r="C942" s="38"/>
      <c r="D942" s="29"/>
      <c r="E942" s="29"/>
      <c r="F942" s="29"/>
      <c r="G942" s="39"/>
      <c r="H942" s="29"/>
      <c r="I942" s="29"/>
    </row>
    <row r="943" spans="1:9" ht="22.5" customHeight="1">
      <c r="A943" s="36"/>
      <c r="B943" s="37"/>
      <c r="C943" s="38"/>
      <c r="D943" s="29"/>
      <c r="E943" s="29"/>
      <c r="F943" s="29"/>
      <c r="G943" s="39"/>
      <c r="H943" s="29"/>
      <c r="I943" s="29"/>
    </row>
    <row r="944" spans="1:9" ht="22.5" customHeight="1">
      <c r="A944" s="36"/>
      <c r="B944" s="37"/>
      <c r="C944" s="38"/>
      <c r="D944" s="29"/>
      <c r="E944" s="29"/>
      <c r="F944" s="29"/>
      <c r="G944" s="39"/>
      <c r="H944" s="29"/>
      <c r="I944" s="29"/>
    </row>
    <row r="945" spans="1:9" ht="22.5" customHeight="1">
      <c r="A945" s="36"/>
      <c r="B945" s="37"/>
      <c r="C945" s="38"/>
      <c r="D945" s="29"/>
      <c r="E945" s="29"/>
      <c r="F945" s="29"/>
      <c r="G945" s="39"/>
      <c r="H945" s="29"/>
      <c r="I945" s="29"/>
    </row>
    <row r="946" spans="1:9" ht="22.5" customHeight="1">
      <c r="A946" s="36"/>
      <c r="B946" s="37"/>
      <c r="C946" s="38"/>
      <c r="D946" s="29"/>
      <c r="E946" s="29"/>
      <c r="F946" s="29"/>
      <c r="G946" s="39"/>
      <c r="H946" s="29"/>
      <c r="I946" s="29"/>
    </row>
    <row r="947" spans="1:9" ht="22.5" customHeight="1">
      <c r="A947" s="36"/>
      <c r="B947" s="37"/>
      <c r="C947" s="38"/>
      <c r="D947" s="29"/>
      <c r="E947" s="29"/>
      <c r="F947" s="29"/>
      <c r="G947" s="39"/>
      <c r="H947" s="29"/>
      <c r="I947" s="29"/>
    </row>
    <row r="948" spans="1:9" ht="22.5" customHeight="1">
      <c r="A948" s="36"/>
      <c r="B948" s="37"/>
      <c r="C948" s="38"/>
      <c r="D948" s="29"/>
      <c r="E948" s="29"/>
      <c r="F948" s="29"/>
      <c r="G948" s="39"/>
      <c r="H948" s="29"/>
      <c r="I948" s="29"/>
    </row>
    <row r="949" spans="1:9" ht="22.5" customHeight="1">
      <c r="A949" s="36"/>
      <c r="B949" s="37"/>
      <c r="C949" s="38"/>
      <c r="D949" s="29"/>
      <c r="E949" s="29"/>
      <c r="F949" s="29"/>
      <c r="G949" s="39"/>
      <c r="H949" s="29"/>
      <c r="I949" s="29"/>
    </row>
    <row r="950" spans="1:9" ht="22.5" customHeight="1">
      <c r="A950" s="36"/>
      <c r="B950" s="37"/>
      <c r="C950" s="38"/>
      <c r="D950" s="29"/>
      <c r="E950" s="29"/>
      <c r="F950" s="29"/>
      <c r="G950" s="39"/>
      <c r="H950" s="29"/>
      <c r="I950" s="29"/>
    </row>
    <row r="951" spans="1:9" ht="22.5" customHeight="1">
      <c r="A951" s="36"/>
      <c r="B951" s="37"/>
      <c r="C951" s="38"/>
      <c r="D951" s="29"/>
      <c r="E951" s="29"/>
      <c r="F951" s="29"/>
      <c r="G951" s="39"/>
      <c r="H951" s="29"/>
      <c r="I951" s="29"/>
    </row>
    <row r="952" spans="1:9" ht="22.5" customHeight="1">
      <c r="A952" s="36"/>
      <c r="B952" s="37"/>
      <c r="C952" s="38"/>
      <c r="D952" s="29"/>
      <c r="E952" s="29"/>
      <c r="F952" s="29"/>
      <c r="G952" s="39"/>
      <c r="H952" s="29"/>
      <c r="I952" s="29"/>
    </row>
    <row r="953" spans="1:9" ht="22.5" customHeight="1">
      <c r="A953" s="36"/>
      <c r="B953" s="37"/>
      <c r="C953" s="38"/>
      <c r="D953" s="29"/>
      <c r="E953" s="29"/>
      <c r="F953" s="29"/>
      <c r="G953" s="39"/>
      <c r="H953" s="29"/>
      <c r="I953" s="29"/>
    </row>
    <row r="954" spans="1:9" ht="22.5" customHeight="1">
      <c r="A954" s="36"/>
      <c r="B954" s="37"/>
      <c r="C954" s="38"/>
      <c r="D954" s="29"/>
      <c r="E954" s="29"/>
      <c r="F954" s="29"/>
      <c r="G954" s="39"/>
      <c r="H954" s="29"/>
      <c r="I954" s="29"/>
    </row>
    <row r="955" spans="1:9" ht="22.5" customHeight="1">
      <c r="A955" s="36"/>
      <c r="B955" s="37"/>
      <c r="C955" s="38"/>
      <c r="D955" s="29"/>
      <c r="E955" s="29"/>
      <c r="F955" s="29"/>
      <c r="G955" s="39"/>
      <c r="H955" s="29"/>
      <c r="I955" s="29"/>
    </row>
    <row r="956" spans="1:9" ht="22.5" customHeight="1">
      <c r="A956" s="36"/>
      <c r="B956" s="37"/>
      <c r="C956" s="38"/>
      <c r="D956" s="29"/>
      <c r="E956" s="29"/>
      <c r="F956" s="29"/>
      <c r="G956" s="39"/>
      <c r="H956" s="29"/>
      <c r="I956" s="29"/>
    </row>
    <row r="957" spans="1:9" ht="22.5" customHeight="1">
      <c r="A957" s="36"/>
      <c r="B957" s="37"/>
      <c r="C957" s="38"/>
      <c r="D957" s="29"/>
      <c r="E957" s="29"/>
      <c r="F957" s="29"/>
      <c r="G957" s="39"/>
      <c r="H957" s="29"/>
      <c r="I957" s="29"/>
    </row>
    <row r="958" spans="1:9" ht="22.5" customHeight="1">
      <c r="A958" s="36"/>
      <c r="B958" s="37"/>
      <c r="C958" s="38"/>
      <c r="D958" s="29"/>
      <c r="E958" s="29"/>
      <c r="F958" s="29"/>
      <c r="G958" s="39"/>
      <c r="H958" s="29"/>
      <c r="I958" s="29"/>
    </row>
    <row r="959" spans="1:9" ht="22.5" customHeight="1">
      <c r="A959" s="36"/>
      <c r="B959" s="37"/>
      <c r="C959" s="38"/>
      <c r="D959" s="29"/>
      <c r="E959" s="29"/>
      <c r="F959" s="29"/>
      <c r="G959" s="39"/>
      <c r="H959" s="29"/>
      <c r="I959" s="29"/>
    </row>
    <row r="960" spans="1:9" ht="22.5" customHeight="1">
      <c r="A960" s="36"/>
      <c r="B960" s="37"/>
      <c r="C960" s="38"/>
      <c r="D960" s="29"/>
      <c r="E960" s="29"/>
      <c r="F960" s="29"/>
      <c r="G960" s="39"/>
      <c r="H960" s="29"/>
      <c r="I960" s="29"/>
    </row>
    <row r="961" spans="1:9" ht="22.5" customHeight="1">
      <c r="A961" s="36"/>
      <c r="B961" s="37"/>
      <c r="C961" s="38"/>
      <c r="D961" s="29"/>
      <c r="E961" s="29"/>
      <c r="F961" s="29"/>
      <c r="G961" s="39"/>
      <c r="H961" s="29"/>
      <c r="I961" s="29"/>
    </row>
    <row r="962" spans="1:9" ht="22.5" customHeight="1">
      <c r="A962" s="36"/>
      <c r="B962" s="37"/>
      <c r="C962" s="38"/>
      <c r="D962" s="29"/>
      <c r="E962" s="29"/>
      <c r="F962" s="29"/>
      <c r="G962" s="39"/>
      <c r="H962" s="29"/>
      <c r="I962" s="29"/>
    </row>
    <row r="963" spans="1:9" ht="22.5" customHeight="1">
      <c r="A963" s="36"/>
      <c r="B963" s="37"/>
      <c r="C963" s="38"/>
      <c r="D963" s="29"/>
      <c r="E963" s="29"/>
      <c r="F963" s="29"/>
      <c r="G963" s="39"/>
      <c r="H963" s="29"/>
      <c r="I963" s="29"/>
    </row>
    <row r="964" spans="1:9" ht="22.5" customHeight="1">
      <c r="A964" s="36"/>
      <c r="B964" s="37"/>
      <c r="C964" s="38"/>
      <c r="D964" s="29"/>
      <c r="E964" s="29"/>
      <c r="F964" s="29"/>
      <c r="G964" s="39"/>
      <c r="H964" s="29"/>
      <c r="I964" s="29"/>
    </row>
    <row r="965" spans="1:9" ht="22.5" customHeight="1">
      <c r="A965" s="36"/>
      <c r="B965" s="37"/>
      <c r="C965" s="38"/>
      <c r="D965" s="29"/>
      <c r="E965" s="29"/>
      <c r="F965" s="29"/>
      <c r="G965" s="39"/>
      <c r="H965" s="29"/>
      <c r="I965" s="29"/>
    </row>
    <row r="966" spans="1:9" ht="22.5" customHeight="1">
      <c r="A966" s="36"/>
      <c r="B966" s="37"/>
      <c r="C966" s="38"/>
      <c r="D966" s="29"/>
      <c r="E966" s="29"/>
      <c r="F966" s="29"/>
      <c r="G966" s="39"/>
      <c r="H966" s="29"/>
      <c r="I966" s="29"/>
    </row>
    <row r="967" spans="1:9" ht="22.5" customHeight="1">
      <c r="A967" s="36"/>
      <c r="B967" s="37"/>
      <c r="C967" s="38"/>
      <c r="D967" s="29"/>
      <c r="E967" s="29"/>
      <c r="F967" s="29"/>
      <c r="G967" s="39"/>
      <c r="H967" s="29"/>
      <c r="I967" s="29"/>
    </row>
    <row r="968" spans="1:9" ht="22.5" customHeight="1">
      <c r="A968" s="36"/>
      <c r="B968" s="37"/>
      <c r="C968" s="38"/>
      <c r="D968" s="29"/>
      <c r="E968" s="29"/>
      <c r="F968" s="29"/>
      <c r="G968" s="39"/>
      <c r="H968" s="29"/>
      <c r="I968" s="29"/>
    </row>
    <row r="969" spans="1:9" ht="22.5" customHeight="1">
      <c r="A969" s="36"/>
      <c r="B969" s="37"/>
      <c r="C969" s="38"/>
      <c r="D969" s="29"/>
      <c r="E969" s="29"/>
      <c r="F969" s="29"/>
      <c r="G969" s="39"/>
      <c r="H969" s="29"/>
      <c r="I969" s="29"/>
    </row>
    <row r="970" spans="1:9" ht="22.5" customHeight="1">
      <c r="A970" s="36"/>
      <c r="B970" s="37"/>
      <c r="C970" s="38"/>
      <c r="D970" s="29"/>
      <c r="E970" s="29"/>
      <c r="F970" s="29"/>
      <c r="G970" s="39"/>
      <c r="H970" s="29"/>
      <c r="I970" s="29"/>
    </row>
    <row r="971" spans="1:9" ht="22.5" customHeight="1">
      <c r="A971" s="36"/>
      <c r="B971" s="37"/>
      <c r="C971" s="38"/>
      <c r="D971" s="29"/>
      <c r="E971" s="29"/>
      <c r="F971" s="29"/>
      <c r="G971" s="39"/>
      <c r="H971" s="29"/>
      <c r="I971" s="29"/>
    </row>
    <row r="972" spans="1:9" ht="22.5" customHeight="1">
      <c r="A972" s="36"/>
      <c r="B972" s="37"/>
      <c r="C972" s="38"/>
      <c r="D972" s="29"/>
      <c r="E972" s="29"/>
      <c r="F972" s="29"/>
      <c r="G972" s="39"/>
      <c r="H972" s="29"/>
      <c r="I972" s="29"/>
    </row>
    <row r="973" spans="1:9" ht="22.5" customHeight="1">
      <c r="A973" s="36"/>
      <c r="B973" s="37"/>
      <c r="C973" s="38"/>
      <c r="D973" s="29"/>
      <c r="E973" s="29"/>
      <c r="F973" s="29"/>
      <c r="G973" s="39"/>
      <c r="H973" s="29"/>
      <c r="I973" s="29"/>
    </row>
    <row r="974" spans="1:9" ht="22.5" customHeight="1">
      <c r="A974" s="36"/>
      <c r="B974" s="37"/>
      <c r="C974" s="38"/>
      <c r="D974" s="29"/>
      <c r="E974" s="29"/>
      <c r="F974" s="29"/>
      <c r="G974" s="39"/>
      <c r="H974" s="29"/>
      <c r="I974" s="29"/>
    </row>
    <row r="975" spans="1:9" ht="22.5" customHeight="1">
      <c r="A975" s="36"/>
      <c r="B975" s="37"/>
      <c r="C975" s="38"/>
      <c r="D975" s="29"/>
      <c r="E975" s="29"/>
      <c r="F975" s="29"/>
      <c r="G975" s="39"/>
      <c r="H975" s="29"/>
      <c r="I975" s="29"/>
    </row>
    <row r="976" spans="1:9" ht="22.5" customHeight="1">
      <c r="A976" s="36"/>
      <c r="B976" s="37"/>
      <c r="C976" s="38"/>
      <c r="D976" s="29"/>
      <c r="E976" s="29"/>
      <c r="F976" s="29"/>
      <c r="G976" s="39"/>
      <c r="H976" s="29"/>
      <c r="I976" s="29"/>
    </row>
    <row r="977" spans="1:9" ht="22.5" customHeight="1">
      <c r="A977" s="36"/>
      <c r="B977" s="37"/>
      <c r="C977" s="38"/>
      <c r="D977" s="29"/>
      <c r="E977" s="29"/>
      <c r="F977" s="29"/>
      <c r="G977" s="39"/>
      <c r="H977" s="29"/>
      <c r="I977" s="29"/>
    </row>
    <row r="978" spans="1:9" ht="22.5" customHeight="1">
      <c r="A978" s="36"/>
      <c r="B978" s="37"/>
      <c r="C978" s="38"/>
      <c r="D978" s="29"/>
      <c r="E978" s="29"/>
      <c r="F978" s="29"/>
      <c r="G978" s="39"/>
      <c r="H978" s="29"/>
      <c r="I978" s="29"/>
    </row>
    <row r="979" spans="1:9" ht="22.5" customHeight="1">
      <c r="A979" s="36"/>
      <c r="B979" s="37"/>
      <c r="C979" s="38"/>
      <c r="D979" s="29"/>
      <c r="E979" s="29"/>
      <c r="F979" s="29"/>
      <c r="G979" s="39"/>
      <c r="H979" s="29"/>
      <c r="I979" s="29"/>
    </row>
    <row r="980" spans="1:9" ht="22.5" customHeight="1">
      <c r="A980" s="36"/>
      <c r="B980" s="37"/>
      <c r="C980" s="38"/>
      <c r="D980" s="29"/>
      <c r="E980" s="29"/>
      <c r="F980" s="29"/>
      <c r="G980" s="39"/>
      <c r="H980" s="29"/>
      <c r="I980" s="29"/>
    </row>
    <row r="981" spans="1:9" ht="22.5" customHeight="1">
      <c r="A981" s="36"/>
      <c r="B981" s="37"/>
      <c r="C981" s="38"/>
      <c r="D981" s="29"/>
      <c r="E981" s="29"/>
      <c r="F981" s="29"/>
      <c r="G981" s="39"/>
      <c r="H981" s="29"/>
      <c r="I981" s="29"/>
    </row>
    <row r="982" spans="1:9" ht="22.5" customHeight="1">
      <c r="A982" s="36"/>
      <c r="B982" s="37"/>
      <c r="C982" s="38"/>
      <c r="D982" s="29"/>
      <c r="E982" s="29"/>
      <c r="F982" s="29"/>
      <c r="G982" s="39"/>
      <c r="H982" s="29"/>
      <c r="I982" s="29"/>
    </row>
    <row r="983" spans="1:9" ht="22.5" customHeight="1">
      <c r="A983" s="36"/>
      <c r="B983" s="37"/>
      <c r="C983" s="38"/>
      <c r="D983" s="29"/>
      <c r="E983" s="29"/>
      <c r="F983" s="29"/>
      <c r="G983" s="39"/>
      <c r="H983" s="29"/>
      <c r="I983" s="29"/>
    </row>
    <row r="984" spans="1:9" ht="22.5" customHeight="1">
      <c r="A984" s="36"/>
      <c r="B984" s="37"/>
      <c r="C984" s="38"/>
      <c r="D984" s="29"/>
      <c r="E984" s="29"/>
      <c r="F984" s="29"/>
      <c r="G984" s="39"/>
      <c r="H984" s="29"/>
      <c r="I984" s="29"/>
    </row>
    <row r="985" spans="1:9" ht="22.5" customHeight="1">
      <c r="A985" s="36"/>
      <c r="B985" s="37"/>
      <c r="C985" s="38"/>
      <c r="D985" s="29"/>
      <c r="E985" s="29"/>
      <c r="F985" s="29"/>
      <c r="G985" s="39"/>
      <c r="H985" s="29"/>
      <c r="I985" s="29"/>
    </row>
    <row r="986" spans="1:9" ht="22.5" customHeight="1">
      <c r="A986" s="36"/>
      <c r="B986" s="37"/>
      <c r="C986" s="38"/>
      <c r="D986" s="29"/>
      <c r="E986" s="29"/>
      <c r="F986" s="29"/>
      <c r="G986" s="39"/>
      <c r="H986" s="29"/>
      <c r="I986" s="29"/>
    </row>
    <row r="987" spans="1:9" ht="22.5" customHeight="1">
      <c r="A987" s="36"/>
      <c r="B987" s="37"/>
      <c r="C987" s="38"/>
      <c r="D987" s="29"/>
      <c r="E987" s="29"/>
      <c r="F987" s="29"/>
      <c r="G987" s="39"/>
      <c r="H987" s="29"/>
      <c r="I987" s="29"/>
    </row>
    <row r="988" spans="1:9" ht="22.5" customHeight="1">
      <c r="A988" s="36"/>
      <c r="B988" s="37"/>
      <c r="C988" s="38"/>
      <c r="D988" s="29"/>
      <c r="E988" s="29"/>
      <c r="F988" s="29"/>
      <c r="G988" s="39"/>
      <c r="H988" s="29"/>
      <c r="I988" s="29"/>
    </row>
    <row r="989" spans="1:9" ht="22.5" customHeight="1">
      <c r="A989" s="36"/>
      <c r="B989" s="37"/>
      <c r="C989" s="38"/>
      <c r="D989" s="29"/>
      <c r="E989" s="29"/>
      <c r="F989" s="29"/>
      <c r="G989" s="39"/>
      <c r="H989" s="29"/>
      <c r="I989" s="29"/>
    </row>
    <row r="990" spans="1:9" ht="22.5" customHeight="1">
      <c r="A990" s="36"/>
      <c r="B990" s="37"/>
      <c r="C990" s="38"/>
      <c r="D990" s="29"/>
      <c r="E990" s="29"/>
      <c r="F990" s="29"/>
      <c r="G990" s="39"/>
      <c r="H990" s="29"/>
      <c r="I990" s="29"/>
    </row>
    <row r="991" spans="1:9" ht="22.5" customHeight="1">
      <c r="A991" s="36"/>
      <c r="B991" s="37"/>
      <c r="C991" s="38"/>
      <c r="D991" s="29"/>
      <c r="E991" s="29"/>
      <c r="F991" s="29"/>
      <c r="G991" s="39"/>
      <c r="H991" s="29"/>
      <c r="I991" s="29"/>
    </row>
    <row r="992" spans="1:9" ht="22.5" customHeight="1">
      <c r="A992" s="36"/>
      <c r="B992" s="37"/>
      <c r="C992" s="38"/>
      <c r="D992" s="29"/>
      <c r="E992" s="29"/>
      <c r="F992" s="29"/>
      <c r="G992" s="39"/>
      <c r="H992" s="29"/>
      <c r="I992" s="29"/>
    </row>
    <row r="993" spans="1:9" ht="22.5" customHeight="1">
      <c r="A993" s="36"/>
      <c r="B993" s="37"/>
      <c r="C993" s="38"/>
      <c r="D993" s="29"/>
      <c r="E993" s="29"/>
      <c r="F993" s="29"/>
      <c r="G993" s="39"/>
      <c r="H993" s="29"/>
      <c r="I993" s="29"/>
    </row>
    <row r="994" spans="1:9" ht="22.5" customHeight="1">
      <c r="A994" s="36"/>
      <c r="B994" s="37"/>
      <c r="C994" s="38"/>
      <c r="D994" s="29"/>
      <c r="E994" s="29"/>
      <c r="F994" s="29"/>
      <c r="G994" s="39"/>
      <c r="H994" s="29"/>
      <c r="I994" s="29"/>
    </row>
    <row r="995" spans="1:9" ht="22.5" customHeight="1">
      <c r="A995" s="36"/>
      <c r="B995" s="37"/>
      <c r="C995" s="38"/>
      <c r="D995" s="29"/>
      <c r="E995" s="29"/>
      <c r="F995" s="29"/>
      <c r="G995" s="39"/>
      <c r="H995" s="29"/>
      <c r="I995" s="29"/>
    </row>
    <row r="996" spans="1:9" ht="22.5" customHeight="1">
      <c r="A996" s="36"/>
      <c r="B996" s="37"/>
      <c r="C996" s="38"/>
      <c r="D996" s="29"/>
      <c r="E996" s="29"/>
      <c r="F996" s="29"/>
      <c r="G996" s="39"/>
      <c r="H996" s="29"/>
      <c r="I996" s="29"/>
    </row>
    <row r="997" spans="1:9" ht="22.5" customHeight="1">
      <c r="A997" s="36"/>
      <c r="B997" s="37"/>
      <c r="C997" s="38"/>
      <c r="D997" s="29"/>
      <c r="E997" s="29"/>
      <c r="F997" s="29"/>
      <c r="G997" s="39"/>
      <c r="H997" s="29"/>
      <c r="I997" s="29"/>
    </row>
    <row r="998" spans="1:9" ht="22.5" customHeight="1">
      <c r="A998" s="36"/>
      <c r="B998" s="37"/>
      <c r="C998" s="38"/>
      <c r="D998" s="29"/>
      <c r="E998" s="29"/>
      <c r="F998" s="29"/>
      <c r="G998" s="39"/>
      <c r="H998" s="29"/>
      <c r="I998" s="29"/>
    </row>
    <row r="999" spans="1:9" ht="22.5" customHeight="1">
      <c r="A999" s="36"/>
      <c r="B999" s="37"/>
      <c r="C999" s="38"/>
      <c r="D999" s="29"/>
      <c r="E999" s="29"/>
      <c r="F999" s="29"/>
      <c r="G999" s="39"/>
      <c r="H999" s="29"/>
      <c r="I999" s="29"/>
    </row>
  </sheetData>
  <dataValidations count="2">
    <dataValidation type="list" allowBlank="1" sqref="C2:C999" xr:uid="{00000000-0002-0000-0400-000000000000}">
      <formula1>"رئيسي,فرعي"</formula1>
    </dataValidation>
    <dataValidation type="list" allowBlank="1" sqref="G2:G999" xr:uid="{00000000-0002-0000-0400-000001000000}">
      <formula1>#REF!</formula1>
    </dataValidation>
  </dataValidations>
  <hyperlinks>
    <hyperlink ref="B12" r:id="rId1" xr:uid="{00000000-0004-0000-0400-000000000000}"/>
    <hyperlink ref="B16" r:id="rId2" xr:uid="{00000000-0004-0000-0400-000001000000}"/>
    <hyperlink ref="B17" r:id="rId3" xr:uid="{00000000-0004-0000-0400-000002000000}"/>
    <hyperlink ref="B29" r:id="rId4" xr:uid="{00000000-0004-0000-0400-000003000000}"/>
    <hyperlink ref="B30" r:id="rId5" xr:uid="{00000000-0004-0000-04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المجمعين</vt:lpstr>
      <vt:lpstr>المعملجي</vt:lpstr>
      <vt:lpstr>الحر</vt:lpstr>
      <vt:lpstr>الطلبات</vt:lpstr>
      <vt:lpstr>الإعدادات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cp:lastPrinted>2026-02-02T05:06:05Z</cp:lastPrinted>
  <dcterms:modified xsi:type="dcterms:W3CDTF">2026-02-02T05:10:46Z</dcterms:modified>
</cp:coreProperties>
</file>