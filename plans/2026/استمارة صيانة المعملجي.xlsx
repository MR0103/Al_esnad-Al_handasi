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ملفات الكهرباء\"/>
    </mc:Choice>
  </mc:AlternateContent>
  <xr:revisionPtr revIDLastSave="0" documentId="13_ncr:1_{B941C910-EFBE-47B4-A902-DAC6B1029CA3}" xr6:coauthVersionLast="47" xr6:coauthVersionMax="47" xr10:uidLastSave="{00000000-0000-0000-0000-000000000000}"/>
  <bookViews>
    <workbookView xWindow="-120" yWindow="-120" windowWidth="29040" windowHeight="15720" xr2:uid="{00000000-000D-0000-FFFF-FFFF00000000}"/>
  </bookViews>
  <sheets>
    <sheet name="البيانات" sheetId="1" r:id="rId1"/>
    <sheet name="الكهرباء" sheetId="2" r:id="rId2"/>
    <sheet name="المدني" sheetId="3" r:id="rId3"/>
    <sheet name="الميكانيك" sheetId="4" r:id="rId4"/>
    <sheet name="التبريد" sheetId="5" r:id="rId5"/>
    <sheet name="الطلبات" sheetId="6" state="hidden" r:id="rId6"/>
    <sheet name="الإعدادات" sheetId="7" state="hidden" r:id="rId7"/>
  </sheets>
  <definedNames>
    <definedName name="Z_4FECA310_8B3B_49C3_9401_AF0C2EE4D6E8_.wvu.FilterData" localSheetId="0" hidden="1">البيانات!$A$1:$O$998</definedName>
    <definedName name="Z_4FECA310_8B3B_49C3_9401_AF0C2EE4D6E8_.wvu.FilterData" localSheetId="4" hidden="1">التبريد!$A$1:$J$1000</definedName>
    <definedName name="Z_4FECA310_8B3B_49C3_9401_AF0C2EE4D6E8_.wvu.FilterData" localSheetId="1" hidden="1">الكهرباء!$A$1:$J$1000</definedName>
    <definedName name="Z_4FECA310_8B3B_49C3_9401_AF0C2EE4D6E8_.wvu.FilterData" localSheetId="2" hidden="1">المدني!$A$1:$J$1000</definedName>
    <definedName name="Z_4FECA310_8B3B_49C3_9401_AF0C2EE4D6E8_.wvu.FilterData" localSheetId="3" hidden="1">الميكانيك!$A$1:$J$1000</definedName>
    <definedName name="Z_816D5D8C_D23B_4A0A_BDDA_A84BA4C05A2F_.wvu.FilterData" localSheetId="0" hidden="1">البيانات!$A$1:$O$998</definedName>
    <definedName name="Z_816D5D8C_D23B_4A0A_BDDA_A84BA4C05A2F_.wvu.FilterData" localSheetId="4" hidden="1">التبريد!$A$1:$J$1000</definedName>
    <definedName name="Z_816D5D8C_D23B_4A0A_BDDA_A84BA4C05A2F_.wvu.FilterData" localSheetId="1" hidden="1">الكهرباء!$A$1:$J$1000</definedName>
    <definedName name="Z_816D5D8C_D23B_4A0A_BDDA_A84BA4C05A2F_.wvu.FilterData" localSheetId="2" hidden="1">المدني!$A$1:$J$1000</definedName>
    <definedName name="Z_816D5D8C_D23B_4A0A_BDDA_A84BA4C05A2F_.wvu.FilterData" localSheetId="3" hidden="1">الميكانيك!$A$1:$J$1000</definedName>
    <definedName name="Z_E2A63158_D685_4879_B0A3_F19573B03065_.wvu.FilterData" localSheetId="0" hidden="1">البيانات!$A$1:$O$998</definedName>
    <definedName name="Z_E2A63158_D685_4879_B0A3_F19573B03065_.wvu.FilterData" localSheetId="4" hidden="1">التبريد!$A$1:$J$1000</definedName>
    <definedName name="Z_E2A63158_D685_4879_B0A3_F19573B03065_.wvu.FilterData" localSheetId="1" hidden="1">الكهرباء!$A$1:$J$1000</definedName>
    <definedName name="Z_E2A63158_D685_4879_B0A3_F19573B03065_.wvu.FilterData" localSheetId="2" hidden="1">المدني!$A$1:$J$1000</definedName>
    <definedName name="Z_E2A63158_D685_4879_B0A3_F19573B03065_.wvu.FilterData" localSheetId="3" hidden="1">الميكانيك!$A$1:$J$1000</definedName>
  </definedNames>
  <calcPr calcId="191029"/>
  <customWorkbookViews>
    <customWorkbookView name="الفلتر 3" guid="{816D5D8C-D23B-4A0A-BDDA-A84BA4C05A2F}" maximized="1" windowWidth="0" windowHeight="0" activeSheetId="0"/>
    <customWorkbookView name="الفلتر 2" guid="{4FECA310-8B3B-49C3-9401-AF0C2EE4D6E8}" maximized="1" windowWidth="0" windowHeight="0" activeSheetId="0"/>
    <customWorkbookView name="الفلتر 1" guid="{E2A63158-D685-4879-B0A3-F19573B0306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5" i="5" l="1"/>
  <c r="I45" i="5"/>
  <c r="H45" i="5"/>
  <c r="F45" i="5"/>
  <c r="E45" i="5"/>
  <c r="D45" i="5"/>
  <c r="C45" i="5"/>
  <c r="B45" i="5"/>
  <c r="A45" i="5"/>
  <c r="I44" i="5"/>
  <c r="H44" i="5"/>
  <c r="F44" i="5"/>
  <c r="E44" i="5"/>
  <c r="D44" i="5"/>
  <c r="C44" i="5"/>
  <c r="B44" i="5"/>
  <c r="A44" i="5"/>
  <c r="I43" i="5"/>
  <c r="H43" i="5"/>
  <c r="F43" i="5"/>
  <c r="E43" i="5"/>
  <c r="D43" i="5"/>
  <c r="C43" i="5"/>
  <c r="B43" i="5"/>
  <c r="A43" i="5"/>
  <c r="I42" i="5"/>
  <c r="H42" i="5"/>
  <c r="F42" i="5"/>
  <c r="E42" i="5"/>
  <c r="D42" i="5"/>
  <c r="C42" i="5"/>
  <c r="B42" i="5"/>
  <c r="A42" i="5"/>
  <c r="I41" i="5"/>
  <c r="H41" i="5"/>
  <c r="F41" i="5"/>
  <c r="E41" i="5"/>
  <c r="D41" i="5"/>
  <c r="C41" i="5"/>
  <c r="B41" i="5"/>
  <c r="A41" i="5"/>
  <c r="I40" i="5"/>
  <c r="H40" i="5"/>
  <c r="F40" i="5"/>
  <c r="E40" i="5"/>
  <c r="D40" i="5"/>
  <c r="C40" i="5"/>
  <c r="B40" i="5"/>
  <c r="A40" i="5"/>
  <c r="I39" i="5"/>
  <c r="H39" i="5"/>
  <c r="F39" i="5"/>
  <c r="E39" i="5"/>
  <c r="D39" i="5"/>
  <c r="C39" i="5"/>
  <c r="B39" i="5"/>
  <c r="A39" i="5"/>
  <c r="I38" i="5"/>
  <c r="H38" i="5"/>
  <c r="F38" i="5"/>
  <c r="E38" i="5"/>
  <c r="D38" i="5"/>
  <c r="C38" i="5"/>
  <c r="B38" i="5"/>
  <c r="A38" i="5"/>
  <c r="I37" i="5"/>
  <c r="H37" i="5"/>
  <c r="F37" i="5"/>
  <c r="E37" i="5"/>
  <c r="D37" i="5"/>
  <c r="C37" i="5"/>
  <c r="B37" i="5"/>
  <c r="A37" i="5"/>
  <c r="J36" i="5"/>
  <c r="I36" i="5"/>
  <c r="H36" i="5"/>
  <c r="F36" i="5"/>
  <c r="E36" i="5"/>
  <c r="D36" i="5"/>
  <c r="C36" i="5"/>
  <c r="B36" i="5"/>
  <c r="A36" i="5"/>
  <c r="I35" i="5"/>
  <c r="H35" i="5"/>
  <c r="F35" i="5"/>
  <c r="E35" i="5"/>
  <c r="D35" i="5"/>
  <c r="C35" i="5"/>
  <c r="B35" i="5"/>
  <c r="A35" i="5"/>
  <c r="I34" i="5"/>
  <c r="H34" i="5"/>
  <c r="F34" i="5"/>
  <c r="E34" i="5"/>
  <c r="D34" i="5"/>
  <c r="C34" i="5"/>
  <c r="B34" i="5"/>
  <c r="A34" i="5"/>
  <c r="J33" i="5"/>
  <c r="I33" i="5"/>
  <c r="H33" i="5"/>
  <c r="F33" i="5"/>
  <c r="E33" i="5"/>
  <c r="D33" i="5"/>
  <c r="C33" i="5"/>
  <c r="B33" i="5"/>
  <c r="A33" i="5"/>
  <c r="J32" i="5"/>
  <c r="I32" i="5"/>
  <c r="H32" i="5"/>
  <c r="F32" i="5"/>
  <c r="E32" i="5"/>
  <c r="D32" i="5"/>
  <c r="C32" i="5"/>
  <c r="B32" i="5"/>
  <c r="A32" i="5"/>
  <c r="J31" i="5"/>
  <c r="I31" i="5"/>
  <c r="H31" i="5"/>
  <c r="F31" i="5"/>
  <c r="E31" i="5"/>
  <c r="D31" i="5"/>
  <c r="C31" i="5"/>
  <c r="B31" i="5"/>
  <c r="A31" i="5"/>
  <c r="I30" i="5"/>
  <c r="H30" i="5"/>
  <c r="F30" i="5"/>
  <c r="E30" i="5"/>
  <c r="D30" i="5"/>
  <c r="C30" i="5"/>
  <c r="B30" i="5"/>
  <c r="A30" i="5"/>
  <c r="I29" i="5"/>
  <c r="H29" i="5"/>
  <c r="F29" i="5"/>
  <c r="E29" i="5"/>
  <c r="D29" i="5"/>
  <c r="C29" i="5"/>
  <c r="B29" i="5"/>
  <c r="A29" i="5"/>
  <c r="I28" i="5"/>
  <c r="H28" i="5"/>
  <c r="F28" i="5"/>
  <c r="E28" i="5"/>
  <c r="D28" i="5"/>
  <c r="C28" i="5"/>
  <c r="B28" i="5"/>
  <c r="A28" i="5"/>
  <c r="I27" i="5"/>
  <c r="H27" i="5"/>
  <c r="F27" i="5"/>
  <c r="E27" i="5"/>
  <c r="D27" i="5"/>
  <c r="C27" i="5"/>
  <c r="B27" i="5"/>
  <c r="A27" i="5"/>
  <c r="I26" i="5"/>
  <c r="H26" i="5"/>
  <c r="F26" i="5"/>
  <c r="E26" i="5"/>
  <c r="D26" i="5"/>
  <c r="C26" i="5"/>
  <c r="B26" i="5"/>
  <c r="A26" i="5"/>
  <c r="I25" i="5"/>
  <c r="H25" i="5"/>
  <c r="F25" i="5"/>
  <c r="E25" i="5"/>
  <c r="D25" i="5"/>
  <c r="C25" i="5"/>
  <c r="B25" i="5"/>
  <c r="A25" i="5"/>
  <c r="I24" i="5"/>
  <c r="H24" i="5"/>
  <c r="F24" i="5"/>
  <c r="E24" i="5"/>
  <c r="D24" i="5"/>
  <c r="C24" i="5"/>
  <c r="B24" i="5"/>
  <c r="A24" i="5"/>
  <c r="I23" i="5"/>
  <c r="H23" i="5"/>
  <c r="F23" i="5"/>
  <c r="E23" i="5"/>
  <c r="D23" i="5"/>
  <c r="C23" i="5"/>
  <c r="B23" i="5"/>
  <c r="A23" i="5"/>
  <c r="I22" i="5"/>
  <c r="H22" i="5"/>
  <c r="F22" i="5"/>
  <c r="E22" i="5"/>
  <c r="D22" i="5"/>
  <c r="C22" i="5"/>
  <c r="B22" i="5"/>
  <c r="A22" i="5"/>
  <c r="I21" i="5"/>
  <c r="H21" i="5"/>
  <c r="F21" i="5"/>
  <c r="E21" i="5"/>
  <c r="D21" i="5"/>
  <c r="C21" i="5"/>
  <c r="B21" i="5"/>
  <c r="A21" i="5"/>
  <c r="I20" i="5"/>
  <c r="H20" i="5"/>
  <c r="F20" i="5"/>
  <c r="E20" i="5"/>
  <c r="D20" i="5"/>
  <c r="C20" i="5"/>
  <c r="B20" i="5"/>
  <c r="A20" i="5"/>
  <c r="I19" i="5"/>
  <c r="H19" i="5"/>
  <c r="F19" i="5"/>
  <c r="E19" i="5"/>
  <c r="D19" i="5"/>
  <c r="C19" i="5"/>
  <c r="B19" i="5"/>
  <c r="A19" i="5"/>
  <c r="I18" i="5"/>
  <c r="H18" i="5"/>
  <c r="F18" i="5"/>
  <c r="E18" i="5"/>
  <c r="D18" i="5"/>
  <c r="C18" i="5"/>
  <c r="B18" i="5"/>
  <c r="A18" i="5"/>
  <c r="I17" i="5"/>
  <c r="H17" i="5"/>
  <c r="F17" i="5"/>
  <c r="E17" i="5"/>
  <c r="D17" i="5"/>
  <c r="C17" i="5"/>
  <c r="B17" i="5"/>
  <c r="A17" i="5"/>
  <c r="I16" i="5"/>
  <c r="H16" i="5"/>
  <c r="F16" i="5"/>
  <c r="E16" i="5"/>
  <c r="D16" i="5"/>
  <c r="C16" i="5"/>
  <c r="B16" i="5"/>
  <c r="A16" i="5"/>
  <c r="I15" i="5"/>
  <c r="H15" i="5"/>
  <c r="F15" i="5"/>
  <c r="E15" i="5"/>
  <c r="D15" i="5"/>
  <c r="C15" i="5"/>
  <c r="B15" i="5"/>
  <c r="A15" i="5"/>
  <c r="I14" i="5"/>
  <c r="H14" i="5"/>
  <c r="F14" i="5"/>
  <c r="E14" i="5"/>
  <c r="D14" i="5"/>
  <c r="C14" i="5"/>
  <c r="B14" i="5"/>
  <c r="A14" i="5"/>
  <c r="I13" i="5"/>
  <c r="H13" i="5"/>
  <c r="F13" i="5"/>
  <c r="E13" i="5"/>
  <c r="D13" i="5"/>
  <c r="C13" i="5"/>
  <c r="B13" i="5"/>
  <c r="A13" i="5"/>
  <c r="I12" i="5"/>
  <c r="H12" i="5"/>
  <c r="F12" i="5"/>
  <c r="E12" i="5"/>
  <c r="D12" i="5"/>
  <c r="C12" i="5"/>
  <c r="B12" i="5"/>
  <c r="A12" i="5"/>
  <c r="I11" i="5"/>
  <c r="H11" i="5"/>
  <c r="F11" i="5"/>
  <c r="E11" i="5"/>
  <c r="D11" i="5"/>
  <c r="C11" i="5"/>
  <c r="B11" i="5"/>
  <c r="A11" i="5"/>
  <c r="I10" i="5"/>
  <c r="H10" i="5"/>
  <c r="F10" i="5"/>
  <c r="E10" i="5"/>
  <c r="D10" i="5"/>
  <c r="C10" i="5"/>
  <c r="B10" i="5"/>
  <c r="A10" i="5"/>
  <c r="I9" i="5"/>
  <c r="H9" i="5"/>
  <c r="F9" i="5"/>
  <c r="E9" i="5"/>
  <c r="D9" i="5"/>
  <c r="C9" i="5"/>
  <c r="B9" i="5"/>
  <c r="A9" i="5"/>
  <c r="I8" i="5"/>
  <c r="H8" i="5"/>
  <c r="F8" i="5"/>
  <c r="E8" i="5"/>
  <c r="D8" i="5"/>
  <c r="C8" i="5"/>
  <c r="B8" i="5"/>
  <c r="A8" i="5"/>
  <c r="I7" i="5"/>
  <c r="H7" i="5"/>
  <c r="F7" i="5"/>
  <c r="E7" i="5"/>
  <c r="D7" i="5"/>
  <c r="C7" i="5"/>
  <c r="B7" i="5"/>
  <c r="A7" i="5"/>
  <c r="J6" i="5"/>
  <c r="I6" i="5"/>
  <c r="H6" i="5"/>
  <c r="F6" i="5"/>
  <c r="E6" i="5"/>
  <c r="D6" i="5"/>
  <c r="C6" i="5"/>
  <c r="B6" i="5"/>
  <c r="A6" i="5"/>
  <c r="J5" i="5"/>
  <c r="I5" i="5"/>
  <c r="H5" i="5"/>
  <c r="F5" i="5"/>
  <c r="E5" i="5"/>
  <c r="D5" i="5"/>
  <c r="C5" i="5"/>
  <c r="B5" i="5"/>
  <c r="A5" i="5"/>
  <c r="J4" i="5"/>
  <c r="I4" i="5"/>
  <c r="H4" i="5"/>
  <c r="F4" i="5"/>
  <c r="E4" i="5"/>
  <c r="D4" i="5"/>
  <c r="C4" i="5"/>
  <c r="B4" i="5"/>
  <c r="A4" i="5"/>
  <c r="J3" i="5"/>
  <c r="I3" i="5"/>
  <c r="H3" i="5"/>
  <c r="F3" i="5"/>
  <c r="E3" i="5"/>
  <c r="D3" i="5"/>
  <c r="C3" i="5"/>
  <c r="B3" i="5"/>
  <c r="A3" i="5"/>
  <c r="J2" i="5"/>
  <c r="I2" i="5"/>
  <c r="H2" i="5"/>
  <c r="F2" i="5"/>
  <c r="E2" i="5"/>
  <c r="D2" i="5"/>
  <c r="C2" i="5"/>
  <c r="B2" i="5"/>
  <c r="A2" i="5"/>
  <c r="J70" i="4"/>
  <c r="I70" i="4"/>
  <c r="H70" i="4"/>
  <c r="F70" i="4"/>
  <c r="E70" i="4"/>
  <c r="D70" i="4"/>
  <c r="C70" i="4"/>
  <c r="B70" i="4"/>
  <c r="A70" i="4"/>
  <c r="I69" i="4"/>
  <c r="H69" i="4"/>
  <c r="F69" i="4"/>
  <c r="E69" i="4"/>
  <c r="D69" i="4"/>
  <c r="C69" i="4"/>
  <c r="B69" i="4"/>
  <c r="A69" i="4"/>
  <c r="I68" i="4"/>
  <c r="H68" i="4"/>
  <c r="F68" i="4"/>
  <c r="E68" i="4"/>
  <c r="D68" i="4"/>
  <c r="C68" i="4"/>
  <c r="B68" i="4"/>
  <c r="A68" i="4"/>
  <c r="I67" i="4"/>
  <c r="H67" i="4"/>
  <c r="F67" i="4"/>
  <c r="E67" i="4"/>
  <c r="D67" i="4"/>
  <c r="C67" i="4"/>
  <c r="B67" i="4"/>
  <c r="A67" i="4"/>
  <c r="I66" i="4"/>
  <c r="H66" i="4"/>
  <c r="F66" i="4"/>
  <c r="E66" i="4"/>
  <c r="D66" i="4"/>
  <c r="C66" i="4"/>
  <c r="B66" i="4"/>
  <c r="A66" i="4"/>
  <c r="I65" i="4"/>
  <c r="H65" i="4"/>
  <c r="F65" i="4"/>
  <c r="E65" i="4"/>
  <c r="D65" i="4"/>
  <c r="C65" i="4"/>
  <c r="B65" i="4"/>
  <c r="A65" i="4"/>
  <c r="I64" i="4"/>
  <c r="H64" i="4"/>
  <c r="F64" i="4"/>
  <c r="E64" i="4"/>
  <c r="D64" i="4"/>
  <c r="C64" i="4"/>
  <c r="B64" i="4"/>
  <c r="A64" i="4"/>
  <c r="I63" i="4"/>
  <c r="H63" i="4"/>
  <c r="F63" i="4"/>
  <c r="E63" i="4"/>
  <c r="D63" i="4"/>
  <c r="C63" i="4"/>
  <c r="B63" i="4"/>
  <c r="A63" i="4"/>
  <c r="I62" i="4"/>
  <c r="H62" i="4"/>
  <c r="F62" i="4"/>
  <c r="E62" i="4"/>
  <c r="D62" i="4"/>
  <c r="C62" i="4"/>
  <c r="B62" i="4"/>
  <c r="A62" i="4"/>
  <c r="I61" i="4"/>
  <c r="H61" i="4"/>
  <c r="F61" i="4"/>
  <c r="E61" i="4"/>
  <c r="D61" i="4"/>
  <c r="C61" i="4"/>
  <c r="B61" i="4"/>
  <c r="A61" i="4"/>
  <c r="I60" i="4"/>
  <c r="H60" i="4"/>
  <c r="F60" i="4"/>
  <c r="E60" i="4"/>
  <c r="D60" i="4"/>
  <c r="C60" i="4"/>
  <c r="B60" i="4"/>
  <c r="A60" i="4"/>
  <c r="I59" i="4"/>
  <c r="H59" i="4"/>
  <c r="F59" i="4"/>
  <c r="E59" i="4"/>
  <c r="D59" i="4"/>
  <c r="C59" i="4"/>
  <c r="B59" i="4"/>
  <c r="A59" i="4"/>
  <c r="I58" i="4"/>
  <c r="H58" i="4"/>
  <c r="F58" i="4"/>
  <c r="E58" i="4"/>
  <c r="D58" i="4"/>
  <c r="C58" i="4"/>
  <c r="B58" i="4"/>
  <c r="A58" i="4"/>
  <c r="I57" i="4"/>
  <c r="H57" i="4"/>
  <c r="F57" i="4"/>
  <c r="E57" i="4"/>
  <c r="D57" i="4"/>
  <c r="C57" i="4"/>
  <c r="B57" i="4"/>
  <c r="A57" i="4"/>
  <c r="I56" i="4"/>
  <c r="H56" i="4"/>
  <c r="F56" i="4"/>
  <c r="E56" i="4"/>
  <c r="D56" i="4"/>
  <c r="C56" i="4"/>
  <c r="B56" i="4"/>
  <c r="A56" i="4"/>
  <c r="I55" i="4"/>
  <c r="H55" i="4"/>
  <c r="F55" i="4"/>
  <c r="E55" i="4"/>
  <c r="D55" i="4"/>
  <c r="C55" i="4"/>
  <c r="B55" i="4"/>
  <c r="A55" i="4"/>
  <c r="I54" i="4"/>
  <c r="H54" i="4"/>
  <c r="F54" i="4"/>
  <c r="E54" i="4"/>
  <c r="D54" i="4"/>
  <c r="C54" i="4"/>
  <c r="B54" i="4"/>
  <c r="A54" i="4"/>
  <c r="I53" i="4"/>
  <c r="H53" i="4"/>
  <c r="F53" i="4"/>
  <c r="E53" i="4"/>
  <c r="D53" i="4"/>
  <c r="C53" i="4"/>
  <c r="B53" i="4"/>
  <c r="A53" i="4"/>
  <c r="I52" i="4"/>
  <c r="H52" i="4"/>
  <c r="F52" i="4"/>
  <c r="E52" i="4"/>
  <c r="D52" i="4"/>
  <c r="C52" i="4"/>
  <c r="B52" i="4"/>
  <c r="A52" i="4"/>
  <c r="I51" i="4"/>
  <c r="H51" i="4"/>
  <c r="F51" i="4"/>
  <c r="E51" i="4"/>
  <c r="D51" i="4"/>
  <c r="C51" i="4"/>
  <c r="B51" i="4"/>
  <c r="A51" i="4"/>
  <c r="J50" i="4"/>
  <c r="I50" i="4"/>
  <c r="H50" i="4"/>
  <c r="F50" i="4"/>
  <c r="E50" i="4"/>
  <c r="D50" i="4"/>
  <c r="C50" i="4"/>
  <c r="B50" i="4"/>
  <c r="A50" i="4"/>
  <c r="J49" i="4"/>
  <c r="I49" i="4"/>
  <c r="H49" i="4"/>
  <c r="F49" i="4"/>
  <c r="E49" i="4"/>
  <c r="D49" i="4"/>
  <c r="C49" i="4"/>
  <c r="B49" i="4"/>
  <c r="A49" i="4"/>
  <c r="J48" i="4"/>
  <c r="I48" i="4"/>
  <c r="H48" i="4"/>
  <c r="F48" i="4"/>
  <c r="E48" i="4"/>
  <c r="D48" i="4"/>
  <c r="C48" i="4"/>
  <c r="B48" i="4"/>
  <c r="A48" i="4"/>
  <c r="J47" i="4"/>
  <c r="I47" i="4"/>
  <c r="H47" i="4"/>
  <c r="F47" i="4"/>
  <c r="E47" i="4"/>
  <c r="D47" i="4"/>
  <c r="C47" i="4"/>
  <c r="B47" i="4"/>
  <c r="A47" i="4"/>
  <c r="J46" i="4"/>
  <c r="I46" i="4"/>
  <c r="H46" i="4"/>
  <c r="F46" i="4"/>
  <c r="E46" i="4"/>
  <c r="D46" i="4"/>
  <c r="C46" i="4"/>
  <c r="B46" i="4"/>
  <c r="A46" i="4"/>
  <c r="J45" i="4"/>
  <c r="I45" i="4"/>
  <c r="H45" i="4"/>
  <c r="F45" i="4"/>
  <c r="E45" i="4"/>
  <c r="D45" i="4"/>
  <c r="C45" i="4"/>
  <c r="B45" i="4"/>
  <c r="A45" i="4"/>
  <c r="J44" i="4"/>
  <c r="I44" i="4"/>
  <c r="H44" i="4"/>
  <c r="F44" i="4"/>
  <c r="E44" i="4"/>
  <c r="D44" i="4"/>
  <c r="C44" i="4"/>
  <c r="B44" i="4"/>
  <c r="A44" i="4"/>
  <c r="J43" i="4"/>
  <c r="I43" i="4"/>
  <c r="H43" i="4"/>
  <c r="F43" i="4"/>
  <c r="E43" i="4"/>
  <c r="D43" i="4"/>
  <c r="C43" i="4"/>
  <c r="B43" i="4"/>
  <c r="A43" i="4"/>
  <c r="J42" i="4"/>
  <c r="I42" i="4"/>
  <c r="H42" i="4"/>
  <c r="F42" i="4"/>
  <c r="E42" i="4"/>
  <c r="D42" i="4"/>
  <c r="C42" i="4"/>
  <c r="B42" i="4"/>
  <c r="A42" i="4"/>
  <c r="J41" i="4"/>
  <c r="I41" i="4"/>
  <c r="H41" i="4"/>
  <c r="F41" i="4"/>
  <c r="E41" i="4"/>
  <c r="D41" i="4"/>
  <c r="C41" i="4"/>
  <c r="B41" i="4"/>
  <c r="A41" i="4"/>
  <c r="J40" i="4"/>
  <c r="I40" i="4"/>
  <c r="H40" i="4"/>
  <c r="F40" i="4"/>
  <c r="E40" i="4"/>
  <c r="D40" i="4"/>
  <c r="C40" i="4"/>
  <c r="B40" i="4"/>
  <c r="A40" i="4"/>
  <c r="J39" i="4"/>
  <c r="I39" i="4"/>
  <c r="H39" i="4"/>
  <c r="F39" i="4"/>
  <c r="E39" i="4"/>
  <c r="D39" i="4"/>
  <c r="C39" i="4"/>
  <c r="B39" i="4"/>
  <c r="A39" i="4"/>
  <c r="J38" i="4"/>
  <c r="I38" i="4"/>
  <c r="H38" i="4"/>
  <c r="F38" i="4"/>
  <c r="E38" i="4"/>
  <c r="D38" i="4"/>
  <c r="C38" i="4"/>
  <c r="B38" i="4"/>
  <c r="A38" i="4"/>
  <c r="I37" i="4"/>
  <c r="H37" i="4"/>
  <c r="F37" i="4"/>
  <c r="E37" i="4"/>
  <c r="D37" i="4"/>
  <c r="C37" i="4"/>
  <c r="B37" i="4"/>
  <c r="A37" i="4"/>
  <c r="I36" i="4"/>
  <c r="H36" i="4"/>
  <c r="F36" i="4"/>
  <c r="E36" i="4"/>
  <c r="D36" i="4"/>
  <c r="C36" i="4"/>
  <c r="B36" i="4"/>
  <c r="A36" i="4"/>
  <c r="I35" i="4"/>
  <c r="H35" i="4"/>
  <c r="F35" i="4"/>
  <c r="E35" i="4"/>
  <c r="D35" i="4"/>
  <c r="C35" i="4"/>
  <c r="B35" i="4"/>
  <c r="A35" i="4"/>
  <c r="I34" i="4"/>
  <c r="H34" i="4"/>
  <c r="F34" i="4"/>
  <c r="E34" i="4"/>
  <c r="D34" i="4"/>
  <c r="C34" i="4"/>
  <c r="B34" i="4"/>
  <c r="A34" i="4"/>
  <c r="I33" i="4"/>
  <c r="H33" i="4"/>
  <c r="F33" i="4"/>
  <c r="E33" i="4"/>
  <c r="D33" i="4"/>
  <c r="C33" i="4"/>
  <c r="B33" i="4"/>
  <c r="A33" i="4"/>
  <c r="I32" i="4"/>
  <c r="H32" i="4"/>
  <c r="F32" i="4"/>
  <c r="E32" i="4"/>
  <c r="D32" i="4"/>
  <c r="C32" i="4"/>
  <c r="B32" i="4"/>
  <c r="A32" i="4"/>
  <c r="I31" i="4"/>
  <c r="H31" i="4"/>
  <c r="F31" i="4"/>
  <c r="E31" i="4"/>
  <c r="D31" i="4"/>
  <c r="C31" i="4"/>
  <c r="B31" i="4"/>
  <c r="A31" i="4"/>
  <c r="J30" i="4"/>
  <c r="I30" i="4"/>
  <c r="H30" i="4"/>
  <c r="F30" i="4"/>
  <c r="E30" i="4"/>
  <c r="D30" i="4"/>
  <c r="C30" i="4"/>
  <c r="B30" i="4"/>
  <c r="A30" i="4"/>
  <c r="J29" i="4"/>
  <c r="I29" i="4"/>
  <c r="H29" i="4"/>
  <c r="F29" i="4"/>
  <c r="E29" i="4"/>
  <c r="D29" i="4"/>
  <c r="C29" i="4"/>
  <c r="B29" i="4"/>
  <c r="A29" i="4"/>
  <c r="J28" i="4"/>
  <c r="I28" i="4"/>
  <c r="H28" i="4"/>
  <c r="F28" i="4"/>
  <c r="E28" i="4"/>
  <c r="D28" i="4"/>
  <c r="C28" i="4"/>
  <c r="B28" i="4"/>
  <c r="A28" i="4"/>
  <c r="J27" i="4"/>
  <c r="I27" i="4"/>
  <c r="H27" i="4"/>
  <c r="F27" i="4"/>
  <c r="E27" i="4"/>
  <c r="D27" i="4"/>
  <c r="C27" i="4"/>
  <c r="B27" i="4"/>
  <c r="A27" i="4"/>
  <c r="J26" i="4"/>
  <c r="I26" i="4"/>
  <c r="H26" i="4"/>
  <c r="F26" i="4"/>
  <c r="E26" i="4"/>
  <c r="D26" i="4"/>
  <c r="C26" i="4"/>
  <c r="B26" i="4"/>
  <c r="A26" i="4"/>
  <c r="J25" i="4"/>
  <c r="I25" i="4"/>
  <c r="H25" i="4"/>
  <c r="F25" i="4"/>
  <c r="E25" i="4"/>
  <c r="D25" i="4"/>
  <c r="C25" i="4"/>
  <c r="B25" i="4"/>
  <c r="A25" i="4"/>
  <c r="J24" i="4"/>
  <c r="I24" i="4"/>
  <c r="H24" i="4"/>
  <c r="F24" i="4"/>
  <c r="E24" i="4"/>
  <c r="D24" i="4"/>
  <c r="C24" i="4"/>
  <c r="B24" i="4"/>
  <c r="A24" i="4"/>
  <c r="J23" i="4"/>
  <c r="I23" i="4"/>
  <c r="H23" i="4"/>
  <c r="F23" i="4"/>
  <c r="E23" i="4"/>
  <c r="D23" i="4"/>
  <c r="C23" i="4"/>
  <c r="B23" i="4"/>
  <c r="A23" i="4"/>
  <c r="J22" i="4"/>
  <c r="I22" i="4"/>
  <c r="H22" i="4"/>
  <c r="F22" i="4"/>
  <c r="E22" i="4"/>
  <c r="D22" i="4"/>
  <c r="C22" i="4"/>
  <c r="B22" i="4"/>
  <c r="A22" i="4"/>
  <c r="J21" i="4"/>
  <c r="I21" i="4"/>
  <c r="H21" i="4"/>
  <c r="F21" i="4"/>
  <c r="E21" i="4"/>
  <c r="D21" i="4"/>
  <c r="C21" i="4"/>
  <c r="B21" i="4"/>
  <c r="A21" i="4"/>
  <c r="J20" i="4"/>
  <c r="I20" i="4"/>
  <c r="H20" i="4"/>
  <c r="F20" i="4"/>
  <c r="E20" i="4"/>
  <c r="D20" i="4"/>
  <c r="C20" i="4"/>
  <c r="B20" i="4"/>
  <c r="A20" i="4"/>
  <c r="J19" i="4"/>
  <c r="I19" i="4"/>
  <c r="H19" i="4"/>
  <c r="F19" i="4"/>
  <c r="E19" i="4"/>
  <c r="D19" i="4"/>
  <c r="C19" i="4"/>
  <c r="B19" i="4"/>
  <c r="A19" i="4"/>
  <c r="J18" i="4"/>
  <c r="I18" i="4"/>
  <c r="H18" i="4"/>
  <c r="F18" i="4"/>
  <c r="E18" i="4"/>
  <c r="D18" i="4"/>
  <c r="C18" i="4"/>
  <c r="B18" i="4"/>
  <c r="A18" i="4"/>
  <c r="J17" i="4"/>
  <c r="I17" i="4"/>
  <c r="H17" i="4"/>
  <c r="F17" i="4"/>
  <c r="E17" i="4"/>
  <c r="D17" i="4"/>
  <c r="C17" i="4"/>
  <c r="B17" i="4"/>
  <c r="A17" i="4"/>
  <c r="J16" i="4"/>
  <c r="I16" i="4"/>
  <c r="H16" i="4"/>
  <c r="F16" i="4"/>
  <c r="E16" i="4"/>
  <c r="D16" i="4"/>
  <c r="C16" i="4"/>
  <c r="B16" i="4"/>
  <c r="A16" i="4"/>
  <c r="J15" i="4"/>
  <c r="I15" i="4"/>
  <c r="H15" i="4"/>
  <c r="F15" i="4"/>
  <c r="E15" i="4"/>
  <c r="D15" i="4"/>
  <c r="C15" i="4"/>
  <c r="B15" i="4"/>
  <c r="A15" i="4"/>
  <c r="J14" i="4"/>
  <c r="I14" i="4"/>
  <c r="H14" i="4"/>
  <c r="F14" i="4"/>
  <c r="E14" i="4"/>
  <c r="D14" i="4"/>
  <c r="C14" i="4"/>
  <c r="B14" i="4"/>
  <c r="A14" i="4"/>
  <c r="J13" i="4"/>
  <c r="I13" i="4"/>
  <c r="H13" i="4"/>
  <c r="F13" i="4"/>
  <c r="E13" i="4"/>
  <c r="D13" i="4"/>
  <c r="C13" i="4"/>
  <c r="B13" i="4"/>
  <c r="A13" i="4"/>
  <c r="J12" i="4"/>
  <c r="I12" i="4"/>
  <c r="H12" i="4"/>
  <c r="F12" i="4"/>
  <c r="E12" i="4"/>
  <c r="D12" i="4"/>
  <c r="C12" i="4"/>
  <c r="B12" i="4"/>
  <c r="A12" i="4"/>
  <c r="J11" i="4"/>
  <c r="I11" i="4"/>
  <c r="H11" i="4"/>
  <c r="F11" i="4"/>
  <c r="E11" i="4"/>
  <c r="D11" i="4"/>
  <c r="C11" i="4"/>
  <c r="B11" i="4"/>
  <c r="A11" i="4"/>
  <c r="J10" i="4"/>
  <c r="I10" i="4"/>
  <c r="H10" i="4"/>
  <c r="F10" i="4"/>
  <c r="E10" i="4"/>
  <c r="D10" i="4"/>
  <c r="C10" i="4"/>
  <c r="B10" i="4"/>
  <c r="A10" i="4"/>
  <c r="J9" i="4"/>
  <c r="I9" i="4"/>
  <c r="H9" i="4"/>
  <c r="F9" i="4"/>
  <c r="E9" i="4"/>
  <c r="D9" i="4"/>
  <c r="C9" i="4"/>
  <c r="B9" i="4"/>
  <c r="A9" i="4"/>
  <c r="J8" i="4"/>
  <c r="I8" i="4"/>
  <c r="H8" i="4"/>
  <c r="F8" i="4"/>
  <c r="E8" i="4"/>
  <c r="D8" i="4"/>
  <c r="C8" i="4"/>
  <c r="B8" i="4"/>
  <c r="A8" i="4"/>
  <c r="J7" i="4"/>
  <c r="I7" i="4"/>
  <c r="H7" i="4"/>
  <c r="F7" i="4"/>
  <c r="E7" i="4"/>
  <c r="D7" i="4"/>
  <c r="C7" i="4"/>
  <c r="B7" i="4"/>
  <c r="A7" i="4"/>
  <c r="J6" i="4"/>
  <c r="I6" i="4"/>
  <c r="H6" i="4"/>
  <c r="F6" i="4"/>
  <c r="E6" i="4"/>
  <c r="D6" i="4"/>
  <c r="C6" i="4"/>
  <c r="B6" i="4"/>
  <c r="A6" i="4"/>
  <c r="J5" i="4"/>
  <c r="I5" i="4"/>
  <c r="H5" i="4"/>
  <c r="F5" i="4"/>
  <c r="E5" i="4"/>
  <c r="D5" i="4"/>
  <c r="C5" i="4"/>
  <c r="B5" i="4"/>
  <c r="A5" i="4"/>
  <c r="J4" i="4"/>
  <c r="I4" i="4"/>
  <c r="H4" i="4"/>
  <c r="F4" i="4"/>
  <c r="E4" i="4"/>
  <c r="D4" i="4"/>
  <c r="C4" i="4"/>
  <c r="B4" i="4"/>
  <c r="A4" i="4"/>
  <c r="J3" i="4"/>
  <c r="I3" i="4"/>
  <c r="H3" i="4"/>
  <c r="F3" i="4"/>
  <c r="E3" i="4"/>
  <c r="D3" i="4"/>
  <c r="C3" i="4"/>
  <c r="B3" i="4"/>
  <c r="A3" i="4"/>
  <c r="J2" i="4"/>
  <c r="I2" i="4"/>
  <c r="H2" i="4"/>
  <c r="F2" i="4"/>
  <c r="E2" i="4"/>
  <c r="D2" i="4"/>
  <c r="C2" i="4"/>
  <c r="B2" i="4"/>
  <c r="A2" i="4"/>
  <c r="J91" i="3"/>
  <c r="I91" i="3"/>
  <c r="H91" i="3"/>
  <c r="F91" i="3"/>
  <c r="E91" i="3"/>
  <c r="D91" i="3"/>
  <c r="C91" i="3"/>
  <c r="B91" i="3"/>
  <c r="A91" i="3"/>
  <c r="I90" i="3"/>
  <c r="H90" i="3"/>
  <c r="F90" i="3"/>
  <c r="E90" i="3"/>
  <c r="D90" i="3"/>
  <c r="C90" i="3"/>
  <c r="B90" i="3"/>
  <c r="A90" i="3"/>
  <c r="I89" i="3"/>
  <c r="H89" i="3"/>
  <c r="F89" i="3"/>
  <c r="E89" i="3"/>
  <c r="D89" i="3"/>
  <c r="C89" i="3"/>
  <c r="B89" i="3"/>
  <c r="A89" i="3"/>
  <c r="I88" i="3"/>
  <c r="H88" i="3"/>
  <c r="F88" i="3"/>
  <c r="E88" i="3"/>
  <c r="D88" i="3"/>
  <c r="C88" i="3"/>
  <c r="B88" i="3"/>
  <c r="A88" i="3"/>
  <c r="I87" i="3"/>
  <c r="H87" i="3"/>
  <c r="F87" i="3"/>
  <c r="E87" i="3"/>
  <c r="D87" i="3"/>
  <c r="C87" i="3"/>
  <c r="B87" i="3"/>
  <c r="A87" i="3"/>
  <c r="I86" i="3"/>
  <c r="H86" i="3"/>
  <c r="F86" i="3"/>
  <c r="E86" i="3"/>
  <c r="D86" i="3"/>
  <c r="C86" i="3"/>
  <c r="B86" i="3"/>
  <c r="A86" i="3"/>
  <c r="I85" i="3"/>
  <c r="H85" i="3"/>
  <c r="F85" i="3"/>
  <c r="E85" i="3"/>
  <c r="D85" i="3"/>
  <c r="C85" i="3"/>
  <c r="B85" i="3"/>
  <c r="A85" i="3"/>
  <c r="I84" i="3"/>
  <c r="H84" i="3"/>
  <c r="F84" i="3"/>
  <c r="E84" i="3"/>
  <c r="D84" i="3"/>
  <c r="C84" i="3"/>
  <c r="B84" i="3"/>
  <c r="A84" i="3"/>
  <c r="I83" i="3"/>
  <c r="H83" i="3"/>
  <c r="F83" i="3"/>
  <c r="E83" i="3"/>
  <c r="D83" i="3"/>
  <c r="C83" i="3"/>
  <c r="B83" i="3"/>
  <c r="A83" i="3"/>
  <c r="I82" i="3"/>
  <c r="H82" i="3"/>
  <c r="F82" i="3"/>
  <c r="E82" i="3"/>
  <c r="D82" i="3"/>
  <c r="C82" i="3"/>
  <c r="B82" i="3"/>
  <c r="A82" i="3"/>
  <c r="I81" i="3"/>
  <c r="H81" i="3"/>
  <c r="F81" i="3"/>
  <c r="E81" i="3"/>
  <c r="D81" i="3"/>
  <c r="C81" i="3"/>
  <c r="B81" i="3"/>
  <c r="A81" i="3"/>
  <c r="J80" i="3"/>
  <c r="I80" i="3"/>
  <c r="H80" i="3"/>
  <c r="F80" i="3"/>
  <c r="E80" i="3"/>
  <c r="D80" i="3"/>
  <c r="C80" i="3"/>
  <c r="B80" i="3"/>
  <c r="A80" i="3"/>
  <c r="J79" i="3"/>
  <c r="I79" i="3"/>
  <c r="H79" i="3"/>
  <c r="F79" i="3"/>
  <c r="E79" i="3"/>
  <c r="D79" i="3"/>
  <c r="C79" i="3"/>
  <c r="B79" i="3"/>
  <c r="A79" i="3"/>
  <c r="J78" i="3"/>
  <c r="I78" i="3"/>
  <c r="H78" i="3"/>
  <c r="F78" i="3"/>
  <c r="E78" i="3"/>
  <c r="D78" i="3"/>
  <c r="C78" i="3"/>
  <c r="B78" i="3"/>
  <c r="A78" i="3"/>
  <c r="J77" i="3"/>
  <c r="I77" i="3"/>
  <c r="H77" i="3"/>
  <c r="F77" i="3"/>
  <c r="E77" i="3"/>
  <c r="D77" i="3"/>
  <c r="C77" i="3"/>
  <c r="B77" i="3"/>
  <c r="A77" i="3"/>
  <c r="J76" i="3"/>
  <c r="I76" i="3"/>
  <c r="H76" i="3"/>
  <c r="F76" i="3"/>
  <c r="E76" i="3"/>
  <c r="D76" i="3"/>
  <c r="C76" i="3"/>
  <c r="B76" i="3"/>
  <c r="A76" i="3"/>
  <c r="J75" i="3"/>
  <c r="I75" i="3"/>
  <c r="H75" i="3"/>
  <c r="F75" i="3"/>
  <c r="E75" i="3"/>
  <c r="D75" i="3"/>
  <c r="C75" i="3"/>
  <c r="B75" i="3"/>
  <c r="A75" i="3"/>
  <c r="J74" i="3"/>
  <c r="I74" i="3"/>
  <c r="H74" i="3"/>
  <c r="F74" i="3"/>
  <c r="E74" i="3"/>
  <c r="D74" i="3"/>
  <c r="C74" i="3"/>
  <c r="B74" i="3"/>
  <c r="A74" i="3"/>
  <c r="J73" i="3"/>
  <c r="I73" i="3"/>
  <c r="H73" i="3"/>
  <c r="F73" i="3"/>
  <c r="E73" i="3"/>
  <c r="D73" i="3"/>
  <c r="C73" i="3"/>
  <c r="B73" i="3"/>
  <c r="A73" i="3"/>
  <c r="J72" i="3"/>
  <c r="I72" i="3"/>
  <c r="H72" i="3"/>
  <c r="F72" i="3"/>
  <c r="E72" i="3"/>
  <c r="D72" i="3"/>
  <c r="C72" i="3"/>
  <c r="B72" i="3"/>
  <c r="A72" i="3"/>
  <c r="H71" i="3"/>
  <c r="F71" i="3"/>
  <c r="E71" i="3"/>
  <c r="D71" i="3"/>
  <c r="C71" i="3"/>
  <c r="B71" i="3"/>
  <c r="A71" i="3"/>
  <c r="J70" i="3"/>
  <c r="I70" i="3"/>
  <c r="H70" i="3"/>
  <c r="F70" i="3"/>
  <c r="E70" i="3"/>
  <c r="D70" i="3"/>
  <c r="C70" i="3"/>
  <c r="B70" i="3"/>
  <c r="A70" i="3"/>
  <c r="J69" i="3"/>
  <c r="I69" i="3"/>
  <c r="H69" i="3"/>
  <c r="F69" i="3"/>
  <c r="E69" i="3"/>
  <c r="D69" i="3"/>
  <c r="C69" i="3"/>
  <c r="B69" i="3"/>
  <c r="A69" i="3"/>
  <c r="J68" i="3"/>
  <c r="I68" i="3"/>
  <c r="H68" i="3"/>
  <c r="F68" i="3"/>
  <c r="E68" i="3"/>
  <c r="D68" i="3"/>
  <c r="C68" i="3"/>
  <c r="B68" i="3"/>
  <c r="A68" i="3"/>
  <c r="J67" i="3"/>
  <c r="I67" i="3"/>
  <c r="H67" i="3"/>
  <c r="F67" i="3"/>
  <c r="E67" i="3"/>
  <c r="D67" i="3"/>
  <c r="C67" i="3"/>
  <c r="B67" i="3"/>
  <c r="A67" i="3"/>
  <c r="J66" i="3"/>
  <c r="I66" i="3"/>
  <c r="H66" i="3"/>
  <c r="F66" i="3"/>
  <c r="E66" i="3"/>
  <c r="D66" i="3"/>
  <c r="C66" i="3"/>
  <c r="B66" i="3"/>
  <c r="A66" i="3"/>
  <c r="J65" i="3"/>
  <c r="I65" i="3"/>
  <c r="H65" i="3"/>
  <c r="F65" i="3"/>
  <c r="E65" i="3"/>
  <c r="D65" i="3"/>
  <c r="C65" i="3"/>
  <c r="B65" i="3"/>
  <c r="A65" i="3"/>
  <c r="J64" i="3"/>
  <c r="I64" i="3"/>
  <c r="H64" i="3"/>
  <c r="F64" i="3"/>
  <c r="E64" i="3"/>
  <c r="D64" i="3"/>
  <c r="C64" i="3"/>
  <c r="B64" i="3"/>
  <c r="A64" i="3"/>
  <c r="I63" i="3"/>
  <c r="H63" i="3"/>
  <c r="F63" i="3"/>
  <c r="E63" i="3"/>
  <c r="D63" i="3"/>
  <c r="C63" i="3"/>
  <c r="B63" i="3"/>
  <c r="A63" i="3"/>
  <c r="I62" i="3"/>
  <c r="H62" i="3"/>
  <c r="F62" i="3"/>
  <c r="E62" i="3"/>
  <c r="D62" i="3"/>
  <c r="C62" i="3"/>
  <c r="B62" i="3"/>
  <c r="A62" i="3"/>
  <c r="I61" i="3"/>
  <c r="H61" i="3"/>
  <c r="F61" i="3"/>
  <c r="E61" i="3"/>
  <c r="D61" i="3"/>
  <c r="C61" i="3"/>
  <c r="B61" i="3"/>
  <c r="A61" i="3"/>
  <c r="I60" i="3"/>
  <c r="H60" i="3"/>
  <c r="F60" i="3"/>
  <c r="E60" i="3"/>
  <c r="D60" i="3"/>
  <c r="C60" i="3"/>
  <c r="B60" i="3"/>
  <c r="A60" i="3"/>
  <c r="I59" i="3"/>
  <c r="H59" i="3"/>
  <c r="F59" i="3"/>
  <c r="E59" i="3"/>
  <c r="D59" i="3"/>
  <c r="C59" i="3"/>
  <c r="B59" i="3"/>
  <c r="A59" i="3"/>
  <c r="I58" i="3"/>
  <c r="H58" i="3"/>
  <c r="F58" i="3"/>
  <c r="E58" i="3"/>
  <c r="D58" i="3"/>
  <c r="C58" i="3"/>
  <c r="B58" i="3"/>
  <c r="A58" i="3"/>
  <c r="I57" i="3"/>
  <c r="H57" i="3"/>
  <c r="F57" i="3"/>
  <c r="E57" i="3"/>
  <c r="D57" i="3"/>
  <c r="C57" i="3"/>
  <c r="B57" i="3"/>
  <c r="A57" i="3"/>
  <c r="I56" i="3"/>
  <c r="H56" i="3"/>
  <c r="F56" i="3"/>
  <c r="E56" i="3"/>
  <c r="D56" i="3"/>
  <c r="C56" i="3"/>
  <c r="B56" i="3"/>
  <c r="A56" i="3"/>
  <c r="I55" i="3"/>
  <c r="H55" i="3"/>
  <c r="F55" i="3"/>
  <c r="E55" i="3"/>
  <c r="D55" i="3"/>
  <c r="C55" i="3"/>
  <c r="B55" i="3"/>
  <c r="A55" i="3"/>
  <c r="I54" i="3"/>
  <c r="H54" i="3"/>
  <c r="F54" i="3"/>
  <c r="E54" i="3"/>
  <c r="D54" i="3"/>
  <c r="C54" i="3"/>
  <c r="B54" i="3"/>
  <c r="A54" i="3"/>
  <c r="I53" i="3"/>
  <c r="H53" i="3"/>
  <c r="F53" i="3"/>
  <c r="E53" i="3"/>
  <c r="D53" i="3"/>
  <c r="C53" i="3"/>
  <c r="B53" i="3"/>
  <c r="A53" i="3"/>
  <c r="I52" i="3"/>
  <c r="H52" i="3"/>
  <c r="F52" i="3"/>
  <c r="E52" i="3"/>
  <c r="D52" i="3"/>
  <c r="C52" i="3"/>
  <c r="B52" i="3"/>
  <c r="A52" i="3"/>
  <c r="I51" i="3"/>
  <c r="H51" i="3"/>
  <c r="F51" i="3"/>
  <c r="E51" i="3"/>
  <c r="D51" i="3"/>
  <c r="C51" i="3"/>
  <c r="B51" i="3"/>
  <c r="A51" i="3"/>
  <c r="I50" i="3"/>
  <c r="H50" i="3"/>
  <c r="F50" i="3"/>
  <c r="E50" i="3"/>
  <c r="D50" i="3"/>
  <c r="C50" i="3"/>
  <c r="B50" i="3"/>
  <c r="A50" i="3"/>
  <c r="I49" i="3"/>
  <c r="H49" i="3"/>
  <c r="F49" i="3"/>
  <c r="E49" i="3"/>
  <c r="D49" i="3"/>
  <c r="C49" i="3"/>
  <c r="B49" i="3"/>
  <c r="A49" i="3"/>
  <c r="I48" i="3"/>
  <c r="H48" i="3"/>
  <c r="F48" i="3"/>
  <c r="E48" i="3"/>
  <c r="D48" i="3"/>
  <c r="C48" i="3"/>
  <c r="B48" i="3"/>
  <c r="A48" i="3"/>
  <c r="I47" i="3"/>
  <c r="H47" i="3"/>
  <c r="F47" i="3"/>
  <c r="E47" i="3"/>
  <c r="D47" i="3"/>
  <c r="C47" i="3"/>
  <c r="B47" i="3"/>
  <c r="A47" i="3"/>
  <c r="I46" i="3"/>
  <c r="H46" i="3"/>
  <c r="F46" i="3"/>
  <c r="E46" i="3"/>
  <c r="D46" i="3"/>
  <c r="C46" i="3"/>
  <c r="B46" i="3"/>
  <c r="A46" i="3"/>
  <c r="J45" i="3"/>
  <c r="I45" i="3"/>
  <c r="H45" i="3"/>
  <c r="F45" i="3"/>
  <c r="E45" i="3"/>
  <c r="D45" i="3"/>
  <c r="C45" i="3"/>
  <c r="B45" i="3"/>
  <c r="A45" i="3"/>
  <c r="I44" i="3"/>
  <c r="H44" i="3"/>
  <c r="F44" i="3"/>
  <c r="E44" i="3"/>
  <c r="D44" i="3"/>
  <c r="C44" i="3"/>
  <c r="B44" i="3"/>
  <c r="A44" i="3"/>
  <c r="J43" i="3"/>
  <c r="I43" i="3"/>
  <c r="H43" i="3"/>
  <c r="F43" i="3"/>
  <c r="E43" i="3"/>
  <c r="D43" i="3"/>
  <c r="C43" i="3"/>
  <c r="B43" i="3"/>
  <c r="A43" i="3"/>
  <c r="J42" i="3"/>
  <c r="I42" i="3"/>
  <c r="H42" i="3"/>
  <c r="F42" i="3"/>
  <c r="E42" i="3"/>
  <c r="D42" i="3"/>
  <c r="C42" i="3"/>
  <c r="B42" i="3"/>
  <c r="A42" i="3"/>
  <c r="J41" i="3"/>
  <c r="I41" i="3"/>
  <c r="H41" i="3"/>
  <c r="F41" i="3"/>
  <c r="E41" i="3"/>
  <c r="D41" i="3"/>
  <c r="C41" i="3"/>
  <c r="B41" i="3"/>
  <c r="A41" i="3"/>
  <c r="J40" i="3"/>
  <c r="I40" i="3"/>
  <c r="H40" i="3"/>
  <c r="F40" i="3"/>
  <c r="E40" i="3"/>
  <c r="D40" i="3"/>
  <c r="C40" i="3"/>
  <c r="B40" i="3"/>
  <c r="A40" i="3"/>
  <c r="J39" i="3"/>
  <c r="I39" i="3"/>
  <c r="H39" i="3"/>
  <c r="F39" i="3"/>
  <c r="E39" i="3"/>
  <c r="D39" i="3"/>
  <c r="C39" i="3"/>
  <c r="B39" i="3"/>
  <c r="A39" i="3"/>
  <c r="J38" i="3"/>
  <c r="I38" i="3"/>
  <c r="H38" i="3"/>
  <c r="F38" i="3"/>
  <c r="E38" i="3"/>
  <c r="D38" i="3"/>
  <c r="C38" i="3"/>
  <c r="B38" i="3"/>
  <c r="A38" i="3"/>
  <c r="J37" i="3"/>
  <c r="I37" i="3"/>
  <c r="H37" i="3"/>
  <c r="F37" i="3"/>
  <c r="E37" i="3"/>
  <c r="D37" i="3"/>
  <c r="C37" i="3"/>
  <c r="B37" i="3"/>
  <c r="A37" i="3"/>
  <c r="J36" i="3"/>
  <c r="I36" i="3"/>
  <c r="H36" i="3"/>
  <c r="F36" i="3"/>
  <c r="E36" i="3"/>
  <c r="D36" i="3"/>
  <c r="C36" i="3"/>
  <c r="B36" i="3"/>
  <c r="A36" i="3"/>
  <c r="J35" i="3"/>
  <c r="I35" i="3"/>
  <c r="H35" i="3"/>
  <c r="F35" i="3"/>
  <c r="E35" i="3"/>
  <c r="D35" i="3"/>
  <c r="C35" i="3"/>
  <c r="B35" i="3"/>
  <c r="A35" i="3"/>
  <c r="J34" i="3"/>
  <c r="I34" i="3"/>
  <c r="H34" i="3"/>
  <c r="F34" i="3"/>
  <c r="E34" i="3"/>
  <c r="D34" i="3"/>
  <c r="C34" i="3"/>
  <c r="B34" i="3"/>
  <c r="A34" i="3"/>
  <c r="J33" i="3"/>
  <c r="I33" i="3"/>
  <c r="H33" i="3"/>
  <c r="F33" i="3"/>
  <c r="E33" i="3"/>
  <c r="D33" i="3"/>
  <c r="C33" i="3"/>
  <c r="B33" i="3"/>
  <c r="A33" i="3"/>
  <c r="J32" i="3"/>
  <c r="I32" i="3"/>
  <c r="H32" i="3"/>
  <c r="F32" i="3"/>
  <c r="E32" i="3"/>
  <c r="D32" i="3"/>
  <c r="C32" i="3"/>
  <c r="B32" i="3"/>
  <c r="A32" i="3"/>
  <c r="J31" i="3"/>
  <c r="I31" i="3"/>
  <c r="H31" i="3"/>
  <c r="F31" i="3"/>
  <c r="E31" i="3"/>
  <c r="D31" i="3"/>
  <c r="C31" i="3"/>
  <c r="B31" i="3"/>
  <c r="A31" i="3"/>
  <c r="J30" i="3"/>
  <c r="I30" i="3"/>
  <c r="H30" i="3"/>
  <c r="F30" i="3"/>
  <c r="E30" i="3"/>
  <c r="D30" i="3"/>
  <c r="C30" i="3"/>
  <c r="B30" i="3"/>
  <c r="A30" i="3"/>
  <c r="J29" i="3"/>
  <c r="I29" i="3"/>
  <c r="H29" i="3"/>
  <c r="F29" i="3"/>
  <c r="E29" i="3"/>
  <c r="D29" i="3"/>
  <c r="C29" i="3"/>
  <c r="B29" i="3"/>
  <c r="A29" i="3"/>
  <c r="J28" i="3"/>
  <c r="I28" i="3"/>
  <c r="H28" i="3"/>
  <c r="F28" i="3"/>
  <c r="E28" i="3"/>
  <c r="D28" i="3"/>
  <c r="C28" i="3"/>
  <c r="B28" i="3"/>
  <c r="A28" i="3"/>
  <c r="J27" i="3"/>
  <c r="I27" i="3"/>
  <c r="H27" i="3"/>
  <c r="F27" i="3"/>
  <c r="E27" i="3"/>
  <c r="D27" i="3"/>
  <c r="C27" i="3"/>
  <c r="B27" i="3"/>
  <c r="A27" i="3"/>
  <c r="J26" i="3"/>
  <c r="I26" i="3"/>
  <c r="H26" i="3"/>
  <c r="F26" i="3"/>
  <c r="E26" i="3"/>
  <c r="D26" i="3"/>
  <c r="C26" i="3"/>
  <c r="B26" i="3"/>
  <c r="A26" i="3"/>
  <c r="J25" i="3"/>
  <c r="I25" i="3"/>
  <c r="H25" i="3"/>
  <c r="F25" i="3"/>
  <c r="E25" i="3"/>
  <c r="D25" i="3"/>
  <c r="C25" i="3"/>
  <c r="B25" i="3"/>
  <c r="A25" i="3"/>
  <c r="J24" i="3"/>
  <c r="I24" i="3"/>
  <c r="H24" i="3"/>
  <c r="F24" i="3"/>
  <c r="E24" i="3"/>
  <c r="D24" i="3"/>
  <c r="C24" i="3"/>
  <c r="B24" i="3"/>
  <c r="A24" i="3"/>
  <c r="J23" i="3"/>
  <c r="I23" i="3"/>
  <c r="H23" i="3"/>
  <c r="F23" i="3"/>
  <c r="E23" i="3"/>
  <c r="D23" i="3"/>
  <c r="C23" i="3"/>
  <c r="B23" i="3"/>
  <c r="A23" i="3"/>
  <c r="J22" i="3"/>
  <c r="I22" i="3"/>
  <c r="H22" i="3"/>
  <c r="F22" i="3"/>
  <c r="E22" i="3"/>
  <c r="D22" i="3"/>
  <c r="C22" i="3"/>
  <c r="B22" i="3"/>
  <c r="A22" i="3"/>
  <c r="J21" i="3"/>
  <c r="I21" i="3"/>
  <c r="H21" i="3"/>
  <c r="F21" i="3"/>
  <c r="E21" i="3"/>
  <c r="D21" i="3"/>
  <c r="C21" i="3"/>
  <c r="B21" i="3"/>
  <c r="A21" i="3"/>
  <c r="J20" i="3"/>
  <c r="I20" i="3"/>
  <c r="H20" i="3"/>
  <c r="F20" i="3"/>
  <c r="E20" i="3"/>
  <c r="D20" i="3"/>
  <c r="C20" i="3"/>
  <c r="B20" i="3"/>
  <c r="A20" i="3"/>
  <c r="J19" i="3"/>
  <c r="I19" i="3"/>
  <c r="H19" i="3"/>
  <c r="F19" i="3"/>
  <c r="E19" i="3"/>
  <c r="D19" i="3"/>
  <c r="C19" i="3"/>
  <c r="B19" i="3"/>
  <c r="A19" i="3"/>
  <c r="J18" i="3"/>
  <c r="I18" i="3"/>
  <c r="H18" i="3"/>
  <c r="F18" i="3"/>
  <c r="E18" i="3"/>
  <c r="D18" i="3"/>
  <c r="C18" i="3"/>
  <c r="B18" i="3"/>
  <c r="A18" i="3"/>
  <c r="J17" i="3"/>
  <c r="I17" i="3"/>
  <c r="H17" i="3"/>
  <c r="F17" i="3"/>
  <c r="E17" i="3"/>
  <c r="D17" i="3"/>
  <c r="C17" i="3"/>
  <c r="B17" i="3"/>
  <c r="A17" i="3"/>
  <c r="J16" i="3"/>
  <c r="I16" i="3"/>
  <c r="H16" i="3"/>
  <c r="F16" i="3"/>
  <c r="E16" i="3"/>
  <c r="D16" i="3"/>
  <c r="C16" i="3"/>
  <c r="B16" i="3"/>
  <c r="A16" i="3"/>
  <c r="J15" i="3"/>
  <c r="I15" i="3"/>
  <c r="H15" i="3"/>
  <c r="F15" i="3"/>
  <c r="E15" i="3"/>
  <c r="D15" i="3"/>
  <c r="C15" i="3"/>
  <c r="B15" i="3"/>
  <c r="A15" i="3"/>
  <c r="J14" i="3"/>
  <c r="I14" i="3"/>
  <c r="H14" i="3"/>
  <c r="F14" i="3"/>
  <c r="E14" i="3"/>
  <c r="D14" i="3"/>
  <c r="C14" i="3"/>
  <c r="B14" i="3"/>
  <c r="A14" i="3"/>
  <c r="I13" i="3"/>
  <c r="H13" i="3"/>
  <c r="F13" i="3"/>
  <c r="E13" i="3"/>
  <c r="D13" i="3"/>
  <c r="C13" i="3"/>
  <c r="B13" i="3"/>
  <c r="A13" i="3"/>
  <c r="I12" i="3"/>
  <c r="H12" i="3"/>
  <c r="F12" i="3"/>
  <c r="E12" i="3"/>
  <c r="D12" i="3"/>
  <c r="C12" i="3"/>
  <c r="B12" i="3"/>
  <c r="A12" i="3"/>
  <c r="I11" i="3"/>
  <c r="H11" i="3"/>
  <c r="F11" i="3"/>
  <c r="E11" i="3"/>
  <c r="D11" i="3"/>
  <c r="C11" i="3"/>
  <c r="B11" i="3"/>
  <c r="A11" i="3"/>
  <c r="I10" i="3"/>
  <c r="H10" i="3"/>
  <c r="F10" i="3"/>
  <c r="E10" i="3"/>
  <c r="D10" i="3"/>
  <c r="C10" i="3"/>
  <c r="B10" i="3"/>
  <c r="A10" i="3"/>
  <c r="I9" i="3"/>
  <c r="H9" i="3"/>
  <c r="F9" i="3"/>
  <c r="E9" i="3"/>
  <c r="D9" i="3"/>
  <c r="C9" i="3"/>
  <c r="B9" i="3"/>
  <c r="A9" i="3"/>
  <c r="J8" i="3"/>
  <c r="I8" i="3"/>
  <c r="H8" i="3"/>
  <c r="F8" i="3"/>
  <c r="E8" i="3"/>
  <c r="D8" i="3"/>
  <c r="C8" i="3"/>
  <c r="B8" i="3"/>
  <c r="A8" i="3"/>
  <c r="J7" i="3"/>
  <c r="I7" i="3"/>
  <c r="H7" i="3"/>
  <c r="F7" i="3"/>
  <c r="E7" i="3"/>
  <c r="D7" i="3"/>
  <c r="C7" i="3"/>
  <c r="B7" i="3"/>
  <c r="A7" i="3"/>
  <c r="J6" i="3"/>
  <c r="I6" i="3"/>
  <c r="H6" i="3"/>
  <c r="F6" i="3"/>
  <c r="E6" i="3"/>
  <c r="D6" i="3"/>
  <c r="C6" i="3"/>
  <c r="B6" i="3"/>
  <c r="A6" i="3"/>
  <c r="J5" i="3"/>
  <c r="I5" i="3"/>
  <c r="H5" i="3"/>
  <c r="F5" i="3"/>
  <c r="E5" i="3"/>
  <c r="D5" i="3"/>
  <c r="C5" i="3"/>
  <c r="B5" i="3"/>
  <c r="A5" i="3"/>
  <c r="J4" i="3"/>
  <c r="I4" i="3"/>
  <c r="H4" i="3"/>
  <c r="F4" i="3"/>
  <c r="E4" i="3"/>
  <c r="D4" i="3"/>
  <c r="C4" i="3"/>
  <c r="B4" i="3"/>
  <c r="A4" i="3"/>
  <c r="J3" i="3"/>
  <c r="I3" i="3"/>
  <c r="H3" i="3"/>
  <c r="F3" i="3"/>
  <c r="E3" i="3"/>
  <c r="D3" i="3"/>
  <c r="C3" i="3"/>
  <c r="B3" i="3"/>
  <c r="A3" i="3"/>
  <c r="J2" i="3"/>
  <c r="I2" i="3"/>
  <c r="H2" i="3"/>
  <c r="F2" i="3"/>
  <c r="E2" i="3"/>
  <c r="D2" i="3"/>
  <c r="C2" i="3"/>
  <c r="B2" i="3"/>
  <c r="A2" i="3"/>
  <c r="J122" i="2"/>
  <c r="I122" i="2"/>
  <c r="H122" i="2"/>
  <c r="F122" i="2"/>
  <c r="E122" i="2"/>
  <c r="D122" i="2"/>
  <c r="C122" i="2"/>
  <c r="B122" i="2"/>
  <c r="A122" i="2"/>
  <c r="J121" i="2"/>
  <c r="I121" i="2"/>
  <c r="H121" i="2"/>
  <c r="F121" i="2"/>
  <c r="E121" i="2"/>
  <c r="D121" i="2"/>
  <c r="C121" i="2"/>
  <c r="B121" i="2"/>
  <c r="A121" i="2"/>
  <c r="J120" i="2"/>
  <c r="I120" i="2"/>
  <c r="H120" i="2"/>
  <c r="F120" i="2"/>
  <c r="E120" i="2"/>
  <c r="D120" i="2"/>
  <c r="C120" i="2"/>
  <c r="B120" i="2"/>
  <c r="A120" i="2"/>
  <c r="J119" i="2"/>
  <c r="I119" i="2"/>
  <c r="H119" i="2"/>
  <c r="F119" i="2"/>
  <c r="E119" i="2"/>
  <c r="D119" i="2"/>
  <c r="C119" i="2"/>
  <c r="B119" i="2"/>
  <c r="A119" i="2"/>
  <c r="J118" i="2"/>
  <c r="I118" i="2"/>
  <c r="H118" i="2"/>
  <c r="F118" i="2"/>
  <c r="E118" i="2"/>
  <c r="D118" i="2"/>
  <c r="C118" i="2"/>
  <c r="B118" i="2"/>
  <c r="A118" i="2"/>
  <c r="J117" i="2"/>
  <c r="I117" i="2"/>
  <c r="H117" i="2"/>
  <c r="F117" i="2"/>
  <c r="E117" i="2"/>
  <c r="D117" i="2"/>
  <c r="C117" i="2"/>
  <c r="B117" i="2"/>
  <c r="A117" i="2"/>
  <c r="J116" i="2"/>
  <c r="I116" i="2"/>
  <c r="H116" i="2"/>
  <c r="F116" i="2"/>
  <c r="E116" i="2"/>
  <c r="D116" i="2"/>
  <c r="C116" i="2"/>
  <c r="B116" i="2"/>
  <c r="A116" i="2"/>
  <c r="J115" i="2"/>
  <c r="I115" i="2"/>
  <c r="H115" i="2"/>
  <c r="F115" i="2"/>
  <c r="E115" i="2"/>
  <c r="D115" i="2"/>
  <c r="C115" i="2"/>
  <c r="B115" i="2"/>
  <c r="A115" i="2"/>
  <c r="J114" i="2"/>
  <c r="I114" i="2"/>
  <c r="H114" i="2"/>
  <c r="F114" i="2"/>
  <c r="E114" i="2"/>
  <c r="D114" i="2"/>
  <c r="C114" i="2"/>
  <c r="B114" i="2"/>
  <c r="A114" i="2"/>
  <c r="J113" i="2"/>
  <c r="I113" i="2"/>
  <c r="H113" i="2"/>
  <c r="F113" i="2"/>
  <c r="E113" i="2"/>
  <c r="D113" i="2"/>
  <c r="C113" i="2"/>
  <c r="B113" i="2"/>
  <c r="A113" i="2"/>
  <c r="J112" i="2"/>
  <c r="I112" i="2"/>
  <c r="H112" i="2"/>
  <c r="F112" i="2"/>
  <c r="E112" i="2"/>
  <c r="D112" i="2"/>
  <c r="C112" i="2"/>
  <c r="B112" i="2"/>
  <c r="A112" i="2"/>
  <c r="J111" i="2"/>
  <c r="I111" i="2"/>
  <c r="H111" i="2"/>
  <c r="F111" i="2"/>
  <c r="E111" i="2"/>
  <c r="D111" i="2"/>
  <c r="C111" i="2"/>
  <c r="B111" i="2"/>
  <c r="A111" i="2"/>
  <c r="J110" i="2"/>
  <c r="I110" i="2"/>
  <c r="H110" i="2"/>
  <c r="F110" i="2"/>
  <c r="E110" i="2"/>
  <c r="D110" i="2"/>
  <c r="C110" i="2"/>
  <c r="B110" i="2"/>
  <c r="A110" i="2"/>
  <c r="J109" i="2"/>
  <c r="I109" i="2"/>
  <c r="H109" i="2"/>
  <c r="F109" i="2"/>
  <c r="E109" i="2"/>
  <c r="D109" i="2"/>
  <c r="C109" i="2"/>
  <c r="B109" i="2"/>
  <c r="A109" i="2"/>
  <c r="J108" i="2"/>
  <c r="I108" i="2"/>
  <c r="H108" i="2"/>
  <c r="F108" i="2"/>
  <c r="E108" i="2"/>
  <c r="D108" i="2"/>
  <c r="C108" i="2"/>
  <c r="B108" i="2"/>
  <c r="A108" i="2"/>
  <c r="J107" i="2"/>
  <c r="I107" i="2"/>
  <c r="H107" i="2"/>
  <c r="F107" i="2"/>
  <c r="E107" i="2"/>
  <c r="D107" i="2"/>
  <c r="C107" i="2"/>
  <c r="B107" i="2"/>
  <c r="A107" i="2"/>
  <c r="J106" i="2"/>
  <c r="I106" i="2"/>
  <c r="H106" i="2"/>
  <c r="F106" i="2"/>
  <c r="E106" i="2"/>
  <c r="D106" i="2"/>
  <c r="C106" i="2"/>
  <c r="B106" i="2"/>
  <c r="A106" i="2"/>
  <c r="J105" i="2"/>
  <c r="I105" i="2"/>
  <c r="H105" i="2"/>
  <c r="F105" i="2"/>
  <c r="E105" i="2"/>
  <c r="D105" i="2"/>
  <c r="C105" i="2"/>
  <c r="B105" i="2"/>
  <c r="A105" i="2"/>
  <c r="J104" i="2"/>
  <c r="I104" i="2"/>
  <c r="H104" i="2"/>
  <c r="F104" i="2"/>
  <c r="E104" i="2"/>
  <c r="D104" i="2"/>
  <c r="C104" i="2"/>
  <c r="B104" i="2"/>
  <c r="A104" i="2"/>
  <c r="J103" i="2"/>
  <c r="I103" i="2"/>
  <c r="H103" i="2"/>
  <c r="F103" i="2"/>
  <c r="E103" i="2"/>
  <c r="D103" i="2"/>
  <c r="C103" i="2"/>
  <c r="B103" i="2"/>
  <c r="A103" i="2"/>
  <c r="J102" i="2"/>
  <c r="I102" i="2"/>
  <c r="H102" i="2"/>
  <c r="F102" i="2"/>
  <c r="E102" i="2"/>
  <c r="D102" i="2"/>
  <c r="C102" i="2"/>
  <c r="B102" i="2"/>
  <c r="A102" i="2"/>
  <c r="J101" i="2"/>
  <c r="I101" i="2"/>
  <c r="H101" i="2"/>
  <c r="F101" i="2"/>
  <c r="E101" i="2"/>
  <c r="D101" i="2"/>
  <c r="C101" i="2"/>
  <c r="B101" i="2"/>
  <c r="A101" i="2"/>
  <c r="J100" i="2"/>
  <c r="I100" i="2"/>
  <c r="H100" i="2"/>
  <c r="F100" i="2"/>
  <c r="E100" i="2"/>
  <c r="D100" i="2"/>
  <c r="C100" i="2"/>
  <c r="B100" i="2"/>
  <c r="A100" i="2"/>
  <c r="J99" i="2"/>
  <c r="I99" i="2"/>
  <c r="H99" i="2"/>
  <c r="F99" i="2"/>
  <c r="E99" i="2"/>
  <c r="D99" i="2"/>
  <c r="C99" i="2"/>
  <c r="B99" i="2"/>
  <c r="A99" i="2"/>
  <c r="J98" i="2"/>
  <c r="I98" i="2"/>
  <c r="H98" i="2"/>
  <c r="F98" i="2"/>
  <c r="E98" i="2"/>
  <c r="D98" i="2"/>
  <c r="C98" i="2"/>
  <c r="B98" i="2"/>
  <c r="A98" i="2"/>
  <c r="J97" i="2"/>
  <c r="I97" i="2"/>
  <c r="H97" i="2"/>
  <c r="F97" i="2"/>
  <c r="E97" i="2"/>
  <c r="D97" i="2"/>
  <c r="C97" i="2"/>
  <c r="B97" i="2"/>
  <c r="A97" i="2"/>
  <c r="J96" i="2"/>
  <c r="I96" i="2"/>
  <c r="H96" i="2"/>
  <c r="F96" i="2"/>
  <c r="E96" i="2"/>
  <c r="D96" i="2"/>
  <c r="C96" i="2"/>
  <c r="B96" i="2"/>
  <c r="A96" i="2"/>
  <c r="J95" i="2"/>
  <c r="I95" i="2"/>
  <c r="H95" i="2"/>
  <c r="F95" i="2"/>
  <c r="E95" i="2"/>
  <c r="D95" i="2"/>
  <c r="C95" i="2"/>
  <c r="B95" i="2"/>
  <c r="A95" i="2"/>
  <c r="J94" i="2"/>
  <c r="I94" i="2"/>
  <c r="H94" i="2"/>
  <c r="F94" i="2"/>
  <c r="E94" i="2"/>
  <c r="D94" i="2"/>
  <c r="C94" i="2"/>
  <c r="B94" i="2"/>
  <c r="A94" i="2"/>
  <c r="J93" i="2"/>
  <c r="I93" i="2"/>
  <c r="H93" i="2"/>
  <c r="F93" i="2"/>
  <c r="E93" i="2"/>
  <c r="D93" i="2"/>
  <c r="C93" i="2"/>
  <c r="B93" i="2"/>
  <c r="A93" i="2"/>
  <c r="J92" i="2"/>
  <c r="I92" i="2"/>
  <c r="H92" i="2"/>
  <c r="F92" i="2"/>
  <c r="E92" i="2"/>
  <c r="D92" i="2"/>
  <c r="C92" i="2"/>
  <c r="B92" i="2"/>
  <c r="A92" i="2"/>
  <c r="J91" i="2"/>
  <c r="I91" i="2"/>
  <c r="H91" i="2"/>
  <c r="F91" i="2"/>
  <c r="E91" i="2"/>
  <c r="D91" i="2"/>
  <c r="C91" i="2"/>
  <c r="B91" i="2"/>
  <c r="A91" i="2"/>
  <c r="J90" i="2"/>
  <c r="I90" i="2"/>
  <c r="H90" i="2"/>
  <c r="F90" i="2"/>
  <c r="E90" i="2"/>
  <c r="D90" i="2"/>
  <c r="C90" i="2"/>
  <c r="B90" i="2"/>
  <c r="A90" i="2"/>
  <c r="J89" i="2"/>
  <c r="I89" i="2"/>
  <c r="H89" i="2"/>
  <c r="F89" i="2"/>
  <c r="E89" i="2"/>
  <c r="D89" i="2"/>
  <c r="C89" i="2"/>
  <c r="B89" i="2"/>
  <c r="A89" i="2"/>
  <c r="J88" i="2"/>
  <c r="I88" i="2"/>
  <c r="H88" i="2"/>
  <c r="F88" i="2"/>
  <c r="E88" i="2"/>
  <c r="D88" i="2"/>
  <c r="C88" i="2"/>
  <c r="B88" i="2"/>
  <c r="A88" i="2"/>
  <c r="J87" i="2"/>
  <c r="I87" i="2"/>
  <c r="H87" i="2"/>
  <c r="F87" i="2"/>
  <c r="E87" i="2"/>
  <c r="D87" i="2"/>
  <c r="C87" i="2"/>
  <c r="B87" i="2"/>
  <c r="A87" i="2"/>
  <c r="J86" i="2"/>
  <c r="I86" i="2"/>
  <c r="H86" i="2"/>
  <c r="F86" i="2"/>
  <c r="E86" i="2"/>
  <c r="D86" i="2"/>
  <c r="C86" i="2"/>
  <c r="B86" i="2"/>
  <c r="A86" i="2"/>
  <c r="J85" i="2"/>
  <c r="I85" i="2"/>
  <c r="H85" i="2"/>
  <c r="F85" i="2"/>
  <c r="E85" i="2"/>
  <c r="D85" i="2"/>
  <c r="C85" i="2"/>
  <c r="B85" i="2"/>
  <c r="A85" i="2"/>
  <c r="J84" i="2"/>
  <c r="I84" i="2"/>
  <c r="H84" i="2"/>
  <c r="F84" i="2"/>
  <c r="E84" i="2"/>
  <c r="D84" i="2"/>
  <c r="C84" i="2"/>
  <c r="B84" i="2"/>
  <c r="A84" i="2"/>
  <c r="J83" i="2"/>
  <c r="I83" i="2"/>
  <c r="H83" i="2"/>
  <c r="F83" i="2"/>
  <c r="E83" i="2"/>
  <c r="D83" i="2"/>
  <c r="C83" i="2"/>
  <c r="B83" i="2"/>
  <c r="A83" i="2"/>
  <c r="J82" i="2"/>
  <c r="I82" i="2"/>
  <c r="H82" i="2"/>
  <c r="F82" i="2"/>
  <c r="E82" i="2"/>
  <c r="D82" i="2"/>
  <c r="C82" i="2"/>
  <c r="B82" i="2"/>
  <c r="A82" i="2"/>
  <c r="J81" i="2"/>
  <c r="I81" i="2"/>
  <c r="H81" i="2"/>
  <c r="F81" i="2"/>
  <c r="E81" i="2"/>
  <c r="D81" i="2"/>
  <c r="C81" i="2"/>
  <c r="B81" i="2"/>
  <c r="A81" i="2"/>
  <c r="J80" i="2"/>
  <c r="I80" i="2"/>
  <c r="H80" i="2"/>
  <c r="F80" i="2"/>
  <c r="E80" i="2"/>
  <c r="D80" i="2"/>
  <c r="C80" i="2"/>
  <c r="B80" i="2"/>
  <c r="A80" i="2"/>
  <c r="J79" i="2"/>
  <c r="I79" i="2"/>
  <c r="H79" i="2"/>
  <c r="F79" i="2"/>
  <c r="E79" i="2"/>
  <c r="D79" i="2"/>
  <c r="C79" i="2"/>
  <c r="B79" i="2"/>
  <c r="A79" i="2"/>
  <c r="J78" i="2"/>
  <c r="I78" i="2"/>
  <c r="H78" i="2"/>
  <c r="F78" i="2"/>
  <c r="E78" i="2"/>
  <c r="D78" i="2"/>
  <c r="C78" i="2"/>
  <c r="B78" i="2"/>
  <c r="A78" i="2"/>
  <c r="J77" i="2"/>
  <c r="I77" i="2"/>
  <c r="H77" i="2"/>
  <c r="F77" i="2"/>
  <c r="E77" i="2"/>
  <c r="D77" i="2"/>
  <c r="C77" i="2"/>
  <c r="B77" i="2"/>
  <c r="A77" i="2"/>
  <c r="J76" i="2"/>
  <c r="I76" i="2"/>
  <c r="H76" i="2"/>
  <c r="F76" i="2"/>
  <c r="E76" i="2"/>
  <c r="D76" i="2"/>
  <c r="C76" i="2"/>
  <c r="B76" i="2"/>
  <c r="A76" i="2"/>
  <c r="J75" i="2"/>
  <c r="I75" i="2"/>
  <c r="H75" i="2"/>
  <c r="F75" i="2"/>
  <c r="E75" i="2"/>
  <c r="D75" i="2"/>
  <c r="C75" i="2"/>
  <c r="B75" i="2"/>
  <c r="A75" i="2"/>
  <c r="J74" i="2"/>
  <c r="I74" i="2"/>
  <c r="H74" i="2"/>
  <c r="F74" i="2"/>
  <c r="E74" i="2"/>
  <c r="D74" i="2"/>
  <c r="C74" i="2"/>
  <c r="B74" i="2"/>
  <c r="A74" i="2"/>
  <c r="J73" i="2"/>
  <c r="I73" i="2"/>
  <c r="H73" i="2"/>
  <c r="F73" i="2"/>
  <c r="E73" i="2"/>
  <c r="D73" i="2"/>
  <c r="C73" i="2"/>
  <c r="B73" i="2"/>
  <c r="A73" i="2"/>
  <c r="J72" i="2"/>
  <c r="I72" i="2"/>
  <c r="H72" i="2"/>
  <c r="F72" i="2"/>
  <c r="E72" i="2"/>
  <c r="D72" i="2"/>
  <c r="C72" i="2"/>
  <c r="B72" i="2"/>
  <c r="A72" i="2"/>
  <c r="J71" i="2"/>
  <c r="I71" i="2"/>
  <c r="H71" i="2"/>
  <c r="F71" i="2"/>
  <c r="E71" i="2"/>
  <c r="D71" i="2"/>
  <c r="C71" i="2"/>
  <c r="B71" i="2"/>
  <c r="A71" i="2"/>
  <c r="J70" i="2"/>
  <c r="I70" i="2"/>
  <c r="H70" i="2"/>
  <c r="F70" i="2"/>
  <c r="E70" i="2"/>
  <c r="D70" i="2"/>
  <c r="C70" i="2"/>
  <c r="B70" i="2"/>
  <c r="A70" i="2"/>
  <c r="J69" i="2"/>
  <c r="I69" i="2"/>
  <c r="H69" i="2"/>
  <c r="F69" i="2"/>
  <c r="E69" i="2"/>
  <c r="D69" i="2"/>
  <c r="C69" i="2"/>
  <c r="B69" i="2"/>
  <c r="A69" i="2"/>
  <c r="J68" i="2"/>
  <c r="I68" i="2"/>
  <c r="H68" i="2"/>
  <c r="F68" i="2"/>
  <c r="E68" i="2"/>
  <c r="D68" i="2"/>
  <c r="C68" i="2"/>
  <c r="B68" i="2"/>
  <c r="A68" i="2"/>
  <c r="J67" i="2"/>
  <c r="I67" i="2"/>
  <c r="H67" i="2"/>
  <c r="F67" i="2"/>
  <c r="E67" i="2"/>
  <c r="D67" i="2"/>
  <c r="C67" i="2"/>
  <c r="B67" i="2"/>
  <c r="A67" i="2"/>
  <c r="J66" i="2"/>
  <c r="I66" i="2"/>
  <c r="H66" i="2"/>
  <c r="F66" i="2"/>
  <c r="E66" i="2"/>
  <c r="D66" i="2"/>
  <c r="C66" i="2"/>
  <c r="B66" i="2"/>
  <c r="A66" i="2"/>
  <c r="J65" i="2"/>
  <c r="I65" i="2"/>
  <c r="H65" i="2"/>
  <c r="F65" i="2"/>
  <c r="E65" i="2"/>
  <c r="D65" i="2"/>
  <c r="C65" i="2"/>
  <c r="B65" i="2"/>
  <c r="A65" i="2"/>
  <c r="J64" i="2"/>
  <c r="I64" i="2"/>
  <c r="H64" i="2"/>
  <c r="F64" i="2"/>
  <c r="E64" i="2"/>
  <c r="D64" i="2"/>
  <c r="C64" i="2"/>
  <c r="B64" i="2"/>
  <c r="A64" i="2"/>
  <c r="J63" i="2"/>
  <c r="I63" i="2"/>
  <c r="H63" i="2"/>
  <c r="F63" i="2"/>
  <c r="E63" i="2"/>
  <c r="D63" i="2"/>
  <c r="C63" i="2"/>
  <c r="B63" i="2"/>
  <c r="A63" i="2"/>
  <c r="J62" i="2"/>
  <c r="I62" i="2"/>
  <c r="H62" i="2"/>
  <c r="F62" i="2"/>
  <c r="E62" i="2"/>
  <c r="D62" i="2"/>
  <c r="C62" i="2"/>
  <c r="B62" i="2"/>
  <c r="A62" i="2"/>
  <c r="J61" i="2"/>
  <c r="I61" i="2"/>
  <c r="H61" i="2"/>
  <c r="F61" i="2"/>
  <c r="E61" i="2"/>
  <c r="D61" i="2"/>
  <c r="C61" i="2"/>
  <c r="B61" i="2"/>
  <c r="A61" i="2"/>
  <c r="J60" i="2"/>
  <c r="I60" i="2"/>
  <c r="H60" i="2"/>
  <c r="F60" i="2"/>
  <c r="E60" i="2"/>
  <c r="D60" i="2"/>
  <c r="C60" i="2"/>
  <c r="B60" i="2"/>
  <c r="A60" i="2"/>
  <c r="J59" i="2"/>
  <c r="I59" i="2"/>
  <c r="H59" i="2"/>
  <c r="F59" i="2"/>
  <c r="E59" i="2"/>
  <c r="D59" i="2"/>
  <c r="C59" i="2"/>
  <c r="B59" i="2"/>
  <c r="A59" i="2"/>
  <c r="J58" i="2"/>
  <c r="I58" i="2"/>
  <c r="H58" i="2"/>
  <c r="F58" i="2"/>
  <c r="E58" i="2"/>
  <c r="D58" i="2"/>
  <c r="C58" i="2"/>
  <c r="B58" i="2"/>
  <c r="A58" i="2"/>
  <c r="J57" i="2"/>
  <c r="I57" i="2"/>
  <c r="H57" i="2"/>
  <c r="F57" i="2"/>
  <c r="E57" i="2"/>
  <c r="D57" i="2"/>
  <c r="C57" i="2"/>
  <c r="B57" i="2"/>
  <c r="A57" i="2"/>
  <c r="J56" i="2"/>
  <c r="I56" i="2"/>
  <c r="H56" i="2"/>
  <c r="F56" i="2"/>
  <c r="E56" i="2"/>
  <c r="D56" i="2"/>
  <c r="C56" i="2"/>
  <c r="B56" i="2"/>
  <c r="A56" i="2"/>
  <c r="J55" i="2"/>
  <c r="I55" i="2"/>
  <c r="H55" i="2"/>
  <c r="F55" i="2"/>
  <c r="E55" i="2"/>
  <c r="D55" i="2"/>
  <c r="C55" i="2"/>
  <c r="B55" i="2"/>
  <c r="A55" i="2"/>
  <c r="J54" i="2"/>
  <c r="I54" i="2"/>
  <c r="H54" i="2"/>
  <c r="F54" i="2"/>
  <c r="E54" i="2"/>
  <c r="D54" i="2"/>
  <c r="C54" i="2"/>
  <c r="B54" i="2"/>
  <c r="A54" i="2"/>
  <c r="J53" i="2"/>
  <c r="I53" i="2"/>
  <c r="H53" i="2"/>
  <c r="F53" i="2"/>
  <c r="E53" i="2"/>
  <c r="D53" i="2"/>
  <c r="C53" i="2"/>
  <c r="B53" i="2"/>
  <c r="A53" i="2"/>
  <c r="J52" i="2"/>
  <c r="I52" i="2"/>
  <c r="H52" i="2"/>
  <c r="F52" i="2"/>
  <c r="E52" i="2"/>
  <c r="D52" i="2"/>
  <c r="C52" i="2"/>
  <c r="B52" i="2"/>
  <c r="A52" i="2"/>
  <c r="J51" i="2"/>
  <c r="I51" i="2"/>
  <c r="H51" i="2"/>
  <c r="F51" i="2"/>
  <c r="E51" i="2"/>
  <c r="D51" i="2"/>
  <c r="C51" i="2"/>
  <c r="B51" i="2"/>
  <c r="A51" i="2"/>
  <c r="J50" i="2"/>
  <c r="I50" i="2"/>
  <c r="H50" i="2"/>
  <c r="F50" i="2"/>
  <c r="E50" i="2"/>
  <c r="D50" i="2"/>
  <c r="C50" i="2"/>
  <c r="B50" i="2"/>
  <c r="A50" i="2"/>
  <c r="J49" i="2"/>
  <c r="I49" i="2"/>
  <c r="H49" i="2"/>
  <c r="F49" i="2"/>
  <c r="E49" i="2"/>
  <c r="D49" i="2"/>
  <c r="C49" i="2"/>
  <c r="B49" i="2"/>
  <c r="A49" i="2"/>
  <c r="J48" i="2"/>
  <c r="I48" i="2"/>
  <c r="H48" i="2"/>
  <c r="F48" i="2"/>
  <c r="E48" i="2"/>
  <c r="D48" i="2"/>
  <c r="C48" i="2"/>
  <c r="B48" i="2"/>
  <c r="A48" i="2"/>
  <c r="J47" i="2"/>
  <c r="I47" i="2"/>
  <c r="H47" i="2"/>
  <c r="F47" i="2"/>
  <c r="E47" i="2"/>
  <c r="D47" i="2"/>
  <c r="C47" i="2"/>
  <c r="B47" i="2"/>
  <c r="A47" i="2"/>
  <c r="J46" i="2"/>
  <c r="I46" i="2"/>
  <c r="H46" i="2"/>
  <c r="F46" i="2"/>
  <c r="E46" i="2"/>
  <c r="D46" i="2"/>
  <c r="C46" i="2"/>
  <c r="B46" i="2"/>
  <c r="A46" i="2"/>
  <c r="J45" i="2"/>
  <c r="I45" i="2"/>
  <c r="H45" i="2"/>
  <c r="F45" i="2"/>
  <c r="E45" i="2"/>
  <c r="D45" i="2"/>
  <c r="C45" i="2"/>
  <c r="B45" i="2"/>
  <c r="A45" i="2"/>
  <c r="J44" i="2"/>
  <c r="I44" i="2"/>
  <c r="H44" i="2"/>
  <c r="F44" i="2"/>
  <c r="E44" i="2"/>
  <c r="D44" i="2"/>
  <c r="C44" i="2"/>
  <c r="B44" i="2"/>
  <c r="A44" i="2"/>
  <c r="J43" i="2"/>
  <c r="I43" i="2"/>
  <c r="H43" i="2"/>
  <c r="F43" i="2"/>
  <c r="E43" i="2"/>
  <c r="D43" i="2"/>
  <c r="C43" i="2"/>
  <c r="B43" i="2"/>
  <c r="A43" i="2"/>
  <c r="I42" i="2"/>
  <c r="H42" i="2"/>
  <c r="F42" i="2"/>
  <c r="E42" i="2"/>
  <c r="D42" i="2"/>
  <c r="C42" i="2"/>
  <c r="B42" i="2"/>
  <c r="A42" i="2"/>
  <c r="J41" i="2"/>
  <c r="I41" i="2"/>
  <c r="H41" i="2"/>
  <c r="F41" i="2"/>
  <c r="E41" i="2"/>
  <c r="D41" i="2"/>
  <c r="C41" i="2"/>
  <c r="B41" i="2"/>
  <c r="A41" i="2"/>
  <c r="J40" i="2"/>
  <c r="I40" i="2"/>
  <c r="H40" i="2"/>
  <c r="F40" i="2"/>
  <c r="E40" i="2"/>
  <c r="D40" i="2"/>
  <c r="C40" i="2"/>
  <c r="B40" i="2"/>
  <c r="A40" i="2"/>
  <c r="J39" i="2"/>
  <c r="I39" i="2"/>
  <c r="H39" i="2"/>
  <c r="F39" i="2"/>
  <c r="E39" i="2"/>
  <c r="D39" i="2"/>
  <c r="C39" i="2"/>
  <c r="B39" i="2"/>
  <c r="A39" i="2"/>
  <c r="J38" i="2"/>
  <c r="I38" i="2"/>
  <c r="H38" i="2"/>
  <c r="F38" i="2"/>
  <c r="E38" i="2"/>
  <c r="D38" i="2"/>
  <c r="C38" i="2"/>
  <c r="B38" i="2"/>
  <c r="A38" i="2"/>
  <c r="J37" i="2"/>
  <c r="I37" i="2"/>
  <c r="H37" i="2"/>
  <c r="F37" i="2"/>
  <c r="E37" i="2"/>
  <c r="D37" i="2"/>
  <c r="C37" i="2"/>
  <c r="B37" i="2"/>
  <c r="A37" i="2"/>
  <c r="J36" i="2"/>
  <c r="I36" i="2"/>
  <c r="H36" i="2"/>
  <c r="F36" i="2"/>
  <c r="E36" i="2"/>
  <c r="D36" i="2"/>
  <c r="C36" i="2"/>
  <c r="B36" i="2"/>
  <c r="A36" i="2"/>
  <c r="J35" i="2"/>
  <c r="I35" i="2"/>
  <c r="H35" i="2"/>
  <c r="F35" i="2"/>
  <c r="E35" i="2"/>
  <c r="D35" i="2"/>
  <c r="C35" i="2"/>
  <c r="B35" i="2"/>
  <c r="A35" i="2"/>
  <c r="J34" i="2"/>
  <c r="I34" i="2"/>
  <c r="H34" i="2"/>
  <c r="F34" i="2"/>
  <c r="E34" i="2"/>
  <c r="D34" i="2"/>
  <c r="C34" i="2"/>
  <c r="B34" i="2"/>
  <c r="A34" i="2"/>
  <c r="J33" i="2"/>
  <c r="I33" i="2"/>
  <c r="H33" i="2"/>
  <c r="F33" i="2"/>
  <c r="E33" i="2"/>
  <c r="D33" i="2"/>
  <c r="C33" i="2"/>
  <c r="B33" i="2"/>
  <c r="A33" i="2"/>
  <c r="J32" i="2"/>
  <c r="I32" i="2"/>
  <c r="H32" i="2"/>
  <c r="F32" i="2"/>
  <c r="E32" i="2"/>
  <c r="D32" i="2"/>
  <c r="C32" i="2"/>
  <c r="B32" i="2"/>
  <c r="A32" i="2"/>
  <c r="J31" i="2"/>
  <c r="I31" i="2"/>
  <c r="H31" i="2"/>
  <c r="F31" i="2"/>
  <c r="E31" i="2"/>
  <c r="D31" i="2"/>
  <c r="C31" i="2"/>
  <c r="B31" i="2"/>
  <c r="A31" i="2"/>
  <c r="J30" i="2"/>
  <c r="I30" i="2"/>
  <c r="H30" i="2"/>
  <c r="F30" i="2"/>
  <c r="E30" i="2"/>
  <c r="D30" i="2"/>
  <c r="C30" i="2"/>
  <c r="B30" i="2"/>
  <c r="A30" i="2"/>
  <c r="J29" i="2"/>
  <c r="I29" i="2"/>
  <c r="H29" i="2"/>
  <c r="F29" i="2"/>
  <c r="E29" i="2"/>
  <c r="D29" i="2"/>
  <c r="C29" i="2"/>
  <c r="B29" i="2"/>
  <c r="A29" i="2"/>
  <c r="J28" i="2"/>
  <c r="I28" i="2"/>
  <c r="H28" i="2"/>
  <c r="F28" i="2"/>
  <c r="E28" i="2"/>
  <c r="D28" i="2"/>
  <c r="C28" i="2"/>
  <c r="B28" i="2"/>
  <c r="A28" i="2"/>
  <c r="J27" i="2"/>
  <c r="I27" i="2"/>
  <c r="H27" i="2"/>
  <c r="F27" i="2"/>
  <c r="E27" i="2"/>
  <c r="D27" i="2"/>
  <c r="C27" i="2"/>
  <c r="B27" i="2"/>
  <c r="A27" i="2"/>
  <c r="J26" i="2"/>
  <c r="I26" i="2"/>
  <c r="H26" i="2"/>
  <c r="F26" i="2"/>
  <c r="E26" i="2"/>
  <c r="D26" i="2"/>
  <c r="C26" i="2"/>
  <c r="B26" i="2"/>
  <c r="A26" i="2"/>
  <c r="J25" i="2"/>
  <c r="I25" i="2"/>
  <c r="H25" i="2"/>
  <c r="F25" i="2"/>
  <c r="E25" i="2"/>
  <c r="D25" i="2"/>
  <c r="C25" i="2"/>
  <c r="B25" i="2"/>
  <c r="A25" i="2"/>
  <c r="J24" i="2"/>
  <c r="I24" i="2"/>
  <c r="H24" i="2"/>
  <c r="F24" i="2"/>
  <c r="E24" i="2"/>
  <c r="D24" i="2"/>
  <c r="C24" i="2"/>
  <c r="B24" i="2"/>
  <c r="A24" i="2"/>
  <c r="J23" i="2"/>
  <c r="I23" i="2"/>
  <c r="H23" i="2"/>
  <c r="F23" i="2"/>
  <c r="E23" i="2"/>
  <c r="D23" i="2"/>
  <c r="C23" i="2"/>
  <c r="B23" i="2"/>
  <c r="A23" i="2"/>
  <c r="J22" i="2"/>
  <c r="I22" i="2"/>
  <c r="H22" i="2"/>
  <c r="F22" i="2"/>
  <c r="E22" i="2"/>
  <c r="D22" i="2"/>
  <c r="C22" i="2"/>
  <c r="B22" i="2"/>
  <c r="A22" i="2"/>
  <c r="J21" i="2"/>
  <c r="I21" i="2"/>
  <c r="H21" i="2"/>
  <c r="F21" i="2"/>
  <c r="E21" i="2"/>
  <c r="D21" i="2"/>
  <c r="C21" i="2"/>
  <c r="B21" i="2"/>
  <c r="A21" i="2"/>
  <c r="J20" i="2"/>
  <c r="I20" i="2"/>
  <c r="H20" i="2"/>
  <c r="F20" i="2"/>
  <c r="E20" i="2"/>
  <c r="D20" i="2"/>
  <c r="C20" i="2"/>
  <c r="B20" i="2"/>
  <c r="A20" i="2"/>
  <c r="J19" i="2"/>
  <c r="I19" i="2"/>
  <c r="H19" i="2"/>
  <c r="F19" i="2"/>
  <c r="E19" i="2"/>
  <c r="D19" i="2"/>
  <c r="C19" i="2"/>
  <c r="B19" i="2"/>
  <c r="A19" i="2"/>
  <c r="J18" i="2"/>
  <c r="I18" i="2"/>
  <c r="H18" i="2"/>
  <c r="F18" i="2"/>
  <c r="E18" i="2"/>
  <c r="D18" i="2"/>
  <c r="C18" i="2"/>
  <c r="B18" i="2"/>
  <c r="A18" i="2"/>
  <c r="J17" i="2"/>
  <c r="I17" i="2"/>
  <c r="H17" i="2"/>
  <c r="F17" i="2"/>
  <c r="E17" i="2"/>
  <c r="D17" i="2"/>
  <c r="C17" i="2"/>
  <c r="B17" i="2"/>
  <c r="A17" i="2"/>
  <c r="J16" i="2"/>
  <c r="I16" i="2"/>
  <c r="H16" i="2"/>
  <c r="F16" i="2"/>
  <c r="E16" i="2"/>
  <c r="D16" i="2"/>
  <c r="C16" i="2"/>
  <c r="B16" i="2"/>
  <c r="A16" i="2"/>
  <c r="J15" i="2"/>
  <c r="I15" i="2"/>
  <c r="H15" i="2"/>
  <c r="F15" i="2"/>
  <c r="E15" i="2"/>
  <c r="D15" i="2"/>
  <c r="C15" i="2"/>
  <c r="B15" i="2"/>
  <c r="A15" i="2"/>
  <c r="J14" i="2"/>
  <c r="I14" i="2"/>
  <c r="H14" i="2"/>
  <c r="F14" i="2"/>
  <c r="E14" i="2"/>
  <c r="D14" i="2"/>
  <c r="C14" i="2"/>
  <c r="B14" i="2"/>
  <c r="A14" i="2"/>
  <c r="J13" i="2"/>
  <c r="I13" i="2"/>
  <c r="H13" i="2"/>
  <c r="F13" i="2"/>
  <c r="E13" i="2"/>
  <c r="D13" i="2"/>
  <c r="C13" i="2"/>
  <c r="B13" i="2"/>
  <c r="A13" i="2"/>
  <c r="J12" i="2"/>
  <c r="I12" i="2"/>
  <c r="H12" i="2"/>
  <c r="F12" i="2"/>
  <c r="E12" i="2"/>
  <c r="D12" i="2"/>
  <c r="C12" i="2"/>
  <c r="B12" i="2"/>
  <c r="A12" i="2"/>
  <c r="J11" i="2"/>
  <c r="I11" i="2"/>
  <c r="H11" i="2"/>
  <c r="F11" i="2"/>
  <c r="E11" i="2"/>
  <c r="D11" i="2"/>
  <c r="C11" i="2"/>
  <c r="B11" i="2"/>
  <c r="A11" i="2"/>
  <c r="J10" i="2"/>
  <c r="I10" i="2"/>
  <c r="H10" i="2"/>
  <c r="F10" i="2"/>
  <c r="E10" i="2"/>
  <c r="D10" i="2"/>
  <c r="C10" i="2"/>
  <c r="B10" i="2"/>
  <c r="A10" i="2"/>
  <c r="J9" i="2"/>
  <c r="I9" i="2"/>
  <c r="H9" i="2"/>
  <c r="F9" i="2"/>
  <c r="E9" i="2"/>
  <c r="D9" i="2"/>
  <c r="C9" i="2"/>
  <c r="B9" i="2"/>
  <c r="A9" i="2"/>
  <c r="J8" i="2"/>
  <c r="I8" i="2"/>
  <c r="H8" i="2"/>
  <c r="F8" i="2"/>
  <c r="E8" i="2"/>
  <c r="D8" i="2"/>
  <c r="C8" i="2"/>
  <c r="B8" i="2"/>
  <c r="A8" i="2"/>
  <c r="J7" i="2"/>
  <c r="I7" i="2"/>
  <c r="H7" i="2"/>
  <c r="F7" i="2"/>
  <c r="E7" i="2"/>
  <c r="D7" i="2"/>
  <c r="C7" i="2"/>
  <c r="B7" i="2"/>
  <c r="A7" i="2"/>
  <c r="J6" i="2"/>
  <c r="I6" i="2"/>
  <c r="H6" i="2"/>
  <c r="F6" i="2"/>
  <c r="E6" i="2"/>
  <c r="D6" i="2"/>
  <c r="C6" i="2"/>
  <c r="B6" i="2"/>
  <c r="A6" i="2"/>
  <c r="J5" i="2"/>
  <c r="I5" i="2"/>
  <c r="H5" i="2"/>
  <c r="F5" i="2"/>
  <c r="E5" i="2"/>
  <c r="D5" i="2"/>
  <c r="C5" i="2"/>
  <c r="B5" i="2"/>
  <c r="A5" i="2"/>
  <c r="J4" i="2"/>
  <c r="I4" i="2"/>
  <c r="H4" i="2"/>
  <c r="F4" i="2"/>
  <c r="E4" i="2"/>
  <c r="D4" i="2"/>
  <c r="C4" i="2"/>
  <c r="B4" i="2"/>
  <c r="A4" i="2"/>
  <c r="J3" i="2"/>
  <c r="I3" i="2"/>
  <c r="H3" i="2"/>
  <c r="F3" i="2"/>
  <c r="E3" i="2"/>
  <c r="D3" i="2"/>
  <c r="C3" i="2"/>
  <c r="B3" i="2"/>
  <c r="A3" i="2"/>
  <c r="J2" i="2"/>
  <c r="I2" i="2"/>
  <c r="H2" i="2"/>
  <c r="F2" i="2"/>
  <c r="E2" i="2"/>
  <c r="D2" i="2"/>
  <c r="C2" i="2"/>
  <c r="B2" i="2"/>
  <c r="A2" i="2"/>
  <c r="G166" i="1"/>
  <c r="F166" i="1"/>
  <c r="E166" i="1"/>
  <c r="D166" i="1"/>
  <c r="C166" i="1"/>
  <c r="B166" i="1"/>
  <c r="A166" i="1"/>
  <c r="G165" i="1"/>
  <c r="F165" i="1"/>
  <c r="E165" i="1"/>
  <c r="D165" i="1"/>
  <c r="C165" i="1"/>
  <c r="B165" i="1"/>
  <c r="A165" i="1"/>
  <c r="G164" i="1"/>
  <c r="F164" i="1"/>
  <c r="E164" i="1"/>
  <c r="D164" i="1"/>
  <c r="C164" i="1"/>
  <c r="B164" i="1"/>
  <c r="A164" i="1"/>
  <c r="G163" i="1"/>
  <c r="F163" i="1"/>
  <c r="E163" i="1"/>
  <c r="D163" i="1"/>
  <c r="C163" i="1"/>
  <c r="B163" i="1"/>
  <c r="A163" i="1"/>
  <c r="G325" i="1"/>
  <c r="F325" i="1"/>
  <c r="E325" i="1"/>
  <c r="D325" i="1"/>
  <c r="C325" i="1"/>
  <c r="B325" i="1"/>
  <c r="A325" i="1"/>
  <c r="G324" i="1"/>
  <c r="F324" i="1"/>
  <c r="E324" i="1"/>
  <c r="D324" i="1"/>
  <c r="C324" i="1"/>
  <c r="B324" i="1"/>
  <c r="A324" i="1"/>
  <c r="G323" i="1"/>
  <c r="F323" i="1"/>
  <c r="E323" i="1"/>
  <c r="D323" i="1"/>
  <c r="C323" i="1"/>
  <c r="B323" i="1"/>
  <c r="A323" i="1"/>
  <c r="G322" i="1"/>
  <c r="F322" i="1"/>
  <c r="E322" i="1"/>
  <c r="D322" i="1"/>
  <c r="C322" i="1"/>
  <c r="B322" i="1"/>
  <c r="A322" i="1"/>
  <c r="G321" i="1"/>
  <c r="F321" i="1"/>
  <c r="E321" i="1"/>
  <c r="D321" i="1"/>
  <c r="C321" i="1"/>
  <c r="B321" i="1"/>
  <c r="A321" i="1"/>
  <c r="G320" i="1"/>
  <c r="F320" i="1"/>
  <c r="E320" i="1"/>
  <c r="D320" i="1"/>
  <c r="C320" i="1"/>
  <c r="B320" i="1"/>
  <c r="A320" i="1"/>
  <c r="G319" i="1"/>
  <c r="F319" i="1"/>
  <c r="E319" i="1"/>
  <c r="D319" i="1"/>
  <c r="C319" i="1"/>
  <c r="B319" i="1"/>
  <c r="A319" i="1"/>
  <c r="G318" i="1"/>
  <c r="F318" i="1"/>
  <c r="E318" i="1"/>
  <c r="D318" i="1"/>
  <c r="C318" i="1"/>
  <c r="B318" i="1"/>
  <c r="A318" i="1"/>
  <c r="G317" i="1"/>
  <c r="F317" i="1"/>
  <c r="E317" i="1"/>
  <c r="D317" i="1"/>
  <c r="C317" i="1"/>
  <c r="B317" i="1"/>
  <c r="A317" i="1"/>
  <c r="G316" i="1"/>
  <c r="F316" i="1"/>
  <c r="E316" i="1"/>
  <c r="D316" i="1"/>
  <c r="C316" i="1"/>
  <c r="B316" i="1"/>
  <c r="A316" i="1"/>
  <c r="G315" i="1"/>
  <c r="F315" i="1"/>
  <c r="E315" i="1"/>
  <c r="D315" i="1"/>
  <c r="C315" i="1"/>
  <c r="B315" i="1"/>
  <c r="A315" i="1"/>
  <c r="G45" i="1"/>
  <c r="F45" i="1"/>
  <c r="E45" i="1"/>
  <c r="D45" i="1"/>
  <c r="C45" i="1"/>
  <c r="B45" i="1"/>
  <c r="A45" i="1"/>
  <c r="G44" i="1"/>
  <c r="F44" i="1"/>
  <c r="E44" i="1"/>
  <c r="D44" i="1"/>
  <c r="C44" i="1"/>
  <c r="B44" i="1"/>
  <c r="A44" i="1"/>
  <c r="G43" i="1"/>
  <c r="F43" i="1"/>
  <c r="E43" i="1"/>
  <c r="D43" i="1"/>
  <c r="C43" i="1"/>
  <c r="B43" i="1"/>
  <c r="A43" i="1"/>
  <c r="G42" i="1"/>
  <c r="F42" i="1"/>
  <c r="E42" i="1"/>
  <c r="D42" i="1"/>
  <c r="C42" i="1"/>
  <c r="B42" i="1"/>
  <c r="A42" i="1"/>
  <c r="G314" i="1"/>
  <c r="F314" i="1"/>
  <c r="E314" i="1"/>
  <c r="D314" i="1"/>
  <c r="C314" i="1"/>
  <c r="B314" i="1"/>
  <c r="A314" i="1"/>
  <c r="G313" i="1"/>
  <c r="F313" i="1"/>
  <c r="E313" i="1"/>
  <c r="D313" i="1"/>
  <c r="C313" i="1"/>
  <c r="B313" i="1"/>
  <c r="A313" i="1"/>
  <c r="G41" i="1"/>
  <c r="F41" i="1"/>
  <c r="E41" i="1"/>
  <c r="D41" i="1"/>
  <c r="C41" i="1"/>
  <c r="B41" i="1"/>
  <c r="A41" i="1"/>
  <c r="G312" i="1"/>
  <c r="F312" i="1"/>
  <c r="E312" i="1"/>
  <c r="D312" i="1"/>
  <c r="C312" i="1"/>
  <c r="B312" i="1"/>
  <c r="A312" i="1"/>
  <c r="G311" i="1"/>
  <c r="F311" i="1"/>
  <c r="E311" i="1"/>
  <c r="D311" i="1"/>
  <c r="C311" i="1"/>
  <c r="B311" i="1"/>
  <c r="A311" i="1"/>
  <c r="G310" i="1"/>
  <c r="F310" i="1"/>
  <c r="E310" i="1"/>
  <c r="D310" i="1"/>
  <c r="C310" i="1"/>
  <c r="B310" i="1"/>
  <c r="A310" i="1"/>
  <c r="G256" i="1"/>
  <c r="F256" i="1"/>
  <c r="E256" i="1"/>
  <c r="D256" i="1"/>
  <c r="C256" i="1"/>
  <c r="B256" i="1"/>
  <c r="A256" i="1"/>
  <c r="G255" i="1"/>
  <c r="F255" i="1"/>
  <c r="E255" i="1"/>
  <c r="D255" i="1"/>
  <c r="C255" i="1"/>
  <c r="B255" i="1"/>
  <c r="A255" i="1"/>
  <c r="G309" i="1"/>
  <c r="F309" i="1"/>
  <c r="E309" i="1"/>
  <c r="D309" i="1"/>
  <c r="C309" i="1"/>
  <c r="B309" i="1"/>
  <c r="A309" i="1"/>
  <c r="G162" i="1"/>
  <c r="F162" i="1"/>
  <c r="E162" i="1"/>
  <c r="D162" i="1"/>
  <c r="C162" i="1"/>
  <c r="B162" i="1"/>
  <c r="A162" i="1"/>
  <c r="G161" i="1"/>
  <c r="F161" i="1"/>
  <c r="E161" i="1"/>
  <c r="D161" i="1"/>
  <c r="C161" i="1"/>
  <c r="B161" i="1"/>
  <c r="A161" i="1"/>
  <c r="G160" i="1"/>
  <c r="F160" i="1"/>
  <c r="E160" i="1"/>
  <c r="D160" i="1"/>
  <c r="C160" i="1"/>
  <c r="B160" i="1"/>
  <c r="A160" i="1"/>
  <c r="G159" i="1"/>
  <c r="F159" i="1"/>
  <c r="E159" i="1"/>
  <c r="D159" i="1"/>
  <c r="C159" i="1"/>
  <c r="B159" i="1"/>
  <c r="A159" i="1"/>
  <c r="G158" i="1"/>
  <c r="F158" i="1"/>
  <c r="E158" i="1"/>
  <c r="D158" i="1"/>
  <c r="C158" i="1"/>
  <c r="B158" i="1"/>
  <c r="A158" i="1"/>
  <c r="G157" i="1"/>
  <c r="F157" i="1"/>
  <c r="E157" i="1"/>
  <c r="D157" i="1"/>
  <c r="C157" i="1"/>
  <c r="B157" i="1"/>
  <c r="A157" i="1"/>
  <c r="G156" i="1"/>
  <c r="F156" i="1"/>
  <c r="E156" i="1"/>
  <c r="D156" i="1"/>
  <c r="C156" i="1"/>
  <c r="B156" i="1"/>
  <c r="A156" i="1"/>
  <c r="G155" i="1"/>
  <c r="F155" i="1"/>
  <c r="E155" i="1"/>
  <c r="D155" i="1"/>
  <c r="C155" i="1"/>
  <c r="B155" i="1"/>
  <c r="A155" i="1"/>
  <c r="G154" i="1"/>
  <c r="F154" i="1"/>
  <c r="E154" i="1"/>
  <c r="D154" i="1"/>
  <c r="C154" i="1"/>
  <c r="B154" i="1"/>
  <c r="A154" i="1"/>
  <c r="G153" i="1"/>
  <c r="F153" i="1"/>
  <c r="E153" i="1"/>
  <c r="D153" i="1"/>
  <c r="C153" i="1"/>
  <c r="B153" i="1"/>
  <c r="A153" i="1"/>
  <c r="G152" i="1"/>
  <c r="F152" i="1"/>
  <c r="E152" i="1"/>
  <c r="D152" i="1"/>
  <c r="C152" i="1"/>
  <c r="B152" i="1"/>
  <c r="A152" i="1"/>
  <c r="G151" i="1"/>
  <c r="F151" i="1"/>
  <c r="E151" i="1"/>
  <c r="D151" i="1"/>
  <c r="C151" i="1"/>
  <c r="B151" i="1"/>
  <c r="A151" i="1"/>
  <c r="G150" i="1"/>
  <c r="F150" i="1"/>
  <c r="E150" i="1"/>
  <c r="D150" i="1"/>
  <c r="C150" i="1"/>
  <c r="B150" i="1"/>
  <c r="A150" i="1"/>
  <c r="G149" i="1"/>
  <c r="F149" i="1"/>
  <c r="E149" i="1"/>
  <c r="D149" i="1"/>
  <c r="C149" i="1"/>
  <c r="B149" i="1"/>
  <c r="A149" i="1"/>
  <c r="G148" i="1"/>
  <c r="F148" i="1"/>
  <c r="E148" i="1"/>
  <c r="D148" i="1"/>
  <c r="C148" i="1"/>
  <c r="B148" i="1"/>
  <c r="A148" i="1"/>
  <c r="G147" i="1"/>
  <c r="F147" i="1"/>
  <c r="E147" i="1"/>
  <c r="D147" i="1"/>
  <c r="C147" i="1"/>
  <c r="B147" i="1"/>
  <c r="A147" i="1"/>
  <c r="G146" i="1"/>
  <c r="F146" i="1"/>
  <c r="E146" i="1"/>
  <c r="D146" i="1"/>
  <c r="C146" i="1"/>
  <c r="B146" i="1"/>
  <c r="A146" i="1"/>
  <c r="G145" i="1"/>
  <c r="F145" i="1"/>
  <c r="E145" i="1"/>
  <c r="D145" i="1"/>
  <c r="C145" i="1"/>
  <c r="B145" i="1"/>
  <c r="A145" i="1"/>
  <c r="G144" i="1"/>
  <c r="F144" i="1"/>
  <c r="E144" i="1"/>
  <c r="D144" i="1"/>
  <c r="C144" i="1"/>
  <c r="B144" i="1"/>
  <c r="A144" i="1"/>
  <c r="G143" i="1"/>
  <c r="F143" i="1"/>
  <c r="E143" i="1"/>
  <c r="D143" i="1"/>
  <c r="C143" i="1"/>
  <c r="B143" i="1"/>
  <c r="A143" i="1"/>
  <c r="G142" i="1"/>
  <c r="F142" i="1"/>
  <c r="E142" i="1"/>
  <c r="D142" i="1"/>
  <c r="C142" i="1"/>
  <c r="B142" i="1"/>
  <c r="A142" i="1"/>
  <c r="G141" i="1"/>
  <c r="F141" i="1"/>
  <c r="E141" i="1"/>
  <c r="D141" i="1"/>
  <c r="C141" i="1"/>
  <c r="B141" i="1"/>
  <c r="A141" i="1"/>
  <c r="G140" i="1"/>
  <c r="F140" i="1"/>
  <c r="E140" i="1"/>
  <c r="D140" i="1"/>
  <c r="C140" i="1"/>
  <c r="B140" i="1"/>
  <c r="A140" i="1"/>
  <c r="G139" i="1"/>
  <c r="F139" i="1"/>
  <c r="E139" i="1"/>
  <c r="D139" i="1"/>
  <c r="C139" i="1"/>
  <c r="B139" i="1"/>
  <c r="A139" i="1"/>
  <c r="G138" i="1"/>
  <c r="F138" i="1"/>
  <c r="E138" i="1"/>
  <c r="D138" i="1"/>
  <c r="C138" i="1"/>
  <c r="B138" i="1"/>
  <c r="A138" i="1"/>
  <c r="G137" i="1"/>
  <c r="F137" i="1"/>
  <c r="E137" i="1"/>
  <c r="D137" i="1"/>
  <c r="C137" i="1"/>
  <c r="B137" i="1"/>
  <c r="A137" i="1"/>
  <c r="G136" i="1"/>
  <c r="F136" i="1"/>
  <c r="E136" i="1"/>
  <c r="D136" i="1"/>
  <c r="C136" i="1"/>
  <c r="B136" i="1"/>
  <c r="A136" i="1"/>
  <c r="G135" i="1"/>
  <c r="F135" i="1"/>
  <c r="E135" i="1"/>
  <c r="D135" i="1"/>
  <c r="C135" i="1"/>
  <c r="B135" i="1"/>
  <c r="A135" i="1"/>
  <c r="G134" i="1"/>
  <c r="F134" i="1"/>
  <c r="E134" i="1"/>
  <c r="D134" i="1"/>
  <c r="C134" i="1"/>
  <c r="B134" i="1"/>
  <c r="A134" i="1"/>
  <c r="G133" i="1"/>
  <c r="F133" i="1"/>
  <c r="E133" i="1"/>
  <c r="D133" i="1"/>
  <c r="C133" i="1"/>
  <c r="B133" i="1"/>
  <c r="A133" i="1"/>
  <c r="G254" i="1"/>
  <c r="F254" i="1"/>
  <c r="E254" i="1"/>
  <c r="D254" i="1"/>
  <c r="C254" i="1"/>
  <c r="B254" i="1"/>
  <c r="A254" i="1"/>
  <c r="G132" i="1"/>
  <c r="F132" i="1"/>
  <c r="E132" i="1"/>
  <c r="D132" i="1"/>
  <c r="C132" i="1"/>
  <c r="B132" i="1"/>
  <c r="A132" i="1"/>
  <c r="G131" i="1"/>
  <c r="F131" i="1"/>
  <c r="E131" i="1"/>
  <c r="D131" i="1"/>
  <c r="C131" i="1"/>
  <c r="B131" i="1"/>
  <c r="A131" i="1"/>
  <c r="G253" i="1"/>
  <c r="F253" i="1"/>
  <c r="E253" i="1"/>
  <c r="D253" i="1"/>
  <c r="C253" i="1"/>
  <c r="B253" i="1"/>
  <c r="A253" i="1"/>
  <c r="G252" i="1"/>
  <c r="F252" i="1"/>
  <c r="E252" i="1"/>
  <c r="D252" i="1"/>
  <c r="C252" i="1"/>
  <c r="B252" i="1"/>
  <c r="A252" i="1"/>
  <c r="G130" i="1"/>
  <c r="F130" i="1"/>
  <c r="E130" i="1"/>
  <c r="D130" i="1"/>
  <c r="C130" i="1"/>
  <c r="B130" i="1"/>
  <c r="A130" i="1"/>
  <c r="G129" i="1"/>
  <c r="F129" i="1"/>
  <c r="E129" i="1"/>
  <c r="D129" i="1"/>
  <c r="C129" i="1"/>
  <c r="B129" i="1"/>
  <c r="A129" i="1"/>
  <c r="G251" i="1"/>
  <c r="F251" i="1"/>
  <c r="E251" i="1"/>
  <c r="D251" i="1"/>
  <c r="C251" i="1"/>
  <c r="B251" i="1"/>
  <c r="A251" i="1"/>
  <c r="G128" i="1"/>
  <c r="F128" i="1"/>
  <c r="E128" i="1"/>
  <c r="D128" i="1"/>
  <c r="C128" i="1"/>
  <c r="B128" i="1"/>
  <c r="A128" i="1"/>
  <c r="G127" i="1"/>
  <c r="F127" i="1"/>
  <c r="E127" i="1"/>
  <c r="D127" i="1"/>
  <c r="C127" i="1"/>
  <c r="B127" i="1"/>
  <c r="A127" i="1"/>
  <c r="G126" i="1"/>
  <c r="F126" i="1"/>
  <c r="E126" i="1"/>
  <c r="D126" i="1"/>
  <c r="C126" i="1"/>
  <c r="B126" i="1"/>
  <c r="A126" i="1"/>
  <c r="G308" i="1"/>
  <c r="F308" i="1"/>
  <c r="E308" i="1"/>
  <c r="D308" i="1"/>
  <c r="C308" i="1"/>
  <c r="B308" i="1"/>
  <c r="A308" i="1"/>
  <c r="G250" i="1"/>
  <c r="F250" i="1"/>
  <c r="E250" i="1"/>
  <c r="D250" i="1"/>
  <c r="C250" i="1"/>
  <c r="B250" i="1"/>
  <c r="A250" i="1"/>
  <c r="G307" i="1"/>
  <c r="F307" i="1"/>
  <c r="E307" i="1"/>
  <c r="D307" i="1"/>
  <c r="C307" i="1"/>
  <c r="B307" i="1"/>
  <c r="A307" i="1"/>
  <c r="G40" i="1"/>
  <c r="F40" i="1"/>
  <c r="E40" i="1"/>
  <c r="D40" i="1"/>
  <c r="C40" i="1"/>
  <c r="B40" i="1"/>
  <c r="A40" i="1"/>
  <c r="G39" i="1"/>
  <c r="F39" i="1"/>
  <c r="E39" i="1"/>
  <c r="D39" i="1"/>
  <c r="C39" i="1"/>
  <c r="B39" i="1"/>
  <c r="A39" i="1"/>
  <c r="G38" i="1"/>
  <c r="F38" i="1"/>
  <c r="E38" i="1"/>
  <c r="D38" i="1"/>
  <c r="C38" i="1"/>
  <c r="B38" i="1"/>
  <c r="A38" i="1"/>
  <c r="G37" i="1"/>
  <c r="F37" i="1"/>
  <c r="E37" i="1"/>
  <c r="D37" i="1"/>
  <c r="C37" i="1"/>
  <c r="B37" i="1"/>
  <c r="A37" i="1"/>
  <c r="G36" i="1"/>
  <c r="F36" i="1"/>
  <c r="E36" i="1"/>
  <c r="D36" i="1"/>
  <c r="C36" i="1"/>
  <c r="B36" i="1"/>
  <c r="A36" i="1"/>
  <c r="G35" i="1"/>
  <c r="F35" i="1"/>
  <c r="E35" i="1"/>
  <c r="D35" i="1"/>
  <c r="C35" i="1"/>
  <c r="B35" i="1"/>
  <c r="A35" i="1"/>
  <c r="G34" i="1"/>
  <c r="F34" i="1"/>
  <c r="E34" i="1"/>
  <c r="D34" i="1"/>
  <c r="C34" i="1"/>
  <c r="B34" i="1"/>
  <c r="A34" i="1"/>
  <c r="G33" i="1"/>
  <c r="F33" i="1"/>
  <c r="E33" i="1"/>
  <c r="D33" i="1"/>
  <c r="C33" i="1"/>
  <c r="B33" i="1"/>
  <c r="A33" i="1"/>
  <c r="G32" i="1"/>
  <c r="F32" i="1"/>
  <c r="E32" i="1"/>
  <c r="D32" i="1"/>
  <c r="C32" i="1"/>
  <c r="B32" i="1"/>
  <c r="A32" i="1"/>
  <c r="G31" i="1"/>
  <c r="F31" i="1"/>
  <c r="E31" i="1"/>
  <c r="D31" i="1"/>
  <c r="C31" i="1"/>
  <c r="B31" i="1"/>
  <c r="A31" i="1"/>
  <c r="G30" i="1"/>
  <c r="F30" i="1"/>
  <c r="E30" i="1"/>
  <c r="D30" i="1"/>
  <c r="C30" i="1"/>
  <c r="B30" i="1"/>
  <c r="A30" i="1"/>
  <c r="G29" i="1"/>
  <c r="F29" i="1"/>
  <c r="E29" i="1"/>
  <c r="D29" i="1"/>
  <c r="C29" i="1"/>
  <c r="B29" i="1"/>
  <c r="A29" i="1"/>
  <c r="G28" i="1"/>
  <c r="F28" i="1"/>
  <c r="E28" i="1"/>
  <c r="D28" i="1"/>
  <c r="C28" i="1"/>
  <c r="B28" i="1"/>
  <c r="A28" i="1"/>
  <c r="G27" i="1"/>
  <c r="F27" i="1"/>
  <c r="E27" i="1"/>
  <c r="D27" i="1"/>
  <c r="C27" i="1"/>
  <c r="B27" i="1"/>
  <c r="A27" i="1"/>
  <c r="G26" i="1"/>
  <c r="F26" i="1"/>
  <c r="E26" i="1"/>
  <c r="D26" i="1"/>
  <c r="C26" i="1"/>
  <c r="B26" i="1"/>
  <c r="A26" i="1"/>
  <c r="G25" i="1"/>
  <c r="F25" i="1"/>
  <c r="E25" i="1"/>
  <c r="D25" i="1"/>
  <c r="C25" i="1"/>
  <c r="B25" i="1"/>
  <c r="A25" i="1"/>
  <c r="G24" i="1"/>
  <c r="F24" i="1"/>
  <c r="E24" i="1"/>
  <c r="D24" i="1"/>
  <c r="C24" i="1"/>
  <c r="B24" i="1"/>
  <c r="A24" i="1"/>
  <c r="G23" i="1"/>
  <c r="F23" i="1"/>
  <c r="E23" i="1"/>
  <c r="D23" i="1"/>
  <c r="C23" i="1"/>
  <c r="B23" i="1"/>
  <c r="A23" i="1"/>
  <c r="G22" i="1"/>
  <c r="F22" i="1"/>
  <c r="E22" i="1"/>
  <c r="D22" i="1"/>
  <c r="C22" i="1"/>
  <c r="B22" i="1"/>
  <c r="A22" i="1"/>
  <c r="G21" i="1"/>
  <c r="F21" i="1"/>
  <c r="E21" i="1"/>
  <c r="D21" i="1"/>
  <c r="C21" i="1"/>
  <c r="B21" i="1"/>
  <c r="A21" i="1"/>
  <c r="G20" i="1"/>
  <c r="F20" i="1"/>
  <c r="E20" i="1"/>
  <c r="D20" i="1"/>
  <c r="C20" i="1"/>
  <c r="B20" i="1"/>
  <c r="A20" i="1"/>
  <c r="G19" i="1"/>
  <c r="F19" i="1"/>
  <c r="E19" i="1"/>
  <c r="D19" i="1"/>
  <c r="C19" i="1"/>
  <c r="B19" i="1"/>
  <c r="A19" i="1"/>
  <c r="G18" i="1"/>
  <c r="F18" i="1"/>
  <c r="E18" i="1"/>
  <c r="D18" i="1"/>
  <c r="C18" i="1"/>
  <c r="B18" i="1"/>
  <c r="A18" i="1"/>
  <c r="G17" i="1"/>
  <c r="F17" i="1"/>
  <c r="E17" i="1"/>
  <c r="D17" i="1"/>
  <c r="C17" i="1"/>
  <c r="B17" i="1"/>
  <c r="A17" i="1"/>
  <c r="G249" i="1"/>
  <c r="F249" i="1"/>
  <c r="E249" i="1"/>
  <c r="D249" i="1"/>
  <c r="C249" i="1"/>
  <c r="B249" i="1"/>
  <c r="A249" i="1"/>
  <c r="G248" i="1"/>
  <c r="F248" i="1"/>
  <c r="E248" i="1"/>
  <c r="D248" i="1"/>
  <c r="C248" i="1"/>
  <c r="B248" i="1"/>
  <c r="A248" i="1"/>
  <c r="G247" i="1"/>
  <c r="F247" i="1"/>
  <c r="E247" i="1"/>
  <c r="D247" i="1"/>
  <c r="C247" i="1"/>
  <c r="B247" i="1"/>
  <c r="A247" i="1"/>
  <c r="G246" i="1"/>
  <c r="F246" i="1"/>
  <c r="E246" i="1"/>
  <c r="D246" i="1"/>
  <c r="C246" i="1"/>
  <c r="B246" i="1"/>
  <c r="A246" i="1"/>
  <c r="G245" i="1"/>
  <c r="F245" i="1"/>
  <c r="E245" i="1"/>
  <c r="D245" i="1"/>
  <c r="C245" i="1"/>
  <c r="B245" i="1"/>
  <c r="A245" i="1"/>
  <c r="G244" i="1"/>
  <c r="F244" i="1"/>
  <c r="E244" i="1"/>
  <c r="D244" i="1"/>
  <c r="C244" i="1"/>
  <c r="B244" i="1"/>
  <c r="A244" i="1"/>
  <c r="G125" i="1"/>
  <c r="F125" i="1"/>
  <c r="E125" i="1"/>
  <c r="D125" i="1"/>
  <c r="C125" i="1"/>
  <c r="B125" i="1"/>
  <c r="A125" i="1"/>
  <c r="G124" i="1"/>
  <c r="F124" i="1"/>
  <c r="E124" i="1"/>
  <c r="D124" i="1"/>
  <c r="C124" i="1"/>
  <c r="B124" i="1"/>
  <c r="A124" i="1"/>
  <c r="G306" i="1"/>
  <c r="F306" i="1"/>
  <c r="E306" i="1"/>
  <c r="D306" i="1"/>
  <c r="C306" i="1"/>
  <c r="B306" i="1"/>
  <c r="A306" i="1"/>
  <c r="G243" i="1"/>
  <c r="F243" i="1"/>
  <c r="E243" i="1"/>
  <c r="D243" i="1"/>
  <c r="C243" i="1"/>
  <c r="B243" i="1"/>
  <c r="A243" i="1"/>
  <c r="G242" i="1"/>
  <c r="F242" i="1"/>
  <c r="E242" i="1"/>
  <c r="D242" i="1"/>
  <c r="C242" i="1"/>
  <c r="B242" i="1"/>
  <c r="A242" i="1"/>
  <c r="G305" i="1"/>
  <c r="F305" i="1"/>
  <c r="E305" i="1"/>
  <c r="D305" i="1"/>
  <c r="C305" i="1"/>
  <c r="B305" i="1"/>
  <c r="A305" i="1"/>
  <c r="G241" i="1"/>
  <c r="F241" i="1"/>
  <c r="E241" i="1"/>
  <c r="D241" i="1"/>
  <c r="C241" i="1"/>
  <c r="B241" i="1"/>
  <c r="A241" i="1"/>
  <c r="G240" i="1"/>
  <c r="F240" i="1"/>
  <c r="E240" i="1"/>
  <c r="D240" i="1"/>
  <c r="C240" i="1"/>
  <c r="B240" i="1"/>
  <c r="A240" i="1"/>
  <c r="G239" i="1"/>
  <c r="F239" i="1"/>
  <c r="E239" i="1"/>
  <c r="D239" i="1"/>
  <c r="C239" i="1"/>
  <c r="B239" i="1"/>
  <c r="A239" i="1"/>
  <c r="G16" i="1"/>
  <c r="F16" i="1"/>
  <c r="E16" i="1"/>
  <c r="D16" i="1"/>
  <c r="C16" i="1"/>
  <c r="B16" i="1"/>
  <c r="A16" i="1"/>
  <c r="G238" i="1"/>
  <c r="F238" i="1"/>
  <c r="E238" i="1"/>
  <c r="D238" i="1"/>
  <c r="C238" i="1"/>
  <c r="B238" i="1"/>
  <c r="A238" i="1"/>
  <c r="G237" i="1"/>
  <c r="F237" i="1"/>
  <c r="E237" i="1"/>
  <c r="D237" i="1"/>
  <c r="C237" i="1"/>
  <c r="B237" i="1"/>
  <c r="A237" i="1"/>
  <c r="G304" i="1"/>
  <c r="F304" i="1"/>
  <c r="E304" i="1"/>
  <c r="D304" i="1"/>
  <c r="C304" i="1"/>
  <c r="B304" i="1"/>
  <c r="A304" i="1"/>
  <c r="G236" i="1"/>
  <c r="F236" i="1"/>
  <c r="E236" i="1"/>
  <c r="D236" i="1"/>
  <c r="C236" i="1"/>
  <c r="B236" i="1"/>
  <c r="A236" i="1"/>
  <c r="G235" i="1"/>
  <c r="F235" i="1"/>
  <c r="E235" i="1"/>
  <c r="D235" i="1"/>
  <c r="C235" i="1"/>
  <c r="B235" i="1"/>
  <c r="A235" i="1"/>
  <c r="G234" i="1"/>
  <c r="F234" i="1"/>
  <c r="E234" i="1"/>
  <c r="D234" i="1"/>
  <c r="C234" i="1"/>
  <c r="B234" i="1"/>
  <c r="A234" i="1"/>
  <c r="G123" i="1"/>
  <c r="F123" i="1"/>
  <c r="E123" i="1"/>
  <c r="D123" i="1"/>
  <c r="C123" i="1"/>
  <c r="B123" i="1"/>
  <c r="A123" i="1"/>
  <c r="G233" i="1"/>
  <c r="F233" i="1"/>
  <c r="E233" i="1"/>
  <c r="D233" i="1"/>
  <c r="C233" i="1"/>
  <c r="B233" i="1"/>
  <c r="A233" i="1"/>
  <c r="G232" i="1"/>
  <c r="F232" i="1"/>
  <c r="E232" i="1"/>
  <c r="D232" i="1"/>
  <c r="C232" i="1"/>
  <c r="B232" i="1"/>
  <c r="A232" i="1"/>
  <c r="G303" i="1"/>
  <c r="F303" i="1"/>
  <c r="E303" i="1"/>
  <c r="D303" i="1"/>
  <c r="C303" i="1"/>
  <c r="B303" i="1"/>
  <c r="A303" i="1"/>
  <c r="G231" i="1"/>
  <c r="F231" i="1"/>
  <c r="E231" i="1"/>
  <c r="D231" i="1"/>
  <c r="C231" i="1"/>
  <c r="B231" i="1"/>
  <c r="A231" i="1"/>
  <c r="G230" i="1"/>
  <c r="F230" i="1"/>
  <c r="E230" i="1"/>
  <c r="D230" i="1"/>
  <c r="C230" i="1"/>
  <c r="B230" i="1"/>
  <c r="A230" i="1"/>
  <c r="G229" i="1"/>
  <c r="F229" i="1"/>
  <c r="E229" i="1"/>
  <c r="D229" i="1"/>
  <c r="C229" i="1"/>
  <c r="B229" i="1"/>
  <c r="A229" i="1"/>
  <c r="G228" i="1"/>
  <c r="F228" i="1"/>
  <c r="E228" i="1"/>
  <c r="D228" i="1"/>
  <c r="C228" i="1"/>
  <c r="B228" i="1"/>
  <c r="A228" i="1"/>
  <c r="G227" i="1"/>
  <c r="F227" i="1"/>
  <c r="E227" i="1"/>
  <c r="D227" i="1"/>
  <c r="C227" i="1"/>
  <c r="B227" i="1"/>
  <c r="A227" i="1"/>
  <c r="G226" i="1"/>
  <c r="F226" i="1"/>
  <c r="E226" i="1"/>
  <c r="D226" i="1"/>
  <c r="C226" i="1"/>
  <c r="B226" i="1"/>
  <c r="A226" i="1"/>
  <c r="G225" i="1"/>
  <c r="F225" i="1"/>
  <c r="E225" i="1"/>
  <c r="D225" i="1"/>
  <c r="C225" i="1"/>
  <c r="B225" i="1"/>
  <c r="A225" i="1"/>
  <c r="G224" i="1"/>
  <c r="F224" i="1"/>
  <c r="E224" i="1"/>
  <c r="D224" i="1"/>
  <c r="C224" i="1"/>
  <c r="B224" i="1"/>
  <c r="A224" i="1"/>
  <c r="G223" i="1"/>
  <c r="F223" i="1"/>
  <c r="E223" i="1"/>
  <c r="D223" i="1"/>
  <c r="C223" i="1"/>
  <c r="B223" i="1"/>
  <c r="A223" i="1"/>
  <c r="G302" i="1"/>
  <c r="F302" i="1"/>
  <c r="E302" i="1"/>
  <c r="D302" i="1"/>
  <c r="C302" i="1"/>
  <c r="B302" i="1"/>
  <c r="A302" i="1"/>
  <c r="G122" i="1"/>
  <c r="F122" i="1"/>
  <c r="E122" i="1"/>
  <c r="D122" i="1"/>
  <c r="C122" i="1"/>
  <c r="B122" i="1"/>
  <c r="A122" i="1"/>
  <c r="G301" i="1"/>
  <c r="F301" i="1"/>
  <c r="E301" i="1"/>
  <c r="D301" i="1"/>
  <c r="C301" i="1"/>
  <c r="B301" i="1"/>
  <c r="A301" i="1"/>
  <c r="G222" i="1"/>
  <c r="F222" i="1"/>
  <c r="E222" i="1"/>
  <c r="D222" i="1"/>
  <c r="C222" i="1"/>
  <c r="B222" i="1"/>
  <c r="A222" i="1"/>
  <c r="G221" i="1"/>
  <c r="F221" i="1"/>
  <c r="E221" i="1"/>
  <c r="D221" i="1"/>
  <c r="C221" i="1"/>
  <c r="B221" i="1"/>
  <c r="A221" i="1"/>
  <c r="G220" i="1"/>
  <c r="F220" i="1"/>
  <c r="E220" i="1"/>
  <c r="D220" i="1"/>
  <c r="C220" i="1"/>
  <c r="B220" i="1"/>
  <c r="A220" i="1"/>
  <c r="G300" i="1"/>
  <c r="F300" i="1"/>
  <c r="E300" i="1"/>
  <c r="D300" i="1"/>
  <c r="C300" i="1"/>
  <c r="B300" i="1"/>
  <c r="A300" i="1"/>
  <c r="G299" i="1"/>
  <c r="F299" i="1"/>
  <c r="E299" i="1"/>
  <c r="D299" i="1"/>
  <c r="C299" i="1"/>
  <c r="B299" i="1"/>
  <c r="A299" i="1"/>
  <c r="G219" i="1"/>
  <c r="F219" i="1"/>
  <c r="E219" i="1"/>
  <c r="D219" i="1"/>
  <c r="C219" i="1"/>
  <c r="B219" i="1"/>
  <c r="A219" i="1"/>
  <c r="G218" i="1"/>
  <c r="F218" i="1"/>
  <c r="E218" i="1"/>
  <c r="D218" i="1"/>
  <c r="C218" i="1"/>
  <c r="B218" i="1"/>
  <c r="A218" i="1"/>
  <c r="G121" i="1"/>
  <c r="F121" i="1"/>
  <c r="E121" i="1"/>
  <c r="D121" i="1"/>
  <c r="C121" i="1"/>
  <c r="B121" i="1"/>
  <c r="A121" i="1"/>
  <c r="G217" i="1"/>
  <c r="F217" i="1"/>
  <c r="E217" i="1"/>
  <c r="D217" i="1"/>
  <c r="C217" i="1"/>
  <c r="B217" i="1"/>
  <c r="A217" i="1"/>
  <c r="G216" i="1"/>
  <c r="F216" i="1"/>
  <c r="E216" i="1"/>
  <c r="D216" i="1"/>
  <c r="C216" i="1"/>
  <c r="B216" i="1"/>
  <c r="A216" i="1"/>
  <c r="G298" i="1"/>
  <c r="F298" i="1"/>
  <c r="E298" i="1"/>
  <c r="D298" i="1"/>
  <c r="C298" i="1"/>
  <c r="B298" i="1"/>
  <c r="A298" i="1"/>
  <c r="G15" i="1"/>
  <c r="F15" i="1"/>
  <c r="E15" i="1"/>
  <c r="D15" i="1"/>
  <c r="C15" i="1"/>
  <c r="B15" i="1"/>
  <c r="A15" i="1"/>
  <c r="G14" i="1"/>
  <c r="F14" i="1"/>
  <c r="E14" i="1"/>
  <c r="D14" i="1"/>
  <c r="C14" i="1"/>
  <c r="B14" i="1"/>
  <c r="A14" i="1"/>
  <c r="G215" i="1"/>
  <c r="F215" i="1"/>
  <c r="E215" i="1"/>
  <c r="D215" i="1"/>
  <c r="C215" i="1"/>
  <c r="B215" i="1"/>
  <c r="A215" i="1"/>
  <c r="G297" i="1"/>
  <c r="F297" i="1"/>
  <c r="E297" i="1"/>
  <c r="D297" i="1"/>
  <c r="C297" i="1"/>
  <c r="B297" i="1"/>
  <c r="A297" i="1"/>
  <c r="G296" i="1"/>
  <c r="F296" i="1"/>
  <c r="E296" i="1"/>
  <c r="D296" i="1"/>
  <c r="C296" i="1"/>
  <c r="B296" i="1"/>
  <c r="A296" i="1"/>
  <c r="G295" i="1"/>
  <c r="F295" i="1"/>
  <c r="E295" i="1"/>
  <c r="D295" i="1"/>
  <c r="C295" i="1"/>
  <c r="B295" i="1"/>
  <c r="A295" i="1"/>
  <c r="G294" i="1"/>
  <c r="F294" i="1"/>
  <c r="E294" i="1"/>
  <c r="D294" i="1"/>
  <c r="C294" i="1"/>
  <c r="B294" i="1"/>
  <c r="A294" i="1"/>
  <c r="G293" i="1"/>
  <c r="F293" i="1"/>
  <c r="E293" i="1"/>
  <c r="D293" i="1"/>
  <c r="C293" i="1"/>
  <c r="B293" i="1"/>
  <c r="A293" i="1"/>
  <c r="G292" i="1"/>
  <c r="F292" i="1"/>
  <c r="E292" i="1"/>
  <c r="D292" i="1"/>
  <c r="C292" i="1"/>
  <c r="B292" i="1"/>
  <c r="A292" i="1"/>
  <c r="G291" i="1"/>
  <c r="F291" i="1"/>
  <c r="E291" i="1"/>
  <c r="D291" i="1"/>
  <c r="C291" i="1"/>
  <c r="B291" i="1"/>
  <c r="A291" i="1"/>
  <c r="G13" i="1"/>
  <c r="F13" i="1"/>
  <c r="E13" i="1"/>
  <c r="D13" i="1"/>
  <c r="C13" i="1"/>
  <c r="B13" i="1"/>
  <c r="A13" i="1"/>
  <c r="G290" i="1"/>
  <c r="F290" i="1"/>
  <c r="E290" i="1"/>
  <c r="D290" i="1"/>
  <c r="C290" i="1"/>
  <c r="B290" i="1"/>
  <c r="A290" i="1"/>
  <c r="G12" i="1"/>
  <c r="F12" i="1"/>
  <c r="E12" i="1"/>
  <c r="D12" i="1"/>
  <c r="C12" i="1"/>
  <c r="B12" i="1"/>
  <c r="A12" i="1"/>
  <c r="G11" i="1"/>
  <c r="F11" i="1"/>
  <c r="E11" i="1"/>
  <c r="D11" i="1"/>
  <c r="C11" i="1"/>
  <c r="B11" i="1"/>
  <c r="A11" i="1"/>
  <c r="G289" i="1"/>
  <c r="F289" i="1"/>
  <c r="E289" i="1"/>
  <c r="D289" i="1"/>
  <c r="C289" i="1"/>
  <c r="B289" i="1"/>
  <c r="A289" i="1"/>
  <c r="G10" i="1"/>
  <c r="F10" i="1"/>
  <c r="E10" i="1"/>
  <c r="D10" i="1"/>
  <c r="C10" i="1"/>
  <c r="B10" i="1"/>
  <c r="A10" i="1"/>
  <c r="G9" i="1"/>
  <c r="F9" i="1"/>
  <c r="E9" i="1"/>
  <c r="D9" i="1"/>
  <c r="C9" i="1"/>
  <c r="B9" i="1"/>
  <c r="A9" i="1"/>
  <c r="G214" i="1"/>
  <c r="F214" i="1"/>
  <c r="E214" i="1"/>
  <c r="D214" i="1"/>
  <c r="C214" i="1"/>
  <c r="B214" i="1"/>
  <c r="A214" i="1"/>
  <c r="G8" i="1"/>
  <c r="F8" i="1"/>
  <c r="E8" i="1"/>
  <c r="D8" i="1"/>
  <c r="C8" i="1"/>
  <c r="B8" i="1"/>
  <c r="A8" i="1"/>
  <c r="G7" i="1"/>
  <c r="F7" i="1"/>
  <c r="E7" i="1"/>
  <c r="D7" i="1"/>
  <c r="C7" i="1"/>
  <c r="B7" i="1"/>
  <c r="A7" i="1"/>
  <c r="G6" i="1"/>
  <c r="F6" i="1"/>
  <c r="E6" i="1"/>
  <c r="D6" i="1"/>
  <c r="C6" i="1"/>
  <c r="B6" i="1"/>
  <c r="A6" i="1"/>
  <c r="G5" i="1"/>
  <c r="F5" i="1"/>
  <c r="E5" i="1"/>
  <c r="D5" i="1"/>
  <c r="C5" i="1"/>
  <c r="B5" i="1"/>
  <c r="A5" i="1"/>
  <c r="G4" i="1"/>
  <c r="F4" i="1"/>
  <c r="E4" i="1"/>
  <c r="D4" i="1"/>
  <c r="C4" i="1"/>
  <c r="B4" i="1"/>
  <c r="A4" i="1"/>
  <c r="G3" i="1"/>
  <c r="F3" i="1"/>
  <c r="E3" i="1"/>
  <c r="D3" i="1"/>
  <c r="C3" i="1"/>
  <c r="B3" i="1"/>
  <c r="A3" i="1"/>
  <c r="G213" i="1"/>
  <c r="F213" i="1"/>
  <c r="E213" i="1"/>
  <c r="D213" i="1"/>
  <c r="C213" i="1"/>
  <c r="B213" i="1"/>
  <c r="A213" i="1"/>
  <c r="G120" i="1"/>
  <c r="F120" i="1"/>
  <c r="E120" i="1"/>
  <c r="D120" i="1"/>
  <c r="C120" i="1"/>
  <c r="B120" i="1"/>
  <c r="A120" i="1"/>
  <c r="G119" i="1"/>
  <c r="F119" i="1"/>
  <c r="E119" i="1"/>
  <c r="D119" i="1"/>
  <c r="C119" i="1"/>
  <c r="B119" i="1"/>
  <c r="A119" i="1"/>
  <c r="G118" i="1"/>
  <c r="F118" i="1"/>
  <c r="E118" i="1"/>
  <c r="D118" i="1"/>
  <c r="C118" i="1"/>
  <c r="B118" i="1"/>
  <c r="A118" i="1"/>
  <c r="G117" i="1"/>
  <c r="F117" i="1"/>
  <c r="E117" i="1"/>
  <c r="D117" i="1"/>
  <c r="C117" i="1"/>
  <c r="B117" i="1"/>
  <c r="A117" i="1"/>
  <c r="G116" i="1"/>
  <c r="F116" i="1"/>
  <c r="E116" i="1"/>
  <c r="D116" i="1"/>
  <c r="C116" i="1"/>
  <c r="B116" i="1"/>
  <c r="A116" i="1"/>
  <c r="G115" i="1"/>
  <c r="F115" i="1"/>
  <c r="E115" i="1"/>
  <c r="D115" i="1"/>
  <c r="C115" i="1"/>
  <c r="B115" i="1"/>
  <c r="A115" i="1"/>
  <c r="G114" i="1"/>
  <c r="F114" i="1"/>
  <c r="E114" i="1"/>
  <c r="D114" i="1"/>
  <c r="C114" i="1"/>
  <c r="B114" i="1"/>
  <c r="A114" i="1"/>
  <c r="G113" i="1"/>
  <c r="F113" i="1"/>
  <c r="E113" i="1"/>
  <c r="D113" i="1"/>
  <c r="C113" i="1"/>
  <c r="B113" i="1"/>
  <c r="A113" i="1"/>
  <c r="G112" i="1"/>
  <c r="F112" i="1"/>
  <c r="E112" i="1"/>
  <c r="D112" i="1"/>
  <c r="C112" i="1"/>
  <c r="B112" i="1"/>
  <c r="A112" i="1"/>
  <c r="G111" i="1"/>
  <c r="F111" i="1"/>
  <c r="E111" i="1"/>
  <c r="D111" i="1"/>
  <c r="C111" i="1"/>
  <c r="B111" i="1"/>
  <c r="A111" i="1"/>
  <c r="G110" i="1"/>
  <c r="F110" i="1"/>
  <c r="E110" i="1"/>
  <c r="D110" i="1"/>
  <c r="C110" i="1"/>
  <c r="B110" i="1"/>
  <c r="A110" i="1"/>
  <c r="G109" i="1"/>
  <c r="F109" i="1"/>
  <c r="E109" i="1"/>
  <c r="D109" i="1"/>
  <c r="C109" i="1"/>
  <c r="B109" i="1"/>
  <c r="A109" i="1"/>
  <c r="G108" i="1"/>
  <c r="F108" i="1"/>
  <c r="E108" i="1"/>
  <c r="D108" i="1"/>
  <c r="C108" i="1"/>
  <c r="B108" i="1"/>
  <c r="A108" i="1"/>
  <c r="G107" i="1"/>
  <c r="F107" i="1"/>
  <c r="E107" i="1"/>
  <c r="D107" i="1"/>
  <c r="C107" i="1"/>
  <c r="B107" i="1"/>
  <c r="A107" i="1"/>
  <c r="G106" i="1"/>
  <c r="F106" i="1"/>
  <c r="E106" i="1"/>
  <c r="D106" i="1"/>
  <c r="C106" i="1"/>
  <c r="B106" i="1"/>
  <c r="A106" i="1"/>
  <c r="G105" i="1"/>
  <c r="F105" i="1"/>
  <c r="E105" i="1"/>
  <c r="D105" i="1"/>
  <c r="C105" i="1"/>
  <c r="B105" i="1"/>
  <c r="A105" i="1"/>
  <c r="G104" i="1"/>
  <c r="F104" i="1"/>
  <c r="E104" i="1"/>
  <c r="D104" i="1"/>
  <c r="C104" i="1"/>
  <c r="B104" i="1"/>
  <c r="A104" i="1"/>
  <c r="G103" i="1"/>
  <c r="F103" i="1"/>
  <c r="E103" i="1"/>
  <c r="D103" i="1"/>
  <c r="C103" i="1"/>
  <c r="B103" i="1"/>
  <c r="A103" i="1"/>
  <c r="G102" i="1"/>
  <c r="F102" i="1"/>
  <c r="E102" i="1"/>
  <c r="D102" i="1"/>
  <c r="C102" i="1"/>
  <c r="B102" i="1"/>
  <c r="A102" i="1"/>
  <c r="G101" i="1"/>
  <c r="F101" i="1"/>
  <c r="E101" i="1"/>
  <c r="D101" i="1"/>
  <c r="C101" i="1"/>
  <c r="B101" i="1"/>
  <c r="A101" i="1"/>
  <c r="G100" i="1"/>
  <c r="F100" i="1"/>
  <c r="E100" i="1"/>
  <c r="D100" i="1"/>
  <c r="C100" i="1"/>
  <c r="B100" i="1"/>
  <c r="A100" i="1"/>
  <c r="G99" i="1"/>
  <c r="F99" i="1"/>
  <c r="E99" i="1"/>
  <c r="D99" i="1"/>
  <c r="C99" i="1"/>
  <c r="B99" i="1"/>
  <c r="A99" i="1"/>
  <c r="G98" i="1"/>
  <c r="F98" i="1"/>
  <c r="E98" i="1"/>
  <c r="D98" i="1"/>
  <c r="C98" i="1"/>
  <c r="B98" i="1"/>
  <c r="A98" i="1"/>
  <c r="G97" i="1"/>
  <c r="F97" i="1"/>
  <c r="E97" i="1"/>
  <c r="D97" i="1"/>
  <c r="C97" i="1"/>
  <c r="B97" i="1"/>
  <c r="A97" i="1"/>
  <c r="G96" i="1"/>
  <c r="F96" i="1"/>
  <c r="E96" i="1"/>
  <c r="D96" i="1"/>
  <c r="C96" i="1"/>
  <c r="B96" i="1"/>
  <c r="A96" i="1"/>
  <c r="G95" i="1"/>
  <c r="F95" i="1"/>
  <c r="E95" i="1"/>
  <c r="D95" i="1"/>
  <c r="C95" i="1"/>
  <c r="B95" i="1"/>
  <c r="A95" i="1"/>
  <c r="G94" i="1"/>
  <c r="F94" i="1"/>
  <c r="E94" i="1"/>
  <c r="D94" i="1"/>
  <c r="C94" i="1"/>
  <c r="B94" i="1"/>
  <c r="A94" i="1"/>
  <c r="G93" i="1"/>
  <c r="F93" i="1"/>
  <c r="E93" i="1"/>
  <c r="D93" i="1"/>
  <c r="C93" i="1"/>
  <c r="B93" i="1"/>
  <c r="A93" i="1"/>
  <c r="G92" i="1"/>
  <c r="F92" i="1"/>
  <c r="E92" i="1"/>
  <c r="D92" i="1"/>
  <c r="C92" i="1"/>
  <c r="B92" i="1"/>
  <c r="A92" i="1"/>
  <c r="G91" i="1"/>
  <c r="F91" i="1"/>
  <c r="E91" i="1"/>
  <c r="D91" i="1"/>
  <c r="C91" i="1"/>
  <c r="B91" i="1"/>
  <c r="A91" i="1"/>
  <c r="G90" i="1"/>
  <c r="F90" i="1"/>
  <c r="E90" i="1"/>
  <c r="D90" i="1"/>
  <c r="C90" i="1"/>
  <c r="B90" i="1"/>
  <c r="A90" i="1"/>
  <c r="G89" i="1"/>
  <c r="F89" i="1"/>
  <c r="E89" i="1"/>
  <c r="D89" i="1"/>
  <c r="C89" i="1"/>
  <c r="B89" i="1"/>
  <c r="A89" i="1"/>
  <c r="G88" i="1"/>
  <c r="F88" i="1"/>
  <c r="E88" i="1"/>
  <c r="D88" i="1"/>
  <c r="C88" i="1"/>
  <c r="B88" i="1"/>
  <c r="A88" i="1"/>
  <c r="G87" i="1"/>
  <c r="F87" i="1"/>
  <c r="E87" i="1"/>
  <c r="D87" i="1"/>
  <c r="C87" i="1"/>
  <c r="B87" i="1"/>
  <c r="A87" i="1"/>
  <c r="G86" i="1"/>
  <c r="F86" i="1"/>
  <c r="E86" i="1"/>
  <c r="D86" i="1"/>
  <c r="C86" i="1"/>
  <c r="B86" i="1"/>
  <c r="A86" i="1"/>
  <c r="G85" i="1"/>
  <c r="F85" i="1"/>
  <c r="E85" i="1"/>
  <c r="D85" i="1"/>
  <c r="C85" i="1"/>
  <c r="B85" i="1"/>
  <c r="A85" i="1"/>
  <c r="G84" i="1"/>
  <c r="F84" i="1"/>
  <c r="E84" i="1"/>
  <c r="D84" i="1"/>
  <c r="C84" i="1"/>
  <c r="B84" i="1"/>
  <c r="A84" i="1"/>
  <c r="G83" i="1"/>
  <c r="F83" i="1"/>
  <c r="E83" i="1"/>
  <c r="D83" i="1"/>
  <c r="C83" i="1"/>
  <c r="B83" i="1"/>
  <c r="A83" i="1"/>
  <c r="G82" i="1"/>
  <c r="F82" i="1"/>
  <c r="E82" i="1"/>
  <c r="D82" i="1"/>
  <c r="C82" i="1"/>
  <c r="B82" i="1"/>
  <c r="A82" i="1"/>
  <c r="G81" i="1"/>
  <c r="F81" i="1"/>
  <c r="E81" i="1"/>
  <c r="D81" i="1"/>
  <c r="C81" i="1"/>
  <c r="B81" i="1"/>
  <c r="A81" i="1"/>
  <c r="G80" i="1"/>
  <c r="F80" i="1"/>
  <c r="E80" i="1"/>
  <c r="D80" i="1"/>
  <c r="C80" i="1"/>
  <c r="B80" i="1"/>
  <c r="A80" i="1"/>
  <c r="G79" i="1"/>
  <c r="F79" i="1"/>
  <c r="E79" i="1"/>
  <c r="D79" i="1"/>
  <c r="C79" i="1"/>
  <c r="B79" i="1"/>
  <c r="A79" i="1"/>
  <c r="G288" i="1"/>
  <c r="F288" i="1"/>
  <c r="E288" i="1"/>
  <c r="D288" i="1"/>
  <c r="C288" i="1"/>
  <c r="B288" i="1"/>
  <c r="A288" i="1"/>
  <c r="G78" i="1"/>
  <c r="F78" i="1"/>
  <c r="E78" i="1"/>
  <c r="D78" i="1"/>
  <c r="C78" i="1"/>
  <c r="B78" i="1"/>
  <c r="A78" i="1"/>
  <c r="G212" i="1"/>
  <c r="F212" i="1"/>
  <c r="E212" i="1"/>
  <c r="D212" i="1"/>
  <c r="C212" i="1"/>
  <c r="B212" i="1"/>
  <c r="A212" i="1"/>
  <c r="G211" i="1"/>
  <c r="F211" i="1"/>
  <c r="E211" i="1"/>
  <c r="D211" i="1"/>
  <c r="C211" i="1"/>
  <c r="B211" i="1"/>
  <c r="A211" i="1"/>
  <c r="G210" i="1"/>
  <c r="F210" i="1"/>
  <c r="E210" i="1"/>
  <c r="D210" i="1"/>
  <c r="C210" i="1"/>
  <c r="B210" i="1"/>
  <c r="A210" i="1"/>
  <c r="G209" i="1"/>
  <c r="F209" i="1"/>
  <c r="E209" i="1"/>
  <c r="D209" i="1"/>
  <c r="C209" i="1"/>
  <c r="B209" i="1"/>
  <c r="A209" i="1"/>
  <c r="G208" i="1"/>
  <c r="F208" i="1"/>
  <c r="E208" i="1"/>
  <c r="D208" i="1"/>
  <c r="C208" i="1"/>
  <c r="B208" i="1"/>
  <c r="A208" i="1"/>
  <c r="G207" i="1"/>
  <c r="F207" i="1"/>
  <c r="E207" i="1"/>
  <c r="D207" i="1"/>
  <c r="C207" i="1"/>
  <c r="B207" i="1"/>
  <c r="A207" i="1"/>
  <c r="G206" i="1"/>
  <c r="F206" i="1"/>
  <c r="E206" i="1"/>
  <c r="D206" i="1"/>
  <c r="C206" i="1"/>
  <c r="B206" i="1"/>
  <c r="A206" i="1"/>
  <c r="G205" i="1"/>
  <c r="F205" i="1"/>
  <c r="E205" i="1"/>
  <c r="D205" i="1"/>
  <c r="C205" i="1"/>
  <c r="B205" i="1"/>
  <c r="A205" i="1"/>
  <c r="G204" i="1"/>
  <c r="F204" i="1"/>
  <c r="E204" i="1"/>
  <c r="D204" i="1"/>
  <c r="C204" i="1"/>
  <c r="B204" i="1"/>
  <c r="A204" i="1"/>
  <c r="G203" i="1"/>
  <c r="F203" i="1"/>
  <c r="E203" i="1"/>
  <c r="D203" i="1"/>
  <c r="C203" i="1"/>
  <c r="B203" i="1"/>
  <c r="A203" i="1"/>
  <c r="G202" i="1"/>
  <c r="F202" i="1"/>
  <c r="E202" i="1"/>
  <c r="D202" i="1"/>
  <c r="C202" i="1"/>
  <c r="B202" i="1"/>
  <c r="A202" i="1"/>
  <c r="G201" i="1"/>
  <c r="F201" i="1"/>
  <c r="E201" i="1"/>
  <c r="D201" i="1"/>
  <c r="C201" i="1"/>
  <c r="B201" i="1"/>
  <c r="A201" i="1"/>
  <c r="G200" i="1"/>
  <c r="F200" i="1"/>
  <c r="E200" i="1"/>
  <c r="D200" i="1"/>
  <c r="C200" i="1"/>
  <c r="B200" i="1"/>
  <c r="A200" i="1"/>
  <c r="G199" i="1"/>
  <c r="F199" i="1"/>
  <c r="E199" i="1"/>
  <c r="D199" i="1"/>
  <c r="C199" i="1"/>
  <c r="B199" i="1"/>
  <c r="A199" i="1"/>
  <c r="G198" i="1"/>
  <c r="F198" i="1"/>
  <c r="E198" i="1"/>
  <c r="D198" i="1"/>
  <c r="C198" i="1"/>
  <c r="B198" i="1"/>
  <c r="A198" i="1"/>
  <c r="G197" i="1"/>
  <c r="F197" i="1"/>
  <c r="E197" i="1"/>
  <c r="D197" i="1"/>
  <c r="C197" i="1"/>
  <c r="B197" i="1"/>
  <c r="A197" i="1"/>
  <c r="G196" i="1"/>
  <c r="F196" i="1"/>
  <c r="E196" i="1"/>
  <c r="D196" i="1"/>
  <c r="C196" i="1"/>
  <c r="B196" i="1"/>
  <c r="A196" i="1"/>
  <c r="G195" i="1"/>
  <c r="F195" i="1"/>
  <c r="E195" i="1"/>
  <c r="D195" i="1"/>
  <c r="C195" i="1"/>
  <c r="B195" i="1"/>
  <c r="A195" i="1"/>
  <c r="G287" i="1"/>
  <c r="F287" i="1"/>
  <c r="E287" i="1"/>
  <c r="D287" i="1"/>
  <c r="C287" i="1"/>
  <c r="B287" i="1"/>
  <c r="A287" i="1"/>
  <c r="G286" i="1"/>
  <c r="F286" i="1"/>
  <c r="E286" i="1"/>
  <c r="D286" i="1"/>
  <c r="C286" i="1"/>
  <c r="B286" i="1"/>
  <c r="A286" i="1"/>
  <c r="G194" i="1"/>
  <c r="F194" i="1"/>
  <c r="E194" i="1"/>
  <c r="D194" i="1"/>
  <c r="C194" i="1"/>
  <c r="B194" i="1"/>
  <c r="A194" i="1"/>
  <c r="G193" i="1"/>
  <c r="F193" i="1"/>
  <c r="E193" i="1"/>
  <c r="D193" i="1"/>
  <c r="C193" i="1"/>
  <c r="B193" i="1"/>
  <c r="A193" i="1"/>
  <c r="G192" i="1"/>
  <c r="F192" i="1"/>
  <c r="E192" i="1"/>
  <c r="D192" i="1"/>
  <c r="C192" i="1"/>
  <c r="B192" i="1"/>
  <c r="A192" i="1"/>
  <c r="G191" i="1"/>
  <c r="F191" i="1"/>
  <c r="E191" i="1"/>
  <c r="D191" i="1"/>
  <c r="C191" i="1"/>
  <c r="B191" i="1"/>
  <c r="A191" i="1"/>
  <c r="G190" i="1"/>
  <c r="F190" i="1"/>
  <c r="E190" i="1"/>
  <c r="D190" i="1"/>
  <c r="C190" i="1"/>
  <c r="B190" i="1"/>
  <c r="A190" i="1"/>
  <c r="G189" i="1"/>
  <c r="F189" i="1"/>
  <c r="E189" i="1"/>
  <c r="D189" i="1"/>
  <c r="C189" i="1"/>
  <c r="B189" i="1"/>
  <c r="A189" i="1"/>
  <c r="G188" i="1"/>
  <c r="F188" i="1"/>
  <c r="E188" i="1"/>
  <c r="D188" i="1"/>
  <c r="C188" i="1"/>
  <c r="B188" i="1"/>
  <c r="A188" i="1"/>
  <c r="G285" i="1"/>
  <c r="F285" i="1"/>
  <c r="E285" i="1"/>
  <c r="D285" i="1"/>
  <c r="C285" i="1"/>
  <c r="B285" i="1"/>
  <c r="A285" i="1"/>
  <c r="G187" i="1"/>
  <c r="F187" i="1"/>
  <c r="E187" i="1"/>
  <c r="D187" i="1"/>
  <c r="C187" i="1"/>
  <c r="B187" i="1"/>
  <c r="A187" i="1"/>
  <c r="G186" i="1"/>
  <c r="F186" i="1"/>
  <c r="E186" i="1"/>
  <c r="D186" i="1"/>
  <c r="C186" i="1"/>
  <c r="B186" i="1"/>
  <c r="A186" i="1"/>
  <c r="G77" i="1"/>
  <c r="F77" i="1"/>
  <c r="E77" i="1"/>
  <c r="D77" i="1"/>
  <c r="C77" i="1"/>
  <c r="B77" i="1"/>
  <c r="A77" i="1"/>
  <c r="G284" i="1"/>
  <c r="F284" i="1"/>
  <c r="E284" i="1"/>
  <c r="D284" i="1"/>
  <c r="C284" i="1"/>
  <c r="B284" i="1"/>
  <c r="A284" i="1"/>
  <c r="G283" i="1"/>
  <c r="F283" i="1"/>
  <c r="E283" i="1"/>
  <c r="D283" i="1"/>
  <c r="C283" i="1"/>
  <c r="B283" i="1"/>
  <c r="A283" i="1"/>
  <c r="G282" i="1"/>
  <c r="F282" i="1"/>
  <c r="E282" i="1"/>
  <c r="D282" i="1"/>
  <c r="C282" i="1"/>
  <c r="B282" i="1"/>
  <c r="A282" i="1"/>
  <c r="G281" i="1"/>
  <c r="F281" i="1"/>
  <c r="E281" i="1"/>
  <c r="D281" i="1"/>
  <c r="C281" i="1"/>
  <c r="B281" i="1"/>
  <c r="A281" i="1"/>
  <c r="G280" i="1"/>
  <c r="F280" i="1"/>
  <c r="E280" i="1"/>
  <c r="D280" i="1"/>
  <c r="C280" i="1"/>
  <c r="B280" i="1"/>
  <c r="A280" i="1"/>
  <c r="G279" i="1"/>
  <c r="F279" i="1"/>
  <c r="E279" i="1"/>
  <c r="D279" i="1"/>
  <c r="C279" i="1"/>
  <c r="B279" i="1"/>
  <c r="A279" i="1"/>
  <c r="G185" i="1"/>
  <c r="F185" i="1"/>
  <c r="E185" i="1"/>
  <c r="D185" i="1"/>
  <c r="C185" i="1"/>
  <c r="B185" i="1"/>
  <c r="A185" i="1"/>
  <c r="G184" i="1"/>
  <c r="F184" i="1"/>
  <c r="E184" i="1"/>
  <c r="D184" i="1"/>
  <c r="C184" i="1"/>
  <c r="B184" i="1"/>
  <c r="A184" i="1"/>
  <c r="G183" i="1"/>
  <c r="F183" i="1"/>
  <c r="E183" i="1"/>
  <c r="D183" i="1"/>
  <c r="C183" i="1"/>
  <c r="B183" i="1"/>
  <c r="A183" i="1"/>
  <c r="G278" i="1"/>
  <c r="F278" i="1"/>
  <c r="E278" i="1"/>
  <c r="D278" i="1"/>
  <c r="C278" i="1"/>
  <c r="B278" i="1"/>
  <c r="A278" i="1"/>
  <c r="G277" i="1"/>
  <c r="F277" i="1"/>
  <c r="E277" i="1"/>
  <c r="D277" i="1"/>
  <c r="C277" i="1"/>
  <c r="B277" i="1"/>
  <c r="A277" i="1"/>
  <c r="G76" i="1"/>
  <c r="F76" i="1"/>
  <c r="E76" i="1"/>
  <c r="D76" i="1"/>
  <c r="C76" i="1"/>
  <c r="B76" i="1"/>
  <c r="A76" i="1"/>
  <c r="G75" i="1"/>
  <c r="F75" i="1"/>
  <c r="E75" i="1"/>
  <c r="D75" i="1"/>
  <c r="C75" i="1"/>
  <c r="B75" i="1"/>
  <c r="A75" i="1"/>
  <c r="G74" i="1"/>
  <c r="F74" i="1"/>
  <c r="E74" i="1"/>
  <c r="D74" i="1"/>
  <c r="C74" i="1"/>
  <c r="B74" i="1"/>
  <c r="A74" i="1"/>
  <c r="G73" i="1"/>
  <c r="F73" i="1"/>
  <c r="E73" i="1"/>
  <c r="D73" i="1"/>
  <c r="C73" i="1"/>
  <c r="B73" i="1"/>
  <c r="A73" i="1"/>
  <c r="G72" i="1"/>
  <c r="F72" i="1"/>
  <c r="E72" i="1"/>
  <c r="D72" i="1"/>
  <c r="C72" i="1"/>
  <c r="B72" i="1"/>
  <c r="A72" i="1"/>
  <c r="G71" i="1"/>
  <c r="F71" i="1"/>
  <c r="E71" i="1"/>
  <c r="D71" i="1"/>
  <c r="C71" i="1"/>
  <c r="B71" i="1"/>
  <c r="A71" i="1"/>
  <c r="G70" i="1"/>
  <c r="F70" i="1"/>
  <c r="E70" i="1"/>
  <c r="D70" i="1"/>
  <c r="C70" i="1"/>
  <c r="B70" i="1"/>
  <c r="A70" i="1"/>
  <c r="G69" i="1"/>
  <c r="F69" i="1"/>
  <c r="E69" i="1"/>
  <c r="D69" i="1"/>
  <c r="C69" i="1"/>
  <c r="B69" i="1"/>
  <c r="A69" i="1"/>
  <c r="G68" i="1"/>
  <c r="F68" i="1"/>
  <c r="E68" i="1"/>
  <c r="D68" i="1"/>
  <c r="C68" i="1"/>
  <c r="B68" i="1"/>
  <c r="A68" i="1"/>
  <c r="G67" i="1"/>
  <c r="F67" i="1"/>
  <c r="E67" i="1"/>
  <c r="D67" i="1"/>
  <c r="C67" i="1"/>
  <c r="B67" i="1"/>
  <c r="A67" i="1"/>
  <c r="G66" i="1"/>
  <c r="F66" i="1"/>
  <c r="E66" i="1"/>
  <c r="D66" i="1"/>
  <c r="C66" i="1"/>
  <c r="B66" i="1"/>
  <c r="A66" i="1"/>
  <c r="G65" i="1"/>
  <c r="F65" i="1"/>
  <c r="E65" i="1"/>
  <c r="D65" i="1"/>
  <c r="C65" i="1"/>
  <c r="B65" i="1"/>
  <c r="A65" i="1"/>
  <c r="G64" i="1"/>
  <c r="F64" i="1"/>
  <c r="E64" i="1"/>
  <c r="D64" i="1"/>
  <c r="C64" i="1"/>
  <c r="B64" i="1"/>
  <c r="A64" i="1"/>
  <c r="G63" i="1"/>
  <c r="F63" i="1"/>
  <c r="E63" i="1"/>
  <c r="D63" i="1"/>
  <c r="C63" i="1"/>
  <c r="B63" i="1"/>
  <c r="A63" i="1"/>
  <c r="G62" i="1"/>
  <c r="F62" i="1"/>
  <c r="E62" i="1"/>
  <c r="D62" i="1"/>
  <c r="C62" i="1"/>
  <c r="B62" i="1"/>
  <c r="A62" i="1"/>
  <c r="G61" i="1"/>
  <c r="F61" i="1"/>
  <c r="E61" i="1"/>
  <c r="D61" i="1"/>
  <c r="C61" i="1"/>
  <c r="B61" i="1"/>
  <c r="A61" i="1"/>
  <c r="G60" i="1"/>
  <c r="F60" i="1"/>
  <c r="E60" i="1"/>
  <c r="D60" i="1"/>
  <c r="C60" i="1"/>
  <c r="B60" i="1"/>
  <c r="A60" i="1"/>
  <c r="G59" i="1"/>
  <c r="F59" i="1"/>
  <c r="E59" i="1"/>
  <c r="D59" i="1"/>
  <c r="C59" i="1"/>
  <c r="B59" i="1"/>
  <c r="A59" i="1"/>
  <c r="G58" i="1"/>
  <c r="F58" i="1"/>
  <c r="E58" i="1"/>
  <c r="D58" i="1"/>
  <c r="C58" i="1"/>
  <c r="B58" i="1"/>
  <c r="A58" i="1"/>
  <c r="G57" i="1"/>
  <c r="F57" i="1"/>
  <c r="E57" i="1"/>
  <c r="D57" i="1"/>
  <c r="C57" i="1"/>
  <c r="B57" i="1"/>
  <c r="A57" i="1"/>
  <c r="G56" i="1"/>
  <c r="F56" i="1"/>
  <c r="E56" i="1"/>
  <c r="D56" i="1"/>
  <c r="C56" i="1"/>
  <c r="B56" i="1"/>
  <c r="A56" i="1"/>
  <c r="G55" i="1"/>
  <c r="F55" i="1"/>
  <c r="E55" i="1"/>
  <c r="D55" i="1"/>
  <c r="C55" i="1"/>
  <c r="B55" i="1"/>
  <c r="A55" i="1"/>
  <c r="G54" i="1"/>
  <c r="F54" i="1"/>
  <c r="E54" i="1"/>
  <c r="D54" i="1"/>
  <c r="C54" i="1"/>
  <c r="B54" i="1"/>
  <c r="A54" i="1"/>
  <c r="G53" i="1"/>
  <c r="F53" i="1"/>
  <c r="E53" i="1"/>
  <c r="D53" i="1"/>
  <c r="C53" i="1"/>
  <c r="B53" i="1"/>
  <c r="A53" i="1"/>
  <c r="G52" i="1"/>
  <c r="F52" i="1"/>
  <c r="E52" i="1"/>
  <c r="D52" i="1"/>
  <c r="C52" i="1"/>
  <c r="B52" i="1"/>
  <c r="A52" i="1"/>
  <c r="G51" i="1"/>
  <c r="F51" i="1"/>
  <c r="E51" i="1"/>
  <c r="D51" i="1"/>
  <c r="C51" i="1"/>
  <c r="B51" i="1"/>
  <c r="A51" i="1"/>
  <c r="G182" i="1"/>
  <c r="F182" i="1"/>
  <c r="E182" i="1"/>
  <c r="D182" i="1"/>
  <c r="C182" i="1"/>
  <c r="B182" i="1"/>
  <c r="A182" i="1"/>
  <c r="G50" i="1"/>
  <c r="F50" i="1"/>
  <c r="E50" i="1"/>
  <c r="D50" i="1"/>
  <c r="C50" i="1"/>
  <c r="B50" i="1"/>
  <c r="A50" i="1"/>
  <c r="G181" i="1"/>
  <c r="F181" i="1"/>
  <c r="E181" i="1"/>
  <c r="D181" i="1"/>
  <c r="C181" i="1"/>
  <c r="B181" i="1"/>
  <c r="A181" i="1"/>
  <c r="G180" i="1"/>
  <c r="F180" i="1"/>
  <c r="E180" i="1"/>
  <c r="D180" i="1"/>
  <c r="C180" i="1"/>
  <c r="B180" i="1"/>
  <c r="A180" i="1"/>
  <c r="G179" i="1"/>
  <c r="F179" i="1"/>
  <c r="E179" i="1"/>
  <c r="D179" i="1"/>
  <c r="C179" i="1"/>
  <c r="B179" i="1"/>
  <c r="A179" i="1"/>
  <c r="G178" i="1"/>
  <c r="F178" i="1"/>
  <c r="E178" i="1"/>
  <c r="D178" i="1"/>
  <c r="C178" i="1"/>
  <c r="B178" i="1"/>
  <c r="A178" i="1"/>
  <c r="G276" i="1"/>
  <c r="F276" i="1"/>
  <c r="E276" i="1"/>
  <c r="D276" i="1"/>
  <c r="C276" i="1"/>
  <c r="B276" i="1"/>
  <c r="A276" i="1"/>
  <c r="G275" i="1"/>
  <c r="F275" i="1"/>
  <c r="E275" i="1"/>
  <c r="D275" i="1"/>
  <c r="C275" i="1"/>
  <c r="B275" i="1"/>
  <c r="A275" i="1"/>
  <c r="G274" i="1"/>
  <c r="F274" i="1"/>
  <c r="E274" i="1"/>
  <c r="D274" i="1"/>
  <c r="C274" i="1"/>
  <c r="B274" i="1"/>
  <c r="A274" i="1"/>
  <c r="G273" i="1"/>
  <c r="F273" i="1"/>
  <c r="E273" i="1"/>
  <c r="D273" i="1"/>
  <c r="C273" i="1"/>
  <c r="B273" i="1"/>
  <c r="A273" i="1"/>
  <c r="G272" i="1"/>
  <c r="F272" i="1"/>
  <c r="E272" i="1"/>
  <c r="D272" i="1"/>
  <c r="C272" i="1"/>
  <c r="B272" i="1"/>
  <c r="A272" i="1"/>
  <c r="G271" i="1"/>
  <c r="F271" i="1"/>
  <c r="E271" i="1"/>
  <c r="D271" i="1"/>
  <c r="C271" i="1"/>
  <c r="B271" i="1"/>
  <c r="A271" i="1"/>
  <c r="G270" i="1"/>
  <c r="F270" i="1"/>
  <c r="E270" i="1"/>
  <c r="D270" i="1"/>
  <c r="C270" i="1"/>
  <c r="B270" i="1"/>
  <c r="A270" i="1"/>
  <c r="G269" i="1"/>
  <c r="F269" i="1"/>
  <c r="E269" i="1"/>
  <c r="D269" i="1"/>
  <c r="C269" i="1"/>
  <c r="B269" i="1"/>
  <c r="A269" i="1"/>
  <c r="G268" i="1"/>
  <c r="F268" i="1"/>
  <c r="E268" i="1"/>
  <c r="D268" i="1"/>
  <c r="C268" i="1"/>
  <c r="B268" i="1"/>
  <c r="A268" i="1"/>
  <c r="G267" i="1"/>
  <c r="F267" i="1"/>
  <c r="E267" i="1"/>
  <c r="D267" i="1"/>
  <c r="C267" i="1"/>
  <c r="B267" i="1"/>
  <c r="A267" i="1"/>
  <c r="G266" i="1"/>
  <c r="F266" i="1"/>
  <c r="E266" i="1"/>
  <c r="D266" i="1"/>
  <c r="C266" i="1"/>
  <c r="B266" i="1"/>
  <c r="A266" i="1"/>
  <c r="G265" i="1"/>
  <c r="F265" i="1"/>
  <c r="E265" i="1"/>
  <c r="D265" i="1"/>
  <c r="C265" i="1"/>
  <c r="B265" i="1"/>
  <c r="A265" i="1"/>
  <c r="G264" i="1"/>
  <c r="F264" i="1"/>
  <c r="E264" i="1"/>
  <c r="D264" i="1"/>
  <c r="C264" i="1"/>
  <c r="B264" i="1"/>
  <c r="A264" i="1"/>
  <c r="G263" i="1"/>
  <c r="F263" i="1"/>
  <c r="E263" i="1"/>
  <c r="D263" i="1"/>
  <c r="C263" i="1"/>
  <c r="B263" i="1"/>
  <c r="A263" i="1"/>
  <c r="G262" i="1"/>
  <c r="F262" i="1"/>
  <c r="E262" i="1"/>
  <c r="D262" i="1"/>
  <c r="C262" i="1"/>
  <c r="B262" i="1"/>
  <c r="A262" i="1"/>
  <c r="G261" i="1"/>
  <c r="F261" i="1"/>
  <c r="E261" i="1"/>
  <c r="D261" i="1"/>
  <c r="C261" i="1"/>
  <c r="B261" i="1"/>
  <c r="A261" i="1"/>
  <c r="G260" i="1"/>
  <c r="F260" i="1"/>
  <c r="E260" i="1"/>
  <c r="D260" i="1"/>
  <c r="C260" i="1"/>
  <c r="B260" i="1"/>
  <c r="A260" i="1"/>
  <c r="G259" i="1"/>
  <c r="F259" i="1"/>
  <c r="E259" i="1"/>
  <c r="D259" i="1"/>
  <c r="C259" i="1"/>
  <c r="B259" i="1"/>
  <c r="A259" i="1"/>
  <c r="G258" i="1"/>
  <c r="F258" i="1"/>
  <c r="E258" i="1"/>
  <c r="D258" i="1"/>
  <c r="C258" i="1"/>
  <c r="B258" i="1"/>
  <c r="A258" i="1"/>
  <c r="G177" i="1"/>
  <c r="F177" i="1"/>
  <c r="E177" i="1"/>
  <c r="D177" i="1"/>
  <c r="C177" i="1"/>
  <c r="B177" i="1"/>
  <c r="A177" i="1"/>
  <c r="G176" i="1"/>
  <c r="F176" i="1"/>
  <c r="E176" i="1"/>
  <c r="D176" i="1"/>
  <c r="C176" i="1"/>
  <c r="B176" i="1"/>
  <c r="A176" i="1"/>
  <c r="G175" i="1"/>
  <c r="F175" i="1"/>
  <c r="E175" i="1"/>
  <c r="D175" i="1"/>
  <c r="C175" i="1"/>
  <c r="B175" i="1"/>
  <c r="A175" i="1"/>
  <c r="G174" i="1"/>
  <c r="F174" i="1"/>
  <c r="E174" i="1"/>
  <c r="D174" i="1"/>
  <c r="C174" i="1"/>
  <c r="B174" i="1"/>
  <c r="A174" i="1"/>
  <c r="G173" i="1"/>
  <c r="F173" i="1"/>
  <c r="E173" i="1"/>
  <c r="D173" i="1"/>
  <c r="C173" i="1"/>
  <c r="B173" i="1"/>
  <c r="A173" i="1"/>
  <c r="G172" i="1"/>
  <c r="F172" i="1"/>
  <c r="E172" i="1"/>
  <c r="D172" i="1"/>
  <c r="C172" i="1"/>
  <c r="B172" i="1"/>
  <c r="A172" i="1"/>
  <c r="G171" i="1"/>
  <c r="F171" i="1"/>
  <c r="E171" i="1"/>
  <c r="D171" i="1"/>
  <c r="C171" i="1"/>
  <c r="B171" i="1"/>
  <c r="A171" i="1"/>
  <c r="G170" i="1"/>
  <c r="F170" i="1"/>
  <c r="E170" i="1"/>
  <c r="D170" i="1"/>
  <c r="C170" i="1"/>
  <c r="B170" i="1"/>
  <c r="A170" i="1"/>
  <c r="G169" i="1"/>
  <c r="F169" i="1"/>
  <c r="E169" i="1"/>
  <c r="D169" i="1"/>
  <c r="C169" i="1"/>
  <c r="B169" i="1"/>
  <c r="A169" i="1"/>
  <c r="G168" i="1"/>
  <c r="F168" i="1"/>
  <c r="E168" i="1"/>
  <c r="D168" i="1"/>
  <c r="C168" i="1"/>
  <c r="B168" i="1"/>
  <c r="A168" i="1"/>
  <c r="G257" i="1"/>
  <c r="F257" i="1"/>
  <c r="E257" i="1"/>
  <c r="D257" i="1"/>
  <c r="C257" i="1"/>
  <c r="B257" i="1"/>
  <c r="A257" i="1"/>
  <c r="G49" i="1"/>
  <c r="F49" i="1"/>
  <c r="E49" i="1"/>
  <c r="D49" i="1"/>
  <c r="C49" i="1"/>
  <c r="B49" i="1"/>
  <c r="A49" i="1"/>
  <c r="G167" i="1"/>
  <c r="F167" i="1"/>
  <c r="E167" i="1"/>
  <c r="D167" i="1"/>
  <c r="C167" i="1"/>
  <c r="B167" i="1"/>
  <c r="A167" i="1"/>
  <c r="G48" i="1"/>
  <c r="F48" i="1"/>
  <c r="E48" i="1"/>
  <c r="D48" i="1"/>
  <c r="C48" i="1"/>
  <c r="B48" i="1"/>
  <c r="A48" i="1"/>
  <c r="G2" i="1"/>
  <c r="F2" i="1"/>
  <c r="E2" i="1"/>
  <c r="D2" i="1"/>
  <c r="C2" i="1"/>
  <c r="B2" i="1"/>
  <c r="A2" i="1"/>
  <c r="G47" i="1"/>
  <c r="F47" i="1"/>
  <c r="E47" i="1"/>
  <c r="D47" i="1"/>
  <c r="C47" i="1"/>
  <c r="B47" i="1"/>
  <c r="A47" i="1"/>
  <c r="G46" i="1"/>
  <c r="F46" i="1"/>
  <c r="E46" i="1"/>
  <c r="D46" i="1"/>
  <c r="C46" i="1"/>
  <c r="B46" i="1"/>
  <c r="A4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29" authorId="0" shapeId="0" xr:uid="{00000000-0006-0000-0500-000001000000}">
      <text>
        <r>
          <rPr>
            <sz val="10"/>
            <color rgb="FF000000"/>
            <rFont val="Arial"/>
            <scheme val="minor"/>
          </rPr>
          <t>حدّث المجيب هذه القيمة.</t>
        </r>
      </text>
    </comment>
    <comment ref="H291" authorId="0" shapeId="0" xr:uid="{00000000-0006-0000-0500-000002000000}">
      <text>
        <r>
          <rPr>
            <sz val="10"/>
            <color rgb="FF000000"/>
            <rFont val="Arial"/>
            <scheme val="minor"/>
          </rPr>
          <t>حدّث المجيب هذه القيمة.</t>
        </r>
      </text>
    </comment>
    <comment ref="H422" authorId="0" shapeId="0" xr:uid="{00000000-0006-0000-0500-000003000000}">
      <text>
        <r>
          <rPr>
            <sz val="10"/>
            <color rgb="FF000000"/>
            <rFont val="Arial"/>
            <scheme val="minor"/>
          </rPr>
          <t>حدّث المجيب هذه القيمة.</t>
        </r>
      </text>
    </comment>
  </commentList>
</comments>
</file>

<file path=xl/sharedStrings.xml><?xml version="1.0" encoding="utf-8"?>
<sst xmlns="http://schemas.openxmlformats.org/spreadsheetml/2006/main" count="4132" uniqueCount="633">
  <si>
    <t>وقت رفع الطلب</t>
  </si>
  <si>
    <t>المجمع</t>
  </si>
  <si>
    <t xml:space="preserve"> مقدم الطلب </t>
  </si>
  <si>
    <t>القسم</t>
  </si>
  <si>
    <t>البناية</t>
  </si>
  <si>
    <t>موقع الصيانة</t>
  </si>
  <si>
    <t>العمل</t>
  </si>
  <si>
    <t>ملاحظات المدخل</t>
  </si>
  <si>
    <t xml:space="preserve">الوحدة </t>
  </si>
  <si>
    <t>حالة العمل</t>
  </si>
  <si>
    <t>وقت الانجاز</t>
  </si>
  <si>
    <t>ملاحظات الشعبة</t>
  </si>
  <si>
    <t>الإرسال اليدوي</t>
  </si>
  <si>
    <t>حالة الإشعار</t>
  </si>
  <si>
    <t>آخر إرسال (وقت)</t>
  </si>
  <si>
    <t>كهرباء</t>
  </si>
  <si>
    <t>منجز</t>
  </si>
  <si>
    <t>✅ تم يدوي (بريد): م رضا حمودي (19 صف)</t>
  </si>
  <si>
    <t>تبريد</t>
  </si>
  <si>
    <t>ملغي</t>
  </si>
  <si>
    <t xml:space="preserve">أعمال من قبل شعبة الإتصالات </t>
  </si>
  <si>
    <t>مدني</t>
  </si>
  <si>
    <t>ميكانيك</t>
  </si>
  <si>
    <t>✅ تم تلقائي (1)</t>
  </si>
  <si>
    <t>✅ تم يدوي (واتساب): م رضا حمودي (4 صف)</t>
  </si>
  <si>
    <t>✅ تم يدوي (واتساب): م رضا حمودي (1 صف)</t>
  </si>
  <si>
    <t>تابع الى الشركة</t>
  </si>
  <si>
    <t>✅ تم يدوي (واتساب): م مرتضى عباس (6 صف)</t>
  </si>
  <si>
    <t>تابع للتربية</t>
  </si>
  <si>
    <t>مؤجل</t>
  </si>
  <si>
    <t>لحين شراء كاوية بسبب فصل  اسلاك الانارة</t>
  </si>
  <si>
    <t>✅ تم يدوي (واتساب): م كريم (1 صف)</t>
  </si>
  <si>
    <t>لحين جلب كاوية</t>
  </si>
  <si>
    <t>✅ تم يدوي (واتساب): امين كاظم (3 صف)</t>
  </si>
  <si>
    <t>✅ تم يدوي (واتساب): م كريم (4 صف)</t>
  </si>
  <si>
    <t>✅ تم يدوي (واتساب): م كريم (3 صف)</t>
  </si>
  <si>
    <t xml:space="preserve">عطل في ملف المكنسة </t>
  </si>
  <si>
    <t>تم فحص ولوحظ عدم وجود خطا</t>
  </si>
  <si>
    <t>موفع الصيانة</t>
  </si>
  <si>
    <t>طابع زمني</t>
  </si>
  <si>
    <t>عنوان البريد الإلكتروني</t>
  </si>
  <si>
    <t xml:space="preserve">المجمع </t>
  </si>
  <si>
    <t xml:space="preserve">اسم مقدم الطلب </t>
  </si>
  <si>
    <t xml:space="preserve">نوع العطل </t>
  </si>
  <si>
    <t>ملاحظات</t>
  </si>
  <si>
    <t>اسم مقدم الطلب  2</t>
  </si>
  <si>
    <t>القسم 2</t>
  </si>
  <si>
    <t>البناية 2</t>
  </si>
  <si>
    <t>موقع الصيانة 2</t>
  </si>
  <si>
    <t>نوع العطل  2</t>
  </si>
  <si>
    <t>ملاحظات 2</t>
  </si>
  <si>
    <t>fhjuj02@gmail.com</t>
  </si>
  <si>
    <t>مرتضى</t>
  </si>
  <si>
    <t>قسم المشاريع الهندسية</t>
  </si>
  <si>
    <t>A- المركز الثقافي, B- روضة القمر</t>
  </si>
  <si>
    <t>الطابق الارضي, الطابق الاول</t>
  </si>
  <si>
    <t>TEST</t>
  </si>
  <si>
    <t>aettfiyyrtr@gmail.com</t>
  </si>
  <si>
    <t>المعملجي</t>
  </si>
  <si>
    <t>سجاد تربية</t>
  </si>
  <si>
    <t>قسم التربية والتعليم العالي</t>
  </si>
  <si>
    <t>H- ابتدائية القمر للبنات (الخامسة)</t>
  </si>
  <si>
    <t>الطابق الارضي</t>
  </si>
  <si>
    <t>صيانة مصباح قرب غرفة الادارة</t>
  </si>
  <si>
    <t>alklabyysysalh@gmail.com</t>
  </si>
  <si>
    <t>الحر</t>
  </si>
  <si>
    <t xml:space="preserve">عيسى صالح </t>
  </si>
  <si>
    <t>B- الابتدائية (البناية 2)</t>
  </si>
  <si>
    <t>ZONE A - الطابق الثاني</t>
  </si>
  <si>
    <t>تم دفن البوري صحيات ط الثاني المدرسة الثانية</t>
  </si>
  <si>
    <t>تم تصعيد المواد الى الطابق الثاني المدرسة الثانية</t>
  </si>
  <si>
    <t xml:space="preserve">جميع البنايات </t>
  </si>
  <si>
    <t xml:space="preserve">جميع الطوابق </t>
  </si>
  <si>
    <t>تم فحص جميع الساحبات في جميع البنايات 
تم وجود خطأ في الربط في البناية الأولى وتم اصلاح الخطأ ليتم تشغيل الساحبات بصورة صحيحة .</t>
  </si>
  <si>
    <t>A- المركز الثقافي</t>
  </si>
  <si>
    <t xml:space="preserve">صيانة سيار كهربائي في الاستعلامات </t>
  </si>
  <si>
    <t>store.edu.aleamid@gmail.com</t>
  </si>
  <si>
    <t>ادارة المجع</t>
  </si>
  <si>
    <t xml:space="preserve">الباب الخارجي مقابل البناية الثانية </t>
  </si>
  <si>
    <t xml:space="preserve">لحام ابريك الباب الحديدية
</t>
  </si>
  <si>
    <t>I- ابتدائية الساقي للبنين (السادسة)</t>
  </si>
  <si>
    <t xml:space="preserve">اطفاء التدفئة </t>
  </si>
  <si>
    <t>الاستعلامات الرئيسية</t>
  </si>
  <si>
    <t xml:space="preserve">يرجى اطفاء جهاز الانذار من المنظومة </t>
  </si>
  <si>
    <t>C- المتوسطة (البناية 3)</t>
  </si>
  <si>
    <t>ZONE A - الطابق الارضي</t>
  </si>
  <si>
    <t>صيانة انارة منشورية 60 ×60 بأستبدال المحولة الخاصة بها في البناية الثالثة الطابق الارضي زون A .</t>
  </si>
  <si>
    <t xml:space="preserve">
تم اكمال عمل الصيانه لسبلت انفيرتر في غرفة الالواح الشمسية.
</t>
  </si>
  <si>
    <t>jodeikdd12@gmail.com</t>
  </si>
  <si>
    <t>D- ثانوية العميد بناية المتوسطة  (الثانية)</t>
  </si>
  <si>
    <t xml:space="preserve">صيانة الباب الرئيسية </t>
  </si>
  <si>
    <t xml:space="preserve">كهربائي الى غرفة الادارة </t>
  </si>
  <si>
    <t>تم اعمال تصعيد المواد الى الطابق الثاني المدرسة الثانية</t>
  </si>
  <si>
    <t>تم عمل بسيس لغرض تثبيت مقاعد الصحيات ط الثاني المدرسة الثانية</t>
  </si>
  <si>
    <t>تقرير أعمال صيانة كهربائية:
الموقع: البناية الثالثة
نوع العمل: صيانة وتبديل بورد  طوّافة  خزان الماء. 
تم تنفيذ أعمال صيانة لبورد  طوّافة إحدى خزانات الماء في البناية الثالثة، حيث شملت الأعمال ما يلي:
إزالة البورد القديم وإعادة ترتيب صندوق  الطوّافة من الداخل بشكل منظم وآمن.
تركيب بورد بلاستك مطري جديد بحجم (30×40) سم.
إضافة سكة جوزة لتثبيت المكونات الكهربائية.
تركيب تري مشطب قياس (1 روطة).
تركيب بوتلس مع بربيش مسلح لضمان حماية التوصيلات.
تركيب (3) گلاند لضمان عزل وحماية الأسلاك من الرطوبة والغبار.
تم تشغيل المنظومة بعد الصيانة والتأكد من عمل  الطوّافة بشكل صحيح ومنتظم.</t>
  </si>
  <si>
    <t xml:space="preserve">انسداد في المجاري </t>
  </si>
  <si>
    <t>hly565690@gmail.com</t>
  </si>
  <si>
    <t xml:space="preserve">علي حسين عليوي </t>
  </si>
  <si>
    <t>ZONE A - الطابق الاول</t>
  </si>
  <si>
    <t>انسداد بالصحيات الموجدة داخل الصف السادس (ج)</t>
  </si>
  <si>
    <t xml:space="preserve">عيسى السراي </t>
  </si>
  <si>
    <t>اعمال صب ارضية الصحيات البناية الثانية الطابق الثاني</t>
  </si>
  <si>
    <t>تنظيف مكان عمل صب الصحيات الطابق الثاني البناية الثانية</t>
  </si>
  <si>
    <t>ZONE B - الطابق الاول</t>
  </si>
  <si>
    <t xml:space="preserve">
تم صيانه كاك في البنايه الثالثه 
</t>
  </si>
  <si>
    <t>A- الابتدائية (البناية 1)</t>
  </si>
  <si>
    <t>السطح</t>
  </si>
  <si>
    <t>تم إعادة ترتيب بوردات عدد 3
 في سطح البناية الأولى .</t>
  </si>
  <si>
    <t>تم إكمال صب ارضية الصحيات البناية الثانية الطابق الثاني بمساعدة وحدة الكهرباء.</t>
  </si>
  <si>
    <t>تنظيف مكان عمل صب الصحيات الطابق الثاني البناية الثانية.</t>
  </si>
  <si>
    <t>maintenanceofameedgroup@gmail.com</t>
  </si>
  <si>
    <t>وحدة المدني</t>
  </si>
  <si>
    <t>صب ارضية الصحيات</t>
  </si>
  <si>
    <t>تنظيف موقع العمل بعد صب ارضية الصحيات</t>
  </si>
  <si>
    <t xml:space="preserve">وحدة الميكانيك </t>
  </si>
  <si>
    <t xml:space="preserve">غسل وتنظيف فلاتر VRF  في البناية الثانية بالكامل </t>
  </si>
  <si>
    <t>وحدة الكهرباء</t>
  </si>
  <si>
    <t xml:space="preserve">مساعدة وحدة المدني في اعمال صب الصحيات </t>
  </si>
  <si>
    <t>school.maintenance.division@gmail.com</t>
  </si>
  <si>
    <t>النافورة</t>
  </si>
  <si>
    <t>معالجة وسنفرة الرصيف الخارجي للنافور</t>
  </si>
  <si>
    <t>معالجة وسنفرة أعمدة الانارة محيط النافورة</t>
  </si>
  <si>
    <t xml:space="preserve">النافورة </t>
  </si>
  <si>
    <t>معالجة الرصيف الداخلي لحديقة النافورة</t>
  </si>
  <si>
    <t>صبغ أساس وصبغ نهائي لرصيف النافورة الخارجي</t>
  </si>
  <si>
    <t>صبغ أساس وصبغ نهائي لاعمدة محيط النافورة</t>
  </si>
  <si>
    <t xml:space="preserve">النافوره </t>
  </si>
  <si>
    <t>صبغ أساس وصبغ نهائي لرصيف حديقة النافورة الداخلي</t>
  </si>
  <si>
    <t xml:space="preserve">وحدة المدني </t>
  </si>
  <si>
    <t>الطابق الاول, جناح الساحة ZONE B</t>
  </si>
  <si>
    <t xml:space="preserve">صيانة باب المنيوم </t>
  </si>
  <si>
    <t>C- ثانوية العميد بناية الاعدادية  (الاولى)</t>
  </si>
  <si>
    <t>الطابق الارضي, جناح الساحة ZONE B</t>
  </si>
  <si>
    <t>صيانة سقوف ثانوية</t>
  </si>
  <si>
    <t xml:space="preserve">صيانة سقوف ثانوية </t>
  </si>
  <si>
    <t>E- ابتدائية العميد للبنات (الثالثة)</t>
  </si>
  <si>
    <t>الطابق الارضي, الطابق الاول, الطابق الثاني</t>
  </si>
  <si>
    <t>إضافة غطاء كاك زاوية عدد 20</t>
  </si>
  <si>
    <t>تشغيل محطة الماء RO</t>
  </si>
  <si>
    <t>غسل خزان الماء RO وغرفة المحطة</t>
  </si>
  <si>
    <t>الطابق الاول, الطابق الثاني</t>
  </si>
  <si>
    <t xml:space="preserve">إضافة غطاء كاك زاوية </t>
  </si>
  <si>
    <t>الطابق الثالث, جناح الساحة ZONE B</t>
  </si>
  <si>
    <t xml:space="preserve">تبديل قاعدة صابون </t>
  </si>
  <si>
    <t>الطابق الثاني, جناح الساحة ZONE B</t>
  </si>
  <si>
    <t xml:space="preserve">تبديل صوندة شطاف </t>
  </si>
  <si>
    <t>تبديل كاك زاوية عدد 2</t>
  </si>
  <si>
    <t>الطابق الاول</t>
  </si>
  <si>
    <t xml:space="preserve">فحص فإن كويل </t>
  </si>
  <si>
    <t>B- روضة القمر</t>
  </si>
  <si>
    <t>فتح انسداد</t>
  </si>
  <si>
    <t xml:space="preserve">تشغيل محطة الماء RO </t>
  </si>
  <si>
    <t>تبديل فلاتر عامودي</t>
  </si>
  <si>
    <t>F-  ابتدائية جود العميد للبنات (الرابعة)</t>
  </si>
  <si>
    <t>G- روضة الجود</t>
  </si>
  <si>
    <t>تشغل محطة الماء RO</t>
  </si>
  <si>
    <t>تبديل check valve مضخة إطفاء الديزل</t>
  </si>
  <si>
    <t>C- ثانوية العميد بناية الاعدادية  (الاولى), D- ثانوية العميد بناية المتوسطة  (الثانية)</t>
  </si>
  <si>
    <t>غسل وتنظيف المضخات الثانوية</t>
  </si>
  <si>
    <t>A- الابتدائية (البناية 1), C- المتوسطة (البناية 3), D- الاعدادية (البناية 4)</t>
  </si>
  <si>
    <t>ZONE B - الطابق الارضي</t>
  </si>
  <si>
    <t xml:space="preserve">تبديل وتنظيف السواقي في الساحات الداخلية </t>
  </si>
  <si>
    <t>جناح الساحة ZONE B</t>
  </si>
  <si>
    <t xml:space="preserve">صيانة باب الالمنيوم المطلة على الساحة المستطيلة </t>
  </si>
  <si>
    <t xml:space="preserve"> عيسى صالح </t>
  </si>
  <si>
    <t xml:space="preserve">تم إعادة تشغيل احد الشاشات لشركة الأمنية واعادتها إلى العمل </t>
  </si>
  <si>
    <t>A- الابتدائية (البناية 1), B- الابتدائية (البناية 2), C- المتوسطة (البناية 3)</t>
  </si>
  <si>
    <t xml:space="preserve">لوحات  تعريفيه البنايه الثانيه والثالثه والأولى </t>
  </si>
  <si>
    <t xml:space="preserve">الممر الي بين البناية الأولى والثانية </t>
  </si>
  <si>
    <t>تم رفع المقرنص واعادة التطبيك في الممر مابين البناية الاولى والثانية</t>
  </si>
  <si>
    <t>وضع مادة عازلة قبل التطبيك في الصحيات البناية الثانية الطابق الثاني</t>
  </si>
  <si>
    <t>تم تصعيد مواد تطبيك الصحيات البناية الثانية الطابق الثاني</t>
  </si>
  <si>
    <t>D- الاعدادية (البناية 4)</t>
  </si>
  <si>
    <t xml:space="preserve">تبديل يده باب الاستعلامات الطابق الارضي البناية الرابعة </t>
  </si>
  <si>
    <t xml:space="preserve">تم تبديل يده باب خشب غرفه الميكانيك طابق الاول زون A مدرسة الأولى </t>
  </si>
  <si>
    <t xml:space="preserve">تركيب ستائر في الاستعلامات </t>
  </si>
  <si>
    <t>احتياج مفتاح الباب باب مخزن</t>
  </si>
  <si>
    <t xml:space="preserve">صيانة باب الالمنيوم غرفة المدرسات </t>
  </si>
  <si>
    <t xml:space="preserve">صيانة نقطة كهرباء في غرفة الزينبيات </t>
  </si>
  <si>
    <t xml:space="preserve">صيانة باب الصحيات الخارجي مقابيل الصف </t>
  </si>
  <si>
    <t xml:space="preserve">احتياج ازالة الضوء </t>
  </si>
  <si>
    <t>acount.electric.unit@gmail.com</t>
  </si>
  <si>
    <t>المالية</t>
  </si>
  <si>
    <t>.</t>
  </si>
  <si>
    <t>تبديل محولة سبوت لايت 24w في شعبة المالية.</t>
  </si>
  <si>
    <t>المختبرات</t>
  </si>
  <si>
    <t>غرفة المولدة</t>
  </si>
  <si>
    <t xml:space="preserve">دخال السليفات في الانانبيب الموجودة في  غرفة المزامنة </t>
  </si>
  <si>
    <t>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t>
  </si>
  <si>
    <t xml:space="preserve">تم استبدال محولة منشوريه عاطله </t>
  </si>
  <si>
    <t>السطح, في غرفة منظومة الماء (RO)</t>
  </si>
  <si>
    <t xml:space="preserve">تعديل طريقة ربط الريلي (220v) مع الفيوز الخاص بتشغيل مصابيح الإشارة بعد أن تبين وجود خطأ في طريقة الربط </t>
  </si>
  <si>
    <t>تبديل محولة  50w لشمعة منشورية</t>
  </si>
  <si>
    <t>غرفة مزامنة المولدة</t>
  </si>
  <si>
    <t>تسليك كيبل STP CAT6 طول 32 متر تقريبا بدل من الكيبل المقطوع الخاص بالكاميرا</t>
  </si>
  <si>
    <t>* ازالة الأسلاك القديمة التالفة والخارجة عن الخدمة.  * إعادة مد الكيبل الجديد بنفس مكان الكيبل القديم وكبسه في patch panel. * تنظيم جميع الأسلاك الغير منظمة.</t>
  </si>
  <si>
    <t>A- المركز الثقافي, C- ثانوية العميد بناية الاعدادية  (الاولى), D- ثانوية العميد بناية المتوسطة  (الثانية)</t>
  </si>
  <si>
    <t>لصق ليبل على الاسلاك الخاصة بالVRF و الأسلاك المضافة حديثا.</t>
  </si>
  <si>
    <t>غير محدد</t>
  </si>
  <si>
    <t>تم جرد المدرسه من اناره وبلكات سويج ووجده عطل في المنشوريات عدد(4)وتم صيانتها وصيانة البلك سويج عدد(2)</t>
  </si>
  <si>
    <t>الطابق الثاني, جناح الادائرة ZONE A</t>
  </si>
  <si>
    <t xml:space="preserve">جرد المدرسة الأولى :-  حيث تم إعادة تشغيل عدد 8 انارة منشورية 50w  وتبديل عدد 3 محولات 50w.
وتبديل عدد 2 محولات 24w لسبوت لايت </t>
  </si>
  <si>
    <t>تم جرد المدرسة الثالثة وجد 4 منشوريات وتم إعادة تثبيت بلك سويج عدد 2 منفذ انترنت 1 وتم تبديل محولة سبوت لايت في صحيات زون B</t>
  </si>
  <si>
    <t>3 منشوريات</t>
  </si>
  <si>
    <t>صحيات مقابل الاولى</t>
  </si>
  <si>
    <t xml:space="preserve"> تبديل محولة سبوت لايت </t>
  </si>
  <si>
    <t>شعبة الصيانة</t>
  </si>
  <si>
    <t>غرفة المضخة الرئيسية</t>
  </si>
  <si>
    <t>تم اضافة هولدر عدد2  مع مصباح 60W عدد 2</t>
  </si>
  <si>
    <t>I- ابتدائية الساقي للبنين (السادسة), J- ابتدائية الساقي للبنين الجانب الثاني (السابعة)</t>
  </si>
  <si>
    <t>لصق ليبل على الاسلاك الخاصة بال VRV و الأسلاك المضافة حديثا.</t>
  </si>
  <si>
    <t xml:space="preserve">الطابق الارضي,  مطبخ رئاسة القسم </t>
  </si>
  <si>
    <t>استبدال سبوت لايت شغال بآخر تالف لحين اصلاح التالف.</t>
  </si>
  <si>
    <t>كل المجمع عدا المركز والخارجية</t>
  </si>
  <si>
    <t>فحص منظومات تحسين معامل القدرة لجميع المحولات</t>
  </si>
  <si>
    <t>تم جرد الروضه  واستبدال خمس محولات</t>
  </si>
  <si>
    <t xml:space="preserve">تم جرد بناية الروضة  حيث تم تبديل عدد 3  محولة 50w لانارة منشورية (60*60) </t>
  </si>
  <si>
    <t xml:space="preserve">تم غسل الالواح الشمسية بالكامل </t>
  </si>
  <si>
    <t>محولة المدرسة</t>
  </si>
  <si>
    <t>تم استبدال نرمادة باب عدد 2</t>
  </si>
  <si>
    <t>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t>
  </si>
  <si>
    <t xml:space="preserve">تم استبدال سبوت لايت بقدرة24W عدد 2 </t>
  </si>
  <si>
    <t>J- جامعة العميد (السابعة)</t>
  </si>
  <si>
    <t xml:space="preserve">صيانة مصعد </t>
  </si>
  <si>
    <t xml:space="preserve">
تم اضافة غاز الى vrf البنايه الثالثة الطابق الارضي زون B لانهاء اعمال الصيانه.</t>
  </si>
  <si>
    <t>القاعة الرياضية جهة الابتدائية</t>
  </si>
  <si>
    <t>تم تبديل محولة سبورلايت عدد 2  
20w</t>
  </si>
  <si>
    <t>تم فحص البناية الأولى 
تم تثبيت عدد من (سويج الإنارة + بلك سويج) 
تم تبديل إنارة 60*60 عدد 1 (الطابق الأرضي زون A غرفة المعلمين).</t>
  </si>
  <si>
    <t xml:space="preserve">يوجد تسريب ماء في السقف الثانوي في صحيات الادارة </t>
  </si>
  <si>
    <t xml:space="preserve">صيانة مجاري في الساحة الدائرية يوجد انسداد </t>
  </si>
  <si>
    <t>اعمال تطبيك سراميك الصحيات في البنايه الثانيه الطابق الثاني</t>
  </si>
  <si>
    <t>صيانة بيم نرمادة باب خشب عدد(1) في الصحيات  الطابق الاول البناية الثالثة الزون(B)</t>
  </si>
  <si>
    <t>تثبيت مصدة باب خشب عدد(1) في الصحيات الطابق الاول البناية الرابعة الزون (B)</t>
  </si>
  <si>
    <t>ZONE B - الطابق الارضي, ZONE B - الطابق الاول, ZONE B - الطابق الثاني</t>
  </si>
  <si>
    <t>صيانة باب خشب عدد(3)
 الصف الرابع الاعدادي(د) الطابق الاول الزون(B)
الصف الرابع (و) الطابق الثاني الزون (B)
الصف الثالث متوسط(أ) الطابق الارضي الزون (B)
البناية الرابعة</t>
  </si>
  <si>
    <t>مختلف الطوابق</t>
  </si>
  <si>
    <t>ارجاع قطع سقف ثاني عدد(37) في مختلف طوابق البناية الثالثة الزون(B)</t>
  </si>
  <si>
    <t xml:space="preserve">مختلف الطوابق </t>
  </si>
  <si>
    <t>تم فحص البناية الثانية 
إعادة تثبيت سبوت لايت عدد 2 في  الصحيات في الطابق الثاني 
وإعادة تثبيت سويج إنارة و بوكس أحادي عدد 1 في الطابق الأول 
وتبديل محولة لإنارة 60*60 عدد 1 في الطابق الأول.</t>
  </si>
  <si>
    <t xml:space="preserve">تعليق صوبه في الحانوت </t>
  </si>
  <si>
    <t>الطابق الارضي, صف الفرح</t>
  </si>
  <si>
    <t>صيانه يدت شباك</t>
  </si>
  <si>
    <t xml:space="preserve">الطابق الارضي, غرفة الكاميرات </t>
  </si>
  <si>
    <t>صيانة يدت شباك</t>
  </si>
  <si>
    <t xml:space="preserve">لايوجد ماء في منظومة الشرب 
</t>
  </si>
  <si>
    <t xml:space="preserve">لايوجد ماء في المنظومة </t>
  </si>
  <si>
    <t xml:space="preserve">صيانة سيفونة في الصحيات </t>
  </si>
  <si>
    <t>جناح الادائرة ZONE A</t>
  </si>
  <si>
    <t xml:space="preserve">صيانة شفاط الصحيات </t>
  </si>
  <si>
    <t xml:space="preserve">صيانة خلاط مغسلة في صحيات الزوم الداخلي </t>
  </si>
  <si>
    <t xml:space="preserve">الطابق الاول, الزوم الخارجي </t>
  </si>
  <si>
    <t>صيانة غربي</t>
  </si>
  <si>
    <t xml:space="preserve">صيانة انارة </t>
  </si>
  <si>
    <t>الطابق الثاني</t>
  </si>
  <si>
    <t xml:space="preserve">صيانة مقبض شباك  صف الثاني ، الثالث ، الخامس </t>
  </si>
  <si>
    <t>صيانة سقف الثانوي للمصلى  يسرب ماء</t>
  </si>
  <si>
    <t xml:space="preserve">الطابق الرابع, وحدة الكامرات </t>
  </si>
  <si>
    <t xml:space="preserve">مغسلة تبديلها الى سنك في المطبخ </t>
  </si>
  <si>
    <t>نقل قواعد وطفايات عدد 2</t>
  </si>
  <si>
    <t>حفر واستخراج مقرنص</t>
  </si>
  <si>
    <t>عمل رصيف جديد وتطبيك مقرنص</t>
  </si>
  <si>
    <t>خارج البناية</t>
  </si>
  <si>
    <t>معالجة الفطور في ممر المدرسة</t>
  </si>
  <si>
    <t>عمل فتحة لمد بوري ماء لغسل الالواح</t>
  </si>
  <si>
    <t>الممر الخارجي</t>
  </si>
  <si>
    <t>صيانة الممر الخارجي</t>
  </si>
  <si>
    <t>صيانة ممر عدد 2</t>
  </si>
  <si>
    <t>تحويل تغذية انارة غرفة الكهرباء وغرفة المحولات الى الطاقة الشمسية في الطابق الارضي البناية الرابعة .</t>
  </si>
  <si>
    <t>صيانة قطعة خشب(mdf) في جدار الصف الاول متوسط(ج) الطابق الاول البناية الثالثة الزونB</t>
  </si>
  <si>
    <t>تبديل يدة شباك حديد عدد(1) الصف الاول (د)  الطابق الارضي البناية الاولى الزونB</t>
  </si>
  <si>
    <t>ZONE B - الطابق الثاني</t>
  </si>
  <si>
    <t>تبديل ضفدع شباك قلاب عدد(3) في البنايه الثالثة الطابق الثاني الزون B</t>
  </si>
  <si>
    <t>صيانة اطار باب خشب الصف الرابع الابتدائي(ب) الطابق الارضي البناية الاولى الزون(B)</t>
  </si>
  <si>
    <t xml:space="preserve">صيانة انارة منشورية 60×60 عدد 1 
</t>
  </si>
  <si>
    <t>تسليك واير فلكس (1.5*2) بمسافة تقريبا (60 متر) لتغذية انارة غرف الكهرباء  الطابق الأرضي والطابق الأول زون B من الطاقة الشمسية في البناية الرابعة أيضا تم وضع قاطع احادي (10A) للسيطرة علية</t>
  </si>
  <si>
    <t>لايوجد ماء</t>
  </si>
  <si>
    <t xml:space="preserve">رئاسة القسم </t>
  </si>
  <si>
    <t xml:space="preserve">صيانة كاك يسرب ماء </t>
  </si>
  <si>
    <t>فتح باب الصحيات</t>
  </si>
  <si>
    <t>تبديل يدة باب بين الزونين</t>
  </si>
  <si>
    <t>ارجاع سقوف ثانوية</t>
  </si>
  <si>
    <t>تبديل يدة شباك</t>
  </si>
  <si>
    <t>صيانة. باب خشب</t>
  </si>
  <si>
    <t>تبديل يدة باب المنيوم</t>
  </si>
  <si>
    <t>تثبيت تور شباك</t>
  </si>
  <si>
    <t>تبديل يدة باب بالصحيات</t>
  </si>
  <si>
    <t>تثبيت تور الاخضر سياج المولدة</t>
  </si>
  <si>
    <t xml:space="preserve">تبديل يدة باب بالصحيات </t>
  </si>
  <si>
    <t>غسل النافورة</t>
  </si>
  <si>
    <t>صيانة باب خشب الصحيات</t>
  </si>
  <si>
    <t>صيانة وتبديل يدة بالصحيات</t>
  </si>
  <si>
    <t xml:space="preserve">تثبيت لوحة خشب </t>
  </si>
  <si>
    <t>الرصيف الخارجي</t>
  </si>
  <si>
    <t>صبغ برايمر للرصيف</t>
  </si>
  <si>
    <t>تصليح الرصيف بمادة المعجون والسنفرة</t>
  </si>
  <si>
    <t xml:space="preserve">الرصيف الخارجي </t>
  </si>
  <si>
    <t xml:space="preserve">صبغ الرصيف بالون الابيض والاصفر </t>
  </si>
  <si>
    <t>تم تبديل لبه باب المنيوم في البنايه الاولى الطابق الاول الزون A ( الصحيات)</t>
  </si>
  <si>
    <t>تم تبديل لبه باب المنيوم في البنايه الثالثه الطابق الاول الزون A ( الصحيات)</t>
  </si>
  <si>
    <t>تم تثبيت برده في البنايه الاولى الطابق الثاني الزون A المصلى</t>
  </si>
  <si>
    <t>تم تثبيت قطعه هزاره في البنايه الثالثه الطابق الارضي الزون A</t>
  </si>
  <si>
    <t>إعادة ربط بلاجكتور 150w الموجود في سطح المدرسه الثالثه من جهه المدرسه الرابعه.</t>
  </si>
  <si>
    <t>ZONE A - الطابق الاول, ZONE B - الطابق الارضي</t>
  </si>
  <si>
    <t xml:space="preserve">تسليك واير فلكس (1.5*2) بمسافة تقريبا (60 متر) لتغذية انارة غرف الكهرباء  الطابق الأرضي زون B والطابق الأول زون A من الطاقة الشمسية في البناية الثالثه أيضا تم وضع قاطع احادي (10A) للسيطرة علية... 
</t>
  </si>
  <si>
    <t xml:space="preserve">
تم تنظيف فلتر الشوته الخاص بمضخه الديزل الثانويه في جميع البنايات )</t>
  </si>
  <si>
    <t>صيانة مصباح</t>
  </si>
  <si>
    <t>ادارة المجمع</t>
  </si>
  <si>
    <t xml:space="preserve">تبديل اطارات حاويات النفايات الكبيرة  كونها تالفة وغير صالحة للاستخدام
</t>
  </si>
  <si>
    <t xml:space="preserve">لا يوجد ماء في المنظومة </t>
  </si>
  <si>
    <t>تلف مقبض باب الحمامات</t>
  </si>
  <si>
    <t>الطابق الاول, جناح الادائرة ZONE A</t>
  </si>
  <si>
    <t>استبدال بلك اسويج عاطل</t>
  </si>
  <si>
    <t xml:space="preserve">صيانة حنفية في الصحيات </t>
  </si>
  <si>
    <t>كل المجمع</t>
  </si>
  <si>
    <t>صيانة انارات منشورية عدد 10 من خلال اعادة لحام النقاط المنقطعة فيها وكذلك اضافة محولة 50 واط لأحداهن</t>
  </si>
  <si>
    <t>D- ثانوية العميد بناية المتوسطة  (الثانية), E- ابتدائية العميد للبنات (الثالثة), F-  ابتدائية جود العميد للبنات (الرابعة), H- ابتدائية القمر للبنات (الخامسة)</t>
  </si>
  <si>
    <t>تم إعادة ربط انارة منشورية عدد9</t>
  </si>
  <si>
    <t>لدخول إلى UPS  عن طريق التطبيق وإيقاف Alarm  وارجاع الـUPS الى وضعه الطبيعي</t>
  </si>
  <si>
    <t>فحص منظومة UPS الروضة الأولى B بعد قطع الكهرباء عنهُ:-
* حيث وصلت نسبة الشحن إلى 93٪ بعد إطفاء دام 40 دقيقة وكانت الأحمال.</t>
  </si>
  <si>
    <t>كل</t>
  </si>
  <si>
    <t>hub room</t>
  </si>
  <si>
    <t>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t>
  </si>
  <si>
    <t>الطابق الارضي, معاون رئيس القسم</t>
  </si>
  <si>
    <t xml:space="preserve">تم إعادة تثبيت تري لاصق </t>
  </si>
  <si>
    <t>تم تبديل بلك سويج 13A  وتم إعادة تشغيل جوزة الخاصة في البلاكات سويج في الصف المجاور للسطح اثر اترب</t>
  </si>
  <si>
    <t>الطابق الارضي, مطبخ رئاسة القسم</t>
  </si>
  <si>
    <t>اعادة تثبيت الإنارة المنشورية 60*60 بعد صيانتها .</t>
  </si>
  <si>
    <t>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t>
  </si>
  <si>
    <t>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t>
  </si>
  <si>
    <t>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t>
  </si>
  <si>
    <t>إدخال المدرسة الثالثة بالشبكة الجديدة و إعادة تعيين IP لكل شاشة و تعيين الشاشة الرئيسية والفرعية دون مشاكل</t>
  </si>
  <si>
    <t>تم تحويل انارة غرفة الكهرباء الخارجية وانارة الصحيات المقابلة للمدرسة الأولى إلى الطاقة الشمسية</t>
  </si>
  <si>
    <t xml:space="preserve">تم استبدال محولة سبوت لايت 24W </t>
  </si>
  <si>
    <t>B- روضة القمر, G- روضة الجود</t>
  </si>
  <si>
    <t>دخال الروضتين بالشبكة الجديدة و إعادة تعيين IP لكل شاشة</t>
  </si>
  <si>
    <t>إدخال المركز الثقافي بالشبكة الجديدة و إعادة تعيين IP لكل شاشة و تعيين الشاشة الرئيسية والفرعية</t>
  </si>
  <si>
    <t>غرفة الكهرباء الخارجية</t>
  </si>
  <si>
    <t>تم تبديل  جوزه 10A في جوزه 1A  في غرفه الكهرباء الخارجية</t>
  </si>
  <si>
    <t>كل الطوابق</t>
  </si>
  <si>
    <t>تم جرد انارة المركز الثقافي بالكامل وتم تبديل 7محولات سبوت لايت وتم تبديل سبوت لايت عدد 2</t>
  </si>
  <si>
    <t>القاعة الرياضية مقابل الالعاب</t>
  </si>
  <si>
    <t>تبديل بلك سويچ 13A</t>
  </si>
  <si>
    <t>تم عزل مروحه عن اناره واستخدام فلكس (4متر) وكونكتر (2)</t>
  </si>
  <si>
    <t>القاعة مقابل الالعاب</t>
  </si>
  <si>
    <t>تم استبدال بلك سويج 13A عدد واحد  ومد ثنين سيار ثنائي</t>
  </si>
  <si>
    <t xml:space="preserve">القاعة مقابل الالعاب </t>
  </si>
  <si>
    <t xml:space="preserve">تم اضافه ثنين ماشه الئ براد </t>
  </si>
  <si>
    <t>الطابق الارضي, غرفة الكهرباء</t>
  </si>
  <si>
    <t>اضافة نقطة كهرباء جديدة UPS بجانب القديمة وتمت تغذيتها منها.</t>
  </si>
  <si>
    <t>ادخال المدرسة بالشبكة الجديدة و إعادة تعيين IP لكل شاشة و تعيين الشاشة الرئيسية والفرعية</t>
  </si>
  <si>
    <t>سحب كيبل data من غرفة المرقاب المجاورة لغرفة الكهرباء و إعادة تسليكهُ الى غرفة الكهرباء وتثبيته في Keystone.
*النقطة لغرض ربط حاسبة وحدة التبريد*</t>
  </si>
  <si>
    <t>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t>
  </si>
  <si>
    <t>تجهيز وحدة التبريد بحاسبة (لابتوب HP) لتشغيل اجهزة التبريد المركزي فقط .
(تم تجهيز الحاسبة من قبل قسم التربية والتعليم).</t>
  </si>
  <si>
    <t>إدخال المدرسة بالشبكة الجديدة و إعادة تعيين IP لكل شاشة و تعيين الشاشة الرئيسية والفرعية</t>
  </si>
  <si>
    <t>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t>
  </si>
  <si>
    <t>تم تنظيف سيلات المصاعد</t>
  </si>
  <si>
    <t xml:space="preserve">حامل الاقداح للبرادات  المياه  للطلاب  مستهلك  تفضلكم باستبدالها مع مراعات اجراء كشف على بقية البرادات في المدارس البقية
</t>
  </si>
  <si>
    <t>كشف لجميع بنايات المجمع الجهة المطلة علي الملاعب وعلى المنازل السكنية المجاورة للمجمع</t>
  </si>
  <si>
    <t xml:space="preserve"> كشف لجميع بنايات المجمع الجهة المطلة علي الملاعب وعلى المنازل السكنية المجاورة للمجمع</t>
  </si>
  <si>
    <t>تضليل النوافذ  بلاصق المضلل</t>
  </si>
  <si>
    <t xml:space="preserve">تصليح تارتان الدرج </t>
  </si>
  <si>
    <t>تم صيانه وتثبيت برده في البنايه الرابعه الطابق الاول الزون A غرفه الارشاد</t>
  </si>
  <si>
    <t>تم تبديل يده باب المنيوم عدد ٢  في صحيات البنايه الرابعه الطابق الارضي الزون B</t>
  </si>
  <si>
    <t>تم تبديل تاير حاويه عدد ٢</t>
  </si>
  <si>
    <t>C- المتوسطة (البناية 3), D- الاعدادية (البناية 4)</t>
  </si>
  <si>
    <t>تم صيانه جكن واير في سطوح البنايه الثالثه و البنايه رابعه</t>
  </si>
  <si>
    <t>صيانة ابواب الالمنيوم عدد(7) في الصحيات مختلف الطوابق البناية الثانية</t>
  </si>
  <si>
    <t>صيانة قطعة خشب ميز مكتبة قرب باب استعلامات البناية الثانية الطابق الارضي</t>
  </si>
  <si>
    <t>A- الابتدائية (البناية 1), B- الابتدائية (البناية 2)</t>
  </si>
  <si>
    <t>ارجاع سقف ثانوي قطع عدد(14) في البناية الاولى مخلف الطوابق الزونB+صحيات الخارجية للبناية الثانية</t>
  </si>
  <si>
    <t>اضافة فيوز لحماية دائرة السيطرة الخاصة بشحن منظومة الالواح الشمسية في غرفة التزامن .</t>
  </si>
  <si>
    <t>وحدة التبريد</t>
  </si>
  <si>
    <t>الطابق الارضي, الطابق الاول, إدارة المجمع</t>
  </si>
  <si>
    <t>إدامة وتنظيف القطع الداخليه الخاصة بالبناية</t>
  </si>
  <si>
    <t>الطابق الثاني, الطابق الثالث, الطابق الرابع</t>
  </si>
  <si>
    <t>J- ابتدائية الساقي للبنين الجانب الثاني (السابعة), J- جامعة العميد (السابعة)</t>
  </si>
  <si>
    <t>حدة الميكانيك</t>
  </si>
  <si>
    <t xml:space="preserve">غسل وادامة منظومة تصفية المياه في البناية </t>
  </si>
  <si>
    <t>الكراج</t>
  </si>
  <si>
    <t xml:space="preserve">
تم تبديل سيت ولف في سخان الخارجي (الامنيه)</t>
  </si>
  <si>
    <t xml:space="preserve">
تم صيانة سبلت في غرفة الراكات في البناية الثانية طابق الأرضي</t>
  </si>
  <si>
    <t xml:space="preserve">
تم تنصيب مقعد غربي في البناية الثانية طابق الثاني
تم تنصيب خزان طراد الماء (الفلاش) في البناية الثالثة</t>
  </si>
  <si>
    <t>تم صيانه واضافه جكن واير الى مناور الاسطح في البنايه الاولى والثانية</t>
  </si>
  <si>
    <t>تم فحص وصيانه البنايه الثالثة والرابعة بالكامل
تم تبديل محوله50W  اناره60*60
تثبيت سويج اناره3 خط عدد 4
تثبيت سويج اناره 4 خط عدد 5
تثبيت بلك سويج 13 A عدد 6</t>
  </si>
  <si>
    <t>صيانة كرسي</t>
  </si>
  <si>
    <t xml:space="preserve">الطابق الثالث, وحدة الاعلام </t>
  </si>
  <si>
    <t>تحويل تدفئة الى تبريد</t>
  </si>
  <si>
    <t xml:space="preserve">احتياج المدرسة لمنتسب  تبريد </t>
  </si>
  <si>
    <t xml:space="preserve">ZONE B - الطابق الارضي, حمامات الطلاب </t>
  </si>
  <si>
    <t>سقوط السقف الثانوي في الحمام الثالث  مما ادى الى تناثر اجزاء السقف في كابينة الحمام</t>
  </si>
  <si>
    <t>لايوجد ماء شراب</t>
  </si>
  <si>
    <t>السياج الخارجي</t>
  </si>
  <si>
    <t>صيانة الفطور في السياج الخارجي</t>
  </si>
  <si>
    <t xml:space="preserve">قرب المدرسة الاولى </t>
  </si>
  <si>
    <t xml:space="preserve">رفع المقرنص لغرض مد بوري لتسليك واير كهرباء </t>
  </si>
  <si>
    <t>تبديل ضوء صيانه انارة</t>
  </si>
  <si>
    <t>معالجة الزوايا الحادة لمكان خرطوم الاطفاء</t>
  </si>
  <si>
    <t xml:space="preserve">الطابق الارضي, صف الفرح </t>
  </si>
  <si>
    <t>يدت شباك تبديل</t>
  </si>
  <si>
    <t xml:space="preserve">انسداد مجاري في الصحيات </t>
  </si>
  <si>
    <t xml:space="preserve">الطابق الارضي, استفسر  المكان من قبل الاستعلامات </t>
  </si>
  <si>
    <t xml:space="preserve">صيانة حنفيات  </t>
  </si>
  <si>
    <t xml:space="preserve">صيانة باب الساحة الوسطية </t>
  </si>
  <si>
    <t>ZONE B - الطابق الثاني, حمامات الطلاب  وسقوف الممرات الجانبية للجناح B</t>
  </si>
  <si>
    <t xml:space="preserve">وفق الصور المرسلة  يدة باب الحمامات  وصقوط بردة الزيبرا   وتطايرا الواح السقف الثانوي </t>
  </si>
  <si>
    <t xml:space="preserve">صيانة القطع الخاص بالاستعلامات </t>
  </si>
  <si>
    <t xml:space="preserve">صيانة مفتاح باب الحمام </t>
  </si>
  <si>
    <t xml:space="preserve">صيانة حنفية الحمام </t>
  </si>
  <si>
    <t>صيانة مصعد</t>
  </si>
  <si>
    <t xml:space="preserve">صيانة يدة بااب الاستفسار عند الاستعلامات عن المكان بالضبط </t>
  </si>
  <si>
    <t>صيانة ميز طعام</t>
  </si>
  <si>
    <t xml:space="preserve">احتياج تعليق بردة واحتياج لاصق </t>
  </si>
  <si>
    <t xml:space="preserve">صيانة يدة باب المنيوم </t>
  </si>
  <si>
    <t xml:space="preserve">تبديل يدة شباك </t>
  </si>
  <si>
    <t xml:space="preserve">تبديل كيلون باب </t>
  </si>
  <si>
    <t>اصلاح اسلايت السبورة الذكية الثالث  و</t>
  </si>
  <si>
    <t>انسداد في السيفون الخاص بالحمامات  الوسطية</t>
  </si>
  <si>
    <t>الدارة المجمع</t>
  </si>
  <si>
    <t>انفكاك قطع السقوف الثانوية في الممرات قرب السلالم</t>
  </si>
  <si>
    <t xml:space="preserve">صيانة ميز طعام </t>
  </si>
  <si>
    <t xml:space="preserve">تفضلكم بتثبيت الهزارة الخشبية في غرفة المرسم </t>
  </si>
  <si>
    <t xml:space="preserve">الباب الرئيسي </t>
  </si>
  <si>
    <t xml:space="preserve">يرجى تفضلكم بصيانة الباب الخارجي </t>
  </si>
  <si>
    <t xml:space="preserve">قرب الاستعلامات </t>
  </si>
  <si>
    <t xml:space="preserve">عمل ترتيب اللافتة </t>
  </si>
  <si>
    <t>تبديل قفل (ضفدع) شباك حديد
​العدد: (1) البناية الاولى
​(المصلى)الطابق الثاني - الزون (A) -</t>
  </si>
  <si>
    <t>تبديل قفل (ضفدع) شباك حديد
​العدد: (1) البناية الثالثة
الطابق الأول - الزون (A) - غرفة المعاون التربوي</t>
  </si>
  <si>
    <t>صيانة 5 أبواب ألمنيوم (الصحيات الخارجية/ البناية 2).
​استبدال الأقفال والمقابض المتضررة بأخرى جديدة</t>
  </si>
  <si>
    <t>استبدال مأخذ قدرة 13A عدد 1 في البناية الثالثة الطابق الارضي الزون B .</t>
  </si>
  <si>
    <t>فصل سيار كهرباء من بورد الغطاس في الكراج .</t>
  </si>
  <si>
    <t xml:space="preserve">تم فصل تغذية ماطور الماء المتواجد بقرب غرفة الاستعلامات البناية الثانيةلغرض صيانة الماطور من قبل وحدة الميكانيك. وتم تبديل محولة سبورلايت عدد 1  في صحيات البناية الرابعة الطابق الأرضي الزون B. 
</t>
  </si>
  <si>
    <t xml:space="preserve">مقابيل المركز الثقافي </t>
  </si>
  <si>
    <t xml:space="preserve">مكان المولدات </t>
  </si>
  <si>
    <t xml:space="preserve">تعديل تارتان </t>
  </si>
  <si>
    <t xml:space="preserve">تم تغذية سيار كهرباء لوحدة الصيانة التابعة للتربية والتعليم. </t>
  </si>
  <si>
    <t>/</t>
  </si>
  <si>
    <t xml:space="preserve">احتياج صوندة براد </t>
  </si>
  <si>
    <t xml:space="preserve">الطابق الارضي, استفسر من الاستعلامات </t>
  </si>
  <si>
    <t xml:space="preserve">تعليق برد </t>
  </si>
  <si>
    <t xml:space="preserve">صيانة  ميز اطفال </t>
  </si>
  <si>
    <t>ZONE A - الطابق الارضي, الباب ما بين زون A وB</t>
  </si>
  <si>
    <t>عطل جك الباب</t>
  </si>
  <si>
    <t xml:space="preserve">الباب الخلفية </t>
  </si>
  <si>
    <t xml:space="preserve">صيانة باب الاستعلامات الخلية </t>
  </si>
  <si>
    <t>J- ابتدائية الساقي للبنين الجانب الثاني (السابعة)</t>
  </si>
  <si>
    <t xml:space="preserve">صيانة  باب الساحة الوسطية </t>
  </si>
  <si>
    <t>الطابق الارضي, صف السادس أ</t>
  </si>
  <si>
    <t>صيانه شباك</t>
  </si>
  <si>
    <t xml:space="preserve">الطابق الارضي, استفسر من الاستعلامات عن المكان بالضبط </t>
  </si>
  <si>
    <t xml:space="preserve">صيانة براد </t>
  </si>
  <si>
    <t xml:space="preserve"> 
تم ربط منظومة الVRF في البناية الثالثة بالكهرباء بمساعدة وحده الكهرباء </t>
  </si>
  <si>
    <t xml:space="preserve">تم أعادة ربط اسلاك التغذية الخاصة بأحدى قطع ال vrf الخارجية في سطح البناية الثالثة بعد اكمال اعمال الصيانة لدى وحدة الميكانيك. 
</t>
  </si>
  <si>
    <t>تم لحيم الباب الخارجي للبناية الثانية</t>
  </si>
  <si>
    <t>تثبيت بيم نرمادة باب خشب الصحيات البناية الثانية الطابق الاول</t>
  </si>
  <si>
    <t xml:space="preserve">الطابق الارضي, غرفة المعاونات </t>
  </si>
  <si>
    <t xml:space="preserve">صيانة سيدار بردة </t>
  </si>
  <si>
    <t xml:space="preserve">صحيات مقابيل الالعاب </t>
  </si>
  <si>
    <t>صيانة باب</t>
  </si>
  <si>
    <t xml:space="preserve">غرفة الزينبيات </t>
  </si>
  <si>
    <t>صيانه تبريد</t>
  </si>
  <si>
    <t>تثبيت بردة</t>
  </si>
  <si>
    <t xml:space="preserve">صيانة استول في المختبر </t>
  </si>
  <si>
    <t xml:space="preserve">جناح الساحة ZONE B, والمصلى </t>
  </si>
  <si>
    <t xml:space="preserve">تثبيت بردات </t>
  </si>
  <si>
    <t>الطابق الاول, الطابق الثاني, جناح الساحة ZONE B</t>
  </si>
  <si>
    <t xml:space="preserve">صيانة حمام شطاف </t>
  </si>
  <si>
    <t xml:space="preserve">ميز الاستعلامات بحاجة الى سيلكون </t>
  </si>
  <si>
    <t xml:space="preserve">صيانة باب حمام </t>
  </si>
  <si>
    <t xml:space="preserve">صيانة شفاط </t>
  </si>
  <si>
    <t xml:space="preserve">صيانة نقطة كهرباء </t>
  </si>
  <si>
    <t xml:space="preserve">صيانة مكنسة كهربائية </t>
  </si>
  <si>
    <t xml:space="preserve">
تم عمل فاكيوم وشحن غاز لسبلت اعتيادي في البنايه الرابعه الطابق الارضي</t>
  </si>
  <si>
    <t>تم اعادة سقف ثانوي متحرك في البنايه الرابعه الطابق الثاني الزون B عدد 9</t>
  </si>
  <si>
    <t>تم اضافه مصد باب الى باب 🚪 صحيات البنايه الثالثه الطابق الاول الزون B</t>
  </si>
  <si>
    <t>تم اضافه مرد ماء 💧 في صحيات البنايه الثالثه الطابق الاول الزون A</t>
  </si>
  <si>
    <t>تبديل قفل (ضفدع) شباك حديد
​العدد: (1) البناية الاولى
​(غرفة المعلمين)الطابق الاول - الزون (A) -</t>
  </si>
  <si>
    <t xml:space="preserve">تسليك واير فلكس (1.5*2) بمسافة تقريبا (50 متر) لتغذية انارة غرفة الكهرباء  الطابق الأرضي زون B  من الطاقة الشمسية في البناية الأولى أيضا تم وضع قاطع احادي (10A) للسيطرة علية... </t>
  </si>
  <si>
    <t>القاعات الرياضية</t>
  </si>
  <si>
    <t>تم ربط لاقطة( السماعات القاعة الرياضية) 
عدد 1 مع ضبط الإعدادات .</t>
  </si>
  <si>
    <t>ادارة مجمع البنين</t>
  </si>
  <si>
    <t>تثبيت ميز مكتب</t>
  </si>
  <si>
    <t>الرصيف</t>
  </si>
  <si>
    <t xml:space="preserve">اعمال صبغ الرصيف بمادة البرايمر </t>
  </si>
  <si>
    <t>معالجة الرصيف مراد المعجون</t>
  </si>
  <si>
    <t>صبغ الرصيف بالون الابيض والاصفر</t>
  </si>
  <si>
    <t>صبغ الرصيف بمادة البرايمر</t>
  </si>
  <si>
    <t>بمالجة الرصيف بالمعجون</t>
  </si>
  <si>
    <t>mrtathaabbassps44@gmail.com</t>
  </si>
  <si>
    <t>ادامة وغسل القطع الخارجيه لمنظومات التبريد في  البناية</t>
  </si>
  <si>
    <t>الطابق الارضي, الطابق الاول, الطابق الثاني, الطابق الثالث, الطابق الرابع, السطح</t>
  </si>
  <si>
    <t xml:space="preserve">ادامة وتنظيف اجهزة التبريد الخاصه بغرف الكهرباء والاتصالات </t>
  </si>
  <si>
    <t xml:space="preserve">الطابق الارضي, القاعه رياضية الاولى </t>
  </si>
  <si>
    <t xml:space="preserve">ادامة وتنظيف منظومة البكج الخاصة بالقاعه </t>
  </si>
  <si>
    <t>الطابق الارضي, القاعه رياضية الثانية</t>
  </si>
  <si>
    <t>تم تثبيت مرد ماء عدد ٤ في صحيات البنايه الثانيه الطابق الثاني</t>
  </si>
  <si>
    <t xml:space="preserve">لايوجد ماء شرب </t>
  </si>
  <si>
    <t>جناح الادائرة ZONE A, جناح الساحة ZONE B, الساحة المستطيله</t>
  </si>
  <si>
    <t>صيانه باب في للصحيات</t>
  </si>
  <si>
    <t xml:space="preserve">لايوجد ماء في منظومة الشرب </t>
  </si>
  <si>
    <t xml:space="preserve">صيانة سبورت لايت في الدرج الصاعد الى الساحة المستطيلة </t>
  </si>
  <si>
    <t>الصحيات الخارجية مقطوع فيها الماء</t>
  </si>
  <si>
    <t>تم إعادة تشغيل مضخات الماء الموزعة لخزانات المباني الاربعة بسبب طوافة الماء حيث كانت لا تعمل بالصورة الطبيعية.</t>
  </si>
  <si>
    <t>تم تبديل يده شباك قلاب صف الثاني (ب) ط ارضي زون B المدرسة الثالثه</t>
  </si>
  <si>
    <t>تم تبديل يده شباك صف الثاني(أ) ط ارضي زون B المدرسة الثالثه</t>
  </si>
  <si>
    <t>صيانه تور شباك صف الثاني (و) مع تركيب مصد الباب ط ارضي زون B المدرسة الثالثه</t>
  </si>
  <si>
    <t>تم تثبيت خشبه الجدار مع تركيب برغي كيلون باب الخشبية صف الثاني (ه‍) ط ارضي زون B المدرسة الثالثه</t>
  </si>
  <si>
    <t>تم تثبيت خشبه الجدار صف الثاني (د) ط ارضي زون B المدرسة الثالثه</t>
  </si>
  <si>
    <t>تم تبديل يده شباك قلاب صف الثاني (د) ط ارضي زون B المدرسة الثالثه</t>
  </si>
  <si>
    <t>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t>
  </si>
  <si>
    <t>الشارع</t>
  </si>
  <si>
    <t>مقابل الاولى C</t>
  </si>
  <si>
    <t xml:space="preserve">إعادة تثبيت وتوجيه بلاجكتور 200w في احد الاعمدة </t>
  </si>
  <si>
    <t>رصيف مقابل الالعاب</t>
  </si>
  <si>
    <t>رصيف الالعاب</t>
  </si>
  <si>
    <t>من غرفة كهرباء محطة الرفع الى الاولى</t>
  </si>
  <si>
    <t>تم تسليك كيبل فلكس 2×1  بطول 120 متر</t>
  </si>
  <si>
    <t xml:space="preserve">فحص منظومة UPS  بعد قطع الكهرباء عنهُ:-
* حيث وصلت نسبة الشحن إلى 95٪ بعد إطفاء دام 30 دقيقة </t>
  </si>
  <si>
    <t xml:space="preserve">الرصيف مقابل الالعاب </t>
  </si>
  <si>
    <t xml:space="preserve">رصيف الالعاب </t>
  </si>
  <si>
    <t>تصليح الرصيف بمادة المعجون</t>
  </si>
  <si>
    <t>من الاولى الى الثانية</t>
  </si>
  <si>
    <t>تم تسليك كيبل فلكس 2×1 بطول 150 متر</t>
  </si>
  <si>
    <t>من غلافة كهرباء الثانية الى الثالثة</t>
  </si>
  <si>
    <t>تم تسليك كيبل فلكس 2×1  بطول 25 متر</t>
  </si>
  <si>
    <t xml:space="preserve">مقابل المركز الثقافي </t>
  </si>
  <si>
    <t>تزيت المصعد</t>
  </si>
  <si>
    <t>فحص منظومة UPS المركز (F1) بعد قطع الكهرباء عنهُ:-
* حيث وصلت نسبة الشحن إلى 2٪ بعد إطفاء دام 31 دقيقة</t>
  </si>
  <si>
    <t>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t>
  </si>
  <si>
    <t>data center</t>
  </si>
  <si>
    <t>فحص منظومة UPS المركز (data center) بعد قطع الكهرباء عنهُ:-
*  الاول بعد اطفاء 35 دقيقة وصلت نسبة الشحن 93%
*  الثاني بعد اطفاء 35 دقيقة وصلت نسبة الشحن 94%</t>
  </si>
  <si>
    <t>تم صيانه المصعد بحيث كانه لايعمل بحالة Almanawal فوق مقصورة المصعد واعادته الى العمل بشكل جيد</t>
  </si>
  <si>
    <t>كل البناية</t>
  </si>
  <si>
    <t>تم تنظيف غرف الكهرباء</t>
  </si>
  <si>
    <t xml:space="preserve">تم اصلاح قاطع رباعي لوجود رخاوه فيه </t>
  </si>
  <si>
    <t>تم تسليك كيبل فلكس 2×1 لتوصيل وأخذ إشارة الى ال emergency botton NC للتحكم في تشغيل مضخة الاطفاء الديزل يدويا من الطابق الارضي في حالة حدوث طارئ</t>
  </si>
  <si>
    <t>البيوت الخارجية</t>
  </si>
  <si>
    <t>من خلال المتابعة اليومية تم العثور على مشكلة في طوافة غطاس وتم صيانتها</t>
  </si>
  <si>
    <t>فحص  UPS المدرسة بعد إطفاء الكهرباء عنهُ.
📌 حيث كانت نسبة الشحن بعد قطع الكهرباء لمدة 33 دقيقة 87٪
📌 و الأحمال 
* L1= 1.5A / load ratio= 6.9%
* L2= 3.1A / load ratio= 13.7%
* L3= 2.8A / load ratio=14.5%
* Vo= 220V</t>
  </si>
  <si>
    <t>تفعيل بوش (Emegency Diesel Run) لمضخة المدرسة وذلك بعمل دائرة سيطرة مناسبة بفولتية 12V. مع أضافة بوش تشغيل يدوي للمضخة لغرض الفحص.</t>
  </si>
  <si>
    <t>حص  UPS المدرسة بعد إطفاء الكهرباء عنهُ.
📌 حيث كانت نسبة الشحن بعد قطع الكهرباء لمدة 27 دقيقة 91٪</t>
  </si>
  <si>
    <t xml:space="preserve">فحص  UPS المدرسة بعد إطفاء الكهرباء عنهُ.
📌 حيث كانت نسبة الشحن بعد قطع الكهرباء لمدة 31 دقيقة 92٪
</t>
  </si>
  <si>
    <t xml:space="preserve">تم استبدال جوزة كهربائية مفردة عدد 2 بقدرة 10A </t>
  </si>
  <si>
    <t>تنضيف غرف الكهرباء</t>
  </si>
  <si>
    <t>فحص  UPS المدرسة بعد إطفاء الكهرباء عنهُ.
📌 حيث كانت نسبة الشحن بعد قطع الكهرباء لمدة 30 دقيقة 89٪</t>
  </si>
  <si>
    <t>صيانة بلك سويج 13A بدون استبدال</t>
  </si>
  <si>
    <t>تنظيف غرف الكهرباء</t>
  </si>
  <si>
    <t xml:space="preserve">فحص  UPS المدرسة بعد إطفاء الكهرباء عنهُ.
📌 حيث كانت نسبة الشحن بعد قطع الكهرباء لمدة 21 دقيقة 91٪
</t>
  </si>
  <si>
    <t>تصليح مجرى السنك</t>
  </si>
  <si>
    <t>صف النجوم</t>
  </si>
  <si>
    <t xml:space="preserve">صيانة يدة شباك </t>
  </si>
  <si>
    <t xml:space="preserve">صف النجوم </t>
  </si>
  <si>
    <t>صف الياقوت</t>
  </si>
  <si>
    <t xml:space="preserve">صيانة حنفية حمام </t>
  </si>
  <si>
    <t>اعادة ربط ماطور ماء بعد صيانته من قبل وحدة الميكانيك في البناية الثانية.</t>
  </si>
  <si>
    <t>تركيب مردات ماء قطعة عدد(2)
الصحيات الطابق الاول البناية الثالثة الزونB .</t>
  </si>
  <si>
    <t>تبديل يدة شباك حديد عدد(1) 
الصف الاول متوسط(أ)
الطابق الاول الزونB البناية الثالثة</t>
  </si>
  <si>
    <t>اعمال تنزيل البحص من البنايه الثانيه الطابق الثاني الى الكراج</t>
  </si>
  <si>
    <t xml:space="preserve">
تم تبديل بوستر ماطور ماء واصلاحه  قرب غرف الامنيه في البنايه الثانية </t>
  </si>
  <si>
    <t>C- ثانوية العميد بناية الاعدادية  (الاولى), D- ثانوية العميد بناية المتوسطة  (الثانية), E- ابتدائية العميد للبنات (الثالثة), F-  ابتدائية جود العميد للبنات (الرابعة)</t>
  </si>
  <si>
    <t xml:space="preserve">اضافة مأخذ ماء اضافي لتسهيل عملية التشغيل والادامه </t>
  </si>
  <si>
    <t>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t>
  </si>
  <si>
    <t>اضافة مأخذ ماء اضافي لتسهيل عملية التشغيل والادامه</t>
  </si>
  <si>
    <t xml:space="preserve">صيانة كاسيت سنكل واصلاح الليك في غرفة الادارة </t>
  </si>
  <si>
    <t xml:space="preserve">صيانة التسريب في الخزان واستبدال الطوافة التالفه </t>
  </si>
  <si>
    <t>صيانة التسريب في الخزان واستبدال الطوافة التالفه</t>
  </si>
  <si>
    <t xml:space="preserve">ادامة وتنظيف منظومة السبلت بكج الخاصة بقاعة المؤتمرات </t>
  </si>
  <si>
    <t xml:space="preserve">ادامة وتنظيف منظومة السبلت بكج الخاصة بقاعة سراج العميد </t>
  </si>
  <si>
    <t>الطابق الارضي, الطابق الاول, الطابق الثاني, السطح</t>
  </si>
  <si>
    <t xml:space="preserve">برمجة شاشة الكنترول الرئيسية واعدة فرز قطع ال vrv الداخلية </t>
  </si>
  <si>
    <t xml:space="preserve">برمجة شاشة الكنترول الرئيسية وإعادة فرز قطع ال vrv </t>
  </si>
  <si>
    <t xml:space="preserve">اضافة وتأسيس شبكة مياه خاصة بغسل الألواح الشمسية في سطح القاعات الرياضية </t>
  </si>
  <si>
    <t xml:space="preserve">إفراغ شبكة اطفاء الحريق واستبدال الماء المضغوط لغرض حماية انابيب الشبكة من التأكسد </t>
  </si>
  <si>
    <t>إفراغ شبكة اطفاء الحريق واستبدال الماء المضغوط لغرض حماية انابيب الشبكة من التأكسد</t>
  </si>
  <si>
    <t>fhjuj01@gmail.com</t>
  </si>
  <si>
    <t>إطلاق النسخة التجريبية من برنامج الإسناد الهندسي الخاص بشعبة الصيانة</t>
  </si>
  <si>
    <t>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 والغرف التي تحتاج للكهرباء خارج اوقات الدوام من محطة الرفع دون الحاجة لتشغيل مولدات المركز الثقافي.</t>
  </si>
  <si>
    <t>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t>
  </si>
  <si>
    <t>تم ترتيب وتنظيف مخزن وحدة الكهرباء</t>
  </si>
  <si>
    <t>الاسم</t>
  </si>
  <si>
    <t>الإيميل</t>
  </si>
  <si>
    <t>النوع</t>
  </si>
  <si>
    <t>الحالة</t>
  </si>
  <si>
    <t>رقم واتساب</t>
  </si>
  <si>
    <t>الوحدة</t>
  </si>
  <si>
    <t>telegram</t>
  </si>
  <si>
    <t>نطاق اسماء الوحدات</t>
  </si>
  <si>
    <t>سامر مقداد</t>
  </si>
  <si>
    <t>test1234@gmail.com</t>
  </si>
  <si>
    <t>فرعي</t>
  </si>
  <si>
    <t>نشط</t>
  </si>
  <si>
    <t>مولدات</t>
  </si>
  <si>
    <t>م حمزة</t>
  </si>
  <si>
    <t>alansarihamza56@gmail.com</t>
  </si>
  <si>
    <t>م مرتضى عباس</t>
  </si>
  <si>
    <t>علي عبدعلي</t>
  </si>
  <si>
    <t>عباس حسين</t>
  </si>
  <si>
    <t>م كريم</t>
  </si>
  <si>
    <t>mohamedareem@gmail.com</t>
  </si>
  <si>
    <t>امين كاظم</t>
  </si>
  <si>
    <t>تربية</t>
  </si>
  <si>
    <t>مؤمل نصير</t>
  </si>
  <si>
    <t>اخرى</t>
  </si>
  <si>
    <t>م علي مطلق</t>
  </si>
  <si>
    <t>alimoutlaq@gmail.com</t>
  </si>
  <si>
    <t>م علي يسري</t>
  </si>
  <si>
    <t>alisonic999999@gmail.com</t>
  </si>
  <si>
    <t>مرتضى الكاظم</t>
  </si>
  <si>
    <t>عبدالله علوان</t>
  </si>
  <si>
    <t>حسين عباس</t>
  </si>
  <si>
    <t>جهاد جواد</t>
  </si>
  <si>
    <t>ادارية</t>
  </si>
  <si>
    <t>رئيسي</t>
  </si>
  <si>
    <t>مدير</t>
  </si>
  <si>
    <t>9647760055149</t>
  </si>
  <si>
    <t>فني متخصص</t>
  </si>
  <si>
    <t>م علي سعد</t>
  </si>
  <si>
    <t>ali12345alisaad@gmail.com</t>
  </si>
  <si>
    <t xml:space="preserve">منتظر ميثم </t>
  </si>
  <si>
    <t>محمد شهيد</t>
  </si>
  <si>
    <t>alfaraunm@gmail.com</t>
  </si>
  <si>
    <t>بهاء ادارية</t>
  </si>
  <si>
    <t>bahaaaloosh1989@gmail.com</t>
  </si>
  <si>
    <t>شعبة الخدمات</t>
  </si>
  <si>
    <t>عبدالله جابر</t>
  </si>
  <si>
    <t>abodfitt@gmail.com</t>
  </si>
  <si>
    <t xml:space="preserve">رعد ابو نرجس </t>
  </si>
  <si>
    <t>raad63942@gmail.com</t>
  </si>
  <si>
    <t>م سجاد حميد</t>
  </si>
  <si>
    <t>علي محمد</t>
  </si>
  <si>
    <t>مصطفى عبدالرضا</t>
  </si>
  <si>
    <t>محمد باسم</t>
  </si>
  <si>
    <t>م رضا حمودي</t>
  </si>
  <si>
    <t xml:space="preserve">redhahammode20@gmail.com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</si>
</sst>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 hh:mm\ AM/PM"/>
    <numFmt numFmtId="165" formatCode="m/d/yyyy\ h:mm:ss"/>
  </numFmts>
  <fonts count="22">
    <font>
      <sz val="10"/>
      <color rgb="FF000000"/>
      <name val="Arial"/>
      <scheme val="minor"/>
    </font>
    <font>
      <b/>
      <sz val="14"/>
      <color theme="1"/>
      <name val="Arial"/>
      <scheme val="minor"/>
    </font>
    <font>
      <b/>
      <sz val="14"/>
      <color rgb="FFFFFFFF"/>
      <name val="Arial"/>
      <scheme val="minor"/>
    </font>
    <font>
      <b/>
      <sz val="12"/>
      <color rgb="FF000000"/>
      <name val="Arial"/>
      <scheme val="minor"/>
    </font>
    <font>
      <b/>
      <sz val="14"/>
      <color rgb="FF000000"/>
      <name val="Arial"/>
      <scheme val="minor"/>
    </font>
    <font>
      <b/>
      <sz val="15"/>
      <color rgb="FF000000"/>
      <name val="Arial"/>
      <scheme val="minor"/>
    </font>
    <font>
      <b/>
      <sz val="10"/>
      <color rgb="FF000000"/>
      <name val="Arial"/>
      <scheme val="minor"/>
    </font>
    <font>
      <b/>
      <sz val="12"/>
      <color theme="1"/>
      <name val="Arial"/>
      <scheme val="minor"/>
    </font>
    <font>
      <b/>
      <sz val="15"/>
      <color rgb="FF000000"/>
      <name val="Arial"/>
    </font>
    <font>
      <b/>
      <sz val="11"/>
      <color rgb="FF000000"/>
      <name val="Arial"/>
      <scheme val="minor"/>
    </font>
    <font>
      <sz val="15"/>
      <color rgb="FF000000"/>
      <name val="Arial"/>
      <scheme val="minor"/>
    </font>
    <font>
      <sz val="10"/>
      <color theme="1"/>
      <name val="Arial"/>
      <scheme val="minor"/>
    </font>
    <font>
      <b/>
      <sz val="12"/>
      <color theme="1"/>
      <name val="Quote-cjk-patch"/>
    </font>
    <font>
      <b/>
      <sz val="12"/>
      <color theme="1"/>
      <name val="Arial"/>
    </font>
    <font>
      <b/>
      <sz val="13"/>
      <color rgb="FF1B1C1D"/>
      <name val="Google Sans Text"/>
    </font>
    <font>
      <b/>
      <sz val="13"/>
      <color rgb="FF444746"/>
      <name val="Google Sans Text"/>
    </font>
    <font>
      <b/>
      <sz val="13"/>
      <color rgb="FF444746"/>
      <name val="&quot;Google Sans Text&quot;"/>
    </font>
    <font>
      <b/>
      <sz val="13"/>
      <color theme="1"/>
      <name val="Arial"/>
      <scheme val="minor"/>
    </font>
    <font>
      <b/>
      <sz val="13"/>
      <color rgb="FF1B1C1D"/>
      <name val="&quot;Google Sans Text&quot;"/>
    </font>
    <font>
      <b/>
      <u/>
      <sz val="13"/>
      <color rgb="FF444746"/>
      <name val="&quot;Google Sans Text&quot;"/>
    </font>
    <font>
      <b/>
      <u/>
      <sz val="13"/>
      <color rgb="FF444746"/>
      <name val="Google Sans Text"/>
    </font>
    <font>
      <b/>
      <u/>
      <sz val="13"/>
      <color rgb="FF444746"/>
      <name val="Google Sans Text"/>
    </font>
  </fonts>
  <fills count="4">
    <fill>
      <patternFill patternType="none"/>
    </fill>
    <fill>
      <patternFill patternType="gray125"/>
    </fill>
    <fill>
      <patternFill patternType="solid">
        <fgColor rgb="FFFF0000"/>
        <bgColor rgb="FFFF0000"/>
      </patternFill>
    </fill>
    <fill>
      <patternFill patternType="solid">
        <fgColor rgb="FF2C3E50"/>
        <bgColor rgb="FF2C3E50"/>
      </patternFill>
    </fill>
  </fills>
  <borders count="3">
    <border>
      <left/>
      <right/>
      <top/>
      <bottom/>
      <diagonal/>
    </border>
    <border>
      <left style="thick">
        <color rgb="FF999999"/>
      </left>
      <right style="thick">
        <color rgb="FF999999"/>
      </right>
      <top style="thick">
        <color rgb="FF999999"/>
      </top>
      <bottom style="thick">
        <color rgb="FF999999"/>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0" fontId="1" fillId="0" borderId="0" xfId="0" applyFont="1" applyAlignment="1">
      <alignment horizontal="center" vertical="center" wrapText="1"/>
    </xf>
    <xf numFmtId="0" fontId="1" fillId="0" borderId="0" xfId="0" applyFont="1" applyAlignment="1">
      <alignment horizontal="center" vertical="center" textRotation="180" wrapText="1"/>
    </xf>
    <xf numFmtId="0" fontId="1" fillId="0" borderId="0" xfId="0" applyFont="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49" fontId="2" fillId="3" borderId="0" xfId="0" applyNumberFormat="1" applyFont="1" applyFill="1" applyAlignment="1">
      <alignment horizontal="center" vertical="center"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textRotation="180"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20" fontId="3"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0" fontId="9" fillId="0" borderId="1" xfId="0" applyFont="1" applyBorder="1" applyAlignment="1">
      <alignment horizontal="center" vertical="center" wrapText="1"/>
    </xf>
    <xf numFmtId="0" fontId="3" fillId="0" borderId="1" xfId="0" applyFont="1" applyBorder="1" applyAlignment="1">
      <alignment horizontal="center" vertical="center" textRotation="90" wrapText="1"/>
    </xf>
    <xf numFmtId="164" fontId="5" fillId="0" borderId="1" xfId="0" applyNumberFormat="1" applyFont="1" applyBorder="1" applyAlignment="1">
      <alignment horizontal="center" vertical="center"/>
    </xf>
    <xf numFmtId="164" fontId="10" fillId="0" borderId="1" xfId="0" applyNumberFormat="1" applyFont="1" applyBorder="1" applyAlignment="1">
      <alignment horizontal="center" vertical="center"/>
    </xf>
    <xf numFmtId="0" fontId="11" fillId="0" borderId="0" xfId="0" applyFont="1" applyAlignment="1">
      <alignment horizontal="left" vertical="center"/>
    </xf>
    <xf numFmtId="165" fontId="11" fillId="0" borderId="0" xfId="0" applyNumberFormat="1" applyFont="1" applyAlignment="1">
      <alignment vertical="center"/>
    </xf>
    <xf numFmtId="0" fontId="11" fillId="0" borderId="0" xfId="0" applyFont="1" applyAlignment="1">
      <alignment vertical="center"/>
    </xf>
    <xf numFmtId="0" fontId="12" fillId="0" borderId="0" xfId="0" applyFont="1" applyAlignment="1">
      <alignment horizontal="center" vertical="center"/>
    </xf>
    <xf numFmtId="0" fontId="13" fillId="0" borderId="0" xfId="0" applyFont="1" applyAlignment="1">
      <alignment horizontal="center" vertical="center"/>
    </xf>
    <xf numFmtId="49" fontId="13" fillId="0" borderId="0" xfId="0" applyNumberFormat="1" applyFont="1" applyAlignment="1">
      <alignment horizontal="center" vertical="center"/>
    </xf>
    <xf numFmtId="0" fontId="14" fillId="0" borderId="2" xfId="0" applyFont="1" applyBorder="1" applyAlignment="1">
      <alignment horizontal="center"/>
    </xf>
    <xf numFmtId="0" fontId="15" fillId="0" borderId="2" xfId="0" applyFont="1" applyBorder="1"/>
    <xf numFmtId="0" fontId="16" fillId="0" borderId="2" xfId="0" applyFont="1" applyBorder="1" applyAlignment="1">
      <alignment vertical="center"/>
    </xf>
    <xf numFmtId="0" fontId="17" fillId="0" borderId="2" xfId="0" applyFont="1" applyBorder="1" applyAlignment="1">
      <alignment horizontal="center" vertical="center"/>
    </xf>
    <xf numFmtId="0" fontId="17" fillId="0" borderId="2" xfId="0" applyFont="1" applyBorder="1" applyAlignment="1">
      <alignment vertical="center"/>
    </xf>
    <xf numFmtId="0" fontId="17" fillId="0" borderId="0" xfId="0" applyFont="1" applyAlignment="1">
      <alignment horizontal="center" vertical="center"/>
    </xf>
    <xf numFmtId="0" fontId="18" fillId="0" borderId="2" xfId="0" applyFont="1" applyBorder="1" applyAlignment="1">
      <alignment horizontal="center" vertical="center"/>
    </xf>
    <xf numFmtId="0" fontId="16" fillId="0" borderId="2" xfId="0" applyFont="1" applyBorder="1" applyAlignment="1">
      <alignment horizontal="left" vertical="center"/>
    </xf>
    <xf numFmtId="0" fontId="19" fillId="0" borderId="2" xfId="0" applyFont="1" applyBorder="1" applyAlignment="1">
      <alignment horizontal="left" vertical="center"/>
    </xf>
    <xf numFmtId="49" fontId="17" fillId="0" borderId="2" xfId="0" applyNumberFormat="1" applyFont="1" applyBorder="1" applyAlignment="1">
      <alignment horizontal="center" vertical="center"/>
    </xf>
    <xf numFmtId="0" fontId="20" fillId="0" borderId="2" xfId="0" applyFont="1" applyBorder="1" applyAlignment="1">
      <alignment horizontal="left"/>
    </xf>
    <xf numFmtId="0" fontId="21" fillId="0" borderId="2" xfId="0" applyFont="1" applyBorder="1"/>
    <xf numFmtId="0" fontId="14" fillId="0" borderId="0" xfId="0" applyFont="1" applyAlignment="1">
      <alignment horizontal="center"/>
    </xf>
    <xf numFmtId="0" fontId="15" fillId="0" borderId="0" xfId="0" applyFont="1"/>
    <xf numFmtId="0" fontId="16" fillId="0" borderId="0" xfId="0" applyFont="1" applyAlignment="1">
      <alignment vertical="center"/>
    </xf>
    <xf numFmtId="0" fontId="17" fillId="0" borderId="0" xfId="0" applyFont="1" applyAlignment="1">
      <alignment vertical="center"/>
    </xf>
  </cellXfs>
  <cellStyles count="1">
    <cellStyle name="عادي" xfId="0" builtinId="0"/>
  </cellStyles>
  <dxfs count="59">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FFFFFF"/>
      </font>
      <fill>
        <patternFill patternType="solid">
          <fgColor rgb="FF0000FF"/>
          <bgColor rgb="FF0000FF"/>
        </patternFill>
      </fill>
    </dxf>
    <dxf>
      <font>
        <b/>
        <color rgb="FFFFFFFF"/>
      </font>
      <fill>
        <patternFill patternType="solid">
          <fgColor rgb="FF741B47"/>
          <bgColor rgb="FF741B47"/>
        </patternFill>
      </fill>
    </dxf>
    <dxf>
      <font>
        <b/>
        <color rgb="FFFFFFFF"/>
      </font>
      <fill>
        <patternFill patternType="solid">
          <fgColor rgb="FFFF0000"/>
          <bgColor rgb="FFFF0000"/>
        </patternFill>
      </fill>
    </dxf>
    <dxf>
      <font>
        <b/>
        <color rgb="FFFFFFFF"/>
      </font>
      <fill>
        <patternFill patternType="solid">
          <fgColor rgb="FF2ECC71"/>
          <bgColor rgb="FF2ECC71"/>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4A568D"/>
        </left>
        <right style="thin">
          <color rgb="FF4A568D"/>
        </right>
        <top style="thin">
          <color rgb="FF4A568D"/>
        </top>
        <bottom style="thin">
          <color rgb="FF4A568D"/>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s>
  <tableStyles count="7">
    <tableStyle name="البيانات-style" pivot="0" count="4" xr9:uid="{00000000-0011-0000-FFFF-FFFF00000000}">
      <tableStyleElement type="wholeTable" size="0" dxfId="55"/>
      <tableStyleElement type="headerRow" dxfId="58"/>
      <tableStyleElement type="firstRowStripe" dxfId="57"/>
      <tableStyleElement type="secondRowStripe" dxfId="56"/>
    </tableStyle>
    <tableStyle name="الكهرباء-style" pivot="0" count="4" xr9:uid="{00000000-0011-0000-FFFF-FFFF01000000}">
      <tableStyleElement type="wholeTable" size="0" dxfId="51"/>
      <tableStyleElement type="headerRow" dxfId="54"/>
      <tableStyleElement type="firstRowStripe" dxfId="53"/>
      <tableStyleElement type="secondRowStripe" dxfId="52"/>
    </tableStyle>
    <tableStyle name="المدني-style" pivot="0" count="4" xr9:uid="{00000000-0011-0000-FFFF-FFFF02000000}">
      <tableStyleElement type="wholeTable" size="0" dxfId="47"/>
      <tableStyleElement type="headerRow" dxfId="50"/>
      <tableStyleElement type="firstRowStripe" dxfId="49"/>
      <tableStyleElement type="secondRowStripe" dxfId="48"/>
    </tableStyle>
    <tableStyle name="الميكانيك-style" pivot="0" count="4" xr9:uid="{00000000-0011-0000-FFFF-FFFF03000000}">
      <tableStyleElement type="wholeTable" size="0" dxfId="43"/>
      <tableStyleElement type="headerRow" dxfId="46"/>
      <tableStyleElement type="firstRowStripe" dxfId="45"/>
      <tableStyleElement type="secondRowStripe" dxfId="44"/>
    </tableStyle>
    <tableStyle name="التبريد-style" pivot="0" count="4" xr9:uid="{00000000-0011-0000-FFFF-FFFF04000000}">
      <tableStyleElement type="wholeTable" size="0" dxfId="39"/>
      <tableStyleElement type="headerRow" dxfId="42"/>
      <tableStyleElement type="firstRowStripe" dxfId="41"/>
      <tableStyleElement type="secondRowStripe" dxfId="40"/>
    </tableStyle>
    <tableStyle name="الطلبات-style" pivot="0" count="4" xr9:uid="{00000000-0011-0000-FFFF-FFFF05000000}">
      <tableStyleElement type="wholeTable" size="0" dxfId="35"/>
      <tableStyleElement type="headerRow" dxfId="38"/>
      <tableStyleElement type="firstRowStripe" dxfId="37"/>
      <tableStyleElement type="secondRowStripe" dxfId="36"/>
    </tableStyle>
    <tableStyle name="الإعدادات-style" pivot="0" count="4" xr9:uid="{00000000-0011-0000-FFFF-FFFF06000000}">
      <tableStyleElement type="wholeTable" size="0" dxfId="31"/>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المعملجي" displayName="المعملجي" ref="A1:O998">
  <autoFilter ref="A1:O998" xr:uid="{00000000-000C-0000-FFFF-FFFF00000000}"/>
  <sortState xmlns:xlrd2="http://schemas.microsoft.com/office/spreadsheetml/2017/richdata2" ref="A2:O998">
    <sortCondition ref="I1:I998"/>
  </sortState>
  <tableColumns count="15">
    <tableColumn id="1" xr3:uid="{00000000-0010-0000-0000-000001000000}" name="وقت رفع الطلب"/>
    <tableColumn id="2" xr3:uid="{00000000-0010-0000-0000-000002000000}" name="المجمع"/>
    <tableColumn id="3" xr3:uid="{00000000-0010-0000-0000-000003000000}" name=" مقدم الطلب "/>
    <tableColumn id="4" xr3:uid="{00000000-0010-0000-0000-000004000000}" name="القسم"/>
    <tableColumn id="5" xr3:uid="{00000000-0010-0000-0000-000005000000}" name="البناية"/>
    <tableColumn id="6" xr3:uid="{00000000-0010-0000-0000-000006000000}" name="موقع الصيانة"/>
    <tableColumn id="7" xr3:uid="{00000000-0010-0000-0000-000007000000}" name="العمل"/>
    <tableColumn id="8" xr3:uid="{00000000-0010-0000-0000-000008000000}" name="ملاحظات المدخل"/>
    <tableColumn id="9" xr3:uid="{00000000-0010-0000-0000-000009000000}" name="الوحدة "/>
    <tableColumn id="10" xr3:uid="{00000000-0010-0000-0000-00000A000000}" name="حالة العمل"/>
    <tableColumn id="11" xr3:uid="{00000000-0010-0000-0000-00000B000000}" name="وقت الانجاز"/>
    <tableColumn id="12" xr3:uid="{00000000-0010-0000-0000-00000C000000}" name="ملاحظات الشعبة"/>
    <tableColumn id="13" xr3:uid="{00000000-0010-0000-0000-00000D000000}" name="الإرسال اليدوي"/>
    <tableColumn id="14" xr3:uid="{00000000-0010-0000-0000-00000E000000}" name="حالة الإشعار"/>
    <tableColumn id="15" xr3:uid="{00000000-0010-0000-0000-00000F000000}" name="آخر إرسال (وقت)"/>
  </tableColumns>
  <tableStyleInfo name="البيانات-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جدول_2" displayName="جدول_2" ref="A1:J21">
  <tableColumns count="10">
    <tableColumn id="1" xr3:uid="{00000000-0010-0000-0100-000001000000}" name="وقت رفع الطلب"/>
    <tableColumn id="2" xr3:uid="{00000000-0010-0000-0100-000002000000}" name="المجمع"/>
    <tableColumn id="3" xr3:uid="{00000000-0010-0000-0100-000003000000}" name="القسم"/>
    <tableColumn id="4" xr3:uid="{00000000-0010-0000-0100-000004000000}" name="البناية"/>
    <tableColumn id="5" xr3:uid="{00000000-0010-0000-0100-000005000000}" name="موفع الصيانة"/>
    <tableColumn id="6" xr3:uid="{00000000-0010-0000-0100-000006000000}" name="العمل"/>
    <tableColumn id="7" xr3:uid="{00000000-0010-0000-0100-000007000000}" name="ملاحظات المدخل"/>
    <tableColumn id="8" xr3:uid="{00000000-0010-0000-0100-000008000000}" name="الوحدة "/>
    <tableColumn id="9" xr3:uid="{00000000-0010-0000-0100-000009000000}" name="حالة العمل"/>
    <tableColumn id="10" xr3:uid="{00000000-0010-0000-0100-00000A000000}" name="وقت الانجاز"/>
  </tableColumns>
  <tableStyleInfo name="الكهرباء-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جدول" displayName="جدول" ref="A1:J21">
  <tableColumns count="10">
    <tableColumn id="1" xr3:uid="{00000000-0010-0000-0200-000001000000}" name="وقت رفع الطلب"/>
    <tableColumn id="2" xr3:uid="{00000000-0010-0000-0200-000002000000}" name="المجمع"/>
    <tableColumn id="3" xr3:uid="{00000000-0010-0000-0200-000003000000}" name="القسم"/>
    <tableColumn id="4" xr3:uid="{00000000-0010-0000-0200-000004000000}" name="البناية"/>
    <tableColumn id="5" xr3:uid="{00000000-0010-0000-0200-000005000000}" name="موفع الصيانة"/>
    <tableColumn id="6" xr3:uid="{00000000-0010-0000-0200-000006000000}" name="العمل"/>
    <tableColumn id="7" xr3:uid="{00000000-0010-0000-0200-000007000000}" name="ملاحظات المدخل"/>
    <tableColumn id="8" xr3:uid="{00000000-0010-0000-0200-000008000000}" name="الوحدة "/>
    <tableColumn id="9" xr3:uid="{00000000-0010-0000-0200-000009000000}" name="حالة العمل"/>
    <tableColumn id="10" xr3:uid="{00000000-0010-0000-0200-00000A000000}" name="وقت الانجاز"/>
  </tableColumns>
  <tableStyleInfo name="المدني-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جدول_3" displayName="جدول_3" ref="A1:J21">
  <tableColumns count="10">
    <tableColumn id="1" xr3:uid="{00000000-0010-0000-0300-000001000000}" name="وقت رفع الطلب"/>
    <tableColumn id="2" xr3:uid="{00000000-0010-0000-0300-000002000000}" name="المجمع"/>
    <tableColumn id="3" xr3:uid="{00000000-0010-0000-0300-000003000000}" name="القسم"/>
    <tableColumn id="4" xr3:uid="{00000000-0010-0000-0300-000004000000}" name="البناية"/>
    <tableColumn id="5" xr3:uid="{00000000-0010-0000-0300-000005000000}" name="موفع الصيانة"/>
    <tableColumn id="6" xr3:uid="{00000000-0010-0000-0300-000006000000}" name="العمل"/>
    <tableColumn id="7" xr3:uid="{00000000-0010-0000-0300-000007000000}" name="ملاحظات المدخل"/>
    <tableColumn id="8" xr3:uid="{00000000-0010-0000-0300-000008000000}" name="الوحدة "/>
    <tableColumn id="9" xr3:uid="{00000000-0010-0000-0300-000009000000}" name="حالة العمل"/>
    <tableColumn id="10" xr3:uid="{00000000-0010-0000-0300-00000A000000}" name="وقت الانجاز"/>
  </tableColumns>
  <tableStyleInfo name="الميكانيك-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جدول_4" displayName="جدول_4" ref="A1:J21">
  <tableColumns count="10">
    <tableColumn id="1" xr3:uid="{00000000-0010-0000-0400-000001000000}" name="وقت رفع الطلب"/>
    <tableColumn id="2" xr3:uid="{00000000-0010-0000-0400-000002000000}" name="المجمع"/>
    <tableColumn id="3" xr3:uid="{00000000-0010-0000-0400-000003000000}" name="القسم"/>
    <tableColumn id="4" xr3:uid="{00000000-0010-0000-0400-000004000000}" name="البناية"/>
    <tableColumn id="5" xr3:uid="{00000000-0010-0000-0400-000005000000}" name="موفع الصيانة"/>
    <tableColumn id="6" xr3:uid="{00000000-0010-0000-0400-000006000000}" name="العمل"/>
    <tableColumn id="7" xr3:uid="{00000000-0010-0000-0400-000007000000}" name="ملاحظات المدخل"/>
    <tableColumn id="8" xr3:uid="{00000000-0010-0000-0400-000008000000}" name="الوحدة "/>
    <tableColumn id="9" xr3:uid="{00000000-0010-0000-0400-000009000000}" name="حالة العمل"/>
    <tableColumn id="10" xr3:uid="{00000000-0010-0000-0400-00000A000000}" name="وقت الانجاز"/>
  </tableColumns>
  <tableStyleInfo name="التبريد-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الطلبات" displayName="الطلبات" ref="A1:O437">
  <tableColumns count="15">
    <tableColumn id="1" xr3:uid="{00000000-0010-0000-0500-000001000000}" name="طابع زمني"/>
    <tableColumn id="2" xr3:uid="{00000000-0010-0000-0500-000002000000}" name="عنوان البريد الإلكتروني"/>
    <tableColumn id="3" xr3:uid="{00000000-0010-0000-0500-000003000000}" name="المجمع "/>
    <tableColumn id="4" xr3:uid="{00000000-0010-0000-0500-000004000000}" name="اسم مقدم الطلب "/>
    <tableColumn id="5" xr3:uid="{00000000-0010-0000-0500-000005000000}" name="القسم"/>
    <tableColumn id="6" xr3:uid="{00000000-0010-0000-0500-000006000000}" name="البناية"/>
    <tableColumn id="7" xr3:uid="{00000000-0010-0000-0500-000007000000}" name="موقع الصيانة"/>
    <tableColumn id="8" xr3:uid="{00000000-0010-0000-0500-000008000000}" name="نوع العطل "/>
    <tableColumn id="9" xr3:uid="{00000000-0010-0000-0500-000009000000}" name="ملاحظات"/>
    <tableColumn id="10" xr3:uid="{00000000-0010-0000-0500-00000A000000}" name="اسم مقدم الطلب  2"/>
    <tableColumn id="11" xr3:uid="{00000000-0010-0000-0500-00000B000000}" name="القسم 2"/>
    <tableColumn id="12" xr3:uid="{00000000-0010-0000-0500-00000C000000}" name="البناية 2"/>
    <tableColumn id="13" xr3:uid="{00000000-0010-0000-0500-00000D000000}" name="موقع الصيانة 2"/>
    <tableColumn id="14" xr3:uid="{00000000-0010-0000-0500-00000E000000}" name="نوع العطل  2"/>
    <tableColumn id="15" xr3:uid="{00000000-0010-0000-0500-00000F000000}" name="ملاحظات 2"/>
  </tableColumns>
  <tableStyleInfo name="الطلبات-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جدول_1" displayName="جدول_1" ref="A1:I999">
  <tableColumns count="9">
    <tableColumn id="1" xr3:uid="{00000000-0010-0000-0600-000001000000}" name="الاسم"/>
    <tableColumn id="2" xr3:uid="{00000000-0010-0000-0600-000002000000}" name="الإيميل"/>
    <tableColumn id="3" xr3:uid="{00000000-0010-0000-0600-000003000000}" name="النوع"/>
    <tableColumn id="4" xr3:uid="{00000000-0010-0000-0600-000004000000}" name="الحالة"/>
    <tableColumn id="5" xr3:uid="{00000000-0010-0000-0600-000005000000}" name="ملاحظات"/>
    <tableColumn id="6" xr3:uid="{00000000-0010-0000-0600-000006000000}" name="رقم واتساب"/>
    <tableColumn id="7" xr3:uid="{00000000-0010-0000-0600-000007000000}" name="الوحدة"/>
    <tableColumn id="8" xr3:uid="{00000000-0010-0000-0600-000008000000}" name="telegram"/>
    <tableColumn id="9" xr3:uid="{00000000-0010-0000-0600-000009000000}" name="نطاق اسماء الوحدات"/>
  </tableColumns>
  <tableStyleInfo name="الإعدادات-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6.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hyperlink" Target="mailto:school.maintenance.division@gmail.com" TargetMode="External"/><Relationship Id="rId2" Type="http://schemas.openxmlformats.org/officeDocument/2006/relationships/hyperlink" Target="mailto:school.maintenance.division@gmail.com" TargetMode="External"/><Relationship Id="rId1" Type="http://schemas.openxmlformats.org/officeDocument/2006/relationships/hyperlink" Target="mailto:fhjuj02@gmail.com" TargetMode="External"/><Relationship Id="rId6" Type="http://schemas.openxmlformats.org/officeDocument/2006/relationships/table" Target="../tables/table7.xml"/><Relationship Id="rId5" Type="http://schemas.openxmlformats.org/officeDocument/2006/relationships/hyperlink" Target="mailto:fhjuj02@gmail.com" TargetMode="External"/><Relationship Id="rId4" Type="http://schemas.openxmlformats.org/officeDocument/2006/relationships/hyperlink" Target="mailto:fhjuj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CC71"/>
    <outlinePr summaryBelow="0" summaryRight="0"/>
  </sheetPr>
  <dimension ref="A1:O998"/>
  <sheetViews>
    <sheetView showGridLines="0" tabSelected="1" workbookViewId="0">
      <pane ySplit="1" topLeftCell="A2" activePane="bottomLeft" state="frozen"/>
      <selection pane="bottomLeft" activeCell="H5" sqref="H5"/>
    </sheetView>
  </sheetViews>
  <sheetFormatPr defaultColWidth="12.5703125" defaultRowHeight="15.75" customHeight="1"/>
  <cols>
    <col min="1" max="1" width="29.140625" customWidth="1"/>
    <col min="2" max="2" width="6" customWidth="1"/>
    <col min="3" max="3" width="16.5703125" customWidth="1"/>
    <col min="4" max="4" width="13" customWidth="1"/>
    <col min="5" max="7" width="25.140625" customWidth="1"/>
    <col min="8" max="8" width="18.85546875" customWidth="1"/>
    <col min="9" max="9" width="10.7109375" customWidth="1"/>
    <col min="10" max="10" width="11.42578125" customWidth="1"/>
    <col min="11" max="11" width="26.42578125" customWidth="1"/>
    <col min="12" max="12" width="18.85546875" customWidth="1"/>
    <col min="13" max="13" width="15.140625" hidden="1" customWidth="1"/>
    <col min="14" max="14" width="25.140625" customWidth="1"/>
    <col min="15" max="15" width="27.42578125" customWidth="1"/>
  </cols>
  <sheetData>
    <row r="1" spans="1:15" ht="37.5" customHeight="1">
      <c r="A1" s="1" t="s">
        <v>0</v>
      </c>
      <c r="B1" s="2" t="s">
        <v>1</v>
      </c>
      <c r="C1" s="3" t="s">
        <v>2</v>
      </c>
      <c r="D1" s="1" t="s">
        <v>3</v>
      </c>
      <c r="E1" s="1" t="s">
        <v>4</v>
      </c>
      <c r="F1" s="1" t="s">
        <v>5</v>
      </c>
      <c r="G1" s="1" t="s">
        <v>6</v>
      </c>
      <c r="H1" s="1" t="s">
        <v>7</v>
      </c>
      <c r="I1" s="4" t="s">
        <v>8</v>
      </c>
      <c r="J1" s="4" t="s">
        <v>9</v>
      </c>
      <c r="K1" s="5" t="s">
        <v>10</v>
      </c>
      <c r="L1" s="5" t="s">
        <v>11</v>
      </c>
      <c r="M1" s="6" t="s">
        <v>12</v>
      </c>
      <c r="N1" s="6" t="s">
        <v>13</v>
      </c>
      <c r="O1" s="6" t="s">
        <v>14</v>
      </c>
    </row>
    <row r="2" spans="1:15" ht="75" customHeight="1">
      <c r="A2" s="15">
        <f ca="1">IFERROR(__xludf.DUMMYFUNCTION("""COMPUTED_VALUE"""),46055.5080660995)</f>
        <v>46055.508066099501</v>
      </c>
      <c r="B2" s="8" t="str">
        <f ca="1">IFERROR(__xludf.DUMMYFUNCTION("""COMPUTED_VALUE"""),"المعملجي")</f>
        <v>المعملجي</v>
      </c>
      <c r="C2" s="9" t="str">
        <f ca="1">IFERROR(__xludf.DUMMYFUNCTION("""COMPUTED_VALUE"""),"سجاد تربية")</f>
        <v>سجاد تربية</v>
      </c>
      <c r="D2" s="10" t="str">
        <f ca="1">IFERROR(__xludf.DUMMYFUNCTION("""COMPUTED_VALUE"""),"قسم التربية والتعليم العالي")</f>
        <v>قسم التربية والتعليم العالي</v>
      </c>
      <c r="E2" s="10" t="str">
        <f ca="1">IFERROR(__xludf.DUMMYFUNCTION("""COMPUTED_VALUE"""),"I- ابتدائية الساقي للبنين (السادسة)")</f>
        <v>I- ابتدائية الساقي للبنين (السادسة)</v>
      </c>
      <c r="F2" s="10" t="str">
        <f ca="1">IFERROR(__xludf.DUMMYFUNCTION("""COMPUTED_VALUE"""),"الطابق الارضي")</f>
        <v>الطابق الارضي</v>
      </c>
      <c r="G2" s="11" t="str">
        <f ca="1">IFERROR(__xludf.DUMMYFUNCTION("""COMPUTED_VALUE"""),"اطفاء التدفئة ")</f>
        <v xml:space="preserve">اطفاء التدفئة </v>
      </c>
      <c r="H2" s="10"/>
      <c r="I2" s="12" t="s">
        <v>18</v>
      </c>
      <c r="J2" s="13" t="s">
        <v>16</v>
      </c>
      <c r="K2" s="7">
        <v>46055.518759756946</v>
      </c>
      <c r="L2" s="14"/>
      <c r="M2" s="10"/>
      <c r="N2" s="10" t="s">
        <v>17</v>
      </c>
      <c r="O2" s="7">
        <v>46068.487873159727</v>
      </c>
    </row>
    <row r="3" spans="1:15" ht="75" customHeight="1">
      <c r="A3" s="7">
        <f ca="1">IFERROR(__xludf.DUMMYFUNCTION("""COMPUTED_VALUE"""),46069.3114503009)</f>
        <v>46069.311450300898</v>
      </c>
      <c r="B3" s="8" t="str">
        <f ca="1">IFERROR(__xludf.DUMMYFUNCTION("""COMPUTED_VALUE"""),"المعملجي")</f>
        <v>المعملجي</v>
      </c>
      <c r="C3" s="9" t="str">
        <f ca="1">IFERROR(__xludf.DUMMYFUNCTION("""COMPUTED_VALUE"""),"وحدة التبريد")</f>
        <v>وحدة التبريد</v>
      </c>
      <c r="D3" s="10" t="str">
        <f ca="1">IFERROR(__xludf.DUMMYFUNCTION("""COMPUTED_VALUE"""),"قسم المشاريع الهندسية")</f>
        <v>قسم المشاريع الهندسية</v>
      </c>
      <c r="E3" s="10" t="str">
        <f ca="1">IFERROR(__xludf.DUMMYFUNCTION("""COMPUTED_VALUE"""),"A- المركز الثقافي")</f>
        <v>A- المركز الثقافي</v>
      </c>
      <c r="F3" s="10" t="str">
        <f ca="1">IFERROR(__xludf.DUMMYFUNCTION("""COMPUTED_VALUE"""),"الطابق الارضي, الطابق الاول, إدارة المجمع")</f>
        <v>الطابق الارضي, الطابق الاول, إدارة المجمع</v>
      </c>
      <c r="G3" s="10" t="str">
        <f ca="1">IFERROR(__xludf.DUMMYFUNCTION("""COMPUTED_VALUE"""),"إدامة وتنظيف القطع الداخليه الخاصة بالبناية")</f>
        <v>إدامة وتنظيف القطع الداخليه الخاصة بالبناية</v>
      </c>
      <c r="H3" s="10"/>
      <c r="I3" s="12" t="s">
        <v>18</v>
      </c>
      <c r="J3" s="13" t="s">
        <v>16</v>
      </c>
      <c r="K3" s="7"/>
      <c r="L3" s="14"/>
      <c r="M3" s="10"/>
      <c r="N3" s="10" t="s">
        <v>23</v>
      </c>
      <c r="O3" s="7">
        <v>46069.353617129629</v>
      </c>
    </row>
    <row r="4" spans="1:15" ht="75" customHeight="1">
      <c r="A4" s="7">
        <f ca="1">IFERROR(__xludf.DUMMYFUNCTION("""COMPUTED_VALUE"""),46069.3117311805)</f>
        <v>46069.311731180504</v>
      </c>
      <c r="B4" s="8" t="str">
        <f ca="1">IFERROR(__xludf.DUMMYFUNCTION("""COMPUTED_VALUE"""),"المعملجي")</f>
        <v>المعملجي</v>
      </c>
      <c r="C4" s="9" t="str">
        <f ca="1">IFERROR(__xludf.DUMMYFUNCTION("""COMPUTED_VALUE"""),"وحدة التبريد")</f>
        <v>وحدة التبريد</v>
      </c>
      <c r="D4" s="10" t="str">
        <f ca="1">IFERROR(__xludf.DUMMYFUNCTION("""COMPUTED_VALUE"""),"قسم المشاريع الهندسية")</f>
        <v>قسم المشاريع الهندسية</v>
      </c>
      <c r="E4" s="10" t="str">
        <f ca="1">IFERROR(__xludf.DUMMYFUNCTION("""COMPUTED_VALUE"""),"A- المركز الثقافي")</f>
        <v>A- المركز الثقافي</v>
      </c>
      <c r="F4" s="10" t="str">
        <f ca="1">IFERROR(__xludf.DUMMYFUNCTION("""COMPUTED_VALUE"""),"الطابق الثاني, الطابق الثالث, الطابق الرابع")</f>
        <v>الطابق الثاني, الطابق الثالث, الطابق الرابع</v>
      </c>
      <c r="G4" s="10" t="str">
        <f ca="1">IFERROR(__xludf.DUMMYFUNCTION("""COMPUTED_VALUE"""),"إدامة وتنظيف القطع الداخليه الخاصة بالبناية")</f>
        <v>إدامة وتنظيف القطع الداخليه الخاصة بالبناية</v>
      </c>
      <c r="H4" s="10"/>
      <c r="I4" s="12" t="s">
        <v>18</v>
      </c>
      <c r="J4" s="13" t="s">
        <v>16</v>
      </c>
      <c r="K4" s="7"/>
      <c r="L4" s="14"/>
      <c r="M4" s="10"/>
      <c r="N4" s="10" t="s">
        <v>23</v>
      </c>
      <c r="O4" s="7">
        <v>46069.353632546292</v>
      </c>
    </row>
    <row r="5" spans="1:15" ht="75" customHeight="1">
      <c r="A5" s="7">
        <f ca="1">IFERROR(__xludf.DUMMYFUNCTION("""COMPUTED_VALUE"""),46069.3121160995)</f>
        <v>46069.3121160995</v>
      </c>
      <c r="B5" s="8" t="str">
        <f ca="1">IFERROR(__xludf.DUMMYFUNCTION("""COMPUTED_VALUE"""),"المعملجي")</f>
        <v>المعملجي</v>
      </c>
      <c r="C5" s="9" t="str">
        <f ca="1">IFERROR(__xludf.DUMMYFUNCTION("""COMPUTED_VALUE"""),"وحدة التبريد")</f>
        <v>وحدة التبريد</v>
      </c>
      <c r="D5" s="10" t="str">
        <f ca="1">IFERROR(__xludf.DUMMYFUNCTION("""COMPUTED_VALUE"""),"قسم المشاريع الهندسية")</f>
        <v>قسم المشاريع الهندسية</v>
      </c>
      <c r="E5" s="10" t="str">
        <f ca="1">IFERROR(__xludf.DUMMYFUNCTION("""COMPUTED_VALUE"""),"B- روضة القمر")</f>
        <v>B- روضة القمر</v>
      </c>
      <c r="F5" s="10" t="str">
        <f ca="1">IFERROR(__xludf.DUMMYFUNCTION("""COMPUTED_VALUE"""),"الطابق الارضي, الطابق الاول, الطابق الثاني")</f>
        <v>الطابق الارضي, الطابق الاول, الطابق الثاني</v>
      </c>
      <c r="G5" s="10" t="str">
        <f ca="1">IFERROR(__xludf.DUMMYFUNCTION("""COMPUTED_VALUE"""),"إدامة وتنظيف القطع الداخليه الخاصة بالبناية")</f>
        <v>إدامة وتنظيف القطع الداخليه الخاصة بالبناية</v>
      </c>
      <c r="H5" s="10"/>
      <c r="I5" s="12" t="s">
        <v>18</v>
      </c>
      <c r="J5" s="13" t="s">
        <v>16</v>
      </c>
      <c r="K5" s="7"/>
      <c r="L5" s="14"/>
      <c r="M5" s="10"/>
      <c r="N5" s="10" t="s">
        <v>23</v>
      </c>
      <c r="O5" s="7">
        <v>46069.353649340279</v>
      </c>
    </row>
    <row r="6" spans="1:15" ht="75" customHeight="1">
      <c r="A6" s="7">
        <f ca="1">IFERROR(__xludf.DUMMYFUNCTION("""COMPUTED_VALUE"""),46069.3123890162)</f>
        <v>46069.312389016202</v>
      </c>
      <c r="B6" s="8" t="str">
        <f ca="1">IFERROR(__xludf.DUMMYFUNCTION("""COMPUTED_VALUE"""),"المعملجي")</f>
        <v>المعملجي</v>
      </c>
      <c r="C6" s="9" t="str">
        <f ca="1">IFERROR(__xludf.DUMMYFUNCTION("""COMPUTED_VALUE"""),"وحدة التبريد")</f>
        <v>وحدة التبريد</v>
      </c>
      <c r="D6" s="10" t="str">
        <f ca="1">IFERROR(__xludf.DUMMYFUNCTION("""COMPUTED_VALUE"""),"قسم المشاريع الهندسية")</f>
        <v>قسم المشاريع الهندسية</v>
      </c>
      <c r="E6" s="10" t="str">
        <f ca="1">IFERROR(__xludf.DUMMYFUNCTION("""COMPUTED_VALUE"""),"G- روضة الجود")</f>
        <v>G- روضة الجود</v>
      </c>
      <c r="F6" s="10" t="str">
        <f ca="1">IFERROR(__xludf.DUMMYFUNCTION("""COMPUTED_VALUE"""),"الطابق الارضي, الطابق الاول, الطابق الثاني")</f>
        <v>الطابق الارضي, الطابق الاول, الطابق الثاني</v>
      </c>
      <c r="G6" s="10" t="str">
        <f ca="1">IFERROR(__xludf.DUMMYFUNCTION("""COMPUTED_VALUE"""),"إدامة وتنظيف القطع الداخليه الخاصة بالبناية")</f>
        <v>إدامة وتنظيف القطع الداخليه الخاصة بالبناية</v>
      </c>
      <c r="H6" s="10"/>
      <c r="I6" s="12" t="s">
        <v>18</v>
      </c>
      <c r="J6" s="13" t="s">
        <v>16</v>
      </c>
      <c r="K6" s="7"/>
      <c r="L6" s="14"/>
      <c r="M6" s="10"/>
      <c r="N6" s="10" t="s">
        <v>23</v>
      </c>
      <c r="O6" s="7">
        <v>46069.35366724537</v>
      </c>
    </row>
    <row r="7" spans="1:15" ht="75" customHeight="1">
      <c r="A7" s="7">
        <f ca="1">IFERROR(__xludf.DUMMYFUNCTION("""COMPUTED_VALUE"""),46069.313369074)</f>
        <v>46069.313369074</v>
      </c>
      <c r="B7" s="8" t="str">
        <f ca="1">IFERROR(__xludf.DUMMYFUNCTION("""COMPUTED_VALUE"""),"المعملجي")</f>
        <v>المعملجي</v>
      </c>
      <c r="C7" s="9" t="str">
        <f ca="1">IFERROR(__xludf.DUMMYFUNCTION("""COMPUTED_VALUE"""),"وحدة التبريد")</f>
        <v>وحدة التبريد</v>
      </c>
      <c r="D7" s="10" t="str">
        <f ca="1">IFERROR(__xludf.DUMMYFUNCTION("""COMPUTED_VALUE"""),"قسم المشاريع الهندسية")</f>
        <v>قسم المشاريع الهندسية</v>
      </c>
      <c r="E7" s="10" t="str">
        <f ca="1">IFERROR(__xludf.DUMMYFUNCTION("""COMPUTED_VALUE"""),"C- ثانوية العميد بناية الاعدادية  (الاولى)")</f>
        <v>C- ثانوية العميد بناية الاعدادية  (الاولى)</v>
      </c>
      <c r="F7" s="10" t="str">
        <f ca="1">IFERROR(__xludf.DUMMYFUNCTION("""COMPUTED_VALUE"""),"الطابق الارضي, الطابق الاول, الطابق الثاني")</f>
        <v>الطابق الارضي, الطابق الاول, الطابق الثاني</v>
      </c>
      <c r="G7" s="10" t="str">
        <f ca="1">IFERROR(__xludf.DUMMYFUNCTION("""COMPUTED_VALUE"""),"إدامة وتنظيف القطع الداخليه الخاصة بالبناية")</f>
        <v>إدامة وتنظيف القطع الداخليه الخاصة بالبناية</v>
      </c>
      <c r="H7" s="10"/>
      <c r="I7" s="12" t="s">
        <v>18</v>
      </c>
      <c r="J7" s="13" t="s">
        <v>16</v>
      </c>
      <c r="K7" s="7"/>
      <c r="L7" s="14"/>
      <c r="M7" s="10"/>
      <c r="N7" s="10" t="s">
        <v>23</v>
      </c>
      <c r="O7" s="7">
        <v>46069.353684664355</v>
      </c>
    </row>
    <row r="8" spans="1:15" ht="75" customHeight="1">
      <c r="A8" s="7">
        <f ca="1">IFERROR(__xludf.DUMMYFUNCTION("""COMPUTED_VALUE"""),46069.3136545023)</f>
        <v>46069.313654502301</v>
      </c>
      <c r="B8" s="8" t="str">
        <f ca="1">IFERROR(__xludf.DUMMYFUNCTION("""COMPUTED_VALUE"""),"المعملجي")</f>
        <v>المعملجي</v>
      </c>
      <c r="C8" s="9" t="str">
        <f ca="1">IFERROR(__xludf.DUMMYFUNCTION("""COMPUTED_VALUE"""),"وحدة التبريد")</f>
        <v>وحدة التبريد</v>
      </c>
      <c r="D8" s="10" t="str">
        <f ca="1">IFERROR(__xludf.DUMMYFUNCTION("""COMPUTED_VALUE"""),"قسم المشاريع الهندسية")</f>
        <v>قسم المشاريع الهندسية</v>
      </c>
      <c r="E8" s="10" t="str">
        <f ca="1">IFERROR(__xludf.DUMMYFUNCTION("""COMPUTED_VALUE"""),"D- ثانوية العميد بناية المتوسطة  (الثانية)")</f>
        <v>D- ثانوية العميد بناية المتوسطة  (الثانية)</v>
      </c>
      <c r="F8" s="10" t="str">
        <f ca="1">IFERROR(__xludf.DUMMYFUNCTION("""COMPUTED_VALUE"""),"الطابق الارضي, الطابق الاول, الطابق الثاني")</f>
        <v>الطابق الارضي, الطابق الاول, الطابق الثاني</v>
      </c>
      <c r="G8" s="10" t="str">
        <f ca="1">IFERROR(__xludf.DUMMYFUNCTION("""COMPUTED_VALUE"""),"إدامة وتنظيف القطع الداخليه الخاصة بالبناية")</f>
        <v>إدامة وتنظيف القطع الداخليه الخاصة بالبناية</v>
      </c>
      <c r="H8" s="10"/>
      <c r="I8" s="12" t="s">
        <v>18</v>
      </c>
      <c r="J8" s="13" t="s">
        <v>16</v>
      </c>
      <c r="K8" s="7"/>
      <c r="L8" s="14"/>
      <c r="M8" s="10"/>
      <c r="N8" s="10" t="s">
        <v>23</v>
      </c>
      <c r="O8" s="7">
        <v>46069.353716875004</v>
      </c>
    </row>
    <row r="9" spans="1:15" ht="75" customHeight="1">
      <c r="A9" s="7">
        <f ca="1">IFERROR(__xludf.DUMMYFUNCTION("""COMPUTED_VALUE"""),46069.3181340162)</f>
        <v>46069.318134016197</v>
      </c>
      <c r="B9" s="8" t="str">
        <f ca="1">IFERROR(__xludf.DUMMYFUNCTION("""COMPUTED_VALUE"""),"المعملجي")</f>
        <v>المعملجي</v>
      </c>
      <c r="C9" s="9" t="str">
        <f ca="1">IFERROR(__xludf.DUMMYFUNCTION("""COMPUTED_VALUE"""),"وحدة التبريد")</f>
        <v>وحدة التبريد</v>
      </c>
      <c r="D9" s="10" t="str">
        <f ca="1">IFERROR(__xludf.DUMMYFUNCTION("""COMPUTED_VALUE"""),"قسم المشاريع الهندسية")</f>
        <v>قسم المشاريع الهندسية</v>
      </c>
      <c r="E9" s="10" t="str">
        <f ca="1">IFERROR(__xludf.DUMMYFUNCTION("""COMPUTED_VALUE"""),"F-  ابتدائية جود العميد للبنات (الرابعة)")</f>
        <v>F-  ابتدائية جود العميد للبنات (الرابعة)</v>
      </c>
      <c r="F9" s="10" t="str">
        <f ca="1">IFERROR(__xludf.DUMMYFUNCTION("""COMPUTED_VALUE"""),"الطابق الارضي, الطابق الاول, الطابق الثاني")</f>
        <v>الطابق الارضي, الطابق الاول, الطابق الثاني</v>
      </c>
      <c r="G9" s="10" t="str">
        <f ca="1">IFERROR(__xludf.DUMMYFUNCTION("""COMPUTED_VALUE"""),"إدامة وتنظيف القطع الداخليه الخاصة بالبناية")</f>
        <v>إدامة وتنظيف القطع الداخليه الخاصة بالبناية</v>
      </c>
      <c r="H9" s="10"/>
      <c r="I9" s="12" t="s">
        <v>18</v>
      </c>
      <c r="J9" s="13" t="s">
        <v>16</v>
      </c>
      <c r="K9" s="7"/>
      <c r="L9" s="14"/>
      <c r="M9" s="10"/>
      <c r="N9" s="10" t="s">
        <v>23</v>
      </c>
      <c r="O9" s="7">
        <v>46069.353768136571</v>
      </c>
    </row>
    <row r="10" spans="1:15" ht="75" customHeight="1">
      <c r="A10" s="7">
        <f ca="1">IFERROR(__xludf.DUMMYFUNCTION("""COMPUTED_VALUE"""),46069.3186649768)</f>
        <v>46069.318664976803</v>
      </c>
      <c r="B10" s="8" t="str">
        <f ca="1">IFERROR(__xludf.DUMMYFUNCTION("""COMPUTED_VALUE"""),"المعملجي")</f>
        <v>المعملجي</v>
      </c>
      <c r="C10" s="9" t="str">
        <f ca="1">IFERROR(__xludf.DUMMYFUNCTION("""COMPUTED_VALUE"""),"وحدة التبريد")</f>
        <v>وحدة التبريد</v>
      </c>
      <c r="D10" s="10" t="str">
        <f ca="1">IFERROR(__xludf.DUMMYFUNCTION("""COMPUTED_VALUE"""),"قسم المشاريع الهندسية")</f>
        <v>قسم المشاريع الهندسية</v>
      </c>
      <c r="E10" s="10" t="str">
        <f ca="1">IFERROR(__xludf.DUMMYFUNCTION("""COMPUTED_VALUE"""),"H- ابتدائية القمر للبنات (الخامسة)")</f>
        <v>H- ابتدائية القمر للبنات (الخامسة)</v>
      </c>
      <c r="F10" s="10" t="str">
        <f ca="1">IFERROR(__xludf.DUMMYFUNCTION("""COMPUTED_VALUE"""),"الطابق الارضي, الطابق الاول, الطابق الثاني")</f>
        <v>الطابق الارضي, الطابق الاول, الطابق الثاني</v>
      </c>
      <c r="G10" s="10" t="str">
        <f ca="1">IFERROR(__xludf.DUMMYFUNCTION("""COMPUTED_VALUE"""),"إدامة وتنظيف القطع الداخليه الخاصة بالبناية")</f>
        <v>إدامة وتنظيف القطع الداخليه الخاصة بالبناية</v>
      </c>
      <c r="H10" s="10"/>
      <c r="I10" s="12" t="s">
        <v>18</v>
      </c>
      <c r="J10" s="13" t="s">
        <v>16</v>
      </c>
      <c r="K10" s="7"/>
      <c r="L10" s="14"/>
      <c r="M10" s="10"/>
      <c r="N10" s="10" t="s">
        <v>23</v>
      </c>
      <c r="O10" s="7">
        <v>46069.353783819446</v>
      </c>
    </row>
    <row r="11" spans="1:15" ht="75" customHeight="1">
      <c r="A11" s="7">
        <f ca="1">IFERROR(__xludf.DUMMYFUNCTION("""COMPUTED_VALUE"""),46069.3192775463)</f>
        <v>46069.319277546303</v>
      </c>
      <c r="B11" s="8" t="str">
        <f ca="1">IFERROR(__xludf.DUMMYFUNCTION("""COMPUTED_VALUE"""),"المعملجي")</f>
        <v>المعملجي</v>
      </c>
      <c r="C11" s="9" t="str">
        <f ca="1">IFERROR(__xludf.DUMMYFUNCTION("""COMPUTED_VALUE"""),"وحدة التبريد")</f>
        <v>وحدة التبريد</v>
      </c>
      <c r="D11" s="10" t="str">
        <f ca="1">IFERROR(__xludf.DUMMYFUNCTION("""COMPUTED_VALUE"""),"قسم المشاريع الهندسية")</f>
        <v>قسم المشاريع الهندسية</v>
      </c>
      <c r="E11" s="10" t="str">
        <f ca="1">IFERROR(__xludf.DUMMYFUNCTION("""COMPUTED_VALUE"""),"I- ابتدائية الساقي للبنين (السادسة)")</f>
        <v>I- ابتدائية الساقي للبنين (السادسة)</v>
      </c>
      <c r="F11" s="10" t="str">
        <f ca="1">IFERROR(__xludf.DUMMYFUNCTION("""COMPUTED_VALUE"""),"الطابق الارضي, الطابق الاول, الطابق الثاني")</f>
        <v>الطابق الارضي, الطابق الاول, الطابق الثاني</v>
      </c>
      <c r="G11" s="10" t="str">
        <f ca="1">IFERROR(__xludf.DUMMYFUNCTION("""COMPUTED_VALUE"""),"إدامة وتنظيف القطع الداخليه الخاصة بالبناية")</f>
        <v>إدامة وتنظيف القطع الداخليه الخاصة بالبناية</v>
      </c>
      <c r="H11" s="10"/>
      <c r="I11" s="12" t="s">
        <v>18</v>
      </c>
      <c r="J11" s="13" t="s">
        <v>16</v>
      </c>
      <c r="K11" s="7">
        <v>46069.324284201386</v>
      </c>
      <c r="L11" s="14"/>
      <c r="M11" s="10"/>
      <c r="N11" s="10" t="s">
        <v>23</v>
      </c>
      <c r="O11" s="7">
        <v>46069.353826828708</v>
      </c>
    </row>
    <row r="12" spans="1:15" ht="75" customHeight="1">
      <c r="A12" s="7">
        <f ca="1">IFERROR(__xludf.DUMMYFUNCTION("""COMPUTED_VALUE"""),46069.3195433796)</f>
        <v>46069.319543379599</v>
      </c>
      <c r="B12" s="8" t="str">
        <f ca="1">IFERROR(__xludf.DUMMYFUNCTION("""COMPUTED_VALUE"""),"المعملجي")</f>
        <v>المعملجي</v>
      </c>
      <c r="C12" s="9" t="str">
        <f ca="1">IFERROR(__xludf.DUMMYFUNCTION("""COMPUTED_VALUE"""),"وحدة التبريد")</f>
        <v>وحدة التبريد</v>
      </c>
      <c r="D12" s="10" t="str">
        <f ca="1">IFERROR(__xludf.DUMMYFUNCTION("""COMPUTED_VALUE"""),"قسم المشاريع الهندسية")</f>
        <v>قسم المشاريع الهندسية</v>
      </c>
      <c r="E12"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F12" s="10" t="str">
        <f ca="1">IFERROR(__xludf.DUMMYFUNCTION("""COMPUTED_VALUE"""),"الطابق الارضي, الطابق الاول, الطابق الثاني")</f>
        <v>الطابق الارضي, الطابق الاول, الطابق الثاني</v>
      </c>
      <c r="G12" s="10" t="str">
        <f ca="1">IFERROR(__xludf.DUMMYFUNCTION("""COMPUTED_VALUE"""),"إدامة وتنظيف القطع الداخليه الخاصة بالبناية")</f>
        <v>إدامة وتنظيف القطع الداخليه الخاصة بالبناية</v>
      </c>
      <c r="H12" s="10"/>
      <c r="I12" s="12" t="s">
        <v>18</v>
      </c>
      <c r="J12" s="13" t="s">
        <v>16</v>
      </c>
      <c r="K12" s="7"/>
      <c r="L12" s="14"/>
      <c r="M12" s="10"/>
      <c r="N12" s="10" t="s">
        <v>23</v>
      </c>
      <c r="O12" s="7">
        <v>46069.353842685188</v>
      </c>
    </row>
    <row r="13" spans="1:15" ht="75" customHeight="1">
      <c r="A13" s="7">
        <f ca="1">IFERROR(__xludf.DUMMYFUNCTION("""COMPUTED_VALUE"""),46069.3202440277)</f>
        <v>46069.320244027702</v>
      </c>
      <c r="B13" s="8" t="str">
        <f ca="1">IFERROR(__xludf.DUMMYFUNCTION("""COMPUTED_VALUE"""),"المعملجي")</f>
        <v>المعملجي</v>
      </c>
      <c r="C13" s="9" t="str">
        <f ca="1">IFERROR(__xludf.DUMMYFUNCTION("""COMPUTED_VALUE"""),"وحدة التبريد")</f>
        <v>وحدة التبريد</v>
      </c>
      <c r="D13" s="10" t="str">
        <f ca="1">IFERROR(__xludf.DUMMYFUNCTION("""COMPUTED_VALUE"""),"قسم المشاريع الهندسية")</f>
        <v>قسم المشاريع الهندسية</v>
      </c>
      <c r="E13" s="10" t="str">
        <f ca="1">IFERROR(__xludf.DUMMYFUNCTION("""COMPUTED_VALUE"""),"G- روضة الجود")</f>
        <v>G- روضة الجود</v>
      </c>
      <c r="F13" s="10" t="str">
        <f ca="1">IFERROR(__xludf.DUMMYFUNCTION("""COMPUTED_VALUE"""),"السطح")</f>
        <v>السطح</v>
      </c>
      <c r="G13" s="10" t="str">
        <f ca="1">IFERROR(__xludf.DUMMYFUNCTION("""COMPUTED_VALUE"""),"غسل وادامة منظومة تصفية المياه في البناية ")</f>
        <v xml:space="preserve">غسل وادامة منظومة تصفية المياه في البناية </v>
      </c>
      <c r="H13" s="10"/>
      <c r="I13" s="12" t="s">
        <v>18</v>
      </c>
      <c r="J13" s="13" t="s">
        <v>16</v>
      </c>
      <c r="K13" s="7"/>
      <c r="L13" s="14"/>
      <c r="M13" s="10"/>
      <c r="N13" s="10" t="s">
        <v>23</v>
      </c>
      <c r="O13" s="7">
        <v>46069.353878310183</v>
      </c>
    </row>
    <row r="14" spans="1:15" ht="75" customHeight="1">
      <c r="A14" s="7">
        <f ca="1">IFERROR(__xludf.DUMMYFUNCTION("""COMPUTED_VALUE"""),46070.4444077893)</f>
        <v>46070.444407789299</v>
      </c>
      <c r="B14" s="8" t="str">
        <f ca="1">IFERROR(__xludf.DUMMYFUNCTION("""COMPUTED_VALUE"""),"المعملجي")</f>
        <v>المعملجي</v>
      </c>
      <c r="C14" s="9" t="str">
        <f ca="1">IFERROR(__xludf.DUMMYFUNCTION("""COMPUTED_VALUE"""),"سجاد تربية")</f>
        <v>سجاد تربية</v>
      </c>
      <c r="D14" s="10" t="str">
        <f ca="1">IFERROR(__xludf.DUMMYFUNCTION("""COMPUTED_VALUE"""),"قسم التربية والتعليم العالي")</f>
        <v>قسم التربية والتعليم العالي</v>
      </c>
      <c r="E14" s="10" t="str">
        <f ca="1">IFERROR(__xludf.DUMMYFUNCTION("""COMPUTED_VALUE"""),"A- المركز الثقافي")</f>
        <v>A- المركز الثقافي</v>
      </c>
      <c r="F14" s="10" t="str">
        <f ca="1">IFERROR(__xludf.DUMMYFUNCTION("""COMPUTED_VALUE"""),"الطابق الثالث, وحدة الاعلام ")</f>
        <v xml:space="preserve">الطابق الثالث, وحدة الاعلام </v>
      </c>
      <c r="G14" s="10" t="str">
        <f ca="1">IFERROR(__xludf.DUMMYFUNCTION("""COMPUTED_VALUE"""),"تحويل تدفئة الى تبريد")</f>
        <v>تحويل تدفئة الى تبريد</v>
      </c>
      <c r="H14" s="10"/>
      <c r="I14" s="12" t="s">
        <v>18</v>
      </c>
      <c r="J14" s="13" t="s">
        <v>16</v>
      </c>
      <c r="K14" s="7">
        <v>46070.472565324075</v>
      </c>
      <c r="L14" s="14"/>
      <c r="M14" s="10"/>
      <c r="N14" s="10"/>
      <c r="O14" s="7"/>
    </row>
    <row r="15" spans="1:15" ht="75" customHeight="1">
      <c r="A15" s="7">
        <f ca="1">IFERROR(__xludf.DUMMYFUNCTION("""COMPUTED_VALUE"""),46070.4897985185)</f>
        <v>46070.489798518502</v>
      </c>
      <c r="B15" s="8" t="str">
        <f ca="1">IFERROR(__xludf.DUMMYFUNCTION("""COMPUTED_VALUE"""),"المعملجي")</f>
        <v>المعملجي</v>
      </c>
      <c r="C15" s="9" t="str">
        <f ca="1">IFERROR(__xludf.DUMMYFUNCTION("""COMPUTED_VALUE"""),"سجاد تربية")</f>
        <v>سجاد تربية</v>
      </c>
      <c r="D15" s="10" t="str">
        <f ca="1">IFERROR(__xludf.DUMMYFUNCTION("""COMPUTED_VALUE"""),"قسم التربية والتعليم العالي")</f>
        <v>قسم التربية والتعليم العالي</v>
      </c>
      <c r="E15" s="10" t="str">
        <f ca="1">IFERROR(__xludf.DUMMYFUNCTION("""COMPUTED_VALUE"""),"F-  ابتدائية جود العميد للبنات (الرابعة)")</f>
        <v>F-  ابتدائية جود العميد للبنات (الرابعة)</v>
      </c>
      <c r="F15" s="10" t="str">
        <f ca="1">IFERROR(__xludf.DUMMYFUNCTION("""COMPUTED_VALUE"""),"الطابق الارضي")</f>
        <v>الطابق الارضي</v>
      </c>
      <c r="G15" s="10" t="str">
        <f ca="1">IFERROR(__xludf.DUMMYFUNCTION("""COMPUTED_VALUE"""),"احتياج المدرسة لمنتسب  تبريد ")</f>
        <v xml:space="preserve">احتياج المدرسة لمنتسب  تبريد </v>
      </c>
      <c r="H15" s="10"/>
      <c r="I15" s="12" t="s">
        <v>18</v>
      </c>
      <c r="J15" s="13" t="s">
        <v>16</v>
      </c>
      <c r="K15" s="7">
        <v>46070.531546423612</v>
      </c>
      <c r="L15" s="14"/>
      <c r="M15" s="10"/>
      <c r="N15" s="10"/>
      <c r="O15" s="7"/>
    </row>
    <row r="16" spans="1:15" ht="75" customHeight="1">
      <c r="A16" s="7">
        <f ca="1">IFERROR(__xludf.DUMMYFUNCTION("""COMPUTED_VALUE"""),46077.3182480439)</f>
        <v>46077.318248043899</v>
      </c>
      <c r="B16" s="8" t="str">
        <f ca="1">IFERROR(__xludf.DUMMYFUNCTION("""COMPUTED_VALUE"""),"المعملجي")</f>
        <v>المعملجي</v>
      </c>
      <c r="C16" s="9" t="str">
        <f ca="1">IFERROR(__xludf.DUMMYFUNCTION("""COMPUTED_VALUE"""),"سجاد تربية")</f>
        <v>سجاد تربية</v>
      </c>
      <c r="D16" s="10" t="str">
        <f ca="1">IFERROR(__xludf.DUMMYFUNCTION("""COMPUTED_VALUE"""),"قسم التربية والتعليم العالي")</f>
        <v>قسم التربية والتعليم العالي</v>
      </c>
      <c r="E16" s="10" t="str">
        <f ca="1">IFERROR(__xludf.DUMMYFUNCTION("""COMPUTED_VALUE"""),"H- ابتدائية القمر للبنات (الخامسة)")</f>
        <v>H- ابتدائية القمر للبنات (الخامسة)</v>
      </c>
      <c r="F16" s="10" t="str">
        <f ca="1">IFERROR(__xludf.DUMMYFUNCTION("""COMPUTED_VALUE"""),"غرفة الزينبيات ")</f>
        <v xml:space="preserve">غرفة الزينبيات </v>
      </c>
      <c r="G16" s="10" t="str">
        <f ca="1">IFERROR(__xludf.DUMMYFUNCTION("""COMPUTED_VALUE"""),"صيانه تبريد")</f>
        <v>صيانه تبريد</v>
      </c>
      <c r="H16" s="10"/>
      <c r="I16" s="12" t="s">
        <v>18</v>
      </c>
      <c r="J16" s="13" t="s">
        <v>16</v>
      </c>
      <c r="K16" s="7">
        <v>46078.30054236111</v>
      </c>
      <c r="L16" s="14"/>
      <c r="M16" s="10"/>
      <c r="N16" s="10"/>
      <c r="O16" s="7"/>
    </row>
    <row r="17" spans="1:15" ht="75" customHeight="1">
      <c r="A17" s="7">
        <f ca="1">IFERROR(__xludf.DUMMYFUNCTION("""COMPUTED_VALUE"""),46078.3950483564)</f>
        <v>46078.395048356397</v>
      </c>
      <c r="B17" s="8" t="str">
        <f ca="1">IFERROR(__xludf.DUMMYFUNCTION("""COMPUTED_VALUE"""),"المعملجي")</f>
        <v>المعملجي</v>
      </c>
      <c r="C17" s="9" t="str">
        <f ca="1">IFERROR(__xludf.DUMMYFUNCTION("""COMPUTED_VALUE"""),"وحدة التبريد")</f>
        <v>وحدة التبريد</v>
      </c>
      <c r="D17" s="10" t="str">
        <f ca="1">IFERROR(__xludf.DUMMYFUNCTION("""COMPUTED_VALUE"""),"قسم المشاريع الهندسية")</f>
        <v>قسم المشاريع الهندسية</v>
      </c>
      <c r="E17" s="10" t="str">
        <f ca="1">IFERROR(__xludf.DUMMYFUNCTION("""COMPUTED_VALUE"""),"A- المركز الثقافي")</f>
        <v>A- المركز الثقافي</v>
      </c>
      <c r="F17" s="10" t="str">
        <f ca="1">IFERROR(__xludf.DUMMYFUNCTION("""COMPUTED_VALUE"""),"السطح")</f>
        <v>السطح</v>
      </c>
      <c r="G17" s="10" t="str">
        <f ca="1">IFERROR(__xludf.DUMMYFUNCTION("""COMPUTED_VALUE"""),"ادامة وغسل القطع الخارجيه لمنظومات التبريد في  البناية")</f>
        <v>ادامة وغسل القطع الخارجيه لمنظومات التبريد في  البناية</v>
      </c>
      <c r="H17" s="10"/>
      <c r="I17" s="12" t="s">
        <v>18</v>
      </c>
      <c r="J17" s="13" t="s">
        <v>16</v>
      </c>
      <c r="K17" s="7"/>
      <c r="L17" s="14"/>
      <c r="M17" s="10"/>
      <c r="N17" s="10"/>
      <c r="O17" s="7"/>
    </row>
    <row r="18" spans="1:15" ht="75" customHeight="1">
      <c r="A18" s="7">
        <f ca="1">IFERROR(__xludf.DUMMYFUNCTION("""COMPUTED_VALUE"""),46078.395312581)</f>
        <v>46078.395312581</v>
      </c>
      <c r="B18" s="8" t="str">
        <f ca="1">IFERROR(__xludf.DUMMYFUNCTION("""COMPUTED_VALUE"""),"المعملجي")</f>
        <v>المعملجي</v>
      </c>
      <c r="C18" s="9" t="str">
        <f ca="1">IFERROR(__xludf.DUMMYFUNCTION("""COMPUTED_VALUE"""),"وحدة التبريد")</f>
        <v>وحدة التبريد</v>
      </c>
      <c r="D18" s="10" t="str">
        <f ca="1">IFERROR(__xludf.DUMMYFUNCTION("""COMPUTED_VALUE"""),"قسم المشاريع الهندسية")</f>
        <v>قسم المشاريع الهندسية</v>
      </c>
      <c r="E18" s="10" t="str">
        <f ca="1">IFERROR(__xludf.DUMMYFUNCTION("""COMPUTED_VALUE"""),"B- روضة القمر")</f>
        <v>B- روضة القمر</v>
      </c>
      <c r="F18" s="10" t="str">
        <f ca="1">IFERROR(__xludf.DUMMYFUNCTION("""COMPUTED_VALUE"""),"السطح")</f>
        <v>السطح</v>
      </c>
      <c r="G18" s="10" t="str">
        <f ca="1">IFERROR(__xludf.DUMMYFUNCTION("""COMPUTED_VALUE"""),"ادامة وغسل القطع الخارجيه لمنظومات التبريد في  البناية")</f>
        <v>ادامة وغسل القطع الخارجيه لمنظومات التبريد في  البناية</v>
      </c>
      <c r="H18" s="10"/>
      <c r="I18" s="12" t="s">
        <v>18</v>
      </c>
      <c r="J18" s="13" t="s">
        <v>16</v>
      </c>
      <c r="K18" s="7"/>
      <c r="L18" s="14"/>
      <c r="M18" s="10"/>
      <c r="N18" s="10"/>
      <c r="O18" s="7"/>
    </row>
    <row r="19" spans="1:15" ht="75" customHeight="1">
      <c r="A19" s="7">
        <f ca="1">IFERROR(__xludf.DUMMYFUNCTION("""COMPUTED_VALUE"""),46078.3955155787)</f>
        <v>46078.395515578697</v>
      </c>
      <c r="B19" s="8" t="str">
        <f ca="1">IFERROR(__xludf.DUMMYFUNCTION("""COMPUTED_VALUE"""),"المعملجي")</f>
        <v>المعملجي</v>
      </c>
      <c r="C19" s="9" t="str">
        <f ca="1">IFERROR(__xludf.DUMMYFUNCTION("""COMPUTED_VALUE"""),"وحدة التبريد")</f>
        <v>وحدة التبريد</v>
      </c>
      <c r="D19" s="10" t="str">
        <f ca="1">IFERROR(__xludf.DUMMYFUNCTION("""COMPUTED_VALUE"""),"قسم المشاريع الهندسية")</f>
        <v>قسم المشاريع الهندسية</v>
      </c>
      <c r="E19" s="10" t="str">
        <f ca="1">IFERROR(__xludf.DUMMYFUNCTION("""COMPUTED_VALUE"""),"G- روضة الجود")</f>
        <v>G- روضة الجود</v>
      </c>
      <c r="F19" s="10" t="str">
        <f ca="1">IFERROR(__xludf.DUMMYFUNCTION("""COMPUTED_VALUE"""),"السطح")</f>
        <v>السطح</v>
      </c>
      <c r="G19" s="10" t="str">
        <f ca="1">IFERROR(__xludf.DUMMYFUNCTION("""COMPUTED_VALUE"""),"ادامة وغسل القطع الخارجيه لمنظومات التبريد في  البناية")</f>
        <v>ادامة وغسل القطع الخارجيه لمنظومات التبريد في  البناية</v>
      </c>
      <c r="H19" s="10"/>
      <c r="I19" s="12" t="s">
        <v>18</v>
      </c>
      <c r="J19" s="13" t="s">
        <v>16</v>
      </c>
      <c r="K19" s="7"/>
      <c r="L19" s="14"/>
      <c r="M19" s="10"/>
      <c r="N19" s="10"/>
      <c r="O19" s="7"/>
    </row>
    <row r="20" spans="1:15" ht="75" customHeight="1">
      <c r="A20" s="7">
        <f ca="1">IFERROR(__xludf.DUMMYFUNCTION("""COMPUTED_VALUE"""),46078.3957200115)</f>
        <v>46078.395720011496</v>
      </c>
      <c r="B20" s="8" t="str">
        <f ca="1">IFERROR(__xludf.DUMMYFUNCTION("""COMPUTED_VALUE"""),"المعملجي")</f>
        <v>المعملجي</v>
      </c>
      <c r="C20" s="9" t="str">
        <f ca="1">IFERROR(__xludf.DUMMYFUNCTION("""COMPUTED_VALUE"""),"وحدة التبريد")</f>
        <v>وحدة التبريد</v>
      </c>
      <c r="D20" s="10" t="str">
        <f ca="1">IFERROR(__xludf.DUMMYFUNCTION("""COMPUTED_VALUE"""),"قسم المشاريع الهندسية")</f>
        <v>قسم المشاريع الهندسية</v>
      </c>
      <c r="E20" s="10" t="str">
        <f ca="1">IFERROR(__xludf.DUMMYFUNCTION("""COMPUTED_VALUE"""),"C- ثانوية العميد بناية الاعدادية  (الاولى)")</f>
        <v>C- ثانوية العميد بناية الاعدادية  (الاولى)</v>
      </c>
      <c r="F20" s="10" t="str">
        <f ca="1">IFERROR(__xludf.DUMMYFUNCTION("""COMPUTED_VALUE"""),"السطح")</f>
        <v>السطح</v>
      </c>
      <c r="G20" s="10" t="str">
        <f ca="1">IFERROR(__xludf.DUMMYFUNCTION("""COMPUTED_VALUE"""),"ادامة وغسل القطع الخارجيه لمنظومات التبريد في  البناية")</f>
        <v>ادامة وغسل القطع الخارجيه لمنظومات التبريد في  البناية</v>
      </c>
      <c r="H20" s="10"/>
      <c r="I20" s="12" t="s">
        <v>18</v>
      </c>
      <c r="J20" s="13" t="s">
        <v>16</v>
      </c>
      <c r="K20" s="7"/>
      <c r="L20" s="14"/>
      <c r="M20" s="10"/>
      <c r="N20" s="10"/>
      <c r="O20" s="7"/>
    </row>
    <row r="21" spans="1:15" ht="75" customHeight="1">
      <c r="A21" s="7">
        <f ca="1">IFERROR(__xludf.DUMMYFUNCTION("""COMPUTED_VALUE"""),46078.3959192824)</f>
        <v>46078.395919282397</v>
      </c>
      <c r="B21" s="8" t="str">
        <f ca="1">IFERROR(__xludf.DUMMYFUNCTION("""COMPUTED_VALUE"""),"المعملجي")</f>
        <v>المعملجي</v>
      </c>
      <c r="C21" s="9" t="str">
        <f ca="1">IFERROR(__xludf.DUMMYFUNCTION("""COMPUTED_VALUE"""),"وحدة التبريد")</f>
        <v>وحدة التبريد</v>
      </c>
      <c r="D21" s="10" t="str">
        <f ca="1">IFERROR(__xludf.DUMMYFUNCTION("""COMPUTED_VALUE"""),"قسم المشاريع الهندسية")</f>
        <v>قسم المشاريع الهندسية</v>
      </c>
      <c r="E21" s="10" t="str">
        <f ca="1">IFERROR(__xludf.DUMMYFUNCTION("""COMPUTED_VALUE"""),"D- ثانوية العميد بناية المتوسطة  (الثانية)")</f>
        <v>D- ثانوية العميد بناية المتوسطة  (الثانية)</v>
      </c>
      <c r="F21" s="10" t="str">
        <f ca="1">IFERROR(__xludf.DUMMYFUNCTION("""COMPUTED_VALUE"""),"السطح")</f>
        <v>السطح</v>
      </c>
      <c r="G21" s="10" t="str">
        <f ca="1">IFERROR(__xludf.DUMMYFUNCTION("""COMPUTED_VALUE"""),"ادامة وغسل القطع الخارجيه لمنظومات التبريد في  البناية")</f>
        <v>ادامة وغسل القطع الخارجيه لمنظومات التبريد في  البناية</v>
      </c>
      <c r="H21" s="10"/>
      <c r="I21" s="12" t="s">
        <v>18</v>
      </c>
      <c r="J21" s="13" t="s">
        <v>16</v>
      </c>
      <c r="K21" s="7"/>
      <c r="L21" s="14"/>
      <c r="M21" s="10"/>
      <c r="N21" s="10"/>
      <c r="O21" s="7"/>
    </row>
    <row r="22" spans="1:15" ht="75" customHeight="1">
      <c r="A22" s="7">
        <f ca="1">IFERROR(__xludf.DUMMYFUNCTION("""COMPUTED_VALUE"""),46078.3961595949)</f>
        <v>46078.3961595949</v>
      </c>
      <c r="B22" s="8" t="str">
        <f ca="1">IFERROR(__xludf.DUMMYFUNCTION("""COMPUTED_VALUE"""),"المعملجي")</f>
        <v>المعملجي</v>
      </c>
      <c r="C22" s="9" t="str">
        <f ca="1">IFERROR(__xludf.DUMMYFUNCTION("""COMPUTED_VALUE"""),"وحدة التبريد")</f>
        <v>وحدة التبريد</v>
      </c>
      <c r="D22" s="10" t="str">
        <f ca="1">IFERROR(__xludf.DUMMYFUNCTION("""COMPUTED_VALUE"""),"قسم المشاريع الهندسية")</f>
        <v>قسم المشاريع الهندسية</v>
      </c>
      <c r="E22" s="10" t="str">
        <f ca="1">IFERROR(__xludf.DUMMYFUNCTION("""COMPUTED_VALUE"""),"E- ابتدائية العميد للبنات (الثالثة)")</f>
        <v>E- ابتدائية العميد للبنات (الثالثة)</v>
      </c>
      <c r="F22" s="10" t="str">
        <f ca="1">IFERROR(__xludf.DUMMYFUNCTION("""COMPUTED_VALUE"""),"السطح")</f>
        <v>السطح</v>
      </c>
      <c r="G22" s="10" t="str">
        <f ca="1">IFERROR(__xludf.DUMMYFUNCTION("""COMPUTED_VALUE"""),"ادامة وغسل القطع الخارجيه لمنظومات التبريد في  البناية")</f>
        <v>ادامة وغسل القطع الخارجيه لمنظومات التبريد في  البناية</v>
      </c>
      <c r="H22" s="10"/>
      <c r="I22" s="12" t="s">
        <v>18</v>
      </c>
      <c r="J22" s="13" t="s">
        <v>16</v>
      </c>
      <c r="K22" s="7"/>
      <c r="L22" s="14"/>
      <c r="M22" s="10"/>
      <c r="N22" s="10"/>
      <c r="O22" s="7"/>
    </row>
    <row r="23" spans="1:15" ht="75" customHeight="1">
      <c r="A23" s="7">
        <f ca="1">IFERROR(__xludf.DUMMYFUNCTION("""COMPUTED_VALUE"""),46078.3963517592)</f>
        <v>46078.396351759198</v>
      </c>
      <c r="B23" s="8" t="str">
        <f ca="1">IFERROR(__xludf.DUMMYFUNCTION("""COMPUTED_VALUE"""),"المعملجي")</f>
        <v>المعملجي</v>
      </c>
      <c r="C23" s="9" t="str">
        <f ca="1">IFERROR(__xludf.DUMMYFUNCTION("""COMPUTED_VALUE"""),"وحدة التبريد")</f>
        <v>وحدة التبريد</v>
      </c>
      <c r="D23" s="10" t="str">
        <f ca="1">IFERROR(__xludf.DUMMYFUNCTION("""COMPUTED_VALUE"""),"قسم المشاريع الهندسية")</f>
        <v>قسم المشاريع الهندسية</v>
      </c>
      <c r="E23" s="10" t="str">
        <f ca="1">IFERROR(__xludf.DUMMYFUNCTION("""COMPUTED_VALUE"""),"F-  ابتدائية جود العميد للبنات (الرابعة)")</f>
        <v>F-  ابتدائية جود العميد للبنات (الرابعة)</v>
      </c>
      <c r="F23" s="10" t="str">
        <f ca="1">IFERROR(__xludf.DUMMYFUNCTION("""COMPUTED_VALUE"""),"السطح")</f>
        <v>السطح</v>
      </c>
      <c r="G23" s="10" t="str">
        <f ca="1">IFERROR(__xludf.DUMMYFUNCTION("""COMPUTED_VALUE"""),"ادامة وغسل القطع الخارجيه لمنظومات التبريد في  البناية")</f>
        <v>ادامة وغسل القطع الخارجيه لمنظومات التبريد في  البناية</v>
      </c>
      <c r="H23" s="10"/>
      <c r="I23" s="12" t="s">
        <v>18</v>
      </c>
      <c r="J23" s="13" t="s">
        <v>16</v>
      </c>
      <c r="K23" s="7"/>
      <c r="L23" s="14"/>
      <c r="M23" s="10"/>
      <c r="N23" s="10"/>
      <c r="O23" s="7"/>
    </row>
    <row r="24" spans="1:15" ht="75" customHeight="1">
      <c r="A24" s="7">
        <f ca="1">IFERROR(__xludf.DUMMYFUNCTION("""COMPUTED_VALUE"""),46078.396578206)</f>
        <v>46078.396578205997</v>
      </c>
      <c r="B24" s="8" t="str">
        <f ca="1">IFERROR(__xludf.DUMMYFUNCTION("""COMPUTED_VALUE"""),"المعملجي")</f>
        <v>المعملجي</v>
      </c>
      <c r="C24" s="9" t="str">
        <f ca="1">IFERROR(__xludf.DUMMYFUNCTION("""COMPUTED_VALUE"""),"وحدة التبريد")</f>
        <v>وحدة التبريد</v>
      </c>
      <c r="D24" s="10" t="str">
        <f ca="1">IFERROR(__xludf.DUMMYFUNCTION("""COMPUTED_VALUE"""),"قسم المشاريع الهندسية")</f>
        <v>قسم المشاريع الهندسية</v>
      </c>
      <c r="E24" s="10" t="str">
        <f ca="1">IFERROR(__xludf.DUMMYFUNCTION("""COMPUTED_VALUE"""),"H- ابتدائية القمر للبنات (الخامسة)")</f>
        <v>H- ابتدائية القمر للبنات (الخامسة)</v>
      </c>
      <c r="F24" s="10" t="str">
        <f ca="1">IFERROR(__xludf.DUMMYFUNCTION("""COMPUTED_VALUE"""),"السطح")</f>
        <v>السطح</v>
      </c>
      <c r="G24" s="10" t="str">
        <f ca="1">IFERROR(__xludf.DUMMYFUNCTION("""COMPUTED_VALUE"""),"ادامة وغسل القطع الخارجيه لمنظومات التبريد في  البناية")</f>
        <v>ادامة وغسل القطع الخارجيه لمنظومات التبريد في  البناية</v>
      </c>
      <c r="H24" s="10"/>
      <c r="I24" s="12" t="s">
        <v>18</v>
      </c>
      <c r="J24" s="13" t="s">
        <v>16</v>
      </c>
      <c r="K24" s="7"/>
      <c r="L24" s="14"/>
      <c r="M24" s="10"/>
      <c r="N24" s="10"/>
      <c r="O24" s="7"/>
    </row>
    <row r="25" spans="1:15" ht="75" customHeight="1">
      <c r="A25" s="7">
        <f ca="1">IFERROR(__xludf.DUMMYFUNCTION("""COMPUTED_VALUE"""),46078.396785405)</f>
        <v>46078.396785404999</v>
      </c>
      <c r="B25" s="8" t="str">
        <f ca="1">IFERROR(__xludf.DUMMYFUNCTION("""COMPUTED_VALUE"""),"المعملجي")</f>
        <v>المعملجي</v>
      </c>
      <c r="C25" s="9" t="str">
        <f ca="1">IFERROR(__xludf.DUMMYFUNCTION("""COMPUTED_VALUE"""),"وحدة التبريد")</f>
        <v>وحدة التبريد</v>
      </c>
      <c r="D25" s="10" t="str">
        <f ca="1">IFERROR(__xludf.DUMMYFUNCTION("""COMPUTED_VALUE"""),"قسم المشاريع الهندسية")</f>
        <v>قسم المشاريع الهندسية</v>
      </c>
      <c r="E25" s="10" t="str">
        <f ca="1">IFERROR(__xludf.DUMMYFUNCTION("""COMPUTED_VALUE"""),"I- ابتدائية الساقي للبنين (السادسة)")</f>
        <v>I- ابتدائية الساقي للبنين (السادسة)</v>
      </c>
      <c r="F25" s="10" t="str">
        <f ca="1">IFERROR(__xludf.DUMMYFUNCTION("""COMPUTED_VALUE"""),"السطح")</f>
        <v>السطح</v>
      </c>
      <c r="G25" s="10" t="str">
        <f ca="1">IFERROR(__xludf.DUMMYFUNCTION("""COMPUTED_VALUE"""),"ادامة وغسل القطع الخارجيه لمنظومات التبريد في  البناية")</f>
        <v>ادامة وغسل القطع الخارجيه لمنظومات التبريد في  البناية</v>
      </c>
      <c r="H25" s="10"/>
      <c r="I25" s="12" t="s">
        <v>18</v>
      </c>
      <c r="J25" s="13" t="s">
        <v>16</v>
      </c>
      <c r="K25" s="7"/>
      <c r="L25" s="14"/>
      <c r="M25" s="10"/>
      <c r="N25" s="10"/>
      <c r="O25" s="7"/>
    </row>
    <row r="26" spans="1:15" ht="75" customHeight="1">
      <c r="A26" s="7">
        <f ca="1">IFERROR(__xludf.DUMMYFUNCTION("""COMPUTED_VALUE"""),46078.3970057523)</f>
        <v>46078.397005752297</v>
      </c>
      <c r="B26" s="8" t="str">
        <f ca="1">IFERROR(__xludf.DUMMYFUNCTION("""COMPUTED_VALUE"""),"المعملجي")</f>
        <v>المعملجي</v>
      </c>
      <c r="C26" s="9" t="str">
        <f ca="1">IFERROR(__xludf.DUMMYFUNCTION("""COMPUTED_VALUE"""),"وحدة التبريد")</f>
        <v>وحدة التبريد</v>
      </c>
      <c r="D26" s="10" t="str">
        <f ca="1">IFERROR(__xludf.DUMMYFUNCTION("""COMPUTED_VALUE"""),"قسم المشاريع الهندسية")</f>
        <v>قسم المشاريع الهندسية</v>
      </c>
      <c r="E26"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F26" s="10" t="str">
        <f ca="1">IFERROR(__xludf.DUMMYFUNCTION("""COMPUTED_VALUE"""),"السطح")</f>
        <v>السطح</v>
      </c>
      <c r="G26" s="10" t="str">
        <f ca="1">IFERROR(__xludf.DUMMYFUNCTION("""COMPUTED_VALUE"""),"ادامة وغسل القطع الخارجيه لمنظومات التبريد في  البناية")</f>
        <v>ادامة وغسل القطع الخارجيه لمنظومات التبريد في  البناية</v>
      </c>
      <c r="H26" s="10"/>
      <c r="I26" s="12" t="s">
        <v>18</v>
      </c>
      <c r="J26" s="13" t="s">
        <v>16</v>
      </c>
      <c r="K26" s="7"/>
      <c r="L26" s="14"/>
      <c r="M26" s="10"/>
      <c r="N26" s="10"/>
      <c r="O26" s="7"/>
    </row>
    <row r="27" spans="1:15" ht="75" customHeight="1">
      <c r="A27" s="7">
        <f ca="1">IFERROR(__xludf.DUMMYFUNCTION("""COMPUTED_VALUE"""),46078.397645243)</f>
        <v>46078.397645243</v>
      </c>
      <c r="B27" s="8" t="str">
        <f ca="1">IFERROR(__xludf.DUMMYFUNCTION("""COMPUTED_VALUE"""),"المعملجي")</f>
        <v>المعملجي</v>
      </c>
      <c r="C27" s="9" t="str">
        <f ca="1">IFERROR(__xludf.DUMMYFUNCTION("""COMPUTED_VALUE"""),"وحدة التبريد")</f>
        <v>وحدة التبريد</v>
      </c>
      <c r="D27" s="10" t="str">
        <f ca="1">IFERROR(__xludf.DUMMYFUNCTION("""COMPUTED_VALUE"""),"قسم المشاريع الهندسية")</f>
        <v>قسم المشاريع الهندسية</v>
      </c>
      <c r="E27" s="10" t="str">
        <f ca="1">IFERROR(__xludf.DUMMYFUNCTION("""COMPUTED_VALUE"""),"A- المركز الثقافي")</f>
        <v>A- المركز الثقافي</v>
      </c>
      <c r="F27" s="10" t="str">
        <f ca="1">IFERROR(__xludf.DUMMYFUNCTION("""COMPUTED_VALUE"""),"الطابق الارضي, الطابق الاول, الطابق الثاني, الطابق الثالث, الطابق الرابع, السطح")</f>
        <v>الطابق الارضي, الطابق الاول, الطابق الثاني, الطابق الثالث, الطابق الرابع, السطح</v>
      </c>
      <c r="G27"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27" s="10"/>
      <c r="I27" s="12" t="s">
        <v>18</v>
      </c>
      <c r="J27" s="13" t="s">
        <v>16</v>
      </c>
      <c r="K27" s="7"/>
      <c r="L27" s="14"/>
      <c r="M27" s="10"/>
      <c r="N27" s="10"/>
      <c r="O27" s="7"/>
    </row>
    <row r="28" spans="1:15" ht="75" customHeight="1">
      <c r="A28" s="7">
        <f ca="1">IFERROR(__xludf.DUMMYFUNCTION("""COMPUTED_VALUE"""),46078.3978602083)</f>
        <v>46078.397860208301</v>
      </c>
      <c r="B28" s="8" t="str">
        <f ca="1">IFERROR(__xludf.DUMMYFUNCTION("""COMPUTED_VALUE"""),"المعملجي")</f>
        <v>المعملجي</v>
      </c>
      <c r="C28" s="9" t="str">
        <f ca="1">IFERROR(__xludf.DUMMYFUNCTION("""COMPUTED_VALUE"""),"وحدة التبريد")</f>
        <v>وحدة التبريد</v>
      </c>
      <c r="D28" s="10" t="str">
        <f ca="1">IFERROR(__xludf.DUMMYFUNCTION("""COMPUTED_VALUE"""),"قسم المشاريع الهندسية")</f>
        <v>قسم المشاريع الهندسية</v>
      </c>
      <c r="E28" s="10" t="str">
        <f ca="1">IFERROR(__xludf.DUMMYFUNCTION("""COMPUTED_VALUE"""),"B- روضة القمر")</f>
        <v>B- روضة القمر</v>
      </c>
      <c r="F28" s="10" t="str">
        <f ca="1">IFERROR(__xludf.DUMMYFUNCTION("""COMPUTED_VALUE"""),"الطابق الارضي, الطابق الاول, الطابق الثاني")</f>
        <v>الطابق الارضي, الطابق الاول, الطابق الثاني</v>
      </c>
      <c r="G28"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28" s="10"/>
      <c r="I28" s="12" t="s">
        <v>18</v>
      </c>
      <c r="J28" s="13" t="s">
        <v>16</v>
      </c>
      <c r="K28" s="7"/>
      <c r="L28" s="14"/>
      <c r="M28" s="10"/>
      <c r="N28" s="10"/>
      <c r="O28" s="7"/>
    </row>
    <row r="29" spans="1:15" ht="75" customHeight="1">
      <c r="A29" s="7">
        <f ca="1">IFERROR(__xludf.DUMMYFUNCTION("""COMPUTED_VALUE"""),46078.3980927083)</f>
        <v>46078.398092708303</v>
      </c>
      <c r="B29" s="8" t="str">
        <f ca="1">IFERROR(__xludf.DUMMYFUNCTION("""COMPUTED_VALUE"""),"المعملجي")</f>
        <v>المعملجي</v>
      </c>
      <c r="C29" s="9" t="str">
        <f ca="1">IFERROR(__xludf.DUMMYFUNCTION("""COMPUTED_VALUE"""),"وحدة التبريد")</f>
        <v>وحدة التبريد</v>
      </c>
      <c r="D29" s="10" t="str">
        <f ca="1">IFERROR(__xludf.DUMMYFUNCTION("""COMPUTED_VALUE"""),"قسم المشاريع الهندسية")</f>
        <v>قسم المشاريع الهندسية</v>
      </c>
      <c r="E29" s="10" t="str">
        <f ca="1">IFERROR(__xludf.DUMMYFUNCTION("""COMPUTED_VALUE"""),"G- روضة الجود")</f>
        <v>G- روضة الجود</v>
      </c>
      <c r="F29" s="10" t="str">
        <f ca="1">IFERROR(__xludf.DUMMYFUNCTION("""COMPUTED_VALUE"""),"الطابق الارضي, الطابق الاول, الطابق الثاني")</f>
        <v>الطابق الارضي, الطابق الاول, الطابق الثاني</v>
      </c>
      <c r="G29"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29" s="10"/>
      <c r="I29" s="12" t="s">
        <v>18</v>
      </c>
      <c r="J29" s="13" t="s">
        <v>16</v>
      </c>
      <c r="K29" s="7"/>
      <c r="L29" s="14"/>
      <c r="M29" s="10"/>
      <c r="N29" s="10"/>
      <c r="O29" s="7"/>
    </row>
    <row r="30" spans="1:15" ht="75" customHeight="1">
      <c r="A30" s="7">
        <f ca="1">IFERROR(__xludf.DUMMYFUNCTION("""COMPUTED_VALUE"""),46078.3983603356)</f>
        <v>46078.398360335603</v>
      </c>
      <c r="B30" s="8" t="str">
        <f ca="1">IFERROR(__xludf.DUMMYFUNCTION("""COMPUTED_VALUE"""),"المعملجي")</f>
        <v>المعملجي</v>
      </c>
      <c r="C30" s="9" t="str">
        <f ca="1">IFERROR(__xludf.DUMMYFUNCTION("""COMPUTED_VALUE"""),"وحدة التبريد")</f>
        <v>وحدة التبريد</v>
      </c>
      <c r="D30" s="10" t="str">
        <f ca="1">IFERROR(__xludf.DUMMYFUNCTION("""COMPUTED_VALUE"""),"قسم المشاريع الهندسية")</f>
        <v>قسم المشاريع الهندسية</v>
      </c>
      <c r="E30" s="10" t="str">
        <f ca="1">IFERROR(__xludf.DUMMYFUNCTION("""COMPUTED_VALUE"""),"C- ثانوية العميد بناية الاعدادية  (الاولى)")</f>
        <v>C- ثانوية العميد بناية الاعدادية  (الاولى)</v>
      </c>
      <c r="F30" s="10" t="str">
        <f ca="1">IFERROR(__xludf.DUMMYFUNCTION("""COMPUTED_VALUE"""),"الطابق الارضي, الطابق الاول, الطابق الثاني")</f>
        <v>الطابق الارضي, الطابق الاول, الطابق الثاني</v>
      </c>
      <c r="G30"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30" s="10"/>
      <c r="I30" s="12" t="s">
        <v>18</v>
      </c>
      <c r="J30" s="13" t="s">
        <v>16</v>
      </c>
      <c r="K30" s="7"/>
      <c r="L30" s="14"/>
      <c r="M30" s="10"/>
      <c r="N30" s="10"/>
      <c r="O30" s="7"/>
    </row>
    <row r="31" spans="1:15" ht="75" customHeight="1">
      <c r="A31" s="7">
        <f ca="1">IFERROR(__xludf.DUMMYFUNCTION("""COMPUTED_VALUE"""),46078.3985930555)</f>
        <v>46078.398593055499</v>
      </c>
      <c r="B31" s="8" t="str">
        <f ca="1">IFERROR(__xludf.DUMMYFUNCTION("""COMPUTED_VALUE"""),"المعملجي")</f>
        <v>المعملجي</v>
      </c>
      <c r="C31" s="9" t="str">
        <f ca="1">IFERROR(__xludf.DUMMYFUNCTION("""COMPUTED_VALUE"""),"وحدة التبريد")</f>
        <v>وحدة التبريد</v>
      </c>
      <c r="D31" s="10" t="str">
        <f ca="1">IFERROR(__xludf.DUMMYFUNCTION("""COMPUTED_VALUE"""),"قسم المشاريع الهندسية")</f>
        <v>قسم المشاريع الهندسية</v>
      </c>
      <c r="E31" s="10" t="str">
        <f ca="1">IFERROR(__xludf.DUMMYFUNCTION("""COMPUTED_VALUE"""),"D- ثانوية العميد بناية المتوسطة  (الثانية)")</f>
        <v>D- ثانوية العميد بناية المتوسطة  (الثانية)</v>
      </c>
      <c r="F31" s="10" t="str">
        <f ca="1">IFERROR(__xludf.DUMMYFUNCTION("""COMPUTED_VALUE"""),"الطابق الارضي, الطابق الاول, الطابق الثاني")</f>
        <v>الطابق الارضي, الطابق الاول, الطابق الثاني</v>
      </c>
      <c r="G31"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31" s="10"/>
      <c r="I31" s="12" t="s">
        <v>18</v>
      </c>
      <c r="J31" s="13" t="s">
        <v>16</v>
      </c>
      <c r="K31" s="7"/>
      <c r="L31" s="14"/>
      <c r="M31" s="10"/>
      <c r="N31" s="10"/>
      <c r="O31" s="7"/>
    </row>
    <row r="32" spans="1:15" ht="75" customHeight="1">
      <c r="A32" s="7">
        <f ca="1">IFERROR(__xludf.DUMMYFUNCTION("""COMPUTED_VALUE"""),46078.3988390972)</f>
        <v>46078.398839097201</v>
      </c>
      <c r="B32" s="8" t="str">
        <f ca="1">IFERROR(__xludf.DUMMYFUNCTION("""COMPUTED_VALUE"""),"المعملجي")</f>
        <v>المعملجي</v>
      </c>
      <c r="C32" s="9" t="str">
        <f ca="1">IFERROR(__xludf.DUMMYFUNCTION("""COMPUTED_VALUE"""),"وحدة التبريد")</f>
        <v>وحدة التبريد</v>
      </c>
      <c r="D32" s="10" t="str">
        <f ca="1">IFERROR(__xludf.DUMMYFUNCTION("""COMPUTED_VALUE"""),"قسم المشاريع الهندسية")</f>
        <v>قسم المشاريع الهندسية</v>
      </c>
      <c r="E32" s="10" t="str">
        <f ca="1">IFERROR(__xludf.DUMMYFUNCTION("""COMPUTED_VALUE"""),"E- ابتدائية العميد للبنات (الثالثة)")</f>
        <v>E- ابتدائية العميد للبنات (الثالثة)</v>
      </c>
      <c r="F32" s="10" t="str">
        <f ca="1">IFERROR(__xludf.DUMMYFUNCTION("""COMPUTED_VALUE"""),"الطابق الارضي, الطابق الاول, الطابق الثاني")</f>
        <v>الطابق الارضي, الطابق الاول, الطابق الثاني</v>
      </c>
      <c r="G32"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32" s="10"/>
      <c r="I32" s="12" t="s">
        <v>18</v>
      </c>
      <c r="J32" s="13" t="s">
        <v>16</v>
      </c>
      <c r="K32" s="7"/>
      <c r="L32" s="14"/>
      <c r="M32" s="10"/>
      <c r="N32" s="10"/>
      <c r="O32" s="7"/>
    </row>
    <row r="33" spans="1:15" ht="75" customHeight="1">
      <c r="A33" s="7">
        <f ca="1">IFERROR(__xludf.DUMMYFUNCTION("""COMPUTED_VALUE"""),46078.3991576967)</f>
        <v>46078.399157696702</v>
      </c>
      <c r="B33" s="8" t="str">
        <f ca="1">IFERROR(__xludf.DUMMYFUNCTION("""COMPUTED_VALUE"""),"المعملجي")</f>
        <v>المعملجي</v>
      </c>
      <c r="C33" s="9" t="str">
        <f ca="1">IFERROR(__xludf.DUMMYFUNCTION("""COMPUTED_VALUE"""),"وحدة التبريد")</f>
        <v>وحدة التبريد</v>
      </c>
      <c r="D33" s="10" t="str">
        <f ca="1">IFERROR(__xludf.DUMMYFUNCTION("""COMPUTED_VALUE"""),"قسم المشاريع الهندسية")</f>
        <v>قسم المشاريع الهندسية</v>
      </c>
      <c r="E33" s="10" t="str">
        <f ca="1">IFERROR(__xludf.DUMMYFUNCTION("""COMPUTED_VALUE"""),"F-  ابتدائية جود العميد للبنات (الرابعة)")</f>
        <v>F-  ابتدائية جود العميد للبنات (الرابعة)</v>
      </c>
      <c r="F33" s="10" t="str">
        <f ca="1">IFERROR(__xludf.DUMMYFUNCTION("""COMPUTED_VALUE"""),"الطابق الارضي, الطابق الاول, الطابق الثاني")</f>
        <v>الطابق الارضي, الطابق الاول, الطابق الثاني</v>
      </c>
      <c r="G33"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33" s="10"/>
      <c r="I33" s="12" t="s">
        <v>18</v>
      </c>
      <c r="J33" s="13" t="s">
        <v>16</v>
      </c>
      <c r="K33" s="7"/>
      <c r="L33" s="14"/>
      <c r="M33" s="10"/>
      <c r="N33" s="10"/>
      <c r="O33" s="7"/>
    </row>
    <row r="34" spans="1:15" ht="75" customHeight="1">
      <c r="A34" s="7">
        <f ca="1">IFERROR(__xludf.DUMMYFUNCTION("""COMPUTED_VALUE"""),46078.3993507175)</f>
        <v>46078.399350717496</v>
      </c>
      <c r="B34" s="8" t="str">
        <f ca="1">IFERROR(__xludf.DUMMYFUNCTION("""COMPUTED_VALUE"""),"المعملجي")</f>
        <v>المعملجي</v>
      </c>
      <c r="C34" s="9" t="str">
        <f ca="1">IFERROR(__xludf.DUMMYFUNCTION("""COMPUTED_VALUE"""),"وحدة التبريد")</f>
        <v>وحدة التبريد</v>
      </c>
      <c r="D34" s="10" t="str">
        <f ca="1">IFERROR(__xludf.DUMMYFUNCTION("""COMPUTED_VALUE"""),"قسم المشاريع الهندسية")</f>
        <v>قسم المشاريع الهندسية</v>
      </c>
      <c r="E34" s="10" t="str">
        <f ca="1">IFERROR(__xludf.DUMMYFUNCTION("""COMPUTED_VALUE"""),"H- ابتدائية القمر للبنات (الخامسة)")</f>
        <v>H- ابتدائية القمر للبنات (الخامسة)</v>
      </c>
      <c r="F34" s="10" t="str">
        <f ca="1">IFERROR(__xludf.DUMMYFUNCTION("""COMPUTED_VALUE"""),"الطابق الارضي, الطابق الاول, الطابق الثاني")</f>
        <v>الطابق الارضي, الطابق الاول, الطابق الثاني</v>
      </c>
      <c r="G34"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34" s="10"/>
      <c r="I34" s="12" t="s">
        <v>18</v>
      </c>
      <c r="J34" s="13" t="s">
        <v>16</v>
      </c>
      <c r="K34" s="7"/>
      <c r="L34" s="14"/>
      <c r="M34" s="10"/>
      <c r="N34" s="10"/>
      <c r="O34" s="7"/>
    </row>
    <row r="35" spans="1:15" ht="75" customHeight="1">
      <c r="A35" s="7">
        <f ca="1">IFERROR(__xludf.DUMMYFUNCTION("""COMPUTED_VALUE"""),46078.3995885069)</f>
        <v>46078.399588506902</v>
      </c>
      <c r="B35" s="8" t="str">
        <f ca="1">IFERROR(__xludf.DUMMYFUNCTION("""COMPUTED_VALUE"""),"المعملجي")</f>
        <v>المعملجي</v>
      </c>
      <c r="C35" s="9" t="str">
        <f ca="1">IFERROR(__xludf.DUMMYFUNCTION("""COMPUTED_VALUE"""),"وحدة التبريد")</f>
        <v>وحدة التبريد</v>
      </c>
      <c r="D35" s="10" t="str">
        <f ca="1">IFERROR(__xludf.DUMMYFUNCTION("""COMPUTED_VALUE"""),"قسم المشاريع الهندسية")</f>
        <v>قسم المشاريع الهندسية</v>
      </c>
      <c r="E35" s="10" t="str">
        <f ca="1">IFERROR(__xludf.DUMMYFUNCTION("""COMPUTED_VALUE"""),"I- ابتدائية الساقي للبنين (السادسة)")</f>
        <v>I- ابتدائية الساقي للبنين (السادسة)</v>
      </c>
      <c r="F35" s="10" t="str">
        <f ca="1">IFERROR(__xludf.DUMMYFUNCTION("""COMPUTED_VALUE"""),"الطابق الارضي, الطابق الاول, الطابق الثاني")</f>
        <v>الطابق الارضي, الطابق الاول, الطابق الثاني</v>
      </c>
      <c r="G35"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35" s="10"/>
      <c r="I35" s="12" t="s">
        <v>18</v>
      </c>
      <c r="J35" s="13" t="s">
        <v>16</v>
      </c>
      <c r="K35" s="7"/>
      <c r="L35" s="14"/>
      <c r="M35" s="10"/>
      <c r="N35" s="10"/>
      <c r="O35" s="7"/>
    </row>
    <row r="36" spans="1:15" ht="75" customHeight="1">
      <c r="A36" s="7">
        <f ca="1">IFERROR(__xludf.DUMMYFUNCTION("""COMPUTED_VALUE"""),46078.3998337152)</f>
        <v>46078.399833715201</v>
      </c>
      <c r="B36" s="8" t="str">
        <f ca="1">IFERROR(__xludf.DUMMYFUNCTION("""COMPUTED_VALUE"""),"المعملجي")</f>
        <v>المعملجي</v>
      </c>
      <c r="C36" s="9" t="str">
        <f ca="1">IFERROR(__xludf.DUMMYFUNCTION("""COMPUTED_VALUE"""),"وحدة التبريد")</f>
        <v>وحدة التبريد</v>
      </c>
      <c r="D36" s="10" t="str">
        <f ca="1">IFERROR(__xludf.DUMMYFUNCTION("""COMPUTED_VALUE"""),"قسم المشاريع الهندسية")</f>
        <v>قسم المشاريع الهندسية</v>
      </c>
      <c r="E36"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F36" s="10" t="str">
        <f ca="1">IFERROR(__xludf.DUMMYFUNCTION("""COMPUTED_VALUE"""),"الطابق الارضي, الطابق الاول, الطابق الثاني")</f>
        <v>الطابق الارضي, الطابق الاول, الطابق الثاني</v>
      </c>
      <c r="G36"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H36" s="10"/>
      <c r="I36" s="12" t="s">
        <v>18</v>
      </c>
      <c r="J36" s="13" t="s">
        <v>16</v>
      </c>
      <c r="K36" s="7"/>
      <c r="L36" s="14"/>
      <c r="M36" s="10"/>
      <c r="N36" s="10"/>
      <c r="O36" s="7"/>
    </row>
    <row r="37" spans="1:15" ht="75" customHeight="1">
      <c r="A37" s="7">
        <f ca="1">IFERROR(__xludf.DUMMYFUNCTION("""COMPUTED_VALUE"""),46078.4008624189)</f>
        <v>46078.400862418901</v>
      </c>
      <c r="B37" s="8" t="str">
        <f ca="1">IFERROR(__xludf.DUMMYFUNCTION("""COMPUTED_VALUE"""),"المعملجي")</f>
        <v>المعملجي</v>
      </c>
      <c r="C37" s="9" t="str">
        <f ca="1">IFERROR(__xludf.DUMMYFUNCTION("""COMPUTED_VALUE"""),"وحدة التبريد")</f>
        <v>وحدة التبريد</v>
      </c>
      <c r="D37" s="10" t="str">
        <f ca="1">IFERROR(__xludf.DUMMYFUNCTION("""COMPUTED_VALUE"""),"قسم المشاريع الهندسية")</f>
        <v>قسم المشاريع الهندسية</v>
      </c>
      <c r="E37" s="10" t="str">
        <f ca="1">IFERROR(__xludf.DUMMYFUNCTION("""COMPUTED_VALUE"""),"B- روضة القمر")</f>
        <v>B- روضة القمر</v>
      </c>
      <c r="F37" s="10" t="str">
        <f ca="1">IFERROR(__xludf.DUMMYFUNCTION("""COMPUTED_VALUE"""),"الطابق الارضي, القاعه رياضية الاولى ")</f>
        <v xml:space="preserve">الطابق الارضي, القاعه رياضية الاولى </v>
      </c>
      <c r="G37" s="10" t="str">
        <f ca="1">IFERROR(__xludf.DUMMYFUNCTION("""COMPUTED_VALUE"""),"ادامة وتنظيف منظومة البكج الخاصة بالقاعه ")</f>
        <v xml:space="preserve">ادامة وتنظيف منظومة البكج الخاصة بالقاعه </v>
      </c>
      <c r="H37" s="10"/>
      <c r="I37" s="12" t="s">
        <v>18</v>
      </c>
      <c r="J37" s="13" t="s">
        <v>16</v>
      </c>
      <c r="K37" s="7"/>
      <c r="L37" s="14"/>
      <c r="M37" s="10"/>
      <c r="N37" s="10"/>
      <c r="O37" s="7"/>
    </row>
    <row r="38" spans="1:15" ht="75" customHeight="1">
      <c r="A38" s="7">
        <f ca="1">IFERROR(__xludf.DUMMYFUNCTION("""COMPUTED_VALUE"""),46078.4012648263)</f>
        <v>46078.401264826301</v>
      </c>
      <c r="B38" s="8" t="str">
        <f ca="1">IFERROR(__xludf.DUMMYFUNCTION("""COMPUTED_VALUE"""),"المعملجي")</f>
        <v>المعملجي</v>
      </c>
      <c r="C38" s="9" t="str">
        <f ca="1">IFERROR(__xludf.DUMMYFUNCTION("""COMPUTED_VALUE"""),"وحدة التبريد")</f>
        <v>وحدة التبريد</v>
      </c>
      <c r="D38" s="10" t="str">
        <f ca="1">IFERROR(__xludf.DUMMYFUNCTION("""COMPUTED_VALUE"""),"قسم المشاريع الهندسية")</f>
        <v>قسم المشاريع الهندسية</v>
      </c>
      <c r="E38" s="10" t="str">
        <f ca="1">IFERROR(__xludf.DUMMYFUNCTION("""COMPUTED_VALUE"""),"B- روضة القمر")</f>
        <v>B- روضة القمر</v>
      </c>
      <c r="F38" s="10" t="str">
        <f ca="1">IFERROR(__xludf.DUMMYFUNCTION("""COMPUTED_VALUE"""),"الطابق الارضي, القاعه رياضية الثانية")</f>
        <v>الطابق الارضي, القاعه رياضية الثانية</v>
      </c>
      <c r="G38" s="10" t="str">
        <f ca="1">IFERROR(__xludf.DUMMYFUNCTION("""COMPUTED_VALUE"""),"ادامة وتنظيف منظومة البكج الخاصة بالقاعه ")</f>
        <v xml:space="preserve">ادامة وتنظيف منظومة البكج الخاصة بالقاعه </v>
      </c>
      <c r="H38" s="10"/>
      <c r="I38" s="12" t="s">
        <v>18</v>
      </c>
      <c r="J38" s="13" t="s">
        <v>16</v>
      </c>
      <c r="K38" s="7"/>
      <c r="L38" s="14"/>
      <c r="M38" s="10"/>
      <c r="N38" s="10"/>
      <c r="O38" s="7"/>
    </row>
    <row r="39" spans="1:15" ht="75" customHeight="1">
      <c r="A39" s="7">
        <f ca="1">IFERROR(__xludf.DUMMYFUNCTION("""COMPUTED_VALUE"""),46078.4015440972)</f>
        <v>46078.4015440972</v>
      </c>
      <c r="B39" s="8" t="str">
        <f ca="1">IFERROR(__xludf.DUMMYFUNCTION("""COMPUTED_VALUE"""),"المعملجي")</f>
        <v>المعملجي</v>
      </c>
      <c r="C39" s="9" t="str">
        <f ca="1">IFERROR(__xludf.DUMMYFUNCTION("""COMPUTED_VALUE"""),"وحدة التبريد")</f>
        <v>وحدة التبريد</v>
      </c>
      <c r="D39" s="10" t="str">
        <f ca="1">IFERROR(__xludf.DUMMYFUNCTION("""COMPUTED_VALUE"""),"قسم المشاريع الهندسية")</f>
        <v>قسم المشاريع الهندسية</v>
      </c>
      <c r="E39" s="10" t="str">
        <f ca="1">IFERROR(__xludf.DUMMYFUNCTION("""COMPUTED_VALUE"""),"G- روضة الجود")</f>
        <v>G- روضة الجود</v>
      </c>
      <c r="F39" s="10" t="str">
        <f ca="1">IFERROR(__xludf.DUMMYFUNCTION("""COMPUTED_VALUE"""),"الطابق الارضي, القاعه رياضية الاولى ")</f>
        <v xml:space="preserve">الطابق الارضي, القاعه رياضية الاولى </v>
      </c>
      <c r="G39" s="10" t="str">
        <f ca="1">IFERROR(__xludf.DUMMYFUNCTION("""COMPUTED_VALUE"""),"ادامة وتنظيف منظومة البكج الخاصة بالقاعه ")</f>
        <v xml:space="preserve">ادامة وتنظيف منظومة البكج الخاصة بالقاعه </v>
      </c>
      <c r="H39" s="10"/>
      <c r="I39" s="12" t="s">
        <v>18</v>
      </c>
      <c r="J39" s="13" t="s">
        <v>16</v>
      </c>
      <c r="K39" s="7"/>
      <c r="L39" s="14"/>
      <c r="M39" s="10"/>
      <c r="N39" s="10"/>
      <c r="O39" s="7"/>
    </row>
    <row r="40" spans="1:15" ht="75" customHeight="1">
      <c r="A40" s="7">
        <f ca="1">IFERROR(__xludf.DUMMYFUNCTION("""COMPUTED_VALUE"""),46078.4018921412)</f>
        <v>46078.401892141199</v>
      </c>
      <c r="B40" s="8" t="str">
        <f ca="1">IFERROR(__xludf.DUMMYFUNCTION("""COMPUTED_VALUE"""),"المعملجي")</f>
        <v>المعملجي</v>
      </c>
      <c r="C40" s="9" t="str">
        <f ca="1">IFERROR(__xludf.DUMMYFUNCTION("""COMPUTED_VALUE"""),"وحدة التبريد")</f>
        <v>وحدة التبريد</v>
      </c>
      <c r="D40" s="10" t="str">
        <f ca="1">IFERROR(__xludf.DUMMYFUNCTION("""COMPUTED_VALUE"""),"قسم المشاريع الهندسية")</f>
        <v>قسم المشاريع الهندسية</v>
      </c>
      <c r="E40" s="10" t="str">
        <f ca="1">IFERROR(__xludf.DUMMYFUNCTION("""COMPUTED_VALUE"""),"G- روضة الجود")</f>
        <v>G- روضة الجود</v>
      </c>
      <c r="F40" s="10" t="str">
        <f ca="1">IFERROR(__xludf.DUMMYFUNCTION("""COMPUTED_VALUE"""),"الطابق الارضي, القاعه رياضية الثانية")</f>
        <v>الطابق الارضي, القاعه رياضية الثانية</v>
      </c>
      <c r="G40" s="10" t="str">
        <f ca="1">IFERROR(__xludf.DUMMYFUNCTION("""COMPUTED_VALUE"""),"ادامة وتنظيف منظومة البكج الخاصة بالقاعه ")</f>
        <v xml:space="preserve">ادامة وتنظيف منظومة البكج الخاصة بالقاعه </v>
      </c>
      <c r="H40" s="10"/>
      <c r="I40" s="12" t="s">
        <v>18</v>
      </c>
      <c r="J40" s="13" t="s">
        <v>16</v>
      </c>
      <c r="K40" s="7"/>
      <c r="L40" s="14"/>
      <c r="M40" s="10"/>
      <c r="N40" s="10"/>
      <c r="O40" s="7"/>
    </row>
    <row r="41" spans="1:15" ht="75" customHeight="1">
      <c r="A41" s="7">
        <f ca="1">IFERROR(__xludf.DUMMYFUNCTION("""COMPUTED_VALUE"""),46081.8417761689)</f>
        <v>46081.841776168898</v>
      </c>
      <c r="B41" s="8" t="str">
        <f ca="1">IFERROR(__xludf.DUMMYFUNCTION("""COMPUTED_VALUE"""),"المعملجي")</f>
        <v>المعملجي</v>
      </c>
      <c r="C41" s="9" t="str">
        <f ca="1">IFERROR(__xludf.DUMMYFUNCTION("""COMPUTED_VALUE"""),"وحدة التبريد")</f>
        <v>وحدة التبريد</v>
      </c>
      <c r="D41" s="10" t="str">
        <f ca="1">IFERROR(__xludf.DUMMYFUNCTION("""COMPUTED_VALUE"""),"قسم المشاريع الهندسية")</f>
        <v>قسم المشاريع الهندسية</v>
      </c>
      <c r="E41" s="10" t="str">
        <f ca="1">IFERROR(__xludf.DUMMYFUNCTION("""COMPUTED_VALUE"""),"H- ابتدائية القمر للبنات (الخامسة)")</f>
        <v>H- ابتدائية القمر للبنات (الخامسة)</v>
      </c>
      <c r="F41" s="10" t="str">
        <f ca="1">IFERROR(__xludf.DUMMYFUNCTION("""COMPUTED_VALUE"""),"الطابق الارضي")</f>
        <v>الطابق الارضي</v>
      </c>
      <c r="G41" s="10" t="str">
        <f ca="1">IFERROR(__xludf.DUMMYFUNCTION("""COMPUTED_VALUE"""),"صيانة كاسيت سنكل واصلاح الليك في غرفة الادارة ")</f>
        <v xml:space="preserve">صيانة كاسيت سنكل واصلاح الليك في غرفة الادارة </v>
      </c>
      <c r="H41" s="10"/>
      <c r="I41" s="12" t="s">
        <v>18</v>
      </c>
      <c r="J41" s="13" t="s">
        <v>16</v>
      </c>
      <c r="K41" s="7">
        <v>46081.850294710646</v>
      </c>
      <c r="L41" s="14"/>
      <c r="M41" s="10"/>
      <c r="N41" s="10"/>
      <c r="O41" s="7"/>
    </row>
    <row r="42" spans="1:15" ht="75" customHeight="1">
      <c r="A42" s="7">
        <f ca="1">IFERROR(__xludf.DUMMYFUNCTION("""COMPUTED_VALUE"""),46081.8449740509)</f>
        <v>46081.844974050902</v>
      </c>
      <c r="B42" s="8" t="str">
        <f ca="1">IFERROR(__xludf.DUMMYFUNCTION("""COMPUTED_VALUE"""),"المعملجي")</f>
        <v>المعملجي</v>
      </c>
      <c r="C42" s="9" t="str">
        <f ca="1">IFERROR(__xludf.DUMMYFUNCTION("""COMPUTED_VALUE"""),"وحدة التبريد")</f>
        <v>وحدة التبريد</v>
      </c>
      <c r="D42" s="10" t="str">
        <f ca="1">IFERROR(__xludf.DUMMYFUNCTION("""COMPUTED_VALUE"""),"قسم المشاريع الهندسية")</f>
        <v>قسم المشاريع الهندسية</v>
      </c>
      <c r="E42" s="10" t="str">
        <f ca="1">IFERROR(__xludf.DUMMYFUNCTION("""COMPUTED_VALUE"""),"A- المركز الثقافي")</f>
        <v>A- المركز الثقافي</v>
      </c>
      <c r="F42" s="10" t="str">
        <f ca="1">IFERROR(__xludf.DUMMYFUNCTION("""COMPUTED_VALUE"""),"الطابق الاول, الطابق الثاني")</f>
        <v>الطابق الاول, الطابق الثاني</v>
      </c>
      <c r="G42" s="10" t="str">
        <f ca="1">IFERROR(__xludf.DUMMYFUNCTION("""COMPUTED_VALUE"""),"ادامة وتنظيف منظومة السبلت بكج الخاصة بقاعة المؤتمرات ")</f>
        <v xml:space="preserve">ادامة وتنظيف منظومة السبلت بكج الخاصة بقاعة المؤتمرات </v>
      </c>
      <c r="H42" s="10"/>
      <c r="I42" s="12" t="s">
        <v>18</v>
      </c>
      <c r="J42" s="13" t="s">
        <v>16</v>
      </c>
      <c r="K42" s="7">
        <v>46081.850529479168</v>
      </c>
      <c r="L42" s="14"/>
      <c r="M42" s="10"/>
      <c r="N42" s="10"/>
      <c r="O42" s="7"/>
    </row>
    <row r="43" spans="1:15" ht="75" customHeight="1">
      <c r="A43" s="7">
        <f ca="1">IFERROR(__xludf.DUMMYFUNCTION("""COMPUTED_VALUE"""),46081.8452995601)</f>
        <v>46081.845299560096</v>
      </c>
      <c r="B43" s="8" t="str">
        <f ca="1">IFERROR(__xludf.DUMMYFUNCTION("""COMPUTED_VALUE"""),"المعملجي")</f>
        <v>المعملجي</v>
      </c>
      <c r="C43" s="9" t="str">
        <f ca="1">IFERROR(__xludf.DUMMYFUNCTION("""COMPUTED_VALUE"""),"وحدة التبريد")</f>
        <v>وحدة التبريد</v>
      </c>
      <c r="D43" s="10" t="str">
        <f ca="1">IFERROR(__xludf.DUMMYFUNCTION("""COMPUTED_VALUE"""),"قسم المشاريع الهندسية")</f>
        <v>قسم المشاريع الهندسية</v>
      </c>
      <c r="E43" s="10" t="str">
        <f ca="1">IFERROR(__xludf.DUMMYFUNCTION("""COMPUTED_VALUE"""),"A- المركز الثقافي")</f>
        <v>A- المركز الثقافي</v>
      </c>
      <c r="F43" s="10" t="str">
        <f ca="1">IFERROR(__xludf.DUMMYFUNCTION("""COMPUTED_VALUE"""),"الطابق الاول, الطابق الثاني")</f>
        <v>الطابق الاول, الطابق الثاني</v>
      </c>
      <c r="G43" s="10" t="str">
        <f ca="1">IFERROR(__xludf.DUMMYFUNCTION("""COMPUTED_VALUE"""),"ادامة وتنظيف منظومة السبلت بكج الخاصة بقاعة سراج العميد ")</f>
        <v xml:space="preserve">ادامة وتنظيف منظومة السبلت بكج الخاصة بقاعة سراج العميد </v>
      </c>
      <c r="H43" s="10"/>
      <c r="I43" s="12" t="s">
        <v>18</v>
      </c>
      <c r="J43" s="13" t="s">
        <v>16</v>
      </c>
      <c r="K43" s="7">
        <v>46081.850577465273</v>
      </c>
      <c r="L43" s="14"/>
      <c r="M43" s="10"/>
      <c r="N43" s="10"/>
      <c r="O43" s="7"/>
    </row>
    <row r="44" spans="1:15" ht="75" customHeight="1">
      <c r="A44" s="7">
        <f ca="1">IFERROR(__xludf.DUMMYFUNCTION("""COMPUTED_VALUE"""),46081.8469588657)</f>
        <v>46081.846958865703</v>
      </c>
      <c r="B44" s="8" t="str">
        <f ca="1">IFERROR(__xludf.DUMMYFUNCTION("""COMPUTED_VALUE"""),"المعملجي")</f>
        <v>المعملجي</v>
      </c>
      <c r="C44" s="9" t="str">
        <f ca="1">IFERROR(__xludf.DUMMYFUNCTION("""COMPUTED_VALUE"""),"وحدة التبريد")</f>
        <v>وحدة التبريد</v>
      </c>
      <c r="D44" s="10" t="str">
        <f ca="1">IFERROR(__xludf.DUMMYFUNCTION("""COMPUTED_VALUE"""),"قسم المشاريع الهندسية")</f>
        <v>قسم المشاريع الهندسية</v>
      </c>
      <c r="E44" s="10" t="str">
        <f ca="1">IFERROR(__xludf.DUMMYFUNCTION("""COMPUTED_VALUE"""),"I- ابتدائية الساقي للبنين (السادسة)")</f>
        <v>I- ابتدائية الساقي للبنين (السادسة)</v>
      </c>
      <c r="F44" s="10" t="str">
        <f ca="1">IFERROR(__xludf.DUMMYFUNCTION("""COMPUTED_VALUE"""),"الطابق الارضي, الطابق الاول, الطابق الثاني, السطح")</f>
        <v>الطابق الارضي, الطابق الاول, الطابق الثاني, السطح</v>
      </c>
      <c r="G44" s="10" t="str">
        <f ca="1">IFERROR(__xludf.DUMMYFUNCTION("""COMPUTED_VALUE"""),"برمجة شاشة الكنترول الرئيسية واعدة فرز قطع ال vrv الداخلية ")</f>
        <v xml:space="preserve">برمجة شاشة الكنترول الرئيسية واعدة فرز قطع ال vrv الداخلية </v>
      </c>
      <c r="H44" s="10"/>
      <c r="I44" s="12" t="s">
        <v>18</v>
      </c>
      <c r="J44" s="13" t="s">
        <v>16</v>
      </c>
      <c r="K44" s="7">
        <v>46081.850657465278</v>
      </c>
      <c r="L44" s="14"/>
      <c r="M44" s="10"/>
      <c r="N44" s="10"/>
      <c r="O44" s="7"/>
    </row>
    <row r="45" spans="1:15" ht="75" customHeight="1">
      <c r="A45" s="7">
        <f ca="1">IFERROR(__xludf.DUMMYFUNCTION("""COMPUTED_VALUE"""),46081.847905)</f>
        <v>46081.847905000002</v>
      </c>
      <c r="B45" s="8" t="str">
        <f ca="1">IFERROR(__xludf.DUMMYFUNCTION("""COMPUTED_VALUE"""),"المعملجي")</f>
        <v>المعملجي</v>
      </c>
      <c r="C45" s="9" t="str">
        <f ca="1">IFERROR(__xludf.DUMMYFUNCTION("""COMPUTED_VALUE"""),"وحدة التبريد")</f>
        <v>وحدة التبريد</v>
      </c>
      <c r="D45" s="10" t="str">
        <f ca="1">IFERROR(__xludf.DUMMYFUNCTION("""COMPUTED_VALUE"""),"قسم المشاريع الهندسية")</f>
        <v>قسم المشاريع الهندسية</v>
      </c>
      <c r="E45"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F45" s="10" t="str">
        <f ca="1">IFERROR(__xludf.DUMMYFUNCTION("""COMPUTED_VALUE"""),"الطابق الارضي, الطابق الاول, الطابق الثاني, السطح")</f>
        <v>الطابق الارضي, الطابق الاول, الطابق الثاني, السطح</v>
      </c>
      <c r="G45" s="10" t="str">
        <f ca="1">IFERROR(__xludf.DUMMYFUNCTION("""COMPUTED_VALUE"""),"برمجة شاشة الكنترول الرئيسية وإعادة فرز قطع ال vrv ")</f>
        <v xml:space="preserve">برمجة شاشة الكنترول الرئيسية وإعادة فرز قطع ال vrv </v>
      </c>
      <c r="H45" s="10"/>
      <c r="I45" s="12" t="s">
        <v>18</v>
      </c>
      <c r="J45" s="13" t="s">
        <v>16</v>
      </c>
      <c r="K45" s="7">
        <v>46081.850762974536</v>
      </c>
      <c r="L45" s="14"/>
      <c r="M45" s="10"/>
      <c r="N45" s="10"/>
      <c r="O45" s="7"/>
    </row>
    <row r="46" spans="1:15" ht="75" customHeight="1">
      <c r="A46" s="7">
        <f ca="1">IFERROR(__xludf.DUMMYFUNCTION("QUERY('الطلبات'!A2:O998, ""SELECT A,C,D,E,F,G,H,I WHERE C='المعملجي' "")"),46054.4986829398)</f>
        <v>46054.498682939797</v>
      </c>
      <c r="B46" s="8" t="str">
        <f ca="1">IFERROR(__xludf.DUMMYFUNCTION("""COMPUTED_VALUE"""),"المعملجي")</f>
        <v>المعملجي</v>
      </c>
      <c r="C46" s="9" t="str">
        <f ca="1">IFERROR(__xludf.DUMMYFUNCTION("""COMPUTED_VALUE"""),"سجاد تربية")</f>
        <v>سجاد تربية</v>
      </c>
      <c r="D46" s="10" t="str">
        <f ca="1">IFERROR(__xludf.DUMMYFUNCTION("""COMPUTED_VALUE"""),"قسم التربية والتعليم العالي")</f>
        <v>قسم التربية والتعليم العالي</v>
      </c>
      <c r="E46" s="10" t="str">
        <f ca="1">IFERROR(__xludf.DUMMYFUNCTION("""COMPUTED_VALUE"""),"H- ابتدائية القمر للبنات (الخامسة)")</f>
        <v>H- ابتدائية القمر للبنات (الخامسة)</v>
      </c>
      <c r="F46" s="10" t="str">
        <f ca="1">IFERROR(__xludf.DUMMYFUNCTION("""COMPUTED_VALUE"""),"الطابق الارضي")</f>
        <v>الطابق الارضي</v>
      </c>
      <c r="G46" s="11" t="str">
        <f ca="1">IFERROR(__xludf.DUMMYFUNCTION("""COMPUTED_VALUE"""),"صيانة مصباح قرب غرفة الادارة")</f>
        <v>صيانة مصباح قرب غرفة الادارة</v>
      </c>
      <c r="H46" s="10"/>
      <c r="I46" s="12" t="s">
        <v>15</v>
      </c>
      <c r="J46" s="13" t="s">
        <v>16</v>
      </c>
      <c r="K46" s="7">
        <v>46023.497539930555</v>
      </c>
      <c r="L46" s="14"/>
      <c r="M46" s="10"/>
      <c r="N46" s="10" t="s">
        <v>17</v>
      </c>
      <c r="O46" s="7">
        <v>46068.487872962964</v>
      </c>
    </row>
    <row r="47" spans="1:15" ht="75" customHeight="1">
      <c r="A47" s="7">
        <f ca="1">IFERROR(__xludf.DUMMYFUNCTION("""COMPUTED_VALUE"""),46055.43113978)</f>
        <v>46055.431139779997</v>
      </c>
      <c r="B47" s="8" t="str">
        <f ca="1">IFERROR(__xludf.DUMMYFUNCTION("""COMPUTED_VALUE"""),"المعملجي")</f>
        <v>المعملجي</v>
      </c>
      <c r="C47" s="9" t="str">
        <f ca="1">IFERROR(__xludf.DUMMYFUNCTION("""COMPUTED_VALUE"""),"سجاد تربية")</f>
        <v>سجاد تربية</v>
      </c>
      <c r="D47" s="10" t="str">
        <f ca="1">IFERROR(__xludf.DUMMYFUNCTION("""COMPUTED_VALUE"""),"قسم التربية والتعليم العالي")</f>
        <v>قسم التربية والتعليم العالي</v>
      </c>
      <c r="E47" s="10" t="str">
        <f ca="1">IFERROR(__xludf.DUMMYFUNCTION("""COMPUTED_VALUE"""),"A- المركز الثقافي")</f>
        <v>A- المركز الثقافي</v>
      </c>
      <c r="F47" s="10" t="str">
        <f ca="1">IFERROR(__xludf.DUMMYFUNCTION("""COMPUTED_VALUE"""),"الطابق الارضي")</f>
        <v>الطابق الارضي</v>
      </c>
      <c r="G47" s="11" t="str">
        <f ca="1">IFERROR(__xludf.DUMMYFUNCTION("""COMPUTED_VALUE"""),"صيانة سيار كهربائي في الاستعلامات ")</f>
        <v xml:space="preserve">صيانة سيار كهربائي في الاستعلامات </v>
      </c>
      <c r="H47" s="10"/>
      <c r="I47" s="12" t="s">
        <v>15</v>
      </c>
      <c r="J47" s="13" t="s">
        <v>16</v>
      </c>
      <c r="K47" s="7">
        <v>46055.520549907407</v>
      </c>
      <c r="L47" s="14"/>
      <c r="M47" s="10"/>
      <c r="N47" s="10" t="s">
        <v>17</v>
      </c>
      <c r="O47" s="7">
        <v>46068.487873067133</v>
      </c>
    </row>
    <row r="48" spans="1:15" ht="75" customHeight="1">
      <c r="A48" s="7">
        <f ca="1">IFERROR(__xludf.DUMMYFUNCTION("""COMPUTED_VALUE"""),46055.521698287)</f>
        <v>46055.521698286997</v>
      </c>
      <c r="B48" s="8" t="str">
        <f ca="1">IFERROR(__xludf.DUMMYFUNCTION("""COMPUTED_VALUE"""),"المعملجي")</f>
        <v>المعملجي</v>
      </c>
      <c r="C48" s="9" t="str">
        <f ca="1">IFERROR(__xludf.DUMMYFUNCTION("""COMPUTED_VALUE"""),"سجاد تربية")</f>
        <v>سجاد تربية</v>
      </c>
      <c r="D48" s="10" t="str">
        <f ca="1">IFERROR(__xludf.DUMMYFUNCTION("""COMPUTED_VALUE"""),"قسم التربية والتعليم العالي")</f>
        <v>قسم التربية والتعليم العالي</v>
      </c>
      <c r="E48" s="10" t="str">
        <f ca="1">IFERROR(__xludf.DUMMYFUNCTION("""COMPUTED_VALUE"""),"الاستعلامات الرئيسية")</f>
        <v>الاستعلامات الرئيسية</v>
      </c>
      <c r="F48" s="10" t="str">
        <f ca="1">IFERROR(__xludf.DUMMYFUNCTION("""COMPUTED_VALUE"""),"الطابق الارضي")</f>
        <v>الطابق الارضي</v>
      </c>
      <c r="G48" s="10" t="str">
        <f ca="1">IFERROR(__xludf.DUMMYFUNCTION("""COMPUTED_VALUE"""),"يرجى اطفاء جهاز الانذار من المنظومة ")</f>
        <v xml:space="preserve">يرجى اطفاء جهاز الانذار من المنظومة </v>
      </c>
      <c r="H48" s="10"/>
      <c r="I48" s="12" t="s">
        <v>15</v>
      </c>
      <c r="J48" s="13" t="s">
        <v>19</v>
      </c>
      <c r="K48" s="7">
        <v>46056.318122731478</v>
      </c>
      <c r="L48" s="14" t="s">
        <v>20</v>
      </c>
      <c r="M48" s="10"/>
      <c r="N48" s="10" t="s">
        <v>17</v>
      </c>
      <c r="O48" s="7">
        <v>46068.487873240738</v>
      </c>
    </row>
    <row r="49" spans="1:15" ht="75" customHeight="1">
      <c r="A49" s="7">
        <f ca="1">IFERROR(__xludf.DUMMYFUNCTION("""COMPUTED_VALUE"""),46056.3445257291)</f>
        <v>46056.344525729102</v>
      </c>
      <c r="B49" s="8" t="str">
        <f ca="1">IFERROR(__xludf.DUMMYFUNCTION("""COMPUTED_VALUE"""),"المعملجي")</f>
        <v>المعملجي</v>
      </c>
      <c r="C49" s="9" t="str">
        <f ca="1">IFERROR(__xludf.DUMMYFUNCTION("""COMPUTED_VALUE"""),"سجاد تربية")</f>
        <v>سجاد تربية</v>
      </c>
      <c r="D49" s="10" t="str">
        <f ca="1">IFERROR(__xludf.DUMMYFUNCTION("""COMPUTED_VALUE"""),"قسم التربية والتعليم العالي")</f>
        <v>قسم التربية والتعليم العالي</v>
      </c>
      <c r="E49" s="10" t="str">
        <f ca="1">IFERROR(__xludf.DUMMYFUNCTION("""COMPUTED_VALUE"""),"D- ثانوية العميد بناية المتوسطة  (الثانية)")</f>
        <v>D- ثانوية العميد بناية المتوسطة  (الثانية)</v>
      </c>
      <c r="F49" s="10" t="str">
        <f ca="1">IFERROR(__xludf.DUMMYFUNCTION("""COMPUTED_VALUE"""),"الطابق الارضي")</f>
        <v>الطابق الارضي</v>
      </c>
      <c r="G49" s="10" t="str">
        <f ca="1">IFERROR(__xludf.DUMMYFUNCTION("""COMPUTED_VALUE"""),"كهربائي الى غرفة الادارة ")</f>
        <v xml:space="preserve">كهربائي الى غرفة الادارة </v>
      </c>
      <c r="H49" s="10"/>
      <c r="I49" s="12" t="s">
        <v>15</v>
      </c>
      <c r="J49" s="13" t="s">
        <v>16</v>
      </c>
      <c r="K49" s="7">
        <v>46056.559693206014</v>
      </c>
      <c r="L49" s="14"/>
      <c r="M49" s="10"/>
      <c r="N49" s="10" t="s">
        <v>17</v>
      </c>
      <c r="O49" s="7">
        <v>46068.487873425925</v>
      </c>
    </row>
    <row r="50" spans="1:15" ht="75" customHeight="1">
      <c r="A50" s="7">
        <f ca="1">IFERROR(__xludf.DUMMYFUNCTION("""COMPUTED_VALUE"""),46060.5214095717)</f>
        <v>46060.521409571702</v>
      </c>
      <c r="B50" s="8" t="str">
        <f ca="1">IFERROR(__xludf.DUMMYFUNCTION("""COMPUTED_VALUE"""),"المعملجي")</f>
        <v>المعملجي</v>
      </c>
      <c r="C50" s="9" t="str">
        <f ca="1">IFERROR(__xludf.DUMMYFUNCTION("""COMPUTED_VALUE"""),"سجاد تربية")</f>
        <v>سجاد تربية</v>
      </c>
      <c r="D50" s="10" t="str">
        <f ca="1">IFERROR(__xludf.DUMMYFUNCTION("""COMPUTED_VALUE"""),"قسم التربية والتعليم العالي")</f>
        <v>قسم التربية والتعليم العالي</v>
      </c>
      <c r="E50" s="10" t="str">
        <f ca="1">IFERROR(__xludf.DUMMYFUNCTION("""COMPUTED_VALUE"""),"C- ثانوية العميد بناية الاعدادية  (الاولى)")</f>
        <v>C- ثانوية العميد بناية الاعدادية  (الاولى)</v>
      </c>
      <c r="F50" s="10" t="str">
        <f ca="1">IFERROR(__xludf.DUMMYFUNCTION("""COMPUTED_VALUE"""),"الطابق الارضي")</f>
        <v>الطابق الارضي</v>
      </c>
      <c r="G50" s="10" t="str">
        <f ca="1">IFERROR(__xludf.DUMMYFUNCTION("""COMPUTED_VALUE"""),"صيانة نقطة كهرباء في غرفة الزينبيات ")</f>
        <v xml:space="preserve">صيانة نقطة كهرباء في غرفة الزينبيات </v>
      </c>
      <c r="H50" s="10"/>
      <c r="I50" s="12" t="s">
        <v>15</v>
      </c>
      <c r="J50" s="13" t="s">
        <v>16</v>
      </c>
      <c r="K50" s="7">
        <v>46061.312323379629</v>
      </c>
      <c r="L50" s="14"/>
      <c r="M50" s="10"/>
      <c r="N50" s="10" t="s">
        <v>23</v>
      </c>
      <c r="O50" s="7">
        <v>46068.487590138888</v>
      </c>
    </row>
    <row r="51" spans="1:15" ht="75" customHeight="1">
      <c r="A51" s="7">
        <f ca="1">IFERROR(__xludf.DUMMYFUNCTION("""COMPUTED_VALUE"""),46060.5225852777)</f>
        <v>46060.5225852777</v>
      </c>
      <c r="B51" s="8" t="str">
        <f ca="1">IFERROR(__xludf.DUMMYFUNCTION("""COMPUTED_VALUE"""),"المعملجي")</f>
        <v>المعملجي</v>
      </c>
      <c r="C51" s="9" t="str">
        <f ca="1">IFERROR(__xludf.DUMMYFUNCTION("""COMPUTED_VALUE"""),"سجاد تربية")</f>
        <v>سجاد تربية</v>
      </c>
      <c r="D51" s="10" t="str">
        <f ca="1">IFERROR(__xludf.DUMMYFUNCTION("""COMPUTED_VALUE"""),"قسم التربية والتعليم العالي")</f>
        <v>قسم التربية والتعليم العالي</v>
      </c>
      <c r="E51" s="10" t="str">
        <f ca="1">IFERROR(__xludf.DUMMYFUNCTION("""COMPUTED_VALUE"""),"A- المركز الثقافي")</f>
        <v>A- المركز الثقافي</v>
      </c>
      <c r="F51" s="10" t="str">
        <f ca="1">IFERROR(__xludf.DUMMYFUNCTION("""COMPUTED_VALUE"""),"الطابق الاول")</f>
        <v>الطابق الاول</v>
      </c>
      <c r="G51" s="10" t="str">
        <f ca="1">IFERROR(__xludf.DUMMYFUNCTION("""COMPUTED_VALUE"""),"احتياج ازالة الضوء ")</f>
        <v xml:space="preserve">احتياج ازالة الضوء </v>
      </c>
      <c r="H51" s="10"/>
      <c r="I51" s="12" t="s">
        <v>15</v>
      </c>
      <c r="J51" s="13" t="s">
        <v>16</v>
      </c>
      <c r="K51" s="7">
        <v>46062.408888032413</v>
      </c>
      <c r="L51" s="14"/>
      <c r="M51" s="10"/>
      <c r="N51" s="10" t="s">
        <v>23</v>
      </c>
      <c r="O51" s="7">
        <v>46068.487611273144</v>
      </c>
    </row>
    <row r="52" spans="1:15" ht="75" customHeight="1">
      <c r="A52" s="7">
        <f ca="1">IFERROR(__xludf.DUMMYFUNCTION("""COMPUTED_VALUE"""),46061.3077628356)</f>
        <v>46061.307762835597</v>
      </c>
      <c r="B52" s="8" t="str">
        <f ca="1">IFERROR(__xludf.DUMMYFUNCTION("""COMPUTED_VALUE"""),"المعملجي")</f>
        <v>المعملجي</v>
      </c>
      <c r="C52" s="9" t="str">
        <f ca="1">IFERROR(__xludf.DUMMYFUNCTION("""COMPUTED_VALUE"""),"وحدة الكهرباء")</f>
        <v>وحدة الكهرباء</v>
      </c>
      <c r="D52" s="10" t="str">
        <f ca="1">IFERROR(__xludf.DUMMYFUNCTION("""COMPUTED_VALUE"""),"قسم المشاريع الهندسية")</f>
        <v>قسم المشاريع الهندسية</v>
      </c>
      <c r="E52" s="10" t="str">
        <f ca="1">IFERROR(__xludf.DUMMYFUNCTION("""COMPUTED_VALUE"""),"المالية")</f>
        <v>المالية</v>
      </c>
      <c r="F52" s="10" t="str">
        <f ca="1">IFERROR(__xludf.DUMMYFUNCTION("""COMPUTED_VALUE"""),".")</f>
        <v>.</v>
      </c>
      <c r="G52" s="10" t="str">
        <f ca="1">IFERROR(__xludf.DUMMYFUNCTION("""COMPUTED_VALUE"""),"تبديل محولة سبوت لايت 24w في شعبة المالية.")</f>
        <v>تبديل محولة سبوت لايت 24w في شعبة المالية.</v>
      </c>
      <c r="H52" s="10"/>
      <c r="I52" s="12" t="s">
        <v>15</v>
      </c>
      <c r="J52" s="13" t="s">
        <v>16</v>
      </c>
      <c r="K52" s="7">
        <v>46061.310642118056</v>
      </c>
      <c r="L52" s="14"/>
      <c r="M52" s="10"/>
      <c r="N52" s="10" t="s">
        <v>23</v>
      </c>
      <c r="O52" s="7">
        <v>46068.487623344903</v>
      </c>
    </row>
    <row r="53" spans="1:15" ht="75" customHeight="1">
      <c r="A53" s="7">
        <f ca="1">IFERROR(__xludf.DUMMYFUNCTION("""COMPUTED_VALUE"""),46061.3088094097)</f>
        <v>46061.308809409697</v>
      </c>
      <c r="B53" s="8" t="str">
        <f ca="1">IFERROR(__xludf.DUMMYFUNCTION("""COMPUTED_VALUE"""),"المعملجي")</f>
        <v>المعملجي</v>
      </c>
      <c r="C53" s="9" t="str">
        <f ca="1">IFERROR(__xludf.DUMMYFUNCTION("""COMPUTED_VALUE"""),"وحدة الكهرباء")</f>
        <v>وحدة الكهرباء</v>
      </c>
      <c r="D53" s="10" t="str">
        <f ca="1">IFERROR(__xludf.DUMMYFUNCTION("""COMPUTED_VALUE"""),"قسم المشاريع الهندسية")</f>
        <v>قسم المشاريع الهندسية</v>
      </c>
      <c r="E53" s="10" t="str">
        <f ca="1">IFERROR(__xludf.DUMMYFUNCTION("""COMPUTED_VALUE"""),"المختبرات")</f>
        <v>المختبرات</v>
      </c>
      <c r="F53" s="10" t="str">
        <f ca="1">IFERROR(__xludf.DUMMYFUNCTION("""COMPUTED_VALUE"""),"غرفة المولدة")</f>
        <v>غرفة المولدة</v>
      </c>
      <c r="G53" s="10" t="str">
        <f ca="1">IFERROR(__xludf.DUMMYFUNCTION("""COMPUTED_VALUE"""),"دخال السليفات في الانانبيب الموجودة في  غرفة المزامنة ")</f>
        <v xml:space="preserve">دخال السليفات في الانانبيب الموجودة في  غرفة المزامنة </v>
      </c>
      <c r="H53" s="10"/>
      <c r="I53" s="12" t="s">
        <v>15</v>
      </c>
      <c r="J53" s="13" t="s">
        <v>16</v>
      </c>
      <c r="K53" s="7">
        <v>46061.310551770832</v>
      </c>
      <c r="L53" s="14"/>
      <c r="M53" s="10"/>
      <c r="N53" s="10" t="s">
        <v>23</v>
      </c>
      <c r="O53" s="7">
        <v>46068.487634803241</v>
      </c>
    </row>
    <row r="54" spans="1:15" ht="75" customHeight="1">
      <c r="A54" s="7">
        <f ca="1">IFERROR(__xludf.DUMMYFUNCTION("""COMPUTED_VALUE"""),46061.3090710416)</f>
        <v>46061.3090710416</v>
      </c>
      <c r="B54" s="8" t="str">
        <f ca="1">IFERROR(__xludf.DUMMYFUNCTION("""COMPUTED_VALUE"""),"المعملجي")</f>
        <v>المعملجي</v>
      </c>
      <c r="C54" s="9" t="str">
        <f ca="1">IFERROR(__xludf.DUMMYFUNCTION("""COMPUTED_VALUE"""),"وحدة الكهرباء")</f>
        <v>وحدة الكهرباء</v>
      </c>
      <c r="D54" s="10" t="str">
        <f ca="1">IFERROR(__xludf.DUMMYFUNCTION("""COMPUTED_VALUE"""),"قسم المشاريع الهندسية")</f>
        <v>قسم المشاريع الهندسية</v>
      </c>
      <c r="E54" s="10" t="str">
        <f ca="1">IFERROR(__xludf.DUMMYFUNCTION("""COMPUTED_VALUE"""),"المختبرات")</f>
        <v>المختبرات</v>
      </c>
      <c r="F54" s="10" t="str">
        <f ca="1">IFERROR(__xludf.DUMMYFUNCTION("""COMPUTED_VALUE"""),"الطابق الارضي")</f>
        <v>الطابق الارضي</v>
      </c>
      <c r="G54" s="10" t="str">
        <f ca="1">IFERROR(__xludf.DUMMYFUNCTION("""COMPUTED_VALUE"""),"استبدال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f>
        <v>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v>
      </c>
      <c r="H54" s="10"/>
      <c r="I54" s="12" t="s">
        <v>15</v>
      </c>
      <c r="J54" s="13" t="s">
        <v>16</v>
      </c>
      <c r="K54" s="7">
        <v>46061.310368935185</v>
      </c>
      <c r="L54" s="14"/>
      <c r="M54" s="10"/>
      <c r="N54" s="10" t="s">
        <v>23</v>
      </c>
      <c r="O54" s="7">
        <v>46068.487645590278</v>
      </c>
    </row>
    <row r="55" spans="1:15" ht="75" customHeight="1">
      <c r="A55" s="7">
        <f ca="1">IFERROR(__xludf.DUMMYFUNCTION("""COMPUTED_VALUE"""),46061.3098985763)</f>
        <v>46061.309898576299</v>
      </c>
      <c r="B55" s="8" t="str">
        <f ca="1">IFERROR(__xludf.DUMMYFUNCTION("""COMPUTED_VALUE"""),"المعملجي")</f>
        <v>المعملجي</v>
      </c>
      <c r="C55" s="9" t="str">
        <f ca="1">IFERROR(__xludf.DUMMYFUNCTION("""COMPUTED_VALUE"""),"وحدة الكهرباء")</f>
        <v>وحدة الكهرباء</v>
      </c>
      <c r="D55" s="10" t="str">
        <f ca="1">IFERROR(__xludf.DUMMYFUNCTION("""COMPUTED_VALUE"""),"قسم المشاريع الهندسية")</f>
        <v>قسم المشاريع الهندسية</v>
      </c>
      <c r="E55" s="10" t="str">
        <f ca="1">IFERROR(__xludf.DUMMYFUNCTION("""COMPUTED_VALUE"""),"G- روضة الجود")</f>
        <v>G- روضة الجود</v>
      </c>
      <c r="F55" s="10" t="str">
        <f ca="1">IFERROR(__xludf.DUMMYFUNCTION("""COMPUTED_VALUE"""),"الطابق الارضي")</f>
        <v>الطابق الارضي</v>
      </c>
      <c r="G55" s="10" t="str">
        <f ca="1">IFERROR(__xludf.DUMMYFUNCTION("""COMPUTED_VALUE"""),"تم استبدال محولة منشوريه عاطله ")</f>
        <v xml:space="preserve">تم استبدال محولة منشوريه عاطله </v>
      </c>
      <c r="H55" s="10"/>
      <c r="I55" s="12" t="s">
        <v>15</v>
      </c>
      <c r="J55" s="13" t="s">
        <v>16</v>
      </c>
      <c r="K55" s="7">
        <v>46061.3102396412</v>
      </c>
      <c r="L55" s="14"/>
      <c r="M55" s="10"/>
      <c r="N55" s="10" t="s">
        <v>23</v>
      </c>
      <c r="O55" s="7">
        <v>46068.48766165509</v>
      </c>
    </row>
    <row r="56" spans="1:15" ht="75" customHeight="1">
      <c r="A56" s="7">
        <f ca="1">IFERROR(__xludf.DUMMYFUNCTION("""COMPUTED_VALUE"""),46061.3105741319)</f>
        <v>46061.310574131901</v>
      </c>
      <c r="B56" s="8" t="str">
        <f ca="1">IFERROR(__xludf.DUMMYFUNCTION("""COMPUTED_VALUE"""),"المعملجي")</f>
        <v>المعملجي</v>
      </c>
      <c r="C56" s="9" t="str">
        <f ca="1">IFERROR(__xludf.DUMMYFUNCTION("""COMPUTED_VALUE"""),"وحدة الكهرباء")</f>
        <v>وحدة الكهرباء</v>
      </c>
      <c r="D56" s="10" t="str">
        <f ca="1">IFERROR(__xludf.DUMMYFUNCTION("""COMPUTED_VALUE"""),"قسم المشاريع الهندسية")</f>
        <v>قسم المشاريع الهندسية</v>
      </c>
      <c r="E56" s="10" t="str">
        <f ca="1">IFERROR(__xludf.DUMMYFUNCTION("""COMPUTED_VALUE"""),"F-  ابتدائية جود العميد للبنات (الرابعة)")</f>
        <v>F-  ابتدائية جود العميد للبنات (الرابعة)</v>
      </c>
      <c r="F56" s="10" t="str">
        <f ca="1">IFERROR(__xludf.DUMMYFUNCTION("""COMPUTED_VALUE"""),"السطح, في غرفة منظومة الماء (RO)")</f>
        <v>السطح, في غرفة منظومة الماء (RO)</v>
      </c>
      <c r="G56" s="10" t="str">
        <f ca="1">IFERROR(__xludf.DUMMYFUNCTION("""COMPUTED_VALUE"""),"تعديل طريقة ربط الريلي (220v) مع الفيوز الخاص بتشغيل مصابيح الإشارة بعد أن تبين وجود خطأ في طريقة الربط ")</f>
        <v xml:space="preserve">تعديل طريقة ربط الريلي (220v) مع الفيوز الخاص بتشغيل مصابيح الإشارة بعد أن تبين وجود خطأ في طريقة الربط </v>
      </c>
      <c r="H56" s="10"/>
      <c r="I56" s="12" t="s">
        <v>15</v>
      </c>
      <c r="J56" s="13" t="s">
        <v>16</v>
      </c>
      <c r="K56" s="7">
        <v>46061.311891296296</v>
      </c>
      <c r="L56" s="14"/>
      <c r="M56" s="10"/>
      <c r="N56" s="10" t="s">
        <v>23</v>
      </c>
      <c r="O56" s="7">
        <v>46068.487675648154</v>
      </c>
    </row>
    <row r="57" spans="1:15" ht="75" customHeight="1">
      <c r="A57" s="7">
        <f ca="1">IFERROR(__xludf.DUMMYFUNCTION("""COMPUTED_VALUE"""),46061.3136675)</f>
        <v>46061.313667499999</v>
      </c>
      <c r="B57" s="8" t="str">
        <f ca="1">IFERROR(__xludf.DUMMYFUNCTION("""COMPUTED_VALUE"""),"المعملجي")</f>
        <v>المعملجي</v>
      </c>
      <c r="C57" s="9" t="str">
        <f ca="1">IFERROR(__xludf.DUMMYFUNCTION("""COMPUTED_VALUE"""),"وحدة الكهرباء")</f>
        <v>وحدة الكهرباء</v>
      </c>
      <c r="D57" s="10" t="str">
        <f ca="1">IFERROR(__xludf.DUMMYFUNCTION("""COMPUTED_VALUE"""),"قسم المشاريع الهندسية")</f>
        <v>قسم المشاريع الهندسية</v>
      </c>
      <c r="E57" s="10" t="str">
        <f ca="1">IFERROR(__xludf.DUMMYFUNCTION("""COMPUTED_VALUE"""),"D- ثانوية العميد بناية المتوسطة  (الثانية)")</f>
        <v>D- ثانوية العميد بناية المتوسطة  (الثانية)</v>
      </c>
      <c r="F57" s="10" t="str">
        <f ca="1">IFERROR(__xludf.DUMMYFUNCTION("""COMPUTED_VALUE"""),"الطابق الارضي")</f>
        <v>الطابق الارضي</v>
      </c>
      <c r="G57" s="10" t="str">
        <f ca="1">IFERROR(__xludf.DUMMYFUNCTION("""COMPUTED_VALUE"""),"تبديل محولة  50w لشمعة منشورية")</f>
        <v>تبديل محولة  50w لشمعة منشورية</v>
      </c>
      <c r="H57" s="10"/>
      <c r="I57" s="12" t="s">
        <v>15</v>
      </c>
      <c r="J57" s="13" t="s">
        <v>16</v>
      </c>
      <c r="K57" s="7">
        <v>46061.326526631943</v>
      </c>
      <c r="L57" s="14"/>
      <c r="M57" s="10"/>
      <c r="N57" s="10" t="s">
        <v>23</v>
      </c>
      <c r="O57" s="7">
        <v>46068.487686689812</v>
      </c>
    </row>
    <row r="58" spans="1:15" ht="75" customHeight="1">
      <c r="A58" s="7">
        <f ca="1">IFERROR(__xludf.DUMMYFUNCTION("""COMPUTED_VALUE"""),46061.3144498032)</f>
        <v>46061.314449803198</v>
      </c>
      <c r="B58" s="8" t="str">
        <f ca="1">IFERROR(__xludf.DUMMYFUNCTION("""COMPUTED_VALUE"""),"المعملجي")</f>
        <v>المعملجي</v>
      </c>
      <c r="C58" s="9" t="str">
        <f ca="1">IFERROR(__xludf.DUMMYFUNCTION("""COMPUTED_VALUE"""),"وحدة الكهرباء")</f>
        <v>وحدة الكهرباء</v>
      </c>
      <c r="D58" s="10" t="str">
        <f ca="1">IFERROR(__xludf.DUMMYFUNCTION("""COMPUTED_VALUE"""),"قسم المشاريع الهندسية")</f>
        <v>قسم المشاريع الهندسية</v>
      </c>
      <c r="E58" s="10" t="str">
        <f ca="1">IFERROR(__xludf.DUMMYFUNCTION("""COMPUTED_VALUE"""),"A- المركز الثقافي")</f>
        <v>A- المركز الثقافي</v>
      </c>
      <c r="F58" s="10" t="str">
        <f ca="1">IFERROR(__xludf.DUMMYFUNCTION("""COMPUTED_VALUE"""),"غرفة مزامنة المولدة")</f>
        <v>غرفة مزامنة المولدة</v>
      </c>
      <c r="G58" s="10" t="str">
        <f ca="1">IFERROR(__xludf.DUMMYFUNCTION("""COMPUTED_VALUE"""),"تسليك كيبل STP CAT6 طول 32 متر تقريبا بدل من الكيبل المقطوع الخاص بالكاميرا")</f>
        <v>تسليك كيبل STP CAT6 طول 32 متر تقريبا بدل من الكيبل المقطوع الخاص بالكاميرا</v>
      </c>
      <c r="H58" s="10"/>
      <c r="I58" s="12" t="s">
        <v>15</v>
      </c>
      <c r="J58" s="13" t="s">
        <v>16</v>
      </c>
      <c r="K58" s="7">
        <v>46061.326579953704</v>
      </c>
      <c r="L58" s="14"/>
      <c r="M58" s="10"/>
      <c r="N58" s="10" t="s">
        <v>23</v>
      </c>
      <c r="O58" s="7">
        <v>46068.487696354168</v>
      </c>
    </row>
    <row r="59" spans="1:15" ht="75" customHeight="1">
      <c r="A59" s="7">
        <f ca="1">IFERROR(__xludf.DUMMYFUNCTION("""COMPUTED_VALUE"""),46061.3157062384)</f>
        <v>46061.315706238398</v>
      </c>
      <c r="B59" s="8" t="str">
        <f ca="1">IFERROR(__xludf.DUMMYFUNCTION("""COMPUTED_VALUE"""),"المعملجي")</f>
        <v>المعملجي</v>
      </c>
      <c r="C59" s="9" t="str">
        <f ca="1">IFERROR(__xludf.DUMMYFUNCTION("""COMPUTED_VALUE"""),"وحدة الكهرباء")</f>
        <v>وحدة الكهرباء</v>
      </c>
      <c r="D59" s="10" t="str">
        <f ca="1">IFERROR(__xludf.DUMMYFUNCTION("""COMPUTED_VALUE"""),"قسم المشاريع الهندسية")</f>
        <v>قسم المشاريع الهندسية</v>
      </c>
      <c r="E59" s="10" t="str">
        <f ca="1">IFERROR(__xludf.DUMMYFUNCTION("""COMPUTED_VALUE"""),"A- المركز الثقافي")</f>
        <v>A- المركز الثقافي</v>
      </c>
      <c r="F59" s="10" t="str">
        <f ca="1">IFERROR(__xludf.DUMMYFUNCTION("""COMPUTED_VALUE"""),"الطابق الارضي")</f>
        <v>الطابق الارضي</v>
      </c>
      <c r="G59" s="10" t="str">
        <f ca="1">IFERROR(__xludf.DUMMYFUNCTION("""COMPUTED_VALUE"""),"* ازالة الأسلاك القديمة التالفة والخارجة عن الخدمة.  * إعادة مد الكيبل الجديد بنفس مكان الكيبل القديم وكبسه في patch panel. * تنظيم جميع الأسلاك الغير منظمة.")</f>
        <v>* ازالة الأسلاك القديمة التالفة والخارجة عن الخدمة.  * إعادة مد الكيبل الجديد بنفس مكان الكيبل القديم وكبسه في patch panel. * تنظيم جميع الأسلاك الغير منظمة.</v>
      </c>
      <c r="H59" s="10"/>
      <c r="I59" s="12" t="s">
        <v>15</v>
      </c>
      <c r="J59" s="13" t="s">
        <v>16</v>
      </c>
      <c r="K59" s="7">
        <v>46061.326607592593</v>
      </c>
      <c r="L59" s="14"/>
      <c r="M59" s="10"/>
      <c r="N59" s="10" t="s">
        <v>23</v>
      </c>
      <c r="O59" s="7">
        <v>46068.487706284723</v>
      </c>
    </row>
    <row r="60" spans="1:15" ht="75" customHeight="1">
      <c r="A60" s="7">
        <f ca="1">IFERROR(__xludf.DUMMYFUNCTION("""COMPUTED_VALUE"""),46061.3160871296)</f>
        <v>46061.316087129599</v>
      </c>
      <c r="B60" s="8" t="str">
        <f ca="1">IFERROR(__xludf.DUMMYFUNCTION("""COMPUTED_VALUE"""),"المعملجي")</f>
        <v>المعملجي</v>
      </c>
      <c r="C60" s="9" t="str">
        <f ca="1">IFERROR(__xludf.DUMMYFUNCTION("""COMPUTED_VALUE"""),"وحدة الكهرباء")</f>
        <v>وحدة الكهرباء</v>
      </c>
      <c r="D60" s="10" t="str">
        <f ca="1">IFERROR(__xludf.DUMMYFUNCTION("""COMPUTED_VALUE"""),"قسم المشاريع الهندسية")</f>
        <v>قسم المشاريع الهندسية</v>
      </c>
      <c r="E60" s="10" t="str">
        <f ca="1">IFERROR(__xludf.DUMMYFUNCTION("""COMPUTED_VALUE"""),"A- المركز الثقافي, C- ثانوية العميد بناية الاعدادية  (الاولى), D- ثانوية العميد بناية المتوسطة  (الثانية)")</f>
        <v>A- المركز الثقافي, C- ثانوية العميد بناية الاعدادية  (الاولى), D- ثانوية العميد بناية المتوسطة  (الثانية)</v>
      </c>
      <c r="F60" s="10" t="str">
        <f ca="1">IFERROR(__xludf.DUMMYFUNCTION("""COMPUTED_VALUE"""),"الطابق الارضي, الطابق الاول")</f>
        <v>الطابق الارضي, الطابق الاول</v>
      </c>
      <c r="G60" s="10" t="str">
        <f ca="1">IFERROR(__xludf.DUMMYFUNCTION("""COMPUTED_VALUE"""),"لصق ليبل على الاسلاك الخاصة بالVRF و الأسلاك المضافة حديثا.")</f>
        <v>لصق ليبل على الاسلاك الخاصة بالVRF و الأسلاك المضافة حديثا.</v>
      </c>
      <c r="H60" s="10"/>
      <c r="I60" s="12" t="s">
        <v>15</v>
      </c>
      <c r="J60" s="13" t="s">
        <v>16</v>
      </c>
      <c r="K60" s="7">
        <v>46061.326633472221</v>
      </c>
      <c r="L60" s="14"/>
      <c r="M60" s="10"/>
      <c r="N60" s="10" t="s">
        <v>23</v>
      </c>
      <c r="O60" s="7">
        <v>46068.487716944444</v>
      </c>
    </row>
    <row r="61" spans="1:15" ht="75" customHeight="1">
      <c r="A61" s="7">
        <f ca="1">IFERROR(__xludf.DUMMYFUNCTION("""COMPUTED_VALUE"""),46061.3166349421)</f>
        <v>46061.316634942101</v>
      </c>
      <c r="B61" s="8" t="str">
        <f ca="1">IFERROR(__xludf.DUMMYFUNCTION("""COMPUTED_VALUE"""),"المعملجي")</f>
        <v>المعملجي</v>
      </c>
      <c r="C61" s="9" t="str">
        <f ca="1">IFERROR(__xludf.DUMMYFUNCTION("""COMPUTED_VALUE"""),"وحدة الكهرباء")</f>
        <v>وحدة الكهرباء</v>
      </c>
      <c r="D61" s="10" t="str">
        <f ca="1">IFERROR(__xludf.DUMMYFUNCTION("""COMPUTED_VALUE"""),"قسم المشاريع الهندسية")</f>
        <v>قسم المشاريع الهندسية</v>
      </c>
      <c r="E61" s="10" t="str">
        <f ca="1">IFERROR(__xludf.DUMMYFUNCTION("""COMPUTED_VALUE"""),"D- ثانوية العميد بناية المتوسطة  (الثانية)")</f>
        <v>D- ثانوية العميد بناية المتوسطة  (الثانية)</v>
      </c>
      <c r="F61" s="10" t="str">
        <f ca="1">IFERROR(__xludf.DUMMYFUNCTION("""COMPUTED_VALUE"""),"غير محدد")</f>
        <v>غير محدد</v>
      </c>
      <c r="G61" s="10" t="str">
        <f ca="1">IFERROR(__xludf.DUMMYFUNCTION("""COMPUTED_VALUE"""),"تم جرد المدرسه من اناره وبلكات سويج ووجده عطل في المنشوريات عدد(4)وتم صيانتها وصيانة البلك سويج عدد(2)")</f>
        <v>تم جرد المدرسه من اناره وبلكات سويج ووجده عطل في المنشوريات عدد(4)وتم صيانتها وصيانة البلك سويج عدد(2)</v>
      </c>
      <c r="H61" s="10"/>
      <c r="I61" s="12" t="s">
        <v>15</v>
      </c>
      <c r="J61" s="13" t="s">
        <v>16</v>
      </c>
      <c r="K61" s="7">
        <v>46061.326649143521</v>
      </c>
      <c r="L61" s="14"/>
      <c r="M61" s="10"/>
      <c r="N61" s="10" t="s">
        <v>23</v>
      </c>
      <c r="O61" s="7">
        <v>46068.487727789354</v>
      </c>
    </row>
    <row r="62" spans="1:15" ht="75" customHeight="1">
      <c r="A62" s="7">
        <f ca="1">IFERROR(__xludf.DUMMYFUNCTION("""COMPUTED_VALUE"""),46061.3173604513)</f>
        <v>46061.317360451299</v>
      </c>
      <c r="B62" s="8" t="str">
        <f ca="1">IFERROR(__xludf.DUMMYFUNCTION("""COMPUTED_VALUE"""),"المعملجي")</f>
        <v>المعملجي</v>
      </c>
      <c r="C62" s="9" t="str">
        <f ca="1">IFERROR(__xludf.DUMMYFUNCTION("""COMPUTED_VALUE"""),"وحدة الكهرباء")</f>
        <v>وحدة الكهرباء</v>
      </c>
      <c r="D62" s="10" t="str">
        <f ca="1">IFERROR(__xludf.DUMMYFUNCTION("""COMPUTED_VALUE"""),"قسم المشاريع الهندسية")</f>
        <v>قسم المشاريع الهندسية</v>
      </c>
      <c r="E62" s="10" t="str">
        <f ca="1">IFERROR(__xludf.DUMMYFUNCTION("""COMPUTED_VALUE"""),"C- ثانوية العميد بناية الاعدادية  (الاولى)")</f>
        <v>C- ثانوية العميد بناية الاعدادية  (الاولى)</v>
      </c>
      <c r="F62" s="10" t="str">
        <f ca="1">IFERROR(__xludf.DUMMYFUNCTION("""COMPUTED_VALUE"""),"الطابق الثاني, جناح الادائرة ZONE A")</f>
        <v>الطابق الثاني, جناح الادائرة ZONE A</v>
      </c>
      <c r="G62" s="10" t="str">
        <f ca="1">IFERROR(__xludf.DUMMYFUNCTION("""COMPUTED_VALUE"""),"جرد المدرسة الأولى :-  حيث تم إعادة تشغيل عدد 8 انارة منشورية 50w  وتبديل عدد 3 محولات 50w.
وتبديل عدد 2 محولات 24w لسبوت لايت ")</f>
        <v xml:space="preserve">جرد المدرسة الأولى :-  حيث تم إعادة تشغيل عدد 8 انارة منشورية 50w  وتبديل عدد 3 محولات 50w.
وتبديل عدد 2 محولات 24w لسبوت لايت </v>
      </c>
      <c r="H62" s="10"/>
      <c r="I62" s="12" t="s">
        <v>15</v>
      </c>
      <c r="J62" s="13" t="s">
        <v>16</v>
      </c>
      <c r="K62" s="7">
        <v>46061.326658090278</v>
      </c>
      <c r="L62" s="14"/>
      <c r="M62" s="10"/>
      <c r="N62" s="10" t="s">
        <v>24</v>
      </c>
      <c r="O62" s="7">
        <v>46061.329279722224</v>
      </c>
    </row>
    <row r="63" spans="1:15" ht="75" customHeight="1">
      <c r="A63" s="7">
        <f ca="1">IFERROR(__xludf.DUMMYFUNCTION("""COMPUTED_VALUE"""),46061.3194982638)</f>
        <v>46061.319498263802</v>
      </c>
      <c r="B63" s="8" t="str">
        <f ca="1">IFERROR(__xludf.DUMMYFUNCTION("""COMPUTED_VALUE"""),"المعملجي")</f>
        <v>المعملجي</v>
      </c>
      <c r="C63" s="9" t="str">
        <f ca="1">IFERROR(__xludf.DUMMYFUNCTION("""COMPUTED_VALUE"""),"وحدة الكهرباء")</f>
        <v>وحدة الكهرباء</v>
      </c>
      <c r="D63" s="10" t="str">
        <f ca="1">IFERROR(__xludf.DUMMYFUNCTION("""COMPUTED_VALUE"""),"قسم المشاريع الهندسية")</f>
        <v>قسم المشاريع الهندسية</v>
      </c>
      <c r="E63" s="10" t="str">
        <f ca="1">IFERROR(__xludf.DUMMYFUNCTION("""COMPUTED_VALUE"""),"E- ابتدائية العميد للبنات (الثالثة)")</f>
        <v>E- ابتدائية العميد للبنات (الثالثة)</v>
      </c>
      <c r="F63" s="10" t="str">
        <f ca="1">IFERROR(__xludf.DUMMYFUNCTION("""COMPUTED_VALUE"""),".")</f>
        <v>.</v>
      </c>
      <c r="G63" s="10" t="str">
        <f ca="1">IFERROR(__xludf.DUMMYFUNCTION("""COMPUTED_VALUE"""),"تم جرد المدرسة الثالثة وجد 4 منشوريات وتم إعادة تثبيت بلك سويج عدد 2 منفذ انترنت 1 وتم تبديل محولة سبوت لايت في صحيات زون B")</f>
        <v>تم جرد المدرسة الثالثة وجد 4 منشوريات وتم إعادة تثبيت بلك سويج عدد 2 منفذ انترنت 1 وتم تبديل محولة سبوت لايت في صحيات زون B</v>
      </c>
      <c r="H63" s="10"/>
      <c r="I63" s="12" t="s">
        <v>15</v>
      </c>
      <c r="J63" s="13" t="s">
        <v>16</v>
      </c>
      <c r="K63" s="7">
        <v>46061.326850231482</v>
      </c>
      <c r="L63" s="14"/>
      <c r="M63" s="10"/>
      <c r="N63" s="10" t="s">
        <v>24</v>
      </c>
      <c r="O63" s="7">
        <v>46061.329279814818</v>
      </c>
    </row>
    <row r="64" spans="1:15" ht="75" customHeight="1">
      <c r="A64" s="7">
        <f ca="1">IFERROR(__xludf.DUMMYFUNCTION("""COMPUTED_VALUE"""),46061.3199487152)</f>
        <v>46061.319948715201</v>
      </c>
      <c r="B64" s="8" t="str">
        <f ca="1">IFERROR(__xludf.DUMMYFUNCTION("""COMPUTED_VALUE"""),"المعملجي")</f>
        <v>المعملجي</v>
      </c>
      <c r="C64" s="9" t="str">
        <f ca="1">IFERROR(__xludf.DUMMYFUNCTION("""COMPUTED_VALUE"""),"وحدة الكهرباء")</f>
        <v>وحدة الكهرباء</v>
      </c>
      <c r="D64" s="10" t="str">
        <f ca="1">IFERROR(__xludf.DUMMYFUNCTION("""COMPUTED_VALUE"""),"قسم المشاريع الهندسية")</f>
        <v>قسم المشاريع الهندسية</v>
      </c>
      <c r="E64" s="10" t="str">
        <f ca="1">IFERROR(__xludf.DUMMYFUNCTION("""COMPUTED_VALUE"""),"F-  ابتدائية جود العميد للبنات (الرابعة)")</f>
        <v>F-  ابتدائية جود العميد للبنات (الرابعة)</v>
      </c>
      <c r="F64" s="10" t="str">
        <f ca="1">IFERROR(__xludf.DUMMYFUNCTION("""COMPUTED_VALUE"""),".")</f>
        <v>.</v>
      </c>
      <c r="G64" s="10" t="str">
        <f ca="1">IFERROR(__xludf.DUMMYFUNCTION("""COMPUTED_VALUE"""),"3 منشوريات")</f>
        <v>3 منشوريات</v>
      </c>
      <c r="H64" s="10"/>
      <c r="I64" s="12" t="s">
        <v>15</v>
      </c>
      <c r="J64" s="13" t="s">
        <v>16</v>
      </c>
      <c r="K64" s="7">
        <v>46061.326670949071</v>
      </c>
      <c r="L64" s="14"/>
      <c r="M64" s="10"/>
      <c r="N64" s="10" t="s">
        <v>24</v>
      </c>
      <c r="O64" s="7">
        <v>46061.329279907412</v>
      </c>
    </row>
    <row r="65" spans="1:15" ht="75" customHeight="1">
      <c r="A65" s="7">
        <f ca="1">IFERROR(__xludf.DUMMYFUNCTION("""COMPUTED_VALUE"""),46061.3206337268)</f>
        <v>46061.320633726798</v>
      </c>
      <c r="B65" s="8" t="str">
        <f ca="1">IFERROR(__xludf.DUMMYFUNCTION("""COMPUTED_VALUE"""),"المعملجي")</f>
        <v>المعملجي</v>
      </c>
      <c r="C65" s="9" t="str">
        <f ca="1">IFERROR(__xludf.DUMMYFUNCTION("""COMPUTED_VALUE"""),"وحدة الكهرباء")</f>
        <v>وحدة الكهرباء</v>
      </c>
      <c r="D65" s="10" t="str">
        <f ca="1">IFERROR(__xludf.DUMMYFUNCTION("""COMPUTED_VALUE"""),"قسم المشاريع الهندسية")</f>
        <v>قسم المشاريع الهندسية</v>
      </c>
      <c r="E65" s="10" t="str">
        <f ca="1">IFERROR(__xludf.DUMMYFUNCTION("""COMPUTED_VALUE"""),"B- روضة القمر")</f>
        <v>B- روضة القمر</v>
      </c>
      <c r="F65" s="10" t="str">
        <f ca="1">IFERROR(__xludf.DUMMYFUNCTION("""COMPUTED_VALUE"""),"صحيات مقابل الاولى")</f>
        <v>صحيات مقابل الاولى</v>
      </c>
      <c r="G65" s="10" t="str">
        <f ca="1">IFERROR(__xludf.DUMMYFUNCTION("""COMPUTED_VALUE""")," تبديل محولة سبوت لايت ")</f>
        <v xml:space="preserve"> تبديل محولة سبوت لايت </v>
      </c>
      <c r="H65" s="10"/>
      <c r="I65" s="12" t="s">
        <v>15</v>
      </c>
      <c r="J65" s="13" t="s">
        <v>16</v>
      </c>
      <c r="K65" s="7">
        <v>46061.326682199069</v>
      </c>
      <c r="L65" s="14"/>
      <c r="M65" s="10"/>
      <c r="N65" s="10" t="s">
        <v>24</v>
      </c>
      <c r="O65" s="7">
        <v>46061.329279988422</v>
      </c>
    </row>
    <row r="66" spans="1:15" ht="75" customHeight="1">
      <c r="A66" s="7">
        <f ca="1">IFERROR(__xludf.DUMMYFUNCTION("""COMPUTED_VALUE"""),46061.3211862847)</f>
        <v>46061.321186284702</v>
      </c>
      <c r="B66" s="8" t="str">
        <f ca="1">IFERROR(__xludf.DUMMYFUNCTION("""COMPUTED_VALUE"""),"المعملجي")</f>
        <v>المعملجي</v>
      </c>
      <c r="C66" s="9" t="str">
        <f ca="1">IFERROR(__xludf.DUMMYFUNCTION("""COMPUTED_VALUE"""),"وحدة الكهرباء")</f>
        <v>وحدة الكهرباء</v>
      </c>
      <c r="D66" s="10" t="str">
        <f ca="1">IFERROR(__xludf.DUMMYFUNCTION("""COMPUTED_VALUE"""),"قسم المشاريع الهندسية")</f>
        <v>قسم المشاريع الهندسية</v>
      </c>
      <c r="E66" s="10" t="str">
        <f ca="1">IFERROR(__xludf.DUMMYFUNCTION("""COMPUTED_VALUE"""),"شعبة الصيانة")</f>
        <v>شعبة الصيانة</v>
      </c>
      <c r="F66" s="10" t="str">
        <f ca="1">IFERROR(__xludf.DUMMYFUNCTION("""COMPUTED_VALUE"""),"غرفة المضخة الرئيسية")</f>
        <v>غرفة المضخة الرئيسية</v>
      </c>
      <c r="G66" s="10" t="str">
        <f ca="1">IFERROR(__xludf.DUMMYFUNCTION("""COMPUTED_VALUE"""),"تم اضافة هولدر عدد2  مع مصباح 60W عدد 2")</f>
        <v>تم اضافة هولدر عدد2  مع مصباح 60W عدد 2</v>
      </c>
      <c r="H66" s="10"/>
      <c r="I66" s="12" t="s">
        <v>15</v>
      </c>
      <c r="J66" s="13" t="s">
        <v>16</v>
      </c>
      <c r="K66" s="7">
        <v>46061.326694444448</v>
      </c>
      <c r="L66" s="14"/>
      <c r="M66" s="10"/>
      <c r="N66" s="10" t="s">
        <v>23</v>
      </c>
      <c r="O66" s="7">
        <v>46068.48773883102</v>
      </c>
    </row>
    <row r="67" spans="1:15" ht="75" customHeight="1">
      <c r="A67" s="7">
        <f ca="1">IFERROR(__xludf.DUMMYFUNCTION("""COMPUTED_VALUE"""),46061.3214925231)</f>
        <v>46061.3214925231</v>
      </c>
      <c r="B67" s="8" t="str">
        <f ca="1">IFERROR(__xludf.DUMMYFUNCTION("""COMPUTED_VALUE"""),"المعملجي")</f>
        <v>المعملجي</v>
      </c>
      <c r="C67" s="9" t="str">
        <f ca="1">IFERROR(__xludf.DUMMYFUNCTION("""COMPUTED_VALUE"""),"وحدة الكهرباء")</f>
        <v>وحدة الكهرباء</v>
      </c>
      <c r="D67" s="10" t="str">
        <f ca="1">IFERROR(__xludf.DUMMYFUNCTION("""COMPUTED_VALUE"""),"قسم المشاريع الهندسية")</f>
        <v>قسم المشاريع الهندسية</v>
      </c>
      <c r="E67" s="10"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F67" s="10" t="str">
        <f ca="1">IFERROR(__xludf.DUMMYFUNCTION("""COMPUTED_VALUE"""),"الطابق الارضي")</f>
        <v>الطابق الارضي</v>
      </c>
      <c r="G67" s="10" t="str">
        <f ca="1">IFERROR(__xludf.DUMMYFUNCTION("""COMPUTED_VALUE"""),"لصق ليبل على الاسلاك الخاصة بال VRV و الأسلاك المضافة حديثا.")</f>
        <v>لصق ليبل على الاسلاك الخاصة بال VRV و الأسلاك المضافة حديثا.</v>
      </c>
      <c r="H67" s="10"/>
      <c r="I67" s="12" t="s">
        <v>15</v>
      </c>
      <c r="J67" s="13" t="s">
        <v>16</v>
      </c>
      <c r="K67" s="7">
        <v>46061.326715625</v>
      </c>
      <c r="L67" s="14"/>
      <c r="M67" s="10"/>
      <c r="N67" s="10" t="s">
        <v>25</v>
      </c>
      <c r="O67" s="7">
        <v>46061.329581400467</v>
      </c>
    </row>
    <row r="68" spans="1:15" ht="75" customHeight="1">
      <c r="A68" s="7">
        <f ca="1">IFERROR(__xludf.DUMMYFUNCTION("""COMPUTED_VALUE"""),46061.3220361342)</f>
        <v>46061.322036134203</v>
      </c>
      <c r="B68" s="8" t="str">
        <f ca="1">IFERROR(__xludf.DUMMYFUNCTION("""COMPUTED_VALUE"""),"المعملجي")</f>
        <v>المعملجي</v>
      </c>
      <c r="C68" s="9" t="str">
        <f ca="1">IFERROR(__xludf.DUMMYFUNCTION("""COMPUTED_VALUE"""),"وحدة الكهرباء")</f>
        <v>وحدة الكهرباء</v>
      </c>
      <c r="D68" s="10" t="str">
        <f ca="1">IFERROR(__xludf.DUMMYFUNCTION("""COMPUTED_VALUE"""),"قسم المشاريع الهندسية")</f>
        <v>قسم المشاريع الهندسية</v>
      </c>
      <c r="E68" s="10" t="str">
        <f ca="1">IFERROR(__xludf.DUMMYFUNCTION("""COMPUTED_VALUE"""),"A- المركز الثقافي")</f>
        <v>A- المركز الثقافي</v>
      </c>
      <c r="F68" s="10" t="str">
        <f ca="1">IFERROR(__xludf.DUMMYFUNCTION("""COMPUTED_VALUE"""),"الطابق الارضي,  مطبخ رئاسة القسم ")</f>
        <v xml:space="preserve">الطابق الارضي,  مطبخ رئاسة القسم </v>
      </c>
      <c r="G68" s="10" t="str">
        <f ca="1">IFERROR(__xludf.DUMMYFUNCTION("""COMPUTED_VALUE"""),"استبدال سبوت لايت شغال بآخر تالف لحين اصلاح التالف.")</f>
        <v>استبدال سبوت لايت شغال بآخر تالف لحين اصلاح التالف.</v>
      </c>
      <c r="H68" s="10"/>
      <c r="I68" s="12" t="s">
        <v>15</v>
      </c>
      <c r="J68" s="13" t="s">
        <v>16</v>
      </c>
      <c r="K68" s="7">
        <v>46061.326717476855</v>
      </c>
      <c r="L68" s="14"/>
      <c r="M68" s="10"/>
      <c r="N68" s="10" t="s">
        <v>23</v>
      </c>
      <c r="O68" s="7">
        <v>46068.48774975694</v>
      </c>
    </row>
    <row r="69" spans="1:15" ht="75" customHeight="1">
      <c r="A69" s="7">
        <f ca="1">IFERROR(__xludf.DUMMYFUNCTION("""COMPUTED_VALUE"""),46061.3225308449)</f>
        <v>46061.322530844896</v>
      </c>
      <c r="B69" s="8" t="str">
        <f ca="1">IFERROR(__xludf.DUMMYFUNCTION("""COMPUTED_VALUE"""),"المعملجي")</f>
        <v>المعملجي</v>
      </c>
      <c r="C69" s="9" t="str">
        <f ca="1">IFERROR(__xludf.DUMMYFUNCTION("""COMPUTED_VALUE"""),"وحدة الكهرباء")</f>
        <v>وحدة الكهرباء</v>
      </c>
      <c r="D69" s="10" t="str">
        <f ca="1">IFERROR(__xludf.DUMMYFUNCTION("""COMPUTED_VALUE"""),"قسم المشاريع الهندسية")</f>
        <v>قسم المشاريع الهندسية</v>
      </c>
      <c r="E69" s="10" t="str">
        <f ca="1">IFERROR(__xludf.DUMMYFUNCTION("""COMPUTED_VALUE"""),"كل المجمع عدا المركز والخارجية")</f>
        <v>كل المجمع عدا المركز والخارجية</v>
      </c>
      <c r="F69" s="10" t="str">
        <f ca="1">IFERROR(__xludf.DUMMYFUNCTION("""COMPUTED_VALUE"""),".")</f>
        <v>.</v>
      </c>
      <c r="G69" s="10" t="str">
        <f ca="1">IFERROR(__xludf.DUMMYFUNCTION("""COMPUTED_VALUE"""),"فحص منظومات تحسين معامل القدرة لجميع المحولات")</f>
        <v>فحص منظومات تحسين معامل القدرة لجميع المحولات</v>
      </c>
      <c r="H69" s="10"/>
      <c r="I69" s="12" t="s">
        <v>15</v>
      </c>
      <c r="J69" s="13" t="s">
        <v>16</v>
      </c>
      <c r="K69" s="7">
        <v>46061.326734062503</v>
      </c>
      <c r="L69" s="14"/>
      <c r="M69" s="10"/>
      <c r="N69" s="10" t="s">
        <v>23</v>
      </c>
      <c r="O69" s="7">
        <v>46068.487761747689</v>
      </c>
    </row>
    <row r="70" spans="1:15" ht="75" customHeight="1">
      <c r="A70" s="7">
        <f ca="1">IFERROR(__xludf.DUMMYFUNCTION("""COMPUTED_VALUE"""),46061.3232665625)</f>
        <v>46061.323266562496</v>
      </c>
      <c r="B70" s="8" t="str">
        <f ca="1">IFERROR(__xludf.DUMMYFUNCTION("""COMPUTED_VALUE"""),"المعملجي")</f>
        <v>المعملجي</v>
      </c>
      <c r="C70" s="9" t="str">
        <f ca="1">IFERROR(__xludf.DUMMYFUNCTION("""COMPUTED_VALUE"""),"وحدة الكهرباء")</f>
        <v>وحدة الكهرباء</v>
      </c>
      <c r="D70" s="10" t="str">
        <f ca="1">IFERROR(__xludf.DUMMYFUNCTION("""COMPUTED_VALUE"""),"قسم المشاريع الهندسية")</f>
        <v>قسم المشاريع الهندسية</v>
      </c>
      <c r="E70" s="10" t="str">
        <f ca="1">IFERROR(__xludf.DUMMYFUNCTION("""COMPUTED_VALUE"""),"G- روضة الجود")</f>
        <v>G- روضة الجود</v>
      </c>
      <c r="F70" s="10" t="str">
        <f ca="1">IFERROR(__xludf.DUMMYFUNCTION("""COMPUTED_VALUE"""),".")</f>
        <v>.</v>
      </c>
      <c r="G70" s="10" t="str">
        <f ca="1">IFERROR(__xludf.DUMMYFUNCTION("""COMPUTED_VALUE"""),"تم جرد الروضه  واستبدال خمس محولات")</f>
        <v>تم جرد الروضه  واستبدال خمس محولات</v>
      </c>
      <c r="H70" s="10"/>
      <c r="I70" s="12" t="s">
        <v>15</v>
      </c>
      <c r="J70" s="13" t="s">
        <v>16</v>
      </c>
      <c r="K70" s="7">
        <v>46061.3267328125</v>
      </c>
      <c r="L70" s="14"/>
      <c r="M70" s="10"/>
      <c r="N70" s="10" t="s">
        <v>23</v>
      </c>
      <c r="O70" s="7">
        <v>46068.487771817134</v>
      </c>
    </row>
    <row r="71" spans="1:15" ht="75" customHeight="1">
      <c r="A71" s="7">
        <f ca="1">IFERROR(__xludf.DUMMYFUNCTION("""COMPUTED_VALUE"""),46061.3236928472)</f>
        <v>46061.323692847203</v>
      </c>
      <c r="B71" s="8" t="str">
        <f ca="1">IFERROR(__xludf.DUMMYFUNCTION("""COMPUTED_VALUE"""),"المعملجي")</f>
        <v>المعملجي</v>
      </c>
      <c r="C71" s="9" t="str">
        <f ca="1">IFERROR(__xludf.DUMMYFUNCTION("""COMPUTED_VALUE"""),"وحدة الكهرباء")</f>
        <v>وحدة الكهرباء</v>
      </c>
      <c r="D71" s="10" t="str">
        <f ca="1">IFERROR(__xludf.DUMMYFUNCTION("""COMPUTED_VALUE"""),"قسم المشاريع الهندسية")</f>
        <v>قسم المشاريع الهندسية</v>
      </c>
      <c r="E71" s="10" t="str">
        <f ca="1">IFERROR(__xludf.DUMMYFUNCTION("""COMPUTED_VALUE"""),"G- روضة الجود")</f>
        <v>G- روضة الجود</v>
      </c>
      <c r="F71" s="10" t="str">
        <f ca="1">IFERROR(__xludf.DUMMYFUNCTION("""COMPUTED_VALUE"""),".")</f>
        <v>.</v>
      </c>
      <c r="G71" s="10" t="str">
        <f ca="1">IFERROR(__xludf.DUMMYFUNCTION("""COMPUTED_VALUE"""),"تم جرد بناية الروضة  حيث تم تبديل عدد 3  محولة 50w لانارة منشورية (60*60) ")</f>
        <v xml:space="preserve">تم جرد بناية الروضة  حيث تم تبديل عدد 3  محولة 50w لانارة منشورية (60*60) </v>
      </c>
      <c r="H71" s="10"/>
      <c r="I71" s="12" t="s">
        <v>15</v>
      </c>
      <c r="J71" s="13" t="s">
        <v>16</v>
      </c>
      <c r="K71" s="7">
        <v>46061.326745474536</v>
      </c>
      <c r="L71" s="14"/>
      <c r="M71" s="10"/>
      <c r="N71" s="10" t="s">
        <v>23</v>
      </c>
      <c r="O71" s="7">
        <v>46068.487782777782</v>
      </c>
    </row>
    <row r="72" spans="1:15" ht="75" customHeight="1">
      <c r="A72" s="7">
        <f ca="1">IFERROR(__xludf.DUMMYFUNCTION("""COMPUTED_VALUE"""),46061.3243828356)</f>
        <v>46061.324382835599</v>
      </c>
      <c r="B72" s="8" t="str">
        <f ca="1">IFERROR(__xludf.DUMMYFUNCTION("""COMPUTED_VALUE"""),"المعملجي")</f>
        <v>المعملجي</v>
      </c>
      <c r="C72" s="9" t="str">
        <f ca="1">IFERROR(__xludf.DUMMYFUNCTION("""COMPUTED_VALUE"""),"وحدة الكهرباء")</f>
        <v>وحدة الكهرباء</v>
      </c>
      <c r="D72" s="10" t="str">
        <f ca="1">IFERROR(__xludf.DUMMYFUNCTION("""COMPUTED_VALUE"""),"قسم المشاريع الهندسية")</f>
        <v>قسم المشاريع الهندسية</v>
      </c>
      <c r="E72" s="10" t="str">
        <f ca="1">IFERROR(__xludf.DUMMYFUNCTION("""COMPUTED_VALUE"""),"B- روضة القمر")</f>
        <v>B- روضة القمر</v>
      </c>
      <c r="F72" s="10" t="str">
        <f ca="1">IFERROR(__xludf.DUMMYFUNCTION("""COMPUTED_VALUE"""),"السطح")</f>
        <v>السطح</v>
      </c>
      <c r="G72" s="10" t="str">
        <f ca="1">IFERROR(__xludf.DUMMYFUNCTION("""COMPUTED_VALUE"""),"تم غسل الالواح الشمسية بالكامل ")</f>
        <v xml:space="preserve">تم غسل الالواح الشمسية بالكامل </v>
      </c>
      <c r="H72" s="10"/>
      <c r="I72" s="12" t="s">
        <v>15</v>
      </c>
      <c r="J72" s="13" t="s">
        <v>16</v>
      </c>
      <c r="K72" s="7">
        <v>46061.326808773149</v>
      </c>
      <c r="L72" s="14"/>
      <c r="M72" s="10"/>
      <c r="N72" s="10" t="s">
        <v>23</v>
      </c>
      <c r="O72" s="7">
        <v>46068.487794120374</v>
      </c>
    </row>
    <row r="73" spans="1:15" ht="75" customHeight="1">
      <c r="A73" s="7">
        <f ca="1">IFERROR(__xludf.DUMMYFUNCTION("""COMPUTED_VALUE"""),46061.3249131597)</f>
        <v>46061.324913159697</v>
      </c>
      <c r="B73" s="8" t="str">
        <f ca="1">IFERROR(__xludf.DUMMYFUNCTION("""COMPUTED_VALUE"""),"المعملجي")</f>
        <v>المعملجي</v>
      </c>
      <c r="C73" s="9" t="str">
        <f ca="1">IFERROR(__xludf.DUMMYFUNCTION("""COMPUTED_VALUE"""),"وحدة الكهرباء")</f>
        <v>وحدة الكهرباء</v>
      </c>
      <c r="D73" s="10" t="str">
        <f ca="1">IFERROR(__xludf.DUMMYFUNCTION("""COMPUTED_VALUE"""),"قسم المشاريع الهندسية")</f>
        <v>قسم المشاريع الهندسية</v>
      </c>
      <c r="E73" s="10" t="str">
        <f ca="1">IFERROR(__xludf.DUMMYFUNCTION("""COMPUTED_VALUE"""),"E- ابتدائية العميد للبنات (الثالثة)")</f>
        <v>E- ابتدائية العميد للبنات (الثالثة)</v>
      </c>
      <c r="F73" s="10" t="str">
        <f ca="1">IFERROR(__xludf.DUMMYFUNCTION("""COMPUTED_VALUE"""),"محولة المدرسة")</f>
        <v>محولة المدرسة</v>
      </c>
      <c r="G73" s="10" t="str">
        <f ca="1">IFERROR(__xludf.DUMMYFUNCTION("""COMPUTED_VALUE"""),"تم استبدال نرمادة باب عدد 2")</f>
        <v>تم استبدال نرمادة باب عدد 2</v>
      </c>
      <c r="H73" s="10"/>
      <c r="I73" s="12" t="s">
        <v>15</v>
      </c>
      <c r="J73" s="13" t="s">
        <v>16</v>
      </c>
      <c r="K73" s="7">
        <v>46061.326756030088</v>
      </c>
      <c r="L73" s="14"/>
      <c r="M73" s="10"/>
      <c r="N73" s="10" t="s">
        <v>23</v>
      </c>
      <c r="O73" s="7">
        <v>46068.487805532408</v>
      </c>
    </row>
    <row r="74" spans="1:15" ht="75" customHeight="1">
      <c r="A74" s="7">
        <f ca="1">IFERROR(__xludf.DUMMYFUNCTION("""COMPUTED_VALUE"""),46061.3253812152)</f>
        <v>46061.325381215203</v>
      </c>
      <c r="B74" s="8" t="str">
        <f ca="1">IFERROR(__xludf.DUMMYFUNCTION("""COMPUTED_VALUE"""),"المعملجي")</f>
        <v>المعملجي</v>
      </c>
      <c r="C74" s="9" t="str">
        <f ca="1">IFERROR(__xludf.DUMMYFUNCTION("""COMPUTED_VALUE"""),"وحدة الكهرباء")</f>
        <v>وحدة الكهرباء</v>
      </c>
      <c r="D74" s="10" t="str">
        <f ca="1">IFERROR(__xludf.DUMMYFUNCTION("""COMPUTED_VALUE"""),"قسم المشاريع الهندسية")</f>
        <v>قسم المشاريع الهندسية</v>
      </c>
      <c r="E74" s="10" t="str">
        <f ca="1">IFERROR(__xludf.DUMMYFUNCTION("""COMPUTED_VALUE"""),"H- ابتدائية القمر للبنات (الخامسة)")</f>
        <v>H- ابتدائية القمر للبنات (الخامسة)</v>
      </c>
      <c r="F74" s="10" t="str">
        <f ca="1">IFERROR(__xludf.DUMMYFUNCTION("""COMPUTED_VALUE"""),".")</f>
        <v>.</v>
      </c>
      <c r="G74" s="10" t="str">
        <f ca="1">IFERROR(__xludf.DUMMYFUNCTION("""COMPUTED_VALUE"""),"تم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f>
        <v>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v>
      </c>
      <c r="H74" s="10"/>
      <c r="I74" s="12" t="s">
        <v>15</v>
      </c>
      <c r="J74" s="13" t="s">
        <v>16</v>
      </c>
      <c r="K74" s="7">
        <v>46061.326771307868</v>
      </c>
      <c r="L74" s="14"/>
      <c r="M74" s="10"/>
      <c r="N74" s="10" t="s">
        <v>23</v>
      </c>
      <c r="O74" s="7">
        <v>46068.487830717597</v>
      </c>
    </row>
    <row r="75" spans="1:15" ht="75" customHeight="1">
      <c r="A75" s="7">
        <f ca="1">IFERROR(__xludf.DUMMYFUNCTION("""COMPUTED_VALUE"""),46061.325990162)</f>
        <v>46061.325990161997</v>
      </c>
      <c r="B75" s="8" t="str">
        <f ca="1">IFERROR(__xludf.DUMMYFUNCTION("""COMPUTED_VALUE"""),"المعملجي")</f>
        <v>المعملجي</v>
      </c>
      <c r="C75" s="9" t="str">
        <f ca="1">IFERROR(__xludf.DUMMYFUNCTION("""COMPUTED_VALUE"""),"وحدة الكهرباء")</f>
        <v>وحدة الكهرباء</v>
      </c>
      <c r="D75" s="10" t="str">
        <f ca="1">IFERROR(__xludf.DUMMYFUNCTION("""COMPUTED_VALUE"""),"قسم المشاريع الهندسية")</f>
        <v>قسم المشاريع الهندسية</v>
      </c>
      <c r="E75" s="10" t="str">
        <f ca="1">IFERROR(__xludf.DUMMYFUNCTION("""COMPUTED_VALUE"""),"شعبة الصيانة")</f>
        <v>شعبة الصيانة</v>
      </c>
      <c r="F75" s="10" t="str">
        <f ca="1">IFERROR(__xludf.DUMMYFUNCTION("""COMPUTED_VALUE"""),"وحدة المدني")</f>
        <v>وحدة المدني</v>
      </c>
      <c r="G75" s="10" t="str">
        <f ca="1">IFERROR(__xludf.DUMMYFUNCTION("""COMPUTED_VALUE"""),"تم استبدال سبوت لايت بقدرة24W عدد 2 ")</f>
        <v xml:space="preserve">تم استبدال سبوت لايت بقدرة24W عدد 2 </v>
      </c>
      <c r="H75" s="10"/>
      <c r="I75" s="12" t="s">
        <v>15</v>
      </c>
      <c r="J75" s="13" t="s">
        <v>16</v>
      </c>
      <c r="K75" s="7">
        <v>46061.326777685186</v>
      </c>
      <c r="L75" s="14"/>
      <c r="M75" s="10"/>
      <c r="N75" s="10" t="s">
        <v>23</v>
      </c>
      <c r="O75" s="7">
        <v>46068.487841388887</v>
      </c>
    </row>
    <row r="76" spans="1:15" ht="75" customHeight="1">
      <c r="A76" s="7">
        <f ca="1">IFERROR(__xludf.DUMMYFUNCTION("""COMPUTED_VALUE"""),46061.3310076851)</f>
        <v>46061.331007685098</v>
      </c>
      <c r="B76" s="8" t="str">
        <f ca="1">IFERROR(__xludf.DUMMYFUNCTION("""COMPUTED_VALUE"""),"المعملجي")</f>
        <v>المعملجي</v>
      </c>
      <c r="C76" s="9" t="str">
        <f ca="1">IFERROR(__xludf.DUMMYFUNCTION("""COMPUTED_VALUE"""),"سجاد تربية")</f>
        <v>سجاد تربية</v>
      </c>
      <c r="D76" s="10" t="str">
        <f ca="1">IFERROR(__xludf.DUMMYFUNCTION("""COMPUTED_VALUE"""),"قسم التربية والتعليم العالي")</f>
        <v>قسم التربية والتعليم العالي</v>
      </c>
      <c r="E76" s="10" t="str">
        <f ca="1">IFERROR(__xludf.DUMMYFUNCTION("""COMPUTED_VALUE"""),"J- جامعة العميد (السابعة)")</f>
        <v>J- جامعة العميد (السابعة)</v>
      </c>
      <c r="F76" s="10" t="str">
        <f ca="1">IFERROR(__xludf.DUMMYFUNCTION("""COMPUTED_VALUE"""),"الطابق الارضي")</f>
        <v>الطابق الارضي</v>
      </c>
      <c r="G76" s="10" t="str">
        <f ca="1">IFERROR(__xludf.DUMMYFUNCTION("""COMPUTED_VALUE"""),"صيانة مصعد ")</f>
        <v xml:space="preserve">صيانة مصعد </v>
      </c>
      <c r="H76" s="10"/>
      <c r="I76" s="12" t="s">
        <v>15</v>
      </c>
      <c r="J76" s="13" t="s">
        <v>19</v>
      </c>
      <c r="K76" s="7">
        <v>46061.333744166666</v>
      </c>
      <c r="L76" s="14" t="s">
        <v>26</v>
      </c>
      <c r="M76" s="10"/>
      <c r="N76" s="10" t="s">
        <v>25</v>
      </c>
      <c r="O76" s="7">
        <v>46061.333348206019</v>
      </c>
    </row>
    <row r="77" spans="1:15" ht="75" customHeight="1">
      <c r="A77" s="7">
        <f ca="1">IFERROR(__xludf.DUMMYFUNCTION("""COMPUTED_VALUE"""),46064.4175776388)</f>
        <v>46064.4175776388</v>
      </c>
      <c r="B77" s="8" t="str">
        <f ca="1">IFERROR(__xludf.DUMMYFUNCTION("""COMPUTED_VALUE"""),"المعملجي")</f>
        <v>المعملجي</v>
      </c>
      <c r="C77" s="9" t="str">
        <f ca="1">IFERROR(__xludf.DUMMYFUNCTION("""COMPUTED_VALUE"""),"سجاد تربية")</f>
        <v>سجاد تربية</v>
      </c>
      <c r="D77" s="10" t="str">
        <f ca="1">IFERROR(__xludf.DUMMYFUNCTION("""COMPUTED_VALUE"""),"قسم التربية والتعليم العالي")</f>
        <v>قسم التربية والتعليم العالي</v>
      </c>
      <c r="E77" s="10" t="str">
        <f ca="1">IFERROR(__xludf.DUMMYFUNCTION("""COMPUTED_VALUE"""),"F-  ابتدائية جود العميد للبنات (الرابعة)")</f>
        <v>F-  ابتدائية جود العميد للبنات (الرابعة)</v>
      </c>
      <c r="F77" s="10" t="str">
        <f ca="1">IFERROR(__xludf.DUMMYFUNCTION("""COMPUTED_VALUE"""),"الطابق الارضي")</f>
        <v>الطابق الارضي</v>
      </c>
      <c r="G77" s="10" t="str">
        <f ca="1">IFERROR(__xludf.DUMMYFUNCTION("""COMPUTED_VALUE"""),"صيانة انارة ")</f>
        <v xml:space="preserve">صيانة انارة </v>
      </c>
      <c r="H77" s="10"/>
      <c r="I77" s="12" t="s">
        <v>15</v>
      </c>
      <c r="J77" s="13" t="s">
        <v>16</v>
      </c>
      <c r="K77" s="7">
        <v>46064.566022615742</v>
      </c>
      <c r="L77" s="14"/>
      <c r="M77" s="10"/>
      <c r="N77" s="10" t="s">
        <v>23</v>
      </c>
      <c r="O77" s="7">
        <v>46068.487926226851</v>
      </c>
    </row>
    <row r="78" spans="1:15" ht="75" customHeight="1">
      <c r="A78" s="7">
        <f ca="1">IFERROR(__xludf.DUMMYFUNCTION("""COMPUTED_VALUE"""),46068.3124927662)</f>
        <v>46068.312492766199</v>
      </c>
      <c r="B78" s="8" t="str">
        <f ca="1">IFERROR(__xludf.DUMMYFUNCTION("""COMPUTED_VALUE"""),"المعملجي")</f>
        <v>المعملجي</v>
      </c>
      <c r="C78" s="9" t="str">
        <f ca="1">IFERROR(__xludf.DUMMYFUNCTION("""COMPUTED_VALUE"""),"سجاد تربية")</f>
        <v>سجاد تربية</v>
      </c>
      <c r="D78" s="10" t="str">
        <f ca="1">IFERROR(__xludf.DUMMYFUNCTION("""COMPUTED_VALUE"""),"قسم التربية والتعليم العالي")</f>
        <v>قسم التربية والتعليم العالي</v>
      </c>
      <c r="E78" s="10" t="str">
        <f ca="1">IFERROR(__xludf.DUMMYFUNCTION("""COMPUTED_VALUE"""),"H- ابتدائية القمر للبنات (الخامسة)")</f>
        <v>H- ابتدائية القمر للبنات (الخامسة)</v>
      </c>
      <c r="F78" s="10" t="str">
        <f ca="1">IFERROR(__xludf.DUMMYFUNCTION("""COMPUTED_VALUE"""),"الطابق الارضي")</f>
        <v>الطابق الارضي</v>
      </c>
      <c r="G78" s="10" t="str">
        <f ca="1">IFERROR(__xludf.DUMMYFUNCTION("""COMPUTED_VALUE"""),"صيانة مصباح")</f>
        <v>صيانة مصباح</v>
      </c>
      <c r="H78" s="10"/>
      <c r="I78" s="12" t="s">
        <v>15</v>
      </c>
      <c r="J78" s="13" t="s">
        <v>29</v>
      </c>
      <c r="K78" s="7">
        <v>46068.482417453706</v>
      </c>
      <c r="L78" s="14" t="s">
        <v>30</v>
      </c>
      <c r="M78" s="10"/>
      <c r="N78" s="10" t="s">
        <v>23</v>
      </c>
      <c r="O78" s="7">
        <v>46068.488295717594</v>
      </c>
    </row>
    <row r="79" spans="1:15" ht="75" customHeight="1">
      <c r="A79" s="7">
        <f ca="1">IFERROR(__xludf.DUMMYFUNCTION("""COMPUTED_VALUE"""),46068.4727919791)</f>
        <v>46068.472791979097</v>
      </c>
      <c r="B79" s="8" t="str">
        <f ca="1">IFERROR(__xludf.DUMMYFUNCTION("""COMPUTED_VALUE"""),"المعملجي")</f>
        <v>المعملجي</v>
      </c>
      <c r="C79" s="9" t="str">
        <f ca="1">IFERROR(__xludf.DUMMYFUNCTION("""COMPUTED_VALUE"""),"وحدة الكهرباء")</f>
        <v>وحدة الكهرباء</v>
      </c>
      <c r="D79" s="10" t="str">
        <f ca="1">IFERROR(__xludf.DUMMYFUNCTION("""COMPUTED_VALUE"""),"قسم المشاريع الهندسية")</f>
        <v>قسم المشاريع الهندسية</v>
      </c>
      <c r="E79" s="10" t="str">
        <f ca="1">IFERROR(__xludf.DUMMYFUNCTION("""COMPUTED_VALUE"""),"C- ثانوية العميد بناية الاعدادية  (الاولى)")</f>
        <v>C- ثانوية العميد بناية الاعدادية  (الاولى)</v>
      </c>
      <c r="F79" s="10" t="str">
        <f ca="1">IFERROR(__xludf.DUMMYFUNCTION("""COMPUTED_VALUE"""),"الطابق الاول, جناح الادائرة ZONE A")</f>
        <v>الطابق الاول, جناح الادائرة ZONE A</v>
      </c>
      <c r="G79" s="10" t="str">
        <f ca="1">IFERROR(__xludf.DUMMYFUNCTION("""COMPUTED_VALUE"""),"استبدال بلك اسويج عاطل")</f>
        <v>استبدال بلك اسويج عاطل</v>
      </c>
      <c r="H79" s="10"/>
      <c r="I79" s="12" t="s">
        <v>15</v>
      </c>
      <c r="J79" s="13" t="s">
        <v>16</v>
      </c>
      <c r="K79" s="7">
        <v>46068.481058391204</v>
      </c>
      <c r="L79" s="14"/>
      <c r="M79" s="10"/>
      <c r="N79" s="10" t="s">
        <v>23</v>
      </c>
      <c r="O79" s="7">
        <v>46068.491275462962</v>
      </c>
    </row>
    <row r="80" spans="1:15" ht="75" customHeight="1">
      <c r="A80" s="7">
        <f ca="1">IFERROR(__xludf.DUMMYFUNCTION("""COMPUTED_VALUE"""),46068.4730068055)</f>
        <v>46068.4730068055</v>
      </c>
      <c r="B80" s="8" t="str">
        <f ca="1">IFERROR(__xludf.DUMMYFUNCTION("""COMPUTED_VALUE"""),"المعملجي")</f>
        <v>المعملجي</v>
      </c>
      <c r="C80" s="9" t="str">
        <f ca="1">IFERROR(__xludf.DUMMYFUNCTION("""COMPUTED_VALUE"""),"سجاد تربية")</f>
        <v>سجاد تربية</v>
      </c>
      <c r="D80" s="10" t="str">
        <f ca="1">IFERROR(__xludf.DUMMYFUNCTION("""COMPUTED_VALUE"""),"قسم التربية والتعليم العالي")</f>
        <v>قسم التربية والتعليم العالي</v>
      </c>
      <c r="E80" s="10" t="str">
        <f ca="1">IFERROR(__xludf.DUMMYFUNCTION("""COMPUTED_VALUE"""),"B- روضة القمر")</f>
        <v>B- روضة القمر</v>
      </c>
      <c r="F80" s="10" t="str">
        <f ca="1">IFERROR(__xludf.DUMMYFUNCTION("""COMPUTED_VALUE"""),"الطابق الارضي")</f>
        <v>الطابق الارضي</v>
      </c>
      <c r="G80" s="10" t="str">
        <f ca="1">IFERROR(__xludf.DUMMYFUNCTION("""COMPUTED_VALUE"""),"صيانة حنفية في الصحيات ")</f>
        <v xml:space="preserve">صيانة حنفية في الصحيات </v>
      </c>
      <c r="H80" s="10"/>
      <c r="I80" s="12" t="s">
        <v>15</v>
      </c>
      <c r="J80" s="13" t="s">
        <v>16</v>
      </c>
      <c r="K80" s="7">
        <v>46068.481115000002</v>
      </c>
      <c r="L80" s="14"/>
      <c r="M80" s="10"/>
      <c r="N80" s="10" t="s">
        <v>23</v>
      </c>
      <c r="O80" s="7">
        <v>46068.493883935182</v>
      </c>
    </row>
    <row r="81" spans="1:15" ht="75" customHeight="1">
      <c r="A81" s="7">
        <f ca="1">IFERROR(__xludf.DUMMYFUNCTION("""COMPUTED_VALUE"""),46068.4735528588)</f>
        <v>46068.473552858799</v>
      </c>
      <c r="B81" s="8" t="str">
        <f ca="1">IFERROR(__xludf.DUMMYFUNCTION("""COMPUTED_VALUE"""),"المعملجي")</f>
        <v>المعملجي</v>
      </c>
      <c r="C81" s="9" t="str">
        <f ca="1">IFERROR(__xludf.DUMMYFUNCTION("""COMPUTED_VALUE"""),"وحدة الكهرباء")</f>
        <v>وحدة الكهرباء</v>
      </c>
      <c r="D81" s="10" t="str">
        <f ca="1">IFERROR(__xludf.DUMMYFUNCTION("""COMPUTED_VALUE"""),"قسم المشاريع الهندسية")</f>
        <v>قسم المشاريع الهندسية</v>
      </c>
      <c r="E81" s="10" t="str">
        <f ca="1">IFERROR(__xludf.DUMMYFUNCTION("""COMPUTED_VALUE"""),"كل المجمع")</f>
        <v>كل المجمع</v>
      </c>
      <c r="F81" s="10" t="str">
        <f ca="1">IFERROR(__xludf.DUMMYFUNCTION("""COMPUTED_VALUE"""),".")</f>
        <v>.</v>
      </c>
      <c r="G81" s="10" t="str">
        <f ca="1">IFERROR(__xludf.DUMMYFUNCTION("""COMPUTED_VALUE"""),"صيانة انارات منشورية عدد 10 من خلال اعادة لحام النقاط المنقطعة فيها وكذلك اضافة محولة 50 واط لأحداهن")</f>
        <v>صيانة انارات منشورية عدد 10 من خلال اعادة لحام النقاط المنقطعة فيها وكذلك اضافة محولة 50 واط لأحداهن</v>
      </c>
      <c r="H81" s="10"/>
      <c r="I81" s="12" t="s">
        <v>15</v>
      </c>
      <c r="J81" s="13" t="s">
        <v>16</v>
      </c>
      <c r="K81" s="7">
        <v>46068.481085856482</v>
      </c>
      <c r="L81" s="14"/>
      <c r="M81" s="10"/>
      <c r="N81" s="10" t="s">
        <v>23</v>
      </c>
      <c r="O81" s="7">
        <v>46068.495305960649</v>
      </c>
    </row>
    <row r="82" spans="1:15" ht="75" customHeight="1">
      <c r="A82" s="7">
        <f ca="1">IFERROR(__xludf.DUMMYFUNCTION("""COMPUTED_VALUE"""),46068.4739584606)</f>
        <v>46068.4739584606</v>
      </c>
      <c r="B82" s="8" t="str">
        <f ca="1">IFERROR(__xludf.DUMMYFUNCTION("""COMPUTED_VALUE"""),"المعملجي")</f>
        <v>المعملجي</v>
      </c>
      <c r="C82" s="9" t="str">
        <f ca="1">IFERROR(__xludf.DUMMYFUNCTION("""COMPUTED_VALUE"""),"وحدة الكهرباء")</f>
        <v>وحدة الكهرباء</v>
      </c>
      <c r="D82" s="10" t="str">
        <f ca="1">IFERROR(__xludf.DUMMYFUNCTION("""COMPUTED_VALUE"""),"قسم المشاريع الهندسية")</f>
        <v>قسم المشاريع الهندسية</v>
      </c>
      <c r="E82" s="10" t="str">
        <f ca="1">IFERROR(__xludf.DUMMYFUNCTION("""COMPUTED_VALUE"""),"D- ثانوية العميد بناية المتوسطة  (الثانية), E- ابتدائية العميد للبنات (الثالثة), F-  ابتدائية جود العميد للبنات (الرابعة), H- ابتدائية القمر للبنات (الخامسة)")</f>
        <v>D- ثانوية العميد بناية المتوسطة  (الثانية), E- ابتدائية العميد للبنات (الثالثة), F-  ابتدائية جود العميد للبنات (الرابعة), H- ابتدائية القمر للبنات (الخامسة)</v>
      </c>
      <c r="F82" s="10" t="str">
        <f ca="1">IFERROR(__xludf.DUMMYFUNCTION("""COMPUTED_VALUE"""),"غير محدد")</f>
        <v>غير محدد</v>
      </c>
      <c r="G82" s="10" t="str">
        <f ca="1">IFERROR(__xludf.DUMMYFUNCTION("""COMPUTED_VALUE"""),"تم إعادة ربط انارة منشورية عدد9")</f>
        <v>تم إعادة ربط انارة منشورية عدد9</v>
      </c>
      <c r="H82" s="10"/>
      <c r="I82" s="12" t="s">
        <v>15</v>
      </c>
      <c r="J82" s="13" t="s">
        <v>16</v>
      </c>
      <c r="K82" s="7">
        <v>46068.481174537039</v>
      </c>
      <c r="L82" s="14"/>
      <c r="M82" s="10"/>
      <c r="N82" s="10" t="s">
        <v>23</v>
      </c>
      <c r="O82" s="7">
        <v>46068.496909537032</v>
      </c>
    </row>
    <row r="83" spans="1:15" ht="75" customHeight="1">
      <c r="A83" s="7">
        <f ca="1">IFERROR(__xludf.DUMMYFUNCTION("""COMPUTED_VALUE"""),46068.4742428703)</f>
        <v>46068.474242870303</v>
      </c>
      <c r="B83" s="8" t="str">
        <f ca="1">IFERROR(__xludf.DUMMYFUNCTION("""COMPUTED_VALUE"""),"المعملجي")</f>
        <v>المعملجي</v>
      </c>
      <c r="C83" s="9" t="str">
        <f ca="1">IFERROR(__xludf.DUMMYFUNCTION("""COMPUTED_VALUE"""),"وحدة الكهرباء")</f>
        <v>وحدة الكهرباء</v>
      </c>
      <c r="D83" s="10" t="str">
        <f ca="1">IFERROR(__xludf.DUMMYFUNCTION("""COMPUTED_VALUE"""),"قسم المشاريع الهندسية")</f>
        <v>قسم المشاريع الهندسية</v>
      </c>
      <c r="E83" s="10"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F83" s="10" t="str">
        <f ca="1">IFERROR(__xludf.DUMMYFUNCTION("""COMPUTED_VALUE"""),"الطابق الارضي, جناح الساحة ZONE B")</f>
        <v>الطابق الارضي, جناح الساحة ZONE B</v>
      </c>
      <c r="G83" s="10" t="str">
        <f ca="1">IFERROR(__xludf.DUMMYFUNCTION("""COMPUTED_VALUE"""),"لدخول إلى UPS  عن طريق التطبيق وإيقاف Alarm  وارجاع الـUPS الى وضعه الطبيعي")</f>
        <v>لدخول إلى UPS  عن طريق التطبيق وإيقاف Alarm  وارجاع الـUPS الى وضعه الطبيعي</v>
      </c>
      <c r="H83" s="10"/>
      <c r="I83" s="12" t="s">
        <v>15</v>
      </c>
      <c r="J83" s="13" t="s">
        <v>16</v>
      </c>
      <c r="K83" s="7">
        <v>46068.481155162037</v>
      </c>
      <c r="L83" s="14"/>
      <c r="M83" s="10"/>
      <c r="N83" s="10" t="s">
        <v>23</v>
      </c>
      <c r="O83" s="7">
        <v>46068.497757673613</v>
      </c>
    </row>
    <row r="84" spans="1:15" ht="75" customHeight="1">
      <c r="A84" s="7">
        <f ca="1">IFERROR(__xludf.DUMMYFUNCTION("""COMPUTED_VALUE"""),46068.4746279976)</f>
        <v>46068.474627997603</v>
      </c>
      <c r="B84" s="8" t="str">
        <f ca="1">IFERROR(__xludf.DUMMYFUNCTION("""COMPUTED_VALUE"""),"المعملجي")</f>
        <v>المعملجي</v>
      </c>
      <c r="C84" s="9" t="str">
        <f ca="1">IFERROR(__xludf.DUMMYFUNCTION("""COMPUTED_VALUE"""),"وحدة الكهرباء")</f>
        <v>وحدة الكهرباء</v>
      </c>
      <c r="D84" s="10" t="str">
        <f ca="1">IFERROR(__xludf.DUMMYFUNCTION("""COMPUTED_VALUE"""),"قسم المشاريع الهندسية")</f>
        <v>قسم المشاريع الهندسية</v>
      </c>
      <c r="E84" s="10" t="str">
        <f ca="1">IFERROR(__xludf.DUMMYFUNCTION("""COMPUTED_VALUE"""),"B- روضة القمر")</f>
        <v>B- روضة القمر</v>
      </c>
      <c r="F84" s="10" t="str">
        <f ca="1">IFERROR(__xludf.DUMMYFUNCTION("""COMPUTED_VALUE"""),"الطابق الثاني")</f>
        <v>الطابق الثاني</v>
      </c>
      <c r="G84" s="10" t="str">
        <f ca="1">IFERROR(__xludf.DUMMYFUNCTION("""COMPUTED_VALUE"""),"فحص منظومة UPS الروضة الأولى B بعد قطع الكهرباء عنهُ:-
* حيث وصلت نسبة الشحن إلى 93٪ بعد إطفاء دام 40 دقيقة وكانت الأحمال.")</f>
        <v>فحص منظومة UPS الروضة الأولى B بعد قطع الكهرباء عنهُ:-
* حيث وصلت نسبة الشحن إلى 93٪ بعد إطفاء دام 40 دقيقة وكانت الأحمال.</v>
      </c>
      <c r="H84" s="10"/>
      <c r="I84" s="12" t="s">
        <v>15</v>
      </c>
      <c r="J84" s="13" t="s">
        <v>16</v>
      </c>
      <c r="K84" s="7">
        <v>46068.48120869213</v>
      </c>
      <c r="L84" s="14"/>
      <c r="M84" s="10"/>
      <c r="N84" s="10" t="s">
        <v>23</v>
      </c>
      <c r="O84" s="7">
        <v>46068.499040254625</v>
      </c>
    </row>
    <row r="85" spans="1:15" ht="75" customHeight="1">
      <c r="A85" s="7">
        <f ca="1">IFERROR(__xludf.DUMMYFUNCTION("""COMPUTED_VALUE"""),46068.4753041666)</f>
        <v>46068.475304166597</v>
      </c>
      <c r="B85" s="8" t="str">
        <f ca="1">IFERROR(__xludf.DUMMYFUNCTION("""COMPUTED_VALUE"""),"المعملجي")</f>
        <v>المعملجي</v>
      </c>
      <c r="C85" s="9" t="str">
        <f ca="1">IFERROR(__xludf.DUMMYFUNCTION("""COMPUTED_VALUE"""),"وحدة الكهرباء")</f>
        <v>وحدة الكهرباء</v>
      </c>
      <c r="D85" s="10" t="str">
        <f ca="1">IFERROR(__xludf.DUMMYFUNCTION("""COMPUTED_VALUE"""),"قسم المشاريع الهندسية")</f>
        <v>قسم المشاريع الهندسية</v>
      </c>
      <c r="E85" s="10" t="str">
        <f ca="1">IFERROR(__xludf.DUMMYFUNCTION("""COMPUTED_VALUE"""),"كل")</f>
        <v>كل</v>
      </c>
      <c r="F85" s="10" t="str">
        <f ca="1">IFERROR(__xludf.DUMMYFUNCTION("""COMPUTED_VALUE"""),"hub room")</f>
        <v>hub room</v>
      </c>
      <c r="G85" s="10" t="str">
        <f ca="1">IFERROR(__xludf.DUMMYFUNCTION("""COMPUTED_VALUE"""),"تم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f>
        <v>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v>
      </c>
      <c r="H85" s="10"/>
      <c r="I85" s="12" t="s">
        <v>15</v>
      </c>
      <c r="J85" s="13" t="s">
        <v>16</v>
      </c>
      <c r="K85" s="7">
        <v>46068.4812321875</v>
      </c>
      <c r="L85" s="14"/>
      <c r="M85" s="10"/>
      <c r="N85" s="10" t="s">
        <v>23</v>
      </c>
      <c r="O85" s="7">
        <v>46068.501861759258</v>
      </c>
    </row>
    <row r="86" spans="1:15" ht="75" customHeight="1">
      <c r="A86" s="7">
        <f ca="1">IFERROR(__xludf.DUMMYFUNCTION("""COMPUTED_VALUE"""),46068.4759336458)</f>
        <v>46068.475933645801</v>
      </c>
      <c r="B86" s="8" t="str">
        <f ca="1">IFERROR(__xludf.DUMMYFUNCTION("""COMPUTED_VALUE"""),"المعملجي")</f>
        <v>المعملجي</v>
      </c>
      <c r="C86" s="9" t="str">
        <f ca="1">IFERROR(__xludf.DUMMYFUNCTION("""COMPUTED_VALUE"""),"وحدة الكهرباء")</f>
        <v>وحدة الكهرباء</v>
      </c>
      <c r="D86" s="10" t="str">
        <f ca="1">IFERROR(__xludf.DUMMYFUNCTION("""COMPUTED_VALUE"""),"قسم المشاريع الهندسية")</f>
        <v>قسم المشاريع الهندسية</v>
      </c>
      <c r="E86" s="10" t="str">
        <f ca="1">IFERROR(__xludf.DUMMYFUNCTION("""COMPUTED_VALUE"""),"A- المركز الثقافي")</f>
        <v>A- المركز الثقافي</v>
      </c>
      <c r="F86" s="10" t="str">
        <f ca="1">IFERROR(__xludf.DUMMYFUNCTION("""COMPUTED_VALUE"""),"الطابق الارضي, معاون رئيس القسم")</f>
        <v>الطابق الارضي, معاون رئيس القسم</v>
      </c>
      <c r="G86" s="10" t="str">
        <f ca="1">IFERROR(__xludf.DUMMYFUNCTION("""COMPUTED_VALUE"""),"تم إعادة تثبيت تري لاصق ")</f>
        <v xml:space="preserve">تم إعادة تثبيت تري لاصق </v>
      </c>
      <c r="H86" s="10"/>
      <c r="I86" s="12" t="s">
        <v>15</v>
      </c>
      <c r="J86" s="13" t="s">
        <v>16</v>
      </c>
      <c r="K86" s="7">
        <v>46068.481358124998</v>
      </c>
      <c r="L86" s="14"/>
      <c r="M86" s="10"/>
      <c r="N86" s="10" t="s">
        <v>23</v>
      </c>
      <c r="O86" s="7">
        <v>46068.501877372684</v>
      </c>
    </row>
    <row r="87" spans="1:15" ht="75" customHeight="1">
      <c r="A87" s="7">
        <f ca="1">IFERROR(__xludf.DUMMYFUNCTION("""COMPUTED_VALUE"""),46068.476526956)</f>
        <v>46068.476526956001</v>
      </c>
      <c r="B87" s="8" t="str">
        <f ca="1">IFERROR(__xludf.DUMMYFUNCTION("""COMPUTED_VALUE"""),"المعملجي")</f>
        <v>المعملجي</v>
      </c>
      <c r="C87" s="9" t="str">
        <f ca="1">IFERROR(__xludf.DUMMYFUNCTION("""COMPUTED_VALUE"""),"وحدة الكهرباء")</f>
        <v>وحدة الكهرباء</v>
      </c>
      <c r="D87" s="10" t="str">
        <f ca="1">IFERROR(__xludf.DUMMYFUNCTION("""COMPUTED_VALUE"""),"قسم المشاريع الهندسية")</f>
        <v>قسم المشاريع الهندسية</v>
      </c>
      <c r="E87" s="10" t="str">
        <f ca="1">IFERROR(__xludf.DUMMYFUNCTION("""COMPUTED_VALUE"""),"B- روضة القمر")</f>
        <v>B- روضة القمر</v>
      </c>
      <c r="F87" s="10" t="str">
        <f ca="1">IFERROR(__xludf.DUMMYFUNCTION("""COMPUTED_VALUE"""),"السطح")</f>
        <v>السطح</v>
      </c>
      <c r="G87" s="10" t="str">
        <f ca="1">IFERROR(__xludf.DUMMYFUNCTION("""COMPUTED_VALUE"""),"تم تبديل بلك سويج 13A  وتم إعادة تشغيل جوزة الخاصة في البلاكات سويج في الصف المجاور للسطح اثر اترب")</f>
        <v>تم تبديل بلك سويج 13A  وتم إعادة تشغيل جوزة الخاصة في البلاكات سويج في الصف المجاور للسطح اثر اترب</v>
      </c>
      <c r="H87" s="10"/>
      <c r="I87" s="12" t="s">
        <v>15</v>
      </c>
      <c r="J87" s="13" t="s">
        <v>16</v>
      </c>
      <c r="K87" s="7">
        <v>46068.481384687504</v>
      </c>
      <c r="L87" s="14"/>
      <c r="M87" s="10"/>
      <c r="N87" s="10" t="s">
        <v>23</v>
      </c>
      <c r="O87" s="7">
        <v>46068.505373032407</v>
      </c>
    </row>
    <row r="88" spans="1:15" ht="75" customHeight="1">
      <c r="A88" s="7">
        <f ca="1">IFERROR(__xludf.DUMMYFUNCTION("""COMPUTED_VALUE"""),46068.476965081)</f>
        <v>46068.476965080998</v>
      </c>
      <c r="B88" s="8" t="str">
        <f ca="1">IFERROR(__xludf.DUMMYFUNCTION("""COMPUTED_VALUE"""),"المعملجي")</f>
        <v>المعملجي</v>
      </c>
      <c r="C88" s="9" t="str">
        <f ca="1">IFERROR(__xludf.DUMMYFUNCTION("""COMPUTED_VALUE"""),"وحدة الكهرباء")</f>
        <v>وحدة الكهرباء</v>
      </c>
      <c r="D88" s="10" t="str">
        <f ca="1">IFERROR(__xludf.DUMMYFUNCTION("""COMPUTED_VALUE"""),"قسم المشاريع الهندسية")</f>
        <v>قسم المشاريع الهندسية</v>
      </c>
      <c r="E88" s="10" t="str">
        <f ca="1">IFERROR(__xludf.DUMMYFUNCTION("""COMPUTED_VALUE"""),"A- المركز الثقافي")</f>
        <v>A- المركز الثقافي</v>
      </c>
      <c r="F88" s="10" t="str">
        <f ca="1">IFERROR(__xludf.DUMMYFUNCTION("""COMPUTED_VALUE"""),"الطابق الارضي, مطبخ رئاسة القسم")</f>
        <v>الطابق الارضي, مطبخ رئاسة القسم</v>
      </c>
      <c r="G88" s="10" t="str">
        <f ca="1">IFERROR(__xludf.DUMMYFUNCTION("""COMPUTED_VALUE"""),"اعادة تثبيت الإنارة المنشورية 60*60 بعد صيانتها .")</f>
        <v>اعادة تثبيت الإنارة المنشورية 60*60 بعد صيانتها .</v>
      </c>
      <c r="H88" s="10"/>
      <c r="I88" s="12" t="s">
        <v>15</v>
      </c>
      <c r="J88" s="13" t="s">
        <v>16</v>
      </c>
      <c r="K88" s="7">
        <v>46068.481407789353</v>
      </c>
      <c r="L88" s="14"/>
      <c r="M88" s="10"/>
      <c r="N88" s="10" t="s">
        <v>23</v>
      </c>
      <c r="O88" s="7">
        <v>46068.50864320602</v>
      </c>
    </row>
    <row r="89" spans="1:15" ht="75" customHeight="1">
      <c r="A89" s="7">
        <f ca="1">IFERROR(__xludf.DUMMYFUNCTION("""COMPUTED_VALUE"""),46068.4775656944)</f>
        <v>46068.477565694397</v>
      </c>
      <c r="B89" s="8" t="str">
        <f ca="1">IFERROR(__xludf.DUMMYFUNCTION("""COMPUTED_VALUE"""),"المعملجي")</f>
        <v>المعملجي</v>
      </c>
      <c r="C89" s="9" t="str">
        <f ca="1">IFERROR(__xludf.DUMMYFUNCTION("""COMPUTED_VALUE"""),"وحدة الكهرباء")</f>
        <v>وحدة الكهرباء</v>
      </c>
      <c r="D89" s="10" t="str">
        <f ca="1">IFERROR(__xludf.DUMMYFUNCTION("""COMPUTED_VALUE"""),"قسم المشاريع الهندسية")</f>
        <v>قسم المشاريع الهندسية</v>
      </c>
      <c r="E89" s="10" t="str">
        <f ca="1">IFERROR(__xludf.DUMMYFUNCTION("""COMPUTED_VALUE"""),"B- روضة القمر")</f>
        <v>B- روضة القمر</v>
      </c>
      <c r="F89" s="10" t="str">
        <f ca="1">IFERROR(__xludf.DUMMYFUNCTION("""COMPUTED_VALUE"""),"الطابق الارضي")</f>
        <v>الطابق الارضي</v>
      </c>
      <c r="G89" s="10" t="str">
        <f ca="1">IFERROR(__xludf.DUMMYFUNCTION("""COMPUTED_VALUE"""),"عمل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f>
        <v>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v>
      </c>
      <c r="H89" s="10"/>
      <c r="I89" s="12" t="s">
        <v>15</v>
      </c>
      <c r="J89" s="13" t="s">
        <v>16</v>
      </c>
      <c r="K89" s="7">
        <v>46068.481436365742</v>
      </c>
      <c r="L89" s="14"/>
      <c r="M89" s="10"/>
      <c r="N89" s="10" t="s">
        <v>23</v>
      </c>
      <c r="O89" s="7">
        <v>46068.510754953706</v>
      </c>
    </row>
    <row r="90" spans="1:15" ht="75" customHeight="1">
      <c r="A90" s="7">
        <f ca="1">IFERROR(__xludf.DUMMYFUNCTION("""COMPUTED_VALUE"""),46068.4784015972)</f>
        <v>46068.478401597204</v>
      </c>
      <c r="B90" s="8" t="str">
        <f ca="1">IFERROR(__xludf.DUMMYFUNCTION("""COMPUTED_VALUE"""),"المعملجي")</f>
        <v>المعملجي</v>
      </c>
      <c r="C90" s="9" t="str">
        <f ca="1">IFERROR(__xludf.DUMMYFUNCTION("""COMPUTED_VALUE"""),"وحدة الكهرباء")</f>
        <v>وحدة الكهرباء</v>
      </c>
      <c r="D90" s="10" t="str">
        <f ca="1">IFERROR(__xludf.DUMMYFUNCTION("""COMPUTED_VALUE"""),"قسم المشاريع الهندسية")</f>
        <v>قسم المشاريع الهندسية</v>
      </c>
      <c r="E90" s="10" t="str">
        <f ca="1">IFERROR(__xludf.DUMMYFUNCTION("""COMPUTED_VALUE"""),"C- ثانوية العميد بناية الاعدادية  (الاولى)")</f>
        <v>C- ثانوية العميد بناية الاعدادية  (الاولى)</v>
      </c>
      <c r="F90" s="10" t="str">
        <f ca="1">IFERROR(__xludf.DUMMYFUNCTION("""COMPUTED_VALUE"""),"الطابق الارضي")</f>
        <v>الطابق الارضي</v>
      </c>
      <c r="G90" s="10" t="str">
        <f ca="1">IFERROR(__xludf.DUMMYFUNCTION("""COMPUTED_VALUE"""),"تجربة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f>
        <v>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v>
      </c>
      <c r="H90" s="10"/>
      <c r="I90" s="12" t="s">
        <v>15</v>
      </c>
      <c r="J90" s="13" t="s">
        <v>16</v>
      </c>
      <c r="K90" s="7">
        <v>46068.481460451389</v>
      </c>
      <c r="L90" s="14"/>
      <c r="M90" s="10"/>
      <c r="N90" s="10" t="s">
        <v>23</v>
      </c>
      <c r="O90" s="7">
        <v>46068.512670243057</v>
      </c>
    </row>
    <row r="91" spans="1:15" ht="75" customHeight="1">
      <c r="A91" s="7">
        <f ca="1">IFERROR(__xludf.DUMMYFUNCTION("""COMPUTED_VALUE"""),46068.4786907523)</f>
        <v>46068.478690752301</v>
      </c>
      <c r="B91" s="8" t="str">
        <f ca="1">IFERROR(__xludf.DUMMYFUNCTION("""COMPUTED_VALUE"""),"المعملجي")</f>
        <v>المعملجي</v>
      </c>
      <c r="C91" s="9" t="str">
        <f ca="1">IFERROR(__xludf.DUMMYFUNCTION("""COMPUTED_VALUE"""),"وحدة الكهرباء")</f>
        <v>وحدة الكهرباء</v>
      </c>
      <c r="D91" s="10" t="str">
        <f ca="1">IFERROR(__xludf.DUMMYFUNCTION("""COMPUTED_VALUE"""),"قسم المشاريع الهندسية")</f>
        <v>قسم المشاريع الهندسية</v>
      </c>
      <c r="E91" s="10"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F91" s="10" t="str">
        <f ca="1">IFERROR(__xludf.DUMMYFUNCTION("""COMPUTED_VALUE"""),"الطابق الارضي")</f>
        <v>الطابق الارضي</v>
      </c>
      <c r="G91" s="10" t="str">
        <f ca="1">IFERROR(__xludf.DUMMYFUNCTION("""COMPUTED_VALUE"""),"تم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f>
        <v>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v>
      </c>
      <c r="H91" s="10"/>
      <c r="I91" s="12" t="s">
        <v>15</v>
      </c>
      <c r="J91" s="13" t="s">
        <v>16</v>
      </c>
      <c r="K91" s="7">
        <v>46068.481739768518</v>
      </c>
      <c r="L91" s="14"/>
      <c r="M91" s="10"/>
      <c r="N91" s="10" t="s">
        <v>23</v>
      </c>
      <c r="O91" s="7">
        <v>46068.513690543987</v>
      </c>
    </row>
    <row r="92" spans="1:15" ht="75" customHeight="1">
      <c r="A92" s="7">
        <f ca="1">IFERROR(__xludf.DUMMYFUNCTION("""COMPUTED_VALUE"""),46068.4790699884)</f>
        <v>46068.479069988403</v>
      </c>
      <c r="B92" s="8" t="str">
        <f ca="1">IFERROR(__xludf.DUMMYFUNCTION("""COMPUTED_VALUE"""),"المعملجي")</f>
        <v>المعملجي</v>
      </c>
      <c r="C92" s="9" t="str">
        <f ca="1">IFERROR(__xludf.DUMMYFUNCTION("""COMPUTED_VALUE"""),"وحدة الكهرباء")</f>
        <v>وحدة الكهرباء</v>
      </c>
      <c r="D92" s="10" t="str">
        <f ca="1">IFERROR(__xludf.DUMMYFUNCTION("""COMPUTED_VALUE"""),"قسم المشاريع الهندسية")</f>
        <v>قسم المشاريع الهندسية</v>
      </c>
      <c r="E92" s="10" t="str">
        <f ca="1">IFERROR(__xludf.DUMMYFUNCTION("""COMPUTED_VALUE"""),"E- ابتدائية العميد للبنات (الثالثة)")</f>
        <v>E- ابتدائية العميد للبنات (الثالثة)</v>
      </c>
      <c r="F92" s="10" t="str">
        <f ca="1">IFERROR(__xludf.DUMMYFUNCTION("""COMPUTED_VALUE"""),"الطابق الارضي, جناح الساحة ZONE B")</f>
        <v>الطابق الارضي, جناح الساحة ZONE B</v>
      </c>
      <c r="G92" s="10" t="str">
        <f ca="1">IFERROR(__xludf.DUMMYFUNCTION("""COMPUTED_VALUE"""),"إدخال المدرسة الثالثة بالشبكة الجديدة و إعادة تعيين IP لكل شاشة و تعيين الشاشة الرئيسية والفرعية دون مشاكل")</f>
        <v>إدخال المدرسة الثالثة بالشبكة الجديدة و إعادة تعيين IP لكل شاشة و تعيين الشاشة الرئيسية والفرعية دون مشاكل</v>
      </c>
      <c r="H92" s="10"/>
      <c r="I92" s="12" t="s">
        <v>15</v>
      </c>
      <c r="J92" s="13" t="s">
        <v>16</v>
      </c>
      <c r="K92" s="7">
        <v>46068.481776759261</v>
      </c>
      <c r="L92" s="14"/>
      <c r="M92" s="10"/>
      <c r="N92" s="10" t="s">
        <v>23</v>
      </c>
      <c r="O92" s="7">
        <v>46068.516171296294</v>
      </c>
    </row>
    <row r="93" spans="1:15" ht="75" customHeight="1">
      <c r="A93" s="7">
        <f ca="1">IFERROR(__xludf.DUMMYFUNCTION("""COMPUTED_VALUE"""),46068.4807988078)</f>
        <v>46068.480798807803</v>
      </c>
      <c r="B93" s="8" t="str">
        <f ca="1">IFERROR(__xludf.DUMMYFUNCTION("""COMPUTED_VALUE"""),"المعملجي")</f>
        <v>المعملجي</v>
      </c>
      <c r="C93" s="9" t="str">
        <f ca="1">IFERROR(__xludf.DUMMYFUNCTION("""COMPUTED_VALUE"""),"وحدة الكهرباء")</f>
        <v>وحدة الكهرباء</v>
      </c>
      <c r="D93" s="10" t="str">
        <f ca="1">IFERROR(__xludf.DUMMYFUNCTION("""COMPUTED_VALUE"""),"قسم المشاريع الهندسية")</f>
        <v>قسم المشاريع الهندسية</v>
      </c>
      <c r="E93" s="10" t="str">
        <f ca="1">IFERROR(__xludf.DUMMYFUNCTION("""COMPUTED_VALUE"""),"B- روضة القمر")</f>
        <v>B- روضة القمر</v>
      </c>
      <c r="F93" s="10" t="str">
        <f ca="1">IFERROR(__xludf.DUMMYFUNCTION("""COMPUTED_VALUE"""),"الطابق الارضي")</f>
        <v>الطابق الارضي</v>
      </c>
      <c r="G93" s="10" t="str">
        <f ca="1">IFERROR(__xludf.DUMMYFUNCTION("""COMPUTED_VALUE"""),"تم تحويل انارة غرفة الكهرباء الخارجية وانارة الصحيات المقابلة للمدرسة الأولى إلى الطاقة الشمسية")</f>
        <v>تم تحويل انارة غرفة الكهرباء الخارجية وانارة الصحيات المقابلة للمدرسة الأولى إلى الطاقة الشمسية</v>
      </c>
      <c r="H93" s="10"/>
      <c r="I93" s="12" t="s">
        <v>15</v>
      </c>
      <c r="J93" s="13" t="s">
        <v>16</v>
      </c>
      <c r="K93" s="7">
        <v>46068.481819988425</v>
      </c>
      <c r="L93" s="14"/>
      <c r="M93" s="10"/>
      <c r="N93" s="10" t="s">
        <v>23</v>
      </c>
      <c r="O93" s="7">
        <v>46068.516920069444</v>
      </c>
    </row>
    <row r="94" spans="1:15" ht="75" customHeight="1">
      <c r="A94" s="7">
        <f ca="1">IFERROR(__xludf.DUMMYFUNCTION("""COMPUTED_VALUE"""),46068.4812329513)</f>
        <v>46068.481232951301</v>
      </c>
      <c r="B94" s="8" t="str">
        <f ca="1">IFERROR(__xludf.DUMMYFUNCTION("""COMPUTED_VALUE"""),"المعملجي")</f>
        <v>المعملجي</v>
      </c>
      <c r="C94" s="9" t="str">
        <f ca="1">IFERROR(__xludf.DUMMYFUNCTION("""COMPUTED_VALUE"""),"وحدة الكهرباء")</f>
        <v>وحدة الكهرباء</v>
      </c>
      <c r="D94" s="10" t="str">
        <f ca="1">IFERROR(__xludf.DUMMYFUNCTION("""COMPUTED_VALUE"""),"قسم المشاريع الهندسية")</f>
        <v>قسم المشاريع الهندسية</v>
      </c>
      <c r="E94" s="10" t="str">
        <f ca="1">IFERROR(__xludf.DUMMYFUNCTION("""COMPUTED_VALUE"""),"F-  ابتدائية جود العميد للبنات (الرابعة)")</f>
        <v>F-  ابتدائية جود العميد للبنات (الرابعة)</v>
      </c>
      <c r="F94" s="10" t="str">
        <f ca="1">IFERROR(__xludf.DUMMYFUNCTION("""COMPUTED_VALUE"""),".")</f>
        <v>.</v>
      </c>
      <c r="G94" s="10" t="str">
        <f ca="1">IFERROR(__xludf.DUMMYFUNCTION("""COMPUTED_VALUE"""),"تم استبدال محولة سبوت لايت 24W ")</f>
        <v xml:space="preserve">تم استبدال محولة سبوت لايت 24W </v>
      </c>
      <c r="H94" s="10"/>
      <c r="I94" s="12" t="s">
        <v>15</v>
      </c>
      <c r="J94" s="13" t="s">
        <v>16</v>
      </c>
      <c r="K94" s="7">
        <v>46068.481797280096</v>
      </c>
      <c r="L94" s="14"/>
      <c r="M94" s="10"/>
      <c r="N94" s="10" t="s">
        <v>23</v>
      </c>
      <c r="O94" s="7">
        <v>46068.518527812499</v>
      </c>
    </row>
    <row r="95" spans="1:15" ht="75" customHeight="1">
      <c r="A95" s="7">
        <f ca="1">IFERROR(__xludf.DUMMYFUNCTION("""COMPUTED_VALUE"""),46068.4815823958)</f>
        <v>46068.481582395798</v>
      </c>
      <c r="B95" s="8" t="str">
        <f ca="1">IFERROR(__xludf.DUMMYFUNCTION("""COMPUTED_VALUE"""),"المعملجي")</f>
        <v>المعملجي</v>
      </c>
      <c r="C95" s="9" t="str">
        <f ca="1">IFERROR(__xludf.DUMMYFUNCTION("""COMPUTED_VALUE"""),"وحدة الكهرباء")</f>
        <v>وحدة الكهرباء</v>
      </c>
      <c r="D95" s="10" t="str">
        <f ca="1">IFERROR(__xludf.DUMMYFUNCTION("""COMPUTED_VALUE"""),"قسم المشاريع الهندسية")</f>
        <v>قسم المشاريع الهندسية</v>
      </c>
      <c r="E95" s="10" t="str">
        <f ca="1">IFERROR(__xludf.DUMMYFUNCTION("""COMPUTED_VALUE"""),"B- روضة القمر, G- روضة الجود")</f>
        <v>B- روضة القمر, G- روضة الجود</v>
      </c>
      <c r="F95" s="10" t="str">
        <f ca="1">IFERROR(__xludf.DUMMYFUNCTION("""COMPUTED_VALUE"""),"الطابق الاول")</f>
        <v>الطابق الاول</v>
      </c>
      <c r="G95" s="10" t="str">
        <f ca="1">IFERROR(__xludf.DUMMYFUNCTION("""COMPUTED_VALUE"""),"دخال الروضتين بالشبكة الجديدة و إعادة تعيين IP لكل شاشة")</f>
        <v>دخال الروضتين بالشبكة الجديدة و إعادة تعيين IP لكل شاشة</v>
      </c>
      <c r="H95" s="10"/>
      <c r="I95" s="12" t="s">
        <v>15</v>
      </c>
      <c r="J95" s="13" t="s">
        <v>16</v>
      </c>
      <c r="K95" s="7">
        <v>46068.481846354167</v>
      </c>
      <c r="L95" s="14"/>
      <c r="M95" s="10"/>
      <c r="N95" s="10" t="s">
        <v>23</v>
      </c>
      <c r="O95" s="7">
        <v>46068.53851859954</v>
      </c>
    </row>
    <row r="96" spans="1:15" ht="75" customHeight="1">
      <c r="A96" s="7">
        <f ca="1">IFERROR(__xludf.DUMMYFUNCTION("""COMPUTED_VALUE"""),46068.4817912963)</f>
        <v>46068.481791296297</v>
      </c>
      <c r="B96" s="8" t="str">
        <f ca="1">IFERROR(__xludf.DUMMYFUNCTION("""COMPUTED_VALUE"""),"المعملجي")</f>
        <v>المعملجي</v>
      </c>
      <c r="C96" s="9" t="str">
        <f ca="1">IFERROR(__xludf.DUMMYFUNCTION("""COMPUTED_VALUE"""),"وحدة الكهرباء")</f>
        <v>وحدة الكهرباء</v>
      </c>
      <c r="D96" s="10" t="str">
        <f ca="1">IFERROR(__xludf.DUMMYFUNCTION("""COMPUTED_VALUE"""),"قسم المشاريع الهندسية")</f>
        <v>قسم المشاريع الهندسية</v>
      </c>
      <c r="E96" s="10" t="str">
        <f ca="1">IFERROR(__xludf.DUMMYFUNCTION("""COMPUTED_VALUE"""),"A- المركز الثقافي")</f>
        <v>A- المركز الثقافي</v>
      </c>
      <c r="F96" s="10" t="str">
        <f ca="1">IFERROR(__xludf.DUMMYFUNCTION("""COMPUTED_VALUE"""),"الطابق الاول")</f>
        <v>الطابق الاول</v>
      </c>
      <c r="G96" s="10" t="str">
        <f ca="1">IFERROR(__xludf.DUMMYFUNCTION("""COMPUTED_VALUE"""),"إدخال المركز الثقافي بالشبكة الجديدة و إعادة تعيين IP لكل شاشة و تعيين الشاشة الرئيسية والفرعية")</f>
        <v>إدخال المركز الثقافي بالشبكة الجديدة و إعادة تعيين IP لكل شاشة و تعيين الشاشة الرئيسية والفرعية</v>
      </c>
      <c r="H96" s="10"/>
      <c r="I96" s="12" t="s">
        <v>15</v>
      </c>
      <c r="J96" s="13" t="s">
        <v>16</v>
      </c>
      <c r="K96" s="7">
        <v>46068.482110185185</v>
      </c>
      <c r="L96" s="14"/>
      <c r="M96" s="10"/>
      <c r="N96" s="10" t="s">
        <v>23</v>
      </c>
      <c r="O96" s="7">
        <v>46068.54574105324</v>
      </c>
    </row>
    <row r="97" spans="1:15" ht="75" customHeight="1">
      <c r="A97" s="7">
        <f ca="1">IFERROR(__xludf.DUMMYFUNCTION("""COMPUTED_VALUE"""),46068.482748125)</f>
        <v>46068.482748125003</v>
      </c>
      <c r="B97" s="8" t="str">
        <f ca="1">IFERROR(__xludf.DUMMYFUNCTION("""COMPUTED_VALUE"""),"المعملجي")</f>
        <v>المعملجي</v>
      </c>
      <c r="C97" s="9" t="str">
        <f ca="1">IFERROR(__xludf.DUMMYFUNCTION("""COMPUTED_VALUE"""),"وحدة الكهرباء")</f>
        <v>وحدة الكهرباء</v>
      </c>
      <c r="D97" s="10" t="str">
        <f ca="1">IFERROR(__xludf.DUMMYFUNCTION("""COMPUTED_VALUE"""),"قسم المشاريع الهندسية")</f>
        <v>قسم المشاريع الهندسية</v>
      </c>
      <c r="E97" s="10" t="str">
        <f ca="1">IFERROR(__xludf.DUMMYFUNCTION("""COMPUTED_VALUE"""),"G- روضة الجود")</f>
        <v>G- روضة الجود</v>
      </c>
      <c r="F97" s="10" t="str">
        <f ca="1">IFERROR(__xludf.DUMMYFUNCTION("""COMPUTED_VALUE"""),"غرفة الكهرباء الخارجية")</f>
        <v>غرفة الكهرباء الخارجية</v>
      </c>
      <c r="G97" s="10" t="str">
        <f ca="1">IFERROR(__xludf.DUMMYFUNCTION("""COMPUTED_VALUE"""),"تم تبديل  جوزه 10A في جوزه 1A  في غرفه الكهرباء الخارجية")</f>
        <v>تم تبديل  جوزه 10A في جوزه 1A  في غرفه الكهرباء الخارجية</v>
      </c>
      <c r="H97" s="10"/>
      <c r="I97" s="12" t="s">
        <v>15</v>
      </c>
      <c r="J97" s="13" t="s">
        <v>16</v>
      </c>
      <c r="K97" s="7">
        <v>46068.481865648151</v>
      </c>
      <c r="L97" s="14"/>
      <c r="M97" s="10"/>
      <c r="N97" s="10" t="s">
        <v>23</v>
      </c>
      <c r="O97" s="7">
        <v>46068.546704664353</v>
      </c>
    </row>
    <row r="98" spans="1:15" ht="75" customHeight="1">
      <c r="A98" s="7">
        <f ca="1">IFERROR(__xludf.DUMMYFUNCTION("""COMPUTED_VALUE"""),46068.4833976736)</f>
        <v>46068.483397673597</v>
      </c>
      <c r="B98" s="8" t="str">
        <f ca="1">IFERROR(__xludf.DUMMYFUNCTION("""COMPUTED_VALUE"""),"المعملجي")</f>
        <v>المعملجي</v>
      </c>
      <c r="C98" s="9" t="str">
        <f ca="1">IFERROR(__xludf.DUMMYFUNCTION("""COMPUTED_VALUE"""),"وحدة الكهرباء")</f>
        <v>وحدة الكهرباء</v>
      </c>
      <c r="D98" s="10" t="str">
        <f ca="1">IFERROR(__xludf.DUMMYFUNCTION("""COMPUTED_VALUE"""),"قسم المشاريع الهندسية")</f>
        <v>قسم المشاريع الهندسية</v>
      </c>
      <c r="E98" s="10" t="str">
        <f ca="1">IFERROR(__xludf.DUMMYFUNCTION("""COMPUTED_VALUE"""),"A- المركز الثقافي")</f>
        <v>A- المركز الثقافي</v>
      </c>
      <c r="F98" s="10" t="str">
        <f ca="1">IFERROR(__xludf.DUMMYFUNCTION("""COMPUTED_VALUE"""),"كل الطوابق")</f>
        <v>كل الطوابق</v>
      </c>
      <c r="G98" s="10" t="str">
        <f ca="1">IFERROR(__xludf.DUMMYFUNCTION("""COMPUTED_VALUE"""),"تم جرد انارة المركز الثقافي بالكامل وتم تبديل 7محولات سبوت لايت وتم تبديل سبوت لايت عدد 2")</f>
        <v>تم جرد انارة المركز الثقافي بالكامل وتم تبديل 7محولات سبوت لايت وتم تبديل سبوت لايت عدد 2</v>
      </c>
      <c r="H98" s="10"/>
      <c r="I98" s="12" t="s">
        <v>15</v>
      </c>
      <c r="J98" s="13" t="s">
        <v>16</v>
      </c>
      <c r="K98" s="7">
        <v>46068.484559780089</v>
      </c>
      <c r="L98" s="14"/>
      <c r="M98" s="10"/>
      <c r="N98" s="10" t="s">
        <v>23</v>
      </c>
      <c r="O98" s="7">
        <v>46068.553128321757</v>
      </c>
    </row>
    <row r="99" spans="1:15" ht="75" customHeight="1">
      <c r="A99" s="7">
        <f ca="1">IFERROR(__xludf.DUMMYFUNCTION("""COMPUTED_VALUE"""),46068.4846572685)</f>
        <v>46068.484657268498</v>
      </c>
      <c r="B99" s="8" t="str">
        <f ca="1">IFERROR(__xludf.DUMMYFUNCTION("""COMPUTED_VALUE"""),"المعملجي")</f>
        <v>المعملجي</v>
      </c>
      <c r="C99" s="9" t="str">
        <f ca="1">IFERROR(__xludf.DUMMYFUNCTION("""COMPUTED_VALUE"""),"وحدة الكهرباء")</f>
        <v>وحدة الكهرباء</v>
      </c>
      <c r="D99" s="10" t="str">
        <f ca="1">IFERROR(__xludf.DUMMYFUNCTION("""COMPUTED_VALUE"""),"قسم المشاريع الهندسية")</f>
        <v>قسم المشاريع الهندسية</v>
      </c>
      <c r="E99" s="10" t="str">
        <f ca="1">IFERROR(__xludf.DUMMYFUNCTION("""COMPUTED_VALUE"""),"B- روضة القمر")</f>
        <v>B- روضة القمر</v>
      </c>
      <c r="F99" s="10" t="str">
        <f ca="1">IFERROR(__xludf.DUMMYFUNCTION("""COMPUTED_VALUE"""),"القاعة الرياضية مقابل الالعاب")</f>
        <v>القاعة الرياضية مقابل الالعاب</v>
      </c>
      <c r="G99" s="10" t="str">
        <f ca="1">IFERROR(__xludf.DUMMYFUNCTION("""COMPUTED_VALUE"""),"تبديل بلك سويچ 13A")</f>
        <v>تبديل بلك سويچ 13A</v>
      </c>
      <c r="H99" s="10"/>
      <c r="I99" s="12" t="s">
        <v>15</v>
      </c>
      <c r="J99" s="13" t="s">
        <v>16</v>
      </c>
      <c r="K99" s="7">
        <v>46068.484732048615</v>
      </c>
      <c r="L99" s="14"/>
      <c r="M99" s="10"/>
      <c r="N99" s="10" t="s">
        <v>23</v>
      </c>
      <c r="O99" s="7">
        <v>46068.566598449077</v>
      </c>
    </row>
    <row r="100" spans="1:15" ht="75" customHeight="1">
      <c r="A100" s="7">
        <f ca="1">IFERROR(__xludf.DUMMYFUNCTION("""COMPUTED_VALUE"""),46068.4860721412)</f>
        <v>46068.486072141197</v>
      </c>
      <c r="B100" s="8" t="str">
        <f ca="1">IFERROR(__xludf.DUMMYFUNCTION("""COMPUTED_VALUE"""),"المعملجي")</f>
        <v>المعملجي</v>
      </c>
      <c r="C100" s="9" t="str">
        <f ca="1">IFERROR(__xludf.DUMMYFUNCTION("""COMPUTED_VALUE"""),"وحدة الكهرباء")</f>
        <v>وحدة الكهرباء</v>
      </c>
      <c r="D100" s="10" t="str">
        <f ca="1">IFERROR(__xludf.DUMMYFUNCTION("""COMPUTED_VALUE"""),"قسم المشاريع الهندسية")</f>
        <v>قسم المشاريع الهندسية</v>
      </c>
      <c r="E100" s="10" t="str">
        <f ca="1">IFERROR(__xludf.DUMMYFUNCTION("""COMPUTED_VALUE"""),"F-  ابتدائية جود العميد للبنات (الرابعة)")</f>
        <v>F-  ابتدائية جود العميد للبنات (الرابعة)</v>
      </c>
      <c r="F100" s="10" t="str">
        <f ca="1">IFERROR(__xludf.DUMMYFUNCTION("""COMPUTED_VALUE"""),".")</f>
        <v>.</v>
      </c>
      <c r="G100" s="10" t="str">
        <f ca="1">IFERROR(__xludf.DUMMYFUNCTION("""COMPUTED_VALUE"""),"تم عزل مروحه عن اناره واستخدام فلكس (4متر) وكونكتر (2)")</f>
        <v>تم عزل مروحه عن اناره واستخدام فلكس (4متر) وكونكتر (2)</v>
      </c>
      <c r="H100" s="10"/>
      <c r="I100" s="12" t="s">
        <v>15</v>
      </c>
      <c r="J100" s="13" t="s">
        <v>16</v>
      </c>
      <c r="K100" s="7">
        <v>46068.506110358794</v>
      </c>
      <c r="L100" s="14"/>
      <c r="M100" s="10"/>
      <c r="N100" s="10" t="s">
        <v>25</v>
      </c>
      <c r="O100" s="7">
        <v>46068.486837893521</v>
      </c>
    </row>
    <row r="101" spans="1:15" ht="75" customHeight="1">
      <c r="A101" s="7">
        <f ca="1">IFERROR(__xludf.DUMMYFUNCTION("""COMPUTED_VALUE"""),46068.4893289004)</f>
        <v>46068.489328900403</v>
      </c>
      <c r="B101" s="8" t="str">
        <f ca="1">IFERROR(__xludf.DUMMYFUNCTION("""COMPUTED_VALUE"""),"المعملجي")</f>
        <v>المعملجي</v>
      </c>
      <c r="C101" s="9" t="str">
        <f ca="1">IFERROR(__xludf.DUMMYFUNCTION("""COMPUTED_VALUE"""),"وحدة الكهرباء")</f>
        <v>وحدة الكهرباء</v>
      </c>
      <c r="D101" s="10" t="str">
        <f ca="1">IFERROR(__xludf.DUMMYFUNCTION("""COMPUTED_VALUE"""),"قسم المشاريع الهندسية")</f>
        <v>قسم المشاريع الهندسية</v>
      </c>
      <c r="E101" s="10" t="str">
        <f ca="1">IFERROR(__xludf.DUMMYFUNCTION("""COMPUTED_VALUE"""),"B- روضة القمر")</f>
        <v>B- روضة القمر</v>
      </c>
      <c r="F101" s="10" t="str">
        <f ca="1">IFERROR(__xludf.DUMMYFUNCTION("""COMPUTED_VALUE"""),"القاعة مقابل الالعاب")</f>
        <v>القاعة مقابل الالعاب</v>
      </c>
      <c r="G101" s="10" t="str">
        <f ca="1">IFERROR(__xludf.DUMMYFUNCTION("""COMPUTED_VALUE"""),"تم استبدال بلك سويج 13A عدد واحد  ومد ثنين سيار ثنائي")</f>
        <v>تم استبدال بلك سويج 13A عدد واحد  ومد ثنين سيار ثنائي</v>
      </c>
      <c r="H101" s="10"/>
      <c r="I101" s="12" t="s">
        <v>15</v>
      </c>
      <c r="J101" s="13" t="s">
        <v>16</v>
      </c>
      <c r="K101" s="7">
        <v>46068.506121481478</v>
      </c>
      <c r="L101" s="14"/>
      <c r="M101" s="10"/>
      <c r="N101" s="10" t="s">
        <v>23</v>
      </c>
      <c r="O101" s="7">
        <v>46068.604700115742</v>
      </c>
    </row>
    <row r="102" spans="1:15" ht="75" customHeight="1">
      <c r="A102" s="7">
        <f ca="1">IFERROR(__xludf.DUMMYFUNCTION("""COMPUTED_VALUE"""),46068.4972867592)</f>
        <v>46068.497286759201</v>
      </c>
      <c r="B102" s="8" t="str">
        <f ca="1">IFERROR(__xludf.DUMMYFUNCTION("""COMPUTED_VALUE"""),"المعملجي")</f>
        <v>المعملجي</v>
      </c>
      <c r="C102" s="9" t="str">
        <f ca="1">IFERROR(__xludf.DUMMYFUNCTION("""COMPUTED_VALUE"""),"وحدة الكهرباء")</f>
        <v>وحدة الكهرباء</v>
      </c>
      <c r="D102" s="10" t="str">
        <f ca="1">IFERROR(__xludf.DUMMYFUNCTION("""COMPUTED_VALUE"""),"قسم المشاريع الهندسية")</f>
        <v>قسم المشاريع الهندسية</v>
      </c>
      <c r="E102" s="10" t="str">
        <f ca="1">IFERROR(__xludf.DUMMYFUNCTION("""COMPUTED_VALUE"""),"B- روضة القمر")</f>
        <v>B- روضة القمر</v>
      </c>
      <c r="F102" s="10" t="str">
        <f ca="1">IFERROR(__xludf.DUMMYFUNCTION("""COMPUTED_VALUE"""),"القاعة مقابل الالعاب ")</f>
        <v xml:space="preserve">القاعة مقابل الالعاب </v>
      </c>
      <c r="G102" s="10" t="str">
        <f ca="1">IFERROR(__xludf.DUMMYFUNCTION("""COMPUTED_VALUE"""),"تم اضافه ثنين ماشه الئ براد ")</f>
        <v xml:space="preserve">تم اضافه ثنين ماشه الئ براد </v>
      </c>
      <c r="H102" s="10"/>
      <c r="I102" s="12" t="s">
        <v>15</v>
      </c>
      <c r="J102" s="13" t="s">
        <v>16</v>
      </c>
      <c r="K102" s="7">
        <v>46068.506131145834</v>
      </c>
      <c r="L102" s="14"/>
      <c r="M102" s="10"/>
      <c r="N102" s="10" t="s">
        <v>23</v>
      </c>
      <c r="O102" s="7">
        <v>46069.354782048613</v>
      </c>
    </row>
    <row r="103" spans="1:15" ht="75" customHeight="1">
      <c r="A103" s="7">
        <f ca="1">IFERROR(__xludf.DUMMYFUNCTION("""COMPUTED_VALUE"""),46068.4978193055)</f>
        <v>46068.497819305499</v>
      </c>
      <c r="B103" s="8" t="str">
        <f ca="1">IFERROR(__xludf.DUMMYFUNCTION("""COMPUTED_VALUE"""),"المعملجي")</f>
        <v>المعملجي</v>
      </c>
      <c r="C103" s="9" t="str">
        <f ca="1">IFERROR(__xludf.DUMMYFUNCTION("""COMPUTED_VALUE"""),"وحدة الكهرباء")</f>
        <v>وحدة الكهرباء</v>
      </c>
      <c r="D103" s="10" t="str">
        <f ca="1">IFERROR(__xludf.DUMMYFUNCTION("""COMPUTED_VALUE"""),"قسم المشاريع الهندسية")</f>
        <v>قسم المشاريع الهندسية</v>
      </c>
      <c r="E103" s="10" t="str">
        <f ca="1">IFERROR(__xludf.DUMMYFUNCTION("""COMPUTED_VALUE"""),"F-  ابتدائية جود العميد للبنات (الرابعة)")</f>
        <v>F-  ابتدائية جود العميد للبنات (الرابعة)</v>
      </c>
      <c r="F103" s="10" t="str">
        <f ca="1">IFERROR(__xludf.DUMMYFUNCTION("""COMPUTED_VALUE"""),"الطابق الارضي, غرفة الكهرباء")</f>
        <v>الطابق الارضي, غرفة الكهرباء</v>
      </c>
      <c r="G103" s="10" t="str">
        <f ca="1">IFERROR(__xludf.DUMMYFUNCTION("""COMPUTED_VALUE"""),"اضافة نقطة كهرباء جديدة UPS بجانب القديمة وتمت تغذيتها منها.")</f>
        <v>اضافة نقطة كهرباء جديدة UPS بجانب القديمة وتمت تغذيتها منها.</v>
      </c>
      <c r="H103" s="10"/>
      <c r="I103" s="12" t="s">
        <v>15</v>
      </c>
      <c r="J103" s="13" t="s">
        <v>16</v>
      </c>
      <c r="K103" s="7">
        <v>46068.506167592597</v>
      </c>
      <c r="L103" s="14"/>
      <c r="M103" s="10"/>
      <c r="N103" s="10" t="s">
        <v>23</v>
      </c>
      <c r="O103" s="7">
        <v>46069.354794756946</v>
      </c>
    </row>
    <row r="104" spans="1:15" ht="75" customHeight="1">
      <c r="A104" s="7">
        <f ca="1">IFERROR(__xludf.DUMMYFUNCTION("""COMPUTED_VALUE"""),46068.4996565046)</f>
        <v>46068.499656504602</v>
      </c>
      <c r="B104" s="8" t="str">
        <f ca="1">IFERROR(__xludf.DUMMYFUNCTION("""COMPUTED_VALUE"""),"المعملجي")</f>
        <v>المعملجي</v>
      </c>
      <c r="C104" s="9" t="str">
        <f ca="1">IFERROR(__xludf.DUMMYFUNCTION("""COMPUTED_VALUE"""),"وحدة الكهرباء")</f>
        <v>وحدة الكهرباء</v>
      </c>
      <c r="D104" s="10" t="str">
        <f ca="1">IFERROR(__xludf.DUMMYFUNCTION("""COMPUTED_VALUE"""),"قسم المشاريع الهندسية")</f>
        <v>قسم المشاريع الهندسية</v>
      </c>
      <c r="E104" s="10" t="str">
        <f ca="1">IFERROR(__xludf.DUMMYFUNCTION("""COMPUTED_VALUE"""),"H- ابتدائية القمر للبنات (الخامسة)")</f>
        <v>H- ابتدائية القمر للبنات (الخامسة)</v>
      </c>
      <c r="F104" s="10" t="str">
        <f ca="1">IFERROR(__xludf.DUMMYFUNCTION("""COMPUTED_VALUE"""),"الطابق الارضي, جناح الساحة ZONE B")</f>
        <v>الطابق الارضي, جناح الساحة ZONE B</v>
      </c>
      <c r="G104" s="10" t="str">
        <f ca="1">IFERROR(__xludf.DUMMYFUNCTION("""COMPUTED_VALUE"""),"ادخال المدرسة بالشبكة الجديدة و إعادة تعيين IP لكل شاشة و تعيين الشاشة الرئيسية والفرعية")</f>
        <v>ادخال المدرسة بالشبكة الجديدة و إعادة تعيين IP لكل شاشة و تعيين الشاشة الرئيسية والفرعية</v>
      </c>
      <c r="H104" s="10"/>
      <c r="I104" s="12" t="s">
        <v>15</v>
      </c>
      <c r="J104" s="13" t="s">
        <v>16</v>
      </c>
      <c r="K104" s="7">
        <v>46068.506149733796</v>
      </c>
      <c r="L104" s="14"/>
      <c r="M104" s="10"/>
      <c r="N104" s="10" t="s">
        <v>23</v>
      </c>
      <c r="O104" s="7">
        <v>46069.353318310183</v>
      </c>
    </row>
    <row r="105" spans="1:15" ht="75" customHeight="1">
      <c r="A105" s="7">
        <f ca="1">IFERROR(__xludf.DUMMYFUNCTION("""COMPUTED_VALUE"""),46068.5000017361)</f>
        <v>46068.500001736102</v>
      </c>
      <c r="B105" s="8" t="str">
        <f ca="1">IFERROR(__xludf.DUMMYFUNCTION("""COMPUTED_VALUE"""),"المعملجي")</f>
        <v>المعملجي</v>
      </c>
      <c r="C105" s="9" t="str">
        <f ca="1">IFERROR(__xludf.DUMMYFUNCTION("""COMPUTED_VALUE"""),"وحدة الكهرباء")</f>
        <v>وحدة الكهرباء</v>
      </c>
      <c r="D105" s="10" t="str">
        <f ca="1">IFERROR(__xludf.DUMMYFUNCTION("""COMPUTED_VALUE"""),"قسم المشاريع الهندسية")</f>
        <v>قسم المشاريع الهندسية</v>
      </c>
      <c r="E105" s="10" t="str">
        <f ca="1">IFERROR(__xludf.DUMMYFUNCTION("""COMPUTED_VALUE"""),"F-  ابتدائية جود العميد للبنات (الرابعة)")</f>
        <v>F-  ابتدائية جود العميد للبنات (الرابعة)</v>
      </c>
      <c r="F105" s="10" t="str">
        <f ca="1">IFERROR(__xludf.DUMMYFUNCTION("""COMPUTED_VALUE"""),"الطابق الارضي")</f>
        <v>الطابق الارضي</v>
      </c>
      <c r="G105" s="10" t="str">
        <f ca="1">IFERROR(__xludf.DUMMYFUNCTION("""COMPUTED_VALUE"""),"سحب كيبل data من غرفة المرقاب المجاورة لغرفة الكهرباء و إعادة تسليكهُ الى غرفة الكهرباء وتثبيته في Keystone.
*النقطة لغرض ربط حاسبة وحدة التبريد*")</f>
        <v>سحب كيبل data من غرفة المرقاب المجاورة لغرفة الكهرباء و إعادة تسليكهُ الى غرفة الكهرباء وتثبيته في Keystone.
*النقطة لغرض ربط حاسبة وحدة التبريد*</v>
      </c>
      <c r="H105" s="10"/>
      <c r="I105" s="12" t="s">
        <v>15</v>
      </c>
      <c r="J105" s="13" t="s">
        <v>16</v>
      </c>
      <c r="K105" s="7">
        <v>46068.506191990746</v>
      </c>
      <c r="L105" s="14"/>
      <c r="M105" s="10"/>
      <c r="N105" s="10" t="s">
        <v>23</v>
      </c>
      <c r="O105" s="7">
        <v>46069.353337291672</v>
      </c>
    </row>
    <row r="106" spans="1:15" ht="75" customHeight="1">
      <c r="A106" s="7">
        <f ca="1">IFERROR(__xludf.DUMMYFUNCTION("""COMPUTED_VALUE"""),46068.5002764583)</f>
        <v>46068.500276458297</v>
      </c>
      <c r="B106" s="8" t="str">
        <f ca="1">IFERROR(__xludf.DUMMYFUNCTION("""COMPUTED_VALUE"""),"المعملجي")</f>
        <v>المعملجي</v>
      </c>
      <c r="C106" s="9" t="str">
        <f ca="1">IFERROR(__xludf.DUMMYFUNCTION("""COMPUTED_VALUE"""),"وحدة الكهرباء")</f>
        <v>وحدة الكهرباء</v>
      </c>
      <c r="D106" s="10" t="str">
        <f ca="1">IFERROR(__xludf.DUMMYFUNCTION("""COMPUTED_VALUE"""),"قسم المشاريع الهندسية")</f>
        <v>قسم المشاريع الهندسية</v>
      </c>
      <c r="E106" s="10" t="str">
        <f ca="1">IFERROR(__xludf.DUMMYFUNCTION("""COMPUTED_VALUE"""),"H- ابتدائية القمر للبنات (الخامسة)")</f>
        <v>H- ابتدائية القمر للبنات (الخامسة)</v>
      </c>
      <c r="F106" s="10" t="str">
        <f ca="1">IFERROR(__xludf.DUMMYFUNCTION("""COMPUTED_VALUE"""),"الطابق الارضي")</f>
        <v>الطابق الارضي</v>
      </c>
      <c r="G106" s="10" t="str">
        <f ca="1">IFERROR(__xludf.DUMMYFUNCTION("""COMPUTED_VALUE"""),"البحث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"&amp;"مغذى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عنها"&amp;".")</f>
        <v>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v>
      </c>
      <c r="H106" s="10"/>
      <c r="I106" s="12" t="s">
        <v>15</v>
      </c>
      <c r="J106" s="13" t="s">
        <v>16</v>
      </c>
      <c r="K106" s="7">
        <v>46068.506223634264</v>
      </c>
      <c r="L106" s="14"/>
      <c r="M106" s="10"/>
      <c r="N106" s="10" t="s">
        <v>23</v>
      </c>
      <c r="O106" s="7">
        <v>46069.35335362269</v>
      </c>
    </row>
    <row r="107" spans="1:15" ht="75" customHeight="1">
      <c r="A107" s="7">
        <f ca="1">IFERROR(__xludf.DUMMYFUNCTION("""COMPUTED_VALUE"""),46068.5005592361)</f>
        <v>46068.500559236098</v>
      </c>
      <c r="B107" s="8" t="str">
        <f ca="1">IFERROR(__xludf.DUMMYFUNCTION("""COMPUTED_VALUE"""),"المعملجي")</f>
        <v>المعملجي</v>
      </c>
      <c r="C107" s="9" t="str">
        <f ca="1">IFERROR(__xludf.DUMMYFUNCTION("""COMPUTED_VALUE"""),"وحدة الكهرباء")</f>
        <v>وحدة الكهرباء</v>
      </c>
      <c r="D107" s="10" t="str">
        <f ca="1">IFERROR(__xludf.DUMMYFUNCTION("""COMPUTED_VALUE"""),"قسم المشاريع الهندسية")</f>
        <v>قسم المشاريع الهندسية</v>
      </c>
      <c r="E107" s="10" t="str">
        <f ca="1">IFERROR(__xludf.DUMMYFUNCTION("""COMPUTED_VALUE"""),"F-  ابتدائية جود العميد للبنات (الرابعة)")</f>
        <v>F-  ابتدائية جود العميد للبنات (الرابعة)</v>
      </c>
      <c r="F107" s="10" t="str">
        <f ca="1">IFERROR(__xludf.DUMMYFUNCTION("""COMPUTED_VALUE"""),"الطابق الارضي")</f>
        <v>الطابق الارضي</v>
      </c>
      <c r="G107" s="10" t="str">
        <f ca="1">IFERROR(__xludf.DUMMYFUNCTION("""COMPUTED_VALUE"""),"تجهيز وحدة التبريد بحاسبة (لابتوب HP) لتشغيل اجهزة التبريد المركزي فقط .
(تم تجهيز الحاسبة من قبل قسم التربية والتعليم).")</f>
        <v>تجهيز وحدة التبريد بحاسبة (لابتوب HP) لتشغيل اجهزة التبريد المركزي فقط .
(تم تجهيز الحاسبة من قبل قسم التربية والتعليم).</v>
      </c>
      <c r="H107" s="10"/>
      <c r="I107" s="12" t="s">
        <v>15</v>
      </c>
      <c r="J107" s="13" t="s">
        <v>16</v>
      </c>
      <c r="K107" s="7">
        <v>46068.506230671293</v>
      </c>
      <c r="L107" s="14"/>
      <c r="M107" s="10"/>
      <c r="N107" s="10" t="s">
        <v>23</v>
      </c>
      <c r="O107" s="7">
        <v>46069.353369189819</v>
      </c>
    </row>
    <row r="108" spans="1:15" ht="75" customHeight="1">
      <c r="A108" s="7">
        <f ca="1">IFERROR(__xludf.DUMMYFUNCTION("""COMPUTED_VALUE"""),46068.5008950694)</f>
        <v>46068.500895069403</v>
      </c>
      <c r="B108" s="8" t="str">
        <f ca="1">IFERROR(__xludf.DUMMYFUNCTION("""COMPUTED_VALUE"""),"المعملجي")</f>
        <v>المعملجي</v>
      </c>
      <c r="C108" s="9" t="str">
        <f ca="1">IFERROR(__xludf.DUMMYFUNCTION("""COMPUTED_VALUE"""),"وحدة الكهرباء")</f>
        <v>وحدة الكهرباء</v>
      </c>
      <c r="D108" s="10" t="str">
        <f ca="1">IFERROR(__xludf.DUMMYFUNCTION("""COMPUTED_VALUE"""),"قسم المشاريع الهندسية")</f>
        <v>قسم المشاريع الهندسية</v>
      </c>
      <c r="E108" s="10" t="str">
        <f ca="1">IFERROR(__xludf.DUMMYFUNCTION("""COMPUTED_VALUE"""),"D- ثانوية العميد بناية المتوسطة  (الثانية)")</f>
        <v>D- ثانوية العميد بناية المتوسطة  (الثانية)</v>
      </c>
      <c r="F108" s="10" t="str">
        <f ca="1">IFERROR(__xludf.DUMMYFUNCTION("""COMPUTED_VALUE"""),"الطابق الارضي")</f>
        <v>الطابق الارضي</v>
      </c>
      <c r="G108" s="10" t="str">
        <f ca="1">IFERROR(__xludf.DUMMYFUNCTION("""COMPUTED_VALUE"""),"إدخال المدرسة بالشبكة الجديدة و إعادة تعيين IP لكل شاشة و تعيين الشاشة الرئيسية والفرعية")</f>
        <v>إدخال المدرسة بالشبكة الجديدة و إعادة تعيين IP لكل شاشة و تعيين الشاشة الرئيسية والفرعية</v>
      </c>
      <c r="H108" s="10"/>
      <c r="I108" s="12" t="s">
        <v>15</v>
      </c>
      <c r="J108" s="13" t="s">
        <v>16</v>
      </c>
      <c r="K108" s="7">
        <v>46068.506235891204</v>
      </c>
      <c r="L108" s="14"/>
      <c r="M108" s="10"/>
      <c r="N108" s="10" t="s">
        <v>23</v>
      </c>
      <c r="O108" s="7">
        <v>46069.353384999995</v>
      </c>
    </row>
    <row r="109" spans="1:15" ht="75" customHeight="1">
      <c r="A109" s="7">
        <f ca="1">IFERROR(__xludf.DUMMYFUNCTION("""COMPUTED_VALUE"""),46068.5014339236)</f>
        <v>46068.5014339236</v>
      </c>
      <c r="B109" s="8" t="str">
        <f ca="1">IFERROR(__xludf.DUMMYFUNCTION("""COMPUTED_VALUE"""),"المعملجي")</f>
        <v>المعملجي</v>
      </c>
      <c r="C109" s="9" t="str">
        <f ca="1">IFERROR(__xludf.DUMMYFUNCTION("""COMPUTED_VALUE"""),"وحدة الكهرباء")</f>
        <v>وحدة الكهرباء</v>
      </c>
      <c r="D109" s="10" t="str">
        <f ca="1">IFERROR(__xludf.DUMMYFUNCTION("""COMPUTED_VALUE"""),"قسم المشاريع الهندسية")</f>
        <v>قسم المشاريع الهندسية</v>
      </c>
      <c r="E109" s="10" t="str">
        <f ca="1">IFERROR(__xludf.DUMMYFUNCTION("""COMPUTED_VALUE"""),"H- ابتدائية القمر للبنات (الخامسة)")</f>
        <v>H- ابتدائية القمر للبنات (الخامسة)</v>
      </c>
      <c r="F109" s="10" t="str">
        <f ca="1">IFERROR(__xludf.DUMMYFUNCTION("""COMPUTED_VALUE"""),"الطابق الارضي")</f>
        <v>الطابق الارضي</v>
      </c>
      <c r="G109" s="10" t="str">
        <f ca="1">IFERROR(__xludf.DUMMYFUNCTION("""COMPUTED_VALUE"""),"اكمال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f>
        <v>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v>
      </c>
      <c r="H109" s="10"/>
      <c r="I109" s="12" t="s">
        <v>15</v>
      </c>
      <c r="J109" s="13" t="s">
        <v>16</v>
      </c>
      <c r="K109" s="7">
        <v>46068.50624771991</v>
      </c>
      <c r="L109" s="14"/>
      <c r="M109" s="10"/>
      <c r="N109" s="10" t="s">
        <v>23</v>
      </c>
      <c r="O109" s="7">
        <v>46069.353406006943</v>
      </c>
    </row>
    <row r="110" spans="1:15" ht="75" customHeight="1">
      <c r="A110" s="7">
        <f ca="1">IFERROR(__xludf.DUMMYFUNCTION("""COMPUTED_VALUE"""),46068.5018690856)</f>
        <v>46068.501869085601</v>
      </c>
      <c r="B110" s="8" t="str">
        <f ca="1">IFERROR(__xludf.DUMMYFUNCTION("""COMPUTED_VALUE"""),"المعملجي")</f>
        <v>المعملجي</v>
      </c>
      <c r="C110" s="9" t="str">
        <f ca="1">IFERROR(__xludf.DUMMYFUNCTION("""COMPUTED_VALUE"""),"وحدة الكهرباء")</f>
        <v>وحدة الكهرباء</v>
      </c>
      <c r="D110" s="10" t="str">
        <f ca="1">IFERROR(__xludf.DUMMYFUNCTION("""COMPUTED_VALUE"""),"قسم المشاريع الهندسية")</f>
        <v>قسم المشاريع الهندسية</v>
      </c>
      <c r="E110" s="10" t="str">
        <f ca="1">IFERROR(__xludf.DUMMYFUNCTION("""COMPUTED_VALUE"""),"A- المركز الثقافي")</f>
        <v>A- المركز الثقافي</v>
      </c>
      <c r="F110" s="10" t="str">
        <f ca="1">IFERROR(__xludf.DUMMYFUNCTION("""COMPUTED_VALUE"""),".")</f>
        <v>.</v>
      </c>
      <c r="G110" s="10" t="str">
        <f ca="1">IFERROR(__xludf.DUMMYFUNCTION("""COMPUTED_VALUE"""),"تم تنظيف سيلات المصاعد")</f>
        <v>تم تنظيف سيلات المصاعد</v>
      </c>
      <c r="H110" s="10"/>
      <c r="I110" s="12" t="s">
        <v>15</v>
      </c>
      <c r="J110" s="13" t="s">
        <v>16</v>
      </c>
      <c r="K110" s="7">
        <v>46068.506275347223</v>
      </c>
      <c r="L110" s="14"/>
      <c r="M110" s="10"/>
      <c r="N110" s="10" t="s">
        <v>23</v>
      </c>
      <c r="O110" s="7">
        <v>46069.353424143519</v>
      </c>
    </row>
    <row r="111" spans="1:15" ht="75" customHeight="1">
      <c r="A111" s="7">
        <f ca="1">IFERROR(__xludf.DUMMYFUNCTION("""COMPUTED_VALUE"""),46068.5020616319)</f>
        <v>46068.502061631902</v>
      </c>
      <c r="B111" s="8" t="str">
        <f ca="1">IFERROR(__xludf.DUMMYFUNCTION("""COMPUTED_VALUE"""),"المعملجي")</f>
        <v>المعملجي</v>
      </c>
      <c r="C111" s="9" t="str">
        <f ca="1">IFERROR(__xludf.DUMMYFUNCTION("""COMPUTED_VALUE"""),"وحدة الكهرباء")</f>
        <v>وحدة الكهرباء</v>
      </c>
      <c r="D111" s="10" t="str">
        <f ca="1">IFERROR(__xludf.DUMMYFUNCTION("""COMPUTED_VALUE"""),"قسم المشاريع الهندسية")</f>
        <v>قسم المشاريع الهندسية</v>
      </c>
      <c r="E111" s="10" t="str">
        <f ca="1">IFERROR(__xludf.DUMMYFUNCTION("""COMPUTED_VALUE"""),"B- روضة القمر")</f>
        <v>B- روضة القمر</v>
      </c>
      <c r="F111" s="10" t="str">
        <f ca="1">IFERROR(__xludf.DUMMYFUNCTION("""COMPUTED_VALUE"""),".")</f>
        <v>.</v>
      </c>
      <c r="G111" s="10" t="str">
        <f ca="1">IFERROR(__xludf.DUMMYFUNCTION("""COMPUTED_VALUE"""),"تم تنظيف سيلات المصاعد")</f>
        <v>تم تنظيف سيلات المصاعد</v>
      </c>
      <c r="H111" s="10"/>
      <c r="I111" s="12" t="s">
        <v>15</v>
      </c>
      <c r="J111" s="13" t="s">
        <v>16</v>
      </c>
      <c r="K111" s="7">
        <v>46068.5062716088</v>
      </c>
      <c r="L111" s="14"/>
      <c r="M111" s="10"/>
      <c r="N111" s="10" t="s">
        <v>23</v>
      </c>
      <c r="O111" s="7">
        <v>46069.353439525468</v>
      </c>
    </row>
    <row r="112" spans="1:15" ht="75" customHeight="1">
      <c r="A112" s="7">
        <f ca="1">IFERROR(__xludf.DUMMYFUNCTION("""COMPUTED_VALUE"""),46068.5025797801)</f>
        <v>46068.502579780099</v>
      </c>
      <c r="B112" s="8" t="str">
        <f ca="1">IFERROR(__xludf.DUMMYFUNCTION("""COMPUTED_VALUE"""),"المعملجي")</f>
        <v>المعملجي</v>
      </c>
      <c r="C112" s="9" t="str">
        <f ca="1">IFERROR(__xludf.DUMMYFUNCTION("""COMPUTED_VALUE"""),"وحدة الكهرباء")</f>
        <v>وحدة الكهرباء</v>
      </c>
      <c r="D112" s="10" t="str">
        <f ca="1">IFERROR(__xludf.DUMMYFUNCTION("""COMPUTED_VALUE"""),"قسم المشاريع الهندسية")</f>
        <v>قسم المشاريع الهندسية</v>
      </c>
      <c r="E112" s="10" t="str">
        <f ca="1">IFERROR(__xludf.DUMMYFUNCTION("""COMPUTED_VALUE"""),"G- روضة الجود")</f>
        <v>G- روضة الجود</v>
      </c>
      <c r="F112" s="10" t="str">
        <f ca="1">IFERROR(__xludf.DUMMYFUNCTION("""COMPUTED_VALUE"""),".")</f>
        <v>.</v>
      </c>
      <c r="G112" s="10" t="str">
        <f ca="1">IFERROR(__xludf.DUMMYFUNCTION("""COMPUTED_VALUE"""),"تم تنظيف سيلات المصاعد")</f>
        <v>تم تنظيف سيلات المصاعد</v>
      </c>
      <c r="H112" s="10"/>
      <c r="I112" s="12" t="s">
        <v>15</v>
      </c>
      <c r="J112" s="13" t="s">
        <v>16</v>
      </c>
      <c r="K112" s="7">
        <v>46068.506290138888</v>
      </c>
      <c r="L112" s="14"/>
      <c r="M112" s="10"/>
      <c r="N112" s="10" t="s">
        <v>23</v>
      </c>
      <c r="O112" s="7">
        <v>46069.353460914353</v>
      </c>
    </row>
    <row r="113" spans="1:15" ht="75" customHeight="1">
      <c r="A113" s="7">
        <f ca="1">IFERROR(__xludf.DUMMYFUNCTION("""COMPUTED_VALUE"""),46068.5027386342)</f>
        <v>46068.502738634197</v>
      </c>
      <c r="B113" s="8" t="str">
        <f ca="1">IFERROR(__xludf.DUMMYFUNCTION("""COMPUTED_VALUE"""),"المعملجي")</f>
        <v>المعملجي</v>
      </c>
      <c r="C113" s="9" t="str">
        <f ca="1">IFERROR(__xludf.DUMMYFUNCTION("""COMPUTED_VALUE"""),"وحدة الكهرباء")</f>
        <v>وحدة الكهرباء</v>
      </c>
      <c r="D113" s="10" t="str">
        <f ca="1">IFERROR(__xludf.DUMMYFUNCTION("""COMPUTED_VALUE"""),"قسم المشاريع الهندسية")</f>
        <v>قسم المشاريع الهندسية</v>
      </c>
      <c r="E113" s="10" t="str">
        <f ca="1">IFERROR(__xludf.DUMMYFUNCTION("""COMPUTED_VALUE"""),"C- ثانوية العميد بناية الاعدادية  (الاولى)")</f>
        <v>C- ثانوية العميد بناية الاعدادية  (الاولى)</v>
      </c>
      <c r="F113" s="10" t="str">
        <f ca="1">IFERROR(__xludf.DUMMYFUNCTION("""COMPUTED_VALUE"""),".")</f>
        <v>.</v>
      </c>
      <c r="G113" s="10" t="str">
        <f ca="1">IFERROR(__xludf.DUMMYFUNCTION("""COMPUTED_VALUE"""),"تم تنظيف سيلات المصاعد")</f>
        <v>تم تنظيف سيلات المصاعد</v>
      </c>
      <c r="H113" s="10"/>
      <c r="I113" s="12" t="s">
        <v>15</v>
      </c>
      <c r="J113" s="13" t="s">
        <v>16</v>
      </c>
      <c r="K113" s="7">
        <v>46068.506309837961</v>
      </c>
      <c r="L113" s="14"/>
      <c r="M113" s="10"/>
      <c r="N113" s="10" t="s">
        <v>23</v>
      </c>
      <c r="O113" s="7">
        <v>46069.353476145829</v>
      </c>
    </row>
    <row r="114" spans="1:15" ht="75" customHeight="1">
      <c r="A114" s="7">
        <f ca="1">IFERROR(__xludf.DUMMYFUNCTION("""COMPUTED_VALUE"""),46068.5030174537)</f>
        <v>46068.503017453702</v>
      </c>
      <c r="B114" s="8" t="str">
        <f ca="1">IFERROR(__xludf.DUMMYFUNCTION("""COMPUTED_VALUE"""),"المعملجي")</f>
        <v>المعملجي</v>
      </c>
      <c r="C114" s="9" t="str">
        <f ca="1">IFERROR(__xludf.DUMMYFUNCTION("""COMPUTED_VALUE"""),"وحدة الكهرباء")</f>
        <v>وحدة الكهرباء</v>
      </c>
      <c r="D114" s="10" t="str">
        <f ca="1">IFERROR(__xludf.DUMMYFUNCTION("""COMPUTED_VALUE"""),"قسم المشاريع الهندسية")</f>
        <v>قسم المشاريع الهندسية</v>
      </c>
      <c r="E114" s="10" t="str">
        <f ca="1">IFERROR(__xludf.DUMMYFUNCTION("""COMPUTED_VALUE"""),"D- ثانوية العميد بناية المتوسطة  (الثانية)")</f>
        <v>D- ثانوية العميد بناية المتوسطة  (الثانية)</v>
      </c>
      <c r="F114" s="10" t="str">
        <f ca="1">IFERROR(__xludf.DUMMYFUNCTION("""COMPUTED_VALUE"""),".")</f>
        <v>.</v>
      </c>
      <c r="G114" s="10" t="str">
        <f ca="1">IFERROR(__xludf.DUMMYFUNCTION("""COMPUTED_VALUE"""),"تم تنظيف سيلات المصاعد")</f>
        <v>تم تنظيف سيلات المصاعد</v>
      </c>
      <c r="H114" s="10"/>
      <c r="I114" s="12" t="s">
        <v>15</v>
      </c>
      <c r="J114" s="13" t="s">
        <v>16</v>
      </c>
      <c r="K114" s="7">
        <v>46068.506311203702</v>
      </c>
      <c r="L114" s="14"/>
      <c r="M114" s="10"/>
      <c r="N114" s="10" t="s">
        <v>23</v>
      </c>
      <c r="O114" s="7">
        <v>46069.353491412039</v>
      </c>
    </row>
    <row r="115" spans="1:15" ht="75" customHeight="1">
      <c r="A115" s="7">
        <f ca="1">IFERROR(__xludf.DUMMYFUNCTION("""COMPUTED_VALUE"""),46068.5031901851)</f>
        <v>46068.503190185103</v>
      </c>
      <c r="B115" s="8" t="str">
        <f ca="1">IFERROR(__xludf.DUMMYFUNCTION("""COMPUTED_VALUE"""),"المعملجي")</f>
        <v>المعملجي</v>
      </c>
      <c r="C115" s="9" t="str">
        <f ca="1">IFERROR(__xludf.DUMMYFUNCTION("""COMPUTED_VALUE"""),"وحدة الكهرباء")</f>
        <v>وحدة الكهرباء</v>
      </c>
      <c r="D115" s="10" t="str">
        <f ca="1">IFERROR(__xludf.DUMMYFUNCTION("""COMPUTED_VALUE"""),"قسم المشاريع الهندسية")</f>
        <v>قسم المشاريع الهندسية</v>
      </c>
      <c r="E115" s="10" t="str">
        <f ca="1">IFERROR(__xludf.DUMMYFUNCTION("""COMPUTED_VALUE"""),"E- ابتدائية العميد للبنات (الثالثة)")</f>
        <v>E- ابتدائية العميد للبنات (الثالثة)</v>
      </c>
      <c r="F115" s="10" t="str">
        <f ca="1">IFERROR(__xludf.DUMMYFUNCTION("""COMPUTED_VALUE"""),".")</f>
        <v>.</v>
      </c>
      <c r="G115" s="10" t="str">
        <f ca="1">IFERROR(__xludf.DUMMYFUNCTION("""COMPUTED_VALUE"""),"تم تنظيف سيلات المصاعد")</f>
        <v>تم تنظيف سيلات المصاعد</v>
      </c>
      <c r="H115" s="10"/>
      <c r="I115" s="12" t="s">
        <v>15</v>
      </c>
      <c r="J115" s="13" t="s">
        <v>16</v>
      </c>
      <c r="K115" s="7">
        <v>46068.506320509259</v>
      </c>
      <c r="L115" s="14"/>
      <c r="M115" s="10"/>
      <c r="N115" s="10" t="s">
        <v>23</v>
      </c>
      <c r="O115" s="7">
        <v>46069.353506435189</v>
      </c>
    </row>
    <row r="116" spans="1:15" ht="75" customHeight="1">
      <c r="A116" s="7">
        <f ca="1">IFERROR(__xludf.DUMMYFUNCTION("""COMPUTED_VALUE"""),46068.5034363078)</f>
        <v>46068.503436307801</v>
      </c>
      <c r="B116" s="8" t="str">
        <f ca="1">IFERROR(__xludf.DUMMYFUNCTION("""COMPUTED_VALUE"""),"المعملجي")</f>
        <v>المعملجي</v>
      </c>
      <c r="C116" s="9" t="str">
        <f ca="1">IFERROR(__xludf.DUMMYFUNCTION("""COMPUTED_VALUE"""),"وحدة الكهرباء")</f>
        <v>وحدة الكهرباء</v>
      </c>
      <c r="D116" s="10" t="str">
        <f ca="1">IFERROR(__xludf.DUMMYFUNCTION("""COMPUTED_VALUE"""),"قسم المشاريع الهندسية")</f>
        <v>قسم المشاريع الهندسية</v>
      </c>
      <c r="E116" s="10" t="str">
        <f ca="1">IFERROR(__xludf.DUMMYFUNCTION("""COMPUTED_VALUE"""),"F-  ابتدائية جود العميد للبنات (الرابعة)")</f>
        <v>F-  ابتدائية جود العميد للبنات (الرابعة)</v>
      </c>
      <c r="F116" s="10" t="str">
        <f ca="1">IFERROR(__xludf.DUMMYFUNCTION("""COMPUTED_VALUE"""),"الطابق الارضي")</f>
        <v>الطابق الارضي</v>
      </c>
      <c r="G116" s="10" t="str">
        <f ca="1">IFERROR(__xludf.DUMMYFUNCTION("""COMPUTED_VALUE"""),"تم تنظيف سيلات المصاعد")</f>
        <v>تم تنظيف سيلات المصاعد</v>
      </c>
      <c r="H116" s="10"/>
      <c r="I116" s="12" t="s">
        <v>15</v>
      </c>
      <c r="J116" s="13" t="s">
        <v>16</v>
      </c>
      <c r="K116" s="7">
        <v>46068.506335474536</v>
      </c>
      <c r="L116" s="14"/>
      <c r="M116" s="10"/>
      <c r="N116" s="10" t="s">
        <v>23</v>
      </c>
      <c r="O116" s="7">
        <v>46069.353522534722</v>
      </c>
    </row>
    <row r="117" spans="1:15" ht="75" customHeight="1">
      <c r="A117" s="7">
        <f ca="1">IFERROR(__xludf.DUMMYFUNCTION("""COMPUTED_VALUE"""),46068.5046968402)</f>
        <v>46068.504696840202</v>
      </c>
      <c r="B117" s="8" t="str">
        <f ca="1">IFERROR(__xludf.DUMMYFUNCTION("""COMPUTED_VALUE"""),"المعملجي")</f>
        <v>المعملجي</v>
      </c>
      <c r="C117" s="9" t="str">
        <f ca="1">IFERROR(__xludf.DUMMYFUNCTION("""COMPUTED_VALUE"""),"وحدة الكهرباء")</f>
        <v>وحدة الكهرباء</v>
      </c>
      <c r="D117" s="10" t="str">
        <f ca="1">IFERROR(__xludf.DUMMYFUNCTION("""COMPUTED_VALUE"""),"قسم المشاريع الهندسية")</f>
        <v>قسم المشاريع الهندسية</v>
      </c>
      <c r="E117" s="10" t="str">
        <f ca="1">IFERROR(__xludf.DUMMYFUNCTION("""COMPUTED_VALUE"""),"H- ابتدائية القمر للبنات (الخامسة)")</f>
        <v>H- ابتدائية القمر للبنات (الخامسة)</v>
      </c>
      <c r="F117" s="10" t="str">
        <f ca="1">IFERROR(__xludf.DUMMYFUNCTION("""COMPUTED_VALUE"""),".")</f>
        <v>.</v>
      </c>
      <c r="G117" s="10" t="str">
        <f ca="1">IFERROR(__xludf.DUMMYFUNCTION("""COMPUTED_VALUE"""),"تم تنظيف سيلات المصاعد")</f>
        <v>تم تنظيف سيلات المصاعد</v>
      </c>
      <c r="H117" s="10"/>
      <c r="I117" s="12" t="s">
        <v>15</v>
      </c>
      <c r="J117" s="13" t="s">
        <v>16</v>
      </c>
      <c r="K117" s="7">
        <v>46068.506347662042</v>
      </c>
      <c r="L117" s="14"/>
      <c r="M117" s="10"/>
      <c r="N117" s="10" t="s">
        <v>23</v>
      </c>
      <c r="O117" s="7">
        <v>46069.353540115742</v>
      </c>
    </row>
    <row r="118" spans="1:15" ht="75" customHeight="1">
      <c r="A118" s="7">
        <f ca="1">IFERROR(__xludf.DUMMYFUNCTION("""COMPUTED_VALUE"""),46068.5048932291)</f>
        <v>46068.504893229103</v>
      </c>
      <c r="B118" s="8" t="str">
        <f ca="1">IFERROR(__xludf.DUMMYFUNCTION("""COMPUTED_VALUE"""),"المعملجي")</f>
        <v>المعملجي</v>
      </c>
      <c r="C118" s="9" t="str">
        <f ca="1">IFERROR(__xludf.DUMMYFUNCTION("""COMPUTED_VALUE"""),"وحدة الكهرباء")</f>
        <v>وحدة الكهرباء</v>
      </c>
      <c r="D118" s="10" t="str">
        <f ca="1">IFERROR(__xludf.DUMMYFUNCTION("""COMPUTED_VALUE"""),"قسم المشاريع الهندسية")</f>
        <v>قسم المشاريع الهندسية</v>
      </c>
      <c r="E118" s="10" t="str">
        <f ca="1">IFERROR(__xludf.DUMMYFUNCTION("""COMPUTED_VALUE"""),"I- ابتدائية الساقي للبنين (السادسة)")</f>
        <v>I- ابتدائية الساقي للبنين (السادسة)</v>
      </c>
      <c r="F118" s="10" t="str">
        <f ca="1">IFERROR(__xludf.DUMMYFUNCTION("""COMPUTED_VALUE"""),".")</f>
        <v>.</v>
      </c>
      <c r="G118" s="10" t="str">
        <f ca="1">IFERROR(__xludf.DUMMYFUNCTION("""COMPUTED_VALUE"""),"تم تنظيف سيلات المصاعد")</f>
        <v>تم تنظيف سيلات المصاعد</v>
      </c>
      <c r="H118" s="10"/>
      <c r="I118" s="12" t="s">
        <v>15</v>
      </c>
      <c r="J118" s="13" t="s">
        <v>16</v>
      </c>
      <c r="K118" s="7">
        <v>46068.506354120371</v>
      </c>
      <c r="L118" s="14"/>
      <c r="M118" s="10"/>
      <c r="N118" s="10" t="s">
        <v>23</v>
      </c>
      <c r="O118" s="7">
        <v>46069.353568726852</v>
      </c>
    </row>
    <row r="119" spans="1:15" ht="75" customHeight="1">
      <c r="A119" s="7">
        <f ca="1">IFERROR(__xludf.DUMMYFUNCTION("""COMPUTED_VALUE"""),46068.5051379513)</f>
        <v>46068.505137951302</v>
      </c>
      <c r="B119" s="8" t="str">
        <f ca="1">IFERROR(__xludf.DUMMYFUNCTION("""COMPUTED_VALUE"""),"المعملجي")</f>
        <v>المعملجي</v>
      </c>
      <c r="C119" s="9" t="str">
        <f ca="1">IFERROR(__xludf.DUMMYFUNCTION("""COMPUTED_VALUE"""),"وحدة الكهرباء")</f>
        <v>وحدة الكهرباء</v>
      </c>
      <c r="D119" s="10" t="str">
        <f ca="1">IFERROR(__xludf.DUMMYFUNCTION("""COMPUTED_VALUE"""),"قسم المشاريع الهندسية")</f>
        <v>قسم المشاريع الهندسية</v>
      </c>
      <c r="E119" s="10" t="str">
        <f ca="1">IFERROR(__xludf.DUMMYFUNCTION("""COMPUTED_VALUE"""),"J- جامعة العميد (السابعة)")</f>
        <v>J- جامعة العميد (السابعة)</v>
      </c>
      <c r="F119" s="10" t="str">
        <f ca="1">IFERROR(__xludf.DUMMYFUNCTION("""COMPUTED_VALUE"""),".")</f>
        <v>.</v>
      </c>
      <c r="G119" s="10" t="str">
        <f ca="1">IFERROR(__xludf.DUMMYFUNCTION("""COMPUTED_VALUE"""),"تم تنظيف سيلات المصاعد")</f>
        <v>تم تنظيف سيلات المصاعد</v>
      </c>
      <c r="H119" s="10"/>
      <c r="I119" s="12" t="s">
        <v>15</v>
      </c>
      <c r="J119" s="13" t="s">
        <v>16</v>
      </c>
      <c r="K119" s="7">
        <v>46068.506367754628</v>
      </c>
      <c r="L119" s="14"/>
      <c r="M119" s="10"/>
      <c r="N119" s="10" t="s">
        <v>23</v>
      </c>
      <c r="O119" s="7">
        <v>46069.353584363431</v>
      </c>
    </row>
    <row r="120" spans="1:15" ht="75" customHeight="1">
      <c r="A120" s="7">
        <f ca="1">IFERROR(__xludf.DUMMYFUNCTION("""COMPUTED_VALUE"""),46068.5055412615)</f>
        <v>46068.505541261497</v>
      </c>
      <c r="B120" s="8" t="str">
        <f ca="1">IFERROR(__xludf.DUMMYFUNCTION("""COMPUTED_VALUE"""),"المعملجي")</f>
        <v>المعملجي</v>
      </c>
      <c r="C120" s="9" t="str">
        <f ca="1">IFERROR(__xludf.DUMMYFUNCTION("""COMPUTED_VALUE"""),"وحدة الكهرباء")</f>
        <v>وحدة الكهرباء</v>
      </c>
      <c r="D120" s="10" t="str">
        <f ca="1">IFERROR(__xludf.DUMMYFUNCTION("""COMPUTED_VALUE"""),"قسم المشاريع الهندسية")</f>
        <v>قسم المشاريع الهندسية</v>
      </c>
      <c r="E120" s="10" t="str">
        <f ca="1">IFERROR(__xludf.DUMMYFUNCTION("""COMPUTED_VALUE"""),"F-  ابتدائية جود العميد للبنات (الرابعة)")</f>
        <v>F-  ابتدائية جود العميد للبنات (الرابعة)</v>
      </c>
      <c r="F120" s="10" t="str">
        <f ca="1">IFERROR(__xludf.DUMMYFUNCTION("""COMPUTED_VALUE"""),"الطابق الارضي")</f>
        <v>الطابق الارضي</v>
      </c>
      <c r="G120" s="10" t="str">
        <f ca="1">IFERROR(__xludf.DUMMYFUNCTION("""COMPUTED_VALUE"""),"إدخال المدرسة بالشبكة الجديدة و إعادة تعيين IP لكل شاشة و تعيين الشاشة الرئيسية والفرعية")</f>
        <v>إدخال المدرسة بالشبكة الجديدة و إعادة تعيين IP لكل شاشة و تعيين الشاشة الرئيسية والفرعية</v>
      </c>
      <c r="H120" s="10"/>
      <c r="I120" s="12" t="s">
        <v>15</v>
      </c>
      <c r="J120" s="13" t="s">
        <v>16</v>
      </c>
      <c r="K120" s="7">
        <v>46068.506375613426</v>
      </c>
      <c r="L120" s="14"/>
      <c r="M120" s="10"/>
      <c r="N120" s="10" t="s">
        <v>23</v>
      </c>
      <c r="O120" s="7">
        <v>46069.353600972223</v>
      </c>
    </row>
    <row r="121" spans="1:15" ht="75" customHeight="1">
      <c r="A121" s="7">
        <f ca="1">IFERROR(__xludf.DUMMYFUNCTION("""COMPUTED_VALUE"""),46071.3827596296)</f>
        <v>46071.382759629603</v>
      </c>
      <c r="B121" s="8" t="str">
        <f ca="1">IFERROR(__xludf.DUMMYFUNCTION("""COMPUTED_VALUE"""),"المعملجي")</f>
        <v>المعملجي</v>
      </c>
      <c r="C121" s="9" t="str">
        <f ca="1">IFERROR(__xludf.DUMMYFUNCTION("""COMPUTED_VALUE"""),"سجاد تربية")</f>
        <v>سجاد تربية</v>
      </c>
      <c r="D121" s="10" t="str">
        <f ca="1">IFERROR(__xludf.DUMMYFUNCTION("""COMPUTED_VALUE"""),"قسم التربية والتعليم العالي")</f>
        <v>قسم التربية والتعليم العالي</v>
      </c>
      <c r="E121" s="10" t="str">
        <f ca="1">IFERROR(__xludf.DUMMYFUNCTION("""COMPUTED_VALUE"""),"H- ابتدائية القمر للبنات (الخامسة)")</f>
        <v>H- ابتدائية القمر للبنات (الخامسة)</v>
      </c>
      <c r="F121" s="10" t="str">
        <f ca="1">IFERROR(__xludf.DUMMYFUNCTION("""COMPUTED_VALUE"""),"الطابق الارضي")</f>
        <v>الطابق الارضي</v>
      </c>
      <c r="G121" s="10" t="str">
        <f ca="1">IFERROR(__xludf.DUMMYFUNCTION("""COMPUTED_VALUE"""),"تبديل ضوء صيانه انارة")</f>
        <v>تبديل ضوء صيانه انارة</v>
      </c>
      <c r="H121" s="10"/>
      <c r="I121" s="12" t="s">
        <v>15</v>
      </c>
      <c r="J121" s="13" t="s">
        <v>29</v>
      </c>
      <c r="K121" s="7">
        <v>46072.051717905095</v>
      </c>
      <c r="L121" s="14" t="s">
        <v>32</v>
      </c>
      <c r="M121" s="10"/>
      <c r="N121" s="10"/>
      <c r="O121" s="7"/>
    </row>
    <row r="122" spans="1:15" ht="75" customHeight="1">
      <c r="A122" s="7">
        <f ca="1">IFERROR(__xludf.DUMMYFUNCTION("""COMPUTED_VALUE"""),46072.3690681597)</f>
        <v>46072.3690681597</v>
      </c>
      <c r="B122" s="8" t="str">
        <f ca="1">IFERROR(__xludf.DUMMYFUNCTION("""COMPUTED_VALUE"""),"المعملجي")</f>
        <v>المعملجي</v>
      </c>
      <c r="C122" s="9" t="str">
        <f ca="1">IFERROR(__xludf.DUMMYFUNCTION("""COMPUTED_VALUE"""),"سجاد تربية")</f>
        <v>سجاد تربية</v>
      </c>
      <c r="D122" s="10" t="str">
        <f ca="1">IFERROR(__xludf.DUMMYFUNCTION("""COMPUTED_VALUE"""),"قسم التربية والتعليم العالي")</f>
        <v>قسم التربية والتعليم العالي</v>
      </c>
      <c r="E122" s="10" t="str">
        <f ca="1">IFERROR(__xludf.DUMMYFUNCTION("""COMPUTED_VALUE"""),"C- ثانوية العميد بناية الاعدادية  (الاولى)")</f>
        <v>C- ثانوية العميد بناية الاعدادية  (الاولى)</v>
      </c>
      <c r="F122" s="10" t="str">
        <f ca="1">IFERROR(__xludf.DUMMYFUNCTION("""COMPUTED_VALUE"""),"الطابق الارضي")</f>
        <v>الطابق الارضي</v>
      </c>
      <c r="G122" s="10" t="str">
        <f ca="1">IFERROR(__xludf.DUMMYFUNCTION("""COMPUTED_VALUE"""),"صيانة مصعد")</f>
        <v>صيانة مصعد</v>
      </c>
      <c r="H122" s="10"/>
      <c r="I122" s="12" t="s">
        <v>15</v>
      </c>
      <c r="J122" s="13" t="s">
        <v>16</v>
      </c>
      <c r="K122" s="7">
        <v>46076.319890497689</v>
      </c>
      <c r="L122" s="14"/>
      <c r="M122" s="10"/>
      <c r="N122" s="10"/>
      <c r="O122" s="7"/>
    </row>
    <row r="123" spans="1:15" ht="75" customHeight="1">
      <c r="A123" s="7">
        <f ca="1">IFERROR(__xludf.DUMMYFUNCTION("""COMPUTED_VALUE"""),46075.4142624884)</f>
        <v>46075.414262488397</v>
      </c>
      <c r="B123" s="8" t="str">
        <f ca="1">IFERROR(__xludf.DUMMYFUNCTION("""COMPUTED_VALUE"""),"المعملجي")</f>
        <v>المعملجي</v>
      </c>
      <c r="C123" s="9" t="str">
        <f ca="1">IFERROR(__xludf.DUMMYFUNCTION("""COMPUTED_VALUE"""),"سجاد تربية")</f>
        <v>سجاد تربية</v>
      </c>
      <c r="D123" s="10" t="str">
        <f ca="1">IFERROR(__xludf.DUMMYFUNCTION("""COMPUTED_VALUE"""),"قسم التربية والتعليم العالي")</f>
        <v>قسم التربية والتعليم العالي</v>
      </c>
      <c r="E123" s="10" t="str">
        <f ca="1">IFERROR(__xludf.DUMMYFUNCTION("""COMPUTED_VALUE"""),"C- ثانوية العميد بناية الاعدادية  (الاولى)")</f>
        <v>C- ثانوية العميد بناية الاعدادية  (الاولى)</v>
      </c>
      <c r="F123" s="10" t="str">
        <f ca="1">IFERROR(__xludf.DUMMYFUNCTION("""COMPUTED_VALUE"""),"الطابق الارضي")</f>
        <v>الطابق الارضي</v>
      </c>
      <c r="G123" s="10" t="str">
        <f ca="1">IFERROR(__xludf.DUMMYFUNCTION("""COMPUTED_VALUE"""),"صيانة مصعد ")</f>
        <v xml:space="preserve">صيانة مصعد </v>
      </c>
      <c r="H123" s="10"/>
      <c r="I123" s="12" t="s">
        <v>15</v>
      </c>
      <c r="J123" s="13" t="s">
        <v>16</v>
      </c>
      <c r="K123" s="7">
        <v>46075.506682407402</v>
      </c>
      <c r="L123" s="14"/>
      <c r="M123" s="10"/>
      <c r="N123" s="10"/>
      <c r="O123" s="7"/>
    </row>
    <row r="124" spans="1:15" ht="75" customHeight="1">
      <c r="A124" s="7">
        <f ca="1">IFERROR(__xludf.DUMMYFUNCTION("""COMPUTED_VALUE"""),46077.5037227893)</f>
        <v>46077.503722789297</v>
      </c>
      <c r="B124" s="8" t="str">
        <f ca="1">IFERROR(__xludf.DUMMYFUNCTION("""COMPUTED_VALUE"""),"المعملجي")</f>
        <v>المعملجي</v>
      </c>
      <c r="C124" s="9" t="str">
        <f ca="1">IFERROR(__xludf.DUMMYFUNCTION("""COMPUTED_VALUE"""),"سجاد تربية")</f>
        <v>سجاد تربية</v>
      </c>
      <c r="D124" s="10" t="str">
        <f ca="1">IFERROR(__xludf.DUMMYFUNCTION("""COMPUTED_VALUE"""),"قسم التربية والتعليم العالي")</f>
        <v>قسم التربية والتعليم العالي</v>
      </c>
      <c r="E124" s="10" t="str">
        <f ca="1">IFERROR(__xludf.DUMMYFUNCTION("""COMPUTED_VALUE"""),"F-  ابتدائية جود العميد للبنات (الرابعة)")</f>
        <v>F-  ابتدائية جود العميد للبنات (الرابعة)</v>
      </c>
      <c r="F124" s="10" t="str">
        <f ca="1">IFERROR(__xludf.DUMMYFUNCTION("""COMPUTED_VALUE"""),"الطابق الارضي")</f>
        <v>الطابق الارضي</v>
      </c>
      <c r="G124" s="10" t="str">
        <f ca="1">IFERROR(__xludf.DUMMYFUNCTION("""COMPUTED_VALUE"""),"صيانة نقطة كهرباء ")</f>
        <v xml:space="preserve">صيانة نقطة كهرباء </v>
      </c>
      <c r="H124" s="10"/>
      <c r="I124" s="12" t="s">
        <v>15</v>
      </c>
      <c r="J124" s="13" t="s">
        <v>16</v>
      </c>
      <c r="K124" s="7">
        <v>46078.416132256942</v>
      </c>
      <c r="L124" s="14"/>
      <c r="M124" s="10"/>
      <c r="N124" s="10"/>
      <c r="O124" s="7"/>
    </row>
    <row r="125" spans="1:15" ht="75" customHeight="1">
      <c r="A125" s="7">
        <f ca="1">IFERROR(__xludf.DUMMYFUNCTION("""COMPUTED_VALUE"""),46077.504280162)</f>
        <v>46077.504280162</v>
      </c>
      <c r="B125" s="8" t="str">
        <f ca="1">IFERROR(__xludf.DUMMYFUNCTION("""COMPUTED_VALUE"""),"المعملجي")</f>
        <v>المعملجي</v>
      </c>
      <c r="C125" s="9" t="str">
        <f ca="1">IFERROR(__xludf.DUMMYFUNCTION("""COMPUTED_VALUE"""),"سجاد تربية")</f>
        <v>سجاد تربية</v>
      </c>
      <c r="D125" s="10" t="str">
        <f ca="1">IFERROR(__xludf.DUMMYFUNCTION("""COMPUTED_VALUE"""),"قسم التربية والتعليم العالي")</f>
        <v>قسم التربية والتعليم العالي</v>
      </c>
      <c r="E125" s="10" t="str">
        <f ca="1">IFERROR(__xludf.DUMMYFUNCTION("""COMPUTED_VALUE"""),"B- روضة القمر")</f>
        <v>B- روضة القمر</v>
      </c>
      <c r="F125" s="10" t="str">
        <f ca="1">IFERROR(__xludf.DUMMYFUNCTION("""COMPUTED_VALUE"""),"الطابق الارضي")</f>
        <v>الطابق الارضي</v>
      </c>
      <c r="G125" s="10" t="str">
        <f ca="1">IFERROR(__xludf.DUMMYFUNCTION("""COMPUTED_VALUE"""),"صيانة مكنسة كهربائية ")</f>
        <v xml:space="preserve">صيانة مكنسة كهربائية </v>
      </c>
      <c r="H125" s="10"/>
      <c r="I125" s="12" t="s">
        <v>15</v>
      </c>
      <c r="J125" s="13" t="s">
        <v>28</v>
      </c>
      <c r="K125" s="7">
        <v>46077.535908819445</v>
      </c>
      <c r="L125" s="14" t="s">
        <v>36</v>
      </c>
      <c r="M125" s="10"/>
      <c r="N125" s="10"/>
      <c r="O125" s="7"/>
    </row>
    <row r="126" spans="1:15" ht="75" customHeight="1">
      <c r="A126" s="7">
        <f ca="1">IFERROR(__xludf.DUMMYFUNCTION("""COMPUTED_VALUE"""),46079.3739242708)</f>
        <v>46079.373924270803</v>
      </c>
      <c r="B126" s="8" t="str">
        <f ca="1">IFERROR(__xludf.DUMMYFUNCTION("""COMPUTED_VALUE"""),"المعملجي")</f>
        <v>المعملجي</v>
      </c>
      <c r="C126" s="9" t="str">
        <f ca="1">IFERROR(__xludf.DUMMYFUNCTION("""COMPUTED_VALUE"""),"سجاد تربية")</f>
        <v>سجاد تربية</v>
      </c>
      <c r="D126" s="10" t="str">
        <f ca="1">IFERROR(__xludf.DUMMYFUNCTION("""COMPUTED_VALUE"""),"قسم التربية والتعليم العالي")</f>
        <v>قسم التربية والتعليم العالي</v>
      </c>
      <c r="E126" s="10" t="str">
        <f ca="1">IFERROR(__xludf.DUMMYFUNCTION("""COMPUTED_VALUE"""),"H- ابتدائية القمر للبنات (الخامسة)")</f>
        <v>H- ابتدائية القمر للبنات (الخامسة)</v>
      </c>
      <c r="F126" s="10" t="str">
        <f ca="1">IFERROR(__xludf.DUMMYFUNCTION("""COMPUTED_VALUE"""),"الطابق الارضي")</f>
        <v>الطابق الارضي</v>
      </c>
      <c r="G126" s="10" t="str">
        <f ca="1">IFERROR(__xludf.DUMMYFUNCTION("""COMPUTED_VALUE"""),"صيانة سبورت لايت في الدرج الصاعد الى الساحة المستطيلة ")</f>
        <v xml:space="preserve">صيانة سبورت لايت في الدرج الصاعد الى الساحة المستطيلة </v>
      </c>
      <c r="H126" s="10"/>
      <c r="I126" s="12" t="s">
        <v>15</v>
      </c>
      <c r="J126" s="13" t="s">
        <v>16</v>
      </c>
      <c r="K126" s="7" t="s">
        <v>37</v>
      </c>
      <c r="L126" s="14"/>
      <c r="M126" s="10"/>
      <c r="N126" s="10"/>
      <c r="O126" s="7"/>
    </row>
    <row r="127" spans="1:15" ht="75" customHeight="1">
      <c r="A127" s="7">
        <f ca="1">IFERROR(__xludf.DUMMYFUNCTION("""COMPUTED_VALUE"""),46081.3762824652)</f>
        <v>46081.3762824652</v>
      </c>
      <c r="B127" s="8" t="str">
        <f ca="1">IFERROR(__xludf.DUMMYFUNCTION("""COMPUTED_VALUE"""),"المعملجي")</f>
        <v>المعملجي</v>
      </c>
      <c r="C127" s="9" t="str">
        <f ca="1">IFERROR(__xludf.DUMMYFUNCTION("""COMPUTED_VALUE"""),"وحدة الكهرباء")</f>
        <v>وحدة الكهرباء</v>
      </c>
      <c r="D127" s="10" t="str">
        <f ca="1">IFERROR(__xludf.DUMMYFUNCTION("""COMPUTED_VALUE"""),"قسم المشاريع الهندسية")</f>
        <v>قسم المشاريع الهندسية</v>
      </c>
      <c r="E127" s="10" t="str">
        <f ca="1">IFERROR(__xludf.DUMMYFUNCTION("""COMPUTED_VALUE"""),"A- المركز الثقافي")</f>
        <v>A- المركز الثقافي</v>
      </c>
      <c r="F127" s="10" t="str">
        <f ca="1">IFERROR(__xludf.DUMMYFUNCTION("""COMPUTED_VALUE"""),".")</f>
        <v>.</v>
      </c>
      <c r="G127" s="10" t="str">
        <f ca="1">IFERROR(__xludf.DUMMYFUNCTION("""COMPUTED_VALUE"""),"اعادة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مع"&amp;"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f>
        <v>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v>
      </c>
      <c r="H127" s="10"/>
      <c r="I127" s="12" t="s">
        <v>15</v>
      </c>
      <c r="J127" s="13" t="s">
        <v>16</v>
      </c>
      <c r="K127" s="7">
        <v>46081.379580277775</v>
      </c>
      <c r="L127" s="14"/>
      <c r="M127" s="10"/>
      <c r="N127" s="10"/>
      <c r="O127" s="7"/>
    </row>
    <row r="128" spans="1:15" ht="75" customHeight="1">
      <c r="A128" s="7">
        <f ca="1">IFERROR(__xludf.DUMMYFUNCTION("""COMPUTED_VALUE"""),46081.3768896064)</f>
        <v>46081.376889606399</v>
      </c>
      <c r="B128" s="8" t="str">
        <f ca="1">IFERROR(__xludf.DUMMYFUNCTION("""COMPUTED_VALUE"""),"المعملجي")</f>
        <v>المعملجي</v>
      </c>
      <c r="C128" s="9" t="str">
        <f ca="1">IFERROR(__xludf.DUMMYFUNCTION("""COMPUTED_VALUE"""),"وحدة الكهرباء")</f>
        <v>وحدة الكهرباء</v>
      </c>
      <c r="D128" s="10" t="str">
        <f ca="1">IFERROR(__xludf.DUMMYFUNCTION("""COMPUTED_VALUE"""),"قسم المشاريع الهندسية")</f>
        <v>قسم المشاريع الهندسية</v>
      </c>
      <c r="E128" s="10" t="str">
        <f ca="1">IFERROR(__xludf.DUMMYFUNCTION("""COMPUTED_VALUE"""),"الشارع")</f>
        <v>الشارع</v>
      </c>
      <c r="F128" s="10" t="str">
        <f ca="1">IFERROR(__xludf.DUMMYFUNCTION("""COMPUTED_VALUE"""),"مقابل الاولى C")</f>
        <v>مقابل الاولى C</v>
      </c>
      <c r="G128" s="10" t="str">
        <f ca="1">IFERROR(__xludf.DUMMYFUNCTION("""COMPUTED_VALUE"""),"إعادة تثبيت وتوجيه بلاجكتور 200w في احد الاعمدة ")</f>
        <v xml:space="preserve">إعادة تثبيت وتوجيه بلاجكتور 200w في احد الاعمدة </v>
      </c>
      <c r="H128" s="10"/>
      <c r="I128" s="12" t="s">
        <v>15</v>
      </c>
      <c r="J128" s="13" t="s">
        <v>16</v>
      </c>
      <c r="K128" s="7">
        <v>46081.379603703703</v>
      </c>
      <c r="L128" s="14"/>
      <c r="M128" s="10"/>
      <c r="N128" s="10"/>
      <c r="O128" s="7"/>
    </row>
    <row r="129" spans="1:15" ht="75" customHeight="1">
      <c r="A129" s="7">
        <f ca="1">IFERROR(__xludf.DUMMYFUNCTION("""COMPUTED_VALUE"""),46081.3785527662)</f>
        <v>46081.378552766197</v>
      </c>
      <c r="B129" s="8" t="str">
        <f ca="1">IFERROR(__xludf.DUMMYFUNCTION("""COMPUTED_VALUE"""),"المعملجي")</f>
        <v>المعملجي</v>
      </c>
      <c r="C129" s="9" t="str">
        <f ca="1">IFERROR(__xludf.DUMMYFUNCTION("""COMPUTED_VALUE"""),"وحدة الكهرباء")</f>
        <v>وحدة الكهرباء</v>
      </c>
      <c r="D129" s="10" t="str">
        <f ca="1">IFERROR(__xludf.DUMMYFUNCTION("""COMPUTED_VALUE"""),"قسم المشاريع الهندسية")</f>
        <v>قسم المشاريع الهندسية</v>
      </c>
      <c r="E129" s="10" t="str">
        <f ca="1">IFERROR(__xludf.DUMMYFUNCTION("""COMPUTED_VALUE"""),".")</f>
        <v>.</v>
      </c>
      <c r="F129" s="10" t="str">
        <f ca="1">IFERROR(__xludf.DUMMYFUNCTION("""COMPUTED_VALUE"""),"من غرفة كهرباء محطة الرفع الى الاولى")</f>
        <v>من غرفة كهرباء محطة الرفع الى الاولى</v>
      </c>
      <c r="G129" s="10" t="str">
        <f ca="1">IFERROR(__xludf.DUMMYFUNCTION("""COMPUTED_VALUE"""),"تم تسليك كيبل فلكس 2×1  بطول 120 متر")</f>
        <v>تم تسليك كيبل فلكس 2×1  بطول 120 متر</v>
      </c>
      <c r="H129" s="10"/>
      <c r="I129" s="12" t="s">
        <v>15</v>
      </c>
      <c r="J129" s="13" t="s">
        <v>16</v>
      </c>
      <c r="K129" s="7">
        <v>46081.379510208339</v>
      </c>
      <c r="L129" s="14"/>
      <c r="M129" s="10"/>
      <c r="N129" s="10"/>
      <c r="O129" s="7"/>
    </row>
    <row r="130" spans="1:15" ht="75" customHeight="1">
      <c r="A130" s="7">
        <f ca="1">IFERROR(__xludf.DUMMYFUNCTION("""COMPUTED_VALUE"""),46081.378985162)</f>
        <v>46081.378985162002</v>
      </c>
      <c r="B130" s="8" t="str">
        <f ca="1">IFERROR(__xludf.DUMMYFUNCTION("""COMPUTED_VALUE"""),"المعملجي")</f>
        <v>المعملجي</v>
      </c>
      <c r="C130" s="9" t="str">
        <f ca="1">IFERROR(__xludf.DUMMYFUNCTION("""COMPUTED_VALUE"""),"وحدة الكهرباء")</f>
        <v>وحدة الكهرباء</v>
      </c>
      <c r="D130" s="10" t="str">
        <f ca="1">IFERROR(__xludf.DUMMYFUNCTION("""COMPUTED_VALUE"""),"قسم المشاريع الهندسية")</f>
        <v>قسم المشاريع الهندسية</v>
      </c>
      <c r="E130" s="10" t="str">
        <f ca="1">IFERROR(__xludf.DUMMYFUNCTION("""COMPUTED_VALUE"""),"G- روضة الجود")</f>
        <v>G- روضة الجود</v>
      </c>
      <c r="F130" s="10" t="str">
        <f ca="1">IFERROR(__xludf.DUMMYFUNCTION("""COMPUTED_VALUE"""),"الطابق الثاني")</f>
        <v>الطابق الثاني</v>
      </c>
      <c r="G130" s="10" t="str">
        <f ca="1">IFERROR(__xludf.DUMMYFUNCTION("""COMPUTED_VALUE"""),"فحص منظومة UPS  بعد قطع الكهرباء عنهُ:-
* حيث وصلت نسبة الشحن إلى 95٪ بعد إطفاء دام 30 دقيقة ")</f>
        <v xml:space="preserve">فحص منظومة UPS  بعد قطع الكهرباء عنهُ:-
* حيث وصلت نسبة الشحن إلى 95٪ بعد إطفاء دام 30 دقيقة </v>
      </c>
      <c r="H130" s="10"/>
      <c r="I130" s="12" t="s">
        <v>15</v>
      </c>
      <c r="J130" s="13" t="s">
        <v>16</v>
      </c>
      <c r="K130" s="7">
        <v>46081.379526400458</v>
      </c>
      <c r="L130" s="14"/>
      <c r="M130" s="10"/>
      <c r="N130" s="10"/>
      <c r="O130" s="7"/>
    </row>
    <row r="131" spans="1:15" ht="75" customHeight="1">
      <c r="A131" s="7">
        <f ca="1">IFERROR(__xludf.DUMMYFUNCTION("""COMPUTED_VALUE"""),46081.3805274074)</f>
        <v>46081.380527407397</v>
      </c>
      <c r="B131" s="8" t="str">
        <f ca="1">IFERROR(__xludf.DUMMYFUNCTION("""COMPUTED_VALUE"""),"المعملجي")</f>
        <v>المعملجي</v>
      </c>
      <c r="C131" s="9" t="str">
        <f ca="1">IFERROR(__xludf.DUMMYFUNCTION("""COMPUTED_VALUE"""),"وحدة الكهرباء")</f>
        <v>وحدة الكهرباء</v>
      </c>
      <c r="D131" s="10" t="str">
        <f ca="1">IFERROR(__xludf.DUMMYFUNCTION("""COMPUTED_VALUE"""),"قسم المشاريع الهندسية")</f>
        <v>قسم المشاريع الهندسية</v>
      </c>
      <c r="E131" s="10" t="str">
        <f ca="1">IFERROR(__xludf.DUMMYFUNCTION("""COMPUTED_VALUE"""),".")</f>
        <v>.</v>
      </c>
      <c r="F131" s="10" t="str">
        <f ca="1">IFERROR(__xludf.DUMMYFUNCTION("""COMPUTED_VALUE"""),"من الاولى الى الثانية")</f>
        <v>من الاولى الى الثانية</v>
      </c>
      <c r="G131" s="10" t="str">
        <f ca="1">IFERROR(__xludf.DUMMYFUNCTION("""COMPUTED_VALUE"""),"تم تسليك كيبل فلكس 2×1 بطول 150 متر")</f>
        <v>تم تسليك كيبل فلكس 2×1 بطول 150 متر</v>
      </c>
      <c r="H131" s="10"/>
      <c r="I131" s="12" t="s">
        <v>15</v>
      </c>
      <c r="J131" s="13" t="s">
        <v>16</v>
      </c>
      <c r="K131" s="7">
        <v>46081.382259317128</v>
      </c>
      <c r="L131" s="14"/>
      <c r="M131" s="10"/>
      <c r="N131" s="10"/>
      <c r="O131" s="7"/>
    </row>
    <row r="132" spans="1:15" ht="75" customHeight="1">
      <c r="A132" s="7">
        <f ca="1">IFERROR(__xludf.DUMMYFUNCTION("""COMPUTED_VALUE"""),46081.3812021643)</f>
        <v>46081.381202164303</v>
      </c>
      <c r="B132" s="8" t="str">
        <f ca="1">IFERROR(__xludf.DUMMYFUNCTION("""COMPUTED_VALUE"""),"المعملجي")</f>
        <v>المعملجي</v>
      </c>
      <c r="C132" s="9" t="str">
        <f ca="1">IFERROR(__xludf.DUMMYFUNCTION("""COMPUTED_VALUE"""),"وحدة الكهرباء")</f>
        <v>وحدة الكهرباء</v>
      </c>
      <c r="D132" s="10" t="str">
        <f ca="1">IFERROR(__xludf.DUMMYFUNCTION("""COMPUTED_VALUE"""),"قسم المشاريع الهندسية")</f>
        <v>قسم المشاريع الهندسية</v>
      </c>
      <c r="E132" s="10" t="str">
        <f ca="1">IFERROR(__xludf.DUMMYFUNCTION("""COMPUTED_VALUE"""),".")</f>
        <v>.</v>
      </c>
      <c r="F132" s="10" t="str">
        <f ca="1">IFERROR(__xludf.DUMMYFUNCTION("""COMPUTED_VALUE"""),"من غلافة كهرباء الثانية الى الثالثة")</f>
        <v>من غلافة كهرباء الثانية الى الثالثة</v>
      </c>
      <c r="G132" s="10" t="str">
        <f ca="1">IFERROR(__xludf.DUMMYFUNCTION("""COMPUTED_VALUE"""),"تم تسليك كيبل فلكس 2×1  بطول 25 متر")</f>
        <v>تم تسليك كيبل فلكس 2×1  بطول 25 متر</v>
      </c>
      <c r="H132" s="10"/>
      <c r="I132" s="12" t="s">
        <v>15</v>
      </c>
      <c r="J132" s="13" t="s">
        <v>16</v>
      </c>
      <c r="K132" s="7">
        <v>46081.382296122683</v>
      </c>
      <c r="L132" s="14"/>
      <c r="M132" s="10"/>
      <c r="N132" s="10"/>
      <c r="O132" s="7"/>
    </row>
    <row r="133" spans="1:15" ht="75" customHeight="1">
      <c r="A133" s="7">
        <f ca="1">IFERROR(__xludf.DUMMYFUNCTION("""COMPUTED_VALUE"""),46081.3817446412)</f>
        <v>46081.381744641199</v>
      </c>
      <c r="B133" s="8" t="str">
        <f ca="1">IFERROR(__xludf.DUMMYFUNCTION("""COMPUTED_VALUE"""),"المعملجي")</f>
        <v>المعملجي</v>
      </c>
      <c r="C133" s="9" t="str">
        <f ca="1">IFERROR(__xludf.DUMMYFUNCTION("""COMPUTED_VALUE"""),"وحدة الكهرباء")</f>
        <v>وحدة الكهرباء</v>
      </c>
      <c r="D133" s="10" t="str">
        <f ca="1">IFERROR(__xludf.DUMMYFUNCTION("""COMPUTED_VALUE"""),"قسم المشاريع الهندسية")</f>
        <v>قسم المشاريع الهندسية</v>
      </c>
      <c r="E133" s="10" t="str">
        <f ca="1">IFERROR(__xludf.DUMMYFUNCTION("""COMPUTED_VALUE"""),"C- ثانوية العميد بناية الاعدادية  (الاولى)")</f>
        <v>C- ثانوية العميد بناية الاعدادية  (الاولى)</v>
      </c>
      <c r="F133" s="10" t="str">
        <f ca="1">IFERROR(__xludf.DUMMYFUNCTION("""COMPUTED_VALUE"""),"الطابق الثاني")</f>
        <v>الطابق الثاني</v>
      </c>
      <c r="G133" s="10" t="str">
        <f ca="1">IFERROR(__xludf.DUMMYFUNCTION("""COMPUTED_VALUE"""),"تزيت المصعد")</f>
        <v>تزيت المصعد</v>
      </c>
      <c r="H133" s="10"/>
      <c r="I133" s="12" t="s">
        <v>15</v>
      </c>
      <c r="J133" s="13" t="s">
        <v>16</v>
      </c>
      <c r="K133" s="7">
        <v>46081.382364143516</v>
      </c>
      <c r="L133" s="14"/>
      <c r="M133" s="10"/>
      <c r="N133" s="10"/>
      <c r="O133" s="7"/>
    </row>
    <row r="134" spans="1:15" ht="75" customHeight="1">
      <c r="A134" s="7">
        <f ca="1">IFERROR(__xludf.DUMMYFUNCTION("""COMPUTED_VALUE"""),46081.3821562268)</f>
        <v>46081.382156226799</v>
      </c>
      <c r="B134" s="8" t="str">
        <f ca="1">IFERROR(__xludf.DUMMYFUNCTION("""COMPUTED_VALUE"""),"المعملجي")</f>
        <v>المعملجي</v>
      </c>
      <c r="C134" s="9" t="str">
        <f ca="1">IFERROR(__xludf.DUMMYFUNCTION("""COMPUTED_VALUE"""),"وحدة الكهرباء")</f>
        <v>وحدة الكهرباء</v>
      </c>
      <c r="D134" s="10" t="str">
        <f ca="1">IFERROR(__xludf.DUMMYFUNCTION("""COMPUTED_VALUE"""),"قسم المشاريع الهندسية")</f>
        <v>قسم المشاريع الهندسية</v>
      </c>
      <c r="E134" s="10" t="str">
        <f ca="1">IFERROR(__xludf.DUMMYFUNCTION("""COMPUTED_VALUE"""),"E- ابتدائية العميد للبنات (الثالثة)")</f>
        <v>E- ابتدائية العميد للبنات (الثالثة)</v>
      </c>
      <c r="F134" s="10" t="str">
        <f ca="1">IFERROR(__xludf.DUMMYFUNCTION("""COMPUTED_VALUE"""),"الطابق الثاني")</f>
        <v>الطابق الثاني</v>
      </c>
      <c r="G134" s="10" t="str">
        <f ca="1">IFERROR(__xludf.DUMMYFUNCTION("""COMPUTED_VALUE"""),"تزيت المصعد")</f>
        <v>تزيت المصعد</v>
      </c>
      <c r="H134" s="10"/>
      <c r="I134" s="12" t="s">
        <v>15</v>
      </c>
      <c r="J134" s="13" t="s">
        <v>16</v>
      </c>
      <c r="K134" s="7">
        <v>46081.382377928239</v>
      </c>
      <c r="L134" s="14"/>
      <c r="M134" s="10"/>
      <c r="N134" s="10"/>
      <c r="O134" s="7"/>
    </row>
    <row r="135" spans="1:15" ht="75" customHeight="1">
      <c r="A135" s="7">
        <f ca="1">IFERROR(__xludf.DUMMYFUNCTION("""COMPUTED_VALUE"""),46081.3828263194)</f>
        <v>46081.382826319401</v>
      </c>
      <c r="B135" s="8" t="str">
        <f ca="1">IFERROR(__xludf.DUMMYFUNCTION("""COMPUTED_VALUE"""),"المعملجي")</f>
        <v>المعملجي</v>
      </c>
      <c r="C135" s="9" t="str">
        <f ca="1">IFERROR(__xludf.DUMMYFUNCTION("""COMPUTED_VALUE"""),"وحدة الكهرباء")</f>
        <v>وحدة الكهرباء</v>
      </c>
      <c r="D135" s="10" t="str">
        <f ca="1">IFERROR(__xludf.DUMMYFUNCTION("""COMPUTED_VALUE"""),"قسم المشاريع الهندسية")</f>
        <v>قسم المشاريع الهندسية</v>
      </c>
      <c r="E135" s="10" t="str">
        <f ca="1">IFERROR(__xludf.DUMMYFUNCTION("""COMPUTED_VALUE"""),"F-  ابتدائية جود العميد للبنات (الرابعة)")</f>
        <v>F-  ابتدائية جود العميد للبنات (الرابعة)</v>
      </c>
      <c r="F135" s="10" t="str">
        <f ca="1">IFERROR(__xludf.DUMMYFUNCTION("""COMPUTED_VALUE"""),"الطابق الثاني")</f>
        <v>الطابق الثاني</v>
      </c>
      <c r="G135" s="10" t="str">
        <f ca="1">IFERROR(__xludf.DUMMYFUNCTION("""COMPUTED_VALUE"""),"تزيت المصعد")</f>
        <v>تزيت المصعد</v>
      </c>
      <c r="H135" s="10"/>
      <c r="I135" s="12" t="s">
        <v>15</v>
      </c>
      <c r="J135" s="13" t="s">
        <v>16</v>
      </c>
      <c r="K135" s="7">
        <v>46081.396323553243</v>
      </c>
      <c r="L135" s="14"/>
      <c r="M135" s="10"/>
      <c r="N135" s="10"/>
      <c r="O135" s="7"/>
    </row>
    <row r="136" spans="1:15" ht="75" customHeight="1">
      <c r="A136" s="7">
        <f ca="1">IFERROR(__xludf.DUMMYFUNCTION("""COMPUTED_VALUE"""),46081.3831918402)</f>
        <v>46081.383191840199</v>
      </c>
      <c r="B136" s="8" t="str">
        <f ca="1">IFERROR(__xludf.DUMMYFUNCTION("""COMPUTED_VALUE"""),"المعملجي")</f>
        <v>المعملجي</v>
      </c>
      <c r="C136" s="9" t="str">
        <f ca="1">IFERROR(__xludf.DUMMYFUNCTION("""COMPUTED_VALUE"""),"وحدة الكهرباء")</f>
        <v>وحدة الكهرباء</v>
      </c>
      <c r="D136" s="10" t="str">
        <f ca="1">IFERROR(__xludf.DUMMYFUNCTION("""COMPUTED_VALUE"""),"قسم المشاريع الهندسية")</f>
        <v>قسم المشاريع الهندسية</v>
      </c>
      <c r="E136" s="10" t="str">
        <f ca="1">IFERROR(__xludf.DUMMYFUNCTION("""COMPUTED_VALUE"""),"A- المركز الثقافي")</f>
        <v>A- المركز الثقافي</v>
      </c>
      <c r="F136" s="10" t="str">
        <f ca="1">IFERROR(__xludf.DUMMYFUNCTION("""COMPUTED_VALUE"""),"الطابق الاول")</f>
        <v>الطابق الاول</v>
      </c>
      <c r="G136" s="10" t="str">
        <f ca="1">IFERROR(__xludf.DUMMYFUNCTION("""COMPUTED_VALUE"""),"فحص منظومة UPS المركز (F1) بعد قطع الكهرباء عنهُ:-
* حيث وصلت نسبة الشحن إلى 2٪ بعد إطفاء دام 31 دقيقة")</f>
        <v>فحص منظومة UPS المركز (F1) بعد قطع الكهرباء عنهُ:-
* حيث وصلت نسبة الشحن إلى 2٪ بعد إطفاء دام 31 دقيقة</v>
      </c>
      <c r="H136" s="10"/>
      <c r="I136" s="12" t="s">
        <v>15</v>
      </c>
      <c r="J136" s="13" t="s">
        <v>16</v>
      </c>
      <c r="K136" s="7">
        <v>46081.396354791665</v>
      </c>
      <c r="L136" s="14"/>
      <c r="M136" s="10"/>
      <c r="N136" s="10"/>
      <c r="O136" s="7"/>
    </row>
    <row r="137" spans="1:15" ht="75" customHeight="1">
      <c r="A137" s="7">
        <f ca="1">IFERROR(__xludf.DUMMYFUNCTION("""COMPUTED_VALUE"""),46081.3839102083)</f>
        <v>46081.3839102083</v>
      </c>
      <c r="B137" s="8" t="str">
        <f ca="1">IFERROR(__xludf.DUMMYFUNCTION("""COMPUTED_VALUE"""),"المعملجي")</f>
        <v>المعملجي</v>
      </c>
      <c r="C137" s="9" t="str">
        <f ca="1">IFERROR(__xludf.DUMMYFUNCTION("""COMPUTED_VALUE"""),"وحدة الكهرباء")</f>
        <v>وحدة الكهرباء</v>
      </c>
      <c r="D137" s="10" t="str">
        <f ca="1">IFERROR(__xludf.DUMMYFUNCTION("""COMPUTED_VALUE"""),"قسم المشاريع الهندسية")</f>
        <v>قسم المشاريع الهندسية</v>
      </c>
      <c r="E137" s="10" t="str">
        <f ca="1">IFERROR(__xludf.DUMMYFUNCTION("""COMPUTED_VALUE"""),"شعبة الصيانة")</f>
        <v>شعبة الصيانة</v>
      </c>
      <c r="F137" s="10" t="str">
        <f ca="1">IFERROR(__xludf.DUMMYFUNCTION("""COMPUTED_VALUE"""),"وحدة المدني")</f>
        <v>وحدة المدني</v>
      </c>
      <c r="G137" s="10" t="str">
        <f ca="1">IFERROR(__xludf.DUMMYFUNCTION("""COMPUTED_VALUE"""),"ضافة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f>
        <v>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v>
      </c>
      <c r="H137" s="10"/>
      <c r="I137" s="12" t="s">
        <v>15</v>
      </c>
      <c r="J137" s="13" t="s">
        <v>16</v>
      </c>
      <c r="K137" s="7">
        <v>46081.39636481482</v>
      </c>
      <c r="L137" s="14"/>
      <c r="M137" s="10"/>
      <c r="N137" s="10"/>
      <c r="O137" s="7"/>
    </row>
    <row r="138" spans="1:15" ht="75" customHeight="1">
      <c r="A138" s="7">
        <f ca="1">IFERROR(__xludf.DUMMYFUNCTION("""COMPUTED_VALUE"""),46081.3851086226)</f>
        <v>46081.385108622599</v>
      </c>
      <c r="B138" s="8" t="str">
        <f ca="1">IFERROR(__xludf.DUMMYFUNCTION("""COMPUTED_VALUE"""),"المعملجي")</f>
        <v>المعملجي</v>
      </c>
      <c r="C138" s="9" t="str">
        <f ca="1">IFERROR(__xludf.DUMMYFUNCTION("""COMPUTED_VALUE"""),"وحدة الكهرباء")</f>
        <v>وحدة الكهرباء</v>
      </c>
      <c r="D138" s="10" t="str">
        <f ca="1">IFERROR(__xludf.DUMMYFUNCTION("""COMPUTED_VALUE"""),"قسم المشاريع الهندسية")</f>
        <v>قسم المشاريع الهندسية</v>
      </c>
      <c r="E138" s="10" t="str">
        <f ca="1">IFERROR(__xludf.DUMMYFUNCTION("""COMPUTED_VALUE"""),"A- المركز الثقافي")</f>
        <v>A- المركز الثقافي</v>
      </c>
      <c r="F138" s="10" t="str">
        <f ca="1">IFERROR(__xludf.DUMMYFUNCTION("""COMPUTED_VALUE"""),"data center")</f>
        <v>data center</v>
      </c>
      <c r="G138" s="10" t="str">
        <f ca="1">IFERROR(__xludf.DUMMYFUNCTION("""COMPUTED_VALUE"""),"فحص منظومة UPS المركز (data center) بعد قطع الكهرباء عنهُ:-
*  الاول بعد اطفاء 35 دقيقة وصلت نسبة الشحن 93%
*  الثاني بعد اطفاء 35 دقيقة وصلت نسبة الشحن 94%")</f>
        <v>فحص منظومة UPS المركز (data center) بعد قطع الكهرباء عنهُ:-
*  الاول بعد اطفاء 35 دقيقة وصلت نسبة الشحن 93%
*  الثاني بعد اطفاء 35 دقيقة وصلت نسبة الشحن 94%</v>
      </c>
      <c r="H138" s="10"/>
      <c r="I138" s="12" t="s">
        <v>15</v>
      </c>
      <c r="J138" s="13" t="s">
        <v>16</v>
      </c>
      <c r="K138" s="7">
        <v>46081.39635145833</v>
      </c>
      <c r="L138" s="14"/>
      <c r="M138" s="10"/>
      <c r="N138" s="10"/>
      <c r="O138" s="7"/>
    </row>
    <row r="139" spans="1:15" ht="75" customHeight="1">
      <c r="A139" s="7">
        <f ca="1">IFERROR(__xludf.DUMMYFUNCTION("""COMPUTED_VALUE"""),46081.3858101967)</f>
        <v>46081.385810196698</v>
      </c>
      <c r="B139" s="8" t="str">
        <f ca="1">IFERROR(__xludf.DUMMYFUNCTION("""COMPUTED_VALUE"""),"المعملجي")</f>
        <v>المعملجي</v>
      </c>
      <c r="C139" s="9" t="str">
        <f ca="1">IFERROR(__xludf.DUMMYFUNCTION("""COMPUTED_VALUE"""),"وحدة الكهرباء")</f>
        <v>وحدة الكهرباء</v>
      </c>
      <c r="D139" s="10" t="str">
        <f ca="1">IFERROR(__xludf.DUMMYFUNCTION("""COMPUTED_VALUE"""),"قسم المشاريع الهندسية")</f>
        <v>قسم المشاريع الهندسية</v>
      </c>
      <c r="E139" s="10" t="str">
        <f ca="1">IFERROR(__xludf.DUMMYFUNCTION("""COMPUTED_VALUE"""),"I- ابتدائية الساقي للبنين (السادسة)")</f>
        <v>I- ابتدائية الساقي للبنين (السادسة)</v>
      </c>
      <c r="F139" s="10" t="str">
        <f ca="1">IFERROR(__xludf.DUMMYFUNCTION("""COMPUTED_VALUE"""),"الطابق الثاني")</f>
        <v>الطابق الثاني</v>
      </c>
      <c r="G139" s="10" t="str">
        <f ca="1">IFERROR(__xludf.DUMMYFUNCTION("""COMPUTED_VALUE"""),"تم صيانه المصعد بحيث كانه لايعمل بحالة Almanawal فوق مقصورة المصعد واعادته الى العمل بشكل جيد")</f>
        <v>تم صيانه المصعد بحيث كانه لايعمل بحالة Almanawal فوق مقصورة المصعد واعادته الى العمل بشكل جيد</v>
      </c>
      <c r="H139" s="10"/>
      <c r="I139" s="12" t="s">
        <v>15</v>
      </c>
      <c r="J139" s="13" t="s">
        <v>16</v>
      </c>
      <c r="K139" s="7">
        <v>46081.396387361106</v>
      </c>
      <c r="L139" s="14"/>
      <c r="M139" s="10"/>
      <c r="N139" s="10"/>
      <c r="O139" s="7"/>
    </row>
    <row r="140" spans="1:15" ht="75" customHeight="1">
      <c r="A140" s="7">
        <f ca="1">IFERROR(__xludf.DUMMYFUNCTION("""COMPUTED_VALUE"""),46081.3873251504)</f>
        <v>46081.387325150397</v>
      </c>
      <c r="B140" s="8" t="str">
        <f ca="1">IFERROR(__xludf.DUMMYFUNCTION("""COMPUTED_VALUE"""),"المعملجي")</f>
        <v>المعملجي</v>
      </c>
      <c r="C140" s="9" t="str">
        <f ca="1">IFERROR(__xludf.DUMMYFUNCTION("""COMPUTED_VALUE"""),"وحدة الكهرباء")</f>
        <v>وحدة الكهرباء</v>
      </c>
      <c r="D140" s="10" t="str">
        <f ca="1">IFERROR(__xludf.DUMMYFUNCTION("""COMPUTED_VALUE"""),"قسم المشاريع الهندسية")</f>
        <v>قسم المشاريع الهندسية</v>
      </c>
      <c r="E140" s="10" t="str">
        <f ca="1">IFERROR(__xludf.DUMMYFUNCTION("""COMPUTED_VALUE"""),"D- ثانوية العميد بناية المتوسطة  (الثانية)")</f>
        <v>D- ثانوية العميد بناية المتوسطة  (الثانية)</v>
      </c>
      <c r="F140" s="10" t="str">
        <f ca="1">IFERROR(__xludf.DUMMYFUNCTION("""COMPUTED_VALUE"""),"الطابق الثاني")</f>
        <v>الطابق الثاني</v>
      </c>
      <c r="G140" s="10" t="str">
        <f ca="1">IFERROR(__xludf.DUMMYFUNCTION("""COMPUTED_VALUE"""),"تزيت المصعد")</f>
        <v>تزيت المصعد</v>
      </c>
      <c r="H140" s="10"/>
      <c r="I140" s="12" t="s">
        <v>15</v>
      </c>
      <c r="J140" s="13" t="s">
        <v>16</v>
      </c>
      <c r="K140" s="7">
        <v>46081.396373587966</v>
      </c>
      <c r="L140" s="14"/>
      <c r="M140" s="10"/>
      <c r="N140" s="10"/>
      <c r="O140" s="7"/>
    </row>
    <row r="141" spans="1:15" ht="75" customHeight="1">
      <c r="A141" s="7">
        <f ca="1">IFERROR(__xludf.DUMMYFUNCTION("""COMPUTED_VALUE"""),46081.3876523032)</f>
        <v>46081.387652303201</v>
      </c>
      <c r="B141" s="8" t="str">
        <f ca="1">IFERROR(__xludf.DUMMYFUNCTION("""COMPUTED_VALUE"""),"المعملجي")</f>
        <v>المعملجي</v>
      </c>
      <c r="C141" s="9" t="str">
        <f ca="1">IFERROR(__xludf.DUMMYFUNCTION("""COMPUTED_VALUE"""),"وحدة الكهرباء")</f>
        <v>وحدة الكهرباء</v>
      </c>
      <c r="D141" s="10" t="str">
        <f ca="1">IFERROR(__xludf.DUMMYFUNCTION("""COMPUTED_VALUE"""),"قسم المشاريع الهندسية")</f>
        <v>قسم المشاريع الهندسية</v>
      </c>
      <c r="E141" s="10" t="str">
        <f ca="1">IFERROR(__xludf.DUMMYFUNCTION("""COMPUTED_VALUE"""),"H- ابتدائية القمر للبنات (الخامسة)")</f>
        <v>H- ابتدائية القمر للبنات (الخامسة)</v>
      </c>
      <c r="F141" s="10" t="str">
        <f ca="1">IFERROR(__xludf.DUMMYFUNCTION("""COMPUTED_VALUE"""),"الطابق الثاني")</f>
        <v>الطابق الثاني</v>
      </c>
      <c r="G141" s="10" t="str">
        <f ca="1">IFERROR(__xludf.DUMMYFUNCTION("""COMPUTED_VALUE"""),"تزيت المصعد")</f>
        <v>تزيت المصعد</v>
      </c>
      <c r="H141" s="10"/>
      <c r="I141" s="12" t="s">
        <v>15</v>
      </c>
      <c r="J141" s="13" t="s">
        <v>16</v>
      </c>
      <c r="K141" s="7">
        <v>46081.396378182872</v>
      </c>
      <c r="L141" s="14"/>
      <c r="M141" s="10"/>
      <c r="N141" s="10"/>
      <c r="O141" s="7"/>
    </row>
    <row r="142" spans="1:15" ht="75" customHeight="1">
      <c r="A142" s="7">
        <f ca="1">IFERROR(__xludf.DUMMYFUNCTION("""COMPUTED_VALUE"""),46081.3878349074)</f>
        <v>46081.3878349074</v>
      </c>
      <c r="B142" s="8" t="str">
        <f ca="1">IFERROR(__xludf.DUMMYFUNCTION("""COMPUTED_VALUE"""),"المعملجي")</f>
        <v>المعملجي</v>
      </c>
      <c r="C142" s="9" t="str">
        <f ca="1">IFERROR(__xludf.DUMMYFUNCTION("""COMPUTED_VALUE"""),"وحدة الكهرباء")</f>
        <v>وحدة الكهرباء</v>
      </c>
      <c r="D142" s="10" t="str">
        <f ca="1">IFERROR(__xludf.DUMMYFUNCTION("""COMPUTED_VALUE"""),"قسم المشاريع الهندسية")</f>
        <v>قسم المشاريع الهندسية</v>
      </c>
      <c r="E142" s="10" t="str">
        <f ca="1">IFERROR(__xludf.DUMMYFUNCTION("""COMPUTED_VALUE"""),"I- ابتدائية الساقي للبنين (السادسة)")</f>
        <v>I- ابتدائية الساقي للبنين (السادسة)</v>
      </c>
      <c r="F142" s="10" t="str">
        <f ca="1">IFERROR(__xludf.DUMMYFUNCTION("""COMPUTED_VALUE"""),"الطابق الثاني")</f>
        <v>الطابق الثاني</v>
      </c>
      <c r="G142" s="10" t="str">
        <f ca="1">IFERROR(__xludf.DUMMYFUNCTION("""COMPUTED_VALUE"""),"تزيت المصعد")</f>
        <v>تزيت المصعد</v>
      </c>
      <c r="H142" s="10"/>
      <c r="I142" s="12" t="s">
        <v>15</v>
      </c>
      <c r="J142" s="13" t="s">
        <v>16</v>
      </c>
      <c r="K142" s="7">
        <v>46081.396392349532</v>
      </c>
      <c r="L142" s="14"/>
      <c r="M142" s="10"/>
      <c r="N142" s="10"/>
      <c r="O142" s="7"/>
    </row>
    <row r="143" spans="1:15" ht="75" customHeight="1">
      <c r="A143" s="7">
        <f ca="1">IFERROR(__xludf.DUMMYFUNCTION("""COMPUTED_VALUE"""),46081.3881381134)</f>
        <v>46081.388138113398</v>
      </c>
      <c r="B143" s="8" t="str">
        <f ca="1">IFERROR(__xludf.DUMMYFUNCTION("""COMPUTED_VALUE"""),"المعملجي")</f>
        <v>المعملجي</v>
      </c>
      <c r="C143" s="9" t="str">
        <f ca="1">IFERROR(__xludf.DUMMYFUNCTION("""COMPUTED_VALUE"""),"وحدة الكهرباء")</f>
        <v>وحدة الكهرباء</v>
      </c>
      <c r="D143" s="10" t="str">
        <f ca="1">IFERROR(__xludf.DUMMYFUNCTION("""COMPUTED_VALUE"""),"قسم المشاريع الهندسية")</f>
        <v>قسم المشاريع الهندسية</v>
      </c>
      <c r="E143" s="10" t="str">
        <f ca="1">IFERROR(__xludf.DUMMYFUNCTION("""COMPUTED_VALUE"""),"J- جامعة العميد (السابعة)")</f>
        <v>J- جامعة العميد (السابعة)</v>
      </c>
      <c r="F143" s="10" t="str">
        <f ca="1">IFERROR(__xludf.DUMMYFUNCTION("""COMPUTED_VALUE"""),"الطابق الثاني")</f>
        <v>الطابق الثاني</v>
      </c>
      <c r="G143" s="10" t="str">
        <f ca="1">IFERROR(__xludf.DUMMYFUNCTION("""COMPUTED_VALUE"""),"تزيت المصعد")</f>
        <v>تزيت المصعد</v>
      </c>
      <c r="H143" s="10"/>
      <c r="I143" s="12" t="s">
        <v>15</v>
      </c>
      <c r="J143" s="13" t="s">
        <v>16</v>
      </c>
      <c r="K143" s="7">
        <v>46081.396400173609</v>
      </c>
      <c r="L143" s="14"/>
      <c r="M143" s="10"/>
      <c r="N143" s="10"/>
      <c r="O143" s="7"/>
    </row>
    <row r="144" spans="1:15" ht="75" customHeight="1">
      <c r="A144" s="7">
        <f ca="1">IFERROR(__xludf.DUMMYFUNCTION("""COMPUTED_VALUE"""),46081.3885372222)</f>
        <v>46081.388537222199</v>
      </c>
      <c r="B144" s="8" t="str">
        <f ca="1">IFERROR(__xludf.DUMMYFUNCTION("""COMPUTED_VALUE"""),"المعملجي")</f>
        <v>المعملجي</v>
      </c>
      <c r="C144" s="9" t="str">
        <f ca="1">IFERROR(__xludf.DUMMYFUNCTION("""COMPUTED_VALUE"""),"وحدة الكهرباء")</f>
        <v>وحدة الكهرباء</v>
      </c>
      <c r="D144" s="10" t="str">
        <f ca="1">IFERROR(__xludf.DUMMYFUNCTION("""COMPUTED_VALUE"""),"قسم المشاريع الهندسية")</f>
        <v>قسم المشاريع الهندسية</v>
      </c>
      <c r="E144" s="10" t="str">
        <f ca="1">IFERROR(__xludf.DUMMYFUNCTION("""COMPUTED_VALUE"""),"C- ثانوية العميد بناية الاعدادية  (الاولى)")</f>
        <v>C- ثانوية العميد بناية الاعدادية  (الاولى)</v>
      </c>
      <c r="F144" s="10" t="str">
        <f ca="1">IFERROR(__xludf.DUMMYFUNCTION("""COMPUTED_VALUE"""),"كل البناية")</f>
        <v>كل البناية</v>
      </c>
      <c r="G144" s="10" t="str">
        <f ca="1">IFERROR(__xludf.DUMMYFUNCTION("""COMPUTED_VALUE"""),"تم تنظيف غرف الكهرباء")</f>
        <v>تم تنظيف غرف الكهرباء</v>
      </c>
      <c r="H144" s="10"/>
      <c r="I144" s="12" t="s">
        <v>15</v>
      </c>
      <c r="J144" s="13" t="s">
        <v>16</v>
      </c>
      <c r="K144" s="7">
        <v>46081.396420173609</v>
      </c>
      <c r="L144" s="14"/>
      <c r="M144" s="10"/>
      <c r="N144" s="10"/>
      <c r="O144" s="7"/>
    </row>
    <row r="145" spans="1:15" ht="75" customHeight="1">
      <c r="A145" s="7">
        <f ca="1">IFERROR(__xludf.DUMMYFUNCTION("""COMPUTED_VALUE"""),46081.3887866782)</f>
        <v>46081.388786678202</v>
      </c>
      <c r="B145" s="8" t="str">
        <f ca="1">IFERROR(__xludf.DUMMYFUNCTION("""COMPUTED_VALUE"""),"المعملجي")</f>
        <v>المعملجي</v>
      </c>
      <c r="C145" s="9" t="str">
        <f ca="1">IFERROR(__xludf.DUMMYFUNCTION("""COMPUTED_VALUE"""),"وحدة الكهرباء")</f>
        <v>وحدة الكهرباء</v>
      </c>
      <c r="D145" s="10" t="str">
        <f ca="1">IFERROR(__xludf.DUMMYFUNCTION("""COMPUTED_VALUE"""),"قسم المشاريع الهندسية")</f>
        <v>قسم المشاريع الهندسية</v>
      </c>
      <c r="E145" s="10" t="str">
        <f ca="1">IFERROR(__xludf.DUMMYFUNCTION("""COMPUTED_VALUE"""),"D- ثانوية العميد بناية المتوسطة  (الثانية)")</f>
        <v>D- ثانوية العميد بناية المتوسطة  (الثانية)</v>
      </c>
      <c r="F145" s="10" t="str">
        <f ca="1">IFERROR(__xludf.DUMMYFUNCTION("""COMPUTED_VALUE"""),"كل البناية")</f>
        <v>كل البناية</v>
      </c>
      <c r="G145" s="10" t="str">
        <f ca="1">IFERROR(__xludf.DUMMYFUNCTION("""COMPUTED_VALUE"""),"تم تنظيف غرف الكهرباء")</f>
        <v>تم تنظيف غرف الكهرباء</v>
      </c>
      <c r="H145" s="10"/>
      <c r="I145" s="12" t="s">
        <v>15</v>
      </c>
      <c r="J145" s="13" t="s">
        <v>16</v>
      </c>
      <c r="K145" s="7">
        <v>46081.396414282412</v>
      </c>
      <c r="L145" s="14"/>
      <c r="M145" s="10"/>
      <c r="N145" s="10"/>
      <c r="O145" s="7"/>
    </row>
    <row r="146" spans="1:15" ht="75" customHeight="1">
      <c r="A146" s="7">
        <f ca="1">IFERROR(__xludf.DUMMYFUNCTION("""COMPUTED_VALUE"""),46081.3893792361)</f>
        <v>46081.389379236098</v>
      </c>
      <c r="B146" s="8" t="str">
        <f ca="1">IFERROR(__xludf.DUMMYFUNCTION("""COMPUTED_VALUE"""),"المعملجي")</f>
        <v>المعملجي</v>
      </c>
      <c r="C146" s="9" t="str">
        <f ca="1">IFERROR(__xludf.DUMMYFUNCTION("""COMPUTED_VALUE"""),"وحدة الكهرباء")</f>
        <v>وحدة الكهرباء</v>
      </c>
      <c r="D146" s="10" t="str">
        <f ca="1">IFERROR(__xludf.DUMMYFUNCTION("""COMPUTED_VALUE"""),"قسم المشاريع الهندسية")</f>
        <v>قسم المشاريع الهندسية</v>
      </c>
      <c r="E146" s="10" t="str">
        <f ca="1">IFERROR(__xludf.DUMMYFUNCTION("""COMPUTED_VALUE"""),"شعبة الصيانة")</f>
        <v>شعبة الصيانة</v>
      </c>
      <c r="F146" s="10" t="str">
        <f ca="1">IFERROR(__xludf.DUMMYFUNCTION("""COMPUTED_VALUE"""),"وحدة المدني")</f>
        <v>وحدة المدني</v>
      </c>
      <c r="G146" s="10" t="str">
        <f ca="1">IFERROR(__xludf.DUMMYFUNCTION("""COMPUTED_VALUE"""),"تم اصلاح قاطع رباعي لوجود رخاوه فيه ")</f>
        <v xml:space="preserve">تم اصلاح قاطع رباعي لوجود رخاوه فيه </v>
      </c>
      <c r="H146" s="10"/>
      <c r="I146" s="12" t="s">
        <v>15</v>
      </c>
      <c r="J146" s="13" t="s">
        <v>16</v>
      </c>
      <c r="K146" s="7">
        <v>46081.396425162035</v>
      </c>
      <c r="L146" s="14"/>
      <c r="M146" s="10"/>
      <c r="N146" s="10"/>
      <c r="O146" s="7"/>
    </row>
    <row r="147" spans="1:15" ht="75" customHeight="1">
      <c r="A147" s="7">
        <f ca="1">IFERROR(__xludf.DUMMYFUNCTION("""COMPUTED_VALUE"""),46081.3899830555)</f>
        <v>46081.389983055502</v>
      </c>
      <c r="B147" s="8" t="str">
        <f ca="1">IFERROR(__xludf.DUMMYFUNCTION("""COMPUTED_VALUE"""),"المعملجي")</f>
        <v>المعملجي</v>
      </c>
      <c r="C147" s="9" t="str">
        <f ca="1">IFERROR(__xludf.DUMMYFUNCTION("""COMPUTED_VALUE"""),"وحدة الكهرباء")</f>
        <v>وحدة الكهرباء</v>
      </c>
      <c r="D147" s="10" t="str">
        <f ca="1">IFERROR(__xludf.DUMMYFUNCTION("""COMPUTED_VALUE"""),"قسم المشاريع الهندسية")</f>
        <v>قسم المشاريع الهندسية</v>
      </c>
      <c r="E147" s="10" t="str">
        <f ca="1">IFERROR(__xludf.DUMMYFUNCTION("""COMPUTED_VALUE"""),"I- ابتدائية الساقي للبنين (السادسة)")</f>
        <v>I- ابتدائية الساقي للبنين (السادسة)</v>
      </c>
      <c r="F147" s="10" t="str">
        <f ca="1">IFERROR(__xludf.DUMMYFUNCTION("""COMPUTED_VALUE"""),".")</f>
        <v>.</v>
      </c>
      <c r="G147" s="10" t="str">
        <f ca="1">IFERROR(__xludf.DUMMYFUNCTION("""COMPUTED_VALUE"""),"تم تسليك كيبل فلكس 2×1 لتوصيل وأخذ إشارة الى ال emergency botton NC للتحكم في تشغيل مضخة الاطفاء الديزل يدويا من الطابق الارضي في حالة حدوث طارئ")</f>
        <v>تم تسليك كيبل فلكس 2×1 لتوصيل وأخذ إشارة الى ال emergency botton NC للتحكم في تشغيل مضخة الاطفاء الديزل يدويا من الطابق الارضي في حالة حدوث طارئ</v>
      </c>
      <c r="H147" s="10"/>
      <c r="I147" s="12" t="s">
        <v>15</v>
      </c>
      <c r="J147" s="13" t="s">
        <v>16</v>
      </c>
      <c r="K147" s="7">
        <v>46081.396436238429</v>
      </c>
      <c r="L147" s="14"/>
      <c r="M147" s="10"/>
      <c r="N147" s="10"/>
      <c r="O147" s="7"/>
    </row>
    <row r="148" spans="1:15" ht="75" customHeight="1">
      <c r="A148" s="7">
        <f ca="1">IFERROR(__xludf.DUMMYFUNCTION("""COMPUTED_VALUE"""),46081.3905546759)</f>
        <v>46081.390554675898</v>
      </c>
      <c r="B148" s="8" t="str">
        <f ca="1">IFERROR(__xludf.DUMMYFUNCTION("""COMPUTED_VALUE"""),"المعملجي")</f>
        <v>المعملجي</v>
      </c>
      <c r="C148" s="9" t="str">
        <f ca="1">IFERROR(__xludf.DUMMYFUNCTION("""COMPUTED_VALUE"""),"وحدة الكهرباء")</f>
        <v>وحدة الكهرباء</v>
      </c>
      <c r="D148" s="10" t="str">
        <f ca="1">IFERROR(__xludf.DUMMYFUNCTION("""COMPUTED_VALUE"""),"قسم المشاريع الهندسية")</f>
        <v>قسم المشاريع الهندسية</v>
      </c>
      <c r="E148" s="10" t="str">
        <f ca="1">IFERROR(__xludf.DUMMYFUNCTION("""COMPUTED_VALUE"""),"البيوت الخارجية")</f>
        <v>البيوت الخارجية</v>
      </c>
      <c r="F148" s="10" t="str">
        <f ca="1">IFERROR(__xludf.DUMMYFUNCTION("""COMPUTED_VALUE"""),".")</f>
        <v>.</v>
      </c>
      <c r="G148" s="10" t="str">
        <f ca="1">IFERROR(__xludf.DUMMYFUNCTION("""COMPUTED_VALUE"""),"من خلال المتابعة اليومية تم العثور على مشكلة في طوافة غطاس وتم صيانتها")</f>
        <v>من خلال المتابعة اليومية تم العثور على مشكلة في طوافة غطاس وتم صيانتها</v>
      </c>
      <c r="H148" s="10"/>
      <c r="I148" s="12" t="s">
        <v>15</v>
      </c>
      <c r="J148" s="13" t="s">
        <v>16</v>
      </c>
      <c r="K148" s="7">
        <v>46081.396448101848</v>
      </c>
      <c r="L148" s="14"/>
      <c r="M148" s="10"/>
      <c r="N148" s="10"/>
      <c r="O148" s="7"/>
    </row>
    <row r="149" spans="1:15" ht="75" customHeight="1">
      <c r="A149" s="7">
        <f ca="1">IFERROR(__xludf.DUMMYFUNCTION("""COMPUTED_VALUE"""),46081.3908724074)</f>
        <v>46081.390872407399</v>
      </c>
      <c r="B149" s="8" t="str">
        <f ca="1">IFERROR(__xludf.DUMMYFUNCTION("""COMPUTED_VALUE"""),"المعملجي")</f>
        <v>المعملجي</v>
      </c>
      <c r="C149" s="9" t="str">
        <f ca="1">IFERROR(__xludf.DUMMYFUNCTION("""COMPUTED_VALUE"""),"وحدة الكهرباء")</f>
        <v>وحدة الكهرباء</v>
      </c>
      <c r="D149" s="10" t="str">
        <f ca="1">IFERROR(__xludf.DUMMYFUNCTION("""COMPUTED_VALUE"""),"قسم المشاريع الهندسية")</f>
        <v>قسم المشاريع الهندسية</v>
      </c>
      <c r="E149" s="10" t="str">
        <f ca="1">IFERROR(__xludf.DUMMYFUNCTION("""COMPUTED_VALUE"""),"J- جامعة العميد (السابعة)")</f>
        <v>J- جامعة العميد (السابعة)</v>
      </c>
      <c r="F149" s="10" t="str">
        <f ca="1">IFERROR(__xludf.DUMMYFUNCTION("""COMPUTED_VALUE"""),".")</f>
        <v>.</v>
      </c>
      <c r="G149" s="10" t="str">
        <f ca="1">IFERROR(__xludf.DUMMYFUNCTION("""COMPUTED_VALUE"""),"تم تسليك كيبل فلكس 2×1 لتوصيل وأخذ إشارة الى ال emergency botton NC للتحكم في تشغيل مضخة الاطفاء الديزل يدويا من الطابق الارضي في حالة حدوث طارئ")</f>
        <v>تم تسليك كيبل فلكس 2×1 لتوصيل وأخذ إشارة الى ال emergency botton NC للتحكم في تشغيل مضخة الاطفاء الديزل يدويا من الطابق الارضي في حالة حدوث طارئ</v>
      </c>
      <c r="H149" s="10"/>
      <c r="I149" s="12" t="s">
        <v>15</v>
      </c>
      <c r="J149" s="13" t="s">
        <v>16</v>
      </c>
      <c r="K149" s="7">
        <v>46081.396454166665</v>
      </c>
      <c r="L149" s="14"/>
      <c r="M149" s="10"/>
      <c r="N149" s="10"/>
      <c r="O149" s="7"/>
    </row>
    <row r="150" spans="1:15" ht="75" customHeight="1">
      <c r="A150" s="7">
        <f ca="1">IFERROR(__xludf.DUMMYFUNCTION("""COMPUTED_VALUE"""),46081.3913578009)</f>
        <v>46081.391357800901</v>
      </c>
      <c r="B150" s="8" t="str">
        <f ca="1">IFERROR(__xludf.DUMMYFUNCTION("""COMPUTED_VALUE"""),"المعملجي")</f>
        <v>المعملجي</v>
      </c>
      <c r="C150" s="9" t="str">
        <f ca="1">IFERROR(__xludf.DUMMYFUNCTION("""COMPUTED_VALUE"""),"وحدة الكهرباء")</f>
        <v>وحدة الكهرباء</v>
      </c>
      <c r="D150" s="10" t="str">
        <f ca="1">IFERROR(__xludf.DUMMYFUNCTION("""COMPUTED_VALUE"""),"قسم المشاريع الهندسية")</f>
        <v>قسم المشاريع الهندسية</v>
      </c>
      <c r="E150" s="10" t="str">
        <f ca="1">IFERROR(__xludf.DUMMYFUNCTION("""COMPUTED_VALUE"""),"C- ثانوية العميد بناية الاعدادية  (الاولى)")</f>
        <v>C- ثانوية العميد بناية الاعدادية  (الاولى)</v>
      </c>
      <c r="F150" s="10" t="str">
        <f ca="1">IFERROR(__xludf.DUMMYFUNCTION("""COMPUTED_VALUE"""),"الطابق الارضي, جناح الساحة ZONE B")</f>
        <v>الطابق الارضي, جناح الساحة ZONE B</v>
      </c>
      <c r="G150" s="10" t="str">
        <f ca="1">IFERROR(__xludf.DUMMYFUNCTION("""COMPUTED_VALUE"""),"فحص  UPS المدرسة بعد إطفاء الكهرباء عنهُ.
📌 حيث كانت نسبة الشحن بعد قطع الكهرباء لمدة 33 دقيقة 87٪
📌 و الأحمال 
* L1= 1.5A / load ratio= 6.9%
* L2= 3.1A / load ratio= 13.7%
* L3= 2.8A / load ratio=14.5%
* Vo= 220V")</f>
        <v>فحص  UPS المدرسة بعد إطفاء الكهرباء عنهُ.
📌 حيث كانت نسبة الشحن بعد قطع الكهرباء لمدة 33 دقيقة 87٪
📌 و الأحمال 
* L1= 1.5A / load ratio= 6.9%
* L2= 3.1A / load ratio= 13.7%
* L3= 2.8A / load ratio=14.5%
* Vo= 220V</v>
      </c>
      <c r="H150" s="10"/>
      <c r="I150" s="12" t="s">
        <v>15</v>
      </c>
      <c r="J150" s="13" t="s">
        <v>16</v>
      </c>
      <c r="K150" s="7">
        <v>46081.396463935183</v>
      </c>
      <c r="L150" s="14"/>
      <c r="M150" s="10"/>
      <c r="N150" s="10"/>
      <c r="O150" s="7"/>
    </row>
    <row r="151" spans="1:15" ht="75" customHeight="1">
      <c r="A151" s="7">
        <f ca="1">IFERROR(__xludf.DUMMYFUNCTION("""COMPUTED_VALUE"""),46081.3917778472)</f>
        <v>46081.391777847202</v>
      </c>
      <c r="B151" s="8" t="str">
        <f ca="1">IFERROR(__xludf.DUMMYFUNCTION("""COMPUTED_VALUE"""),"المعملجي")</f>
        <v>المعملجي</v>
      </c>
      <c r="C151" s="9" t="str">
        <f ca="1">IFERROR(__xludf.DUMMYFUNCTION("""COMPUTED_VALUE"""),"وحدة الكهرباء")</f>
        <v>وحدة الكهرباء</v>
      </c>
      <c r="D151" s="10" t="str">
        <f ca="1">IFERROR(__xludf.DUMMYFUNCTION("""COMPUTED_VALUE"""),"قسم المشاريع الهندسية")</f>
        <v>قسم المشاريع الهندسية</v>
      </c>
      <c r="E151" s="10" t="str">
        <f ca="1">IFERROR(__xludf.DUMMYFUNCTION("""COMPUTED_VALUE"""),"I- ابتدائية الساقي للبنين (السادسة)")</f>
        <v>I- ابتدائية الساقي للبنين (السادسة)</v>
      </c>
      <c r="F151" s="10" t="str">
        <f ca="1">IFERROR(__xludf.DUMMYFUNCTION("""COMPUTED_VALUE"""),"السطح")</f>
        <v>السطح</v>
      </c>
      <c r="G151" s="10" t="str">
        <f ca="1">IFERROR(__xludf.DUMMYFUNCTION("""COMPUTED_VALUE"""),"تفعيل بوش (Emegency Diesel Run) لمضخة المدرسة وذلك بعمل دائرة سيطرة مناسبة بفولتية 12V. مع أضافة بوش تشغيل يدوي للمضخة لغرض الفحص.")</f>
        <v>تفعيل بوش (Emegency Diesel Run) لمضخة المدرسة وذلك بعمل دائرة سيطرة مناسبة بفولتية 12V. مع أضافة بوش تشغيل يدوي للمضخة لغرض الفحص.</v>
      </c>
      <c r="H151" s="10"/>
      <c r="I151" s="12" t="s">
        <v>15</v>
      </c>
      <c r="J151" s="13" t="s">
        <v>16</v>
      </c>
      <c r="K151" s="7">
        <v>46081.396503240743</v>
      </c>
      <c r="L151" s="14"/>
      <c r="M151" s="10"/>
      <c r="N151" s="10"/>
      <c r="O151" s="7"/>
    </row>
    <row r="152" spans="1:15" ht="75" customHeight="1">
      <c r="A152" s="7">
        <f ca="1">IFERROR(__xludf.DUMMYFUNCTION("""COMPUTED_VALUE"""),46081.3920704629)</f>
        <v>46081.392070462898</v>
      </c>
      <c r="B152" s="8" t="str">
        <f ca="1">IFERROR(__xludf.DUMMYFUNCTION("""COMPUTED_VALUE"""),"المعملجي")</f>
        <v>المعملجي</v>
      </c>
      <c r="C152" s="9" t="str">
        <f ca="1">IFERROR(__xludf.DUMMYFUNCTION("""COMPUTED_VALUE"""),"وحدة الكهرباء")</f>
        <v>وحدة الكهرباء</v>
      </c>
      <c r="D152" s="10" t="str">
        <f ca="1">IFERROR(__xludf.DUMMYFUNCTION("""COMPUTED_VALUE"""),"قسم المشاريع الهندسية")</f>
        <v>قسم المشاريع الهندسية</v>
      </c>
      <c r="E152" s="10" t="str">
        <f ca="1">IFERROR(__xludf.DUMMYFUNCTION("""COMPUTED_VALUE"""),"D- ثانوية العميد بناية المتوسطة  (الثانية)")</f>
        <v>D- ثانوية العميد بناية المتوسطة  (الثانية)</v>
      </c>
      <c r="F152" s="10" t="str">
        <f ca="1">IFERROR(__xludf.DUMMYFUNCTION("""COMPUTED_VALUE"""),"الطابق الارضي, جناح الساحة ZONE B")</f>
        <v>الطابق الارضي, جناح الساحة ZONE B</v>
      </c>
      <c r="G152" s="10" t="str">
        <f ca="1">IFERROR(__xludf.DUMMYFUNCTION("""COMPUTED_VALUE"""),"حص  UPS المدرسة بعد إطفاء الكهرباء عنهُ.
📌 حيث كانت نسبة الشحن بعد قطع الكهرباء لمدة 27 دقيقة 91٪")</f>
        <v>حص  UPS المدرسة بعد إطفاء الكهرباء عنهُ.
📌 حيث كانت نسبة الشحن بعد قطع الكهرباء لمدة 27 دقيقة 91٪</v>
      </c>
      <c r="H152" s="10"/>
      <c r="I152" s="12" t="s">
        <v>15</v>
      </c>
      <c r="J152" s="13" t="s">
        <v>16</v>
      </c>
      <c r="K152" s="7">
        <v>46081.396481886579</v>
      </c>
      <c r="L152" s="14"/>
      <c r="M152" s="10"/>
      <c r="N152" s="10"/>
      <c r="O152" s="7"/>
    </row>
    <row r="153" spans="1:15" ht="75" customHeight="1">
      <c r="A153" s="7">
        <f ca="1">IFERROR(__xludf.DUMMYFUNCTION("""COMPUTED_VALUE"""),46081.3923195949)</f>
        <v>46081.392319594903</v>
      </c>
      <c r="B153" s="8" t="str">
        <f ca="1">IFERROR(__xludf.DUMMYFUNCTION("""COMPUTED_VALUE"""),"المعملجي")</f>
        <v>المعملجي</v>
      </c>
      <c r="C153" s="9" t="str">
        <f ca="1">IFERROR(__xludf.DUMMYFUNCTION("""COMPUTED_VALUE"""),"وحدة الكهرباء")</f>
        <v>وحدة الكهرباء</v>
      </c>
      <c r="D153" s="10" t="str">
        <f ca="1">IFERROR(__xludf.DUMMYFUNCTION("""COMPUTED_VALUE"""),"قسم المشاريع الهندسية")</f>
        <v>قسم المشاريع الهندسية</v>
      </c>
      <c r="E153" s="10" t="str">
        <f ca="1">IFERROR(__xludf.DUMMYFUNCTION("""COMPUTED_VALUE"""),"E- ابتدائية العميد للبنات (الثالثة)")</f>
        <v>E- ابتدائية العميد للبنات (الثالثة)</v>
      </c>
      <c r="F153" s="10" t="str">
        <f ca="1">IFERROR(__xludf.DUMMYFUNCTION("""COMPUTED_VALUE"""),"الطابق الارضي, جناح الساحة ZONE B")</f>
        <v>الطابق الارضي, جناح الساحة ZONE B</v>
      </c>
      <c r="G153" s="10" t="str">
        <f ca="1">IFERROR(__xludf.DUMMYFUNCTION("""COMPUTED_VALUE"""),"فحص  UPS المدرسة بعد إطفاء الكهرباء عنهُ.
📌 حيث كانت نسبة الشحن بعد قطع الكهرباء لمدة 31 دقيقة 92٪
")</f>
        <v xml:space="preserve">فحص  UPS المدرسة بعد إطفاء الكهرباء عنهُ.
📌 حيث كانت نسبة الشحن بعد قطع الكهرباء لمدة 31 دقيقة 92٪
</v>
      </c>
      <c r="H153" s="10"/>
      <c r="I153" s="12" t="s">
        <v>15</v>
      </c>
      <c r="J153" s="13" t="s">
        <v>16</v>
      </c>
      <c r="K153" s="7">
        <v>46081.396494837958</v>
      </c>
      <c r="L153" s="14"/>
      <c r="M153" s="10"/>
      <c r="N153" s="10"/>
      <c r="O153" s="7"/>
    </row>
    <row r="154" spans="1:15" ht="75" customHeight="1">
      <c r="A154" s="7">
        <f ca="1">IFERROR(__xludf.DUMMYFUNCTION("""COMPUTED_VALUE"""),46081.3926823958)</f>
        <v>46081.392682395803</v>
      </c>
      <c r="B154" s="8" t="str">
        <f ca="1">IFERROR(__xludf.DUMMYFUNCTION("""COMPUTED_VALUE"""),"المعملجي")</f>
        <v>المعملجي</v>
      </c>
      <c r="C154" s="9" t="str">
        <f ca="1">IFERROR(__xludf.DUMMYFUNCTION("""COMPUTED_VALUE"""),"وحدة الكهرباء")</f>
        <v>وحدة الكهرباء</v>
      </c>
      <c r="D154" s="10" t="str">
        <f ca="1">IFERROR(__xludf.DUMMYFUNCTION("""COMPUTED_VALUE"""),"قسم المشاريع الهندسية")</f>
        <v>قسم المشاريع الهندسية</v>
      </c>
      <c r="E154" s="10" t="str">
        <f ca="1">IFERROR(__xludf.DUMMYFUNCTION("""COMPUTED_VALUE"""),"الاستعلامات الرئيسية")</f>
        <v>الاستعلامات الرئيسية</v>
      </c>
      <c r="F154" s="10" t="str">
        <f ca="1">IFERROR(__xludf.DUMMYFUNCTION("""COMPUTED_VALUE"""),"الطابق الارضي")</f>
        <v>الطابق الارضي</v>
      </c>
      <c r="G154" s="10" t="str">
        <f ca="1">IFERROR(__xludf.DUMMYFUNCTION("""COMPUTED_VALUE"""),"تم استبدال جوزة كهربائية مفردة عدد 2 بقدرة 10A ")</f>
        <v xml:space="preserve">تم استبدال جوزة كهربائية مفردة عدد 2 بقدرة 10A </v>
      </c>
      <c r="H154" s="10"/>
      <c r="I154" s="12" t="s">
        <v>15</v>
      </c>
      <c r="J154" s="13" t="s">
        <v>16</v>
      </c>
      <c r="K154" s="7">
        <v>46081.396529745369</v>
      </c>
      <c r="L154" s="14"/>
      <c r="M154" s="10"/>
      <c r="N154" s="10"/>
      <c r="O154" s="7"/>
    </row>
    <row r="155" spans="1:15" ht="75" customHeight="1">
      <c r="A155" s="7">
        <f ca="1">IFERROR(__xludf.DUMMYFUNCTION("""COMPUTED_VALUE"""),46081.3933975115)</f>
        <v>46081.3933975115</v>
      </c>
      <c r="B155" s="8" t="str">
        <f ca="1">IFERROR(__xludf.DUMMYFUNCTION("""COMPUTED_VALUE"""),"المعملجي")</f>
        <v>المعملجي</v>
      </c>
      <c r="C155" s="9" t="str">
        <f ca="1">IFERROR(__xludf.DUMMYFUNCTION("""COMPUTED_VALUE"""),"وحدة الكهرباء")</f>
        <v>وحدة الكهرباء</v>
      </c>
      <c r="D155" s="10" t="str">
        <f ca="1">IFERROR(__xludf.DUMMYFUNCTION("""COMPUTED_VALUE"""),"قسم المشاريع الهندسية")</f>
        <v>قسم المشاريع الهندسية</v>
      </c>
      <c r="E155" s="10" t="str">
        <f ca="1">IFERROR(__xludf.DUMMYFUNCTION("""COMPUTED_VALUE"""),"E- ابتدائية العميد للبنات (الثالثة)")</f>
        <v>E- ابتدائية العميد للبنات (الثالثة)</v>
      </c>
      <c r="F155" s="10" t="str">
        <f ca="1">IFERROR(__xludf.DUMMYFUNCTION("""COMPUTED_VALUE"""),"كل البناية")</f>
        <v>كل البناية</v>
      </c>
      <c r="G155" s="10" t="str">
        <f ca="1">IFERROR(__xludf.DUMMYFUNCTION("""COMPUTED_VALUE"""),"تنضيف غرف الكهرباء")</f>
        <v>تنضيف غرف الكهرباء</v>
      </c>
      <c r="H155" s="10"/>
      <c r="I155" s="12" t="s">
        <v>15</v>
      </c>
      <c r="J155" s="13" t="s">
        <v>16</v>
      </c>
      <c r="K155" s="7">
        <v>46081.39651716435</v>
      </c>
      <c r="L155" s="14"/>
      <c r="M155" s="10"/>
      <c r="N155" s="10"/>
      <c r="O155" s="7"/>
    </row>
    <row r="156" spans="1:15" ht="75" customHeight="1">
      <c r="A156" s="7">
        <f ca="1">IFERROR(__xludf.DUMMYFUNCTION("""COMPUTED_VALUE"""),46081.3936831713)</f>
        <v>46081.3936831713</v>
      </c>
      <c r="B156" s="8" t="str">
        <f ca="1">IFERROR(__xludf.DUMMYFUNCTION("""COMPUTED_VALUE"""),"المعملجي")</f>
        <v>المعملجي</v>
      </c>
      <c r="C156" s="9" t="str">
        <f ca="1">IFERROR(__xludf.DUMMYFUNCTION("""COMPUTED_VALUE"""),"وحدة الكهرباء")</f>
        <v>وحدة الكهرباء</v>
      </c>
      <c r="D156" s="10" t="str">
        <f ca="1">IFERROR(__xludf.DUMMYFUNCTION("""COMPUTED_VALUE"""),"قسم المشاريع الهندسية")</f>
        <v>قسم المشاريع الهندسية</v>
      </c>
      <c r="E156" s="10" t="str">
        <f ca="1">IFERROR(__xludf.DUMMYFUNCTION("""COMPUTED_VALUE"""),"F-  ابتدائية جود العميد للبنات (الرابعة)")</f>
        <v>F-  ابتدائية جود العميد للبنات (الرابعة)</v>
      </c>
      <c r="F156" s="10" t="str">
        <f ca="1">IFERROR(__xludf.DUMMYFUNCTION("""COMPUTED_VALUE"""),"الطابق الارضي, جناح الساحة ZONE B")</f>
        <v>الطابق الارضي, جناح الساحة ZONE B</v>
      </c>
      <c r="G156" s="10" t="str">
        <f ca="1">IFERROR(__xludf.DUMMYFUNCTION("""COMPUTED_VALUE"""),"فحص  UPS المدرسة بعد إطفاء الكهرباء عنهُ.
📌 حيث كانت نسبة الشحن بعد قطع الكهرباء لمدة 30 دقيقة 89٪")</f>
        <v>فحص  UPS المدرسة بعد إطفاء الكهرباء عنهُ.
📌 حيث كانت نسبة الشحن بعد قطع الكهرباء لمدة 30 دقيقة 89٪</v>
      </c>
      <c r="H156" s="10"/>
      <c r="I156" s="12" t="s">
        <v>15</v>
      </c>
      <c r="J156" s="13" t="s">
        <v>16</v>
      </c>
      <c r="K156" s="7">
        <v>46081.396521736111</v>
      </c>
      <c r="L156" s="14"/>
      <c r="M156" s="10"/>
      <c r="N156" s="10"/>
      <c r="O156" s="7"/>
    </row>
    <row r="157" spans="1:15" ht="75" customHeight="1">
      <c r="A157" s="7">
        <f ca="1">IFERROR(__xludf.DUMMYFUNCTION("""COMPUTED_VALUE"""),46081.3940627893)</f>
        <v>46081.394062789303</v>
      </c>
      <c r="B157" s="8" t="str">
        <f ca="1">IFERROR(__xludf.DUMMYFUNCTION("""COMPUTED_VALUE"""),"المعملجي")</f>
        <v>المعملجي</v>
      </c>
      <c r="C157" s="9" t="str">
        <f ca="1">IFERROR(__xludf.DUMMYFUNCTION("""COMPUTED_VALUE"""),"وحدة الكهرباء")</f>
        <v>وحدة الكهرباء</v>
      </c>
      <c r="D157" s="10" t="str">
        <f ca="1">IFERROR(__xludf.DUMMYFUNCTION("""COMPUTED_VALUE"""),"قسم المشاريع الهندسية")</f>
        <v>قسم المشاريع الهندسية</v>
      </c>
      <c r="E157" s="10" t="str">
        <f ca="1">IFERROR(__xludf.DUMMYFUNCTION("""COMPUTED_VALUE"""),"F-  ابتدائية جود العميد للبنات (الرابعة)")</f>
        <v>F-  ابتدائية جود العميد للبنات (الرابعة)</v>
      </c>
      <c r="F157" s="10" t="str">
        <f ca="1">IFERROR(__xludf.DUMMYFUNCTION("""COMPUTED_VALUE"""),"الطابق الاول, جناح الادائرة ZONE A")</f>
        <v>الطابق الاول, جناح الادائرة ZONE A</v>
      </c>
      <c r="G157" s="10" t="str">
        <f ca="1">IFERROR(__xludf.DUMMYFUNCTION("""COMPUTED_VALUE"""),"صيانة بلك سويج 13A بدون استبدال")</f>
        <v>صيانة بلك سويج 13A بدون استبدال</v>
      </c>
      <c r="H157" s="10"/>
      <c r="I157" s="12" t="s">
        <v>15</v>
      </c>
      <c r="J157" s="13" t="s">
        <v>16</v>
      </c>
      <c r="K157" s="7">
        <v>46081.396557546293</v>
      </c>
      <c r="L157" s="14"/>
      <c r="M157" s="10"/>
      <c r="N157" s="10"/>
      <c r="O157" s="7"/>
    </row>
    <row r="158" spans="1:15" ht="75" customHeight="1">
      <c r="A158" s="7">
        <f ca="1">IFERROR(__xludf.DUMMYFUNCTION("""COMPUTED_VALUE"""),46081.3944104861)</f>
        <v>46081.3944104861</v>
      </c>
      <c r="B158" s="8" t="str">
        <f ca="1">IFERROR(__xludf.DUMMYFUNCTION("""COMPUTED_VALUE"""),"المعملجي")</f>
        <v>المعملجي</v>
      </c>
      <c r="C158" s="9" t="str">
        <f ca="1">IFERROR(__xludf.DUMMYFUNCTION("""COMPUTED_VALUE"""),"وحدة الكهرباء")</f>
        <v>وحدة الكهرباء</v>
      </c>
      <c r="D158" s="10" t="str">
        <f ca="1">IFERROR(__xludf.DUMMYFUNCTION("""COMPUTED_VALUE"""),"قسم المشاريع الهندسية")</f>
        <v>قسم المشاريع الهندسية</v>
      </c>
      <c r="E158" s="10" t="str">
        <f ca="1">IFERROR(__xludf.DUMMYFUNCTION("""COMPUTED_VALUE"""),"F-  ابتدائية جود العميد للبنات (الرابعة)")</f>
        <v>F-  ابتدائية جود العميد للبنات (الرابعة)</v>
      </c>
      <c r="F158" s="10" t="str">
        <f ca="1">IFERROR(__xludf.DUMMYFUNCTION("""COMPUTED_VALUE"""),"كل البناية")</f>
        <v>كل البناية</v>
      </c>
      <c r="G158" s="10" t="str">
        <f ca="1">IFERROR(__xludf.DUMMYFUNCTION("""COMPUTED_VALUE"""),"تنظيف غرف الكهرباء")</f>
        <v>تنظيف غرف الكهرباء</v>
      </c>
      <c r="H158" s="10"/>
      <c r="I158" s="12" t="s">
        <v>15</v>
      </c>
      <c r="J158" s="13" t="s">
        <v>16</v>
      </c>
      <c r="K158" s="7">
        <v>46081.396547025462</v>
      </c>
      <c r="L158" s="14"/>
      <c r="M158" s="10"/>
      <c r="N158" s="10"/>
      <c r="O158" s="7"/>
    </row>
    <row r="159" spans="1:15" ht="75" customHeight="1">
      <c r="A159" s="7">
        <f ca="1">IFERROR(__xludf.DUMMYFUNCTION("""COMPUTED_VALUE"""),46081.3947878009)</f>
        <v>46081.394787800898</v>
      </c>
      <c r="B159" s="8" t="str">
        <f ca="1">IFERROR(__xludf.DUMMYFUNCTION("""COMPUTED_VALUE"""),"المعملجي")</f>
        <v>المعملجي</v>
      </c>
      <c r="C159" s="9" t="str">
        <f ca="1">IFERROR(__xludf.DUMMYFUNCTION("""COMPUTED_VALUE"""),"وحدة الكهرباء")</f>
        <v>وحدة الكهرباء</v>
      </c>
      <c r="D159" s="10" t="str">
        <f ca="1">IFERROR(__xludf.DUMMYFUNCTION("""COMPUTED_VALUE"""),"قسم المشاريع الهندسية")</f>
        <v>قسم المشاريع الهندسية</v>
      </c>
      <c r="E159" s="10" t="str">
        <f ca="1">IFERROR(__xludf.DUMMYFUNCTION("""COMPUTED_VALUE"""),"G- روضة الجود")</f>
        <v>G- روضة الجود</v>
      </c>
      <c r="F159" s="10" t="str">
        <f ca="1">IFERROR(__xludf.DUMMYFUNCTION("""COMPUTED_VALUE"""),"كل البناية")</f>
        <v>كل البناية</v>
      </c>
      <c r="G159" s="10" t="str">
        <f ca="1">IFERROR(__xludf.DUMMYFUNCTION("""COMPUTED_VALUE"""),"تنظيف غرف الكهرباء")</f>
        <v>تنظيف غرف الكهرباء</v>
      </c>
      <c r="H159" s="10"/>
      <c r="I159" s="12" t="s">
        <v>15</v>
      </c>
      <c r="J159" s="13" t="s">
        <v>16</v>
      </c>
      <c r="K159" s="7">
        <v>46081.396557500004</v>
      </c>
      <c r="L159" s="14"/>
      <c r="M159" s="10"/>
      <c r="N159" s="10"/>
      <c r="O159" s="7"/>
    </row>
    <row r="160" spans="1:15" ht="75" customHeight="1">
      <c r="A160" s="7">
        <f ca="1">IFERROR(__xludf.DUMMYFUNCTION("""COMPUTED_VALUE"""),46081.3951056828)</f>
        <v>46081.395105682801</v>
      </c>
      <c r="B160" s="8" t="str">
        <f ca="1">IFERROR(__xludf.DUMMYFUNCTION("""COMPUTED_VALUE"""),"المعملجي")</f>
        <v>المعملجي</v>
      </c>
      <c r="C160" s="9" t="str">
        <f ca="1">IFERROR(__xludf.DUMMYFUNCTION("""COMPUTED_VALUE"""),"وحدة الكهرباء")</f>
        <v>وحدة الكهرباء</v>
      </c>
      <c r="D160" s="10" t="str">
        <f ca="1">IFERROR(__xludf.DUMMYFUNCTION("""COMPUTED_VALUE"""),"قسم المشاريع الهندسية")</f>
        <v>قسم المشاريع الهندسية</v>
      </c>
      <c r="E160" s="10" t="str">
        <f ca="1">IFERROR(__xludf.DUMMYFUNCTION("""COMPUTED_VALUE"""),"B- روضة القمر")</f>
        <v>B- روضة القمر</v>
      </c>
      <c r="F160" s="10" t="str">
        <f ca="1">IFERROR(__xludf.DUMMYFUNCTION("""COMPUTED_VALUE"""),"كل البناية")</f>
        <v>كل البناية</v>
      </c>
      <c r="G160" s="10" t="str">
        <f ca="1">IFERROR(__xludf.DUMMYFUNCTION("""COMPUTED_VALUE"""),"تنظيف غرف الكهرباء")</f>
        <v>تنظيف غرف الكهرباء</v>
      </c>
      <c r="H160" s="10"/>
      <c r="I160" s="12" t="s">
        <v>15</v>
      </c>
      <c r="J160" s="13" t="s">
        <v>16</v>
      </c>
      <c r="K160" s="7">
        <v>46081.396557141205</v>
      </c>
      <c r="L160" s="14"/>
      <c r="M160" s="10"/>
      <c r="N160" s="10"/>
      <c r="O160" s="7"/>
    </row>
    <row r="161" spans="1:15" ht="75" customHeight="1">
      <c r="A161" s="7">
        <f ca="1">IFERROR(__xludf.DUMMYFUNCTION("""COMPUTED_VALUE"""),46081.3955787152)</f>
        <v>46081.395578715201</v>
      </c>
      <c r="B161" s="8" t="str">
        <f ca="1">IFERROR(__xludf.DUMMYFUNCTION("""COMPUTED_VALUE"""),"المعملجي")</f>
        <v>المعملجي</v>
      </c>
      <c r="C161" s="9" t="str">
        <f ca="1">IFERROR(__xludf.DUMMYFUNCTION("""COMPUTED_VALUE"""),"وحدة الكهرباء")</f>
        <v>وحدة الكهرباء</v>
      </c>
      <c r="D161" s="10" t="str">
        <f ca="1">IFERROR(__xludf.DUMMYFUNCTION("""COMPUTED_VALUE"""),"قسم المشاريع الهندسية")</f>
        <v>قسم المشاريع الهندسية</v>
      </c>
      <c r="E161" s="10" t="str">
        <f ca="1">IFERROR(__xludf.DUMMYFUNCTION("""COMPUTED_VALUE"""),"J- جامعة العميد (السابعة)")</f>
        <v>J- جامعة العميد (السابعة)</v>
      </c>
      <c r="F161" s="10" t="str">
        <f ca="1">IFERROR(__xludf.DUMMYFUNCTION("""COMPUTED_VALUE"""),"السطح")</f>
        <v>السطح</v>
      </c>
      <c r="G161" s="10" t="str">
        <f ca="1">IFERROR(__xludf.DUMMYFUNCTION("""COMPUTED_VALUE"""),"تفعيل بوش (Emegency Diesel Run) لمضخة المدرسة وذلك بعمل دائرة سيطرة مناسبة بفولتية 12V. مع أضافة بوش تشغيل يدوي للمضخة لغرض الفحص.")</f>
        <v>تفعيل بوش (Emegency Diesel Run) لمضخة المدرسة وذلك بعمل دائرة سيطرة مناسبة بفولتية 12V. مع أضافة بوش تشغيل يدوي للمضخة لغرض الفحص.</v>
      </c>
      <c r="H161" s="10"/>
      <c r="I161" s="12" t="s">
        <v>15</v>
      </c>
      <c r="J161" s="13" t="s">
        <v>16</v>
      </c>
      <c r="K161" s="7">
        <v>46081.396585879629</v>
      </c>
      <c r="L161" s="14"/>
      <c r="M161" s="10"/>
      <c r="N161" s="10"/>
      <c r="O161" s="7"/>
    </row>
    <row r="162" spans="1:15" ht="75" customHeight="1">
      <c r="A162" s="7">
        <f ca="1">IFERROR(__xludf.DUMMYFUNCTION("""COMPUTED_VALUE"""),46081.3958455092)</f>
        <v>46081.3958455092</v>
      </c>
      <c r="B162" s="8" t="str">
        <f ca="1">IFERROR(__xludf.DUMMYFUNCTION("""COMPUTED_VALUE"""),"المعملجي")</f>
        <v>المعملجي</v>
      </c>
      <c r="C162" s="9" t="str">
        <f ca="1">IFERROR(__xludf.DUMMYFUNCTION("""COMPUTED_VALUE"""),"وحدة الكهرباء")</f>
        <v>وحدة الكهرباء</v>
      </c>
      <c r="D162" s="10" t="str">
        <f ca="1">IFERROR(__xludf.DUMMYFUNCTION("""COMPUTED_VALUE"""),"قسم المشاريع الهندسية")</f>
        <v>قسم المشاريع الهندسية</v>
      </c>
      <c r="E162" s="10" t="str">
        <f ca="1">IFERROR(__xludf.DUMMYFUNCTION("""COMPUTED_VALUE"""),"H- ابتدائية القمر للبنات (الخامسة)")</f>
        <v>H- ابتدائية القمر للبنات (الخامسة)</v>
      </c>
      <c r="F162" s="10" t="str">
        <f ca="1">IFERROR(__xludf.DUMMYFUNCTION("""COMPUTED_VALUE"""),"الطابق الارضي, جناح الساحة ZONE B")</f>
        <v>الطابق الارضي, جناح الساحة ZONE B</v>
      </c>
      <c r="G162" s="10" t="str">
        <f ca="1">IFERROR(__xludf.DUMMYFUNCTION("""COMPUTED_VALUE"""),"فحص  UPS المدرسة بعد إطفاء الكهرباء عنهُ.
📌 حيث كانت نسبة الشحن بعد قطع الكهرباء لمدة 21 دقيقة 91٪
")</f>
        <v xml:space="preserve">فحص  UPS المدرسة بعد إطفاء الكهرباء عنهُ.
📌 حيث كانت نسبة الشحن بعد قطع الكهرباء لمدة 21 دقيقة 91٪
</v>
      </c>
      <c r="H162" s="10"/>
      <c r="I162" s="12" t="s">
        <v>15</v>
      </c>
      <c r="J162" s="13" t="s">
        <v>16</v>
      </c>
      <c r="K162" s="7">
        <v>46081.396578912041</v>
      </c>
      <c r="L162" s="14"/>
      <c r="M162" s="10"/>
      <c r="N162" s="10"/>
      <c r="O162" s="7"/>
    </row>
    <row r="163" spans="1:15" ht="75" customHeight="1">
      <c r="A163" s="7">
        <f ca="1">IFERROR(__xludf.DUMMYFUNCTION("""COMPUTED_VALUE"""),46082.2785401504)</f>
        <v>46082.278540150401</v>
      </c>
      <c r="B163" s="8" t="str">
        <f ca="1">IFERROR(__xludf.DUMMYFUNCTION("""COMPUTED_VALUE"""),"المعملجي")</f>
        <v>المعملجي</v>
      </c>
      <c r="C163" s="9" t="str">
        <f ca="1">IFERROR(__xludf.DUMMYFUNCTION("""COMPUTED_VALUE"""),"وحدة الكهرباء")</f>
        <v>وحدة الكهرباء</v>
      </c>
      <c r="D163" s="10" t="str">
        <f ca="1">IFERROR(__xludf.DUMMYFUNCTION("""COMPUTED_VALUE"""),"قسم المشاريع الهندسية")</f>
        <v>قسم المشاريع الهندسية</v>
      </c>
      <c r="E163" s="10" t="str">
        <f ca="1">IFERROR(__xludf.DUMMYFUNCTION("""COMPUTED_VALUE"""),"شعبة الصيانة")</f>
        <v>شعبة الصيانة</v>
      </c>
      <c r="F163" s="10" t="str">
        <f ca="1">IFERROR(__xludf.DUMMYFUNCTION("""COMPUTED_VALUE"""),".")</f>
        <v>.</v>
      </c>
      <c r="G163" s="10" t="str">
        <f ca="1">IFERROR(__xludf.DUMMYFUNCTION("""COMPUTED_VALUE"""),"إطلاق النسخة التجريبية من برنامج الإسناد الهندسي الخاص بشعبة الصيانة")</f>
        <v>إطلاق النسخة التجريبية من برنامج الإسناد الهندسي الخاص بشعبة الصيانة</v>
      </c>
      <c r="H163" s="10"/>
      <c r="I163" s="12" t="s">
        <v>15</v>
      </c>
      <c r="J163" s="13" t="s">
        <v>16</v>
      </c>
      <c r="K163" s="7">
        <v>46082.280737361114</v>
      </c>
      <c r="L163" s="14"/>
      <c r="M163" s="10"/>
      <c r="N163" s="10"/>
      <c r="O163" s="7"/>
    </row>
    <row r="164" spans="1:15" ht="75" customHeight="1">
      <c r="A164" s="7">
        <f ca="1">IFERROR(__xludf.DUMMYFUNCTION("""COMPUTED_VALUE"""),46082.2794109837)</f>
        <v>46082.279410983698</v>
      </c>
      <c r="B164" s="8" t="str">
        <f ca="1">IFERROR(__xludf.DUMMYFUNCTION("""COMPUTED_VALUE"""),"المعملجي")</f>
        <v>المعملجي</v>
      </c>
      <c r="C164" s="9" t="str">
        <f ca="1">IFERROR(__xludf.DUMMYFUNCTION("""COMPUTED_VALUE"""),"وحدة الكهرباء")</f>
        <v>وحدة الكهرباء</v>
      </c>
      <c r="D164" s="10" t="str">
        <f ca="1">IFERROR(__xludf.DUMMYFUNCTION("""COMPUTED_VALUE"""),"قسم المشاريع الهندسية")</f>
        <v>قسم المشاريع الهندسية</v>
      </c>
      <c r="E164" s="10" t="str">
        <f ca="1">IFERROR(__xludf.DUMMYFUNCTION("""COMPUTED_VALUE"""),"A- المركز الثقافي")</f>
        <v>A- المركز الثقافي</v>
      </c>
      <c r="F164" s="10" t="str">
        <f ca="1">IFERROR(__xludf.DUMMYFUNCTION("""COMPUTED_VALUE"""),".")</f>
        <v>.</v>
      </c>
      <c r="G164" s="10" t="str">
        <f ca="1">IFERROR(__xludf.DUMMYFUNCTION("""COMPUTED_VALUE"""),"عمل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الطوابق"&amp;" والغرف التي تحتاج للكهرباء خارج اوقات الدوام من محطة الرفع دون الحاجة لتشغيل مولدات المركز الثقافي.")</f>
        <v>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 والغرف التي تحتاج للكهرباء خارج اوقات الدوام من محطة الرفع دون الحاجة لتشغيل مولدات المركز الثقافي.</v>
      </c>
      <c r="H164" s="10"/>
      <c r="I164" s="12" t="s">
        <v>15</v>
      </c>
      <c r="J164" s="13" t="s">
        <v>16</v>
      </c>
      <c r="K164" s="7">
        <v>46082.280738923611</v>
      </c>
      <c r="L164" s="14"/>
      <c r="M164" s="10"/>
      <c r="N164" s="10"/>
      <c r="O164" s="7"/>
    </row>
    <row r="165" spans="1:15" ht="75" customHeight="1">
      <c r="A165" s="7">
        <f ca="1">IFERROR(__xludf.DUMMYFUNCTION("""COMPUTED_VALUE"""),46082.2801990972)</f>
        <v>46082.2801990972</v>
      </c>
      <c r="B165" s="8" t="str">
        <f ca="1">IFERROR(__xludf.DUMMYFUNCTION("""COMPUTED_VALUE"""),"المعملجي")</f>
        <v>المعملجي</v>
      </c>
      <c r="C165" s="9" t="str">
        <f ca="1">IFERROR(__xludf.DUMMYFUNCTION("""COMPUTED_VALUE"""),"وحدة الكهرباء")</f>
        <v>وحدة الكهرباء</v>
      </c>
      <c r="D165" s="10" t="str">
        <f ca="1">IFERROR(__xludf.DUMMYFUNCTION("""COMPUTED_VALUE"""),"قسم المشاريع الهندسية")</f>
        <v>قسم المشاريع الهندسية</v>
      </c>
      <c r="E165" s="10" t="str">
        <f ca="1">IFERROR(__xludf.DUMMYFUNCTION("""COMPUTED_VALUE"""),"A- المركز الثقافي")</f>
        <v>A- المركز الثقافي</v>
      </c>
      <c r="F165" s="10" t="str">
        <f ca="1">IFERROR(__xludf.DUMMYFUNCTION("""COMPUTED_VALUE"""),"الطابق الارضي")</f>
        <v>الطابق الارضي</v>
      </c>
      <c r="G165" s="10" t="str">
        <f ca="1">IFERROR(__xludf.DUMMYFUNCTION("""COMPUTED_VALUE"""),"تم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f>
        <v>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v>
      </c>
      <c r="H165" s="10"/>
      <c r="I165" s="12" t="s">
        <v>15</v>
      </c>
      <c r="J165" s="13" t="s">
        <v>16</v>
      </c>
      <c r="K165" s="7">
        <v>46082.280750601851</v>
      </c>
      <c r="L165" s="14"/>
      <c r="M165" s="10"/>
      <c r="N165" s="10"/>
      <c r="O165" s="7"/>
    </row>
    <row r="166" spans="1:15" ht="75" customHeight="1">
      <c r="A166" s="7">
        <f ca="1">IFERROR(__xludf.DUMMYFUNCTION("""COMPUTED_VALUE"""),46082.280528368)</f>
        <v>46082.280528367999</v>
      </c>
      <c r="B166" s="8" t="str">
        <f ca="1">IFERROR(__xludf.DUMMYFUNCTION("""COMPUTED_VALUE"""),"المعملجي")</f>
        <v>المعملجي</v>
      </c>
      <c r="C166" s="9" t="str">
        <f ca="1">IFERROR(__xludf.DUMMYFUNCTION("""COMPUTED_VALUE"""),"وحدة الكهرباء")</f>
        <v>وحدة الكهرباء</v>
      </c>
      <c r="D166" s="10" t="str">
        <f ca="1">IFERROR(__xludf.DUMMYFUNCTION("""COMPUTED_VALUE"""),"قسم المشاريع الهندسية")</f>
        <v>قسم المشاريع الهندسية</v>
      </c>
      <c r="E166" s="10" t="str">
        <f ca="1">IFERROR(__xludf.DUMMYFUNCTION("""COMPUTED_VALUE"""),"E- ابتدائية العميد للبنات (الثالثة)")</f>
        <v>E- ابتدائية العميد للبنات (الثالثة)</v>
      </c>
      <c r="F166" s="10" t="str">
        <f ca="1">IFERROR(__xludf.DUMMYFUNCTION("""COMPUTED_VALUE"""),"الطابق الارضي")</f>
        <v>الطابق الارضي</v>
      </c>
      <c r="G166" s="10" t="str">
        <f ca="1">IFERROR(__xludf.DUMMYFUNCTION("""COMPUTED_VALUE"""),"تم ترتيب وتنظيف مخزن وحدة الكهرباء")</f>
        <v>تم ترتيب وتنظيف مخزن وحدة الكهرباء</v>
      </c>
      <c r="H166" s="10"/>
      <c r="I166" s="12" t="s">
        <v>15</v>
      </c>
      <c r="J166" s="13" t="s">
        <v>16</v>
      </c>
      <c r="K166" s="7">
        <v>46082.28076631944</v>
      </c>
      <c r="L166" s="14"/>
      <c r="M166" s="10"/>
      <c r="N166" s="10"/>
      <c r="O166" s="7"/>
    </row>
    <row r="167" spans="1:15" ht="75" customHeight="1">
      <c r="A167" s="7">
        <f ca="1">IFERROR(__xludf.DUMMYFUNCTION("""COMPUTED_VALUE"""),46056.3438253009)</f>
        <v>46056.343825300901</v>
      </c>
      <c r="B167" s="8" t="str">
        <f ca="1">IFERROR(__xludf.DUMMYFUNCTION("""COMPUTED_VALUE"""),"المعملجي")</f>
        <v>المعملجي</v>
      </c>
      <c r="C167" s="9" t="str">
        <f ca="1">IFERROR(__xludf.DUMMYFUNCTION("""COMPUTED_VALUE"""),"سجاد تربية")</f>
        <v>سجاد تربية</v>
      </c>
      <c r="D167" s="10" t="str">
        <f ca="1">IFERROR(__xludf.DUMMYFUNCTION("""COMPUTED_VALUE"""),"قسم التربية والتعليم العالي")</f>
        <v>قسم التربية والتعليم العالي</v>
      </c>
      <c r="E167" s="10" t="str">
        <f ca="1">IFERROR(__xludf.DUMMYFUNCTION("""COMPUTED_VALUE"""),"D- ثانوية العميد بناية المتوسطة  (الثانية)")</f>
        <v>D- ثانوية العميد بناية المتوسطة  (الثانية)</v>
      </c>
      <c r="F167" s="10" t="str">
        <f ca="1">IFERROR(__xludf.DUMMYFUNCTION("""COMPUTED_VALUE"""),"الطابق الارضي")</f>
        <v>الطابق الارضي</v>
      </c>
      <c r="G167" s="10" t="str">
        <f ca="1">IFERROR(__xludf.DUMMYFUNCTION("""COMPUTED_VALUE"""),"صيانة الباب الرئيسية ")</f>
        <v xml:space="preserve">صيانة الباب الرئيسية </v>
      </c>
      <c r="H167" s="10"/>
      <c r="I167" s="12" t="s">
        <v>21</v>
      </c>
      <c r="J167" s="13" t="s">
        <v>16</v>
      </c>
      <c r="K167" s="7">
        <v>46056.55967959491</v>
      </c>
      <c r="L167" s="14"/>
      <c r="M167" s="10"/>
      <c r="N167" s="10" t="s">
        <v>17</v>
      </c>
      <c r="O167" s="7">
        <v>46068.487873333332</v>
      </c>
    </row>
    <row r="168" spans="1:15" ht="75" customHeight="1">
      <c r="A168" s="7">
        <f ca="1">IFERROR(__xludf.DUMMYFUNCTION("""COMPUTED_VALUE"""),46058.5639268865)</f>
        <v>46058.563926886498</v>
      </c>
      <c r="B168" s="8" t="str">
        <f ca="1">IFERROR(__xludf.DUMMYFUNCTION("""COMPUTED_VALUE"""),"المعملجي")</f>
        <v>المعملجي</v>
      </c>
      <c r="C168" s="9" t="str">
        <f ca="1">IFERROR(__xludf.DUMMYFUNCTION("""COMPUTED_VALUE"""),"سجاد تربية")</f>
        <v>سجاد تربية</v>
      </c>
      <c r="D168" s="10" t="str">
        <f ca="1">IFERROR(__xludf.DUMMYFUNCTION("""COMPUTED_VALUE"""),"قسم التربية والتعليم العالي")</f>
        <v>قسم التربية والتعليم العالي</v>
      </c>
      <c r="E168" s="10" t="str">
        <f ca="1">IFERROR(__xludf.DUMMYFUNCTION("""COMPUTED_VALUE"""),"النافورة")</f>
        <v>النافورة</v>
      </c>
      <c r="F168" s="10" t="str">
        <f ca="1">IFERROR(__xludf.DUMMYFUNCTION("""COMPUTED_VALUE"""),"الطابق الارضي")</f>
        <v>الطابق الارضي</v>
      </c>
      <c r="G168" s="10" t="str">
        <f ca="1">IFERROR(__xludf.DUMMYFUNCTION("""COMPUTED_VALUE"""),"معالجة وسنفرة الرصيف الخارجي للنافور")</f>
        <v>معالجة وسنفرة الرصيف الخارجي للنافور</v>
      </c>
      <c r="H168" s="10"/>
      <c r="I168" s="12" t="s">
        <v>21</v>
      </c>
      <c r="J168" s="13" t="s">
        <v>16</v>
      </c>
      <c r="K168" s="7"/>
      <c r="L168" s="14"/>
      <c r="M168" s="10"/>
      <c r="N168" s="10" t="s">
        <v>17</v>
      </c>
      <c r="O168" s="7">
        <v>46068.487873587961</v>
      </c>
    </row>
    <row r="169" spans="1:15" ht="75" customHeight="1">
      <c r="A169" s="7">
        <f ca="1">IFERROR(__xludf.DUMMYFUNCTION("""COMPUTED_VALUE"""),46058.5649495833)</f>
        <v>46058.564949583299</v>
      </c>
      <c r="B169" s="8" t="str">
        <f ca="1">IFERROR(__xludf.DUMMYFUNCTION("""COMPUTED_VALUE"""),"المعملجي")</f>
        <v>المعملجي</v>
      </c>
      <c r="C169" s="9" t="str">
        <f ca="1">IFERROR(__xludf.DUMMYFUNCTION("""COMPUTED_VALUE"""),"سجاد تربية")</f>
        <v>سجاد تربية</v>
      </c>
      <c r="D169" s="10" t="str">
        <f ca="1">IFERROR(__xludf.DUMMYFUNCTION("""COMPUTED_VALUE"""),"قسم التربية والتعليم العالي")</f>
        <v>قسم التربية والتعليم العالي</v>
      </c>
      <c r="E169" s="10" t="str">
        <f ca="1">IFERROR(__xludf.DUMMYFUNCTION("""COMPUTED_VALUE"""),"النافورة")</f>
        <v>النافورة</v>
      </c>
      <c r="F169" s="10" t="str">
        <f ca="1">IFERROR(__xludf.DUMMYFUNCTION("""COMPUTED_VALUE"""),"الطابق الارضي")</f>
        <v>الطابق الارضي</v>
      </c>
      <c r="G169" s="10" t="str">
        <f ca="1">IFERROR(__xludf.DUMMYFUNCTION("""COMPUTED_VALUE"""),"معالجة وسنفرة أعمدة الانارة محيط النافورة")</f>
        <v>معالجة وسنفرة أعمدة الانارة محيط النافورة</v>
      </c>
      <c r="H169" s="10"/>
      <c r="I169" s="12" t="s">
        <v>21</v>
      </c>
      <c r="J169" s="13" t="s">
        <v>16</v>
      </c>
      <c r="K169" s="7"/>
      <c r="L169" s="14"/>
      <c r="M169" s="10"/>
      <c r="N169" s="10" t="s">
        <v>17</v>
      </c>
      <c r="O169" s="7">
        <v>46068.487873726852</v>
      </c>
    </row>
    <row r="170" spans="1:15" ht="75" customHeight="1">
      <c r="A170" s="7">
        <f ca="1">IFERROR(__xludf.DUMMYFUNCTION("""COMPUTED_VALUE"""),46058.565694074)</f>
        <v>46058.565694074001</v>
      </c>
      <c r="B170" s="8" t="str">
        <f ca="1">IFERROR(__xludf.DUMMYFUNCTION("""COMPUTED_VALUE"""),"المعملجي")</f>
        <v>المعملجي</v>
      </c>
      <c r="C170" s="9" t="str">
        <f ca="1">IFERROR(__xludf.DUMMYFUNCTION("""COMPUTED_VALUE"""),"سجاد تربية")</f>
        <v>سجاد تربية</v>
      </c>
      <c r="D170" s="10" t="str">
        <f ca="1">IFERROR(__xludf.DUMMYFUNCTION("""COMPUTED_VALUE"""),"قسم التربية والتعليم العالي")</f>
        <v>قسم التربية والتعليم العالي</v>
      </c>
      <c r="E170" s="10" t="str">
        <f ca="1">IFERROR(__xludf.DUMMYFUNCTION("""COMPUTED_VALUE"""),"النافورة ")</f>
        <v xml:space="preserve">النافورة </v>
      </c>
      <c r="F170" s="10" t="str">
        <f ca="1">IFERROR(__xludf.DUMMYFUNCTION("""COMPUTED_VALUE"""),"الطابق الارضي")</f>
        <v>الطابق الارضي</v>
      </c>
      <c r="G170" s="10" t="str">
        <f ca="1">IFERROR(__xludf.DUMMYFUNCTION("""COMPUTED_VALUE"""),"معالجة الرصيف الداخلي لحديقة النافورة")</f>
        <v>معالجة الرصيف الداخلي لحديقة النافورة</v>
      </c>
      <c r="H170" s="10"/>
      <c r="I170" s="12" t="s">
        <v>21</v>
      </c>
      <c r="J170" s="13" t="s">
        <v>16</v>
      </c>
      <c r="K170" s="7"/>
      <c r="L170" s="14"/>
      <c r="M170" s="10"/>
      <c r="N170" s="10" t="s">
        <v>17</v>
      </c>
      <c r="O170" s="7">
        <v>46068.487873796301</v>
      </c>
    </row>
    <row r="171" spans="1:15" ht="75" customHeight="1">
      <c r="A171" s="7">
        <f ca="1">IFERROR(__xludf.DUMMYFUNCTION("""COMPUTED_VALUE"""),46058.5664958333)</f>
        <v>46058.5664958333</v>
      </c>
      <c r="B171" s="8" t="str">
        <f ca="1">IFERROR(__xludf.DUMMYFUNCTION("""COMPUTED_VALUE"""),"المعملجي")</f>
        <v>المعملجي</v>
      </c>
      <c r="C171" s="9" t="str">
        <f ca="1">IFERROR(__xludf.DUMMYFUNCTION("""COMPUTED_VALUE"""),"سجاد تربية")</f>
        <v>سجاد تربية</v>
      </c>
      <c r="D171" s="10" t="str">
        <f ca="1">IFERROR(__xludf.DUMMYFUNCTION("""COMPUTED_VALUE"""),"قسم التربية والتعليم العالي")</f>
        <v>قسم التربية والتعليم العالي</v>
      </c>
      <c r="E171" s="10" t="str">
        <f ca="1">IFERROR(__xludf.DUMMYFUNCTION("""COMPUTED_VALUE"""),"النافورة")</f>
        <v>النافورة</v>
      </c>
      <c r="F171" s="10" t="str">
        <f ca="1">IFERROR(__xludf.DUMMYFUNCTION("""COMPUTED_VALUE"""),"الطابق الارضي")</f>
        <v>الطابق الارضي</v>
      </c>
      <c r="G171" s="10" t="str">
        <f ca="1">IFERROR(__xludf.DUMMYFUNCTION("""COMPUTED_VALUE"""),"صبغ أساس وصبغ نهائي لرصيف النافورة الخارجي")</f>
        <v>صبغ أساس وصبغ نهائي لرصيف النافورة الخارجي</v>
      </c>
      <c r="H171" s="10"/>
      <c r="I171" s="12" t="s">
        <v>21</v>
      </c>
      <c r="J171" s="13" t="s">
        <v>16</v>
      </c>
      <c r="K171" s="7"/>
      <c r="L171" s="14"/>
      <c r="M171" s="10"/>
      <c r="N171" s="10" t="s">
        <v>17</v>
      </c>
      <c r="O171" s="7">
        <v>46068.487873877311</v>
      </c>
    </row>
    <row r="172" spans="1:15" ht="75" customHeight="1">
      <c r="A172" s="7">
        <f ca="1">IFERROR(__xludf.DUMMYFUNCTION("""COMPUTED_VALUE"""),46058.5673067476)</f>
        <v>46058.567306747602</v>
      </c>
      <c r="B172" s="8" t="str">
        <f ca="1">IFERROR(__xludf.DUMMYFUNCTION("""COMPUTED_VALUE"""),"المعملجي")</f>
        <v>المعملجي</v>
      </c>
      <c r="C172" s="9" t="str">
        <f ca="1">IFERROR(__xludf.DUMMYFUNCTION("""COMPUTED_VALUE"""),"سجاد تربية")</f>
        <v>سجاد تربية</v>
      </c>
      <c r="D172" s="10" t="str">
        <f ca="1">IFERROR(__xludf.DUMMYFUNCTION("""COMPUTED_VALUE"""),"قسم التربية والتعليم العالي")</f>
        <v>قسم التربية والتعليم العالي</v>
      </c>
      <c r="E172" s="10" t="str">
        <f ca="1">IFERROR(__xludf.DUMMYFUNCTION("""COMPUTED_VALUE"""),"النافورة")</f>
        <v>النافورة</v>
      </c>
      <c r="F172" s="10" t="str">
        <f ca="1">IFERROR(__xludf.DUMMYFUNCTION("""COMPUTED_VALUE"""),"الطابق الارضي")</f>
        <v>الطابق الارضي</v>
      </c>
      <c r="G172" s="10" t="str">
        <f ca="1">IFERROR(__xludf.DUMMYFUNCTION("""COMPUTED_VALUE"""),"صبغ أساس وصبغ نهائي لاعمدة محيط النافورة")</f>
        <v>صبغ أساس وصبغ نهائي لاعمدة محيط النافورة</v>
      </c>
      <c r="H172" s="10"/>
      <c r="I172" s="12" t="s">
        <v>21</v>
      </c>
      <c r="J172" s="13" t="s">
        <v>16</v>
      </c>
      <c r="K172" s="7"/>
      <c r="L172" s="14"/>
      <c r="M172" s="10"/>
      <c r="N172" s="10" t="s">
        <v>17</v>
      </c>
      <c r="O172" s="7">
        <v>46068.487873958336</v>
      </c>
    </row>
    <row r="173" spans="1:15" ht="75" customHeight="1">
      <c r="A173" s="7">
        <f ca="1">IFERROR(__xludf.DUMMYFUNCTION("""COMPUTED_VALUE"""),46058.5679880324)</f>
        <v>46058.567988032402</v>
      </c>
      <c r="B173" s="8" t="str">
        <f ca="1">IFERROR(__xludf.DUMMYFUNCTION("""COMPUTED_VALUE"""),"المعملجي")</f>
        <v>المعملجي</v>
      </c>
      <c r="C173" s="9" t="str">
        <f ca="1">IFERROR(__xludf.DUMMYFUNCTION("""COMPUTED_VALUE"""),"سجاد تربية")</f>
        <v>سجاد تربية</v>
      </c>
      <c r="D173" s="10" t="str">
        <f ca="1">IFERROR(__xludf.DUMMYFUNCTION("""COMPUTED_VALUE"""),"قسم التربية والتعليم العالي")</f>
        <v>قسم التربية والتعليم العالي</v>
      </c>
      <c r="E173" s="10" t="str">
        <f ca="1">IFERROR(__xludf.DUMMYFUNCTION("""COMPUTED_VALUE"""),"النافوره ")</f>
        <v xml:space="preserve">النافوره </v>
      </c>
      <c r="F173" s="10" t="str">
        <f ca="1">IFERROR(__xludf.DUMMYFUNCTION("""COMPUTED_VALUE"""),"الطابق الارضي")</f>
        <v>الطابق الارضي</v>
      </c>
      <c r="G173" s="10" t="str">
        <f ca="1">IFERROR(__xludf.DUMMYFUNCTION("""COMPUTED_VALUE"""),"صبغ أساس وصبغ نهائي لرصيف حديقة النافورة الداخلي")</f>
        <v>صبغ أساس وصبغ نهائي لرصيف حديقة النافورة الداخلي</v>
      </c>
      <c r="H173" s="10"/>
      <c r="I173" s="12" t="s">
        <v>21</v>
      </c>
      <c r="J173" s="13" t="s">
        <v>16</v>
      </c>
      <c r="K173" s="7"/>
      <c r="L173" s="14"/>
      <c r="M173" s="10"/>
      <c r="N173" s="10" t="s">
        <v>17</v>
      </c>
      <c r="O173" s="7">
        <v>46068.487874062499</v>
      </c>
    </row>
    <row r="174" spans="1:15" ht="75" customHeight="1">
      <c r="A174" s="7">
        <f ca="1">IFERROR(__xludf.DUMMYFUNCTION("""COMPUTED_VALUE"""),46058.5696522106)</f>
        <v>46058.569652210601</v>
      </c>
      <c r="B174" s="8" t="str">
        <f ca="1">IFERROR(__xludf.DUMMYFUNCTION("""COMPUTED_VALUE"""),"المعملجي")</f>
        <v>المعملجي</v>
      </c>
      <c r="C174" s="9" t="str">
        <f ca="1">IFERROR(__xludf.DUMMYFUNCTION("""COMPUTED_VALUE"""),"وحدة المدني ")</f>
        <v xml:space="preserve">وحدة المدني </v>
      </c>
      <c r="D174" s="10" t="str">
        <f ca="1">IFERROR(__xludf.DUMMYFUNCTION("""COMPUTED_VALUE"""),"قسم المشاريع الهندسية")</f>
        <v>قسم المشاريع الهندسية</v>
      </c>
      <c r="E174" s="10" t="str">
        <f ca="1">IFERROR(__xludf.DUMMYFUNCTION("""COMPUTED_VALUE"""),"D- ثانوية العميد بناية المتوسطة  (الثانية)")</f>
        <v>D- ثانوية العميد بناية المتوسطة  (الثانية)</v>
      </c>
      <c r="F174" s="10" t="str">
        <f ca="1">IFERROR(__xludf.DUMMYFUNCTION("""COMPUTED_VALUE"""),"الطابق الاول, جناح الساحة ZONE B")</f>
        <v>الطابق الاول, جناح الساحة ZONE B</v>
      </c>
      <c r="G174" s="10" t="str">
        <f ca="1">IFERROR(__xludf.DUMMYFUNCTION("""COMPUTED_VALUE"""),"صيانة باب المنيوم ")</f>
        <v xml:space="preserve">صيانة باب المنيوم </v>
      </c>
      <c r="H174" s="10"/>
      <c r="I174" s="12" t="s">
        <v>21</v>
      </c>
      <c r="J174" s="13" t="s">
        <v>16</v>
      </c>
      <c r="K174" s="7"/>
      <c r="L174" s="14"/>
      <c r="M174" s="10"/>
      <c r="N174" s="10" t="s">
        <v>17</v>
      </c>
      <c r="O174" s="7">
        <v>46068.487874155093</v>
      </c>
    </row>
    <row r="175" spans="1:15" ht="75" customHeight="1">
      <c r="A175" s="7">
        <f ca="1">IFERROR(__xludf.DUMMYFUNCTION("""COMPUTED_VALUE"""),46058.5701079629)</f>
        <v>46058.5701079629</v>
      </c>
      <c r="B175" s="8" t="str">
        <f ca="1">IFERROR(__xludf.DUMMYFUNCTION("""COMPUTED_VALUE"""),"المعملجي")</f>
        <v>المعملجي</v>
      </c>
      <c r="C175" s="9" t="str">
        <f ca="1">IFERROR(__xludf.DUMMYFUNCTION("""COMPUTED_VALUE"""),"وحدة المدني ")</f>
        <v xml:space="preserve">وحدة المدني </v>
      </c>
      <c r="D175" s="10" t="str">
        <f ca="1">IFERROR(__xludf.DUMMYFUNCTION("""COMPUTED_VALUE"""),"قسم المشاريع الهندسية")</f>
        <v>قسم المشاريع الهندسية</v>
      </c>
      <c r="E175" s="10" t="str">
        <f ca="1">IFERROR(__xludf.DUMMYFUNCTION("""COMPUTED_VALUE"""),"C- ثانوية العميد بناية الاعدادية  (الاولى)")</f>
        <v>C- ثانوية العميد بناية الاعدادية  (الاولى)</v>
      </c>
      <c r="F175" s="10" t="str">
        <f ca="1">IFERROR(__xludf.DUMMYFUNCTION("""COMPUTED_VALUE"""),"الطابق الارضي, جناح الساحة ZONE B")</f>
        <v>الطابق الارضي, جناح الساحة ZONE B</v>
      </c>
      <c r="G175" s="10" t="str">
        <f ca="1">IFERROR(__xludf.DUMMYFUNCTION("""COMPUTED_VALUE"""),"صيانة باب المنيوم ")</f>
        <v xml:space="preserve">صيانة باب المنيوم </v>
      </c>
      <c r="H175" s="10"/>
      <c r="I175" s="12" t="s">
        <v>21</v>
      </c>
      <c r="J175" s="13" t="s">
        <v>16</v>
      </c>
      <c r="K175" s="7"/>
      <c r="L175" s="14"/>
      <c r="M175" s="10"/>
      <c r="N175" s="10" t="s">
        <v>17</v>
      </c>
      <c r="O175" s="7">
        <v>46068.487874293976</v>
      </c>
    </row>
    <row r="176" spans="1:15" ht="75" customHeight="1">
      <c r="A176" s="7">
        <f ca="1">IFERROR(__xludf.DUMMYFUNCTION("""COMPUTED_VALUE"""),46058.5707481944)</f>
        <v>46058.570748194397</v>
      </c>
      <c r="B176" s="8" t="str">
        <f ca="1">IFERROR(__xludf.DUMMYFUNCTION("""COMPUTED_VALUE"""),"المعملجي")</f>
        <v>المعملجي</v>
      </c>
      <c r="C176" s="9" t="str">
        <f ca="1">IFERROR(__xludf.DUMMYFUNCTION("""COMPUTED_VALUE"""),"وحدة المدني ")</f>
        <v xml:space="preserve">وحدة المدني </v>
      </c>
      <c r="D176" s="10" t="str">
        <f ca="1">IFERROR(__xludf.DUMMYFUNCTION("""COMPUTED_VALUE"""),"قسم المشاريع الهندسية")</f>
        <v>قسم المشاريع الهندسية</v>
      </c>
      <c r="E176" s="10" t="str">
        <f ca="1">IFERROR(__xludf.DUMMYFUNCTION("""COMPUTED_VALUE"""),"C- ثانوية العميد بناية الاعدادية  (الاولى)")</f>
        <v>C- ثانوية العميد بناية الاعدادية  (الاولى)</v>
      </c>
      <c r="F176" s="10" t="str">
        <f ca="1">IFERROR(__xludf.DUMMYFUNCTION("""COMPUTED_VALUE"""),"الطابق الاول, جناح الساحة ZONE B")</f>
        <v>الطابق الاول, جناح الساحة ZONE B</v>
      </c>
      <c r="G176" s="10" t="str">
        <f ca="1">IFERROR(__xludf.DUMMYFUNCTION("""COMPUTED_VALUE"""),"صيانة سقوف ثانوية")</f>
        <v>صيانة سقوف ثانوية</v>
      </c>
      <c r="H176" s="10"/>
      <c r="I176" s="12" t="s">
        <v>21</v>
      </c>
      <c r="J176" s="13" t="s">
        <v>16</v>
      </c>
      <c r="K176" s="7"/>
      <c r="L176" s="14"/>
      <c r="M176" s="10"/>
      <c r="N176" s="10" t="s">
        <v>17</v>
      </c>
      <c r="O176" s="7">
        <v>46068.48787438657</v>
      </c>
    </row>
    <row r="177" spans="1:15" ht="75" customHeight="1">
      <c r="A177" s="7">
        <f ca="1">IFERROR(__xludf.DUMMYFUNCTION("""COMPUTED_VALUE"""),46058.5713325694)</f>
        <v>46058.571332569401</v>
      </c>
      <c r="B177" s="8" t="str">
        <f ca="1">IFERROR(__xludf.DUMMYFUNCTION("""COMPUTED_VALUE"""),"المعملجي")</f>
        <v>المعملجي</v>
      </c>
      <c r="C177" s="9" t="str">
        <f ca="1">IFERROR(__xludf.DUMMYFUNCTION("""COMPUTED_VALUE"""),"وحدة المدني ")</f>
        <v xml:space="preserve">وحدة المدني </v>
      </c>
      <c r="D177" s="10" t="str">
        <f ca="1">IFERROR(__xludf.DUMMYFUNCTION("""COMPUTED_VALUE"""),"قسم المشاريع الهندسية")</f>
        <v>قسم المشاريع الهندسية</v>
      </c>
      <c r="E177" s="10" t="str">
        <f ca="1">IFERROR(__xludf.DUMMYFUNCTION("""COMPUTED_VALUE"""),"D- ثانوية العميد بناية المتوسطة  (الثانية)")</f>
        <v>D- ثانوية العميد بناية المتوسطة  (الثانية)</v>
      </c>
      <c r="F177" s="10" t="str">
        <f ca="1">IFERROR(__xludf.DUMMYFUNCTION("""COMPUTED_VALUE"""),"الطابق الاول, جناح الساحة ZONE B")</f>
        <v>الطابق الاول, جناح الساحة ZONE B</v>
      </c>
      <c r="G177" s="10" t="str">
        <f ca="1">IFERROR(__xludf.DUMMYFUNCTION("""COMPUTED_VALUE"""),"صيانة سقوف ثانوية ")</f>
        <v xml:space="preserve">صيانة سقوف ثانوية </v>
      </c>
      <c r="H177" s="10"/>
      <c r="I177" s="12" t="s">
        <v>21</v>
      </c>
      <c r="J177" s="13" t="s">
        <v>16</v>
      </c>
      <c r="K177" s="7"/>
      <c r="L177" s="14"/>
      <c r="M177" s="10"/>
      <c r="N177" s="10" t="s">
        <v>17</v>
      </c>
      <c r="O177" s="7">
        <v>46068.48787449074</v>
      </c>
    </row>
    <row r="178" spans="1:15" ht="75" customHeight="1">
      <c r="A178" s="7">
        <f ca="1">IFERROR(__xludf.DUMMYFUNCTION("""COMPUTED_VALUE"""),46060.3997686226)</f>
        <v>46060.399768622599</v>
      </c>
      <c r="B178" s="8" t="str">
        <f ca="1">IFERROR(__xludf.DUMMYFUNCTION("""COMPUTED_VALUE"""),"المعملجي")</f>
        <v>المعملجي</v>
      </c>
      <c r="C178" s="9" t="str">
        <f ca="1">IFERROR(__xludf.DUMMYFUNCTION("""COMPUTED_VALUE"""),"سجاد تربية")</f>
        <v>سجاد تربية</v>
      </c>
      <c r="D178" s="10" t="str">
        <f ca="1">IFERROR(__xludf.DUMMYFUNCTION("""COMPUTED_VALUE"""),"قسم التربية والتعليم العالي")</f>
        <v>قسم التربية والتعليم العالي</v>
      </c>
      <c r="E178" s="10" t="str">
        <f ca="1">IFERROR(__xludf.DUMMYFUNCTION("""COMPUTED_VALUE"""),"H- ابتدائية القمر للبنات (الخامسة)")</f>
        <v>H- ابتدائية القمر للبنات (الخامسة)</v>
      </c>
      <c r="F178" s="10" t="str">
        <f ca="1">IFERROR(__xludf.DUMMYFUNCTION("""COMPUTED_VALUE"""),"جناح الساحة ZONE B")</f>
        <v>جناح الساحة ZONE B</v>
      </c>
      <c r="G178" s="10" t="str">
        <f ca="1">IFERROR(__xludf.DUMMYFUNCTION("""COMPUTED_VALUE"""),"صيانة باب الالمنيوم المطلة على الساحة المستطيلة ")</f>
        <v xml:space="preserve">صيانة باب الالمنيوم المطلة على الساحة المستطيلة </v>
      </c>
      <c r="H178" s="10"/>
      <c r="I178" s="12" t="s">
        <v>21</v>
      </c>
      <c r="J178" s="13" t="s">
        <v>16</v>
      </c>
      <c r="K178" s="7">
        <v>46062.582360196757</v>
      </c>
      <c r="L178" s="14"/>
      <c r="M178" s="10"/>
      <c r="N178" s="10" t="s">
        <v>23</v>
      </c>
      <c r="O178" s="7">
        <v>46068.487542048606</v>
      </c>
    </row>
    <row r="179" spans="1:15" ht="75" customHeight="1">
      <c r="A179" s="7">
        <f ca="1">IFERROR(__xludf.DUMMYFUNCTION("""COMPUTED_VALUE"""),46060.5191751157)</f>
        <v>46060.519175115704</v>
      </c>
      <c r="B179" s="8" t="str">
        <f ca="1">IFERROR(__xludf.DUMMYFUNCTION("""COMPUTED_VALUE"""),"المعملجي")</f>
        <v>المعملجي</v>
      </c>
      <c r="C179" s="9" t="str">
        <f ca="1">IFERROR(__xludf.DUMMYFUNCTION("""COMPUTED_VALUE"""),"سجاد تربية")</f>
        <v>سجاد تربية</v>
      </c>
      <c r="D179" s="10" t="str">
        <f ca="1">IFERROR(__xludf.DUMMYFUNCTION("""COMPUTED_VALUE"""),"قسم التربية والتعليم العالي")</f>
        <v>قسم التربية والتعليم العالي</v>
      </c>
      <c r="E179" s="10" t="str">
        <f ca="1">IFERROR(__xludf.DUMMYFUNCTION("""COMPUTED_VALUE"""),"C- ثانوية العميد بناية الاعدادية  (الاولى)")</f>
        <v>C- ثانوية العميد بناية الاعدادية  (الاولى)</v>
      </c>
      <c r="F179" s="10" t="str">
        <f ca="1">IFERROR(__xludf.DUMMYFUNCTION("""COMPUTED_VALUE"""),"الطابق الارضي")</f>
        <v>الطابق الارضي</v>
      </c>
      <c r="G179" s="10" t="str">
        <f ca="1">IFERROR(__xludf.DUMMYFUNCTION("""COMPUTED_VALUE"""),"تركيب ستائر في الاستعلامات ")</f>
        <v xml:space="preserve">تركيب ستائر في الاستعلامات </v>
      </c>
      <c r="H179" s="10"/>
      <c r="I179" s="12" t="s">
        <v>21</v>
      </c>
      <c r="J179" s="13" t="s">
        <v>16</v>
      </c>
      <c r="K179" s="7">
        <v>46061.569132638891</v>
      </c>
      <c r="L179" s="14"/>
      <c r="M179" s="10"/>
      <c r="N179" s="10" t="s">
        <v>23</v>
      </c>
      <c r="O179" s="7">
        <v>46068.487553750005</v>
      </c>
    </row>
    <row r="180" spans="1:15" ht="75" customHeight="1">
      <c r="A180" s="7">
        <f ca="1">IFERROR(__xludf.DUMMYFUNCTION("""COMPUTED_VALUE"""),46060.5198335879)</f>
        <v>46060.519833587903</v>
      </c>
      <c r="B180" s="8" t="str">
        <f ca="1">IFERROR(__xludf.DUMMYFUNCTION("""COMPUTED_VALUE"""),"المعملجي")</f>
        <v>المعملجي</v>
      </c>
      <c r="C180" s="9" t="str">
        <f ca="1">IFERROR(__xludf.DUMMYFUNCTION("""COMPUTED_VALUE"""),"سجاد تربية")</f>
        <v>سجاد تربية</v>
      </c>
      <c r="D180" s="10" t="str">
        <f ca="1">IFERROR(__xludf.DUMMYFUNCTION("""COMPUTED_VALUE"""),"قسم التربية والتعليم العالي")</f>
        <v>قسم التربية والتعليم العالي</v>
      </c>
      <c r="E180" s="10" t="str">
        <f ca="1">IFERROR(__xludf.DUMMYFUNCTION("""COMPUTED_VALUE"""),"C- ثانوية العميد بناية الاعدادية  (الاولى)")</f>
        <v>C- ثانوية العميد بناية الاعدادية  (الاولى)</v>
      </c>
      <c r="F180" s="10" t="str">
        <f ca="1">IFERROR(__xludf.DUMMYFUNCTION("""COMPUTED_VALUE"""),"جناح الساحة ZONE B")</f>
        <v>جناح الساحة ZONE B</v>
      </c>
      <c r="G180" s="10" t="str">
        <f ca="1">IFERROR(__xludf.DUMMYFUNCTION("""COMPUTED_VALUE"""),"احتياج مفتاح الباب باب مخزن")</f>
        <v>احتياج مفتاح الباب باب مخزن</v>
      </c>
      <c r="H180" s="10"/>
      <c r="I180" s="12" t="s">
        <v>21</v>
      </c>
      <c r="J180" s="13" t="s">
        <v>16</v>
      </c>
      <c r="K180" s="7">
        <v>46061.569156446756</v>
      </c>
      <c r="L180" s="14"/>
      <c r="M180" s="10"/>
      <c r="N180" s="10" t="s">
        <v>23</v>
      </c>
      <c r="O180" s="7">
        <v>46068.487564282404</v>
      </c>
    </row>
    <row r="181" spans="1:15" ht="75" customHeight="1">
      <c r="A181" s="7">
        <f ca="1">IFERROR(__xludf.DUMMYFUNCTION("""COMPUTED_VALUE"""),46060.5206197222)</f>
        <v>46060.5206197222</v>
      </c>
      <c r="B181" s="8" t="str">
        <f ca="1">IFERROR(__xludf.DUMMYFUNCTION("""COMPUTED_VALUE"""),"المعملجي")</f>
        <v>المعملجي</v>
      </c>
      <c r="C181" s="9" t="str">
        <f ca="1">IFERROR(__xludf.DUMMYFUNCTION("""COMPUTED_VALUE"""),"سجاد تربية")</f>
        <v>سجاد تربية</v>
      </c>
      <c r="D181" s="10" t="str">
        <f ca="1">IFERROR(__xludf.DUMMYFUNCTION("""COMPUTED_VALUE"""),"قسم التربية والتعليم العالي")</f>
        <v>قسم التربية والتعليم العالي</v>
      </c>
      <c r="E181" s="10" t="str">
        <f ca="1">IFERROR(__xludf.DUMMYFUNCTION("""COMPUTED_VALUE"""),"C- ثانوية العميد بناية الاعدادية  (الاولى)")</f>
        <v>C- ثانوية العميد بناية الاعدادية  (الاولى)</v>
      </c>
      <c r="F181" s="10" t="str">
        <f ca="1">IFERROR(__xludf.DUMMYFUNCTION("""COMPUTED_VALUE"""),"الطابق الارضي")</f>
        <v>الطابق الارضي</v>
      </c>
      <c r="G181" s="10" t="str">
        <f ca="1">IFERROR(__xludf.DUMMYFUNCTION("""COMPUTED_VALUE"""),"صيانة باب الالمنيوم غرفة المدرسات ")</f>
        <v xml:space="preserve">صيانة باب الالمنيوم غرفة المدرسات </v>
      </c>
      <c r="H181" s="10"/>
      <c r="I181" s="12" t="s">
        <v>21</v>
      </c>
      <c r="J181" s="13" t="s">
        <v>16</v>
      </c>
      <c r="K181" s="7">
        <v>46062.58232212963</v>
      </c>
      <c r="L181" s="14"/>
      <c r="M181" s="10"/>
      <c r="N181" s="10" t="s">
        <v>23</v>
      </c>
      <c r="O181" s="7">
        <v>46068.487576574073</v>
      </c>
    </row>
    <row r="182" spans="1:15" ht="75" customHeight="1">
      <c r="A182" s="7">
        <f ca="1">IFERROR(__xludf.DUMMYFUNCTION("""COMPUTED_VALUE"""),46060.5220296875)</f>
        <v>46060.522029687498</v>
      </c>
      <c r="B182" s="8" t="str">
        <f ca="1">IFERROR(__xludf.DUMMYFUNCTION("""COMPUTED_VALUE"""),"المعملجي")</f>
        <v>المعملجي</v>
      </c>
      <c r="C182" s="9" t="str">
        <f ca="1">IFERROR(__xludf.DUMMYFUNCTION("""COMPUTED_VALUE"""),"سجاد تربية")</f>
        <v>سجاد تربية</v>
      </c>
      <c r="D182" s="10" t="str">
        <f ca="1">IFERROR(__xludf.DUMMYFUNCTION("""COMPUTED_VALUE"""),"قسم التربية والتعليم العالي")</f>
        <v>قسم التربية والتعليم العالي</v>
      </c>
      <c r="E182" s="10" t="str">
        <f ca="1">IFERROR(__xludf.DUMMYFUNCTION("""COMPUTED_VALUE"""),"C- ثانوية العميد بناية الاعدادية  (الاولى)")</f>
        <v>C- ثانوية العميد بناية الاعدادية  (الاولى)</v>
      </c>
      <c r="F182" s="10" t="str">
        <f ca="1">IFERROR(__xludf.DUMMYFUNCTION("""COMPUTED_VALUE"""),"الطابق الاول")</f>
        <v>الطابق الاول</v>
      </c>
      <c r="G182" s="10" t="str">
        <f ca="1">IFERROR(__xludf.DUMMYFUNCTION("""COMPUTED_VALUE"""),"صيانة باب الصحيات الخارجي مقابيل الصف ")</f>
        <v xml:space="preserve">صيانة باب الصحيات الخارجي مقابيل الصف </v>
      </c>
      <c r="H182" s="10"/>
      <c r="I182" s="12" t="s">
        <v>21</v>
      </c>
      <c r="J182" s="13" t="s">
        <v>16</v>
      </c>
      <c r="K182" s="7">
        <v>46061.56965542824</v>
      </c>
      <c r="L182" s="14"/>
      <c r="M182" s="10"/>
      <c r="N182" s="10" t="s">
        <v>23</v>
      </c>
      <c r="O182" s="7">
        <v>46068.487601030094</v>
      </c>
    </row>
    <row r="183" spans="1:15" ht="75" customHeight="1">
      <c r="A183" s="7">
        <f ca="1">IFERROR(__xludf.DUMMYFUNCTION("""COMPUTED_VALUE"""),46063.6946818171)</f>
        <v>46063.694681817098</v>
      </c>
      <c r="B183" s="8" t="str">
        <f ca="1">IFERROR(__xludf.DUMMYFUNCTION("""COMPUTED_VALUE"""),"المعملجي")</f>
        <v>المعملجي</v>
      </c>
      <c r="C183" s="9" t="str">
        <f ca="1">IFERROR(__xludf.DUMMYFUNCTION("""COMPUTED_VALUE"""),"سجاد تربية")</f>
        <v>سجاد تربية</v>
      </c>
      <c r="D183" s="10" t="str">
        <f ca="1">IFERROR(__xludf.DUMMYFUNCTION("""COMPUTED_VALUE"""),"قسم التربية والتعليم العالي")</f>
        <v>قسم التربية والتعليم العالي</v>
      </c>
      <c r="E183" s="10" t="str">
        <f ca="1">IFERROR(__xludf.DUMMYFUNCTION("""COMPUTED_VALUE"""),"G- روضة الجود")</f>
        <v>G- روضة الجود</v>
      </c>
      <c r="F183" s="10" t="str">
        <f ca="1">IFERROR(__xludf.DUMMYFUNCTION("""COMPUTED_VALUE"""),"الطابق الاول")</f>
        <v>الطابق الاول</v>
      </c>
      <c r="G183" s="10" t="str">
        <f ca="1">IFERROR(__xludf.DUMMYFUNCTION("""COMPUTED_VALUE"""),"تعليق صوبه في الحانوت ")</f>
        <v xml:space="preserve">تعليق صوبه في الحانوت </v>
      </c>
      <c r="H183" s="10"/>
      <c r="I183" s="12" t="s">
        <v>21</v>
      </c>
      <c r="J183" s="13" t="s">
        <v>16</v>
      </c>
      <c r="K183" s="7">
        <v>46064.527004143514</v>
      </c>
      <c r="L183" s="14"/>
      <c r="M183" s="10"/>
      <c r="N183" s="10" t="s">
        <v>23</v>
      </c>
      <c r="O183" s="7">
        <v>46068.487875949075</v>
      </c>
    </row>
    <row r="184" spans="1:15" ht="75" customHeight="1">
      <c r="A184" s="7">
        <f ca="1">IFERROR(__xludf.DUMMYFUNCTION("""COMPUTED_VALUE"""),46063.6951567361)</f>
        <v>46063.695156736103</v>
      </c>
      <c r="B184" s="8" t="str">
        <f ca="1">IFERROR(__xludf.DUMMYFUNCTION("""COMPUTED_VALUE"""),"المعملجي")</f>
        <v>المعملجي</v>
      </c>
      <c r="C184" s="9" t="str">
        <f ca="1">IFERROR(__xludf.DUMMYFUNCTION("""COMPUTED_VALUE"""),"سجاد تربية")</f>
        <v>سجاد تربية</v>
      </c>
      <c r="D184" s="10" t="str">
        <f ca="1">IFERROR(__xludf.DUMMYFUNCTION("""COMPUTED_VALUE"""),"قسم التربية والتعليم العالي")</f>
        <v>قسم التربية والتعليم العالي</v>
      </c>
      <c r="E184" s="10" t="str">
        <f ca="1">IFERROR(__xludf.DUMMYFUNCTION("""COMPUTED_VALUE"""),"G- روضة الجود")</f>
        <v>G- روضة الجود</v>
      </c>
      <c r="F184" s="10" t="str">
        <f ca="1">IFERROR(__xludf.DUMMYFUNCTION("""COMPUTED_VALUE"""),"الطابق الارضي, صف الفرح")</f>
        <v>الطابق الارضي, صف الفرح</v>
      </c>
      <c r="G184" s="10" t="str">
        <f ca="1">IFERROR(__xludf.DUMMYFUNCTION("""COMPUTED_VALUE"""),"صيانه يدت شباك")</f>
        <v>صيانه يدت شباك</v>
      </c>
      <c r="H184" s="10"/>
      <c r="I184" s="12" t="s">
        <v>21</v>
      </c>
      <c r="J184" s="13" t="s">
        <v>16</v>
      </c>
      <c r="K184" s="7">
        <v>46064.527006956021</v>
      </c>
      <c r="L184" s="14"/>
      <c r="M184" s="10"/>
      <c r="N184" s="10" t="s">
        <v>23</v>
      </c>
      <c r="O184" s="7">
        <v>46068.487895381943</v>
      </c>
    </row>
    <row r="185" spans="1:15" ht="75" customHeight="1">
      <c r="A185" s="7">
        <f ca="1">IFERROR(__xludf.DUMMYFUNCTION("""COMPUTED_VALUE"""),46063.6957572801)</f>
        <v>46063.695757280097</v>
      </c>
      <c r="B185" s="8" t="str">
        <f ca="1">IFERROR(__xludf.DUMMYFUNCTION("""COMPUTED_VALUE"""),"المعملجي")</f>
        <v>المعملجي</v>
      </c>
      <c r="C185" s="9" t="str">
        <f ca="1">IFERROR(__xludf.DUMMYFUNCTION("""COMPUTED_VALUE"""),"سجاد تربية")</f>
        <v>سجاد تربية</v>
      </c>
      <c r="D185" s="10" t="str">
        <f ca="1">IFERROR(__xludf.DUMMYFUNCTION("""COMPUTED_VALUE"""),"قسم التربية والتعليم العالي")</f>
        <v>قسم التربية والتعليم العالي</v>
      </c>
      <c r="E185" s="10" t="str">
        <f ca="1">IFERROR(__xludf.DUMMYFUNCTION("""COMPUTED_VALUE"""),"G- روضة الجود")</f>
        <v>G- روضة الجود</v>
      </c>
      <c r="F185" s="10" t="str">
        <f ca="1">IFERROR(__xludf.DUMMYFUNCTION("""COMPUTED_VALUE"""),"الطابق الارضي, غرفة الكاميرات ")</f>
        <v xml:space="preserve">الطابق الارضي, غرفة الكاميرات </v>
      </c>
      <c r="G185" s="10" t="str">
        <f ca="1">IFERROR(__xludf.DUMMYFUNCTION("""COMPUTED_VALUE"""),"صيانة يدت شباك")</f>
        <v>صيانة يدت شباك</v>
      </c>
      <c r="H185" s="10"/>
      <c r="I185" s="12" t="s">
        <v>21</v>
      </c>
      <c r="J185" s="13" t="s">
        <v>16</v>
      </c>
      <c r="K185" s="7">
        <v>46064.527048773147</v>
      </c>
      <c r="L185" s="14"/>
      <c r="M185" s="10"/>
      <c r="N185" s="10" t="s">
        <v>23</v>
      </c>
      <c r="O185" s="7">
        <v>46068.487905289352</v>
      </c>
    </row>
    <row r="186" spans="1:15" ht="75" customHeight="1">
      <c r="A186" s="7">
        <f ca="1">IFERROR(__xludf.DUMMYFUNCTION("""COMPUTED_VALUE"""),46064.4184583449)</f>
        <v>46064.418458344902</v>
      </c>
      <c r="B186" s="8" t="str">
        <f ca="1">IFERROR(__xludf.DUMMYFUNCTION("""COMPUTED_VALUE"""),"المعملجي")</f>
        <v>المعملجي</v>
      </c>
      <c r="C186" s="9" t="str">
        <f ca="1">IFERROR(__xludf.DUMMYFUNCTION("""COMPUTED_VALUE"""),"سجاد تربية")</f>
        <v>سجاد تربية</v>
      </c>
      <c r="D186" s="10" t="str">
        <f ca="1">IFERROR(__xludf.DUMMYFUNCTION("""COMPUTED_VALUE"""),"قسم التربية والتعليم العالي")</f>
        <v>قسم التربية والتعليم العالي</v>
      </c>
      <c r="E186" s="10" t="str">
        <f ca="1">IFERROR(__xludf.DUMMYFUNCTION("""COMPUTED_VALUE"""),"F-  ابتدائية جود العميد للبنات (الرابعة)")</f>
        <v>F-  ابتدائية جود العميد للبنات (الرابعة)</v>
      </c>
      <c r="F186" s="10" t="str">
        <f ca="1">IFERROR(__xludf.DUMMYFUNCTION("""COMPUTED_VALUE"""),"الطابق الثاني")</f>
        <v>الطابق الثاني</v>
      </c>
      <c r="G186" s="10" t="str">
        <f ca="1">IFERROR(__xludf.DUMMYFUNCTION("""COMPUTED_VALUE"""),"صيانة مقبض شباك  صف الثاني ، الثالث ، الخامس ")</f>
        <v xml:space="preserve">صيانة مقبض شباك  صف الثاني ، الثالث ، الخامس </v>
      </c>
      <c r="H186" s="10"/>
      <c r="I186" s="12" t="s">
        <v>21</v>
      </c>
      <c r="J186" s="13" t="s">
        <v>16</v>
      </c>
      <c r="K186" s="7">
        <v>46064.566173229163</v>
      </c>
      <c r="L186" s="14"/>
      <c r="M186" s="10"/>
      <c r="N186" s="10" t="s">
        <v>23</v>
      </c>
      <c r="O186" s="7">
        <v>46068.487936747682</v>
      </c>
    </row>
    <row r="187" spans="1:15" ht="75" customHeight="1">
      <c r="A187" s="7">
        <f ca="1">IFERROR(__xludf.DUMMYFUNCTION("""COMPUTED_VALUE"""),46064.4192793865)</f>
        <v>46064.4192793865</v>
      </c>
      <c r="B187" s="8" t="str">
        <f ca="1">IFERROR(__xludf.DUMMYFUNCTION("""COMPUTED_VALUE"""),"المعملجي")</f>
        <v>المعملجي</v>
      </c>
      <c r="C187" s="9" t="str">
        <f ca="1">IFERROR(__xludf.DUMMYFUNCTION("""COMPUTED_VALUE"""),"سجاد تربية")</f>
        <v>سجاد تربية</v>
      </c>
      <c r="D187" s="10" t="str">
        <f ca="1">IFERROR(__xludf.DUMMYFUNCTION("""COMPUTED_VALUE"""),"قسم التربية والتعليم العالي")</f>
        <v>قسم التربية والتعليم العالي</v>
      </c>
      <c r="E187" s="10" t="str">
        <f ca="1">IFERROR(__xludf.DUMMYFUNCTION("""COMPUTED_VALUE"""),"E- ابتدائية العميد للبنات (الثالثة)")</f>
        <v>E- ابتدائية العميد للبنات (الثالثة)</v>
      </c>
      <c r="F187" s="10" t="str">
        <f ca="1">IFERROR(__xludf.DUMMYFUNCTION("""COMPUTED_VALUE"""),"الطابق الثاني")</f>
        <v>الطابق الثاني</v>
      </c>
      <c r="G187" s="10" t="str">
        <f ca="1">IFERROR(__xludf.DUMMYFUNCTION("""COMPUTED_VALUE"""),"صيانة سقف الثانوي للمصلى  يسرب ماء")</f>
        <v>صيانة سقف الثانوي للمصلى  يسرب ماء</v>
      </c>
      <c r="H187" s="10"/>
      <c r="I187" s="12" t="s">
        <v>21</v>
      </c>
      <c r="J187" s="13" t="s">
        <v>16</v>
      </c>
      <c r="K187" s="7"/>
      <c r="L187" s="14"/>
      <c r="M187" s="10"/>
      <c r="N187" s="10" t="s">
        <v>23</v>
      </c>
      <c r="O187" s="7">
        <v>46068.487949907409</v>
      </c>
    </row>
    <row r="188" spans="1:15" ht="75" customHeight="1">
      <c r="A188" s="7">
        <f ca="1">IFERROR(__xludf.DUMMYFUNCTION("""COMPUTED_VALUE"""),46064.5690646527)</f>
        <v>46064.5690646527</v>
      </c>
      <c r="B188" s="8" t="str">
        <f ca="1">IFERROR(__xludf.DUMMYFUNCTION("""COMPUTED_VALUE"""),"المعملجي")</f>
        <v>المعملجي</v>
      </c>
      <c r="C188" s="9" t="str">
        <f ca="1">IFERROR(__xludf.DUMMYFUNCTION("""COMPUTED_VALUE"""),"سجاد تربية")</f>
        <v>سجاد تربية</v>
      </c>
      <c r="D188" s="10" t="str">
        <f ca="1">IFERROR(__xludf.DUMMYFUNCTION("""COMPUTED_VALUE"""),"قسم التربية والتعليم العالي")</f>
        <v>قسم التربية والتعليم العالي</v>
      </c>
      <c r="E188" s="10" t="str">
        <f ca="1">IFERROR(__xludf.DUMMYFUNCTION("""COMPUTED_VALUE"""),"A- المركز الثقافي")</f>
        <v>A- المركز الثقافي</v>
      </c>
      <c r="F188" s="10" t="str">
        <f ca="1">IFERROR(__xludf.DUMMYFUNCTION("""COMPUTED_VALUE"""),"الطابق الارضي")</f>
        <v>الطابق الارضي</v>
      </c>
      <c r="G188" s="10" t="str">
        <f ca="1">IFERROR(__xludf.DUMMYFUNCTION("""COMPUTED_VALUE"""),"نقل قواعد وطفايات عدد 2")</f>
        <v>نقل قواعد وطفايات عدد 2</v>
      </c>
      <c r="H188" s="10"/>
      <c r="I188" s="12" t="s">
        <v>21</v>
      </c>
      <c r="J188" s="13" t="s">
        <v>16</v>
      </c>
      <c r="K188" s="7">
        <v>46064.573188958333</v>
      </c>
      <c r="L188" s="14"/>
      <c r="M188" s="10"/>
      <c r="N188" s="10" t="s">
        <v>23</v>
      </c>
      <c r="O188" s="7">
        <v>46068.48796017361</v>
      </c>
    </row>
    <row r="189" spans="1:15" ht="75" customHeight="1">
      <c r="A189" s="7">
        <f ca="1">IFERROR(__xludf.DUMMYFUNCTION("""COMPUTED_VALUE"""),46064.5695852083)</f>
        <v>46064.569585208301</v>
      </c>
      <c r="B189" s="8" t="str">
        <f ca="1">IFERROR(__xludf.DUMMYFUNCTION("""COMPUTED_VALUE"""),"المعملجي")</f>
        <v>المعملجي</v>
      </c>
      <c r="C189" s="9" t="str">
        <f ca="1">IFERROR(__xludf.DUMMYFUNCTION("""COMPUTED_VALUE"""),"سجاد تربية")</f>
        <v>سجاد تربية</v>
      </c>
      <c r="D189" s="10" t="str">
        <f ca="1">IFERROR(__xludf.DUMMYFUNCTION("""COMPUTED_VALUE"""),"قسم التربية والتعليم العالي")</f>
        <v>قسم التربية والتعليم العالي</v>
      </c>
      <c r="E189" s="10" t="str">
        <f ca="1">IFERROR(__xludf.DUMMYFUNCTION("""COMPUTED_VALUE"""),"A- المركز الثقافي")</f>
        <v>A- المركز الثقافي</v>
      </c>
      <c r="F189" s="10" t="str">
        <f ca="1">IFERROR(__xludf.DUMMYFUNCTION("""COMPUTED_VALUE"""),"الطابق الارضي")</f>
        <v>الطابق الارضي</v>
      </c>
      <c r="G189" s="10" t="str">
        <f ca="1">IFERROR(__xludf.DUMMYFUNCTION("""COMPUTED_VALUE"""),"حفر واستخراج مقرنص")</f>
        <v>حفر واستخراج مقرنص</v>
      </c>
      <c r="H189" s="10"/>
      <c r="I189" s="12" t="s">
        <v>21</v>
      </c>
      <c r="J189" s="13" t="s">
        <v>16</v>
      </c>
      <c r="K189" s="7">
        <v>46064.573203761574</v>
      </c>
      <c r="L189" s="14"/>
      <c r="M189" s="10"/>
      <c r="N189" s="10" t="s">
        <v>23</v>
      </c>
      <c r="O189" s="7">
        <v>46068.487977696757</v>
      </c>
    </row>
    <row r="190" spans="1:15" ht="75" customHeight="1">
      <c r="A190" s="7">
        <f ca="1">IFERROR(__xludf.DUMMYFUNCTION("""COMPUTED_VALUE"""),46064.570881574)</f>
        <v>46064.570881574</v>
      </c>
      <c r="B190" s="8" t="str">
        <f ca="1">IFERROR(__xludf.DUMMYFUNCTION("""COMPUTED_VALUE"""),"المعملجي")</f>
        <v>المعملجي</v>
      </c>
      <c r="C190" s="9" t="str">
        <f ca="1">IFERROR(__xludf.DUMMYFUNCTION("""COMPUTED_VALUE"""),"سجاد تربية")</f>
        <v>سجاد تربية</v>
      </c>
      <c r="D190" s="10" t="str">
        <f ca="1">IFERROR(__xludf.DUMMYFUNCTION("""COMPUTED_VALUE"""),"قسم التربية والتعليم العالي")</f>
        <v>قسم التربية والتعليم العالي</v>
      </c>
      <c r="E190" s="10" t="str">
        <f ca="1">IFERROR(__xludf.DUMMYFUNCTION("""COMPUTED_VALUE"""),"A- المركز الثقافي")</f>
        <v>A- المركز الثقافي</v>
      </c>
      <c r="F190" s="10" t="str">
        <f ca="1">IFERROR(__xludf.DUMMYFUNCTION("""COMPUTED_VALUE"""),"الطابق الارضي")</f>
        <v>الطابق الارضي</v>
      </c>
      <c r="G190" s="10" t="str">
        <f ca="1">IFERROR(__xludf.DUMMYFUNCTION("""COMPUTED_VALUE"""),"عمل رصيف جديد وتطبيك مقرنص")</f>
        <v>عمل رصيف جديد وتطبيك مقرنص</v>
      </c>
      <c r="H190" s="10"/>
      <c r="I190" s="12" t="s">
        <v>21</v>
      </c>
      <c r="J190" s="13" t="s">
        <v>16</v>
      </c>
      <c r="K190" s="7">
        <v>46064.573224467589</v>
      </c>
      <c r="L190" s="14"/>
      <c r="M190" s="10"/>
      <c r="N190" s="10" t="s">
        <v>23</v>
      </c>
      <c r="O190" s="7">
        <v>46068.487989108791</v>
      </c>
    </row>
    <row r="191" spans="1:15" ht="75" customHeight="1">
      <c r="A191" s="7">
        <f ca="1">IFERROR(__xludf.DUMMYFUNCTION("""COMPUTED_VALUE"""),46064.5715990393)</f>
        <v>46064.5715990393</v>
      </c>
      <c r="B191" s="8" t="str">
        <f ca="1">IFERROR(__xludf.DUMMYFUNCTION("""COMPUTED_VALUE"""),"المعملجي")</f>
        <v>المعملجي</v>
      </c>
      <c r="C191" s="9" t="str">
        <f ca="1">IFERROR(__xludf.DUMMYFUNCTION("""COMPUTED_VALUE"""),"وحدة المدني ")</f>
        <v xml:space="preserve">وحدة المدني </v>
      </c>
      <c r="D191" s="10" t="str">
        <f ca="1">IFERROR(__xludf.DUMMYFUNCTION("""COMPUTED_VALUE"""),"قسم المشاريع الهندسية")</f>
        <v>قسم المشاريع الهندسية</v>
      </c>
      <c r="E191" s="10" t="str">
        <f ca="1">IFERROR(__xludf.DUMMYFUNCTION("""COMPUTED_VALUE"""),"C- ثانوية العميد بناية الاعدادية  (الاولى)")</f>
        <v>C- ثانوية العميد بناية الاعدادية  (الاولى)</v>
      </c>
      <c r="F191" s="10" t="str">
        <f ca="1">IFERROR(__xludf.DUMMYFUNCTION("""COMPUTED_VALUE"""),"خارج البناية")</f>
        <v>خارج البناية</v>
      </c>
      <c r="G191" s="10" t="str">
        <f ca="1">IFERROR(__xludf.DUMMYFUNCTION("""COMPUTED_VALUE"""),"معالجة الفطور في ممر المدرسة")</f>
        <v>معالجة الفطور في ممر المدرسة</v>
      </c>
      <c r="H191" s="10"/>
      <c r="I191" s="12" t="s">
        <v>21</v>
      </c>
      <c r="J191" s="13" t="s">
        <v>16</v>
      </c>
      <c r="K191" s="7">
        <v>46064.573239953708</v>
      </c>
      <c r="L191" s="14"/>
      <c r="M191" s="10"/>
      <c r="N191" s="10" t="s">
        <v>23</v>
      </c>
      <c r="O191" s="7">
        <v>46068.487999884259</v>
      </c>
    </row>
    <row r="192" spans="1:15" ht="75" customHeight="1">
      <c r="A192" s="7">
        <f ca="1">IFERROR(__xludf.DUMMYFUNCTION("""COMPUTED_VALUE"""),46064.5755425115)</f>
        <v>46064.575542511498</v>
      </c>
      <c r="B192" s="8" t="str">
        <f ca="1">IFERROR(__xludf.DUMMYFUNCTION("""COMPUTED_VALUE"""),"المعملجي")</f>
        <v>المعملجي</v>
      </c>
      <c r="C192" s="9" t="str">
        <f ca="1">IFERROR(__xludf.DUMMYFUNCTION("""COMPUTED_VALUE"""),"وحدة المدني ")</f>
        <v xml:space="preserve">وحدة المدني </v>
      </c>
      <c r="D192" s="10" t="str">
        <f ca="1">IFERROR(__xludf.DUMMYFUNCTION("""COMPUTED_VALUE"""),"قسم المشاريع الهندسية")</f>
        <v>قسم المشاريع الهندسية</v>
      </c>
      <c r="E192" s="10" t="str">
        <f ca="1">IFERROR(__xludf.DUMMYFUNCTION("""COMPUTED_VALUE"""),"B- روضة القمر")</f>
        <v>B- روضة القمر</v>
      </c>
      <c r="F192" s="10" t="str">
        <f ca="1">IFERROR(__xludf.DUMMYFUNCTION("""COMPUTED_VALUE"""),"السطح")</f>
        <v>السطح</v>
      </c>
      <c r="G192" s="10" t="str">
        <f ca="1">IFERROR(__xludf.DUMMYFUNCTION("""COMPUTED_VALUE"""),"عمل فتحة لمد بوري ماء لغسل الالواح")</f>
        <v>عمل فتحة لمد بوري ماء لغسل الالواح</v>
      </c>
      <c r="H192" s="10"/>
      <c r="I192" s="12" t="s">
        <v>21</v>
      </c>
      <c r="J192" s="13" t="s">
        <v>16</v>
      </c>
      <c r="K192" s="7">
        <v>46064.575639398143</v>
      </c>
      <c r="L192" s="14"/>
      <c r="M192" s="10"/>
      <c r="N192" s="10" t="s">
        <v>23</v>
      </c>
      <c r="O192" s="7">
        <v>46068.488011111112</v>
      </c>
    </row>
    <row r="193" spans="1:15" ht="75" customHeight="1">
      <c r="A193" s="7">
        <f ca="1">IFERROR(__xludf.DUMMYFUNCTION("""COMPUTED_VALUE"""),46064.5766365046)</f>
        <v>46064.5766365046</v>
      </c>
      <c r="B193" s="8" t="str">
        <f ca="1">IFERROR(__xludf.DUMMYFUNCTION("""COMPUTED_VALUE"""),"المعملجي")</f>
        <v>المعملجي</v>
      </c>
      <c r="C193" s="9" t="str">
        <f ca="1">IFERROR(__xludf.DUMMYFUNCTION("""COMPUTED_VALUE"""),"وحدة المدني ")</f>
        <v xml:space="preserve">وحدة المدني </v>
      </c>
      <c r="D193" s="10" t="str">
        <f ca="1">IFERROR(__xludf.DUMMYFUNCTION("""COMPUTED_VALUE"""),"قسم المشاريع الهندسية")</f>
        <v>قسم المشاريع الهندسية</v>
      </c>
      <c r="E193" s="10" t="str">
        <f ca="1">IFERROR(__xludf.DUMMYFUNCTION("""COMPUTED_VALUE"""),"C- ثانوية العميد بناية الاعدادية  (الاولى)")</f>
        <v>C- ثانوية العميد بناية الاعدادية  (الاولى)</v>
      </c>
      <c r="F193" s="10" t="str">
        <f ca="1">IFERROR(__xludf.DUMMYFUNCTION("""COMPUTED_VALUE"""),"الممر الخارجي")</f>
        <v>الممر الخارجي</v>
      </c>
      <c r="G193" s="10" t="str">
        <f ca="1">IFERROR(__xludf.DUMMYFUNCTION("""COMPUTED_VALUE"""),"صيانة الممر الخارجي")</f>
        <v>صيانة الممر الخارجي</v>
      </c>
      <c r="H193" s="10"/>
      <c r="I193" s="12" t="s">
        <v>21</v>
      </c>
      <c r="J193" s="13" t="s">
        <v>16</v>
      </c>
      <c r="K193" s="7">
        <v>46064.57776378472</v>
      </c>
      <c r="L193" s="14"/>
      <c r="M193" s="10"/>
      <c r="N193" s="10" t="s">
        <v>23</v>
      </c>
      <c r="O193" s="7">
        <v>46068.488022245372</v>
      </c>
    </row>
    <row r="194" spans="1:15" ht="75" customHeight="1">
      <c r="A194" s="7">
        <f ca="1">IFERROR(__xludf.DUMMYFUNCTION("""COMPUTED_VALUE"""),46064.5773750694)</f>
        <v>46064.577375069399</v>
      </c>
      <c r="B194" s="8" t="str">
        <f ca="1">IFERROR(__xludf.DUMMYFUNCTION("""COMPUTED_VALUE"""),"المعملجي")</f>
        <v>المعملجي</v>
      </c>
      <c r="C194" s="9" t="str">
        <f ca="1">IFERROR(__xludf.DUMMYFUNCTION("""COMPUTED_VALUE"""),"وحدة المدني ")</f>
        <v xml:space="preserve">وحدة المدني </v>
      </c>
      <c r="D194" s="10" t="str">
        <f ca="1">IFERROR(__xludf.DUMMYFUNCTION("""COMPUTED_VALUE"""),"قسم المشاريع الهندسية")</f>
        <v>قسم المشاريع الهندسية</v>
      </c>
      <c r="E194" s="10" t="str">
        <f ca="1">IFERROR(__xludf.DUMMYFUNCTION("""COMPUTED_VALUE"""),"E- ابتدائية العميد للبنات (الثالثة)")</f>
        <v>E- ابتدائية العميد للبنات (الثالثة)</v>
      </c>
      <c r="F194" s="10" t="str">
        <f ca="1">IFERROR(__xludf.DUMMYFUNCTION("""COMPUTED_VALUE"""),"الممر الخارجي")</f>
        <v>الممر الخارجي</v>
      </c>
      <c r="G194" s="10" t="str">
        <f ca="1">IFERROR(__xludf.DUMMYFUNCTION("""COMPUTED_VALUE"""),"صيانة ممر عدد 2")</f>
        <v>صيانة ممر عدد 2</v>
      </c>
      <c r="H194" s="10"/>
      <c r="I194" s="12" t="s">
        <v>21</v>
      </c>
      <c r="J194" s="13" t="s">
        <v>16</v>
      </c>
      <c r="K194" s="7">
        <v>46064.577786469905</v>
      </c>
      <c r="L194" s="14"/>
      <c r="M194" s="10"/>
      <c r="N194" s="10" t="s">
        <v>23</v>
      </c>
      <c r="O194" s="7">
        <v>46068.488032384259</v>
      </c>
    </row>
    <row r="195" spans="1:15" ht="75" customHeight="1">
      <c r="A195" s="7">
        <f ca="1">IFERROR(__xludf.DUMMYFUNCTION("""COMPUTED_VALUE"""),46067.4482220833)</f>
        <v>46067.448222083302</v>
      </c>
      <c r="B195" s="8" t="str">
        <f ca="1">IFERROR(__xludf.DUMMYFUNCTION("""COMPUTED_VALUE"""),"المعملجي")</f>
        <v>المعملجي</v>
      </c>
      <c r="C195" s="9" t="str">
        <f ca="1">IFERROR(__xludf.DUMMYFUNCTION("""COMPUTED_VALUE"""),"وحدة المدني ")</f>
        <v xml:space="preserve">وحدة المدني </v>
      </c>
      <c r="D195" s="10" t="str">
        <f ca="1">IFERROR(__xludf.DUMMYFUNCTION("""COMPUTED_VALUE"""),"قسم المشاريع الهندسية")</f>
        <v>قسم المشاريع الهندسية</v>
      </c>
      <c r="E195" s="10" t="str">
        <f ca="1">IFERROR(__xludf.DUMMYFUNCTION("""COMPUTED_VALUE"""),"D- ثانوية العميد بناية المتوسطة  (الثانية)")</f>
        <v>D- ثانوية العميد بناية المتوسطة  (الثانية)</v>
      </c>
      <c r="F195" s="10" t="str">
        <f ca="1">IFERROR(__xludf.DUMMYFUNCTION("""COMPUTED_VALUE"""),"الطابق الاول")</f>
        <v>الطابق الاول</v>
      </c>
      <c r="G195" s="10" t="str">
        <f ca="1">IFERROR(__xludf.DUMMYFUNCTION("""COMPUTED_VALUE"""),"فتح باب الصحيات")</f>
        <v>فتح باب الصحيات</v>
      </c>
      <c r="H195" s="10"/>
      <c r="I195" s="12" t="s">
        <v>21</v>
      </c>
      <c r="J195" s="13" t="s">
        <v>16</v>
      </c>
      <c r="K195" s="7"/>
      <c r="L195" s="14"/>
      <c r="M195" s="10"/>
      <c r="N195" s="10" t="s">
        <v>23</v>
      </c>
      <c r="O195" s="7">
        <v>46068.488071342596</v>
      </c>
    </row>
    <row r="196" spans="1:15" ht="75" customHeight="1">
      <c r="A196" s="7">
        <f ca="1">IFERROR(__xludf.DUMMYFUNCTION("""COMPUTED_VALUE"""),46067.4512895023)</f>
        <v>46067.4512895023</v>
      </c>
      <c r="B196" s="8" t="str">
        <f ca="1">IFERROR(__xludf.DUMMYFUNCTION("""COMPUTED_VALUE"""),"المعملجي")</f>
        <v>المعملجي</v>
      </c>
      <c r="C196" s="9" t="str">
        <f ca="1">IFERROR(__xludf.DUMMYFUNCTION("""COMPUTED_VALUE"""),"وحدة المدني ")</f>
        <v xml:space="preserve">وحدة المدني </v>
      </c>
      <c r="D196" s="10" t="str">
        <f ca="1">IFERROR(__xludf.DUMMYFUNCTION("""COMPUTED_VALUE"""),"قسم المشاريع الهندسية")</f>
        <v>قسم المشاريع الهندسية</v>
      </c>
      <c r="E196" s="10" t="str">
        <f ca="1">IFERROR(__xludf.DUMMYFUNCTION("""COMPUTED_VALUE"""),"D- ثانوية العميد بناية المتوسطة  (الثانية)")</f>
        <v>D- ثانوية العميد بناية المتوسطة  (الثانية)</v>
      </c>
      <c r="F196" s="10" t="str">
        <f ca="1">IFERROR(__xludf.DUMMYFUNCTION("""COMPUTED_VALUE"""),"الطابق الارضي")</f>
        <v>الطابق الارضي</v>
      </c>
      <c r="G196" s="10" t="str">
        <f ca="1">IFERROR(__xludf.DUMMYFUNCTION("""COMPUTED_VALUE"""),"تبديل يدة باب بين الزونين")</f>
        <v>تبديل يدة باب بين الزونين</v>
      </c>
      <c r="H196" s="10"/>
      <c r="I196" s="12" t="s">
        <v>21</v>
      </c>
      <c r="J196" s="13" t="s">
        <v>16</v>
      </c>
      <c r="K196" s="7"/>
      <c r="L196" s="14"/>
      <c r="M196" s="10"/>
      <c r="N196" s="10" t="s">
        <v>23</v>
      </c>
      <c r="O196" s="7">
        <v>46068.488084537035</v>
      </c>
    </row>
    <row r="197" spans="1:15" ht="75" customHeight="1">
      <c r="A197" s="7">
        <f ca="1">IFERROR(__xludf.DUMMYFUNCTION("""COMPUTED_VALUE"""),46067.4521100115)</f>
        <v>46067.452110011502</v>
      </c>
      <c r="B197" s="8" t="str">
        <f ca="1">IFERROR(__xludf.DUMMYFUNCTION("""COMPUTED_VALUE"""),"المعملجي")</f>
        <v>المعملجي</v>
      </c>
      <c r="C197" s="9" t="str">
        <f ca="1">IFERROR(__xludf.DUMMYFUNCTION("""COMPUTED_VALUE"""),"وحدة المدني ")</f>
        <v xml:space="preserve">وحدة المدني </v>
      </c>
      <c r="D197" s="10" t="str">
        <f ca="1">IFERROR(__xludf.DUMMYFUNCTION("""COMPUTED_VALUE"""),"قسم المشاريع الهندسية")</f>
        <v>قسم المشاريع الهندسية</v>
      </c>
      <c r="E197" s="10" t="str">
        <f ca="1">IFERROR(__xludf.DUMMYFUNCTION("""COMPUTED_VALUE"""),"D- ثانوية العميد بناية المتوسطة  (الثانية)")</f>
        <v>D- ثانوية العميد بناية المتوسطة  (الثانية)</v>
      </c>
      <c r="F197" s="10" t="str">
        <f ca="1">IFERROR(__xludf.DUMMYFUNCTION("""COMPUTED_VALUE"""),"الطابق الثاني")</f>
        <v>الطابق الثاني</v>
      </c>
      <c r="G197" s="10" t="str">
        <f ca="1">IFERROR(__xludf.DUMMYFUNCTION("""COMPUTED_VALUE"""),"ارجاع سقوف ثانوية")</f>
        <v>ارجاع سقوف ثانوية</v>
      </c>
      <c r="H197" s="10"/>
      <c r="I197" s="12" t="s">
        <v>21</v>
      </c>
      <c r="J197" s="13" t="s">
        <v>16</v>
      </c>
      <c r="K197" s="7"/>
      <c r="L197" s="14"/>
      <c r="M197" s="10"/>
      <c r="N197" s="10" t="s">
        <v>23</v>
      </c>
      <c r="O197" s="7">
        <v>46068.488095462963</v>
      </c>
    </row>
    <row r="198" spans="1:15" ht="75" customHeight="1">
      <c r="A198" s="7">
        <f ca="1">IFERROR(__xludf.DUMMYFUNCTION("""COMPUTED_VALUE"""),46067.4525789351)</f>
        <v>46067.452578935103</v>
      </c>
      <c r="B198" s="8" t="str">
        <f ca="1">IFERROR(__xludf.DUMMYFUNCTION("""COMPUTED_VALUE"""),"المعملجي")</f>
        <v>المعملجي</v>
      </c>
      <c r="C198" s="9" t="str">
        <f ca="1">IFERROR(__xludf.DUMMYFUNCTION("""COMPUTED_VALUE"""),"وحدة المدني ")</f>
        <v xml:space="preserve">وحدة المدني </v>
      </c>
      <c r="D198" s="10" t="str">
        <f ca="1">IFERROR(__xludf.DUMMYFUNCTION("""COMPUTED_VALUE"""),"قسم المشاريع الهندسية")</f>
        <v>قسم المشاريع الهندسية</v>
      </c>
      <c r="E198" s="10" t="str">
        <f ca="1">IFERROR(__xludf.DUMMYFUNCTION("""COMPUTED_VALUE"""),"D- ثانوية العميد بناية المتوسطة  (الثانية)")</f>
        <v>D- ثانوية العميد بناية المتوسطة  (الثانية)</v>
      </c>
      <c r="F198" s="10" t="str">
        <f ca="1">IFERROR(__xludf.DUMMYFUNCTION("""COMPUTED_VALUE"""),"الطابق الاول")</f>
        <v>الطابق الاول</v>
      </c>
      <c r="G198" s="10" t="str">
        <f ca="1">IFERROR(__xludf.DUMMYFUNCTION("""COMPUTED_VALUE"""),"تبديل يدة شباك")</f>
        <v>تبديل يدة شباك</v>
      </c>
      <c r="H198" s="10"/>
      <c r="I198" s="12" t="s">
        <v>21</v>
      </c>
      <c r="J198" s="13" t="s">
        <v>16</v>
      </c>
      <c r="K198" s="7"/>
      <c r="L198" s="14"/>
      <c r="M198" s="10"/>
      <c r="N198" s="10" t="s">
        <v>23</v>
      </c>
      <c r="O198" s="7">
        <v>46068.488105868055</v>
      </c>
    </row>
    <row r="199" spans="1:15" ht="75" customHeight="1">
      <c r="A199" s="7">
        <f ca="1">IFERROR(__xludf.DUMMYFUNCTION("""COMPUTED_VALUE"""),46067.453085)</f>
        <v>46067.453085000001</v>
      </c>
      <c r="B199" s="8" t="str">
        <f ca="1">IFERROR(__xludf.DUMMYFUNCTION("""COMPUTED_VALUE"""),"المعملجي")</f>
        <v>المعملجي</v>
      </c>
      <c r="C199" s="9" t="str">
        <f ca="1">IFERROR(__xludf.DUMMYFUNCTION("""COMPUTED_VALUE"""),"وحدة المدني ")</f>
        <v xml:space="preserve">وحدة المدني </v>
      </c>
      <c r="D199" s="10" t="str">
        <f ca="1">IFERROR(__xludf.DUMMYFUNCTION("""COMPUTED_VALUE"""),"قسم المشاريع الهندسية")</f>
        <v>قسم المشاريع الهندسية</v>
      </c>
      <c r="E199" s="10" t="str">
        <f ca="1">IFERROR(__xludf.DUMMYFUNCTION("""COMPUTED_VALUE"""),"D- ثانوية العميد بناية المتوسطة  (الثانية)")</f>
        <v>D- ثانوية العميد بناية المتوسطة  (الثانية)</v>
      </c>
      <c r="F199" s="10" t="str">
        <f ca="1">IFERROR(__xludf.DUMMYFUNCTION("""COMPUTED_VALUE"""),"الطابق الاول")</f>
        <v>الطابق الاول</v>
      </c>
      <c r="G199" s="10" t="str">
        <f ca="1">IFERROR(__xludf.DUMMYFUNCTION("""COMPUTED_VALUE"""),"صيانة. باب خشب")</f>
        <v>صيانة. باب خشب</v>
      </c>
      <c r="H199" s="10"/>
      <c r="I199" s="12" t="s">
        <v>21</v>
      </c>
      <c r="J199" s="13" t="s">
        <v>16</v>
      </c>
      <c r="K199" s="7"/>
      <c r="L199" s="14"/>
      <c r="M199" s="10"/>
      <c r="N199" s="10" t="s">
        <v>23</v>
      </c>
      <c r="O199" s="7">
        <v>46068.488117152781</v>
      </c>
    </row>
    <row r="200" spans="1:15" ht="75" customHeight="1">
      <c r="A200" s="7">
        <f ca="1">IFERROR(__xludf.DUMMYFUNCTION("""COMPUTED_VALUE"""),46067.4537376504)</f>
        <v>46067.453737650401</v>
      </c>
      <c r="B200" s="8" t="str">
        <f ca="1">IFERROR(__xludf.DUMMYFUNCTION("""COMPUTED_VALUE"""),"المعملجي")</f>
        <v>المعملجي</v>
      </c>
      <c r="C200" s="9" t="str">
        <f ca="1">IFERROR(__xludf.DUMMYFUNCTION("""COMPUTED_VALUE"""),"وحدة المدني ")</f>
        <v xml:space="preserve">وحدة المدني </v>
      </c>
      <c r="D200" s="10" t="str">
        <f ca="1">IFERROR(__xludf.DUMMYFUNCTION("""COMPUTED_VALUE"""),"قسم المشاريع الهندسية")</f>
        <v>قسم المشاريع الهندسية</v>
      </c>
      <c r="E200" s="10" t="str">
        <f ca="1">IFERROR(__xludf.DUMMYFUNCTION("""COMPUTED_VALUE"""),"E- ابتدائية العميد للبنات (الثالثة)")</f>
        <v>E- ابتدائية العميد للبنات (الثالثة)</v>
      </c>
      <c r="F200" s="10" t="str">
        <f ca="1">IFERROR(__xludf.DUMMYFUNCTION("""COMPUTED_VALUE"""),"الطابق الارضي")</f>
        <v>الطابق الارضي</v>
      </c>
      <c r="G200" s="10" t="str">
        <f ca="1">IFERROR(__xludf.DUMMYFUNCTION("""COMPUTED_VALUE"""),"تبديل يدة باب المنيوم")</f>
        <v>تبديل يدة باب المنيوم</v>
      </c>
      <c r="H200" s="10"/>
      <c r="I200" s="12" t="s">
        <v>21</v>
      </c>
      <c r="J200" s="13" t="s">
        <v>16</v>
      </c>
      <c r="K200" s="7"/>
      <c r="L200" s="14"/>
      <c r="M200" s="10"/>
      <c r="N200" s="10" t="s">
        <v>23</v>
      </c>
      <c r="O200" s="7">
        <v>46068.488127337958</v>
      </c>
    </row>
    <row r="201" spans="1:15" ht="75" customHeight="1">
      <c r="A201" s="7">
        <f ca="1">IFERROR(__xludf.DUMMYFUNCTION("""COMPUTED_VALUE"""),46067.4545171527)</f>
        <v>46067.454517152699</v>
      </c>
      <c r="B201" s="8" t="str">
        <f ca="1">IFERROR(__xludf.DUMMYFUNCTION("""COMPUTED_VALUE"""),"المعملجي")</f>
        <v>المعملجي</v>
      </c>
      <c r="C201" s="9" t="str">
        <f ca="1">IFERROR(__xludf.DUMMYFUNCTION("""COMPUTED_VALUE"""),"وحدة المدني ")</f>
        <v xml:space="preserve">وحدة المدني </v>
      </c>
      <c r="D201" s="10" t="str">
        <f ca="1">IFERROR(__xludf.DUMMYFUNCTION("""COMPUTED_VALUE"""),"قسم المشاريع الهندسية")</f>
        <v>قسم المشاريع الهندسية</v>
      </c>
      <c r="E201" s="10" t="str">
        <f ca="1">IFERROR(__xludf.DUMMYFUNCTION("""COMPUTED_VALUE"""),"E- ابتدائية العميد للبنات (الثالثة)")</f>
        <v>E- ابتدائية العميد للبنات (الثالثة)</v>
      </c>
      <c r="F201" s="10" t="str">
        <f ca="1">IFERROR(__xludf.DUMMYFUNCTION("""COMPUTED_VALUE"""),"الطابق الاول")</f>
        <v>الطابق الاول</v>
      </c>
      <c r="G201" s="10" t="str">
        <f ca="1">IFERROR(__xludf.DUMMYFUNCTION("""COMPUTED_VALUE"""),"تثبيت تور شباك")</f>
        <v>تثبيت تور شباك</v>
      </c>
      <c r="H201" s="10"/>
      <c r="I201" s="12" t="s">
        <v>21</v>
      </c>
      <c r="J201" s="13" t="s">
        <v>16</v>
      </c>
      <c r="K201" s="7"/>
      <c r="L201" s="14"/>
      <c r="M201" s="10"/>
      <c r="N201" s="10" t="s">
        <v>23</v>
      </c>
      <c r="O201" s="7">
        <v>46068.488137997687</v>
      </c>
    </row>
    <row r="202" spans="1:15" ht="75" customHeight="1">
      <c r="A202" s="7">
        <f ca="1">IFERROR(__xludf.DUMMYFUNCTION("""COMPUTED_VALUE"""),46067.4551919328)</f>
        <v>46067.455191932801</v>
      </c>
      <c r="B202" s="8" t="str">
        <f ca="1">IFERROR(__xludf.DUMMYFUNCTION("""COMPUTED_VALUE"""),"المعملجي")</f>
        <v>المعملجي</v>
      </c>
      <c r="C202" s="9" t="str">
        <f ca="1">IFERROR(__xludf.DUMMYFUNCTION("""COMPUTED_VALUE"""),"سجاد تربية")</f>
        <v>سجاد تربية</v>
      </c>
      <c r="D202" s="10" t="str">
        <f ca="1">IFERROR(__xludf.DUMMYFUNCTION("""COMPUTED_VALUE"""),"قسم المشاريع الهندسية")</f>
        <v>قسم المشاريع الهندسية</v>
      </c>
      <c r="E202" s="10" t="str">
        <f ca="1">IFERROR(__xludf.DUMMYFUNCTION("""COMPUTED_VALUE"""),"E- ابتدائية العميد للبنات (الثالثة)")</f>
        <v>E- ابتدائية العميد للبنات (الثالثة)</v>
      </c>
      <c r="F202" s="10" t="str">
        <f ca="1">IFERROR(__xludf.DUMMYFUNCTION("""COMPUTED_VALUE"""),"الطابق الثاني")</f>
        <v>الطابق الثاني</v>
      </c>
      <c r="G202" s="10" t="str">
        <f ca="1">IFERROR(__xludf.DUMMYFUNCTION("""COMPUTED_VALUE"""),"تبديل يدة باب بالصحيات")</f>
        <v>تبديل يدة باب بالصحيات</v>
      </c>
      <c r="H202" s="10"/>
      <c r="I202" s="12" t="s">
        <v>21</v>
      </c>
      <c r="J202" s="13" t="s">
        <v>16</v>
      </c>
      <c r="K202" s="7"/>
      <c r="L202" s="14"/>
      <c r="M202" s="10"/>
      <c r="N202" s="10" t="s">
        <v>23</v>
      </c>
      <c r="O202" s="7">
        <v>46068.488148749995</v>
      </c>
    </row>
    <row r="203" spans="1:15" ht="75" customHeight="1">
      <c r="A203" s="7">
        <f ca="1">IFERROR(__xludf.DUMMYFUNCTION("""COMPUTED_VALUE"""),46067.4560006365)</f>
        <v>46067.456000636499</v>
      </c>
      <c r="B203" s="8" t="str">
        <f ca="1">IFERROR(__xludf.DUMMYFUNCTION("""COMPUTED_VALUE"""),"المعملجي")</f>
        <v>المعملجي</v>
      </c>
      <c r="C203" s="9" t="str">
        <f ca="1">IFERROR(__xludf.DUMMYFUNCTION("""COMPUTED_VALUE"""),"وحدة المدني ")</f>
        <v xml:space="preserve">وحدة المدني </v>
      </c>
      <c r="D203" s="10" t="str">
        <f ca="1">IFERROR(__xludf.DUMMYFUNCTION("""COMPUTED_VALUE"""),"قسم المشاريع الهندسية")</f>
        <v>قسم المشاريع الهندسية</v>
      </c>
      <c r="E203" s="10" t="str">
        <f ca="1">IFERROR(__xludf.DUMMYFUNCTION("""COMPUTED_VALUE"""),"A- المركز الثقافي")</f>
        <v>A- المركز الثقافي</v>
      </c>
      <c r="F203" s="10" t="str">
        <f ca="1">IFERROR(__xludf.DUMMYFUNCTION("""COMPUTED_VALUE"""),"الطابق الارضي")</f>
        <v>الطابق الارضي</v>
      </c>
      <c r="G203" s="10" t="str">
        <f ca="1">IFERROR(__xludf.DUMMYFUNCTION("""COMPUTED_VALUE"""),"تثبيت تور الاخضر سياج المولدة")</f>
        <v>تثبيت تور الاخضر سياج المولدة</v>
      </c>
      <c r="H203" s="10"/>
      <c r="I203" s="12" t="s">
        <v>21</v>
      </c>
      <c r="J203" s="13" t="s">
        <v>16</v>
      </c>
      <c r="K203" s="7"/>
      <c r="L203" s="14"/>
      <c r="M203" s="10"/>
      <c r="N203" s="10" t="s">
        <v>23</v>
      </c>
      <c r="O203" s="7">
        <v>46068.488165613424</v>
      </c>
    </row>
    <row r="204" spans="1:15" ht="75" customHeight="1">
      <c r="A204" s="7">
        <f ca="1">IFERROR(__xludf.DUMMYFUNCTION("""COMPUTED_VALUE"""),46067.4568213425)</f>
        <v>46067.456821342501</v>
      </c>
      <c r="B204" s="8" t="str">
        <f ca="1">IFERROR(__xludf.DUMMYFUNCTION("""COMPUTED_VALUE"""),"المعملجي")</f>
        <v>المعملجي</v>
      </c>
      <c r="C204" s="9" t="str">
        <f ca="1">IFERROR(__xludf.DUMMYFUNCTION("""COMPUTED_VALUE"""),"وحدة المدني ")</f>
        <v xml:space="preserve">وحدة المدني </v>
      </c>
      <c r="D204" s="10" t="str">
        <f ca="1">IFERROR(__xludf.DUMMYFUNCTION("""COMPUTED_VALUE"""),"قسم المشاريع الهندسية")</f>
        <v>قسم المشاريع الهندسية</v>
      </c>
      <c r="E204" s="10" t="str">
        <f ca="1">IFERROR(__xludf.DUMMYFUNCTION("""COMPUTED_VALUE"""),"A- المركز الثقافي")</f>
        <v>A- المركز الثقافي</v>
      </c>
      <c r="F204" s="10" t="str">
        <f ca="1">IFERROR(__xludf.DUMMYFUNCTION("""COMPUTED_VALUE"""),"الطابق الارضي")</f>
        <v>الطابق الارضي</v>
      </c>
      <c r="G204" s="10" t="str">
        <f ca="1">IFERROR(__xludf.DUMMYFUNCTION("""COMPUTED_VALUE"""),"تبديل يدة باب بالصحيات ")</f>
        <v xml:space="preserve">تبديل يدة باب بالصحيات </v>
      </c>
      <c r="H204" s="10"/>
      <c r="I204" s="12" t="s">
        <v>21</v>
      </c>
      <c r="J204" s="13" t="s">
        <v>16</v>
      </c>
      <c r="K204" s="7"/>
      <c r="L204" s="14"/>
      <c r="M204" s="10"/>
      <c r="N204" s="10" t="s">
        <v>23</v>
      </c>
      <c r="O204" s="7">
        <v>46068.488188680552</v>
      </c>
    </row>
    <row r="205" spans="1:15" ht="75" customHeight="1">
      <c r="A205" s="7">
        <f ca="1">IFERROR(__xludf.DUMMYFUNCTION("""COMPUTED_VALUE"""),46067.4573175115)</f>
        <v>46067.4573175115</v>
      </c>
      <c r="B205" s="8" t="str">
        <f ca="1">IFERROR(__xludf.DUMMYFUNCTION("""COMPUTED_VALUE"""),"المعملجي")</f>
        <v>المعملجي</v>
      </c>
      <c r="C205" s="9" t="str">
        <f ca="1">IFERROR(__xludf.DUMMYFUNCTION("""COMPUTED_VALUE"""),"وحدة المدني ")</f>
        <v xml:space="preserve">وحدة المدني </v>
      </c>
      <c r="D205" s="10" t="str">
        <f ca="1">IFERROR(__xludf.DUMMYFUNCTION("""COMPUTED_VALUE"""),"قسم المشاريع الهندسية")</f>
        <v>قسم المشاريع الهندسية</v>
      </c>
      <c r="E205" s="10" t="str">
        <f ca="1">IFERROR(__xludf.DUMMYFUNCTION("""COMPUTED_VALUE"""),"H- ابتدائية القمر للبنات (الخامسة)")</f>
        <v>H- ابتدائية القمر للبنات (الخامسة)</v>
      </c>
      <c r="F205" s="10" t="str">
        <f ca="1">IFERROR(__xludf.DUMMYFUNCTION("""COMPUTED_VALUE"""),"الطابق الاول")</f>
        <v>الطابق الاول</v>
      </c>
      <c r="G205" s="10" t="str">
        <f ca="1">IFERROR(__xludf.DUMMYFUNCTION("""COMPUTED_VALUE"""),"تبديل يدة باب بالصحيات ")</f>
        <v xml:space="preserve">تبديل يدة باب بالصحيات </v>
      </c>
      <c r="H205" s="10"/>
      <c r="I205" s="12" t="s">
        <v>21</v>
      </c>
      <c r="J205" s="13" t="s">
        <v>16</v>
      </c>
      <c r="K205" s="7"/>
      <c r="L205" s="14"/>
      <c r="M205" s="10"/>
      <c r="N205" s="10" t="s">
        <v>23</v>
      </c>
      <c r="O205" s="7">
        <v>46068.488198923616</v>
      </c>
    </row>
    <row r="206" spans="1:15" ht="75" customHeight="1">
      <c r="A206" s="7">
        <f ca="1">IFERROR(__xludf.DUMMYFUNCTION("""COMPUTED_VALUE"""),46067.4579994444)</f>
        <v>46067.457999444399</v>
      </c>
      <c r="B206" s="8" t="str">
        <f ca="1">IFERROR(__xludf.DUMMYFUNCTION("""COMPUTED_VALUE"""),"المعملجي")</f>
        <v>المعملجي</v>
      </c>
      <c r="C206" s="9" t="str">
        <f ca="1">IFERROR(__xludf.DUMMYFUNCTION("""COMPUTED_VALUE"""),"وحدة المدني ")</f>
        <v xml:space="preserve">وحدة المدني </v>
      </c>
      <c r="D206" s="10" t="str">
        <f ca="1">IFERROR(__xludf.DUMMYFUNCTION("""COMPUTED_VALUE"""),"قسم المشاريع الهندسية")</f>
        <v>قسم المشاريع الهندسية</v>
      </c>
      <c r="E206" s="10" t="str">
        <f ca="1">IFERROR(__xludf.DUMMYFUNCTION("""COMPUTED_VALUE"""),"النافورة")</f>
        <v>النافورة</v>
      </c>
      <c r="F206" s="10" t="str">
        <f ca="1">IFERROR(__xludf.DUMMYFUNCTION("""COMPUTED_VALUE"""),"الطابق الاول")</f>
        <v>الطابق الاول</v>
      </c>
      <c r="G206" s="10" t="str">
        <f ca="1">IFERROR(__xludf.DUMMYFUNCTION("""COMPUTED_VALUE"""),"غسل النافورة")</f>
        <v>غسل النافورة</v>
      </c>
      <c r="H206" s="10"/>
      <c r="I206" s="12" t="s">
        <v>21</v>
      </c>
      <c r="J206" s="13" t="s">
        <v>16</v>
      </c>
      <c r="K206" s="7"/>
      <c r="L206" s="14"/>
      <c r="M206" s="10"/>
      <c r="N206" s="10" t="s">
        <v>23</v>
      </c>
      <c r="O206" s="7">
        <v>46068.488210462965</v>
      </c>
    </row>
    <row r="207" spans="1:15" ht="75" customHeight="1">
      <c r="A207" s="7">
        <f ca="1">IFERROR(__xludf.DUMMYFUNCTION("""COMPUTED_VALUE"""),46067.458557743)</f>
        <v>46067.458557742997</v>
      </c>
      <c r="B207" s="8" t="str">
        <f ca="1">IFERROR(__xludf.DUMMYFUNCTION("""COMPUTED_VALUE"""),"المعملجي")</f>
        <v>المعملجي</v>
      </c>
      <c r="C207" s="9" t="str">
        <f ca="1">IFERROR(__xludf.DUMMYFUNCTION("""COMPUTED_VALUE"""),"وحدة المدني ")</f>
        <v xml:space="preserve">وحدة المدني </v>
      </c>
      <c r="D207" s="10" t="str">
        <f ca="1">IFERROR(__xludf.DUMMYFUNCTION("""COMPUTED_VALUE"""),"قسم المشاريع الهندسية")</f>
        <v>قسم المشاريع الهندسية</v>
      </c>
      <c r="E207" s="10" t="str">
        <f ca="1">IFERROR(__xludf.DUMMYFUNCTION("""COMPUTED_VALUE"""),"F-  ابتدائية جود العميد للبنات (الرابعة)")</f>
        <v>F-  ابتدائية جود العميد للبنات (الرابعة)</v>
      </c>
      <c r="F207" s="10" t="str">
        <f ca="1">IFERROR(__xludf.DUMMYFUNCTION("""COMPUTED_VALUE"""),"الطابق الارضي")</f>
        <v>الطابق الارضي</v>
      </c>
      <c r="G207" s="10" t="str">
        <f ca="1">IFERROR(__xludf.DUMMYFUNCTION("""COMPUTED_VALUE"""),"صيانة باب خشب الصحيات")</f>
        <v>صيانة باب خشب الصحيات</v>
      </c>
      <c r="H207" s="10"/>
      <c r="I207" s="12" t="s">
        <v>21</v>
      </c>
      <c r="J207" s="13" t="s">
        <v>16</v>
      </c>
      <c r="K207" s="7"/>
      <c r="L207" s="14"/>
      <c r="M207" s="10"/>
      <c r="N207" s="10" t="s">
        <v>23</v>
      </c>
      <c r="O207" s="7">
        <v>46068.488221400461</v>
      </c>
    </row>
    <row r="208" spans="1:15" ht="75" customHeight="1">
      <c r="A208" s="7">
        <f ca="1">IFERROR(__xludf.DUMMYFUNCTION("""COMPUTED_VALUE"""),46067.4598556944)</f>
        <v>46067.459855694397</v>
      </c>
      <c r="B208" s="8" t="str">
        <f ca="1">IFERROR(__xludf.DUMMYFUNCTION("""COMPUTED_VALUE"""),"المعملجي")</f>
        <v>المعملجي</v>
      </c>
      <c r="C208" s="9" t="str">
        <f ca="1">IFERROR(__xludf.DUMMYFUNCTION("""COMPUTED_VALUE"""),"وحدة المدني ")</f>
        <v xml:space="preserve">وحدة المدني </v>
      </c>
      <c r="D208" s="10" t="str">
        <f ca="1">IFERROR(__xludf.DUMMYFUNCTION("""COMPUTED_VALUE"""),"قسم المشاريع الهندسية")</f>
        <v>قسم المشاريع الهندسية</v>
      </c>
      <c r="E208" s="10" t="str">
        <f ca="1">IFERROR(__xludf.DUMMYFUNCTION("""COMPUTED_VALUE"""),"F-  ابتدائية جود العميد للبنات (الرابعة)")</f>
        <v>F-  ابتدائية جود العميد للبنات (الرابعة)</v>
      </c>
      <c r="F208" s="10" t="str">
        <f ca="1">IFERROR(__xludf.DUMMYFUNCTION("""COMPUTED_VALUE"""),"الطابق الارضي, الطابق الاول")</f>
        <v>الطابق الارضي, الطابق الاول</v>
      </c>
      <c r="G208" s="10" t="str">
        <f ca="1">IFERROR(__xludf.DUMMYFUNCTION("""COMPUTED_VALUE"""),"صيانة وتبديل يدة بالصحيات")</f>
        <v>صيانة وتبديل يدة بالصحيات</v>
      </c>
      <c r="H208" s="10"/>
      <c r="I208" s="12" t="s">
        <v>21</v>
      </c>
      <c r="J208" s="13" t="s">
        <v>16</v>
      </c>
      <c r="K208" s="7"/>
      <c r="L208" s="14"/>
      <c r="M208" s="10"/>
      <c r="N208" s="10" t="s">
        <v>23</v>
      </c>
      <c r="O208" s="7">
        <v>46068.488237951387</v>
      </c>
    </row>
    <row r="209" spans="1:15" ht="75" customHeight="1">
      <c r="A209" s="7">
        <f ca="1">IFERROR(__xludf.DUMMYFUNCTION("""COMPUTED_VALUE"""),46067.4606885648)</f>
        <v>46067.460688564803</v>
      </c>
      <c r="B209" s="8" t="str">
        <f ca="1">IFERROR(__xludf.DUMMYFUNCTION("""COMPUTED_VALUE"""),"المعملجي")</f>
        <v>المعملجي</v>
      </c>
      <c r="C209" s="9" t="str">
        <f ca="1">IFERROR(__xludf.DUMMYFUNCTION("""COMPUTED_VALUE"""),"وحدة المدني ")</f>
        <v xml:space="preserve">وحدة المدني </v>
      </c>
      <c r="D209" s="10" t="str">
        <f ca="1">IFERROR(__xludf.DUMMYFUNCTION("""COMPUTED_VALUE"""),"قسم المشاريع الهندسية")</f>
        <v>قسم المشاريع الهندسية</v>
      </c>
      <c r="E209" s="10" t="str">
        <f ca="1">IFERROR(__xludf.DUMMYFUNCTION("""COMPUTED_VALUE"""),"F-  ابتدائية جود العميد للبنات (الرابعة)")</f>
        <v>F-  ابتدائية جود العميد للبنات (الرابعة)</v>
      </c>
      <c r="F209" s="10" t="str">
        <f ca="1">IFERROR(__xludf.DUMMYFUNCTION("""COMPUTED_VALUE"""),"الطابق الاول")</f>
        <v>الطابق الاول</v>
      </c>
      <c r="G209" s="10" t="str">
        <f ca="1">IFERROR(__xludf.DUMMYFUNCTION("""COMPUTED_VALUE"""),"تثبيت لوحة خشب ")</f>
        <v xml:space="preserve">تثبيت لوحة خشب </v>
      </c>
      <c r="H209" s="10"/>
      <c r="I209" s="12" t="s">
        <v>21</v>
      </c>
      <c r="J209" s="13" t="s">
        <v>16</v>
      </c>
      <c r="K209" s="7"/>
      <c r="L209" s="14"/>
      <c r="M209" s="10"/>
      <c r="N209" s="10" t="s">
        <v>23</v>
      </c>
      <c r="O209" s="7">
        <v>46068.488250740746</v>
      </c>
    </row>
    <row r="210" spans="1:15" ht="75" customHeight="1">
      <c r="A210" s="7">
        <f ca="1">IFERROR(__xludf.DUMMYFUNCTION("""COMPUTED_VALUE"""),46067.4620969791)</f>
        <v>46067.462096979099</v>
      </c>
      <c r="B210" s="8" t="str">
        <f ca="1">IFERROR(__xludf.DUMMYFUNCTION("""COMPUTED_VALUE"""),"المعملجي")</f>
        <v>المعملجي</v>
      </c>
      <c r="C210" s="9" t="str">
        <f ca="1">IFERROR(__xludf.DUMMYFUNCTION("""COMPUTED_VALUE"""),"وحدة المدني ")</f>
        <v xml:space="preserve">وحدة المدني </v>
      </c>
      <c r="D210" s="10" t="str">
        <f ca="1">IFERROR(__xludf.DUMMYFUNCTION("""COMPUTED_VALUE"""),"قسم المشاريع الهندسية")</f>
        <v>قسم المشاريع الهندسية</v>
      </c>
      <c r="E210" s="10" t="str">
        <f ca="1">IFERROR(__xludf.DUMMYFUNCTION("""COMPUTED_VALUE"""),"B- روضة القمر")</f>
        <v>B- روضة القمر</v>
      </c>
      <c r="F210" s="10" t="str">
        <f ca="1">IFERROR(__xludf.DUMMYFUNCTION("""COMPUTED_VALUE"""),"الرصيف الخارجي")</f>
        <v>الرصيف الخارجي</v>
      </c>
      <c r="G210" s="10" t="str">
        <f ca="1">IFERROR(__xludf.DUMMYFUNCTION("""COMPUTED_VALUE"""),"صبغ برايمر للرصيف")</f>
        <v>صبغ برايمر للرصيف</v>
      </c>
      <c r="H210" s="10"/>
      <c r="I210" s="12" t="s">
        <v>21</v>
      </c>
      <c r="J210" s="13" t="s">
        <v>16</v>
      </c>
      <c r="K210" s="7"/>
      <c r="L210" s="14"/>
      <c r="M210" s="10"/>
      <c r="N210" s="10" t="s">
        <v>23</v>
      </c>
      <c r="O210" s="7">
        <v>46068.488261701394</v>
      </c>
    </row>
    <row r="211" spans="1:15" ht="75" customHeight="1">
      <c r="A211" s="7">
        <f ca="1">IFERROR(__xludf.DUMMYFUNCTION("""COMPUTED_VALUE"""),46067.4628083333)</f>
        <v>46067.462808333301</v>
      </c>
      <c r="B211" s="8" t="str">
        <f ca="1">IFERROR(__xludf.DUMMYFUNCTION("""COMPUTED_VALUE"""),"المعملجي")</f>
        <v>المعملجي</v>
      </c>
      <c r="C211" s="9" t="str">
        <f ca="1">IFERROR(__xludf.DUMMYFUNCTION("""COMPUTED_VALUE"""),"وحدة المدني ")</f>
        <v xml:space="preserve">وحدة المدني </v>
      </c>
      <c r="D211" s="10" t="str">
        <f ca="1">IFERROR(__xludf.DUMMYFUNCTION("""COMPUTED_VALUE"""),"قسم المشاريع الهندسية")</f>
        <v>قسم المشاريع الهندسية</v>
      </c>
      <c r="E211" s="10" t="str">
        <f ca="1">IFERROR(__xludf.DUMMYFUNCTION("""COMPUTED_VALUE"""),"B- روضة القمر")</f>
        <v>B- روضة القمر</v>
      </c>
      <c r="F211" s="10" t="str">
        <f ca="1">IFERROR(__xludf.DUMMYFUNCTION("""COMPUTED_VALUE"""),"الرصيف الخارجي")</f>
        <v>الرصيف الخارجي</v>
      </c>
      <c r="G211" s="10" t="str">
        <f ca="1">IFERROR(__xludf.DUMMYFUNCTION("""COMPUTED_VALUE"""),"تصليح الرصيف بمادة المعجون والسنفرة")</f>
        <v>تصليح الرصيف بمادة المعجون والسنفرة</v>
      </c>
      <c r="H211" s="10"/>
      <c r="I211" s="12" t="s">
        <v>21</v>
      </c>
      <c r="J211" s="13" t="s">
        <v>16</v>
      </c>
      <c r="K211" s="7"/>
      <c r="L211" s="14"/>
      <c r="M211" s="10"/>
      <c r="N211" s="10" t="s">
        <v>23</v>
      </c>
      <c r="O211" s="7">
        <v>46068.488273935189</v>
      </c>
    </row>
    <row r="212" spans="1:15" ht="75" customHeight="1">
      <c r="A212" s="7">
        <f ca="1">IFERROR(__xludf.DUMMYFUNCTION("""COMPUTED_VALUE"""),46067.463618912)</f>
        <v>46067.463618911999</v>
      </c>
      <c r="B212" s="8" t="str">
        <f ca="1">IFERROR(__xludf.DUMMYFUNCTION("""COMPUTED_VALUE"""),"المعملجي")</f>
        <v>المعملجي</v>
      </c>
      <c r="C212" s="9" t="str">
        <f ca="1">IFERROR(__xludf.DUMMYFUNCTION("""COMPUTED_VALUE"""),"وحدة المدني ")</f>
        <v xml:space="preserve">وحدة المدني </v>
      </c>
      <c r="D212" s="10" t="str">
        <f ca="1">IFERROR(__xludf.DUMMYFUNCTION("""COMPUTED_VALUE"""),"قسم المشاريع الهندسية")</f>
        <v>قسم المشاريع الهندسية</v>
      </c>
      <c r="E212" s="10" t="str">
        <f ca="1">IFERROR(__xludf.DUMMYFUNCTION("""COMPUTED_VALUE"""),"B- روضة القمر")</f>
        <v>B- روضة القمر</v>
      </c>
      <c r="F212" s="10" t="str">
        <f ca="1">IFERROR(__xludf.DUMMYFUNCTION("""COMPUTED_VALUE"""),"الرصيف الخارجي ")</f>
        <v xml:space="preserve">الرصيف الخارجي </v>
      </c>
      <c r="G212" s="10" t="str">
        <f ca="1">IFERROR(__xludf.DUMMYFUNCTION("""COMPUTED_VALUE"""),"صبغ الرصيف بالون الابيض والاصفر ")</f>
        <v xml:space="preserve">صبغ الرصيف بالون الابيض والاصفر </v>
      </c>
      <c r="H212" s="10"/>
      <c r="I212" s="12" t="s">
        <v>21</v>
      </c>
      <c r="J212" s="13" t="s">
        <v>16</v>
      </c>
      <c r="K212" s="7"/>
      <c r="L212" s="14"/>
      <c r="M212" s="10"/>
      <c r="N212" s="10" t="s">
        <v>23</v>
      </c>
      <c r="O212" s="7">
        <v>46068.488285092593</v>
      </c>
    </row>
    <row r="213" spans="1:15" ht="75" customHeight="1">
      <c r="A213" s="7">
        <f ca="1">IFERROR(__xludf.DUMMYFUNCTION("""COMPUTED_VALUE"""),46068.5341053935)</f>
        <v>46068.534105393497</v>
      </c>
      <c r="B213" s="8" t="str">
        <f ca="1">IFERROR(__xludf.DUMMYFUNCTION("""COMPUTED_VALUE"""),"المعملجي")</f>
        <v>المعملجي</v>
      </c>
      <c r="C213" s="9" t="str">
        <f ca="1">IFERROR(__xludf.DUMMYFUNCTION("""COMPUTED_VALUE"""),"سجاد تربية")</f>
        <v>سجاد تربية</v>
      </c>
      <c r="D213" s="10" t="str">
        <f ca="1">IFERROR(__xludf.DUMMYFUNCTION("""COMPUTED_VALUE"""),"قسم التربية والتعليم العالي")</f>
        <v>قسم التربية والتعليم العالي</v>
      </c>
      <c r="E213" s="10" t="str">
        <f ca="1">IFERROR(__xludf.DUMMYFUNCTION("""COMPUTED_VALUE"""),"I- ابتدائية الساقي للبنين (السادسة)")</f>
        <v>I- ابتدائية الساقي للبنين (السادسة)</v>
      </c>
      <c r="F213" s="10" t="str">
        <f ca="1">IFERROR(__xludf.DUMMYFUNCTION("""COMPUTED_VALUE"""),"الطابق الارضي")</f>
        <v>الطابق الارضي</v>
      </c>
      <c r="G213" s="10" t="str">
        <f ca="1">IFERROR(__xludf.DUMMYFUNCTION("""COMPUTED_VALUE"""),"تصليح تارتان الدرج ")</f>
        <v xml:space="preserve">تصليح تارتان الدرج </v>
      </c>
      <c r="H213" s="10"/>
      <c r="I213" s="12" t="s">
        <v>21</v>
      </c>
      <c r="J213" s="13" t="s">
        <v>16</v>
      </c>
      <c r="K213" s="7">
        <v>46068.554261168982</v>
      </c>
      <c r="L213" s="14"/>
      <c r="M213" s="10"/>
      <c r="N213" s="10" t="s">
        <v>31</v>
      </c>
      <c r="O213" s="7">
        <v>46068.537612592598</v>
      </c>
    </row>
    <row r="214" spans="1:15" ht="75" customHeight="1">
      <c r="A214" s="7">
        <f ca="1">IFERROR(__xludf.DUMMYFUNCTION("""COMPUTED_VALUE"""),46069.3171673032)</f>
        <v>46069.317167303197</v>
      </c>
      <c r="B214" s="8" t="str">
        <f ca="1">IFERROR(__xludf.DUMMYFUNCTION("""COMPUTED_VALUE"""),"المعملجي")</f>
        <v>المعملجي</v>
      </c>
      <c r="C214" s="9" t="str">
        <f ca="1">IFERROR(__xludf.DUMMYFUNCTION("""COMPUTED_VALUE"""),"وحدة التبريد")</f>
        <v>وحدة التبريد</v>
      </c>
      <c r="D214" s="10" t="str">
        <f ca="1">IFERROR(__xludf.DUMMYFUNCTION("""COMPUTED_VALUE"""),"قسم المشاريع الهندسية")</f>
        <v>قسم المشاريع الهندسية</v>
      </c>
      <c r="E214" s="10" t="str">
        <f ca="1">IFERROR(__xludf.DUMMYFUNCTION("""COMPUTED_VALUE"""),"E- ابتدائية العميد للبنات (الثالثة)")</f>
        <v>E- ابتدائية العميد للبنات (الثالثة)</v>
      </c>
      <c r="F214" s="10" t="str">
        <f ca="1">IFERROR(__xludf.DUMMYFUNCTION("""COMPUTED_VALUE"""),"الطابق الارضي, الطابق الاول, الطابق الثاني")</f>
        <v>الطابق الارضي, الطابق الاول, الطابق الثاني</v>
      </c>
      <c r="G214" s="10" t="str">
        <f ca="1">IFERROR(__xludf.DUMMYFUNCTION("""COMPUTED_VALUE"""),"إدامة وتنظيف القطع الداخليه الخاصة بالبناية")</f>
        <v>إدامة وتنظيف القطع الداخليه الخاصة بالبناية</v>
      </c>
      <c r="H214" s="10"/>
      <c r="I214" s="12" t="s">
        <v>21</v>
      </c>
      <c r="J214" s="13" t="s">
        <v>16</v>
      </c>
      <c r="K214" s="7"/>
      <c r="L214" s="14"/>
      <c r="M214" s="10"/>
      <c r="N214" s="10" t="s">
        <v>23</v>
      </c>
      <c r="O214" s="7">
        <v>46069.35374648148</v>
      </c>
    </row>
    <row r="215" spans="1:15" ht="75" customHeight="1">
      <c r="A215" s="7">
        <f ca="1">IFERROR(__xludf.DUMMYFUNCTION("""COMPUTED_VALUE"""),46070.3400943402)</f>
        <v>46070.340094340201</v>
      </c>
      <c r="B215" s="8" t="str">
        <f ca="1">IFERROR(__xludf.DUMMYFUNCTION("""COMPUTED_VALUE"""),"المعملجي")</f>
        <v>المعملجي</v>
      </c>
      <c r="C215" s="9" t="str">
        <f ca="1">IFERROR(__xludf.DUMMYFUNCTION("""COMPUTED_VALUE"""),"سجاد تربية")</f>
        <v>سجاد تربية</v>
      </c>
      <c r="D215" s="10" t="str">
        <f ca="1">IFERROR(__xludf.DUMMYFUNCTION("""COMPUTED_VALUE"""),"قسم التربية والتعليم العالي")</f>
        <v>قسم التربية والتعليم العالي</v>
      </c>
      <c r="E215" s="10" t="str">
        <f ca="1">IFERROR(__xludf.DUMMYFUNCTION("""COMPUTED_VALUE"""),"H- ابتدائية القمر للبنات (الخامسة)")</f>
        <v>H- ابتدائية القمر للبنات (الخامسة)</v>
      </c>
      <c r="F215" s="10" t="str">
        <f ca="1">IFERROR(__xludf.DUMMYFUNCTION("""COMPUTED_VALUE"""),"الطابق الارضي")</f>
        <v>الطابق الارضي</v>
      </c>
      <c r="G215" s="10" t="str">
        <f ca="1">IFERROR(__xludf.DUMMYFUNCTION("""COMPUTED_VALUE"""),"صيانة كرسي")</f>
        <v>صيانة كرسي</v>
      </c>
      <c r="H215" s="10"/>
      <c r="I215" s="12" t="s">
        <v>21</v>
      </c>
      <c r="J215" s="13" t="s">
        <v>16</v>
      </c>
      <c r="K215" s="7">
        <v>46070.504169131949</v>
      </c>
      <c r="L215" s="14"/>
      <c r="M215" s="10"/>
      <c r="N215" s="10"/>
      <c r="O215" s="7"/>
    </row>
    <row r="216" spans="1:15" ht="75" customHeight="1">
      <c r="A216" s="7">
        <f ca="1">IFERROR(__xludf.DUMMYFUNCTION("""COMPUTED_VALUE"""),46071.3521833449)</f>
        <v>46071.352183344898</v>
      </c>
      <c r="B216" s="8" t="str">
        <f ca="1">IFERROR(__xludf.DUMMYFUNCTION("""COMPUTED_VALUE"""),"المعملجي")</f>
        <v>المعملجي</v>
      </c>
      <c r="C216" s="9" t="str">
        <f ca="1">IFERROR(__xludf.DUMMYFUNCTION("""COMPUTED_VALUE"""),"وحدة المدني")</f>
        <v>وحدة المدني</v>
      </c>
      <c r="D216" s="10" t="str">
        <f ca="1">IFERROR(__xludf.DUMMYFUNCTION("""COMPUTED_VALUE"""),"قسم المشاريع الهندسية")</f>
        <v>قسم المشاريع الهندسية</v>
      </c>
      <c r="E216" s="10" t="str">
        <f ca="1">IFERROR(__xludf.DUMMYFUNCTION("""COMPUTED_VALUE"""),"D- ثانوية العميد بناية المتوسطة  (الثانية)")</f>
        <v>D- ثانوية العميد بناية المتوسطة  (الثانية)</v>
      </c>
      <c r="F216" s="10" t="str">
        <f ca="1">IFERROR(__xludf.DUMMYFUNCTION("""COMPUTED_VALUE"""),"السياج الخارجي")</f>
        <v>السياج الخارجي</v>
      </c>
      <c r="G216" s="10" t="str">
        <f ca="1">IFERROR(__xludf.DUMMYFUNCTION("""COMPUTED_VALUE"""),"صيانة الفطور في السياج الخارجي")</f>
        <v>صيانة الفطور في السياج الخارجي</v>
      </c>
      <c r="H216" s="10"/>
      <c r="I216" s="12" t="s">
        <v>21</v>
      </c>
      <c r="J216" s="16" t="s">
        <v>16</v>
      </c>
      <c r="K216" s="7">
        <v>46071.354329502312</v>
      </c>
      <c r="L216" s="14"/>
      <c r="M216" s="10"/>
      <c r="N216" s="10"/>
      <c r="O216" s="7"/>
    </row>
    <row r="217" spans="1:15" ht="75" customHeight="1">
      <c r="A217" s="7">
        <f ca="1">IFERROR(__xludf.DUMMYFUNCTION("""COMPUTED_VALUE"""),46071.3540800347)</f>
        <v>46071.354080034696</v>
      </c>
      <c r="B217" s="8" t="str">
        <f ca="1">IFERROR(__xludf.DUMMYFUNCTION("""COMPUTED_VALUE"""),"المعملجي")</f>
        <v>المعملجي</v>
      </c>
      <c r="C217" s="9" t="str">
        <f ca="1">IFERROR(__xludf.DUMMYFUNCTION("""COMPUTED_VALUE"""),"وحدة المدني")</f>
        <v>وحدة المدني</v>
      </c>
      <c r="D217" s="10" t="str">
        <f ca="1">IFERROR(__xludf.DUMMYFUNCTION("""COMPUTED_VALUE"""),"قسم المشاريع الهندسية")</f>
        <v>قسم المشاريع الهندسية</v>
      </c>
      <c r="E217" s="10" t="str">
        <f ca="1">IFERROR(__xludf.DUMMYFUNCTION("""COMPUTED_VALUE"""),"C- ثانوية العميد بناية الاعدادية  (الاولى)")</f>
        <v>C- ثانوية العميد بناية الاعدادية  (الاولى)</v>
      </c>
      <c r="F217" s="10" t="str">
        <f ca="1">IFERROR(__xludf.DUMMYFUNCTION("""COMPUTED_VALUE"""),"قرب المدرسة الاولى ")</f>
        <v xml:space="preserve">قرب المدرسة الاولى </v>
      </c>
      <c r="G217" s="10" t="str">
        <f ca="1">IFERROR(__xludf.DUMMYFUNCTION("""COMPUTED_VALUE"""),"رفع المقرنص لغرض مد بوري لتسليك واير كهرباء ")</f>
        <v xml:space="preserve">رفع المقرنص لغرض مد بوري لتسليك واير كهرباء </v>
      </c>
      <c r="H217" s="10"/>
      <c r="I217" s="12" t="s">
        <v>21</v>
      </c>
      <c r="J217" s="13" t="s">
        <v>16</v>
      </c>
      <c r="K217" s="7">
        <v>46071.354345752319</v>
      </c>
      <c r="L217" s="14"/>
      <c r="M217" s="10"/>
      <c r="N217" s="10"/>
      <c r="O217" s="7"/>
    </row>
    <row r="218" spans="1:15" ht="75" customHeight="1">
      <c r="A218" s="7">
        <f ca="1">IFERROR(__xludf.DUMMYFUNCTION("""COMPUTED_VALUE"""),46071.3909907176)</f>
        <v>46071.390990717598</v>
      </c>
      <c r="B218" s="8" t="str">
        <f ca="1">IFERROR(__xludf.DUMMYFUNCTION("""COMPUTED_VALUE"""),"المعملجي")</f>
        <v>المعملجي</v>
      </c>
      <c r="C218" s="9" t="str">
        <f ca="1">IFERROR(__xludf.DUMMYFUNCTION("""COMPUTED_VALUE"""),"سجاد تربية")</f>
        <v>سجاد تربية</v>
      </c>
      <c r="D218" s="10" t="str">
        <f ca="1">IFERROR(__xludf.DUMMYFUNCTION("""COMPUTED_VALUE"""),"قسم التربية والتعليم العالي")</f>
        <v>قسم التربية والتعليم العالي</v>
      </c>
      <c r="E218" s="10" t="str">
        <f ca="1">IFERROR(__xludf.DUMMYFUNCTION("""COMPUTED_VALUE"""),"B- روضة القمر")</f>
        <v>B- روضة القمر</v>
      </c>
      <c r="F218" s="10" t="str">
        <f ca="1">IFERROR(__xludf.DUMMYFUNCTION("""COMPUTED_VALUE"""),"الطابق الارضي")</f>
        <v>الطابق الارضي</v>
      </c>
      <c r="G218" s="10" t="str">
        <f ca="1">IFERROR(__xludf.DUMMYFUNCTION("""COMPUTED_VALUE"""),"معالجة الزوايا الحادة لمكان خرطوم الاطفاء")</f>
        <v>معالجة الزوايا الحادة لمكان خرطوم الاطفاء</v>
      </c>
      <c r="H218" s="10"/>
      <c r="I218" s="12" t="s">
        <v>21</v>
      </c>
      <c r="J218" s="13" t="s">
        <v>16</v>
      </c>
      <c r="K218" s="7">
        <v>46072.513450266204</v>
      </c>
      <c r="L218" s="14"/>
      <c r="M218" s="10"/>
      <c r="N218" s="10"/>
      <c r="O218" s="7"/>
    </row>
    <row r="219" spans="1:15" ht="75" customHeight="1">
      <c r="A219" s="7">
        <f ca="1">IFERROR(__xludf.DUMMYFUNCTION("""COMPUTED_VALUE"""),46071.4102368055)</f>
        <v>46071.410236805503</v>
      </c>
      <c r="B219" s="8" t="str">
        <f ca="1">IFERROR(__xludf.DUMMYFUNCTION("""COMPUTED_VALUE"""),"المعملجي")</f>
        <v>المعملجي</v>
      </c>
      <c r="C219" s="9" t="str">
        <f ca="1">IFERROR(__xludf.DUMMYFUNCTION("""COMPUTED_VALUE"""),"سجاد تربية")</f>
        <v>سجاد تربية</v>
      </c>
      <c r="D219" s="10" t="str">
        <f ca="1">IFERROR(__xludf.DUMMYFUNCTION("""COMPUTED_VALUE"""),"قسم التربية والتعليم العالي")</f>
        <v>قسم التربية والتعليم العالي</v>
      </c>
      <c r="E219" s="10" t="str">
        <f ca="1">IFERROR(__xludf.DUMMYFUNCTION("""COMPUTED_VALUE"""),"G- روضة الجود")</f>
        <v>G- روضة الجود</v>
      </c>
      <c r="F219" s="10" t="str">
        <f ca="1">IFERROR(__xludf.DUMMYFUNCTION("""COMPUTED_VALUE"""),"الطابق الارضي, صف الفرح ")</f>
        <v xml:space="preserve">الطابق الارضي, صف الفرح </v>
      </c>
      <c r="G219" s="10" t="str">
        <f ca="1">IFERROR(__xludf.DUMMYFUNCTION("""COMPUTED_VALUE"""),"يدت شباك تبديل")</f>
        <v>يدت شباك تبديل</v>
      </c>
      <c r="H219" s="10"/>
      <c r="I219" s="12" t="s">
        <v>21</v>
      </c>
      <c r="J219" s="13" t="s">
        <v>16</v>
      </c>
      <c r="K219" s="7">
        <v>46071.452844328705</v>
      </c>
      <c r="L219" s="14"/>
      <c r="M219" s="10"/>
      <c r="N219" s="10"/>
      <c r="O219" s="7"/>
    </row>
    <row r="220" spans="1:15" ht="75" customHeight="1">
      <c r="A220" s="7">
        <f ca="1">IFERROR(__xludf.DUMMYFUNCTION("""COMPUTED_VALUE"""),46071.4967608449)</f>
        <v>46071.496760844901</v>
      </c>
      <c r="B220" s="8" t="str">
        <f ca="1">IFERROR(__xludf.DUMMYFUNCTION("""COMPUTED_VALUE"""),"المعملجي")</f>
        <v>المعملجي</v>
      </c>
      <c r="C220" s="9" t="str">
        <f ca="1">IFERROR(__xludf.DUMMYFUNCTION("""COMPUTED_VALUE"""),"سجاد تربية")</f>
        <v>سجاد تربية</v>
      </c>
      <c r="D220" s="10" t="str">
        <f ca="1">IFERROR(__xludf.DUMMYFUNCTION("""COMPUTED_VALUE"""),"قسم التربية والتعليم العالي")</f>
        <v>قسم التربية والتعليم العالي</v>
      </c>
      <c r="E220" s="10" t="str">
        <f ca="1">IFERROR(__xludf.DUMMYFUNCTION("""COMPUTED_VALUE"""),"I- ابتدائية الساقي للبنين (السادسة)")</f>
        <v>I- ابتدائية الساقي للبنين (السادسة)</v>
      </c>
      <c r="F220" s="10" t="str">
        <f ca="1">IFERROR(__xludf.DUMMYFUNCTION("""COMPUTED_VALUE"""),"جناح الساحة ZONE B")</f>
        <v>جناح الساحة ZONE B</v>
      </c>
      <c r="G220" s="10" t="str">
        <f ca="1">IFERROR(__xludf.DUMMYFUNCTION("""COMPUTED_VALUE"""),"صيانة باب الساحة الوسطية ")</f>
        <v xml:space="preserve">صيانة باب الساحة الوسطية </v>
      </c>
      <c r="H220" s="10"/>
      <c r="I220" s="12" t="s">
        <v>21</v>
      </c>
      <c r="J220" s="13" t="s">
        <v>16</v>
      </c>
      <c r="K220" s="7">
        <v>46072.467702152775</v>
      </c>
      <c r="L220" s="14"/>
      <c r="M220" s="10"/>
      <c r="N220" s="10" t="s">
        <v>33</v>
      </c>
      <c r="O220" s="7">
        <v>46072.374338240741</v>
      </c>
    </row>
    <row r="221" spans="1:15" ht="75" customHeight="1">
      <c r="A221" s="7">
        <f ca="1">IFERROR(__xludf.DUMMYFUNCTION("""COMPUTED_VALUE"""),46072.367704537)</f>
        <v>46072.367704536999</v>
      </c>
      <c r="B221" s="8" t="str">
        <f ca="1">IFERROR(__xludf.DUMMYFUNCTION("""COMPUTED_VALUE"""),"المعملجي")</f>
        <v>المعملجي</v>
      </c>
      <c r="C221" s="9" t="str">
        <f ca="1">IFERROR(__xludf.DUMMYFUNCTION("""COMPUTED_VALUE"""),"سجاد تربية")</f>
        <v>سجاد تربية</v>
      </c>
      <c r="D221" s="10" t="str">
        <f ca="1">IFERROR(__xludf.DUMMYFUNCTION("""COMPUTED_VALUE"""),"قسم التربية والتعليم العالي")</f>
        <v>قسم التربية والتعليم العالي</v>
      </c>
      <c r="E221" s="10" t="str">
        <f ca="1">IFERROR(__xludf.DUMMYFUNCTION("""COMPUTED_VALUE"""),"D- ثانوية العميد بناية المتوسطة  (الثانية)")</f>
        <v>D- ثانوية العميد بناية المتوسطة  (الثانية)</v>
      </c>
      <c r="F221" s="10" t="str">
        <f ca="1">IFERROR(__xludf.DUMMYFUNCTION("""COMPUTED_VALUE"""),"الطابق الارضي")</f>
        <v>الطابق الارضي</v>
      </c>
      <c r="G221" s="10" t="str">
        <f ca="1">IFERROR(__xludf.DUMMYFUNCTION("""COMPUTED_VALUE"""),"صيانة القطع الخاص بالاستعلامات ")</f>
        <v xml:space="preserve">صيانة القطع الخاص بالاستعلامات </v>
      </c>
      <c r="H221" s="10"/>
      <c r="I221" s="12" t="s">
        <v>21</v>
      </c>
      <c r="J221" s="13" t="s">
        <v>16</v>
      </c>
      <c r="K221" s="7">
        <v>46072.429671956023</v>
      </c>
      <c r="L221" s="14"/>
      <c r="M221" s="10"/>
      <c r="N221" s="10" t="s">
        <v>33</v>
      </c>
      <c r="O221" s="7">
        <v>46072.374338287038</v>
      </c>
    </row>
    <row r="222" spans="1:15" ht="75" customHeight="1">
      <c r="A222" s="7">
        <f ca="1">IFERROR(__xludf.DUMMYFUNCTION("""COMPUTED_VALUE"""),46072.3682147453)</f>
        <v>46072.3682147453</v>
      </c>
      <c r="B222" s="8" t="str">
        <f ca="1">IFERROR(__xludf.DUMMYFUNCTION("""COMPUTED_VALUE"""),"المعملجي")</f>
        <v>المعملجي</v>
      </c>
      <c r="C222" s="9" t="str">
        <f ca="1">IFERROR(__xludf.DUMMYFUNCTION("""COMPUTED_VALUE"""),"سجاد تربية")</f>
        <v>سجاد تربية</v>
      </c>
      <c r="D222" s="10" t="str">
        <f ca="1">IFERROR(__xludf.DUMMYFUNCTION("""COMPUTED_VALUE"""),"قسم التربية والتعليم العالي")</f>
        <v>قسم التربية والتعليم العالي</v>
      </c>
      <c r="E222" s="10" t="str">
        <f ca="1">IFERROR(__xludf.DUMMYFUNCTION("""COMPUTED_VALUE"""),"D- ثانوية العميد بناية المتوسطة  (الثانية)")</f>
        <v>D- ثانوية العميد بناية المتوسطة  (الثانية)</v>
      </c>
      <c r="F222" s="10" t="str">
        <f ca="1">IFERROR(__xludf.DUMMYFUNCTION("""COMPUTED_VALUE"""),"الطابق الارضي")</f>
        <v>الطابق الارضي</v>
      </c>
      <c r="G222" s="10" t="str">
        <f ca="1">IFERROR(__xludf.DUMMYFUNCTION("""COMPUTED_VALUE"""),"صيانة مفتاح باب الحمام ")</f>
        <v xml:space="preserve">صيانة مفتاح باب الحمام </v>
      </c>
      <c r="H222" s="10"/>
      <c r="I222" s="12" t="s">
        <v>21</v>
      </c>
      <c r="J222" s="13" t="s">
        <v>16</v>
      </c>
      <c r="K222" s="7">
        <v>46072.430321238426</v>
      </c>
      <c r="L222" s="14"/>
      <c r="M222" s="10"/>
      <c r="N222" s="10" t="s">
        <v>33</v>
      </c>
      <c r="O222" s="7">
        <v>46072.374338333335</v>
      </c>
    </row>
    <row r="223" spans="1:15" ht="75" customHeight="1">
      <c r="A223" s="7">
        <f ca="1">IFERROR(__xludf.DUMMYFUNCTION("""COMPUTED_VALUE"""),46072.3811080092)</f>
        <v>46072.381108009198</v>
      </c>
      <c r="B223" s="8" t="str">
        <f ca="1">IFERROR(__xludf.DUMMYFUNCTION("""COMPUTED_VALUE"""),"المعملجي")</f>
        <v>المعملجي</v>
      </c>
      <c r="C223" s="9" t="str">
        <f ca="1">IFERROR(__xludf.DUMMYFUNCTION("""COMPUTED_VALUE"""),"سجاد تربية")</f>
        <v>سجاد تربية</v>
      </c>
      <c r="D223" s="10" t="str">
        <f ca="1">IFERROR(__xludf.DUMMYFUNCTION("""COMPUTED_VALUE"""),"قسم التربية والتعليم العالي")</f>
        <v>قسم التربية والتعليم العالي</v>
      </c>
      <c r="E223" s="10" t="str">
        <f ca="1">IFERROR(__xludf.DUMMYFUNCTION("""COMPUTED_VALUE"""),"F-  ابتدائية جود العميد للبنات (الرابعة)")</f>
        <v>F-  ابتدائية جود العميد للبنات (الرابعة)</v>
      </c>
      <c r="F223" s="10" t="str">
        <f ca="1">IFERROR(__xludf.DUMMYFUNCTION("""COMPUTED_VALUE"""),"الطابق الارضي")</f>
        <v>الطابق الارضي</v>
      </c>
      <c r="G223" s="10" t="str">
        <f ca="1">IFERROR(__xludf.DUMMYFUNCTION("""COMPUTED_VALUE"""),"صيانة يدة بااب الاستفسار عند الاستعلامات عن المكان بالضبط ")</f>
        <v xml:space="preserve">صيانة يدة بااب الاستفسار عند الاستعلامات عن المكان بالضبط </v>
      </c>
      <c r="H223" s="10"/>
      <c r="I223" s="12" t="s">
        <v>21</v>
      </c>
      <c r="J223" s="13" t="s">
        <v>16</v>
      </c>
      <c r="K223" s="7">
        <v>46072.43024494213</v>
      </c>
      <c r="L223" s="14"/>
      <c r="M223" s="10"/>
      <c r="N223" s="10"/>
      <c r="O223" s="7"/>
    </row>
    <row r="224" spans="1:15" ht="75" customHeight="1">
      <c r="A224" s="7">
        <f ca="1">IFERROR(__xludf.DUMMYFUNCTION("""COMPUTED_VALUE"""),46072.390732824)</f>
        <v>46072.390732824002</v>
      </c>
      <c r="B224" s="8" t="str">
        <f ca="1">IFERROR(__xludf.DUMMYFUNCTION("""COMPUTED_VALUE"""),"المعملجي")</f>
        <v>المعملجي</v>
      </c>
      <c r="C224" s="9" t="str">
        <f ca="1">IFERROR(__xludf.DUMMYFUNCTION("""COMPUTED_VALUE"""),"سجاد تربية")</f>
        <v>سجاد تربية</v>
      </c>
      <c r="D224" s="10" t="str">
        <f ca="1">IFERROR(__xludf.DUMMYFUNCTION("""COMPUTED_VALUE"""),"قسم التربية والتعليم العالي")</f>
        <v>قسم التربية والتعليم العالي</v>
      </c>
      <c r="E224" s="10" t="str">
        <f ca="1">IFERROR(__xludf.DUMMYFUNCTION("""COMPUTED_VALUE"""),"B- روضة القمر")</f>
        <v>B- روضة القمر</v>
      </c>
      <c r="F224" s="10" t="str">
        <f ca="1">IFERROR(__xludf.DUMMYFUNCTION("""COMPUTED_VALUE"""),"الطابق الارضي")</f>
        <v>الطابق الارضي</v>
      </c>
      <c r="G224" s="10" t="str">
        <f ca="1">IFERROR(__xludf.DUMMYFUNCTION("""COMPUTED_VALUE"""),"صيانة ميز طعام")</f>
        <v>صيانة ميز طعام</v>
      </c>
      <c r="H224" s="10"/>
      <c r="I224" s="12" t="s">
        <v>21</v>
      </c>
      <c r="J224" s="13" t="s">
        <v>16</v>
      </c>
      <c r="K224" s="7">
        <v>46072.514358541666</v>
      </c>
      <c r="L224" s="14"/>
      <c r="M224" s="10"/>
      <c r="N224" s="10"/>
      <c r="O224" s="7"/>
    </row>
    <row r="225" spans="1:15" ht="75" customHeight="1">
      <c r="A225" s="7">
        <f ca="1">IFERROR(__xludf.DUMMYFUNCTION("""COMPUTED_VALUE"""),46072.4420510185)</f>
        <v>46072.442051018501</v>
      </c>
      <c r="B225" s="8" t="str">
        <f ca="1">IFERROR(__xludf.DUMMYFUNCTION("""COMPUTED_VALUE"""),"المعملجي")</f>
        <v>المعملجي</v>
      </c>
      <c r="C225" s="9" t="str">
        <f ca="1">IFERROR(__xludf.DUMMYFUNCTION("""COMPUTED_VALUE"""),"سجاد تربية")</f>
        <v>سجاد تربية</v>
      </c>
      <c r="D225" s="10" t="str">
        <f ca="1">IFERROR(__xludf.DUMMYFUNCTION("""COMPUTED_VALUE"""),"قسم التربية والتعليم العالي")</f>
        <v>قسم التربية والتعليم العالي</v>
      </c>
      <c r="E225" s="10" t="str">
        <f ca="1">IFERROR(__xludf.DUMMYFUNCTION("""COMPUTED_VALUE"""),"B- روضة القمر")</f>
        <v>B- روضة القمر</v>
      </c>
      <c r="F225" s="10" t="str">
        <f ca="1">IFERROR(__xludf.DUMMYFUNCTION("""COMPUTED_VALUE"""),"الطابق الارضي")</f>
        <v>الطابق الارضي</v>
      </c>
      <c r="G225" s="10" t="str">
        <f ca="1">IFERROR(__xludf.DUMMYFUNCTION("""COMPUTED_VALUE"""),"احتياج تعليق بردة واحتياج لاصق ")</f>
        <v xml:space="preserve">احتياج تعليق بردة واحتياج لاصق </v>
      </c>
      <c r="H225" s="10"/>
      <c r="I225" s="12" t="s">
        <v>21</v>
      </c>
      <c r="J225" s="13" t="s">
        <v>16</v>
      </c>
      <c r="K225" s="7">
        <v>46072.514404085647</v>
      </c>
      <c r="L225" s="17"/>
      <c r="M225" s="10"/>
      <c r="N225" s="10"/>
      <c r="O225" s="7"/>
    </row>
    <row r="226" spans="1:15" ht="75" customHeight="1">
      <c r="A226" s="7">
        <f ca="1">IFERROR(__xludf.DUMMYFUNCTION("""COMPUTED_VALUE"""),46072.5179755555)</f>
        <v>46072.5179755555</v>
      </c>
      <c r="B226" s="8" t="str">
        <f ca="1">IFERROR(__xludf.DUMMYFUNCTION("""COMPUTED_VALUE"""),"المعملجي")</f>
        <v>المعملجي</v>
      </c>
      <c r="C226" s="9" t="str">
        <f ca="1">IFERROR(__xludf.DUMMYFUNCTION("""COMPUTED_VALUE"""),"سجاد تربية")</f>
        <v>سجاد تربية</v>
      </c>
      <c r="D226" s="10" t="str">
        <f ca="1">IFERROR(__xludf.DUMMYFUNCTION("""COMPUTED_VALUE"""),"قسم التربية والتعليم العالي")</f>
        <v>قسم التربية والتعليم العالي</v>
      </c>
      <c r="E226" s="10" t="str">
        <f ca="1">IFERROR(__xludf.DUMMYFUNCTION("""COMPUTED_VALUE"""),"D- ثانوية العميد بناية المتوسطة  (الثانية)")</f>
        <v>D- ثانوية العميد بناية المتوسطة  (الثانية)</v>
      </c>
      <c r="F226" s="10" t="str">
        <f ca="1">IFERROR(__xludf.DUMMYFUNCTION("""COMPUTED_VALUE"""),"الطابق الاول")</f>
        <v>الطابق الاول</v>
      </c>
      <c r="G226" s="10" t="str">
        <f ca="1">IFERROR(__xludf.DUMMYFUNCTION("""COMPUTED_VALUE"""),"صيانة يدة باب المنيوم ")</f>
        <v xml:space="preserve">صيانة يدة باب المنيوم </v>
      </c>
      <c r="H226" s="10"/>
      <c r="I226" s="12" t="s">
        <v>21</v>
      </c>
      <c r="J226" s="13" t="s">
        <v>16</v>
      </c>
      <c r="K226" s="7">
        <v>46072.518425937495</v>
      </c>
      <c r="L226" s="14"/>
      <c r="M226" s="10"/>
      <c r="N226" s="10"/>
      <c r="O226" s="7"/>
    </row>
    <row r="227" spans="1:15" ht="75" customHeight="1">
      <c r="A227" s="7">
        <f ca="1">IFERROR(__xludf.DUMMYFUNCTION("""COMPUTED_VALUE"""),46072.5183073842)</f>
        <v>46072.518307384198</v>
      </c>
      <c r="B227" s="8" t="str">
        <f ca="1">IFERROR(__xludf.DUMMYFUNCTION("""COMPUTED_VALUE"""),"المعملجي")</f>
        <v>المعملجي</v>
      </c>
      <c r="C227" s="9" t="str">
        <f ca="1">IFERROR(__xludf.DUMMYFUNCTION("""COMPUTED_VALUE"""),"سجاد تربية")</f>
        <v>سجاد تربية</v>
      </c>
      <c r="D227" s="10" t="str">
        <f ca="1">IFERROR(__xludf.DUMMYFUNCTION("""COMPUTED_VALUE"""),"قسم التربية والتعليم العالي")</f>
        <v>قسم التربية والتعليم العالي</v>
      </c>
      <c r="E227" s="10" t="str">
        <f ca="1">IFERROR(__xludf.DUMMYFUNCTION("""COMPUTED_VALUE"""),"D- ثانوية العميد بناية المتوسطة  (الثانية)")</f>
        <v>D- ثانوية العميد بناية المتوسطة  (الثانية)</v>
      </c>
      <c r="F227" s="10" t="str">
        <f ca="1">IFERROR(__xludf.DUMMYFUNCTION("""COMPUTED_VALUE"""),"الطابق الثاني")</f>
        <v>الطابق الثاني</v>
      </c>
      <c r="G227" s="10" t="str">
        <f ca="1">IFERROR(__xludf.DUMMYFUNCTION("""COMPUTED_VALUE"""),"تبديل يدة شباك ")</f>
        <v xml:space="preserve">تبديل يدة شباك </v>
      </c>
      <c r="H227" s="10"/>
      <c r="I227" s="12" t="s">
        <v>21</v>
      </c>
      <c r="J227" s="13" t="s">
        <v>16</v>
      </c>
      <c r="K227" s="7">
        <v>46072.518442592591</v>
      </c>
      <c r="L227" s="14"/>
      <c r="M227" s="10"/>
      <c r="N227" s="10"/>
      <c r="O227" s="7"/>
    </row>
    <row r="228" spans="1:15" ht="75" customHeight="1">
      <c r="A228" s="7">
        <f ca="1">IFERROR(__xludf.DUMMYFUNCTION("""COMPUTED_VALUE"""),46072.5196130208)</f>
        <v>46072.519613020799</v>
      </c>
      <c r="B228" s="8" t="str">
        <f ca="1">IFERROR(__xludf.DUMMYFUNCTION("""COMPUTED_VALUE"""),"المعملجي")</f>
        <v>المعملجي</v>
      </c>
      <c r="C228" s="9" t="str">
        <f ca="1">IFERROR(__xludf.DUMMYFUNCTION("""COMPUTED_VALUE"""),"سجاد تربية")</f>
        <v>سجاد تربية</v>
      </c>
      <c r="D228" s="10" t="str">
        <f ca="1">IFERROR(__xludf.DUMMYFUNCTION("""COMPUTED_VALUE"""),"قسم التربية والتعليم العالي")</f>
        <v>قسم التربية والتعليم العالي</v>
      </c>
      <c r="E228" s="10" t="str">
        <f ca="1">IFERROR(__xludf.DUMMYFUNCTION("""COMPUTED_VALUE"""),"F-  ابتدائية جود العميد للبنات (الرابعة)")</f>
        <v>F-  ابتدائية جود العميد للبنات (الرابعة)</v>
      </c>
      <c r="F228" s="10" t="str">
        <f ca="1">IFERROR(__xludf.DUMMYFUNCTION("""COMPUTED_VALUE"""),"الطابق الاول")</f>
        <v>الطابق الاول</v>
      </c>
      <c r="G228" s="10" t="str">
        <f ca="1">IFERROR(__xludf.DUMMYFUNCTION("""COMPUTED_VALUE"""),"تبديل كيلون باب ")</f>
        <v xml:space="preserve">تبديل كيلون باب </v>
      </c>
      <c r="H228" s="10"/>
      <c r="I228" s="12" t="s">
        <v>21</v>
      </c>
      <c r="J228" s="13" t="s">
        <v>16</v>
      </c>
      <c r="K228" s="7">
        <v>46072.522156041668</v>
      </c>
      <c r="L228" s="14"/>
      <c r="M228" s="10"/>
      <c r="N228" s="10"/>
      <c r="O228" s="7"/>
    </row>
    <row r="229" spans="1:15" ht="75" customHeight="1">
      <c r="A229" s="7">
        <f ca="1">IFERROR(__xludf.DUMMYFUNCTION("""COMPUTED_VALUE"""),46074.3684266319)</f>
        <v>46074.368426631903</v>
      </c>
      <c r="B229" s="8" t="str">
        <f ca="1">IFERROR(__xludf.DUMMYFUNCTION("""COMPUTED_VALUE"""),"المعملجي")</f>
        <v>المعملجي</v>
      </c>
      <c r="C229" s="9" t="str">
        <f ca="1">IFERROR(__xludf.DUMMYFUNCTION("""COMPUTED_VALUE"""),"سجاد تربية")</f>
        <v>سجاد تربية</v>
      </c>
      <c r="D229" s="10" t="str">
        <f ca="1">IFERROR(__xludf.DUMMYFUNCTION("""COMPUTED_VALUE"""),"قسم التربية والتعليم العالي")</f>
        <v>قسم التربية والتعليم العالي</v>
      </c>
      <c r="E229" s="10" t="str">
        <f ca="1">IFERROR(__xludf.DUMMYFUNCTION("""COMPUTED_VALUE"""),"A- المركز الثقافي")</f>
        <v>A- المركز الثقافي</v>
      </c>
      <c r="F229" s="10" t="str">
        <f ca="1">IFERROR(__xludf.DUMMYFUNCTION("""COMPUTED_VALUE"""),"الطابق الثاني")</f>
        <v>الطابق الثاني</v>
      </c>
      <c r="G229" s="10" t="str">
        <f ca="1">IFERROR(__xludf.DUMMYFUNCTION("""COMPUTED_VALUE"""),"صيانة ميز طعام ")</f>
        <v xml:space="preserve">صيانة ميز طعام </v>
      </c>
      <c r="H229" s="10"/>
      <c r="I229" s="12" t="s">
        <v>21</v>
      </c>
      <c r="J229" s="13" t="s">
        <v>16</v>
      </c>
      <c r="K229" s="7">
        <v>46074.53294798611</v>
      </c>
      <c r="L229" s="14"/>
      <c r="M229" s="10"/>
      <c r="N229" s="10"/>
      <c r="O229" s="7"/>
    </row>
    <row r="230" spans="1:15" ht="75" customHeight="1">
      <c r="A230" s="7">
        <f ca="1">IFERROR(__xludf.DUMMYFUNCTION("""COMPUTED_VALUE"""),46074.4042077777)</f>
        <v>46074.404207777698</v>
      </c>
      <c r="B230" s="8" t="str">
        <f ca="1">IFERROR(__xludf.DUMMYFUNCTION("""COMPUTED_VALUE"""),"المعملجي")</f>
        <v>المعملجي</v>
      </c>
      <c r="C230" s="9" t="str">
        <f ca="1">IFERROR(__xludf.DUMMYFUNCTION("""COMPUTED_VALUE"""),"سجاد تربية")</f>
        <v>سجاد تربية</v>
      </c>
      <c r="D230" s="10" t="str">
        <f ca="1">IFERROR(__xludf.DUMMYFUNCTION("""COMPUTED_VALUE"""),"قسم التربية والتعليم العالي")</f>
        <v>قسم التربية والتعليم العالي</v>
      </c>
      <c r="E230" s="10" t="str">
        <f ca="1">IFERROR(__xludf.DUMMYFUNCTION("""COMPUTED_VALUE"""),"الاستعلامات الرئيسية")</f>
        <v>الاستعلامات الرئيسية</v>
      </c>
      <c r="F230" s="10" t="str">
        <f ca="1">IFERROR(__xludf.DUMMYFUNCTION("""COMPUTED_VALUE"""),"قرب الاستعلامات ")</f>
        <v xml:space="preserve">قرب الاستعلامات </v>
      </c>
      <c r="G230" s="10" t="str">
        <f ca="1">IFERROR(__xludf.DUMMYFUNCTION("""COMPUTED_VALUE"""),"عمل ترتيب اللافتة ")</f>
        <v xml:space="preserve">عمل ترتيب اللافتة </v>
      </c>
      <c r="H230" s="10"/>
      <c r="I230" s="12" t="s">
        <v>21</v>
      </c>
      <c r="J230" s="13" t="s">
        <v>16</v>
      </c>
      <c r="K230" s="7">
        <v>46074.580306041666</v>
      </c>
      <c r="L230" s="14"/>
      <c r="M230" s="10"/>
      <c r="N230" s="10"/>
      <c r="O230" s="7"/>
    </row>
    <row r="231" spans="1:15" ht="75" customHeight="1">
      <c r="A231" s="7">
        <f ca="1">IFERROR(__xludf.DUMMYFUNCTION("""COMPUTED_VALUE"""),46074.5805705671)</f>
        <v>46074.580570567101</v>
      </c>
      <c r="B231" s="8" t="str">
        <f ca="1">IFERROR(__xludf.DUMMYFUNCTION("""COMPUTED_VALUE"""),"المعملجي")</f>
        <v>المعملجي</v>
      </c>
      <c r="C231" s="9" t="str">
        <f ca="1">IFERROR(__xludf.DUMMYFUNCTION("""COMPUTED_VALUE"""),"سجاد تربية")</f>
        <v>سجاد تربية</v>
      </c>
      <c r="D231" s="10" t="str">
        <f ca="1">IFERROR(__xludf.DUMMYFUNCTION("""COMPUTED_VALUE"""),"قسم التربية والتعليم العالي")</f>
        <v>قسم التربية والتعليم العالي</v>
      </c>
      <c r="E231" s="10" t="str">
        <f ca="1">IFERROR(__xludf.DUMMYFUNCTION("""COMPUTED_VALUE"""),"مقابيل المركز الثقافي ")</f>
        <v xml:space="preserve">مقابيل المركز الثقافي </v>
      </c>
      <c r="F231" s="10" t="str">
        <f ca="1">IFERROR(__xludf.DUMMYFUNCTION("""COMPUTED_VALUE"""),"مكان المولدات ")</f>
        <v xml:space="preserve">مكان المولدات </v>
      </c>
      <c r="G231" s="10" t="str">
        <f ca="1">IFERROR(__xludf.DUMMYFUNCTION("""COMPUTED_VALUE"""),"تعديل تارتان ")</f>
        <v xml:space="preserve">تعديل تارتان </v>
      </c>
      <c r="H231" s="10"/>
      <c r="I231" s="12" t="s">
        <v>21</v>
      </c>
      <c r="J231" s="13" t="s">
        <v>16</v>
      </c>
      <c r="K231" s="7">
        <v>46076.492683391203</v>
      </c>
      <c r="L231" s="14"/>
      <c r="M231" s="10"/>
      <c r="N231" s="10" t="s">
        <v>34</v>
      </c>
      <c r="O231" s="7">
        <v>46076.320667824075</v>
      </c>
    </row>
    <row r="232" spans="1:15" ht="75" customHeight="1">
      <c r="A232" s="7">
        <f ca="1">IFERROR(__xludf.DUMMYFUNCTION("""COMPUTED_VALUE"""),46075.3770442013)</f>
        <v>46075.377044201297</v>
      </c>
      <c r="B232" s="8" t="str">
        <f ca="1">IFERROR(__xludf.DUMMYFUNCTION("""COMPUTED_VALUE"""),"المعملجي")</f>
        <v>المعملجي</v>
      </c>
      <c r="C232" s="9" t="str">
        <f ca="1">IFERROR(__xludf.DUMMYFUNCTION("""COMPUTED_VALUE"""),"سجاد تربية")</f>
        <v>سجاد تربية</v>
      </c>
      <c r="D232" s="10" t="str">
        <f ca="1">IFERROR(__xludf.DUMMYFUNCTION("""COMPUTED_VALUE"""),"قسم التربية والتعليم العالي")</f>
        <v>قسم التربية والتعليم العالي</v>
      </c>
      <c r="E232" s="10" t="str">
        <f ca="1">IFERROR(__xludf.DUMMYFUNCTION("""COMPUTED_VALUE"""),"F-  ابتدائية جود العميد للبنات (الرابعة)")</f>
        <v>F-  ابتدائية جود العميد للبنات (الرابعة)</v>
      </c>
      <c r="F232" s="10" t="str">
        <f ca="1">IFERROR(__xludf.DUMMYFUNCTION("""COMPUTED_VALUE"""),"الطابق الارضي, استفسر من الاستعلامات ")</f>
        <v xml:space="preserve">الطابق الارضي, استفسر من الاستعلامات </v>
      </c>
      <c r="G232" s="10" t="str">
        <f ca="1">IFERROR(__xludf.DUMMYFUNCTION("""COMPUTED_VALUE"""),"تعليق برد ")</f>
        <v xml:space="preserve">تعليق برد </v>
      </c>
      <c r="H232" s="10"/>
      <c r="I232" s="12" t="s">
        <v>21</v>
      </c>
      <c r="J232" s="13" t="s">
        <v>16</v>
      </c>
      <c r="K232" s="7">
        <v>46076.423847546292</v>
      </c>
      <c r="L232" s="14"/>
      <c r="M232" s="10"/>
      <c r="N232" s="10" t="s">
        <v>34</v>
      </c>
      <c r="O232" s="7">
        <v>46076.320667962966</v>
      </c>
    </row>
    <row r="233" spans="1:15" ht="75" customHeight="1">
      <c r="A233" s="7">
        <f ca="1">IFERROR(__xludf.DUMMYFUNCTION("""COMPUTED_VALUE"""),46075.3996381944)</f>
        <v>46075.399638194402</v>
      </c>
      <c r="B233" s="8" t="str">
        <f ca="1">IFERROR(__xludf.DUMMYFUNCTION("""COMPUTED_VALUE"""),"المعملجي")</f>
        <v>المعملجي</v>
      </c>
      <c r="C233" s="9" t="str">
        <f ca="1">IFERROR(__xludf.DUMMYFUNCTION("""COMPUTED_VALUE"""),"سجاد تربية")</f>
        <v>سجاد تربية</v>
      </c>
      <c r="D233" s="10" t="str">
        <f ca="1">IFERROR(__xludf.DUMMYFUNCTION("""COMPUTED_VALUE"""),"قسم التربية والتعليم العالي")</f>
        <v>قسم التربية والتعليم العالي</v>
      </c>
      <c r="E233" s="10" t="str">
        <f ca="1">IFERROR(__xludf.DUMMYFUNCTION("""COMPUTED_VALUE"""),"B- روضة القمر")</f>
        <v>B- روضة القمر</v>
      </c>
      <c r="F233" s="10" t="str">
        <f ca="1">IFERROR(__xludf.DUMMYFUNCTION("""COMPUTED_VALUE"""),"الطابق الارضي")</f>
        <v>الطابق الارضي</v>
      </c>
      <c r="G233" s="10" t="str">
        <f ca="1">IFERROR(__xludf.DUMMYFUNCTION("""COMPUTED_VALUE"""),"صيانة  ميز اطفال ")</f>
        <v xml:space="preserve">صيانة  ميز اطفال </v>
      </c>
      <c r="H233" s="10"/>
      <c r="I233" s="12" t="s">
        <v>21</v>
      </c>
      <c r="J233" s="13" t="s">
        <v>16</v>
      </c>
      <c r="K233" s="7">
        <v>46075.508240277777</v>
      </c>
      <c r="L233" s="14"/>
      <c r="M233" s="10"/>
      <c r="N233" s="10"/>
      <c r="O233" s="7"/>
    </row>
    <row r="234" spans="1:15" ht="75" customHeight="1">
      <c r="A234" s="7">
        <f ca="1">IFERROR(__xludf.DUMMYFUNCTION("""COMPUTED_VALUE"""),46075.4580193287)</f>
        <v>46075.458019328697</v>
      </c>
      <c r="B234" s="8" t="str">
        <f ca="1">IFERROR(__xludf.DUMMYFUNCTION("""COMPUTED_VALUE"""),"المعملجي")</f>
        <v>المعملجي</v>
      </c>
      <c r="C234" s="9" t="str">
        <f ca="1">IFERROR(__xludf.DUMMYFUNCTION("""COMPUTED_VALUE"""),"سجاد تربية")</f>
        <v>سجاد تربية</v>
      </c>
      <c r="D234" s="10" t="str">
        <f ca="1">IFERROR(__xludf.DUMMYFUNCTION("""COMPUTED_VALUE"""),"قسم التربية والتعليم العالي")</f>
        <v>قسم التربية والتعليم العالي</v>
      </c>
      <c r="E234" s="10" t="str">
        <f ca="1">IFERROR(__xludf.DUMMYFUNCTION("""COMPUTED_VALUE"""),"الاستعلامات الرئيسية")</f>
        <v>الاستعلامات الرئيسية</v>
      </c>
      <c r="F234" s="10" t="str">
        <f ca="1">IFERROR(__xludf.DUMMYFUNCTION("""COMPUTED_VALUE"""),"الباب الخلفية ")</f>
        <v xml:space="preserve">الباب الخلفية </v>
      </c>
      <c r="G234" s="10" t="str">
        <f ca="1">IFERROR(__xludf.DUMMYFUNCTION("""COMPUTED_VALUE"""),"صيانة باب الاستعلامات الخلية ")</f>
        <v xml:space="preserve">صيانة باب الاستعلامات الخلية </v>
      </c>
      <c r="H234" s="10"/>
      <c r="I234" s="12" t="s">
        <v>21</v>
      </c>
      <c r="J234" s="13" t="s">
        <v>16</v>
      </c>
      <c r="K234" s="7">
        <v>46076.423717523146</v>
      </c>
      <c r="L234" s="14"/>
      <c r="M234" s="10"/>
      <c r="N234" s="10" t="s">
        <v>34</v>
      </c>
      <c r="O234" s="7">
        <v>46076.320668229164</v>
      </c>
    </row>
    <row r="235" spans="1:15" ht="75" customHeight="1">
      <c r="A235" s="7">
        <f ca="1">IFERROR(__xludf.DUMMYFUNCTION("""COMPUTED_VALUE"""),46075.5658766435)</f>
        <v>46075.565876643501</v>
      </c>
      <c r="B235" s="8" t="str">
        <f ca="1">IFERROR(__xludf.DUMMYFUNCTION("""COMPUTED_VALUE"""),"المعملجي")</f>
        <v>المعملجي</v>
      </c>
      <c r="C235" s="9" t="str">
        <f ca="1">IFERROR(__xludf.DUMMYFUNCTION("""COMPUTED_VALUE"""),"سجاد تربية")</f>
        <v>سجاد تربية</v>
      </c>
      <c r="D235" s="10" t="str">
        <f ca="1">IFERROR(__xludf.DUMMYFUNCTION("""COMPUTED_VALUE"""),"قسم التربية والتعليم العالي")</f>
        <v>قسم التربية والتعليم العالي</v>
      </c>
      <c r="E235" s="10" t="str">
        <f ca="1">IFERROR(__xludf.DUMMYFUNCTION("""COMPUTED_VALUE"""),"J- ابتدائية الساقي للبنين الجانب الثاني (السابعة)")</f>
        <v>J- ابتدائية الساقي للبنين الجانب الثاني (السابعة)</v>
      </c>
      <c r="F235" s="10" t="str">
        <f ca="1">IFERROR(__xludf.DUMMYFUNCTION("""COMPUTED_VALUE"""),"الطابق الارضي, جناح الساحة ZONE B")</f>
        <v>الطابق الارضي, جناح الساحة ZONE B</v>
      </c>
      <c r="G235" s="10" t="str">
        <f ca="1">IFERROR(__xludf.DUMMYFUNCTION("""COMPUTED_VALUE"""),"صيانة  باب الساحة الوسطية ")</f>
        <v xml:space="preserve">صيانة  باب الساحة الوسطية </v>
      </c>
      <c r="H235" s="10"/>
      <c r="I235" s="12" t="s">
        <v>21</v>
      </c>
      <c r="J235" s="13" t="s">
        <v>16</v>
      </c>
      <c r="K235" s="7">
        <v>46076.317423020839</v>
      </c>
      <c r="L235" s="14"/>
      <c r="M235" s="10"/>
      <c r="N235" s="10"/>
      <c r="O235" s="7"/>
    </row>
    <row r="236" spans="1:15" ht="75" customHeight="1">
      <c r="A236" s="7">
        <f ca="1">IFERROR(__xludf.DUMMYFUNCTION("""COMPUTED_VALUE"""),46076.3098310648)</f>
        <v>46076.309831064798</v>
      </c>
      <c r="B236" s="8" t="str">
        <f ca="1">IFERROR(__xludf.DUMMYFUNCTION("""COMPUTED_VALUE"""),"المعملجي")</f>
        <v>المعملجي</v>
      </c>
      <c r="C236" s="9" t="str">
        <f ca="1">IFERROR(__xludf.DUMMYFUNCTION("""COMPUTED_VALUE"""),"سجاد تربية")</f>
        <v>سجاد تربية</v>
      </c>
      <c r="D236" s="10" t="str">
        <f ca="1">IFERROR(__xludf.DUMMYFUNCTION("""COMPUTED_VALUE"""),"قسم التربية والتعليم العالي")</f>
        <v>قسم التربية والتعليم العالي</v>
      </c>
      <c r="E236" s="10" t="str">
        <f ca="1">IFERROR(__xludf.DUMMYFUNCTION("""COMPUTED_VALUE"""),"H- ابتدائية القمر للبنات (الخامسة)")</f>
        <v>H- ابتدائية القمر للبنات (الخامسة)</v>
      </c>
      <c r="F236" s="10" t="str">
        <f ca="1">IFERROR(__xludf.DUMMYFUNCTION("""COMPUTED_VALUE"""),"الطابق الارضي, صف السادس أ")</f>
        <v>الطابق الارضي, صف السادس أ</v>
      </c>
      <c r="G236" s="10" t="str">
        <f ca="1">IFERROR(__xludf.DUMMYFUNCTION("""COMPUTED_VALUE"""),"صيانه شباك")</f>
        <v>صيانه شباك</v>
      </c>
      <c r="H236" s="10"/>
      <c r="I236" s="12" t="s">
        <v>21</v>
      </c>
      <c r="J236" s="13" t="s">
        <v>16</v>
      </c>
      <c r="K236" s="7">
        <v>46077.334575081019</v>
      </c>
      <c r="L236" s="14"/>
      <c r="M236" s="10"/>
      <c r="N236" s="10" t="s">
        <v>34</v>
      </c>
      <c r="O236" s="7">
        <v>46076.320668356479</v>
      </c>
    </row>
    <row r="237" spans="1:15" ht="75" customHeight="1">
      <c r="A237" s="7">
        <f ca="1">IFERROR(__xludf.DUMMYFUNCTION("""COMPUTED_VALUE"""),46076.4702588194)</f>
        <v>46076.470258819398</v>
      </c>
      <c r="B237" s="8" t="str">
        <f ca="1">IFERROR(__xludf.DUMMYFUNCTION("""COMPUTED_VALUE"""),"المعملجي")</f>
        <v>المعملجي</v>
      </c>
      <c r="C237" s="9" t="str">
        <f ca="1">IFERROR(__xludf.DUMMYFUNCTION("""COMPUTED_VALUE"""),"سجاد تربية")</f>
        <v>سجاد تربية</v>
      </c>
      <c r="D237" s="10" t="str">
        <f ca="1">IFERROR(__xludf.DUMMYFUNCTION("""COMPUTED_VALUE"""),"قسم التربية والتعليم العالي")</f>
        <v>قسم التربية والتعليم العالي</v>
      </c>
      <c r="E237" s="10" t="str">
        <f ca="1">IFERROR(__xludf.DUMMYFUNCTION("""COMPUTED_VALUE"""),"B- روضة القمر")</f>
        <v>B- روضة القمر</v>
      </c>
      <c r="F237" s="10" t="str">
        <f ca="1">IFERROR(__xludf.DUMMYFUNCTION("""COMPUTED_VALUE"""),"الطابق الارضي, غرفة المعاونات ")</f>
        <v xml:space="preserve">الطابق الارضي, غرفة المعاونات </v>
      </c>
      <c r="G237" s="10" t="str">
        <f ca="1">IFERROR(__xludf.DUMMYFUNCTION("""COMPUTED_VALUE"""),"صيانة سيدار بردة ")</f>
        <v xml:space="preserve">صيانة سيدار بردة </v>
      </c>
      <c r="H237" s="10"/>
      <c r="I237" s="12" t="s">
        <v>21</v>
      </c>
      <c r="J237" s="13" t="s">
        <v>16</v>
      </c>
      <c r="K237" s="7">
        <v>46077.335664305559</v>
      </c>
      <c r="L237" s="14"/>
      <c r="M237" s="10"/>
      <c r="N237" s="10"/>
      <c r="O237" s="7"/>
    </row>
    <row r="238" spans="1:15" ht="75" customHeight="1">
      <c r="A238" s="7">
        <f ca="1">IFERROR(__xludf.DUMMYFUNCTION("""COMPUTED_VALUE"""),46077.3067542245)</f>
        <v>46077.306754224497</v>
      </c>
      <c r="B238" s="8" t="str">
        <f ca="1">IFERROR(__xludf.DUMMYFUNCTION("""COMPUTED_VALUE"""),"المعملجي")</f>
        <v>المعملجي</v>
      </c>
      <c r="C238" s="9" t="str">
        <f ca="1">IFERROR(__xludf.DUMMYFUNCTION("""COMPUTED_VALUE"""),"سجاد تربية")</f>
        <v>سجاد تربية</v>
      </c>
      <c r="D238" s="10" t="str">
        <f ca="1">IFERROR(__xludf.DUMMYFUNCTION("""COMPUTED_VALUE"""),"قسم التربية والتعليم العالي")</f>
        <v>قسم التربية والتعليم العالي</v>
      </c>
      <c r="E238" s="10" t="str">
        <f ca="1">IFERROR(__xludf.DUMMYFUNCTION("""COMPUTED_VALUE"""),"صحيات مقابيل الالعاب ")</f>
        <v xml:space="preserve">صحيات مقابيل الالعاب </v>
      </c>
      <c r="F238" s="10" t="str">
        <f ca="1">IFERROR(__xludf.DUMMYFUNCTION("""COMPUTED_VALUE"""),"/")</f>
        <v>/</v>
      </c>
      <c r="G238" s="10" t="str">
        <f ca="1">IFERROR(__xludf.DUMMYFUNCTION("""COMPUTED_VALUE"""),"صيانة باب")</f>
        <v>صيانة باب</v>
      </c>
      <c r="H238" s="10"/>
      <c r="I238" s="12" t="s">
        <v>21</v>
      </c>
      <c r="J238" s="13" t="s">
        <v>16</v>
      </c>
      <c r="K238" s="7">
        <v>46077.488580358797</v>
      </c>
      <c r="L238" s="14"/>
      <c r="M238" s="10"/>
      <c r="N238" s="10"/>
      <c r="O238" s="7"/>
    </row>
    <row r="239" spans="1:15" ht="75" customHeight="1">
      <c r="A239" s="7">
        <f ca="1">IFERROR(__xludf.DUMMYFUNCTION("""COMPUTED_VALUE"""),46077.3941211226)</f>
        <v>46077.394121122597</v>
      </c>
      <c r="B239" s="8" t="str">
        <f ca="1">IFERROR(__xludf.DUMMYFUNCTION("""COMPUTED_VALUE"""),"المعملجي")</f>
        <v>المعملجي</v>
      </c>
      <c r="C239" s="9" t="str">
        <f ca="1">IFERROR(__xludf.DUMMYFUNCTION("""COMPUTED_VALUE"""),"سجاد تربية")</f>
        <v>سجاد تربية</v>
      </c>
      <c r="D239" s="10" t="str">
        <f ca="1">IFERROR(__xludf.DUMMYFUNCTION("""COMPUTED_VALUE"""),"قسم التربية والتعليم العالي")</f>
        <v>قسم التربية والتعليم العالي</v>
      </c>
      <c r="E239" s="10" t="str">
        <f ca="1">IFERROR(__xludf.DUMMYFUNCTION("""COMPUTED_VALUE"""),"G- روضة الجود")</f>
        <v>G- روضة الجود</v>
      </c>
      <c r="F239" s="10" t="str">
        <f ca="1">IFERROR(__xludf.DUMMYFUNCTION("""COMPUTED_VALUE"""),"الطابق الارضي, صف الفرح")</f>
        <v>الطابق الارضي, صف الفرح</v>
      </c>
      <c r="G239" s="10" t="str">
        <f ca="1">IFERROR(__xludf.DUMMYFUNCTION("""COMPUTED_VALUE"""),"تثبيت بردة")</f>
        <v>تثبيت بردة</v>
      </c>
      <c r="H239" s="10"/>
      <c r="I239" s="12" t="s">
        <v>21</v>
      </c>
      <c r="J239" s="13" t="s">
        <v>16</v>
      </c>
      <c r="K239" s="7">
        <v>46078.300581215277</v>
      </c>
      <c r="L239" s="14"/>
      <c r="M239" s="10"/>
      <c r="N239" s="10"/>
      <c r="O239" s="7"/>
    </row>
    <row r="240" spans="1:15" ht="75" customHeight="1">
      <c r="A240" s="7">
        <f ca="1">IFERROR(__xludf.DUMMYFUNCTION("""COMPUTED_VALUE"""),46077.4917879398)</f>
        <v>46077.491787939798</v>
      </c>
      <c r="B240" s="8" t="str">
        <f ca="1">IFERROR(__xludf.DUMMYFUNCTION("""COMPUTED_VALUE"""),"المعملجي")</f>
        <v>المعملجي</v>
      </c>
      <c r="C240" s="9" t="str">
        <f ca="1">IFERROR(__xludf.DUMMYFUNCTION("""COMPUTED_VALUE"""),"سجاد تربية")</f>
        <v>سجاد تربية</v>
      </c>
      <c r="D240" s="10" t="str">
        <f ca="1">IFERROR(__xludf.DUMMYFUNCTION("""COMPUTED_VALUE"""),"قسم التربية والتعليم العالي")</f>
        <v>قسم التربية والتعليم العالي</v>
      </c>
      <c r="E240" s="10" t="str">
        <f ca="1">IFERROR(__xludf.DUMMYFUNCTION("""COMPUTED_VALUE"""),"H- ابتدائية القمر للبنات (الخامسة)")</f>
        <v>H- ابتدائية القمر للبنات (الخامسة)</v>
      </c>
      <c r="F240" s="10" t="str">
        <f ca="1">IFERROR(__xludf.DUMMYFUNCTION("""COMPUTED_VALUE"""),"الطابق الارضي")</f>
        <v>الطابق الارضي</v>
      </c>
      <c r="G240" s="10" t="str">
        <f ca="1">IFERROR(__xludf.DUMMYFUNCTION("""COMPUTED_VALUE"""),"صيانة استول في المختبر ")</f>
        <v xml:space="preserve">صيانة استول في المختبر </v>
      </c>
      <c r="H240" s="10"/>
      <c r="I240" s="12" t="s">
        <v>21</v>
      </c>
      <c r="J240" s="13" t="s">
        <v>16</v>
      </c>
      <c r="K240" s="7">
        <v>46077.602819791668</v>
      </c>
      <c r="L240" s="14"/>
      <c r="M240" s="10"/>
      <c r="N240" s="10" t="s">
        <v>35</v>
      </c>
      <c r="O240" s="7">
        <v>46077.501308333332</v>
      </c>
    </row>
    <row r="241" spans="1:15" ht="75" customHeight="1">
      <c r="A241" s="7">
        <f ca="1">IFERROR(__xludf.DUMMYFUNCTION("""COMPUTED_VALUE"""),46077.4936048842)</f>
        <v>46077.493604884199</v>
      </c>
      <c r="B241" s="8" t="str">
        <f ca="1">IFERROR(__xludf.DUMMYFUNCTION("""COMPUTED_VALUE"""),"المعملجي")</f>
        <v>المعملجي</v>
      </c>
      <c r="C241" s="9" t="str">
        <f ca="1">IFERROR(__xludf.DUMMYFUNCTION("""COMPUTED_VALUE"""),"سجاد تربية")</f>
        <v>سجاد تربية</v>
      </c>
      <c r="D241" s="10" t="str">
        <f ca="1">IFERROR(__xludf.DUMMYFUNCTION("""COMPUTED_VALUE"""),"قسم التربية والتعليم العالي")</f>
        <v>قسم التربية والتعليم العالي</v>
      </c>
      <c r="E241" s="10" t="str">
        <f ca="1">IFERROR(__xludf.DUMMYFUNCTION("""COMPUTED_VALUE"""),"I- ابتدائية الساقي للبنين (السادسة)")</f>
        <v>I- ابتدائية الساقي للبنين (السادسة)</v>
      </c>
      <c r="F241" s="10" t="str">
        <f ca="1">IFERROR(__xludf.DUMMYFUNCTION("""COMPUTED_VALUE"""),"جناح الساحة ZONE B, والمصلى ")</f>
        <v xml:space="preserve">جناح الساحة ZONE B, والمصلى </v>
      </c>
      <c r="G241" s="10" t="str">
        <f ca="1">IFERROR(__xludf.DUMMYFUNCTION("""COMPUTED_VALUE"""),"تثبيت بردات ")</f>
        <v xml:space="preserve">تثبيت بردات </v>
      </c>
      <c r="H241" s="10"/>
      <c r="I241" s="12" t="s">
        <v>21</v>
      </c>
      <c r="J241" s="13" t="s">
        <v>16</v>
      </c>
      <c r="K241" s="7">
        <v>46077.602883171297</v>
      </c>
      <c r="L241" s="14"/>
      <c r="M241" s="10"/>
      <c r="N241" s="10" t="s">
        <v>35</v>
      </c>
      <c r="O241" s="7">
        <v>46077.501308402774</v>
      </c>
    </row>
    <row r="242" spans="1:15" ht="75" customHeight="1">
      <c r="A242" s="7">
        <f ca="1">IFERROR(__xludf.DUMMYFUNCTION("""COMPUTED_VALUE"""),46077.4955301273)</f>
        <v>46077.4955301273</v>
      </c>
      <c r="B242" s="8" t="str">
        <f ca="1">IFERROR(__xludf.DUMMYFUNCTION("""COMPUTED_VALUE"""),"المعملجي")</f>
        <v>المعملجي</v>
      </c>
      <c r="C242" s="9" t="str">
        <f ca="1">IFERROR(__xludf.DUMMYFUNCTION("""COMPUTED_VALUE"""),"سجاد تربية")</f>
        <v>سجاد تربية</v>
      </c>
      <c r="D242" s="10" t="str">
        <f ca="1">IFERROR(__xludf.DUMMYFUNCTION("""COMPUTED_VALUE"""),"قسم التربية والتعليم العالي")</f>
        <v>قسم التربية والتعليم العالي</v>
      </c>
      <c r="E242" s="10" t="str">
        <f ca="1">IFERROR(__xludf.DUMMYFUNCTION("""COMPUTED_VALUE"""),"I- ابتدائية الساقي للبنين (السادسة)")</f>
        <v>I- ابتدائية الساقي للبنين (السادسة)</v>
      </c>
      <c r="F242" s="10" t="str">
        <f ca="1">IFERROR(__xludf.DUMMYFUNCTION("""COMPUTED_VALUE"""),"الطابق الارضي")</f>
        <v>الطابق الارضي</v>
      </c>
      <c r="G242" s="10" t="str">
        <f ca="1">IFERROR(__xludf.DUMMYFUNCTION("""COMPUTED_VALUE"""),"ميز الاستعلامات بحاجة الى سيلكون ")</f>
        <v xml:space="preserve">ميز الاستعلامات بحاجة الى سيلكون </v>
      </c>
      <c r="H242" s="10"/>
      <c r="I242" s="12" t="s">
        <v>21</v>
      </c>
      <c r="J242" s="13" t="s">
        <v>16</v>
      </c>
      <c r="K242" s="7">
        <v>46077.602937013886</v>
      </c>
      <c r="L242" s="14"/>
      <c r="M242" s="10"/>
      <c r="N242" s="10" t="s">
        <v>35</v>
      </c>
      <c r="O242" s="7">
        <v>46077.501308483799</v>
      </c>
    </row>
    <row r="243" spans="1:15" ht="75" customHeight="1">
      <c r="A243" s="7">
        <f ca="1">IFERROR(__xludf.DUMMYFUNCTION("""COMPUTED_VALUE"""),46077.5027842592)</f>
        <v>46077.502784259203</v>
      </c>
      <c r="B243" s="8" t="str">
        <f ca="1">IFERROR(__xludf.DUMMYFUNCTION("""COMPUTED_VALUE"""),"المعملجي")</f>
        <v>المعملجي</v>
      </c>
      <c r="C243" s="9" t="str">
        <f ca="1">IFERROR(__xludf.DUMMYFUNCTION("""COMPUTED_VALUE"""),"سجاد تربية")</f>
        <v>سجاد تربية</v>
      </c>
      <c r="D243" s="10" t="str">
        <f ca="1">IFERROR(__xludf.DUMMYFUNCTION("""COMPUTED_VALUE"""),"قسم التربية والتعليم العالي")</f>
        <v>قسم التربية والتعليم العالي</v>
      </c>
      <c r="E243" s="10" t="str">
        <f ca="1">IFERROR(__xludf.DUMMYFUNCTION("""COMPUTED_VALUE"""),"F-  ابتدائية جود العميد للبنات (الرابعة)")</f>
        <v>F-  ابتدائية جود العميد للبنات (الرابعة)</v>
      </c>
      <c r="F243" s="10" t="str">
        <f ca="1">IFERROR(__xludf.DUMMYFUNCTION("""COMPUTED_VALUE"""),"الطابق الارضي")</f>
        <v>الطابق الارضي</v>
      </c>
      <c r="G243" s="10" t="str">
        <f ca="1">IFERROR(__xludf.DUMMYFUNCTION("""COMPUTED_VALUE"""),"صيانة باب حمام ")</f>
        <v xml:space="preserve">صيانة باب حمام </v>
      </c>
      <c r="H243" s="10"/>
      <c r="I243" s="12" t="s">
        <v>21</v>
      </c>
      <c r="J243" s="13" t="s">
        <v>16</v>
      </c>
      <c r="K243" s="7">
        <v>46077.602989837964</v>
      </c>
      <c r="L243" s="14"/>
      <c r="M243" s="10"/>
      <c r="N243" s="10" t="s">
        <v>31</v>
      </c>
      <c r="O243" s="7">
        <v>46077.503174178244</v>
      </c>
    </row>
    <row r="244" spans="1:15" ht="75" customHeight="1">
      <c r="A244" s="7">
        <f ca="1">IFERROR(__xludf.DUMMYFUNCTION("""COMPUTED_VALUE"""),46078.3580219097)</f>
        <v>46078.358021909698</v>
      </c>
      <c r="B244" s="8" t="str">
        <f ca="1">IFERROR(__xludf.DUMMYFUNCTION("""COMPUTED_VALUE"""),"المعملجي")</f>
        <v>المعملجي</v>
      </c>
      <c r="C244" s="9" t="str">
        <f ca="1">IFERROR(__xludf.DUMMYFUNCTION("""COMPUTED_VALUE"""),"سجاد تربية")</f>
        <v>سجاد تربية</v>
      </c>
      <c r="D244" s="10" t="str">
        <f ca="1">IFERROR(__xludf.DUMMYFUNCTION("""COMPUTED_VALUE"""),"قسم التربية والتعليم العالي")</f>
        <v>قسم التربية والتعليم العالي</v>
      </c>
      <c r="E244" s="10" t="str">
        <f ca="1">IFERROR(__xludf.DUMMYFUNCTION("""COMPUTED_VALUE"""),"A- المركز الثقافي")</f>
        <v>A- المركز الثقافي</v>
      </c>
      <c r="F244" s="10" t="str">
        <f ca="1">IFERROR(__xludf.DUMMYFUNCTION("""COMPUTED_VALUE"""),"الرصيف")</f>
        <v>الرصيف</v>
      </c>
      <c r="G244" s="10" t="str">
        <f ca="1">IFERROR(__xludf.DUMMYFUNCTION("""COMPUTED_VALUE"""),"اعمال صبغ الرصيف بمادة البرايمر ")</f>
        <v xml:space="preserve">اعمال صبغ الرصيف بمادة البرايمر </v>
      </c>
      <c r="H244" s="10"/>
      <c r="I244" s="12" t="s">
        <v>21</v>
      </c>
      <c r="J244" s="13" t="s">
        <v>16</v>
      </c>
      <c r="K244" s="7">
        <v>46078.376003761572</v>
      </c>
      <c r="L244" s="14"/>
      <c r="M244" s="10"/>
      <c r="N244" s="10"/>
      <c r="O244" s="7"/>
    </row>
    <row r="245" spans="1:15" ht="75" customHeight="1">
      <c r="A245" s="7">
        <f ca="1">IFERROR(__xludf.DUMMYFUNCTION("""COMPUTED_VALUE"""),46078.3660022106)</f>
        <v>46078.366002210598</v>
      </c>
      <c r="B245" s="8" t="str">
        <f ca="1">IFERROR(__xludf.DUMMYFUNCTION("""COMPUTED_VALUE"""),"المعملجي")</f>
        <v>المعملجي</v>
      </c>
      <c r="C245" s="9" t="str">
        <f ca="1">IFERROR(__xludf.DUMMYFUNCTION("""COMPUTED_VALUE"""),"سجاد تربية")</f>
        <v>سجاد تربية</v>
      </c>
      <c r="D245" s="10" t="str">
        <f ca="1">IFERROR(__xludf.DUMMYFUNCTION("""COMPUTED_VALUE"""),"قسم التربية والتعليم العالي")</f>
        <v>قسم التربية والتعليم العالي</v>
      </c>
      <c r="E245" s="10" t="str">
        <f ca="1">IFERROR(__xludf.DUMMYFUNCTION("""COMPUTED_VALUE"""),"A- المركز الثقافي")</f>
        <v>A- المركز الثقافي</v>
      </c>
      <c r="F245" s="10" t="str">
        <f ca="1">IFERROR(__xludf.DUMMYFUNCTION("""COMPUTED_VALUE"""),"الرصيف")</f>
        <v>الرصيف</v>
      </c>
      <c r="G245" s="10" t="str">
        <f ca="1">IFERROR(__xludf.DUMMYFUNCTION("""COMPUTED_VALUE"""),"معالجة الرصيف مراد المعجون")</f>
        <v>معالجة الرصيف مراد المعجون</v>
      </c>
      <c r="H245" s="10"/>
      <c r="I245" s="12" t="s">
        <v>21</v>
      </c>
      <c r="J245" s="13" t="s">
        <v>16</v>
      </c>
      <c r="K245" s="7"/>
      <c r="L245" s="14"/>
      <c r="M245" s="10"/>
      <c r="N245" s="10"/>
      <c r="O245" s="7"/>
    </row>
    <row r="246" spans="1:15" ht="75" customHeight="1">
      <c r="A246" s="7">
        <f ca="1">IFERROR(__xludf.DUMMYFUNCTION("""COMPUTED_VALUE"""),46078.3670978125)</f>
        <v>46078.367097812501</v>
      </c>
      <c r="B246" s="8" t="str">
        <f ca="1">IFERROR(__xludf.DUMMYFUNCTION("""COMPUTED_VALUE"""),"المعملجي")</f>
        <v>المعملجي</v>
      </c>
      <c r="C246" s="9" t="str">
        <f ca="1">IFERROR(__xludf.DUMMYFUNCTION("""COMPUTED_VALUE"""),"سجاد تربية")</f>
        <v>سجاد تربية</v>
      </c>
      <c r="D246" s="10" t="str">
        <f ca="1">IFERROR(__xludf.DUMMYFUNCTION("""COMPUTED_VALUE"""),"قسم التربية والتعليم العالي")</f>
        <v>قسم التربية والتعليم العالي</v>
      </c>
      <c r="E246" s="10" t="str">
        <f ca="1">IFERROR(__xludf.DUMMYFUNCTION("""COMPUTED_VALUE"""),"A- المركز الثقافي")</f>
        <v>A- المركز الثقافي</v>
      </c>
      <c r="F246" s="10" t="str">
        <f ca="1">IFERROR(__xludf.DUMMYFUNCTION("""COMPUTED_VALUE"""),"الرصيف")</f>
        <v>الرصيف</v>
      </c>
      <c r="G246" s="10" t="str">
        <f ca="1">IFERROR(__xludf.DUMMYFUNCTION("""COMPUTED_VALUE"""),"صبغ الرصيف بالون الابيض والاصفر")</f>
        <v>صبغ الرصيف بالون الابيض والاصفر</v>
      </c>
      <c r="H246" s="10"/>
      <c r="I246" s="12" t="s">
        <v>21</v>
      </c>
      <c r="J246" s="13" t="s">
        <v>16</v>
      </c>
      <c r="K246" s="7"/>
      <c r="L246" s="14"/>
      <c r="M246" s="10"/>
      <c r="N246" s="10"/>
      <c r="O246" s="7"/>
    </row>
    <row r="247" spans="1:15" ht="75" customHeight="1">
      <c r="A247" s="7">
        <f ca="1">IFERROR(__xludf.DUMMYFUNCTION("""COMPUTED_VALUE"""),46078.3726303125)</f>
        <v>46078.3726303125</v>
      </c>
      <c r="B247" s="8" t="str">
        <f ca="1">IFERROR(__xludf.DUMMYFUNCTION("""COMPUTED_VALUE"""),"المعملجي")</f>
        <v>المعملجي</v>
      </c>
      <c r="C247" s="9" t="str">
        <f ca="1">IFERROR(__xludf.DUMMYFUNCTION("""COMPUTED_VALUE"""),"سجاد تربية")</f>
        <v>سجاد تربية</v>
      </c>
      <c r="D247" s="10" t="str">
        <f ca="1">IFERROR(__xludf.DUMMYFUNCTION("""COMPUTED_VALUE"""),"قسم التربية والتعليم العالي")</f>
        <v>قسم التربية والتعليم العالي</v>
      </c>
      <c r="E247" s="10" t="str">
        <f ca="1">IFERROR(__xludf.DUMMYFUNCTION("""COMPUTED_VALUE"""),"G- روضة الجود")</f>
        <v>G- روضة الجود</v>
      </c>
      <c r="F247" s="10" t="str">
        <f ca="1">IFERROR(__xludf.DUMMYFUNCTION("""COMPUTED_VALUE"""),"الرصيف")</f>
        <v>الرصيف</v>
      </c>
      <c r="G247" s="10" t="str">
        <f ca="1">IFERROR(__xludf.DUMMYFUNCTION("""COMPUTED_VALUE"""),"صبغ الرصيف بمادة البرايمر")</f>
        <v>صبغ الرصيف بمادة البرايمر</v>
      </c>
      <c r="H247" s="10"/>
      <c r="I247" s="12" t="s">
        <v>21</v>
      </c>
      <c r="J247" s="13" t="s">
        <v>16</v>
      </c>
      <c r="K247" s="7"/>
      <c r="L247" s="14"/>
      <c r="M247" s="10"/>
      <c r="N247" s="10"/>
      <c r="O247" s="7"/>
    </row>
    <row r="248" spans="1:15" ht="75" customHeight="1">
      <c r="A248" s="7">
        <f ca="1">IFERROR(__xludf.DUMMYFUNCTION("""COMPUTED_VALUE"""),46078.3733711574)</f>
        <v>46078.373371157402</v>
      </c>
      <c r="B248" s="8" t="str">
        <f ca="1">IFERROR(__xludf.DUMMYFUNCTION("""COMPUTED_VALUE"""),"المعملجي")</f>
        <v>المعملجي</v>
      </c>
      <c r="C248" s="9" t="str">
        <f ca="1">IFERROR(__xludf.DUMMYFUNCTION("""COMPUTED_VALUE"""),"سجاد تربية")</f>
        <v>سجاد تربية</v>
      </c>
      <c r="D248" s="10" t="str">
        <f ca="1">IFERROR(__xludf.DUMMYFUNCTION("""COMPUTED_VALUE"""),"قسم التربية والتعليم العالي")</f>
        <v>قسم التربية والتعليم العالي</v>
      </c>
      <c r="E248" s="10" t="str">
        <f ca="1">IFERROR(__xludf.DUMMYFUNCTION("""COMPUTED_VALUE"""),"G- روضة الجود")</f>
        <v>G- روضة الجود</v>
      </c>
      <c r="F248" s="10" t="str">
        <f ca="1">IFERROR(__xludf.DUMMYFUNCTION("""COMPUTED_VALUE"""),"الرصيف")</f>
        <v>الرصيف</v>
      </c>
      <c r="G248" s="10" t="str">
        <f ca="1">IFERROR(__xludf.DUMMYFUNCTION("""COMPUTED_VALUE"""),"بمالجة الرصيف بالمعجون")</f>
        <v>بمالجة الرصيف بالمعجون</v>
      </c>
      <c r="H248" s="10"/>
      <c r="I248" s="12" t="s">
        <v>21</v>
      </c>
      <c r="J248" s="13" t="s">
        <v>16</v>
      </c>
      <c r="K248" s="7"/>
      <c r="L248" s="14"/>
      <c r="M248" s="10"/>
      <c r="N248" s="10"/>
      <c r="O248" s="7"/>
    </row>
    <row r="249" spans="1:15" ht="75" customHeight="1">
      <c r="A249" s="7">
        <f ca="1">IFERROR(__xludf.DUMMYFUNCTION("""COMPUTED_VALUE"""),46078.3746670949)</f>
        <v>46078.374667094897</v>
      </c>
      <c r="B249" s="8" t="str">
        <f ca="1">IFERROR(__xludf.DUMMYFUNCTION("""COMPUTED_VALUE"""),"المعملجي")</f>
        <v>المعملجي</v>
      </c>
      <c r="C249" s="9" t="str">
        <f ca="1">IFERROR(__xludf.DUMMYFUNCTION("""COMPUTED_VALUE"""),"سجاد تربية")</f>
        <v>سجاد تربية</v>
      </c>
      <c r="D249" s="10" t="str">
        <f ca="1">IFERROR(__xludf.DUMMYFUNCTION("""COMPUTED_VALUE"""),"قسم التربية والتعليم العالي")</f>
        <v>قسم التربية والتعليم العالي</v>
      </c>
      <c r="E249" s="10" t="str">
        <f ca="1">IFERROR(__xludf.DUMMYFUNCTION("""COMPUTED_VALUE"""),"G- روضة الجود")</f>
        <v>G- روضة الجود</v>
      </c>
      <c r="F249" s="10" t="str">
        <f ca="1">IFERROR(__xludf.DUMMYFUNCTION("""COMPUTED_VALUE"""),"الرصيف")</f>
        <v>الرصيف</v>
      </c>
      <c r="G249" s="10" t="str">
        <f ca="1">IFERROR(__xludf.DUMMYFUNCTION("""COMPUTED_VALUE"""),"صبغ الرصيف بالون الابيض والاصفر ")</f>
        <v xml:space="preserve">صبغ الرصيف بالون الابيض والاصفر </v>
      </c>
      <c r="H249" s="10"/>
      <c r="I249" s="12" t="s">
        <v>21</v>
      </c>
      <c r="J249" s="13" t="s">
        <v>16</v>
      </c>
      <c r="K249" s="7"/>
      <c r="L249" s="14"/>
      <c r="M249" s="10"/>
      <c r="N249" s="10"/>
      <c r="O249" s="7"/>
    </row>
    <row r="250" spans="1:15" ht="75" customHeight="1">
      <c r="A250" s="7">
        <f ca="1">IFERROR(__xludf.DUMMYFUNCTION("""COMPUTED_VALUE"""),46079.3358060416)</f>
        <v>46079.335806041599</v>
      </c>
      <c r="B250" s="8" t="str">
        <f ca="1">IFERROR(__xludf.DUMMYFUNCTION("""COMPUTED_VALUE"""),"المعملجي")</f>
        <v>المعملجي</v>
      </c>
      <c r="C250" s="9" t="str">
        <f ca="1">IFERROR(__xludf.DUMMYFUNCTION("""COMPUTED_VALUE"""),"سجاد تربية")</f>
        <v>سجاد تربية</v>
      </c>
      <c r="D250" s="10" t="str">
        <f ca="1">IFERROR(__xludf.DUMMYFUNCTION("""COMPUTED_VALUE"""),"قسم التربية والتعليم العالي")</f>
        <v>قسم التربية والتعليم العالي</v>
      </c>
      <c r="E250" s="10" t="str">
        <f ca="1">IFERROR(__xludf.DUMMYFUNCTION("""COMPUTED_VALUE"""),"H- ابتدائية القمر للبنات (الخامسة)")</f>
        <v>H- ابتدائية القمر للبنات (الخامسة)</v>
      </c>
      <c r="F250" s="10" t="str">
        <f ca="1">IFERROR(__xludf.DUMMYFUNCTION("""COMPUTED_VALUE"""),"جناح الادائرة ZONE A, جناح الساحة ZONE B, الساحة المستطيله")</f>
        <v>جناح الادائرة ZONE A, جناح الساحة ZONE B, الساحة المستطيله</v>
      </c>
      <c r="G250" s="10" t="str">
        <f ca="1">IFERROR(__xludf.DUMMYFUNCTION("""COMPUTED_VALUE"""),"صيانه باب في للصحيات")</f>
        <v>صيانه باب في للصحيات</v>
      </c>
      <c r="H250" s="10"/>
      <c r="I250" s="12" t="s">
        <v>21</v>
      </c>
      <c r="J250" s="13" t="s">
        <v>16</v>
      </c>
      <c r="K250" s="7">
        <v>46079.544010937505</v>
      </c>
      <c r="L250" s="14"/>
      <c r="M250" s="10"/>
      <c r="N250" s="10"/>
      <c r="O250" s="7"/>
    </row>
    <row r="251" spans="1:15" ht="75" customHeight="1">
      <c r="A251" s="7">
        <f ca="1">IFERROR(__xludf.DUMMYFUNCTION("""COMPUTED_VALUE"""),46081.3781735995)</f>
        <v>46081.3781735995</v>
      </c>
      <c r="B251" s="8" t="str">
        <f ca="1">IFERROR(__xludf.DUMMYFUNCTION("""COMPUTED_VALUE"""),"المعملجي")</f>
        <v>المعملجي</v>
      </c>
      <c r="C251" s="9" t="str">
        <f ca="1">IFERROR(__xludf.DUMMYFUNCTION("""COMPUTED_VALUE"""),"سجاد تربية")</f>
        <v>سجاد تربية</v>
      </c>
      <c r="D251" s="10" t="str">
        <f ca="1">IFERROR(__xludf.DUMMYFUNCTION("""COMPUTED_VALUE"""),"قسم التربية والتعليم العالي")</f>
        <v>قسم التربية والتعليم العالي</v>
      </c>
      <c r="E251" s="10" t="str">
        <f ca="1">IFERROR(__xludf.DUMMYFUNCTION("""COMPUTED_VALUE"""),"رصيف مقابل الالعاب")</f>
        <v>رصيف مقابل الالعاب</v>
      </c>
      <c r="F251" s="10" t="str">
        <f ca="1">IFERROR(__xludf.DUMMYFUNCTION("""COMPUTED_VALUE"""),"رصيف الالعاب")</f>
        <v>رصيف الالعاب</v>
      </c>
      <c r="G251" s="10" t="str">
        <f ca="1">IFERROR(__xludf.DUMMYFUNCTION("""COMPUTED_VALUE"""),"صبغ برايمر للرصيف")</f>
        <v>صبغ برايمر للرصيف</v>
      </c>
      <c r="H251" s="10"/>
      <c r="I251" s="12" t="s">
        <v>21</v>
      </c>
      <c r="J251" s="13" t="s">
        <v>16</v>
      </c>
      <c r="K251" s="7">
        <v>46081.380013032409</v>
      </c>
      <c r="L251" s="14"/>
      <c r="M251" s="10"/>
      <c r="N251" s="10"/>
      <c r="O251" s="7"/>
    </row>
    <row r="252" spans="1:15" ht="75" customHeight="1">
      <c r="A252" s="7">
        <f ca="1">IFERROR(__xludf.DUMMYFUNCTION("""COMPUTED_VALUE"""),46081.3790203703)</f>
        <v>46081.379020370303</v>
      </c>
      <c r="B252" s="8" t="str">
        <f ca="1">IFERROR(__xludf.DUMMYFUNCTION("""COMPUTED_VALUE"""),"المعملجي")</f>
        <v>المعملجي</v>
      </c>
      <c r="C252" s="9" t="str">
        <f ca="1">IFERROR(__xludf.DUMMYFUNCTION("""COMPUTED_VALUE"""),"سجاد تربية")</f>
        <v>سجاد تربية</v>
      </c>
      <c r="D252" s="10" t="str">
        <f ca="1">IFERROR(__xludf.DUMMYFUNCTION("""COMPUTED_VALUE"""),"قسم التربية والتعليم العالي")</f>
        <v>قسم التربية والتعليم العالي</v>
      </c>
      <c r="E252" s="10" t="str">
        <f ca="1">IFERROR(__xludf.DUMMYFUNCTION("""COMPUTED_VALUE"""),"الرصيف مقابل الالعاب ")</f>
        <v xml:space="preserve">الرصيف مقابل الالعاب </v>
      </c>
      <c r="F252" s="10" t="str">
        <f ca="1">IFERROR(__xludf.DUMMYFUNCTION("""COMPUTED_VALUE"""),"رصيف الالعاب ")</f>
        <v xml:space="preserve">رصيف الالعاب </v>
      </c>
      <c r="G252" s="10" t="str">
        <f ca="1">IFERROR(__xludf.DUMMYFUNCTION("""COMPUTED_VALUE"""),"تصليح الرصيف بمادة المعجون")</f>
        <v>تصليح الرصيف بمادة المعجون</v>
      </c>
      <c r="H252" s="10"/>
      <c r="I252" s="12" t="s">
        <v>21</v>
      </c>
      <c r="J252" s="13" t="s">
        <v>16</v>
      </c>
      <c r="K252" s="7">
        <v>46081.379994571762</v>
      </c>
      <c r="L252" s="14"/>
      <c r="M252" s="10"/>
      <c r="N252" s="10"/>
      <c r="O252" s="7"/>
    </row>
    <row r="253" spans="1:15" ht="75" customHeight="1">
      <c r="A253" s="7">
        <f ca="1">IFERROR(__xludf.DUMMYFUNCTION("""COMPUTED_VALUE"""),46081.3798740393)</f>
        <v>46081.379874039303</v>
      </c>
      <c r="B253" s="8" t="str">
        <f ca="1">IFERROR(__xludf.DUMMYFUNCTION("""COMPUTED_VALUE"""),"المعملجي")</f>
        <v>المعملجي</v>
      </c>
      <c r="C253" s="9" t="str">
        <f ca="1">IFERROR(__xludf.DUMMYFUNCTION("""COMPUTED_VALUE"""),"سجاد تربية")</f>
        <v>سجاد تربية</v>
      </c>
      <c r="D253" s="10" t="str">
        <f ca="1">IFERROR(__xludf.DUMMYFUNCTION("""COMPUTED_VALUE"""),"قسم التربية والتعليم العالي")</f>
        <v>قسم التربية والتعليم العالي</v>
      </c>
      <c r="E253" s="10" t="str">
        <f ca="1">IFERROR(__xludf.DUMMYFUNCTION("""COMPUTED_VALUE"""),"الرصيف مقابل الالعاب ")</f>
        <v xml:space="preserve">الرصيف مقابل الالعاب </v>
      </c>
      <c r="F253" s="10" t="str">
        <f ca="1">IFERROR(__xludf.DUMMYFUNCTION("""COMPUTED_VALUE"""),"رصيف الالعاب ")</f>
        <v xml:space="preserve">رصيف الالعاب </v>
      </c>
      <c r="G253" s="10" t="str">
        <f ca="1">IFERROR(__xludf.DUMMYFUNCTION("""COMPUTED_VALUE"""),"صبغ الرصيف بالون الابيض والاصفر ")</f>
        <v xml:space="preserve">صبغ الرصيف بالون الابيض والاصفر </v>
      </c>
      <c r="H253" s="10"/>
      <c r="I253" s="12" t="s">
        <v>21</v>
      </c>
      <c r="J253" s="13" t="s">
        <v>16</v>
      </c>
      <c r="K253" s="7">
        <v>46081.379978530094</v>
      </c>
      <c r="L253" s="14"/>
      <c r="M253" s="10"/>
      <c r="N253" s="10"/>
      <c r="O253" s="7"/>
    </row>
    <row r="254" spans="1:15" ht="75" customHeight="1">
      <c r="A254" s="7">
        <f ca="1">IFERROR(__xludf.DUMMYFUNCTION("""COMPUTED_VALUE"""),46081.3813385301)</f>
        <v>46081.381338530096</v>
      </c>
      <c r="B254" s="8" t="str">
        <f ca="1">IFERROR(__xludf.DUMMYFUNCTION("""COMPUTED_VALUE"""),"المعملجي")</f>
        <v>المعملجي</v>
      </c>
      <c r="C254" s="9" t="str">
        <f ca="1">IFERROR(__xludf.DUMMYFUNCTION("""COMPUTED_VALUE"""),"وحدة المدني")</f>
        <v>وحدة المدني</v>
      </c>
      <c r="D254" s="10" t="str">
        <f ca="1">IFERROR(__xludf.DUMMYFUNCTION("""COMPUTED_VALUE"""),"قسم المشاريع الهندسية")</f>
        <v>قسم المشاريع الهندسية</v>
      </c>
      <c r="E254" s="10" t="str">
        <f ca="1">IFERROR(__xludf.DUMMYFUNCTION("""COMPUTED_VALUE"""),"النافورة")</f>
        <v>النافورة</v>
      </c>
      <c r="F254" s="10" t="str">
        <f ca="1">IFERROR(__xludf.DUMMYFUNCTION("""COMPUTED_VALUE"""),"مقابل المركز الثقافي ")</f>
        <v xml:space="preserve">مقابل المركز الثقافي </v>
      </c>
      <c r="G254" s="10" t="str">
        <f ca="1">IFERROR(__xludf.DUMMYFUNCTION("""COMPUTED_VALUE"""),"غسل النافورة")</f>
        <v>غسل النافورة</v>
      </c>
      <c r="H254" s="10"/>
      <c r="I254" s="12" t="s">
        <v>21</v>
      </c>
      <c r="J254" s="13" t="s">
        <v>16</v>
      </c>
      <c r="K254" s="7">
        <v>46081.381415717595</v>
      </c>
      <c r="L254" s="14"/>
      <c r="M254" s="10"/>
      <c r="N254" s="10"/>
      <c r="O254" s="7"/>
    </row>
    <row r="255" spans="1:15" ht="75" customHeight="1">
      <c r="A255" s="7">
        <f ca="1">IFERROR(__xludf.DUMMYFUNCTION("""COMPUTED_VALUE"""),46081.4021645833)</f>
        <v>46081.402164583298</v>
      </c>
      <c r="B255" s="8" t="str">
        <f ca="1">IFERROR(__xludf.DUMMYFUNCTION("""COMPUTED_VALUE"""),"المعملجي")</f>
        <v>المعملجي</v>
      </c>
      <c r="C255" s="9" t="str">
        <f ca="1">IFERROR(__xludf.DUMMYFUNCTION("""COMPUTED_VALUE"""),"سجاد تربية")</f>
        <v>سجاد تربية</v>
      </c>
      <c r="D255" s="10" t="str">
        <f ca="1">IFERROR(__xludf.DUMMYFUNCTION("""COMPUTED_VALUE"""),"قسم التربية والتعليم العالي")</f>
        <v>قسم التربية والتعليم العالي</v>
      </c>
      <c r="E255" s="10" t="str">
        <f ca="1">IFERROR(__xludf.DUMMYFUNCTION("""COMPUTED_VALUE"""),"B- روضة القمر")</f>
        <v>B- روضة القمر</v>
      </c>
      <c r="F255" s="10" t="str">
        <f ca="1">IFERROR(__xludf.DUMMYFUNCTION("""COMPUTED_VALUE"""),"صف النجوم")</f>
        <v>صف النجوم</v>
      </c>
      <c r="G255" s="10" t="str">
        <f ca="1">IFERROR(__xludf.DUMMYFUNCTION("""COMPUTED_VALUE"""),"صيانة يدة شباك ")</f>
        <v xml:space="preserve">صيانة يدة شباك </v>
      </c>
      <c r="H255" s="10"/>
      <c r="I255" s="12" t="s">
        <v>21</v>
      </c>
      <c r="J255" s="13" t="s">
        <v>16</v>
      </c>
      <c r="K255" s="7">
        <v>46081.417720057871</v>
      </c>
      <c r="L255" s="14"/>
      <c r="M255" s="10"/>
      <c r="N255" s="10"/>
      <c r="O255" s="7"/>
    </row>
    <row r="256" spans="1:15" ht="75" customHeight="1">
      <c r="A256" s="7">
        <f ca="1">IFERROR(__xludf.DUMMYFUNCTION("""COMPUTED_VALUE"""),46081.4026026157)</f>
        <v>46081.402602615701</v>
      </c>
      <c r="B256" s="8" t="str">
        <f ca="1">IFERROR(__xludf.DUMMYFUNCTION("""COMPUTED_VALUE"""),"المعملجي")</f>
        <v>المعملجي</v>
      </c>
      <c r="C256" s="9" t="str">
        <f ca="1">IFERROR(__xludf.DUMMYFUNCTION("""COMPUTED_VALUE"""),"سجاد تربية")</f>
        <v>سجاد تربية</v>
      </c>
      <c r="D256" s="10" t="str">
        <f ca="1">IFERROR(__xludf.DUMMYFUNCTION("""COMPUTED_VALUE"""),"قسم التربية والتعليم العالي")</f>
        <v>قسم التربية والتعليم العالي</v>
      </c>
      <c r="E256" s="10" t="str">
        <f ca="1">IFERROR(__xludf.DUMMYFUNCTION("""COMPUTED_VALUE"""),"B- روضة القمر")</f>
        <v>B- روضة القمر</v>
      </c>
      <c r="F256" s="10" t="str">
        <f ca="1">IFERROR(__xludf.DUMMYFUNCTION("""COMPUTED_VALUE"""),"صف النجوم ")</f>
        <v xml:space="preserve">صف النجوم </v>
      </c>
      <c r="G256" s="10" t="str">
        <f ca="1">IFERROR(__xludf.DUMMYFUNCTION("""COMPUTED_VALUE"""),"صيانة باب حمام ")</f>
        <v xml:space="preserve">صيانة باب حمام </v>
      </c>
      <c r="H256" s="10"/>
      <c r="I256" s="12" t="s">
        <v>21</v>
      </c>
      <c r="J256" s="13" t="s">
        <v>16</v>
      </c>
      <c r="K256" s="7">
        <v>46081.417767418985</v>
      </c>
      <c r="L256" s="14"/>
      <c r="M256" s="10"/>
      <c r="N256" s="10"/>
      <c r="O256" s="7"/>
    </row>
    <row r="257" spans="1:15" ht="75" customHeight="1">
      <c r="A257" s="7">
        <f ca="1">IFERROR(__xludf.DUMMYFUNCTION("""COMPUTED_VALUE"""),46056.4655704745)</f>
        <v>46056.465570474502</v>
      </c>
      <c r="B257" s="8" t="str">
        <f ca="1">IFERROR(__xludf.DUMMYFUNCTION("""COMPUTED_VALUE"""),"المعملجي")</f>
        <v>المعملجي</v>
      </c>
      <c r="C257" s="9" t="str">
        <f ca="1">IFERROR(__xludf.DUMMYFUNCTION("""COMPUTED_VALUE"""),"سجاد تربية")</f>
        <v>سجاد تربية</v>
      </c>
      <c r="D257" s="10" t="str">
        <f ca="1">IFERROR(__xludf.DUMMYFUNCTION("""COMPUTED_VALUE"""),"قسم التربية والتعليم العالي")</f>
        <v>قسم التربية والتعليم العالي</v>
      </c>
      <c r="E257" s="10" t="str">
        <f ca="1">IFERROR(__xludf.DUMMYFUNCTION("""COMPUTED_VALUE"""),"D- ثانوية العميد بناية المتوسطة  (الثانية)")</f>
        <v>D- ثانوية العميد بناية المتوسطة  (الثانية)</v>
      </c>
      <c r="F257" s="10" t="str">
        <f ca="1">IFERROR(__xludf.DUMMYFUNCTION("""COMPUTED_VALUE"""),"الطابق الارضي")</f>
        <v>الطابق الارضي</v>
      </c>
      <c r="G257" s="10" t="str">
        <f ca="1">IFERROR(__xludf.DUMMYFUNCTION("""COMPUTED_VALUE"""),"انسداد في المجاري ")</f>
        <v xml:space="preserve">انسداد في المجاري </v>
      </c>
      <c r="H257" s="10"/>
      <c r="I257" s="12" t="s">
        <v>22</v>
      </c>
      <c r="J257" s="13" t="s">
        <v>16</v>
      </c>
      <c r="K257" s="7">
        <v>46056.511020277772</v>
      </c>
      <c r="L257" s="14"/>
      <c r="M257" s="10"/>
      <c r="N257" s="10" t="s">
        <v>17</v>
      </c>
      <c r="O257" s="7">
        <v>46068.487873506943</v>
      </c>
    </row>
    <row r="258" spans="1:15" ht="75" customHeight="1">
      <c r="A258" s="7">
        <f ca="1">IFERROR(__xludf.DUMMYFUNCTION("""COMPUTED_VALUE"""),46058.5733427314)</f>
        <v>46058.573342731397</v>
      </c>
      <c r="B258" s="8" t="str">
        <f ca="1">IFERROR(__xludf.DUMMYFUNCTION("""COMPUTED_VALUE"""),"المعملجي")</f>
        <v>المعملجي</v>
      </c>
      <c r="C258" s="9" t="str">
        <f ca="1">IFERROR(__xludf.DUMMYFUNCTION("""COMPUTED_VALUE"""),"وحدة الميكانيك ")</f>
        <v xml:space="preserve">وحدة الميكانيك </v>
      </c>
      <c r="D258" s="10" t="str">
        <f ca="1">IFERROR(__xludf.DUMMYFUNCTION("""COMPUTED_VALUE"""),"قسم المشاريع الهندسية")</f>
        <v>قسم المشاريع الهندسية</v>
      </c>
      <c r="E258" s="10" t="str">
        <f ca="1">IFERROR(__xludf.DUMMYFUNCTION("""COMPUTED_VALUE"""),"E- ابتدائية العميد للبنات (الثالثة)")</f>
        <v>E- ابتدائية العميد للبنات (الثالثة)</v>
      </c>
      <c r="F258" s="10" t="str">
        <f ca="1">IFERROR(__xludf.DUMMYFUNCTION("""COMPUTED_VALUE"""),"الطابق الارضي, الطابق الاول, الطابق الثاني")</f>
        <v>الطابق الارضي, الطابق الاول, الطابق الثاني</v>
      </c>
      <c r="G258" s="10" t="str">
        <f ca="1">IFERROR(__xludf.DUMMYFUNCTION("""COMPUTED_VALUE"""),"إضافة غطاء كاك زاوية عدد 20")</f>
        <v>إضافة غطاء كاك زاوية عدد 20</v>
      </c>
      <c r="H258" s="10"/>
      <c r="I258" s="12" t="s">
        <v>22</v>
      </c>
      <c r="J258" s="13" t="s">
        <v>16</v>
      </c>
      <c r="K258" s="7"/>
      <c r="L258" s="14"/>
      <c r="M258" s="10"/>
      <c r="N258" s="10" t="s">
        <v>17</v>
      </c>
      <c r="O258" s="7">
        <v>46068.48787459491</v>
      </c>
    </row>
    <row r="259" spans="1:15" ht="75" customHeight="1">
      <c r="A259" s="7">
        <f ca="1">IFERROR(__xludf.DUMMYFUNCTION("""COMPUTED_VALUE"""),46058.5745062384)</f>
        <v>46058.574506238401</v>
      </c>
      <c r="B259" s="8" t="str">
        <f ca="1">IFERROR(__xludf.DUMMYFUNCTION("""COMPUTED_VALUE"""),"المعملجي")</f>
        <v>المعملجي</v>
      </c>
      <c r="C259" s="9" t="str">
        <f ca="1">IFERROR(__xludf.DUMMYFUNCTION("""COMPUTED_VALUE"""),"وحدة الميكانيك ")</f>
        <v xml:space="preserve">وحدة الميكانيك </v>
      </c>
      <c r="D259" s="10" t="str">
        <f ca="1">IFERROR(__xludf.DUMMYFUNCTION("""COMPUTED_VALUE"""),"قسم المشاريع الهندسية")</f>
        <v>قسم المشاريع الهندسية</v>
      </c>
      <c r="E259" s="10" t="str">
        <f ca="1">IFERROR(__xludf.DUMMYFUNCTION("""COMPUTED_VALUE"""),"C- ثانوية العميد بناية الاعدادية  (الاولى)")</f>
        <v>C- ثانوية العميد بناية الاعدادية  (الاولى)</v>
      </c>
      <c r="F259" s="10" t="str">
        <f ca="1">IFERROR(__xludf.DUMMYFUNCTION("""COMPUTED_VALUE"""),"السطح")</f>
        <v>السطح</v>
      </c>
      <c r="G259" s="10" t="str">
        <f ca="1">IFERROR(__xludf.DUMMYFUNCTION("""COMPUTED_VALUE"""),"تشغيل محطة الماء RO")</f>
        <v>تشغيل محطة الماء RO</v>
      </c>
      <c r="H259" s="10"/>
      <c r="I259" s="12" t="s">
        <v>22</v>
      </c>
      <c r="J259" s="13" t="s">
        <v>16</v>
      </c>
      <c r="K259" s="7"/>
      <c r="L259" s="14"/>
      <c r="M259" s="10"/>
      <c r="N259" s="10" t="s">
        <v>17</v>
      </c>
      <c r="O259" s="7">
        <v>46068.487874722225</v>
      </c>
    </row>
    <row r="260" spans="1:15" ht="75" customHeight="1">
      <c r="A260" s="7">
        <f ca="1">IFERROR(__xludf.DUMMYFUNCTION("""COMPUTED_VALUE"""),46058.575991412)</f>
        <v>46058.575991411999</v>
      </c>
      <c r="B260" s="8" t="str">
        <f ca="1">IFERROR(__xludf.DUMMYFUNCTION("""COMPUTED_VALUE"""),"المعملجي")</f>
        <v>المعملجي</v>
      </c>
      <c r="C260" s="9" t="str">
        <f ca="1">IFERROR(__xludf.DUMMYFUNCTION("""COMPUTED_VALUE"""),"وحدة الميكانيك ")</f>
        <v xml:space="preserve">وحدة الميكانيك </v>
      </c>
      <c r="D260" s="10" t="str">
        <f ca="1">IFERROR(__xludf.DUMMYFUNCTION("""COMPUTED_VALUE"""),"قسم المشاريع الهندسية")</f>
        <v>قسم المشاريع الهندسية</v>
      </c>
      <c r="E260" s="10" t="str">
        <f ca="1">IFERROR(__xludf.DUMMYFUNCTION("""COMPUTED_VALUE"""),"C- ثانوية العميد بناية الاعدادية  (الاولى)")</f>
        <v>C- ثانوية العميد بناية الاعدادية  (الاولى)</v>
      </c>
      <c r="F260" s="10" t="str">
        <f ca="1">IFERROR(__xludf.DUMMYFUNCTION("""COMPUTED_VALUE"""),"السطح")</f>
        <v>السطح</v>
      </c>
      <c r="G260" s="10" t="str">
        <f ca="1">IFERROR(__xludf.DUMMYFUNCTION("""COMPUTED_VALUE"""),"غسل خزان الماء RO وغرفة المحطة")</f>
        <v>غسل خزان الماء RO وغرفة المحطة</v>
      </c>
      <c r="H260" s="10"/>
      <c r="I260" s="12" t="s">
        <v>22</v>
      </c>
      <c r="J260" s="13" t="s">
        <v>16</v>
      </c>
      <c r="K260" s="7"/>
      <c r="L260" s="14"/>
      <c r="M260" s="10"/>
      <c r="N260" s="10" t="s">
        <v>23</v>
      </c>
      <c r="O260" s="7">
        <v>46068.487322141205</v>
      </c>
    </row>
    <row r="261" spans="1:15" ht="75" customHeight="1">
      <c r="A261" s="7">
        <f ca="1">IFERROR(__xludf.DUMMYFUNCTION("""COMPUTED_VALUE"""),46058.5766366203)</f>
        <v>46058.576636620302</v>
      </c>
      <c r="B261" s="8" t="str">
        <f ca="1">IFERROR(__xludf.DUMMYFUNCTION("""COMPUTED_VALUE"""),"المعملجي")</f>
        <v>المعملجي</v>
      </c>
      <c r="C261" s="9" t="str">
        <f ca="1">IFERROR(__xludf.DUMMYFUNCTION("""COMPUTED_VALUE"""),"وحدة الميكانيك ")</f>
        <v xml:space="preserve">وحدة الميكانيك </v>
      </c>
      <c r="D261" s="10" t="str">
        <f ca="1">IFERROR(__xludf.DUMMYFUNCTION("""COMPUTED_VALUE"""),"قسم المشاريع الهندسية")</f>
        <v>قسم المشاريع الهندسية</v>
      </c>
      <c r="E261" s="10" t="str">
        <f ca="1">IFERROR(__xludf.DUMMYFUNCTION("""COMPUTED_VALUE"""),"D- ثانوية العميد بناية المتوسطة  (الثانية)")</f>
        <v>D- ثانوية العميد بناية المتوسطة  (الثانية)</v>
      </c>
      <c r="F261" s="10" t="str">
        <f ca="1">IFERROR(__xludf.DUMMYFUNCTION("""COMPUTED_VALUE"""),"السطح")</f>
        <v>السطح</v>
      </c>
      <c r="G261" s="10" t="str">
        <f ca="1">IFERROR(__xludf.DUMMYFUNCTION("""COMPUTED_VALUE"""),"غسل خزان الماء RO وغرفة المحطة")</f>
        <v>غسل خزان الماء RO وغرفة المحطة</v>
      </c>
      <c r="H261" s="10"/>
      <c r="I261" s="12" t="s">
        <v>22</v>
      </c>
      <c r="J261" s="13" t="s">
        <v>16</v>
      </c>
      <c r="K261" s="7"/>
      <c r="L261" s="14"/>
      <c r="M261" s="10"/>
      <c r="N261" s="10" t="s">
        <v>23</v>
      </c>
      <c r="O261" s="7">
        <v>46068.487333553239</v>
      </c>
    </row>
    <row r="262" spans="1:15" ht="75" customHeight="1">
      <c r="A262" s="7">
        <f ca="1">IFERROR(__xludf.DUMMYFUNCTION("""COMPUTED_VALUE"""),46058.5805376273)</f>
        <v>46058.580537627298</v>
      </c>
      <c r="B262" s="8" t="str">
        <f ca="1">IFERROR(__xludf.DUMMYFUNCTION("""COMPUTED_VALUE"""),"المعملجي")</f>
        <v>المعملجي</v>
      </c>
      <c r="C262" s="9" t="str">
        <f ca="1">IFERROR(__xludf.DUMMYFUNCTION("""COMPUTED_VALUE"""),"وحدة الميكانيك ")</f>
        <v xml:space="preserve">وحدة الميكانيك </v>
      </c>
      <c r="D262" s="10" t="str">
        <f ca="1">IFERROR(__xludf.DUMMYFUNCTION("""COMPUTED_VALUE"""),"قسم المشاريع الهندسية")</f>
        <v>قسم المشاريع الهندسية</v>
      </c>
      <c r="E262" s="10" t="str">
        <f ca="1">IFERROR(__xludf.DUMMYFUNCTION("""COMPUTED_VALUE"""),"C- ثانوية العميد بناية الاعدادية  (الاولى)")</f>
        <v>C- ثانوية العميد بناية الاعدادية  (الاولى)</v>
      </c>
      <c r="F262" s="10" t="str">
        <f ca="1">IFERROR(__xludf.DUMMYFUNCTION("""COMPUTED_VALUE"""),"الطابق الاول, الطابق الثاني")</f>
        <v>الطابق الاول, الطابق الثاني</v>
      </c>
      <c r="G262" s="10" t="str">
        <f ca="1">IFERROR(__xludf.DUMMYFUNCTION("""COMPUTED_VALUE"""),"إضافة غطاء كاك زاوية ")</f>
        <v xml:space="preserve">إضافة غطاء كاك زاوية </v>
      </c>
      <c r="H262" s="10"/>
      <c r="I262" s="12" t="s">
        <v>22</v>
      </c>
      <c r="J262" s="13" t="s">
        <v>16</v>
      </c>
      <c r="K262" s="7"/>
      <c r="L262" s="14"/>
      <c r="M262" s="10"/>
      <c r="N262" s="10" t="s">
        <v>23</v>
      </c>
      <c r="O262" s="7">
        <v>46068.487343703702</v>
      </c>
    </row>
    <row r="263" spans="1:15" ht="75" customHeight="1">
      <c r="A263" s="7">
        <f ca="1">IFERROR(__xludf.DUMMYFUNCTION("""COMPUTED_VALUE"""),46058.5809330324)</f>
        <v>46058.580933032397</v>
      </c>
      <c r="B263" s="8" t="str">
        <f ca="1">IFERROR(__xludf.DUMMYFUNCTION("""COMPUTED_VALUE"""),"المعملجي")</f>
        <v>المعملجي</v>
      </c>
      <c r="C263" s="9" t="str">
        <f ca="1">IFERROR(__xludf.DUMMYFUNCTION("""COMPUTED_VALUE"""),"وحدة الميكانيك ")</f>
        <v xml:space="preserve">وحدة الميكانيك </v>
      </c>
      <c r="D263" s="10" t="str">
        <f ca="1">IFERROR(__xludf.DUMMYFUNCTION("""COMPUTED_VALUE"""),"قسم المشاريع الهندسية")</f>
        <v>قسم المشاريع الهندسية</v>
      </c>
      <c r="E263" s="10" t="str">
        <f ca="1">IFERROR(__xludf.DUMMYFUNCTION("""COMPUTED_VALUE"""),"D- ثانوية العميد بناية المتوسطة  (الثانية)")</f>
        <v>D- ثانوية العميد بناية المتوسطة  (الثانية)</v>
      </c>
      <c r="F263" s="10" t="str">
        <f ca="1">IFERROR(__xludf.DUMMYFUNCTION("""COMPUTED_VALUE"""),"الطابق الارضي, الطابق الاول, الطابق الثاني")</f>
        <v>الطابق الارضي, الطابق الاول, الطابق الثاني</v>
      </c>
      <c r="G263" s="10" t="str">
        <f ca="1">IFERROR(__xludf.DUMMYFUNCTION("""COMPUTED_VALUE"""),"إضافة غطاء كاك زاوية ")</f>
        <v xml:space="preserve">إضافة غطاء كاك زاوية </v>
      </c>
      <c r="H263" s="10"/>
      <c r="I263" s="12" t="s">
        <v>22</v>
      </c>
      <c r="J263" s="13" t="s">
        <v>16</v>
      </c>
      <c r="K263" s="7"/>
      <c r="L263" s="14"/>
      <c r="M263" s="10"/>
      <c r="N263" s="10" t="s">
        <v>23</v>
      </c>
      <c r="O263" s="7">
        <v>46068.487355196761</v>
      </c>
    </row>
    <row r="264" spans="1:15" ht="75" customHeight="1">
      <c r="A264" s="7">
        <f ca="1">IFERROR(__xludf.DUMMYFUNCTION("""COMPUTED_VALUE"""),46058.5815625925)</f>
        <v>46058.581562592502</v>
      </c>
      <c r="B264" s="8" t="str">
        <f ca="1">IFERROR(__xludf.DUMMYFUNCTION("""COMPUTED_VALUE"""),"المعملجي")</f>
        <v>المعملجي</v>
      </c>
      <c r="C264" s="9" t="str">
        <f ca="1">IFERROR(__xludf.DUMMYFUNCTION("""COMPUTED_VALUE"""),"وحدة الميكانيك ")</f>
        <v xml:space="preserve">وحدة الميكانيك </v>
      </c>
      <c r="D264" s="10" t="str">
        <f ca="1">IFERROR(__xludf.DUMMYFUNCTION("""COMPUTED_VALUE"""),"قسم المشاريع الهندسية")</f>
        <v>قسم المشاريع الهندسية</v>
      </c>
      <c r="E264" s="10" t="str">
        <f ca="1">IFERROR(__xludf.DUMMYFUNCTION("""COMPUTED_VALUE"""),"E- ابتدائية العميد للبنات (الثالثة)")</f>
        <v>E- ابتدائية العميد للبنات (الثالثة)</v>
      </c>
      <c r="F264" s="10" t="str">
        <f ca="1">IFERROR(__xludf.DUMMYFUNCTION("""COMPUTED_VALUE"""),"الطابق الثالث, جناح الساحة ZONE B")</f>
        <v>الطابق الثالث, جناح الساحة ZONE B</v>
      </c>
      <c r="G264" s="10" t="str">
        <f ca="1">IFERROR(__xludf.DUMMYFUNCTION("""COMPUTED_VALUE"""),"تبديل قاعدة صابون ")</f>
        <v xml:space="preserve">تبديل قاعدة صابون </v>
      </c>
      <c r="H264" s="10"/>
      <c r="I264" s="12" t="s">
        <v>22</v>
      </c>
      <c r="J264" s="13" t="s">
        <v>16</v>
      </c>
      <c r="K264" s="7"/>
      <c r="L264" s="14"/>
      <c r="M264" s="10"/>
      <c r="N264" s="10" t="s">
        <v>23</v>
      </c>
      <c r="O264" s="7">
        <v>46068.487365590277</v>
      </c>
    </row>
    <row r="265" spans="1:15" ht="75" customHeight="1">
      <c r="A265" s="7">
        <f ca="1">IFERROR(__xludf.DUMMYFUNCTION("""COMPUTED_VALUE"""),46058.582280243)</f>
        <v>46058.582280242998</v>
      </c>
      <c r="B265" s="8" t="str">
        <f ca="1">IFERROR(__xludf.DUMMYFUNCTION("""COMPUTED_VALUE"""),"المعملجي")</f>
        <v>المعملجي</v>
      </c>
      <c r="C265" s="9" t="str">
        <f ca="1">IFERROR(__xludf.DUMMYFUNCTION("""COMPUTED_VALUE"""),"وحدة الميكانيك ")</f>
        <v xml:space="preserve">وحدة الميكانيك </v>
      </c>
      <c r="D265" s="10" t="str">
        <f ca="1">IFERROR(__xludf.DUMMYFUNCTION("""COMPUTED_VALUE"""),"قسم المشاريع الهندسية")</f>
        <v>قسم المشاريع الهندسية</v>
      </c>
      <c r="E265" s="10" t="str">
        <f ca="1">IFERROR(__xludf.DUMMYFUNCTION("""COMPUTED_VALUE"""),"D- ثانوية العميد بناية المتوسطة  (الثانية)")</f>
        <v>D- ثانوية العميد بناية المتوسطة  (الثانية)</v>
      </c>
      <c r="F265" s="10" t="str">
        <f ca="1">IFERROR(__xludf.DUMMYFUNCTION("""COMPUTED_VALUE"""),"الطابق الثاني, جناح الساحة ZONE B")</f>
        <v>الطابق الثاني, جناح الساحة ZONE B</v>
      </c>
      <c r="G265" s="10" t="str">
        <f ca="1">IFERROR(__xludf.DUMMYFUNCTION("""COMPUTED_VALUE"""),"تبديل صوندة شطاف ")</f>
        <v xml:space="preserve">تبديل صوندة شطاف </v>
      </c>
      <c r="H265" s="10"/>
      <c r="I265" s="12" t="s">
        <v>22</v>
      </c>
      <c r="J265" s="13" t="s">
        <v>16</v>
      </c>
      <c r="K265" s="7"/>
      <c r="L265" s="14"/>
      <c r="M265" s="10"/>
      <c r="N265" s="10" t="s">
        <v>23</v>
      </c>
      <c r="O265" s="7">
        <v>46068.487384467589</v>
      </c>
    </row>
    <row r="266" spans="1:15" ht="75" customHeight="1">
      <c r="A266" s="7">
        <f ca="1">IFERROR(__xludf.DUMMYFUNCTION("""COMPUTED_VALUE"""),46058.5839627777)</f>
        <v>46058.583962777702</v>
      </c>
      <c r="B266" s="8" t="str">
        <f ca="1">IFERROR(__xludf.DUMMYFUNCTION("""COMPUTED_VALUE"""),"المعملجي")</f>
        <v>المعملجي</v>
      </c>
      <c r="C266" s="9" t="str">
        <f ca="1">IFERROR(__xludf.DUMMYFUNCTION("""COMPUTED_VALUE"""),"وحدة الميكانيك ")</f>
        <v xml:space="preserve">وحدة الميكانيك </v>
      </c>
      <c r="D266" s="10" t="str">
        <f ca="1">IFERROR(__xludf.DUMMYFUNCTION("""COMPUTED_VALUE"""),"قسم المشاريع الهندسية")</f>
        <v>قسم المشاريع الهندسية</v>
      </c>
      <c r="E266" s="10" t="str">
        <f ca="1">IFERROR(__xludf.DUMMYFUNCTION("""COMPUTED_VALUE"""),"D- ثانوية العميد بناية المتوسطة  (الثانية)")</f>
        <v>D- ثانوية العميد بناية المتوسطة  (الثانية)</v>
      </c>
      <c r="F266" s="10" t="str">
        <f ca="1">IFERROR(__xludf.DUMMYFUNCTION("""COMPUTED_VALUE"""),"الطابق الثاني, جناح الساحة ZONE B")</f>
        <v>الطابق الثاني, جناح الساحة ZONE B</v>
      </c>
      <c r="G266" s="10" t="str">
        <f ca="1">IFERROR(__xludf.DUMMYFUNCTION("""COMPUTED_VALUE"""),"تبديل كاك زاوية عدد 2")</f>
        <v>تبديل كاك زاوية عدد 2</v>
      </c>
      <c r="H266" s="10"/>
      <c r="I266" s="12" t="s">
        <v>22</v>
      </c>
      <c r="J266" s="13" t="s">
        <v>16</v>
      </c>
      <c r="K266" s="7"/>
      <c r="L266" s="14"/>
      <c r="M266" s="10"/>
      <c r="N266" s="10" t="s">
        <v>23</v>
      </c>
      <c r="O266" s="7">
        <v>46068.487395763892</v>
      </c>
    </row>
    <row r="267" spans="1:15" ht="75" customHeight="1">
      <c r="A267" s="7">
        <f ca="1">IFERROR(__xludf.DUMMYFUNCTION("""COMPUTED_VALUE"""),46058.5866703587)</f>
        <v>46058.586670358702</v>
      </c>
      <c r="B267" s="8" t="str">
        <f ca="1">IFERROR(__xludf.DUMMYFUNCTION("""COMPUTED_VALUE"""),"المعملجي")</f>
        <v>المعملجي</v>
      </c>
      <c r="C267" s="9" t="str">
        <f ca="1">IFERROR(__xludf.DUMMYFUNCTION("""COMPUTED_VALUE"""),"وحدة الميكانيك ")</f>
        <v xml:space="preserve">وحدة الميكانيك </v>
      </c>
      <c r="D267" s="10" t="str">
        <f ca="1">IFERROR(__xludf.DUMMYFUNCTION("""COMPUTED_VALUE"""),"قسم المشاريع الهندسية")</f>
        <v>قسم المشاريع الهندسية</v>
      </c>
      <c r="E267" s="10" t="str">
        <f ca="1">IFERROR(__xludf.DUMMYFUNCTION("""COMPUTED_VALUE"""),"I- ابتدائية الساقي للبنين (السادسة)")</f>
        <v>I- ابتدائية الساقي للبنين (السادسة)</v>
      </c>
      <c r="F267" s="10" t="str">
        <f ca="1">IFERROR(__xludf.DUMMYFUNCTION("""COMPUTED_VALUE"""),"الطابق الاول")</f>
        <v>الطابق الاول</v>
      </c>
      <c r="G267" s="10" t="str">
        <f ca="1">IFERROR(__xludf.DUMMYFUNCTION("""COMPUTED_VALUE"""),"فحص فإن كويل ")</f>
        <v xml:space="preserve">فحص فإن كويل </v>
      </c>
      <c r="H267" s="10"/>
      <c r="I267" s="12" t="s">
        <v>22</v>
      </c>
      <c r="J267" s="13" t="s">
        <v>16</v>
      </c>
      <c r="K267" s="7"/>
      <c r="L267" s="14"/>
      <c r="M267" s="10"/>
      <c r="N267" s="10" t="s">
        <v>23</v>
      </c>
      <c r="O267" s="7">
        <v>46068.487406319444</v>
      </c>
    </row>
    <row r="268" spans="1:15" ht="75" customHeight="1">
      <c r="A268" s="7">
        <f ca="1">IFERROR(__xludf.DUMMYFUNCTION("""COMPUTED_VALUE"""),46058.587925787)</f>
        <v>46058.587925786996</v>
      </c>
      <c r="B268" s="8" t="str">
        <f ca="1">IFERROR(__xludf.DUMMYFUNCTION("""COMPUTED_VALUE"""),"المعملجي")</f>
        <v>المعملجي</v>
      </c>
      <c r="C268" s="9" t="str">
        <f ca="1">IFERROR(__xludf.DUMMYFUNCTION("""COMPUTED_VALUE"""),"وحدة الميكانيك ")</f>
        <v xml:space="preserve">وحدة الميكانيك </v>
      </c>
      <c r="D268" s="10" t="str">
        <f ca="1">IFERROR(__xludf.DUMMYFUNCTION("""COMPUTED_VALUE"""),"قسم المشاريع الهندسية")</f>
        <v>قسم المشاريع الهندسية</v>
      </c>
      <c r="E268" s="10" t="str">
        <f ca="1">IFERROR(__xludf.DUMMYFUNCTION("""COMPUTED_VALUE"""),"B- روضة القمر")</f>
        <v>B- روضة القمر</v>
      </c>
      <c r="F268" s="10" t="str">
        <f ca="1">IFERROR(__xludf.DUMMYFUNCTION("""COMPUTED_VALUE"""),"السطح")</f>
        <v>السطح</v>
      </c>
      <c r="G268" s="10" t="str">
        <f ca="1">IFERROR(__xludf.DUMMYFUNCTION("""COMPUTED_VALUE"""),"تشغيل محطة الماء RO")</f>
        <v>تشغيل محطة الماء RO</v>
      </c>
      <c r="H268" s="10"/>
      <c r="I268" s="12" t="s">
        <v>22</v>
      </c>
      <c r="J268" s="13" t="s">
        <v>16</v>
      </c>
      <c r="K268" s="7"/>
      <c r="L268" s="14"/>
      <c r="M268" s="10"/>
      <c r="N268" s="10" t="s">
        <v>23</v>
      </c>
      <c r="O268" s="7">
        <v>46068.487417708333</v>
      </c>
    </row>
    <row r="269" spans="1:15" ht="75" customHeight="1">
      <c r="A269" s="7">
        <f ca="1">IFERROR(__xludf.DUMMYFUNCTION("""COMPUTED_VALUE"""),46058.5930663194)</f>
        <v>46058.593066319401</v>
      </c>
      <c r="B269" s="8" t="str">
        <f ca="1">IFERROR(__xludf.DUMMYFUNCTION("""COMPUTED_VALUE"""),"المعملجي")</f>
        <v>المعملجي</v>
      </c>
      <c r="C269" s="9" t="str">
        <f ca="1">IFERROR(__xludf.DUMMYFUNCTION("""COMPUTED_VALUE"""),"وحدة الميكانيك ")</f>
        <v xml:space="preserve">وحدة الميكانيك </v>
      </c>
      <c r="D269" s="10" t="str">
        <f ca="1">IFERROR(__xludf.DUMMYFUNCTION("""COMPUTED_VALUE"""),"قسم المشاريع الهندسية")</f>
        <v>قسم المشاريع الهندسية</v>
      </c>
      <c r="E269" s="10" t="str">
        <f ca="1">IFERROR(__xludf.DUMMYFUNCTION("""COMPUTED_VALUE"""),"D- ثانوية العميد بناية المتوسطة  (الثانية)")</f>
        <v>D- ثانوية العميد بناية المتوسطة  (الثانية)</v>
      </c>
      <c r="F269" s="10" t="str">
        <f ca="1">IFERROR(__xludf.DUMMYFUNCTION("""COMPUTED_VALUE"""),"الطابق الاول, جناح الساحة ZONE B")</f>
        <v>الطابق الاول, جناح الساحة ZONE B</v>
      </c>
      <c r="G269" s="10" t="str">
        <f ca="1">IFERROR(__xludf.DUMMYFUNCTION("""COMPUTED_VALUE"""),"فتح انسداد")</f>
        <v>فتح انسداد</v>
      </c>
      <c r="H269" s="10"/>
      <c r="I269" s="12" t="s">
        <v>22</v>
      </c>
      <c r="J269" s="13" t="s">
        <v>16</v>
      </c>
      <c r="K269" s="7"/>
      <c r="L269" s="14"/>
      <c r="M269" s="10"/>
      <c r="N269" s="10" t="s">
        <v>23</v>
      </c>
      <c r="O269" s="7">
        <v>46068.487428217588</v>
      </c>
    </row>
    <row r="270" spans="1:15" ht="75" customHeight="1">
      <c r="A270" s="7">
        <f ca="1">IFERROR(__xludf.DUMMYFUNCTION("""COMPUTED_VALUE"""),46058.5941580092)</f>
        <v>46058.594158009197</v>
      </c>
      <c r="B270" s="8" t="str">
        <f ca="1">IFERROR(__xludf.DUMMYFUNCTION("""COMPUTED_VALUE"""),"المعملجي")</f>
        <v>المعملجي</v>
      </c>
      <c r="C270" s="9" t="str">
        <f ca="1">IFERROR(__xludf.DUMMYFUNCTION("""COMPUTED_VALUE"""),"وحدة الميكانيك ")</f>
        <v xml:space="preserve">وحدة الميكانيك </v>
      </c>
      <c r="D270" s="10" t="str">
        <f ca="1">IFERROR(__xludf.DUMMYFUNCTION("""COMPUTED_VALUE"""),"قسم المشاريع الهندسية")</f>
        <v>قسم المشاريع الهندسية</v>
      </c>
      <c r="E270" s="10" t="str">
        <f ca="1">IFERROR(__xludf.DUMMYFUNCTION("""COMPUTED_VALUE"""),"H- ابتدائية القمر للبنات (الخامسة)")</f>
        <v>H- ابتدائية القمر للبنات (الخامسة)</v>
      </c>
      <c r="F270" s="10" t="str">
        <f ca="1">IFERROR(__xludf.DUMMYFUNCTION("""COMPUTED_VALUE"""),"السطح")</f>
        <v>السطح</v>
      </c>
      <c r="G270" s="10" t="str">
        <f ca="1">IFERROR(__xludf.DUMMYFUNCTION("""COMPUTED_VALUE"""),"تشغيل محطة الماء RO ")</f>
        <v xml:space="preserve">تشغيل محطة الماء RO </v>
      </c>
      <c r="H270" s="10"/>
      <c r="I270" s="12" t="s">
        <v>22</v>
      </c>
      <c r="J270" s="13" t="s">
        <v>16</v>
      </c>
      <c r="K270" s="7"/>
      <c r="L270" s="14"/>
      <c r="M270" s="10"/>
      <c r="N270" s="10" t="s">
        <v>23</v>
      </c>
      <c r="O270" s="7">
        <v>46068.487439756944</v>
      </c>
    </row>
    <row r="271" spans="1:15" ht="75" customHeight="1">
      <c r="A271" s="7">
        <f ca="1">IFERROR(__xludf.DUMMYFUNCTION("""COMPUTED_VALUE"""),46058.5947415046)</f>
        <v>46058.594741504603</v>
      </c>
      <c r="B271" s="8" t="str">
        <f ca="1">IFERROR(__xludf.DUMMYFUNCTION("""COMPUTED_VALUE"""),"المعملجي")</f>
        <v>المعملجي</v>
      </c>
      <c r="C271" s="9" t="str">
        <f ca="1">IFERROR(__xludf.DUMMYFUNCTION("""COMPUTED_VALUE"""),"وحدة الميكانيك ")</f>
        <v xml:space="preserve">وحدة الميكانيك </v>
      </c>
      <c r="D271" s="10" t="str">
        <f ca="1">IFERROR(__xludf.DUMMYFUNCTION("""COMPUTED_VALUE"""),"قسم المشاريع الهندسية")</f>
        <v>قسم المشاريع الهندسية</v>
      </c>
      <c r="E271" s="10" t="str">
        <f ca="1">IFERROR(__xludf.DUMMYFUNCTION("""COMPUTED_VALUE"""),"H- ابتدائية القمر للبنات (الخامسة)")</f>
        <v>H- ابتدائية القمر للبنات (الخامسة)</v>
      </c>
      <c r="F271" s="10" t="str">
        <f ca="1">IFERROR(__xludf.DUMMYFUNCTION("""COMPUTED_VALUE"""),"السطح")</f>
        <v>السطح</v>
      </c>
      <c r="G271" s="10" t="str">
        <f ca="1">IFERROR(__xludf.DUMMYFUNCTION("""COMPUTED_VALUE"""),"تبديل فلاتر عامودي")</f>
        <v>تبديل فلاتر عامودي</v>
      </c>
      <c r="H271" s="10"/>
      <c r="I271" s="12" t="s">
        <v>22</v>
      </c>
      <c r="J271" s="13" t="s">
        <v>16</v>
      </c>
      <c r="K271" s="7"/>
      <c r="L271" s="14"/>
      <c r="M271" s="10"/>
      <c r="N271" s="10" t="s">
        <v>23</v>
      </c>
      <c r="O271" s="7">
        <v>46068.487457488431</v>
      </c>
    </row>
    <row r="272" spans="1:15" ht="75" customHeight="1">
      <c r="A272" s="7">
        <f ca="1">IFERROR(__xludf.DUMMYFUNCTION("""COMPUTED_VALUE"""),46058.5955143518)</f>
        <v>46058.5955143518</v>
      </c>
      <c r="B272" s="8" t="str">
        <f ca="1">IFERROR(__xludf.DUMMYFUNCTION("""COMPUTED_VALUE"""),"المعملجي")</f>
        <v>المعملجي</v>
      </c>
      <c r="C272" s="9" t="str">
        <f ca="1">IFERROR(__xludf.DUMMYFUNCTION("""COMPUTED_VALUE"""),"وحدة الميكانيك ")</f>
        <v xml:space="preserve">وحدة الميكانيك </v>
      </c>
      <c r="D272" s="10" t="str">
        <f ca="1">IFERROR(__xludf.DUMMYFUNCTION("""COMPUTED_VALUE"""),"قسم المشاريع الهندسية")</f>
        <v>قسم المشاريع الهندسية</v>
      </c>
      <c r="E272" s="10" t="str">
        <f ca="1">IFERROR(__xludf.DUMMYFUNCTION("""COMPUTED_VALUE"""),"F-  ابتدائية جود العميد للبنات (الرابعة)")</f>
        <v>F-  ابتدائية جود العميد للبنات (الرابعة)</v>
      </c>
      <c r="F272" s="10" t="str">
        <f ca="1">IFERROR(__xludf.DUMMYFUNCTION("""COMPUTED_VALUE"""),"السطح")</f>
        <v>السطح</v>
      </c>
      <c r="G272" s="10" t="str">
        <f ca="1">IFERROR(__xludf.DUMMYFUNCTION("""COMPUTED_VALUE"""),"تشغيل محطة الماء RO")</f>
        <v>تشغيل محطة الماء RO</v>
      </c>
      <c r="H272" s="10"/>
      <c r="I272" s="12" t="s">
        <v>22</v>
      </c>
      <c r="J272" s="13" t="s">
        <v>16</v>
      </c>
      <c r="K272" s="7"/>
      <c r="L272" s="14"/>
      <c r="M272" s="10"/>
      <c r="N272" s="10" t="s">
        <v>23</v>
      </c>
      <c r="O272" s="7">
        <v>46068.487468009262</v>
      </c>
    </row>
    <row r="273" spans="1:15" ht="75" customHeight="1">
      <c r="A273" s="7">
        <f ca="1">IFERROR(__xludf.DUMMYFUNCTION("""COMPUTED_VALUE"""),46058.5963486921)</f>
        <v>46058.596348692103</v>
      </c>
      <c r="B273" s="8" t="str">
        <f ca="1">IFERROR(__xludf.DUMMYFUNCTION("""COMPUTED_VALUE"""),"المعملجي")</f>
        <v>المعملجي</v>
      </c>
      <c r="C273" s="9" t="str">
        <f ca="1">IFERROR(__xludf.DUMMYFUNCTION("""COMPUTED_VALUE"""),"وحدة الميكانيك ")</f>
        <v xml:space="preserve">وحدة الميكانيك </v>
      </c>
      <c r="D273" s="10" t="str">
        <f ca="1">IFERROR(__xludf.DUMMYFUNCTION("""COMPUTED_VALUE"""),"قسم المشاريع الهندسية")</f>
        <v>قسم المشاريع الهندسية</v>
      </c>
      <c r="E273" s="10" t="str">
        <f ca="1">IFERROR(__xludf.DUMMYFUNCTION("""COMPUTED_VALUE"""),"G- روضة الجود")</f>
        <v>G- روضة الجود</v>
      </c>
      <c r="F273" s="10" t="str">
        <f ca="1">IFERROR(__xludf.DUMMYFUNCTION("""COMPUTED_VALUE"""),"السطح")</f>
        <v>السطح</v>
      </c>
      <c r="G273" s="10" t="str">
        <f ca="1">IFERROR(__xludf.DUMMYFUNCTION("""COMPUTED_VALUE"""),"تشغل محطة الماء RO")</f>
        <v>تشغل محطة الماء RO</v>
      </c>
      <c r="H273" s="10"/>
      <c r="I273" s="12" t="s">
        <v>22</v>
      </c>
      <c r="J273" s="13" t="s">
        <v>16</v>
      </c>
      <c r="K273" s="7"/>
      <c r="L273" s="14"/>
      <c r="M273" s="10"/>
      <c r="N273" s="10" t="s">
        <v>23</v>
      </c>
      <c r="O273" s="7">
        <v>46068.487490266205</v>
      </c>
    </row>
    <row r="274" spans="1:15" ht="75" customHeight="1">
      <c r="A274" s="7">
        <f ca="1">IFERROR(__xludf.DUMMYFUNCTION("""COMPUTED_VALUE"""),46058.5985126273)</f>
        <v>46058.598512627301</v>
      </c>
      <c r="B274" s="8" t="str">
        <f ca="1">IFERROR(__xludf.DUMMYFUNCTION("""COMPUTED_VALUE"""),"المعملجي")</f>
        <v>المعملجي</v>
      </c>
      <c r="C274" s="9" t="str">
        <f ca="1">IFERROR(__xludf.DUMMYFUNCTION("""COMPUTED_VALUE"""),"وحدة الميكانيك ")</f>
        <v xml:space="preserve">وحدة الميكانيك </v>
      </c>
      <c r="D274" s="10" t="str">
        <f ca="1">IFERROR(__xludf.DUMMYFUNCTION("""COMPUTED_VALUE"""),"قسم المشاريع الهندسية")</f>
        <v>قسم المشاريع الهندسية</v>
      </c>
      <c r="E274" s="10" t="str">
        <f ca="1">IFERROR(__xludf.DUMMYFUNCTION("""COMPUTED_VALUE"""),"H- ابتدائية القمر للبنات (الخامسة)")</f>
        <v>H- ابتدائية القمر للبنات (الخامسة)</v>
      </c>
      <c r="F274" s="10" t="str">
        <f ca="1">IFERROR(__xludf.DUMMYFUNCTION("""COMPUTED_VALUE"""),"السطح")</f>
        <v>السطح</v>
      </c>
      <c r="G274" s="10" t="str">
        <f ca="1">IFERROR(__xludf.DUMMYFUNCTION("""COMPUTED_VALUE"""),"تبديل check valve مضخة إطفاء الديزل")</f>
        <v>تبديل check valve مضخة إطفاء الديزل</v>
      </c>
      <c r="H274" s="10"/>
      <c r="I274" s="12" t="s">
        <v>22</v>
      </c>
      <c r="J274" s="13" t="s">
        <v>16</v>
      </c>
      <c r="K274" s="7"/>
      <c r="L274" s="14"/>
      <c r="M274" s="10"/>
      <c r="N274" s="10" t="s">
        <v>23</v>
      </c>
      <c r="O274" s="7">
        <v>46068.487506226855</v>
      </c>
    </row>
    <row r="275" spans="1:15" ht="75" customHeight="1">
      <c r="A275" s="7">
        <f ca="1">IFERROR(__xludf.DUMMYFUNCTION("""COMPUTED_VALUE"""),46058.5992636805)</f>
        <v>46058.599263680502</v>
      </c>
      <c r="B275" s="8" t="str">
        <f ca="1">IFERROR(__xludf.DUMMYFUNCTION("""COMPUTED_VALUE"""),"المعملجي")</f>
        <v>المعملجي</v>
      </c>
      <c r="C275" s="9" t="str">
        <f ca="1">IFERROR(__xludf.DUMMYFUNCTION("""COMPUTED_VALUE"""),"وحدة الميكانيك ")</f>
        <v xml:space="preserve">وحدة الميكانيك </v>
      </c>
      <c r="D275" s="10" t="str">
        <f ca="1">IFERROR(__xludf.DUMMYFUNCTION("""COMPUTED_VALUE"""),"قسم المشاريع الهندسية")</f>
        <v>قسم المشاريع الهندسية</v>
      </c>
      <c r="E275" s="10" t="str">
        <f ca="1">IFERROR(__xludf.DUMMYFUNCTION("""COMPUTED_VALUE"""),"D- ثانوية العميد بناية المتوسطة  (الثانية)")</f>
        <v>D- ثانوية العميد بناية المتوسطة  (الثانية)</v>
      </c>
      <c r="F275" s="10" t="str">
        <f ca="1">IFERROR(__xludf.DUMMYFUNCTION("""COMPUTED_VALUE"""),"السطح")</f>
        <v>السطح</v>
      </c>
      <c r="G275" s="10" t="str">
        <f ca="1">IFERROR(__xludf.DUMMYFUNCTION("""COMPUTED_VALUE"""),"تشغيل محطة الماء RO")</f>
        <v>تشغيل محطة الماء RO</v>
      </c>
      <c r="H275" s="10"/>
      <c r="I275" s="12" t="s">
        <v>22</v>
      </c>
      <c r="J275" s="13" t="s">
        <v>16</v>
      </c>
      <c r="K275" s="7"/>
      <c r="L275" s="14"/>
      <c r="M275" s="10"/>
      <c r="N275" s="10" t="s">
        <v>23</v>
      </c>
      <c r="O275" s="7">
        <v>46068.48751767361</v>
      </c>
    </row>
    <row r="276" spans="1:15" ht="75" customHeight="1">
      <c r="A276" s="7">
        <f ca="1">IFERROR(__xludf.DUMMYFUNCTION("""COMPUTED_VALUE"""),46058.6004381018)</f>
        <v>46058.600438101799</v>
      </c>
      <c r="B276" s="8" t="str">
        <f ca="1">IFERROR(__xludf.DUMMYFUNCTION("""COMPUTED_VALUE"""),"المعملجي")</f>
        <v>المعملجي</v>
      </c>
      <c r="C276" s="9" t="str">
        <f ca="1">IFERROR(__xludf.DUMMYFUNCTION("""COMPUTED_VALUE"""),"وحدة الميكانيك ")</f>
        <v xml:space="preserve">وحدة الميكانيك </v>
      </c>
      <c r="D276" s="10" t="str">
        <f ca="1">IFERROR(__xludf.DUMMYFUNCTION("""COMPUTED_VALUE"""),"قسم المشاريع الهندسية")</f>
        <v>قسم المشاريع الهندسية</v>
      </c>
      <c r="E276" s="10" t="str">
        <f ca="1">IFERROR(__xludf.DUMMYFUNCTION("""COMPUTED_VALUE"""),"C- ثانوية العميد بناية الاعدادية  (الاولى), D- ثانوية العميد بناية المتوسطة  (الثانية)")</f>
        <v>C- ثانوية العميد بناية الاعدادية  (الاولى), D- ثانوية العميد بناية المتوسطة  (الثانية)</v>
      </c>
      <c r="F276" s="10" t="str">
        <f ca="1">IFERROR(__xludf.DUMMYFUNCTION("""COMPUTED_VALUE"""),"السطح")</f>
        <v>السطح</v>
      </c>
      <c r="G276" s="10" t="str">
        <f ca="1">IFERROR(__xludf.DUMMYFUNCTION("""COMPUTED_VALUE"""),"غسل وتنظيف المضخات الثانوية")</f>
        <v>غسل وتنظيف المضخات الثانوية</v>
      </c>
      <c r="H276" s="10"/>
      <c r="I276" s="12" t="s">
        <v>22</v>
      </c>
      <c r="J276" s="13" t="s">
        <v>16</v>
      </c>
      <c r="K276" s="7"/>
      <c r="L276" s="14"/>
      <c r="M276" s="10"/>
      <c r="N276" s="10" t="s">
        <v>23</v>
      </c>
      <c r="O276" s="7">
        <v>46068.487532060186</v>
      </c>
    </row>
    <row r="277" spans="1:15" ht="75" customHeight="1">
      <c r="A277" s="7">
        <f ca="1">IFERROR(__xludf.DUMMYFUNCTION("""COMPUTED_VALUE"""),46062.5043168865)</f>
        <v>46062.504316886501</v>
      </c>
      <c r="B277" s="8" t="str">
        <f ca="1">IFERROR(__xludf.DUMMYFUNCTION("""COMPUTED_VALUE"""),"المعملجي")</f>
        <v>المعملجي</v>
      </c>
      <c r="C277" s="9" t="str">
        <f ca="1">IFERROR(__xludf.DUMMYFUNCTION("""COMPUTED_VALUE"""),"سجاد تربية")</f>
        <v>سجاد تربية</v>
      </c>
      <c r="D277" s="10" t="str">
        <f ca="1">IFERROR(__xludf.DUMMYFUNCTION("""COMPUTED_VALUE"""),"قسم التربية والتعليم العالي")</f>
        <v>قسم التربية والتعليم العالي</v>
      </c>
      <c r="E277" s="10" t="str">
        <f ca="1">IFERROR(__xludf.DUMMYFUNCTION("""COMPUTED_VALUE"""),"D- ثانوية العميد بناية المتوسطة  (الثانية)")</f>
        <v>D- ثانوية العميد بناية المتوسطة  (الثانية)</v>
      </c>
      <c r="F277" s="10" t="str">
        <f ca="1">IFERROR(__xludf.DUMMYFUNCTION("""COMPUTED_VALUE"""),"الطابق الاول")</f>
        <v>الطابق الاول</v>
      </c>
      <c r="G277" s="10" t="str">
        <f ca="1">IFERROR(__xludf.DUMMYFUNCTION("""COMPUTED_VALUE"""),"يوجد تسريب ماء في السقف الثانوي في صحيات الادارة ")</f>
        <v xml:space="preserve">يوجد تسريب ماء في السقف الثانوي في صحيات الادارة </v>
      </c>
      <c r="H277" s="10"/>
      <c r="I277" s="12" t="s">
        <v>22</v>
      </c>
      <c r="J277" s="13" t="s">
        <v>16</v>
      </c>
      <c r="K277" s="7">
        <v>46067.404781296296</v>
      </c>
      <c r="L277" s="14"/>
      <c r="M277" s="10"/>
      <c r="N277" s="10" t="s">
        <v>23</v>
      </c>
      <c r="O277" s="7">
        <v>46068.487854780091</v>
      </c>
    </row>
    <row r="278" spans="1:15" ht="75" customHeight="1">
      <c r="A278" s="7">
        <f ca="1">IFERROR(__xludf.DUMMYFUNCTION("""COMPUTED_VALUE"""),46062.5049853588)</f>
        <v>46062.504985358799</v>
      </c>
      <c r="B278" s="8" t="str">
        <f ca="1">IFERROR(__xludf.DUMMYFUNCTION("""COMPUTED_VALUE"""),"المعملجي")</f>
        <v>المعملجي</v>
      </c>
      <c r="C278" s="9" t="str">
        <f ca="1">IFERROR(__xludf.DUMMYFUNCTION("""COMPUTED_VALUE"""),"سجاد تربية")</f>
        <v>سجاد تربية</v>
      </c>
      <c r="D278" s="10" t="str">
        <f ca="1">IFERROR(__xludf.DUMMYFUNCTION("""COMPUTED_VALUE"""),"قسم التربية والتعليم العالي")</f>
        <v>قسم التربية والتعليم العالي</v>
      </c>
      <c r="E278" s="10" t="str">
        <f ca="1">IFERROR(__xludf.DUMMYFUNCTION("""COMPUTED_VALUE"""),"H- ابتدائية القمر للبنات (الخامسة)")</f>
        <v>H- ابتدائية القمر للبنات (الخامسة)</v>
      </c>
      <c r="F278" s="10" t="str">
        <f ca="1">IFERROR(__xludf.DUMMYFUNCTION("""COMPUTED_VALUE"""),"جناح الساحة ZONE B")</f>
        <v>جناح الساحة ZONE B</v>
      </c>
      <c r="G278" s="10" t="str">
        <f ca="1">IFERROR(__xludf.DUMMYFUNCTION("""COMPUTED_VALUE"""),"صيانة مجاري في الساحة الدائرية يوجد انسداد ")</f>
        <v xml:space="preserve">صيانة مجاري في الساحة الدائرية يوجد انسداد </v>
      </c>
      <c r="H278" s="10"/>
      <c r="I278" s="12" t="s">
        <v>22</v>
      </c>
      <c r="J278" s="13" t="s">
        <v>16</v>
      </c>
      <c r="K278" s="7">
        <v>46064.391372118058</v>
      </c>
      <c r="L278" s="14"/>
      <c r="M278" s="10"/>
      <c r="N278" s="10" t="s">
        <v>23</v>
      </c>
      <c r="O278" s="7">
        <v>46068.487865034724</v>
      </c>
    </row>
    <row r="279" spans="1:15" ht="75" customHeight="1">
      <c r="A279" s="7">
        <f ca="1">IFERROR(__xludf.DUMMYFUNCTION("""COMPUTED_VALUE"""),46064.3543976157)</f>
        <v>46064.354397615702</v>
      </c>
      <c r="B279" s="8" t="str">
        <f ca="1">IFERROR(__xludf.DUMMYFUNCTION("""COMPUTED_VALUE"""),"المعملجي")</f>
        <v>المعملجي</v>
      </c>
      <c r="C279" s="9" t="str">
        <f ca="1">IFERROR(__xludf.DUMMYFUNCTION("""COMPUTED_VALUE"""),"سجاد تربية")</f>
        <v>سجاد تربية</v>
      </c>
      <c r="D279" s="10" t="str">
        <f ca="1">IFERROR(__xludf.DUMMYFUNCTION("""COMPUTED_VALUE"""),"قسم التربية والتعليم العالي")</f>
        <v>قسم التربية والتعليم العالي</v>
      </c>
      <c r="E279" s="10" t="str">
        <f ca="1">IFERROR(__xludf.DUMMYFUNCTION("""COMPUTED_VALUE"""),"B- روضة القمر")</f>
        <v>B- روضة القمر</v>
      </c>
      <c r="F279" s="10" t="str">
        <f ca="1">IFERROR(__xludf.DUMMYFUNCTION("""COMPUTED_VALUE"""),"الطابق الارضي")</f>
        <v>الطابق الارضي</v>
      </c>
      <c r="G279" s="10" t="str">
        <f ca="1">IFERROR(__xludf.DUMMYFUNCTION("""COMPUTED_VALUE"""),"لايوجد ماء في منظومة الشرب 
")</f>
        <v xml:space="preserve">لايوجد ماء في منظومة الشرب 
</v>
      </c>
      <c r="H279" s="10"/>
      <c r="I279" s="12" t="s">
        <v>22</v>
      </c>
      <c r="J279" s="13" t="s">
        <v>16</v>
      </c>
      <c r="K279" s="7">
        <v>46064.52704616898</v>
      </c>
      <c r="L279" s="14"/>
      <c r="M279" s="10"/>
      <c r="N279" s="10" t="s">
        <v>23</v>
      </c>
      <c r="O279" s="7">
        <v>46068.487915983795</v>
      </c>
    </row>
    <row r="280" spans="1:15" ht="75" customHeight="1">
      <c r="A280" s="7">
        <f ca="1">IFERROR(__xludf.DUMMYFUNCTION("""COMPUTED_VALUE"""),46064.4145195717)</f>
        <v>46064.414519571699</v>
      </c>
      <c r="B280" s="8" t="str">
        <f ca="1">IFERROR(__xludf.DUMMYFUNCTION("""COMPUTED_VALUE"""),"المعملجي")</f>
        <v>المعملجي</v>
      </c>
      <c r="C280" s="9" t="str">
        <f ca="1">IFERROR(__xludf.DUMMYFUNCTION("""COMPUTED_VALUE"""),"سجاد تربية")</f>
        <v>سجاد تربية</v>
      </c>
      <c r="D280" s="10" t="str">
        <f ca="1">IFERROR(__xludf.DUMMYFUNCTION("""COMPUTED_VALUE"""),"قسم التربية والتعليم العالي")</f>
        <v>قسم التربية والتعليم العالي</v>
      </c>
      <c r="E280" s="10" t="str">
        <f ca="1">IFERROR(__xludf.DUMMYFUNCTION("""COMPUTED_VALUE"""),"F-  ابتدائية جود العميد للبنات (الرابعة)")</f>
        <v>F-  ابتدائية جود العميد للبنات (الرابعة)</v>
      </c>
      <c r="F280" s="10" t="str">
        <f ca="1">IFERROR(__xludf.DUMMYFUNCTION("""COMPUTED_VALUE"""),"الطابق الارضي")</f>
        <v>الطابق الارضي</v>
      </c>
      <c r="G280" s="10" t="str">
        <f ca="1">IFERROR(__xludf.DUMMYFUNCTION("""COMPUTED_VALUE"""),"لايوجد ماء في المنظومة ")</f>
        <v xml:space="preserve">لايوجد ماء في المنظومة </v>
      </c>
      <c r="H280" s="10"/>
      <c r="I280" s="12" t="s">
        <v>22</v>
      </c>
      <c r="J280" s="13" t="s">
        <v>16</v>
      </c>
      <c r="K280" s="7">
        <v>46065.328356111109</v>
      </c>
      <c r="L280" s="14"/>
      <c r="M280" s="10"/>
      <c r="N280" s="10" t="s">
        <v>27</v>
      </c>
      <c r="O280" s="7">
        <v>46064.530619398152</v>
      </c>
    </row>
    <row r="281" spans="1:15" ht="75" customHeight="1">
      <c r="A281" s="7">
        <f ca="1">IFERROR(__xludf.DUMMYFUNCTION("""COMPUTED_VALUE"""),46064.4149859259)</f>
        <v>46064.414985925898</v>
      </c>
      <c r="B281" s="8" t="str">
        <f ca="1">IFERROR(__xludf.DUMMYFUNCTION("""COMPUTED_VALUE"""),"المعملجي")</f>
        <v>المعملجي</v>
      </c>
      <c r="C281" s="9" t="str">
        <f ca="1">IFERROR(__xludf.DUMMYFUNCTION("""COMPUTED_VALUE"""),"سجاد تربية")</f>
        <v>سجاد تربية</v>
      </c>
      <c r="D281" s="10" t="str">
        <f ca="1">IFERROR(__xludf.DUMMYFUNCTION("""COMPUTED_VALUE"""),"قسم التربية والتعليم العالي")</f>
        <v>قسم التربية والتعليم العالي</v>
      </c>
      <c r="E281" s="10" t="str">
        <f ca="1">IFERROR(__xludf.DUMMYFUNCTION("""COMPUTED_VALUE"""),"F-  ابتدائية جود العميد للبنات (الرابعة)")</f>
        <v>F-  ابتدائية جود العميد للبنات (الرابعة)</v>
      </c>
      <c r="F281" s="10" t="str">
        <f ca="1">IFERROR(__xludf.DUMMYFUNCTION("""COMPUTED_VALUE"""),"الطابق الارضي")</f>
        <v>الطابق الارضي</v>
      </c>
      <c r="G281" s="10" t="str">
        <f ca="1">IFERROR(__xludf.DUMMYFUNCTION("""COMPUTED_VALUE"""),"صيانة سيفونة في الصحيات ")</f>
        <v xml:space="preserve">صيانة سيفونة في الصحيات </v>
      </c>
      <c r="H281" s="10"/>
      <c r="I281" s="12" t="s">
        <v>22</v>
      </c>
      <c r="J281" s="13" t="s">
        <v>16</v>
      </c>
      <c r="K281" s="7">
        <v>46064.573483900458</v>
      </c>
      <c r="L281" s="14"/>
      <c r="M281" s="10"/>
      <c r="N281" s="10" t="s">
        <v>27</v>
      </c>
      <c r="O281" s="7">
        <v>46064.530619479163</v>
      </c>
    </row>
    <row r="282" spans="1:15" ht="75" customHeight="1">
      <c r="A282" s="7">
        <f ca="1">IFERROR(__xludf.DUMMYFUNCTION("""COMPUTED_VALUE"""),46064.4155267245)</f>
        <v>46064.415526724501</v>
      </c>
      <c r="B282" s="8" t="str">
        <f ca="1">IFERROR(__xludf.DUMMYFUNCTION("""COMPUTED_VALUE"""),"المعملجي")</f>
        <v>المعملجي</v>
      </c>
      <c r="C282" s="9" t="str">
        <f ca="1">IFERROR(__xludf.DUMMYFUNCTION("""COMPUTED_VALUE"""),"سجاد تربية")</f>
        <v>سجاد تربية</v>
      </c>
      <c r="D282" s="10" t="str">
        <f ca="1">IFERROR(__xludf.DUMMYFUNCTION("""COMPUTED_VALUE"""),"قسم التربية والتعليم العالي")</f>
        <v>قسم التربية والتعليم العالي</v>
      </c>
      <c r="E282" s="10" t="str">
        <f ca="1">IFERROR(__xludf.DUMMYFUNCTION("""COMPUTED_VALUE"""),"F-  ابتدائية جود العميد للبنات (الرابعة)")</f>
        <v>F-  ابتدائية جود العميد للبنات (الرابعة)</v>
      </c>
      <c r="F282" s="10" t="str">
        <f ca="1">IFERROR(__xludf.DUMMYFUNCTION("""COMPUTED_VALUE"""),"جناح الادائرة ZONE A")</f>
        <v>جناح الادائرة ZONE A</v>
      </c>
      <c r="G282" s="10" t="str">
        <f ca="1">IFERROR(__xludf.DUMMYFUNCTION("""COMPUTED_VALUE"""),"صيانة شفاط الصحيات ")</f>
        <v xml:space="preserve">صيانة شفاط الصحيات </v>
      </c>
      <c r="H282" s="10"/>
      <c r="I282" s="12" t="s">
        <v>22</v>
      </c>
      <c r="J282" s="13" t="s">
        <v>16</v>
      </c>
      <c r="K282" s="7">
        <v>46064.573545613428</v>
      </c>
      <c r="L282" s="14"/>
      <c r="M282" s="10"/>
      <c r="N282" s="10" t="s">
        <v>27</v>
      </c>
      <c r="O282" s="7">
        <v>46064.530619548612</v>
      </c>
    </row>
    <row r="283" spans="1:15" ht="75" customHeight="1">
      <c r="A283" s="7">
        <f ca="1">IFERROR(__xludf.DUMMYFUNCTION("""COMPUTED_VALUE"""),46064.4161822916)</f>
        <v>46064.416182291599</v>
      </c>
      <c r="B283" s="8" t="str">
        <f ca="1">IFERROR(__xludf.DUMMYFUNCTION("""COMPUTED_VALUE"""),"المعملجي")</f>
        <v>المعملجي</v>
      </c>
      <c r="C283" s="9" t="str">
        <f ca="1">IFERROR(__xludf.DUMMYFUNCTION("""COMPUTED_VALUE"""),"سجاد تربية")</f>
        <v>سجاد تربية</v>
      </c>
      <c r="D283" s="10" t="str">
        <f ca="1">IFERROR(__xludf.DUMMYFUNCTION("""COMPUTED_VALUE"""),"قسم التربية والتعليم العالي")</f>
        <v>قسم التربية والتعليم العالي</v>
      </c>
      <c r="E283" s="10" t="str">
        <f ca="1">IFERROR(__xludf.DUMMYFUNCTION("""COMPUTED_VALUE"""),"F-  ابتدائية جود العميد للبنات (الرابعة)")</f>
        <v>F-  ابتدائية جود العميد للبنات (الرابعة)</v>
      </c>
      <c r="F283" s="10" t="str">
        <f ca="1">IFERROR(__xludf.DUMMYFUNCTION("""COMPUTED_VALUE"""),"الطابق الاول")</f>
        <v>الطابق الاول</v>
      </c>
      <c r="G283" s="10" t="str">
        <f ca="1">IFERROR(__xludf.DUMMYFUNCTION("""COMPUTED_VALUE"""),"صيانة خلاط مغسلة في صحيات الزوم الداخلي ")</f>
        <v xml:space="preserve">صيانة خلاط مغسلة في صحيات الزوم الداخلي </v>
      </c>
      <c r="H283" s="10"/>
      <c r="I283" s="12" t="s">
        <v>22</v>
      </c>
      <c r="J283" s="13" t="s">
        <v>16</v>
      </c>
      <c r="K283" s="7">
        <v>46064.778620196761</v>
      </c>
      <c r="L283" s="14"/>
      <c r="M283" s="10"/>
      <c r="N283" s="10" t="s">
        <v>27</v>
      </c>
      <c r="O283" s="7">
        <v>46064.530619641198</v>
      </c>
    </row>
    <row r="284" spans="1:15" ht="75" customHeight="1">
      <c r="A284" s="7">
        <f ca="1">IFERROR(__xludf.DUMMYFUNCTION("""COMPUTED_VALUE"""),46064.4170844675)</f>
        <v>46064.417084467503</v>
      </c>
      <c r="B284" s="8" t="str">
        <f ca="1">IFERROR(__xludf.DUMMYFUNCTION("""COMPUTED_VALUE"""),"المعملجي")</f>
        <v>المعملجي</v>
      </c>
      <c r="C284" s="9" t="str">
        <f ca="1">IFERROR(__xludf.DUMMYFUNCTION("""COMPUTED_VALUE"""),"سجاد تربية")</f>
        <v>سجاد تربية</v>
      </c>
      <c r="D284" s="10" t="str">
        <f ca="1">IFERROR(__xludf.DUMMYFUNCTION("""COMPUTED_VALUE"""),"قسم التربية والتعليم العالي")</f>
        <v>قسم التربية والتعليم العالي</v>
      </c>
      <c r="E284" s="10" t="str">
        <f ca="1">IFERROR(__xludf.DUMMYFUNCTION("""COMPUTED_VALUE"""),"F-  ابتدائية جود العميد للبنات (الرابعة)")</f>
        <v>F-  ابتدائية جود العميد للبنات (الرابعة)</v>
      </c>
      <c r="F284" s="10" t="str">
        <f ca="1">IFERROR(__xludf.DUMMYFUNCTION("""COMPUTED_VALUE"""),"الطابق الاول, الزوم الخارجي ")</f>
        <v xml:space="preserve">الطابق الاول, الزوم الخارجي </v>
      </c>
      <c r="G284" s="10" t="str">
        <f ca="1">IFERROR(__xludf.DUMMYFUNCTION("""COMPUTED_VALUE"""),"صيانة غربي")</f>
        <v>صيانة غربي</v>
      </c>
      <c r="H284" s="10"/>
      <c r="I284" s="12" t="s">
        <v>22</v>
      </c>
      <c r="J284" s="13" t="s">
        <v>16</v>
      </c>
      <c r="K284" s="7">
        <v>46064.573691365746</v>
      </c>
      <c r="L284" s="14"/>
      <c r="M284" s="10"/>
      <c r="N284" s="10" t="s">
        <v>27</v>
      </c>
      <c r="O284" s="7">
        <v>46064.530619722223</v>
      </c>
    </row>
    <row r="285" spans="1:15" ht="75" customHeight="1">
      <c r="A285" s="7">
        <f ca="1">IFERROR(__xludf.DUMMYFUNCTION("""COMPUTED_VALUE"""),46064.4620975231)</f>
        <v>46064.462097523101</v>
      </c>
      <c r="B285" s="8" t="str">
        <f ca="1">IFERROR(__xludf.DUMMYFUNCTION("""COMPUTED_VALUE"""),"المعملجي")</f>
        <v>المعملجي</v>
      </c>
      <c r="C285" s="9" t="str">
        <f ca="1">IFERROR(__xludf.DUMMYFUNCTION("""COMPUTED_VALUE"""),"سجاد تربية")</f>
        <v>سجاد تربية</v>
      </c>
      <c r="D285" s="10" t="str">
        <f ca="1">IFERROR(__xludf.DUMMYFUNCTION("""COMPUTED_VALUE"""),"قسم التربية والتعليم العالي")</f>
        <v>قسم التربية والتعليم العالي</v>
      </c>
      <c r="E285" s="10" t="str">
        <f ca="1">IFERROR(__xludf.DUMMYFUNCTION("""COMPUTED_VALUE"""),"A- المركز الثقافي")</f>
        <v>A- المركز الثقافي</v>
      </c>
      <c r="F285" s="10" t="str">
        <f ca="1">IFERROR(__xludf.DUMMYFUNCTION("""COMPUTED_VALUE"""),"الطابق الرابع, وحدة الكامرات ")</f>
        <v xml:space="preserve">الطابق الرابع, وحدة الكامرات </v>
      </c>
      <c r="G285" s="10" t="str">
        <f ca="1">IFERROR(__xludf.DUMMYFUNCTION("""COMPUTED_VALUE"""),"مغسلة تبديلها الى سنك في المطبخ ")</f>
        <v xml:space="preserve">مغسلة تبديلها الى سنك في المطبخ </v>
      </c>
      <c r="H285" s="10"/>
      <c r="I285" s="12" t="s">
        <v>22</v>
      </c>
      <c r="J285" s="13" t="s">
        <v>28</v>
      </c>
      <c r="K285" s="7">
        <v>46071.324474236113</v>
      </c>
      <c r="L285" s="14"/>
      <c r="M285" s="10"/>
      <c r="N285" s="10" t="s">
        <v>27</v>
      </c>
      <c r="O285" s="7">
        <v>46064.530619803241</v>
      </c>
    </row>
    <row r="286" spans="1:15" ht="75" customHeight="1">
      <c r="A286" s="7">
        <f ca="1">IFERROR(__xludf.DUMMYFUNCTION("""COMPUTED_VALUE"""),46067.3365336342)</f>
        <v>46067.336533634203</v>
      </c>
      <c r="B286" s="8" t="str">
        <f ca="1">IFERROR(__xludf.DUMMYFUNCTION("""COMPUTED_VALUE"""),"المعملجي")</f>
        <v>المعملجي</v>
      </c>
      <c r="C286" s="9" t="str">
        <f ca="1">IFERROR(__xludf.DUMMYFUNCTION("""COMPUTED_VALUE"""),"سجاد تربية")</f>
        <v>سجاد تربية</v>
      </c>
      <c r="D286" s="10" t="str">
        <f ca="1">IFERROR(__xludf.DUMMYFUNCTION("""COMPUTED_VALUE"""),"قسم التربية والتعليم العالي")</f>
        <v>قسم التربية والتعليم العالي</v>
      </c>
      <c r="E286" s="10" t="str">
        <f ca="1">IFERROR(__xludf.DUMMYFUNCTION("""COMPUTED_VALUE"""),"C- ثانوية العميد بناية الاعدادية  (الاولى)")</f>
        <v>C- ثانوية العميد بناية الاعدادية  (الاولى)</v>
      </c>
      <c r="F286" s="10" t="str">
        <f ca="1">IFERROR(__xludf.DUMMYFUNCTION("""COMPUTED_VALUE"""),"الطابق الثاني")</f>
        <v>الطابق الثاني</v>
      </c>
      <c r="G286" s="10" t="str">
        <f ca="1">IFERROR(__xludf.DUMMYFUNCTION("""COMPUTED_VALUE"""),"لايوجد ماء")</f>
        <v>لايوجد ماء</v>
      </c>
      <c r="H286" s="10"/>
      <c r="I286" s="12" t="s">
        <v>22</v>
      </c>
      <c r="J286" s="13" t="s">
        <v>16</v>
      </c>
      <c r="K286" s="7">
        <v>46067.404576157409</v>
      </c>
      <c r="L286" s="14"/>
      <c r="M286" s="10"/>
      <c r="N286" s="10" t="s">
        <v>23</v>
      </c>
      <c r="O286" s="7">
        <v>46068.488044710648</v>
      </c>
    </row>
    <row r="287" spans="1:15" ht="75" customHeight="1">
      <c r="A287" s="7">
        <f ca="1">IFERROR(__xludf.DUMMYFUNCTION("""COMPUTED_VALUE"""),46067.402754537)</f>
        <v>46067.402754536997</v>
      </c>
      <c r="B287" s="8" t="str">
        <f ca="1">IFERROR(__xludf.DUMMYFUNCTION("""COMPUTED_VALUE"""),"المعملجي")</f>
        <v>المعملجي</v>
      </c>
      <c r="C287" s="9" t="str">
        <f ca="1">IFERROR(__xludf.DUMMYFUNCTION("""COMPUTED_VALUE"""),"سجاد تربية")</f>
        <v>سجاد تربية</v>
      </c>
      <c r="D287" s="10" t="str">
        <f ca="1">IFERROR(__xludf.DUMMYFUNCTION("""COMPUTED_VALUE"""),"قسم التربية والتعليم العالي")</f>
        <v>قسم التربية والتعليم العالي</v>
      </c>
      <c r="E287" s="10" t="str">
        <f ca="1">IFERROR(__xludf.DUMMYFUNCTION("""COMPUTED_VALUE"""),"رئاسة القسم ")</f>
        <v xml:space="preserve">رئاسة القسم </v>
      </c>
      <c r="F287" s="10" t="str">
        <f ca="1">IFERROR(__xludf.DUMMYFUNCTION("""COMPUTED_VALUE"""),"الطابق الارضي")</f>
        <v>الطابق الارضي</v>
      </c>
      <c r="G287" s="10" t="str">
        <f ca="1">IFERROR(__xludf.DUMMYFUNCTION("""COMPUTED_VALUE"""),"صيانة كاك يسرب ماء ")</f>
        <v xml:space="preserve">صيانة كاك يسرب ماء </v>
      </c>
      <c r="H287" s="10"/>
      <c r="I287" s="12" t="s">
        <v>22</v>
      </c>
      <c r="J287" s="13" t="s">
        <v>16</v>
      </c>
      <c r="K287" s="7">
        <v>46067.421632488426</v>
      </c>
      <c r="L287" s="14"/>
      <c r="M287" s="10"/>
      <c r="N287" s="10" t="s">
        <v>23</v>
      </c>
      <c r="O287" s="7">
        <v>46068.488058784722</v>
      </c>
    </row>
    <row r="288" spans="1:15" ht="75" customHeight="1">
      <c r="A288" s="7">
        <f ca="1">IFERROR(__xludf.DUMMYFUNCTION("""COMPUTED_VALUE"""),46068.38332853)</f>
        <v>46068.383328529999</v>
      </c>
      <c r="B288" s="8" t="str">
        <f ca="1">IFERROR(__xludf.DUMMYFUNCTION("""COMPUTED_VALUE"""),"المعملجي")</f>
        <v>المعملجي</v>
      </c>
      <c r="C288" s="9" t="str">
        <f ca="1">IFERROR(__xludf.DUMMYFUNCTION("""COMPUTED_VALUE"""),"سجاد تربية")</f>
        <v>سجاد تربية</v>
      </c>
      <c r="D288" s="10" t="str">
        <f ca="1">IFERROR(__xludf.DUMMYFUNCTION("""COMPUTED_VALUE"""),"قسم التربية والتعليم العالي")</f>
        <v>قسم التربية والتعليم العالي</v>
      </c>
      <c r="E288" s="10" t="str">
        <f ca="1">IFERROR(__xludf.DUMMYFUNCTION("""COMPUTED_VALUE"""),"B- روضة القمر")</f>
        <v>B- روضة القمر</v>
      </c>
      <c r="F288" s="10" t="str">
        <f ca="1">IFERROR(__xludf.DUMMYFUNCTION("""COMPUTED_VALUE"""),"الطابق الارضي")</f>
        <v>الطابق الارضي</v>
      </c>
      <c r="G288" s="10" t="str">
        <f ca="1">IFERROR(__xludf.DUMMYFUNCTION("""COMPUTED_VALUE"""),"لا يوجد ماء في المنظومة ")</f>
        <v xml:space="preserve">لا يوجد ماء في المنظومة </v>
      </c>
      <c r="H288" s="10"/>
      <c r="I288" s="12" t="s">
        <v>22</v>
      </c>
      <c r="J288" s="13" t="s">
        <v>16</v>
      </c>
      <c r="K288" s="7">
        <v>46068.450741793982</v>
      </c>
      <c r="L288" s="14"/>
      <c r="M288" s="10"/>
      <c r="N288" s="10" t="s">
        <v>23</v>
      </c>
      <c r="O288" s="7">
        <v>46068.4898378125</v>
      </c>
    </row>
    <row r="289" spans="1:15" ht="75" customHeight="1">
      <c r="A289" s="7">
        <f ca="1">IFERROR(__xludf.DUMMYFUNCTION("""COMPUTED_VALUE"""),46069.318677743)</f>
        <v>46069.318677743002</v>
      </c>
      <c r="B289" s="8" t="str">
        <f ca="1">IFERROR(__xludf.DUMMYFUNCTION("""COMPUTED_VALUE"""),"المعملجي")</f>
        <v>المعملجي</v>
      </c>
      <c r="C289" s="9" t="str">
        <f ca="1">IFERROR(__xludf.DUMMYFUNCTION("""COMPUTED_VALUE"""),"سجاد تربية")</f>
        <v>سجاد تربية</v>
      </c>
      <c r="D289" s="10" t="str">
        <f ca="1">IFERROR(__xludf.DUMMYFUNCTION("""COMPUTED_VALUE"""),"قسم التربية والتعليم العالي")</f>
        <v>قسم التربية والتعليم العالي</v>
      </c>
      <c r="E289" s="10" t="str">
        <f ca="1">IFERROR(__xludf.DUMMYFUNCTION("""COMPUTED_VALUE"""),"C- ثانوية العميد بناية الاعدادية  (الاولى)")</f>
        <v>C- ثانوية العميد بناية الاعدادية  (الاولى)</v>
      </c>
      <c r="F289" s="10" t="str">
        <f ca="1">IFERROR(__xludf.DUMMYFUNCTION("""COMPUTED_VALUE"""),"الطابق الارضي")</f>
        <v>الطابق الارضي</v>
      </c>
      <c r="G289" s="10" t="str">
        <f ca="1">IFERROR(__xludf.DUMMYFUNCTION("""COMPUTED_VALUE"""),"لايوجد ماء")</f>
        <v>لايوجد ماء</v>
      </c>
      <c r="H289" s="10"/>
      <c r="I289" s="12" t="s">
        <v>22</v>
      </c>
      <c r="J289" s="13" t="s">
        <v>16</v>
      </c>
      <c r="K289" s="7">
        <v>46069.394094745367</v>
      </c>
      <c r="L289" s="14"/>
      <c r="M289" s="10"/>
      <c r="N289" s="10" t="s">
        <v>23</v>
      </c>
      <c r="O289" s="7">
        <v>46069.353810219909</v>
      </c>
    </row>
    <row r="290" spans="1:15" ht="75" customHeight="1">
      <c r="A290" s="7">
        <f ca="1">IFERROR(__xludf.DUMMYFUNCTION("""COMPUTED_VALUE"""),46069.3200410995)</f>
        <v>46069.320041099498</v>
      </c>
      <c r="B290" s="8" t="str">
        <f ca="1">IFERROR(__xludf.DUMMYFUNCTION("""COMPUTED_VALUE"""),"المعملجي")</f>
        <v>المعملجي</v>
      </c>
      <c r="C290" s="9" t="str">
        <f ca="1">IFERROR(__xludf.DUMMYFUNCTION("""COMPUTED_VALUE"""),"حدة الميكانيك")</f>
        <v>حدة الميكانيك</v>
      </c>
      <c r="D290" s="10" t="str">
        <f ca="1">IFERROR(__xludf.DUMMYFUNCTION("""COMPUTED_VALUE"""),"قسم المشاريع الهندسية")</f>
        <v>قسم المشاريع الهندسية</v>
      </c>
      <c r="E290" s="10" t="str">
        <f ca="1">IFERROR(__xludf.DUMMYFUNCTION("""COMPUTED_VALUE"""),"B- روضة القمر")</f>
        <v>B- روضة القمر</v>
      </c>
      <c r="F290" s="10" t="str">
        <f ca="1">IFERROR(__xludf.DUMMYFUNCTION("""COMPUTED_VALUE"""),"السطح")</f>
        <v>السطح</v>
      </c>
      <c r="G290" s="10" t="str">
        <f ca="1">IFERROR(__xludf.DUMMYFUNCTION("""COMPUTED_VALUE"""),"غسل وادامة منظومة تصفية المياه في البناية ")</f>
        <v xml:space="preserve">غسل وادامة منظومة تصفية المياه في البناية </v>
      </c>
      <c r="H290" s="10"/>
      <c r="I290" s="12" t="s">
        <v>22</v>
      </c>
      <c r="J290" s="13" t="s">
        <v>16</v>
      </c>
      <c r="K290" s="7"/>
      <c r="L290" s="14"/>
      <c r="M290" s="10"/>
      <c r="N290" s="10" t="s">
        <v>23</v>
      </c>
      <c r="O290" s="7">
        <v>46069.353862303236</v>
      </c>
    </row>
    <row r="291" spans="1:15" ht="75" customHeight="1">
      <c r="A291" s="7">
        <f ca="1">IFERROR(__xludf.DUMMYFUNCTION("""COMPUTED_VALUE"""),46069.3204905208)</f>
        <v>46069.320490520797</v>
      </c>
      <c r="B291" s="8" t="str">
        <f ca="1">IFERROR(__xludf.DUMMYFUNCTION("""COMPUTED_VALUE"""),"المعملجي")</f>
        <v>المعملجي</v>
      </c>
      <c r="C291" s="9" t="str">
        <f ca="1">IFERROR(__xludf.DUMMYFUNCTION("""COMPUTED_VALUE"""),"حدة الميكانيك")</f>
        <v>حدة الميكانيك</v>
      </c>
      <c r="D291" s="10" t="str">
        <f ca="1">IFERROR(__xludf.DUMMYFUNCTION("""COMPUTED_VALUE"""),"قسم المشاريع الهندسية")</f>
        <v>قسم المشاريع الهندسية</v>
      </c>
      <c r="E291" s="10" t="str">
        <f ca="1">IFERROR(__xludf.DUMMYFUNCTION("""COMPUTED_VALUE"""),"C- ثانوية العميد بناية الاعدادية  (الاولى)")</f>
        <v>C- ثانوية العميد بناية الاعدادية  (الاولى)</v>
      </c>
      <c r="F291" s="10" t="str">
        <f ca="1">IFERROR(__xludf.DUMMYFUNCTION("""COMPUTED_VALUE"""),"السطح")</f>
        <v>السطح</v>
      </c>
      <c r="G291" s="10" t="str">
        <f ca="1">IFERROR(__xludf.DUMMYFUNCTION("""COMPUTED_VALUE"""),"غسل وادامة منظومة تصفية المياه في البناية ")</f>
        <v xml:space="preserve">غسل وادامة منظومة تصفية المياه في البناية </v>
      </c>
      <c r="H291" s="10"/>
      <c r="I291" s="12" t="s">
        <v>22</v>
      </c>
      <c r="J291" s="13" t="s">
        <v>16</v>
      </c>
      <c r="K291" s="7"/>
      <c r="L291" s="14"/>
      <c r="M291" s="10"/>
      <c r="N291" s="10" t="s">
        <v>23</v>
      </c>
      <c r="O291" s="7">
        <v>46069.353897928246</v>
      </c>
    </row>
    <row r="292" spans="1:15" ht="75" customHeight="1">
      <c r="A292" s="7">
        <f ca="1">IFERROR(__xludf.DUMMYFUNCTION("""COMPUTED_VALUE"""),46069.3207779398)</f>
        <v>46069.3207779398</v>
      </c>
      <c r="B292" s="8" t="str">
        <f ca="1">IFERROR(__xludf.DUMMYFUNCTION("""COMPUTED_VALUE"""),"المعملجي")</f>
        <v>المعملجي</v>
      </c>
      <c r="C292" s="9" t="str">
        <f ca="1">IFERROR(__xludf.DUMMYFUNCTION("""COMPUTED_VALUE"""),"حدة الميكانيك")</f>
        <v>حدة الميكانيك</v>
      </c>
      <c r="D292" s="10" t="str">
        <f ca="1">IFERROR(__xludf.DUMMYFUNCTION("""COMPUTED_VALUE"""),"قسم المشاريع الهندسية")</f>
        <v>قسم المشاريع الهندسية</v>
      </c>
      <c r="E292" s="10" t="str">
        <f ca="1">IFERROR(__xludf.DUMMYFUNCTION("""COMPUTED_VALUE"""),"D- ثانوية العميد بناية المتوسطة  (الثانية)")</f>
        <v>D- ثانوية العميد بناية المتوسطة  (الثانية)</v>
      </c>
      <c r="F292" s="10" t="str">
        <f ca="1">IFERROR(__xludf.DUMMYFUNCTION("""COMPUTED_VALUE"""),"السطح")</f>
        <v>السطح</v>
      </c>
      <c r="G292" s="10" t="str">
        <f ca="1">IFERROR(__xludf.DUMMYFUNCTION("""COMPUTED_VALUE"""),"غسل وادامة منظومة تصفية المياه في البناية ")</f>
        <v xml:space="preserve">غسل وادامة منظومة تصفية المياه في البناية </v>
      </c>
      <c r="H292" s="10"/>
      <c r="I292" s="12" t="s">
        <v>22</v>
      </c>
      <c r="J292" s="13" t="s">
        <v>16</v>
      </c>
      <c r="K292" s="7"/>
      <c r="L292" s="14"/>
      <c r="M292" s="10"/>
      <c r="N292" s="10" t="s">
        <v>23</v>
      </c>
      <c r="O292" s="7">
        <v>46069.353917789354</v>
      </c>
    </row>
    <row r="293" spans="1:15" ht="75" customHeight="1">
      <c r="A293" s="7">
        <f ca="1">IFERROR(__xludf.DUMMYFUNCTION("""COMPUTED_VALUE"""),46069.3209988078)</f>
        <v>46069.320998807802</v>
      </c>
      <c r="B293" s="8" t="str">
        <f ca="1">IFERROR(__xludf.DUMMYFUNCTION("""COMPUTED_VALUE"""),"المعملجي")</f>
        <v>المعملجي</v>
      </c>
      <c r="C293" s="9" t="str">
        <f ca="1">IFERROR(__xludf.DUMMYFUNCTION("""COMPUTED_VALUE"""),"حدة الميكانيك")</f>
        <v>حدة الميكانيك</v>
      </c>
      <c r="D293" s="10" t="str">
        <f ca="1">IFERROR(__xludf.DUMMYFUNCTION("""COMPUTED_VALUE"""),"قسم المشاريع الهندسية")</f>
        <v>قسم المشاريع الهندسية</v>
      </c>
      <c r="E293" s="10" t="str">
        <f ca="1">IFERROR(__xludf.DUMMYFUNCTION("""COMPUTED_VALUE"""),"E- ابتدائية العميد للبنات (الثالثة)")</f>
        <v>E- ابتدائية العميد للبنات (الثالثة)</v>
      </c>
      <c r="F293" s="10" t="str">
        <f ca="1">IFERROR(__xludf.DUMMYFUNCTION("""COMPUTED_VALUE"""),"السطح")</f>
        <v>السطح</v>
      </c>
      <c r="G293" s="10" t="str">
        <f ca="1">IFERROR(__xludf.DUMMYFUNCTION("""COMPUTED_VALUE"""),"غسل وادامة منظومة تصفية المياه في البناية ")</f>
        <v xml:space="preserve">غسل وادامة منظومة تصفية المياه في البناية </v>
      </c>
      <c r="H293" s="10"/>
      <c r="I293" s="12" t="s">
        <v>22</v>
      </c>
      <c r="J293" s="13" t="s">
        <v>16</v>
      </c>
      <c r="K293" s="7"/>
      <c r="L293" s="14"/>
      <c r="M293" s="10"/>
      <c r="N293" s="10" t="s">
        <v>23</v>
      </c>
      <c r="O293" s="7">
        <v>46069.353932777776</v>
      </c>
    </row>
    <row r="294" spans="1:15" ht="75" customHeight="1">
      <c r="A294" s="7">
        <f ca="1">IFERROR(__xludf.DUMMYFUNCTION("""COMPUTED_VALUE"""),46069.3212476851)</f>
        <v>46069.321247685097</v>
      </c>
      <c r="B294" s="8" t="str">
        <f ca="1">IFERROR(__xludf.DUMMYFUNCTION("""COMPUTED_VALUE"""),"المعملجي")</f>
        <v>المعملجي</v>
      </c>
      <c r="C294" s="9" t="str">
        <f ca="1">IFERROR(__xludf.DUMMYFUNCTION("""COMPUTED_VALUE"""),"حدة الميكانيك")</f>
        <v>حدة الميكانيك</v>
      </c>
      <c r="D294" s="10" t="str">
        <f ca="1">IFERROR(__xludf.DUMMYFUNCTION("""COMPUTED_VALUE"""),"قسم المشاريع الهندسية")</f>
        <v>قسم المشاريع الهندسية</v>
      </c>
      <c r="E294" s="10" t="str">
        <f ca="1">IFERROR(__xludf.DUMMYFUNCTION("""COMPUTED_VALUE"""),"F-  ابتدائية جود العميد للبنات (الرابعة)")</f>
        <v>F-  ابتدائية جود العميد للبنات (الرابعة)</v>
      </c>
      <c r="F294" s="10" t="str">
        <f ca="1">IFERROR(__xludf.DUMMYFUNCTION("""COMPUTED_VALUE"""),"السطح")</f>
        <v>السطح</v>
      </c>
      <c r="G294" s="10" t="str">
        <f ca="1">IFERROR(__xludf.DUMMYFUNCTION("""COMPUTED_VALUE"""),"غسل وادامة منظومة تصفية المياه في البناية ")</f>
        <v xml:space="preserve">غسل وادامة منظومة تصفية المياه في البناية </v>
      </c>
      <c r="H294" s="10"/>
      <c r="I294" s="12" t="s">
        <v>22</v>
      </c>
      <c r="J294" s="13" t="s">
        <v>16</v>
      </c>
      <c r="K294" s="7"/>
      <c r="L294" s="14"/>
      <c r="M294" s="10"/>
      <c r="N294" s="10" t="s">
        <v>23</v>
      </c>
      <c r="O294" s="7">
        <v>46069.353948217591</v>
      </c>
    </row>
    <row r="295" spans="1:15" ht="75" customHeight="1">
      <c r="A295" s="7">
        <f ca="1">IFERROR(__xludf.DUMMYFUNCTION("""COMPUTED_VALUE"""),46069.3220822453)</f>
        <v>46069.3220822453</v>
      </c>
      <c r="B295" s="8" t="str">
        <f ca="1">IFERROR(__xludf.DUMMYFUNCTION("""COMPUTED_VALUE"""),"المعملجي")</f>
        <v>المعملجي</v>
      </c>
      <c r="C295" s="9" t="str">
        <f ca="1">IFERROR(__xludf.DUMMYFUNCTION("""COMPUTED_VALUE"""),"حدة الميكانيك")</f>
        <v>حدة الميكانيك</v>
      </c>
      <c r="D295" s="10" t="str">
        <f ca="1">IFERROR(__xludf.DUMMYFUNCTION("""COMPUTED_VALUE"""),"قسم المشاريع الهندسية")</f>
        <v>قسم المشاريع الهندسية</v>
      </c>
      <c r="E295" s="10" t="str">
        <f ca="1">IFERROR(__xludf.DUMMYFUNCTION("""COMPUTED_VALUE"""),"H- ابتدائية القمر للبنات (الخامسة)")</f>
        <v>H- ابتدائية القمر للبنات (الخامسة)</v>
      </c>
      <c r="F295" s="10" t="str">
        <f ca="1">IFERROR(__xludf.DUMMYFUNCTION("""COMPUTED_VALUE"""),"السطح")</f>
        <v>السطح</v>
      </c>
      <c r="G295" s="10" t="str">
        <f ca="1">IFERROR(__xludf.DUMMYFUNCTION("""COMPUTED_VALUE"""),"غسل وادامة منظومة تصفية المياه في البناية ")</f>
        <v xml:space="preserve">غسل وادامة منظومة تصفية المياه في البناية </v>
      </c>
      <c r="H295" s="10"/>
      <c r="I295" s="12" t="s">
        <v>22</v>
      </c>
      <c r="J295" s="13" t="s">
        <v>16</v>
      </c>
      <c r="K295" s="7"/>
      <c r="L295" s="14"/>
      <c r="M295" s="10"/>
      <c r="N295" s="10" t="s">
        <v>23</v>
      </c>
      <c r="O295" s="7">
        <v>46069.35396216435</v>
      </c>
    </row>
    <row r="296" spans="1:15" ht="75" customHeight="1">
      <c r="A296" s="7">
        <f ca="1">IFERROR(__xludf.DUMMYFUNCTION("""COMPUTED_VALUE"""),46069.3223860648)</f>
        <v>46069.3223860648</v>
      </c>
      <c r="B296" s="8" t="str">
        <f ca="1">IFERROR(__xludf.DUMMYFUNCTION("""COMPUTED_VALUE"""),"المعملجي")</f>
        <v>المعملجي</v>
      </c>
      <c r="C296" s="9" t="str">
        <f ca="1">IFERROR(__xludf.DUMMYFUNCTION("""COMPUTED_VALUE"""),"حدة الميكانيك")</f>
        <v>حدة الميكانيك</v>
      </c>
      <c r="D296" s="10" t="str">
        <f ca="1">IFERROR(__xludf.DUMMYFUNCTION("""COMPUTED_VALUE"""),"قسم المشاريع الهندسية")</f>
        <v>قسم المشاريع الهندسية</v>
      </c>
      <c r="E296" s="10" t="str">
        <f ca="1">IFERROR(__xludf.DUMMYFUNCTION("""COMPUTED_VALUE"""),"I- ابتدائية الساقي للبنين (السادسة)")</f>
        <v>I- ابتدائية الساقي للبنين (السادسة)</v>
      </c>
      <c r="F296" s="10" t="str">
        <f ca="1">IFERROR(__xludf.DUMMYFUNCTION("""COMPUTED_VALUE"""),"السطح")</f>
        <v>السطح</v>
      </c>
      <c r="G296" s="10" t="str">
        <f ca="1">IFERROR(__xludf.DUMMYFUNCTION("""COMPUTED_VALUE"""),"غسل وادامة منظومة تصفية المياه في البناية ")</f>
        <v xml:space="preserve">غسل وادامة منظومة تصفية المياه في البناية </v>
      </c>
      <c r="H296" s="10"/>
      <c r="I296" s="12" t="s">
        <v>22</v>
      </c>
      <c r="J296" s="13" t="s">
        <v>16</v>
      </c>
      <c r="K296" s="7"/>
      <c r="L296" s="14"/>
      <c r="M296" s="10"/>
      <c r="N296" s="10" t="s">
        <v>23</v>
      </c>
      <c r="O296" s="7">
        <v>46069.353978680556</v>
      </c>
    </row>
    <row r="297" spans="1:15" ht="75" customHeight="1">
      <c r="A297" s="7">
        <f ca="1">IFERROR(__xludf.DUMMYFUNCTION("""COMPUTED_VALUE"""),46069.3229389814)</f>
        <v>46069.322938981401</v>
      </c>
      <c r="B297" s="8" t="str">
        <f ca="1">IFERROR(__xludf.DUMMYFUNCTION("""COMPUTED_VALUE"""),"المعملجي")</f>
        <v>المعملجي</v>
      </c>
      <c r="C297" s="9" t="str">
        <f ca="1">IFERROR(__xludf.DUMMYFUNCTION("""COMPUTED_VALUE"""),"حدة الميكانيك")</f>
        <v>حدة الميكانيك</v>
      </c>
      <c r="D297" s="10" t="str">
        <f ca="1">IFERROR(__xludf.DUMMYFUNCTION("""COMPUTED_VALUE"""),"قسم المشاريع الهندسية")</f>
        <v>قسم المشاريع الهندسية</v>
      </c>
      <c r="E297"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F297" s="10" t="str">
        <f ca="1">IFERROR(__xludf.DUMMYFUNCTION("""COMPUTED_VALUE"""),"السطح")</f>
        <v>السطح</v>
      </c>
      <c r="G297" s="10" t="str">
        <f ca="1">IFERROR(__xludf.DUMMYFUNCTION("""COMPUTED_VALUE"""),"غسل وادامة منظومة تصفية المياه في البناية ")</f>
        <v xml:space="preserve">غسل وادامة منظومة تصفية المياه في البناية </v>
      </c>
      <c r="H297" s="10"/>
      <c r="I297" s="12" t="s">
        <v>22</v>
      </c>
      <c r="J297" s="13" t="s">
        <v>16</v>
      </c>
      <c r="K297" s="7">
        <v>46069.324406423606</v>
      </c>
      <c r="L297" s="14"/>
      <c r="M297" s="10"/>
      <c r="N297" s="10" t="s">
        <v>23</v>
      </c>
      <c r="O297" s="7">
        <v>46069.353994675927</v>
      </c>
    </row>
    <row r="298" spans="1:15" ht="75" customHeight="1">
      <c r="A298" s="7">
        <f ca="1">IFERROR(__xludf.DUMMYFUNCTION("""COMPUTED_VALUE"""),46071.3278994097)</f>
        <v>46071.327899409698</v>
      </c>
      <c r="B298" s="8" t="str">
        <f ca="1">IFERROR(__xludf.DUMMYFUNCTION("""COMPUTED_VALUE"""),"المعملجي")</f>
        <v>المعملجي</v>
      </c>
      <c r="C298" s="9" t="str">
        <f ca="1">IFERROR(__xludf.DUMMYFUNCTION("""COMPUTED_VALUE"""),"سجاد تربية")</f>
        <v>سجاد تربية</v>
      </c>
      <c r="D298" s="10" t="str">
        <f ca="1">IFERROR(__xludf.DUMMYFUNCTION("""COMPUTED_VALUE"""),"قسم التربية والتعليم العالي")</f>
        <v>قسم التربية والتعليم العالي</v>
      </c>
      <c r="E298" s="10" t="str">
        <f ca="1">IFERROR(__xludf.DUMMYFUNCTION("""COMPUTED_VALUE"""),"H- ابتدائية القمر للبنات (الخامسة)")</f>
        <v>H- ابتدائية القمر للبنات (الخامسة)</v>
      </c>
      <c r="F298" s="10" t="str">
        <f ca="1">IFERROR(__xludf.DUMMYFUNCTION("""COMPUTED_VALUE"""),"الطابق الارضي")</f>
        <v>الطابق الارضي</v>
      </c>
      <c r="G298" s="10" t="str">
        <f ca="1">IFERROR(__xludf.DUMMYFUNCTION("""COMPUTED_VALUE"""),"لايوجد ماء شراب")</f>
        <v>لايوجد ماء شراب</v>
      </c>
      <c r="H298" s="10"/>
      <c r="I298" s="12" t="s">
        <v>22</v>
      </c>
      <c r="J298" s="13" t="s">
        <v>16</v>
      </c>
      <c r="K298" s="7">
        <v>46074.320656574069</v>
      </c>
      <c r="L298" s="14"/>
      <c r="M298" s="10"/>
      <c r="N298" s="10"/>
      <c r="O298" s="7"/>
    </row>
    <row r="299" spans="1:15" ht="75" customHeight="1">
      <c r="A299" s="7">
        <f ca="1">IFERROR(__xludf.DUMMYFUNCTION("""COMPUTED_VALUE"""),46071.4146167245)</f>
        <v>46071.414616724498</v>
      </c>
      <c r="B299" s="8" t="str">
        <f ca="1">IFERROR(__xludf.DUMMYFUNCTION("""COMPUTED_VALUE"""),"المعملجي")</f>
        <v>المعملجي</v>
      </c>
      <c r="C299" s="9" t="str">
        <f ca="1">IFERROR(__xludf.DUMMYFUNCTION("""COMPUTED_VALUE"""),"سجاد تربية")</f>
        <v>سجاد تربية</v>
      </c>
      <c r="D299" s="10" t="str">
        <f ca="1">IFERROR(__xludf.DUMMYFUNCTION("""COMPUTED_VALUE"""),"قسم التربية والتعليم العالي")</f>
        <v>قسم التربية والتعليم العالي</v>
      </c>
      <c r="E299" s="10" t="str">
        <f ca="1">IFERROR(__xludf.DUMMYFUNCTION("""COMPUTED_VALUE"""),"D- ثانوية العميد بناية المتوسطة  (الثانية)")</f>
        <v>D- ثانوية العميد بناية المتوسطة  (الثانية)</v>
      </c>
      <c r="F299" s="10" t="str">
        <f ca="1">IFERROR(__xludf.DUMMYFUNCTION("""COMPUTED_VALUE"""),"الطابق الارضي")</f>
        <v>الطابق الارضي</v>
      </c>
      <c r="G299" s="10" t="str">
        <f ca="1">IFERROR(__xludf.DUMMYFUNCTION("""COMPUTED_VALUE"""),"انسداد مجاري في الصحيات ")</f>
        <v xml:space="preserve">انسداد مجاري في الصحيات </v>
      </c>
      <c r="H299" s="10"/>
      <c r="I299" s="12" t="s">
        <v>22</v>
      </c>
      <c r="J299" s="13" t="s">
        <v>16</v>
      </c>
      <c r="K299" s="7">
        <v>46072.372808148153</v>
      </c>
      <c r="L299" s="14"/>
      <c r="M299" s="10"/>
      <c r="N299" s="10"/>
      <c r="O299" s="7"/>
    </row>
    <row r="300" spans="1:15" ht="75" customHeight="1">
      <c r="A300" s="7">
        <f ca="1">IFERROR(__xludf.DUMMYFUNCTION("""COMPUTED_VALUE"""),46071.4313393055)</f>
        <v>46071.431339305498</v>
      </c>
      <c r="B300" s="8" t="str">
        <f ca="1">IFERROR(__xludf.DUMMYFUNCTION("""COMPUTED_VALUE"""),"المعملجي")</f>
        <v>المعملجي</v>
      </c>
      <c r="C300" s="9" t="str">
        <f ca="1">IFERROR(__xludf.DUMMYFUNCTION("""COMPUTED_VALUE"""),"سجاد تربية")</f>
        <v>سجاد تربية</v>
      </c>
      <c r="D300" s="10" t="str">
        <f ca="1">IFERROR(__xludf.DUMMYFUNCTION("""COMPUTED_VALUE"""),"قسم التربية والتعليم العالي")</f>
        <v>قسم التربية والتعليم العالي</v>
      </c>
      <c r="E300" s="10" t="str">
        <f ca="1">IFERROR(__xludf.DUMMYFUNCTION("""COMPUTED_VALUE"""),"D- ثانوية العميد بناية المتوسطة  (الثانية)")</f>
        <v>D- ثانوية العميد بناية المتوسطة  (الثانية)</v>
      </c>
      <c r="F300" s="10" t="str">
        <f ca="1">IFERROR(__xludf.DUMMYFUNCTION("""COMPUTED_VALUE"""),"الطابق الارضي, استفسر  المكان من قبل الاستعلامات ")</f>
        <v xml:space="preserve">الطابق الارضي, استفسر  المكان من قبل الاستعلامات </v>
      </c>
      <c r="G300" s="10" t="str">
        <f ca="1">IFERROR(__xludf.DUMMYFUNCTION("""COMPUTED_VALUE"""),"صيانة حنفيات  ")</f>
        <v xml:space="preserve">صيانة حنفيات  </v>
      </c>
      <c r="H300" s="10"/>
      <c r="I300" s="12" t="s">
        <v>22</v>
      </c>
      <c r="J300" s="13" t="s">
        <v>16</v>
      </c>
      <c r="K300" s="7">
        <v>46071.45358400463</v>
      </c>
      <c r="L300" s="14"/>
      <c r="M300" s="10"/>
      <c r="N300" s="10"/>
      <c r="O300" s="7"/>
    </row>
    <row r="301" spans="1:15" ht="75" customHeight="1">
      <c r="A301" s="7">
        <f ca="1">IFERROR(__xludf.DUMMYFUNCTION("""COMPUTED_VALUE"""),46072.3686706597)</f>
        <v>46072.3686706597</v>
      </c>
      <c r="B301" s="8" t="str">
        <f ca="1">IFERROR(__xludf.DUMMYFUNCTION("""COMPUTED_VALUE"""),"المعملجي")</f>
        <v>المعملجي</v>
      </c>
      <c r="C301" s="9" t="str">
        <f ca="1">IFERROR(__xludf.DUMMYFUNCTION("""COMPUTED_VALUE"""),"سجاد تربية")</f>
        <v>سجاد تربية</v>
      </c>
      <c r="D301" s="10" t="str">
        <f ca="1">IFERROR(__xludf.DUMMYFUNCTION("""COMPUTED_VALUE"""),"قسم التربية والتعليم العالي")</f>
        <v>قسم التربية والتعليم العالي</v>
      </c>
      <c r="E301" s="10" t="str">
        <f ca="1">IFERROR(__xludf.DUMMYFUNCTION("""COMPUTED_VALUE"""),"D- ثانوية العميد بناية المتوسطة  (الثانية)")</f>
        <v>D- ثانوية العميد بناية المتوسطة  (الثانية)</v>
      </c>
      <c r="F301" s="10" t="str">
        <f ca="1">IFERROR(__xludf.DUMMYFUNCTION("""COMPUTED_VALUE"""),"الطابق الارضي")</f>
        <v>الطابق الارضي</v>
      </c>
      <c r="G301" s="10" t="str">
        <f ca="1">IFERROR(__xludf.DUMMYFUNCTION("""COMPUTED_VALUE"""),"صيانة حنفية الحمام ")</f>
        <v xml:space="preserve">صيانة حنفية الحمام </v>
      </c>
      <c r="H301" s="10"/>
      <c r="I301" s="12" t="s">
        <v>22</v>
      </c>
      <c r="J301" s="13" t="s">
        <v>16</v>
      </c>
      <c r="K301" s="7">
        <v>46072.512931631944</v>
      </c>
      <c r="L301" s="14"/>
      <c r="M301" s="10"/>
      <c r="N301" s="10"/>
      <c r="O301" s="7"/>
    </row>
    <row r="302" spans="1:15" ht="75" customHeight="1">
      <c r="A302" s="7">
        <f ca="1">IFERROR(__xludf.DUMMYFUNCTION("""COMPUTED_VALUE"""),46072.373020868)</f>
        <v>46072.373020867999</v>
      </c>
      <c r="B302" s="8" t="str">
        <f ca="1">IFERROR(__xludf.DUMMYFUNCTION("""COMPUTED_VALUE"""),"المعملجي")</f>
        <v>المعملجي</v>
      </c>
      <c r="C302" s="9" t="str">
        <f ca="1">IFERROR(__xludf.DUMMYFUNCTION("""COMPUTED_VALUE"""),"سجاد تربية")</f>
        <v>سجاد تربية</v>
      </c>
      <c r="D302" s="10" t="str">
        <f ca="1">IFERROR(__xludf.DUMMYFUNCTION("""COMPUTED_VALUE"""),"قسم التربية والتعليم العالي")</f>
        <v>قسم التربية والتعليم العالي</v>
      </c>
      <c r="E302" s="10" t="str">
        <f ca="1">IFERROR(__xludf.DUMMYFUNCTION("""COMPUTED_VALUE"""),"I- ابتدائية الساقي للبنين (السادسة)")</f>
        <v>I- ابتدائية الساقي للبنين (السادسة)</v>
      </c>
      <c r="F302" s="10" t="str">
        <f ca="1">IFERROR(__xludf.DUMMYFUNCTION("""COMPUTED_VALUE"""),"الطابق الارضي")</f>
        <v>الطابق الارضي</v>
      </c>
      <c r="G302" s="10" t="str">
        <f ca="1">IFERROR(__xludf.DUMMYFUNCTION("""COMPUTED_VALUE"""),"لايوجد ماء في المنظومة ")</f>
        <v xml:space="preserve">لايوجد ماء في المنظومة </v>
      </c>
      <c r="H302" s="10"/>
      <c r="I302" s="12" t="s">
        <v>22</v>
      </c>
      <c r="J302" s="13" t="s">
        <v>16</v>
      </c>
      <c r="K302" s="7">
        <v>46072.512749895832</v>
      </c>
      <c r="L302" s="14"/>
      <c r="M302" s="10"/>
      <c r="N302" s="10"/>
      <c r="O302" s="7"/>
    </row>
    <row r="303" spans="1:15" ht="75" customHeight="1">
      <c r="A303" s="7">
        <f ca="1">IFERROR(__xludf.DUMMYFUNCTION("""COMPUTED_VALUE"""),46075.3329946875)</f>
        <v>46075.332994687502</v>
      </c>
      <c r="B303" s="8" t="str">
        <f ca="1">IFERROR(__xludf.DUMMYFUNCTION("""COMPUTED_VALUE"""),"المعملجي")</f>
        <v>المعملجي</v>
      </c>
      <c r="C303" s="9" t="str">
        <f ca="1">IFERROR(__xludf.DUMMYFUNCTION("""COMPUTED_VALUE"""),"سجاد تربية")</f>
        <v>سجاد تربية</v>
      </c>
      <c r="D303" s="10" t="str">
        <f ca="1">IFERROR(__xludf.DUMMYFUNCTION("""COMPUTED_VALUE"""),"قسم التربية والتعليم العالي")</f>
        <v>قسم التربية والتعليم العالي</v>
      </c>
      <c r="E303" s="10" t="str">
        <f ca="1">IFERROR(__xludf.DUMMYFUNCTION("""COMPUTED_VALUE"""),"H- ابتدائية القمر للبنات (الخامسة)")</f>
        <v>H- ابتدائية القمر للبنات (الخامسة)</v>
      </c>
      <c r="F303" s="10" t="str">
        <f ca="1">IFERROR(__xludf.DUMMYFUNCTION("""COMPUTED_VALUE"""),"/")</f>
        <v>/</v>
      </c>
      <c r="G303" s="10" t="str">
        <f ca="1">IFERROR(__xludf.DUMMYFUNCTION("""COMPUTED_VALUE"""),"احتياج صوندة براد ")</f>
        <v xml:space="preserve">احتياج صوندة براد </v>
      </c>
      <c r="H303" s="10"/>
      <c r="I303" s="12" t="s">
        <v>22</v>
      </c>
      <c r="J303" s="13" t="s">
        <v>16</v>
      </c>
      <c r="K303" s="7">
        <v>46075.360525104166</v>
      </c>
      <c r="L303" s="14"/>
      <c r="M303" s="10"/>
      <c r="N303" s="10"/>
      <c r="O303" s="7"/>
    </row>
    <row r="304" spans="1:15" ht="75" customHeight="1">
      <c r="A304" s="7">
        <f ca="1">IFERROR(__xludf.DUMMYFUNCTION("""COMPUTED_VALUE"""),46076.3620845601)</f>
        <v>46076.362084560104</v>
      </c>
      <c r="B304" s="8" t="str">
        <f ca="1">IFERROR(__xludf.DUMMYFUNCTION("""COMPUTED_VALUE"""),"المعملجي")</f>
        <v>المعملجي</v>
      </c>
      <c r="C304" s="9" t="str">
        <f ca="1">IFERROR(__xludf.DUMMYFUNCTION("""COMPUTED_VALUE"""),"سجاد تربية")</f>
        <v>سجاد تربية</v>
      </c>
      <c r="D304" s="10" t="str">
        <f ca="1">IFERROR(__xludf.DUMMYFUNCTION("""COMPUTED_VALUE"""),"قسم التربية والتعليم العالي")</f>
        <v>قسم التربية والتعليم العالي</v>
      </c>
      <c r="E304" s="10" t="str">
        <f ca="1">IFERROR(__xludf.DUMMYFUNCTION("""COMPUTED_VALUE"""),"G- روضة الجود")</f>
        <v>G- روضة الجود</v>
      </c>
      <c r="F304" s="10" t="str">
        <f ca="1">IFERROR(__xludf.DUMMYFUNCTION("""COMPUTED_VALUE"""),"الطابق الارضي, استفسر من الاستعلامات عن المكان بالضبط ")</f>
        <v xml:space="preserve">الطابق الارضي, استفسر من الاستعلامات عن المكان بالضبط </v>
      </c>
      <c r="G304" s="10" t="str">
        <f ca="1">IFERROR(__xludf.DUMMYFUNCTION("""COMPUTED_VALUE"""),"صيانة براد ")</f>
        <v xml:space="preserve">صيانة براد </v>
      </c>
      <c r="H304" s="10"/>
      <c r="I304" s="12" t="s">
        <v>22</v>
      </c>
      <c r="J304" s="13" t="s">
        <v>16</v>
      </c>
      <c r="K304" s="7">
        <v>46077.336022175921</v>
      </c>
      <c r="L304" s="14"/>
      <c r="M304" s="10"/>
      <c r="N304" s="10"/>
      <c r="O304" s="7"/>
    </row>
    <row r="305" spans="1:15" ht="75" customHeight="1">
      <c r="A305" s="7">
        <f ca="1">IFERROR(__xludf.DUMMYFUNCTION("""COMPUTED_VALUE"""),46077.4943871759)</f>
        <v>46077.494387175902</v>
      </c>
      <c r="B305" s="8" t="str">
        <f ca="1">IFERROR(__xludf.DUMMYFUNCTION("""COMPUTED_VALUE"""),"المعملجي")</f>
        <v>المعملجي</v>
      </c>
      <c r="C305" s="9" t="str">
        <f ca="1">IFERROR(__xludf.DUMMYFUNCTION("""COMPUTED_VALUE"""),"سجاد تربية")</f>
        <v>سجاد تربية</v>
      </c>
      <c r="D305" s="10" t="str">
        <f ca="1">IFERROR(__xludf.DUMMYFUNCTION("""COMPUTED_VALUE"""),"قسم التربية والتعليم العالي")</f>
        <v>قسم التربية والتعليم العالي</v>
      </c>
      <c r="E305" s="10" t="str">
        <f ca="1">IFERROR(__xludf.DUMMYFUNCTION("""COMPUTED_VALUE"""),"I- ابتدائية الساقي للبنين (السادسة)")</f>
        <v>I- ابتدائية الساقي للبنين (السادسة)</v>
      </c>
      <c r="F305" s="10" t="str">
        <f ca="1">IFERROR(__xludf.DUMMYFUNCTION("""COMPUTED_VALUE"""),"الطابق الاول, الطابق الثاني, جناح الساحة ZONE B")</f>
        <v>الطابق الاول, الطابق الثاني, جناح الساحة ZONE B</v>
      </c>
      <c r="G305" s="10" t="str">
        <f ca="1">IFERROR(__xludf.DUMMYFUNCTION("""COMPUTED_VALUE"""),"صيانة حمام شطاف ")</f>
        <v xml:space="preserve">صيانة حمام شطاف </v>
      </c>
      <c r="H305" s="10"/>
      <c r="I305" s="12" t="s">
        <v>22</v>
      </c>
      <c r="J305" s="13" t="s">
        <v>16</v>
      </c>
      <c r="K305" s="7">
        <v>46077.51854399305</v>
      </c>
      <c r="L305" s="14"/>
      <c r="M305" s="10"/>
      <c r="N305" s="10"/>
      <c r="O305" s="7"/>
    </row>
    <row r="306" spans="1:15" ht="75" customHeight="1">
      <c r="A306" s="7">
        <f ca="1">IFERROR(__xludf.DUMMYFUNCTION("""COMPUTED_VALUE"""),46077.5032757986)</f>
        <v>46077.503275798597</v>
      </c>
      <c r="B306" s="8" t="str">
        <f ca="1">IFERROR(__xludf.DUMMYFUNCTION("""COMPUTED_VALUE"""),"المعملجي")</f>
        <v>المعملجي</v>
      </c>
      <c r="C306" s="9" t="str">
        <f ca="1">IFERROR(__xludf.DUMMYFUNCTION("""COMPUTED_VALUE"""),"سجاد تربية")</f>
        <v>سجاد تربية</v>
      </c>
      <c r="D306" s="10" t="str">
        <f ca="1">IFERROR(__xludf.DUMMYFUNCTION("""COMPUTED_VALUE"""),"قسم التربية والتعليم العالي")</f>
        <v>قسم التربية والتعليم العالي</v>
      </c>
      <c r="E306" s="10" t="str">
        <f ca="1">IFERROR(__xludf.DUMMYFUNCTION("""COMPUTED_VALUE"""),"F-  ابتدائية جود العميد للبنات (الرابعة)")</f>
        <v>F-  ابتدائية جود العميد للبنات (الرابعة)</v>
      </c>
      <c r="F306" s="10" t="str">
        <f ca="1">IFERROR(__xludf.DUMMYFUNCTION("""COMPUTED_VALUE"""),"الطابق الارضي")</f>
        <v>الطابق الارضي</v>
      </c>
      <c r="G306" s="10" t="str">
        <f ca="1">IFERROR(__xludf.DUMMYFUNCTION("""COMPUTED_VALUE"""),"صيانة شفاط ")</f>
        <v xml:space="preserve">صيانة شفاط </v>
      </c>
      <c r="H306" s="10"/>
      <c r="I306" s="12" t="s">
        <v>22</v>
      </c>
      <c r="J306" s="13" t="s">
        <v>16</v>
      </c>
      <c r="K306" s="7">
        <v>46078.577017453703</v>
      </c>
      <c r="L306" s="14"/>
      <c r="M306" s="10"/>
      <c r="N306" s="10"/>
      <c r="O306" s="7"/>
    </row>
    <row r="307" spans="1:15" ht="75" customHeight="1">
      <c r="A307" s="7">
        <f ca="1">IFERROR(__xludf.DUMMYFUNCTION("""COMPUTED_VALUE"""),46079.3325724074)</f>
        <v>46079.332572407402</v>
      </c>
      <c r="B307" s="8" t="str">
        <f ca="1">IFERROR(__xludf.DUMMYFUNCTION("""COMPUTED_VALUE"""),"المعملجي")</f>
        <v>المعملجي</v>
      </c>
      <c r="C307" s="9" t="str">
        <f ca="1">IFERROR(__xludf.DUMMYFUNCTION("""COMPUTED_VALUE"""),"سجاد تربية")</f>
        <v>سجاد تربية</v>
      </c>
      <c r="D307" s="10" t="str">
        <f ca="1">IFERROR(__xludf.DUMMYFUNCTION("""COMPUTED_VALUE"""),"قسم التربية والتعليم العالي")</f>
        <v>قسم التربية والتعليم العالي</v>
      </c>
      <c r="E307" s="10" t="str">
        <f ca="1">IFERROR(__xludf.DUMMYFUNCTION("""COMPUTED_VALUE"""),"B- روضة القمر")</f>
        <v>B- روضة القمر</v>
      </c>
      <c r="F307" s="10" t="str">
        <f ca="1">IFERROR(__xludf.DUMMYFUNCTION("""COMPUTED_VALUE"""),"الطابق الارضي")</f>
        <v>الطابق الارضي</v>
      </c>
      <c r="G307" s="10" t="str">
        <f ca="1">IFERROR(__xludf.DUMMYFUNCTION("""COMPUTED_VALUE"""),"لايوجد ماء شرب ")</f>
        <v xml:space="preserve">لايوجد ماء شرب </v>
      </c>
      <c r="H307" s="10"/>
      <c r="I307" s="12" t="s">
        <v>22</v>
      </c>
      <c r="J307" s="13" t="s">
        <v>16</v>
      </c>
      <c r="K307" s="7">
        <v>46079.365941249998</v>
      </c>
      <c r="L307" s="14"/>
      <c r="M307" s="10"/>
      <c r="N307" s="10"/>
      <c r="O307" s="7"/>
    </row>
    <row r="308" spans="1:15" ht="75" customHeight="1">
      <c r="A308" s="7">
        <f ca="1">IFERROR(__xludf.DUMMYFUNCTION("""COMPUTED_VALUE"""),46079.3727078125)</f>
        <v>46079.372707812501</v>
      </c>
      <c r="B308" s="8" t="str">
        <f ca="1">IFERROR(__xludf.DUMMYFUNCTION("""COMPUTED_VALUE"""),"المعملجي")</f>
        <v>المعملجي</v>
      </c>
      <c r="C308" s="9" t="str">
        <f ca="1">IFERROR(__xludf.DUMMYFUNCTION("""COMPUTED_VALUE"""),"سجاد تربية")</f>
        <v>سجاد تربية</v>
      </c>
      <c r="D308" s="10" t="str">
        <f ca="1">IFERROR(__xludf.DUMMYFUNCTION("""COMPUTED_VALUE"""),"قسم التربية والتعليم العالي")</f>
        <v>قسم التربية والتعليم العالي</v>
      </c>
      <c r="E308" s="10" t="str">
        <f ca="1">IFERROR(__xludf.DUMMYFUNCTION("""COMPUTED_VALUE"""),"G- روضة الجود")</f>
        <v>G- روضة الجود</v>
      </c>
      <c r="F308" s="10" t="str">
        <f ca="1">IFERROR(__xludf.DUMMYFUNCTION("""COMPUTED_VALUE"""),"الطابق الارضي")</f>
        <v>الطابق الارضي</v>
      </c>
      <c r="G308" s="10" t="str">
        <f ca="1">IFERROR(__xludf.DUMMYFUNCTION("""COMPUTED_VALUE"""),"لايوجد ماء في منظومة الشرب ")</f>
        <v xml:space="preserve">لايوجد ماء في منظومة الشرب </v>
      </c>
      <c r="H308" s="10"/>
      <c r="I308" s="12" t="s">
        <v>22</v>
      </c>
      <c r="J308" s="13" t="s">
        <v>16</v>
      </c>
      <c r="K308" s="7">
        <v>46079.513024687505</v>
      </c>
      <c r="L308" s="14"/>
      <c r="M308" s="10"/>
      <c r="N308" s="10"/>
      <c r="O308" s="7"/>
    </row>
    <row r="309" spans="1:15" ht="75" customHeight="1">
      <c r="A309" s="7">
        <f ca="1">IFERROR(__xludf.DUMMYFUNCTION("""COMPUTED_VALUE"""),46081.401703368)</f>
        <v>46081.401703367999</v>
      </c>
      <c r="B309" s="8" t="str">
        <f ca="1">IFERROR(__xludf.DUMMYFUNCTION("""COMPUTED_VALUE"""),"المعملجي")</f>
        <v>المعملجي</v>
      </c>
      <c r="C309" s="9" t="str">
        <f ca="1">IFERROR(__xludf.DUMMYFUNCTION("""COMPUTED_VALUE"""),"سجاد تربية")</f>
        <v>سجاد تربية</v>
      </c>
      <c r="D309" s="10" t="str">
        <f ca="1">IFERROR(__xludf.DUMMYFUNCTION("""COMPUTED_VALUE"""),"قسم التربية والتعليم العالي")</f>
        <v>قسم التربية والتعليم العالي</v>
      </c>
      <c r="E309" s="10" t="str">
        <f ca="1">IFERROR(__xludf.DUMMYFUNCTION("""COMPUTED_VALUE"""),"B- روضة القمر")</f>
        <v>B- روضة القمر</v>
      </c>
      <c r="F309" s="10" t="str">
        <f ca="1">IFERROR(__xludf.DUMMYFUNCTION("""COMPUTED_VALUE"""),"/")</f>
        <v>/</v>
      </c>
      <c r="G309" s="10" t="str">
        <f ca="1">IFERROR(__xludf.DUMMYFUNCTION("""COMPUTED_VALUE"""),"تصليح مجرى السنك")</f>
        <v>تصليح مجرى السنك</v>
      </c>
      <c r="H309" s="10"/>
      <c r="I309" s="12" t="s">
        <v>22</v>
      </c>
      <c r="J309" s="13" t="s">
        <v>16</v>
      </c>
      <c r="K309" s="7">
        <v>46081.443217569446</v>
      </c>
      <c r="L309" s="14"/>
      <c r="M309" s="10"/>
      <c r="N309" s="10"/>
      <c r="O309" s="7"/>
    </row>
    <row r="310" spans="1:15" ht="75" customHeight="1">
      <c r="A310" s="7">
        <f ca="1">IFERROR(__xludf.DUMMYFUNCTION("""COMPUTED_VALUE"""),46081.4031712963)</f>
        <v>46081.403171296297</v>
      </c>
      <c r="B310" s="8" t="str">
        <f ca="1">IFERROR(__xludf.DUMMYFUNCTION("""COMPUTED_VALUE"""),"المعملجي")</f>
        <v>المعملجي</v>
      </c>
      <c r="C310" s="9" t="str">
        <f ca="1">IFERROR(__xludf.DUMMYFUNCTION("""COMPUTED_VALUE"""),"سجاد تربية")</f>
        <v>سجاد تربية</v>
      </c>
      <c r="D310" s="10" t="str">
        <f ca="1">IFERROR(__xludf.DUMMYFUNCTION("""COMPUTED_VALUE"""),"قسم التربية والتعليم العالي")</f>
        <v>قسم التربية والتعليم العالي</v>
      </c>
      <c r="E310" s="10" t="str">
        <f ca="1">IFERROR(__xludf.DUMMYFUNCTION("""COMPUTED_VALUE"""),"G- روضة الجود")</f>
        <v>G- روضة الجود</v>
      </c>
      <c r="F310" s="10" t="str">
        <f ca="1">IFERROR(__xludf.DUMMYFUNCTION("""COMPUTED_VALUE"""),"صف الياقوت")</f>
        <v>صف الياقوت</v>
      </c>
      <c r="G310" s="10" t="str">
        <f ca="1">IFERROR(__xludf.DUMMYFUNCTION("""COMPUTED_VALUE"""),"صيانة حنفية حمام ")</f>
        <v xml:space="preserve">صيانة حنفية حمام </v>
      </c>
      <c r="H310" s="10"/>
      <c r="I310" s="12" t="s">
        <v>22</v>
      </c>
      <c r="J310" s="13" t="s">
        <v>16</v>
      </c>
      <c r="K310" s="7">
        <v>46081.443296689817</v>
      </c>
      <c r="L310" s="14"/>
      <c r="M310" s="10"/>
      <c r="N310" s="10"/>
      <c r="O310" s="7"/>
    </row>
    <row r="311" spans="1:15" ht="75" customHeight="1">
      <c r="A311" s="7">
        <f ca="1">IFERROR(__xludf.DUMMYFUNCTION("""COMPUTED_VALUE"""),46081.8362923611)</f>
        <v>46081.836292361098</v>
      </c>
      <c r="B311" s="8" t="str">
        <f ca="1">IFERROR(__xludf.DUMMYFUNCTION("""COMPUTED_VALUE"""),"المعملجي")</f>
        <v>المعملجي</v>
      </c>
      <c r="C311" s="9" t="str">
        <f ca="1">IFERROR(__xludf.DUMMYFUNCTION("""COMPUTED_VALUE"""),"حدة الميكانيك")</f>
        <v>حدة الميكانيك</v>
      </c>
      <c r="D311" s="10" t="str">
        <f ca="1">IFERROR(__xludf.DUMMYFUNCTION("""COMPUTED_VALUE"""),"قسم المشاريع الهندسية")</f>
        <v>قسم المشاريع الهندسية</v>
      </c>
      <c r="E311" s="10" t="str">
        <f ca="1">IFERROR(__xludf.DUMMYFUNCTION("""COMPUTED_VALUE"""),"C- ثانوية العميد بناية الاعدادية  (الاولى), D- ثانوية العميد بناية المتوسطة  (الثانية), E- ابتدائية العميد للبنات (الثالثة), F-  ابتدائية جود العميد للبنات (الرابعة)")</f>
        <v>C- ثانوية العميد بناية الاعدادية  (الاولى), D- ثانوية العميد بناية المتوسطة  (الثانية), E- ابتدائية العميد للبنات (الثالثة), F-  ابتدائية جود العميد للبنات (الرابعة)</v>
      </c>
      <c r="F311" s="10" t="str">
        <f ca="1">IFERROR(__xludf.DUMMYFUNCTION("""COMPUTED_VALUE"""),"السطح")</f>
        <v>السطح</v>
      </c>
      <c r="G311" s="10" t="str">
        <f ca="1">IFERROR(__xludf.DUMMYFUNCTION("""COMPUTED_VALUE"""),"اضافة مأخذ ماء اضافي لتسهيل عملية التشغيل والادامه ")</f>
        <v xml:space="preserve">اضافة مأخذ ماء اضافي لتسهيل عملية التشغيل والادامه </v>
      </c>
      <c r="H311" s="10"/>
      <c r="I311" s="12" t="s">
        <v>22</v>
      </c>
      <c r="J311" s="13" t="s">
        <v>16</v>
      </c>
      <c r="K311" s="7">
        <v>46081.85007990741</v>
      </c>
      <c r="L311" s="14"/>
      <c r="M311" s="10"/>
      <c r="N311" s="10"/>
      <c r="O311" s="7"/>
    </row>
    <row r="312" spans="1:15" ht="75" customHeight="1">
      <c r="A312" s="7">
        <f ca="1">IFERROR(__xludf.DUMMYFUNCTION("""COMPUTED_VALUE"""),46081.8365982754)</f>
        <v>46081.836598275397</v>
      </c>
      <c r="B312" s="8" t="str">
        <f ca="1">IFERROR(__xludf.DUMMYFUNCTION("""COMPUTED_VALUE"""),"المعملجي")</f>
        <v>المعملجي</v>
      </c>
      <c r="C312" s="9" t="str">
        <f ca="1">IFERROR(__xludf.DUMMYFUNCTION("""COMPUTED_VALUE"""),"حدة الميكانيك")</f>
        <v>حدة الميكانيك</v>
      </c>
      <c r="D312" s="10" t="str">
        <f ca="1">IFERROR(__xludf.DUMMYFUNCTION("""COMPUTED_VALUE"""),"قسم المشاريع الهندسية")</f>
        <v>قسم المشاريع الهندسية</v>
      </c>
      <c r="E312" s="10" t="str">
        <f ca="1">IFERROR(__xludf.DUMMYFUNCTION("""COMPUTED_VALUE"""),"B-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f>
        <v>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v>
      </c>
      <c r="F312" s="10" t="str">
        <f ca="1">IFERROR(__xludf.DUMMYFUNCTION("""COMPUTED_VALUE"""),"السطح")</f>
        <v>السطح</v>
      </c>
      <c r="G312" s="10" t="str">
        <f ca="1">IFERROR(__xludf.DUMMYFUNCTION("""COMPUTED_VALUE"""),"اضافة مأخذ ماء اضافي لتسهيل عملية التشغيل والادامه")</f>
        <v>اضافة مأخذ ماء اضافي لتسهيل عملية التشغيل والادامه</v>
      </c>
      <c r="H312" s="10"/>
      <c r="I312" s="12" t="s">
        <v>22</v>
      </c>
      <c r="J312" s="13" t="s">
        <v>16</v>
      </c>
      <c r="K312" s="7">
        <v>46081.850171064812</v>
      </c>
      <c r="L312" s="14"/>
      <c r="M312" s="10"/>
      <c r="N312" s="10"/>
      <c r="O312" s="7"/>
    </row>
    <row r="313" spans="1:15" ht="75" customHeight="1">
      <c r="A313" s="7">
        <f ca="1">IFERROR(__xludf.DUMMYFUNCTION("""COMPUTED_VALUE"""),46081.8432299884)</f>
        <v>46081.843229988401</v>
      </c>
      <c r="B313" s="8" t="str">
        <f ca="1">IFERROR(__xludf.DUMMYFUNCTION("""COMPUTED_VALUE"""),"المعملجي")</f>
        <v>المعملجي</v>
      </c>
      <c r="C313" s="9" t="str">
        <f ca="1">IFERROR(__xludf.DUMMYFUNCTION("""COMPUTED_VALUE"""),"حدة الميكانيك")</f>
        <v>حدة الميكانيك</v>
      </c>
      <c r="D313" s="10" t="str">
        <f ca="1">IFERROR(__xludf.DUMMYFUNCTION("""COMPUTED_VALUE"""),"قسم المشاريع الهندسية")</f>
        <v>قسم المشاريع الهندسية</v>
      </c>
      <c r="E313" s="10" t="str">
        <f ca="1">IFERROR(__xludf.DUMMYFUNCTION("""COMPUTED_VALUE"""),"I- ابتدائية الساقي للبنين (السادسة)")</f>
        <v>I- ابتدائية الساقي للبنين (السادسة)</v>
      </c>
      <c r="F313" s="10" t="str">
        <f ca="1">IFERROR(__xludf.DUMMYFUNCTION("""COMPUTED_VALUE"""),"السطح")</f>
        <v>السطح</v>
      </c>
      <c r="G313" s="10" t="str">
        <f ca="1">IFERROR(__xludf.DUMMYFUNCTION("""COMPUTED_VALUE"""),"صيانة التسريب في الخزان واستبدال الطوافة التالفه ")</f>
        <v xml:space="preserve">صيانة التسريب في الخزان واستبدال الطوافة التالفه </v>
      </c>
      <c r="H313" s="10"/>
      <c r="I313" s="12" t="s">
        <v>22</v>
      </c>
      <c r="J313" s="13" t="s">
        <v>16</v>
      </c>
      <c r="K313" s="7">
        <v>46081.850341342593</v>
      </c>
      <c r="L313" s="14"/>
      <c r="M313" s="10"/>
      <c r="N313" s="10"/>
      <c r="O313" s="7"/>
    </row>
    <row r="314" spans="1:15" ht="75" customHeight="1">
      <c r="A314" s="7">
        <f ca="1">IFERROR(__xludf.DUMMYFUNCTION("""COMPUTED_VALUE"""),46081.8434635185)</f>
        <v>46081.843463518497</v>
      </c>
      <c r="B314" s="8" t="str">
        <f ca="1">IFERROR(__xludf.DUMMYFUNCTION("""COMPUTED_VALUE"""),"المعملجي")</f>
        <v>المعملجي</v>
      </c>
      <c r="C314" s="9" t="str">
        <f ca="1">IFERROR(__xludf.DUMMYFUNCTION("""COMPUTED_VALUE"""),"حدة الميكانيك")</f>
        <v>حدة الميكانيك</v>
      </c>
      <c r="D314" s="10" t="str">
        <f ca="1">IFERROR(__xludf.DUMMYFUNCTION("""COMPUTED_VALUE"""),"قسم المشاريع الهندسية")</f>
        <v>قسم المشاريع الهندسية</v>
      </c>
      <c r="E314"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F314" s="10" t="str">
        <f ca="1">IFERROR(__xludf.DUMMYFUNCTION("""COMPUTED_VALUE"""),"السطح")</f>
        <v>السطح</v>
      </c>
      <c r="G314" s="10" t="str">
        <f ca="1">IFERROR(__xludf.DUMMYFUNCTION("""COMPUTED_VALUE"""),"صيانة التسريب في الخزان واستبدال الطوافة التالفه")</f>
        <v>صيانة التسريب في الخزان واستبدال الطوافة التالفه</v>
      </c>
      <c r="H314" s="10"/>
      <c r="I314" s="12" t="s">
        <v>22</v>
      </c>
      <c r="J314" s="13" t="s">
        <v>16</v>
      </c>
      <c r="K314" s="7">
        <v>46081.850424085649</v>
      </c>
      <c r="L314" s="14"/>
      <c r="M314" s="10"/>
      <c r="N314" s="10"/>
      <c r="O314" s="7"/>
    </row>
    <row r="315" spans="1:15" ht="75" customHeight="1">
      <c r="A315" s="7">
        <f ca="1">IFERROR(__xludf.DUMMYFUNCTION("""COMPUTED_VALUE"""),46081.8527358449)</f>
        <v>46081.852735844899</v>
      </c>
      <c r="B315" s="8" t="str">
        <f ca="1">IFERROR(__xludf.DUMMYFUNCTION("""COMPUTED_VALUE"""),"المعملجي")</f>
        <v>المعملجي</v>
      </c>
      <c r="C315" s="9" t="str">
        <f ca="1">IFERROR(__xludf.DUMMYFUNCTION("""COMPUTED_VALUE"""),"حدة الميكانيك")</f>
        <v>حدة الميكانيك</v>
      </c>
      <c r="D315" s="10" t="str">
        <f ca="1">IFERROR(__xludf.DUMMYFUNCTION("""COMPUTED_VALUE"""),"قسم المشاريع الهندسية")</f>
        <v>قسم المشاريع الهندسية</v>
      </c>
      <c r="E315" s="10" t="str">
        <f ca="1">IFERROR(__xludf.DUMMYFUNCTION("""COMPUTED_VALUE"""),"B- روضة القمر")</f>
        <v>B- روضة القمر</v>
      </c>
      <c r="F315" s="10" t="str">
        <f ca="1">IFERROR(__xludf.DUMMYFUNCTION("""COMPUTED_VALUE"""),"السطح")</f>
        <v>السطح</v>
      </c>
      <c r="G315" s="10" t="str">
        <f ca="1">IFERROR(__xludf.DUMMYFUNCTION("""COMPUTED_VALUE"""),"اضافة وتأسيس شبكة مياه خاصة بغسل الألواح الشمسية في سطح القاعات الرياضية ")</f>
        <v xml:space="preserve">اضافة وتأسيس شبكة مياه خاصة بغسل الألواح الشمسية في سطح القاعات الرياضية </v>
      </c>
      <c r="H315" s="10"/>
      <c r="I315" s="12" t="s">
        <v>22</v>
      </c>
      <c r="J315" s="13" t="s">
        <v>16</v>
      </c>
      <c r="K315" s="7">
        <v>46081.857002939811</v>
      </c>
      <c r="L315" s="14"/>
      <c r="M315" s="10"/>
      <c r="N315" s="10"/>
      <c r="O315" s="7"/>
    </row>
    <row r="316" spans="1:15" ht="75" customHeight="1">
      <c r="A316" s="7">
        <f ca="1">IFERROR(__xludf.DUMMYFUNCTION("""COMPUTED_VALUE"""),46081.8544603819)</f>
        <v>46081.854460381903</v>
      </c>
      <c r="B316" s="8" t="str">
        <f ca="1">IFERROR(__xludf.DUMMYFUNCTION("""COMPUTED_VALUE"""),"المعملجي")</f>
        <v>المعملجي</v>
      </c>
      <c r="C316" s="9" t="str">
        <f ca="1">IFERROR(__xludf.DUMMYFUNCTION("""COMPUTED_VALUE"""),"حدة الميكانيك")</f>
        <v>حدة الميكانيك</v>
      </c>
      <c r="D316" s="10" t="str">
        <f ca="1">IFERROR(__xludf.DUMMYFUNCTION("""COMPUTED_VALUE"""),"قسم المشاريع الهندسية")</f>
        <v>قسم المشاريع الهندسية</v>
      </c>
      <c r="E316" s="10" t="str">
        <f ca="1">IFERROR(__xludf.DUMMYFUNCTION("""COMPUTED_VALUE"""),"A- المركز الثقافي")</f>
        <v>A- المركز الثقافي</v>
      </c>
      <c r="F316" s="10" t="str">
        <f ca="1">IFERROR(__xludf.DUMMYFUNCTION("""COMPUTED_VALUE"""),"الطابق الارضي, الطابق الاول, الطابق الثاني, الطابق الثالث, الطابق الرابع, السطح")</f>
        <v>الطابق الارضي, الطابق الاول, الطابق الثاني, الطابق الثالث, الطابق الرابع, السطح</v>
      </c>
      <c r="G316" s="10" t="str">
        <f ca="1">IFERROR(__xludf.DUMMYFUNCTION("""COMPUTED_VALUE"""),"إفراغ شبكة اطفاء الحريق واستبدال الماء المضغوط لغرض حماية انابيب الشبكة من التأكسد ")</f>
        <v xml:space="preserve">إفراغ شبكة اطفاء الحريق واستبدال الماء المضغوط لغرض حماية انابيب الشبكة من التأكسد </v>
      </c>
      <c r="H316" s="10"/>
      <c r="I316" s="12" t="s">
        <v>22</v>
      </c>
      <c r="J316" s="13" t="s">
        <v>16</v>
      </c>
      <c r="K316" s="7">
        <v>46081.85730802083</v>
      </c>
      <c r="L316" s="14"/>
      <c r="M316" s="10"/>
      <c r="N316" s="10"/>
      <c r="O316" s="7"/>
    </row>
    <row r="317" spans="1:15" ht="75" customHeight="1">
      <c r="A317" s="7">
        <f ca="1">IFERROR(__xludf.DUMMYFUNCTION("""COMPUTED_VALUE"""),46081.8546809143)</f>
        <v>46081.854680914301</v>
      </c>
      <c r="B317" s="8" t="str">
        <f ca="1">IFERROR(__xludf.DUMMYFUNCTION("""COMPUTED_VALUE"""),"المعملجي")</f>
        <v>المعملجي</v>
      </c>
      <c r="C317" s="9" t="str">
        <f ca="1">IFERROR(__xludf.DUMMYFUNCTION("""COMPUTED_VALUE"""),"حدة الميكانيك")</f>
        <v>حدة الميكانيك</v>
      </c>
      <c r="D317" s="10" t="str">
        <f ca="1">IFERROR(__xludf.DUMMYFUNCTION("""COMPUTED_VALUE"""),"قسم المشاريع الهندسية")</f>
        <v>قسم المشاريع الهندسية</v>
      </c>
      <c r="E317" s="10" t="str">
        <f ca="1">IFERROR(__xludf.DUMMYFUNCTION("""COMPUTED_VALUE"""),"B- روضة القمر")</f>
        <v>B- روضة القمر</v>
      </c>
      <c r="F317" s="10" t="str">
        <f ca="1">IFERROR(__xludf.DUMMYFUNCTION("""COMPUTED_VALUE"""),"الطابق الارضي, الطابق الاول, الطابق الثاني, السطح")</f>
        <v>الطابق الارضي, الطابق الاول, الطابق الثاني, السطح</v>
      </c>
      <c r="G317"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17" s="10"/>
      <c r="I317" s="12" t="s">
        <v>22</v>
      </c>
      <c r="J317" s="13" t="s">
        <v>16</v>
      </c>
      <c r="K317" s="7">
        <v>46081.857309687504</v>
      </c>
      <c r="L317" s="14"/>
      <c r="M317" s="10"/>
      <c r="N317" s="10"/>
      <c r="O317" s="7"/>
    </row>
    <row r="318" spans="1:15" ht="75" customHeight="1">
      <c r="A318" s="7">
        <f ca="1">IFERROR(__xludf.DUMMYFUNCTION("""COMPUTED_VALUE"""),46081.8548824074)</f>
        <v>46081.854882407402</v>
      </c>
      <c r="B318" s="8" t="str">
        <f ca="1">IFERROR(__xludf.DUMMYFUNCTION("""COMPUTED_VALUE"""),"المعملجي")</f>
        <v>المعملجي</v>
      </c>
      <c r="C318" s="9" t="str">
        <f ca="1">IFERROR(__xludf.DUMMYFUNCTION("""COMPUTED_VALUE"""),"حدة الميكانيك")</f>
        <v>حدة الميكانيك</v>
      </c>
      <c r="D318" s="10" t="str">
        <f ca="1">IFERROR(__xludf.DUMMYFUNCTION("""COMPUTED_VALUE"""),"قسم المشاريع الهندسية")</f>
        <v>قسم المشاريع الهندسية</v>
      </c>
      <c r="E318" s="10" t="str">
        <f ca="1">IFERROR(__xludf.DUMMYFUNCTION("""COMPUTED_VALUE"""),"G- روضة الجود")</f>
        <v>G- روضة الجود</v>
      </c>
      <c r="F318" s="10" t="str">
        <f ca="1">IFERROR(__xludf.DUMMYFUNCTION("""COMPUTED_VALUE"""),"الطابق الارضي, الطابق الاول, الطابق الثاني, السطح")</f>
        <v>الطابق الارضي, الطابق الاول, الطابق الثاني, السطح</v>
      </c>
      <c r="G318"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18" s="10"/>
      <c r="I318" s="12" t="s">
        <v>22</v>
      </c>
      <c r="J318" s="13" t="s">
        <v>16</v>
      </c>
      <c r="K318" s="7">
        <v>46081.85736011574</v>
      </c>
      <c r="L318" s="14"/>
      <c r="M318" s="10"/>
      <c r="N318" s="10"/>
      <c r="O318" s="7"/>
    </row>
    <row r="319" spans="1:15" ht="75" customHeight="1">
      <c r="A319" s="7">
        <f ca="1">IFERROR(__xludf.DUMMYFUNCTION("""COMPUTED_VALUE"""),46081.8550863425)</f>
        <v>46081.855086342497</v>
      </c>
      <c r="B319" s="8" t="str">
        <f ca="1">IFERROR(__xludf.DUMMYFUNCTION("""COMPUTED_VALUE"""),"المعملجي")</f>
        <v>المعملجي</v>
      </c>
      <c r="C319" s="9" t="str">
        <f ca="1">IFERROR(__xludf.DUMMYFUNCTION("""COMPUTED_VALUE"""),"حدة الميكانيك")</f>
        <v>حدة الميكانيك</v>
      </c>
      <c r="D319" s="10" t="str">
        <f ca="1">IFERROR(__xludf.DUMMYFUNCTION("""COMPUTED_VALUE"""),"قسم المشاريع الهندسية")</f>
        <v>قسم المشاريع الهندسية</v>
      </c>
      <c r="E319" s="10" t="str">
        <f ca="1">IFERROR(__xludf.DUMMYFUNCTION("""COMPUTED_VALUE"""),"C- ثانوية العميد بناية الاعدادية  (الاولى)")</f>
        <v>C- ثانوية العميد بناية الاعدادية  (الاولى)</v>
      </c>
      <c r="F319" s="10" t="str">
        <f ca="1">IFERROR(__xludf.DUMMYFUNCTION("""COMPUTED_VALUE"""),"الطابق الارضي, الطابق الاول, الطابق الثاني, السطح")</f>
        <v>الطابق الارضي, الطابق الاول, الطابق الثاني, السطح</v>
      </c>
      <c r="G319"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19" s="10"/>
      <c r="I319" s="12" t="s">
        <v>22</v>
      </c>
      <c r="J319" s="13" t="s">
        <v>16</v>
      </c>
      <c r="K319" s="7">
        <v>46081.857364050928</v>
      </c>
      <c r="L319" s="14"/>
      <c r="M319" s="10"/>
      <c r="N319" s="10"/>
      <c r="O319" s="7"/>
    </row>
    <row r="320" spans="1:15" ht="75" customHeight="1">
      <c r="A320" s="7">
        <f ca="1">IFERROR(__xludf.DUMMYFUNCTION("""COMPUTED_VALUE"""),46081.8552794097)</f>
        <v>46081.855279409698</v>
      </c>
      <c r="B320" s="8" t="str">
        <f ca="1">IFERROR(__xludf.DUMMYFUNCTION("""COMPUTED_VALUE"""),"المعملجي")</f>
        <v>المعملجي</v>
      </c>
      <c r="C320" s="9" t="str">
        <f ca="1">IFERROR(__xludf.DUMMYFUNCTION("""COMPUTED_VALUE"""),"حدة الميكانيك")</f>
        <v>حدة الميكانيك</v>
      </c>
      <c r="D320" s="10" t="str">
        <f ca="1">IFERROR(__xludf.DUMMYFUNCTION("""COMPUTED_VALUE"""),"قسم المشاريع الهندسية")</f>
        <v>قسم المشاريع الهندسية</v>
      </c>
      <c r="E320" s="10" t="str">
        <f ca="1">IFERROR(__xludf.DUMMYFUNCTION("""COMPUTED_VALUE"""),"D- ثانوية العميد بناية المتوسطة  (الثانية)")</f>
        <v>D- ثانوية العميد بناية المتوسطة  (الثانية)</v>
      </c>
      <c r="F320" s="10" t="str">
        <f ca="1">IFERROR(__xludf.DUMMYFUNCTION("""COMPUTED_VALUE"""),"الطابق الارضي, الطابق الاول, الطابق الثاني, السطح")</f>
        <v>الطابق الارضي, الطابق الاول, الطابق الثاني, السطح</v>
      </c>
      <c r="G320"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20" s="10"/>
      <c r="I320" s="12" t="s">
        <v>22</v>
      </c>
      <c r="J320" s="13" t="s">
        <v>16</v>
      </c>
      <c r="K320" s="7">
        <v>46081.857391840276</v>
      </c>
      <c r="L320" s="14"/>
      <c r="M320" s="10"/>
      <c r="N320" s="10"/>
      <c r="O320" s="7"/>
    </row>
    <row r="321" spans="1:15" ht="75" customHeight="1">
      <c r="A321" s="7">
        <f ca="1">IFERROR(__xludf.DUMMYFUNCTION("""COMPUTED_VALUE"""),46081.8555601967)</f>
        <v>46081.855560196702</v>
      </c>
      <c r="B321" s="8" t="str">
        <f ca="1">IFERROR(__xludf.DUMMYFUNCTION("""COMPUTED_VALUE"""),"المعملجي")</f>
        <v>المعملجي</v>
      </c>
      <c r="C321" s="9" t="str">
        <f ca="1">IFERROR(__xludf.DUMMYFUNCTION("""COMPUTED_VALUE"""),"حدة الميكانيك")</f>
        <v>حدة الميكانيك</v>
      </c>
      <c r="D321" s="10" t="str">
        <f ca="1">IFERROR(__xludf.DUMMYFUNCTION("""COMPUTED_VALUE"""),"قسم المشاريع الهندسية")</f>
        <v>قسم المشاريع الهندسية</v>
      </c>
      <c r="E321" s="10" t="str">
        <f ca="1">IFERROR(__xludf.DUMMYFUNCTION("""COMPUTED_VALUE"""),"E- ابتدائية العميد للبنات (الثالثة)")</f>
        <v>E- ابتدائية العميد للبنات (الثالثة)</v>
      </c>
      <c r="F321" s="10" t="str">
        <f ca="1">IFERROR(__xludf.DUMMYFUNCTION("""COMPUTED_VALUE"""),"الطابق الارضي, الطابق الاول, الطابق الثاني, السطح")</f>
        <v>الطابق الارضي, الطابق الاول, الطابق الثاني, السطح</v>
      </c>
      <c r="G321"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21" s="10"/>
      <c r="I321" s="12" t="s">
        <v>22</v>
      </c>
      <c r="J321" s="13" t="s">
        <v>16</v>
      </c>
      <c r="K321" s="7">
        <v>46081.85740912037</v>
      </c>
      <c r="L321" s="14"/>
      <c r="M321" s="10"/>
      <c r="N321" s="10"/>
      <c r="O321" s="7"/>
    </row>
    <row r="322" spans="1:15" ht="75" customHeight="1">
      <c r="A322" s="7">
        <f ca="1">IFERROR(__xludf.DUMMYFUNCTION("""COMPUTED_VALUE"""),46081.8558084027)</f>
        <v>46081.855808402703</v>
      </c>
      <c r="B322" s="8" t="str">
        <f ca="1">IFERROR(__xludf.DUMMYFUNCTION("""COMPUTED_VALUE"""),"المعملجي")</f>
        <v>المعملجي</v>
      </c>
      <c r="C322" s="9" t="str">
        <f ca="1">IFERROR(__xludf.DUMMYFUNCTION("""COMPUTED_VALUE"""),"حدة الميكانيك")</f>
        <v>حدة الميكانيك</v>
      </c>
      <c r="D322" s="10" t="str">
        <f ca="1">IFERROR(__xludf.DUMMYFUNCTION("""COMPUTED_VALUE"""),"قسم المشاريع الهندسية")</f>
        <v>قسم المشاريع الهندسية</v>
      </c>
      <c r="E322" s="10" t="str">
        <f ca="1">IFERROR(__xludf.DUMMYFUNCTION("""COMPUTED_VALUE"""),"F-  ابتدائية جود العميد للبنات (الرابعة)")</f>
        <v>F-  ابتدائية جود العميد للبنات (الرابعة)</v>
      </c>
      <c r="F322" s="10" t="str">
        <f ca="1">IFERROR(__xludf.DUMMYFUNCTION("""COMPUTED_VALUE"""),"الطابق الارضي, الطابق الاول, الطابق الثاني, السطح")</f>
        <v>الطابق الارضي, الطابق الاول, الطابق الثاني, السطح</v>
      </c>
      <c r="G322"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22" s="10"/>
      <c r="I322" s="12" t="s">
        <v>22</v>
      </c>
      <c r="J322" s="13" t="s">
        <v>16</v>
      </c>
      <c r="K322" s="7">
        <v>46081.857490509261</v>
      </c>
      <c r="L322" s="14"/>
      <c r="M322" s="10"/>
      <c r="N322" s="10"/>
      <c r="O322" s="7"/>
    </row>
    <row r="323" spans="1:15" ht="75" customHeight="1">
      <c r="A323" s="7">
        <f ca="1">IFERROR(__xludf.DUMMYFUNCTION("""COMPUTED_VALUE"""),46081.8560874884)</f>
        <v>46081.856087488399</v>
      </c>
      <c r="B323" s="8" t="str">
        <f ca="1">IFERROR(__xludf.DUMMYFUNCTION("""COMPUTED_VALUE"""),"المعملجي")</f>
        <v>المعملجي</v>
      </c>
      <c r="C323" s="9" t="str">
        <f ca="1">IFERROR(__xludf.DUMMYFUNCTION("""COMPUTED_VALUE"""),"حدة الميكانيك")</f>
        <v>حدة الميكانيك</v>
      </c>
      <c r="D323" s="10" t="str">
        <f ca="1">IFERROR(__xludf.DUMMYFUNCTION("""COMPUTED_VALUE"""),"قسم المشاريع الهندسية")</f>
        <v>قسم المشاريع الهندسية</v>
      </c>
      <c r="E323" s="10" t="str">
        <f ca="1">IFERROR(__xludf.DUMMYFUNCTION("""COMPUTED_VALUE"""),"H- ابتدائية القمر للبنات (الخامسة)")</f>
        <v>H- ابتدائية القمر للبنات (الخامسة)</v>
      </c>
      <c r="F323" s="10" t="str">
        <f ca="1">IFERROR(__xludf.DUMMYFUNCTION("""COMPUTED_VALUE"""),"الطابق الارضي, الطابق الاول, الطابق الثاني, السطح")</f>
        <v>الطابق الارضي, الطابق الاول, الطابق الثاني, السطح</v>
      </c>
      <c r="G323"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23" s="10"/>
      <c r="I323" s="12" t="s">
        <v>22</v>
      </c>
      <c r="J323" s="13" t="s">
        <v>16</v>
      </c>
      <c r="K323" s="7">
        <v>46081.857494594908</v>
      </c>
      <c r="L323" s="14"/>
      <c r="M323" s="10"/>
      <c r="N323" s="10"/>
      <c r="O323" s="7"/>
    </row>
    <row r="324" spans="1:15" ht="75" customHeight="1">
      <c r="A324" s="7">
        <f ca="1">IFERROR(__xludf.DUMMYFUNCTION("""COMPUTED_VALUE"""),46081.8563441898)</f>
        <v>46081.8563441898</v>
      </c>
      <c r="B324" s="8" t="str">
        <f ca="1">IFERROR(__xludf.DUMMYFUNCTION("""COMPUTED_VALUE"""),"المعملجي")</f>
        <v>المعملجي</v>
      </c>
      <c r="C324" s="9" t="str">
        <f ca="1">IFERROR(__xludf.DUMMYFUNCTION("""COMPUTED_VALUE"""),"حدة الميكانيك")</f>
        <v>حدة الميكانيك</v>
      </c>
      <c r="D324" s="10" t="str">
        <f ca="1">IFERROR(__xludf.DUMMYFUNCTION("""COMPUTED_VALUE"""),"قسم المشاريع الهندسية")</f>
        <v>قسم المشاريع الهندسية</v>
      </c>
      <c r="E324" s="10" t="str">
        <f ca="1">IFERROR(__xludf.DUMMYFUNCTION("""COMPUTED_VALUE"""),"I- ابتدائية الساقي للبنين (السادسة)")</f>
        <v>I- ابتدائية الساقي للبنين (السادسة)</v>
      </c>
      <c r="F324" s="10" t="str">
        <f ca="1">IFERROR(__xludf.DUMMYFUNCTION("""COMPUTED_VALUE"""),"الطابق الارضي, الطابق الاول, الطابق الثاني, السطح")</f>
        <v>الطابق الارضي, الطابق الاول, الطابق الثاني, السطح</v>
      </c>
      <c r="G324"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24" s="10"/>
      <c r="I324" s="12" t="s">
        <v>22</v>
      </c>
      <c r="J324" s="13" t="s">
        <v>16</v>
      </c>
      <c r="K324" s="7">
        <v>46081.857508009256</v>
      </c>
      <c r="L324" s="14"/>
      <c r="M324" s="10"/>
      <c r="N324" s="10"/>
      <c r="O324" s="7"/>
    </row>
    <row r="325" spans="1:15" ht="75" customHeight="1">
      <c r="A325" s="7">
        <f ca="1">IFERROR(__xludf.DUMMYFUNCTION("""COMPUTED_VALUE"""),46081.8565665972)</f>
        <v>46081.856566597198</v>
      </c>
      <c r="B325" s="8" t="str">
        <f ca="1">IFERROR(__xludf.DUMMYFUNCTION("""COMPUTED_VALUE"""),"المعملجي")</f>
        <v>المعملجي</v>
      </c>
      <c r="C325" s="9" t="str">
        <f ca="1">IFERROR(__xludf.DUMMYFUNCTION("""COMPUTED_VALUE"""),"حدة الميكانيك")</f>
        <v>حدة الميكانيك</v>
      </c>
      <c r="D325" s="10" t="str">
        <f ca="1">IFERROR(__xludf.DUMMYFUNCTION("""COMPUTED_VALUE"""),"قسم المشاريع الهندسية")</f>
        <v>قسم المشاريع الهندسية</v>
      </c>
      <c r="E325"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F325" s="10" t="str">
        <f ca="1">IFERROR(__xludf.DUMMYFUNCTION("""COMPUTED_VALUE"""),"الطابق الارضي, الطابق الاول, الطابق الثاني, السطح")</f>
        <v>الطابق الارضي, الطابق الاول, الطابق الثاني, السطح</v>
      </c>
      <c r="G325"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H325" s="10"/>
      <c r="I325" s="12" t="s">
        <v>22</v>
      </c>
      <c r="J325" s="13" t="s">
        <v>16</v>
      </c>
      <c r="K325" s="7">
        <v>46081.857535289353</v>
      </c>
      <c r="L325" s="14"/>
      <c r="M325" s="10"/>
      <c r="N325" s="10"/>
      <c r="O325" s="7"/>
    </row>
    <row r="326" spans="1:15" ht="75" customHeight="1">
      <c r="A326" s="7"/>
      <c r="B326" s="8"/>
      <c r="C326" s="9"/>
      <c r="D326" s="10"/>
      <c r="E326" s="10"/>
      <c r="F326" s="10"/>
      <c r="G326" s="10"/>
      <c r="H326" s="10"/>
      <c r="I326" s="12"/>
      <c r="J326" s="13"/>
      <c r="K326" s="7"/>
      <c r="L326" s="14"/>
      <c r="M326" s="10"/>
      <c r="N326" s="10"/>
      <c r="O326" s="7"/>
    </row>
    <row r="327" spans="1:15" ht="75" customHeight="1">
      <c r="A327" s="7"/>
      <c r="B327" s="8"/>
      <c r="C327" s="9"/>
      <c r="D327" s="10"/>
      <c r="E327" s="10"/>
      <c r="F327" s="10"/>
      <c r="G327" s="10"/>
      <c r="H327" s="10"/>
      <c r="I327" s="12"/>
      <c r="J327" s="13"/>
      <c r="K327" s="7"/>
      <c r="L327" s="14"/>
      <c r="M327" s="10"/>
      <c r="N327" s="10"/>
      <c r="O327" s="7"/>
    </row>
    <row r="328" spans="1:15" ht="75" customHeight="1">
      <c r="A328" s="7"/>
      <c r="B328" s="8"/>
      <c r="C328" s="9"/>
      <c r="D328" s="10"/>
      <c r="E328" s="10"/>
      <c r="F328" s="10"/>
      <c r="G328" s="10"/>
      <c r="H328" s="10"/>
      <c r="I328" s="12"/>
      <c r="J328" s="13"/>
      <c r="K328" s="7"/>
      <c r="L328" s="14"/>
      <c r="M328" s="10"/>
      <c r="N328" s="10"/>
      <c r="O328" s="7"/>
    </row>
    <row r="329" spans="1:15" ht="75" customHeight="1">
      <c r="A329" s="7"/>
      <c r="B329" s="8"/>
      <c r="C329" s="9"/>
      <c r="D329" s="10"/>
      <c r="E329" s="10"/>
      <c r="F329" s="10"/>
      <c r="G329" s="10"/>
      <c r="H329" s="10"/>
      <c r="I329" s="12"/>
      <c r="J329" s="13"/>
      <c r="K329" s="7"/>
      <c r="L329" s="14"/>
      <c r="M329" s="10"/>
      <c r="N329" s="10"/>
      <c r="O329" s="7"/>
    </row>
    <row r="330" spans="1:15" ht="75" customHeight="1">
      <c r="A330" s="7"/>
      <c r="B330" s="8"/>
      <c r="C330" s="9"/>
      <c r="D330" s="10"/>
      <c r="E330" s="10"/>
      <c r="F330" s="10"/>
      <c r="G330" s="10"/>
      <c r="H330" s="10"/>
      <c r="I330" s="12"/>
      <c r="J330" s="13"/>
      <c r="K330" s="7"/>
      <c r="L330" s="14"/>
      <c r="M330" s="10"/>
      <c r="N330" s="10"/>
      <c r="O330" s="7"/>
    </row>
    <row r="331" spans="1:15" ht="75" customHeight="1">
      <c r="A331" s="7"/>
      <c r="B331" s="8"/>
      <c r="C331" s="9"/>
      <c r="D331" s="10"/>
      <c r="E331" s="10"/>
      <c r="F331" s="10"/>
      <c r="G331" s="10"/>
      <c r="H331" s="10"/>
      <c r="I331" s="12"/>
      <c r="J331" s="13"/>
      <c r="K331" s="7"/>
      <c r="L331" s="14"/>
      <c r="M331" s="10"/>
      <c r="N331" s="10"/>
      <c r="O331" s="7"/>
    </row>
    <row r="332" spans="1:15" ht="75" customHeight="1">
      <c r="A332" s="7"/>
      <c r="B332" s="8"/>
      <c r="C332" s="9"/>
      <c r="D332" s="10"/>
      <c r="E332" s="10"/>
      <c r="F332" s="10"/>
      <c r="G332" s="10"/>
      <c r="H332" s="10"/>
      <c r="I332" s="12"/>
      <c r="J332" s="13"/>
      <c r="K332" s="7"/>
      <c r="L332" s="14"/>
      <c r="M332" s="10"/>
      <c r="N332" s="10"/>
      <c r="O332" s="7"/>
    </row>
    <row r="333" spans="1:15" ht="75" customHeight="1">
      <c r="A333" s="7"/>
      <c r="B333" s="8"/>
      <c r="C333" s="9"/>
      <c r="D333" s="10"/>
      <c r="E333" s="10"/>
      <c r="F333" s="10"/>
      <c r="G333" s="10"/>
      <c r="H333" s="10"/>
      <c r="I333" s="12"/>
      <c r="J333" s="13"/>
      <c r="K333" s="7"/>
      <c r="L333" s="14"/>
      <c r="M333" s="10"/>
      <c r="N333" s="10"/>
      <c r="O333" s="7"/>
    </row>
    <row r="334" spans="1:15" ht="75" customHeight="1">
      <c r="A334" s="7"/>
      <c r="B334" s="8"/>
      <c r="C334" s="9"/>
      <c r="D334" s="10"/>
      <c r="E334" s="10"/>
      <c r="F334" s="10"/>
      <c r="G334" s="10"/>
      <c r="H334" s="10"/>
      <c r="I334" s="12"/>
      <c r="J334" s="13"/>
      <c r="K334" s="7"/>
      <c r="L334" s="14"/>
      <c r="M334" s="10"/>
      <c r="N334" s="10"/>
      <c r="O334" s="7"/>
    </row>
    <row r="335" spans="1:15" ht="75" customHeight="1">
      <c r="A335" s="7"/>
      <c r="B335" s="8"/>
      <c r="C335" s="9"/>
      <c r="D335" s="10"/>
      <c r="E335" s="10"/>
      <c r="F335" s="10"/>
      <c r="G335" s="10"/>
      <c r="H335" s="10"/>
      <c r="I335" s="12"/>
      <c r="J335" s="13"/>
      <c r="K335" s="7"/>
      <c r="L335" s="14"/>
      <c r="M335" s="10"/>
      <c r="N335" s="10"/>
      <c r="O335" s="7"/>
    </row>
    <row r="336" spans="1:15" ht="75" customHeight="1">
      <c r="A336" s="7"/>
      <c r="B336" s="8"/>
      <c r="C336" s="9"/>
      <c r="D336" s="10"/>
      <c r="E336" s="10"/>
      <c r="F336" s="10"/>
      <c r="G336" s="10"/>
      <c r="H336" s="10"/>
      <c r="I336" s="12"/>
      <c r="J336" s="13"/>
      <c r="K336" s="7"/>
      <c r="L336" s="14"/>
      <c r="M336" s="10"/>
      <c r="N336" s="10"/>
      <c r="O336" s="7"/>
    </row>
    <row r="337" spans="1:15" ht="75" customHeight="1">
      <c r="A337" s="7"/>
      <c r="B337" s="8"/>
      <c r="C337" s="9"/>
      <c r="D337" s="10"/>
      <c r="E337" s="10"/>
      <c r="F337" s="10"/>
      <c r="G337" s="10"/>
      <c r="H337" s="10"/>
      <c r="I337" s="12"/>
      <c r="J337" s="13"/>
      <c r="K337" s="7"/>
      <c r="L337" s="14"/>
      <c r="M337" s="10"/>
      <c r="N337" s="10"/>
      <c r="O337" s="7"/>
    </row>
    <row r="338" spans="1:15" ht="75" customHeight="1">
      <c r="A338" s="7"/>
      <c r="B338" s="8"/>
      <c r="C338" s="9"/>
      <c r="D338" s="10"/>
      <c r="E338" s="10"/>
      <c r="F338" s="10"/>
      <c r="G338" s="10"/>
      <c r="H338" s="10"/>
      <c r="I338" s="12"/>
      <c r="J338" s="13"/>
      <c r="K338" s="7"/>
      <c r="L338" s="14"/>
      <c r="M338" s="10"/>
      <c r="N338" s="10"/>
      <c r="O338" s="7"/>
    </row>
    <row r="339" spans="1:15" ht="75" customHeight="1">
      <c r="A339" s="7"/>
      <c r="B339" s="8"/>
      <c r="C339" s="9"/>
      <c r="D339" s="10"/>
      <c r="E339" s="10"/>
      <c r="F339" s="10"/>
      <c r="G339" s="10"/>
      <c r="H339" s="10"/>
      <c r="I339" s="12"/>
      <c r="J339" s="13"/>
      <c r="K339" s="7"/>
      <c r="L339" s="14"/>
      <c r="M339" s="10"/>
      <c r="N339" s="10"/>
      <c r="O339" s="7"/>
    </row>
    <row r="340" spans="1:15" ht="75" customHeight="1">
      <c r="A340" s="7"/>
      <c r="B340" s="8"/>
      <c r="C340" s="9"/>
      <c r="D340" s="10"/>
      <c r="E340" s="10"/>
      <c r="F340" s="10"/>
      <c r="G340" s="10"/>
      <c r="H340" s="10"/>
      <c r="I340" s="12"/>
      <c r="J340" s="13"/>
      <c r="K340" s="7"/>
      <c r="L340" s="14"/>
      <c r="M340" s="10"/>
      <c r="N340" s="10"/>
      <c r="O340" s="7"/>
    </row>
    <row r="341" spans="1:15" ht="75" customHeight="1">
      <c r="A341" s="7"/>
      <c r="B341" s="8"/>
      <c r="C341" s="9"/>
      <c r="D341" s="10"/>
      <c r="E341" s="10"/>
      <c r="F341" s="10"/>
      <c r="G341" s="10"/>
      <c r="H341" s="10"/>
      <c r="I341" s="12"/>
      <c r="J341" s="13"/>
      <c r="K341" s="7"/>
      <c r="L341" s="14"/>
      <c r="M341" s="10"/>
      <c r="N341" s="10"/>
      <c r="O341" s="7"/>
    </row>
    <row r="342" spans="1:15" ht="75" customHeight="1">
      <c r="A342" s="7"/>
      <c r="B342" s="8"/>
      <c r="C342" s="9"/>
      <c r="D342" s="10"/>
      <c r="E342" s="10"/>
      <c r="F342" s="10"/>
      <c r="G342" s="10"/>
      <c r="H342" s="10"/>
      <c r="I342" s="12"/>
      <c r="J342" s="13"/>
      <c r="K342" s="7"/>
      <c r="L342" s="14"/>
      <c r="M342" s="10"/>
      <c r="N342" s="10"/>
      <c r="O342" s="7"/>
    </row>
    <row r="343" spans="1:15" ht="75" customHeight="1">
      <c r="A343" s="7"/>
      <c r="B343" s="8"/>
      <c r="C343" s="9"/>
      <c r="D343" s="10"/>
      <c r="E343" s="10"/>
      <c r="F343" s="10"/>
      <c r="G343" s="10"/>
      <c r="H343" s="10"/>
      <c r="I343" s="12"/>
      <c r="J343" s="13"/>
      <c r="K343" s="7"/>
      <c r="L343" s="14"/>
      <c r="M343" s="10"/>
      <c r="N343" s="10"/>
      <c r="O343" s="7"/>
    </row>
    <row r="344" spans="1:15" ht="75" customHeight="1">
      <c r="A344" s="7"/>
      <c r="B344" s="8"/>
      <c r="C344" s="9"/>
      <c r="D344" s="10"/>
      <c r="E344" s="10"/>
      <c r="F344" s="10"/>
      <c r="G344" s="10"/>
      <c r="H344" s="10"/>
      <c r="I344" s="12"/>
      <c r="J344" s="13"/>
      <c r="K344" s="7"/>
      <c r="L344" s="14"/>
      <c r="M344" s="10"/>
      <c r="N344" s="10"/>
      <c r="O344" s="7"/>
    </row>
    <row r="345" spans="1:15" ht="75" customHeight="1">
      <c r="A345" s="7"/>
      <c r="B345" s="8"/>
      <c r="C345" s="9"/>
      <c r="D345" s="10"/>
      <c r="E345" s="10"/>
      <c r="F345" s="10"/>
      <c r="G345" s="10"/>
      <c r="H345" s="10"/>
      <c r="I345" s="12"/>
      <c r="J345" s="13"/>
      <c r="K345" s="7"/>
      <c r="L345" s="14"/>
      <c r="M345" s="10"/>
      <c r="N345" s="10"/>
      <c r="O345" s="7"/>
    </row>
    <row r="346" spans="1:15" ht="75" customHeight="1">
      <c r="A346" s="7"/>
      <c r="B346" s="8"/>
      <c r="C346" s="9"/>
      <c r="D346" s="10"/>
      <c r="E346" s="10"/>
      <c r="F346" s="10"/>
      <c r="G346" s="10"/>
      <c r="H346" s="10"/>
      <c r="I346" s="12"/>
      <c r="J346" s="13"/>
      <c r="K346" s="7"/>
      <c r="L346" s="14"/>
      <c r="M346" s="10"/>
      <c r="N346" s="10"/>
      <c r="O346" s="7"/>
    </row>
    <row r="347" spans="1:15" ht="75" customHeight="1">
      <c r="A347" s="7"/>
      <c r="B347" s="8"/>
      <c r="C347" s="9"/>
      <c r="D347" s="10"/>
      <c r="E347" s="10"/>
      <c r="F347" s="10"/>
      <c r="G347" s="10"/>
      <c r="H347" s="10"/>
      <c r="I347" s="12"/>
      <c r="J347" s="13"/>
      <c r="K347" s="7"/>
      <c r="L347" s="14"/>
      <c r="M347" s="10"/>
      <c r="N347" s="10"/>
      <c r="O347" s="7"/>
    </row>
    <row r="348" spans="1:15" ht="75" customHeight="1">
      <c r="A348" s="7"/>
      <c r="B348" s="8"/>
      <c r="C348" s="9"/>
      <c r="D348" s="10"/>
      <c r="E348" s="10"/>
      <c r="F348" s="10"/>
      <c r="G348" s="10"/>
      <c r="H348" s="10"/>
      <c r="I348" s="12"/>
      <c r="J348" s="13"/>
      <c r="K348" s="7"/>
      <c r="L348" s="14"/>
      <c r="M348" s="10"/>
      <c r="N348" s="10"/>
      <c r="O348" s="7"/>
    </row>
    <row r="349" spans="1:15" ht="75" customHeight="1">
      <c r="A349" s="7"/>
      <c r="B349" s="8"/>
      <c r="C349" s="9"/>
      <c r="D349" s="10"/>
      <c r="E349" s="10"/>
      <c r="F349" s="10"/>
      <c r="G349" s="10"/>
      <c r="H349" s="10"/>
      <c r="I349" s="12"/>
      <c r="J349" s="13"/>
      <c r="K349" s="7"/>
      <c r="L349" s="14"/>
      <c r="M349" s="10"/>
      <c r="N349" s="10"/>
      <c r="O349" s="7"/>
    </row>
    <row r="350" spans="1:15" ht="75" customHeight="1">
      <c r="A350" s="7"/>
      <c r="B350" s="8"/>
      <c r="C350" s="9"/>
      <c r="D350" s="10"/>
      <c r="E350" s="10"/>
      <c r="F350" s="10"/>
      <c r="G350" s="10"/>
      <c r="H350" s="10"/>
      <c r="I350" s="12"/>
      <c r="J350" s="13"/>
      <c r="K350" s="7"/>
      <c r="L350" s="14"/>
      <c r="M350" s="10"/>
      <c r="N350" s="10"/>
      <c r="O350" s="7"/>
    </row>
    <row r="351" spans="1:15" ht="75" customHeight="1">
      <c r="A351" s="7"/>
      <c r="B351" s="8"/>
      <c r="C351" s="9"/>
      <c r="D351" s="10"/>
      <c r="E351" s="10"/>
      <c r="F351" s="10"/>
      <c r="G351" s="10"/>
      <c r="H351" s="10"/>
      <c r="I351" s="12"/>
      <c r="J351" s="13"/>
      <c r="K351" s="7"/>
      <c r="L351" s="14"/>
      <c r="M351" s="10"/>
      <c r="N351" s="10"/>
      <c r="O351" s="7"/>
    </row>
    <row r="352" spans="1:15" ht="75" customHeight="1">
      <c r="A352" s="7"/>
      <c r="B352" s="8"/>
      <c r="C352" s="9"/>
      <c r="D352" s="10"/>
      <c r="E352" s="10"/>
      <c r="F352" s="10"/>
      <c r="G352" s="10"/>
      <c r="H352" s="10"/>
      <c r="I352" s="12"/>
      <c r="J352" s="13"/>
      <c r="K352" s="7"/>
      <c r="L352" s="14"/>
      <c r="M352" s="10"/>
      <c r="N352" s="10"/>
      <c r="O352" s="7"/>
    </row>
    <row r="353" spans="1:15" ht="75" customHeight="1">
      <c r="A353" s="7"/>
      <c r="B353" s="8"/>
      <c r="C353" s="9"/>
      <c r="D353" s="10"/>
      <c r="E353" s="10"/>
      <c r="F353" s="10"/>
      <c r="G353" s="10"/>
      <c r="H353" s="10"/>
      <c r="I353" s="12"/>
      <c r="J353" s="13"/>
      <c r="K353" s="7"/>
      <c r="L353" s="14"/>
      <c r="M353" s="10"/>
      <c r="N353" s="10"/>
      <c r="O353" s="7"/>
    </row>
    <row r="354" spans="1:15" ht="75" customHeight="1">
      <c r="A354" s="7"/>
      <c r="B354" s="8"/>
      <c r="C354" s="9"/>
      <c r="D354" s="10"/>
      <c r="E354" s="10"/>
      <c r="F354" s="10"/>
      <c r="G354" s="10"/>
      <c r="H354" s="10"/>
      <c r="I354" s="12"/>
      <c r="J354" s="13"/>
      <c r="K354" s="7"/>
      <c r="L354" s="14"/>
      <c r="M354" s="10"/>
      <c r="N354" s="10"/>
      <c r="O354" s="7"/>
    </row>
    <row r="355" spans="1:15" ht="75" customHeight="1">
      <c r="A355" s="7"/>
      <c r="B355" s="8"/>
      <c r="C355" s="9"/>
      <c r="D355" s="10"/>
      <c r="E355" s="10"/>
      <c r="F355" s="10"/>
      <c r="G355" s="10"/>
      <c r="H355" s="10"/>
      <c r="I355" s="12"/>
      <c r="J355" s="13"/>
      <c r="K355" s="7"/>
      <c r="L355" s="14"/>
      <c r="M355" s="10"/>
      <c r="N355" s="10"/>
      <c r="O355" s="7"/>
    </row>
    <row r="356" spans="1:15" ht="75" customHeight="1">
      <c r="A356" s="7"/>
      <c r="B356" s="8"/>
      <c r="C356" s="9"/>
      <c r="D356" s="10"/>
      <c r="E356" s="10"/>
      <c r="F356" s="10"/>
      <c r="G356" s="10"/>
      <c r="H356" s="10"/>
      <c r="I356" s="12"/>
      <c r="J356" s="13"/>
      <c r="K356" s="7"/>
      <c r="L356" s="14"/>
      <c r="M356" s="10"/>
      <c r="N356" s="10"/>
      <c r="O356" s="7"/>
    </row>
    <row r="357" spans="1:15" ht="75" customHeight="1">
      <c r="A357" s="7"/>
      <c r="B357" s="8"/>
      <c r="C357" s="9"/>
      <c r="D357" s="10"/>
      <c r="E357" s="10"/>
      <c r="F357" s="10"/>
      <c r="G357" s="10"/>
      <c r="H357" s="10"/>
      <c r="I357" s="12"/>
      <c r="J357" s="13"/>
      <c r="K357" s="7"/>
      <c r="L357" s="14"/>
      <c r="M357" s="10"/>
      <c r="N357" s="10"/>
      <c r="O357" s="7"/>
    </row>
    <row r="358" spans="1:15" ht="75" customHeight="1">
      <c r="A358" s="7"/>
      <c r="B358" s="8"/>
      <c r="C358" s="9"/>
      <c r="D358" s="10"/>
      <c r="E358" s="10"/>
      <c r="F358" s="10"/>
      <c r="G358" s="10"/>
      <c r="H358" s="10"/>
      <c r="I358" s="12"/>
      <c r="J358" s="13"/>
      <c r="K358" s="7"/>
      <c r="L358" s="14"/>
      <c r="M358" s="10"/>
      <c r="N358" s="10"/>
      <c r="O358" s="7"/>
    </row>
    <row r="359" spans="1:15" ht="75" customHeight="1">
      <c r="A359" s="7"/>
      <c r="B359" s="8"/>
      <c r="C359" s="9"/>
      <c r="D359" s="10"/>
      <c r="E359" s="10"/>
      <c r="F359" s="10"/>
      <c r="G359" s="10"/>
      <c r="H359" s="10"/>
      <c r="I359" s="12"/>
      <c r="J359" s="13"/>
      <c r="K359" s="7"/>
      <c r="L359" s="14"/>
      <c r="M359" s="10"/>
      <c r="N359" s="10"/>
      <c r="O359" s="7"/>
    </row>
    <row r="360" spans="1:15" ht="75" customHeight="1">
      <c r="A360" s="7"/>
      <c r="B360" s="8"/>
      <c r="C360" s="9"/>
      <c r="D360" s="10"/>
      <c r="E360" s="10"/>
      <c r="F360" s="10"/>
      <c r="G360" s="10"/>
      <c r="H360" s="10"/>
      <c r="I360" s="12"/>
      <c r="J360" s="13"/>
      <c r="K360" s="7"/>
      <c r="L360" s="14"/>
      <c r="M360" s="10"/>
      <c r="N360" s="10"/>
      <c r="O360" s="7"/>
    </row>
    <row r="361" spans="1:15" ht="75" customHeight="1">
      <c r="A361" s="7"/>
      <c r="B361" s="8"/>
      <c r="C361" s="9"/>
      <c r="D361" s="10"/>
      <c r="F361" s="10"/>
      <c r="G361" s="10"/>
      <c r="H361" s="10"/>
      <c r="I361" s="12"/>
      <c r="J361" s="13"/>
      <c r="K361" s="7"/>
      <c r="L361" s="14"/>
      <c r="M361" s="10"/>
      <c r="N361" s="10"/>
      <c r="O361" s="7"/>
    </row>
    <row r="362" spans="1:15" ht="75" customHeight="1">
      <c r="A362" s="7"/>
      <c r="B362" s="8"/>
      <c r="C362" s="9"/>
      <c r="D362" s="10"/>
      <c r="E362" s="10"/>
      <c r="F362" s="10"/>
      <c r="G362" s="10"/>
      <c r="H362" s="10"/>
      <c r="I362" s="12"/>
      <c r="J362" s="13"/>
      <c r="K362" s="7"/>
      <c r="L362" s="14"/>
      <c r="M362" s="10"/>
      <c r="N362" s="10"/>
      <c r="O362" s="7"/>
    </row>
    <row r="363" spans="1:15" ht="75" customHeight="1">
      <c r="A363" s="7"/>
      <c r="B363" s="8"/>
      <c r="C363" s="9"/>
      <c r="D363" s="10"/>
      <c r="E363" s="10"/>
      <c r="F363" s="10"/>
      <c r="G363" s="10"/>
      <c r="H363" s="10"/>
      <c r="I363" s="12"/>
      <c r="J363" s="13"/>
      <c r="K363" s="7"/>
      <c r="L363" s="14"/>
      <c r="M363" s="10"/>
      <c r="N363" s="10"/>
      <c r="O363" s="7"/>
    </row>
    <row r="364" spans="1:15" ht="75" customHeight="1">
      <c r="A364" s="7"/>
      <c r="B364" s="8"/>
      <c r="C364" s="9"/>
      <c r="D364" s="10"/>
      <c r="E364" s="10"/>
      <c r="F364" s="10"/>
      <c r="G364" s="10"/>
      <c r="H364" s="10"/>
      <c r="I364" s="12"/>
      <c r="J364" s="13"/>
      <c r="K364" s="7"/>
      <c r="L364" s="14"/>
      <c r="M364" s="10"/>
      <c r="N364" s="10"/>
      <c r="O364" s="7"/>
    </row>
    <row r="365" spans="1:15" ht="75" customHeight="1">
      <c r="A365" s="7"/>
      <c r="B365" s="8"/>
      <c r="C365" s="9"/>
      <c r="D365" s="10"/>
      <c r="E365" s="10"/>
      <c r="F365" s="10"/>
      <c r="G365" s="10"/>
      <c r="H365" s="10"/>
      <c r="I365" s="12"/>
      <c r="J365" s="13"/>
      <c r="K365" s="7"/>
      <c r="L365" s="14"/>
      <c r="M365" s="10"/>
      <c r="N365" s="10"/>
      <c r="O365" s="7"/>
    </row>
    <row r="366" spans="1:15" ht="75" customHeight="1">
      <c r="A366" s="7"/>
      <c r="B366" s="8"/>
      <c r="C366" s="9"/>
      <c r="D366" s="10"/>
      <c r="E366" s="10"/>
      <c r="F366" s="10"/>
      <c r="G366" s="10"/>
      <c r="H366" s="10"/>
      <c r="I366" s="12"/>
      <c r="J366" s="13"/>
      <c r="K366" s="7"/>
      <c r="L366" s="14"/>
      <c r="M366" s="10"/>
      <c r="N366" s="10"/>
      <c r="O366" s="7"/>
    </row>
    <row r="367" spans="1:15" ht="75" customHeight="1">
      <c r="A367" s="7"/>
      <c r="B367" s="8"/>
      <c r="C367" s="9"/>
      <c r="D367" s="10"/>
      <c r="E367" s="10"/>
      <c r="F367" s="10"/>
      <c r="G367" s="10"/>
      <c r="H367" s="10"/>
      <c r="I367" s="12"/>
      <c r="J367" s="13"/>
      <c r="K367" s="7"/>
      <c r="L367" s="14"/>
      <c r="M367" s="10"/>
      <c r="N367" s="10"/>
      <c r="O367" s="7"/>
    </row>
    <row r="368" spans="1:15" ht="75" customHeight="1">
      <c r="A368" s="7"/>
      <c r="B368" s="8"/>
      <c r="C368" s="9"/>
      <c r="D368" s="10"/>
      <c r="E368" s="10"/>
      <c r="F368" s="10"/>
      <c r="G368" s="10"/>
      <c r="H368" s="10"/>
      <c r="I368" s="12"/>
      <c r="J368" s="13"/>
      <c r="K368" s="7"/>
      <c r="L368" s="14"/>
      <c r="M368" s="10"/>
      <c r="N368" s="10"/>
      <c r="O368" s="7"/>
    </row>
    <row r="369" spans="1:15" ht="75" customHeight="1">
      <c r="A369" s="7"/>
      <c r="B369" s="8"/>
      <c r="C369" s="9"/>
      <c r="D369" s="10"/>
      <c r="E369" s="10"/>
      <c r="F369" s="10"/>
      <c r="G369" s="10"/>
      <c r="H369" s="10"/>
      <c r="I369" s="12"/>
      <c r="J369" s="13"/>
      <c r="K369" s="7"/>
      <c r="L369" s="14"/>
      <c r="M369" s="10"/>
      <c r="N369" s="10"/>
      <c r="O369" s="7"/>
    </row>
    <row r="370" spans="1:15" ht="75" customHeight="1">
      <c r="A370" s="7"/>
      <c r="B370" s="8"/>
      <c r="C370" s="9"/>
      <c r="D370" s="10"/>
      <c r="E370" s="10"/>
      <c r="F370" s="10"/>
      <c r="G370" s="10"/>
      <c r="H370" s="10"/>
      <c r="I370" s="12"/>
      <c r="J370" s="13"/>
      <c r="K370" s="7"/>
      <c r="L370" s="14"/>
      <c r="M370" s="10"/>
      <c r="N370" s="10"/>
      <c r="O370" s="7"/>
    </row>
    <row r="371" spans="1:15" ht="75" customHeight="1">
      <c r="A371" s="7"/>
      <c r="B371" s="8"/>
      <c r="C371" s="9"/>
      <c r="D371" s="10"/>
      <c r="E371" s="10"/>
      <c r="F371" s="10"/>
      <c r="G371" s="10"/>
      <c r="H371" s="10"/>
      <c r="I371" s="12"/>
      <c r="J371" s="13"/>
      <c r="K371" s="7"/>
      <c r="L371" s="14"/>
      <c r="M371" s="10"/>
      <c r="N371" s="10"/>
      <c r="O371" s="7"/>
    </row>
    <row r="372" spans="1:15" ht="75" customHeight="1">
      <c r="A372" s="7"/>
      <c r="B372" s="8"/>
      <c r="C372" s="9"/>
      <c r="D372" s="10"/>
      <c r="E372" s="10"/>
      <c r="F372" s="10"/>
      <c r="G372" s="10"/>
      <c r="H372" s="10"/>
      <c r="I372" s="12"/>
      <c r="J372" s="13"/>
      <c r="K372" s="7"/>
      <c r="L372" s="14"/>
      <c r="M372" s="10"/>
      <c r="N372" s="10"/>
      <c r="O372" s="7"/>
    </row>
    <row r="373" spans="1:15" ht="75" customHeight="1">
      <c r="A373" s="7"/>
      <c r="B373" s="8"/>
      <c r="C373" s="9"/>
      <c r="D373" s="10"/>
      <c r="E373" s="10"/>
      <c r="F373" s="10"/>
      <c r="G373" s="10"/>
      <c r="H373" s="10"/>
      <c r="I373" s="12"/>
      <c r="J373" s="13"/>
      <c r="K373" s="7"/>
      <c r="L373" s="14"/>
      <c r="M373" s="10"/>
      <c r="N373" s="10"/>
      <c r="O373" s="7"/>
    </row>
    <row r="374" spans="1:15" ht="75" customHeight="1">
      <c r="A374" s="7"/>
      <c r="B374" s="8"/>
      <c r="C374" s="9"/>
      <c r="D374" s="10"/>
      <c r="E374" s="10"/>
      <c r="F374" s="10"/>
      <c r="G374" s="10"/>
      <c r="H374" s="10"/>
      <c r="I374" s="12"/>
      <c r="J374" s="13"/>
      <c r="K374" s="7"/>
      <c r="L374" s="14"/>
      <c r="M374" s="10"/>
      <c r="N374" s="10"/>
      <c r="O374" s="7"/>
    </row>
    <row r="375" spans="1:15" ht="75" customHeight="1">
      <c r="A375" s="7"/>
      <c r="B375" s="8"/>
      <c r="C375" s="9"/>
      <c r="D375" s="10"/>
      <c r="E375" s="10"/>
      <c r="F375" s="10"/>
      <c r="G375" s="10"/>
      <c r="H375" s="10"/>
      <c r="I375" s="12"/>
      <c r="J375" s="13"/>
      <c r="K375" s="7"/>
      <c r="L375" s="14"/>
      <c r="M375" s="10"/>
      <c r="N375" s="10"/>
      <c r="O375" s="7"/>
    </row>
    <row r="376" spans="1:15" ht="75" customHeight="1">
      <c r="A376" s="7"/>
      <c r="B376" s="8"/>
      <c r="C376" s="9"/>
      <c r="D376" s="10"/>
      <c r="E376" s="10"/>
      <c r="F376" s="10"/>
      <c r="G376" s="10"/>
      <c r="H376" s="10"/>
      <c r="I376" s="12"/>
      <c r="J376" s="13"/>
      <c r="K376" s="7"/>
      <c r="L376" s="14"/>
      <c r="M376" s="10"/>
      <c r="N376" s="10"/>
      <c r="O376" s="7"/>
    </row>
    <row r="377" spans="1:15" ht="75" customHeight="1">
      <c r="A377" s="7"/>
      <c r="B377" s="8"/>
      <c r="C377" s="9"/>
      <c r="D377" s="10"/>
      <c r="E377" s="10"/>
      <c r="F377" s="10"/>
      <c r="G377" s="10"/>
      <c r="H377" s="10"/>
      <c r="I377" s="12"/>
      <c r="J377" s="13"/>
      <c r="K377" s="7"/>
      <c r="L377" s="14"/>
      <c r="M377" s="10"/>
      <c r="N377" s="10"/>
      <c r="O377" s="7"/>
    </row>
    <row r="378" spans="1:15" ht="75" customHeight="1">
      <c r="A378" s="7"/>
      <c r="B378" s="8"/>
      <c r="C378" s="9"/>
      <c r="D378" s="10"/>
      <c r="E378" s="10"/>
      <c r="F378" s="10"/>
      <c r="G378" s="10"/>
      <c r="H378" s="10"/>
      <c r="I378" s="12"/>
      <c r="J378" s="13"/>
      <c r="K378" s="7"/>
      <c r="L378" s="14"/>
      <c r="M378" s="10"/>
      <c r="N378" s="10"/>
      <c r="O378" s="7"/>
    </row>
    <row r="379" spans="1:15" ht="75" customHeight="1">
      <c r="A379" s="7"/>
      <c r="B379" s="8"/>
      <c r="C379" s="9"/>
      <c r="D379" s="10"/>
      <c r="E379" s="10"/>
      <c r="F379" s="10"/>
      <c r="G379" s="10"/>
      <c r="H379" s="10"/>
      <c r="I379" s="12"/>
      <c r="J379" s="13"/>
      <c r="K379" s="7"/>
      <c r="L379" s="14"/>
      <c r="M379" s="10"/>
      <c r="N379" s="10"/>
      <c r="O379" s="7"/>
    </row>
    <row r="380" spans="1:15" ht="75" customHeight="1">
      <c r="A380" s="7"/>
      <c r="B380" s="8"/>
      <c r="C380" s="9"/>
      <c r="D380" s="10"/>
      <c r="E380" s="10"/>
      <c r="F380" s="10"/>
      <c r="G380" s="10"/>
      <c r="H380" s="10"/>
      <c r="I380" s="12"/>
      <c r="J380" s="13"/>
      <c r="K380" s="7"/>
      <c r="L380" s="14"/>
      <c r="M380" s="10"/>
      <c r="N380" s="10"/>
      <c r="O380" s="7"/>
    </row>
    <row r="381" spans="1:15" ht="75" customHeight="1">
      <c r="A381" s="7"/>
      <c r="B381" s="8"/>
      <c r="C381" s="9"/>
      <c r="D381" s="10"/>
      <c r="E381" s="10"/>
      <c r="F381" s="10"/>
      <c r="G381" s="10"/>
      <c r="H381" s="10"/>
      <c r="I381" s="12"/>
      <c r="J381" s="13"/>
      <c r="K381" s="7"/>
      <c r="L381" s="14"/>
      <c r="M381" s="10"/>
      <c r="N381" s="10"/>
      <c r="O381" s="7"/>
    </row>
    <row r="382" spans="1:15" ht="75" customHeight="1">
      <c r="A382" s="7"/>
      <c r="B382" s="8"/>
      <c r="C382" s="9"/>
      <c r="D382" s="10"/>
      <c r="E382" s="10"/>
      <c r="F382" s="10"/>
      <c r="G382" s="10"/>
      <c r="H382" s="10"/>
      <c r="I382" s="12"/>
      <c r="J382" s="13"/>
      <c r="K382" s="7"/>
      <c r="L382" s="14"/>
      <c r="M382" s="10"/>
      <c r="N382" s="10"/>
      <c r="O382" s="7"/>
    </row>
    <row r="383" spans="1:15" ht="75" customHeight="1">
      <c r="A383" s="7"/>
      <c r="B383" s="8"/>
      <c r="C383" s="9"/>
      <c r="D383" s="10"/>
      <c r="E383" s="10"/>
      <c r="F383" s="10"/>
      <c r="G383" s="10"/>
      <c r="H383" s="10"/>
      <c r="I383" s="12"/>
      <c r="J383" s="13"/>
      <c r="K383" s="7"/>
      <c r="L383" s="14"/>
      <c r="M383" s="10"/>
      <c r="N383" s="10"/>
      <c r="O383" s="7"/>
    </row>
    <row r="384" spans="1:15" ht="75" customHeight="1">
      <c r="A384" s="7"/>
      <c r="B384" s="8"/>
      <c r="C384" s="9"/>
      <c r="D384" s="10"/>
      <c r="E384" s="10"/>
      <c r="F384" s="10"/>
      <c r="G384" s="10"/>
      <c r="H384" s="10"/>
      <c r="I384" s="12"/>
      <c r="J384" s="13"/>
      <c r="K384" s="7"/>
      <c r="L384" s="14"/>
      <c r="M384" s="10"/>
      <c r="N384" s="10"/>
      <c r="O384" s="7"/>
    </row>
    <row r="385" spans="1:15" ht="75" customHeight="1">
      <c r="A385" s="7"/>
      <c r="B385" s="8"/>
      <c r="C385" s="9"/>
      <c r="D385" s="10"/>
      <c r="E385" s="10"/>
      <c r="F385" s="10"/>
      <c r="G385" s="10"/>
      <c r="H385" s="10"/>
      <c r="I385" s="12"/>
      <c r="J385" s="13"/>
      <c r="K385" s="7"/>
      <c r="L385" s="14"/>
      <c r="M385" s="10"/>
      <c r="N385" s="10"/>
      <c r="O385" s="7"/>
    </row>
    <row r="386" spans="1:15" ht="75" customHeight="1">
      <c r="A386" s="7"/>
      <c r="B386" s="8"/>
      <c r="C386" s="9"/>
      <c r="D386" s="10"/>
      <c r="E386" s="10"/>
      <c r="F386" s="10"/>
      <c r="G386" s="10"/>
      <c r="H386" s="10"/>
      <c r="I386" s="12"/>
      <c r="J386" s="13"/>
      <c r="K386" s="7"/>
      <c r="L386" s="14"/>
      <c r="M386" s="10"/>
      <c r="N386" s="10"/>
      <c r="O386" s="7"/>
    </row>
    <row r="387" spans="1:15" ht="75" customHeight="1">
      <c r="A387" s="7"/>
      <c r="B387" s="8"/>
      <c r="C387" s="9"/>
      <c r="D387" s="10"/>
      <c r="E387" s="10"/>
      <c r="F387" s="10"/>
      <c r="G387" s="10"/>
      <c r="H387" s="10"/>
      <c r="I387" s="12"/>
      <c r="J387" s="13"/>
      <c r="K387" s="7"/>
      <c r="L387" s="14"/>
      <c r="M387" s="10"/>
      <c r="N387" s="10"/>
      <c r="O387" s="7"/>
    </row>
    <row r="388" spans="1:15" ht="75" customHeight="1">
      <c r="A388" s="7"/>
      <c r="B388" s="8"/>
      <c r="C388" s="9"/>
      <c r="D388" s="10"/>
      <c r="E388" s="10"/>
      <c r="F388" s="10"/>
      <c r="G388" s="10"/>
      <c r="H388" s="10"/>
      <c r="I388" s="12"/>
      <c r="J388" s="13"/>
      <c r="K388" s="7"/>
      <c r="L388" s="14"/>
      <c r="M388" s="10"/>
      <c r="N388" s="10"/>
      <c r="O388" s="7"/>
    </row>
    <row r="389" spans="1:15" ht="75" customHeight="1">
      <c r="A389" s="7"/>
      <c r="B389" s="8"/>
      <c r="C389" s="9"/>
      <c r="D389" s="10"/>
      <c r="E389" s="10"/>
      <c r="F389" s="10"/>
      <c r="G389" s="10"/>
      <c r="H389" s="10"/>
      <c r="I389" s="12"/>
      <c r="J389" s="13"/>
      <c r="K389" s="7"/>
      <c r="L389" s="14"/>
      <c r="M389" s="10"/>
      <c r="N389" s="10"/>
      <c r="O389" s="7"/>
    </row>
    <row r="390" spans="1:15" ht="75" customHeight="1">
      <c r="A390" s="7"/>
      <c r="B390" s="8"/>
      <c r="C390" s="9"/>
      <c r="D390" s="10"/>
      <c r="E390" s="10"/>
      <c r="F390" s="10"/>
      <c r="G390" s="10"/>
      <c r="H390" s="10"/>
      <c r="I390" s="12"/>
      <c r="J390" s="13"/>
      <c r="K390" s="7"/>
      <c r="L390" s="14"/>
      <c r="M390" s="10"/>
      <c r="N390" s="10"/>
      <c r="O390" s="7"/>
    </row>
    <row r="391" spans="1:15" ht="75" customHeight="1">
      <c r="A391" s="7"/>
      <c r="B391" s="8"/>
      <c r="C391" s="9"/>
      <c r="D391" s="10"/>
      <c r="E391" s="10"/>
      <c r="F391" s="10"/>
      <c r="G391" s="10"/>
      <c r="H391" s="10"/>
      <c r="I391" s="12"/>
      <c r="J391" s="13"/>
      <c r="K391" s="7"/>
      <c r="L391" s="14"/>
      <c r="M391" s="10"/>
      <c r="N391" s="10"/>
      <c r="O391" s="7"/>
    </row>
    <row r="392" spans="1:15" ht="75" customHeight="1">
      <c r="A392" s="7"/>
      <c r="B392" s="8"/>
      <c r="C392" s="9"/>
      <c r="D392" s="10"/>
      <c r="E392" s="10"/>
      <c r="F392" s="10"/>
      <c r="G392" s="10"/>
      <c r="H392" s="10"/>
      <c r="I392" s="12"/>
      <c r="J392" s="13"/>
      <c r="K392" s="7"/>
      <c r="L392" s="14"/>
      <c r="M392" s="10"/>
      <c r="N392" s="10"/>
      <c r="O392" s="7"/>
    </row>
    <row r="393" spans="1:15" ht="75" customHeight="1">
      <c r="A393" s="7"/>
      <c r="B393" s="8"/>
      <c r="C393" s="9"/>
      <c r="D393" s="10"/>
      <c r="E393" s="10"/>
      <c r="F393" s="10"/>
      <c r="G393" s="10"/>
      <c r="H393" s="10"/>
      <c r="I393" s="12"/>
      <c r="J393" s="13"/>
      <c r="K393" s="7"/>
      <c r="L393" s="14"/>
      <c r="M393" s="10"/>
      <c r="N393" s="10"/>
      <c r="O393" s="7"/>
    </row>
    <row r="394" spans="1:15" ht="75" customHeight="1">
      <c r="A394" s="7"/>
      <c r="B394" s="8"/>
      <c r="C394" s="9"/>
      <c r="D394" s="10"/>
      <c r="E394" s="10"/>
      <c r="F394" s="10"/>
      <c r="G394" s="10"/>
      <c r="H394" s="10"/>
      <c r="I394" s="12"/>
      <c r="J394" s="13"/>
      <c r="K394" s="7"/>
      <c r="L394" s="14"/>
      <c r="M394" s="10"/>
      <c r="N394" s="10"/>
      <c r="O394" s="7"/>
    </row>
    <row r="395" spans="1:15" ht="75" customHeight="1">
      <c r="A395" s="7"/>
      <c r="B395" s="8"/>
      <c r="C395" s="9"/>
      <c r="D395" s="10"/>
      <c r="E395" s="10"/>
      <c r="F395" s="10"/>
      <c r="G395" s="10"/>
      <c r="H395" s="10"/>
      <c r="I395" s="12"/>
      <c r="J395" s="13"/>
      <c r="K395" s="7"/>
      <c r="L395" s="14"/>
      <c r="M395" s="10"/>
      <c r="N395" s="10"/>
      <c r="O395" s="7"/>
    </row>
    <row r="396" spans="1:15" ht="75" customHeight="1">
      <c r="A396" s="7"/>
      <c r="B396" s="8"/>
      <c r="C396" s="9"/>
      <c r="D396" s="10"/>
      <c r="E396" s="10"/>
      <c r="F396" s="10"/>
      <c r="G396" s="10"/>
      <c r="H396" s="10"/>
      <c r="I396" s="12"/>
      <c r="J396" s="13"/>
      <c r="K396" s="7"/>
      <c r="L396" s="14"/>
      <c r="M396" s="10"/>
      <c r="N396" s="10"/>
      <c r="O396" s="7"/>
    </row>
    <row r="397" spans="1:15" ht="75" customHeight="1">
      <c r="A397" s="7"/>
      <c r="B397" s="8"/>
      <c r="C397" s="9"/>
      <c r="D397" s="10"/>
      <c r="E397" s="10"/>
      <c r="F397" s="10"/>
      <c r="G397" s="10"/>
      <c r="H397" s="10"/>
      <c r="I397" s="12"/>
      <c r="J397" s="13"/>
      <c r="K397" s="7"/>
      <c r="L397" s="14"/>
      <c r="M397" s="10"/>
      <c r="N397" s="10"/>
      <c r="O397" s="7"/>
    </row>
    <row r="398" spans="1:15" ht="75" customHeight="1">
      <c r="A398" s="7"/>
      <c r="B398" s="8"/>
      <c r="C398" s="9"/>
      <c r="D398" s="10"/>
      <c r="E398" s="10"/>
      <c r="F398" s="10"/>
      <c r="G398" s="10"/>
      <c r="H398" s="10"/>
      <c r="I398" s="12"/>
      <c r="J398" s="13"/>
      <c r="K398" s="7"/>
      <c r="L398" s="14"/>
      <c r="M398" s="10"/>
      <c r="N398" s="10"/>
      <c r="O398" s="7"/>
    </row>
    <row r="399" spans="1:15" ht="75" customHeight="1">
      <c r="A399" s="7"/>
      <c r="B399" s="8"/>
      <c r="C399" s="9"/>
      <c r="D399" s="10"/>
      <c r="E399" s="10"/>
      <c r="F399" s="10"/>
      <c r="G399" s="10"/>
      <c r="H399" s="10"/>
      <c r="I399" s="12"/>
      <c r="J399" s="13"/>
      <c r="K399" s="7"/>
      <c r="L399" s="14"/>
      <c r="M399" s="10"/>
      <c r="N399" s="10"/>
      <c r="O399" s="7"/>
    </row>
    <row r="400" spans="1:15" ht="75" customHeight="1">
      <c r="A400" s="7"/>
      <c r="B400" s="8"/>
      <c r="C400" s="9"/>
      <c r="D400" s="10"/>
      <c r="E400" s="10"/>
      <c r="F400" s="10"/>
      <c r="G400" s="10"/>
      <c r="H400" s="10"/>
      <c r="I400" s="12"/>
      <c r="J400" s="13"/>
      <c r="K400" s="7"/>
      <c r="L400" s="14"/>
      <c r="M400" s="10"/>
      <c r="N400" s="10"/>
      <c r="O400" s="7"/>
    </row>
    <row r="401" spans="1:15" ht="75" customHeight="1">
      <c r="A401" s="7"/>
      <c r="B401" s="8"/>
      <c r="C401" s="9"/>
      <c r="D401" s="10"/>
      <c r="E401" s="10"/>
      <c r="F401" s="10"/>
      <c r="G401" s="10"/>
      <c r="H401" s="10"/>
      <c r="I401" s="12"/>
      <c r="J401" s="13"/>
      <c r="K401" s="7"/>
      <c r="L401" s="14"/>
      <c r="M401" s="10"/>
      <c r="N401" s="10"/>
      <c r="O401" s="7"/>
    </row>
    <row r="402" spans="1:15" ht="75" customHeight="1">
      <c r="A402" s="7"/>
      <c r="B402" s="8"/>
      <c r="C402" s="9"/>
      <c r="D402" s="10"/>
      <c r="E402" s="10"/>
      <c r="F402" s="10"/>
      <c r="G402" s="10"/>
      <c r="H402" s="10"/>
      <c r="I402" s="12"/>
      <c r="J402" s="13"/>
      <c r="K402" s="7"/>
      <c r="L402" s="14"/>
      <c r="M402" s="10"/>
      <c r="N402" s="10"/>
      <c r="O402" s="7"/>
    </row>
    <row r="403" spans="1:15" ht="75" customHeight="1">
      <c r="A403" s="7"/>
      <c r="B403" s="8"/>
      <c r="C403" s="9"/>
      <c r="D403" s="10"/>
      <c r="E403" s="10"/>
      <c r="F403" s="10"/>
      <c r="G403" s="10"/>
      <c r="H403" s="10"/>
      <c r="I403" s="12"/>
      <c r="J403" s="13"/>
      <c r="K403" s="7"/>
      <c r="L403" s="14"/>
      <c r="M403" s="10"/>
      <c r="N403" s="10"/>
      <c r="O403" s="7"/>
    </row>
    <row r="404" spans="1:15" ht="75" customHeight="1">
      <c r="A404" s="7"/>
      <c r="B404" s="8"/>
      <c r="C404" s="9"/>
      <c r="D404" s="10"/>
      <c r="E404" s="10"/>
      <c r="F404" s="10"/>
      <c r="G404" s="10"/>
      <c r="H404" s="10"/>
      <c r="I404" s="12"/>
      <c r="J404" s="13"/>
      <c r="K404" s="7"/>
      <c r="L404" s="14"/>
      <c r="M404" s="10"/>
      <c r="N404" s="10"/>
      <c r="O404" s="7"/>
    </row>
    <row r="405" spans="1:15" ht="75" customHeight="1">
      <c r="A405" s="7"/>
      <c r="B405" s="8"/>
      <c r="C405" s="9"/>
      <c r="D405" s="10"/>
      <c r="E405" s="10"/>
      <c r="F405" s="10"/>
      <c r="G405" s="10"/>
      <c r="H405" s="10"/>
      <c r="I405" s="12"/>
      <c r="J405" s="13"/>
      <c r="K405" s="7"/>
      <c r="L405" s="14"/>
      <c r="M405" s="10"/>
      <c r="N405" s="10"/>
      <c r="O405" s="7"/>
    </row>
    <row r="406" spans="1:15" ht="75" customHeight="1">
      <c r="A406" s="7"/>
      <c r="B406" s="8"/>
      <c r="C406" s="9"/>
      <c r="D406" s="10"/>
      <c r="E406" s="10"/>
      <c r="F406" s="10"/>
      <c r="G406" s="10"/>
      <c r="H406" s="10"/>
      <c r="I406" s="12"/>
      <c r="J406" s="13"/>
      <c r="K406" s="7"/>
      <c r="L406" s="14"/>
      <c r="M406" s="10"/>
      <c r="N406" s="10"/>
      <c r="O406" s="7"/>
    </row>
    <row r="407" spans="1:15" ht="75" customHeight="1">
      <c r="A407" s="7"/>
      <c r="B407" s="8"/>
      <c r="C407" s="9"/>
      <c r="D407" s="10"/>
      <c r="E407" s="10"/>
      <c r="F407" s="10"/>
      <c r="G407" s="10"/>
      <c r="H407" s="10"/>
      <c r="I407" s="12"/>
      <c r="J407" s="13"/>
      <c r="K407" s="7"/>
      <c r="L407" s="14"/>
      <c r="M407" s="10"/>
      <c r="N407" s="10"/>
      <c r="O407" s="7"/>
    </row>
    <row r="408" spans="1:15" ht="75" customHeight="1">
      <c r="A408" s="7"/>
      <c r="B408" s="8"/>
      <c r="C408" s="9"/>
      <c r="D408" s="10"/>
      <c r="E408" s="10"/>
      <c r="F408" s="10"/>
      <c r="G408" s="10"/>
      <c r="H408" s="10"/>
      <c r="I408" s="12"/>
      <c r="J408" s="13"/>
      <c r="K408" s="7"/>
      <c r="L408" s="14"/>
      <c r="M408" s="10"/>
      <c r="N408" s="10"/>
      <c r="O408" s="7"/>
    </row>
    <row r="409" spans="1:15" ht="75" customHeight="1">
      <c r="A409" s="7"/>
      <c r="B409" s="8"/>
      <c r="C409" s="9"/>
      <c r="D409" s="10"/>
      <c r="E409" s="10"/>
      <c r="F409" s="10"/>
      <c r="G409" s="10"/>
      <c r="H409" s="10"/>
      <c r="I409" s="12"/>
      <c r="J409" s="13"/>
      <c r="K409" s="7"/>
      <c r="L409" s="14"/>
      <c r="M409" s="10"/>
      <c r="N409" s="10"/>
      <c r="O409" s="7"/>
    </row>
    <row r="410" spans="1:15" ht="75" customHeight="1">
      <c r="A410" s="7"/>
      <c r="B410" s="8"/>
      <c r="C410" s="9"/>
      <c r="D410" s="10"/>
      <c r="E410" s="10"/>
      <c r="F410" s="10"/>
      <c r="G410" s="10"/>
      <c r="H410" s="10"/>
      <c r="I410" s="12"/>
      <c r="J410" s="13"/>
      <c r="K410" s="7"/>
      <c r="L410" s="14"/>
      <c r="M410" s="10"/>
      <c r="N410" s="10"/>
      <c r="O410" s="7"/>
    </row>
    <row r="411" spans="1:15" ht="75" customHeight="1">
      <c r="A411" s="7"/>
      <c r="B411" s="8"/>
      <c r="C411" s="9"/>
      <c r="D411" s="10"/>
      <c r="E411" s="10"/>
      <c r="F411" s="10"/>
      <c r="G411" s="10"/>
      <c r="H411" s="10"/>
      <c r="I411" s="12"/>
      <c r="J411" s="13"/>
      <c r="K411" s="7"/>
      <c r="L411" s="14"/>
      <c r="M411" s="10"/>
      <c r="N411" s="10"/>
      <c r="O411" s="7"/>
    </row>
    <row r="412" spans="1:15" ht="75" customHeight="1">
      <c r="A412" s="7"/>
      <c r="B412" s="8"/>
      <c r="C412" s="9"/>
      <c r="D412" s="10"/>
      <c r="E412" s="10"/>
      <c r="F412" s="10"/>
      <c r="G412" s="10"/>
      <c r="H412" s="10"/>
      <c r="I412" s="12"/>
      <c r="J412" s="13"/>
      <c r="K412" s="7"/>
      <c r="L412" s="14"/>
      <c r="M412" s="10"/>
      <c r="N412" s="10"/>
      <c r="O412" s="7"/>
    </row>
    <row r="413" spans="1:15" ht="75" customHeight="1">
      <c r="A413" s="7"/>
      <c r="B413" s="8"/>
      <c r="C413" s="9"/>
      <c r="D413" s="10"/>
      <c r="E413" s="10"/>
      <c r="F413" s="10"/>
      <c r="G413" s="10"/>
      <c r="H413" s="10"/>
      <c r="I413" s="12"/>
      <c r="J413" s="13"/>
      <c r="K413" s="7"/>
      <c r="L413" s="14"/>
      <c r="M413" s="10"/>
      <c r="N413" s="10"/>
      <c r="O413" s="7"/>
    </row>
    <row r="414" spans="1:15" ht="75" customHeight="1">
      <c r="A414" s="7"/>
      <c r="B414" s="8"/>
      <c r="C414" s="9"/>
      <c r="D414" s="10"/>
      <c r="E414" s="10"/>
      <c r="F414" s="10"/>
      <c r="G414" s="10"/>
      <c r="H414" s="10"/>
      <c r="I414" s="12"/>
      <c r="J414" s="13"/>
      <c r="K414" s="7"/>
      <c r="L414" s="14"/>
      <c r="M414" s="10"/>
      <c r="N414" s="10"/>
      <c r="O414" s="7"/>
    </row>
    <row r="415" spans="1:15" ht="75" customHeight="1">
      <c r="A415" s="7"/>
      <c r="B415" s="8"/>
      <c r="C415" s="9"/>
      <c r="D415" s="10"/>
      <c r="E415" s="10"/>
      <c r="F415" s="10"/>
      <c r="G415" s="10"/>
      <c r="H415" s="10"/>
      <c r="I415" s="12"/>
      <c r="J415" s="13"/>
      <c r="K415" s="7"/>
      <c r="L415" s="14"/>
      <c r="M415" s="10"/>
      <c r="N415" s="10"/>
      <c r="O415" s="7"/>
    </row>
    <row r="416" spans="1:15" ht="75" customHeight="1">
      <c r="A416" s="7"/>
      <c r="B416" s="8"/>
      <c r="C416" s="9"/>
      <c r="D416" s="10"/>
      <c r="E416" s="10"/>
      <c r="F416" s="10"/>
      <c r="G416" s="10"/>
      <c r="H416" s="10"/>
      <c r="I416" s="12"/>
      <c r="J416" s="13"/>
      <c r="K416" s="7"/>
      <c r="L416" s="14"/>
      <c r="M416" s="10"/>
      <c r="N416" s="10"/>
      <c r="O416" s="7"/>
    </row>
    <row r="417" spans="1:15" ht="75" customHeight="1">
      <c r="A417" s="7"/>
      <c r="B417" s="8"/>
      <c r="C417" s="9"/>
      <c r="D417" s="10"/>
      <c r="E417" s="10"/>
      <c r="F417" s="10"/>
      <c r="G417" s="10"/>
      <c r="H417" s="10"/>
      <c r="I417" s="12"/>
      <c r="J417" s="13"/>
      <c r="K417" s="7"/>
      <c r="L417" s="14"/>
      <c r="M417" s="10"/>
      <c r="N417" s="10"/>
      <c r="O417" s="7"/>
    </row>
    <row r="418" spans="1:15" ht="75" customHeight="1">
      <c r="A418" s="7"/>
      <c r="B418" s="8"/>
      <c r="C418" s="9"/>
      <c r="D418" s="10"/>
      <c r="E418" s="10"/>
      <c r="F418" s="10"/>
      <c r="G418" s="10"/>
      <c r="H418" s="10"/>
      <c r="I418" s="12"/>
      <c r="J418" s="13"/>
      <c r="K418" s="7"/>
      <c r="L418" s="14"/>
      <c r="M418" s="10"/>
      <c r="N418" s="10"/>
      <c r="O418" s="7"/>
    </row>
    <row r="419" spans="1:15" ht="75" customHeight="1">
      <c r="A419" s="7"/>
      <c r="B419" s="8"/>
      <c r="C419" s="9"/>
      <c r="D419" s="10"/>
      <c r="E419" s="10"/>
      <c r="F419" s="10"/>
      <c r="G419" s="10"/>
      <c r="H419" s="10"/>
      <c r="I419" s="12"/>
      <c r="J419" s="13"/>
      <c r="K419" s="7"/>
      <c r="L419" s="14"/>
      <c r="M419" s="10"/>
      <c r="N419" s="10"/>
      <c r="O419" s="7"/>
    </row>
    <row r="420" spans="1:15" ht="75" customHeight="1">
      <c r="A420" s="7"/>
      <c r="B420" s="8"/>
      <c r="C420" s="9"/>
      <c r="D420" s="10"/>
      <c r="E420" s="10"/>
      <c r="F420" s="10"/>
      <c r="G420" s="10"/>
      <c r="H420" s="10"/>
      <c r="I420" s="12"/>
      <c r="J420" s="13"/>
      <c r="K420" s="7"/>
      <c r="L420" s="14"/>
      <c r="M420" s="10"/>
      <c r="N420" s="10"/>
      <c r="O420" s="7"/>
    </row>
    <row r="421" spans="1:15" ht="75" customHeight="1">
      <c r="A421" s="7"/>
      <c r="B421" s="8"/>
      <c r="C421" s="9"/>
      <c r="D421" s="10"/>
      <c r="E421" s="10"/>
      <c r="F421" s="10"/>
      <c r="G421" s="10"/>
      <c r="H421" s="10"/>
      <c r="I421" s="12"/>
      <c r="J421" s="13"/>
      <c r="K421" s="7"/>
      <c r="L421" s="14"/>
      <c r="M421" s="10"/>
      <c r="N421" s="10"/>
      <c r="O421" s="7"/>
    </row>
    <row r="422" spans="1:15" ht="75" customHeight="1">
      <c r="A422" s="7"/>
      <c r="B422" s="8"/>
      <c r="C422" s="9"/>
      <c r="D422" s="10"/>
      <c r="E422" s="10"/>
      <c r="F422" s="10"/>
      <c r="G422" s="10"/>
      <c r="H422" s="10"/>
      <c r="I422" s="12"/>
      <c r="J422" s="13"/>
      <c r="K422" s="7"/>
      <c r="L422" s="14"/>
      <c r="M422" s="10"/>
      <c r="N422" s="10"/>
      <c r="O422" s="7"/>
    </row>
    <row r="423" spans="1:15" ht="75" customHeight="1">
      <c r="A423" s="7"/>
      <c r="B423" s="8"/>
      <c r="C423" s="9"/>
      <c r="D423" s="10"/>
      <c r="E423" s="10"/>
      <c r="F423" s="10"/>
      <c r="G423" s="10"/>
      <c r="H423" s="10"/>
      <c r="I423" s="12"/>
      <c r="J423" s="13"/>
      <c r="K423" s="7"/>
      <c r="L423" s="14"/>
      <c r="M423" s="10"/>
      <c r="N423" s="10"/>
      <c r="O423" s="7"/>
    </row>
    <row r="424" spans="1:15" ht="75" customHeight="1">
      <c r="A424" s="7"/>
      <c r="B424" s="8"/>
      <c r="C424" s="9"/>
      <c r="D424" s="10"/>
      <c r="E424" s="10"/>
      <c r="F424" s="10"/>
      <c r="G424" s="10"/>
      <c r="H424" s="10"/>
      <c r="I424" s="12"/>
      <c r="J424" s="13"/>
      <c r="K424" s="7"/>
      <c r="L424" s="14"/>
      <c r="M424" s="10"/>
      <c r="N424" s="10"/>
      <c r="O424" s="7"/>
    </row>
    <row r="425" spans="1:15" ht="75" customHeight="1">
      <c r="A425" s="7"/>
      <c r="B425" s="8"/>
      <c r="C425" s="9"/>
      <c r="D425" s="10"/>
      <c r="E425" s="10"/>
      <c r="F425" s="10"/>
      <c r="G425" s="10"/>
      <c r="H425" s="10"/>
      <c r="I425" s="12"/>
      <c r="J425" s="13"/>
      <c r="K425" s="7"/>
      <c r="L425" s="14"/>
      <c r="M425" s="10"/>
      <c r="N425" s="10"/>
      <c r="O425" s="7"/>
    </row>
    <row r="426" spans="1:15" ht="75" customHeight="1">
      <c r="A426" s="7"/>
      <c r="B426" s="8"/>
      <c r="C426" s="9"/>
      <c r="D426" s="10"/>
      <c r="E426" s="10"/>
      <c r="F426" s="10"/>
      <c r="G426" s="10"/>
      <c r="H426" s="10"/>
      <c r="I426" s="12"/>
      <c r="J426" s="13"/>
      <c r="K426" s="7"/>
      <c r="L426" s="14"/>
      <c r="M426" s="10"/>
      <c r="N426" s="10"/>
      <c r="O426" s="7"/>
    </row>
    <row r="427" spans="1:15" ht="75" customHeight="1">
      <c r="A427" s="7"/>
      <c r="B427" s="8"/>
      <c r="C427" s="9"/>
      <c r="D427" s="10"/>
      <c r="E427" s="10"/>
      <c r="F427" s="10"/>
      <c r="G427" s="10"/>
      <c r="H427" s="10"/>
      <c r="I427" s="12"/>
      <c r="J427" s="13"/>
      <c r="K427" s="7"/>
      <c r="L427" s="14"/>
      <c r="M427" s="10"/>
      <c r="N427" s="10"/>
      <c r="O427" s="7"/>
    </row>
    <row r="428" spans="1:15" ht="75" customHeight="1">
      <c r="A428" s="7"/>
      <c r="B428" s="8"/>
      <c r="C428" s="9"/>
      <c r="D428" s="10"/>
      <c r="E428" s="10"/>
      <c r="F428" s="10"/>
      <c r="G428" s="10"/>
      <c r="H428" s="10"/>
      <c r="I428" s="12"/>
      <c r="J428" s="13"/>
      <c r="K428" s="7"/>
      <c r="L428" s="14"/>
      <c r="M428" s="10"/>
      <c r="N428" s="10"/>
      <c r="O428" s="7"/>
    </row>
    <row r="429" spans="1:15" ht="75" customHeight="1">
      <c r="A429" s="7"/>
      <c r="B429" s="8"/>
      <c r="C429" s="9"/>
      <c r="D429" s="10"/>
      <c r="E429" s="10"/>
      <c r="F429" s="10"/>
      <c r="G429" s="10"/>
      <c r="H429" s="10"/>
      <c r="I429" s="12"/>
      <c r="J429" s="13"/>
      <c r="K429" s="7"/>
      <c r="L429" s="14"/>
      <c r="M429" s="10"/>
      <c r="N429" s="10"/>
      <c r="O429" s="7"/>
    </row>
    <row r="430" spans="1:15" ht="75" customHeight="1">
      <c r="A430" s="7"/>
      <c r="B430" s="8"/>
      <c r="C430" s="9"/>
      <c r="D430" s="10"/>
      <c r="E430" s="10"/>
      <c r="F430" s="10"/>
      <c r="G430" s="10"/>
      <c r="H430" s="10"/>
      <c r="I430" s="12"/>
      <c r="J430" s="13"/>
      <c r="K430" s="7"/>
      <c r="L430" s="14"/>
      <c r="M430" s="10"/>
      <c r="N430" s="10"/>
      <c r="O430" s="7"/>
    </row>
    <row r="431" spans="1:15" ht="75" customHeight="1">
      <c r="A431" s="7"/>
      <c r="B431" s="8"/>
      <c r="C431" s="9"/>
      <c r="D431" s="10"/>
      <c r="E431" s="10"/>
      <c r="F431" s="10"/>
      <c r="G431" s="10"/>
      <c r="H431" s="10"/>
      <c r="I431" s="12"/>
      <c r="J431" s="13"/>
      <c r="K431" s="7"/>
      <c r="L431" s="14"/>
      <c r="M431" s="10"/>
      <c r="N431" s="10"/>
      <c r="O431" s="7"/>
    </row>
    <row r="432" spans="1:15" ht="75" customHeight="1">
      <c r="A432" s="7"/>
      <c r="B432" s="8"/>
      <c r="C432" s="9"/>
      <c r="D432" s="10"/>
      <c r="E432" s="10"/>
      <c r="F432" s="10"/>
      <c r="G432" s="10"/>
      <c r="H432" s="10"/>
      <c r="I432" s="12"/>
      <c r="J432" s="13"/>
      <c r="K432" s="7"/>
      <c r="L432" s="14"/>
      <c r="M432" s="10"/>
      <c r="N432" s="10"/>
      <c r="O432" s="7"/>
    </row>
    <row r="433" spans="1:15" ht="75" customHeight="1">
      <c r="A433" s="7"/>
      <c r="B433" s="8"/>
      <c r="C433" s="9"/>
      <c r="D433" s="10"/>
      <c r="E433" s="10"/>
      <c r="F433" s="10"/>
      <c r="G433" s="10"/>
      <c r="H433" s="10"/>
      <c r="I433" s="12"/>
      <c r="J433" s="13"/>
      <c r="K433" s="7"/>
      <c r="L433" s="14"/>
      <c r="M433" s="10"/>
      <c r="N433" s="10"/>
      <c r="O433" s="7"/>
    </row>
    <row r="434" spans="1:15" ht="75" customHeight="1">
      <c r="A434" s="7"/>
      <c r="B434" s="8"/>
      <c r="C434" s="9"/>
      <c r="D434" s="10"/>
      <c r="E434" s="10"/>
      <c r="F434" s="10"/>
      <c r="G434" s="10"/>
      <c r="H434" s="10"/>
      <c r="I434" s="12"/>
      <c r="J434" s="13"/>
      <c r="K434" s="7"/>
      <c r="L434" s="14"/>
      <c r="M434" s="10"/>
      <c r="N434" s="10"/>
      <c r="O434" s="7"/>
    </row>
    <row r="435" spans="1:15" ht="75" customHeight="1">
      <c r="A435" s="7"/>
      <c r="B435" s="8"/>
      <c r="C435" s="9"/>
      <c r="D435" s="10"/>
      <c r="E435" s="10"/>
      <c r="F435" s="10"/>
      <c r="G435" s="10"/>
      <c r="H435" s="10"/>
      <c r="I435" s="12"/>
      <c r="J435" s="13"/>
      <c r="K435" s="7"/>
      <c r="L435" s="14"/>
      <c r="M435" s="10"/>
      <c r="N435" s="10"/>
      <c r="O435" s="7"/>
    </row>
    <row r="436" spans="1:15" ht="75" customHeight="1">
      <c r="A436" s="7"/>
      <c r="B436" s="8"/>
      <c r="C436" s="9"/>
      <c r="D436" s="10"/>
      <c r="E436" s="10"/>
      <c r="F436" s="10"/>
      <c r="G436" s="10"/>
      <c r="H436" s="10"/>
      <c r="I436" s="12"/>
      <c r="J436" s="13"/>
      <c r="K436" s="7"/>
      <c r="L436" s="14"/>
      <c r="M436" s="10"/>
      <c r="N436" s="10"/>
      <c r="O436" s="7"/>
    </row>
    <row r="437" spans="1:15" ht="75" customHeight="1">
      <c r="A437" s="7"/>
      <c r="B437" s="8"/>
      <c r="C437" s="9"/>
      <c r="D437" s="10"/>
      <c r="E437" s="10"/>
      <c r="F437" s="10"/>
      <c r="G437" s="10"/>
      <c r="H437" s="10"/>
      <c r="I437" s="12"/>
      <c r="J437" s="13"/>
      <c r="K437" s="7"/>
      <c r="L437" s="14"/>
      <c r="M437" s="10"/>
      <c r="N437" s="10"/>
      <c r="O437" s="7"/>
    </row>
    <row r="438" spans="1:15" ht="75" customHeight="1">
      <c r="A438" s="7"/>
      <c r="B438" s="8"/>
      <c r="C438" s="9"/>
      <c r="D438" s="10"/>
      <c r="E438" s="10"/>
      <c r="F438" s="10"/>
      <c r="G438" s="10"/>
      <c r="H438" s="10"/>
      <c r="I438" s="12"/>
      <c r="J438" s="13"/>
      <c r="K438" s="7"/>
      <c r="L438" s="14"/>
      <c r="M438" s="10"/>
      <c r="N438" s="10"/>
      <c r="O438" s="7"/>
    </row>
    <row r="439" spans="1:15" ht="75" customHeight="1">
      <c r="A439" s="7"/>
      <c r="B439" s="8"/>
      <c r="C439" s="9"/>
      <c r="D439" s="10"/>
      <c r="E439" s="10"/>
      <c r="F439" s="10"/>
      <c r="G439" s="10"/>
      <c r="H439" s="10"/>
      <c r="I439" s="12"/>
      <c r="J439" s="13"/>
      <c r="K439" s="7"/>
      <c r="L439" s="14"/>
      <c r="M439" s="10"/>
      <c r="N439" s="10"/>
      <c r="O439" s="7"/>
    </row>
    <row r="440" spans="1:15" ht="75" customHeight="1">
      <c r="A440" s="7"/>
      <c r="B440" s="8"/>
      <c r="C440" s="9"/>
      <c r="D440" s="10"/>
      <c r="E440" s="10"/>
      <c r="F440" s="10"/>
      <c r="G440" s="10"/>
      <c r="H440" s="10"/>
      <c r="I440" s="12"/>
      <c r="J440" s="13"/>
      <c r="K440" s="7"/>
      <c r="L440" s="14"/>
      <c r="M440" s="10"/>
      <c r="N440" s="10"/>
      <c r="O440" s="7"/>
    </row>
    <row r="441" spans="1:15" ht="75" customHeight="1">
      <c r="A441" s="7"/>
      <c r="B441" s="8"/>
      <c r="C441" s="9"/>
      <c r="D441" s="10"/>
      <c r="E441" s="10"/>
      <c r="F441" s="10"/>
      <c r="G441" s="10"/>
      <c r="H441" s="10"/>
      <c r="I441" s="12"/>
      <c r="J441" s="13"/>
      <c r="K441" s="7"/>
      <c r="L441" s="14"/>
      <c r="M441" s="10"/>
      <c r="N441" s="10"/>
      <c r="O441" s="7"/>
    </row>
    <row r="442" spans="1:15" ht="75" customHeight="1">
      <c r="A442" s="7"/>
      <c r="B442" s="8"/>
      <c r="C442" s="9"/>
      <c r="D442" s="10"/>
      <c r="E442" s="10"/>
      <c r="F442" s="10"/>
      <c r="G442" s="10"/>
      <c r="H442" s="10"/>
      <c r="I442" s="12"/>
      <c r="J442" s="13"/>
      <c r="K442" s="7"/>
      <c r="L442" s="14"/>
      <c r="M442" s="10"/>
      <c r="N442" s="10"/>
      <c r="O442" s="7"/>
    </row>
    <row r="443" spans="1:15" ht="75" customHeight="1">
      <c r="A443" s="7"/>
      <c r="B443" s="8"/>
      <c r="C443" s="9"/>
      <c r="D443" s="10"/>
      <c r="E443" s="10"/>
      <c r="F443" s="10"/>
      <c r="G443" s="10"/>
      <c r="H443" s="10"/>
      <c r="I443" s="12"/>
      <c r="J443" s="13"/>
      <c r="K443" s="7"/>
      <c r="L443" s="14"/>
      <c r="M443" s="10"/>
      <c r="N443" s="10"/>
      <c r="O443" s="7"/>
    </row>
    <row r="444" spans="1:15" ht="75" customHeight="1">
      <c r="A444" s="7"/>
      <c r="B444" s="8"/>
      <c r="C444" s="9"/>
      <c r="D444" s="10"/>
      <c r="E444" s="10"/>
      <c r="F444" s="10"/>
      <c r="G444" s="10"/>
      <c r="H444" s="10"/>
      <c r="I444" s="12"/>
      <c r="J444" s="13"/>
      <c r="K444" s="7"/>
      <c r="L444" s="14"/>
      <c r="M444" s="10"/>
      <c r="N444" s="10"/>
      <c r="O444" s="7"/>
    </row>
    <row r="445" spans="1:15" ht="75" customHeight="1">
      <c r="A445" s="7"/>
      <c r="B445" s="8"/>
      <c r="C445" s="9"/>
      <c r="D445" s="10"/>
      <c r="E445" s="10"/>
      <c r="F445" s="10"/>
      <c r="G445" s="10"/>
      <c r="H445" s="10"/>
      <c r="I445" s="12"/>
      <c r="J445" s="13"/>
      <c r="K445" s="7"/>
      <c r="L445" s="14"/>
      <c r="M445" s="10"/>
      <c r="N445" s="10"/>
      <c r="O445" s="7"/>
    </row>
    <row r="446" spans="1:15" ht="75" customHeight="1">
      <c r="A446" s="7"/>
      <c r="B446" s="8"/>
      <c r="C446" s="9"/>
      <c r="D446" s="10"/>
      <c r="E446" s="10"/>
      <c r="F446" s="10"/>
      <c r="G446" s="10"/>
      <c r="H446" s="10"/>
      <c r="I446" s="12"/>
      <c r="J446" s="13"/>
      <c r="K446" s="7"/>
      <c r="L446" s="14"/>
      <c r="M446" s="10"/>
      <c r="N446" s="10"/>
      <c r="O446" s="7"/>
    </row>
    <row r="447" spans="1:15" ht="75" customHeight="1">
      <c r="A447" s="7"/>
      <c r="B447" s="8"/>
      <c r="C447" s="9"/>
      <c r="D447" s="10"/>
      <c r="E447" s="10"/>
      <c r="F447" s="10"/>
      <c r="G447" s="10"/>
      <c r="H447" s="10"/>
      <c r="I447" s="12"/>
      <c r="J447" s="13"/>
      <c r="K447" s="7"/>
      <c r="L447" s="14"/>
      <c r="M447" s="10"/>
      <c r="N447" s="10"/>
      <c r="O447" s="7"/>
    </row>
    <row r="448" spans="1:15" ht="75" customHeight="1">
      <c r="A448" s="7"/>
      <c r="B448" s="8"/>
      <c r="C448" s="9"/>
      <c r="D448" s="10"/>
      <c r="E448" s="10"/>
      <c r="F448" s="10"/>
      <c r="G448" s="10"/>
      <c r="H448" s="10"/>
      <c r="I448" s="12"/>
      <c r="J448" s="13"/>
      <c r="K448" s="7"/>
      <c r="L448" s="14"/>
      <c r="M448" s="10"/>
      <c r="N448" s="10"/>
      <c r="O448" s="7"/>
    </row>
    <row r="449" spans="1:15" ht="75" customHeight="1">
      <c r="A449" s="7"/>
      <c r="B449" s="8"/>
      <c r="C449" s="9"/>
      <c r="D449" s="10"/>
      <c r="E449" s="10"/>
      <c r="F449" s="10"/>
      <c r="G449" s="10"/>
      <c r="H449" s="10"/>
      <c r="I449" s="12"/>
      <c r="J449" s="13"/>
      <c r="K449" s="7"/>
      <c r="L449" s="14"/>
      <c r="M449" s="10"/>
      <c r="N449" s="10"/>
      <c r="O449" s="7"/>
    </row>
    <row r="450" spans="1:15" ht="75" customHeight="1">
      <c r="A450" s="7"/>
      <c r="B450" s="8"/>
      <c r="C450" s="9"/>
      <c r="D450" s="10"/>
      <c r="E450" s="10"/>
      <c r="F450" s="10"/>
      <c r="G450" s="10"/>
      <c r="H450" s="10"/>
      <c r="I450" s="12"/>
      <c r="J450" s="13"/>
      <c r="K450" s="7"/>
      <c r="L450" s="14"/>
      <c r="M450" s="10"/>
      <c r="N450" s="10"/>
      <c r="O450" s="7"/>
    </row>
    <row r="451" spans="1:15" ht="75" customHeight="1">
      <c r="A451" s="7"/>
      <c r="B451" s="8"/>
      <c r="C451" s="9"/>
      <c r="D451" s="10"/>
      <c r="E451" s="10"/>
      <c r="F451" s="10"/>
      <c r="G451" s="10"/>
      <c r="H451" s="10"/>
      <c r="I451" s="12"/>
      <c r="J451" s="13"/>
      <c r="K451" s="7"/>
      <c r="L451" s="14"/>
      <c r="M451" s="10"/>
      <c r="N451" s="10"/>
      <c r="O451" s="7"/>
    </row>
    <row r="452" spans="1:15" ht="75" customHeight="1">
      <c r="A452" s="7"/>
      <c r="B452" s="8"/>
      <c r="C452" s="9"/>
      <c r="D452" s="10"/>
      <c r="E452" s="10"/>
      <c r="F452" s="10"/>
      <c r="G452" s="10"/>
      <c r="H452" s="10"/>
      <c r="I452" s="12"/>
      <c r="J452" s="13"/>
      <c r="K452" s="7"/>
      <c r="L452" s="14"/>
      <c r="M452" s="10"/>
      <c r="N452" s="10"/>
      <c r="O452" s="7"/>
    </row>
    <row r="453" spans="1:15" ht="75" customHeight="1">
      <c r="A453" s="7"/>
      <c r="B453" s="8"/>
      <c r="C453" s="9"/>
      <c r="D453" s="10"/>
      <c r="E453" s="10"/>
      <c r="F453" s="10"/>
      <c r="G453" s="10"/>
      <c r="H453" s="10"/>
      <c r="I453" s="12"/>
      <c r="J453" s="13"/>
      <c r="K453" s="7"/>
      <c r="L453" s="14"/>
      <c r="M453" s="10"/>
      <c r="N453" s="10"/>
      <c r="O453" s="7"/>
    </row>
    <row r="454" spans="1:15" ht="75" customHeight="1">
      <c r="A454" s="7"/>
      <c r="B454" s="8"/>
      <c r="C454" s="9"/>
      <c r="D454" s="10"/>
      <c r="E454" s="10"/>
      <c r="F454" s="10"/>
      <c r="G454" s="10"/>
      <c r="H454" s="10"/>
      <c r="I454" s="12"/>
      <c r="J454" s="13"/>
      <c r="K454" s="7"/>
      <c r="L454" s="14"/>
      <c r="M454" s="10"/>
      <c r="N454" s="10"/>
      <c r="O454" s="7"/>
    </row>
    <row r="455" spans="1:15" ht="75" customHeight="1">
      <c r="A455" s="7"/>
      <c r="B455" s="8"/>
      <c r="C455" s="9"/>
      <c r="D455" s="10"/>
      <c r="E455" s="10"/>
      <c r="F455" s="10"/>
      <c r="G455" s="10"/>
      <c r="H455" s="10"/>
      <c r="I455" s="12"/>
      <c r="J455" s="13"/>
      <c r="K455" s="7"/>
      <c r="L455" s="14"/>
      <c r="M455" s="10"/>
      <c r="N455" s="10"/>
      <c r="O455" s="7"/>
    </row>
    <row r="456" spans="1:15" ht="75" customHeight="1">
      <c r="A456" s="7"/>
      <c r="B456" s="8"/>
      <c r="C456" s="9"/>
      <c r="D456" s="10"/>
      <c r="E456" s="10"/>
      <c r="F456" s="10"/>
      <c r="G456" s="10"/>
      <c r="H456" s="10"/>
      <c r="I456" s="12"/>
      <c r="J456" s="13"/>
      <c r="K456" s="7"/>
      <c r="L456" s="14"/>
      <c r="M456" s="10"/>
      <c r="N456" s="10"/>
      <c r="O456" s="7"/>
    </row>
    <row r="457" spans="1:15" ht="75" customHeight="1">
      <c r="A457" s="7"/>
      <c r="B457" s="8"/>
      <c r="C457" s="9"/>
      <c r="D457" s="10"/>
      <c r="E457" s="10"/>
      <c r="F457" s="10"/>
      <c r="G457" s="10"/>
      <c r="H457" s="10"/>
      <c r="I457" s="12"/>
      <c r="J457" s="13"/>
      <c r="K457" s="7"/>
      <c r="L457" s="14"/>
      <c r="M457" s="10"/>
      <c r="N457" s="10"/>
      <c r="O457" s="7"/>
    </row>
    <row r="458" spans="1:15" ht="75" customHeight="1">
      <c r="A458" s="7"/>
      <c r="B458" s="8"/>
      <c r="C458" s="9"/>
      <c r="D458" s="10"/>
      <c r="E458" s="10"/>
      <c r="F458" s="10"/>
      <c r="G458" s="10"/>
      <c r="H458" s="10"/>
      <c r="I458" s="12"/>
      <c r="J458" s="13"/>
      <c r="K458" s="7"/>
      <c r="L458" s="14"/>
      <c r="M458" s="10"/>
      <c r="N458" s="10"/>
      <c r="O458" s="7"/>
    </row>
    <row r="459" spans="1:15" ht="75" customHeight="1">
      <c r="A459" s="7"/>
      <c r="B459" s="8"/>
      <c r="C459" s="9"/>
      <c r="D459" s="10"/>
      <c r="E459" s="10"/>
      <c r="F459" s="10"/>
      <c r="G459" s="10"/>
      <c r="H459" s="10"/>
      <c r="I459" s="12"/>
      <c r="J459" s="13"/>
      <c r="K459" s="7"/>
      <c r="L459" s="14"/>
      <c r="M459" s="10"/>
      <c r="N459" s="10"/>
      <c r="O459" s="7"/>
    </row>
    <row r="460" spans="1:15" ht="75" customHeight="1">
      <c r="A460" s="7"/>
      <c r="B460" s="8"/>
      <c r="C460" s="9"/>
      <c r="D460" s="10"/>
      <c r="E460" s="10"/>
      <c r="F460" s="10"/>
      <c r="G460" s="10"/>
      <c r="H460" s="10"/>
      <c r="I460" s="12"/>
      <c r="J460" s="13"/>
      <c r="K460" s="7"/>
      <c r="L460" s="14"/>
      <c r="M460" s="10"/>
      <c r="N460" s="10"/>
      <c r="O460" s="7"/>
    </row>
    <row r="461" spans="1:15" ht="75" customHeight="1">
      <c r="A461" s="7"/>
      <c r="B461" s="8"/>
      <c r="C461" s="9"/>
      <c r="D461" s="10"/>
      <c r="E461" s="10"/>
      <c r="F461" s="10"/>
      <c r="G461" s="10"/>
      <c r="H461" s="10"/>
      <c r="I461" s="12"/>
      <c r="J461" s="13"/>
      <c r="K461" s="7"/>
      <c r="L461" s="14"/>
      <c r="M461" s="10"/>
      <c r="N461" s="10"/>
      <c r="O461" s="7"/>
    </row>
    <row r="462" spans="1:15" ht="75" customHeight="1">
      <c r="A462" s="7"/>
      <c r="B462" s="8"/>
      <c r="C462" s="9"/>
      <c r="D462" s="10"/>
      <c r="E462" s="10"/>
      <c r="F462" s="10"/>
      <c r="G462" s="10"/>
      <c r="H462" s="10"/>
      <c r="I462" s="12"/>
      <c r="J462" s="13"/>
      <c r="K462" s="7"/>
      <c r="L462" s="14"/>
      <c r="M462" s="10"/>
      <c r="N462" s="10"/>
      <c r="O462" s="7"/>
    </row>
    <row r="463" spans="1:15" ht="75" customHeight="1">
      <c r="A463" s="7"/>
      <c r="B463" s="8"/>
      <c r="C463" s="9"/>
      <c r="D463" s="10"/>
      <c r="E463" s="10"/>
      <c r="F463" s="10"/>
      <c r="G463" s="10"/>
      <c r="H463" s="10"/>
      <c r="I463" s="12"/>
      <c r="J463" s="13"/>
      <c r="K463" s="7"/>
      <c r="L463" s="14"/>
      <c r="M463" s="10"/>
      <c r="N463" s="10"/>
      <c r="O463" s="7"/>
    </row>
    <row r="464" spans="1:15" ht="75" customHeight="1">
      <c r="A464" s="7"/>
      <c r="B464" s="8"/>
      <c r="C464" s="9"/>
      <c r="D464" s="10"/>
      <c r="E464" s="10"/>
      <c r="F464" s="10"/>
      <c r="G464" s="10"/>
      <c r="H464" s="10"/>
      <c r="I464" s="12"/>
      <c r="J464" s="13"/>
      <c r="K464" s="7"/>
      <c r="L464" s="14"/>
      <c r="M464" s="10"/>
      <c r="N464" s="10"/>
      <c r="O464" s="7"/>
    </row>
    <row r="465" spans="1:15" ht="75" customHeight="1">
      <c r="A465" s="7"/>
      <c r="B465" s="8"/>
      <c r="C465" s="9"/>
      <c r="D465" s="10"/>
      <c r="E465" s="10"/>
      <c r="F465" s="10"/>
      <c r="G465" s="10"/>
      <c r="H465" s="10"/>
      <c r="I465" s="12"/>
      <c r="J465" s="13"/>
      <c r="K465" s="7"/>
      <c r="L465" s="14"/>
      <c r="M465" s="10"/>
      <c r="N465" s="10"/>
      <c r="O465" s="7"/>
    </row>
    <row r="466" spans="1:15" ht="75" customHeight="1">
      <c r="A466" s="7"/>
      <c r="B466" s="8"/>
      <c r="C466" s="9"/>
      <c r="D466" s="10"/>
      <c r="E466" s="10"/>
      <c r="F466" s="10"/>
      <c r="G466" s="10"/>
      <c r="H466" s="10"/>
      <c r="I466" s="12"/>
      <c r="J466" s="13"/>
      <c r="K466" s="7"/>
      <c r="L466" s="14"/>
      <c r="M466" s="10"/>
      <c r="N466" s="10"/>
      <c r="O466" s="7"/>
    </row>
    <row r="467" spans="1:15" ht="75" customHeight="1">
      <c r="A467" s="7"/>
      <c r="B467" s="8"/>
      <c r="C467" s="9"/>
      <c r="D467" s="10"/>
      <c r="E467" s="10"/>
      <c r="F467" s="10"/>
      <c r="G467" s="10"/>
      <c r="H467" s="10"/>
      <c r="I467" s="12"/>
      <c r="J467" s="13"/>
      <c r="K467" s="7"/>
      <c r="L467" s="14"/>
      <c r="M467" s="10"/>
      <c r="N467" s="10"/>
      <c r="O467" s="7"/>
    </row>
    <row r="468" spans="1:15" ht="75" customHeight="1">
      <c r="A468" s="7"/>
      <c r="B468" s="8"/>
      <c r="C468" s="9"/>
      <c r="D468" s="10"/>
      <c r="E468" s="10"/>
      <c r="F468" s="10"/>
      <c r="G468" s="10"/>
      <c r="H468" s="10"/>
      <c r="I468" s="12"/>
      <c r="J468" s="13"/>
      <c r="K468" s="7"/>
      <c r="L468" s="14"/>
      <c r="M468" s="10"/>
      <c r="N468" s="10"/>
      <c r="O468" s="7"/>
    </row>
    <row r="469" spans="1:15" ht="75" customHeight="1">
      <c r="A469" s="7"/>
      <c r="B469" s="8"/>
      <c r="C469" s="9"/>
      <c r="D469" s="10"/>
      <c r="E469" s="10"/>
      <c r="F469" s="10"/>
      <c r="G469" s="10"/>
      <c r="H469" s="10"/>
      <c r="I469" s="12"/>
      <c r="J469" s="13"/>
      <c r="K469" s="7"/>
      <c r="L469" s="14"/>
      <c r="M469" s="10"/>
      <c r="N469" s="10"/>
      <c r="O469" s="7"/>
    </row>
    <row r="470" spans="1:15" ht="75" customHeight="1">
      <c r="A470" s="7"/>
      <c r="B470" s="8"/>
      <c r="C470" s="9"/>
      <c r="D470" s="10"/>
      <c r="E470" s="10"/>
      <c r="F470" s="10"/>
      <c r="G470" s="10"/>
      <c r="H470" s="10"/>
      <c r="I470" s="12"/>
      <c r="J470" s="13"/>
      <c r="K470" s="7"/>
      <c r="L470" s="14"/>
      <c r="M470" s="10"/>
      <c r="N470" s="10"/>
      <c r="O470" s="7"/>
    </row>
    <row r="471" spans="1:15" ht="75" customHeight="1">
      <c r="A471" s="7"/>
      <c r="B471" s="8"/>
      <c r="C471" s="9"/>
      <c r="D471" s="10"/>
      <c r="E471" s="10"/>
      <c r="F471" s="10"/>
      <c r="G471" s="10"/>
      <c r="H471" s="10"/>
      <c r="I471" s="12"/>
      <c r="J471" s="13"/>
      <c r="K471" s="7"/>
      <c r="L471" s="14"/>
      <c r="M471" s="10"/>
      <c r="N471" s="10"/>
      <c r="O471" s="7"/>
    </row>
    <row r="472" spans="1:15" ht="75" customHeight="1">
      <c r="A472" s="7"/>
      <c r="B472" s="8"/>
      <c r="C472" s="9"/>
      <c r="D472" s="10"/>
      <c r="E472" s="10"/>
      <c r="F472" s="10"/>
      <c r="G472" s="10"/>
      <c r="H472" s="10"/>
      <c r="I472" s="12"/>
      <c r="J472" s="13"/>
      <c r="K472" s="7"/>
      <c r="L472" s="14"/>
      <c r="M472" s="10"/>
      <c r="N472" s="10"/>
      <c r="O472" s="7"/>
    </row>
    <row r="473" spans="1:15" ht="75" customHeight="1">
      <c r="A473" s="7"/>
      <c r="B473" s="8"/>
      <c r="C473" s="9"/>
      <c r="D473" s="10"/>
      <c r="E473" s="10"/>
      <c r="F473" s="10"/>
      <c r="G473" s="10"/>
      <c r="H473" s="10"/>
      <c r="I473" s="12"/>
      <c r="J473" s="13"/>
      <c r="K473" s="7"/>
      <c r="L473" s="14"/>
      <c r="M473" s="10"/>
      <c r="N473" s="10"/>
      <c r="O473" s="7"/>
    </row>
    <row r="474" spans="1:15" ht="75" customHeight="1">
      <c r="A474" s="7"/>
      <c r="B474" s="8"/>
      <c r="C474" s="9"/>
      <c r="D474" s="10"/>
      <c r="E474" s="10"/>
      <c r="F474" s="10"/>
      <c r="G474" s="10"/>
      <c r="H474" s="10"/>
      <c r="I474" s="12"/>
      <c r="J474" s="13"/>
      <c r="K474" s="7"/>
      <c r="L474" s="14"/>
      <c r="M474" s="10"/>
      <c r="N474" s="10"/>
      <c r="O474" s="7"/>
    </row>
    <row r="475" spans="1:15" ht="75" customHeight="1">
      <c r="A475" s="7"/>
      <c r="B475" s="8"/>
      <c r="C475" s="9"/>
      <c r="D475" s="10"/>
      <c r="E475" s="10"/>
      <c r="F475" s="10"/>
      <c r="G475" s="10"/>
      <c r="H475" s="10"/>
      <c r="I475" s="12"/>
      <c r="J475" s="13"/>
      <c r="K475" s="7"/>
      <c r="L475" s="14"/>
      <c r="M475" s="10"/>
      <c r="N475" s="10"/>
      <c r="O475" s="7"/>
    </row>
    <row r="476" spans="1:15" ht="75" customHeight="1">
      <c r="A476" s="7"/>
      <c r="B476" s="8"/>
      <c r="C476" s="9"/>
      <c r="D476" s="10"/>
      <c r="E476" s="10"/>
      <c r="F476" s="10"/>
      <c r="G476" s="10"/>
      <c r="H476" s="10"/>
      <c r="I476" s="12"/>
      <c r="J476" s="13"/>
      <c r="K476" s="7"/>
      <c r="L476" s="14"/>
      <c r="M476" s="10"/>
      <c r="N476" s="10"/>
      <c r="O476" s="7"/>
    </row>
    <row r="477" spans="1:15" ht="75" customHeight="1">
      <c r="A477" s="7"/>
      <c r="B477" s="8"/>
      <c r="C477" s="9"/>
      <c r="D477" s="10"/>
      <c r="E477" s="10"/>
      <c r="F477" s="10"/>
      <c r="G477" s="10"/>
      <c r="H477" s="10"/>
      <c r="I477" s="12"/>
      <c r="J477" s="13"/>
      <c r="K477" s="7"/>
      <c r="L477" s="14"/>
      <c r="M477" s="10"/>
      <c r="N477" s="10"/>
      <c r="O477" s="7"/>
    </row>
    <row r="478" spans="1:15" ht="75" customHeight="1">
      <c r="A478" s="7"/>
      <c r="B478" s="8"/>
      <c r="C478" s="9"/>
      <c r="D478" s="10"/>
      <c r="E478" s="10"/>
      <c r="F478" s="10"/>
      <c r="G478" s="10"/>
      <c r="H478" s="10"/>
      <c r="I478" s="12"/>
      <c r="J478" s="13"/>
      <c r="K478" s="7"/>
      <c r="L478" s="14"/>
      <c r="M478" s="10"/>
      <c r="N478" s="10"/>
      <c r="O478" s="7"/>
    </row>
    <row r="479" spans="1:15" ht="75" customHeight="1">
      <c r="A479" s="7"/>
      <c r="B479" s="8"/>
      <c r="C479" s="9"/>
      <c r="D479" s="10"/>
      <c r="E479" s="10"/>
      <c r="F479" s="10"/>
      <c r="G479" s="10"/>
      <c r="H479" s="10"/>
      <c r="I479" s="12"/>
      <c r="J479" s="13"/>
      <c r="K479" s="7"/>
      <c r="L479" s="14"/>
      <c r="M479" s="10"/>
      <c r="N479" s="10"/>
      <c r="O479" s="7"/>
    </row>
    <row r="480" spans="1:15" ht="75" customHeight="1">
      <c r="A480" s="7"/>
      <c r="B480" s="8"/>
      <c r="C480" s="9"/>
      <c r="D480" s="10"/>
      <c r="E480" s="10"/>
      <c r="F480" s="10"/>
      <c r="G480" s="10"/>
      <c r="H480" s="10"/>
      <c r="I480" s="12"/>
      <c r="J480" s="13"/>
      <c r="K480" s="7"/>
      <c r="L480" s="14"/>
      <c r="M480" s="10"/>
      <c r="N480" s="10"/>
      <c r="O480" s="7"/>
    </row>
    <row r="481" spans="1:15" ht="75" customHeight="1">
      <c r="A481" s="7"/>
      <c r="B481" s="8"/>
      <c r="C481" s="9"/>
      <c r="D481" s="10"/>
      <c r="E481" s="10"/>
      <c r="F481" s="10"/>
      <c r="G481" s="10"/>
      <c r="H481" s="10"/>
      <c r="I481" s="12"/>
      <c r="J481" s="13"/>
      <c r="K481" s="7"/>
      <c r="L481" s="14"/>
      <c r="M481" s="10"/>
      <c r="N481" s="10"/>
      <c r="O481" s="7"/>
    </row>
    <row r="482" spans="1:15" ht="75" customHeight="1">
      <c r="A482" s="7"/>
      <c r="B482" s="8"/>
      <c r="C482" s="9"/>
      <c r="D482" s="10"/>
      <c r="E482" s="10"/>
      <c r="F482" s="10"/>
      <c r="G482" s="10"/>
      <c r="H482" s="10"/>
      <c r="I482" s="12"/>
      <c r="J482" s="13"/>
      <c r="K482" s="7"/>
      <c r="L482" s="14"/>
      <c r="M482" s="10"/>
      <c r="N482" s="10"/>
      <c r="O482" s="7"/>
    </row>
    <row r="483" spans="1:15" ht="75" customHeight="1">
      <c r="A483" s="7"/>
      <c r="B483" s="8"/>
      <c r="C483" s="9"/>
      <c r="D483" s="10"/>
      <c r="E483" s="10"/>
      <c r="F483" s="10"/>
      <c r="G483" s="10"/>
      <c r="H483" s="10"/>
      <c r="I483" s="12"/>
      <c r="J483" s="13"/>
      <c r="K483" s="7"/>
      <c r="L483" s="14"/>
      <c r="M483" s="10"/>
      <c r="N483" s="10"/>
      <c r="O483" s="7"/>
    </row>
    <row r="484" spans="1:15" ht="75" customHeight="1">
      <c r="A484" s="7"/>
      <c r="B484" s="8"/>
      <c r="C484" s="9"/>
      <c r="D484" s="10"/>
      <c r="E484" s="10"/>
      <c r="F484" s="10"/>
      <c r="G484" s="10"/>
      <c r="H484" s="10"/>
      <c r="I484" s="12"/>
      <c r="J484" s="13"/>
      <c r="K484" s="7"/>
      <c r="L484" s="14"/>
      <c r="M484" s="10"/>
      <c r="N484" s="10"/>
      <c r="O484" s="7"/>
    </row>
    <row r="485" spans="1:15" ht="75" customHeight="1">
      <c r="A485" s="7"/>
      <c r="B485" s="8"/>
      <c r="C485" s="9"/>
      <c r="D485" s="10"/>
      <c r="E485" s="10"/>
      <c r="F485" s="10"/>
      <c r="G485" s="10"/>
      <c r="H485" s="10"/>
      <c r="I485" s="12"/>
      <c r="J485" s="13"/>
      <c r="K485" s="7"/>
      <c r="L485" s="14"/>
      <c r="M485" s="10"/>
      <c r="N485" s="10"/>
      <c r="O485" s="7"/>
    </row>
    <row r="486" spans="1:15" ht="75" customHeight="1">
      <c r="A486" s="7"/>
      <c r="B486" s="8"/>
      <c r="C486" s="9"/>
      <c r="D486" s="10"/>
      <c r="E486" s="10"/>
      <c r="F486" s="10"/>
      <c r="G486" s="10"/>
      <c r="H486" s="10"/>
      <c r="I486" s="12"/>
      <c r="J486" s="13"/>
      <c r="K486" s="7"/>
      <c r="L486" s="14"/>
      <c r="M486" s="10"/>
      <c r="N486" s="10"/>
      <c r="O486" s="7"/>
    </row>
    <row r="487" spans="1:15" ht="75" customHeight="1">
      <c r="A487" s="7"/>
      <c r="B487" s="8"/>
      <c r="C487" s="9"/>
      <c r="D487" s="10"/>
      <c r="E487" s="10"/>
      <c r="F487" s="10"/>
      <c r="G487" s="10"/>
      <c r="H487" s="10"/>
      <c r="I487" s="12"/>
      <c r="J487" s="13"/>
      <c r="K487" s="7"/>
      <c r="L487" s="14"/>
      <c r="M487" s="10"/>
      <c r="N487" s="10"/>
      <c r="O487" s="7"/>
    </row>
    <row r="488" spans="1:15" ht="75" customHeight="1">
      <c r="A488" s="7"/>
      <c r="B488" s="8"/>
      <c r="C488" s="9"/>
      <c r="D488" s="10"/>
      <c r="E488" s="10"/>
      <c r="F488" s="10"/>
      <c r="G488" s="10"/>
      <c r="H488" s="10"/>
      <c r="I488" s="12"/>
      <c r="J488" s="13"/>
      <c r="K488" s="7"/>
      <c r="L488" s="14"/>
      <c r="M488" s="10"/>
      <c r="N488" s="10"/>
      <c r="O488" s="7"/>
    </row>
    <row r="489" spans="1:15" ht="75" customHeight="1">
      <c r="A489" s="7"/>
      <c r="B489" s="8"/>
      <c r="C489" s="9"/>
      <c r="D489" s="10"/>
      <c r="E489" s="10"/>
      <c r="F489" s="10"/>
      <c r="G489" s="10"/>
      <c r="H489" s="10"/>
      <c r="I489" s="12"/>
      <c r="J489" s="13"/>
      <c r="K489" s="7"/>
      <c r="L489" s="14"/>
      <c r="M489" s="10"/>
      <c r="N489" s="10"/>
      <c r="O489" s="7"/>
    </row>
    <row r="490" spans="1:15" ht="75" customHeight="1">
      <c r="A490" s="7"/>
      <c r="B490" s="8"/>
      <c r="C490" s="9"/>
      <c r="D490" s="10"/>
      <c r="E490" s="10"/>
      <c r="F490" s="10"/>
      <c r="G490" s="10"/>
      <c r="H490" s="10"/>
      <c r="I490" s="12"/>
      <c r="J490" s="13"/>
      <c r="K490" s="7"/>
      <c r="L490" s="14"/>
      <c r="M490" s="10"/>
      <c r="N490" s="10"/>
      <c r="O490" s="7"/>
    </row>
    <row r="491" spans="1:15" ht="75" customHeight="1">
      <c r="A491" s="7"/>
      <c r="B491" s="8"/>
      <c r="C491" s="9"/>
      <c r="D491" s="10"/>
      <c r="E491" s="10"/>
      <c r="F491" s="10"/>
      <c r="G491" s="10"/>
      <c r="H491" s="10"/>
      <c r="I491" s="12"/>
      <c r="J491" s="13"/>
      <c r="K491" s="7"/>
      <c r="L491" s="14"/>
      <c r="M491" s="10"/>
      <c r="N491" s="10"/>
      <c r="O491" s="7"/>
    </row>
    <row r="492" spans="1:15" ht="75" customHeight="1">
      <c r="A492" s="7"/>
      <c r="B492" s="8"/>
      <c r="C492" s="9"/>
      <c r="D492" s="10"/>
      <c r="E492" s="10"/>
      <c r="F492" s="10"/>
      <c r="G492" s="10"/>
      <c r="H492" s="10"/>
      <c r="I492" s="12"/>
      <c r="J492" s="13"/>
      <c r="K492" s="7"/>
      <c r="L492" s="14"/>
      <c r="M492" s="10"/>
      <c r="N492" s="10"/>
      <c r="O492" s="7"/>
    </row>
    <row r="493" spans="1:15" ht="75" customHeight="1">
      <c r="A493" s="7"/>
      <c r="B493" s="8"/>
      <c r="C493" s="9"/>
      <c r="D493" s="10"/>
      <c r="E493" s="10"/>
      <c r="F493" s="10"/>
      <c r="G493" s="10"/>
      <c r="H493" s="10"/>
      <c r="I493" s="12"/>
      <c r="J493" s="13"/>
      <c r="K493" s="7"/>
      <c r="L493" s="14"/>
      <c r="M493" s="10"/>
      <c r="N493" s="10"/>
      <c r="O493" s="7"/>
    </row>
    <row r="494" spans="1:15" ht="75" customHeight="1">
      <c r="A494" s="7"/>
      <c r="B494" s="8"/>
      <c r="C494" s="9"/>
      <c r="D494" s="10"/>
      <c r="E494" s="10"/>
      <c r="F494" s="10"/>
      <c r="G494" s="10"/>
      <c r="H494" s="10"/>
      <c r="I494" s="12"/>
      <c r="J494" s="13"/>
      <c r="K494" s="7"/>
      <c r="L494" s="14"/>
      <c r="M494" s="10"/>
      <c r="N494" s="10"/>
      <c r="O494" s="7"/>
    </row>
    <row r="495" spans="1:15" ht="75" customHeight="1">
      <c r="A495" s="7"/>
      <c r="B495" s="8"/>
      <c r="C495" s="9"/>
      <c r="D495" s="10"/>
      <c r="E495" s="10"/>
      <c r="F495" s="10"/>
      <c r="G495" s="10"/>
      <c r="H495" s="10"/>
      <c r="I495" s="12"/>
      <c r="J495" s="13"/>
      <c r="K495" s="7"/>
      <c r="L495" s="14"/>
      <c r="M495" s="10"/>
      <c r="N495" s="10"/>
      <c r="O495" s="7"/>
    </row>
    <row r="496" spans="1:15" ht="75" customHeight="1">
      <c r="A496" s="7"/>
      <c r="B496" s="8"/>
      <c r="C496" s="9"/>
      <c r="D496" s="10"/>
      <c r="E496" s="10"/>
      <c r="F496" s="10"/>
      <c r="G496" s="10"/>
      <c r="H496" s="10"/>
      <c r="I496" s="12"/>
      <c r="J496" s="13"/>
      <c r="K496" s="7"/>
      <c r="L496" s="14"/>
      <c r="M496" s="10"/>
      <c r="N496" s="10"/>
      <c r="O496" s="7"/>
    </row>
    <row r="497" spans="1:15" ht="75" customHeight="1">
      <c r="A497" s="7"/>
      <c r="B497" s="8"/>
      <c r="C497" s="9"/>
      <c r="D497" s="10"/>
      <c r="E497" s="10"/>
      <c r="F497" s="10"/>
      <c r="G497" s="10"/>
      <c r="H497" s="10"/>
      <c r="I497" s="12"/>
      <c r="J497" s="13"/>
      <c r="K497" s="7"/>
      <c r="L497" s="14"/>
      <c r="M497" s="10"/>
      <c r="N497" s="10"/>
      <c r="O497" s="7"/>
    </row>
    <row r="498" spans="1:15" ht="75" customHeight="1">
      <c r="A498" s="7"/>
      <c r="B498" s="8"/>
      <c r="C498" s="9"/>
      <c r="D498" s="10"/>
      <c r="E498" s="10"/>
      <c r="F498" s="10"/>
      <c r="G498" s="10"/>
      <c r="H498" s="10"/>
      <c r="I498" s="12"/>
      <c r="J498" s="13"/>
      <c r="K498" s="7"/>
      <c r="L498" s="14"/>
      <c r="M498" s="10"/>
      <c r="N498" s="10"/>
      <c r="O498" s="7"/>
    </row>
    <row r="499" spans="1:15" ht="75" customHeight="1">
      <c r="A499" s="7"/>
      <c r="B499" s="8"/>
      <c r="C499" s="9"/>
      <c r="D499" s="10"/>
      <c r="E499" s="10"/>
      <c r="F499" s="10"/>
      <c r="G499" s="10"/>
      <c r="H499" s="10"/>
      <c r="I499" s="12"/>
      <c r="J499" s="13"/>
      <c r="K499" s="7"/>
      <c r="L499" s="14"/>
      <c r="M499" s="10"/>
      <c r="N499" s="10"/>
      <c r="O499" s="7"/>
    </row>
    <row r="500" spans="1:15" ht="75" customHeight="1">
      <c r="A500" s="7"/>
      <c r="B500" s="8"/>
      <c r="C500" s="9"/>
      <c r="D500" s="10"/>
      <c r="E500" s="10"/>
      <c r="F500" s="10"/>
      <c r="G500" s="10"/>
      <c r="H500" s="10"/>
      <c r="I500" s="12"/>
      <c r="J500" s="13"/>
      <c r="K500" s="7"/>
      <c r="L500" s="14"/>
      <c r="M500" s="10"/>
      <c r="N500" s="10"/>
      <c r="O500" s="7"/>
    </row>
    <row r="501" spans="1:15" ht="75" customHeight="1">
      <c r="A501" s="7"/>
      <c r="B501" s="8"/>
      <c r="C501" s="9"/>
      <c r="D501" s="10"/>
      <c r="E501" s="10"/>
      <c r="F501" s="10"/>
      <c r="G501" s="10"/>
      <c r="H501" s="10"/>
      <c r="I501" s="12"/>
      <c r="J501" s="13"/>
      <c r="K501" s="7"/>
      <c r="L501" s="14"/>
      <c r="M501" s="10"/>
      <c r="N501" s="10"/>
      <c r="O501" s="7"/>
    </row>
    <row r="502" spans="1:15" ht="75" customHeight="1">
      <c r="A502" s="7"/>
      <c r="B502" s="8"/>
      <c r="C502" s="9"/>
      <c r="D502" s="10"/>
      <c r="E502" s="10"/>
      <c r="F502" s="10"/>
      <c r="G502" s="10"/>
      <c r="H502" s="10"/>
      <c r="I502" s="12"/>
      <c r="J502" s="13"/>
      <c r="K502" s="7"/>
      <c r="L502" s="14"/>
      <c r="M502" s="10"/>
      <c r="N502" s="10"/>
      <c r="O502" s="7"/>
    </row>
    <row r="503" spans="1:15" ht="75" customHeight="1">
      <c r="A503" s="7"/>
      <c r="B503" s="8"/>
      <c r="C503" s="9"/>
      <c r="D503" s="10"/>
      <c r="E503" s="10"/>
      <c r="F503" s="10"/>
      <c r="G503" s="10"/>
      <c r="H503" s="10"/>
      <c r="I503" s="12"/>
      <c r="J503" s="13"/>
      <c r="K503" s="7"/>
      <c r="L503" s="14"/>
      <c r="M503" s="10"/>
      <c r="N503" s="10"/>
      <c r="O503" s="7"/>
    </row>
    <row r="504" spans="1:15" ht="75" customHeight="1">
      <c r="A504" s="7"/>
      <c r="B504" s="8"/>
      <c r="C504" s="9"/>
      <c r="D504" s="10"/>
      <c r="E504" s="10"/>
      <c r="F504" s="10"/>
      <c r="G504" s="10"/>
      <c r="H504" s="10"/>
      <c r="I504" s="12"/>
      <c r="J504" s="13"/>
      <c r="K504" s="7"/>
      <c r="L504" s="14"/>
      <c r="M504" s="10"/>
      <c r="N504" s="10"/>
      <c r="O504" s="7"/>
    </row>
    <row r="505" spans="1:15" ht="75" customHeight="1">
      <c r="A505" s="7"/>
      <c r="B505" s="8"/>
      <c r="C505" s="9"/>
      <c r="D505" s="10"/>
      <c r="E505" s="10"/>
      <c r="F505" s="10"/>
      <c r="G505" s="10"/>
      <c r="H505" s="10"/>
      <c r="I505" s="12"/>
      <c r="J505" s="13"/>
      <c r="K505" s="7"/>
      <c r="L505" s="14"/>
      <c r="M505" s="10"/>
      <c r="N505" s="10"/>
      <c r="O505" s="7"/>
    </row>
    <row r="506" spans="1:15" ht="75" customHeight="1">
      <c r="A506" s="7"/>
      <c r="B506" s="8"/>
      <c r="C506" s="9"/>
      <c r="D506" s="10"/>
      <c r="E506" s="10"/>
      <c r="F506" s="10"/>
      <c r="G506" s="10"/>
      <c r="H506" s="10"/>
      <c r="I506" s="12"/>
      <c r="J506" s="13"/>
      <c r="K506" s="7"/>
      <c r="L506" s="14"/>
      <c r="M506" s="10"/>
      <c r="N506" s="10"/>
      <c r="O506" s="7"/>
    </row>
    <row r="507" spans="1:15" ht="75" customHeight="1">
      <c r="A507" s="7"/>
      <c r="B507" s="8"/>
      <c r="C507" s="9"/>
      <c r="D507" s="10"/>
      <c r="E507" s="10"/>
      <c r="F507" s="10"/>
      <c r="G507" s="10"/>
      <c r="H507" s="10"/>
      <c r="I507" s="12"/>
      <c r="J507" s="13"/>
      <c r="K507" s="7"/>
      <c r="L507" s="14"/>
      <c r="M507" s="10"/>
      <c r="N507" s="10"/>
      <c r="O507" s="7"/>
    </row>
    <row r="508" spans="1:15" ht="75" customHeight="1">
      <c r="A508" s="7"/>
      <c r="B508" s="8"/>
      <c r="C508" s="9"/>
      <c r="D508" s="10"/>
      <c r="E508" s="10"/>
      <c r="F508" s="10"/>
      <c r="G508" s="10"/>
      <c r="H508" s="10"/>
      <c r="I508" s="12"/>
      <c r="J508" s="13"/>
      <c r="K508" s="7"/>
      <c r="L508" s="14"/>
      <c r="M508" s="10"/>
      <c r="N508" s="10"/>
      <c r="O508" s="7"/>
    </row>
    <row r="509" spans="1:15" ht="75" customHeight="1">
      <c r="A509" s="7"/>
      <c r="B509" s="8"/>
      <c r="C509" s="9"/>
      <c r="D509" s="10"/>
      <c r="E509" s="10"/>
      <c r="F509" s="10"/>
      <c r="G509" s="10"/>
      <c r="H509" s="10"/>
      <c r="I509" s="12"/>
      <c r="J509" s="13"/>
      <c r="K509" s="7"/>
      <c r="L509" s="14"/>
      <c r="M509" s="10"/>
      <c r="N509" s="10"/>
      <c r="O509" s="7"/>
    </row>
    <row r="510" spans="1:15" ht="75" customHeight="1">
      <c r="A510" s="7"/>
      <c r="B510" s="8"/>
      <c r="C510" s="9"/>
      <c r="D510" s="10"/>
      <c r="E510" s="10"/>
      <c r="F510" s="10"/>
      <c r="G510" s="10"/>
      <c r="H510" s="10"/>
      <c r="I510" s="12"/>
      <c r="J510" s="13"/>
      <c r="K510" s="7"/>
      <c r="L510" s="14"/>
      <c r="M510" s="10"/>
      <c r="N510" s="10"/>
      <c r="O510" s="7"/>
    </row>
    <row r="511" spans="1:15" ht="75" customHeight="1">
      <c r="A511" s="7"/>
      <c r="B511" s="8"/>
      <c r="C511" s="9"/>
      <c r="D511" s="10"/>
      <c r="E511" s="10"/>
      <c r="F511" s="10"/>
      <c r="G511" s="10"/>
      <c r="H511" s="10"/>
      <c r="I511" s="12"/>
      <c r="J511" s="13"/>
      <c r="K511" s="7"/>
      <c r="L511" s="14"/>
      <c r="M511" s="10"/>
      <c r="N511" s="10"/>
      <c r="O511" s="7"/>
    </row>
    <row r="512" spans="1:15" ht="75" customHeight="1">
      <c r="A512" s="7"/>
      <c r="B512" s="8"/>
      <c r="C512" s="9"/>
      <c r="D512" s="10"/>
      <c r="E512" s="10"/>
      <c r="F512" s="10"/>
      <c r="G512" s="10"/>
      <c r="H512" s="10"/>
      <c r="I512" s="12"/>
      <c r="J512" s="13"/>
      <c r="K512" s="7"/>
      <c r="L512" s="14"/>
      <c r="M512" s="10"/>
      <c r="N512" s="10"/>
      <c r="O512" s="7"/>
    </row>
    <row r="513" spans="1:15" ht="75" customHeight="1">
      <c r="A513" s="7"/>
      <c r="B513" s="8"/>
      <c r="C513" s="9"/>
      <c r="D513" s="10"/>
      <c r="E513" s="10"/>
      <c r="F513" s="10"/>
      <c r="G513" s="10"/>
      <c r="H513" s="10"/>
      <c r="I513" s="12"/>
      <c r="J513" s="13"/>
      <c r="K513" s="7"/>
      <c r="L513" s="14"/>
      <c r="M513" s="10"/>
      <c r="N513" s="10"/>
      <c r="O513" s="7"/>
    </row>
    <row r="514" spans="1:15" ht="75" customHeight="1">
      <c r="A514" s="7"/>
      <c r="B514" s="8"/>
      <c r="C514" s="9"/>
      <c r="D514" s="10"/>
      <c r="E514" s="10"/>
      <c r="F514" s="10"/>
      <c r="G514" s="10"/>
      <c r="H514" s="10"/>
      <c r="I514" s="12"/>
      <c r="J514" s="13"/>
      <c r="K514" s="7"/>
      <c r="L514" s="14"/>
      <c r="M514" s="10"/>
      <c r="N514" s="10"/>
      <c r="O514" s="7"/>
    </row>
    <row r="515" spans="1:15" ht="75" customHeight="1">
      <c r="A515" s="7"/>
      <c r="B515" s="8"/>
      <c r="C515" s="9"/>
      <c r="D515" s="10"/>
      <c r="E515" s="10"/>
      <c r="F515" s="10"/>
      <c r="G515" s="10"/>
      <c r="H515" s="10"/>
      <c r="I515" s="12"/>
      <c r="J515" s="13"/>
      <c r="K515" s="7"/>
      <c r="L515" s="14"/>
      <c r="M515" s="10"/>
      <c r="N515" s="10"/>
      <c r="O515" s="7"/>
    </row>
    <row r="516" spans="1:15" ht="75" customHeight="1">
      <c r="A516" s="7"/>
      <c r="B516" s="8"/>
      <c r="C516" s="9"/>
      <c r="D516" s="10"/>
      <c r="E516" s="10"/>
      <c r="F516" s="10"/>
      <c r="G516" s="10"/>
      <c r="H516" s="10"/>
      <c r="I516" s="12"/>
      <c r="J516" s="13"/>
      <c r="K516" s="7"/>
      <c r="L516" s="14"/>
      <c r="M516" s="10"/>
      <c r="N516" s="10"/>
      <c r="O516" s="7"/>
    </row>
    <row r="517" spans="1:15" ht="75" customHeight="1">
      <c r="A517" s="7"/>
      <c r="B517" s="8"/>
      <c r="C517" s="9"/>
      <c r="D517" s="10"/>
      <c r="E517" s="10"/>
      <c r="F517" s="10"/>
      <c r="G517" s="10"/>
      <c r="H517" s="10"/>
      <c r="I517" s="12"/>
      <c r="J517" s="13"/>
      <c r="K517" s="7"/>
      <c r="L517" s="14"/>
      <c r="M517" s="10"/>
      <c r="N517" s="10"/>
      <c r="O517" s="7"/>
    </row>
    <row r="518" spans="1:15" ht="75" customHeight="1">
      <c r="A518" s="7"/>
      <c r="B518" s="8"/>
      <c r="C518" s="9"/>
      <c r="D518" s="10"/>
      <c r="E518" s="10"/>
      <c r="F518" s="10"/>
      <c r="G518" s="10"/>
      <c r="H518" s="10"/>
      <c r="I518" s="12"/>
      <c r="J518" s="13"/>
      <c r="K518" s="7"/>
      <c r="L518" s="14"/>
      <c r="M518" s="10"/>
      <c r="N518" s="10"/>
      <c r="O518" s="7"/>
    </row>
    <row r="519" spans="1:15" ht="75" customHeight="1">
      <c r="A519" s="7"/>
      <c r="B519" s="8"/>
      <c r="C519" s="9"/>
      <c r="D519" s="10"/>
      <c r="E519" s="10"/>
      <c r="F519" s="10"/>
      <c r="G519" s="10"/>
      <c r="H519" s="10"/>
      <c r="I519" s="12"/>
      <c r="J519" s="13"/>
      <c r="K519" s="7"/>
      <c r="L519" s="14"/>
      <c r="M519" s="10"/>
      <c r="N519" s="10"/>
      <c r="O519" s="7"/>
    </row>
    <row r="520" spans="1:15" ht="75" customHeight="1">
      <c r="A520" s="7"/>
      <c r="B520" s="8"/>
      <c r="C520" s="9"/>
      <c r="D520" s="10"/>
      <c r="E520" s="10"/>
      <c r="F520" s="10"/>
      <c r="G520" s="10"/>
      <c r="H520" s="10"/>
      <c r="I520" s="12"/>
      <c r="J520" s="13"/>
      <c r="K520" s="7"/>
      <c r="L520" s="14"/>
      <c r="M520" s="10"/>
      <c r="N520" s="10"/>
      <c r="O520" s="7"/>
    </row>
    <row r="521" spans="1:15" ht="75" customHeight="1">
      <c r="A521" s="7"/>
      <c r="B521" s="8"/>
      <c r="C521" s="9"/>
      <c r="D521" s="10"/>
      <c r="E521" s="10"/>
      <c r="F521" s="10"/>
      <c r="G521" s="10"/>
      <c r="H521" s="10"/>
      <c r="I521" s="12"/>
      <c r="J521" s="13"/>
      <c r="K521" s="7"/>
      <c r="L521" s="14"/>
      <c r="M521" s="10"/>
      <c r="N521" s="10"/>
      <c r="O521" s="7"/>
    </row>
    <row r="522" spans="1:15" ht="75" customHeight="1">
      <c r="A522" s="7"/>
      <c r="B522" s="8"/>
      <c r="C522" s="9"/>
      <c r="D522" s="10"/>
      <c r="E522" s="10"/>
      <c r="F522" s="10"/>
      <c r="G522" s="10"/>
      <c r="H522" s="10"/>
      <c r="I522" s="12"/>
      <c r="J522" s="13"/>
      <c r="K522" s="7"/>
      <c r="L522" s="14"/>
      <c r="M522" s="10"/>
      <c r="N522" s="10"/>
      <c r="O522" s="7"/>
    </row>
    <row r="523" spans="1:15" ht="75" customHeight="1">
      <c r="A523" s="7"/>
      <c r="B523" s="8"/>
      <c r="C523" s="9"/>
      <c r="D523" s="10"/>
      <c r="E523" s="10"/>
      <c r="F523" s="10"/>
      <c r="G523" s="10"/>
      <c r="H523" s="10"/>
      <c r="I523" s="12"/>
      <c r="J523" s="13"/>
      <c r="K523" s="7"/>
      <c r="L523" s="14"/>
      <c r="M523" s="10"/>
      <c r="N523" s="10"/>
      <c r="O523" s="7"/>
    </row>
    <row r="524" spans="1:15" ht="75" customHeight="1">
      <c r="A524" s="7"/>
      <c r="B524" s="8"/>
      <c r="C524" s="9"/>
      <c r="D524" s="10"/>
      <c r="E524" s="10"/>
      <c r="F524" s="10"/>
      <c r="G524" s="10"/>
      <c r="H524" s="10"/>
      <c r="I524" s="12"/>
      <c r="J524" s="13"/>
      <c r="K524" s="7"/>
      <c r="L524" s="14"/>
      <c r="M524" s="10"/>
      <c r="N524" s="10"/>
      <c r="O524" s="7"/>
    </row>
    <row r="525" spans="1:15" ht="75" customHeight="1">
      <c r="A525" s="7"/>
      <c r="B525" s="8"/>
      <c r="C525" s="9"/>
      <c r="D525" s="10"/>
      <c r="E525" s="10"/>
      <c r="F525" s="10"/>
      <c r="G525" s="10"/>
      <c r="H525" s="10"/>
      <c r="I525" s="12"/>
      <c r="J525" s="13"/>
      <c r="K525" s="7"/>
      <c r="L525" s="14"/>
      <c r="M525" s="10"/>
      <c r="N525" s="10"/>
      <c r="O525" s="7"/>
    </row>
    <row r="526" spans="1:15" ht="75" customHeight="1">
      <c r="A526" s="7"/>
      <c r="B526" s="8"/>
      <c r="C526" s="9"/>
      <c r="D526" s="10"/>
      <c r="E526" s="10"/>
      <c r="F526" s="10"/>
      <c r="G526" s="10"/>
      <c r="H526" s="10"/>
      <c r="I526" s="12"/>
      <c r="J526" s="13"/>
      <c r="K526" s="7"/>
      <c r="L526" s="14"/>
      <c r="M526" s="10"/>
      <c r="N526" s="10"/>
      <c r="O526" s="7"/>
    </row>
    <row r="527" spans="1:15" ht="75" customHeight="1">
      <c r="A527" s="7"/>
      <c r="B527" s="8"/>
      <c r="C527" s="9"/>
      <c r="D527" s="10"/>
      <c r="E527" s="10"/>
      <c r="F527" s="10"/>
      <c r="G527" s="10"/>
      <c r="H527" s="10"/>
      <c r="I527" s="12"/>
      <c r="J527" s="13"/>
      <c r="K527" s="7"/>
      <c r="L527" s="14"/>
      <c r="M527" s="10"/>
      <c r="N527" s="10"/>
      <c r="O527" s="7"/>
    </row>
    <row r="528" spans="1:15" ht="75" customHeight="1">
      <c r="A528" s="7"/>
      <c r="B528" s="8"/>
      <c r="C528" s="9"/>
      <c r="D528" s="10"/>
      <c r="E528" s="10"/>
      <c r="F528" s="10"/>
      <c r="G528" s="10"/>
      <c r="H528" s="10"/>
      <c r="I528" s="12"/>
      <c r="J528" s="13"/>
      <c r="K528" s="7"/>
      <c r="L528" s="14"/>
      <c r="M528" s="10"/>
      <c r="N528" s="10"/>
      <c r="O528" s="7"/>
    </row>
    <row r="529" spans="1:15" ht="75" customHeight="1">
      <c r="A529" s="7"/>
      <c r="B529" s="8"/>
      <c r="C529" s="9"/>
      <c r="D529" s="10"/>
      <c r="E529" s="10"/>
      <c r="F529" s="10"/>
      <c r="G529" s="10"/>
      <c r="H529" s="10"/>
      <c r="I529" s="12"/>
      <c r="J529" s="13"/>
      <c r="K529" s="7"/>
      <c r="L529" s="14"/>
      <c r="M529" s="10"/>
      <c r="N529" s="10"/>
      <c r="O529" s="7"/>
    </row>
    <row r="530" spans="1:15" ht="75" customHeight="1">
      <c r="A530" s="7"/>
      <c r="B530" s="8"/>
      <c r="C530" s="9"/>
      <c r="D530" s="10"/>
      <c r="E530" s="10"/>
      <c r="F530" s="10"/>
      <c r="G530" s="10"/>
      <c r="H530" s="10"/>
      <c r="I530" s="12"/>
      <c r="J530" s="13"/>
      <c r="K530" s="7"/>
      <c r="L530" s="14"/>
      <c r="M530" s="10"/>
      <c r="N530" s="10"/>
      <c r="O530" s="7"/>
    </row>
    <row r="531" spans="1:15" ht="75" customHeight="1">
      <c r="A531" s="7"/>
      <c r="B531" s="8"/>
      <c r="C531" s="9"/>
      <c r="D531" s="10"/>
      <c r="E531" s="10"/>
      <c r="F531" s="10"/>
      <c r="G531" s="10"/>
      <c r="H531" s="10"/>
      <c r="I531" s="12"/>
      <c r="J531" s="13"/>
      <c r="K531" s="7"/>
      <c r="L531" s="14"/>
      <c r="M531" s="10"/>
      <c r="N531" s="10"/>
      <c r="O531" s="7"/>
    </row>
    <row r="532" spans="1:15" ht="75" customHeight="1">
      <c r="A532" s="7"/>
      <c r="B532" s="8"/>
      <c r="C532" s="9"/>
      <c r="D532" s="10"/>
      <c r="E532" s="10"/>
      <c r="F532" s="10"/>
      <c r="G532" s="10"/>
      <c r="H532" s="10"/>
      <c r="I532" s="12"/>
      <c r="J532" s="13"/>
      <c r="K532" s="7"/>
      <c r="L532" s="14"/>
      <c r="M532" s="10"/>
      <c r="N532" s="10"/>
      <c r="O532" s="7"/>
    </row>
    <row r="533" spans="1:15" ht="75" customHeight="1">
      <c r="A533" s="7"/>
      <c r="B533" s="8"/>
      <c r="C533" s="9"/>
      <c r="D533" s="10"/>
      <c r="E533" s="10"/>
      <c r="F533" s="10"/>
      <c r="G533" s="10"/>
      <c r="H533" s="10"/>
      <c r="I533" s="12"/>
      <c r="J533" s="13"/>
      <c r="K533" s="7"/>
      <c r="L533" s="14"/>
      <c r="M533" s="10"/>
      <c r="N533" s="10"/>
      <c r="O533" s="7"/>
    </row>
    <row r="534" spans="1:15" ht="75" customHeight="1">
      <c r="A534" s="7"/>
      <c r="B534" s="8"/>
      <c r="C534" s="9"/>
      <c r="D534" s="10"/>
      <c r="E534" s="10"/>
      <c r="F534" s="10"/>
      <c r="G534" s="10"/>
      <c r="H534" s="10"/>
      <c r="I534" s="12"/>
      <c r="J534" s="13"/>
      <c r="K534" s="7"/>
      <c r="L534" s="14"/>
      <c r="M534" s="10"/>
      <c r="N534" s="10"/>
      <c r="O534" s="7"/>
    </row>
    <row r="535" spans="1:15" ht="75" customHeight="1">
      <c r="A535" s="7"/>
      <c r="B535" s="8"/>
      <c r="C535" s="9"/>
      <c r="D535" s="10"/>
      <c r="E535" s="10"/>
      <c r="F535" s="10"/>
      <c r="G535" s="10"/>
      <c r="H535" s="10"/>
      <c r="I535" s="12"/>
      <c r="J535" s="13"/>
      <c r="K535" s="7"/>
      <c r="L535" s="14"/>
      <c r="M535" s="10"/>
      <c r="N535" s="10"/>
      <c r="O535" s="7"/>
    </row>
    <row r="536" spans="1:15" ht="75" customHeight="1">
      <c r="A536" s="7"/>
      <c r="B536" s="8"/>
      <c r="C536" s="9"/>
      <c r="D536" s="10"/>
      <c r="E536" s="10"/>
      <c r="F536" s="10"/>
      <c r="G536" s="10"/>
      <c r="H536" s="10"/>
      <c r="I536" s="12"/>
      <c r="J536" s="13"/>
      <c r="K536" s="7"/>
      <c r="L536" s="14"/>
      <c r="M536" s="10"/>
      <c r="N536" s="10"/>
      <c r="O536" s="7"/>
    </row>
    <row r="537" spans="1:15" ht="75" customHeight="1">
      <c r="A537" s="7"/>
      <c r="B537" s="8"/>
      <c r="C537" s="9"/>
      <c r="D537" s="10"/>
      <c r="E537" s="10"/>
      <c r="F537" s="10"/>
      <c r="G537" s="10"/>
      <c r="H537" s="10"/>
      <c r="I537" s="12"/>
      <c r="J537" s="13"/>
      <c r="K537" s="7"/>
      <c r="L537" s="14"/>
      <c r="M537" s="10"/>
      <c r="N537" s="10"/>
      <c r="O537" s="7"/>
    </row>
    <row r="538" spans="1:15" ht="75" customHeight="1">
      <c r="A538" s="7"/>
      <c r="B538" s="8"/>
      <c r="C538" s="9"/>
      <c r="D538" s="10"/>
      <c r="E538" s="10"/>
      <c r="F538" s="10"/>
      <c r="G538" s="10"/>
      <c r="H538" s="10"/>
      <c r="I538" s="12"/>
      <c r="J538" s="13"/>
      <c r="K538" s="7"/>
      <c r="L538" s="14"/>
      <c r="M538" s="10"/>
      <c r="N538" s="10"/>
      <c r="O538" s="7"/>
    </row>
    <row r="539" spans="1:15" ht="75" customHeight="1">
      <c r="A539" s="7"/>
      <c r="B539" s="8"/>
      <c r="C539" s="9"/>
      <c r="D539" s="10"/>
      <c r="E539" s="10"/>
      <c r="F539" s="10"/>
      <c r="G539" s="10"/>
      <c r="H539" s="10"/>
      <c r="I539" s="12"/>
      <c r="J539" s="13"/>
      <c r="K539" s="7"/>
      <c r="L539" s="14"/>
      <c r="M539" s="10"/>
      <c r="N539" s="10"/>
      <c r="O539" s="7"/>
    </row>
    <row r="540" spans="1:15" ht="75" customHeight="1">
      <c r="A540" s="7"/>
      <c r="B540" s="8"/>
      <c r="C540" s="9"/>
      <c r="D540" s="10"/>
      <c r="E540" s="10"/>
      <c r="F540" s="10"/>
      <c r="G540" s="10"/>
      <c r="H540" s="10"/>
      <c r="I540" s="12"/>
      <c r="J540" s="13"/>
      <c r="K540" s="7"/>
      <c r="L540" s="14"/>
      <c r="M540" s="10"/>
      <c r="N540" s="10"/>
      <c r="O540" s="7"/>
    </row>
    <row r="541" spans="1:15" ht="75" customHeight="1">
      <c r="A541" s="7"/>
      <c r="B541" s="8"/>
      <c r="C541" s="9"/>
      <c r="D541" s="10"/>
      <c r="E541" s="10"/>
      <c r="F541" s="10"/>
      <c r="G541" s="10"/>
      <c r="H541" s="10"/>
      <c r="I541" s="12"/>
      <c r="J541" s="13"/>
      <c r="K541" s="7"/>
      <c r="L541" s="14"/>
      <c r="M541" s="10"/>
      <c r="N541" s="10"/>
      <c r="O541" s="7"/>
    </row>
    <row r="542" spans="1:15" ht="75" customHeight="1">
      <c r="A542" s="7"/>
      <c r="B542" s="8"/>
      <c r="C542" s="9"/>
      <c r="D542" s="10"/>
      <c r="E542" s="10"/>
      <c r="F542" s="10"/>
      <c r="G542" s="10"/>
      <c r="H542" s="10"/>
      <c r="I542" s="12"/>
      <c r="J542" s="13"/>
      <c r="K542" s="7"/>
      <c r="L542" s="14"/>
      <c r="M542" s="10"/>
      <c r="N542" s="10"/>
      <c r="O542" s="7"/>
    </row>
    <row r="543" spans="1:15" ht="75" customHeight="1">
      <c r="A543" s="7"/>
      <c r="B543" s="8"/>
      <c r="C543" s="9"/>
      <c r="D543" s="10"/>
      <c r="E543" s="10"/>
      <c r="F543" s="10"/>
      <c r="G543" s="10"/>
      <c r="H543" s="10"/>
      <c r="I543" s="12"/>
      <c r="J543" s="13"/>
      <c r="K543" s="7"/>
      <c r="L543" s="14"/>
      <c r="M543" s="10"/>
      <c r="N543" s="10"/>
      <c r="O543" s="7"/>
    </row>
    <row r="544" spans="1:15" ht="75" customHeight="1">
      <c r="A544" s="7"/>
      <c r="B544" s="8"/>
      <c r="C544" s="9"/>
      <c r="D544" s="10"/>
      <c r="E544" s="10"/>
      <c r="F544" s="10"/>
      <c r="G544" s="10"/>
      <c r="H544" s="10"/>
      <c r="I544" s="12"/>
      <c r="J544" s="13"/>
      <c r="K544" s="7"/>
      <c r="L544" s="14"/>
      <c r="M544" s="10"/>
      <c r="N544" s="10"/>
      <c r="O544" s="7"/>
    </row>
    <row r="545" spans="1:15" ht="75" customHeight="1">
      <c r="A545" s="7"/>
      <c r="B545" s="8"/>
      <c r="C545" s="9"/>
      <c r="D545" s="10"/>
      <c r="E545" s="10"/>
      <c r="F545" s="10"/>
      <c r="G545" s="10"/>
      <c r="H545" s="10"/>
      <c r="I545" s="12"/>
      <c r="J545" s="13"/>
      <c r="K545" s="7"/>
      <c r="L545" s="14"/>
      <c r="M545" s="10"/>
      <c r="N545" s="10"/>
      <c r="O545" s="7"/>
    </row>
    <row r="546" spans="1:15" ht="75" customHeight="1">
      <c r="A546" s="7"/>
      <c r="B546" s="8"/>
      <c r="C546" s="9"/>
      <c r="D546" s="10"/>
      <c r="E546" s="10"/>
      <c r="F546" s="10"/>
      <c r="G546" s="10"/>
      <c r="H546" s="10"/>
      <c r="I546" s="12"/>
      <c r="J546" s="13"/>
      <c r="K546" s="7"/>
      <c r="L546" s="14"/>
      <c r="M546" s="10"/>
      <c r="N546" s="10"/>
      <c r="O546" s="7"/>
    </row>
    <row r="547" spans="1:15" ht="75" customHeight="1">
      <c r="A547" s="7"/>
      <c r="B547" s="8"/>
      <c r="C547" s="9"/>
      <c r="D547" s="10"/>
      <c r="E547" s="10"/>
      <c r="F547" s="10"/>
      <c r="G547" s="10"/>
      <c r="H547" s="10"/>
      <c r="I547" s="12"/>
      <c r="J547" s="13"/>
      <c r="K547" s="7"/>
      <c r="L547" s="14"/>
      <c r="M547" s="10"/>
      <c r="N547" s="10"/>
      <c r="O547" s="7"/>
    </row>
    <row r="548" spans="1:15" ht="75" customHeight="1">
      <c r="A548" s="7"/>
      <c r="B548" s="8"/>
      <c r="C548" s="9"/>
      <c r="D548" s="10"/>
      <c r="E548" s="10"/>
      <c r="F548" s="10"/>
      <c r="G548" s="10"/>
      <c r="H548" s="10"/>
      <c r="I548" s="12"/>
      <c r="J548" s="13"/>
      <c r="K548" s="7"/>
      <c r="L548" s="14"/>
      <c r="M548" s="10"/>
      <c r="N548" s="10"/>
      <c r="O548" s="7"/>
    </row>
    <row r="549" spans="1:15" ht="75" customHeight="1">
      <c r="A549" s="7"/>
      <c r="B549" s="8"/>
      <c r="C549" s="9"/>
      <c r="D549" s="10"/>
      <c r="E549" s="10"/>
      <c r="F549" s="10"/>
      <c r="G549" s="10"/>
      <c r="H549" s="10"/>
      <c r="I549" s="12"/>
      <c r="J549" s="13"/>
      <c r="K549" s="7"/>
      <c r="L549" s="14"/>
      <c r="M549" s="10"/>
      <c r="N549" s="10"/>
      <c r="O549" s="7"/>
    </row>
    <row r="550" spans="1:15" ht="75" customHeight="1">
      <c r="A550" s="7"/>
      <c r="B550" s="8"/>
      <c r="C550" s="9"/>
      <c r="D550" s="10"/>
      <c r="E550" s="10"/>
      <c r="F550" s="10"/>
      <c r="G550" s="10"/>
      <c r="H550" s="10"/>
      <c r="I550" s="12"/>
      <c r="J550" s="13"/>
      <c r="K550" s="7"/>
      <c r="L550" s="14"/>
      <c r="M550" s="10"/>
      <c r="N550" s="10"/>
      <c r="O550" s="7"/>
    </row>
    <row r="551" spans="1:15" ht="75" customHeight="1">
      <c r="A551" s="7"/>
      <c r="B551" s="8"/>
      <c r="C551" s="9"/>
      <c r="D551" s="10"/>
      <c r="E551" s="10"/>
      <c r="F551" s="10"/>
      <c r="G551" s="10"/>
      <c r="H551" s="10"/>
      <c r="I551" s="12"/>
      <c r="J551" s="13"/>
      <c r="K551" s="7"/>
      <c r="L551" s="14"/>
      <c r="M551" s="10"/>
      <c r="N551" s="10"/>
      <c r="O551" s="7"/>
    </row>
    <row r="552" spans="1:15" ht="75" customHeight="1">
      <c r="A552" s="7"/>
      <c r="B552" s="8"/>
      <c r="C552" s="9"/>
      <c r="D552" s="10"/>
      <c r="E552" s="10"/>
      <c r="F552" s="10"/>
      <c r="G552" s="10"/>
      <c r="H552" s="10"/>
      <c r="I552" s="12"/>
      <c r="J552" s="13"/>
      <c r="K552" s="7"/>
      <c r="L552" s="14"/>
      <c r="M552" s="10"/>
      <c r="N552" s="10"/>
      <c r="O552" s="7"/>
    </row>
    <row r="553" spans="1:15" ht="75" customHeight="1">
      <c r="A553" s="7"/>
      <c r="B553" s="8"/>
      <c r="C553" s="9"/>
      <c r="D553" s="10"/>
      <c r="E553" s="10"/>
      <c r="F553" s="10"/>
      <c r="G553" s="10"/>
      <c r="H553" s="10"/>
      <c r="I553" s="12"/>
      <c r="J553" s="13"/>
      <c r="K553" s="7"/>
      <c r="L553" s="14"/>
      <c r="M553" s="10"/>
      <c r="N553" s="10"/>
      <c r="O553" s="7"/>
    </row>
    <row r="554" spans="1:15" ht="75" customHeight="1">
      <c r="A554" s="7"/>
      <c r="B554" s="8"/>
      <c r="C554" s="9"/>
      <c r="D554" s="10"/>
      <c r="E554" s="10"/>
      <c r="F554" s="10"/>
      <c r="G554" s="10"/>
      <c r="H554" s="10"/>
      <c r="I554" s="12"/>
      <c r="J554" s="13"/>
      <c r="K554" s="7"/>
      <c r="L554" s="14"/>
      <c r="M554" s="10"/>
      <c r="N554" s="10"/>
      <c r="O554" s="7"/>
    </row>
    <row r="555" spans="1:15" ht="75" customHeight="1">
      <c r="A555" s="7"/>
      <c r="B555" s="8"/>
      <c r="C555" s="9"/>
      <c r="D555" s="10"/>
      <c r="E555" s="10"/>
      <c r="F555" s="10"/>
      <c r="G555" s="10"/>
      <c r="H555" s="10"/>
      <c r="I555" s="12"/>
      <c r="J555" s="13"/>
      <c r="K555" s="7"/>
      <c r="L555" s="14"/>
      <c r="M555" s="10"/>
      <c r="N555" s="10"/>
      <c r="O555" s="7"/>
    </row>
    <row r="556" spans="1:15" ht="75" customHeight="1">
      <c r="A556" s="7"/>
      <c r="B556" s="8"/>
      <c r="C556" s="9"/>
      <c r="D556" s="10"/>
      <c r="E556" s="10"/>
      <c r="F556" s="10"/>
      <c r="G556" s="10"/>
      <c r="H556" s="10"/>
      <c r="I556" s="12"/>
      <c r="J556" s="13"/>
      <c r="K556" s="7"/>
      <c r="L556" s="14"/>
      <c r="M556" s="10"/>
      <c r="N556" s="10"/>
      <c r="O556" s="7"/>
    </row>
    <row r="557" spans="1:15" ht="75" customHeight="1">
      <c r="A557" s="7"/>
      <c r="B557" s="8"/>
      <c r="C557" s="9"/>
      <c r="D557" s="10"/>
      <c r="E557" s="10"/>
      <c r="F557" s="10"/>
      <c r="G557" s="10"/>
      <c r="H557" s="10"/>
      <c r="I557" s="12"/>
      <c r="J557" s="13"/>
      <c r="K557" s="7"/>
      <c r="L557" s="14"/>
      <c r="M557" s="10"/>
      <c r="N557" s="10"/>
      <c r="O557" s="7"/>
    </row>
    <row r="558" spans="1:15" ht="75" customHeight="1">
      <c r="A558" s="7"/>
      <c r="B558" s="8"/>
      <c r="C558" s="9"/>
      <c r="D558" s="10"/>
      <c r="E558" s="10"/>
      <c r="F558" s="10"/>
      <c r="G558" s="10"/>
      <c r="H558" s="10"/>
      <c r="I558" s="12"/>
      <c r="J558" s="13"/>
      <c r="K558" s="7"/>
      <c r="L558" s="14"/>
      <c r="M558" s="10"/>
      <c r="N558" s="10"/>
      <c r="O558" s="7"/>
    </row>
    <row r="559" spans="1:15" ht="75" customHeight="1">
      <c r="A559" s="7"/>
      <c r="B559" s="8"/>
      <c r="C559" s="9"/>
      <c r="D559" s="10"/>
      <c r="E559" s="10"/>
      <c r="F559" s="10"/>
      <c r="G559" s="10"/>
      <c r="H559" s="10"/>
      <c r="I559" s="12"/>
      <c r="J559" s="13"/>
      <c r="K559" s="7"/>
      <c r="L559" s="14"/>
      <c r="M559" s="10"/>
      <c r="N559" s="10"/>
      <c r="O559" s="7"/>
    </row>
    <row r="560" spans="1:15" ht="75" customHeight="1">
      <c r="A560" s="7"/>
      <c r="B560" s="8"/>
      <c r="C560" s="9"/>
      <c r="D560" s="10"/>
      <c r="E560" s="10"/>
      <c r="F560" s="10"/>
      <c r="G560" s="10"/>
      <c r="H560" s="10"/>
      <c r="I560" s="12"/>
      <c r="J560" s="13"/>
      <c r="K560" s="7"/>
      <c r="L560" s="14"/>
      <c r="M560" s="10"/>
      <c r="N560" s="10"/>
      <c r="O560" s="7"/>
    </row>
    <row r="561" spans="1:15" ht="75" customHeight="1">
      <c r="A561" s="7"/>
      <c r="B561" s="8"/>
      <c r="C561" s="9"/>
      <c r="D561" s="10"/>
      <c r="E561" s="10"/>
      <c r="F561" s="10"/>
      <c r="G561" s="10"/>
      <c r="H561" s="10"/>
      <c r="I561" s="12"/>
      <c r="J561" s="13"/>
      <c r="K561" s="7"/>
      <c r="L561" s="14"/>
      <c r="M561" s="10"/>
      <c r="N561" s="10"/>
      <c r="O561" s="7"/>
    </row>
    <row r="562" spans="1:15" ht="75" customHeight="1">
      <c r="A562" s="7"/>
      <c r="B562" s="8"/>
      <c r="C562" s="9"/>
      <c r="D562" s="10"/>
      <c r="E562" s="10"/>
      <c r="F562" s="10"/>
      <c r="G562" s="10"/>
      <c r="H562" s="10"/>
      <c r="I562" s="12"/>
      <c r="J562" s="13"/>
      <c r="K562" s="7"/>
      <c r="L562" s="14"/>
      <c r="M562" s="10"/>
      <c r="N562" s="10"/>
      <c r="O562" s="7"/>
    </row>
    <row r="563" spans="1:15" ht="75" customHeight="1">
      <c r="A563" s="7"/>
      <c r="B563" s="8"/>
      <c r="C563" s="9"/>
      <c r="D563" s="10"/>
      <c r="E563" s="10"/>
      <c r="F563" s="10"/>
      <c r="G563" s="10"/>
      <c r="H563" s="10"/>
      <c r="I563" s="12"/>
      <c r="J563" s="13"/>
      <c r="K563" s="7"/>
      <c r="L563" s="14"/>
      <c r="M563" s="10"/>
      <c r="N563" s="10"/>
      <c r="O563" s="7"/>
    </row>
    <row r="564" spans="1:15" ht="75" customHeight="1">
      <c r="A564" s="7"/>
      <c r="B564" s="8"/>
      <c r="C564" s="9"/>
      <c r="D564" s="10"/>
      <c r="E564" s="10"/>
      <c r="F564" s="10"/>
      <c r="G564" s="10"/>
      <c r="H564" s="10"/>
      <c r="I564" s="12"/>
      <c r="J564" s="13"/>
      <c r="K564" s="7"/>
      <c r="L564" s="14"/>
      <c r="M564" s="10"/>
      <c r="N564" s="10"/>
      <c r="O564" s="7"/>
    </row>
    <row r="565" spans="1:15" ht="75" customHeight="1">
      <c r="A565" s="7"/>
      <c r="B565" s="8"/>
      <c r="C565" s="9"/>
      <c r="D565" s="10"/>
      <c r="E565" s="10"/>
      <c r="F565" s="10"/>
      <c r="G565" s="10"/>
      <c r="H565" s="10"/>
      <c r="I565" s="12"/>
      <c r="J565" s="13"/>
      <c r="K565" s="7"/>
      <c r="L565" s="14"/>
      <c r="M565" s="10"/>
      <c r="N565" s="10"/>
      <c r="O565" s="7"/>
    </row>
    <row r="566" spans="1:15" ht="75" customHeight="1">
      <c r="A566" s="7"/>
      <c r="B566" s="8"/>
      <c r="C566" s="9"/>
      <c r="D566" s="10"/>
      <c r="E566" s="10"/>
      <c r="F566" s="10"/>
      <c r="G566" s="10"/>
      <c r="H566" s="10"/>
      <c r="I566" s="12"/>
      <c r="J566" s="13"/>
      <c r="K566" s="7"/>
      <c r="L566" s="14"/>
      <c r="M566" s="10"/>
      <c r="N566" s="10"/>
      <c r="O566" s="7"/>
    </row>
    <row r="567" spans="1:15" ht="75" customHeight="1">
      <c r="A567" s="7"/>
      <c r="B567" s="8"/>
      <c r="C567" s="9"/>
      <c r="D567" s="10"/>
      <c r="E567" s="10"/>
      <c r="F567" s="10"/>
      <c r="G567" s="10"/>
      <c r="H567" s="10"/>
      <c r="I567" s="12"/>
      <c r="J567" s="13"/>
      <c r="K567" s="7"/>
      <c r="L567" s="14"/>
      <c r="M567" s="10"/>
      <c r="N567" s="10"/>
      <c r="O567" s="7"/>
    </row>
    <row r="568" spans="1:15" ht="75" customHeight="1">
      <c r="A568" s="7"/>
      <c r="B568" s="8"/>
      <c r="C568" s="9"/>
      <c r="D568" s="10"/>
      <c r="E568" s="10"/>
      <c r="F568" s="10"/>
      <c r="G568" s="10"/>
      <c r="H568" s="10"/>
      <c r="I568" s="12"/>
      <c r="J568" s="13"/>
      <c r="K568" s="7"/>
      <c r="L568" s="14"/>
      <c r="M568" s="10"/>
      <c r="N568" s="10"/>
      <c r="O568" s="7"/>
    </row>
    <row r="569" spans="1:15" ht="75" customHeight="1">
      <c r="A569" s="7"/>
      <c r="B569" s="8"/>
      <c r="C569" s="9"/>
      <c r="D569" s="10"/>
      <c r="E569" s="10"/>
      <c r="F569" s="10"/>
      <c r="G569" s="10"/>
      <c r="H569" s="10"/>
      <c r="I569" s="12"/>
      <c r="J569" s="13"/>
      <c r="K569" s="7"/>
      <c r="L569" s="14"/>
      <c r="M569" s="10"/>
      <c r="N569" s="10"/>
      <c r="O569" s="7"/>
    </row>
    <row r="570" spans="1:15" ht="75" customHeight="1">
      <c r="A570" s="7"/>
      <c r="B570" s="8"/>
      <c r="C570" s="9"/>
      <c r="D570" s="10"/>
      <c r="E570" s="10"/>
      <c r="F570" s="10"/>
      <c r="G570" s="10"/>
      <c r="H570" s="10"/>
      <c r="I570" s="12"/>
      <c r="J570" s="13"/>
      <c r="K570" s="7"/>
      <c r="L570" s="14"/>
      <c r="M570" s="10"/>
      <c r="N570" s="10"/>
      <c r="O570" s="7"/>
    </row>
    <row r="571" spans="1:15" ht="75" customHeight="1">
      <c r="A571" s="7"/>
      <c r="B571" s="8"/>
      <c r="C571" s="9"/>
      <c r="D571" s="10"/>
      <c r="E571" s="10"/>
      <c r="F571" s="10"/>
      <c r="G571" s="10"/>
      <c r="H571" s="10"/>
      <c r="I571" s="12"/>
      <c r="J571" s="13"/>
      <c r="K571" s="7"/>
      <c r="L571" s="14"/>
      <c r="M571" s="10"/>
      <c r="N571" s="10"/>
      <c r="O571" s="7"/>
    </row>
    <row r="572" spans="1:15" ht="75" customHeight="1">
      <c r="A572" s="7"/>
      <c r="B572" s="8"/>
      <c r="C572" s="9"/>
      <c r="D572" s="10"/>
      <c r="E572" s="10"/>
      <c r="F572" s="10"/>
      <c r="G572" s="10"/>
      <c r="H572" s="10"/>
      <c r="I572" s="12"/>
      <c r="J572" s="13"/>
      <c r="K572" s="7"/>
      <c r="L572" s="14"/>
      <c r="M572" s="10"/>
      <c r="N572" s="10"/>
      <c r="O572" s="7"/>
    </row>
    <row r="573" spans="1:15" ht="75" customHeight="1">
      <c r="A573" s="7"/>
      <c r="B573" s="8"/>
      <c r="C573" s="9"/>
      <c r="D573" s="10"/>
      <c r="E573" s="10"/>
      <c r="F573" s="10"/>
      <c r="G573" s="10"/>
      <c r="H573" s="10"/>
      <c r="I573" s="12"/>
      <c r="J573" s="13"/>
      <c r="K573" s="7"/>
      <c r="L573" s="14"/>
      <c r="M573" s="10"/>
      <c r="N573" s="10"/>
      <c r="O573" s="7"/>
    </row>
    <row r="574" spans="1:15" ht="75" customHeight="1">
      <c r="A574" s="7"/>
      <c r="B574" s="8"/>
      <c r="C574" s="9"/>
      <c r="D574" s="10"/>
      <c r="E574" s="10"/>
      <c r="F574" s="10"/>
      <c r="G574" s="10"/>
      <c r="H574" s="10"/>
      <c r="I574" s="12"/>
      <c r="J574" s="13"/>
      <c r="K574" s="7"/>
      <c r="L574" s="14"/>
      <c r="M574" s="10"/>
      <c r="N574" s="10"/>
      <c r="O574" s="7"/>
    </row>
    <row r="575" spans="1:15" ht="75" customHeight="1">
      <c r="A575" s="7"/>
      <c r="B575" s="8"/>
      <c r="C575" s="9"/>
      <c r="D575" s="10"/>
      <c r="E575" s="10"/>
      <c r="F575" s="10"/>
      <c r="G575" s="10"/>
      <c r="H575" s="10"/>
      <c r="I575" s="12"/>
      <c r="J575" s="13"/>
      <c r="K575" s="7"/>
      <c r="L575" s="14"/>
      <c r="M575" s="10"/>
      <c r="N575" s="10"/>
      <c r="O575" s="7"/>
    </row>
    <row r="576" spans="1:15" ht="75" customHeight="1">
      <c r="A576" s="7"/>
      <c r="B576" s="8"/>
      <c r="C576" s="9"/>
      <c r="D576" s="10"/>
      <c r="E576" s="10"/>
      <c r="F576" s="10"/>
      <c r="G576" s="10"/>
      <c r="H576" s="10"/>
      <c r="I576" s="12"/>
      <c r="J576" s="13"/>
      <c r="K576" s="7"/>
      <c r="L576" s="14"/>
      <c r="M576" s="10"/>
      <c r="N576" s="10"/>
      <c r="O576" s="7"/>
    </row>
    <row r="577" spans="1:15" ht="75" customHeight="1">
      <c r="A577" s="7"/>
      <c r="B577" s="8"/>
      <c r="C577" s="9"/>
      <c r="D577" s="10"/>
      <c r="E577" s="10"/>
      <c r="F577" s="10"/>
      <c r="G577" s="10"/>
      <c r="H577" s="10"/>
      <c r="I577" s="12"/>
      <c r="J577" s="13"/>
      <c r="K577" s="7"/>
      <c r="L577" s="14"/>
      <c r="M577" s="10"/>
      <c r="N577" s="10"/>
      <c r="O577" s="7"/>
    </row>
    <row r="578" spans="1:15" ht="75" customHeight="1">
      <c r="A578" s="7"/>
      <c r="B578" s="8"/>
      <c r="C578" s="9"/>
      <c r="D578" s="10"/>
      <c r="E578" s="10"/>
      <c r="F578" s="10"/>
      <c r="G578" s="10"/>
      <c r="H578" s="10"/>
      <c r="I578" s="12"/>
      <c r="J578" s="13"/>
      <c r="K578" s="7"/>
      <c r="L578" s="14"/>
      <c r="M578" s="10"/>
      <c r="N578" s="10"/>
      <c r="O578" s="7"/>
    </row>
    <row r="579" spans="1:15" ht="75" customHeight="1">
      <c r="A579" s="7"/>
      <c r="B579" s="8"/>
      <c r="C579" s="9"/>
      <c r="D579" s="10"/>
      <c r="E579" s="10"/>
      <c r="F579" s="10"/>
      <c r="G579" s="10"/>
      <c r="H579" s="10"/>
      <c r="I579" s="12"/>
      <c r="J579" s="13"/>
      <c r="K579" s="7"/>
      <c r="L579" s="14"/>
      <c r="M579" s="10"/>
      <c r="N579" s="10"/>
      <c r="O579" s="7"/>
    </row>
    <row r="580" spans="1:15" ht="75" customHeight="1">
      <c r="A580" s="7"/>
      <c r="B580" s="8"/>
      <c r="C580" s="9"/>
      <c r="D580" s="10"/>
      <c r="E580" s="10"/>
      <c r="F580" s="10"/>
      <c r="G580" s="10"/>
      <c r="H580" s="10"/>
      <c r="I580" s="12"/>
      <c r="J580" s="13"/>
      <c r="K580" s="7"/>
      <c r="L580" s="14"/>
      <c r="M580" s="10"/>
      <c r="N580" s="10"/>
      <c r="O580" s="7"/>
    </row>
    <row r="581" spans="1:15" ht="75" customHeight="1">
      <c r="A581" s="7"/>
      <c r="B581" s="8"/>
      <c r="C581" s="9"/>
      <c r="D581" s="10"/>
      <c r="E581" s="10"/>
      <c r="F581" s="10"/>
      <c r="G581" s="10"/>
      <c r="H581" s="10"/>
      <c r="I581" s="12"/>
      <c r="J581" s="13"/>
      <c r="K581" s="7"/>
      <c r="L581" s="14"/>
      <c r="M581" s="10"/>
      <c r="N581" s="10"/>
      <c r="O581" s="7"/>
    </row>
    <row r="582" spans="1:15" ht="75" customHeight="1">
      <c r="A582" s="7"/>
      <c r="B582" s="8"/>
      <c r="C582" s="9"/>
      <c r="D582" s="10"/>
      <c r="E582" s="10"/>
      <c r="F582" s="10"/>
      <c r="G582" s="10"/>
      <c r="H582" s="10"/>
      <c r="I582" s="12"/>
      <c r="J582" s="13"/>
      <c r="K582" s="7"/>
      <c r="L582" s="14"/>
      <c r="M582" s="10"/>
      <c r="N582" s="10"/>
      <c r="O582" s="7"/>
    </row>
    <row r="583" spans="1:15" ht="75" customHeight="1">
      <c r="A583" s="7"/>
      <c r="B583" s="8"/>
      <c r="C583" s="9"/>
      <c r="D583" s="10"/>
      <c r="E583" s="10"/>
      <c r="F583" s="10"/>
      <c r="G583" s="10"/>
      <c r="H583" s="10"/>
      <c r="I583" s="12"/>
      <c r="J583" s="13"/>
      <c r="K583" s="7"/>
      <c r="L583" s="14"/>
      <c r="M583" s="10"/>
      <c r="N583" s="10"/>
      <c r="O583" s="7"/>
    </row>
    <row r="584" spans="1:15" ht="75" customHeight="1">
      <c r="A584" s="7"/>
      <c r="B584" s="8"/>
      <c r="C584" s="9"/>
      <c r="D584" s="10"/>
      <c r="E584" s="10"/>
      <c r="F584" s="10"/>
      <c r="G584" s="10"/>
      <c r="H584" s="10"/>
      <c r="I584" s="12"/>
      <c r="J584" s="13"/>
      <c r="K584" s="7"/>
      <c r="L584" s="14"/>
      <c r="M584" s="10"/>
      <c r="N584" s="10"/>
      <c r="O584" s="7"/>
    </row>
    <row r="585" spans="1:15" ht="75" customHeight="1">
      <c r="A585" s="7"/>
      <c r="B585" s="8"/>
      <c r="C585" s="9"/>
      <c r="D585" s="10"/>
      <c r="E585" s="10"/>
      <c r="F585" s="10"/>
      <c r="G585" s="10"/>
      <c r="H585" s="10"/>
      <c r="I585" s="12"/>
      <c r="J585" s="13"/>
      <c r="K585" s="7"/>
      <c r="L585" s="14"/>
      <c r="M585" s="10"/>
      <c r="N585" s="10"/>
      <c r="O585" s="7"/>
    </row>
    <row r="586" spans="1:15" ht="75" customHeight="1">
      <c r="A586" s="7"/>
      <c r="B586" s="8"/>
      <c r="C586" s="9"/>
      <c r="D586" s="10"/>
      <c r="E586" s="10"/>
      <c r="F586" s="10"/>
      <c r="G586" s="10"/>
      <c r="H586" s="10"/>
      <c r="I586" s="12"/>
      <c r="J586" s="13"/>
      <c r="K586" s="7"/>
      <c r="L586" s="14"/>
      <c r="M586" s="10"/>
      <c r="N586" s="10"/>
      <c r="O586" s="7"/>
    </row>
    <row r="587" spans="1:15" ht="75" customHeight="1">
      <c r="A587" s="7"/>
      <c r="B587" s="8"/>
      <c r="C587" s="9"/>
      <c r="D587" s="10"/>
      <c r="E587" s="10"/>
      <c r="F587" s="10"/>
      <c r="G587" s="10"/>
      <c r="H587" s="10"/>
      <c r="I587" s="12"/>
      <c r="J587" s="13"/>
      <c r="K587" s="7"/>
      <c r="L587" s="14"/>
      <c r="M587" s="10"/>
      <c r="N587" s="10"/>
      <c r="O587" s="7"/>
    </row>
    <row r="588" spans="1:15" ht="75" customHeight="1">
      <c r="A588" s="7"/>
      <c r="B588" s="8"/>
      <c r="C588" s="9"/>
      <c r="D588" s="10"/>
      <c r="E588" s="10"/>
      <c r="F588" s="10"/>
      <c r="G588" s="10"/>
      <c r="H588" s="10"/>
      <c r="I588" s="12"/>
      <c r="J588" s="13"/>
      <c r="K588" s="7"/>
      <c r="L588" s="14"/>
      <c r="M588" s="10"/>
      <c r="N588" s="10"/>
      <c r="O588" s="7"/>
    </row>
    <row r="589" spans="1:15" ht="75" customHeight="1">
      <c r="A589" s="7"/>
      <c r="B589" s="8"/>
      <c r="C589" s="9"/>
      <c r="D589" s="10"/>
      <c r="E589" s="10"/>
      <c r="F589" s="10"/>
      <c r="G589" s="10"/>
      <c r="H589" s="10"/>
      <c r="I589" s="12"/>
      <c r="J589" s="13"/>
      <c r="K589" s="7"/>
      <c r="L589" s="14"/>
      <c r="M589" s="10"/>
      <c r="N589" s="10"/>
      <c r="O589" s="7"/>
    </row>
    <row r="590" spans="1:15" ht="75" customHeight="1">
      <c r="A590" s="7"/>
      <c r="B590" s="8"/>
      <c r="C590" s="9"/>
      <c r="D590" s="10"/>
      <c r="E590" s="10"/>
      <c r="F590" s="10"/>
      <c r="G590" s="10"/>
      <c r="H590" s="10"/>
      <c r="I590" s="12"/>
      <c r="J590" s="13"/>
      <c r="K590" s="7"/>
      <c r="L590" s="14"/>
      <c r="M590" s="10"/>
      <c r="N590" s="10"/>
      <c r="O590" s="7"/>
    </row>
    <row r="591" spans="1:15" ht="75" customHeight="1">
      <c r="A591" s="7"/>
      <c r="B591" s="8"/>
      <c r="C591" s="9"/>
      <c r="D591" s="10"/>
      <c r="E591" s="10"/>
      <c r="F591" s="10"/>
      <c r="G591" s="10"/>
      <c r="H591" s="10"/>
      <c r="I591" s="12"/>
      <c r="J591" s="13"/>
      <c r="K591" s="7"/>
      <c r="L591" s="14"/>
      <c r="M591" s="10"/>
      <c r="N591" s="10"/>
      <c r="O591" s="7"/>
    </row>
    <row r="592" spans="1:15" ht="75" customHeight="1">
      <c r="A592" s="7"/>
      <c r="B592" s="8"/>
      <c r="C592" s="9"/>
      <c r="D592" s="10"/>
      <c r="E592" s="10"/>
      <c r="F592" s="10"/>
      <c r="G592" s="10"/>
      <c r="H592" s="10"/>
      <c r="I592" s="12"/>
      <c r="J592" s="13"/>
      <c r="K592" s="7"/>
      <c r="L592" s="14"/>
      <c r="M592" s="10"/>
      <c r="N592" s="10"/>
      <c r="O592" s="7"/>
    </row>
    <row r="593" spans="1:15" ht="75" customHeight="1">
      <c r="A593" s="7"/>
      <c r="B593" s="8"/>
      <c r="C593" s="9"/>
      <c r="D593" s="10"/>
      <c r="E593" s="10"/>
      <c r="F593" s="10"/>
      <c r="G593" s="10"/>
      <c r="H593" s="10"/>
      <c r="I593" s="12"/>
      <c r="J593" s="13"/>
      <c r="K593" s="7"/>
      <c r="L593" s="14"/>
      <c r="M593" s="10"/>
      <c r="N593" s="10"/>
      <c r="O593" s="7"/>
    </row>
    <row r="594" spans="1:15" ht="75" customHeight="1">
      <c r="A594" s="7"/>
      <c r="B594" s="8"/>
      <c r="C594" s="9"/>
      <c r="D594" s="10"/>
      <c r="E594" s="10"/>
      <c r="F594" s="10"/>
      <c r="G594" s="10"/>
      <c r="H594" s="10"/>
      <c r="I594" s="12"/>
      <c r="J594" s="13"/>
      <c r="K594" s="7"/>
      <c r="L594" s="14"/>
      <c r="M594" s="10"/>
      <c r="N594" s="10"/>
      <c r="O594" s="7"/>
    </row>
    <row r="595" spans="1:15" ht="75" customHeight="1">
      <c r="A595" s="7"/>
      <c r="B595" s="8"/>
      <c r="C595" s="9"/>
      <c r="D595" s="10"/>
      <c r="E595" s="10"/>
      <c r="F595" s="10"/>
      <c r="G595" s="10"/>
      <c r="H595" s="10"/>
      <c r="I595" s="12"/>
      <c r="J595" s="13"/>
      <c r="K595" s="7"/>
      <c r="L595" s="14"/>
      <c r="M595" s="10"/>
      <c r="N595" s="10"/>
      <c r="O595" s="7"/>
    </row>
    <row r="596" spans="1:15" ht="75" customHeight="1">
      <c r="A596" s="7"/>
      <c r="B596" s="8"/>
      <c r="C596" s="9"/>
      <c r="D596" s="10"/>
      <c r="E596" s="10"/>
      <c r="F596" s="10"/>
      <c r="G596" s="10"/>
      <c r="H596" s="10"/>
      <c r="I596" s="12"/>
      <c r="J596" s="13"/>
      <c r="K596" s="7"/>
      <c r="L596" s="14"/>
      <c r="M596" s="10"/>
      <c r="N596" s="10"/>
      <c r="O596" s="7"/>
    </row>
    <row r="597" spans="1:15" ht="75" customHeight="1">
      <c r="A597" s="7"/>
      <c r="B597" s="8"/>
      <c r="C597" s="9"/>
      <c r="D597" s="10"/>
      <c r="E597" s="10"/>
      <c r="F597" s="10"/>
      <c r="G597" s="10"/>
      <c r="H597" s="10"/>
      <c r="I597" s="12"/>
      <c r="J597" s="13"/>
      <c r="K597" s="7"/>
      <c r="L597" s="14"/>
      <c r="M597" s="10"/>
      <c r="N597" s="10"/>
      <c r="O597" s="7"/>
    </row>
    <row r="598" spans="1:15" ht="75" customHeight="1">
      <c r="A598" s="7"/>
      <c r="B598" s="8"/>
      <c r="C598" s="9"/>
      <c r="D598" s="10"/>
      <c r="E598" s="10"/>
      <c r="F598" s="10"/>
      <c r="G598" s="10"/>
      <c r="H598" s="10"/>
      <c r="I598" s="12"/>
      <c r="J598" s="13"/>
      <c r="K598" s="7"/>
      <c r="L598" s="14"/>
      <c r="M598" s="10"/>
      <c r="N598" s="10"/>
      <c r="O598" s="7"/>
    </row>
    <row r="599" spans="1:15" ht="75" customHeight="1">
      <c r="A599" s="7"/>
      <c r="B599" s="8"/>
      <c r="C599" s="9"/>
      <c r="D599" s="10"/>
      <c r="E599" s="10"/>
      <c r="F599" s="10"/>
      <c r="G599" s="10"/>
      <c r="H599" s="10"/>
      <c r="I599" s="12"/>
      <c r="J599" s="13"/>
      <c r="K599" s="7"/>
      <c r="L599" s="14"/>
      <c r="M599" s="10"/>
      <c r="N599" s="10"/>
      <c r="O599" s="7"/>
    </row>
    <row r="600" spans="1:15" ht="75" customHeight="1">
      <c r="A600" s="7"/>
      <c r="B600" s="8"/>
      <c r="C600" s="9"/>
      <c r="D600" s="10"/>
      <c r="E600" s="10"/>
      <c r="F600" s="10"/>
      <c r="G600" s="10"/>
      <c r="H600" s="10"/>
      <c r="I600" s="12"/>
      <c r="J600" s="13"/>
      <c r="K600" s="7"/>
      <c r="L600" s="14"/>
      <c r="M600" s="10"/>
      <c r="N600" s="10"/>
      <c r="O600" s="7"/>
    </row>
    <row r="601" spans="1:15" ht="75" customHeight="1">
      <c r="A601" s="7"/>
      <c r="B601" s="8"/>
      <c r="C601" s="9"/>
      <c r="D601" s="10"/>
      <c r="E601" s="10"/>
      <c r="F601" s="10"/>
      <c r="G601" s="10"/>
      <c r="H601" s="10"/>
      <c r="I601" s="12"/>
      <c r="J601" s="13"/>
      <c r="K601" s="7"/>
      <c r="L601" s="14"/>
      <c r="M601" s="10"/>
      <c r="N601" s="10"/>
      <c r="O601" s="7"/>
    </row>
    <row r="602" spans="1:15" ht="75" customHeight="1">
      <c r="A602" s="7"/>
      <c r="B602" s="8"/>
      <c r="C602" s="9"/>
      <c r="D602" s="10"/>
      <c r="E602" s="10"/>
      <c r="F602" s="10"/>
      <c r="G602" s="10"/>
      <c r="H602" s="10"/>
      <c r="I602" s="12"/>
      <c r="J602" s="13"/>
      <c r="K602" s="7"/>
      <c r="L602" s="14"/>
      <c r="M602" s="10"/>
      <c r="N602" s="10"/>
      <c r="O602" s="7"/>
    </row>
    <row r="603" spans="1:15" ht="75" customHeight="1">
      <c r="A603" s="7"/>
      <c r="B603" s="8"/>
      <c r="C603" s="9"/>
      <c r="D603" s="10"/>
      <c r="E603" s="10"/>
      <c r="F603" s="10"/>
      <c r="G603" s="10"/>
      <c r="H603" s="10"/>
      <c r="I603" s="12"/>
      <c r="J603" s="13"/>
      <c r="K603" s="7"/>
      <c r="L603" s="14"/>
      <c r="M603" s="10"/>
      <c r="N603" s="10"/>
      <c r="O603" s="7"/>
    </row>
    <row r="604" spans="1:15" ht="75" customHeight="1">
      <c r="A604" s="7"/>
      <c r="B604" s="8"/>
      <c r="C604" s="9"/>
      <c r="D604" s="10"/>
      <c r="E604" s="10"/>
      <c r="F604" s="10"/>
      <c r="G604" s="10"/>
      <c r="H604" s="10"/>
      <c r="I604" s="12"/>
      <c r="J604" s="13"/>
      <c r="K604" s="7"/>
      <c r="L604" s="14"/>
      <c r="M604" s="10"/>
      <c r="N604" s="10"/>
      <c r="O604" s="7"/>
    </row>
    <row r="605" spans="1:15" ht="75" customHeight="1">
      <c r="A605" s="7"/>
      <c r="B605" s="8"/>
      <c r="C605" s="9"/>
      <c r="D605" s="10"/>
      <c r="E605" s="10"/>
      <c r="F605" s="10"/>
      <c r="G605" s="10"/>
      <c r="H605" s="10"/>
      <c r="I605" s="12"/>
      <c r="J605" s="13"/>
      <c r="K605" s="7"/>
      <c r="L605" s="14"/>
      <c r="M605" s="10"/>
      <c r="N605" s="10"/>
      <c r="O605" s="7"/>
    </row>
    <row r="606" spans="1:15" ht="75" customHeight="1">
      <c r="A606" s="7"/>
      <c r="B606" s="8"/>
      <c r="C606" s="9"/>
      <c r="D606" s="10"/>
      <c r="E606" s="10"/>
      <c r="F606" s="10"/>
      <c r="G606" s="10"/>
      <c r="H606" s="10"/>
      <c r="I606" s="12"/>
      <c r="J606" s="13"/>
      <c r="K606" s="7"/>
      <c r="L606" s="14"/>
      <c r="M606" s="10"/>
      <c r="N606" s="10"/>
      <c r="O606" s="7"/>
    </row>
    <row r="607" spans="1:15" ht="75" customHeight="1">
      <c r="A607" s="7"/>
      <c r="B607" s="8"/>
      <c r="C607" s="9"/>
      <c r="D607" s="10"/>
      <c r="E607" s="10"/>
      <c r="F607" s="10"/>
      <c r="G607" s="10"/>
      <c r="H607" s="10"/>
      <c r="I607" s="12"/>
      <c r="J607" s="13"/>
      <c r="K607" s="7"/>
      <c r="L607" s="14"/>
      <c r="M607" s="10"/>
      <c r="N607" s="10"/>
      <c r="O607" s="7"/>
    </row>
    <row r="608" spans="1:15" ht="75" customHeight="1">
      <c r="A608" s="7"/>
      <c r="B608" s="8"/>
      <c r="C608" s="9"/>
      <c r="D608" s="10"/>
      <c r="E608" s="10"/>
      <c r="F608" s="10"/>
      <c r="G608" s="10"/>
      <c r="H608" s="10"/>
      <c r="I608" s="12"/>
      <c r="J608" s="13"/>
      <c r="K608" s="7"/>
      <c r="L608" s="14"/>
      <c r="M608" s="10"/>
      <c r="N608" s="10"/>
      <c r="O608" s="7"/>
    </row>
    <row r="609" spans="1:15" ht="75" customHeight="1">
      <c r="A609" s="7"/>
      <c r="B609" s="8"/>
      <c r="C609" s="9"/>
      <c r="D609" s="10"/>
      <c r="E609" s="10"/>
      <c r="F609" s="10"/>
      <c r="G609" s="10"/>
      <c r="H609" s="10"/>
      <c r="I609" s="12"/>
      <c r="J609" s="13"/>
      <c r="K609" s="7"/>
      <c r="L609" s="14"/>
      <c r="M609" s="10"/>
      <c r="N609" s="10"/>
      <c r="O609" s="7"/>
    </row>
    <row r="610" spans="1:15" ht="75" customHeight="1">
      <c r="A610" s="7"/>
      <c r="B610" s="8"/>
      <c r="C610" s="9"/>
      <c r="D610" s="10"/>
      <c r="E610" s="10"/>
      <c r="F610" s="10"/>
      <c r="G610" s="10"/>
      <c r="H610" s="10"/>
      <c r="I610" s="12"/>
      <c r="J610" s="13"/>
      <c r="K610" s="7"/>
      <c r="L610" s="14"/>
      <c r="M610" s="10"/>
      <c r="N610" s="10"/>
      <c r="O610" s="7"/>
    </row>
    <row r="611" spans="1:15" ht="75" customHeight="1">
      <c r="A611" s="7"/>
      <c r="B611" s="8"/>
      <c r="C611" s="9"/>
      <c r="D611" s="10"/>
      <c r="E611" s="10"/>
      <c r="F611" s="10"/>
      <c r="G611" s="10"/>
      <c r="H611" s="10"/>
      <c r="I611" s="12"/>
      <c r="J611" s="13"/>
      <c r="K611" s="7"/>
      <c r="L611" s="14"/>
      <c r="M611" s="10"/>
      <c r="N611" s="10"/>
      <c r="O611" s="7"/>
    </row>
    <row r="612" spans="1:15" ht="75" customHeight="1">
      <c r="A612" s="7"/>
      <c r="B612" s="8"/>
      <c r="C612" s="9"/>
      <c r="D612" s="10"/>
      <c r="E612" s="10"/>
      <c r="F612" s="10"/>
      <c r="G612" s="10"/>
      <c r="H612" s="10"/>
      <c r="I612" s="12"/>
      <c r="J612" s="13"/>
      <c r="K612" s="7"/>
      <c r="L612" s="14"/>
      <c r="M612" s="10"/>
      <c r="N612" s="10"/>
      <c r="O612" s="7"/>
    </row>
    <row r="613" spans="1:15" ht="75" customHeight="1">
      <c r="A613" s="7"/>
      <c r="B613" s="8"/>
      <c r="C613" s="9"/>
      <c r="D613" s="10"/>
      <c r="E613" s="10"/>
      <c r="F613" s="10"/>
      <c r="G613" s="10"/>
      <c r="H613" s="10"/>
      <c r="I613" s="12"/>
      <c r="J613" s="13"/>
      <c r="K613" s="7"/>
      <c r="L613" s="14"/>
      <c r="M613" s="10"/>
      <c r="N613" s="10"/>
      <c r="O613" s="7"/>
    </row>
    <row r="614" spans="1:15" ht="75" customHeight="1">
      <c r="A614" s="7"/>
      <c r="B614" s="8"/>
      <c r="C614" s="9"/>
      <c r="D614" s="10"/>
      <c r="E614" s="10"/>
      <c r="F614" s="10"/>
      <c r="G614" s="10"/>
      <c r="H614" s="10"/>
      <c r="I614" s="12"/>
      <c r="J614" s="13"/>
      <c r="K614" s="7"/>
      <c r="L614" s="14"/>
      <c r="M614" s="10"/>
      <c r="N614" s="10"/>
      <c r="O614" s="7"/>
    </row>
    <row r="615" spans="1:15" ht="75" customHeight="1">
      <c r="A615" s="7"/>
      <c r="B615" s="8"/>
      <c r="C615" s="9"/>
      <c r="D615" s="10"/>
      <c r="E615" s="10"/>
      <c r="F615" s="10"/>
      <c r="G615" s="10"/>
      <c r="H615" s="10"/>
      <c r="I615" s="12"/>
      <c r="J615" s="13"/>
      <c r="K615" s="7"/>
      <c r="L615" s="14"/>
      <c r="M615" s="10"/>
      <c r="N615" s="10"/>
      <c r="O615" s="7"/>
    </row>
    <row r="616" spans="1:15" ht="75" customHeight="1">
      <c r="A616" s="7"/>
      <c r="B616" s="8"/>
      <c r="C616" s="9"/>
      <c r="D616" s="10"/>
      <c r="E616" s="10"/>
      <c r="F616" s="10"/>
      <c r="G616" s="10"/>
      <c r="H616" s="10"/>
      <c r="I616" s="12"/>
      <c r="J616" s="13"/>
      <c r="K616" s="7"/>
      <c r="L616" s="14"/>
      <c r="M616" s="10"/>
      <c r="N616" s="10"/>
      <c r="O616" s="7"/>
    </row>
    <row r="617" spans="1:15" ht="75" customHeight="1">
      <c r="A617" s="7"/>
      <c r="B617" s="8"/>
      <c r="C617" s="9"/>
      <c r="D617" s="10"/>
      <c r="E617" s="10"/>
      <c r="F617" s="10"/>
      <c r="G617" s="10"/>
      <c r="H617" s="10"/>
      <c r="I617" s="12"/>
      <c r="J617" s="13"/>
      <c r="K617" s="7"/>
      <c r="L617" s="14"/>
      <c r="M617" s="10"/>
      <c r="N617" s="10"/>
      <c r="O617" s="7"/>
    </row>
    <row r="618" spans="1:15" ht="75" customHeight="1">
      <c r="A618" s="7"/>
      <c r="B618" s="8"/>
      <c r="C618" s="9"/>
      <c r="D618" s="10"/>
      <c r="E618" s="10"/>
      <c r="F618" s="10"/>
      <c r="G618" s="10"/>
      <c r="H618" s="10"/>
      <c r="I618" s="12"/>
      <c r="J618" s="13"/>
      <c r="K618" s="7"/>
      <c r="L618" s="14"/>
      <c r="M618" s="10"/>
      <c r="N618" s="10"/>
      <c r="O618" s="7"/>
    </row>
    <row r="619" spans="1:15" ht="75" customHeight="1">
      <c r="A619" s="7"/>
      <c r="B619" s="8"/>
      <c r="C619" s="9"/>
      <c r="D619" s="10"/>
      <c r="E619" s="10"/>
      <c r="F619" s="10"/>
      <c r="G619" s="10"/>
      <c r="H619" s="10"/>
      <c r="I619" s="12"/>
      <c r="J619" s="13"/>
      <c r="K619" s="7"/>
      <c r="L619" s="14"/>
      <c r="M619" s="10"/>
      <c r="N619" s="10"/>
      <c r="O619" s="7"/>
    </row>
    <row r="620" spans="1:15" ht="75" customHeight="1">
      <c r="A620" s="7"/>
      <c r="B620" s="8"/>
      <c r="C620" s="9"/>
      <c r="D620" s="10"/>
      <c r="E620" s="10"/>
      <c r="F620" s="10"/>
      <c r="G620" s="10"/>
      <c r="H620" s="10"/>
      <c r="I620" s="12"/>
      <c r="J620" s="13"/>
      <c r="K620" s="7"/>
      <c r="L620" s="14"/>
      <c r="M620" s="10"/>
      <c r="N620" s="10"/>
      <c r="O620" s="7"/>
    </row>
    <row r="621" spans="1:15" ht="75" customHeight="1">
      <c r="A621" s="7"/>
      <c r="B621" s="8"/>
      <c r="C621" s="9"/>
      <c r="D621" s="10"/>
      <c r="E621" s="10"/>
      <c r="F621" s="10"/>
      <c r="G621" s="10"/>
      <c r="H621" s="10"/>
      <c r="I621" s="12"/>
      <c r="J621" s="13"/>
      <c r="K621" s="7"/>
      <c r="L621" s="14"/>
      <c r="M621" s="10"/>
      <c r="N621" s="10"/>
      <c r="O621" s="7"/>
    </row>
    <row r="622" spans="1:15" ht="75" customHeight="1">
      <c r="A622" s="7"/>
      <c r="B622" s="8"/>
      <c r="C622" s="9"/>
      <c r="D622" s="10"/>
      <c r="E622" s="10"/>
      <c r="F622" s="10"/>
      <c r="G622" s="10"/>
      <c r="H622" s="10"/>
      <c r="I622" s="12"/>
      <c r="J622" s="13"/>
      <c r="K622" s="7"/>
      <c r="L622" s="14"/>
      <c r="M622" s="10"/>
      <c r="N622" s="10"/>
      <c r="O622" s="7"/>
    </row>
    <row r="623" spans="1:15" ht="75" customHeight="1">
      <c r="A623" s="7"/>
      <c r="B623" s="8"/>
      <c r="C623" s="9"/>
      <c r="D623" s="10"/>
      <c r="E623" s="10"/>
      <c r="F623" s="10"/>
      <c r="G623" s="10"/>
      <c r="H623" s="10"/>
      <c r="I623" s="12"/>
      <c r="J623" s="13"/>
      <c r="K623" s="7"/>
      <c r="L623" s="14"/>
      <c r="M623" s="10"/>
      <c r="N623" s="10"/>
      <c r="O623" s="7"/>
    </row>
    <row r="624" spans="1:15" ht="75" customHeight="1">
      <c r="A624" s="7"/>
      <c r="B624" s="8"/>
      <c r="C624" s="9"/>
      <c r="D624" s="10"/>
      <c r="E624" s="10"/>
      <c r="F624" s="10"/>
      <c r="G624" s="10"/>
      <c r="H624" s="10"/>
      <c r="I624" s="12"/>
      <c r="J624" s="13"/>
      <c r="K624" s="7"/>
      <c r="L624" s="14"/>
      <c r="M624" s="10"/>
      <c r="N624" s="10"/>
      <c r="O624" s="7"/>
    </row>
    <row r="625" spans="1:15" ht="75" customHeight="1">
      <c r="A625" s="7"/>
      <c r="B625" s="8"/>
      <c r="C625" s="9"/>
      <c r="D625" s="10"/>
      <c r="E625" s="10"/>
      <c r="F625" s="10"/>
      <c r="G625" s="10"/>
      <c r="H625" s="10"/>
      <c r="I625" s="12"/>
      <c r="J625" s="13"/>
      <c r="K625" s="7"/>
      <c r="L625" s="14"/>
      <c r="M625" s="10"/>
      <c r="N625" s="10"/>
      <c r="O625" s="7"/>
    </row>
    <row r="626" spans="1:15" ht="75" customHeight="1">
      <c r="A626" s="7"/>
      <c r="B626" s="8"/>
      <c r="C626" s="9"/>
      <c r="D626" s="10"/>
      <c r="E626" s="10"/>
      <c r="F626" s="10"/>
      <c r="G626" s="10"/>
      <c r="H626" s="10"/>
      <c r="I626" s="12"/>
      <c r="J626" s="13"/>
      <c r="K626" s="7"/>
      <c r="L626" s="14"/>
      <c r="M626" s="10"/>
      <c r="N626" s="10"/>
      <c r="O626" s="7"/>
    </row>
    <row r="627" spans="1:15" ht="75" customHeight="1">
      <c r="A627" s="7"/>
      <c r="B627" s="8"/>
      <c r="C627" s="9"/>
      <c r="D627" s="10"/>
      <c r="E627" s="10"/>
      <c r="F627" s="10"/>
      <c r="G627" s="10"/>
      <c r="H627" s="10"/>
      <c r="I627" s="12"/>
      <c r="J627" s="13"/>
      <c r="K627" s="7"/>
      <c r="L627" s="14"/>
      <c r="M627" s="10"/>
      <c r="N627" s="10"/>
      <c r="O627" s="7"/>
    </row>
    <row r="628" spans="1:15" ht="75" customHeight="1">
      <c r="A628" s="7"/>
      <c r="B628" s="8"/>
      <c r="C628" s="9"/>
      <c r="D628" s="10"/>
      <c r="E628" s="10"/>
      <c r="F628" s="10"/>
      <c r="G628" s="10"/>
      <c r="H628" s="10"/>
      <c r="I628" s="12"/>
      <c r="J628" s="13"/>
      <c r="K628" s="7"/>
      <c r="L628" s="14"/>
      <c r="M628" s="10"/>
      <c r="N628" s="10"/>
      <c r="O628" s="7"/>
    </row>
    <row r="629" spans="1:15" ht="75" customHeight="1">
      <c r="A629" s="7"/>
      <c r="B629" s="8"/>
      <c r="C629" s="9"/>
      <c r="D629" s="10"/>
      <c r="E629" s="10"/>
      <c r="F629" s="10"/>
      <c r="G629" s="10"/>
      <c r="H629" s="10"/>
      <c r="I629" s="12"/>
      <c r="J629" s="13"/>
      <c r="K629" s="7"/>
      <c r="L629" s="14"/>
      <c r="M629" s="10"/>
      <c r="N629" s="10"/>
      <c r="O629" s="7"/>
    </row>
    <row r="630" spans="1:15" ht="75" customHeight="1">
      <c r="A630" s="7"/>
      <c r="B630" s="8"/>
      <c r="C630" s="9"/>
      <c r="D630" s="10"/>
      <c r="E630" s="10"/>
      <c r="F630" s="10"/>
      <c r="G630" s="10"/>
      <c r="H630" s="10"/>
      <c r="I630" s="12"/>
      <c r="J630" s="13"/>
      <c r="K630" s="7"/>
      <c r="L630" s="14"/>
      <c r="M630" s="10"/>
      <c r="N630" s="10"/>
      <c r="O630" s="7"/>
    </row>
    <row r="631" spans="1:15" ht="75" customHeight="1">
      <c r="A631" s="7"/>
      <c r="B631" s="8"/>
      <c r="C631" s="9"/>
      <c r="D631" s="10"/>
      <c r="E631" s="10"/>
      <c r="F631" s="10"/>
      <c r="G631" s="10"/>
      <c r="H631" s="10"/>
      <c r="I631" s="12"/>
      <c r="J631" s="13"/>
      <c r="K631" s="7"/>
      <c r="L631" s="14"/>
      <c r="M631" s="10"/>
      <c r="N631" s="10"/>
      <c r="O631" s="7"/>
    </row>
    <row r="632" spans="1:15" ht="75" customHeight="1">
      <c r="A632" s="7"/>
      <c r="B632" s="8"/>
      <c r="C632" s="9"/>
      <c r="D632" s="10"/>
      <c r="E632" s="10"/>
      <c r="F632" s="10"/>
      <c r="G632" s="10"/>
      <c r="H632" s="10"/>
      <c r="I632" s="12"/>
      <c r="J632" s="13"/>
      <c r="K632" s="7"/>
      <c r="L632" s="14"/>
      <c r="M632" s="10"/>
      <c r="N632" s="10"/>
      <c r="O632" s="7"/>
    </row>
    <row r="633" spans="1:15" ht="75" customHeight="1">
      <c r="A633" s="7"/>
      <c r="B633" s="8"/>
      <c r="C633" s="9"/>
      <c r="D633" s="10"/>
      <c r="E633" s="10"/>
      <c r="F633" s="10"/>
      <c r="G633" s="10"/>
      <c r="H633" s="10"/>
      <c r="I633" s="12"/>
      <c r="J633" s="13"/>
      <c r="K633" s="7"/>
      <c r="L633" s="14"/>
      <c r="M633" s="10"/>
      <c r="N633" s="10"/>
      <c r="O633" s="7"/>
    </row>
    <row r="634" spans="1:15" ht="75" customHeight="1">
      <c r="A634" s="7"/>
      <c r="B634" s="8"/>
      <c r="C634" s="9"/>
      <c r="D634" s="10"/>
      <c r="E634" s="10"/>
      <c r="F634" s="10"/>
      <c r="G634" s="10"/>
      <c r="H634" s="10"/>
      <c r="I634" s="12"/>
      <c r="J634" s="13"/>
      <c r="K634" s="7"/>
      <c r="L634" s="14"/>
      <c r="M634" s="10"/>
      <c r="N634" s="10"/>
      <c r="O634" s="7"/>
    </row>
    <row r="635" spans="1:15" ht="75" customHeight="1">
      <c r="A635" s="7"/>
      <c r="B635" s="8"/>
      <c r="C635" s="9"/>
      <c r="D635" s="10"/>
      <c r="E635" s="10"/>
      <c r="F635" s="10"/>
      <c r="G635" s="10"/>
      <c r="H635" s="10"/>
      <c r="I635" s="12"/>
      <c r="J635" s="13"/>
      <c r="K635" s="7"/>
      <c r="L635" s="14"/>
      <c r="M635" s="10"/>
      <c r="N635" s="10"/>
      <c r="O635" s="7"/>
    </row>
    <row r="636" spans="1:15" ht="75" customHeight="1">
      <c r="A636" s="7"/>
      <c r="B636" s="8"/>
      <c r="C636" s="9"/>
      <c r="D636" s="10"/>
      <c r="E636" s="10"/>
      <c r="F636" s="10"/>
      <c r="G636" s="10"/>
      <c r="H636" s="10"/>
      <c r="I636" s="12"/>
      <c r="J636" s="13"/>
      <c r="K636" s="7"/>
      <c r="L636" s="14"/>
      <c r="M636" s="10"/>
      <c r="N636" s="10"/>
      <c r="O636" s="7"/>
    </row>
    <row r="637" spans="1:15" ht="75" customHeight="1">
      <c r="A637" s="7"/>
      <c r="B637" s="8"/>
      <c r="C637" s="9"/>
      <c r="D637" s="10"/>
      <c r="E637" s="10"/>
      <c r="F637" s="10"/>
      <c r="G637" s="10"/>
      <c r="H637" s="10"/>
      <c r="I637" s="12"/>
      <c r="J637" s="13"/>
      <c r="K637" s="7"/>
      <c r="L637" s="14"/>
      <c r="M637" s="10"/>
      <c r="N637" s="10"/>
      <c r="O637" s="7"/>
    </row>
    <row r="638" spans="1:15" ht="75" customHeight="1">
      <c r="A638" s="7"/>
      <c r="B638" s="8"/>
      <c r="C638" s="9"/>
      <c r="D638" s="10"/>
      <c r="E638" s="10"/>
      <c r="F638" s="10"/>
      <c r="G638" s="10"/>
      <c r="H638" s="10"/>
      <c r="I638" s="12"/>
      <c r="J638" s="13"/>
      <c r="K638" s="7"/>
      <c r="L638" s="14"/>
      <c r="M638" s="10"/>
      <c r="N638" s="10"/>
      <c r="O638" s="7"/>
    </row>
    <row r="639" spans="1:15" ht="75" customHeight="1">
      <c r="A639" s="7"/>
      <c r="B639" s="8"/>
      <c r="C639" s="9"/>
      <c r="D639" s="10"/>
      <c r="E639" s="10"/>
      <c r="F639" s="10"/>
      <c r="G639" s="10"/>
      <c r="H639" s="10"/>
      <c r="I639" s="12"/>
      <c r="J639" s="13"/>
      <c r="K639" s="7"/>
      <c r="L639" s="14"/>
      <c r="M639" s="10"/>
      <c r="N639" s="10"/>
      <c r="O639" s="7"/>
    </row>
    <row r="640" spans="1:15" ht="75" customHeight="1">
      <c r="A640" s="7"/>
      <c r="B640" s="8"/>
      <c r="C640" s="9"/>
      <c r="D640" s="10"/>
      <c r="E640" s="10"/>
      <c r="F640" s="10"/>
      <c r="G640" s="10"/>
      <c r="H640" s="10"/>
      <c r="I640" s="12"/>
      <c r="J640" s="13"/>
      <c r="K640" s="7"/>
      <c r="L640" s="14"/>
      <c r="M640" s="10"/>
      <c r="N640" s="10"/>
      <c r="O640" s="7"/>
    </row>
    <row r="641" spans="1:15" ht="75" customHeight="1">
      <c r="A641" s="7"/>
      <c r="B641" s="8"/>
      <c r="C641" s="9"/>
      <c r="D641" s="10"/>
      <c r="E641" s="10"/>
      <c r="F641" s="10"/>
      <c r="G641" s="10"/>
      <c r="H641" s="10"/>
      <c r="I641" s="12"/>
      <c r="J641" s="13"/>
      <c r="K641" s="7"/>
      <c r="L641" s="14"/>
      <c r="M641" s="10"/>
      <c r="N641" s="10"/>
      <c r="O641" s="7"/>
    </row>
    <row r="642" spans="1:15" ht="75" customHeight="1">
      <c r="A642" s="7"/>
      <c r="B642" s="8"/>
      <c r="C642" s="9"/>
      <c r="D642" s="10"/>
      <c r="E642" s="10"/>
      <c r="F642" s="10"/>
      <c r="G642" s="10"/>
      <c r="H642" s="10"/>
      <c r="I642" s="12"/>
      <c r="J642" s="13"/>
      <c r="K642" s="7"/>
      <c r="L642" s="14"/>
      <c r="M642" s="10"/>
      <c r="N642" s="10"/>
      <c r="O642" s="7"/>
    </row>
    <row r="643" spans="1:15" ht="75" customHeight="1">
      <c r="A643" s="7"/>
      <c r="B643" s="8"/>
      <c r="C643" s="9"/>
      <c r="D643" s="10"/>
      <c r="E643" s="10"/>
      <c r="F643" s="10"/>
      <c r="G643" s="10"/>
      <c r="H643" s="10"/>
      <c r="I643" s="12"/>
      <c r="J643" s="13"/>
      <c r="K643" s="7"/>
      <c r="L643" s="14"/>
      <c r="M643" s="10"/>
      <c r="N643" s="10"/>
      <c r="O643" s="7"/>
    </row>
    <row r="644" spans="1:15" ht="75" customHeight="1">
      <c r="A644" s="7"/>
      <c r="B644" s="8"/>
      <c r="C644" s="9"/>
      <c r="D644" s="10"/>
      <c r="E644" s="10"/>
      <c r="F644" s="10"/>
      <c r="G644" s="10"/>
      <c r="H644" s="10"/>
      <c r="I644" s="12"/>
      <c r="J644" s="13"/>
      <c r="K644" s="7"/>
      <c r="L644" s="14"/>
      <c r="M644" s="10"/>
      <c r="N644" s="10"/>
      <c r="O644" s="7"/>
    </row>
    <row r="645" spans="1:15" ht="75" customHeight="1">
      <c r="A645" s="7"/>
      <c r="B645" s="8"/>
      <c r="C645" s="9"/>
      <c r="D645" s="10"/>
      <c r="E645" s="10"/>
      <c r="F645" s="10"/>
      <c r="G645" s="10"/>
      <c r="H645" s="10"/>
      <c r="I645" s="12"/>
      <c r="J645" s="13"/>
      <c r="K645" s="7"/>
      <c r="L645" s="14"/>
      <c r="M645" s="10"/>
      <c r="N645" s="10"/>
      <c r="O645" s="7"/>
    </row>
    <row r="646" spans="1:15" ht="75" customHeight="1">
      <c r="A646" s="7"/>
      <c r="B646" s="8"/>
      <c r="C646" s="9"/>
      <c r="D646" s="10"/>
      <c r="E646" s="10"/>
      <c r="F646" s="10"/>
      <c r="G646" s="10"/>
      <c r="H646" s="10"/>
      <c r="I646" s="12"/>
      <c r="J646" s="13"/>
      <c r="K646" s="7"/>
      <c r="L646" s="14"/>
      <c r="M646" s="10"/>
      <c r="N646" s="10"/>
      <c r="O646" s="7"/>
    </row>
    <row r="647" spans="1:15" ht="75" customHeight="1">
      <c r="A647" s="7"/>
      <c r="B647" s="8"/>
      <c r="C647" s="9"/>
      <c r="D647" s="10"/>
      <c r="E647" s="10"/>
      <c r="F647" s="10"/>
      <c r="G647" s="10"/>
      <c r="H647" s="10"/>
      <c r="I647" s="12"/>
      <c r="J647" s="13"/>
      <c r="K647" s="7"/>
      <c r="L647" s="14"/>
      <c r="M647" s="10"/>
      <c r="N647" s="10"/>
      <c r="O647" s="7"/>
    </row>
    <row r="648" spans="1:15" ht="75" customHeight="1">
      <c r="A648" s="7"/>
      <c r="B648" s="8"/>
      <c r="C648" s="9"/>
      <c r="D648" s="10"/>
      <c r="E648" s="10"/>
      <c r="F648" s="10"/>
      <c r="G648" s="10"/>
      <c r="H648" s="10"/>
      <c r="I648" s="12"/>
      <c r="J648" s="13"/>
      <c r="K648" s="7"/>
      <c r="L648" s="14"/>
      <c r="M648" s="10"/>
      <c r="N648" s="10"/>
      <c r="O648" s="7"/>
    </row>
    <row r="649" spans="1:15" ht="75" customHeight="1">
      <c r="A649" s="7"/>
      <c r="B649" s="8"/>
      <c r="C649" s="9"/>
      <c r="D649" s="10"/>
      <c r="E649" s="10"/>
      <c r="F649" s="10"/>
      <c r="G649" s="10"/>
      <c r="H649" s="10"/>
      <c r="I649" s="12"/>
      <c r="J649" s="13"/>
      <c r="K649" s="7"/>
      <c r="L649" s="14"/>
      <c r="M649" s="10"/>
      <c r="N649" s="10"/>
      <c r="O649" s="7"/>
    </row>
    <row r="650" spans="1:15" ht="75" customHeight="1">
      <c r="A650" s="7"/>
      <c r="B650" s="8"/>
      <c r="C650" s="9"/>
      <c r="D650" s="10"/>
      <c r="E650" s="10"/>
      <c r="F650" s="10"/>
      <c r="G650" s="10"/>
      <c r="H650" s="10"/>
      <c r="I650" s="12"/>
      <c r="J650" s="13"/>
      <c r="K650" s="7"/>
      <c r="L650" s="14"/>
      <c r="M650" s="10"/>
      <c r="N650" s="10"/>
      <c r="O650" s="7"/>
    </row>
    <row r="651" spans="1:15" ht="75" customHeight="1">
      <c r="A651" s="7"/>
      <c r="B651" s="8"/>
      <c r="C651" s="9"/>
      <c r="D651" s="10"/>
      <c r="E651" s="10"/>
      <c r="F651" s="10"/>
      <c r="G651" s="10"/>
      <c r="H651" s="10"/>
      <c r="I651" s="12"/>
      <c r="J651" s="13"/>
      <c r="K651" s="7"/>
      <c r="L651" s="14"/>
      <c r="M651" s="10"/>
      <c r="N651" s="10"/>
      <c r="O651" s="7"/>
    </row>
    <row r="652" spans="1:15" ht="75" customHeight="1">
      <c r="A652" s="7"/>
      <c r="B652" s="8"/>
      <c r="C652" s="9"/>
      <c r="D652" s="10"/>
      <c r="E652" s="10"/>
      <c r="F652" s="10"/>
      <c r="G652" s="10"/>
      <c r="H652" s="10"/>
      <c r="I652" s="12"/>
      <c r="J652" s="13"/>
      <c r="K652" s="7"/>
      <c r="L652" s="14"/>
      <c r="M652" s="10"/>
      <c r="N652" s="10"/>
      <c r="O652" s="7"/>
    </row>
    <row r="653" spans="1:15" ht="75" customHeight="1">
      <c r="A653" s="7"/>
      <c r="B653" s="8"/>
      <c r="C653" s="9"/>
      <c r="D653" s="10"/>
      <c r="E653" s="10"/>
      <c r="F653" s="10"/>
      <c r="G653" s="10"/>
      <c r="H653" s="10"/>
      <c r="I653" s="12"/>
      <c r="J653" s="13"/>
      <c r="K653" s="7"/>
      <c r="L653" s="14"/>
      <c r="M653" s="10"/>
      <c r="N653" s="10"/>
      <c r="O653" s="7"/>
    </row>
    <row r="654" spans="1:15" ht="75" customHeight="1">
      <c r="A654" s="7"/>
      <c r="B654" s="8"/>
      <c r="C654" s="9"/>
      <c r="D654" s="10"/>
      <c r="E654" s="10"/>
      <c r="F654" s="10"/>
      <c r="G654" s="10"/>
      <c r="H654" s="10"/>
      <c r="I654" s="12"/>
      <c r="J654" s="13"/>
      <c r="K654" s="7"/>
      <c r="L654" s="14"/>
      <c r="M654" s="10"/>
      <c r="N654" s="10"/>
      <c r="O654" s="7"/>
    </row>
    <row r="655" spans="1:15" ht="75" customHeight="1">
      <c r="A655" s="7"/>
      <c r="B655" s="8"/>
      <c r="C655" s="9"/>
      <c r="D655" s="10"/>
      <c r="E655" s="10"/>
      <c r="F655" s="10"/>
      <c r="G655" s="10"/>
      <c r="H655" s="10"/>
      <c r="I655" s="12"/>
      <c r="J655" s="13"/>
      <c r="K655" s="7"/>
      <c r="L655" s="14"/>
      <c r="M655" s="10"/>
      <c r="N655" s="10"/>
      <c r="O655" s="7"/>
    </row>
    <row r="656" spans="1:15" ht="75" customHeight="1">
      <c r="A656" s="7"/>
      <c r="B656" s="8"/>
      <c r="C656" s="9"/>
      <c r="D656" s="10"/>
      <c r="E656" s="10"/>
      <c r="F656" s="10"/>
      <c r="G656" s="10"/>
      <c r="H656" s="10"/>
      <c r="I656" s="12"/>
      <c r="J656" s="13"/>
      <c r="K656" s="7"/>
      <c r="L656" s="14"/>
      <c r="M656" s="10"/>
      <c r="N656" s="10"/>
      <c r="O656" s="7"/>
    </row>
    <row r="657" spans="1:15" ht="75" customHeight="1">
      <c r="A657" s="7"/>
      <c r="B657" s="8"/>
      <c r="C657" s="9"/>
      <c r="D657" s="10"/>
      <c r="E657" s="10"/>
      <c r="F657" s="10"/>
      <c r="G657" s="10"/>
      <c r="H657" s="10"/>
      <c r="I657" s="12"/>
      <c r="J657" s="13"/>
      <c r="K657" s="7"/>
      <c r="L657" s="14"/>
      <c r="M657" s="10"/>
      <c r="N657" s="10"/>
      <c r="O657" s="7"/>
    </row>
    <row r="658" spans="1:15" ht="75" customHeight="1">
      <c r="A658" s="7"/>
      <c r="B658" s="8"/>
      <c r="C658" s="9"/>
      <c r="D658" s="10"/>
      <c r="E658" s="10"/>
      <c r="F658" s="10"/>
      <c r="G658" s="10"/>
      <c r="H658" s="10"/>
      <c r="I658" s="12"/>
      <c r="J658" s="13"/>
      <c r="K658" s="7"/>
      <c r="L658" s="14"/>
      <c r="M658" s="10"/>
      <c r="N658" s="10"/>
      <c r="O658" s="7"/>
    </row>
    <row r="659" spans="1:15" ht="75" customHeight="1">
      <c r="A659" s="7"/>
      <c r="B659" s="8"/>
      <c r="C659" s="9"/>
      <c r="D659" s="10"/>
      <c r="E659" s="10"/>
      <c r="F659" s="10"/>
      <c r="G659" s="10"/>
      <c r="H659" s="10"/>
      <c r="I659" s="12"/>
      <c r="J659" s="13"/>
      <c r="K659" s="7"/>
      <c r="L659" s="14"/>
      <c r="M659" s="10"/>
      <c r="N659" s="10"/>
      <c r="O659" s="7"/>
    </row>
    <row r="660" spans="1:15" ht="75" customHeight="1">
      <c r="A660" s="7"/>
      <c r="B660" s="8"/>
      <c r="C660" s="9"/>
      <c r="D660" s="10"/>
      <c r="E660" s="10"/>
      <c r="F660" s="10"/>
      <c r="G660" s="10"/>
      <c r="H660" s="10"/>
      <c r="I660" s="12"/>
      <c r="J660" s="13"/>
      <c r="K660" s="7"/>
      <c r="L660" s="14"/>
      <c r="M660" s="10"/>
      <c r="N660" s="10"/>
      <c r="O660" s="7"/>
    </row>
    <row r="661" spans="1:15" ht="75" customHeight="1">
      <c r="A661" s="7"/>
      <c r="B661" s="8"/>
      <c r="C661" s="9"/>
      <c r="D661" s="10"/>
      <c r="E661" s="10"/>
      <c r="F661" s="10"/>
      <c r="G661" s="10"/>
      <c r="H661" s="10"/>
      <c r="I661" s="12"/>
      <c r="J661" s="13"/>
      <c r="K661" s="7"/>
      <c r="L661" s="14"/>
      <c r="M661" s="10"/>
      <c r="N661" s="10"/>
      <c r="O661" s="7"/>
    </row>
    <row r="662" spans="1:15" ht="75" customHeight="1">
      <c r="A662" s="7"/>
      <c r="B662" s="8"/>
      <c r="C662" s="9"/>
      <c r="D662" s="10"/>
      <c r="E662" s="10"/>
      <c r="F662" s="10"/>
      <c r="G662" s="10"/>
      <c r="H662" s="10"/>
      <c r="I662" s="12"/>
      <c r="J662" s="13"/>
      <c r="K662" s="7"/>
      <c r="L662" s="14"/>
      <c r="M662" s="10"/>
      <c r="N662" s="10"/>
      <c r="O662" s="7"/>
    </row>
    <row r="663" spans="1:15" ht="75" customHeight="1">
      <c r="A663" s="7"/>
      <c r="B663" s="8"/>
      <c r="C663" s="9"/>
      <c r="D663" s="10"/>
      <c r="E663" s="10"/>
      <c r="F663" s="10"/>
      <c r="G663" s="10"/>
      <c r="H663" s="10"/>
      <c r="I663" s="12"/>
      <c r="J663" s="13"/>
      <c r="K663" s="7"/>
      <c r="L663" s="14"/>
      <c r="M663" s="10"/>
      <c r="N663" s="10"/>
      <c r="O663" s="7"/>
    </row>
    <row r="664" spans="1:15" ht="75" customHeight="1">
      <c r="A664" s="7"/>
      <c r="B664" s="8"/>
      <c r="C664" s="9"/>
      <c r="D664" s="10"/>
      <c r="E664" s="10"/>
      <c r="F664" s="10"/>
      <c r="G664" s="10"/>
      <c r="H664" s="10"/>
      <c r="I664" s="12"/>
      <c r="J664" s="13"/>
      <c r="K664" s="7"/>
      <c r="L664" s="14"/>
      <c r="M664" s="10"/>
      <c r="N664" s="10"/>
      <c r="O664" s="7"/>
    </row>
    <row r="665" spans="1:15" ht="75" customHeight="1">
      <c r="A665" s="7"/>
      <c r="B665" s="8"/>
      <c r="C665" s="9"/>
      <c r="D665" s="10"/>
      <c r="E665" s="10"/>
      <c r="F665" s="10"/>
      <c r="G665" s="10"/>
      <c r="H665" s="10"/>
      <c r="I665" s="12"/>
      <c r="J665" s="13"/>
      <c r="K665" s="7"/>
      <c r="L665" s="14"/>
      <c r="M665" s="10"/>
      <c r="N665" s="10"/>
      <c r="O665" s="7"/>
    </row>
    <row r="666" spans="1:15" ht="75" customHeight="1">
      <c r="A666" s="7"/>
      <c r="B666" s="8"/>
      <c r="C666" s="9"/>
      <c r="D666" s="10"/>
      <c r="E666" s="10"/>
      <c r="F666" s="10"/>
      <c r="G666" s="10"/>
      <c r="H666" s="10"/>
      <c r="I666" s="12"/>
      <c r="J666" s="13"/>
      <c r="K666" s="7"/>
      <c r="L666" s="14"/>
      <c r="M666" s="10"/>
      <c r="N666" s="10"/>
      <c r="O666" s="7"/>
    </row>
    <row r="667" spans="1:15" ht="75" customHeight="1">
      <c r="A667" s="7"/>
      <c r="B667" s="8"/>
      <c r="C667" s="9"/>
      <c r="D667" s="10"/>
      <c r="E667" s="10"/>
      <c r="F667" s="10"/>
      <c r="G667" s="10"/>
      <c r="H667" s="10"/>
      <c r="I667" s="12"/>
      <c r="J667" s="13"/>
      <c r="K667" s="7"/>
      <c r="L667" s="14"/>
      <c r="M667" s="10"/>
      <c r="N667" s="10"/>
      <c r="O667" s="7"/>
    </row>
    <row r="668" spans="1:15" ht="75" customHeight="1">
      <c r="A668" s="7"/>
      <c r="B668" s="8"/>
      <c r="C668" s="9"/>
      <c r="D668" s="10"/>
      <c r="E668" s="10"/>
      <c r="F668" s="10"/>
      <c r="G668" s="10"/>
      <c r="H668" s="10"/>
      <c r="I668" s="12"/>
      <c r="J668" s="13"/>
      <c r="K668" s="7"/>
      <c r="L668" s="14"/>
      <c r="M668" s="10"/>
      <c r="N668" s="10"/>
      <c r="O668" s="7"/>
    </row>
    <row r="669" spans="1:15" ht="75" customHeight="1">
      <c r="A669" s="7"/>
      <c r="B669" s="8"/>
      <c r="C669" s="9"/>
      <c r="D669" s="10"/>
      <c r="E669" s="10"/>
      <c r="F669" s="10"/>
      <c r="G669" s="10"/>
      <c r="H669" s="10"/>
      <c r="I669" s="12"/>
      <c r="J669" s="13"/>
      <c r="K669" s="7"/>
      <c r="L669" s="14"/>
      <c r="M669" s="10"/>
      <c r="N669" s="10"/>
      <c r="O669" s="7"/>
    </row>
    <row r="670" spans="1:15" ht="75" customHeight="1">
      <c r="A670" s="7"/>
      <c r="B670" s="8"/>
      <c r="C670" s="9"/>
      <c r="D670" s="10"/>
      <c r="E670" s="10"/>
      <c r="F670" s="10"/>
      <c r="G670" s="10"/>
      <c r="H670" s="10"/>
      <c r="I670" s="12"/>
      <c r="J670" s="13"/>
      <c r="K670" s="7"/>
      <c r="L670" s="14"/>
      <c r="M670" s="10"/>
      <c r="N670" s="10"/>
      <c r="O670" s="7"/>
    </row>
    <row r="671" spans="1:15" ht="75" customHeight="1">
      <c r="A671" s="7"/>
      <c r="B671" s="8"/>
      <c r="C671" s="9"/>
      <c r="D671" s="10"/>
      <c r="E671" s="10"/>
      <c r="F671" s="10"/>
      <c r="G671" s="10"/>
      <c r="H671" s="10"/>
      <c r="I671" s="12"/>
      <c r="J671" s="13"/>
      <c r="K671" s="7"/>
      <c r="L671" s="14"/>
      <c r="M671" s="10"/>
      <c r="N671" s="10"/>
      <c r="O671" s="7"/>
    </row>
    <row r="672" spans="1:15" ht="75" customHeight="1">
      <c r="A672" s="7"/>
      <c r="B672" s="8"/>
      <c r="C672" s="9"/>
      <c r="D672" s="10"/>
      <c r="E672" s="10"/>
      <c r="F672" s="10"/>
      <c r="G672" s="10"/>
      <c r="H672" s="10"/>
      <c r="I672" s="12"/>
      <c r="J672" s="13"/>
      <c r="K672" s="7"/>
      <c r="L672" s="14"/>
      <c r="M672" s="10"/>
      <c r="N672" s="10"/>
      <c r="O672" s="7"/>
    </row>
    <row r="673" spans="1:15" ht="75" customHeight="1">
      <c r="A673" s="7"/>
      <c r="B673" s="8"/>
      <c r="C673" s="9"/>
      <c r="D673" s="10"/>
      <c r="E673" s="10"/>
      <c r="F673" s="10"/>
      <c r="G673" s="10"/>
      <c r="H673" s="10"/>
      <c r="I673" s="12"/>
      <c r="J673" s="13"/>
      <c r="K673" s="7"/>
      <c r="L673" s="14"/>
      <c r="M673" s="10"/>
      <c r="N673" s="10"/>
      <c r="O673" s="7"/>
    </row>
    <row r="674" spans="1:15" ht="75" customHeight="1">
      <c r="A674" s="7"/>
      <c r="B674" s="8"/>
      <c r="C674" s="9"/>
      <c r="D674" s="10"/>
      <c r="E674" s="10"/>
      <c r="F674" s="10"/>
      <c r="G674" s="10"/>
      <c r="H674" s="10"/>
      <c r="I674" s="12"/>
      <c r="J674" s="13"/>
      <c r="K674" s="7"/>
      <c r="L674" s="14"/>
      <c r="M674" s="10"/>
      <c r="N674" s="10"/>
      <c r="O674" s="7"/>
    </row>
    <row r="675" spans="1:15" ht="75" customHeight="1">
      <c r="A675" s="7"/>
      <c r="B675" s="8"/>
      <c r="C675" s="9"/>
      <c r="D675" s="10"/>
      <c r="E675" s="10"/>
      <c r="F675" s="10"/>
      <c r="G675" s="10"/>
      <c r="H675" s="10"/>
      <c r="I675" s="12"/>
      <c r="J675" s="13"/>
      <c r="K675" s="7"/>
      <c r="L675" s="14"/>
      <c r="M675" s="10"/>
      <c r="N675" s="10"/>
      <c r="O675" s="7"/>
    </row>
    <row r="676" spans="1:15" ht="75" customHeight="1">
      <c r="A676" s="7"/>
      <c r="B676" s="8"/>
      <c r="C676" s="9"/>
      <c r="D676" s="10"/>
      <c r="E676" s="10"/>
      <c r="F676" s="10"/>
      <c r="G676" s="10"/>
      <c r="H676" s="10"/>
      <c r="I676" s="12"/>
      <c r="J676" s="13"/>
      <c r="K676" s="7"/>
      <c r="L676" s="14"/>
      <c r="M676" s="10"/>
      <c r="N676" s="10"/>
      <c r="O676" s="7"/>
    </row>
    <row r="677" spans="1:15" ht="75" customHeight="1">
      <c r="A677" s="7"/>
      <c r="B677" s="8"/>
      <c r="C677" s="9"/>
      <c r="D677" s="10"/>
      <c r="E677" s="10"/>
      <c r="F677" s="10"/>
      <c r="G677" s="10"/>
      <c r="H677" s="10"/>
      <c r="I677" s="12"/>
      <c r="J677" s="13"/>
      <c r="K677" s="7"/>
      <c r="L677" s="14"/>
      <c r="M677" s="10"/>
      <c r="N677" s="10"/>
      <c r="O677" s="7"/>
    </row>
    <row r="678" spans="1:15" ht="75" customHeight="1">
      <c r="A678" s="7"/>
      <c r="B678" s="8"/>
      <c r="C678" s="9"/>
      <c r="D678" s="10"/>
      <c r="E678" s="10"/>
      <c r="F678" s="10"/>
      <c r="G678" s="10"/>
      <c r="H678" s="10"/>
      <c r="I678" s="12"/>
      <c r="J678" s="13"/>
      <c r="K678" s="7"/>
      <c r="L678" s="14"/>
      <c r="M678" s="10"/>
      <c r="N678" s="10"/>
      <c r="O678" s="7"/>
    </row>
    <row r="679" spans="1:15" ht="75" customHeight="1">
      <c r="A679" s="7"/>
      <c r="B679" s="8"/>
      <c r="C679" s="9"/>
      <c r="D679" s="10"/>
      <c r="E679" s="10"/>
      <c r="F679" s="10"/>
      <c r="G679" s="10"/>
      <c r="H679" s="10"/>
      <c r="I679" s="12"/>
      <c r="J679" s="13"/>
      <c r="K679" s="7"/>
      <c r="L679" s="14"/>
      <c r="M679" s="10"/>
      <c r="N679" s="10"/>
      <c r="O679" s="7"/>
    </row>
    <row r="680" spans="1:15" ht="75" customHeight="1">
      <c r="A680" s="7"/>
      <c r="B680" s="8"/>
      <c r="C680" s="9"/>
      <c r="D680" s="10"/>
      <c r="E680" s="10"/>
      <c r="F680" s="10"/>
      <c r="G680" s="10"/>
      <c r="H680" s="10"/>
      <c r="I680" s="12"/>
      <c r="J680" s="13"/>
      <c r="K680" s="7"/>
      <c r="L680" s="14"/>
      <c r="M680" s="10"/>
      <c r="N680" s="10"/>
      <c r="O680" s="7"/>
    </row>
    <row r="681" spans="1:15" ht="75" customHeight="1">
      <c r="A681" s="7"/>
      <c r="B681" s="8"/>
      <c r="C681" s="9"/>
      <c r="D681" s="10"/>
      <c r="E681" s="10"/>
      <c r="F681" s="10"/>
      <c r="G681" s="10"/>
      <c r="H681" s="10"/>
      <c r="I681" s="12"/>
      <c r="J681" s="13"/>
      <c r="K681" s="7"/>
      <c r="L681" s="14"/>
      <c r="M681" s="10"/>
      <c r="N681" s="10"/>
      <c r="O681" s="7"/>
    </row>
    <row r="682" spans="1:15" ht="75" customHeight="1">
      <c r="A682" s="7"/>
      <c r="B682" s="8"/>
      <c r="C682" s="9"/>
      <c r="D682" s="10"/>
      <c r="E682" s="10"/>
      <c r="F682" s="10"/>
      <c r="G682" s="10"/>
      <c r="H682" s="10"/>
      <c r="I682" s="12"/>
      <c r="J682" s="13"/>
      <c r="K682" s="7"/>
      <c r="L682" s="14"/>
      <c r="M682" s="10"/>
      <c r="N682" s="10"/>
      <c r="O682" s="7"/>
    </row>
    <row r="683" spans="1:15" ht="75" customHeight="1">
      <c r="A683" s="7"/>
      <c r="B683" s="8"/>
      <c r="C683" s="9"/>
      <c r="D683" s="10"/>
      <c r="E683" s="10"/>
      <c r="F683" s="10"/>
      <c r="G683" s="10"/>
      <c r="H683" s="10"/>
      <c r="I683" s="12"/>
      <c r="J683" s="13"/>
      <c r="K683" s="7"/>
      <c r="L683" s="14"/>
      <c r="M683" s="10"/>
      <c r="N683" s="10"/>
      <c r="O683" s="7"/>
    </row>
    <row r="684" spans="1:15" ht="75" customHeight="1">
      <c r="A684" s="7"/>
      <c r="B684" s="8"/>
      <c r="C684" s="9"/>
      <c r="D684" s="10"/>
      <c r="E684" s="10"/>
      <c r="F684" s="10"/>
      <c r="G684" s="10"/>
      <c r="H684" s="10"/>
      <c r="I684" s="12"/>
      <c r="J684" s="13"/>
      <c r="K684" s="7"/>
      <c r="L684" s="14"/>
      <c r="M684" s="10"/>
      <c r="N684" s="10"/>
      <c r="O684" s="7"/>
    </row>
    <row r="685" spans="1:15" ht="75" customHeight="1">
      <c r="A685" s="7"/>
      <c r="B685" s="8"/>
      <c r="C685" s="9"/>
      <c r="D685" s="10"/>
      <c r="E685" s="10"/>
      <c r="F685" s="10"/>
      <c r="G685" s="10"/>
      <c r="H685" s="10"/>
      <c r="I685" s="12"/>
      <c r="J685" s="13"/>
      <c r="K685" s="7"/>
      <c r="L685" s="14"/>
      <c r="M685" s="10"/>
      <c r="N685" s="10"/>
      <c r="O685" s="7"/>
    </row>
    <row r="686" spans="1:15" ht="75" customHeight="1">
      <c r="A686" s="7"/>
      <c r="B686" s="8"/>
      <c r="C686" s="9"/>
      <c r="D686" s="10"/>
      <c r="E686" s="10"/>
      <c r="F686" s="10"/>
      <c r="G686" s="10"/>
      <c r="H686" s="10"/>
      <c r="I686" s="12"/>
      <c r="J686" s="13"/>
      <c r="K686" s="7"/>
      <c r="L686" s="14"/>
      <c r="M686" s="10"/>
      <c r="N686" s="10"/>
      <c r="O686" s="7"/>
    </row>
    <row r="687" spans="1:15" ht="75" customHeight="1">
      <c r="A687" s="7"/>
      <c r="B687" s="8"/>
      <c r="C687" s="9"/>
      <c r="D687" s="10"/>
      <c r="E687" s="10"/>
      <c r="F687" s="10"/>
      <c r="G687" s="10"/>
      <c r="H687" s="10"/>
      <c r="I687" s="12"/>
      <c r="J687" s="13"/>
      <c r="K687" s="7"/>
      <c r="L687" s="14"/>
      <c r="M687" s="10"/>
      <c r="N687" s="10"/>
      <c r="O687" s="7"/>
    </row>
    <row r="688" spans="1:15" ht="75" customHeight="1">
      <c r="A688" s="7"/>
      <c r="B688" s="8"/>
      <c r="C688" s="9"/>
      <c r="D688" s="10"/>
      <c r="E688" s="10"/>
      <c r="F688" s="10"/>
      <c r="G688" s="10"/>
      <c r="H688" s="10"/>
      <c r="I688" s="12"/>
      <c r="J688" s="13"/>
      <c r="K688" s="7"/>
      <c r="L688" s="14"/>
      <c r="M688" s="10"/>
      <c r="N688" s="10"/>
      <c r="O688" s="7"/>
    </row>
    <row r="689" spans="1:15" ht="75" customHeight="1">
      <c r="A689" s="7"/>
      <c r="B689" s="8"/>
      <c r="C689" s="9"/>
      <c r="D689" s="10"/>
      <c r="E689" s="10"/>
      <c r="F689" s="10"/>
      <c r="G689" s="10"/>
      <c r="H689" s="10"/>
      <c r="I689" s="12"/>
      <c r="J689" s="13"/>
      <c r="K689" s="7"/>
      <c r="L689" s="14"/>
      <c r="M689" s="10"/>
      <c r="N689" s="10"/>
      <c r="O689" s="7"/>
    </row>
    <row r="690" spans="1:15" ht="75" customHeight="1">
      <c r="A690" s="7"/>
      <c r="B690" s="8"/>
      <c r="C690" s="9"/>
      <c r="D690" s="10"/>
      <c r="E690" s="10"/>
      <c r="F690" s="10"/>
      <c r="G690" s="10"/>
      <c r="H690" s="10"/>
      <c r="I690" s="12"/>
      <c r="J690" s="13"/>
      <c r="K690" s="7"/>
      <c r="L690" s="14"/>
      <c r="M690" s="10"/>
      <c r="N690" s="10"/>
      <c r="O690" s="7"/>
    </row>
    <row r="691" spans="1:15" ht="75" customHeight="1">
      <c r="A691" s="7"/>
      <c r="B691" s="8"/>
      <c r="C691" s="9"/>
      <c r="D691" s="10"/>
      <c r="E691" s="10"/>
      <c r="F691" s="10"/>
      <c r="G691" s="10"/>
      <c r="H691" s="10"/>
      <c r="I691" s="12"/>
      <c r="J691" s="13"/>
      <c r="K691" s="7"/>
      <c r="L691" s="14"/>
      <c r="M691" s="10"/>
      <c r="N691" s="10"/>
      <c r="O691" s="7"/>
    </row>
    <row r="692" spans="1:15" ht="75" customHeight="1">
      <c r="A692" s="7"/>
      <c r="B692" s="8"/>
      <c r="C692" s="9"/>
      <c r="D692" s="10"/>
      <c r="E692" s="10"/>
      <c r="F692" s="10"/>
      <c r="G692" s="10"/>
      <c r="H692" s="10"/>
      <c r="I692" s="12"/>
      <c r="J692" s="13"/>
      <c r="K692" s="7"/>
      <c r="L692" s="14"/>
      <c r="M692" s="10"/>
      <c r="N692" s="10"/>
      <c r="O692" s="7"/>
    </row>
    <row r="693" spans="1:15" ht="75" customHeight="1">
      <c r="A693" s="7"/>
      <c r="B693" s="8"/>
      <c r="C693" s="9"/>
      <c r="D693" s="10"/>
      <c r="E693" s="10"/>
      <c r="F693" s="10"/>
      <c r="G693" s="10"/>
      <c r="H693" s="10"/>
      <c r="I693" s="12"/>
      <c r="J693" s="13"/>
      <c r="K693" s="7"/>
      <c r="L693" s="14"/>
      <c r="M693" s="10"/>
      <c r="N693" s="10"/>
      <c r="O693" s="7"/>
    </row>
    <row r="694" spans="1:15" ht="75" customHeight="1">
      <c r="A694" s="7"/>
      <c r="B694" s="8"/>
      <c r="C694" s="9"/>
      <c r="D694" s="10"/>
      <c r="E694" s="10"/>
      <c r="F694" s="10"/>
      <c r="G694" s="10"/>
      <c r="H694" s="10"/>
      <c r="I694" s="12"/>
      <c r="J694" s="13"/>
      <c r="K694" s="7"/>
      <c r="L694" s="14"/>
      <c r="M694" s="10"/>
      <c r="N694" s="10"/>
      <c r="O694" s="7"/>
    </row>
    <row r="695" spans="1:15" ht="75" customHeight="1">
      <c r="A695" s="7"/>
      <c r="B695" s="8"/>
      <c r="C695" s="9"/>
      <c r="D695" s="10"/>
      <c r="E695" s="10"/>
      <c r="F695" s="10"/>
      <c r="G695" s="10"/>
      <c r="H695" s="10"/>
      <c r="I695" s="12"/>
      <c r="J695" s="13"/>
      <c r="K695" s="7"/>
      <c r="L695" s="14"/>
      <c r="M695" s="10"/>
      <c r="N695" s="10"/>
      <c r="O695" s="7"/>
    </row>
    <row r="696" spans="1:15" ht="75" customHeight="1">
      <c r="A696" s="7"/>
      <c r="B696" s="8"/>
      <c r="C696" s="9"/>
      <c r="D696" s="10"/>
      <c r="E696" s="10"/>
      <c r="F696" s="10"/>
      <c r="G696" s="10"/>
      <c r="H696" s="10"/>
      <c r="I696" s="12"/>
      <c r="J696" s="13"/>
      <c r="K696" s="7"/>
      <c r="L696" s="14"/>
      <c r="M696" s="10"/>
      <c r="N696" s="10"/>
      <c r="O696" s="7"/>
    </row>
    <row r="697" spans="1:15" ht="75" customHeight="1">
      <c r="A697" s="7"/>
      <c r="B697" s="8"/>
      <c r="C697" s="9"/>
      <c r="D697" s="10"/>
      <c r="E697" s="10"/>
      <c r="F697" s="10"/>
      <c r="G697" s="10"/>
      <c r="H697" s="10"/>
      <c r="I697" s="12"/>
      <c r="J697" s="13"/>
      <c r="K697" s="7"/>
      <c r="L697" s="14"/>
      <c r="M697" s="10"/>
      <c r="N697" s="10"/>
      <c r="O697" s="7"/>
    </row>
    <row r="698" spans="1:15" ht="75" customHeight="1">
      <c r="A698" s="7"/>
      <c r="B698" s="8"/>
      <c r="C698" s="9"/>
      <c r="D698" s="10"/>
      <c r="E698" s="10"/>
      <c r="F698" s="10"/>
      <c r="G698" s="10"/>
      <c r="H698" s="10"/>
      <c r="I698" s="12"/>
      <c r="J698" s="13"/>
      <c r="K698" s="7"/>
      <c r="L698" s="14"/>
      <c r="M698" s="10"/>
      <c r="N698" s="10"/>
      <c r="O698" s="7"/>
    </row>
    <row r="699" spans="1:15" ht="75" customHeight="1">
      <c r="A699" s="7"/>
      <c r="B699" s="8"/>
      <c r="C699" s="9"/>
      <c r="D699" s="10"/>
      <c r="E699" s="10"/>
      <c r="F699" s="10"/>
      <c r="G699" s="10"/>
      <c r="H699" s="10"/>
      <c r="I699" s="12"/>
      <c r="J699" s="13"/>
      <c r="K699" s="7"/>
      <c r="L699" s="14"/>
      <c r="M699" s="10"/>
      <c r="N699" s="10"/>
      <c r="O699" s="7"/>
    </row>
    <row r="700" spans="1:15" ht="75" customHeight="1">
      <c r="A700" s="7"/>
      <c r="B700" s="8"/>
      <c r="C700" s="9"/>
      <c r="D700" s="10"/>
      <c r="E700" s="10"/>
      <c r="F700" s="10"/>
      <c r="G700" s="10"/>
      <c r="H700" s="10"/>
      <c r="I700" s="12"/>
      <c r="J700" s="13"/>
      <c r="K700" s="7"/>
      <c r="L700" s="14"/>
      <c r="M700" s="10"/>
      <c r="N700" s="10"/>
      <c r="O700" s="7"/>
    </row>
    <row r="701" spans="1:15" ht="75" customHeight="1">
      <c r="A701" s="7"/>
      <c r="B701" s="8"/>
      <c r="C701" s="9"/>
      <c r="D701" s="10"/>
      <c r="E701" s="10"/>
      <c r="F701" s="10"/>
      <c r="G701" s="10"/>
      <c r="H701" s="10"/>
      <c r="I701" s="12"/>
      <c r="J701" s="13"/>
      <c r="K701" s="7"/>
      <c r="L701" s="14"/>
      <c r="M701" s="10"/>
      <c r="N701" s="10"/>
      <c r="O701" s="7"/>
    </row>
    <row r="702" spans="1:15" ht="75" customHeight="1">
      <c r="A702" s="7"/>
      <c r="B702" s="8"/>
      <c r="C702" s="9"/>
      <c r="D702" s="10"/>
      <c r="E702" s="10"/>
      <c r="F702" s="10"/>
      <c r="G702" s="10"/>
      <c r="H702" s="10"/>
      <c r="I702" s="12"/>
      <c r="J702" s="13"/>
      <c r="K702" s="7"/>
      <c r="L702" s="14"/>
      <c r="M702" s="10"/>
      <c r="N702" s="10"/>
      <c r="O702" s="7"/>
    </row>
    <row r="703" spans="1:15" ht="75" customHeight="1">
      <c r="A703" s="7"/>
      <c r="B703" s="8"/>
      <c r="C703" s="9"/>
      <c r="D703" s="10"/>
      <c r="E703" s="10"/>
      <c r="F703" s="10"/>
      <c r="G703" s="10"/>
      <c r="H703" s="10"/>
      <c r="I703" s="12"/>
      <c r="J703" s="13"/>
      <c r="K703" s="7"/>
      <c r="L703" s="14"/>
      <c r="M703" s="10"/>
      <c r="N703" s="10"/>
      <c r="O703" s="7"/>
    </row>
    <row r="704" spans="1:15" ht="75" customHeight="1">
      <c r="A704" s="7"/>
      <c r="B704" s="8"/>
      <c r="C704" s="9"/>
      <c r="D704" s="10"/>
      <c r="E704" s="10"/>
      <c r="F704" s="10"/>
      <c r="G704" s="10"/>
      <c r="H704" s="10"/>
      <c r="I704" s="12"/>
      <c r="J704" s="13"/>
      <c r="K704" s="7"/>
      <c r="L704" s="14"/>
      <c r="M704" s="10"/>
      <c r="N704" s="10"/>
      <c r="O704" s="7"/>
    </row>
    <row r="705" spans="1:15" ht="75" customHeight="1">
      <c r="A705" s="7"/>
      <c r="B705" s="8"/>
      <c r="C705" s="9"/>
      <c r="D705" s="10"/>
      <c r="E705" s="10"/>
      <c r="F705" s="10"/>
      <c r="G705" s="10"/>
      <c r="H705" s="10"/>
      <c r="I705" s="12"/>
      <c r="J705" s="13"/>
      <c r="K705" s="7"/>
      <c r="L705" s="14"/>
      <c r="M705" s="10"/>
      <c r="N705" s="10"/>
      <c r="O705" s="7"/>
    </row>
    <row r="706" spans="1:15" ht="75" customHeight="1">
      <c r="A706" s="7"/>
      <c r="B706" s="8"/>
      <c r="C706" s="9"/>
      <c r="D706" s="10"/>
      <c r="E706" s="10"/>
      <c r="F706" s="10"/>
      <c r="G706" s="10"/>
      <c r="H706" s="10"/>
      <c r="I706" s="12"/>
      <c r="J706" s="13"/>
      <c r="K706" s="7"/>
      <c r="L706" s="14"/>
      <c r="M706" s="10"/>
      <c r="N706" s="10"/>
      <c r="O706" s="7"/>
    </row>
    <row r="707" spans="1:15" ht="75" customHeight="1">
      <c r="A707" s="7"/>
      <c r="B707" s="8"/>
      <c r="C707" s="9"/>
      <c r="D707" s="10"/>
      <c r="E707" s="10"/>
      <c r="F707" s="10"/>
      <c r="G707" s="10"/>
      <c r="H707" s="10"/>
      <c r="I707" s="12"/>
      <c r="J707" s="13"/>
      <c r="K707" s="7"/>
      <c r="L707" s="14"/>
      <c r="M707" s="10"/>
      <c r="N707" s="10"/>
      <c r="O707" s="7"/>
    </row>
    <row r="708" spans="1:15" ht="75" customHeight="1">
      <c r="A708" s="7"/>
      <c r="B708" s="8"/>
      <c r="C708" s="9"/>
      <c r="D708" s="10"/>
      <c r="E708" s="10"/>
      <c r="F708" s="10"/>
      <c r="G708" s="10"/>
      <c r="H708" s="10"/>
      <c r="I708" s="12"/>
      <c r="J708" s="13"/>
      <c r="K708" s="7"/>
      <c r="L708" s="14"/>
      <c r="M708" s="10"/>
      <c r="N708" s="10"/>
      <c r="O708" s="7"/>
    </row>
    <row r="709" spans="1:15" ht="75" customHeight="1">
      <c r="A709" s="7"/>
      <c r="B709" s="8"/>
      <c r="C709" s="9"/>
      <c r="D709" s="10"/>
      <c r="E709" s="10"/>
      <c r="F709" s="10"/>
      <c r="G709" s="10"/>
      <c r="H709" s="10"/>
      <c r="I709" s="12"/>
      <c r="J709" s="13"/>
      <c r="K709" s="7"/>
      <c r="L709" s="14"/>
      <c r="M709" s="10"/>
      <c r="N709" s="10"/>
      <c r="O709" s="7"/>
    </row>
    <row r="710" spans="1:15" ht="75" customHeight="1">
      <c r="A710" s="7"/>
      <c r="B710" s="8"/>
      <c r="C710" s="9"/>
      <c r="D710" s="10"/>
      <c r="E710" s="10"/>
      <c r="F710" s="10"/>
      <c r="G710" s="10"/>
      <c r="H710" s="10"/>
      <c r="I710" s="12"/>
      <c r="J710" s="13"/>
      <c r="K710" s="7"/>
      <c r="L710" s="14"/>
      <c r="M710" s="10"/>
      <c r="N710" s="10"/>
      <c r="O710" s="7"/>
    </row>
    <row r="711" spans="1:15" ht="75" customHeight="1">
      <c r="A711" s="7"/>
      <c r="B711" s="8"/>
      <c r="C711" s="9"/>
      <c r="D711" s="10"/>
      <c r="E711" s="10"/>
      <c r="F711" s="10"/>
      <c r="G711" s="10"/>
      <c r="H711" s="10"/>
      <c r="I711" s="12"/>
      <c r="J711" s="13"/>
      <c r="K711" s="7"/>
      <c r="L711" s="14"/>
      <c r="M711" s="10"/>
      <c r="N711" s="10"/>
      <c r="O711" s="7"/>
    </row>
    <row r="712" spans="1:15" ht="75" customHeight="1">
      <c r="A712" s="7"/>
      <c r="B712" s="8"/>
      <c r="C712" s="9"/>
      <c r="D712" s="10"/>
      <c r="E712" s="10"/>
      <c r="F712" s="10"/>
      <c r="G712" s="10"/>
      <c r="H712" s="10"/>
      <c r="I712" s="12"/>
      <c r="J712" s="13"/>
      <c r="K712" s="7"/>
      <c r="L712" s="14"/>
      <c r="M712" s="10"/>
      <c r="N712" s="10"/>
      <c r="O712" s="7"/>
    </row>
    <row r="713" spans="1:15" ht="75" customHeight="1">
      <c r="A713" s="7"/>
      <c r="B713" s="8"/>
      <c r="C713" s="9"/>
      <c r="D713" s="10"/>
      <c r="E713" s="10"/>
      <c r="F713" s="10"/>
      <c r="G713" s="10"/>
      <c r="H713" s="10"/>
      <c r="I713" s="12"/>
      <c r="J713" s="13"/>
      <c r="K713" s="7"/>
      <c r="L713" s="14"/>
      <c r="M713" s="10"/>
      <c r="N713" s="10"/>
      <c r="O713" s="7"/>
    </row>
    <row r="714" spans="1:15" ht="75" customHeight="1">
      <c r="A714" s="7"/>
      <c r="B714" s="8"/>
      <c r="C714" s="9"/>
      <c r="D714" s="10"/>
      <c r="E714" s="10"/>
      <c r="F714" s="10"/>
      <c r="G714" s="10"/>
      <c r="H714" s="10"/>
      <c r="I714" s="12"/>
      <c r="J714" s="13"/>
      <c r="K714" s="7"/>
      <c r="L714" s="14"/>
      <c r="M714" s="10"/>
      <c r="N714" s="10"/>
      <c r="O714" s="7"/>
    </row>
    <row r="715" spans="1:15" ht="75" customHeight="1">
      <c r="A715" s="7"/>
      <c r="B715" s="8"/>
      <c r="C715" s="9"/>
      <c r="D715" s="10"/>
      <c r="E715" s="10"/>
      <c r="F715" s="10"/>
      <c r="G715" s="10"/>
      <c r="H715" s="10"/>
      <c r="I715" s="12"/>
      <c r="J715" s="13"/>
      <c r="K715" s="7"/>
      <c r="L715" s="14"/>
      <c r="M715" s="10"/>
      <c r="N715" s="10"/>
      <c r="O715" s="7"/>
    </row>
    <row r="716" spans="1:15" ht="75" customHeight="1">
      <c r="A716" s="7"/>
      <c r="B716" s="8"/>
      <c r="C716" s="9"/>
      <c r="D716" s="10"/>
      <c r="E716" s="10"/>
      <c r="F716" s="10"/>
      <c r="G716" s="10"/>
      <c r="H716" s="10"/>
      <c r="I716" s="12"/>
      <c r="J716" s="13"/>
      <c r="K716" s="7"/>
      <c r="L716" s="14"/>
      <c r="M716" s="10"/>
      <c r="N716" s="10"/>
      <c r="O716" s="7"/>
    </row>
    <row r="717" spans="1:15" ht="75" customHeight="1">
      <c r="A717" s="7"/>
      <c r="B717" s="8"/>
      <c r="C717" s="9"/>
      <c r="D717" s="10"/>
      <c r="E717" s="10"/>
      <c r="F717" s="10"/>
      <c r="G717" s="10"/>
      <c r="H717" s="10"/>
      <c r="I717" s="12"/>
      <c r="J717" s="13"/>
      <c r="K717" s="7"/>
      <c r="L717" s="14"/>
      <c r="M717" s="10"/>
      <c r="N717" s="10"/>
      <c r="O717" s="7"/>
    </row>
    <row r="718" spans="1:15" ht="75" customHeight="1">
      <c r="A718" s="7"/>
      <c r="B718" s="8"/>
      <c r="C718" s="9"/>
      <c r="D718" s="10"/>
      <c r="E718" s="10"/>
      <c r="F718" s="10"/>
      <c r="G718" s="10"/>
      <c r="H718" s="10"/>
      <c r="I718" s="12"/>
      <c r="J718" s="13"/>
      <c r="K718" s="7"/>
      <c r="L718" s="14"/>
      <c r="M718" s="10"/>
      <c r="N718" s="10"/>
      <c r="O718" s="7"/>
    </row>
    <row r="719" spans="1:15" ht="75" customHeight="1">
      <c r="A719" s="7"/>
      <c r="B719" s="8"/>
      <c r="C719" s="9"/>
      <c r="D719" s="10"/>
      <c r="E719" s="10"/>
      <c r="F719" s="10"/>
      <c r="G719" s="10"/>
      <c r="H719" s="10"/>
      <c r="I719" s="12"/>
      <c r="J719" s="13"/>
      <c r="K719" s="7"/>
      <c r="L719" s="14"/>
      <c r="M719" s="10"/>
      <c r="N719" s="10"/>
      <c r="O719" s="7"/>
    </row>
    <row r="720" spans="1:15" ht="75" customHeight="1">
      <c r="A720" s="7"/>
      <c r="B720" s="8"/>
      <c r="C720" s="9"/>
      <c r="D720" s="10"/>
      <c r="E720" s="10"/>
      <c r="F720" s="10"/>
      <c r="G720" s="10"/>
      <c r="H720" s="10"/>
      <c r="I720" s="12"/>
      <c r="J720" s="13"/>
      <c r="K720" s="7"/>
      <c r="L720" s="14"/>
      <c r="M720" s="10"/>
      <c r="N720" s="10"/>
      <c r="O720" s="7"/>
    </row>
    <row r="721" spans="1:15" ht="75" customHeight="1">
      <c r="A721" s="7"/>
      <c r="B721" s="8"/>
      <c r="C721" s="9"/>
      <c r="D721" s="10"/>
      <c r="E721" s="10"/>
      <c r="F721" s="10"/>
      <c r="G721" s="10"/>
      <c r="H721" s="10"/>
      <c r="I721" s="12"/>
      <c r="J721" s="13"/>
      <c r="K721" s="7"/>
      <c r="L721" s="14"/>
      <c r="M721" s="10"/>
      <c r="N721" s="10"/>
      <c r="O721" s="7"/>
    </row>
    <row r="722" spans="1:15" ht="75" customHeight="1">
      <c r="A722" s="7"/>
      <c r="B722" s="8"/>
      <c r="C722" s="9"/>
      <c r="D722" s="10"/>
      <c r="E722" s="10"/>
      <c r="F722" s="10"/>
      <c r="G722" s="10"/>
      <c r="H722" s="10"/>
      <c r="I722" s="12"/>
      <c r="J722" s="13"/>
      <c r="K722" s="7"/>
      <c r="L722" s="14"/>
      <c r="M722" s="10"/>
      <c r="N722" s="10"/>
      <c r="O722" s="7"/>
    </row>
    <row r="723" spans="1:15" ht="75" customHeight="1">
      <c r="A723" s="7"/>
      <c r="B723" s="8"/>
      <c r="C723" s="9"/>
      <c r="D723" s="10"/>
      <c r="E723" s="10"/>
      <c r="F723" s="10"/>
      <c r="G723" s="10"/>
      <c r="H723" s="10"/>
      <c r="I723" s="12"/>
      <c r="J723" s="13"/>
      <c r="K723" s="7"/>
      <c r="L723" s="14"/>
      <c r="M723" s="10"/>
      <c r="N723" s="10"/>
      <c r="O723" s="7"/>
    </row>
    <row r="724" spans="1:15" ht="75" customHeight="1">
      <c r="A724" s="7"/>
      <c r="B724" s="8"/>
      <c r="C724" s="9"/>
      <c r="D724" s="10"/>
      <c r="E724" s="10"/>
      <c r="F724" s="10"/>
      <c r="G724" s="10"/>
      <c r="H724" s="10"/>
      <c r="I724" s="12"/>
      <c r="J724" s="13"/>
      <c r="K724" s="7"/>
      <c r="L724" s="14"/>
      <c r="M724" s="10"/>
      <c r="N724" s="10"/>
      <c r="O724" s="7"/>
    </row>
    <row r="725" spans="1:15" ht="75" customHeight="1">
      <c r="A725" s="7"/>
      <c r="B725" s="8"/>
      <c r="C725" s="9"/>
      <c r="D725" s="10"/>
      <c r="E725" s="10"/>
      <c r="F725" s="10"/>
      <c r="G725" s="10"/>
      <c r="H725" s="10"/>
      <c r="I725" s="12"/>
      <c r="J725" s="13"/>
      <c r="K725" s="7"/>
      <c r="L725" s="14"/>
      <c r="M725" s="10"/>
      <c r="N725" s="10"/>
      <c r="O725" s="7"/>
    </row>
    <row r="726" spans="1:15" ht="75" customHeight="1">
      <c r="A726" s="7"/>
      <c r="B726" s="8"/>
      <c r="C726" s="9"/>
      <c r="D726" s="10"/>
      <c r="E726" s="10"/>
      <c r="F726" s="10"/>
      <c r="G726" s="10"/>
      <c r="H726" s="10"/>
      <c r="I726" s="12"/>
      <c r="J726" s="13"/>
      <c r="K726" s="7"/>
      <c r="L726" s="14"/>
      <c r="M726" s="10"/>
      <c r="N726" s="10"/>
      <c r="O726" s="7"/>
    </row>
    <row r="727" spans="1:15" ht="75" customHeight="1">
      <c r="A727" s="7"/>
      <c r="B727" s="8"/>
      <c r="C727" s="9"/>
      <c r="D727" s="10"/>
      <c r="E727" s="10"/>
      <c r="F727" s="10"/>
      <c r="G727" s="10"/>
      <c r="H727" s="10"/>
      <c r="I727" s="12"/>
      <c r="J727" s="13"/>
      <c r="K727" s="7"/>
      <c r="L727" s="14"/>
      <c r="M727" s="10"/>
      <c r="N727" s="10"/>
      <c r="O727" s="7"/>
    </row>
    <row r="728" spans="1:15" ht="75" customHeight="1">
      <c r="A728" s="7"/>
      <c r="B728" s="8"/>
      <c r="C728" s="9"/>
      <c r="D728" s="10"/>
      <c r="E728" s="10"/>
      <c r="F728" s="10"/>
      <c r="G728" s="10"/>
      <c r="H728" s="10"/>
      <c r="I728" s="12"/>
      <c r="J728" s="13"/>
      <c r="K728" s="7"/>
      <c r="L728" s="14"/>
      <c r="M728" s="10"/>
      <c r="N728" s="10"/>
      <c r="O728" s="7"/>
    </row>
    <row r="729" spans="1:15" ht="75" customHeight="1">
      <c r="A729" s="7"/>
      <c r="B729" s="8"/>
      <c r="C729" s="9"/>
      <c r="D729" s="10"/>
      <c r="E729" s="10"/>
      <c r="F729" s="10"/>
      <c r="G729" s="10"/>
      <c r="H729" s="10"/>
      <c r="I729" s="12"/>
      <c r="J729" s="13"/>
      <c r="K729" s="7"/>
      <c r="L729" s="14"/>
      <c r="M729" s="10"/>
      <c r="N729" s="10"/>
      <c r="O729" s="7"/>
    </row>
    <row r="730" spans="1:15" ht="75" customHeight="1">
      <c r="A730" s="7"/>
      <c r="B730" s="8"/>
      <c r="C730" s="9"/>
      <c r="D730" s="10"/>
      <c r="E730" s="10"/>
      <c r="F730" s="10"/>
      <c r="G730" s="10"/>
      <c r="H730" s="10"/>
      <c r="I730" s="12"/>
      <c r="J730" s="13"/>
      <c r="K730" s="7"/>
      <c r="L730" s="14"/>
      <c r="M730" s="10"/>
      <c r="N730" s="10"/>
      <c r="O730" s="7"/>
    </row>
    <row r="731" spans="1:15" ht="75" customHeight="1">
      <c r="A731" s="7"/>
      <c r="B731" s="8"/>
      <c r="C731" s="9"/>
      <c r="D731" s="10"/>
      <c r="E731" s="10"/>
      <c r="F731" s="10"/>
      <c r="G731" s="10"/>
      <c r="H731" s="10"/>
      <c r="I731" s="12"/>
      <c r="J731" s="13"/>
      <c r="K731" s="7"/>
      <c r="L731" s="14"/>
      <c r="M731" s="10"/>
      <c r="N731" s="10"/>
      <c r="O731" s="7"/>
    </row>
    <row r="732" spans="1:15" ht="75" customHeight="1">
      <c r="A732" s="7"/>
      <c r="B732" s="8"/>
      <c r="C732" s="9"/>
      <c r="D732" s="10"/>
      <c r="E732" s="10"/>
      <c r="F732" s="10"/>
      <c r="G732" s="10"/>
      <c r="H732" s="10"/>
      <c r="I732" s="12"/>
      <c r="J732" s="13"/>
      <c r="K732" s="7"/>
      <c r="L732" s="14"/>
      <c r="M732" s="10"/>
      <c r="N732" s="10"/>
      <c r="O732" s="7"/>
    </row>
    <row r="733" spans="1:15" ht="75" customHeight="1">
      <c r="A733" s="7"/>
      <c r="B733" s="8"/>
      <c r="C733" s="9"/>
      <c r="D733" s="10"/>
      <c r="E733" s="10"/>
      <c r="F733" s="10"/>
      <c r="G733" s="10"/>
      <c r="H733" s="10"/>
      <c r="I733" s="12"/>
      <c r="J733" s="13"/>
      <c r="K733" s="7"/>
      <c r="L733" s="14"/>
      <c r="M733" s="10"/>
      <c r="N733" s="10"/>
      <c r="O733" s="7"/>
    </row>
    <row r="734" spans="1:15" ht="75" customHeight="1">
      <c r="A734" s="7"/>
      <c r="B734" s="8"/>
      <c r="C734" s="9"/>
      <c r="D734" s="10"/>
      <c r="E734" s="10"/>
      <c r="F734" s="10"/>
      <c r="G734" s="10"/>
      <c r="H734" s="10"/>
      <c r="I734" s="12"/>
      <c r="J734" s="13"/>
      <c r="K734" s="7"/>
      <c r="L734" s="14"/>
      <c r="M734" s="10"/>
      <c r="N734" s="10"/>
      <c r="O734" s="7"/>
    </row>
    <row r="735" spans="1:15" ht="75" customHeight="1">
      <c r="A735" s="7"/>
      <c r="B735" s="8"/>
      <c r="C735" s="9"/>
      <c r="D735" s="10"/>
      <c r="E735" s="10"/>
      <c r="F735" s="10"/>
      <c r="G735" s="10"/>
      <c r="H735" s="10"/>
      <c r="I735" s="12"/>
      <c r="J735" s="13"/>
      <c r="K735" s="7"/>
      <c r="L735" s="14"/>
      <c r="M735" s="10"/>
      <c r="N735" s="10"/>
      <c r="O735" s="7"/>
    </row>
    <row r="736" spans="1:15" ht="75" customHeight="1">
      <c r="A736" s="7"/>
      <c r="B736" s="8"/>
      <c r="C736" s="9"/>
      <c r="D736" s="10"/>
      <c r="E736" s="10"/>
      <c r="F736" s="10"/>
      <c r="G736" s="10"/>
      <c r="H736" s="10"/>
      <c r="I736" s="12"/>
      <c r="J736" s="13"/>
      <c r="K736" s="7"/>
      <c r="L736" s="14"/>
      <c r="M736" s="10"/>
      <c r="N736" s="10"/>
      <c r="O736" s="7"/>
    </row>
    <row r="737" spans="1:15" ht="75" customHeight="1">
      <c r="A737" s="7"/>
      <c r="B737" s="8"/>
      <c r="C737" s="9"/>
      <c r="D737" s="10"/>
      <c r="E737" s="10"/>
      <c r="F737" s="10"/>
      <c r="G737" s="10"/>
      <c r="H737" s="10"/>
      <c r="I737" s="12"/>
      <c r="J737" s="13"/>
      <c r="K737" s="7"/>
      <c r="L737" s="14"/>
      <c r="M737" s="10"/>
      <c r="N737" s="10"/>
      <c r="O737" s="7"/>
    </row>
    <row r="738" spans="1:15" ht="75" customHeight="1">
      <c r="A738" s="7"/>
      <c r="B738" s="8"/>
      <c r="C738" s="9"/>
      <c r="D738" s="10"/>
      <c r="E738" s="10"/>
      <c r="F738" s="10"/>
      <c r="G738" s="10"/>
      <c r="H738" s="10"/>
      <c r="I738" s="12"/>
      <c r="J738" s="13"/>
      <c r="K738" s="7"/>
      <c r="L738" s="14"/>
      <c r="M738" s="10"/>
      <c r="N738" s="10"/>
      <c r="O738" s="7"/>
    </row>
    <row r="739" spans="1:15" ht="75" customHeight="1">
      <c r="A739" s="7"/>
      <c r="B739" s="8"/>
      <c r="C739" s="9"/>
      <c r="D739" s="10"/>
      <c r="E739" s="10"/>
      <c r="F739" s="10"/>
      <c r="G739" s="10"/>
      <c r="H739" s="10"/>
      <c r="I739" s="12"/>
      <c r="J739" s="13"/>
      <c r="K739" s="7"/>
      <c r="L739" s="14"/>
      <c r="M739" s="10"/>
      <c r="N739" s="10"/>
      <c r="O739" s="7"/>
    </row>
    <row r="740" spans="1:15" ht="75" customHeight="1">
      <c r="A740" s="7"/>
      <c r="B740" s="8"/>
      <c r="C740" s="9"/>
      <c r="D740" s="10"/>
      <c r="E740" s="10"/>
      <c r="F740" s="10"/>
      <c r="G740" s="10"/>
      <c r="H740" s="10"/>
      <c r="I740" s="12"/>
      <c r="J740" s="13"/>
      <c r="K740" s="7"/>
      <c r="L740" s="14"/>
      <c r="M740" s="10"/>
      <c r="N740" s="10"/>
      <c r="O740" s="7"/>
    </row>
    <row r="741" spans="1:15" ht="75" customHeight="1">
      <c r="A741" s="7"/>
      <c r="B741" s="8"/>
      <c r="C741" s="9"/>
      <c r="D741" s="10"/>
      <c r="E741" s="10"/>
      <c r="F741" s="10"/>
      <c r="G741" s="10"/>
      <c r="H741" s="10"/>
      <c r="I741" s="12"/>
      <c r="J741" s="13"/>
      <c r="K741" s="7"/>
      <c r="L741" s="14"/>
      <c r="M741" s="10"/>
      <c r="N741" s="10"/>
      <c r="O741" s="7"/>
    </row>
    <row r="742" spans="1:15" ht="75" customHeight="1">
      <c r="A742" s="7"/>
      <c r="B742" s="8"/>
      <c r="C742" s="9"/>
      <c r="D742" s="10"/>
      <c r="E742" s="10"/>
      <c r="F742" s="10"/>
      <c r="G742" s="10"/>
      <c r="H742" s="10"/>
      <c r="I742" s="12"/>
      <c r="J742" s="13"/>
      <c r="K742" s="7"/>
      <c r="L742" s="14"/>
      <c r="M742" s="10"/>
      <c r="N742" s="10"/>
      <c r="O742" s="7"/>
    </row>
    <row r="743" spans="1:15" ht="75" customHeight="1">
      <c r="A743" s="7"/>
      <c r="B743" s="8"/>
      <c r="C743" s="9"/>
      <c r="D743" s="10"/>
      <c r="E743" s="10"/>
      <c r="F743" s="10"/>
      <c r="G743" s="10"/>
      <c r="H743" s="10"/>
      <c r="I743" s="12"/>
      <c r="J743" s="13"/>
      <c r="K743" s="7"/>
      <c r="L743" s="14"/>
      <c r="M743" s="10"/>
      <c r="N743" s="10"/>
      <c r="O743" s="7"/>
    </row>
    <row r="744" spans="1:15" ht="75" customHeight="1">
      <c r="A744" s="7"/>
      <c r="B744" s="8"/>
      <c r="C744" s="9"/>
      <c r="D744" s="10"/>
      <c r="E744" s="10"/>
      <c r="F744" s="10"/>
      <c r="G744" s="10"/>
      <c r="H744" s="10"/>
      <c r="I744" s="12"/>
      <c r="J744" s="13"/>
      <c r="K744" s="7"/>
      <c r="L744" s="14"/>
      <c r="M744" s="10"/>
      <c r="N744" s="10"/>
      <c r="O744" s="7"/>
    </row>
    <row r="745" spans="1:15" ht="75" customHeight="1">
      <c r="A745" s="7"/>
      <c r="B745" s="8"/>
      <c r="C745" s="9"/>
      <c r="D745" s="10"/>
      <c r="E745" s="10"/>
      <c r="F745" s="10"/>
      <c r="G745" s="10"/>
      <c r="H745" s="10"/>
      <c r="I745" s="12"/>
      <c r="J745" s="13"/>
      <c r="K745" s="7"/>
      <c r="L745" s="14"/>
      <c r="M745" s="10"/>
      <c r="N745" s="10"/>
      <c r="O745" s="7"/>
    </row>
    <row r="746" spans="1:15" ht="75" customHeight="1">
      <c r="A746" s="7"/>
      <c r="B746" s="8"/>
      <c r="C746" s="9"/>
      <c r="D746" s="10"/>
      <c r="E746" s="10"/>
      <c r="F746" s="10"/>
      <c r="G746" s="10"/>
      <c r="H746" s="10"/>
      <c r="I746" s="12"/>
      <c r="J746" s="13"/>
      <c r="K746" s="7"/>
      <c r="L746" s="14"/>
      <c r="M746" s="10"/>
      <c r="N746" s="10"/>
      <c r="O746" s="7"/>
    </row>
    <row r="747" spans="1:15" ht="75" customHeight="1">
      <c r="A747" s="7"/>
      <c r="B747" s="8"/>
      <c r="C747" s="9"/>
      <c r="D747" s="10"/>
      <c r="E747" s="10"/>
      <c r="F747" s="10"/>
      <c r="G747" s="10"/>
      <c r="H747" s="10"/>
      <c r="I747" s="12"/>
      <c r="J747" s="13"/>
      <c r="K747" s="7"/>
      <c r="L747" s="14"/>
      <c r="M747" s="10"/>
      <c r="N747" s="10"/>
      <c r="O747" s="7"/>
    </row>
    <row r="748" spans="1:15" ht="75" customHeight="1">
      <c r="A748" s="7"/>
      <c r="B748" s="8"/>
      <c r="C748" s="9"/>
      <c r="D748" s="10"/>
      <c r="E748" s="10"/>
      <c r="F748" s="10"/>
      <c r="G748" s="10"/>
      <c r="H748" s="10"/>
      <c r="I748" s="12"/>
      <c r="J748" s="13"/>
      <c r="K748" s="7"/>
      <c r="L748" s="14"/>
      <c r="M748" s="10"/>
      <c r="N748" s="10"/>
      <c r="O748" s="7"/>
    </row>
    <row r="749" spans="1:15" ht="75" customHeight="1">
      <c r="A749" s="7"/>
      <c r="B749" s="8"/>
      <c r="C749" s="9"/>
      <c r="D749" s="10"/>
      <c r="E749" s="10"/>
      <c r="F749" s="10"/>
      <c r="G749" s="10"/>
      <c r="H749" s="10"/>
      <c r="I749" s="12"/>
      <c r="J749" s="13"/>
      <c r="K749" s="7"/>
      <c r="L749" s="14"/>
      <c r="M749" s="10"/>
      <c r="N749" s="10"/>
      <c r="O749" s="7"/>
    </row>
    <row r="750" spans="1:15" ht="75" customHeight="1">
      <c r="A750" s="7"/>
      <c r="B750" s="8"/>
      <c r="C750" s="9"/>
      <c r="D750" s="10"/>
      <c r="E750" s="10"/>
      <c r="F750" s="10"/>
      <c r="G750" s="10"/>
      <c r="H750" s="10"/>
      <c r="I750" s="12"/>
      <c r="J750" s="13"/>
      <c r="K750" s="7"/>
      <c r="L750" s="14"/>
      <c r="M750" s="10"/>
      <c r="N750" s="10"/>
      <c r="O750" s="7"/>
    </row>
    <row r="751" spans="1:15" ht="75" customHeight="1">
      <c r="A751" s="7"/>
      <c r="B751" s="8"/>
      <c r="C751" s="9"/>
      <c r="D751" s="10"/>
      <c r="E751" s="10"/>
      <c r="F751" s="10"/>
      <c r="G751" s="10"/>
      <c r="H751" s="10"/>
      <c r="I751" s="12"/>
      <c r="J751" s="13"/>
      <c r="K751" s="7"/>
      <c r="L751" s="14"/>
      <c r="M751" s="10"/>
      <c r="N751" s="10"/>
      <c r="O751" s="7"/>
    </row>
    <row r="752" spans="1:15" ht="75" customHeight="1">
      <c r="A752" s="7"/>
      <c r="B752" s="8"/>
      <c r="C752" s="9"/>
      <c r="D752" s="10"/>
      <c r="E752" s="10"/>
      <c r="F752" s="10"/>
      <c r="G752" s="10"/>
      <c r="H752" s="10"/>
      <c r="I752" s="12"/>
      <c r="J752" s="13"/>
      <c r="K752" s="7"/>
      <c r="L752" s="14"/>
      <c r="M752" s="10"/>
      <c r="N752" s="10"/>
      <c r="O752" s="7"/>
    </row>
    <row r="753" spans="1:15" ht="75" customHeight="1">
      <c r="A753" s="7"/>
      <c r="B753" s="8"/>
      <c r="C753" s="9"/>
      <c r="D753" s="10"/>
      <c r="E753" s="10"/>
      <c r="F753" s="10"/>
      <c r="G753" s="10"/>
      <c r="H753" s="10"/>
      <c r="I753" s="12"/>
      <c r="J753" s="13"/>
      <c r="K753" s="7"/>
      <c r="L753" s="14"/>
      <c r="M753" s="10"/>
      <c r="N753" s="10"/>
      <c r="O753" s="7"/>
    </row>
    <row r="754" spans="1:15" ht="75" customHeight="1">
      <c r="A754" s="7"/>
      <c r="B754" s="8"/>
      <c r="C754" s="9"/>
      <c r="D754" s="10"/>
      <c r="E754" s="10"/>
      <c r="F754" s="10"/>
      <c r="G754" s="10"/>
      <c r="H754" s="10"/>
      <c r="I754" s="12"/>
      <c r="J754" s="13"/>
      <c r="K754" s="7"/>
      <c r="L754" s="14"/>
      <c r="M754" s="10"/>
      <c r="N754" s="10"/>
      <c r="O754" s="7"/>
    </row>
    <row r="755" spans="1:15" ht="75" customHeight="1">
      <c r="A755" s="7"/>
      <c r="B755" s="8"/>
      <c r="C755" s="9"/>
      <c r="D755" s="10"/>
      <c r="E755" s="10"/>
      <c r="F755" s="10"/>
      <c r="G755" s="10"/>
      <c r="H755" s="10"/>
      <c r="I755" s="12"/>
      <c r="J755" s="13"/>
      <c r="K755" s="7"/>
      <c r="L755" s="14"/>
      <c r="M755" s="10"/>
      <c r="N755" s="10"/>
      <c r="O755" s="7"/>
    </row>
    <row r="756" spans="1:15" ht="75" customHeight="1">
      <c r="A756" s="7"/>
      <c r="B756" s="8"/>
      <c r="C756" s="9"/>
      <c r="D756" s="10"/>
      <c r="E756" s="10"/>
      <c r="F756" s="10"/>
      <c r="G756" s="10"/>
      <c r="H756" s="10"/>
      <c r="I756" s="12"/>
      <c r="J756" s="13"/>
      <c r="K756" s="7"/>
      <c r="L756" s="14"/>
      <c r="M756" s="10"/>
      <c r="N756" s="10"/>
      <c r="O756" s="7"/>
    </row>
    <row r="757" spans="1:15" ht="75" customHeight="1">
      <c r="A757" s="7"/>
      <c r="B757" s="8"/>
      <c r="C757" s="9"/>
      <c r="D757" s="10"/>
      <c r="E757" s="10"/>
      <c r="F757" s="10"/>
      <c r="G757" s="10"/>
      <c r="H757" s="10"/>
      <c r="I757" s="12"/>
      <c r="J757" s="13"/>
      <c r="K757" s="7"/>
      <c r="L757" s="14"/>
      <c r="M757" s="10"/>
      <c r="N757" s="10"/>
      <c r="O757" s="7"/>
    </row>
    <row r="758" spans="1:15" ht="75" customHeight="1">
      <c r="A758" s="7"/>
      <c r="B758" s="8"/>
      <c r="C758" s="9"/>
      <c r="D758" s="10"/>
      <c r="E758" s="10"/>
      <c r="F758" s="10"/>
      <c r="G758" s="10"/>
      <c r="H758" s="10"/>
      <c r="I758" s="12"/>
      <c r="J758" s="13"/>
      <c r="K758" s="7"/>
      <c r="L758" s="14"/>
      <c r="M758" s="10"/>
      <c r="N758" s="10"/>
      <c r="O758" s="7"/>
    </row>
    <row r="759" spans="1:15" ht="75" customHeight="1">
      <c r="A759" s="7"/>
      <c r="B759" s="8"/>
      <c r="C759" s="9"/>
      <c r="D759" s="10"/>
      <c r="E759" s="10"/>
      <c r="F759" s="10"/>
      <c r="G759" s="10"/>
      <c r="H759" s="10"/>
      <c r="I759" s="12"/>
      <c r="J759" s="13"/>
      <c r="K759" s="7"/>
      <c r="L759" s="14"/>
      <c r="M759" s="10"/>
      <c r="N759" s="10"/>
      <c r="O759" s="7"/>
    </row>
    <row r="760" spans="1:15" ht="75" customHeight="1">
      <c r="A760" s="7"/>
      <c r="B760" s="8"/>
      <c r="C760" s="9"/>
      <c r="D760" s="10"/>
      <c r="E760" s="10"/>
      <c r="F760" s="10"/>
      <c r="G760" s="10"/>
      <c r="H760" s="10"/>
      <c r="I760" s="12"/>
      <c r="J760" s="13"/>
      <c r="K760" s="7"/>
      <c r="L760" s="14"/>
      <c r="M760" s="10"/>
      <c r="N760" s="10"/>
      <c r="O760" s="7"/>
    </row>
    <row r="761" spans="1:15" ht="75" customHeight="1">
      <c r="A761" s="7"/>
      <c r="B761" s="8"/>
      <c r="C761" s="9"/>
      <c r="D761" s="10"/>
      <c r="E761" s="10"/>
      <c r="F761" s="10"/>
      <c r="G761" s="10"/>
      <c r="H761" s="10"/>
      <c r="I761" s="12"/>
      <c r="J761" s="13"/>
      <c r="K761" s="7"/>
      <c r="L761" s="14"/>
      <c r="M761" s="10"/>
      <c r="N761" s="10"/>
      <c r="O761" s="7"/>
    </row>
    <row r="762" spans="1:15" ht="75" customHeight="1">
      <c r="A762" s="7"/>
      <c r="B762" s="8"/>
      <c r="C762" s="9"/>
      <c r="D762" s="10"/>
      <c r="E762" s="10"/>
      <c r="F762" s="10"/>
      <c r="G762" s="10"/>
      <c r="H762" s="10"/>
      <c r="I762" s="12"/>
      <c r="J762" s="13"/>
      <c r="K762" s="7"/>
      <c r="L762" s="14"/>
      <c r="M762" s="10"/>
      <c r="N762" s="10"/>
      <c r="O762" s="7"/>
    </row>
    <row r="763" spans="1:15" ht="75" customHeight="1">
      <c r="A763" s="7"/>
      <c r="B763" s="8"/>
      <c r="C763" s="9"/>
      <c r="D763" s="10"/>
      <c r="E763" s="10"/>
      <c r="F763" s="10"/>
      <c r="G763" s="10"/>
      <c r="H763" s="10"/>
      <c r="I763" s="12"/>
      <c r="J763" s="13"/>
      <c r="K763" s="7"/>
      <c r="L763" s="14"/>
      <c r="M763" s="10"/>
      <c r="N763" s="10"/>
      <c r="O763" s="7"/>
    </row>
    <row r="764" spans="1:15" ht="75" customHeight="1">
      <c r="A764" s="7"/>
      <c r="B764" s="8"/>
      <c r="C764" s="9"/>
      <c r="D764" s="10"/>
      <c r="E764" s="10"/>
      <c r="F764" s="10"/>
      <c r="G764" s="10"/>
      <c r="H764" s="10"/>
      <c r="I764" s="12"/>
      <c r="J764" s="13"/>
      <c r="K764" s="7"/>
      <c r="L764" s="14"/>
      <c r="M764" s="10"/>
      <c r="N764" s="10"/>
      <c r="O764" s="7"/>
    </row>
    <row r="765" spans="1:15" ht="75" customHeight="1">
      <c r="A765" s="7"/>
      <c r="B765" s="8"/>
      <c r="C765" s="9"/>
      <c r="D765" s="10"/>
      <c r="E765" s="10"/>
      <c r="F765" s="10"/>
      <c r="G765" s="10"/>
      <c r="H765" s="10"/>
      <c r="I765" s="12"/>
      <c r="J765" s="13"/>
      <c r="K765" s="7"/>
      <c r="L765" s="14"/>
      <c r="M765" s="10"/>
      <c r="N765" s="10"/>
      <c r="O765" s="7"/>
    </row>
    <row r="766" spans="1:15" ht="75" customHeight="1">
      <c r="A766" s="7"/>
      <c r="B766" s="8"/>
      <c r="C766" s="9"/>
      <c r="D766" s="10"/>
      <c r="E766" s="10"/>
      <c r="F766" s="10"/>
      <c r="G766" s="10"/>
      <c r="H766" s="10"/>
      <c r="I766" s="12"/>
      <c r="J766" s="13"/>
      <c r="K766" s="7"/>
      <c r="L766" s="14"/>
      <c r="M766" s="10"/>
      <c r="N766" s="10"/>
      <c r="O766" s="7"/>
    </row>
    <row r="767" spans="1:15" ht="75" customHeight="1">
      <c r="A767" s="7"/>
      <c r="B767" s="8"/>
      <c r="C767" s="9"/>
      <c r="D767" s="10"/>
      <c r="E767" s="10"/>
      <c r="F767" s="10"/>
      <c r="G767" s="10"/>
      <c r="H767" s="10"/>
      <c r="I767" s="12"/>
      <c r="J767" s="13"/>
      <c r="K767" s="7"/>
      <c r="L767" s="14"/>
      <c r="M767" s="10"/>
      <c r="N767" s="10"/>
      <c r="O767" s="7"/>
    </row>
    <row r="768" spans="1:15" ht="75" customHeight="1">
      <c r="A768" s="7"/>
      <c r="B768" s="8"/>
      <c r="C768" s="9"/>
      <c r="D768" s="10"/>
      <c r="E768" s="10"/>
      <c r="F768" s="10"/>
      <c r="G768" s="10"/>
      <c r="H768" s="10"/>
      <c r="I768" s="12"/>
      <c r="J768" s="13"/>
      <c r="K768" s="7"/>
      <c r="L768" s="14"/>
      <c r="M768" s="10"/>
      <c r="N768" s="10"/>
      <c r="O768" s="7"/>
    </row>
    <row r="769" spans="1:15" ht="75" customHeight="1">
      <c r="A769" s="7"/>
      <c r="B769" s="8"/>
      <c r="C769" s="9"/>
      <c r="D769" s="10"/>
      <c r="E769" s="10"/>
      <c r="F769" s="10"/>
      <c r="G769" s="10"/>
      <c r="H769" s="10"/>
      <c r="I769" s="12"/>
      <c r="J769" s="13"/>
      <c r="K769" s="7"/>
      <c r="L769" s="14"/>
      <c r="M769" s="10"/>
      <c r="N769" s="10"/>
      <c r="O769" s="7"/>
    </row>
    <row r="770" spans="1:15" ht="75" customHeight="1">
      <c r="A770" s="7"/>
      <c r="B770" s="8"/>
      <c r="C770" s="9"/>
      <c r="D770" s="10"/>
      <c r="E770" s="10"/>
      <c r="F770" s="10"/>
      <c r="G770" s="10"/>
      <c r="H770" s="10"/>
      <c r="I770" s="12"/>
      <c r="J770" s="13"/>
      <c r="K770" s="7"/>
      <c r="L770" s="14"/>
      <c r="M770" s="10"/>
      <c r="N770" s="10"/>
      <c r="O770" s="7"/>
    </row>
    <row r="771" spans="1:15" ht="75" customHeight="1">
      <c r="A771" s="7"/>
      <c r="B771" s="8"/>
      <c r="C771" s="9"/>
      <c r="D771" s="10"/>
      <c r="E771" s="10"/>
      <c r="F771" s="10"/>
      <c r="G771" s="10"/>
      <c r="H771" s="10"/>
      <c r="I771" s="12"/>
      <c r="J771" s="13"/>
      <c r="K771" s="7"/>
      <c r="L771" s="14"/>
      <c r="M771" s="10"/>
      <c r="N771" s="10"/>
      <c r="O771" s="7"/>
    </row>
    <row r="772" spans="1:15" ht="75" customHeight="1">
      <c r="A772" s="7"/>
      <c r="B772" s="8"/>
      <c r="C772" s="9"/>
      <c r="D772" s="10"/>
      <c r="E772" s="10"/>
      <c r="F772" s="10"/>
      <c r="G772" s="10"/>
      <c r="H772" s="10"/>
      <c r="I772" s="12"/>
      <c r="J772" s="13"/>
      <c r="K772" s="7"/>
      <c r="L772" s="14"/>
      <c r="M772" s="10"/>
      <c r="N772" s="10"/>
      <c r="O772" s="7"/>
    </row>
    <row r="773" spans="1:15" ht="75" customHeight="1">
      <c r="A773" s="7"/>
      <c r="B773" s="8"/>
      <c r="C773" s="9"/>
      <c r="D773" s="10"/>
      <c r="E773" s="10"/>
      <c r="F773" s="10"/>
      <c r="G773" s="10"/>
      <c r="H773" s="10"/>
      <c r="I773" s="12"/>
      <c r="J773" s="13"/>
      <c r="K773" s="7"/>
      <c r="L773" s="14"/>
      <c r="M773" s="10"/>
      <c r="N773" s="10"/>
      <c r="O773" s="7"/>
    </row>
    <row r="774" spans="1:15" ht="75" customHeight="1">
      <c r="A774" s="7"/>
      <c r="B774" s="8"/>
      <c r="C774" s="9"/>
      <c r="D774" s="10"/>
      <c r="E774" s="10"/>
      <c r="F774" s="10"/>
      <c r="G774" s="10"/>
      <c r="H774" s="10"/>
      <c r="I774" s="12"/>
      <c r="J774" s="13"/>
      <c r="K774" s="7"/>
      <c r="L774" s="14"/>
      <c r="M774" s="10"/>
      <c r="N774" s="10"/>
      <c r="O774" s="7"/>
    </row>
    <row r="775" spans="1:15" ht="75" customHeight="1">
      <c r="A775" s="7"/>
      <c r="B775" s="8"/>
      <c r="C775" s="9"/>
      <c r="D775" s="10"/>
      <c r="E775" s="10"/>
      <c r="F775" s="10"/>
      <c r="G775" s="10"/>
      <c r="H775" s="10"/>
      <c r="I775" s="12"/>
      <c r="J775" s="13"/>
      <c r="K775" s="7"/>
      <c r="L775" s="14"/>
      <c r="M775" s="10"/>
      <c r="N775" s="10"/>
      <c r="O775" s="7"/>
    </row>
    <row r="776" spans="1:15" ht="75" customHeight="1">
      <c r="A776" s="7"/>
      <c r="B776" s="8"/>
      <c r="C776" s="9"/>
      <c r="D776" s="10"/>
      <c r="E776" s="10"/>
      <c r="F776" s="10"/>
      <c r="G776" s="10"/>
      <c r="H776" s="10"/>
      <c r="I776" s="12"/>
      <c r="J776" s="13"/>
      <c r="K776" s="7"/>
      <c r="L776" s="14"/>
      <c r="M776" s="10"/>
      <c r="N776" s="10"/>
      <c r="O776" s="7"/>
    </row>
    <row r="777" spans="1:15" ht="75" customHeight="1">
      <c r="A777" s="7"/>
      <c r="B777" s="8"/>
      <c r="C777" s="9"/>
      <c r="D777" s="10"/>
      <c r="E777" s="10"/>
      <c r="F777" s="10"/>
      <c r="G777" s="10"/>
      <c r="H777" s="10"/>
      <c r="I777" s="12"/>
      <c r="J777" s="13"/>
      <c r="K777" s="7"/>
      <c r="L777" s="14"/>
      <c r="M777" s="10"/>
      <c r="N777" s="10"/>
      <c r="O777" s="7"/>
    </row>
    <row r="778" spans="1:15" ht="75" customHeight="1">
      <c r="A778" s="7"/>
      <c r="B778" s="8"/>
      <c r="C778" s="9"/>
      <c r="D778" s="10"/>
      <c r="E778" s="10"/>
      <c r="F778" s="10"/>
      <c r="G778" s="10"/>
      <c r="H778" s="10"/>
      <c r="I778" s="12"/>
      <c r="J778" s="13"/>
      <c r="K778" s="7"/>
      <c r="L778" s="14"/>
      <c r="M778" s="10"/>
      <c r="N778" s="10"/>
      <c r="O778" s="7"/>
    </row>
    <row r="779" spans="1:15" ht="75" customHeight="1">
      <c r="A779" s="7"/>
      <c r="B779" s="8"/>
      <c r="C779" s="9"/>
      <c r="D779" s="10"/>
      <c r="E779" s="10"/>
      <c r="F779" s="10"/>
      <c r="G779" s="10"/>
      <c r="H779" s="10"/>
      <c r="I779" s="12"/>
      <c r="J779" s="13"/>
      <c r="K779" s="7"/>
      <c r="L779" s="14"/>
      <c r="M779" s="10"/>
      <c r="N779" s="10"/>
      <c r="O779" s="7"/>
    </row>
    <row r="780" spans="1:15" ht="75" customHeight="1">
      <c r="A780" s="7"/>
      <c r="B780" s="8"/>
      <c r="C780" s="9"/>
      <c r="D780" s="10"/>
      <c r="E780" s="10"/>
      <c r="F780" s="10"/>
      <c r="G780" s="10"/>
      <c r="H780" s="10"/>
      <c r="I780" s="12"/>
      <c r="J780" s="13"/>
      <c r="K780" s="7"/>
      <c r="L780" s="14"/>
      <c r="M780" s="10"/>
      <c r="N780" s="10"/>
      <c r="O780" s="7"/>
    </row>
    <row r="781" spans="1:15" ht="75" customHeight="1">
      <c r="A781" s="7"/>
      <c r="B781" s="8"/>
      <c r="C781" s="9"/>
      <c r="D781" s="10"/>
      <c r="E781" s="10"/>
      <c r="F781" s="10"/>
      <c r="G781" s="10"/>
      <c r="H781" s="10"/>
      <c r="I781" s="12"/>
      <c r="J781" s="13"/>
      <c r="K781" s="7"/>
      <c r="L781" s="14"/>
      <c r="M781" s="10"/>
      <c r="N781" s="10"/>
      <c r="O781" s="7"/>
    </row>
    <row r="782" spans="1:15" ht="75" customHeight="1">
      <c r="A782" s="7"/>
      <c r="B782" s="8"/>
      <c r="C782" s="9"/>
      <c r="D782" s="10"/>
      <c r="E782" s="10"/>
      <c r="F782" s="10"/>
      <c r="G782" s="10"/>
      <c r="H782" s="10"/>
      <c r="I782" s="12"/>
      <c r="J782" s="13"/>
      <c r="K782" s="7"/>
      <c r="L782" s="14"/>
      <c r="M782" s="10"/>
      <c r="N782" s="10"/>
      <c r="O782" s="7"/>
    </row>
    <row r="783" spans="1:15" ht="75" customHeight="1">
      <c r="A783" s="7"/>
      <c r="B783" s="8"/>
      <c r="C783" s="9"/>
      <c r="D783" s="10"/>
      <c r="E783" s="10"/>
      <c r="F783" s="10"/>
      <c r="G783" s="10"/>
      <c r="H783" s="10"/>
      <c r="I783" s="12"/>
      <c r="J783" s="13"/>
      <c r="K783" s="7"/>
      <c r="L783" s="14"/>
      <c r="M783" s="10"/>
      <c r="N783" s="10"/>
      <c r="O783" s="7"/>
    </row>
    <row r="784" spans="1:15" ht="75" customHeight="1">
      <c r="A784" s="7"/>
      <c r="B784" s="8"/>
      <c r="C784" s="9"/>
      <c r="D784" s="10"/>
      <c r="E784" s="10"/>
      <c r="F784" s="10"/>
      <c r="G784" s="10"/>
      <c r="H784" s="10"/>
      <c r="I784" s="12"/>
      <c r="J784" s="13"/>
      <c r="K784" s="7"/>
      <c r="L784" s="14"/>
      <c r="M784" s="10"/>
      <c r="N784" s="10"/>
      <c r="O784" s="7"/>
    </row>
    <row r="785" spans="1:15" ht="75" customHeight="1">
      <c r="A785" s="7"/>
      <c r="B785" s="8"/>
      <c r="C785" s="9"/>
      <c r="D785" s="10"/>
      <c r="E785" s="10"/>
      <c r="F785" s="10"/>
      <c r="G785" s="10"/>
      <c r="H785" s="10"/>
      <c r="I785" s="12"/>
      <c r="J785" s="13"/>
      <c r="K785" s="7"/>
      <c r="L785" s="14"/>
      <c r="M785" s="10"/>
      <c r="N785" s="10"/>
      <c r="O785" s="7"/>
    </row>
    <row r="786" spans="1:15" ht="75" customHeight="1">
      <c r="A786" s="7"/>
      <c r="B786" s="8"/>
      <c r="C786" s="9"/>
      <c r="D786" s="10"/>
      <c r="E786" s="10"/>
      <c r="F786" s="10"/>
      <c r="G786" s="10"/>
      <c r="H786" s="10"/>
      <c r="I786" s="12"/>
      <c r="J786" s="13"/>
      <c r="K786" s="7"/>
      <c r="L786" s="14"/>
      <c r="M786" s="10"/>
      <c r="N786" s="10"/>
      <c r="O786" s="7"/>
    </row>
    <row r="787" spans="1:15" ht="75" customHeight="1">
      <c r="A787" s="7"/>
      <c r="B787" s="8"/>
      <c r="C787" s="9"/>
      <c r="D787" s="10"/>
      <c r="E787" s="10"/>
      <c r="F787" s="10"/>
      <c r="G787" s="10"/>
      <c r="H787" s="10"/>
      <c r="I787" s="12"/>
      <c r="J787" s="13"/>
      <c r="K787" s="7"/>
      <c r="L787" s="14"/>
      <c r="M787" s="10"/>
      <c r="N787" s="10"/>
      <c r="O787" s="7"/>
    </row>
    <row r="788" spans="1:15" ht="75" customHeight="1">
      <c r="A788" s="7"/>
      <c r="B788" s="8"/>
      <c r="C788" s="9"/>
      <c r="D788" s="10"/>
      <c r="E788" s="10"/>
      <c r="F788" s="10"/>
      <c r="G788" s="10"/>
      <c r="H788" s="10"/>
      <c r="I788" s="12"/>
      <c r="J788" s="13"/>
      <c r="K788" s="7"/>
      <c r="L788" s="14"/>
      <c r="M788" s="10"/>
      <c r="N788" s="10"/>
      <c r="O788" s="7"/>
    </row>
    <row r="789" spans="1:15" ht="75" customHeight="1">
      <c r="A789" s="7"/>
      <c r="B789" s="8"/>
      <c r="C789" s="9"/>
      <c r="D789" s="10"/>
      <c r="E789" s="10"/>
      <c r="F789" s="10"/>
      <c r="G789" s="10"/>
      <c r="H789" s="10"/>
      <c r="I789" s="12"/>
      <c r="J789" s="13"/>
      <c r="K789" s="7"/>
      <c r="L789" s="14"/>
      <c r="M789" s="10"/>
      <c r="N789" s="10"/>
      <c r="O789" s="7"/>
    </row>
    <row r="790" spans="1:15" ht="75" customHeight="1">
      <c r="A790" s="7"/>
      <c r="B790" s="8"/>
      <c r="C790" s="9"/>
      <c r="D790" s="10"/>
      <c r="E790" s="10"/>
      <c r="F790" s="10"/>
      <c r="G790" s="10"/>
      <c r="H790" s="10"/>
      <c r="I790" s="12"/>
      <c r="J790" s="13"/>
      <c r="K790" s="7"/>
      <c r="L790" s="14"/>
      <c r="M790" s="10"/>
      <c r="N790" s="10"/>
      <c r="O790" s="7"/>
    </row>
    <row r="791" spans="1:15" ht="75" customHeight="1">
      <c r="A791" s="7"/>
      <c r="B791" s="8"/>
      <c r="C791" s="9"/>
      <c r="D791" s="10"/>
      <c r="E791" s="10"/>
      <c r="F791" s="10"/>
      <c r="G791" s="10"/>
      <c r="H791" s="10"/>
      <c r="I791" s="12"/>
      <c r="J791" s="13"/>
      <c r="K791" s="7"/>
      <c r="L791" s="14"/>
      <c r="M791" s="10"/>
      <c r="N791" s="10"/>
      <c r="O791" s="7"/>
    </row>
    <row r="792" spans="1:15" ht="75" customHeight="1">
      <c r="A792" s="7"/>
      <c r="B792" s="8"/>
      <c r="C792" s="9"/>
      <c r="D792" s="10"/>
      <c r="E792" s="10"/>
      <c r="F792" s="10"/>
      <c r="G792" s="10"/>
      <c r="H792" s="10"/>
      <c r="I792" s="12"/>
      <c r="J792" s="13"/>
      <c r="K792" s="7"/>
      <c r="L792" s="14"/>
      <c r="M792" s="10"/>
      <c r="N792" s="10"/>
      <c r="O792" s="7"/>
    </row>
    <row r="793" spans="1:15" ht="75" customHeight="1">
      <c r="A793" s="7"/>
      <c r="B793" s="8"/>
      <c r="C793" s="9"/>
      <c r="D793" s="10"/>
      <c r="E793" s="10"/>
      <c r="F793" s="10"/>
      <c r="G793" s="10"/>
      <c r="H793" s="10"/>
      <c r="I793" s="12"/>
      <c r="J793" s="13"/>
      <c r="K793" s="7"/>
      <c r="L793" s="14"/>
      <c r="M793" s="10"/>
      <c r="N793" s="10"/>
      <c r="O793" s="7"/>
    </row>
    <row r="794" spans="1:15" ht="75" customHeight="1">
      <c r="A794" s="7"/>
      <c r="B794" s="8"/>
      <c r="C794" s="9"/>
      <c r="D794" s="10"/>
      <c r="E794" s="10"/>
      <c r="F794" s="10"/>
      <c r="G794" s="10"/>
      <c r="H794" s="10"/>
      <c r="I794" s="12"/>
      <c r="J794" s="13"/>
      <c r="K794" s="7"/>
      <c r="L794" s="14"/>
      <c r="M794" s="10"/>
      <c r="N794" s="10"/>
      <c r="O794" s="7"/>
    </row>
    <row r="795" spans="1:15" ht="75" customHeight="1">
      <c r="A795" s="7"/>
      <c r="B795" s="8"/>
      <c r="C795" s="9"/>
      <c r="D795" s="10"/>
      <c r="E795" s="10"/>
      <c r="F795" s="10"/>
      <c r="G795" s="10"/>
      <c r="H795" s="10"/>
      <c r="I795" s="12"/>
      <c r="J795" s="13"/>
      <c r="K795" s="7"/>
      <c r="L795" s="14"/>
      <c r="M795" s="10"/>
      <c r="N795" s="10"/>
      <c r="O795" s="7"/>
    </row>
    <row r="796" spans="1:15" ht="75" customHeight="1">
      <c r="A796" s="7"/>
      <c r="B796" s="8"/>
      <c r="C796" s="9"/>
      <c r="D796" s="10"/>
      <c r="E796" s="10"/>
      <c r="F796" s="10"/>
      <c r="G796" s="10"/>
      <c r="H796" s="10"/>
      <c r="I796" s="12"/>
      <c r="J796" s="13"/>
      <c r="K796" s="7"/>
      <c r="L796" s="14"/>
      <c r="M796" s="10"/>
      <c r="N796" s="10"/>
      <c r="O796" s="7"/>
    </row>
    <row r="797" spans="1:15" ht="75" customHeight="1">
      <c r="A797" s="7"/>
      <c r="B797" s="8"/>
      <c r="C797" s="9"/>
      <c r="D797" s="10"/>
      <c r="E797" s="10"/>
      <c r="F797" s="10"/>
      <c r="G797" s="10"/>
      <c r="H797" s="10"/>
      <c r="I797" s="12"/>
      <c r="J797" s="13"/>
      <c r="K797" s="7"/>
      <c r="L797" s="14"/>
      <c r="M797" s="10"/>
      <c r="N797" s="10"/>
      <c r="O797" s="7"/>
    </row>
    <row r="798" spans="1:15" ht="75" customHeight="1">
      <c r="A798" s="7"/>
      <c r="B798" s="8"/>
      <c r="C798" s="9"/>
      <c r="D798" s="10"/>
      <c r="E798" s="10"/>
      <c r="F798" s="10"/>
      <c r="G798" s="10"/>
      <c r="H798" s="10"/>
      <c r="I798" s="12"/>
      <c r="J798" s="13"/>
      <c r="K798" s="7"/>
      <c r="L798" s="14"/>
      <c r="M798" s="10"/>
      <c r="N798" s="10"/>
      <c r="O798" s="7"/>
    </row>
    <row r="799" spans="1:15" ht="75" customHeight="1">
      <c r="A799" s="7"/>
      <c r="B799" s="8"/>
      <c r="C799" s="9"/>
      <c r="D799" s="10"/>
      <c r="E799" s="10"/>
      <c r="F799" s="10"/>
      <c r="G799" s="10"/>
      <c r="H799" s="10"/>
      <c r="I799" s="12"/>
      <c r="J799" s="13"/>
      <c r="K799" s="7"/>
      <c r="L799" s="14"/>
      <c r="M799" s="10"/>
      <c r="N799" s="10"/>
      <c r="O799" s="7"/>
    </row>
    <row r="800" spans="1:15" ht="75" customHeight="1">
      <c r="A800" s="7"/>
      <c r="B800" s="8"/>
      <c r="C800" s="9"/>
      <c r="D800" s="10"/>
      <c r="E800" s="10"/>
      <c r="F800" s="10"/>
      <c r="G800" s="10"/>
      <c r="H800" s="10"/>
      <c r="I800" s="12"/>
      <c r="J800" s="13"/>
      <c r="K800" s="7"/>
      <c r="L800" s="14"/>
      <c r="M800" s="10"/>
      <c r="N800" s="10"/>
      <c r="O800" s="7"/>
    </row>
    <row r="801" spans="1:15" ht="75" customHeight="1">
      <c r="A801" s="7"/>
      <c r="B801" s="8"/>
      <c r="C801" s="9"/>
      <c r="D801" s="10"/>
      <c r="E801" s="10"/>
      <c r="F801" s="10"/>
      <c r="G801" s="10"/>
      <c r="H801" s="10"/>
      <c r="I801" s="12"/>
      <c r="J801" s="13"/>
      <c r="K801" s="7"/>
      <c r="L801" s="14"/>
      <c r="M801" s="10"/>
      <c r="N801" s="10"/>
      <c r="O801" s="7"/>
    </row>
    <row r="802" spans="1:15" ht="75" customHeight="1">
      <c r="A802" s="7"/>
      <c r="B802" s="8"/>
      <c r="C802" s="9"/>
      <c r="D802" s="10"/>
      <c r="E802" s="10"/>
      <c r="F802" s="10"/>
      <c r="G802" s="10"/>
      <c r="H802" s="10"/>
      <c r="I802" s="12"/>
      <c r="J802" s="13"/>
      <c r="K802" s="7"/>
      <c r="L802" s="14"/>
      <c r="M802" s="10"/>
      <c r="N802" s="10"/>
      <c r="O802" s="7"/>
    </row>
    <row r="803" spans="1:15" ht="75" customHeight="1">
      <c r="A803" s="7"/>
      <c r="B803" s="8"/>
      <c r="C803" s="9"/>
      <c r="D803" s="10"/>
      <c r="E803" s="10"/>
      <c r="F803" s="10"/>
      <c r="G803" s="10"/>
      <c r="H803" s="10"/>
      <c r="I803" s="12"/>
      <c r="J803" s="13"/>
      <c r="K803" s="7"/>
      <c r="L803" s="14"/>
      <c r="M803" s="10"/>
      <c r="N803" s="10"/>
      <c r="O803" s="7"/>
    </row>
    <row r="804" spans="1:15" ht="75" customHeight="1">
      <c r="A804" s="7"/>
      <c r="B804" s="8"/>
      <c r="C804" s="9"/>
      <c r="D804" s="10"/>
      <c r="E804" s="10"/>
      <c r="F804" s="10"/>
      <c r="G804" s="10"/>
      <c r="H804" s="10"/>
      <c r="I804" s="12"/>
      <c r="J804" s="13"/>
      <c r="K804" s="7"/>
      <c r="L804" s="14"/>
      <c r="M804" s="10"/>
      <c r="N804" s="10"/>
      <c r="O804" s="7"/>
    </row>
    <row r="805" spans="1:15" ht="75" customHeight="1">
      <c r="A805" s="7"/>
      <c r="B805" s="8"/>
      <c r="C805" s="9"/>
      <c r="D805" s="10"/>
      <c r="E805" s="10"/>
      <c r="F805" s="10"/>
      <c r="G805" s="10"/>
      <c r="H805" s="10"/>
      <c r="I805" s="12"/>
      <c r="J805" s="13"/>
      <c r="K805" s="7"/>
      <c r="L805" s="14"/>
      <c r="M805" s="10"/>
      <c r="N805" s="10"/>
      <c r="O805" s="7"/>
    </row>
    <row r="806" spans="1:15" ht="75" customHeight="1">
      <c r="A806" s="7"/>
      <c r="B806" s="8"/>
      <c r="C806" s="9"/>
      <c r="D806" s="10"/>
      <c r="E806" s="10"/>
      <c r="F806" s="10"/>
      <c r="G806" s="10"/>
      <c r="H806" s="10"/>
      <c r="I806" s="12"/>
      <c r="J806" s="13"/>
      <c r="K806" s="7"/>
      <c r="L806" s="14"/>
      <c r="M806" s="10"/>
      <c r="N806" s="10"/>
      <c r="O806" s="7"/>
    </row>
    <row r="807" spans="1:15" ht="75" customHeight="1">
      <c r="A807" s="7"/>
      <c r="B807" s="8"/>
      <c r="C807" s="9"/>
      <c r="D807" s="10"/>
      <c r="E807" s="10"/>
      <c r="F807" s="10"/>
      <c r="G807" s="10"/>
      <c r="H807" s="10"/>
      <c r="I807" s="12"/>
      <c r="J807" s="13"/>
      <c r="K807" s="7"/>
      <c r="L807" s="14"/>
      <c r="M807" s="10"/>
      <c r="N807" s="10"/>
      <c r="O807" s="7"/>
    </row>
    <row r="808" spans="1:15" ht="75" customHeight="1">
      <c r="A808" s="7"/>
      <c r="B808" s="8"/>
      <c r="C808" s="9"/>
      <c r="D808" s="10"/>
      <c r="E808" s="10"/>
      <c r="F808" s="10"/>
      <c r="G808" s="10"/>
      <c r="H808" s="10"/>
      <c r="I808" s="12"/>
      <c r="J808" s="13"/>
      <c r="K808" s="7"/>
      <c r="L808" s="14"/>
      <c r="M808" s="10"/>
      <c r="N808" s="10"/>
      <c r="O808" s="7"/>
    </row>
    <row r="809" spans="1:15" ht="75" customHeight="1">
      <c r="A809" s="7"/>
      <c r="B809" s="8"/>
      <c r="C809" s="9"/>
      <c r="D809" s="10"/>
      <c r="E809" s="10"/>
      <c r="F809" s="10"/>
      <c r="G809" s="10"/>
      <c r="H809" s="10"/>
      <c r="I809" s="12"/>
      <c r="J809" s="13"/>
      <c r="K809" s="7"/>
      <c r="L809" s="14"/>
      <c r="M809" s="10"/>
      <c r="N809" s="10"/>
      <c r="O809" s="7"/>
    </row>
    <row r="810" spans="1:15" ht="75" customHeight="1">
      <c r="A810" s="7"/>
      <c r="B810" s="8"/>
      <c r="C810" s="9"/>
      <c r="D810" s="10"/>
      <c r="E810" s="10"/>
      <c r="F810" s="10"/>
      <c r="G810" s="10"/>
      <c r="H810" s="10"/>
      <c r="I810" s="12"/>
      <c r="J810" s="13"/>
      <c r="K810" s="7"/>
      <c r="L810" s="14"/>
      <c r="M810" s="10"/>
      <c r="N810" s="10"/>
      <c r="O810" s="7"/>
    </row>
    <row r="811" spans="1:15" ht="75" customHeight="1">
      <c r="A811" s="7"/>
      <c r="B811" s="8"/>
      <c r="C811" s="9"/>
      <c r="D811" s="10"/>
      <c r="E811" s="10"/>
      <c r="F811" s="10"/>
      <c r="G811" s="10"/>
      <c r="H811" s="10"/>
      <c r="I811" s="12"/>
      <c r="J811" s="13"/>
      <c r="K811" s="7"/>
      <c r="L811" s="14"/>
      <c r="M811" s="10"/>
      <c r="N811" s="10"/>
      <c r="O811" s="7"/>
    </row>
    <row r="812" spans="1:15" ht="75" customHeight="1">
      <c r="A812" s="7"/>
      <c r="B812" s="8"/>
      <c r="C812" s="9"/>
      <c r="D812" s="10"/>
      <c r="E812" s="10"/>
      <c r="F812" s="10"/>
      <c r="G812" s="10"/>
      <c r="H812" s="10"/>
      <c r="I812" s="12"/>
      <c r="J812" s="13"/>
      <c r="K812" s="7"/>
      <c r="L812" s="14"/>
      <c r="M812" s="10"/>
      <c r="N812" s="10"/>
      <c r="O812" s="7"/>
    </row>
    <row r="813" spans="1:15" ht="75" customHeight="1">
      <c r="A813" s="7"/>
      <c r="B813" s="8"/>
      <c r="C813" s="9"/>
      <c r="D813" s="10"/>
      <c r="E813" s="10"/>
      <c r="F813" s="10"/>
      <c r="G813" s="10"/>
      <c r="H813" s="10"/>
      <c r="I813" s="12"/>
      <c r="J813" s="13"/>
      <c r="K813" s="7"/>
      <c r="L813" s="14"/>
      <c r="M813" s="10"/>
      <c r="N813" s="10"/>
      <c r="O813" s="7"/>
    </row>
    <row r="814" spans="1:15" ht="75" customHeight="1">
      <c r="A814" s="7"/>
      <c r="B814" s="8"/>
      <c r="C814" s="9"/>
      <c r="D814" s="10"/>
      <c r="E814" s="10"/>
      <c r="F814" s="10"/>
      <c r="G814" s="10"/>
      <c r="H814" s="10"/>
      <c r="I814" s="12"/>
      <c r="J814" s="13"/>
      <c r="K814" s="7"/>
      <c r="L814" s="14"/>
      <c r="M814" s="10"/>
      <c r="N814" s="10"/>
      <c r="O814" s="7"/>
    </row>
    <row r="815" spans="1:15" ht="75" customHeight="1">
      <c r="A815" s="7"/>
      <c r="B815" s="8"/>
      <c r="C815" s="9"/>
      <c r="D815" s="10"/>
      <c r="E815" s="10"/>
      <c r="F815" s="10"/>
      <c r="G815" s="10"/>
      <c r="H815" s="10"/>
      <c r="I815" s="12"/>
      <c r="J815" s="13"/>
      <c r="K815" s="7"/>
      <c r="L815" s="14"/>
      <c r="M815" s="10"/>
      <c r="N815" s="10"/>
      <c r="O815" s="7"/>
    </row>
    <row r="816" spans="1:15" ht="75" customHeight="1">
      <c r="A816" s="7"/>
      <c r="B816" s="8"/>
      <c r="C816" s="9"/>
      <c r="D816" s="10"/>
      <c r="E816" s="10"/>
      <c r="F816" s="10"/>
      <c r="G816" s="10"/>
      <c r="H816" s="10"/>
      <c r="I816" s="12"/>
      <c r="J816" s="13"/>
      <c r="K816" s="7"/>
      <c r="L816" s="14"/>
      <c r="M816" s="10"/>
      <c r="N816" s="10"/>
      <c r="O816" s="7"/>
    </row>
    <row r="817" spans="1:15" ht="75" customHeight="1">
      <c r="A817" s="7"/>
      <c r="B817" s="8"/>
      <c r="C817" s="9"/>
      <c r="D817" s="10"/>
      <c r="E817" s="10"/>
      <c r="F817" s="10"/>
      <c r="G817" s="10"/>
      <c r="H817" s="10"/>
      <c r="I817" s="12"/>
      <c r="J817" s="13"/>
      <c r="K817" s="7"/>
      <c r="L817" s="14"/>
      <c r="M817" s="10"/>
      <c r="N817" s="10"/>
      <c r="O817" s="7"/>
    </row>
    <row r="818" spans="1:15" ht="75" customHeight="1">
      <c r="A818" s="7"/>
      <c r="B818" s="8"/>
      <c r="C818" s="9"/>
      <c r="D818" s="10"/>
      <c r="E818" s="10"/>
      <c r="F818" s="10"/>
      <c r="G818" s="10"/>
      <c r="H818" s="10"/>
      <c r="I818" s="12"/>
      <c r="J818" s="13"/>
      <c r="K818" s="7"/>
      <c r="L818" s="14"/>
      <c r="M818" s="10"/>
      <c r="N818" s="10"/>
      <c r="O818" s="7"/>
    </row>
    <row r="819" spans="1:15" ht="75" customHeight="1">
      <c r="A819" s="7"/>
      <c r="B819" s="8"/>
      <c r="C819" s="9"/>
      <c r="D819" s="10"/>
      <c r="E819" s="10"/>
      <c r="F819" s="10"/>
      <c r="G819" s="10"/>
      <c r="H819" s="10"/>
      <c r="I819" s="12"/>
      <c r="J819" s="13"/>
      <c r="K819" s="7"/>
      <c r="L819" s="14"/>
      <c r="M819" s="10"/>
      <c r="N819" s="10"/>
      <c r="O819" s="7"/>
    </row>
    <row r="820" spans="1:15" ht="75" customHeight="1">
      <c r="A820" s="7"/>
      <c r="B820" s="8"/>
      <c r="C820" s="9"/>
      <c r="D820" s="10"/>
      <c r="E820" s="10"/>
      <c r="F820" s="10"/>
      <c r="G820" s="10"/>
      <c r="H820" s="10"/>
      <c r="I820" s="12"/>
      <c r="J820" s="13"/>
      <c r="K820" s="7"/>
      <c r="L820" s="14"/>
      <c r="M820" s="10"/>
      <c r="N820" s="10"/>
      <c r="O820" s="7"/>
    </row>
    <row r="821" spans="1:15" ht="75" customHeight="1">
      <c r="A821" s="7"/>
      <c r="B821" s="8"/>
      <c r="C821" s="9"/>
      <c r="D821" s="10"/>
      <c r="E821" s="10"/>
      <c r="F821" s="10"/>
      <c r="G821" s="10"/>
      <c r="H821" s="10"/>
      <c r="I821" s="12"/>
      <c r="J821" s="13"/>
      <c r="K821" s="7"/>
      <c r="L821" s="14"/>
      <c r="M821" s="10"/>
      <c r="N821" s="10"/>
      <c r="O821" s="7"/>
    </row>
    <row r="822" spans="1:15" ht="75" customHeight="1">
      <c r="A822" s="7"/>
      <c r="B822" s="8"/>
      <c r="C822" s="9"/>
      <c r="D822" s="10"/>
      <c r="E822" s="10"/>
      <c r="F822" s="10"/>
      <c r="G822" s="10"/>
      <c r="H822" s="10"/>
      <c r="I822" s="12"/>
      <c r="J822" s="13"/>
      <c r="K822" s="7"/>
      <c r="L822" s="14"/>
      <c r="M822" s="10"/>
      <c r="N822" s="10"/>
      <c r="O822" s="7"/>
    </row>
    <row r="823" spans="1:15" ht="75" customHeight="1">
      <c r="A823" s="7"/>
      <c r="B823" s="8"/>
      <c r="C823" s="9"/>
      <c r="D823" s="10"/>
      <c r="E823" s="10"/>
      <c r="F823" s="10"/>
      <c r="G823" s="10"/>
      <c r="H823" s="10"/>
      <c r="I823" s="12"/>
      <c r="J823" s="13"/>
      <c r="K823" s="7"/>
      <c r="L823" s="14"/>
      <c r="M823" s="10"/>
      <c r="N823" s="10"/>
      <c r="O823" s="7"/>
    </row>
    <row r="824" spans="1:15" ht="75" customHeight="1">
      <c r="A824" s="7"/>
      <c r="B824" s="8"/>
      <c r="C824" s="9"/>
      <c r="D824" s="10"/>
      <c r="E824" s="10"/>
      <c r="F824" s="10"/>
      <c r="G824" s="10"/>
      <c r="H824" s="10"/>
      <c r="I824" s="12"/>
      <c r="J824" s="13"/>
      <c r="K824" s="7"/>
      <c r="L824" s="14"/>
      <c r="M824" s="10"/>
      <c r="N824" s="10"/>
      <c r="O824" s="7"/>
    </row>
    <row r="825" spans="1:15" ht="75" customHeight="1">
      <c r="A825" s="7"/>
      <c r="B825" s="8"/>
      <c r="C825" s="9"/>
      <c r="D825" s="10"/>
      <c r="E825" s="10"/>
      <c r="F825" s="10"/>
      <c r="G825" s="10"/>
      <c r="H825" s="10"/>
      <c r="I825" s="12"/>
      <c r="J825" s="13"/>
      <c r="K825" s="7"/>
      <c r="L825" s="14"/>
      <c r="M825" s="10"/>
      <c r="N825" s="10"/>
      <c r="O825" s="7"/>
    </row>
    <row r="826" spans="1:15" ht="75" customHeight="1">
      <c r="A826" s="7"/>
      <c r="B826" s="8"/>
      <c r="C826" s="9"/>
      <c r="D826" s="10"/>
      <c r="E826" s="10"/>
      <c r="F826" s="10"/>
      <c r="G826" s="10"/>
      <c r="H826" s="10"/>
      <c r="I826" s="12"/>
      <c r="J826" s="13"/>
      <c r="K826" s="7"/>
      <c r="L826" s="14"/>
      <c r="M826" s="10"/>
      <c r="N826" s="10"/>
      <c r="O826" s="7"/>
    </row>
    <row r="827" spans="1:15" ht="75" customHeight="1">
      <c r="A827" s="7"/>
      <c r="B827" s="8"/>
      <c r="C827" s="9"/>
      <c r="D827" s="10"/>
      <c r="E827" s="10"/>
      <c r="F827" s="10"/>
      <c r="G827" s="10"/>
      <c r="H827" s="10"/>
      <c r="I827" s="12"/>
      <c r="J827" s="13"/>
      <c r="K827" s="7"/>
      <c r="L827" s="14"/>
      <c r="M827" s="10"/>
      <c r="N827" s="10"/>
      <c r="O827" s="7"/>
    </row>
    <row r="828" spans="1:15" ht="75" customHeight="1">
      <c r="A828" s="7"/>
      <c r="B828" s="8"/>
      <c r="C828" s="9"/>
      <c r="D828" s="10"/>
      <c r="E828" s="10"/>
      <c r="F828" s="10"/>
      <c r="G828" s="10"/>
      <c r="H828" s="10"/>
      <c r="I828" s="12"/>
      <c r="J828" s="13"/>
      <c r="K828" s="7"/>
      <c r="L828" s="14"/>
      <c r="M828" s="10"/>
      <c r="N828" s="10"/>
      <c r="O828" s="7"/>
    </row>
    <row r="829" spans="1:15" ht="75" customHeight="1">
      <c r="A829" s="7"/>
      <c r="B829" s="8"/>
      <c r="C829" s="9"/>
      <c r="D829" s="10"/>
      <c r="E829" s="10"/>
      <c r="F829" s="10"/>
      <c r="G829" s="10"/>
      <c r="H829" s="10"/>
      <c r="I829" s="12"/>
      <c r="J829" s="13"/>
      <c r="K829" s="7"/>
      <c r="L829" s="14"/>
      <c r="M829" s="10"/>
      <c r="N829" s="10"/>
      <c r="O829" s="7"/>
    </row>
    <row r="830" spans="1:15" ht="75" customHeight="1">
      <c r="A830" s="7"/>
      <c r="B830" s="8"/>
      <c r="C830" s="9"/>
      <c r="D830" s="10"/>
      <c r="E830" s="10"/>
      <c r="F830" s="10"/>
      <c r="G830" s="10"/>
      <c r="H830" s="10"/>
      <c r="I830" s="12"/>
      <c r="J830" s="13"/>
      <c r="K830" s="7"/>
      <c r="L830" s="14"/>
      <c r="M830" s="10"/>
      <c r="N830" s="10"/>
      <c r="O830" s="7"/>
    </row>
    <row r="831" spans="1:15" ht="75" customHeight="1">
      <c r="A831" s="7"/>
      <c r="B831" s="8"/>
      <c r="C831" s="9"/>
      <c r="D831" s="10"/>
      <c r="E831" s="10"/>
      <c r="F831" s="10"/>
      <c r="G831" s="10"/>
      <c r="H831" s="10"/>
      <c r="I831" s="12"/>
      <c r="J831" s="13"/>
      <c r="K831" s="7"/>
      <c r="L831" s="14"/>
      <c r="M831" s="10"/>
      <c r="N831" s="10"/>
      <c r="O831" s="7"/>
    </row>
    <row r="832" spans="1:15" ht="75" customHeight="1">
      <c r="A832" s="7"/>
      <c r="B832" s="8"/>
      <c r="C832" s="9"/>
      <c r="D832" s="10"/>
      <c r="E832" s="10"/>
      <c r="F832" s="10"/>
      <c r="G832" s="10"/>
      <c r="H832" s="10"/>
      <c r="I832" s="12"/>
      <c r="J832" s="13"/>
      <c r="K832" s="7"/>
      <c r="L832" s="14"/>
      <c r="M832" s="10"/>
      <c r="N832" s="10"/>
      <c r="O832" s="7"/>
    </row>
    <row r="833" spans="1:15" ht="75" customHeight="1">
      <c r="A833" s="7"/>
      <c r="B833" s="8"/>
      <c r="C833" s="9"/>
      <c r="D833" s="10"/>
      <c r="E833" s="10"/>
      <c r="F833" s="10"/>
      <c r="G833" s="10"/>
      <c r="H833" s="10"/>
      <c r="I833" s="12"/>
      <c r="J833" s="13"/>
      <c r="K833" s="7"/>
      <c r="L833" s="14"/>
      <c r="M833" s="10"/>
      <c r="N833" s="10"/>
      <c r="O833" s="7"/>
    </row>
    <row r="834" spans="1:15" ht="75" customHeight="1">
      <c r="A834" s="7"/>
      <c r="B834" s="8"/>
      <c r="C834" s="9"/>
      <c r="D834" s="10"/>
      <c r="E834" s="10"/>
      <c r="F834" s="10"/>
      <c r="G834" s="10"/>
      <c r="H834" s="10"/>
      <c r="I834" s="12"/>
      <c r="J834" s="13"/>
      <c r="K834" s="7"/>
      <c r="L834" s="14"/>
      <c r="M834" s="10"/>
      <c r="N834" s="10"/>
      <c r="O834" s="7"/>
    </row>
    <row r="835" spans="1:15" ht="75" customHeight="1">
      <c r="A835" s="7"/>
      <c r="B835" s="8"/>
      <c r="C835" s="9"/>
      <c r="D835" s="10"/>
      <c r="E835" s="10"/>
      <c r="F835" s="10"/>
      <c r="G835" s="10"/>
      <c r="H835" s="10"/>
      <c r="I835" s="12"/>
      <c r="J835" s="13"/>
      <c r="K835" s="7"/>
      <c r="L835" s="14"/>
      <c r="M835" s="10"/>
      <c r="N835" s="10"/>
      <c r="O835" s="7"/>
    </row>
    <row r="836" spans="1:15" ht="75" customHeight="1">
      <c r="A836" s="7"/>
      <c r="B836" s="8"/>
      <c r="C836" s="9"/>
      <c r="D836" s="10"/>
      <c r="E836" s="10"/>
      <c r="F836" s="10"/>
      <c r="G836" s="10"/>
      <c r="H836" s="10"/>
      <c r="I836" s="12"/>
      <c r="J836" s="13"/>
      <c r="K836" s="7"/>
      <c r="L836" s="14"/>
      <c r="M836" s="10"/>
      <c r="N836" s="10"/>
      <c r="O836" s="7"/>
    </row>
    <row r="837" spans="1:15" ht="75" customHeight="1">
      <c r="A837" s="7"/>
      <c r="B837" s="8"/>
      <c r="C837" s="9"/>
      <c r="D837" s="10"/>
      <c r="E837" s="10"/>
      <c r="F837" s="10"/>
      <c r="G837" s="10"/>
      <c r="H837" s="10"/>
      <c r="I837" s="12"/>
      <c r="J837" s="13"/>
      <c r="K837" s="7"/>
      <c r="L837" s="14"/>
      <c r="M837" s="10"/>
      <c r="N837" s="10"/>
      <c r="O837" s="7"/>
    </row>
    <row r="838" spans="1:15" ht="75" customHeight="1">
      <c r="A838" s="7"/>
      <c r="B838" s="8"/>
      <c r="C838" s="9"/>
      <c r="D838" s="10"/>
      <c r="E838" s="10"/>
      <c r="F838" s="10"/>
      <c r="G838" s="10"/>
      <c r="H838" s="10"/>
      <c r="I838" s="12"/>
      <c r="J838" s="13"/>
      <c r="K838" s="7"/>
      <c r="L838" s="14"/>
      <c r="M838" s="10"/>
      <c r="N838" s="10"/>
      <c r="O838" s="7"/>
    </row>
    <row r="839" spans="1:15" ht="75" customHeight="1">
      <c r="A839" s="7"/>
      <c r="B839" s="8"/>
      <c r="C839" s="9"/>
      <c r="D839" s="10"/>
      <c r="E839" s="10"/>
      <c r="F839" s="10"/>
      <c r="G839" s="10"/>
      <c r="H839" s="10"/>
      <c r="I839" s="12"/>
      <c r="J839" s="13"/>
      <c r="K839" s="7"/>
      <c r="L839" s="14"/>
      <c r="M839" s="10"/>
      <c r="N839" s="10"/>
      <c r="O839" s="7"/>
    </row>
    <row r="840" spans="1:15" ht="75" customHeight="1">
      <c r="A840" s="7"/>
      <c r="B840" s="8"/>
      <c r="C840" s="9"/>
      <c r="D840" s="10"/>
      <c r="E840" s="10"/>
      <c r="F840" s="10"/>
      <c r="G840" s="10"/>
      <c r="H840" s="10"/>
      <c r="I840" s="12"/>
      <c r="J840" s="13"/>
      <c r="K840" s="7"/>
      <c r="L840" s="14"/>
      <c r="M840" s="10"/>
      <c r="N840" s="10"/>
      <c r="O840" s="7"/>
    </row>
    <row r="841" spans="1:15" ht="75" customHeight="1">
      <c r="A841" s="7"/>
      <c r="B841" s="8"/>
      <c r="C841" s="9"/>
      <c r="D841" s="10"/>
      <c r="E841" s="10"/>
      <c r="F841" s="10"/>
      <c r="G841" s="10"/>
      <c r="H841" s="10"/>
      <c r="I841" s="12"/>
      <c r="J841" s="13"/>
      <c r="K841" s="7"/>
      <c r="L841" s="14"/>
      <c r="M841" s="10"/>
      <c r="N841" s="10"/>
      <c r="O841" s="7"/>
    </row>
    <row r="842" spans="1:15" ht="75" customHeight="1">
      <c r="A842" s="7"/>
      <c r="B842" s="8"/>
      <c r="C842" s="9"/>
      <c r="D842" s="10"/>
      <c r="E842" s="10"/>
      <c r="F842" s="10"/>
      <c r="G842" s="10"/>
      <c r="H842" s="10"/>
      <c r="I842" s="12"/>
      <c r="J842" s="13"/>
      <c r="K842" s="7"/>
      <c r="L842" s="14"/>
      <c r="M842" s="10"/>
      <c r="N842" s="10"/>
      <c r="O842" s="7"/>
    </row>
    <row r="843" spans="1:15" ht="75" customHeight="1">
      <c r="A843" s="7"/>
      <c r="B843" s="8"/>
      <c r="C843" s="9"/>
      <c r="D843" s="10"/>
      <c r="E843" s="10"/>
      <c r="F843" s="10"/>
      <c r="G843" s="10"/>
      <c r="H843" s="10"/>
      <c r="I843" s="12"/>
      <c r="J843" s="13"/>
      <c r="K843" s="7"/>
      <c r="L843" s="14"/>
      <c r="M843" s="10"/>
      <c r="N843" s="10"/>
      <c r="O843" s="7"/>
    </row>
    <row r="844" spans="1:15" ht="75" customHeight="1">
      <c r="A844" s="7"/>
      <c r="B844" s="8"/>
      <c r="C844" s="9"/>
      <c r="D844" s="10"/>
      <c r="E844" s="10"/>
      <c r="F844" s="10"/>
      <c r="G844" s="10"/>
      <c r="H844" s="10"/>
      <c r="I844" s="12"/>
      <c r="J844" s="13"/>
      <c r="K844" s="7"/>
      <c r="L844" s="14"/>
      <c r="M844" s="10"/>
      <c r="N844" s="10"/>
      <c r="O844" s="7"/>
    </row>
    <row r="845" spans="1:15" ht="75" customHeight="1">
      <c r="A845" s="7"/>
      <c r="B845" s="8"/>
      <c r="C845" s="9"/>
      <c r="D845" s="10"/>
      <c r="E845" s="10"/>
      <c r="F845" s="10"/>
      <c r="G845" s="10"/>
      <c r="H845" s="10"/>
      <c r="I845" s="12"/>
      <c r="J845" s="13"/>
      <c r="K845" s="7"/>
      <c r="L845" s="14"/>
      <c r="M845" s="10"/>
      <c r="N845" s="10"/>
      <c r="O845" s="7"/>
    </row>
    <row r="846" spans="1:15" ht="75" customHeight="1">
      <c r="A846" s="7"/>
      <c r="B846" s="8"/>
      <c r="C846" s="9"/>
      <c r="D846" s="10"/>
      <c r="E846" s="10"/>
      <c r="F846" s="10"/>
      <c r="G846" s="10"/>
      <c r="H846" s="10"/>
      <c r="I846" s="12"/>
      <c r="J846" s="13"/>
      <c r="K846" s="7"/>
      <c r="L846" s="14"/>
      <c r="M846" s="10"/>
      <c r="N846" s="10"/>
      <c r="O846" s="7"/>
    </row>
    <row r="847" spans="1:15" ht="75" customHeight="1">
      <c r="A847" s="7"/>
      <c r="B847" s="8"/>
      <c r="C847" s="9"/>
      <c r="D847" s="10"/>
      <c r="E847" s="10"/>
      <c r="F847" s="10"/>
      <c r="G847" s="10"/>
      <c r="H847" s="10"/>
      <c r="I847" s="12"/>
      <c r="J847" s="13"/>
      <c r="K847" s="7"/>
      <c r="L847" s="14"/>
      <c r="M847" s="10"/>
      <c r="N847" s="10"/>
      <c r="O847" s="7"/>
    </row>
    <row r="848" spans="1:15" ht="75" customHeight="1">
      <c r="A848" s="7"/>
      <c r="B848" s="8"/>
      <c r="C848" s="9"/>
      <c r="D848" s="10"/>
      <c r="E848" s="10"/>
      <c r="F848" s="10"/>
      <c r="G848" s="10"/>
      <c r="H848" s="10"/>
      <c r="I848" s="12"/>
      <c r="J848" s="13"/>
      <c r="K848" s="7"/>
      <c r="L848" s="14"/>
      <c r="M848" s="10"/>
      <c r="N848" s="10"/>
      <c r="O848" s="7"/>
    </row>
    <row r="849" spans="1:15" ht="75" customHeight="1">
      <c r="A849" s="7"/>
      <c r="B849" s="8"/>
      <c r="C849" s="9"/>
      <c r="D849" s="10"/>
      <c r="E849" s="10"/>
      <c r="F849" s="10"/>
      <c r="G849" s="10"/>
      <c r="H849" s="10"/>
      <c r="I849" s="12"/>
      <c r="J849" s="13"/>
      <c r="K849" s="7"/>
      <c r="L849" s="14"/>
      <c r="M849" s="10"/>
      <c r="N849" s="10"/>
      <c r="O849" s="7"/>
    </row>
    <row r="850" spans="1:15" ht="75" customHeight="1">
      <c r="A850" s="7"/>
      <c r="B850" s="8"/>
      <c r="C850" s="9"/>
      <c r="D850" s="10"/>
      <c r="E850" s="10"/>
      <c r="F850" s="10"/>
      <c r="G850" s="10"/>
      <c r="H850" s="10"/>
      <c r="I850" s="12"/>
      <c r="J850" s="13"/>
      <c r="K850" s="7"/>
      <c r="L850" s="14"/>
      <c r="M850" s="10"/>
      <c r="N850" s="10"/>
      <c r="O850" s="7"/>
    </row>
    <row r="851" spans="1:15" ht="75" customHeight="1">
      <c r="A851" s="7"/>
      <c r="B851" s="8"/>
      <c r="C851" s="9"/>
      <c r="D851" s="10"/>
      <c r="E851" s="10"/>
      <c r="F851" s="10"/>
      <c r="G851" s="10"/>
      <c r="H851" s="10"/>
      <c r="I851" s="12"/>
      <c r="J851" s="13"/>
      <c r="K851" s="7"/>
      <c r="L851" s="14"/>
      <c r="M851" s="10"/>
      <c r="N851" s="10"/>
      <c r="O851" s="7"/>
    </row>
    <row r="852" spans="1:15" ht="75" customHeight="1">
      <c r="A852" s="7"/>
      <c r="B852" s="8"/>
      <c r="C852" s="9"/>
      <c r="D852" s="10"/>
      <c r="E852" s="10"/>
      <c r="F852" s="10"/>
      <c r="G852" s="10"/>
      <c r="H852" s="10"/>
      <c r="I852" s="12"/>
      <c r="J852" s="13"/>
      <c r="K852" s="7"/>
      <c r="L852" s="14"/>
      <c r="M852" s="10"/>
      <c r="N852" s="10"/>
      <c r="O852" s="7"/>
    </row>
    <row r="853" spans="1:15" ht="75" customHeight="1">
      <c r="A853" s="7"/>
      <c r="B853" s="8"/>
      <c r="C853" s="9"/>
      <c r="D853" s="10"/>
      <c r="E853" s="10"/>
      <c r="F853" s="10"/>
      <c r="G853" s="10"/>
      <c r="H853" s="10"/>
      <c r="I853" s="12"/>
      <c r="J853" s="13"/>
      <c r="K853" s="7"/>
      <c r="L853" s="14"/>
      <c r="M853" s="10"/>
      <c r="N853" s="10"/>
      <c r="O853" s="7"/>
    </row>
    <row r="854" spans="1:15" ht="75" customHeight="1">
      <c r="A854" s="7"/>
      <c r="B854" s="8"/>
      <c r="C854" s="9"/>
      <c r="D854" s="10"/>
      <c r="E854" s="10"/>
      <c r="F854" s="10"/>
      <c r="G854" s="10"/>
      <c r="H854" s="10"/>
      <c r="I854" s="12"/>
      <c r="J854" s="13"/>
      <c r="K854" s="7"/>
      <c r="L854" s="14"/>
      <c r="M854" s="10"/>
      <c r="N854" s="10"/>
      <c r="O854" s="7"/>
    </row>
    <row r="855" spans="1:15" ht="75" customHeight="1">
      <c r="A855" s="7"/>
      <c r="B855" s="8"/>
      <c r="C855" s="9"/>
      <c r="D855" s="10"/>
      <c r="E855" s="10"/>
      <c r="F855" s="10"/>
      <c r="G855" s="10"/>
      <c r="H855" s="10"/>
      <c r="I855" s="12"/>
      <c r="J855" s="13"/>
      <c r="K855" s="7"/>
      <c r="L855" s="14"/>
      <c r="M855" s="10"/>
      <c r="N855" s="10"/>
      <c r="O855" s="7"/>
    </row>
    <row r="856" spans="1:15" ht="75" customHeight="1">
      <c r="A856" s="7"/>
      <c r="B856" s="8"/>
      <c r="C856" s="9"/>
      <c r="D856" s="10"/>
      <c r="E856" s="10"/>
      <c r="F856" s="10"/>
      <c r="G856" s="10"/>
      <c r="H856" s="10"/>
      <c r="I856" s="12"/>
      <c r="J856" s="13"/>
      <c r="K856" s="7"/>
      <c r="L856" s="14"/>
      <c r="M856" s="10"/>
      <c r="N856" s="10"/>
      <c r="O856" s="7"/>
    </row>
    <row r="857" spans="1:15" ht="75" customHeight="1">
      <c r="A857" s="7"/>
      <c r="B857" s="8"/>
      <c r="C857" s="9"/>
      <c r="D857" s="10"/>
      <c r="E857" s="10"/>
      <c r="F857" s="10"/>
      <c r="G857" s="10"/>
      <c r="H857" s="10"/>
      <c r="I857" s="12"/>
      <c r="J857" s="13"/>
      <c r="K857" s="7"/>
      <c r="L857" s="14"/>
      <c r="M857" s="10"/>
      <c r="N857" s="10"/>
      <c r="O857" s="7"/>
    </row>
    <row r="858" spans="1:15" ht="75" customHeight="1">
      <c r="A858" s="7"/>
      <c r="B858" s="8"/>
      <c r="C858" s="9"/>
      <c r="D858" s="10"/>
      <c r="E858" s="10"/>
      <c r="F858" s="10"/>
      <c r="G858" s="10"/>
      <c r="H858" s="10"/>
      <c r="I858" s="12"/>
      <c r="J858" s="13"/>
      <c r="K858" s="7"/>
      <c r="L858" s="14"/>
      <c r="M858" s="10"/>
      <c r="N858" s="10"/>
      <c r="O858" s="7"/>
    </row>
    <row r="859" spans="1:15" ht="75" customHeight="1">
      <c r="A859" s="7"/>
      <c r="B859" s="8"/>
      <c r="C859" s="9"/>
      <c r="D859" s="10"/>
      <c r="E859" s="10"/>
      <c r="F859" s="10"/>
      <c r="G859" s="10"/>
      <c r="H859" s="10"/>
      <c r="I859" s="12"/>
      <c r="J859" s="13"/>
      <c r="K859" s="7"/>
      <c r="L859" s="14"/>
      <c r="M859" s="10"/>
      <c r="N859" s="10"/>
      <c r="O859" s="7"/>
    </row>
    <row r="860" spans="1:15" ht="75" customHeight="1">
      <c r="A860" s="7"/>
      <c r="B860" s="8"/>
      <c r="C860" s="9"/>
      <c r="D860" s="10"/>
      <c r="E860" s="10"/>
      <c r="F860" s="10"/>
      <c r="G860" s="10"/>
      <c r="H860" s="10"/>
      <c r="I860" s="12"/>
      <c r="J860" s="13"/>
      <c r="K860" s="7"/>
      <c r="L860" s="14"/>
      <c r="M860" s="10"/>
      <c r="N860" s="10"/>
      <c r="O860" s="7"/>
    </row>
    <row r="861" spans="1:15" ht="75" customHeight="1">
      <c r="A861" s="7"/>
      <c r="B861" s="8"/>
      <c r="C861" s="9"/>
      <c r="D861" s="10"/>
      <c r="E861" s="10"/>
      <c r="F861" s="10"/>
      <c r="G861" s="10"/>
      <c r="H861" s="10"/>
      <c r="I861" s="12"/>
      <c r="J861" s="13"/>
      <c r="K861" s="7"/>
      <c r="L861" s="14"/>
      <c r="M861" s="10"/>
      <c r="N861" s="10"/>
      <c r="O861" s="7"/>
    </row>
    <row r="862" spans="1:15" ht="75" customHeight="1">
      <c r="A862" s="7"/>
      <c r="B862" s="8"/>
      <c r="C862" s="9"/>
      <c r="D862" s="10"/>
      <c r="E862" s="10"/>
      <c r="F862" s="10"/>
      <c r="G862" s="10"/>
      <c r="H862" s="10"/>
      <c r="I862" s="12"/>
      <c r="J862" s="13"/>
      <c r="K862" s="7"/>
      <c r="L862" s="14"/>
      <c r="M862" s="10"/>
      <c r="N862" s="10"/>
      <c r="O862" s="7"/>
    </row>
    <row r="863" spans="1:15" ht="75" customHeight="1">
      <c r="A863" s="7"/>
      <c r="B863" s="8"/>
      <c r="C863" s="9"/>
      <c r="D863" s="10"/>
      <c r="E863" s="10"/>
      <c r="F863" s="10"/>
      <c r="G863" s="10"/>
      <c r="H863" s="10"/>
      <c r="I863" s="12"/>
      <c r="J863" s="13"/>
      <c r="K863" s="7"/>
      <c r="L863" s="14"/>
      <c r="M863" s="10"/>
      <c r="N863" s="10"/>
      <c r="O863" s="7"/>
    </row>
    <row r="864" spans="1:15" ht="75" customHeight="1">
      <c r="A864" s="7"/>
      <c r="B864" s="8"/>
      <c r="C864" s="9"/>
      <c r="D864" s="10"/>
      <c r="E864" s="10"/>
      <c r="F864" s="10"/>
      <c r="G864" s="10"/>
      <c r="H864" s="10"/>
      <c r="I864" s="12"/>
      <c r="J864" s="13"/>
      <c r="K864" s="7"/>
      <c r="L864" s="14"/>
      <c r="M864" s="10"/>
      <c r="N864" s="10"/>
      <c r="O864" s="7"/>
    </row>
    <row r="865" spans="1:15" ht="75" customHeight="1">
      <c r="A865" s="7"/>
      <c r="B865" s="8"/>
      <c r="C865" s="9"/>
      <c r="D865" s="10"/>
      <c r="E865" s="10"/>
      <c r="F865" s="10"/>
      <c r="G865" s="10"/>
      <c r="H865" s="10"/>
      <c r="I865" s="12"/>
      <c r="J865" s="13"/>
      <c r="K865" s="7"/>
      <c r="L865" s="14"/>
      <c r="M865" s="10"/>
      <c r="N865" s="10"/>
      <c r="O865" s="7"/>
    </row>
    <row r="866" spans="1:15" ht="75" customHeight="1">
      <c r="A866" s="7"/>
      <c r="B866" s="8"/>
      <c r="C866" s="9"/>
      <c r="D866" s="10"/>
      <c r="E866" s="10"/>
      <c r="F866" s="10"/>
      <c r="G866" s="10"/>
      <c r="H866" s="10"/>
      <c r="I866" s="12"/>
      <c r="J866" s="13"/>
      <c r="K866" s="7"/>
      <c r="L866" s="14"/>
      <c r="M866" s="10"/>
      <c r="N866" s="10"/>
      <c r="O866" s="7"/>
    </row>
    <row r="867" spans="1:15" ht="75" customHeight="1">
      <c r="A867" s="7"/>
      <c r="B867" s="8"/>
      <c r="C867" s="9"/>
      <c r="D867" s="10"/>
      <c r="E867" s="10"/>
      <c r="F867" s="10"/>
      <c r="G867" s="10"/>
      <c r="H867" s="10"/>
      <c r="I867" s="12"/>
      <c r="J867" s="13"/>
      <c r="K867" s="7"/>
      <c r="L867" s="14"/>
      <c r="M867" s="10"/>
      <c r="N867" s="10"/>
      <c r="O867" s="7"/>
    </row>
    <row r="868" spans="1:15" ht="75" customHeight="1">
      <c r="A868" s="7"/>
      <c r="B868" s="8"/>
      <c r="C868" s="9"/>
      <c r="D868" s="10"/>
      <c r="E868" s="10"/>
      <c r="F868" s="10"/>
      <c r="G868" s="10"/>
      <c r="H868" s="10"/>
      <c r="I868" s="12"/>
      <c r="J868" s="13"/>
      <c r="K868" s="7"/>
      <c r="L868" s="14"/>
      <c r="M868" s="10"/>
      <c r="N868" s="10"/>
      <c r="O868" s="7"/>
    </row>
    <row r="869" spans="1:15" ht="75" customHeight="1">
      <c r="A869" s="7"/>
      <c r="B869" s="8"/>
      <c r="C869" s="9"/>
      <c r="D869" s="10"/>
      <c r="E869" s="10"/>
      <c r="F869" s="10"/>
      <c r="G869" s="10"/>
      <c r="H869" s="10"/>
      <c r="I869" s="12"/>
      <c r="J869" s="13"/>
      <c r="K869" s="7"/>
      <c r="L869" s="14"/>
      <c r="M869" s="10"/>
      <c r="N869" s="10"/>
      <c r="O869" s="7"/>
    </row>
    <row r="870" spans="1:15" ht="75" customHeight="1">
      <c r="A870" s="7"/>
      <c r="B870" s="8"/>
      <c r="C870" s="9"/>
      <c r="D870" s="10"/>
      <c r="E870" s="10"/>
      <c r="F870" s="10"/>
      <c r="G870" s="10"/>
      <c r="H870" s="10"/>
      <c r="I870" s="12"/>
      <c r="J870" s="13"/>
      <c r="K870" s="7"/>
      <c r="L870" s="14"/>
      <c r="M870" s="10"/>
      <c r="N870" s="10"/>
      <c r="O870" s="7"/>
    </row>
    <row r="871" spans="1:15" ht="75" customHeight="1">
      <c r="A871" s="7"/>
      <c r="B871" s="8"/>
      <c r="C871" s="9"/>
      <c r="D871" s="10"/>
      <c r="E871" s="10"/>
      <c r="F871" s="10"/>
      <c r="G871" s="10"/>
      <c r="H871" s="10"/>
      <c r="I871" s="12"/>
      <c r="J871" s="13"/>
      <c r="K871" s="7"/>
      <c r="L871" s="14"/>
      <c r="M871" s="10"/>
      <c r="N871" s="10"/>
      <c r="O871" s="7"/>
    </row>
    <row r="872" spans="1:15" ht="75" customHeight="1">
      <c r="A872" s="7"/>
      <c r="B872" s="8"/>
      <c r="C872" s="9"/>
      <c r="D872" s="10"/>
      <c r="E872" s="10"/>
      <c r="F872" s="10"/>
      <c r="G872" s="10"/>
      <c r="H872" s="10"/>
      <c r="I872" s="12"/>
      <c r="J872" s="13"/>
      <c r="K872" s="7"/>
      <c r="L872" s="14"/>
      <c r="M872" s="10"/>
      <c r="N872" s="10"/>
      <c r="O872" s="7"/>
    </row>
    <row r="873" spans="1:15" ht="75" customHeight="1">
      <c r="A873" s="7"/>
      <c r="B873" s="8"/>
      <c r="C873" s="9"/>
      <c r="D873" s="10"/>
      <c r="E873" s="10"/>
      <c r="F873" s="10"/>
      <c r="G873" s="10"/>
      <c r="H873" s="10"/>
      <c r="I873" s="12"/>
      <c r="J873" s="13"/>
      <c r="K873" s="7"/>
      <c r="L873" s="14"/>
      <c r="M873" s="10"/>
      <c r="N873" s="10"/>
      <c r="O873" s="7"/>
    </row>
    <row r="874" spans="1:15" ht="75" customHeight="1">
      <c r="A874" s="7"/>
      <c r="B874" s="8"/>
      <c r="C874" s="9"/>
      <c r="D874" s="10"/>
      <c r="E874" s="10"/>
      <c r="F874" s="10"/>
      <c r="G874" s="10"/>
      <c r="H874" s="10"/>
      <c r="I874" s="12"/>
      <c r="J874" s="13"/>
      <c r="K874" s="7"/>
      <c r="L874" s="14"/>
      <c r="M874" s="10"/>
      <c r="N874" s="10"/>
      <c r="O874" s="7"/>
    </row>
    <row r="875" spans="1:15" ht="75" customHeight="1">
      <c r="A875" s="7"/>
      <c r="B875" s="8"/>
      <c r="C875" s="9"/>
      <c r="D875" s="10"/>
      <c r="E875" s="10"/>
      <c r="F875" s="10"/>
      <c r="G875" s="10"/>
      <c r="H875" s="10"/>
      <c r="I875" s="12"/>
      <c r="J875" s="13"/>
      <c r="K875" s="7"/>
      <c r="L875" s="14"/>
      <c r="M875" s="10"/>
      <c r="N875" s="10"/>
      <c r="O875" s="7"/>
    </row>
    <row r="876" spans="1:15" ht="75" customHeight="1">
      <c r="A876" s="7"/>
      <c r="B876" s="8"/>
      <c r="C876" s="9"/>
      <c r="D876" s="10"/>
      <c r="E876" s="10"/>
      <c r="F876" s="10"/>
      <c r="G876" s="10"/>
      <c r="H876" s="10"/>
      <c r="I876" s="12"/>
      <c r="J876" s="13"/>
      <c r="K876" s="7"/>
      <c r="L876" s="14"/>
      <c r="M876" s="10"/>
      <c r="N876" s="10"/>
      <c r="O876" s="7"/>
    </row>
    <row r="877" spans="1:15" ht="75" customHeight="1">
      <c r="A877" s="7"/>
      <c r="B877" s="8"/>
      <c r="C877" s="9"/>
      <c r="D877" s="10"/>
      <c r="E877" s="10"/>
      <c r="F877" s="10"/>
      <c r="G877" s="10"/>
      <c r="H877" s="10"/>
      <c r="I877" s="12"/>
      <c r="J877" s="13"/>
      <c r="K877" s="7"/>
      <c r="L877" s="14"/>
      <c r="M877" s="10"/>
      <c r="N877" s="10"/>
      <c r="O877" s="7"/>
    </row>
    <row r="878" spans="1:15" ht="75" customHeight="1">
      <c r="A878" s="7"/>
      <c r="B878" s="8"/>
      <c r="C878" s="9"/>
      <c r="D878" s="10"/>
      <c r="E878" s="10"/>
      <c r="F878" s="10"/>
      <c r="G878" s="10"/>
      <c r="H878" s="10"/>
      <c r="I878" s="12"/>
      <c r="J878" s="13"/>
      <c r="K878" s="7"/>
      <c r="L878" s="14"/>
      <c r="M878" s="10"/>
      <c r="N878" s="10"/>
      <c r="O878" s="7"/>
    </row>
    <row r="879" spans="1:15" ht="75" customHeight="1">
      <c r="A879" s="7"/>
      <c r="B879" s="8"/>
      <c r="C879" s="9"/>
      <c r="D879" s="10"/>
      <c r="E879" s="10"/>
      <c r="F879" s="10"/>
      <c r="G879" s="10"/>
      <c r="H879" s="10"/>
      <c r="I879" s="12"/>
      <c r="J879" s="13"/>
      <c r="K879" s="7"/>
      <c r="L879" s="14"/>
      <c r="M879" s="10"/>
      <c r="N879" s="10"/>
      <c r="O879" s="7"/>
    </row>
    <row r="880" spans="1:15" ht="75" customHeight="1">
      <c r="A880" s="7"/>
      <c r="B880" s="8"/>
      <c r="C880" s="9"/>
      <c r="D880" s="10"/>
      <c r="E880" s="10"/>
      <c r="F880" s="10"/>
      <c r="G880" s="10"/>
      <c r="H880" s="10"/>
      <c r="I880" s="12"/>
      <c r="J880" s="13"/>
      <c r="K880" s="7"/>
      <c r="L880" s="14"/>
      <c r="M880" s="10"/>
      <c r="N880" s="10"/>
      <c r="O880" s="7"/>
    </row>
    <row r="881" spans="1:15" ht="75" customHeight="1">
      <c r="A881" s="7"/>
      <c r="B881" s="8"/>
      <c r="C881" s="9"/>
      <c r="D881" s="10"/>
      <c r="E881" s="10"/>
      <c r="F881" s="10"/>
      <c r="G881" s="10"/>
      <c r="H881" s="10"/>
      <c r="I881" s="12"/>
      <c r="J881" s="13"/>
      <c r="K881" s="7"/>
      <c r="L881" s="14"/>
      <c r="M881" s="10"/>
      <c r="N881" s="10"/>
      <c r="O881" s="7"/>
    </row>
    <row r="882" spans="1:15" ht="75" customHeight="1">
      <c r="A882" s="7"/>
      <c r="B882" s="8"/>
      <c r="C882" s="9"/>
      <c r="D882" s="10"/>
      <c r="E882" s="10"/>
      <c r="F882" s="10"/>
      <c r="G882" s="10"/>
      <c r="H882" s="10"/>
      <c r="I882" s="12"/>
      <c r="J882" s="13"/>
      <c r="K882" s="7"/>
      <c r="L882" s="14"/>
      <c r="M882" s="10"/>
      <c r="N882" s="10"/>
      <c r="O882" s="7"/>
    </row>
    <row r="883" spans="1:15" ht="75" customHeight="1">
      <c r="A883" s="7"/>
      <c r="B883" s="8"/>
      <c r="C883" s="9"/>
      <c r="D883" s="10"/>
      <c r="E883" s="10"/>
      <c r="F883" s="10"/>
      <c r="G883" s="10"/>
      <c r="H883" s="10"/>
      <c r="I883" s="12"/>
      <c r="J883" s="13"/>
      <c r="K883" s="7"/>
      <c r="L883" s="14"/>
      <c r="M883" s="10"/>
      <c r="N883" s="10"/>
      <c r="O883" s="7"/>
    </row>
    <row r="884" spans="1:15" ht="75" customHeight="1">
      <c r="A884" s="7"/>
      <c r="B884" s="8"/>
      <c r="C884" s="9"/>
      <c r="D884" s="10"/>
      <c r="E884" s="10"/>
      <c r="F884" s="10"/>
      <c r="G884" s="10"/>
      <c r="H884" s="10"/>
      <c r="I884" s="12"/>
      <c r="J884" s="13"/>
      <c r="K884" s="7"/>
      <c r="L884" s="14"/>
      <c r="M884" s="10"/>
      <c r="N884" s="10"/>
      <c r="O884" s="7"/>
    </row>
    <row r="885" spans="1:15" ht="75" customHeight="1">
      <c r="A885" s="7"/>
      <c r="B885" s="8"/>
      <c r="C885" s="9"/>
      <c r="D885" s="10"/>
      <c r="E885" s="10"/>
      <c r="F885" s="10"/>
      <c r="G885" s="10"/>
      <c r="H885" s="10"/>
      <c r="I885" s="12"/>
      <c r="J885" s="13"/>
      <c r="K885" s="7"/>
      <c r="L885" s="14"/>
      <c r="M885" s="10"/>
      <c r="N885" s="10"/>
      <c r="O885" s="7"/>
    </row>
    <row r="886" spans="1:15" ht="75" customHeight="1">
      <c r="A886" s="7"/>
      <c r="B886" s="8"/>
      <c r="C886" s="9"/>
      <c r="D886" s="10"/>
      <c r="E886" s="10"/>
      <c r="F886" s="10"/>
      <c r="G886" s="10"/>
      <c r="H886" s="10"/>
      <c r="I886" s="12"/>
      <c r="J886" s="13"/>
      <c r="K886" s="7"/>
      <c r="L886" s="14"/>
      <c r="M886" s="10"/>
      <c r="N886" s="10"/>
      <c r="O886" s="7"/>
    </row>
    <row r="887" spans="1:15" ht="75" customHeight="1">
      <c r="A887" s="7"/>
      <c r="B887" s="8"/>
      <c r="C887" s="9"/>
      <c r="D887" s="10"/>
      <c r="E887" s="10"/>
      <c r="F887" s="10"/>
      <c r="G887" s="10"/>
      <c r="H887" s="10"/>
      <c r="I887" s="12"/>
      <c r="J887" s="13"/>
      <c r="K887" s="7"/>
      <c r="L887" s="14"/>
      <c r="M887" s="10"/>
      <c r="N887" s="10"/>
      <c r="O887" s="7"/>
    </row>
    <row r="888" spans="1:15" ht="75" customHeight="1">
      <c r="A888" s="7"/>
      <c r="B888" s="8"/>
      <c r="C888" s="9"/>
      <c r="D888" s="10"/>
      <c r="E888" s="10"/>
      <c r="F888" s="10"/>
      <c r="G888" s="10"/>
      <c r="H888" s="10"/>
      <c r="I888" s="12"/>
      <c r="J888" s="13"/>
      <c r="K888" s="7"/>
      <c r="L888" s="14"/>
      <c r="M888" s="10"/>
      <c r="N888" s="10"/>
      <c r="O888" s="7"/>
    </row>
    <row r="889" spans="1:15" ht="75" customHeight="1">
      <c r="A889" s="7"/>
      <c r="B889" s="8"/>
      <c r="C889" s="9"/>
      <c r="D889" s="10"/>
      <c r="E889" s="10"/>
      <c r="F889" s="10"/>
      <c r="G889" s="10"/>
      <c r="H889" s="10"/>
      <c r="I889" s="12"/>
      <c r="J889" s="13"/>
      <c r="K889" s="7"/>
      <c r="L889" s="14"/>
      <c r="M889" s="10"/>
      <c r="N889" s="10"/>
      <c r="O889" s="7"/>
    </row>
    <row r="890" spans="1:15" ht="75" customHeight="1">
      <c r="A890" s="7"/>
      <c r="B890" s="8"/>
      <c r="C890" s="9"/>
      <c r="D890" s="10"/>
      <c r="E890" s="10"/>
      <c r="F890" s="10"/>
      <c r="G890" s="10"/>
      <c r="H890" s="10"/>
      <c r="I890" s="12"/>
      <c r="J890" s="13"/>
      <c r="K890" s="7"/>
      <c r="L890" s="14"/>
      <c r="M890" s="10"/>
      <c r="N890" s="10"/>
      <c r="O890" s="7"/>
    </row>
    <row r="891" spans="1:15" ht="75" customHeight="1">
      <c r="A891" s="7"/>
      <c r="B891" s="8"/>
      <c r="C891" s="9"/>
      <c r="D891" s="10"/>
      <c r="E891" s="10"/>
      <c r="F891" s="10"/>
      <c r="G891" s="10"/>
      <c r="H891" s="10"/>
      <c r="I891" s="12"/>
      <c r="J891" s="13"/>
      <c r="K891" s="7"/>
      <c r="L891" s="14"/>
      <c r="M891" s="10"/>
      <c r="N891" s="10"/>
      <c r="O891" s="7"/>
    </row>
    <row r="892" spans="1:15" ht="75" customHeight="1">
      <c r="A892" s="7"/>
      <c r="B892" s="8"/>
      <c r="C892" s="9"/>
      <c r="D892" s="10"/>
      <c r="E892" s="10"/>
      <c r="F892" s="10"/>
      <c r="G892" s="10"/>
      <c r="H892" s="10"/>
      <c r="I892" s="12"/>
      <c r="J892" s="13"/>
      <c r="K892" s="7"/>
      <c r="L892" s="14"/>
      <c r="M892" s="10"/>
      <c r="N892" s="10"/>
      <c r="O892" s="7"/>
    </row>
    <row r="893" spans="1:15" ht="75" customHeight="1">
      <c r="A893" s="7"/>
      <c r="B893" s="8"/>
      <c r="C893" s="9"/>
      <c r="D893" s="10"/>
      <c r="E893" s="10"/>
      <c r="F893" s="10"/>
      <c r="G893" s="10"/>
      <c r="H893" s="10"/>
      <c r="I893" s="12"/>
      <c r="J893" s="13"/>
      <c r="K893" s="7"/>
      <c r="L893" s="14"/>
      <c r="M893" s="10"/>
      <c r="N893" s="10"/>
      <c r="O893" s="7"/>
    </row>
    <row r="894" spans="1:15" ht="75" customHeight="1">
      <c r="A894" s="7"/>
      <c r="B894" s="8"/>
      <c r="C894" s="9"/>
      <c r="D894" s="10"/>
      <c r="E894" s="10"/>
      <c r="F894" s="10"/>
      <c r="G894" s="10"/>
      <c r="H894" s="10"/>
      <c r="I894" s="12"/>
      <c r="J894" s="13"/>
      <c r="K894" s="7"/>
      <c r="L894" s="14"/>
      <c r="M894" s="10"/>
      <c r="N894" s="10"/>
      <c r="O894" s="7"/>
    </row>
    <row r="895" spans="1:15" ht="75" customHeight="1">
      <c r="A895" s="7"/>
      <c r="B895" s="8"/>
      <c r="C895" s="9"/>
      <c r="D895" s="10"/>
      <c r="E895" s="10"/>
      <c r="F895" s="10"/>
      <c r="G895" s="10"/>
      <c r="H895" s="10"/>
      <c r="I895" s="12"/>
      <c r="J895" s="13"/>
      <c r="K895" s="7"/>
      <c r="L895" s="14"/>
      <c r="M895" s="10"/>
      <c r="N895" s="10"/>
      <c r="O895" s="7"/>
    </row>
    <row r="896" spans="1:15" ht="75" customHeight="1">
      <c r="A896" s="7"/>
      <c r="B896" s="8"/>
      <c r="C896" s="9"/>
      <c r="D896" s="10"/>
      <c r="E896" s="10"/>
      <c r="F896" s="10"/>
      <c r="G896" s="10"/>
      <c r="H896" s="10"/>
      <c r="I896" s="12"/>
      <c r="J896" s="13"/>
      <c r="K896" s="7"/>
      <c r="L896" s="14"/>
      <c r="M896" s="10"/>
      <c r="N896" s="10"/>
      <c r="O896" s="7"/>
    </row>
    <row r="897" spans="1:15" ht="75" customHeight="1">
      <c r="A897" s="7"/>
      <c r="B897" s="8"/>
      <c r="C897" s="9"/>
      <c r="D897" s="10"/>
      <c r="E897" s="10"/>
      <c r="F897" s="10"/>
      <c r="G897" s="10"/>
      <c r="H897" s="10"/>
      <c r="I897" s="12"/>
      <c r="J897" s="13"/>
      <c r="K897" s="7"/>
      <c r="L897" s="14"/>
      <c r="M897" s="10"/>
      <c r="N897" s="10"/>
      <c r="O897" s="7"/>
    </row>
    <row r="898" spans="1:15" ht="75" customHeight="1">
      <c r="A898" s="7"/>
      <c r="B898" s="8"/>
      <c r="C898" s="9"/>
      <c r="D898" s="10"/>
      <c r="E898" s="10"/>
      <c r="F898" s="10"/>
      <c r="G898" s="10"/>
      <c r="H898" s="10"/>
      <c r="I898" s="12"/>
      <c r="J898" s="13"/>
      <c r="K898" s="7"/>
      <c r="L898" s="14"/>
      <c r="M898" s="10"/>
      <c r="N898" s="10"/>
      <c r="O898" s="7"/>
    </row>
    <row r="899" spans="1:15" ht="75" customHeight="1">
      <c r="A899" s="7"/>
      <c r="B899" s="8"/>
      <c r="C899" s="9"/>
      <c r="D899" s="10"/>
      <c r="E899" s="10"/>
      <c r="F899" s="10"/>
      <c r="G899" s="10"/>
      <c r="H899" s="10"/>
      <c r="I899" s="12"/>
      <c r="J899" s="13"/>
      <c r="K899" s="7"/>
      <c r="L899" s="14"/>
      <c r="M899" s="10"/>
      <c r="N899" s="10"/>
      <c r="O899" s="7"/>
    </row>
    <row r="900" spans="1:15" ht="75" customHeight="1">
      <c r="A900" s="7"/>
      <c r="B900" s="8"/>
      <c r="C900" s="9"/>
      <c r="D900" s="10"/>
      <c r="E900" s="10"/>
      <c r="F900" s="10"/>
      <c r="G900" s="10"/>
      <c r="H900" s="10"/>
      <c r="I900" s="12"/>
      <c r="J900" s="13"/>
      <c r="K900" s="7"/>
      <c r="L900" s="14"/>
      <c r="M900" s="10"/>
      <c r="N900" s="10"/>
      <c r="O900" s="7"/>
    </row>
    <row r="901" spans="1:15" ht="75" customHeight="1">
      <c r="A901" s="7"/>
      <c r="B901" s="8"/>
      <c r="C901" s="9"/>
      <c r="D901" s="10"/>
      <c r="E901" s="10"/>
      <c r="F901" s="10"/>
      <c r="G901" s="10"/>
      <c r="H901" s="10"/>
      <c r="I901" s="12"/>
      <c r="J901" s="13"/>
      <c r="K901" s="7"/>
      <c r="L901" s="14"/>
      <c r="M901" s="10"/>
      <c r="N901" s="10"/>
      <c r="O901" s="7"/>
    </row>
    <row r="902" spans="1:15" ht="75" customHeight="1">
      <c r="A902" s="7"/>
      <c r="B902" s="8"/>
      <c r="C902" s="9"/>
      <c r="D902" s="10"/>
      <c r="E902" s="10"/>
      <c r="F902" s="10"/>
      <c r="G902" s="10"/>
      <c r="H902" s="10"/>
      <c r="I902" s="12"/>
      <c r="J902" s="13"/>
      <c r="K902" s="7"/>
      <c r="L902" s="14"/>
      <c r="M902" s="10"/>
      <c r="N902" s="10"/>
      <c r="O902" s="7"/>
    </row>
    <row r="903" spans="1:15" ht="75" customHeight="1">
      <c r="A903" s="7"/>
      <c r="B903" s="8"/>
      <c r="C903" s="9"/>
      <c r="D903" s="10"/>
      <c r="E903" s="10"/>
      <c r="F903" s="10"/>
      <c r="G903" s="10"/>
      <c r="H903" s="10"/>
      <c r="I903" s="12"/>
      <c r="J903" s="13"/>
      <c r="K903" s="7"/>
      <c r="L903" s="14"/>
      <c r="M903" s="10"/>
      <c r="N903" s="10"/>
      <c r="O903" s="7"/>
    </row>
    <row r="904" spans="1:15" ht="75" customHeight="1">
      <c r="A904" s="7"/>
      <c r="B904" s="8"/>
      <c r="C904" s="9"/>
      <c r="D904" s="10"/>
      <c r="E904" s="10"/>
      <c r="F904" s="10"/>
      <c r="G904" s="10"/>
      <c r="H904" s="10"/>
      <c r="I904" s="12"/>
      <c r="J904" s="13"/>
      <c r="K904" s="7"/>
      <c r="L904" s="14"/>
      <c r="M904" s="10"/>
      <c r="N904" s="10"/>
      <c r="O904" s="7"/>
    </row>
    <row r="905" spans="1:15" ht="75" customHeight="1">
      <c r="A905" s="7"/>
      <c r="B905" s="8"/>
      <c r="C905" s="9"/>
      <c r="D905" s="10"/>
      <c r="E905" s="10"/>
      <c r="F905" s="10"/>
      <c r="G905" s="10"/>
      <c r="H905" s="10"/>
      <c r="I905" s="12"/>
      <c r="J905" s="13"/>
      <c r="K905" s="7"/>
      <c r="L905" s="14"/>
      <c r="M905" s="10"/>
      <c r="N905" s="10"/>
      <c r="O905" s="7"/>
    </row>
    <row r="906" spans="1:15" ht="75" customHeight="1">
      <c r="A906" s="7"/>
      <c r="B906" s="8"/>
      <c r="C906" s="9"/>
      <c r="D906" s="10"/>
      <c r="E906" s="10"/>
      <c r="F906" s="10"/>
      <c r="G906" s="10"/>
      <c r="H906" s="10"/>
      <c r="I906" s="12"/>
      <c r="J906" s="13"/>
      <c r="K906" s="7"/>
      <c r="L906" s="14"/>
      <c r="M906" s="10"/>
      <c r="N906" s="10"/>
      <c r="O906" s="7"/>
    </row>
    <row r="907" spans="1:15" ht="75" customHeight="1">
      <c r="A907" s="7"/>
      <c r="B907" s="8"/>
      <c r="C907" s="9"/>
      <c r="D907" s="10"/>
      <c r="E907" s="10"/>
      <c r="F907" s="10"/>
      <c r="G907" s="10"/>
      <c r="H907" s="10"/>
      <c r="I907" s="12"/>
      <c r="J907" s="13"/>
      <c r="K907" s="7"/>
      <c r="L907" s="14"/>
      <c r="M907" s="10"/>
      <c r="N907" s="10"/>
      <c r="O907" s="7"/>
    </row>
    <row r="908" spans="1:15" ht="75" customHeight="1">
      <c r="A908" s="7"/>
      <c r="B908" s="8"/>
      <c r="C908" s="9"/>
      <c r="D908" s="10"/>
      <c r="E908" s="10"/>
      <c r="F908" s="10"/>
      <c r="G908" s="10"/>
      <c r="H908" s="10"/>
      <c r="I908" s="12"/>
      <c r="J908" s="13"/>
      <c r="K908" s="7"/>
      <c r="L908" s="14"/>
      <c r="M908" s="10"/>
      <c r="N908" s="10"/>
      <c r="O908" s="7"/>
    </row>
    <row r="909" spans="1:15" ht="75" customHeight="1">
      <c r="A909" s="7"/>
      <c r="B909" s="8"/>
      <c r="C909" s="9"/>
      <c r="D909" s="10"/>
      <c r="E909" s="10"/>
      <c r="F909" s="10"/>
      <c r="G909" s="10"/>
      <c r="H909" s="10"/>
      <c r="I909" s="12"/>
      <c r="J909" s="13"/>
      <c r="K909" s="7"/>
      <c r="L909" s="14"/>
      <c r="M909" s="10"/>
      <c r="N909" s="10"/>
      <c r="O909" s="7"/>
    </row>
    <row r="910" spans="1:15" ht="75" customHeight="1">
      <c r="A910" s="7"/>
      <c r="B910" s="8"/>
      <c r="C910" s="9"/>
      <c r="D910" s="10"/>
      <c r="E910" s="10"/>
      <c r="F910" s="10"/>
      <c r="G910" s="10"/>
      <c r="H910" s="10"/>
      <c r="I910" s="12"/>
      <c r="J910" s="13"/>
      <c r="K910" s="7"/>
      <c r="L910" s="14"/>
      <c r="M910" s="10"/>
      <c r="N910" s="10"/>
      <c r="O910" s="7"/>
    </row>
    <row r="911" spans="1:15" ht="75" customHeight="1">
      <c r="A911" s="7"/>
      <c r="B911" s="8"/>
      <c r="C911" s="9"/>
      <c r="D911" s="10"/>
      <c r="E911" s="10"/>
      <c r="F911" s="10"/>
      <c r="G911" s="10"/>
      <c r="H911" s="10"/>
      <c r="I911" s="12"/>
      <c r="J911" s="13"/>
      <c r="K911" s="7"/>
      <c r="L911" s="14"/>
      <c r="M911" s="10"/>
      <c r="N911" s="10"/>
      <c r="O911" s="7"/>
    </row>
    <row r="912" spans="1:15" ht="75" customHeight="1">
      <c r="A912" s="7"/>
      <c r="B912" s="8"/>
      <c r="C912" s="9"/>
      <c r="D912" s="10"/>
      <c r="E912" s="10"/>
      <c r="F912" s="10"/>
      <c r="G912" s="10"/>
      <c r="H912" s="10"/>
      <c r="I912" s="12"/>
      <c r="J912" s="13"/>
      <c r="K912" s="7"/>
      <c r="L912" s="14"/>
      <c r="M912" s="10"/>
      <c r="N912" s="10"/>
      <c r="O912" s="7"/>
    </row>
    <row r="913" spans="1:15" ht="75" customHeight="1">
      <c r="A913" s="7"/>
      <c r="B913" s="8"/>
      <c r="C913" s="9"/>
      <c r="D913" s="10"/>
      <c r="E913" s="10"/>
      <c r="F913" s="10"/>
      <c r="G913" s="10"/>
      <c r="H913" s="10"/>
      <c r="I913" s="12"/>
      <c r="J913" s="13"/>
      <c r="K913" s="7"/>
      <c r="L913" s="14"/>
      <c r="M913" s="10"/>
      <c r="N913" s="10"/>
      <c r="O913" s="7"/>
    </row>
    <row r="914" spans="1:15" ht="75" customHeight="1">
      <c r="A914" s="7"/>
      <c r="B914" s="8"/>
      <c r="C914" s="9"/>
      <c r="D914" s="10"/>
      <c r="E914" s="10"/>
      <c r="F914" s="10"/>
      <c r="G914" s="10"/>
      <c r="H914" s="10"/>
      <c r="I914" s="12"/>
      <c r="J914" s="13"/>
      <c r="K914" s="7"/>
      <c r="L914" s="14"/>
      <c r="M914" s="10"/>
      <c r="N914" s="10"/>
      <c r="O914" s="7"/>
    </row>
    <row r="915" spans="1:15" ht="75" customHeight="1">
      <c r="A915" s="7"/>
      <c r="B915" s="8"/>
      <c r="C915" s="9"/>
      <c r="D915" s="10"/>
      <c r="E915" s="10"/>
      <c r="F915" s="10"/>
      <c r="G915" s="10"/>
      <c r="H915" s="10"/>
      <c r="I915" s="12"/>
      <c r="J915" s="13"/>
      <c r="K915" s="7"/>
      <c r="L915" s="14"/>
      <c r="M915" s="10"/>
      <c r="N915" s="10"/>
      <c r="O915" s="7"/>
    </row>
    <row r="916" spans="1:15" ht="75" customHeight="1">
      <c r="A916" s="7"/>
      <c r="B916" s="8"/>
      <c r="C916" s="9"/>
      <c r="D916" s="10"/>
      <c r="E916" s="10"/>
      <c r="F916" s="10"/>
      <c r="G916" s="10"/>
      <c r="H916" s="10"/>
      <c r="I916" s="12"/>
      <c r="J916" s="13"/>
      <c r="K916" s="7"/>
      <c r="L916" s="14"/>
      <c r="M916" s="10"/>
      <c r="N916" s="10"/>
      <c r="O916" s="7"/>
    </row>
    <row r="917" spans="1:15" ht="75" customHeight="1">
      <c r="A917" s="7"/>
      <c r="B917" s="8"/>
      <c r="C917" s="9"/>
      <c r="D917" s="10"/>
      <c r="E917" s="10"/>
      <c r="F917" s="10"/>
      <c r="G917" s="10"/>
      <c r="H917" s="10"/>
      <c r="I917" s="12"/>
      <c r="J917" s="13"/>
      <c r="K917" s="7"/>
      <c r="L917" s="14"/>
      <c r="M917" s="10"/>
      <c r="N917" s="10"/>
      <c r="O917" s="7"/>
    </row>
    <row r="918" spans="1:15" ht="75" customHeight="1">
      <c r="A918" s="7"/>
      <c r="B918" s="8"/>
      <c r="C918" s="9"/>
      <c r="D918" s="10"/>
      <c r="E918" s="10"/>
      <c r="F918" s="10"/>
      <c r="G918" s="10"/>
      <c r="H918" s="10"/>
      <c r="I918" s="12"/>
      <c r="J918" s="13"/>
      <c r="K918" s="7"/>
      <c r="L918" s="14"/>
      <c r="M918" s="10"/>
      <c r="N918" s="10"/>
      <c r="O918" s="7"/>
    </row>
    <row r="919" spans="1:15" ht="75" customHeight="1">
      <c r="A919" s="7"/>
      <c r="B919" s="8"/>
      <c r="C919" s="9"/>
      <c r="D919" s="10"/>
      <c r="E919" s="10"/>
      <c r="F919" s="10"/>
      <c r="G919" s="10"/>
      <c r="H919" s="10"/>
      <c r="I919" s="12"/>
      <c r="J919" s="13"/>
      <c r="K919" s="7"/>
      <c r="L919" s="14"/>
      <c r="M919" s="10"/>
      <c r="N919" s="10"/>
      <c r="O919" s="7"/>
    </row>
    <row r="920" spans="1:15" ht="75" customHeight="1">
      <c r="A920" s="7"/>
      <c r="B920" s="8"/>
      <c r="C920" s="9"/>
      <c r="D920" s="10"/>
      <c r="E920" s="10"/>
      <c r="F920" s="10"/>
      <c r="G920" s="10"/>
      <c r="H920" s="10"/>
      <c r="I920" s="12"/>
      <c r="J920" s="13"/>
      <c r="K920" s="7"/>
      <c r="L920" s="14"/>
      <c r="M920" s="10"/>
      <c r="N920" s="10"/>
      <c r="O920" s="7"/>
    </row>
    <row r="921" spans="1:15" ht="75" customHeight="1">
      <c r="A921" s="7"/>
      <c r="B921" s="8"/>
      <c r="C921" s="9"/>
      <c r="D921" s="10"/>
      <c r="E921" s="10"/>
      <c r="F921" s="10"/>
      <c r="G921" s="10"/>
      <c r="H921" s="10"/>
      <c r="I921" s="12"/>
      <c r="J921" s="13"/>
      <c r="K921" s="7"/>
      <c r="L921" s="14"/>
      <c r="M921" s="10"/>
      <c r="N921" s="10"/>
      <c r="O921" s="7"/>
    </row>
    <row r="922" spans="1:15" ht="75" customHeight="1">
      <c r="A922" s="7"/>
      <c r="B922" s="8"/>
      <c r="C922" s="9"/>
      <c r="D922" s="10"/>
      <c r="E922" s="10"/>
      <c r="F922" s="10"/>
      <c r="G922" s="10"/>
      <c r="H922" s="10"/>
      <c r="I922" s="12"/>
      <c r="J922" s="13"/>
      <c r="K922" s="7"/>
      <c r="L922" s="14"/>
      <c r="M922" s="10"/>
      <c r="N922" s="10"/>
      <c r="O922" s="7"/>
    </row>
    <row r="923" spans="1:15" ht="75" customHeight="1">
      <c r="A923" s="7"/>
      <c r="B923" s="8"/>
      <c r="C923" s="9"/>
      <c r="D923" s="10"/>
      <c r="E923" s="10"/>
      <c r="F923" s="10"/>
      <c r="G923" s="10"/>
      <c r="H923" s="10"/>
      <c r="I923" s="12"/>
      <c r="J923" s="13"/>
      <c r="K923" s="7"/>
      <c r="L923" s="14"/>
      <c r="M923" s="10"/>
      <c r="N923" s="10"/>
      <c r="O923" s="7"/>
    </row>
    <row r="924" spans="1:15" ht="75" customHeight="1">
      <c r="A924" s="7"/>
      <c r="B924" s="8"/>
      <c r="C924" s="9"/>
      <c r="D924" s="10"/>
      <c r="E924" s="10"/>
      <c r="F924" s="10"/>
      <c r="G924" s="10"/>
      <c r="H924" s="10"/>
      <c r="I924" s="12"/>
      <c r="J924" s="13"/>
      <c r="K924" s="7"/>
      <c r="L924" s="14"/>
      <c r="M924" s="10"/>
      <c r="N924" s="10"/>
      <c r="O924" s="7"/>
    </row>
    <row r="925" spans="1:15" ht="75" customHeight="1">
      <c r="A925" s="7"/>
      <c r="B925" s="8"/>
      <c r="C925" s="9"/>
      <c r="D925" s="10"/>
      <c r="E925" s="10"/>
      <c r="F925" s="10"/>
      <c r="G925" s="10"/>
      <c r="H925" s="10"/>
      <c r="I925" s="12"/>
      <c r="J925" s="13"/>
      <c r="K925" s="7"/>
      <c r="L925" s="14"/>
      <c r="M925" s="10"/>
      <c r="N925" s="10"/>
      <c r="O925" s="7"/>
    </row>
    <row r="926" spans="1:15" ht="75" customHeight="1">
      <c r="A926" s="7"/>
      <c r="B926" s="8"/>
      <c r="C926" s="9"/>
      <c r="D926" s="10"/>
      <c r="E926" s="10"/>
      <c r="F926" s="10"/>
      <c r="G926" s="10"/>
      <c r="H926" s="10"/>
      <c r="I926" s="12"/>
      <c r="J926" s="13"/>
      <c r="K926" s="7"/>
      <c r="L926" s="14"/>
      <c r="M926" s="10"/>
      <c r="N926" s="10"/>
      <c r="O926" s="7"/>
    </row>
    <row r="927" spans="1:15" ht="75" customHeight="1">
      <c r="A927" s="7"/>
      <c r="B927" s="8"/>
      <c r="C927" s="9"/>
      <c r="D927" s="10"/>
      <c r="E927" s="10"/>
      <c r="F927" s="10"/>
      <c r="G927" s="10"/>
      <c r="H927" s="10"/>
      <c r="I927" s="12"/>
      <c r="J927" s="13"/>
      <c r="K927" s="7"/>
      <c r="L927" s="14"/>
      <c r="M927" s="10"/>
      <c r="N927" s="10"/>
      <c r="O927" s="7"/>
    </row>
    <row r="928" spans="1:15" ht="75" customHeight="1">
      <c r="A928" s="7"/>
      <c r="B928" s="8"/>
      <c r="C928" s="9"/>
      <c r="D928" s="10"/>
      <c r="E928" s="10"/>
      <c r="F928" s="10"/>
      <c r="G928" s="10"/>
      <c r="H928" s="10"/>
      <c r="I928" s="12"/>
      <c r="J928" s="13"/>
      <c r="K928" s="7"/>
      <c r="L928" s="14"/>
      <c r="M928" s="10"/>
      <c r="N928" s="10"/>
      <c r="O928" s="7"/>
    </row>
    <row r="929" spans="1:15" ht="75" customHeight="1">
      <c r="A929" s="7"/>
      <c r="B929" s="8"/>
      <c r="C929" s="9"/>
      <c r="D929" s="10"/>
      <c r="E929" s="10"/>
      <c r="F929" s="10"/>
      <c r="G929" s="10"/>
      <c r="H929" s="10"/>
      <c r="I929" s="12"/>
      <c r="J929" s="13"/>
      <c r="K929" s="7"/>
      <c r="L929" s="14"/>
      <c r="M929" s="10"/>
      <c r="N929" s="10"/>
      <c r="O929" s="7"/>
    </row>
    <row r="930" spans="1:15" ht="75" customHeight="1">
      <c r="A930" s="7"/>
      <c r="B930" s="8"/>
      <c r="C930" s="9"/>
      <c r="D930" s="10"/>
      <c r="E930" s="10"/>
      <c r="F930" s="10"/>
      <c r="G930" s="10"/>
      <c r="H930" s="10"/>
      <c r="I930" s="12"/>
      <c r="J930" s="13"/>
      <c r="K930" s="7"/>
      <c r="L930" s="14"/>
      <c r="M930" s="10"/>
      <c r="N930" s="10"/>
      <c r="O930" s="7"/>
    </row>
    <row r="931" spans="1:15" ht="75" customHeight="1">
      <c r="A931" s="7"/>
      <c r="B931" s="8"/>
      <c r="C931" s="9"/>
      <c r="D931" s="10"/>
      <c r="E931" s="10"/>
      <c r="F931" s="10"/>
      <c r="G931" s="10"/>
      <c r="H931" s="10"/>
      <c r="I931" s="12"/>
      <c r="J931" s="13"/>
      <c r="K931" s="7"/>
      <c r="L931" s="14"/>
      <c r="M931" s="10"/>
      <c r="N931" s="10"/>
      <c r="O931" s="7"/>
    </row>
    <row r="932" spans="1:15" ht="75" customHeight="1">
      <c r="A932" s="7"/>
      <c r="B932" s="8"/>
      <c r="C932" s="9"/>
      <c r="D932" s="10"/>
      <c r="E932" s="10"/>
      <c r="F932" s="10"/>
      <c r="G932" s="10"/>
      <c r="H932" s="10"/>
      <c r="I932" s="12"/>
      <c r="J932" s="13"/>
      <c r="K932" s="7"/>
      <c r="L932" s="14"/>
      <c r="M932" s="10"/>
      <c r="N932" s="10"/>
      <c r="O932" s="7"/>
    </row>
    <row r="933" spans="1:15" ht="75" customHeight="1">
      <c r="A933" s="7"/>
      <c r="B933" s="8"/>
      <c r="C933" s="9"/>
      <c r="D933" s="10"/>
      <c r="E933" s="10"/>
      <c r="F933" s="10"/>
      <c r="G933" s="10"/>
      <c r="H933" s="10"/>
      <c r="I933" s="12"/>
      <c r="J933" s="13"/>
      <c r="K933" s="7"/>
      <c r="L933" s="14"/>
      <c r="M933" s="10"/>
      <c r="N933" s="10"/>
      <c r="O933" s="7"/>
    </row>
    <row r="934" spans="1:15" ht="75" customHeight="1">
      <c r="A934" s="7"/>
      <c r="B934" s="8"/>
      <c r="C934" s="9"/>
      <c r="D934" s="10"/>
      <c r="E934" s="10"/>
      <c r="F934" s="10"/>
      <c r="G934" s="10"/>
      <c r="H934" s="10"/>
      <c r="I934" s="12"/>
      <c r="J934" s="13"/>
      <c r="K934" s="7"/>
      <c r="L934" s="14"/>
      <c r="M934" s="10"/>
      <c r="N934" s="10"/>
      <c r="O934" s="7"/>
    </row>
    <row r="935" spans="1:15" ht="75" customHeight="1">
      <c r="A935" s="7"/>
      <c r="B935" s="8"/>
      <c r="C935" s="9"/>
      <c r="D935" s="10"/>
      <c r="E935" s="10"/>
      <c r="F935" s="10"/>
      <c r="G935" s="10"/>
      <c r="H935" s="10"/>
      <c r="I935" s="12"/>
      <c r="J935" s="13"/>
      <c r="K935" s="7"/>
      <c r="L935" s="14"/>
      <c r="M935" s="10"/>
      <c r="N935" s="10"/>
      <c r="O935" s="7"/>
    </row>
    <row r="936" spans="1:15" ht="75" customHeight="1">
      <c r="A936" s="7"/>
      <c r="B936" s="8"/>
      <c r="C936" s="9"/>
      <c r="D936" s="10"/>
      <c r="E936" s="10"/>
      <c r="F936" s="10"/>
      <c r="G936" s="10"/>
      <c r="H936" s="10"/>
      <c r="I936" s="12"/>
      <c r="J936" s="13"/>
      <c r="K936" s="7"/>
      <c r="L936" s="14"/>
      <c r="M936" s="10"/>
      <c r="N936" s="10"/>
      <c r="O936" s="7"/>
    </row>
    <row r="937" spans="1:15" ht="75" customHeight="1">
      <c r="A937" s="7"/>
      <c r="B937" s="8"/>
      <c r="C937" s="9"/>
      <c r="D937" s="10"/>
      <c r="E937" s="10"/>
      <c r="F937" s="10"/>
      <c r="G937" s="10"/>
      <c r="H937" s="10"/>
      <c r="I937" s="12"/>
      <c r="J937" s="13"/>
      <c r="K937" s="7"/>
      <c r="L937" s="14"/>
      <c r="M937" s="10"/>
      <c r="N937" s="10"/>
      <c r="O937" s="7"/>
    </row>
    <row r="938" spans="1:15" ht="75" customHeight="1">
      <c r="A938" s="7"/>
      <c r="B938" s="8"/>
      <c r="C938" s="9"/>
      <c r="D938" s="10"/>
      <c r="E938" s="10"/>
      <c r="F938" s="10"/>
      <c r="G938" s="10"/>
      <c r="H938" s="10"/>
      <c r="I938" s="12"/>
      <c r="J938" s="13"/>
      <c r="K938" s="7"/>
      <c r="L938" s="14"/>
      <c r="M938" s="10"/>
      <c r="N938" s="10"/>
      <c r="O938" s="7"/>
    </row>
    <row r="939" spans="1:15" ht="75" customHeight="1">
      <c r="A939" s="7"/>
      <c r="B939" s="8"/>
      <c r="C939" s="9"/>
      <c r="D939" s="10"/>
      <c r="E939" s="10"/>
      <c r="F939" s="10"/>
      <c r="G939" s="10"/>
      <c r="H939" s="10"/>
      <c r="I939" s="12"/>
      <c r="J939" s="13"/>
      <c r="K939" s="7"/>
      <c r="L939" s="14"/>
      <c r="M939" s="10"/>
      <c r="N939" s="10"/>
      <c r="O939" s="7"/>
    </row>
    <row r="940" spans="1:15" ht="75" customHeight="1">
      <c r="A940" s="7"/>
      <c r="B940" s="8"/>
      <c r="C940" s="9"/>
      <c r="D940" s="10"/>
      <c r="E940" s="10"/>
      <c r="F940" s="10"/>
      <c r="G940" s="10"/>
      <c r="H940" s="10"/>
      <c r="I940" s="12"/>
      <c r="J940" s="13"/>
      <c r="K940" s="7"/>
      <c r="L940" s="14"/>
      <c r="M940" s="10"/>
      <c r="N940" s="10"/>
      <c r="O940" s="7"/>
    </row>
    <row r="941" spans="1:15" ht="75" customHeight="1">
      <c r="A941" s="7"/>
      <c r="B941" s="8"/>
      <c r="C941" s="9"/>
      <c r="D941" s="10"/>
      <c r="E941" s="10"/>
      <c r="F941" s="10"/>
      <c r="G941" s="10"/>
      <c r="H941" s="10"/>
      <c r="I941" s="12"/>
      <c r="J941" s="13"/>
      <c r="K941" s="7"/>
      <c r="L941" s="14"/>
      <c r="M941" s="10"/>
      <c r="N941" s="10"/>
      <c r="O941" s="7"/>
    </row>
    <row r="942" spans="1:15" ht="75" customHeight="1">
      <c r="A942" s="7"/>
      <c r="B942" s="8"/>
      <c r="C942" s="9"/>
      <c r="D942" s="10"/>
      <c r="E942" s="10"/>
      <c r="F942" s="10"/>
      <c r="G942" s="10"/>
      <c r="H942" s="10"/>
      <c r="I942" s="12"/>
      <c r="J942" s="13"/>
      <c r="K942" s="7"/>
      <c r="L942" s="14"/>
      <c r="M942" s="10"/>
      <c r="N942" s="10"/>
      <c r="O942" s="7"/>
    </row>
    <row r="943" spans="1:15" ht="75" customHeight="1">
      <c r="A943" s="7"/>
      <c r="B943" s="8"/>
      <c r="C943" s="9"/>
      <c r="D943" s="10"/>
      <c r="E943" s="10"/>
      <c r="F943" s="10"/>
      <c r="G943" s="10"/>
      <c r="H943" s="10"/>
      <c r="I943" s="12"/>
      <c r="J943" s="13"/>
      <c r="K943" s="7"/>
      <c r="L943" s="14"/>
      <c r="M943" s="10"/>
      <c r="N943" s="10"/>
      <c r="O943" s="7"/>
    </row>
    <row r="944" spans="1:15" ht="75" customHeight="1">
      <c r="A944" s="7"/>
      <c r="B944" s="8"/>
      <c r="C944" s="9"/>
      <c r="D944" s="10"/>
      <c r="E944" s="10"/>
      <c r="F944" s="10"/>
      <c r="G944" s="10"/>
      <c r="H944" s="10"/>
      <c r="I944" s="12"/>
      <c r="J944" s="13"/>
      <c r="K944" s="7"/>
      <c r="L944" s="14"/>
      <c r="M944" s="10"/>
      <c r="N944" s="10"/>
      <c r="O944" s="7"/>
    </row>
    <row r="945" spans="1:15" ht="75" customHeight="1">
      <c r="A945" s="7"/>
      <c r="B945" s="8"/>
      <c r="C945" s="9"/>
      <c r="D945" s="10"/>
      <c r="E945" s="10"/>
      <c r="F945" s="10"/>
      <c r="G945" s="10"/>
      <c r="H945" s="10"/>
      <c r="I945" s="12"/>
      <c r="J945" s="13"/>
      <c r="K945" s="7"/>
      <c r="L945" s="14"/>
      <c r="M945" s="10"/>
      <c r="N945" s="10"/>
      <c r="O945" s="7"/>
    </row>
    <row r="946" spans="1:15" ht="75" customHeight="1">
      <c r="A946" s="7"/>
      <c r="B946" s="8"/>
      <c r="C946" s="9"/>
      <c r="D946" s="10"/>
      <c r="E946" s="10"/>
      <c r="F946" s="10"/>
      <c r="G946" s="10"/>
      <c r="H946" s="10"/>
      <c r="I946" s="12"/>
      <c r="J946" s="13"/>
      <c r="K946" s="7"/>
      <c r="L946" s="14"/>
      <c r="M946" s="10"/>
      <c r="N946" s="10"/>
      <c r="O946" s="7"/>
    </row>
    <row r="947" spans="1:15" ht="75" customHeight="1">
      <c r="A947" s="7"/>
      <c r="B947" s="8"/>
      <c r="C947" s="9"/>
      <c r="D947" s="10"/>
      <c r="E947" s="10"/>
      <c r="F947" s="10"/>
      <c r="G947" s="10"/>
      <c r="H947" s="10"/>
      <c r="I947" s="12"/>
      <c r="J947" s="13"/>
      <c r="K947" s="7"/>
      <c r="L947" s="14"/>
      <c r="M947" s="10"/>
      <c r="N947" s="10"/>
      <c r="O947" s="7"/>
    </row>
    <row r="948" spans="1:15" ht="75" customHeight="1">
      <c r="A948" s="7"/>
      <c r="B948" s="8"/>
      <c r="C948" s="9"/>
      <c r="D948" s="10"/>
      <c r="E948" s="10"/>
      <c r="F948" s="10"/>
      <c r="G948" s="10"/>
      <c r="H948" s="10"/>
      <c r="I948" s="12"/>
      <c r="J948" s="13"/>
      <c r="K948" s="7"/>
      <c r="L948" s="14"/>
      <c r="M948" s="10"/>
      <c r="N948" s="10"/>
      <c r="O948" s="7"/>
    </row>
    <row r="949" spans="1:15" ht="75" customHeight="1">
      <c r="A949" s="7"/>
      <c r="B949" s="8"/>
      <c r="C949" s="9"/>
      <c r="D949" s="10"/>
      <c r="E949" s="10"/>
      <c r="F949" s="10"/>
      <c r="G949" s="10"/>
      <c r="H949" s="10"/>
      <c r="I949" s="12"/>
      <c r="J949" s="13"/>
      <c r="K949" s="7"/>
      <c r="L949" s="14"/>
      <c r="M949" s="10"/>
      <c r="N949" s="10"/>
      <c r="O949" s="7"/>
    </row>
    <row r="950" spans="1:15" ht="75" customHeight="1">
      <c r="A950" s="7"/>
      <c r="B950" s="8"/>
      <c r="C950" s="9"/>
      <c r="D950" s="10"/>
      <c r="E950" s="10"/>
      <c r="F950" s="10"/>
      <c r="G950" s="10"/>
      <c r="H950" s="10"/>
      <c r="I950" s="12"/>
      <c r="J950" s="13"/>
      <c r="K950" s="7"/>
      <c r="L950" s="14"/>
      <c r="M950" s="10"/>
      <c r="N950" s="10"/>
      <c r="O950" s="7"/>
    </row>
    <row r="951" spans="1:15" ht="75" customHeight="1">
      <c r="A951" s="7"/>
      <c r="B951" s="8"/>
      <c r="C951" s="9"/>
      <c r="D951" s="10"/>
      <c r="E951" s="10"/>
      <c r="F951" s="10"/>
      <c r="G951" s="10"/>
      <c r="H951" s="10"/>
      <c r="I951" s="12"/>
      <c r="J951" s="13"/>
      <c r="K951" s="7"/>
      <c r="L951" s="14"/>
      <c r="M951" s="10"/>
      <c r="N951" s="10"/>
      <c r="O951" s="7"/>
    </row>
    <row r="952" spans="1:15" ht="75" customHeight="1">
      <c r="A952" s="7"/>
      <c r="B952" s="8"/>
      <c r="C952" s="9"/>
      <c r="D952" s="10"/>
      <c r="E952" s="10"/>
      <c r="F952" s="10"/>
      <c r="G952" s="10"/>
      <c r="H952" s="10"/>
      <c r="I952" s="12"/>
      <c r="J952" s="13"/>
      <c r="K952" s="7"/>
      <c r="L952" s="14"/>
      <c r="M952" s="10"/>
      <c r="N952" s="10"/>
      <c r="O952" s="7"/>
    </row>
    <row r="953" spans="1:15" ht="75" customHeight="1">
      <c r="A953" s="7"/>
      <c r="B953" s="8"/>
      <c r="C953" s="9"/>
      <c r="D953" s="10"/>
      <c r="E953" s="10"/>
      <c r="F953" s="10"/>
      <c r="G953" s="10"/>
      <c r="H953" s="10"/>
      <c r="I953" s="12"/>
      <c r="J953" s="13"/>
      <c r="K953" s="7"/>
      <c r="L953" s="14"/>
      <c r="M953" s="10"/>
      <c r="N953" s="10"/>
      <c r="O953" s="7"/>
    </row>
    <row r="954" spans="1:15" ht="75" customHeight="1">
      <c r="A954" s="7"/>
      <c r="B954" s="8"/>
      <c r="C954" s="9"/>
      <c r="D954" s="10"/>
      <c r="E954" s="10"/>
      <c r="F954" s="10"/>
      <c r="G954" s="10"/>
      <c r="H954" s="10"/>
      <c r="I954" s="12"/>
      <c r="J954" s="13"/>
      <c r="K954" s="7"/>
      <c r="L954" s="14"/>
      <c r="M954" s="10"/>
      <c r="N954" s="10"/>
      <c r="O954" s="7"/>
    </row>
    <row r="955" spans="1:15" ht="75" customHeight="1">
      <c r="A955" s="7"/>
      <c r="B955" s="8"/>
      <c r="C955" s="9"/>
      <c r="D955" s="10"/>
      <c r="E955" s="10"/>
      <c r="F955" s="10"/>
      <c r="G955" s="10"/>
      <c r="H955" s="10"/>
      <c r="I955" s="12"/>
      <c r="J955" s="13"/>
      <c r="K955" s="7"/>
      <c r="L955" s="14"/>
      <c r="M955" s="10"/>
      <c r="N955" s="10"/>
      <c r="O955" s="7"/>
    </row>
    <row r="956" spans="1:15" ht="75" customHeight="1">
      <c r="A956" s="7"/>
      <c r="B956" s="8"/>
      <c r="C956" s="9"/>
      <c r="D956" s="10"/>
      <c r="E956" s="10"/>
      <c r="F956" s="10"/>
      <c r="G956" s="10"/>
      <c r="H956" s="10"/>
      <c r="I956" s="12"/>
      <c r="J956" s="13"/>
      <c r="K956" s="7"/>
      <c r="L956" s="14"/>
      <c r="M956" s="10"/>
      <c r="N956" s="10"/>
      <c r="O956" s="7"/>
    </row>
    <row r="957" spans="1:15" ht="75" customHeight="1">
      <c r="A957" s="7"/>
      <c r="B957" s="8"/>
      <c r="C957" s="9"/>
      <c r="D957" s="10"/>
      <c r="E957" s="10"/>
      <c r="F957" s="10"/>
      <c r="G957" s="10"/>
      <c r="H957" s="10"/>
      <c r="I957" s="12"/>
      <c r="J957" s="13"/>
      <c r="K957" s="7"/>
      <c r="L957" s="14"/>
      <c r="M957" s="10"/>
      <c r="N957" s="10"/>
      <c r="O957" s="7"/>
    </row>
    <row r="958" spans="1:15" ht="75" customHeight="1">
      <c r="A958" s="7"/>
      <c r="B958" s="8"/>
      <c r="C958" s="9"/>
      <c r="D958" s="10"/>
      <c r="E958" s="10"/>
      <c r="F958" s="10"/>
      <c r="G958" s="10"/>
      <c r="H958" s="10"/>
      <c r="I958" s="12"/>
      <c r="J958" s="13"/>
      <c r="K958" s="7"/>
      <c r="L958" s="14"/>
      <c r="M958" s="10"/>
      <c r="N958" s="10"/>
      <c r="O958" s="7"/>
    </row>
    <row r="959" spans="1:15" ht="75" customHeight="1">
      <c r="A959" s="7"/>
      <c r="B959" s="8"/>
      <c r="C959" s="9"/>
      <c r="D959" s="10"/>
      <c r="E959" s="10"/>
      <c r="F959" s="10"/>
      <c r="G959" s="10"/>
      <c r="H959" s="10"/>
      <c r="I959" s="12"/>
      <c r="J959" s="13"/>
      <c r="K959" s="7"/>
      <c r="L959" s="14"/>
      <c r="M959" s="10"/>
      <c r="N959" s="10"/>
      <c r="O959" s="7"/>
    </row>
    <row r="960" spans="1:15" ht="75" customHeight="1">
      <c r="A960" s="7"/>
      <c r="B960" s="8"/>
      <c r="C960" s="9"/>
      <c r="D960" s="10"/>
      <c r="E960" s="10"/>
      <c r="F960" s="10"/>
      <c r="G960" s="10"/>
      <c r="H960" s="10"/>
      <c r="I960" s="12"/>
      <c r="J960" s="13"/>
      <c r="K960" s="7"/>
      <c r="L960" s="14"/>
      <c r="M960" s="10"/>
      <c r="N960" s="10"/>
      <c r="O960" s="7"/>
    </row>
    <row r="961" spans="1:15" ht="75" customHeight="1">
      <c r="A961" s="7"/>
      <c r="B961" s="8"/>
      <c r="C961" s="9"/>
      <c r="D961" s="10"/>
      <c r="E961" s="10"/>
      <c r="F961" s="10"/>
      <c r="G961" s="10"/>
      <c r="H961" s="10"/>
      <c r="I961" s="12"/>
      <c r="J961" s="13"/>
      <c r="K961" s="7"/>
      <c r="L961" s="14"/>
      <c r="M961" s="10"/>
      <c r="N961" s="10"/>
      <c r="O961" s="7"/>
    </row>
    <row r="962" spans="1:15" ht="75" customHeight="1">
      <c r="A962" s="7"/>
      <c r="B962" s="8"/>
      <c r="C962" s="9"/>
      <c r="D962" s="10"/>
      <c r="E962" s="10"/>
      <c r="F962" s="10"/>
      <c r="G962" s="10"/>
      <c r="H962" s="10"/>
      <c r="I962" s="12"/>
      <c r="J962" s="13"/>
      <c r="K962" s="7"/>
      <c r="L962" s="14"/>
      <c r="M962" s="10"/>
      <c r="N962" s="10"/>
      <c r="O962" s="7"/>
    </row>
    <row r="963" spans="1:15" ht="75" customHeight="1">
      <c r="A963" s="7"/>
      <c r="B963" s="8"/>
      <c r="C963" s="9"/>
      <c r="D963" s="10"/>
      <c r="E963" s="10"/>
      <c r="F963" s="10"/>
      <c r="G963" s="10"/>
      <c r="H963" s="10"/>
      <c r="I963" s="12"/>
      <c r="J963" s="13"/>
      <c r="K963" s="7"/>
      <c r="L963" s="14"/>
      <c r="M963" s="10"/>
      <c r="N963" s="10"/>
      <c r="O963" s="7"/>
    </row>
    <row r="964" spans="1:15" ht="75" customHeight="1">
      <c r="A964" s="7"/>
      <c r="B964" s="8"/>
      <c r="C964" s="9"/>
      <c r="D964" s="10"/>
      <c r="E964" s="10"/>
      <c r="F964" s="10"/>
      <c r="G964" s="10"/>
      <c r="H964" s="10"/>
      <c r="I964" s="12"/>
      <c r="J964" s="13"/>
      <c r="K964" s="7"/>
      <c r="L964" s="14"/>
      <c r="M964" s="10"/>
      <c r="N964" s="10"/>
      <c r="O964" s="7"/>
    </row>
    <row r="965" spans="1:15" ht="75" customHeight="1">
      <c r="A965" s="7"/>
      <c r="B965" s="8"/>
      <c r="C965" s="9"/>
      <c r="D965" s="10"/>
      <c r="E965" s="10"/>
      <c r="F965" s="10"/>
      <c r="G965" s="10"/>
      <c r="H965" s="10"/>
      <c r="I965" s="12"/>
      <c r="J965" s="13"/>
      <c r="K965" s="7"/>
      <c r="L965" s="14"/>
      <c r="M965" s="10"/>
      <c r="N965" s="10"/>
      <c r="O965" s="7"/>
    </row>
    <row r="966" spans="1:15" ht="75" customHeight="1">
      <c r="A966" s="7"/>
      <c r="B966" s="8"/>
      <c r="C966" s="9"/>
      <c r="D966" s="10"/>
      <c r="E966" s="10"/>
      <c r="F966" s="10"/>
      <c r="G966" s="10"/>
      <c r="H966" s="10"/>
      <c r="I966" s="12"/>
      <c r="J966" s="13"/>
      <c r="K966" s="7"/>
      <c r="L966" s="14"/>
      <c r="M966" s="10"/>
      <c r="N966" s="10"/>
      <c r="O966" s="7"/>
    </row>
    <row r="967" spans="1:15" ht="75" customHeight="1">
      <c r="A967" s="7"/>
      <c r="B967" s="8"/>
      <c r="C967" s="9"/>
      <c r="D967" s="10"/>
      <c r="E967" s="10"/>
      <c r="F967" s="10"/>
      <c r="G967" s="10"/>
      <c r="H967" s="10"/>
      <c r="I967" s="12"/>
      <c r="J967" s="13"/>
      <c r="K967" s="7"/>
      <c r="L967" s="14"/>
      <c r="M967" s="10"/>
      <c r="N967" s="10"/>
      <c r="O967" s="7"/>
    </row>
    <row r="968" spans="1:15" ht="75" customHeight="1">
      <c r="A968" s="7"/>
      <c r="B968" s="8"/>
      <c r="C968" s="9"/>
      <c r="D968" s="10"/>
      <c r="E968" s="10"/>
      <c r="F968" s="10"/>
      <c r="G968" s="10"/>
      <c r="H968" s="10"/>
      <c r="I968" s="12"/>
      <c r="J968" s="13"/>
      <c r="K968" s="7"/>
      <c r="L968" s="14"/>
      <c r="M968" s="10"/>
      <c r="N968" s="10"/>
      <c r="O968" s="7"/>
    </row>
    <row r="969" spans="1:15" ht="75" customHeight="1">
      <c r="A969" s="7"/>
      <c r="B969" s="8"/>
      <c r="C969" s="9"/>
      <c r="D969" s="10"/>
      <c r="E969" s="10"/>
      <c r="F969" s="10"/>
      <c r="G969" s="10"/>
      <c r="H969" s="10"/>
      <c r="I969" s="12"/>
      <c r="J969" s="13"/>
      <c r="K969" s="7"/>
      <c r="L969" s="14"/>
      <c r="M969" s="10"/>
      <c r="N969" s="10"/>
      <c r="O969" s="7"/>
    </row>
    <row r="970" spans="1:15" ht="75" customHeight="1">
      <c r="A970" s="7"/>
      <c r="B970" s="8"/>
      <c r="C970" s="9"/>
      <c r="D970" s="10"/>
      <c r="E970" s="10"/>
      <c r="F970" s="10"/>
      <c r="G970" s="10"/>
      <c r="H970" s="10"/>
      <c r="I970" s="12"/>
      <c r="J970" s="13"/>
      <c r="K970" s="7"/>
      <c r="L970" s="14"/>
      <c r="M970" s="10"/>
      <c r="N970" s="10"/>
      <c r="O970" s="7"/>
    </row>
    <row r="971" spans="1:15" ht="75" customHeight="1">
      <c r="A971" s="7"/>
      <c r="B971" s="8"/>
      <c r="C971" s="9"/>
      <c r="D971" s="10"/>
      <c r="E971" s="10"/>
      <c r="F971" s="10"/>
      <c r="G971" s="10"/>
      <c r="H971" s="10"/>
      <c r="I971" s="12"/>
      <c r="J971" s="13"/>
      <c r="K971" s="7"/>
      <c r="L971" s="14"/>
      <c r="M971" s="10"/>
      <c r="N971" s="10"/>
      <c r="O971" s="7"/>
    </row>
    <row r="972" spans="1:15" ht="75" customHeight="1">
      <c r="A972" s="7"/>
      <c r="B972" s="8"/>
      <c r="C972" s="9"/>
      <c r="D972" s="10"/>
      <c r="E972" s="10"/>
      <c r="F972" s="10"/>
      <c r="G972" s="10"/>
      <c r="H972" s="10"/>
      <c r="I972" s="12"/>
      <c r="J972" s="13"/>
      <c r="K972" s="7"/>
      <c r="L972" s="14"/>
      <c r="M972" s="10"/>
      <c r="N972" s="10"/>
      <c r="O972" s="7"/>
    </row>
    <row r="973" spans="1:15" ht="75" customHeight="1">
      <c r="A973" s="7"/>
      <c r="B973" s="8"/>
      <c r="C973" s="9"/>
      <c r="D973" s="10"/>
      <c r="E973" s="10"/>
      <c r="F973" s="10"/>
      <c r="G973" s="10"/>
      <c r="H973" s="10"/>
      <c r="I973" s="12"/>
      <c r="J973" s="13"/>
      <c r="K973" s="7"/>
      <c r="L973" s="14"/>
      <c r="M973" s="10"/>
      <c r="N973" s="10"/>
      <c r="O973" s="7"/>
    </row>
    <row r="974" spans="1:15" ht="75" customHeight="1">
      <c r="A974" s="7"/>
      <c r="B974" s="8"/>
      <c r="C974" s="9"/>
      <c r="D974" s="10"/>
      <c r="E974" s="10"/>
      <c r="F974" s="10"/>
      <c r="G974" s="10"/>
      <c r="H974" s="10"/>
      <c r="I974" s="12"/>
      <c r="J974" s="13"/>
      <c r="K974" s="7"/>
      <c r="L974" s="14"/>
      <c r="M974" s="10"/>
      <c r="N974" s="10"/>
      <c r="O974" s="7"/>
    </row>
    <row r="975" spans="1:15" ht="75" customHeight="1">
      <c r="A975" s="7"/>
      <c r="B975" s="8"/>
      <c r="C975" s="9"/>
      <c r="D975" s="10"/>
      <c r="E975" s="10"/>
      <c r="F975" s="10"/>
      <c r="G975" s="10"/>
      <c r="H975" s="10"/>
      <c r="I975" s="12"/>
      <c r="J975" s="13"/>
      <c r="K975" s="7"/>
      <c r="L975" s="14"/>
      <c r="M975" s="10"/>
      <c r="N975" s="10"/>
      <c r="O975" s="7"/>
    </row>
    <row r="976" spans="1:15" ht="75" customHeight="1">
      <c r="A976" s="7"/>
      <c r="B976" s="8"/>
      <c r="C976" s="9"/>
      <c r="D976" s="10"/>
      <c r="E976" s="10"/>
      <c r="F976" s="10"/>
      <c r="G976" s="10"/>
      <c r="H976" s="10"/>
      <c r="I976" s="12"/>
      <c r="J976" s="13"/>
      <c r="K976" s="7"/>
      <c r="L976" s="14"/>
      <c r="M976" s="10"/>
      <c r="N976" s="10"/>
      <c r="O976" s="7"/>
    </row>
    <row r="977" spans="1:15" ht="75" customHeight="1">
      <c r="A977" s="7"/>
      <c r="B977" s="8"/>
      <c r="C977" s="9"/>
      <c r="D977" s="10"/>
      <c r="E977" s="10"/>
      <c r="F977" s="10"/>
      <c r="G977" s="10"/>
      <c r="H977" s="10"/>
      <c r="I977" s="12"/>
      <c r="J977" s="13"/>
      <c r="K977" s="7"/>
      <c r="L977" s="14"/>
      <c r="M977" s="10"/>
      <c r="N977" s="10"/>
      <c r="O977" s="7"/>
    </row>
    <row r="978" spans="1:15" ht="75" customHeight="1">
      <c r="A978" s="7"/>
      <c r="B978" s="8"/>
      <c r="C978" s="9"/>
      <c r="D978" s="10"/>
      <c r="E978" s="10"/>
      <c r="F978" s="10"/>
      <c r="G978" s="10"/>
      <c r="H978" s="10"/>
      <c r="I978" s="12"/>
      <c r="J978" s="13"/>
      <c r="K978" s="7"/>
      <c r="L978" s="14"/>
      <c r="M978" s="10"/>
      <c r="N978" s="10"/>
      <c r="O978" s="7"/>
    </row>
    <row r="979" spans="1:15" ht="75" customHeight="1">
      <c r="A979" s="7"/>
      <c r="B979" s="8"/>
      <c r="C979" s="9"/>
      <c r="D979" s="10"/>
      <c r="E979" s="10"/>
      <c r="F979" s="10"/>
      <c r="G979" s="10"/>
      <c r="H979" s="10"/>
      <c r="I979" s="12"/>
      <c r="J979" s="13"/>
      <c r="K979" s="7"/>
      <c r="L979" s="14"/>
      <c r="M979" s="10"/>
      <c r="N979" s="10"/>
      <c r="O979" s="7"/>
    </row>
    <row r="980" spans="1:15" ht="75" customHeight="1">
      <c r="A980" s="7"/>
      <c r="B980" s="8"/>
      <c r="C980" s="9"/>
      <c r="D980" s="10"/>
      <c r="E980" s="10"/>
      <c r="F980" s="10"/>
      <c r="G980" s="10"/>
      <c r="H980" s="10"/>
      <c r="I980" s="12"/>
      <c r="J980" s="13"/>
      <c r="K980" s="7"/>
      <c r="L980" s="14"/>
      <c r="M980" s="10"/>
      <c r="N980" s="10"/>
      <c r="O980" s="7"/>
    </row>
    <row r="981" spans="1:15" ht="75" customHeight="1">
      <c r="A981" s="7"/>
      <c r="B981" s="8"/>
      <c r="C981" s="9"/>
      <c r="D981" s="10"/>
      <c r="E981" s="10"/>
      <c r="F981" s="10"/>
      <c r="G981" s="10"/>
      <c r="H981" s="10"/>
      <c r="I981" s="12"/>
      <c r="J981" s="13"/>
      <c r="K981" s="7"/>
      <c r="L981" s="14"/>
      <c r="M981" s="10"/>
      <c r="N981" s="10"/>
      <c r="O981" s="7"/>
    </row>
    <row r="982" spans="1:15" ht="75" customHeight="1">
      <c r="A982" s="7"/>
      <c r="B982" s="8"/>
      <c r="C982" s="9"/>
      <c r="D982" s="10"/>
      <c r="E982" s="10"/>
      <c r="F982" s="10"/>
      <c r="G982" s="10"/>
      <c r="H982" s="10"/>
      <c r="I982" s="12"/>
      <c r="J982" s="13"/>
      <c r="K982" s="7"/>
      <c r="L982" s="14"/>
      <c r="M982" s="10"/>
      <c r="N982" s="10"/>
      <c r="O982" s="7"/>
    </row>
    <row r="983" spans="1:15" ht="75" customHeight="1">
      <c r="A983" s="7"/>
      <c r="B983" s="8"/>
      <c r="C983" s="9"/>
      <c r="D983" s="10"/>
      <c r="E983" s="10"/>
      <c r="F983" s="10"/>
      <c r="G983" s="10"/>
      <c r="H983" s="10"/>
      <c r="I983" s="12"/>
      <c r="J983" s="13"/>
      <c r="K983" s="7"/>
      <c r="L983" s="14"/>
      <c r="M983" s="10"/>
      <c r="N983" s="10"/>
      <c r="O983" s="7"/>
    </row>
    <row r="984" spans="1:15" ht="75" customHeight="1">
      <c r="A984" s="7"/>
      <c r="B984" s="8"/>
      <c r="C984" s="9"/>
      <c r="D984" s="10"/>
      <c r="E984" s="10"/>
      <c r="F984" s="10"/>
      <c r="G984" s="10"/>
      <c r="H984" s="10"/>
      <c r="I984" s="12"/>
      <c r="J984" s="13"/>
      <c r="K984" s="7"/>
      <c r="L984" s="14"/>
      <c r="M984" s="10"/>
      <c r="N984" s="10"/>
      <c r="O984" s="7"/>
    </row>
    <row r="985" spans="1:15" ht="75" customHeight="1">
      <c r="A985" s="7"/>
      <c r="B985" s="8"/>
      <c r="C985" s="9"/>
      <c r="D985" s="10"/>
      <c r="E985" s="10"/>
      <c r="F985" s="10"/>
      <c r="G985" s="10"/>
      <c r="H985" s="10"/>
      <c r="I985" s="12"/>
      <c r="J985" s="13"/>
      <c r="K985" s="7"/>
      <c r="L985" s="14"/>
      <c r="M985" s="10"/>
      <c r="N985" s="10"/>
      <c r="O985" s="7"/>
    </row>
    <row r="986" spans="1:15" ht="75" customHeight="1">
      <c r="A986" s="7"/>
      <c r="B986" s="8"/>
      <c r="C986" s="9"/>
      <c r="D986" s="10"/>
      <c r="E986" s="10"/>
      <c r="F986" s="10"/>
      <c r="G986" s="10"/>
      <c r="H986" s="10"/>
      <c r="I986" s="12"/>
      <c r="J986" s="13"/>
      <c r="K986" s="7"/>
      <c r="L986" s="14"/>
      <c r="M986" s="10"/>
      <c r="N986" s="10"/>
      <c r="O986" s="7"/>
    </row>
    <row r="987" spans="1:15" ht="75" customHeight="1">
      <c r="A987" s="7"/>
      <c r="B987" s="8"/>
      <c r="C987" s="9"/>
      <c r="D987" s="10"/>
      <c r="E987" s="10"/>
      <c r="F987" s="10"/>
      <c r="G987" s="10"/>
      <c r="H987" s="10"/>
      <c r="I987" s="12"/>
      <c r="J987" s="13"/>
      <c r="K987" s="7"/>
      <c r="L987" s="14"/>
      <c r="M987" s="10"/>
      <c r="N987" s="10"/>
      <c r="O987" s="7"/>
    </row>
    <row r="988" spans="1:15" ht="75" customHeight="1">
      <c r="A988" s="7"/>
      <c r="B988" s="8"/>
      <c r="C988" s="9"/>
      <c r="D988" s="10"/>
      <c r="E988" s="10"/>
      <c r="F988" s="10"/>
      <c r="G988" s="10"/>
      <c r="H988" s="10"/>
      <c r="I988" s="12"/>
      <c r="J988" s="13"/>
      <c r="K988" s="7"/>
      <c r="L988" s="14"/>
      <c r="M988" s="10"/>
      <c r="N988" s="10"/>
      <c r="O988" s="7"/>
    </row>
    <row r="989" spans="1:15" ht="75" customHeight="1">
      <c r="A989" s="7"/>
      <c r="B989" s="8"/>
      <c r="C989" s="9"/>
      <c r="D989" s="10"/>
      <c r="E989" s="10"/>
      <c r="F989" s="10"/>
      <c r="G989" s="10"/>
      <c r="H989" s="10"/>
      <c r="I989" s="12"/>
      <c r="J989" s="13"/>
      <c r="K989" s="7"/>
      <c r="L989" s="14"/>
      <c r="M989" s="10"/>
      <c r="N989" s="10"/>
      <c r="O989" s="7"/>
    </row>
    <row r="990" spans="1:15" ht="75" customHeight="1">
      <c r="A990" s="7"/>
      <c r="B990" s="8"/>
      <c r="C990" s="9"/>
      <c r="D990" s="10"/>
      <c r="E990" s="10"/>
      <c r="F990" s="10"/>
      <c r="G990" s="10"/>
      <c r="H990" s="10"/>
      <c r="I990" s="12"/>
      <c r="J990" s="13"/>
      <c r="K990" s="7"/>
      <c r="L990" s="14"/>
      <c r="M990" s="10"/>
      <c r="N990" s="10"/>
      <c r="O990" s="7"/>
    </row>
    <row r="991" spans="1:15" ht="75" customHeight="1">
      <c r="A991" s="7"/>
      <c r="B991" s="8"/>
      <c r="C991" s="9"/>
      <c r="D991" s="10"/>
      <c r="E991" s="10"/>
      <c r="F991" s="10"/>
      <c r="G991" s="10"/>
      <c r="H991" s="10"/>
      <c r="I991" s="12"/>
      <c r="J991" s="13"/>
      <c r="K991" s="7"/>
      <c r="L991" s="14"/>
      <c r="M991" s="10"/>
      <c r="N991" s="10"/>
      <c r="O991" s="7"/>
    </row>
    <row r="992" spans="1:15" ht="75" customHeight="1">
      <c r="A992" s="7"/>
      <c r="B992" s="8"/>
      <c r="C992" s="9"/>
      <c r="D992" s="10"/>
      <c r="E992" s="10"/>
      <c r="F992" s="10"/>
      <c r="G992" s="10"/>
      <c r="H992" s="10"/>
      <c r="I992" s="12"/>
      <c r="J992" s="13"/>
      <c r="K992" s="7"/>
      <c r="L992" s="14"/>
      <c r="M992" s="10"/>
      <c r="N992" s="10"/>
      <c r="O992" s="7"/>
    </row>
    <row r="993" spans="1:15" ht="75" customHeight="1">
      <c r="A993" s="7"/>
      <c r="B993" s="8"/>
      <c r="C993" s="9"/>
      <c r="D993" s="10"/>
      <c r="E993" s="10"/>
      <c r="F993" s="10"/>
      <c r="G993" s="10"/>
      <c r="H993" s="10"/>
      <c r="I993" s="12"/>
      <c r="J993" s="13"/>
      <c r="K993" s="7"/>
      <c r="L993" s="14"/>
      <c r="M993" s="10"/>
      <c r="N993" s="10"/>
      <c r="O993" s="7"/>
    </row>
    <row r="994" spans="1:15" ht="75" customHeight="1">
      <c r="A994" s="7"/>
      <c r="B994" s="8"/>
      <c r="C994" s="9"/>
      <c r="D994" s="10"/>
      <c r="E994" s="10"/>
      <c r="F994" s="10"/>
      <c r="G994" s="10"/>
      <c r="H994" s="10"/>
      <c r="I994" s="12"/>
      <c r="J994" s="13"/>
      <c r="K994" s="7"/>
      <c r="L994" s="14"/>
      <c r="M994" s="10"/>
      <c r="N994" s="10"/>
      <c r="O994" s="7"/>
    </row>
    <row r="995" spans="1:15" ht="75" customHeight="1">
      <c r="A995" s="7"/>
      <c r="B995" s="8"/>
      <c r="C995" s="9"/>
      <c r="D995" s="10"/>
      <c r="E995" s="10"/>
      <c r="F995" s="10"/>
      <c r="G995" s="10"/>
      <c r="H995" s="10"/>
      <c r="I995" s="12"/>
      <c r="J995" s="13"/>
      <c r="K995" s="7"/>
      <c r="L995" s="14"/>
      <c r="M995" s="10"/>
      <c r="N995" s="10"/>
      <c r="O995" s="7"/>
    </row>
    <row r="996" spans="1:15" ht="75" customHeight="1">
      <c r="A996" s="7"/>
      <c r="B996" s="8"/>
      <c r="C996" s="9"/>
      <c r="D996" s="10"/>
      <c r="E996" s="10"/>
      <c r="F996" s="10"/>
      <c r="G996" s="10"/>
      <c r="H996" s="10"/>
      <c r="I996" s="12"/>
      <c r="J996" s="13"/>
      <c r="K996" s="7"/>
      <c r="L996" s="14"/>
      <c r="M996" s="10"/>
      <c r="N996" s="10"/>
      <c r="O996" s="7"/>
    </row>
    <row r="997" spans="1:15" ht="75" customHeight="1">
      <c r="A997" s="7"/>
      <c r="B997" s="8"/>
      <c r="C997" s="9"/>
      <c r="D997" s="10"/>
      <c r="E997" s="10"/>
      <c r="F997" s="10"/>
      <c r="G997" s="10"/>
      <c r="H997" s="10"/>
      <c r="I997" s="12"/>
      <c r="J997" s="13"/>
      <c r="K997" s="7"/>
      <c r="L997" s="14"/>
      <c r="M997" s="10"/>
      <c r="N997" s="10"/>
      <c r="O997" s="7"/>
    </row>
    <row r="998" spans="1:15" ht="75" customHeight="1">
      <c r="A998" s="7"/>
      <c r="B998" s="8"/>
      <c r="C998" s="9"/>
      <c r="D998" s="10"/>
      <c r="E998" s="10"/>
      <c r="F998" s="10"/>
      <c r="G998" s="10"/>
      <c r="H998" s="10"/>
      <c r="I998" s="12"/>
      <c r="J998" s="13"/>
      <c r="K998" s="7"/>
      <c r="L998" s="14"/>
      <c r="M998" s="10"/>
      <c r="N998" s="10"/>
      <c r="O998" s="7"/>
    </row>
  </sheetData>
  <customSheetViews>
    <customSheetView guid="{E2A63158-D685-4879-B0A3-F19573B03065}" filter="1" showAutoFilter="1">
      <pageMargins left="0.7" right="0.7" top="0.75" bottom="0.75" header="0.3" footer="0.3"/>
      <autoFilter ref="A1:O998" xr:uid="{A98A214B-EBA2-4B27-8D42-5425BC432276}"/>
    </customSheetView>
    <customSheetView guid="{816D5D8C-D23B-4A0A-BDDA-A84BA4C05A2F}" filter="1" showAutoFilter="1">
      <pageMargins left="0.7" right="0.7" top="0.75" bottom="0.75" header="0.3" footer="0.3"/>
      <autoFilter ref="A1:O998" xr:uid="{26820BE3-C840-4A9D-90AD-7965CE83180A}"/>
    </customSheetView>
    <customSheetView guid="{4FECA310-8B3B-49C3-9401-AF0C2EE4D6E8}" filter="1" showAutoFilter="1">
      <pageMargins left="0.7" right="0.7" top="0.75" bottom="0.75" header="0.3" footer="0.3"/>
      <autoFilter ref="A1:O998" xr:uid="{505CC97E-0D83-4077-B30B-D9F008909907}"/>
    </customSheetView>
  </customSheetViews>
  <conditionalFormatting sqref="A2:A998">
    <cfRule type="expression" dxfId="30" priority="1">
      <formula>AND($A2&lt;&gt;"", TRIM($J2)="")</formula>
    </cfRule>
    <cfRule type="expression" dxfId="29" priority="2">
      <formula>INT($A2) &lt; TODAY()</formula>
    </cfRule>
    <cfRule type="expression" dxfId="28" priority="3">
      <formula>INT($A2) = TODAY()</formula>
    </cfRule>
  </conditionalFormatting>
  <dataValidations count="2">
    <dataValidation type="list" allowBlank="1" sqref="I2:I998" xr:uid="{00000000-0002-0000-0000-000000000000}">
      <formula1>#REF!</formula1>
    </dataValidation>
    <dataValidation type="list" allowBlank="1" sqref="J2:J998" xr:uid="{00000000-0002-0000-0000-000001000000}">
      <formula1>"منجز,ملغي,تابع للتربية,مؤجل"</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outlinePr summaryBelow="0" summaryRight="0"/>
  </sheetPr>
  <dimension ref="A1:J1000"/>
  <sheetViews>
    <sheetView showGridLines="0" workbookViewId="0">
      <pane ySplit="1" topLeftCell="A2" activePane="bottomLeft" state="frozen"/>
      <selection pane="bottomLeft" activeCell="B3" sqref="B3"/>
    </sheetView>
  </sheetViews>
  <sheetFormatPr defaultColWidth="12.5703125" defaultRowHeight="15.75" customHeight="1"/>
  <cols>
    <col min="1" max="1" width="23.140625"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s>
  <sheetData>
    <row r="1" spans="1:10" ht="37.5" customHeight="1">
      <c r="A1" s="1" t="s">
        <v>0</v>
      </c>
      <c r="B1" s="2" t="s">
        <v>1</v>
      </c>
      <c r="C1" s="3" t="s">
        <v>3</v>
      </c>
      <c r="D1" s="1" t="s">
        <v>4</v>
      </c>
      <c r="E1" s="1" t="s">
        <v>38</v>
      </c>
      <c r="F1" s="1" t="s">
        <v>6</v>
      </c>
      <c r="G1" s="1" t="s">
        <v>7</v>
      </c>
      <c r="H1" s="1" t="s">
        <v>8</v>
      </c>
      <c r="I1" s="3" t="s">
        <v>9</v>
      </c>
      <c r="J1" s="3" t="s">
        <v>10</v>
      </c>
    </row>
    <row r="2" spans="1:10" ht="75" customHeight="1">
      <c r="A2" s="7">
        <f ca="1">IFERROR(__xludf.DUMMYFUNCTION("QUERY('البيانات'!A2:N1000, ""SELECT A, B, D, E, F, G, H, I,J,K WHERE I='كهرباء'ORDER BY A DESC "")"),46082.280528368)</f>
        <v>46082.280528367999</v>
      </c>
      <c r="B2" s="18" t="str">
        <f ca="1">IFERROR(__xludf.DUMMYFUNCTION("""COMPUTED_VALUE"""),"المعملجي")</f>
        <v>المعملجي</v>
      </c>
      <c r="C2" s="9" t="str">
        <f ca="1">IFERROR(__xludf.DUMMYFUNCTION("""COMPUTED_VALUE"""),"قسم المشاريع الهندسية")</f>
        <v>قسم المشاريع الهندسية</v>
      </c>
      <c r="D2" s="10" t="str">
        <f ca="1">IFERROR(__xludf.DUMMYFUNCTION("""COMPUTED_VALUE"""),"E- ابتدائية العميد للبنات (الثالثة)")</f>
        <v>E- ابتدائية العميد للبنات (الثالثة)</v>
      </c>
      <c r="E2" s="10" t="str">
        <f ca="1">IFERROR(__xludf.DUMMYFUNCTION("""COMPUTED_VALUE"""),"الطابق الارضي")</f>
        <v>الطابق الارضي</v>
      </c>
      <c r="F2" s="10" t="str">
        <f ca="1">IFERROR(__xludf.DUMMYFUNCTION("""COMPUTED_VALUE"""),"تم ترتيب وتنظيف مخزن وحدة الكهرباء")</f>
        <v>تم ترتيب وتنظيف مخزن وحدة الكهرباء</v>
      </c>
      <c r="G2" s="11"/>
      <c r="H2" s="10" t="str">
        <f ca="1">IFERROR(__xludf.DUMMYFUNCTION("""COMPUTED_VALUE"""),"كهرباء")</f>
        <v>كهرباء</v>
      </c>
      <c r="I2" s="12" t="str">
        <f ca="1">IFERROR(__xludf.DUMMYFUNCTION("""COMPUTED_VALUE"""),"منجز")</f>
        <v>منجز</v>
      </c>
      <c r="J2" s="19">
        <f ca="1">IFERROR(__xludf.DUMMYFUNCTION("""COMPUTED_VALUE"""),46082.2807663194)</f>
        <v>46082.280766319403</v>
      </c>
    </row>
    <row r="3" spans="1:10" ht="75" customHeight="1">
      <c r="A3" s="7">
        <f ca="1">IFERROR(__xludf.DUMMYFUNCTION("""COMPUTED_VALUE"""),46082.2801990972)</f>
        <v>46082.2801990972</v>
      </c>
      <c r="B3" s="18" t="str">
        <f ca="1">IFERROR(__xludf.DUMMYFUNCTION("""COMPUTED_VALUE"""),"المعملجي")</f>
        <v>المعملجي</v>
      </c>
      <c r="C3" s="9" t="str">
        <f ca="1">IFERROR(__xludf.DUMMYFUNCTION("""COMPUTED_VALUE"""),"قسم المشاريع الهندسية")</f>
        <v>قسم المشاريع الهندسية</v>
      </c>
      <c r="D3" s="10" t="str">
        <f ca="1">IFERROR(__xludf.DUMMYFUNCTION("""COMPUTED_VALUE"""),"A- المركز الثقافي")</f>
        <v>A- المركز الثقافي</v>
      </c>
      <c r="E3" s="10" t="str">
        <f ca="1">IFERROR(__xludf.DUMMYFUNCTION("""COMPUTED_VALUE"""),"الطابق الارضي")</f>
        <v>الطابق الارضي</v>
      </c>
      <c r="F3" s="10" t="str">
        <f ca="1">IFERROR(__xludf.DUMMYFUNCTION("""COMPUTED_VALUE"""),"تم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f>
        <v>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v>
      </c>
      <c r="G3" s="11"/>
      <c r="H3" s="10" t="str">
        <f ca="1">IFERROR(__xludf.DUMMYFUNCTION("""COMPUTED_VALUE"""),"كهرباء")</f>
        <v>كهرباء</v>
      </c>
      <c r="I3" s="12" t="str">
        <f ca="1">IFERROR(__xludf.DUMMYFUNCTION("""COMPUTED_VALUE"""),"منجز")</f>
        <v>منجز</v>
      </c>
      <c r="J3" s="19">
        <f ca="1">IFERROR(__xludf.DUMMYFUNCTION("""COMPUTED_VALUE"""),46082.2807506018)</f>
        <v>46082.2807506018</v>
      </c>
    </row>
    <row r="4" spans="1:10" ht="75" customHeight="1">
      <c r="A4" s="15">
        <f ca="1">IFERROR(__xludf.DUMMYFUNCTION("""COMPUTED_VALUE"""),46082.2794109837)</f>
        <v>46082.279410983698</v>
      </c>
      <c r="B4" s="18" t="str">
        <f ca="1">IFERROR(__xludf.DUMMYFUNCTION("""COMPUTED_VALUE"""),"المعملجي")</f>
        <v>المعملجي</v>
      </c>
      <c r="C4" s="9" t="str">
        <f ca="1">IFERROR(__xludf.DUMMYFUNCTION("""COMPUTED_VALUE"""),"قسم المشاريع الهندسية")</f>
        <v>قسم المشاريع الهندسية</v>
      </c>
      <c r="D4" s="10" t="str">
        <f ca="1">IFERROR(__xludf.DUMMYFUNCTION("""COMPUTED_VALUE"""),"A- المركز الثقافي")</f>
        <v>A- المركز الثقافي</v>
      </c>
      <c r="E4" s="10" t="str">
        <f ca="1">IFERROR(__xludf.DUMMYFUNCTION("""COMPUTED_VALUE"""),".")</f>
        <v>.</v>
      </c>
      <c r="F4" s="10" t="str">
        <f ca="1">IFERROR(__xludf.DUMMYFUNCTION("""COMPUTED_VALUE"""),"عمل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الطوابق"&amp;" والغرف التي تحتاج للكهرباء خارج اوقات الدوام من محطة الرفع دون الحاجة لتشغيل مولدات المركز الثقافي.")</f>
        <v>عمل بورد (ATS) ثانوي ثلاثي الطور بحجم (250A) مع كافة الملحقات من دائرة سيطرة مناسبة للتحكم به للتحويل بين مصدرين (الخط الأول :كهرباء المركز الثقافي. الخط الثاني: كهرباء محطة الرفع) ليتم تنصيبه تالياً في غرفة الكهرباء الرئيسية للمركز الثقافي لتغذية الطوابق والغرف التي تحتاج للكهرباء خارج اوقات الدوام من محطة الرفع دون الحاجة لتشغيل مولدات المركز الثقافي.</v>
      </c>
      <c r="G4" s="11"/>
      <c r="H4" s="10" t="str">
        <f ca="1">IFERROR(__xludf.DUMMYFUNCTION("""COMPUTED_VALUE"""),"كهرباء")</f>
        <v>كهرباء</v>
      </c>
      <c r="I4" s="12" t="str">
        <f ca="1">IFERROR(__xludf.DUMMYFUNCTION("""COMPUTED_VALUE"""),"منجز")</f>
        <v>منجز</v>
      </c>
      <c r="J4" s="19">
        <f ca="1">IFERROR(__xludf.DUMMYFUNCTION("""COMPUTED_VALUE"""),46082.2807389236)</f>
        <v>46082.280738923597</v>
      </c>
    </row>
    <row r="5" spans="1:10" ht="75" customHeight="1">
      <c r="A5" s="7">
        <f ca="1">IFERROR(__xludf.DUMMYFUNCTION("""COMPUTED_VALUE"""),46082.2785401504)</f>
        <v>46082.278540150401</v>
      </c>
      <c r="B5" s="18" t="str">
        <f ca="1">IFERROR(__xludf.DUMMYFUNCTION("""COMPUTED_VALUE"""),"المعملجي")</f>
        <v>المعملجي</v>
      </c>
      <c r="C5" s="9" t="str">
        <f ca="1">IFERROR(__xludf.DUMMYFUNCTION("""COMPUTED_VALUE"""),"قسم المشاريع الهندسية")</f>
        <v>قسم المشاريع الهندسية</v>
      </c>
      <c r="D5" s="10" t="str">
        <f ca="1">IFERROR(__xludf.DUMMYFUNCTION("""COMPUTED_VALUE"""),"شعبة الصيانة")</f>
        <v>شعبة الصيانة</v>
      </c>
      <c r="E5" s="10" t="str">
        <f ca="1">IFERROR(__xludf.DUMMYFUNCTION("""COMPUTED_VALUE"""),".")</f>
        <v>.</v>
      </c>
      <c r="F5" s="10" t="str">
        <f ca="1">IFERROR(__xludf.DUMMYFUNCTION("""COMPUTED_VALUE"""),"إطلاق النسخة التجريبية من برنامج الإسناد الهندسي الخاص بشعبة الصيانة")</f>
        <v>إطلاق النسخة التجريبية من برنامج الإسناد الهندسي الخاص بشعبة الصيانة</v>
      </c>
      <c r="G5" s="10"/>
      <c r="H5" s="10" t="str">
        <f ca="1">IFERROR(__xludf.DUMMYFUNCTION("""COMPUTED_VALUE"""),"كهرباء")</f>
        <v>كهرباء</v>
      </c>
      <c r="I5" s="12" t="str">
        <f ca="1">IFERROR(__xludf.DUMMYFUNCTION("""COMPUTED_VALUE"""),"منجز")</f>
        <v>منجز</v>
      </c>
      <c r="J5" s="19">
        <f ca="1">IFERROR(__xludf.DUMMYFUNCTION("""COMPUTED_VALUE"""),46082.2807373611)</f>
        <v>46082.280737361099</v>
      </c>
    </row>
    <row r="6" spans="1:10" ht="75" customHeight="1">
      <c r="A6" s="7">
        <f ca="1">IFERROR(__xludf.DUMMYFUNCTION("""COMPUTED_VALUE"""),46081.3958455092)</f>
        <v>46081.3958455092</v>
      </c>
      <c r="B6" s="18" t="str">
        <f ca="1">IFERROR(__xludf.DUMMYFUNCTION("""COMPUTED_VALUE"""),"المعملجي")</f>
        <v>المعملجي</v>
      </c>
      <c r="C6" s="9" t="str">
        <f ca="1">IFERROR(__xludf.DUMMYFUNCTION("""COMPUTED_VALUE"""),"قسم المشاريع الهندسية")</f>
        <v>قسم المشاريع الهندسية</v>
      </c>
      <c r="D6" s="10" t="str">
        <f ca="1">IFERROR(__xludf.DUMMYFUNCTION("""COMPUTED_VALUE"""),"H- ابتدائية القمر للبنات (الخامسة)")</f>
        <v>H- ابتدائية القمر للبنات (الخامسة)</v>
      </c>
      <c r="E6" s="10" t="str">
        <f ca="1">IFERROR(__xludf.DUMMYFUNCTION("""COMPUTED_VALUE"""),"الطابق الارضي, جناح الساحة ZONE B")</f>
        <v>الطابق الارضي, جناح الساحة ZONE B</v>
      </c>
      <c r="F6" s="10" t="str">
        <f ca="1">IFERROR(__xludf.DUMMYFUNCTION("""COMPUTED_VALUE"""),"فحص  UPS المدرسة بعد إطفاء الكهرباء عنهُ.
📌 حيث كانت نسبة الشحن بعد قطع الكهرباء لمدة 21 دقيقة 91٪
")</f>
        <v xml:space="preserve">فحص  UPS المدرسة بعد إطفاء الكهرباء عنهُ.
📌 حيث كانت نسبة الشحن بعد قطع الكهرباء لمدة 21 دقيقة 91٪
</v>
      </c>
      <c r="G6" s="10"/>
      <c r="H6" s="10" t="str">
        <f ca="1">IFERROR(__xludf.DUMMYFUNCTION("""COMPUTED_VALUE"""),"كهرباء")</f>
        <v>كهرباء</v>
      </c>
      <c r="I6" s="12" t="str">
        <f ca="1">IFERROR(__xludf.DUMMYFUNCTION("""COMPUTED_VALUE"""),"منجز")</f>
        <v>منجز</v>
      </c>
      <c r="J6" s="19">
        <f ca="1">IFERROR(__xludf.DUMMYFUNCTION("""COMPUTED_VALUE"""),46081.396578912)</f>
        <v>46081.396578911997</v>
      </c>
    </row>
    <row r="7" spans="1:10" ht="75" customHeight="1">
      <c r="A7" s="7">
        <f ca="1">IFERROR(__xludf.DUMMYFUNCTION("""COMPUTED_VALUE"""),46081.3955787152)</f>
        <v>46081.395578715201</v>
      </c>
      <c r="B7" s="18" t="str">
        <f ca="1">IFERROR(__xludf.DUMMYFUNCTION("""COMPUTED_VALUE"""),"المعملجي")</f>
        <v>المعملجي</v>
      </c>
      <c r="C7" s="9" t="str">
        <f ca="1">IFERROR(__xludf.DUMMYFUNCTION("""COMPUTED_VALUE"""),"قسم المشاريع الهندسية")</f>
        <v>قسم المشاريع الهندسية</v>
      </c>
      <c r="D7" s="10" t="str">
        <f ca="1">IFERROR(__xludf.DUMMYFUNCTION("""COMPUTED_VALUE"""),"J- جامعة العميد (السابعة)")</f>
        <v>J- جامعة العميد (السابعة)</v>
      </c>
      <c r="E7" s="10" t="str">
        <f ca="1">IFERROR(__xludf.DUMMYFUNCTION("""COMPUTED_VALUE"""),"السطح")</f>
        <v>السطح</v>
      </c>
      <c r="F7" s="10" t="str">
        <f ca="1">IFERROR(__xludf.DUMMYFUNCTION("""COMPUTED_VALUE"""),"تفعيل بوش (Emegency Diesel Run) لمضخة المدرسة وذلك بعمل دائرة سيطرة مناسبة بفولتية 12V. مع أضافة بوش تشغيل يدوي للمضخة لغرض الفحص.")</f>
        <v>تفعيل بوش (Emegency Diesel Run) لمضخة المدرسة وذلك بعمل دائرة سيطرة مناسبة بفولتية 12V. مع أضافة بوش تشغيل يدوي للمضخة لغرض الفحص.</v>
      </c>
      <c r="G7" s="10"/>
      <c r="H7" s="10" t="str">
        <f ca="1">IFERROR(__xludf.DUMMYFUNCTION("""COMPUTED_VALUE"""),"كهرباء")</f>
        <v>كهرباء</v>
      </c>
      <c r="I7" s="12" t="str">
        <f ca="1">IFERROR(__xludf.DUMMYFUNCTION("""COMPUTED_VALUE"""),"منجز")</f>
        <v>منجز</v>
      </c>
      <c r="J7" s="19">
        <f ca="1">IFERROR(__xludf.DUMMYFUNCTION("""COMPUTED_VALUE"""),46081.3965858796)</f>
        <v>46081.3965858796</v>
      </c>
    </row>
    <row r="8" spans="1:10" ht="75" customHeight="1">
      <c r="A8" s="7">
        <f ca="1">IFERROR(__xludf.DUMMYFUNCTION("""COMPUTED_VALUE"""),46081.3951056828)</f>
        <v>46081.395105682801</v>
      </c>
      <c r="B8" s="18" t="str">
        <f ca="1">IFERROR(__xludf.DUMMYFUNCTION("""COMPUTED_VALUE"""),"المعملجي")</f>
        <v>المعملجي</v>
      </c>
      <c r="C8" s="9" t="str">
        <f ca="1">IFERROR(__xludf.DUMMYFUNCTION("""COMPUTED_VALUE"""),"قسم المشاريع الهندسية")</f>
        <v>قسم المشاريع الهندسية</v>
      </c>
      <c r="D8" s="10" t="str">
        <f ca="1">IFERROR(__xludf.DUMMYFUNCTION("""COMPUTED_VALUE"""),"B- روضة القمر")</f>
        <v>B- روضة القمر</v>
      </c>
      <c r="E8" s="10" t="str">
        <f ca="1">IFERROR(__xludf.DUMMYFUNCTION("""COMPUTED_VALUE"""),"كل البناية")</f>
        <v>كل البناية</v>
      </c>
      <c r="F8" s="10" t="str">
        <f ca="1">IFERROR(__xludf.DUMMYFUNCTION("""COMPUTED_VALUE"""),"تنظيف غرف الكهرباء")</f>
        <v>تنظيف غرف الكهرباء</v>
      </c>
      <c r="G8" s="10"/>
      <c r="H8" s="10" t="str">
        <f ca="1">IFERROR(__xludf.DUMMYFUNCTION("""COMPUTED_VALUE"""),"كهرباء")</f>
        <v>كهرباء</v>
      </c>
      <c r="I8" s="12" t="str">
        <f ca="1">IFERROR(__xludf.DUMMYFUNCTION("""COMPUTED_VALUE"""),"منجز")</f>
        <v>منجز</v>
      </c>
      <c r="J8" s="19">
        <f ca="1">IFERROR(__xludf.DUMMYFUNCTION("""COMPUTED_VALUE"""),46081.3965571412)</f>
        <v>46081.396557141197</v>
      </c>
    </row>
    <row r="9" spans="1:10" ht="75" customHeight="1">
      <c r="A9" s="7">
        <f ca="1">IFERROR(__xludf.DUMMYFUNCTION("""COMPUTED_VALUE"""),46081.3947878009)</f>
        <v>46081.394787800898</v>
      </c>
      <c r="B9" s="18" t="str">
        <f ca="1">IFERROR(__xludf.DUMMYFUNCTION("""COMPUTED_VALUE"""),"المعملجي")</f>
        <v>المعملجي</v>
      </c>
      <c r="C9" s="9" t="str">
        <f ca="1">IFERROR(__xludf.DUMMYFUNCTION("""COMPUTED_VALUE"""),"قسم المشاريع الهندسية")</f>
        <v>قسم المشاريع الهندسية</v>
      </c>
      <c r="D9" s="10" t="str">
        <f ca="1">IFERROR(__xludf.DUMMYFUNCTION("""COMPUTED_VALUE"""),"G- روضة الجود")</f>
        <v>G- روضة الجود</v>
      </c>
      <c r="E9" s="10" t="str">
        <f ca="1">IFERROR(__xludf.DUMMYFUNCTION("""COMPUTED_VALUE"""),"كل البناية")</f>
        <v>كل البناية</v>
      </c>
      <c r="F9" s="10" t="str">
        <f ca="1">IFERROR(__xludf.DUMMYFUNCTION("""COMPUTED_VALUE"""),"تنظيف غرف الكهرباء")</f>
        <v>تنظيف غرف الكهرباء</v>
      </c>
      <c r="G9" s="10"/>
      <c r="H9" s="10" t="str">
        <f ca="1">IFERROR(__xludf.DUMMYFUNCTION("""COMPUTED_VALUE"""),"كهرباء")</f>
        <v>كهرباء</v>
      </c>
      <c r="I9" s="12" t="str">
        <f ca="1">IFERROR(__xludf.DUMMYFUNCTION("""COMPUTED_VALUE"""),"منجز")</f>
        <v>منجز</v>
      </c>
      <c r="J9" s="19">
        <f ca="1">IFERROR(__xludf.DUMMYFUNCTION("""COMPUTED_VALUE"""),46081.3965575)</f>
        <v>46081.396557499997</v>
      </c>
    </row>
    <row r="10" spans="1:10" ht="75" customHeight="1">
      <c r="A10" s="7">
        <f ca="1">IFERROR(__xludf.DUMMYFUNCTION("""COMPUTED_VALUE"""),46081.3944104861)</f>
        <v>46081.3944104861</v>
      </c>
      <c r="B10" s="18" t="str">
        <f ca="1">IFERROR(__xludf.DUMMYFUNCTION("""COMPUTED_VALUE"""),"المعملجي")</f>
        <v>المعملجي</v>
      </c>
      <c r="C10" s="9" t="str">
        <f ca="1">IFERROR(__xludf.DUMMYFUNCTION("""COMPUTED_VALUE"""),"قسم المشاريع الهندسية")</f>
        <v>قسم المشاريع الهندسية</v>
      </c>
      <c r="D10" s="10" t="str">
        <f ca="1">IFERROR(__xludf.DUMMYFUNCTION("""COMPUTED_VALUE"""),"F-  ابتدائية جود العميد للبنات (الرابعة)")</f>
        <v>F-  ابتدائية جود العميد للبنات (الرابعة)</v>
      </c>
      <c r="E10" s="10" t="str">
        <f ca="1">IFERROR(__xludf.DUMMYFUNCTION("""COMPUTED_VALUE"""),"كل البناية")</f>
        <v>كل البناية</v>
      </c>
      <c r="F10" s="10" t="str">
        <f ca="1">IFERROR(__xludf.DUMMYFUNCTION("""COMPUTED_VALUE"""),"تنظيف غرف الكهرباء")</f>
        <v>تنظيف غرف الكهرباء</v>
      </c>
      <c r="G10" s="10"/>
      <c r="H10" s="10" t="str">
        <f ca="1">IFERROR(__xludf.DUMMYFUNCTION("""COMPUTED_VALUE"""),"كهرباء")</f>
        <v>كهرباء</v>
      </c>
      <c r="I10" s="12" t="str">
        <f ca="1">IFERROR(__xludf.DUMMYFUNCTION("""COMPUTED_VALUE"""),"منجز")</f>
        <v>منجز</v>
      </c>
      <c r="J10" s="19">
        <f ca="1">IFERROR(__xludf.DUMMYFUNCTION("""COMPUTED_VALUE"""),46081.3965470254)</f>
        <v>46081.396547025397</v>
      </c>
    </row>
    <row r="11" spans="1:10" ht="75" customHeight="1">
      <c r="A11" s="7">
        <f ca="1">IFERROR(__xludf.DUMMYFUNCTION("""COMPUTED_VALUE"""),46081.3940627893)</f>
        <v>46081.394062789303</v>
      </c>
      <c r="B11" s="18" t="str">
        <f ca="1">IFERROR(__xludf.DUMMYFUNCTION("""COMPUTED_VALUE"""),"المعملجي")</f>
        <v>المعملجي</v>
      </c>
      <c r="C11" s="9" t="str">
        <f ca="1">IFERROR(__xludf.DUMMYFUNCTION("""COMPUTED_VALUE"""),"قسم المشاريع الهندسية")</f>
        <v>قسم المشاريع الهندسية</v>
      </c>
      <c r="D11" s="10" t="str">
        <f ca="1">IFERROR(__xludf.DUMMYFUNCTION("""COMPUTED_VALUE"""),"F-  ابتدائية جود العميد للبنات (الرابعة)")</f>
        <v>F-  ابتدائية جود العميد للبنات (الرابعة)</v>
      </c>
      <c r="E11" s="10" t="str">
        <f ca="1">IFERROR(__xludf.DUMMYFUNCTION("""COMPUTED_VALUE"""),"الطابق الاول, جناح الادائرة ZONE A")</f>
        <v>الطابق الاول, جناح الادائرة ZONE A</v>
      </c>
      <c r="F11" s="10" t="str">
        <f ca="1">IFERROR(__xludf.DUMMYFUNCTION("""COMPUTED_VALUE"""),"صيانة بلك سويج 13A بدون استبدال")</f>
        <v>صيانة بلك سويج 13A بدون استبدال</v>
      </c>
      <c r="G11" s="10"/>
      <c r="H11" s="10" t="str">
        <f ca="1">IFERROR(__xludf.DUMMYFUNCTION("""COMPUTED_VALUE"""),"كهرباء")</f>
        <v>كهرباء</v>
      </c>
      <c r="I11" s="12" t="str">
        <f ca="1">IFERROR(__xludf.DUMMYFUNCTION("""COMPUTED_VALUE"""),"منجز")</f>
        <v>منجز</v>
      </c>
      <c r="J11" s="19">
        <f ca="1">IFERROR(__xludf.DUMMYFUNCTION("""COMPUTED_VALUE"""),46081.3965575463)</f>
        <v>46081.396557546301</v>
      </c>
    </row>
    <row r="12" spans="1:10" ht="75" customHeight="1">
      <c r="A12" s="7">
        <f ca="1">IFERROR(__xludf.DUMMYFUNCTION("""COMPUTED_VALUE"""),46081.3936831713)</f>
        <v>46081.3936831713</v>
      </c>
      <c r="B12" s="18" t="str">
        <f ca="1">IFERROR(__xludf.DUMMYFUNCTION("""COMPUTED_VALUE"""),"المعملجي")</f>
        <v>المعملجي</v>
      </c>
      <c r="C12" s="9" t="str">
        <f ca="1">IFERROR(__xludf.DUMMYFUNCTION("""COMPUTED_VALUE"""),"قسم المشاريع الهندسية")</f>
        <v>قسم المشاريع الهندسية</v>
      </c>
      <c r="D12" s="10" t="str">
        <f ca="1">IFERROR(__xludf.DUMMYFUNCTION("""COMPUTED_VALUE"""),"F-  ابتدائية جود العميد للبنات (الرابعة)")</f>
        <v>F-  ابتدائية جود العميد للبنات (الرابعة)</v>
      </c>
      <c r="E12" s="10" t="str">
        <f ca="1">IFERROR(__xludf.DUMMYFUNCTION("""COMPUTED_VALUE"""),"الطابق الارضي, جناح الساحة ZONE B")</f>
        <v>الطابق الارضي, جناح الساحة ZONE B</v>
      </c>
      <c r="F12" s="10" t="str">
        <f ca="1">IFERROR(__xludf.DUMMYFUNCTION("""COMPUTED_VALUE"""),"فحص  UPS المدرسة بعد إطفاء الكهرباء عنهُ.
📌 حيث كانت نسبة الشحن بعد قطع الكهرباء لمدة 30 دقيقة 89٪")</f>
        <v>فحص  UPS المدرسة بعد إطفاء الكهرباء عنهُ.
📌 حيث كانت نسبة الشحن بعد قطع الكهرباء لمدة 30 دقيقة 89٪</v>
      </c>
      <c r="G12" s="10"/>
      <c r="H12" s="10" t="str">
        <f ca="1">IFERROR(__xludf.DUMMYFUNCTION("""COMPUTED_VALUE"""),"كهرباء")</f>
        <v>كهرباء</v>
      </c>
      <c r="I12" s="12" t="str">
        <f ca="1">IFERROR(__xludf.DUMMYFUNCTION("""COMPUTED_VALUE"""),"منجز")</f>
        <v>منجز</v>
      </c>
      <c r="J12" s="19">
        <f ca="1">IFERROR(__xludf.DUMMYFUNCTION("""COMPUTED_VALUE"""),46081.3965217361)</f>
        <v>46081.396521736096</v>
      </c>
    </row>
    <row r="13" spans="1:10" ht="75" customHeight="1">
      <c r="A13" s="7">
        <f ca="1">IFERROR(__xludf.DUMMYFUNCTION("""COMPUTED_VALUE"""),46081.3933975115)</f>
        <v>46081.3933975115</v>
      </c>
      <c r="B13" s="18" t="str">
        <f ca="1">IFERROR(__xludf.DUMMYFUNCTION("""COMPUTED_VALUE"""),"المعملجي")</f>
        <v>المعملجي</v>
      </c>
      <c r="C13" s="9" t="str">
        <f ca="1">IFERROR(__xludf.DUMMYFUNCTION("""COMPUTED_VALUE"""),"قسم المشاريع الهندسية")</f>
        <v>قسم المشاريع الهندسية</v>
      </c>
      <c r="D13" s="10" t="str">
        <f ca="1">IFERROR(__xludf.DUMMYFUNCTION("""COMPUTED_VALUE"""),"E- ابتدائية العميد للبنات (الثالثة)")</f>
        <v>E- ابتدائية العميد للبنات (الثالثة)</v>
      </c>
      <c r="E13" s="10" t="str">
        <f ca="1">IFERROR(__xludf.DUMMYFUNCTION("""COMPUTED_VALUE"""),"كل البناية")</f>
        <v>كل البناية</v>
      </c>
      <c r="F13" s="10" t="str">
        <f ca="1">IFERROR(__xludf.DUMMYFUNCTION("""COMPUTED_VALUE"""),"تنضيف غرف الكهرباء")</f>
        <v>تنضيف غرف الكهرباء</v>
      </c>
      <c r="G13" s="10"/>
      <c r="H13" s="10" t="str">
        <f ca="1">IFERROR(__xludf.DUMMYFUNCTION("""COMPUTED_VALUE"""),"كهرباء")</f>
        <v>كهرباء</v>
      </c>
      <c r="I13" s="12" t="str">
        <f ca="1">IFERROR(__xludf.DUMMYFUNCTION("""COMPUTED_VALUE"""),"منجز")</f>
        <v>منجز</v>
      </c>
      <c r="J13" s="19">
        <f ca="1">IFERROR(__xludf.DUMMYFUNCTION("""COMPUTED_VALUE"""),46081.3965171643)</f>
        <v>46081.396517164299</v>
      </c>
    </row>
    <row r="14" spans="1:10" ht="75" customHeight="1">
      <c r="A14" s="7">
        <f ca="1">IFERROR(__xludf.DUMMYFUNCTION("""COMPUTED_VALUE"""),46081.3926823958)</f>
        <v>46081.392682395803</v>
      </c>
      <c r="B14" s="18" t="str">
        <f ca="1">IFERROR(__xludf.DUMMYFUNCTION("""COMPUTED_VALUE"""),"المعملجي")</f>
        <v>المعملجي</v>
      </c>
      <c r="C14" s="9" t="str">
        <f ca="1">IFERROR(__xludf.DUMMYFUNCTION("""COMPUTED_VALUE"""),"قسم المشاريع الهندسية")</f>
        <v>قسم المشاريع الهندسية</v>
      </c>
      <c r="D14" s="10" t="str">
        <f ca="1">IFERROR(__xludf.DUMMYFUNCTION("""COMPUTED_VALUE"""),"الاستعلامات الرئيسية")</f>
        <v>الاستعلامات الرئيسية</v>
      </c>
      <c r="E14" s="10" t="str">
        <f ca="1">IFERROR(__xludf.DUMMYFUNCTION("""COMPUTED_VALUE"""),"الطابق الارضي")</f>
        <v>الطابق الارضي</v>
      </c>
      <c r="F14" s="10" t="str">
        <f ca="1">IFERROR(__xludf.DUMMYFUNCTION("""COMPUTED_VALUE"""),"تم استبدال جوزة كهربائية مفردة عدد 2 بقدرة 10A ")</f>
        <v xml:space="preserve">تم استبدال جوزة كهربائية مفردة عدد 2 بقدرة 10A </v>
      </c>
      <c r="G14" s="10"/>
      <c r="H14" s="10" t="str">
        <f ca="1">IFERROR(__xludf.DUMMYFUNCTION("""COMPUTED_VALUE"""),"كهرباء")</f>
        <v>كهرباء</v>
      </c>
      <c r="I14" s="12" t="str">
        <f ca="1">IFERROR(__xludf.DUMMYFUNCTION("""COMPUTED_VALUE"""),"منجز")</f>
        <v>منجز</v>
      </c>
      <c r="J14" s="20">
        <f ca="1">IFERROR(__xludf.DUMMYFUNCTION("""COMPUTED_VALUE"""),46081.3965297453)</f>
        <v>46081.396529745303</v>
      </c>
    </row>
    <row r="15" spans="1:10" ht="75" customHeight="1">
      <c r="A15" s="7">
        <f ca="1">IFERROR(__xludf.DUMMYFUNCTION("""COMPUTED_VALUE"""),46081.3923195949)</f>
        <v>46081.392319594903</v>
      </c>
      <c r="B15" s="18" t="str">
        <f ca="1">IFERROR(__xludf.DUMMYFUNCTION("""COMPUTED_VALUE"""),"المعملجي")</f>
        <v>المعملجي</v>
      </c>
      <c r="C15" s="9" t="str">
        <f ca="1">IFERROR(__xludf.DUMMYFUNCTION("""COMPUTED_VALUE"""),"قسم المشاريع الهندسية")</f>
        <v>قسم المشاريع الهندسية</v>
      </c>
      <c r="D15" s="10" t="str">
        <f ca="1">IFERROR(__xludf.DUMMYFUNCTION("""COMPUTED_VALUE"""),"E- ابتدائية العميد للبنات (الثالثة)")</f>
        <v>E- ابتدائية العميد للبنات (الثالثة)</v>
      </c>
      <c r="E15" s="10" t="str">
        <f ca="1">IFERROR(__xludf.DUMMYFUNCTION("""COMPUTED_VALUE"""),"الطابق الارضي, جناح الساحة ZONE B")</f>
        <v>الطابق الارضي, جناح الساحة ZONE B</v>
      </c>
      <c r="F15" s="10" t="str">
        <f ca="1">IFERROR(__xludf.DUMMYFUNCTION("""COMPUTED_VALUE"""),"فحص  UPS المدرسة بعد إطفاء الكهرباء عنهُ.
📌 حيث كانت نسبة الشحن بعد قطع الكهرباء لمدة 31 دقيقة 92٪
")</f>
        <v xml:space="preserve">فحص  UPS المدرسة بعد إطفاء الكهرباء عنهُ.
📌 حيث كانت نسبة الشحن بعد قطع الكهرباء لمدة 31 دقيقة 92٪
</v>
      </c>
      <c r="G15" s="10"/>
      <c r="H15" s="10" t="str">
        <f ca="1">IFERROR(__xludf.DUMMYFUNCTION("""COMPUTED_VALUE"""),"كهرباء")</f>
        <v>كهرباء</v>
      </c>
      <c r="I15" s="12" t="str">
        <f ca="1">IFERROR(__xludf.DUMMYFUNCTION("""COMPUTED_VALUE"""),"منجز")</f>
        <v>منجز</v>
      </c>
      <c r="J15" s="19">
        <f ca="1">IFERROR(__xludf.DUMMYFUNCTION("""COMPUTED_VALUE"""),46081.3964948379)</f>
        <v>46081.3964948379</v>
      </c>
    </row>
    <row r="16" spans="1:10" ht="75" customHeight="1">
      <c r="A16" s="7">
        <f ca="1">IFERROR(__xludf.DUMMYFUNCTION("""COMPUTED_VALUE"""),46081.3920704629)</f>
        <v>46081.392070462898</v>
      </c>
      <c r="B16" s="18" t="str">
        <f ca="1">IFERROR(__xludf.DUMMYFUNCTION("""COMPUTED_VALUE"""),"المعملجي")</f>
        <v>المعملجي</v>
      </c>
      <c r="C16" s="9" t="str">
        <f ca="1">IFERROR(__xludf.DUMMYFUNCTION("""COMPUTED_VALUE"""),"قسم المشاريع الهندسية")</f>
        <v>قسم المشاريع الهندسية</v>
      </c>
      <c r="D16" s="10" t="str">
        <f ca="1">IFERROR(__xludf.DUMMYFUNCTION("""COMPUTED_VALUE"""),"D- ثانوية العميد بناية المتوسطة  (الثانية)")</f>
        <v>D- ثانوية العميد بناية المتوسطة  (الثانية)</v>
      </c>
      <c r="E16" s="10" t="str">
        <f ca="1">IFERROR(__xludf.DUMMYFUNCTION("""COMPUTED_VALUE"""),"الطابق الارضي, جناح الساحة ZONE B")</f>
        <v>الطابق الارضي, جناح الساحة ZONE B</v>
      </c>
      <c r="F16" s="10" t="str">
        <f ca="1">IFERROR(__xludf.DUMMYFUNCTION("""COMPUTED_VALUE"""),"حص  UPS المدرسة بعد إطفاء الكهرباء عنهُ.
📌 حيث كانت نسبة الشحن بعد قطع الكهرباء لمدة 27 دقيقة 91٪")</f>
        <v>حص  UPS المدرسة بعد إطفاء الكهرباء عنهُ.
📌 حيث كانت نسبة الشحن بعد قطع الكهرباء لمدة 27 دقيقة 91٪</v>
      </c>
      <c r="G16" s="10"/>
      <c r="H16" s="10" t="str">
        <f ca="1">IFERROR(__xludf.DUMMYFUNCTION("""COMPUTED_VALUE"""),"كهرباء")</f>
        <v>كهرباء</v>
      </c>
      <c r="I16" s="12" t="str">
        <f ca="1">IFERROR(__xludf.DUMMYFUNCTION("""COMPUTED_VALUE"""),"منجز")</f>
        <v>منجز</v>
      </c>
      <c r="J16" s="19">
        <f ca="1">IFERROR(__xludf.DUMMYFUNCTION("""COMPUTED_VALUE"""),46081.3964818865)</f>
        <v>46081.396481886499</v>
      </c>
    </row>
    <row r="17" spans="1:10" ht="75" customHeight="1">
      <c r="A17" s="7">
        <f ca="1">IFERROR(__xludf.DUMMYFUNCTION("""COMPUTED_VALUE"""),46081.3917778472)</f>
        <v>46081.391777847202</v>
      </c>
      <c r="B17" s="18" t="str">
        <f ca="1">IFERROR(__xludf.DUMMYFUNCTION("""COMPUTED_VALUE"""),"المعملجي")</f>
        <v>المعملجي</v>
      </c>
      <c r="C17" s="9" t="str">
        <f ca="1">IFERROR(__xludf.DUMMYFUNCTION("""COMPUTED_VALUE"""),"قسم المشاريع الهندسية")</f>
        <v>قسم المشاريع الهندسية</v>
      </c>
      <c r="D17" s="10" t="str">
        <f ca="1">IFERROR(__xludf.DUMMYFUNCTION("""COMPUTED_VALUE"""),"I- ابتدائية الساقي للبنين (السادسة)")</f>
        <v>I- ابتدائية الساقي للبنين (السادسة)</v>
      </c>
      <c r="E17" s="10" t="str">
        <f ca="1">IFERROR(__xludf.DUMMYFUNCTION("""COMPUTED_VALUE"""),"السطح")</f>
        <v>السطح</v>
      </c>
      <c r="F17" s="10" t="str">
        <f ca="1">IFERROR(__xludf.DUMMYFUNCTION("""COMPUTED_VALUE"""),"تفعيل بوش (Emegency Diesel Run) لمضخة المدرسة وذلك بعمل دائرة سيطرة مناسبة بفولتية 12V. مع أضافة بوش تشغيل يدوي للمضخة لغرض الفحص.")</f>
        <v>تفعيل بوش (Emegency Diesel Run) لمضخة المدرسة وذلك بعمل دائرة سيطرة مناسبة بفولتية 12V. مع أضافة بوش تشغيل يدوي للمضخة لغرض الفحص.</v>
      </c>
      <c r="G17" s="10"/>
      <c r="H17" s="10" t="str">
        <f ca="1">IFERROR(__xludf.DUMMYFUNCTION("""COMPUTED_VALUE"""),"كهرباء")</f>
        <v>كهرباء</v>
      </c>
      <c r="I17" s="12" t="str">
        <f ca="1">IFERROR(__xludf.DUMMYFUNCTION("""COMPUTED_VALUE"""),"منجز")</f>
        <v>منجز</v>
      </c>
      <c r="J17" s="19">
        <f ca="1">IFERROR(__xludf.DUMMYFUNCTION("""COMPUTED_VALUE"""),46081.3965032407)</f>
        <v>46081.3965032407</v>
      </c>
    </row>
    <row r="18" spans="1:10" ht="75" customHeight="1">
      <c r="A18" s="7">
        <f ca="1">IFERROR(__xludf.DUMMYFUNCTION("""COMPUTED_VALUE"""),46081.3913578009)</f>
        <v>46081.391357800901</v>
      </c>
      <c r="B18" s="18" t="str">
        <f ca="1">IFERROR(__xludf.DUMMYFUNCTION("""COMPUTED_VALUE"""),"المعملجي")</f>
        <v>المعملجي</v>
      </c>
      <c r="C18" s="9" t="str">
        <f ca="1">IFERROR(__xludf.DUMMYFUNCTION("""COMPUTED_VALUE"""),"قسم المشاريع الهندسية")</f>
        <v>قسم المشاريع الهندسية</v>
      </c>
      <c r="D18" s="10" t="str">
        <f ca="1">IFERROR(__xludf.DUMMYFUNCTION("""COMPUTED_VALUE"""),"C- ثانوية العميد بناية الاعدادية  (الاولى)")</f>
        <v>C- ثانوية العميد بناية الاعدادية  (الاولى)</v>
      </c>
      <c r="E18" s="10" t="str">
        <f ca="1">IFERROR(__xludf.DUMMYFUNCTION("""COMPUTED_VALUE"""),"الطابق الارضي, جناح الساحة ZONE B")</f>
        <v>الطابق الارضي, جناح الساحة ZONE B</v>
      </c>
      <c r="F18" s="10" t="str">
        <f ca="1">IFERROR(__xludf.DUMMYFUNCTION("""COMPUTED_VALUE"""),"فحص  UPS المدرسة بعد إطفاء الكهرباء عنهُ.
📌 حيث كانت نسبة الشحن بعد قطع الكهرباء لمدة 33 دقيقة 87٪
📌 و الأحمال 
* L1= 1.5A / load ratio= 6.9%
* L2= 3.1A / load ratio= 13.7%
* L3= 2.8A / load ratio=14.5%
* Vo= 220V")</f>
        <v>فحص  UPS المدرسة بعد إطفاء الكهرباء عنهُ.
📌 حيث كانت نسبة الشحن بعد قطع الكهرباء لمدة 33 دقيقة 87٪
📌 و الأحمال 
* L1= 1.5A / load ratio= 6.9%
* L2= 3.1A / load ratio= 13.7%
* L3= 2.8A / load ratio=14.5%
* Vo= 220V</v>
      </c>
      <c r="G18" s="10"/>
      <c r="H18" s="10" t="str">
        <f ca="1">IFERROR(__xludf.DUMMYFUNCTION("""COMPUTED_VALUE"""),"كهرباء")</f>
        <v>كهرباء</v>
      </c>
      <c r="I18" s="12" t="str">
        <f ca="1">IFERROR(__xludf.DUMMYFUNCTION("""COMPUTED_VALUE"""),"منجز")</f>
        <v>منجز</v>
      </c>
      <c r="J18" s="19">
        <f ca="1">IFERROR(__xludf.DUMMYFUNCTION("""COMPUTED_VALUE"""),46081.3964639351)</f>
        <v>46081.396463935103</v>
      </c>
    </row>
    <row r="19" spans="1:10" ht="75" customHeight="1">
      <c r="A19" s="7">
        <f ca="1">IFERROR(__xludf.DUMMYFUNCTION("""COMPUTED_VALUE"""),46081.3908724074)</f>
        <v>46081.390872407399</v>
      </c>
      <c r="B19" s="18" t="str">
        <f ca="1">IFERROR(__xludf.DUMMYFUNCTION("""COMPUTED_VALUE"""),"المعملجي")</f>
        <v>المعملجي</v>
      </c>
      <c r="C19" s="9" t="str">
        <f ca="1">IFERROR(__xludf.DUMMYFUNCTION("""COMPUTED_VALUE"""),"قسم المشاريع الهندسية")</f>
        <v>قسم المشاريع الهندسية</v>
      </c>
      <c r="D19" s="10" t="str">
        <f ca="1">IFERROR(__xludf.DUMMYFUNCTION("""COMPUTED_VALUE"""),"J- جامعة العميد (السابعة)")</f>
        <v>J- جامعة العميد (السابعة)</v>
      </c>
      <c r="E19" s="10" t="str">
        <f ca="1">IFERROR(__xludf.DUMMYFUNCTION("""COMPUTED_VALUE"""),".")</f>
        <v>.</v>
      </c>
      <c r="F19" s="10" t="str">
        <f ca="1">IFERROR(__xludf.DUMMYFUNCTION("""COMPUTED_VALUE"""),"تم تسليك كيبل فلكس 2×1 لتوصيل وأخذ إشارة الى ال emergency botton NC للتحكم في تشغيل مضخة الاطفاء الديزل يدويا من الطابق الارضي في حالة حدوث طارئ")</f>
        <v>تم تسليك كيبل فلكس 2×1 لتوصيل وأخذ إشارة الى ال emergency botton NC للتحكم في تشغيل مضخة الاطفاء الديزل يدويا من الطابق الارضي في حالة حدوث طارئ</v>
      </c>
      <c r="G19" s="10"/>
      <c r="H19" s="10" t="str">
        <f ca="1">IFERROR(__xludf.DUMMYFUNCTION("""COMPUTED_VALUE"""),"كهرباء")</f>
        <v>كهرباء</v>
      </c>
      <c r="I19" s="12" t="str">
        <f ca="1">IFERROR(__xludf.DUMMYFUNCTION("""COMPUTED_VALUE"""),"منجز")</f>
        <v>منجز</v>
      </c>
      <c r="J19" s="19">
        <f ca="1">IFERROR(__xludf.DUMMYFUNCTION("""COMPUTED_VALUE"""),46081.3964541666)</f>
        <v>46081.396454166599</v>
      </c>
    </row>
    <row r="20" spans="1:10" ht="75" customHeight="1">
      <c r="A20" s="7">
        <f ca="1">IFERROR(__xludf.DUMMYFUNCTION("""COMPUTED_VALUE"""),46081.3905546759)</f>
        <v>46081.390554675898</v>
      </c>
      <c r="B20" s="18" t="str">
        <f ca="1">IFERROR(__xludf.DUMMYFUNCTION("""COMPUTED_VALUE"""),"المعملجي")</f>
        <v>المعملجي</v>
      </c>
      <c r="C20" s="9" t="str">
        <f ca="1">IFERROR(__xludf.DUMMYFUNCTION("""COMPUTED_VALUE"""),"قسم المشاريع الهندسية")</f>
        <v>قسم المشاريع الهندسية</v>
      </c>
      <c r="D20" s="10" t="str">
        <f ca="1">IFERROR(__xludf.DUMMYFUNCTION("""COMPUTED_VALUE"""),"البيوت الخارجية")</f>
        <v>البيوت الخارجية</v>
      </c>
      <c r="E20" s="10" t="str">
        <f ca="1">IFERROR(__xludf.DUMMYFUNCTION("""COMPUTED_VALUE"""),".")</f>
        <v>.</v>
      </c>
      <c r="F20" s="10" t="str">
        <f ca="1">IFERROR(__xludf.DUMMYFUNCTION("""COMPUTED_VALUE"""),"من خلال المتابعة اليومية تم العثور على مشكلة في طوافة غطاس وتم صيانتها")</f>
        <v>من خلال المتابعة اليومية تم العثور على مشكلة في طوافة غطاس وتم صيانتها</v>
      </c>
      <c r="G20" s="10"/>
      <c r="H20" s="10" t="str">
        <f ca="1">IFERROR(__xludf.DUMMYFUNCTION("""COMPUTED_VALUE"""),"كهرباء")</f>
        <v>كهرباء</v>
      </c>
      <c r="I20" s="12" t="str">
        <f ca="1">IFERROR(__xludf.DUMMYFUNCTION("""COMPUTED_VALUE"""),"منجز")</f>
        <v>منجز</v>
      </c>
      <c r="J20" s="19">
        <f ca="1">IFERROR(__xludf.DUMMYFUNCTION("""COMPUTED_VALUE"""),46081.3964481018)</f>
        <v>46081.396448101797</v>
      </c>
    </row>
    <row r="21" spans="1:10" ht="75" customHeight="1">
      <c r="A21" s="7">
        <f ca="1">IFERROR(__xludf.DUMMYFUNCTION("""COMPUTED_VALUE"""),46081.3899830555)</f>
        <v>46081.389983055502</v>
      </c>
      <c r="B21" s="18" t="str">
        <f ca="1">IFERROR(__xludf.DUMMYFUNCTION("""COMPUTED_VALUE"""),"المعملجي")</f>
        <v>المعملجي</v>
      </c>
      <c r="C21" s="9" t="str">
        <f ca="1">IFERROR(__xludf.DUMMYFUNCTION("""COMPUTED_VALUE"""),"قسم المشاريع الهندسية")</f>
        <v>قسم المشاريع الهندسية</v>
      </c>
      <c r="D21" s="10" t="str">
        <f ca="1">IFERROR(__xludf.DUMMYFUNCTION("""COMPUTED_VALUE"""),"I- ابتدائية الساقي للبنين (السادسة)")</f>
        <v>I- ابتدائية الساقي للبنين (السادسة)</v>
      </c>
      <c r="E21" s="10" t="str">
        <f ca="1">IFERROR(__xludf.DUMMYFUNCTION("""COMPUTED_VALUE"""),".")</f>
        <v>.</v>
      </c>
      <c r="F21" s="10" t="str">
        <f ca="1">IFERROR(__xludf.DUMMYFUNCTION("""COMPUTED_VALUE"""),"تم تسليك كيبل فلكس 2×1 لتوصيل وأخذ إشارة الى ال emergency botton NC للتحكم في تشغيل مضخة الاطفاء الديزل يدويا من الطابق الارضي في حالة حدوث طارئ")</f>
        <v>تم تسليك كيبل فلكس 2×1 لتوصيل وأخذ إشارة الى ال emergency botton NC للتحكم في تشغيل مضخة الاطفاء الديزل يدويا من الطابق الارضي في حالة حدوث طارئ</v>
      </c>
      <c r="G21" s="10"/>
      <c r="H21" s="10" t="str">
        <f ca="1">IFERROR(__xludf.DUMMYFUNCTION("""COMPUTED_VALUE"""),"كهرباء")</f>
        <v>كهرباء</v>
      </c>
      <c r="I21" s="12" t="str">
        <f ca="1">IFERROR(__xludf.DUMMYFUNCTION("""COMPUTED_VALUE"""),"منجز")</f>
        <v>منجز</v>
      </c>
      <c r="J21" s="19">
        <f ca="1">IFERROR(__xludf.DUMMYFUNCTION("""COMPUTED_VALUE"""),46081.3964362384)</f>
        <v>46081.396436238399</v>
      </c>
    </row>
    <row r="22" spans="1:10" ht="75" customHeight="1">
      <c r="A22" s="7">
        <f ca="1">IFERROR(__xludf.DUMMYFUNCTION("""COMPUTED_VALUE"""),46081.3893792361)</f>
        <v>46081.389379236098</v>
      </c>
      <c r="B22" s="18" t="str">
        <f ca="1">IFERROR(__xludf.DUMMYFUNCTION("""COMPUTED_VALUE"""),"المعملجي")</f>
        <v>المعملجي</v>
      </c>
      <c r="C22" s="9" t="str">
        <f ca="1">IFERROR(__xludf.DUMMYFUNCTION("""COMPUTED_VALUE"""),"قسم المشاريع الهندسية")</f>
        <v>قسم المشاريع الهندسية</v>
      </c>
      <c r="D22" s="10" t="str">
        <f ca="1">IFERROR(__xludf.DUMMYFUNCTION("""COMPUTED_VALUE"""),"شعبة الصيانة")</f>
        <v>شعبة الصيانة</v>
      </c>
      <c r="E22" s="10" t="str">
        <f ca="1">IFERROR(__xludf.DUMMYFUNCTION("""COMPUTED_VALUE"""),"وحدة المدني")</f>
        <v>وحدة المدني</v>
      </c>
      <c r="F22" s="10" t="str">
        <f ca="1">IFERROR(__xludf.DUMMYFUNCTION("""COMPUTED_VALUE"""),"تم اصلاح قاطع رباعي لوجود رخاوه فيه ")</f>
        <v xml:space="preserve">تم اصلاح قاطع رباعي لوجود رخاوه فيه </v>
      </c>
      <c r="G22" s="10"/>
      <c r="H22" s="10" t="str">
        <f ca="1">IFERROR(__xludf.DUMMYFUNCTION("""COMPUTED_VALUE"""),"كهرباء")</f>
        <v>كهرباء</v>
      </c>
      <c r="I22" s="12" t="str">
        <f ca="1">IFERROR(__xludf.DUMMYFUNCTION("""COMPUTED_VALUE"""),"منجز")</f>
        <v>منجز</v>
      </c>
      <c r="J22" s="19">
        <f ca="1">IFERROR(__xludf.DUMMYFUNCTION("""COMPUTED_VALUE"""),46081.396425162)</f>
        <v>46081.396425161998</v>
      </c>
    </row>
    <row r="23" spans="1:10" ht="75" customHeight="1">
      <c r="A23" s="7">
        <f ca="1">IFERROR(__xludf.DUMMYFUNCTION("""COMPUTED_VALUE"""),46081.3887866782)</f>
        <v>46081.388786678202</v>
      </c>
      <c r="B23" s="18" t="str">
        <f ca="1">IFERROR(__xludf.DUMMYFUNCTION("""COMPUTED_VALUE"""),"المعملجي")</f>
        <v>المعملجي</v>
      </c>
      <c r="C23" s="9" t="str">
        <f ca="1">IFERROR(__xludf.DUMMYFUNCTION("""COMPUTED_VALUE"""),"قسم المشاريع الهندسية")</f>
        <v>قسم المشاريع الهندسية</v>
      </c>
      <c r="D23" s="10" t="str">
        <f ca="1">IFERROR(__xludf.DUMMYFUNCTION("""COMPUTED_VALUE"""),"D- ثانوية العميد بناية المتوسطة  (الثانية)")</f>
        <v>D- ثانوية العميد بناية المتوسطة  (الثانية)</v>
      </c>
      <c r="E23" s="10" t="str">
        <f ca="1">IFERROR(__xludf.DUMMYFUNCTION("""COMPUTED_VALUE"""),"كل البناية")</f>
        <v>كل البناية</v>
      </c>
      <c r="F23" s="10" t="str">
        <f ca="1">IFERROR(__xludf.DUMMYFUNCTION("""COMPUTED_VALUE"""),"تم تنظيف غرف الكهرباء")</f>
        <v>تم تنظيف غرف الكهرباء</v>
      </c>
      <c r="G23" s="10"/>
      <c r="H23" s="10" t="str">
        <f ca="1">IFERROR(__xludf.DUMMYFUNCTION("""COMPUTED_VALUE"""),"كهرباء")</f>
        <v>كهرباء</v>
      </c>
      <c r="I23" s="12" t="str">
        <f ca="1">IFERROR(__xludf.DUMMYFUNCTION("""COMPUTED_VALUE"""),"منجز")</f>
        <v>منجز</v>
      </c>
      <c r="J23" s="19">
        <f ca="1">IFERROR(__xludf.DUMMYFUNCTION("""COMPUTED_VALUE"""),46081.3964142824)</f>
        <v>46081.396414282397</v>
      </c>
    </row>
    <row r="24" spans="1:10" ht="75" customHeight="1">
      <c r="A24" s="7">
        <f ca="1">IFERROR(__xludf.DUMMYFUNCTION("""COMPUTED_VALUE"""),46081.3885372222)</f>
        <v>46081.388537222199</v>
      </c>
      <c r="B24" s="18" t="str">
        <f ca="1">IFERROR(__xludf.DUMMYFUNCTION("""COMPUTED_VALUE"""),"المعملجي")</f>
        <v>المعملجي</v>
      </c>
      <c r="C24" s="9" t="str">
        <f ca="1">IFERROR(__xludf.DUMMYFUNCTION("""COMPUTED_VALUE"""),"قسم المشاريع الهندسية")</f>
        <v>قسم المشاريع الهندسية</v>
      </c>
      <c r="D24" s="10" t="str">
        <f ca="1">IFERROR(__xludf.DUMMYFUNCTION("""COMPUTED_VALUE"""),"C- ثانوية العميد بناية الاعدادية  (الاولى)")</f>
        <v>C- ثانوية العميد بناية الاعدادية  (الاولى)</v>
      </c>
      <c r="E24" s="10" t="str">
        <f ca="1">IFERROR(__xludf.DUMMYFUNCTION("""COMPUTED_VALUE"""),"كل البناية")</f>
        <v>كل البناية</v>
      </c>
      <c r="F24" s="10" t="str">
        <f ca="1">IFERROR(__xludf.DUMMYFUNCTION("""COMPUTED_VALUE"""),"تم تنظيف غرف الكهرباء")</f>
        <v>تم تنظيف غرف الكهرباء</v>
      </c>
      <c r="G24" s="10"/>
      <c r="H24" s="10" t="str">
        <f ca="1">IFERROR(__xludf.DUMMYFUNCTION("""COMPUTED_VALUE"""),"كهرباء")</f>
        <v>كهرباء</v>
      </c>
      <c r="I24" s="12" t="str">
        <f ca="1">IFERROR(__xludf.DUMMYFUNCTION("""COMPUTED_VALUE"""),"منجز")</f>
        <v>منجز</v>
      </c>
      <c r="J24" s="19">
        <f ca="1">IFERROR(__xludf.DUMMYFUNCTION("""COMPUTED_VALUE"""),46081.3964201736)</f>
        <v>46081.396420173602</v>
      </c>
    </row>
    <row r="25" spans="1:10" ht="75" customHeight="1">
      <c r="A25" s="7">
        <f ca="1">IFERROR(__xludf.DUMMYFUNCTION("""COMPUTED_VALUE"""),46081.3881381134)</f>
        <v>46081.388138113398</v>
      </c>
      <c r="B25" s="18" t="str">
        <f ca="1">IFERROR(__xludf.DUMMYFUNCTION("""COMPUTED_VALUE"""),"المعملجي")</f>
        <v>المعملجي</v>
      </c>
      <c r="C25" s="9" t="str">
        <f ca="1">IFERROR(__xludf.DUMMYFUNCTION("""COMPUTED_VALUE"""),"قسم المشاريع الهندسية")</f>
        <v>قسم المشاريع الهندسية</v>
      </c>
      <c r="D25" s="10" t="str">
        <f ca="1">IFERROR(__xludf.DUMMYFUNCTION("""COMPUTED_VALUE"""),"J- جامعة العميد (السابعة)")</f>
        <v>J- جامعة العميد (السابعة)</v>
      </c>
      <c r="E25" s="10" t="str">
        <f ca="1">IFERROR(__xludf.DUMMYFUNCTION("""COMPUTED_VALUE"""),"الطابق الثاني")</f>
        <v>الطابق الثاني</v>
      </c>
      <c r="F25" s="10" t="str">
        <f ca="1">IFERROR(__xludf.DUMMYFUNCTION("""COMPUTED_VALUE"""),"تزيت المصعد")</f>
        <v>تزيت المصعد</v>
      </c>
      <c r="G25" s="10"/>
      <c r="H25" s="10" t="str">
        <f ca="1">IFERROR(__xludf.DUMMYFUNCTION("""COMPUTED_VALUE"""),"كهرباء")</f>
        <v>كهرباء</v>
      </c>
      <c r="I25" s="12" t="str">
        <f ca="1">IFERROR(__xludf.DUMMYFUNCTION("""COMPUTED_VALUE"""),"منجز")</f>
        <v>منجز</v>
      </c>
      <c r="J25" s="19">
        <f ca="1">IFERROR(__xludf.DUMMYFUNCTION("""COMPUTED_VALUE"""),46081.3964001736)</f>
        <v>46081.396400173602</v>
      </c>
    </row>
    <row r="26" spans="1:10" ht="75" customHeight="1">
      <c r="A26" s="7">
        <f ca="1">IFERROR(__xludf.DUMMYFUNCTION("""COMPUTED_VALUE"""),46081.3878349074)</f>
        <v>46081.3878349074</v>
      </c>
      <c r="B26" s="18" t="str">
        <f ca="1">IFERROR(__xludf.DUMMYFUNCTION("""COMPUTED_VALUE"""),"المعملجي")</f>
        <v>المعملجي</v>
      </c>
      <c r="C26" s="9" t="str">
        <f ca="1">IFERROR(__xludf.DUMMYFUNCTION("""COMPUTED_VALUE"""),"قسم المشاريع الهندسية")</f>
        <v>قسم المشاريع الهندسية</v>
      </c>
      <c r="D26" s="10" t="str">
        <f ca="1">IFERROR(__xludf.DUMMYFUNCTION("""COMPUTED_VALUE"""),"I- ابتدائية الساقي للبنين (السادسة)")</f>
        <v>I- ابتدائية الساقي للبنين (السادسة)</v>
      </c>
      <c r="E26" s="10" t="str">
        <f ca="1">IFERROR(__xludf.DUMMYFUNCTION("""COMPUTED_VALUE"""),"الطابق الثاني")</f>
        <v>الطابق الثاني</v>
      </c>
      <c r="F26" s="10" t="str">
        <f ca="1">IFERROR(__xludf.DUMMYFUNCTION("""COMPUTED_VALUE"""),"تزيت المصعد")</f>
        <v>تزيت المصعد</v>
      </c>
      <c r="G26" s="10"/>
      <c r="H26" s="10" t="str">
        <f ca="1">IFERROR(__xludf.DUMMYFUNCTION("""COMPUTED_VALUE"""),"كهرباء")</f>
        <v>كهرباء</v>
      </c>
      <c r="I26" s="12" t="str">
        <f ca="1">IFERROR(__xludf.DUMMYFUNCTION("""COMPUTED_VALUE"""),"منجز")</f>
        <v>منجز</v>
      </c>
      <c r="J26" s="19">
        <f ca="1">IFERROR(__xludf.DUMMYFUNCTION("""COMPUTED_VALUE"""),46081.3963923495)</f>
        <v>46081.396392349503</v>
      </c>
    </row>
    <row r="27" spans="1:10" ht="75" customHeight="1">
      <c r="A27" s="7">
        <f ca="1">IFERROR(__xludf.DUMMYFUNCTION("""COMPUTED_VALUE"""),46081.3876523032)</f>
        <v>46081.387652303201</v>
      </c>
      <c r="B27" s="18" t="str">
        <f ca="1">IFERROR(__xludf.DUMMYFUNCTION("""COMPUTED_VALUE"""),"المعملجي")</f>
        <v>المعملجي</v>
      </c>
      <c r="C27" s="9" t="str">
        <f ca="1">IFERROR(__xludf.DUMMYFUNCTION("""COMPUTED_VALUE"""),"قسم المشاريع الهندسية")</f>
        <v>قسم المشاريع الهندسية</v>
      </c>
      <c r="D27" s="10" t="str">
        <f ca="1">IFERROR(__xludf.DUMMYFUNCTION("""COMPUTED_VALUE"""),"H- ابتدائية القمر للبنات (الخامسة)")</f>
        <v>H- ابتدائية القمر للبنات (الخامسة)</v>
      </c>
      <c r="E27" s="10" t="str">
        <f ca="1">IFERROR(__xludf.DUMMYFUNCTION("""COMPUTED_VALUE"""),"الطابق الثاني")</f>
        <v>الطابق الثاني</v>
      </c>
      <c r="F27" s="10" t="str">
        <f ca="1">IFERROR(__xludf.DUMMYFUNCTION("""COMPUTED_VALUE"""),"تزيت المصعد")</f>
        <v>تزيت المصعد</v>
      </c>
      <c r="G27" s="10"/>
      <c r="H27" s="10" t="str">
        <f ca="1">IFERROR(__xludf.DUMMYFUNCTION("""COMPUTED_VALUE"""),"كهرباء")</f>
        <v>كهرباء</v>
      </c>
      <c r="I27" s="12" t="str">
        <f ca="1">IFERROR(__xludf.DUMMYFUNCTION("""COMPUTED_VALUE"""),"منجز")</f>
        <v>منجز</v>
      </c>
      <c r="J27" s="19">
        <f ca="1">IFERROR(__xludf.DUMMYFUNCTION("""COMPUTED_VALUE"""),46081.3963781828)</f>
        <v>46081.396378182799</v>
      </c>
    </row>
    <row r="28" spans="1:10" ht="75" customHeight="1">
      <c r="A28" s="7">
        <f ca="1">IFERROR(__xludf.DUMMYFUNCTION("""COMPUTED_VALUE"""),46081.3873251504)</f>
        <v>46081.387325150397</v>
      </c>
      <c r="B28" s="18" t="str">
        <f ca="1">IFERROR(__xludf.DUMMYFUNCTION("""COMPUTED_VALUE"""),"المعملجي")</f>
        <v>المعملجي</v>
      </c>
      <c r="C28" s="9" t="str">
        <f ca="1">IFERROR(__xludf.DUMMYFUNCTION("""COMPUTED_VALUE"""),"قسم المشاريع الهندسية")</f>
        <v>قسم المشاريع الهندسية</v>
      </c>
      <c r="D28" s="10" t="str">
        <f ca="1">IFERROR(__xludf.DUMMYFUNCTION("""COMPUTED_VALUE"""),"D- ثانوية العميد بناية المتوسطة  (الثانية)")</f>
        <v>D- ثانوية العميد بناية المتوسطة  (الثانية)</v>
      </c>
      <c r="E28" s="10" t="str">
        <f ca="1">IFERROR(__xludf.DUMMYFUNCTION("""COMPUTED_VALUE"""),"الطابق الثاني")</f>
        <v>الطابق الثاني</v>
      </c>
      <c r="F28" s="10" t="str">
        <f ca="1">IFERROR(__xludf.DUMMYFUNCTION("""COMPUTED_VALUE"""),"تزيت المصعد")</f>
        <v>تزيت المصعد</v>
      </c>
      <c r="G28" s="10"/>
      <c r="H28" s="10" t="str">
        <f ca="1">IFERROR(__xludf.DUMMYFUNCTION("""COMPUTED_VALUE"""),"كهرباء")</f>
        <v>كهرباء</v>
      </c>
      <c r="I28" s="12" t="str">
        <f ca="1">IFERROR(__xludf.DUMMYFUNCTION("""COMPUTED_VALUE"""),"منجز")</f>
        <v>منجز</v>
      </c>
      <c r="J28" s="19">
        <f ca="1">IFERROR(__xludf.DUMMYFUNCTION("""COMPUTED_VALUE"""),46081.3963735879)</f>
        <v>46081.396373587901</v>
      </c>
    </row>
    <row r="29" spans="1:10" ht="75" customHeight="1">
      <c r="A29" s="7">
        <f ca="1">IFERROR(__xludf.DUMMYFUNCTION("""COMPUTED_VALUE"""),46081.3858101967)</f>
        <v>46081.385810196698</v>
      </c>
      <c r="B29" s="18" t="str">
        <f ca="1">IFERROR(__xludf.DUMMYFUNCTION("""COMPUTED_VALUE"""),"المعملجي")</f>
        <v>المعملجي</v>
      </c>
      <c r="C29" s="9" t="str">
        <f ca="1">IFERROR(__xludf.DUMMYFUNCTION("""COMPUTED_VALUE"""),"قسم المشاريع الهندسية")</f>
        <v>قسم المشاريع الهندسية</v>
      </c>
      <c r="D29" s="10" t="str">
        <f ca="1">IFERROR(__xludf.DUMMYFUNCTION("""COMPUTED_VALUE"""),"I- ابتدائية الساقي للبنين (السادسة)")</f>
        <v>I- ابتدائية الساقي للبنين (السادسة)</v>
      </c>
      <c r="E29" s="10" t="str">
        <f ca="1">IFERROR(__xludf.DUMMYFUNCTION("""COMPUTED_VALUE"""),"الطابق الثاني")</f>
        <v>الطابق الثاني</v>
      </c>
      <c r="F29" s="10" t="str">
        <f ca="1">IFERROR(__xludf.DUMMYFUNCTION("""COMPUTED_VALUE"""),"تم صيانه المصعد بحيث كانه لايعمل بحالة Almanawal فوق مقصورة المصعد واعادته الى العمل بشكل جيد")</f>
        <v>تم صيانه المصعد بحيث كانه لايعمل بحالة Almanawal فوق مقصورة المصعد واعادته الى العمل بشكل جيد</v>
      </c>
      <c r="G29" s="10"/>
      <c r="H29" s="10" t="str">
        <f ca="1">IFERROR(__xludf.DUMMYFUNCTION("""COMPUTED_VALUE"""),"كهرباء")</f>
        <v>كهرباء</v>
      </c>
      <c r="I29" s="12" t="str">
        <f ca="1">IFERROR(__xludf.DUMMYFUNCTION("""COMPUTED_VALUE"""),"منجز")</f>
        <v>منجز</v>
      </c>
      <c r="J29" s="19">
        <f ca="1">IFERROR(__xludf.DUMMYFUNCTION("""COMPUTED_VALUE"""),46081.3963873611)</f>
        <v>46081.396387361099</v>
      </c>
    </row>
    <row r="30" spans="1:10" ht="75" customHeight="1">
      <c r="A30" s="7">
        <f ca="1">IFERROR(__xludf.DUMMYFUNCTION("""COMPUTED_VALUE"""),46081.3851086226)</f>
        <v>46081.385108622599</v>
      </c>
      <c r="B30" s="18" t="str">
        <f ca="1">IFERROR(__xludf.DUMMYFUNCTION("""COMPUTED_VALUE"""),"المعملجي")</f>
        <v>المعملجي</v>
      </c>
      <c r="C30" s="9" t="str">
        <f ca="1">IFERROR(__xludf.DUMMYFUNCTION("""COMPUTED_VALUE"""),"قسم المشاريع الهندسية")</f>
        <v>قسم المشاريع الهندسية</v>
      </c>
      <c r="D30" s="10" t="str">
        <f ca="1">IFERROR(__xludf.DUMMYFUNCTION("""COMPUTED_VALUE"""),"A- المركز الثقافي")</f>
        <v>A- المركز الثقافي</v>
      </c>
      <c r="E30" s="10" t="str">
        <f ca="1">IFERROR(__xludf.DUMMYFUNCTION("""COMPUTED_VALUE"""),"data center")</f>
        <v>data center</v>
      </c>
      <c r="F30" s="10" t="str">
        <f ca="1">IFERROR(__xludf.DUMMYFUNCTION("""COMPUTED_VALUE"""),"فحص منظومة UPS المركز (data center) بعد قطع الكهرباء عنهُ:-
*  الاول بعد اطفاء 35 دقيقة وصلت نسبة الشحن 93%
*  الثاني بعد اطفاء 35 دقيقة وصلت نسبة الشحن 94%")</f>
        <v>فحص منظومة UPS المركز (data center) بعد قطع الكهرباء عنهُ:-
*  الاول بعد اطفاء 35 دقيقة وصلت نسبة الشحن 93%
*  الثاني بعد اطفاء 35 دقيقة وصلت نسبة الشحن 94%</v>
      </c>
      <c r="G30" s="10"/>
      <c r="H30" s="10" t="str">
        <f ca="1">IFERROR(__xludf.DUMMYFUNCTION("""COMPUTED_VALUE"""),"كهرباء")</f>
        <v>كهرباء</v>
      </c>
      <c r="I30" s="12" t="str">
        <f ca="1">IFERROR(__xludf.DUMMYFUNCTION("""COMPUTED_VALUE"""),"منجز")</f>
        <v>منجز</v>
      </c>
      <c r="J30" s="19">
        <f ca="1">IFERROR(__xludf.DUMMYFUNCTION("""COMPUTED_VALUE"""),46081.3963514583)</f>
        <v>46081.396351458301</v>
      </c>
    </row>
    <row r="31" spans="1:10" ht="75" customHeight="1">
      <c r="A31" s="7">
        <f ca="1">IFERROR(__xludf.DUMMYFUNCTION("""COMPUTED_VALUE"""),46081.3839102083)</f>
        <v>46081.3839102083</v>
      </c>
      <c r="B31" s="18" t="str">
        <f ca="1">IFERROR(__xludf.DUMMYFUNCTION("""COMPUTED_VALUE"""),"المعملجي")</f>
        <v>المعملجي</v>
      </c>
      <c r="C31" s="9" t="str">
        <f ca="1">IFERROR(__xludf.DUMMYFUNCTION("""COMPUTED_VALUE"""),"قسم المشاريع الهندسية")</f>
        <v>قسم المشاريع الهندسية</v>
      </c>
      <c r="D31" s="10" t="str">
        <f ca="1">IFERROR(__xludf.DUMMYFUNCTION("""COMPUTED_VALUE"""),"شعبة الصيانة")</f>
        <v>شعبة الصيانة</v>
      </c>
      <c r="E31" s="10" t="str">
        <f ca="1">IFERROR(__xludf.DUMMYFUNCTION("""COMPUTED_VALUE"""),"وحدة المدني")</f>
        <v>وحدة المدني</v>
      </c>
      <c r="F31" s="10" t="str">
        <f ca="1">IFERROR(__xludf.DUMMYFUNCTION("""COMPUTED_VALUE"""),"ضافة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f>
        <v>ضافة بلك سويج مطري 13A  مع تسليك سنكل 1.5 ملم لونين لمسافة. 10 امتار من سيكرت الكهرباء في الكرفان  لغاية البلك سويج مع إضافة جوزة ايرث لكج نوع Rccb مع جوزة  CB 10A  وذلك ليكون مغذي دائمي لشحن السيارة الكهربائية مع إضافة ماشة 13A.</v>
      </c>
      <c r="G31" s="10"/>
      <c r="H31" s="10" t="str">
        <f ca="1">IFERROR(__xludf.DUMMYFUNCTION("""COMPUTED_VALUE"""),"كهرباء")</f>
        <v>كهرباء</v>
      </c>
      <c r="I31" s="12" t="str">
        <f ca="1">IFERROR(__xludf.DUMMYFUNCTION("""COMPUTED_VALUE"""),"منجز")</f>
        <v>منجز</v>
      </c>
      <c r="J31" s="19">
        <f ca="1">IFERROR(__xludf.DUMMYFUNCTION("""COMPUTED_VALUE"""),46081.3963648148)</f>
        <v>46081.396364814798</v>
      </c>
    </row>
    <row r="32" spans="1:10" ht="75" customHeight="1">
      <c r="A32" s="7">
        <f ca="1">IFERROR(__xludf.DUMMYFUNCTION("""COMPUTED_VALUE"""),46081.3831918402)</f>
        <v>46081.383191840199</v>
      </c>
      <c r="B32" s="18" t="str">
        <f ca="1">IFERROR(__xludf.DUMMYFUNCTION("""COMPUTED_VALUE"""),"المعملجي")</f>
        <v>المعملجي</v>
      </c>
      <c r="C32" s="9" t="str">
        <f ca="1">IFERROR(__xludf.DUMMYFUNCTION("""COMPUTED_VALUE"""),"قسم المشاريع الهندسية")</f>
        <v>قسم المشاريع الهندسية</v>
      </c>
      <c r="D32" s="10" t="str">
        <f ca="1">IFERROR(__xludf.DUMMYFUNCTION("""COMPUTED_VALUE"""),"A- المركز الثقافي")</f>
        <v>A- المركز الثقافي</v>
      </c>
      <c r="E32" s="10" t="str">
        <f ca="1">IFERROR(__xludf.DUMMYFUNCTION("""COMPUTED_VALUE"""),"الطابق الاول")</f>
        <v>الطابق الاول</v>
      </c>
      <c r="F32" s="10" t="str">
        <f ca="1">IFERROR(__xludf.DUMMYFUNCTION("""COMPUTED_VALUE"""),"فحص منظومة UPS المركز (F1) بعد قطع الكهرباء عنهُ:-
* حيث وصلت نسبة الشحن إلى 2٪ بعد إطفاء دام 31 دقيقة")</f>
        <v>فحص منظومة UPS المركز (F1) بعد قطع الكهرباء عنهُ:-
* حيث وصلت نسبة الشحن إلى 2٪ بعد إطفاء دام 31 دقيقة</v>
      </c>
      <c r="G32" s="10"/>
      <c r="H32" s="10" t="str">
        <f ca="1">IFERROR(__xludf.DUMMYFUNCTION("""COMPUTED_VALUE"""),"كهرباء")</f>
        <v>كهرباء</v>
      </c>
      <c r="I32" s="12" t="str">
        <f ca="1">IFERROR(__xludf.DUMMYFUNCTION("""COMPUTED_VALUE"""),"منجز")</f>
        <v>منجز</v>
      </c>
      <c r="J32" s="19">
        <f ca="1">IFERROR(__xludf.DUMMYFUNCTION("""COMPUTED_VALUE"""),46081.3963547916)</f>
        <v>46081.396354791599</v>
      </c>
    </row>
    <row r="33" spans="1:10" ht="75" customHeight="1">
      <c r="A33" s="7">
        <f ca="1">IFERROR(__xludf.DUMMYFUNCTION("""COMPUTED_VALUE"""),46081.3828263194)</f>
        <v>46081.382826319401</v>
      </c>
      <c r="B33" s="18" t="str">
        <f ca="1">IFERROR(__xludf.DUMMYFUNCTION("""COMPUTED_VALUE"""),"المعملجي")</f>
        <v>المعملجي</v>
      </c>
      <c r="C33" s="9" t="str">
        <f ca="1">IFERROR(__xludf.DUMMYFUNCTION("""COMPUTED_VALUE"""),"قسم المشاريع الهندسية")</f>
        <v>قسم المشاريع الهندسية</v>
      </c>
      <c r="D33" s="10" t="str">
        <f ca="1">IFERROR(__xludf.DUMMYFUNCTION("""COMPUTED_VALUE"""),"F-  ابتدائية جود العميد للبنات (الرابعة)")</f>
        <v>F-  ابتدائية جود العميد للبنات (الرابعة)</v>
      </c>
      <c r="E33" s="10" t="str">
        <f ca="1">IFERROR(__xludf.DUMMYFUNCTION("""COMPUTED_VALUE"""),"الطابق الثاني")</f>
        <v>الطابق الثاني</v>
      </c>
      <c r="F33" s="10" t="str">
        <f ca="1">IFERROR(__xludf.DUMMYFUNCTION("""COMPUTED_VALUE"""),"تزيت المصعد")</f>
        <v>تزيت المصعد</v>
      </c>
      <c r="G33" s="10"/>
      <c r="H33" s="10" t="str">
        <f ca="1">IFERROR(__xludf.DUMMYFUNCTION("""COMPUTED_VALUE"""),"كهرباء")</f>
        <v>كهرباء</v>
      </c>
      <c r="I33" s="12" t="str">
        <f ca="1">IFERROR(__xludf.DUMMYFUNCTION("""COMPUTED_VALUE"""),"منجز")</f>
        <v>منجز</v>
      </c>
      <c r="J33" s="19">
        <f ca="1">IFERROR(__xludf.DUMMYFUNCTION("""COMPUTED_VALUE"""),46081.3963235532)</f>
        <v>46081.396323553199</v>
      </c>
    </row>
    <row r="34" spans="1:10" ht="75" customHeight="1">
      <c r="A34" s="7">
        <f ca="1">IFERROR(__xludf.DUMMYFUNCTION("""COMPUTED_VALUE"""),46081.3821562268)</f>
        <v>46081.382156226799</v>
      </c>
      <c r="B34" s="18" t="str">
        <f ca="1">IFERROR(__xludf.DUMMYFUNCTION("""COMPUTED_VALUE"""),"المعملجي")</f>
        <v>المعملجي</v>
      </c>
      <c r="C34" s="9" t="str">
        <f ca="1">IFERROR(__xludf.DUMMYFUNCTION("""COMPUTED_VALUE"""),"قسم المشاريع الهندسية")</f>
        <v>قسم المشاريع الهندسية</v>
      </c>
      <c r="D34" s="10" t="str">
        <f ca="1">IFERROR(__xludf.DUMMYFUNCTION("""COMPUTED_VALUE"""),"E- ابتدائية العميد للبنات (الثالثة)")</f>
        <v>E- ابتدائية العميد للبنات (الثالثة)</v>
      </c>
      <c r="E34" s="10" t="str">
        <f ca="1">IFERROR(__xludf.DUMMYFUNCTION("""COMPUTED_VALUE"""),"الطابق الثاني")</f>
        <v>الطابق الثاني</v>
      </c>
      <c r="F34" s="10" t="str">
        <f ca="1">IFERROR(__xludf.DUMMYFUNCTION("""COMPUTED_VALUE"""),"تزيت المصعد")</f>
        <v>تزيت المصعد</v>
      </c>
      <c r="G34" s="10"/>
      <c r="H34" s="10" t="str">
        <f ca="1">IFERROR(__xludf.DUMMYFUNCTION("""COMPUTED_VALUE"""),"كهرباء")</f>
        <v>كهرباء</v>
      </c>
      <c r="I34" s="12" t="str">
        <f ca="1">IFERROR(__xludf.DUMMYFUNCTION("""COMPUTED_VALUE"""),"منجز")</f>
        <v>منجز</v>
      </c>
      <c r="J34" s="19">
        <f ca="1">IFERROR(__xludf.DUMMYFUNCTION("""COMPUTED_VALUE"""),46081.3823779282)</f>
        <v>46081.382377928203</v>
      </c>
    </row>
    <row r="35" spans="1:10" ht="75" customHeight="1">
      <c r="A35" s="7">
        <f ca="1">IFERROR(__xludf.DUMMYFUNCTION("""COMPUTED_VALUE"""),46081.3817446412)</f>
        <v>46081.381744641199</v>
      </c>
      <c r="B35" s="18" t="str">
        <f ca="1">IFERROR(__xludf.DUMMYFUNCTION("""COMPUTED_VALUE"""),"المعملجي")</f>
        <v>المعملجي</v>
      </c>
      <c r="C35" s="9" t="str">
        <f ca="1">IFERROR(__xludf.DUMMYFUNCTION("""COMPUTED_VALUE"""),"قسم المشاريع الهندسية")</f>
        <v>قسم المشاريع الهندسية</v>
      </c>
      <c r="D35" s="10" t="str">
        <f ca="1">IFERROR(__xludf.DUMMYFUNCTION("""COMPUTED_VALUE"""),"C- ثانوية العميد بناية الاعدادية  (الاولى)")</f>
        <v>C- ثانوية العميد بناية الاعدادية  (الاولى)</v>
      </c>
      <c r="E35" s="10" t="str">
        <f ca="1">IFERROR(__xludf.DUMMYFUNCTION("""COMPUTED_VALUE"""),"الطابق الثاني")</f>
        <v>الطابق الثاني</v>
      </c>
      <c r="F35" s="10" t="str">
        <f ca="1">IFERROR(__xludf.DUMMYFUNCTION("""COMPUTED_VALUE"""),"تزيت المصعد")</f>
        <v>تزيت المصعد</v>
      </c>
      <c r="G35" s="10"/>
      <c r="H35" s="10" t="str">
        <f ca="1">IFERROR(__xludf.DUMMYFUNCTION("""COMPUTED_VALUE"""),"كهرباء")</f>
        <v>كهرباء</v>
      </c>
      <c r="I35" s="12" t="str">
        <f ca="1">IFERROR(__xludf.DUMMYFUNCTION("""COMPUTED_VALUE"""),"منجز")</f>
        <v>منجز</v>
      </c>
      <c r="J35" s="19">
        <f ca="1">IFERROR(__xludf.DUMMYFUNCTION("""COMPUTED_VALUE"""),46081.3823641435)</f>
        <v>46081.382364143501</v>
      </c>
    </row>
    <row r="36" spans="1:10" ht="75" customHeight="1">
      <c r="A36" s="7">
        <f ca="1">IFERROR(__xludf.DUMMYFUNCTION("""COMPUTED_VALUE"""),46081.3812021643)</f>
        <v>46081.381202164303</v>
      </c>
      <c r="B36" s="18" t="str">
        <f ca="1">IFERROR(__xludf.DUMMYFUNCTION("""COMPUTED_VALUE"""),"المعملجي")</f>
        <v>المعملجي</v>
      </c>
      <c r="C36" s="9" t="str">
        <f ca="1">IFERROR(__xludf.DUMMYFUNCTION("""COMPUTED_VALUE"""),"قسم المشاريع الهندسية")</f>
        <v>قسم المشاريع الهندسية</v>
      </c>
      <c r="D36" s="10" t="str">
        <f ca="1">IFERROR(__xludf.DUMMYFUNCTION("""COMPUTED_VALUE"""),".")</f>
        <v>.</v>
      </c>
      <c r="E36" s="10" t="str">
        <f ca="1">IFERROR(__xludf.DUMMYFUNCTION("""COMPUTED_VALUE"""),"من غلافة كهرباء الثانية الى الثالثة")</f>
        <v>من غلافة كهرباء الثانية الى الثالثة</v>
      </c>
      <c r="F36" s="10" t="str">
        <f ca="1">IFERROR(__xludf.DUMMYFUNCTION("""COMPUTED_VALUE"""),"تم تسليك كيبل فلكس 2×1  بطول 25 متر")</f>
        <v>تم تسليك كيبل فلكس 2×1  بطول 25 متر</v>
      </c>
      <c r="G36" s="10"/>
      <c r="H36" s="10" t="str">
        <f ca="1">IFERROR(__xludf.DUMMYFUNCTION("""COMPUTED_VALUE"""),"كهرباء")</f>
        <v>كهرباء</v>
      </c>
      <c r="I36" s="12" t="str">
        <f ca="1">IFERROR(__xludf.DUMMYFUNCTION("""COMPUTED_VALUE"""),"منجز")</f>
        <v>منجز</v>
      </c>
      <c r="J36" s="19">
        <f ca="1">IFERROR(__xludf.DUMMYFUNCTION("""COMPUTED_VALUE"""),46081.3822961226)</f>
        <v>46081.382296122603</v>
      </c>
    </row>
    <row r="37" spans="1:10" ht="75" customHeight="1">
      <c r="A37" s="7">
        <f ca="1">IFERROR(__xludf.DUMMYFUNCTION("""COMPUTED_VALUE"""),46081.3805274074)</f>
        <v>46081.380527407397</v>
      </c>
      <c r="B37" s="18" t="str">
        <f ca="1">IFERROR(__xludf.DUMMYFUNCTION("""COMPUTED_VALUE"""),"المعملجي")</f>
        <v>المعملجي</v>
      </c>
      <c r="C37" s="9" t="str">
        <f ca="1">IFERROR(__xludf.DUMMYFUNCTION("""COMPUTED_VALUE"""),"قسم المشاريع الهندسية")</f>
        <v>قسم المشاريع الهندسية</v>
      </c>
      <c r="D37" s="10" t="str">
        <f ca="1">IFERROR(__xludf.DUMMYFUNCTION("""COMPUTED_VALUE"""),".")</f>
        <v>.</v>
      </c>
      <c r="E37" s="10" t="str">
        <f ca="1">IFERROR(__xludf.DUMMYFUNCTION("""COMPUTED_VALUE"""),"من الاولى الى الثانية")</f>
        <v>من الاولى الى الثانية</v>
      </c>
      <c r="F37" s="10" t="str">
        <f ca="1">IFERROR(__xludf.DUMMYFUNCTION("""COMPUTED_VALUE"""),"تم تسليك كيبل فلكس 2×1 بطول 150 متر")</f>
        <v>تم تسليك كيبل فلكس 2×1 بطول 150 متر</v>
      </c>
      <c r="G37" s="10"/>
      <c r="H37" s="10" t="str">
        <f ca="1">IFERROR(__xludf.DUMMYFUNCTION("""COMPUTED_VALUE"""),"كهرباء")</f>
        <v>كهرباء</v>
      </c>
      <c r="I37" s="12" t="str">
        <f ca="1">IFERROR(__xludf.DUMMYFUNCTION("""COMPUTED_VALUE"""),"منجز")</f>
        <v>منجز</v>
      </c>
      <c r="J37" s="19">
        <f ca="1">IFERROR(__xludf.DUMMYFUNCTION("""COMPUTED_VALUE"""),46081.3822593171)</f>
        <v>46081.382259317099</v>
      </c>
    </row>
    <row r="38" spans="1:10" ht="75" customHeight="1">
      <c r="A38" s="7">
        <f ca="1">IFERROR(__xludf.DUMMYFUNCTION("""COMPUTED_VALUE"""),46081.378985162)</f>
        <v>46081.378985162002</v>
      </c>
      <c r="B38" s="18" t="str">
        <f ca="1">IFERROR(__xludf.DUMMYFUNCTION("""COMPUTED_VALUE"""),"المعملجي")</f>
        <v>المعملجي</v>
      </c>
      <c r="C38" s="9" t="str">
        <f ca="1">IFERROR(__xludf.DUMMYFUNCTION("""COMPUTED_VALUE"""),"قسم المشاريع الهندسية")</f>
        <v>قسم المشاريع الهندسية</v>
      </c>
      <c r="D38" s="10" t="str">
        <f ca="1">IFERROR(__xludf.DUMMYFUNCTION("""COMPUTED_VALUE"""),"G- روضة الجود")</f>
        <v>G- روضة الجود</v>
      </c>
      <c r="E38" s="10" t="str">
        <f ca="1">IFERROR(__xludf.DUMMYFUNCTION("""COMPUTED_VALUE"""),"الطابق الثاني")</f>
        <v>الطابق الثاني</v>
      </c>
      <c r="F38" s="10" t="str">
        <f ca="1">IFERROR(__xludf.DUMMYFUNCTION("""COMPUTED_VALUE"""),"فحص منظومة UPS  بعد قطع الكهرباء عنهُ:-
* حيث وصلت نسبة الشحن إلى 95٪ بعد إطفاء دام 30 دقيقة ")</f>
        <v xml:space="preserve">فحص منظومة UPS  بعد قطع الكهرباء عنهُ:-
* حيث وصلت نسبة الشحن إلى 95٪ بعد إطفاء دام 30 دقيقة </v>
      </c>
      <c r="G38" s="10"/>
      <c r="H38" s="10" t="str">
        <f ca="1">IFERROR(__xludf.DUMMYFUNCTION("""COMPUTED_VALUE"""),"كهرباء")</f>
        <v>كهرباء</v>
      </c>
      <c r="I38" s="12" t="str">
        <f ca="1">IFERROR(__xludf.DUMMYFUNCTION("""COMPUTED_VALUE"""),"منجز")</f>
        <v>منجز</v>
      </c>
      <c r="J38" s="19">
        <f ca="1">IFERROR(__xludf.DUMMYFUNCTION("""COMPUTED_VALUE"""),46081.3795264004)</f>
        <v>46081.3795264004</v>
      </c>
    </row>
    <row r="39" spans="1:10" ht="75" customHeight="1">
      <c r="A39" s="7">
        <f ca="1">IFERROR(__xludf.DUMMYFUNCTION("""COMPUTED_VALUE"""),46081.3785527662)</f>
        <v>46081.378552766197</v>
      </c>
      <c r="B39" s="18" t="str">
        <f ca="1">IFERROR(__xludf.DUMMYFUNCTION("""COMPUTED_VALUE"""),"المعملجي")</f>
        <v>المعملجي</v>
      </c>
      <c r="C39" s="9" t="str">
        <f ca="1">IFERROR(__xludf.DUMMYFUNCTION("""COMPUTED_VALUE"""),"قسم المشاريع الهندسية")</f>
        <v>قسم المشاريع الهندسية</v>
      </c>
      <c r="D39" s="10" t="str">
        <f ca="1">IFERROR(__xludf.DUMMYFUNCTION("""COMPUTED_VALUE"""),".")</f>
        <v>.</v>
      </c>
      <c r="E39" s="10" t="str">
        <f ca="1">IFERROR(__xludf.DUMMYFUNCTION("""COMPUTED_VALUE"""),"من غرفة كهرباء محطة الرفع الى الاولى")</f>
        <v>من غرفة كهرباء محطة الرفع الى الاولى</v>
      </c>
      <c r="F39" s="10" t="str">
        <f ca="1">IFERROR(__xludf.DUMMYFUNCTION("""COMPUTED_VALUE"""),"تم تسليك كيبل فلكس 2×1  بطول 120 متر")</f>
        <v>تم تسليك كيبل فلكس 2×1  بطول 120 متر</v>
      </c>
      <c r="G39" s="10"/>
      <c r="H39" s="10" t="str">
        <f ca="1">IFERROR(__xludf.DUMMYFUNCTION("""COMPUTED_VALUE"""),"كهرباء")</f>
        <v>كهرباء</v>
      </c>
      <c r="I39" s="12" t="str">
        <f ca="1">IFERROR(__xludf.DUMMYFUNCTION("""COMPUTED_VALUE"""),"منجز")</f>
        <v>منجز</v>
      </c>
      <c r="J39" s="19">
        <f ca="1">IFERROR(__xludf.DUMMYFUNCTION("""COMPUTED_VALUE"""),46081.3795102083)</f>
        <v>46081.379510208302</v>
      </c>
    </row>
    <row r="40" spans="1:10" ht="75" customHeight="1">
      <c r="A40" s="7">
        <f ca="1">IFERROR(__xludf.DUMMYFUNCTION("""COMPUTED_VALUE"""),46081.3768896064)</f>
        <v>46081.376889606399</v>
      </c>
      <c r="B40" s="18" t="str">
        <f ca="1">IFERROR(__xludf.DUMMYFUNCTION("""COMPUTED_VALUE"""),"المعملجي")</f>
        <v>المعملجي</v>
      </c>
      <c r="C40" s="9" t="str">
        <f ca="1">IFERROR(__xludf.DUMMYFUNCTION("""COMPUTED_VALUE"""),"قسم المشاريع الهندسية")</f>
        <v>قسم المشاريع الهندسية</v>
      </c>
      <c r="D40" s="10" t="str">
        <f ca="1">IFERROR(__xludf.DUMMYFUNCTION("""COMPUTED_VALUE"""),"الشارع")</f>
        <v>الشارع</v>
      </c>
      <c r="E40" s="10" t="str">
        <f ca="1">IFERROR(__xludf.DUMMYFUNCTION("""COMPUTED_VALUE"""),"مقابل الاولى C")</f>
        <v>مقابل الاولى C</v>
      </c>
      <c r="F40" s="10" t="str">
        <f ca="1">IFERROR(__xludf.DUMMYFUNCTION("""COMPUTED_VALUE"""),"إعادة تثبيت وتوجيه بلاجكتور 200w في احد الاعمدة ")</f>
        <v xml:space="preserve">إعادة تثبيت وتوجيه بلاجكتور 200w في احد الاعمدة </v>
      </c>
      <c r="G40" s="10"/>
      <c r="H40" s="10" t="str">
        <f ca="1">IFERROR(__xludf.DUMMYFUNCTION("""COMPUTED_VALUE"""),"كهرباء")</f>
        <v>كهرباء</v>
      </c>
      <c r="I40" s="12" t="str">
        <f ca="1">IFERROR(__xludf.DUMMYFUNCTION("""COMPUTED_VALUE"""),"منجز")</f>
        <v>منجز</v>
      </c>
      <c r="J40" s="19">
        <f ca="1">IFERROR(__xludf.DUMMYFUNCTION("""COMPUTED_VALUE"""),46081.3796037037)</f>
        <v>46081.379603703703</v>
      </c>
    </row>
    <row r="41" spans="1:10" ht="75" customHeight="1">
      <c r="A41" s="7">
        <f ca="1">IFERROR(__xludf.DUMMYFUNCTION("""COMPUTED_VALUE"""),46081.3762824652)</f>
        <v>46081.3762824652</v>
      </c>
      <c r="B41" s="18" t="str">
        <f ca="1">IFERROR(__xludf.DUMMYFUNCTION("""COMPUTED_VALUE"""),"المعملجي")</f>
        <v>المعملجي</v>
      </c>
      <c r="C41" s="9" t="str">
        <f ca="1">IFERROR(__xludf.DUMMYFUNCTION("""COMPUTED_VALUE"""),"قسم المشاريع الهندسية")</f>
        <v>قسم المشاريع الهندسية</v>
      </c>
      <c r="D41" s="10" t="str">
        <f ca="1">IFERROR(__xludf.DUMMYFUNCTION("""COMPUTED_VALUE"""),"A- المركز الثقافي")</f>
        <v>A- المركز الثقافي</v>
      </c>
      <c r="E41" s="10" t="str">
        <f ca="1">IFERROR(__xludf.DUMMYFUNCTION("""COMPUTED_VALUE"""),".")</f>
        <v>.</v>
      </c>
      <c r="F41" s="10" t="str">
        <f ca="1">IFERROR(__xludf.DUMMYFUNCTION("""COMPUTED_VALUE"""),"اعادة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مع"&amp;"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f>
        <v>اعادة منظومة تحسين معامل القدرة لمحولة المركز الثقافي بعدما كانت متوقفة نتيجة لربط سيطرة خاطئ
حيث تم تصحيح الخطأ من خلال تسليك فلكس 2x4 ملم من بورد قاطع المحولة الرئيسي (قبل المنظومة) لقراءة التيار المسحوب ومده الى شاشتي التحكم بتشغيل 16 وحدة وبالتوالي مع بعض مع التأكد من اقطاب الربط (فولتيات وتيارات) والتأكد من صحة قراءاتها مع تجربتها بتشغيل أحمال حثية بقدرة 120Kw/85KVAr حيث استجابت المنظومة للخسائر الحاصلة وعملت على تصحيحها بصورة اوتوماتيكية.</v>
      </c>
      <c r="G41" s="10"/>
      <c r="H41" s="10" t="str">
        <f ca="1">IFERROR(__xludf.DUMMYFUNCTION("""COMPUTED_VALUE"""),"كهرباء")</f>
        <v>كهرباء</v>
      </c>
      <c r="I41" s="12" t="str">
        <f ca="1">IFERROR(__xludf.DUMMYFUNCTION("""COMPUTED_VALUE"""),"منجز")</f>
        <v>منجز</v>
      </c>
      <c r="J41" s="19">
        <f ca="1">IFERROR(__xludf.DUMMYFUNCTION("""COMPUTED_VALUE"""),46081.3795802777)</f>
        <v>46081.379580277702</v>
      </c>
    </row>
    <row r="42" spans="1:10" ht="75" customHeight="1">
      <c r="A42" s="7">
        <f ca="1">IFERROR(__xludf.DUMMYFUNCTION("""COMPUTED_VALUE"""),46079.3739242708)</f>
        <v>46079.373924270803</v>
      </c>
      <c r="B42" s="18" t="str">
        <f ca="1">IFERROR(__xludf.DUMMYFUNCTION("""COMPUTED_VALUE"""),"المعملجي")</f>
        <v>المعملجي</v>
      </c>
      <c r="C42" s="9" t="str">
        <f ca="1">IFERROR(__xludf.DUMMYFUNCTION("""COMPUTED_VALUE"""),"قسم التربية والتعليم العالي")</f>
        <v>قسم التربية والتعليم العالي</v>
      </c>
      <c r="D42" s="10" t="str">
        <f ca="1">IFERROR(__xludf.DUMMYFUNCTION("""COMPUTED_VALUE"""),"H- ابتدائية القمر للبنات (الخامسة)")</f>
        <v>H- ابتدائية القمر للبنات (الخامسة)</v>
      </c>
      <c r="E42" s="10" t="str">
        <f ca="1">IFERROR(__xludf.DUMMYFUNCTION("""COMPUTED_VALUE"""),"الطابق الارضي")</f>
        <v>الطابق الارضي</v>
      </c>
      <c r="F42" s="10" t="str">
        <f ca="1">IFERROR(__xludf.DUMMYFUNCTION("""COMPUTED_VALUE"""),"صيانة سبورت لايت في الدرج الصاعد الى الساحة المستطيلة ")</f>
        <v xml:space="preserve">صيانة سبورت لايت في الدرج الصاعد الى الساحة المستطيلة </v>
      </c>
      <c r="G42" s="10"/>
      <c r="H42" s="10" t="str">
        <f ca="1">IFERROR(__xludf.DUMMYFUNCTION("""COMPUTED_VALUE"""),"كهرباء")</f>
        <v>كهرباء</v>
      </c>
      <c r="I42" s="12" t="str">
        <f ca="1">IFERROR(__xludf.DUMMYFUNCTION("""COMPUTED_VALUE"""),"منجز")</f>
        <v>منجز</v>
      </c>
      <c r="J42" s="19"/>
    </row>
    <row r="43" spans="1:10" ht="75" customHeight="1">
      <c r="A43" s="7">
        <f ca="1">IFERROR(__xludf.DUMMYFUNCTION("""COMPUTED_VALUE"""),46077.504280162)</f>
        <v>46077.504280162</v>
      </c>
      <c r="B43" s="18" t="str">
        <f ca="1">IFERROR(__xludf.DUMMYFUNCTION("""COMPUTED_VALUE"""),"المعملجي")</f>
        <v>المعملجي</v>
      </c>
      <c r="C43" s="9" t="str">
        <f ca="1">IFERROR(__xludf.DUMMYFUNCTION("""COMPUTED_VALUE"""),"قسم التربية والتعليم العالي")</f>
        <v>قسم التربية والتعليم العالي</v>
      </c>
      <c r="D43" s="10" t="str">
        <f ca="1">IFERROR(__xludf.DUMMYFUNCTION("""COMPUTED_VALUE"""),"B- روضة القمر")</f>
        <v>B- روضة القمر</v>
      </c>
      <c r="E43" s="10" t="str">
        <f ca="1">IFERROR(__xludf.DUMMYFUNCTION("""COMPUTED_VALUE"""),"الطابق الارضي")</f>
        <v>الطابق الارضي</v>
      </c>
      <c r="F43" s="10" t="str">
        <f ca="1">IFERROR(__xludf.DUMMYFUNCTION("""COMPUTED_VALUE"""),"صيانة مكنسة كهربائية ")</f>
        <v xml:space="preserve">صيانة مكنسة كهربائية </v>
      </c>
      <c r="G43" s="10"/>
      <c r="H43" s="10" t="str">
        <f ca="1">IFERROR(__xludf.DUMMYFUNCTION("""COMPUTED_VALUE"""),"كهرباء")</f>
        <v>كهرباء</v>
      </c>
      <c r="I43" s="12" t="str">
        <f ca="1">IFERROR(__xludf.DUMMYFUNCTION("""COMPUTED_VALUE"""),"تابع للتربية")</f>
        <v>تابع للتربية</v>
      </c>
      <c r="J43" s="19">
        <f ca="1">IFERROR(__xludf.DUMMYFUNCTION("""COMPUTED_VALUE"""),46077.5359088194)</f>
        <v>46077.535908819402</v>
      </c>
    </row>
    <row r="44" spans="1:10" ht="75" customHeight="1">
      <c r="A44" s="7">
        <f ca="1">IFERROR(__xludf.DUMMYFUNCTION("""COMPUTED_VALUE"""),46077.5037227893)</f>
        <v>46077.503722789297</v>
      </c>
      <c r="B44" s="18" t="str">
        <f ca="1">IFERROR(__xludf.DUMMYFUNCTION("""COMPUTED_VALUE"""),"المعملجي")</f>
        <v>المعملجي</v>
      </c>
      <c r="C44" s="9" t="str">
        <f ca="1">IFERROR(__xludf.DUMMYFUNCTION("""COMPUTED_VALUE"""),"قسم التربية والتعليم العالي")</f>
        <v>قسم التربية والتعليم العالي</v>
      </c>
      <c r="D44" s="10" t="str">
        <f ca="1">IFERROR(__xludf.DUMMYFUNCTION("""COMPUTED_VALUE"""),"F-  ابتدائية جود العميد للبنات (الرابعة)")</f>
        <v>F-  ابتدائية جود العميد للبنات (الرابعة)</v>
      </c>
      <c r="E44" s="10" t="str">
        <f ca="1">IFERROR(__xludf.DUMMYFUNCTION("""COMPUTED_VALUE"""),"الطابق الارضي")</f>
        <v>الطابق الارضي</v>
      </c>
      <c r="F44" s="10" t="str">
        <f ca="1">IFERROR(__xludf.DUMMYFUNCTION("""COMPUTED_VALUE"""),"صيانة نقطة كهرباء ")</f>
        <v xml:space="preserve">صيانة نقطة كهرباء </v>
      </c>
      <c r="G44" s="10"/>
      <c r="H44" s="10" t="str">
        <f ca="1">IFERROR(__xludf.DUMMYFUNCTION("""COMPUTED_VALUE"""),"كهرباء")</f>
        <v>كهرباء</v>
      </c>
      <c r="I44" s="12" t="str">
        <f ca="1">IFERROR(__xludf.DUMMYFUNCTION("""COMPUTED_VALUE"""),"منجز")</f>
        <v>منجز</v>
      </c>
      <c r="J44" s="19">
        <f ca="1">IFERROR(__xludf.DUMMYFUNCTION("""COMPUTED_VALUE"""),46078.4161322569)</f>
        <v>46078.416132256898</v>
      </c>
    </row>
    <row r="45" spans="1:10" ht="75" customHeight="1">
      <c r="A45" s="7">
        <f ca="1">IFERROR(__xludf.DUMMYFUNCTION("""COMPUTED_VALUE"""),46075.4142624884)</f>
        <v>46075.414262488397</v>
      </c>
      <c r="B45" s="18" t="str">
        <f ca="1">IFERROR(__xludf.DUMMYFUNCTION("""COMPUTED_VALUE"""),"المعملجي")</f>
        <v>المعملجي</v>
      </c>
      <c r="C45" s="9" t="str">
        <f ca="1">IFERROR(__xludf.DUMMYFUNCTION("""COMPUTED_VALUE"""),"قسم التربية والتعليم العالي")</f>
        <v>قسم التربية والتعليم العالي</v>
      </c>
      <c r="D45" s="10" t="str">
        <f ca="1">IFERROR(__xludf.DUMMYFUNCTION("""COMPUTED_VALUE"""),"C- ثانوية العميد بناية الاعدادية  (الاولى)")</f>
        <v>C- ثانوية العميد بناية الاعدادية  (الاولى)</v>
      </c>
      <c r="E45" s="10" t="str">
        <f ca="1">IFERROR(__xludf.DUMMYFUNCTION("""COMPUTED_VALUE"""),"الطابق الارضي")</f>
        <v>الطابق الارضي</v>
      </c>
      <c r="F45" s="10" t="str">
        <f ca="1">IFERROR(__xludf.DUMMYFUNCTION("""COMPUTED_VALUE"""),"صيانة مصعد ")</f>
        <v xml:space="preserve">صيانة مصعد </v>
      </c>
      <c r="G45" s="10"/>
      <c r="H45" s="10" t="str">
        <f ca="1">IFERROR(__xludf.DUMMYFUNCTION("""COMPUTED_VALUE"""),"كهرباء")</f>
        <v>كهرباء</v>
      </c>
      <c r="I45" s="12" t="str">
        <f ca="1">IFERROR(__xludf.DUMMYFUNCTION("""COMPUTED_VALUE"""),"منجز")</f>
        <v>منجز</v>
      </c>
      <c r="J45" s="19">
        <f ca="1">IFERROR(__xludf.DUMMYFUNCTION("""COMPUTED_VALUE"""),46075.5066824074)</f>
        <v>46075.506682407402</v>
      </c>
    </row>
    <row r="46" spans="1:10" ht="75" customHeight="1">
      <c r="A46" s="7">
        <f ca="1">IFERROR(__xludf.DUMMYFUNCTION("""COMPUTED_VALUE"""),46072.3690681597)</f>
        <v>46072.3690681597</v>
      </c>
      <c r="B46" s="18" t="str">
        <f ca="1">IFERROR(__xludf.DUMMYFUNCTION("""COMPUTED_VALUE"""),"المعملجي")</f>
        <v>المعملجي</v>
      </c>
      <c r="C46" s="9" t="str">
        <f ca="1">IFERROR(__xludf.DUMMYFUNCTION("""COMPUTED_VALUE"""),"قسم التربية والتعليم العالي")</f>
        <v>قسم التربية والتعليم العالي</v>
      </c>
      <c r="D46" s="10" t="str">
        <f ca="1">IFERROR(__xludf.DUMMYFUNCTION("""COMPUTED_VALUE"""),"C- ثانوية العميد بناية الاعدادية  (الاولى)")</f>
        <v>C- ثانوية العميد بناية الاعدادية  (الاولى)</v>
      </c>
      <c r="E46" s="10" t="str">
        <f ca="1">IFERROR(__xludf.DUMMYFUNCTION("""COMPUTED_VALUE"""),"الطابق الارضي")</f>
        <v>الطابق الارضي</v>
      </c>
      <c r="F46" s="10" t="str">
        <f ca="1">IFERROR(__xludf.DUMMYFUNCTION("""COMPUTED_VALUE"""),"صيانة مصعد")</f>
        <v>صيانة مصعد</v>
      </c>
      <c r="G46" s="10"/>
      <c r="H46" s="10" t="str">
        <f ca="1">IFERROR(__xludf.DUMMYFUNCTION("""COMPUTED_VALUE"""),"كهرباء")</f>
        <v>كهرباء</v>
      </c>
      <c r="I46" s="12" t="str">
        <f ca="1">IFERROR(__xludf.DUMMYFUNCTION("""COMPUTED_VALUE"""),"منجز")</f>
        <v>منجز</v>
      </c>
      <c r="J46" s="19">
        <f ca="1">IFERROR(__xludf.DUMMYFUNCTION("""COMPUTED_VALUE"""),46076.3198904976)</f>
        <v>46076.319890497602</v>
      </c>
    </row>
    <row r="47" spans="1:10" ht="75" customHeight="1">
      <c r="A47" s="7">
        <f ca="1">IFERROR(__xludf.DUMMYFUNCTION("""COMPUTED_VALUE"""),46071.3827596296)</f>
        <v>46071.382759629603</v>
      </c>
      <c r="B47" s="18" t="str">
        <f ca="1">IFERROR(__xludf.DUMMYFUNCTION("""COMPUTED_VALUE"""),"المعملجي")</f>
        <v>المعملجي</v>
      </c>
      <c r="C47" s="9" t="str">
        <f ca="1">IFERROR(__xludf.DUMMYFUNCTION("""COMPUTED_VALUE"""),"قسم التربية والتعليم العالي")</f>
        <v>قسم التربية والتعليم العالي</v>
      </c>
      <c r="D47" s="10" t="str">
        <f ca="1">IFERROR(__xludf.DUMMYFUNCTION("""COMPUTED_VALUE"""),"H- ابتدائية القمر للبنات (الخامسة)")</f>
        <v>H- ابتدائية القمر للبنات (الخامسة)</v>
      </c>
      <c r="E47" s="10" t="str">
        <f ca="1">IFERROR(__xludf.DUMMYFUNCTION("""COMPUTED_VALUE"""),"الطابق الارضي")</f>
        <v>الطابق الارضي</v>
      </c>
      <c r="F47" s="10" t="str">
        <f ca="1">IFERROR(__xludf.DUMMYFUNCTION("""COMPUTED_VALUE"""),"تبديل ضوء صيانه انارة")</f>
        <v>تبديل ضوء صيانه انارة</v>
      </c>
      <c r="G47" s="10"/>
      <c r="H47" s="10" t="str">
        <f ca="1">IFERROR(__xludf.DUMMYFUNCTION("""COMPUTED_VALUE"""),"كهرباء")</f>
        <v>كهرباء</v>
      </c>
      <c r="I47" s="12" t="str">
        <f ca="1">IFERROR(__xludf.DUMMYFUNCTION("""COMPUTED_VALUE"""),"مؤجل")</f>
        <v>مؤجل</v>
      </c>
      <c r="J47" s="19">
        <f ca="1">IFERROR(__xludf.DUMMYFUNCTION("""COMPUTED_VALUE"""),46072.051717905)</f>
        <v>46072.051717905</v>
      </c>
    </row>
    <row r="48" spans="1:10" ht="75" customHeight="1">
      <c r="A48" s="7">
        <f ca="1">IFERROR(__xludf.DUMMYFUNCTION("""COMPUTED_VALUE"""),46068.5055412615)</f>
        <v>46068.505541261497</v>
      </c>
      <c r="B48" s="18" t="str">
        <f ca="1">IFERROR(__xludf.DUMMYFUNCTION("""COMPUTED_VALUE"""),"المعملجي")</f>
        <v>المعملجي</v>
      </c>
      <c r="C48" s="9" t="str">
        <f ca="1">IFERROR(__xludf.DUMMYFUNCTION("""COMPUTED_VALUE"""),"قسم المشاريع الهندسية")</f>
        <v>قسم المشاريع الهندسية</v>
      </c>
      <c r="D48" s="10" t="str">
        <f ca="1">IFERROR(__xludf.DUMMYFUNCTION("""COMPUTED_VALUE"""),"F-  ابتدائية جود العميد للبنات (الرابعة)")</f>
        <v>F-  ابتدائية جود العميد للبنات (الرابعة)</v>
      </c>
      <c r="E48" s="10" t="str">
        <f ca="1">IFERROR(__xludf.DUMMYFUNCTION("""COMPUTED_VALUE"""),"الطابق الارضي")</f>
        <v>الطابق الارضي</v>
      </c>
      <c r="F48" s="10" t="str">
        <f ca="1">IFERROR(__xludf.DUMMYFUNCTION("""COMPUTED_VALUE"""),"إدخال المدرسة بالشبكة الجديدة و إعادة تعيين IP لكل شاشة و تعيين الشاشة الرئيسية والفرعية")</f>
        <v>إدخال المدرسة بالشبكة الجديدة و إعادة تعيين IP لكل شاشة و تعيين الشاشة الرئيسية والفرعية</v>
      </c>
      <c r="G48" s="10"/>
      <c r="H48" s="10" t="str">
        <f ca="1">IFERROR(__xludf.DUMMYFUNCTION("""COMPUTED_VALUE"""),"كهرباء")</f>
        <v>كهرباء</v>
      </c>
      <c r="I48" s="12" t="str">
        <f ca="1">IFERROR(__xludf.DUMMYFUNCTION("""COMPUTED_VALUE"""),"منجز")</f>
        <v>منجز</v>
      </c>
      <c r="J48" s="19">
        <f ca="1">IFERROR(__xludf.DUMMYFUNCTION("""COMPUTED_VALUE"""),46068.5063756134)</f>
        <v>46068.506375613397</v>
      </c>
    </row>
    <row r="49" spans="1:10" ht="75" customHeight="1">
      <c r="A49" s="7">
        <f ca="1">IFERROR(__xludf.DUMMYFUNCTION("""COMPUTED_VALUE"""),46068.5051379513)</f>
        <v>46068.505137951302</v>
      </c>
      <c r="B49" s="18" t="str">
        <f ca="1">IFERROR(__xludf.DUMMYFUNCTION("""COMPUTED_VALUE"""),"المعملجي")</f>
        <v>المعملجي</v>
      </c>
      <c r="C49" s="9" t="str">
        <f ca="1">IFERROR(__xludf.DUMMYFUNCTION("""COMPUTED_VALUE"""),"قسم المشاريع الهندسية")</f>
        <v>قسم المشاريع الهندسية</v>
      </c>
      <c r="D49" s="10" t="str">
        <f ca="1">IFERROR(__xludf.DUMMYFUNCTION("""COMPUTED_VALUE"""),"J- جامعة العميد (السابعة)")</f>
        <v>J- جامعة العميد (السابعة)</v>
      </c>
      <c r="E49" s="10" t="str">
        <f ca="1">IFERROR(__xludf.DUMMYFUNCTION("""COMPUTED_VALUE"""),".")</f>
        <v>.</v>
      </c>
      <c r="F49" s="10" t="str">
        <f ca="1">IFERROR(__xludf.DUMMYFUNCTION("""COMPUTED_VALUE"""),"تم تنظيف سيلات المصاعد")</f>
        <v>تم تنظيف سيلات المصاعد</v>
      </c>
      <c r="G49" s="10"/>
      <c r="H49" s="10" t="str">
        <f ca="1">IFERROR(__xludf.DUMMYFUNCTION("""COMPUTED_VALUE"""),"كهرباء")</f>
        <v>كهرباء</v>
      </c>
      <c r="I49" s="12" t="str">
        <f ca="1">IFERROR(__xludf.DUMMYFUNCTION("""COMPUTED_VALUE"""),"منجز")</f>
        <v>منجز</v>
      </c>
      <c r="J49" s="19">
        <f ca="1">IFERROR(__xludf.DUMMYFUNCTION("""COMPUTED_VALUE"""),46068.5063677546)</f>
        <v>46068.506367754599</v>
      </c>
    </row>
    <row r="50" spans="1:10" ht="75" customHeight="1">
      <c r="A50" s="7">
        <f ca="1">IFERROR(__xludf.DUMMYFUNCTION("""COMPUTED_VALUE"""),46068.5048932291)</f>
        <v>46068.504893229103</v>
      </c>
      <c r="B50" s="18" t="str">
        <f ca="1">IFERROR(__xludf.DUMMYFUNCTION("""COMPUTED_VALUE"""),"المعملجي")</f>
        <v>المعملجي</v>
      </c>
      <c r="C50" s="9" t="str">
        <f ca="1">IFERROR(__xludf.DUMMYFUNCTION("""COMPUTED_VALUE"""),"قسم المشاريع الهندسية")</f>
        <v>قسم المشاريع الهندسية</v>
      </c>
      <c r="D50" s="10" t="str">
        <f ca="1">IFERROR(__xludf.DUMMYFUNCTION("""COMPUTED_VALUE"""),"I- ابتدائية الساقي للبنين (السادسة)")</f>
        <v>I- ابتدائية الساقي للبنين (السادسة)</v>
      </c>
      <c r="E50" s="10" t="str">
        <f ca="1">IFERROR(__xludf.DUMMYFUNCTION("""COMPUTED_VALUE"""),".")</f>
        <v>.</v>
      </c>
      <c r="F50" s="10" t="str">
        <f ca="1">IFERROR(__xludf.DUMMYFUNCTION("""COMPUTED_VALUE"""),"تم تنظيف سيلات المصاعد")</f>
        <v>تم تنظيف سيلات المصاعد</v>
      </c>
      <c r="G50" s="10"/>
      <c r="H50" s="10" t="str">
        <f ca="1">IFERROR(__xludf.DUMMYFUNCTION("""COMPUTED_VALUE"""),"كهرباء")</f>
        <v>كهرباء</v>
      </c>
      <c r="I50" s="12" t="str">
        <f ca="1">IFERROR(__xludf.DUMMYFUNCTION("""COMPUTED_VALUE"""),"منجز")</f>
        <v>منجز</v>
      </c>
      <c r="J50" s="19">
        <f ca="1">IFERROR(__xludf.DUMMYFUNCTION("""COMPUTED_VALUE"""),46068.5063541203)</f>
        <v>46068.506354120298</v>
      </c>
    </row>
    <row r="51" spans="1:10" ht="75" customHeight="1">
      <c r="A51" s="7">
        <f ca="1">IFERROR(__xludf.DUMMYFUNCTION("""COMPUTED_VALUE"""),46068.5046968402)</f>
        <v>46068.504696840202</v>
      </c>
      <c r="B51" s="18" t="str">
        <f ca="1">IFERROR(__xludf.DUMMYFUNCTION("""COMPUTED_VALUE"""),"المعملجي")</f>
        <v>المعملجي</v>
      </c>
      <c r="C51" s="9" t="str">
        <f ca="1">IFERROR(__xludf.DUMMYFUNCTION("""COMPUTED_VALUE"""),"قسم المشاريع الهندسية")</f>
        <v>قسم المشاريع الهندسية</v>
      </c>
      <c r="D51" s="10" t="str">
        <f ca="1">IFERROR(__xludf.DUMMYFUNCTION("""COMPUTED_VALUE"""),"H- ابتدائية القمر للبنات (الخامسة)")</f>
        <v>H- ابتدائية القمر للبنات (الخامسة)</v>
      </c>
      <c r="E51" s="10" t="str">
        <f ca="1">IFERROR(__xludf.DUMMYFUNCTION("""COMPUTED_VALUE"""),".")</f>
        <v>.</v>
      </c>
      <c r="F51" s="10" t="str">
        <f ca="1">IFERROR(__xludf.DUMMYFUNCTION("""COMPUTED_VALUE"""),"تم تنظيف سيلات المصاعد")</f>
        <v>تم تنظيف سيلات المصاعد</v>
      </c>
      <c r="G51" s="10"/>
      <c r="H51" s="10" t="str">
        <f ca="1">IFERROR(__xludf.DUMMYFUNCTION("""COMPUTED_VALUE"""),"كهرباء")</f>
        <v>كهرباء</v>
      </c>
      <c r="I51" s="12" t="str">
        <f ca="1">IFERROR(__xludf.DUMMYFUNCTION("""COMPUTED_VALUE"""),"منجز")</f>
        <v>منجز</v>
      </c>
      <c r="J51" s="19">
        <f ca="1">IFERROR(__xludf.DUMMYFUNCTION("""COMPUTED_VALUE"""),46068.506347662)</f>
        <v>46068.506347661998</v>
      </c>
    </row>
    <row r="52" spans="1:10" ht="75" customHeight="1">
      <c r="A52" s="7">
        <f ca="1">IFERROR(__xludf.DUMMYFUNCTION("""COMPUTED_VALUE"""),46068.5034363078)</f>
        <v>46068.503436307801</v>
      </c>
      <c r="B52" s="18" t="str">
        <f ca="1">IFERROR(__xludf.DUMMYFUNCTION("""COMPUTED_VALUE"""),"المعملجي")</f>
        <v>المعملجي</v>
      </c>
      <c r="C52" s="9" t="str">
        <f ca="1">IFERROR(__xludf.DUMMYFUNCTION("""COMPUTED_VALUE"""),"قسم المشاريع الهندسية")</f>
        <v>قسم المشاريع الهندسية</v>
      </c>
      <c r="D52" s="10" t="str">
        <f ca="1">IFERROR(__xludf.DUMMYFUNCTION("""COMPUTED_VALUE"""),"F-  ابتدائية جود العميد للبنات (الرابعة)")</f>
        <v>F-  ابتدائية جود العميد للبنات (الرابعة)</v>
      </c>
      <c r="E52" s="10" t="str">
        <f ca="1">IFERROR(__xludf.DUMMYFUNCTION("""COMPUTED_VALUE"""),"الطابق الارضي")</f>
        <v>الطابق الارضي</v>
      </c>
      <c r="F52" s="10" t="str">
        <f ca="1">IFERROR(__xludf.DUMMYFUNCTION("""COMPUTED_VALUE"""),"تم تنظيف سيلات المصاعد")</f>
        <v>تم تنظيف سيلات المصاعد</v>
      </c>
      <c r="G52" s="10"/>
      <c r="H52" s="10" t="str">
        <f ca="1">IFERROR(__xludf.DUMMYFUNCTION("""COMPUTED_VALUE"""),"كهرباء")</f>
        <v>كهرباء</v>
      </c>
      <c r="I52" s="12" t="str">
        <f ca="1">IFERROR(__xludf.DUMMYFUNCTION("""COMPUTED_VALUE"""),"منجز")</f>
        <v>منجز</v>
      </c>
      <c r="J52" s="19">
        <f ca="1">IFERROR(__xludf.DUMMYFUNCTION("""COMPUTED_VALUE"""),46068.5063354745)</f>
        <v>46068.5063354745</v>
      </c>
    </row>
    <row r="53" spans="1:10" ht="75" customHeight="1">
      <c r="A53" s="7">
        <f ca="1">IFERROR(__xludf.DUMMYFUNCTION("""COMPUTED_VALUE"""),46068.5031901851)</f>
        <v>46068.503190185103</v>
      </c>
      <c r="B53" s="18" t="str">
        <f ca="1">IFERROR(__xludf.DUMMYFUNCTION("""COMPUTED_VALUE"""),"المعملجي")</f>
        <v>المعملجي</v>
      </c>
      <c r="C53" s="9" t="str">
        <f ca="1">IFERROR(__xludf.DUMMYFUNCTION("""COMPUTED_VALUE"""),"قسم المشاريع الهندسية")</f>
        <v>قسم المشاريع الهندسية</v>
      </c>
      <c r="D53" s="10" t="str">
        <f ca="1">IFERROR(__xludf.DUMMYFUNCTION("""COMPUTED_VALUE"""),"E- ابتدائية العميد للبنات (الثالثة)")</f>
        <v>E- ابتدائية العميد للبنات (الثالثة)</v>
      </c>
      <c r="E53" s="10" t="str">
        <f ca="1">IFERROR(__xludf.DUMMYFUNCTION("""COMPUTED_VALUE"""),".")</f>
        <v>.</v>
      </c>
      <c r="F53" s="10" t="str">
        <f ca="1">IFERROR(__xludf.DUMMYFUNCTION("""COMPUTED_VALUE"""),"تم تنظيف سيلات المصاعد")</f>
        <v>تم تنظيف سيلات المصاعد</v>
      </c>
      <c r="G53" s="10"/>
      <c r="H53" s="10" t="str">
        <f ca="1">IFERROR(__xludf.DUMMYFUNCTION("""COMPUTED_VALUE"""),"كهرباء")</f>
        <v>كهرباء</v>
      </c>
      <c r="I53" s="12" t="str">
        <f ca="1">IFERROR(__xludf.DUMMYFUNCTION("""COMPUTED_VALUE"""),"منجز")</f>
        <v>منجز</v>
      </c>
      <c r="J53" s="19">
        <f ca="1">IFERROR(__xludf.DUMMYFUNCTION("""COMPUTED_VALUE"""),46068.5063205092)</f>
        <v>46068.506320509201</v>
      </c>
    </row>
    <row r="54" spans="1:10" ht="75" customHeight="1">
      <c r="A54" s="7">
        <f ca="1">IFERROR(__xludf.DUMMYFUNCTION("""COMPUTED_VALUE"""),46068.5030174537)</f>
        <v>46068.503017453702</v>
      </c>
      <c r="B54" s="18" t="str">
        <f ca="1">IFERROR(__xludf.DUMMYFUNCTION("""COMPUTED_VALUE"""),"المعملجي")</f>
        <v>المعملجي</v>
      </c>
      <c r="C54" s="9" t="str">
        <f ca="1">IFERROR(__xludf.DUMMYFUNCTION("""COMPUTED_VALUE"""),"قسم المشاريع الهندسية")</f>
        <v>قسم المشاريع الهندسية</v>
      </c>
      <c r="D54" s="10" t="str">
        <f ca="1">IFERROR(__xludf.DUMMYFUNCTION("""COMPUTED_VALUE"""),"D- ثانوية العميد بناية المتوسطة  (الثانية)")</f>
        <v>D- ثانوية العميد بناية المتوسطة  (الثانية)</v>
      </c>
      <c r="E54" s="10" t="str">
        <f ca="1">IFERROR(__xludf.DUMMYFUNCTION("""COMPUTED_VALUE"""),".")</f>
        <v>.</v>
      </c>
      <c r="F54" s="10" t="str">
        <f ca="1">IFERROR(__xludf.DUMMYFUNCTION("""COMPUTED_VALUE"""),"تم تنظيف سيلات المصاعد")</f>
        <v>تم تنظيف سيلات المصاعد</v>
      </c>
      <c r="G54" s="10"/>
      <c r="H54" s="10" t="str">
        <f ca="1">IFERROR(__xludf.DUMMYFUNCTION("""COMPUTED_VALUE"""),"كهرباء")</f>
        <v>كهرباء</v>
      </c>
      <c r="I54" s="12" t="str">
        <f ca="1">IFERROR(__xludf.DUMMYFUNCTION("""COMPUTED_VALUE"""),"منجز")</f>
        <v>منجز</v>
      </c>
      <c r="J54" s="19">
        <f ca="1">IFERROR(__xludf.DUMMYFUNCTION("""COMPUTED_VALUE"""),46068.5063112037)</f>
        <v>46068.506311203702</v>
      </c>
    </row>
    <row r="55" spans="1:10" ht="75" customHeight="1">
      <c r="A55" s="7">
        <f ca="1">IFERROR(__xludf.DUMMYFUNCTION("""COMPUTED_VALUE"""),46068.5027386342)</f>
        <v>46068.502738634197</v>
      </c>
      <c r="B55" s="18" t="str">
        <f ca="1">IFERROR(__xludf.DUMMYFUNCTION("""COMPUTED_VALUE"""),"المعملجي")</f>
        <v>المعملجي</v>
      </c>
      <c r="C55" s="9" t="str">
        <f ca="1">IFERROR(__xludf.DUMMYFUNCTION("""COMPUTED_VALUE"""),"قسم المشاريع الهندسية")</f>
        <v>قسم المشاريع الهندسية</v>
      </c>
      <c r="D55" s="10" t="str">
        <f ca="1">IFERROR(__xludf.DUMMYFUNCTION("""COMPUTED_VALUE"""),"C- ثانوية العميد بناية الاعدادية  (الاولى)")</f>
        <v>C- ثانوية العميد بناية الاعدادية  (الاولى)</v>
      </c>
      <c r="E55" s="10" t="str">
        <f ca="1">IFERROR(__xludf.DUMMYFUNCTION("""COMPUTED_VALUE"""),".")</f>
        <v>.</v>
      </c>
      <c r="F55" s="10" t="str">
        <f ca="1">IFERROR(__xludf.DUMMYFUNCTION("""COMPUTED_VALUE"""),"تم تنظيف سيلات المصاعد")</f>
        <v>تم تنظيف سيلات المصاعد</v>
      </c>
      <c r="G55" s="10"/>
      <c r="H55" s="10" t="str">
        <f ca="1">IFERROR(__xludf.DUMMYFUNCTION("""COMPUTED_VALUE"""),"كهرباء")</f>
        <v>كهرباء</v>
      </c>
      <c r="I55" s="12" t="str">
        <f ca="1">IFERROR(__xludf.DUMMYFUNCTION("""COMPUTED_VALUE"""),"منجز")</f>
        <v>منجز</v>
      </c>
      <c r="J55" s="19">
        <f ca="1">IFERROR(__xludf.DUMMYFUNCTION("""COMPUTED_VALUE"""),46068.5063098379)</f>
        <v>46068.506309837903</v>
      </c>
    </row>
    <row r="56" spans="1:10" ht="75" customHeight="1">
      <c r="A56" s="7">
        <f ca="1">IFERROR(__xludf.DUMMYFUNCTION("""COMPUTED_VALUE"""),46068.5025797801)</f>
        <v>46068.502579780099</v>
      </c>
      <c r="B56" s="18" t="str">
        <f ca="1">IFERROR(__xludf.DUMMYFUNCTION("""COMPUTED_VALUE"""),"المعملجي")</f>
        <v>المعملجي</v>
      </c>
      <c r="C56" s="9" t="str">
        <f ca="1">IFERROR(__xludf.DUMMYFUNCTION("""COMPUTED_VALUE"""),"قسم المشاريع الهندسية")</f>
        <v>قسم المشاريع الهندسية</v>
      </c>
      <c r="D56" s="10" t="str">
        <f ca="1">IFERROR(__xludf.DUMMYFUNCTION("""COMPUTED_VALUE"""),"G- روضة الجود")</f>
        <v>G- روضة الجود</v>
      </c>
      <c r="E56" s="10" t="str">
        <f ca="1">IFERROR(__xludf.DUMMYFUNCTION("""COMPUTED_VALUE"""),".")</f>
        <v>.</v>
      </c>
      <c r="F56" s="10" t="str">
        <f ca="1">IFERROR(__xludf.DUMMYFUNCTION("""COMPUTED_VALUE"""),"تم تنظيف سيلات المصاعد")</f>
        <v>تم تنظيف سيلات المصاعد</v>
      </c>
      <c r="G56" s="10"/>
      <c r="H56" s="10" t="str">
        <f ca="1">IFERROR(__xludf.DUMMYFUNCTION("""COMPUTED_VALUE"""),"كهرباء")</f>
        <v>كهرباء</v>
      </c>
      <c r="I56" s="12" t="str">
        <f ca="1">IFERROR(__xludf.DUMMYFUNCTION("""COMPUTED_VALUE"""),"منجز")</f>
        <v>منجز</v>
      </c>
      <c r="J56" s="19">
        <f ca="1">IFERROR(__xludf.DUMMYFUNCTION("""COMPUTED_VALUE"""),46068.5062901388)</f>
        <v>46068.506290138801</v>
      </c>
    </row>
    <row r="57" spans="1:10" ht="75" customHeight="1">
      <c r="A57" s="7">
        <f ca="1">IFERROR(__xludf.DUMMYFUNCTION("""COMPUTED_VALUE"""),46068.5020616319)</f>
        <v>46068.502061631902</v>
      </c>
      <c r="B57" s="18" t="str">
        <f ca="1">IFERROR(__xludf.DUMMYFUNCTION("""COMPUTED_VALUE"""),"المعملجي")</f>
        <v>المعملجي</v>
      </c>
      <c r="C57" s="9" t="str">
        <f ca="1">IFERROR(__xludf.DUMMYFUNCTION("""COMPUTED_VALUE"""),"قسم المشاريع الهندسية")</f>
        <v>قسم المشاريع الهندسية</v>
      </c>
      <c r="D57" s="10" t="str">
        <f ca="1">IFERROR(__xludf.DUMMYFUNCTION("""COMPUTED_VALUE"""),"B- روضة القمر")</f>
        <v>B- روضة القمر</v>
      </c>
      <c r="E57" s="10" t="str">
        <f ca="1">IFERROR(__xludf.DUMMYFUNCTION("""COMPUTED_VALUE"""),".")</f>
        <v>.</v>
      </c>
      <c r="F57" s="10" t="str">
        <f ca="1">IFERROR(__xludf.DUMMYFUNCTION("""COMPUTED_VALUE"""),"تم تنظيف سيلات المصاعد")</f>
        <v>تم تنظيف سيلات المصاعد</v>
      </c>
      <c r="G57" s="10"/>
      <c r="H57" s="10" t="str">
        <f ca="1">IFERROR(__xludf.DUMMYFUNCTION("""COMPUTED_VALUE"""),"كهرباء")</f>
        <v>كهرباء</v>
      </c>
      <c r="I57" s="12" t="str">
        <f ca="1">IFERROR(__xludf.DUMMYFUNCTION("""COMPUTED_VALUE"""),"منجز")</f>
        <v>منجز</v>
      </c>
      <c r="J57" s="19">
        <f ca="1">IFERROR(__xludf.DUMMYFUNCTION("""COMPUTED_VALUE"""),46068.5062716088)</f>
        <v>46068.5062716088</v>
      </c>
    </row>
    <row r="58" spans="1:10" ht="75" customHeight="1">
      <c r="A58" s="7">
        <f ca="1">IFERROR(__xludf.DUMMYFUNCTION("""COMPUTED_VALUE"""),46068.5018690856)</f>
        <v>46068.501869085601</v>
      </c>
      <c r="B58" s="18" t="str">
        <f ca="1">IFERROR(__xludf.DUMMYFUNCTION("""COMPUTED_VALUE"""),"المعملجي")</f>
        <v>المعملجي</v>
      </c>
      <c r="C58" s="9" t="str">
        <f ca="1">IFERROR(__xludf.DUMMYFUNCTION("""COMPUTED_VALUE"""),"قسم المشاريع الهندسية")</f>
        <v>قسم المشاريع الهندسية</v>
      </c>
      <c r="D58" s="10" t="str">
        <f ca="1">IFERROR(__xludf.DUMMYFUNCTION("""COMPUTED_VALUE"""),"A- المركز الثقافي")</f>
        <v>A- المركز الثقافي</v>
      </c>
      <c r="E58" s="10" t="str">
        <f ca="1">IFERROR(__xludf.DUMMYFUNCTION("""COMPUTED_VALUE"""),".")</f>
        <v>.</v>
      </c>
      <c r="F58" s="10" t="str">
        <f ca="1">IFERROR(__xludf.DUMMYFUNCTION("""COMPUTED_VALUE"""),"تم تنظيف سيلات المصاعد")</f>
        <v>تم تنظيف سيلات المصاعد</v>
      </c>
      <c r="G58" s="10"/>
      <c r="H58" s="10" t="str">
        <f ca="1">IFERROR(__xludf.DUMMYFUNCTION("""COMPUTED_VALUE"""),"كهرباء")</f>
        <v>كهرباء</v>
      </c>
      <c r="I58" s="12" t="str">
        <f ca="1">IFERROR(__xludf.DUMMYFUNCTION("""COMPUTED_VALUE"""),"منجز")</f>
        <v>منجز</v>
      </c>
      <c r="J58" s="19">
        <f ca="1">IFERROR(__xludf.DUMMYFUNCTION("""COMPUTED_VALUE"""),46068.5062753472)</f>
        <v>46068.506275347201</v>
      </c>
    </row>
    <row r="59" spans="1:10" ht="75" customHeight="1">
      <c r="A59" s="7">
        <f ca="1">IFERROR(__xludf.DUMMYFUNCTION("""COMPUTED_VALUE"""),46068.5014339236)</f>
        <v>46068.5014339236</v>
      </c>
      <c r="B59" s="18" t="str">
        <f ca="1">IFERROR(__xludf.DUMMYFUNCTION("""COMPUTED_VALUE"""),"المعملجي")</f>
        <v>المعملجي</v>
      </c>
      <c r="C59" s="9" t="str">
        <f ca="1">IFERROR(__xludf.DUMMYFUNCTION("""COMPUTED_VALUE"""),"قسم المشاريع الهندسية")</f>
        <v>قسم المشاريع الهندسية</v>
      </c>
      <c r="D59" s="10" t="str">
        <f ca="1">IFERROR(__xludf.DUMMYFUNCTION("""COMPUTED_VALUE"""),"H- ابتدائية القمر للبنات (الخامسة)")</f>
        <v>H- ابتدائية القمر للبنات (الخامسة)</v>
      </c>
      <c r="E59" s="10" t="str">
        <f ca="1">IFERROR(__xludf.DUMMYFUNCTION("""COMPUTED_VALUE"""),"الطابق الارضي")</f>
        <v>الطابق الارضي</v>
      </c>
      <c r="F59" s="10" t="str">
        <f ca="1">IFERROR(__xludf.DUMMYFUNCTION("""COMPUTED_VALUE"""),"اكمال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f>
        <v>اكمال ربط وتجهيز المدرسة الخامسة من الطاقة الشمسية (S2) المضافة حديثا. حيث تم إعادة ربط انارة غرفة الكهرباء الرئيسية في الزون A طابق ارضي بالطاقة الشمسية (L+N)  و تغذية بلك سويج 13A و حساس الحركة.</v>
      </c>
      <c r="G59" s="10"/>
      <c r="H59" s="10" t="str">
        <f ca="1">IFERROR(__xludf.DUMMYFUNCTION("""COMPUTED_VALUE"""),"كهرباء")</f>
        <v>كهرباء</v>
      </c>
      <c r="I59" s="12" t="str">
        <f ca="1">IFERROR(__xludf.DUMMYFUNCTION("""COMPUTED_VALUE"""),"منجز")</f>
        <v>منجز</v>
      </c>
      <c r="J59" s="19">
        <f ca="1">IFERROR(__xludf.DUMMYFUNCTION("""COMPUTED_VALUE"""),46068.5062477199)</f>
        <v>46068.506247719903</v>
      </c>
    </row>
    <row r="60" spans="1:10" ht="75" customHeight="1">
      <c r="A60" s="7">
        <f ca="1">IFERROR(__xludf.DUMMYFUNCTION("""COMPUTED_VALUE"""),46068.5008950694)</f>
        <v>46068.500895069403</v>
      </c>
      <c r="B60" s="18" t="str">
        <f ca="1">IFERROR(__xludf.DUMMYFUNCTION("""COMPUTED_VALUE"""),"المعملجي")</f>
        <v>المعملجي</v>
      </c>
      <c r="C60" s="9" t="str">
        <f ca="1">IFERROR(__xludf.DUMMYFUNCTION("""COMPUTED_VALUE"""),"قسم المشاريع الهندسية")</f>
        <v>قسم المشاريع الهندسية</v>
      </c>
      <c r="D60" s="10" t="str">
        <f ca="1">IFERROR(__xludf.DUMMYFUNCTION("""COMPUTED_VALUE"""),"D- ثانوية العميد بناية المتوسطة  (الثانية)")</f>
        <v>D- ثانوية العميد بناية المتوسطة  (الثانية)</v>
      </c>
      <c r="E60" s="10" t="str">
        <f ca="1">IFERROR(__xludf.DUMMYFUNCTION("""COMPUTED_VALUE"""),"الطابق الارضي")</f>
        <v>الطابق الارضي</v>
      </c>
      <c r="F60" s="10" t="str">
        <f ca="1">IFERROR(__xludf.DUMMYFUNCTION("""COMPUTED_VALUE"""),"إدخال المدرسة بالشبكة الجديدة و إعادة تعيين IP لكل شاشة و تعيين الشاشة الرئيسية والفرعية")</f>
        <v>إدخال المدرسة بالشبكة الجديدة و إعادة تعيين IP لكل شاشة و تعيين الشاشة الرئيسية والفرعية</v>
      </c>
      <c r="G60" s="10"/>
      <c r="H60" s="10" t="str">
        <f ca="1">IFERROR(__xludf.DUMMYFUNCTION("""COMPUTED_VALUE"""),"كهرباء")</f>
        <v>كهرباء</v>
      </c>
      <c r="I60" s="12" t="str">
        <f ca="1">IFERROR(__xludf.DUMMYFUNCTION("""COMPUTED_VALUE"""),"منجز")</f>
        <v>منجز</v>
      </c>
      <c r="J60" s="19">
        <f ca="1">IFERROR(__xludf.DUMMYFUNCTION("""COMPUTED_VALUE"""),46068.5062358912)</f>
        <v>46068.506235891196</v>
      </c>
    </row>
    <row r="61" spans="1:10" ht="75" customHeight="1">
      <c r="A61" s="7">
        <f ca="1">IFERROR(__xludf.DUMMYFUNCTION("""COMPUTED_VALUE"""),46068.5005592361)</f>
        <v>46068.500559236098</v>
      </c>
      <c r="B61" s="18" t="str">
        <f ca="1">IFERROR(__xludf.DUMMYFUNCTION("""COMPUTED_VALUE"""),"المعملجي")</f>
        <v>المعملجي</v>
      </c>
      <c r="C61" s="9" t="str">
        <f ca="1">IFERROR(__xludf.DUMMYFUNCTION("""COMPUTED_VALUE"""),"قسم المشاريع الهندسية")</f>
        <v>قسم المشاريع الهندسية</v>
      </c>
      <c r="D61" s="10" t="str">
        <f ca="1">IFERROR(__xludf.DUMMYFUNCTION("""COMPUTED_VALUE"""),"F-  ابتدائية جود العميد للبنات (الرابعة)")</f>
        <v>F-  ابتدائية جود العميد للبنات (الرابعة)</v>
      </c>
      <c r="E61" s="10" t="str">
        <f ca="1">IFERROR(__xludf.DUMMYFUNCTION("""COMPUTED_VALUE"""),"الطابق الارضي")</f>
        <v>الطابق الارضي</v>
      </c>
      <c r="F61" s="10" t="str">
        <f ca="1">IFERROR(__xludf.DUMMYFUNCTION("""COMPUTED_VALUE"""),"تجهيز وحدة التبريد بحاسبة (لابتوب HP) لتشغيل اجهزة التبريد المركزي فقط .
(تم تجهيز الحاسبة من قبل قسم التربية والتعليم).")</f>
        <v>تجهيز وحدة التبريد بحاسبة (لابتوب HP) لتشغيل اجهزة التبريد المركزي فقط .
(تم تجهيز الحاسبة من قبل قسم التربية والتعليم).</v>
      </c>
      <c r="G61" s="10"/>
      <c r="H61" s="10" t="str">
        <f ca="1">IFERROR(__xludf.DUMMYFUNCTION("""COMPUTED_VALUE"""),"كهرباء")</f>
        <v>كهرباء</v>
      </c>
      <c r="I61" s="12" t="str">
        <f ca="1">IFERROR(__xludf.DUMMYFUNCTION("""COMPUTED_VALUE"""),"منجز")</f>
        <v>منجز</v>
      </c>
      <c r="J61" s="19">
        <f ca="1">IFERROR(__xludf.DUMMYFUNCTION("""COMPUTED_VALUE"""),46068.5062306712)</f>
        <v>46068.506230671199</v>
      </c>
    </row>
    <row r="62" spans="1:10" ht="75" customHeight="1">
      <c r="A62" s="7">
        <f ca="1">IFERROR(__xludf.DUMMYFUNCTION("""COMPUTED_VALUE"""),46068.5002764583)</f>
        <v>46068.500276458297</v>
      </c>
      <c r="B62" s="18" t="str">
        <f ca="1">IFERROR(__xludf.DUMMYFUNCTION("""COMPUTED_VALUE"""),"المعملجي")</f>
        <v>المعملجي</v>
      </c>
      <c r="C62" s="9" t="str">
        <f ca="1">IFERROR(__xludf.DUMMYFUNCTION("""COMPUTED_VALUE"""),"قسم المشاريع الهندسية")</f>
        <v>قسم المشاريع الهندسية</v>
      </c>
      <c r="D62" s="10" t="str">
        <f ca="1">IFERROR(__xludf.DUMMYFUNCTION("""COMPUTED_VALUE"""),"H- ابتدائية القمر للبنات (الخامسة)")</f>
        <v>H- ابتدائية القمر للبنات (الخامسة)</v>
      </c>
      <c r="E62" s="10" t="str">
        <f ca="1">IFERROR(__xludf.DUMMYFUNCTION("""COMPUTED_VALUE"""),"الطابق الارضي")</f>
        <v>الطابق الارضي</v>
      </c>
      <c r="F62" s="10" t="str">
        <f ca="1">IFERROR(__xludf.DUMMYFUNCTION("""COMPUTED_VALUE"""),"البحث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"&amp;"مغذى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عنها"&amp;".")</f>
        <v>البحث عن مسار لتغذية المدرسة الخامسة من منظومة الطاقة الشمسية للروضة B (الطاقة S2) حيث تم ايجاد قابلوا (4x16) ممتد من الزون B الى الزون A في المدرسة السادسة وتم استغلاله لأرجاع التغذية الى الزون A مع كل مايلزم من ثنابل وغيرها. حيث ان الزون B لهذه المدرسة مغذى بالطاقة S2. وفي الزون A تم ايجاد قابلوا سابق واصل الى المدرسة الخامسة وكذلك تم استغلاله للتوصيل بين السادسة والخامسة خلال قاطع حجم 40A وبذلك تم أخيرا توصيل الطاقة S2 الى المدرسة الخامسة والتخلي عن الطاقة S1 القادمة من محطة الرفع ليتم تخفيف الحمل عنها.</v>
      </c>
      <c r="G62" s="10"/>
      <c r="H62" s="10" t="str">
        <f ca="1">IFERROR(__xludf.DUMMYFUNCTION("""COMPUTED_VALUE"""),"كهرباء")</f>
        <v>كهرباء</v>
      </c>
      <c r="I62" s="12" t="str">
        <f ca="1">IFERROR(__xludf.DUMMYFUNCTION("""COMPUTED_VALUE"""),"منجز")</f>
        <v>منجز</v>
      </c>
      <c r="J62" s="19">
        <f ca="1">IFERROR(__xludf.DUMMYFUNCTION("""COMPUTED_VALUE"""),46068.5062236342)</f>
        <v>46068.506223634198</v>
      </c>
    </row>
    <row r="63" spans="1:10" ht="75" customHeight="1">
      <c r="A63" s="7">
        <f ca="1">IFERROR(__xludf.DUMMYFUNCTION("""COMPUTED_VALUE"""),46068.5000017361)</f>
        <v>46068.500001736102</v>
      </c>
      <c r="B63" s="18" t="str">
        <f ca="1">IFERROR(__xludf.DUMMYFUNCTION("""COMPUTED_VALUE"""),"المعملجي")</f>
        <v>المعملجي</v>
      </c>
      <c r="C63" s="9" t="str">
        <f ca="1">IFERROR(__xludf.DUMMYFUNCTION("""COMPUTED_VALUE"""),"قسم المشاريع الهندسية")</f>
        <v>قسم المشاريع الهندسية</v>
      </c>
      <c r="D63" s="10" t="str">
        <f ca="1">IFERROR(__xludf.DUMMYFUNCTION("""COMPUTED_VALUE"""),"F-  ابتدائية جود العميد للبنات (الرابعة)")</f>
        <v>F-  ابتدائية جود العميد للبنات (الرابعة)</v>
      </c>
      <c r="E63" s="10" t="str">
        <f ca="1">IFERROR(__xludf.DUMMYFUNCTION("""COMPUTED_VALUE"""),"الطابق الارضي")</f>
        <v>الطابق الارضي</v>
      </c>
      <c r="F63" s="10" t="str">
        <f ca="1">IFERROR(__xludf.DUMMYFUNCTION("""COMPUTED_VALUE"""),"سحب كيبل data من غرفة المرقاب المجاورة لغرفة الكهرباء و إعادة تسليكهُ الى غرفة الكهرباء وتثبيته في Keystone.
*النقطة لغرض ربط حاسبة وحدة التبريد*")</f>
        <v>سحب كيبل data من غرفة المرقاب المجاورة لغرفة الكهرباء و إعادة تسليكهُ الى غرفة الكهرباء وتثبيته في Keystone.
*النقطة لغرض ربط حاسبة وحدة التبريد*</v>
      </c>
      <c r="G63" s="10"/>
      <c r="H63" s="10" t="str">
        <f ca="1">IFERROR(__xludf.DUMMYFUNCTION("""COMPUTED_VALUE"""),"كهرباء")</f>
        <v>كهرباء</v>
      </c>
      <c r="I63" s="12" t="str">
        <f ca="1">IFERROR(__xludf.DUMMYFUNCTION("""COMPUTED_VALUE"""),"منجز")</f>
        <v>منجز</v>
      </c>
      <c r="J63" s="19">
        <f ca="1">IFERROR(__xludf.DUMMYFUNCTION("""COMPUTED_VALUE"""),46068.5061919907)</f>
        <v>46068.506191990702</v>
      </c>
    </row>
    <row r="64" spans="1:10" ht="75" customHeight="1">
      <c r="A64" s="7">
        <f ca="1">IFERROR(__xludf.DUMMYFUNCTION("""COMPUTED_VALUE"""),46068.4996565046)</f>
        <v>46068.499656504602</v>
      </c>
      <c r="B64" s="18" t="str">
        <f ca="1">IFERROR(__xludf.DUMMYFUNCTION("""COMPUTED_VALUE"""),"المعملجي")</f>
        <v>المعملجي</v>
      </c>
      <c r="C64" s="9" t="str">
        <f ca="1">IFERROR(__xludf.DUMMYFUNCTION("""COMPUTED_VALUE"""),"قسم المشاريع الهندسية")</f>
        <v>قسم المشاريع الهندسية</v>
      </c>
      <c r="D64" s="10" t="str">
        <f ca="1">IFERROR(__xludf.DUMMYFUNCTION("""COMPUTED_VALUE"""),"H- ابتدائية القمر للبنات (الخامسة)")</f>
        <v>H- ابتدائية القمر للبنات (الخامسة)</v>
      </c>
      <c r="E64" s="10" t="str">
        <f ca="1">IFERROR(__xludf.DUMMYFUNCTION("""COMPUTED_VALUE"""),"الطابق الارضي, جناح الساحة ZONE B")</f>
        <v>الطابق الارضي, جناح الساحة ZONE B</v>
      </c>
      <c r="F64" s="10" t="str">
        <f ca="1">IFERROR(__xludf.DUMMYFUNCTION("""COMPUTED_VALUE"""),"ادخال المدرسة بالشبكة الجديدة و إعادة تعيين IP لكل شاشة و تعيين الشاشة الرئيسية والفرعية")</f>
        <v>ادخال المدرسة بالشبكة الجديدة و إعادة تعيين IP لكل شاشة و تعيين الشاشة الرئيسية والفرعية</v>
      </c>
      <c r="G64" s="10"/>
      <c r="H64" s="10" t="str">
        <f ca="1">IFERROR(__xludf.DUMMYFUNCTION("""COMPUTED_VALUE"""),"كهرباء")</f>
        <v>كهرباء</v>
      </c>
      <c r="I64" s="12" t="str">
        <f ca="1">IFERROR(__xludf.DUMMYFUNCTION("""COMPUTED_VALUE"""),"منجز")</f>
        <v>منجز</v>
      </c>
      <c r="J64" s="19">
        <f ca="1">IFERROR(__xludf.DUMMYFUNCTION("""COMPUTED_VALUE"""),46068.5061497338)</f>
        <v>46068.506149733803</v>
      </c>
    </row>
    <row r="65" spans="1:10" ht="75" customHeight="1">
      <c r="A65" s="7">
        <f ca="1">IFERROR(__xludf.DUMMYFUNCTION("""COMPUTED_VALUE"""),46068.4978193055)</f>
        <v>46068.497819305499</v>
      </c>
      <c r="B65" s="18" t="str">
        <f ca="1">IFERROR(__xludf.DUMMYFUNCTION("""COMPUTED_VALUE"""),"المعملجي")</f>
        <v>المعملجي</v>
      </c>
      <c r="C65" s="9" t="str">
        <f ca="1">IFERROR(__xludf.DUMMYFUNCTION("""COMPUTED_VALUE"""),"قسم المشاريع الهندسية")</f>
        <v>قسم المشاريع الهندسية</v>
      </c>
      <c r="D65" s="10" t="str">
        <f ca="1">IFERROR(__xludf.DUMMYFUNCTION("""COMPUTED_VALUE"""),"F-  ابتدائية جود العميد للبنات (الرابعة)")</f>
        <v>F-  ابتدائية جود العميد للبنات (الرابعة)</v>
      </c>
      <c r="E65" s="10" t="str">
        <f ca="1">IFERROR(__xludf.DUMMYFUNCTION("""COMPUTED_VALUE"""),"الطابق الارضي, غرفة الكهرباء")</f>
        <v>الطابق الارضي, غرفة الكهرباء</v>
      </c>
      <c r="F65" s="10" t="str">
        <f ca="1">IFERROR(__xludf.DUMMYFUNCTION("""COMPUTED_VALUE"""),"اضافة نقطة كهرباء جديدة UPS بجانب القديمة وتمت تغذيتها منها.")</f>
        <v>اضافة نقطة كهرباء جديدة UPS بجانب القديمة وتمت تغذيتها منها.</v>
      </c>
      <c r="G65" s="10"/>
      <c r="H65" s="10" t="str">
        <f ca="1">IFERROR(__xludf.DUMMYFUNCTION("""COMPUTED_VALUE"""),"كهرباء")</f>
        <v>كهرباء</v>
      </c>
      <c r="I65" s="12" t="str">
        <f ca="1">IFERROR(__xludf.DUMMYFUNCTION("""COMPUTED_VALUE"""),"منجز")</f>
        <v>منجز</v>
      </c>
      <c r="J65" s="19">
        <f ca="1">IFERROR(__xludf.DUMMYFUNCTION("""COMPUTED_VALUE"""),46068.5061675925)</f>
        <v>46068.506167592503</v>
      </c>
    </row>
    <row r="66" spans="1:10" ht="75" customHeight="1">
      <c r="A66" s="7">
        <f ca="1">IFERROR(__xludf.DUMMYFUNCTION("""COMPUTED_VALUE"""),46068.4972867592)</f>
        <v>46068.497286759201</v>
      </c>
      <c r="B66" s="18" t="str">
        <f ca="1">IFERROR(__xludf.DUMMYFUNCTION("""COMPUTED_VALUE"""),"المعملجي")</f>
        <v>المعملجي</v>
      </c>
      <c r="C66" s="9" t="str">
        <f ca="1">IFERROR(__xludf.DUMMYFUNCTION("""COMPUTED_VALUE"""),"قسم المشاريع الهندسية")</f>
        <v>قسم المشاريع الهندسية</v>
      </c>
      <c r="D66" s="10" t="str">
        <f ca="1">IFERROR(__xludf.DUMMYFUNCTION("""COMPUTED_VALUE"""),"B- روضة القمر")</f>
        <v>B- روضة القمر</v>
      </c>
      <c r="E66" s="10" t="str">
        <f ca="1">IFERROR(__xludf.DUMMYFUNCTION("""COMPUTED_VALUE"""),"القاعة مقابل الالعاب ")</f>
        <v xml:space="preserve">القاعة مقابل الالعاب </v>
      </c>
      <c r="F66" s="10" t="str">
        <f ca="1">IFERROR(__xludf.DUMMYFUNCTION("""COMPUTED_VALUE"""),"تم اضافه ثنين ماشه الئ براد ")</f>
        <v xml:space="preserve">تم اضافه ثنين ماشه الئ براد </v>
      </c>
      <c r="G66" s="10"/>
      <c r="H66" s="10" t="str">
        <f ca="1">IFERROR(__xludf.DUMMYFUNCTION("""COMPUTED_VALUE"""),"كهرباء")</f>
        <v>كهرباء</v>
      </c>
      <c r="I66" s="12" t="str">
        <f ca="1">IFERROR(__xludf.DUMMYFUNCTION("""COMPUTED_VALUE"""),"منجز")</f>
        <v>منجز</v>
      </c>
      <c r="J66" s="19">
        <f ca="1">IFERROR(__xludf.DUMMYFUNCTION("""COMPUTED_VALUE"""),46068.5061311458)</f>
        <v>46068.506131145798</v>
      </c>
    </row>
    <row r="67" spans="1:10" ht="75" customHeight="1">
      <c r="A67" s="7">
        <f ca="1">IFERROR(__xludf.DUMMYFUNCTION("""COMPUTED_VALUE"""),46068.4893289004)</f>
        <v>46068.489328900403</v>
      </c>
      <c r="B67" s="18" t="str">
        <f ca="1">IFERROR(__xludf.DUMMYFUNCTION("""COMPUTED_VALUE"""),"المعملجي")</f>
        <v>المعملجي</v>
      </c>
      <c r="C67" s="9" t="str">
        <f ca="1">IFERROR(__xludf.DUMMYFUNCTION("""COMPUTED_VALUE"""),"قسم المشاريع الهندسية")</f>
        <v>قسم المشاريع الهندسية</v>
      </c>
      <c r="D67" s="10" t="str">
        <f ca="1">IFERROR(__xludf.DUMMYFUNCTION("""COMPUTED_VALUE"""),"B- روضة القمر")</f>
        <v>B- روضة القمر</v>
      </c>
      <c r="E67" s="10" t="str">
        <f ca="1">IFERROR(__xludf.DUMMYFUNCTION("""COMPUTED_VALUE"""),"القاعة مقابل الالعاب")</f>
        <v>القاعة مقابل الالعاب</v>
      </c>
      <c r="F67" s="10" t="str">
        <f ca="1">IFERROR(__xludf.DUMMYFUNCTION("""COMPUTED_VALUE"""),"تم استبدال بلك سويج 13A عدد واحد  ومد ثنين سيار ثنائي")</f>
        <v>تم استبدال بلك سويج 13A عدد واحد  ومد ثنين سيار ثنائي</v>
      </c>
      <c r="G67" s="10"/>
      <c r="H67" s="10" t="str">
        <f ca="1">IFERROR(__xludf.DUMMYFUNCTION("""COMPUTED_VALUE"""),"كهرباء")</f>
        <v>كهرباء</v>
      </c>
      <c r="I67" s="12" t="str">
        <f ca="1">IFERROR(__xludf.DUMMYFUNCTION("""COMPUTED_VALUE"""),"منجز")</f>
        <v>منجز</v>
      </c>
      <c r="J67" s="19">
        <f ca="1">IFERROR(__xludf.DUMMYFUNCTION("""COMPUTED_VALUE"""),46068.5061214814)</f>
        <v>46068.506121481398</v>
      </c>
    </row>
    <row r="68" spans="1:10" ht="75" customHeight="1">
      <c r="A68" s="7">
        <f ca="1">IFERROR(__xludf.DUMMYFUNCTION("""COMPUTED_VALUE"""),46068.4860721412)</f>
        <v>46068.486072141197</v>
      </c>
      <c r="B68" s="18" t="str">
        <f ca="1">IFERROR(__xludf.DUMMYFUNCTION("""COMPUTED_VALUE"""),"المعملجي")</f>
        <v>المعملجي</v>
      </c>
      <c r="C68" s="9" t="str">
        <f ca="1">IFERROR(__xludf.DUMMYFUNCTION("""COMPUTED_VALUE"""),"قسم المشاريع الهندسية")</f>
        <v>قسم المشاريع الهندسية</v>
      </c>
      <c r="D68" s="10" t="str">
        <f ca="1">IFERROR(__xludf.DUMMYFUNCTION("""COMPUTED_VALUE"""),"F-  ابتدائية جود العميد للبنات (الرابعة)")</f>
        <v>F-  ابتدائية جود العميد للبنات (الرابعة)</v>
      </c>
      <c r="E68" s="10" t="str">
        <f ca="1">IFERROR(__xludf.DUMMYFUNCTION("""COMPUTED_VALUE"""),".")</f>
        <v>.</v>
      </c>
      <c r="F68" s="10" t="str">
        <f ca="1">IFERROR(__xludf.DUMMYFUNCTION("""COMPUTED_VALUE"""),"تم عزل مروحه عن اناره واستخدام فلكس (4متر) وكونكتر (2)")</f>
        <v>تم عزل مروحه عن اناره واستخدام فلكس (4متر) وكونكتر (2)</v>
      </c>
      <c r="G68" s="10"/>
      <c r="H68" s="10" t="str">
        <f ca="1">IFERROR(__xludf.DUMMYFUNCTION("""COMPUTED_VALUE"""),"كهرباء")</f>
        <v>كهرباء</v>
      </c>
      <c r="I68" s="12" t="str">
        <f ca="1">IFERROR(__xludf.DUMMYFUNCTION("""COMPUTED_VALUE"""),"منجز")</f>
        <v>منجز</v>
      </c>
      <c r="J68" s="19">
        <f ca="1">IFERROR(__xludf.DUMMYFUNCTION("""COMPUTED_VALUE"""),46068.5061103587)</f>
        <v>46068.5061103587</v>
      </c>
    </row>
    <row r="69" spans="1:10" ht="75" customHeight="1">
      <c r="A69" s="7">
        <f ca="1">IFERROR(__xludf.DUMMYFUNCTION("""COMPUTED_VALUE"""),46068.4846572685)</f>
        <v>46068.484657268498</v>
      </c>
      <c r="B69" s="18" t="str">
        <f ca="1">IFERROR(__xludf.DUMMYFUNCTION("""COMPUTED_VALUE"""),"المعملجي")</f>
        <v>المعملجي</v>
      </c>
      <c r="C69" s="9" t="str">
        <f ca="1">IFERROR(__xludf.DUMMYFUNCTION("""COMPUTED_VALUE"""),"قسم المشاريع الهندسية")</f>
        <v>قسم المشاريع الهندسية</v>
      </c>
      <c r="D69" s="10" t="str">
        <f ca="1">IFERROR(__xludf.DUMMYFUNCTION("""COMPUTED_VALUE"""),"B- روضة القمر")</f>
        <v>B- روضة القمر</v>
      </c>
      <c r="E69" s="10" t="str">
        <f ca="1">IFERROR(__xludf.DUMMYFUNCTION("""COMPUTED_VALUE"""),"القاعة الرياضية مقابل الالعاب")</f>
        <v>القاعة الرياضية مقابل الالعاب</v>
      </c>
      <c r="F69" s="10" t="str">
        <f ca="1">IFERROR(__xludf.DUMMYFUNCTION("""COMPUTED_VALUE"""),"تبديل بلك سويچ 13A")</f>
        <v>تبديل بلك سويچ 13A</v>
      </c>
      <c r="G69" s="10"/>
      <c r="H69" s="10" t="str">
        <f ca="1">IFERROR(__xludf.DUMMYFUNCTION("""COMPUTED_VALUE"""),"كهرباء")</f>
        <v>كهرباء</v>
      </c>
      <c r="I69" s="12" t="str">
        <f ca="1">IFERROR(__xludf.DUMMYFUNCTION("""COMPUTED_VALUE"""),"منجز")</f>
        <v>منجز</v>
      </c>
      <c r="J69" s="19">
        <f ca="1">IFERROR(__xludf.DUMMYFUNCTION("""COMPUTED_VALUE"""),46068.4847320486)</f>
        <v>46068.484732048601</v>
      </c>
    </row>
    <row r="70" spans="1:10" ht="75" customHeight="1">
      <c r="A70" s="7">
        <f ca="1">IFERROR(__xludf.DUMMYFUNCTION("""COMPUTED_VALUE"""),46068.4833976736)</f>
        <v>46068.483397673597</v>
      </c>
      <c r="B70" s="18" t="str">
        <f ca="1">IFERROR(__xludf.DUMMYFUNCTION("""COMPUTED_VALUE"""),"المعملجي")</f>
        <v>المعملجي</v>
      </c>
      <c r="C70" s="9" t="str">
        <f ca="1">IFERROR(__xludf.DUMMYFUNCTION("""COMPUTED_VALUE"""),"قسم المشاريع الهندسية")</f>
        <v>قسم المشاريع الهندسية</v>
      </c>
      <c r="D70" s="10" t="str">
        <f ca="1">IFERROR(__xludf.DUMMYFUNCTION("""COMPUTED_VALUE"""),"A- المركز الثقافي")</f>
        <v>A- المركز الثقافي</v>
      </c>
      <c r="E70" s="10" t="str">
        <f ca="1">IFERROR(__xludf.DUMMYFUNCTION("""COMPUTED_VALUE"""),"كل الطوابق")</f>
        <v>كل الطوابق</v>
      </c>
      <c r="F70" s="10" t="str">
        <f ca="1">IFERROR(__xludf.DUMMYFUNCTION("""COMPUTED_VALUE"""),"تم جرد انارة المركز الثقافي بالكامل وتم تبديل 7محولات سبوت لايت وتم تبديل سبوت لايت عدد 2")</f>
        <v>تم جرد انارة المركز الثقافي بالكامل وتم تبديل 7محولات سبوت لايت وتم تبديل سبوت لايت عدد 2</v>
      </c>
      <c r="G70" s="10"/>
      <c r="H70" s="10" t="str">
        <f ca="1">IFERROR(__xludf.DUMMYFUNCTION("""COMPUTED_VALUE"""),"كهرباء")</f>
        <v>كهرباء</v>
      </c>
      <c r="I70" s="12" t="str">
        <f ca="1">IFERROR(__xludf.DUMMYFUNCTION("""COMPUTED_VALUE"""),"منجز")</f>
        <v>منجز</v>
      </c>
      <c r="J70" s="19">
        <f ca="1">IFERROR(__xludf.DUMMYFUNCTION("""COMPUTED_VALUE"""),46068.48455978)</f>
        <v>46068.484559780001</v>
      </c>
    </row>
    <row r="71" spans="1:10" ht="75" customHeight="1">
      <c r="A71" s="7">
        <f ca="1">IFERROR(__xludf.DUMMYFUNCTION("""COMPUTED_VALUE"""),46068.482748125)</f>
        <v>46068.482748125003</v>
      </c>
      <c r="B71" s="18" t="str">
        <f ca="1">IFERROR(__xludf.DUMMYFUNCTION("""COMPUTED_VALUE"""),"المعملجي")</f>
        <v>المعملجي</v>
      </c>
      <c r="C71" s="9" t="str">
        <f ca="1">IFERROR(__xludf.DUMMYFUNCTION("""COMPUTED_VALUE"""),"قسم المشاريع الهندسية")</f>
        <v>قسم المشاريع الهندسية</v>
      </c>
      <c r="D71" s="10" t="str">
        <f ca="1">IFERROR(__xludf.DUMMYFUNCTION("""COMPUTED_VALUE"""),"G- روضة الجود")</f>
        <v>G- روضة الجود</v>
      </c>
      <c r="E71" s="10" t="str">
        <f ca="1">IFERROR(__xludf.DUMMYFUNCTION("""COMPUTED_VALUE"""),"غرفة الكهرباء الخارجية")</f>
        <v>غرفة الكهرباء الخارجية</v>
      </c>
      <c r="F71" s="10" t="str">
        <f ca="1">IFERROR(__xludf.DUMMYFUNCTION("""COMPUTED_VALUE"""),"تم تبديل  جوزه 10A في جوزه 1A  في غرفه الكهرباء الخارجية")</f>
        <v>تم تبديل  جوزه 10A في جوزه 1A  في غرفه الكهرباء الخارجية</v>
      </c>
      <c r="G71" s="10"/>
      <c r="H71" s="10" t="str">
        <f ca="1">IFERROR(__xludf.DUMMYFUNCTION("""COMPUTED_VALUE"""),"كهرباء")</f>
        <v>كهرباء</v>
      </c>
      <c r="I71" s="12" t="str">
        <f ca="1">IFERROR(__xludf.DUMMYFUNCTION("""COMPUTED_VALUE"""),"منجز")</f>
        <v>منجز</v>
      </c>
      <c r="J71" s="19">
        <f ca="1">IFERROR(__xludf.DUMMYFUNCTION("""COMPUTED_VALUE"""),46068.4818656481)</f>
        <v>46068.4818656481</v>
      </c>
    </row>
    <row r="72" spans="1:10" ht="75" customHeight="1">
      <c r="A72" s="7">
        <f ca="1">IFERROR(__xludf.DUMMYFUNCTION("""COMPUTED_VALUE"""),46068.4817912963)</f>
        <v>46068.481791296297</v>
      </c>
      <c r="B72" s="18" t="str">
        <f ca="1">IFERROR(__xludf.DUMMYFUNCTION("""COMPUTED_VALUE"""),"المعملجي")</f>
        <v>المعملجي</v>
      </c>
      <c r="C72" s="9" t="str">
        <f ca="1">IFERROR(__xludf.DUMMYFUNCTION("""COMPUTED_VALUE"""),"قسم المشاريع الهندسية")</f>
        <v>قسم المشاريع الهندسية</v>
      </c>
      <c r="D72" s="10" t="str">
        <f ca="1">IFERROR(__xludf.DUMMYFUNCTION("""COMPUTED_VALUE"""),"A- المركز الثقافي")</f>
        <v>A- المركز الثقافي</v>
      </c>
      <c r="E72" s="10" t="str">
        <f ca="1">IFERROR(__xludf.DUMMYFUNCTION("""COMPUTED_VALUE"""),"الطابق الاول")</f>
        <v>الطابق الاول</v>
      </c>
      <c r="F72" s="10" t="str">
        <f ca="1">IFERROR(__xludf.DUMMYFUNCTION("""COMPUTED_VALUE"""),"إدخال المركز الثقافي بالشبكة الجديدة و إعادة تعيين IP لكل شاشة و تعيين الشاشة الرئيسية والفرعية")</f>
        <v>إدخال المركز الثقافي بالشبكة الجديدة و إعادة تعيين IP لكل شاشة و تعيين الشاشة الرئيسية والفرعية</v>
      </c>
      <c r="G72" s="10"/>
      <c r="H72" s="10" t="str">
        <f ca="1">IFERROR(__xludf.DUMMYFUNCTION("""COMPUTED_VALUE"""),"كهرباء")</f>
        <v>كهرباء</v>
      </c>
      <c r="I72" s="12" t="str">
        <f ca="1">IFERROR(__xludf.DUMMYFUNCTION("""COMPUTED_VALUE"""),"منجز")</f>
        <v>منجز</v>
      </c>
      <c r="J72" s="19">
        <f ca="1">IFERROR(__xludf.DUMMYFUNCTION("""COMPUTED_VALUE"""),46068.4821101851)</f>
        <v>46068.482110185098</v>
      </c>
    </row>
    <row r="73" spans="1:10" ht="75" customHeight="1">
      <c r="A73" s="7">
        <f ca="1">IFERROR(__xludf.DUMMYFUNCTION("""COMPUTED_VALUE"""),46068.4815823958)</f>
        <v>46068.481582395798</v>
      </c>
      <c r="B73" s="18" t="str">
        <f ca="1">IFERROR(__xludf.DUMMYFUNCTION("""COMPUTED_VALUE"""),"المعملجي")</f>
        <v>المعملجي</v>
      </c>
      <c r="C73" s="9" t="str">
        <f ca="1">IFERROR(__xludf.DUMMYFUNCTION("""COMPUTED_VALUE"""),"قسم المشاريع الهندسية")</f>
        <v>قسم المشاريع الهندسية</v>
      </c>
      <c r="D73" s="10" t="str">
        <f ca="1">IFERROR(__xludf.DUMMYFUNCTION("""COMPUTED_VALUE"""),"B- روضة القمر, G- روضة الجود")</f>
        <v>B- روضة القمر, G- روضة الجود</v>
      </c>
      <c r="E73" s="10" t="str">
        <f ca="1">IFERROR(__xludf.DUMMYFUNCTION("""COMPUTED_VALUE"""),"الطابق الاول")</f>
        <v>الطابق الاول</v>
      </c>
      <c r="F73" s="10" t="str">
        <f ca="1">IFERROR(__xludf.DUMMYFUNCTION("""COMPUTED_VALUE"""),"دخال الروضتين بالشبكة الجديدة و إعادة تعيين IP لكل شاشة")</f>
        <v>دخال الروضتين بالشبكة الجديدة و إعادة تعيين IP لكل شاشة</v>
      </c>
      <c r="G73" s="10"/>
      <c r="H73" s="10" t="str">
        <f ca="1">IFERROR(__xludf.DUMMYFUNCTION("""COMPUTED_VALUE"""),"كهرباء")</f>
        <v>كهرباء</v>
      </c>
      <c r="I73" s="12" t="str">
        <f ca="1">IFERROR(__xludf.DUMMYFUNCTION("""COMPUTED_VALUE"""),"منجز")</f>
        <v>منجز</v>
      </c>
      <c r="J73" s="19">
        <f ca="1">IFERROR(__xludf.DUMMYFUNCTION("""COMPUTED_VALUE"""),46068.4818463541)</f>
        <v>46068.481846354101</v>
      </c>
    </row>
    <row r="74" spans="1:10" ht="75" customHeight="1">
      <c r="A74" s="7">
        <f ca="1">IFERROR(__xludf.DUMMYFUNCTION("""COMPUTED_VALUE"""),46068.4812329513)</f>
        <v>46068.481232951301</v>
      </c>
      <c r="B74" s="18" t="str">
        <f ca="1">IFERROR(__xludf.DUMMYFUNCTION("""COMPUTED_VALUE"""),"المعملجي")</f>
        <v>المعملجي</v>
      </c>
      <c r="C74" s="9" t="str">
        <f ca="1">IFERROR(__xludf.DUMMYFUNCTION("""COMPUTED_VALUE"""),"قسم المشاريع الهندسية")</f>
        <v>قسم المشاريع الهندسية</v>
      </c>
      <c r="D74" s="10" t="str">
        <f ca="1">IFERROR(__xludf.DUMMYFUNCTION("""COMPUTED_VALUE"""),"F-  ابتدائية جود العميد للبنات (الرابعة)")</f>
        <v>F-  ابتدائية جود العميد للبنات (الرابعة)</v>
      </c>
      <c r="E74" s="10" t="str">
        <f ca="1">IFERROR(__xludf.DUMMYFUNCTION("""COMPUTED_VALUE"""),".")</f>
        <v>.</v>
      </c>
      <c r="F74" s="10" t="str">
        <f ca="1">IFERROR(__xludf.DUMMYFUNCTION("""COMPUTED_VALUE"""),"تم استبدال محولة سبوت لايت 24W ")</f>
        <v xml:space="preserve">تم استبدال محولة سبوت لايت 24W </v>
      </c>
      <c r="G74" s="10"/>
      <c r="H74" s="10" t="str">
        <f ca="1">IFERROR(__xludf.DUMMYFUNCTION("""COMPUTED_VALUE"""),"كهرباء")</f>
        <v>كهرباء</v>
      </c>
      <c r="I74" s="12" t="str">
        <f ca="1">IFERROR(__xludf.DUMMYFUNCTION("""COMPUTED_VALUE"""),"منجز")</f>
        <v>منجز</v>
      </c>
      <c r="J74" s="19">
        <f ca="1">IFERROR(__xludf.DUMMYFUNCTION("""COMPUTED_VALUE"""),46068.48179728)</f>
        <v>46068.481797280001</v>
      </c>
    </row>
    <row r="75" spans="1:10" ht="75" customHeight="1">
      <c r="A75" s="7">
        <f ca="1">IFERROR(__xludf.DUMMYFUNCTION("""COMPUTED_VALUE"""),46068.4807988078)</f>
        <v>46068.480798807803</v>
      </c>
      <c r="B75" s="18" t="str">
        <f ca="1">IFERROR(__xludf.DUMMYFUNCTION("""COMPUTED_VALUE"""),"المعملجي")</f>
        <v>المعملجي</v>
      </c>
      <c r="C75" s="9" t="str">
        <f ca="1">IFERROR(__xludf.DUMMYFUNCTION("""COMPUTED_VALUE"""),"قسم المشاريع الهندسية")</f>
        <v>قسم المشاريع الهندسية</v>
      </c>
      <c r="D75" s="10" t="str">
        <f ca="1">IFERROR(__xludf.DUMMYFUNCTION("""COMPUTED_VALUE"""),"B- روضة القمر")</f>
        <v>B- روضة القمر</v>
      </c>
      <c r="E75" s="10" t="str">
        <f ca="1">IFERROR(__xludf.DUMMYFUNCTION("""COMPUTED_VALUE"""),"الطابق الارضي")</f>
        <v>الطابق الارضي</v>
      </c>
      <c r="F75" s="10" t="str">
        <f ca="1">IFERROR(__xludf.DUMMYFUNCTION("""COMPUTED_VALUE"""),"تم تحويل انارة غرفة الكهرباء الخارجية وانارة الصحيات المقابلة للمدرسة الأولى إلى الطاقة الشمسية")</f>
        <v>تم تحويل انارة غرفة الكهرباء الخارجية وانارة الصحيات المقابلة للمدرسة الأولى إلى الطاقة الشمسية</v>
      </c>
      <c r="G75" s="10"/>
      <c r="H75" s="10" t="str">
        <f ca="1">IFERROR(__xludf.DUMMYFUNCTION("""COMPUTED_VALUE"""),"كهرباء")</f>
        <v>كهرباء</v>
      </c>
      <c r="I75" s="12" t="str">
        <f ca="1">IFERROR(__xludf.DUMMYFUNCTION("""COMPUTED_VALUE"""),"منجز")</f>
        <v>منجز</v>
      </c>
      <c r="J75" s="19">
        <f ca="1">IFERROR(__xludf.DUMMYFUNCTION("""COMPUTED_VALUE"""),46068.4818199884)</f>
        <v>46068.481819988403</v>
      </c>
    </row>
    <row r="76" spans="1:10" ht="75" customHeight="1">
      <c r="A76" s="7">
        <f ca="1">IFERROR(__xludf.DUMMYFUNCTION("""COMPUTED_VALUE"""),46068.4790699884)</f>
        <v>46068.479069988403</v>
      </c>
      <c r="B76" s="18" t="str">
        <f ca="1">IFERROR(__xludf.DUMMYFUNCTION("""COMPUTED_VALUE"""),"المعملجي")</f>
        <v>المعملجي</v>
      </c>
      <c r="C76" s="9" t="str">
        <f ca="1">IFERROR(__xludf.DUMMYFUNCTION("""COMPUTED_VALUE"""),"قسم المشاريع الهندسية")</f>
        <v>قسم المشاريع الهندسية</v>
      </c>
      <c r="D76" s="10" t="str">
        <f ca="1">IFERROR(__xludf.DUMMYFUNCTION("""COMPUTED_VALUE"""),"E- ابتدائية العميد للبنات (الثالثة)")</f>
        <v>E- ابتدائية العميد للبنات (الثالثة)</v>
      </c>
      <c r="E76" s="10" t="str">
        <f ca="1">IFERROR(__xludf.DUMMYFUNCTION("""COMPUTED_VALUE"""),"الطابق الارضي, جناح الساحة ZONE B")</f>
        <v>الطابق الارضي, جناح الساحة ZONE B</v>
      </c>
      <c r="F76" s="10" t="str">
        <f ca="1">IFERROR(__xludf.DUMMYFUNCTION("""COMPUTED_VALUE"""),"إدخال المدرسة الثالثة بالشبكة الجديدة و إعادة تعيين IP لكل شاشة و تعيين الشاشة الرئيسية والفرعية دون مشاكل")</f>
        <v>إدخال المدرسة الثالثة بالشبكة الجديدة و إعادة تعيين IP لكل شاشة و تعيين الشاشة الرئيسية والفرعية دون مشاكل</v>
      </c>
      <c r="G76" s="10"/>
      <c r="H76" s="10" t="str">
        <f ca="1">IFERROR(__xludf.DUMMYFUNCTION("""COMPUTED_VALUE"""),"كهرباء")</f>
        <v>كهرباء</v>
      </c>
      <c r="I76" s="12" t="str">
        <f ca="1">IFERROR(__xludf.DUMMYFUNCTION("""COMPUTED_VALUE"""),"منجز")</f>
        <v>منجز</v>
      </c>
      <c r="J76" s="19">
        <f ca="1">IFERROR(__xludf.DUMMYFUNCTION("""COMPUTED_VALUE"""),46068.4817767592)</f>
        <v>46068.481776759203</v>
      </c>
    </row>
    <row r="77" spans="1:10" ht="75" customHeight="1">
      <c r="A77" s="7">
        <f ca="1">IFERROR(__xludf.DUMMYFUNCTION("""COMPUTED_VALUE"""),46068.4786907523)</f>
        <v>46068.478690752301</v>
      </c>
      <c r="B77" s="18" t="str">
        <f ca="1">IFERROR(__xludf.DUMMYFUNCTION("""COMPUTED_VALUE"""),"المعملجي")</f>
        <v>المعملجي</v>
      </c>
      <c r="C77" s="9" t="str">
        <f ca="1">IFERROR(__xludf.DUMMYFUNCTION("""COMPUTED_VALUE"""),"قسم المشاريع الهندسية")</f>
        <v>قسم المشاريع الهندسية</v>
      </c>
      <c r="D77" s="10"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E77" s="10" t="str">
        <f ca="1">IFERROR(__xludf.DUMMYFUNCTION("""COMPUTED_VALUE"""),"الطابق الارضي")</f>
        <v>الطابق الارضي</v>
      </c>
      <c r="F77" s="10" t="str">
        <f ca="1">IFERROR(__xludf.DUMMYFUNCTION("""COMPUTED_VALUE"""),"تم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f>
        <v>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v>
      </c>
      <c r="G77" s="10"/>
      <c r="H77" s="10" t="str">
        <f ca="1">IFERROR(__xludf.DUMMYFUNCTION("""COMPUTED_VALUE"""),"كهرباء")</f>
        <v>كهرباء</v>
      </c>
      <c r="I77" s="12" t="str">
        <f ca="1">IFERROR(__xludf.DUMMYFUNCTION("""COMPUTED_VALUE"""),"منجز")</f>
        <v>منجز</v>
      </c>
      <c r="J77" s="19">
        <f ca="1">IFERROR(__xludf.DUMMYFUNCTION("""COMPUTED_VALUE"""),46068.4817397685)</f>
        <v>46068.481739768496</v>
      </c>
    </row>
    <row r="78" spans="1:10" ht="75" customHeight="1">
      <c r="A78" s="7">
        <f ca="1">IFERROR(__xludf.DUMMYFUNCTION("""COMPUTED_VALUE"""),46068.4784015972)</f>
        <v>46068.478401597204</v>
      </c>
      <c r="B78" s="18" t="str">
        <f ca="1">IFERROR(__xludf.DUMMYFUNCTION("""COMPUTED_VALUE"""),"المعملجي")</f>
        <v>المعملجي</v>
      </c>
      <c r="C78" s="9" t="str">
        <f ca="1">IFERROR(__xludf.DUMMYFUNCTION("""COMPUTED_VALUE"""),"قسم المشاريع الهندسية")</f>
        <v>قسم المشاريع الهندسية</v>
      </c>
      <c r="D78" s="10" t="str">
        <f ca="1">IFERROR(__xludf.DUMMYFUNCTION("""COMPUTED_VALUE"""),"C- ثانوية العميد بناية الاعدادية  (الاولى)")</f>
        <v>C- ثانوية العميد بناية الاعدادية  (الاولى)</v>
      </c>
      <c r="E78" s="10" t="str">
        <f ca="1">IFERROR(__xludf.DUMMYFUNCTION("""COMPUTED_VALUE"""),"الطابق الارضي")</f>
        <v>الطابق الارضي</v>
      </c>
      <c r="F78" s="10" t="str">
        <f ca="1">IFERROR(__xludf.DUMMYFUNCTION("""COMPUTED_VALUE"""),"تجربة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f>
        <v>تجربة طريقة ربط بأحد شبكات المجمع بعد عدة محاولات وذلك من أجل توحيدها بشبكة واحدة على عكس ما كانت عليه كل بناية تحمل شبكة خاصة. وتم التوصل إلى الشبكة 10.15.16.1 و ربط شاشتي VRF بها  واعادة تعيين الشاشة الرئيسية AE-200 و الفرعية AE-50 دون مشاكل</v>
      </c>
      <c r="G78" s="10"/>
      <c r="H78" s="10" t="str">
        <f ca="1">IFERROR(__xludf.DUMMYFUNCTION("""COMPUTED_VALUE"""),"كهرباء")</f>
        <v>كهرباء</v>
      </c>
      <c r="I78" s="12" t="str">
        <f ca="1">IFERROR(__xludf.DUMMYFUNCTION("""COMPUTED_VALUE"""),"منجز")</f>
        <v>منجز</v>
      </c>
      <c r="J78" s="19">
        <f ca="1">IFERROR(__xludf.DUMMYFUNCTION("""COMPUTED_VALUE"""),46068.4814604513)</f>
        <v>46068.481460451301</v>
      </c>
    </row>
    <row r="79" spans="1:10" ht="75" customHeight="1">
      <c r="A79" s="7">
        <f ca="1">IFERROR(__xludf.DUMMYFUNCTION("""COMPUTED_VALUE"""),46068.4775656944)</f>
        <v>46068.477565694397</v>
      </c>
      <c r="B79" s="18" t="str">
        <f ca="1">IFERROR(__xludf.DUMMYFUNCTION("""COMPUTED_VALUE"""),"المعملجي")</f>
        <v>المعملجي</v>
      </c>
      <c r="C79" s="9" t="str">
        <f ca="1">IFERROR(__xludf.DUMMYFUNCTION("""COMPUTED_VALUE"""),"قسم المشاريع الهندسية")</f>
        <v>قسم المشاريع الهندسية</v>
      </c>
      <c r="D79" s="10" t="str">
        <f ca="1">IFERROR(__xludf.DUMMYFUNCTION("""COMPUTED_VALUE"""),"B- روضة القمر")</f>
        <v>B- روضة القمر</v>
      </c>
      <c r="E79" s="10" t="str">
        <f ca="1">IFERROR(__xludf.DUMMYFUNCTION("""COMPUTED_VALUE"""),"الطابق الارضي")</f>
        <v>الطابق الارضي</v>
      </c>
      <c r="F79" s="10" t="str">
        <f ca="1">IFERROR(__xludf.DUMMYFUNCTION("""COMPUTED_VALUE"""),"عمل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f>
        <v>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v>
      </c>
      <c r="G79" s="10"/>
      <c r="H79" s="10" t="str">
        <f ca="1">IFERROR(__xludf.DUMMYFUNCTION("""COMPUTED_VALUE"""),"كهرباء")</f>
        <v>كهرباء</v>
      </c>
      <c r="I79" s="12" t="str">
        <f ca="1">IFERROR(__xludf.DUMMYFUNCTION("""COMPUTED_VALUE"""),"منجز")</f>
        <v>منجز</v>
      </c>
      <c r="J79" s="19">
        <f ca="1">IFERROR(__xludf.DUMMYFUNCTION("""COMPUTED_VALUE"""),46068.4814363657)</f>
        <v>46068.481436365699</v>
      </c>
    </row>
    <row r="80" spans="1:10" ht="75" customHeight="1">
      <c r="A80" s="7">
        <f ca="1">IFERROR(__xludf.DUMMYFUNCTION("""COMPUTED_VALUE"""),46068.476965081)</f>
        <v>46068.476965080998</v>
      </c>
      <c r="B80" s="18" t="str">
        <f ca="1">IFERROR(__xludf.DUMMYFUNCTION("""COMPUTED_VALUE"""),"المعملجي")</f>
        <v>المعملجي</v>
      </c>
      <c r="C80" s="9" t="str">
        <f ca="1">IFERROR(__xludf.DUMMYFUNCTION("""COMPUTED_VALUE"""),"قسم المشاريع الهندسية")</f>
        <v>قسم المشاريع الهندسية</v>
      </c>
      <c r="D80" s="10" t="str">
        <f ca="1">IFERROR(__xludf.DUMMYFUNCTION("""COMPUTED_VALUE"""),"A- المركز الثقافي")</f>
        <v>A- المركز الثقافي</v>
      </c>
      <c r="E80" s="10" t="str">
        <f ca="1">IFERROR(__xludf.DUMMYFUNCTION("""COMPUTED_VALUE"""),"الطابق الارضي, مطبخ رئاسة القسم")</f>
        <v>الطابق الارضي, مطبخ رئاسة القسم</v>
      </c>
      <c r="F80" s="10" t="str">
        <f ca="1">IFERROR(__xludf.DUMMYFUNCTION("""COMPUTED_VALUE"""),"اعادة تثبيت الإنارة المنشورية 60*60 بعد صيانتها .")</f>
        <v>اعادة تثبيت الإنارة المنشورية 60*60 بعد صيانتها .</v>
      </c>
      <c r="G80" s="10"/>
      <c r="H80" s="10" t="str">
        <f ca="1">IFERROR(__xludf.DUMMYFUNCTION("""COMPUTED_VALUE"""),"كهرباء")</f>
        <v>كهرباء</v>
      </c>
      <c r="I80" s="12" t="str">
        <f ca="1">IFERROR(__xludf.DUMMYFUNCTION("""COMPUTED_VALUE"""),"منجز")</f>
        <v>منجز</v>
      </c>
      <c r="J80" s="19">
        <f ca="1">IFERROR(__xludf.DUMMYFUNCTION("""COMPUTED_VALUE"""),46068.4814077893)</f>
        <v>46068.481407789302</v>
      </c>
    </row>
    <row r="81" spans="1:10" ht="75" customHeight="1">
      <c r="A81" s="7">
        <f ca="1">IFERROR(__xludf.DUMMYFUNCTION("""COMPUTED_VALUE"""),46068.476526956)</f>
        <v>46068.476526956001</v>
      </c>
      <c r="B81" s="18" t="str">
        <f ca="1">IFERROR(__xludf.DUMMYFUNCTION("""COMPUTED_VALUE"""),"المعملجي")</f>
        <v>المعملجي</v>
      </c>
      <c r="C81" s="9" t="str">
        <f ca="1">IFERROR(__xludf.DUMMYFUNCTION("""COMPUTED_VALUE"""),"قسم المشاريع الهندسية")</f>
        <v>قسم المشاريع الهندسية</v>
      </c>
      <c r="D81" s="10" t="str">
        <f ca="1">IFERROR(__xludf.DUMMYFUNCTION("""COMPUTED_VALUE"""),"B- روضة القمر")</f>
        <v>B- روضة القمر</v>
      </c>
      <c r="E81" s="10" t="str">
        <f ca="1">IFERROR(__xludf.DUMMYFUNCTION("""COMPUTED_VALUE"""),"السطح")</f>
        <v>السطح</v>
      </c>
      <c r="F81" s="10" t="str">
        <f ca="1">IFERROR(__xludf.DUMMYFUNCTION("""COMPUTED_VALUE"""),"تم تبديل بلك سويج 13A  وتم إعادة تشغيل جوزة الخاصة في البلاكات سويج في الصف المجاور للسطح اثر اترب")</f>
        <v>تم تبديل بلك سويج 13A  وتم إعادة تشغيل جوزة الخاصة في البلاكات سويج في الصف المجاور للسطح اثر اترب</v>
      </c>
      <c r="G81" s="10"/>
      <c r="H81" s="10" t="str">
        <f ca="1">IFERROR(__xludf.DUMMYFUNCTION("""COMPUTED_VALUE"""),"كهرباء")</f>
        <v>كهرباء</v>
      </c>
      <c r="I81" s="12" t="str">
        <f ca="1">IFERROR(__xludf.DUMMYFUNCTION("""COMPUTED_VALUE"""),"منجز")</f>
        <v>منجز</v>
      </c>
      <c r="J81" s="19">
        <f ca="1">IFERROR(__xludf.DUMMYFUNCTION("""COMPUTED_VALUE"""),46068.4813846875)</f>
        <v>46068.481384687497</v>
      </c>
    </row>
    <row r="82" spans="1:10" ht="75" customHeight="1">
      <c r="A82" s="7">
        <f ca="1">IFERROR(__xludf.DUMMYFUNCTION("""COMPUTED_VALUE"""),46068.4759336458)</f>
        <v>46068.475933645801</v>
      </c>
      <c r="B82" s="18" t="str">
        <f ca="1">IFERROR(__xludf.DUMMYFUNCTION("""COMPUTED_VALUE"""),"المعملجي")</f>
        <v>المعملجي</v>
      </c>
      <c r="C82" s="9" t="str">
        <f ca="1">IFERROR(__xludf.DUMMYFUNCTION("""COMPUTED_VALUE"""),"قسم المشاريع الهندسية")</f>
        <v>قسم المشاريع الهندسية</v>
      </c>
      <c r="D82" s="10" t="str">
        <f ca="1">IFERROR(__xludf.DUMMYFUNCTION("""COMPUTED_VALUE"""),"A- المركز الثقافي")</f>
        <v>A- المركز الثقافي</v>
      </c>
      <c r="E82" s="10" t="str">
        <f ca="1">IFERROR(__xludf.DUMMYFUNCTION("""COMPUTED_VALUE"""),"الطابق الارضي, معاون رئيس القسم")</f>
        <v>الطابق الارضي, معاون رئيس القسم</v>
      </c>
      <c r="F82" s="10" t="str">
        <f ca="1">IFERROR(__xludf.DUMMYFUNCTION("""COMPUTED_VALUE"""),"تم إعادة تثبيت تري لاصق ")</f>
        <v xml:space="preserve">تم إعادة تثبيت تري لاصق </v>
      </c>
      <c r="G82" s="10"/>
      <c r="H82" s="10" t="str">
        <f ca="1">IFERROR(__xludf.DUMMYFUNCTION("""COMPUTED_VALUE"""),"كهرباء")</f>
        <v>كهرباء</v>
      </c>
      <c r="I82" s="12" t="str">
        <f ca="1">IFERROR(__xludf.DUMMYFUNCTION("""COMPUTED_VALUE"""),"منجز")</f>
        <v>منجز</v>
      </c>
      <c r="J82" s="19">
        <f ca="1">IFERROR(__xludf.DUMMYFUNCTION("""COMPUTED_VALUE"""),46068.481358125)</f>
        <v>46068.481358124998</v>
      </c>
    </row>
    <row r="83" spans="1:10" ht="75" customHeight="1">
      <c r="A83" s="7">
        <f ca="1">IFERROR(__xludf.DUMMYFUNCTION("""COMPUTED_VALUE"""),46068.4753041666)</f>
        <v>46068.475304166597</v>
      </c>
      <c r="B83" s="18" t="str">
        <f ca="1">IFERROR(__xludf.DUMMYFUNCTION("""COMPUTED_VALUE"""),"المعملجي")</f>
        <v>المعملجي</v>
      </c>
      <c r="C83" s="9" t="str">
        <f ca="1">IFERROR(__xludf.DUMMYFUNCTION("""COMPUTED_VALUE"""),"قسم المشاريع الهندسية")</f>
        <v>قسم المشاريع الهندسية</v>
      </c>
      <c r="D83" s="10" t="str">
        <f ca="1">IFERROR(__xludf.DUMMYFUNCTION("""COMPUTED_VALUE"""),"كل")</f>
        <v>كل</v>
      </c>
      <c r="E83" s="10" t="str">
        <f ca="1">IFERROR(__xludf.DUMMYFUNCTION("""COMPUTED_VALUE"""),"hub room")</f>
        <v>hub room</v>
      </c>
      <c r="F83" s="10" t="str">
        <f ca="1">IFERROR(__xludf.DUMMYFUNCTION("""COMPUTED_VALUE"""),"تم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f>
        <v>تم تصميم جدول ولصقه قرب كل UPS حيث يتم تسجيل القراءات به مع بعض التفاصيل.
الفائده منه عند القيام بعملية الصيانة على منظومة الكهرباء وكانت هنالك حاجة لفصل الكهرباء عن UPS  بهذا الحالة يستطيع أن يعرف وقت تحمل UPS لتفادي توقف منظومة الإتصالات</v>
      </c>
      <c r="G83" s="10"/>
      <c r="H83" s="10" t="str">
        <f ca="1">IFERROR(__xludf.DUMMYFUNCTION("""COMPUTED_VALUE"""),"كهرباء")</f>
        <v>كهرباء</v>
      </c>
      <c r="I83" s="12" t="str">
        <f ca="1">IFERROR(__xludf.DUMMYFUNCTION("""COMPUTED_VALUE"""),"منجز")</f>
        <v>منجز</v>
      </c>
      <c r="J83" s="19">
        <f ca="1">IFERROR(__xludf.DUMMYFUNCTION("""COMPUTED_VALUE"""),46068.4812321875)</f>
        <v>46068.4812321875</v>
      </c>
    </row>
    <row r="84" spans="1:10" ht="75" customHeight="1">
      <c r="A84" s="7">
        <f ca="1">IFERROR(__xludf.DUMMYFUNCTION("""COMPUTED_VALUE"""),46068.4746279976)</f>
        <v>46068.474627997603</v>
      </c>
      <c r="B84" s="18" t="str">
        <f ca="1">IFERROR(__xludf.DUMMYFUNCTION("""COMPUTED_VALUE"""),"المعملجي")</f>
        <v>المعملجي</v>
      </c>
      <c r="C84" s="9" t="str">
        <f ca="1">IFERROR(__xludf.DUMMYFUNCTION("""COMPUTED_VALUE"""),"قسم المشاريع الهندسية")</f>
        <v>قسم المشاريع الهندسية</v>
      </c>
      <c r="D84" s="10" t="str">
        <f ca="1">IFERROR(__xludf.DUMMYFUNCTION("""COMPUTED_VALUE"""),"B- روضة القمر")</f>
        <v>B- روضة القمر</v>
      </c>
      <c r="E84" s="10" t="str">
        <f ca="1">IFERROR(__xludf.DUMMYFUNCTION("""COMPUTED_VALUE"""),"الطابق الثاني")</f>
        <v>الطابق الثاني</v>
      </c>
      <c r="F84" s="10" t="str">
        <f ca="1">IFERROR(__xludf.DUMMYFUNCTION("""COMPUTED_VALUE"""),"فحص منظومة UPS الروضة الأولى B بعد قطع الكهرباء عنهُ:-
* حيث وصلت نسبة الشحن إلى 93٪ بعد إطفاء دام 40 دقيقة وكانت الأحمال.")</f>
        <v>فحص منظومة UPS الروضة الأولى B بعد قطع الكهرباء عنهُ:-
* حيث وصلت نسبة الشحن إلى 93٪ بعد إطفاء دام 40 دقيقة وكانت الأحمال.</v>
      </c>
      <c r="G84" s="10"/>
      <c r="H84" s="10" t="str">
        <f ca="1">IFERROR(__xludf.DUMMYFUNCTION("""COMPUTED_VALUE"""),"كهرباء")</f>
        <v>كهرباء</v>
      </c>
      <c r="I84" s="12" t="str">
        <f ca="1">IFERROR(__xludf.DUMMYFUNCTION("""COMPUTED_VALUE"""),"منجز")</f>
        <v>منجز</v>
      </c>
      <c r="J84" s="19">
        <f ca="1">IFERROR(__xludf.DUMMYFUNCTION("""COMPUTED_VALUE"""),46068.4812086921)</f>
        <v>46068.481208692101</v>
      </c>
    </row>
    <row r="85" spans="1:10" ht="75" customHeight="1">
      <c r="A85" s="7">
        <f ca="1">IFERROR(__xludf.DUMMYFUNCTION("""COMPUTED_VALUE"""),46068.4742428703)</f>
        <v>46068.474242870303</v>
      </c>
      <c r="B85" s="18" t="str">
        <f ca="1">IFERROR(__xludf.DUMMYFUNCTION("""COMPUTED_VALUE"""),"المعملجي")</f>
        <v>المعملجي</v>
      </c>
      <c r="C85" s="9" t="str">
        <f ca="1">IFERROR(__xludf.DUMMYFUNCTION("""COMPUTED_VALUE"""),"قسم المشاريع الهندسية")</f>
        <v>قسم المشاريع الهندسية</v>
      </c>
      <c r="D85" s="10"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E85" s="10" t="str">
        <f ca="1">IFERROR(__xludf.DUMMYFUNCTION("""COMPUTED_VALUE"""),"الطابق الارضي, جناح الساحة ZONE B")</f>
        <v>الطابق الارضي, جناح الساحة ZONE B</v>
      </c>
      <c r="F85" s="10" t="str">
        <f ca="1">IFERROR(__xludf.DUMMYFUNCTION("""COMPUTED_VALUE"""),"لدخول إلى UPS  عن طريق التطبيق وإيقاف Alarm  وارجاع الـUPS الى وضعه الطبيعي")</f>
        <v>لدخول إلى UPS  عن طريق التطبيق وإيقاف Alarm  وارجاع الـUPS الى وضعه الطبيعي</v>
      </c>
      <c r="G85" s="10"/>
      <c r="H85" s="10" t="str">
        <f ca="1">IFERROR(__xludf.DUMMYFUNCTION("""COMPUTED_VALUE"""),"كهرباء")</f>
        <v>كهرباء</v>
      </c>
      <c r="I85" s="12" t="str">
        <f ca="1">IFERROR(__xludf.DUMMYFUNCTION("""COMPUTED_VALUE"""),"منجز")</f>
        <v>منجز</v>
      </c>
      <c r="J85" s="19">
        <f ca="1">IFERROR(__xludf.DUMMYFUNCTION("""COMPUTED_VALUE"""),46068.481155162)</f>
        <v>46068.481155162001</v>
      </c>
    </row>
    <row r="86" spans="1:10" ht="75" customHeight="1">
      <c r="A86" s="7">
        <f ca="1">IFERROR(__xludf.DUMMYFUNCTION("""COMPUTED_VALUE"""),46068.4739584606)</f>
        <v>46068.4739584606</v>
      </c>
      <c r="B86" s="18" t="str">
        <f ca="1">IFERROR(__xludf.DUMMYFUNCTION("""COMPUTED_VALUE"""),"المعملجي")</f>
        <v>المعملجي</v>
      </c>
      <c r="C86" s="9" t="str">
        <f ca="1">IFERROR(__xludf.DUMMYFUNCTION("""COMPUTED_VALUE"""),"قسم المشاريع الهندسية")</f>
        <v>قسم المشاريع الهندسية</v>
      </c>
      <c r="D86" s="10" t="str">
        <f ca="1">IFERROR(__xludf.DUMMYFUNCTION("""COMPUTED_VALUE"""),"D- ثانوية العميد بناية المتوسطة  (الثانية), E- ابتدائية العميد للبنات (الثالثة), F-  ابتدائية جود العميد للبنات (الرابعة), H- ابتدائية القمر للبنات (الخامسة)")</f>
        <v>D- ثانوية العميد بناية المتوسطة  (الثانية), E- ابتدائية العميد للبنات (الثالثة), F-  ابتدائية جود العميد للبنات (الرابعة), H- ابتدائية القمر للبنات (الخامسة)</v>
      </c>
      <c r="E86" s="10" t="str">
        <f ca="1">IFERROR(__xludf.DUMMYFUNCTION("""COMPUTED_VALUE"""),"غير محدد")</f>
        <v>غير محدد</v>
      </c>
      <c r="F86" s="10" t="str">
        <f ca="1">IFERROR(__xludf.DUMMYFUNCTION("""COMPUTED_VALUE"""),"تم إعادة ربط انارة منشورية عدد9")</f>
        <v>تم إعادة ربط انارة منشورية عدد9</v>
      </c>
      <c r="G86" s="10"/>
      <c r="H86" s="10" t="str">
        <f ca="1">IFERROR(__xludf.DUMMYFUNCTION("""COMPUTED_VALUE"""),"كهرباء")</f>
        <v>كهرباء</v>
      </c>
      <c r="I86" s="12" t="str">
        <f ca="1">IFERROR(__xludf.DUMMYFUNCTION("""COMPUTED_VALUE"""),"منجز")</f>
        <v>منجز</v>
      </c>
      <c r="J86" s="19">
        <f ca="1">IFERROR(__xludf.DUMMYFUNCTION("""COMPUTED_VALUE"""),46068.481174537)</f>
        <v>46068.481174537003</v>
      </c>
    </row>
    <row r="87" spans="1:10" ht="75" customHeight="1">
      <c r="A87" s="7">
        <f ca="1">IFERROR(__xludf.DUMMYFUNCTION("""COMPUTED_VALUE"""),46068.4735528588)</f>
        <v>46068.473552858799</v>
      </c>
      <c r="B87" s="18" t="str">
        <f ca="1">IFERROR(__xludf.DUMMYFUNCTION("""COMPUTED_VALUE"""),"المعملجي")</f>
        <v>المعملجي</v>
      </c>
      <c r="C87" s="9" t="str">
        <f ca="1">IFERROR(__xludf.DUMMYFUNCTION("""COMPUTED_VALUE"""),"قسم المشاريع الهندسية")</f>
        <v>قسم المشاريع الهندسية</v>
      </c>
      <c r="D87" s="10" t="str">
        <f ca="1">IFERROR(__xludf.DUMMYFUNCTION("""COMPUTED_VALUE"""),"كل المجمع")</f>
        <v>كل المجمع</v>
      </c>
      <c r="E87" s="10" t="str">
        <f ca="1">IFERROR(__xludf.DUMMYFUNCTION("""COMPUTED_VALUE"""),".")</f>
        <v>.</v>
      </c>
      <c r="F87" s="10" t="str">
        <f ca="1">IFERROR(__xludf.DUMMYFUNCTION("""COMPUTED_VALUE"""),"صيانة انارات منشورية عدد 10 من خلال اعادة لحام النقاط المنقطعة فيها وكذلك اضافة محولة 50 واط لأحداهن")</f>
        <v>صيانة انارات منشورية عدد 10 من خلال اعادة لحام النقاط المنقطعة فيها وكذلك اضافة محولة 50 واط لأحداهن</v>
      </c>
      <c r="G87" s="10"/>
      <c r="H87" s="10" t="str">
        <f ca="1">IFERROR(__xludf.DUMMYFUNCTION("""COMPUTED_VALUE"""),"كهرباء")</f>
        <v>كهرباء</v>
      </c>
      <c r="I87" s="12" t="str">
        <f ca="1">IFERROR(__xludf.DUMMYFUNCTION("""COMPUTED_VALUE"""),"منجز")</f>
        <v>منجز</v>
      </c>
      <c r="J87" s="19">
        <f ca="1">IFERROR(__xludf.DUMMYFUNCTION("""COMPUTED_VALUE"""),46068.4810858564)</f>
        <v>46068.481085856401</v>
      </c>
    </row>
    <row r="88" spans="1:10" ht="75" customHeight="1">
      <c r="A88" s="7">
        <f ca="1">IFERROR(__xludf.DUMMYFUNCTION("""COMPUTED_VALUE"""),46068.4730068055)</f>
        <v>46068.4730068055</v>
      </c>
      <c r="B88" s="18" t="str">
        <f ca="1">IFERROR(__xludf.DUMMYFUNCTION("""COMPUTED_VALUE"""),"المعملجي")</f>
        <v>المعملجي</v>
      </c>
      <c r="C88" s="9" t="str">
        <f ca="1">IFERROR(__xludf.DUMMYFUNCTION("""COMPUTED_VALUE"""),"قسم التربية والتعليم العالي")</f>
        <v>قسم التربية والتعليم العالي</v>
      </c>
      <c r="D88" s="10" t="str">
        <f ca="1">IFERROR(__xludf.DUMMYFUNCTION("""COMPUTED_VALUE"""),"B- روضة القمر")</f>
        <v>B- روضة القمر</v>
      </c>
      <c r="E88" s="10" t="str">
        <f ca="1">IFERROR(__xludf.DUMMYFUNCTION("""COMPUTED_VALUE"""),"الطابق الارضي")</f>
        <v>الطابق الارضي</v>
      </c>
      <c r="F88" s="10" t="str">
        <f ca="1">IFERROR(__xludf.DUMMYFUNCTION("""COMPUTED_VALUE"""),"صيانة حنفية في الصحيات ")</f>
        <v xml:space="preserve">صيانة حنفية في الصحيات </v>
      </c>
      <c r="G88" s="10"/>
      <c r="H88" s="10" t="str">
        <f ca="1">IFERROR(__xludf.DUMMYFUNCTION("""COMPUTED_VALUE"""),"كهرباء")</f>
        <v>كهرباء</v>
      </c>
      <c r="I88" s="12" t="str">
        <f ca="1">IFERROR(__xludf.DUMMYFUNCTION("""COMPUTED_VALUE"""),"منجز")</f>
        <v>منجز</v>
      </c>
      <c r="J88" s="19">
        <f ca="1">IFERROR(__xludf.DUMMYFUNCTION("""COMPUTED_VALUE"""),46068.481115)</f>
        <v>46068.481115000002</v>
      </c>
    </row>
    <row r="89" spans="1:10" ht="75" customHeight="1">
      <c r="A89" s="7">
        <f ca="1">IFERROR(__xludf.DUMMYFUNCTION("""COMPUTED_VALUE"""),46068.4727919791)</f>
        <v>46068.472791979097</v>
      </c>
      <c r="B89" s="18" t="str">
        <f ca="1">IFERROR(__xludf.DUMMYFUNCTION("""COMPUTED_VALUE"""),"المعملجي")</f>
        <v>المعملجي</v>
      </c>
      <c r="C89" s="9" t="str">
        <f ca="1">IFERROR(__xludf.DUMMYFUNCTION("""COMPUTED_VALUE"""),"قسم المشاريع الهندسية")</f>
        <v>قسم المشاريع الهندسية</v>
      </c>
      <c r="D89" s="10" t="str">
        <f ca="1">IFERROR(__xludf.DUMMYFUNCTION("""COMPUTED_VALUE"""),"C- ثانوية العميد بناية الاعدادية  (الاولى)")</f>
        <v>C- ثانوية العميد بناية الاعدادية  (الاولى)</v>
      </c>
      <c r="E89" s="10" t="str">
        <f ca="1">IFERROR(__xludf.DUMMYFUNCTION("""COMPUTED_VALUE"""),"الطابق الاول, جناح الادائرة ZONE A")</f>
        <v>الطابق الاول, جناح الادائرة ZONE A</v>
      </c>
      <c r="F89" s="10" t="str">
        <f ca="1">IFERROR(__xludf.DUMMYFUNCTION("""COMPUTED_VALUE"""),"استبدال بلك اسويج عاطل")</f>
        <v>استبدال بلك اسويج عاطل</v>
      </c>
      <c r="G89" s="10"/>
      <c r="H89" s="10" t="str">
        <f ca="1">IFERROR(__xludf.DUMMYFUNCTION("""COMPUTED_VALUE"""),"كهرباء")</f>
        <v>كهرباء</v>
      </c>
      <c r="I89" s="12" t="str">
        <f ca="1">IFERROR(__xludf.DUMMYFUNCTION("""COMPUTED_VALUE"""),"منجز")</f>
        <v>منجز</v>
      </c>
      <c r="J89" s="19">
        <f ca="1">IFERROR(__xludf.DUMMYFUNCTION("""COMPUTED_VALUE"""),46068.4810583912)</f>
        <v>46068.481058391197</v>
      </c>
    </row>
    <row r="90" spans="1:10" ht="75" customHeight="1">
      <c r="A90" s="7">
        <f ca="1">IFERROR(__xludf.DUMMYFUNCTION("""COMPUTED_VALUE"""),46068.3124927662)</f>
        <v>46068.312492766199</v>
      </c>
      <c r="B90" s="18" t="str">
        <f ca="1">IFERROR(__xludf.DUMMYFUNCTION("""COMPUTED_VALUE"""),"المعملجي")</f>
        <v>المعملجي</v>
      </c>
      <c r="C90" s="9" t="str">
        <f ca="1">IFERROR(__xludf.DUMMYFUNCTION("""COMPUTED_VALUE"""),"قسم التربية والتعليم العالي")</f>
        <v>قسم التربية والتعليم العالي</v>
      </c>
      <c r="D90" s="10" t="str">
        <f ca="1">IFERROR(__xludf.DUMMYFUNCTION("""COMPUTED_VALUE"""),"H- ابتدائية القمر للبنات (الخامسة)")</f>
        <v>H- ابتدائية القمر للبنات (الخامسة)</v>
      </c>
      <c r="E90" s="10" t="str">
        <f ca="1">IFERROR(__xludf.DUMMYFUNCTION("""COMPUTED_VALUE"""),"الطابق الارضي")</f>
        <v>الطابق الارضي</v>
      </c>
      <c r="F90" s="10" t="str">
        <f ca="1">IFERROR(__xludf.DUMMYFUNCTION("""COMPUTED_VALUE"""),"صيانة مصباح")</f>
        <v>صيانة مصباح</v>
      </c>
      <c r="G90" s="10"/>
      <c r="H90" s="10" t="str">
        <f ca="1">IFERROR(__xludf.DUMMYFUNCTION("""COMPUTED_VALUE"""),"كهرباء")</f>
        <v>كهرباء</v>
      </c>
      <c r="I90" s="12" t="str">
        <f ca="1">IFERROR(__xludf.DUMMYFUNCTION("""COMPUTED_VALUE"""),"مؤجل")</f>
        <v>مؤجل</v>
      </c>
      <c r="J90" s="19">
        <f ca="1">IFERROR(__xludf.DUMMYFUNCTION("""COMPUTED_VALUE"""),46068.4824174537)</f>
        <v>46068.482417453699</v>
      </c>
    </row>
    <row r="91" spans="1:10" ht="75" customHeight="1">
      <c r="A91" s="7">
        <f ca="1">IFERROR(__xludf.DUMMYFUNCTION("""COMPUTED_VALUE"""),46064.4175776388)</f>
        <v>46064.4175776388</v>
      </c>
      <c r="B91" s="18" t="str">
        <f ca="1">IFERROR(__xludf.DUMMYFUNCTION("""COMPUTED_VALUE"""),"المعملجي")</f>
        <v>المعملجي</v>
      </c>
      <c r="C91" s="9" t="str">
        <f ca="1">IFERROR(__xludf.DUMMYFUNCTION("""COMPUTED_VALUE"""),"قسم التربية والتعليم العالي")</f>
        <v>قسم التربية والتعليم العالي</v>
      </c>
      <c r="D91" s="10" t="str">
        <f ca="1">IFERROR(__xludf.DUMMYFUNCTION("""COMPUTED_VALUE"""),"F-  ابتدائية جود العميد للبنات (الرابعة)")</f>
        <v>F-  ابتدائية جود العميد للبنات (الرابعة)</v>
      </c>
      <c r="E91" s="10" t="str">
        <f ca="1">IFERROR(__xludf.DUMMYFUNCTION("""COMPUTED_VALUE"""),"الطابق الارضي")</f>
        <v>الطابق الارضي</v>
      </c>
      <c r="F91" s="10" t="str">
        <f ca="1">IFERROR(__xludf.DUMMYFUNCTION("""COMPUTED_VALUE"""),"صيانة انارة ")</f>
        <v xml:space="preserve">صيانة انارة </v>
      </c>
      <c r="G91" s="10"/>
      <c r="H91" s="10" t="str">
        <f ca="1">IFERROR(__xludf.DUMMYFUNCTION("""COMPUTED_VALUE"""),"كهرباء")</f>
        <v>كهرباء</v>
      </c>
      <c r="I91" s="12" t="str">
        <f ca="1">IFERROR(__xludf.DUMMYFUNCTION("""COMPUTED_VALUE"""),"منجز")</f>
        <v>منجز</v>
      </c>
      <c r="J91" s="19">
        <f ca="1">IFERROR(__xludf.DUMMYFUNCTION("""COMPUTED_VALUE"""),46064.5660226157)</f>
        <v>46064.566022615698</v>
      </c>
    </row>
    <row r="92" spans="1:10" ht="75" customHeight="1">
      <c r="A92" s="7">
        <f ca="1">IFERROR(__xludf.DUMMYFUNCTION("""COMPUTED_VALUE"""),46061.3310076851)</f>
        <v>46061.331007685098</v>
      </c>
      <c r="B92" s="18" t="str">
        <f ca="1">IFERROR(__xludf.DUMMYFUNCTION("""COMPUTED_VALUE"""),"المعملجي")</f>
        <v>المعملجي</v>
      </c>
      <c r="C92" s="9" t="str">
        <f ca="1">IFERROR(__xludf.DUMMYFUNCTION("""COMPUTED_VALUE"""),"قسم التربية والتعليم العالي")</f>
        <v>قسم التربية والتعليم العالي</v>
      </c>
      <c r="D92" s="10" t="str">
        <f ca="1">IFERROR(__xludf.DUMMYFUNCTION("""COMPUTED_VALUE"""),"J- جامعة العميد (السابعة)")</f>
        <v>J- جامعة العميد (السابعة)</v>
      </c>
      <c r="E92" s="10" t="str">
        <f ca="1">IFERROR(__xludf.DUMMYFUNCTION("""COMPUTED_VALUE"""),"الطابق الارضي")</f>
        <v>الطابق الارضي</v>
      </c>
      <c r="F92" s="10" t="str">
        <f ca="1">IFERROR(__xludf.DUMMYFUNCTION("""COMPUTED_VALUE"""),"صيانة مصعد ")</f>
        <v xml:space="preserve">صيانة مصعد </v>
      </c>
      <c r="G92" s="10"/>
      <c r="H92" s="10" t="str">
        <f ca="1">IFERROR(__xludf.DUMMYFUNCTION("""COMPUTED_VALUE"""),"كهرباء")</f>
        <v>كهرباء</v>
      </c>
      <c r="I92" s="12" t="str">
        <f ca="1">IFERROR(__xludf.DUMMYFUNCTION("""COMPUTED_VALUE"""),"ملغي")</f>
        <v>ملغي</v>
      </c>
      <c r="J92" s="19">
        <f ca="1">IFERROR(__xludf.DUMMYFUNCTION("""COMPUTED_VALUE"""),46061.3337441666)</f>
        <v>46061.333744166601</v>
      </c>
    </row>
    <row r="93" spans="1:10" ht="75" customHeight="1">
      <c r="A93" s="7">
        <f ca="1">IFERROR(__xludf.DUMMYFUNCTION("""COMPUTED_VALUE"""),46061.325990162)</f>
        <v>46061.325990161997</v>
      </c>
      <c r="B93" s="18" t="str">
        <f ca="1">IFERROR(__xludf.DUMMYFUNCTION("""COMPUTED_VALUE"""),"المعملجي")</f>
        <v>المعملجي</v>
      </c>
      <c r="C93" s="9" t="str">
        <f ca="1">IFERROR(__xludf.DUMMYFUNCTION("""COMPUTED_VALUE"""),"قسم المشاريع الهندسية")</f>
        <v>قسم المشاريع الهندسية</v>
      </c>
      <c r="D93" s="10" t="str">
        <f ca="1">IFERROR(__xludf.DUMMYFUNCTION("""COMPUTED_VALUE"""),"شعبة الصيانة")</f>
        <v>شعبة الصيانة</v>
      </c>
      <c r="E93" s="10" t="str">
        <f ca="1">IFERROR(__xludf.DUMMYFUNCTION("""COMPUTED_VALUE"""),"وحدة المدني")</f>
        <v>وحدة المدني</v>
      </c>
      <c r="F93" s="10" t="str">
        <f ca="1">IFERROR(__xludf.DUMMYFUNCTION("""COMPUTED_VALUE"""),"تم استبدال سبوت لايت بقدرة24W عدد 2 ")</f>
        <v xml:space="preserve">تم استبدال سبوت لايت بقدرة24W عدد 2 </v>
      </c>
      <c r="G93" s="10"/>
      <c r="H93" s="10" t="str">
        <f ca="1">IFERROR(__xludf.DUMMYFUNCTION("""COMPUTED_VALUE"""),"كهرباء")</f>
        <v>كهرباء</v>
      </c>
      <c r="I93" s="12" t="str">
        <f ca="1">IFERROR(__xludf.DUMMYFUNCTION("""COMPUTED_VALUE"""),"منجز")</f>
        <v>منجز</v>
      </c>
      <c r="J93" s="19">
        <f ca="1">IFERROR(__xludf.DUMMYFUNCTION("""COMPUTED_VALUE"""),46061.3267776851)</f>
        <v>46061.326777685099</v>
      </c>
    </row>
    <row r="94" spans="1:10" ht="75" customHeight="1">
      <c r="A94" s="7">
        <f ca="1">IFERROR(__xludf.DUMMYFUNCTION("""COMPUTED_VALUE"""),46061.3253812152)</f>
        <v>46061.325381215203</v>
      </c>
      <c r="B94" s="18" t="str">
        <f ca="1">IFERROR(__xludf.DUMMYFUNCTION("""COMPUTED_VALUE"""),"المعملجي")</f>
        <v>المعملجي</v>
      </c>
      <c r="C94" s="9" t="str">
        <f ca="1">IFERROR(__xludf.DUMMYFUNCTION("""COMPUTED_VALUE"""),"قسم المشاريع الهندسية")</f>
        <v>قسم المشاريع الهندسية</v>
      </c>
      <c r="D94" s="10" t="str">
        <f ca="1">IFERROR(__xludf.DUMMYFUNCTION("""COMPUTED_VALUE"""),"H- ابتدائية القمر للبنات (الخامسة)")</f>
        <v>H- ابتدائية القمر للبنات (الخامسة)</v>
      </c>
      <c r="E94" s="10" t="str">
        <f ca="1">IFERROR(__xludf.DUMMYFUNCTION("""COMPUTED_VALUE"""),".")</f>
        <v>.</v>
      </c>
      <c r="F94" s="10" t="str">
        <f ca="1">IFERROR(__xludf.DUMMYFUNCTION("""COMPUTED_VALUE"""),"تم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f>
        <v>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v>
      </c>
      <c r="G94" s="10"/>
      <c r="H94" s="10" t="str">
        <f ca="1">IFERROR(__xludf.DUMMYFUNCTION("""COMPUTED_VALUE"""),"كهرباء")</f>
        <v>كهرباء</v>
      </c>
      <c r="I94" s="12" t="str">
        <f ca="1">IFERROR(__xludf.DUMMYFUNCTION("""COMPUTED_VALUE"""),"منجز")</f>
        <v>منجز</v>
      </c>
      <c r="J94" s="19">
        <f ca="1">IFERROR(__xludf.DUMMYFUNCTION("""COMPUTED_VALUE"""),46061.3267713078)</f>
        <v>46061.326771307802</v>
      </c>
    </row>
    <row r="95" spans="1:10" ht="75" customHeight="1">
      <c r="A95" s="7">
        <f ca="1">IFERROR(__xludf.DUMMYFUNCTION("""COMPUTED_VALUE"""),46061.3249131597)</f>
        <v>46061.324913159697</v>
      </c>
      <c r="B95" s="18" t="str">
        <f ca="1">IFERROR(__xludf.DUMMYFUNCTION("""COMPUTED_VALUE"""),"المعملجي")</f>
        <v>المعملجي</v>
      </c>
      <c r="C95" s="9" t="str">
        <f ca="1">IFERROR(__xludf.DUMMYFUNCTION("""COMPUTED_VALUE"""),"قسم المشاريع الهندسية")</f>
        <v>قسم المشاريع الهندسية</v>
      </c>
      <c r="D95" s="10" t="str">
        <f ca="1">IFERROR(__xludf.DUMMYFUNCTION("""COMPUTED_VALUE"""),"E- ابتدائية العميد للبنات (الثالثة)")</f>
        <v>E- ابتدائية العميد للبنات (الثالثة)</v>
      </c>
      <c r="E95" s="10" t="str">
        <f ca="1">IFERROR(__xludf.DUMMYFUNCTION("""COMPUTED_VALUE"""),"محولة المدرسة")</f>
        <v>محولة المدرسة</v>
      </c>
      <c r="F95" s="10" t="str">
        <f ca="1">IFERROR(__xludf.DUMMYFUNCTION("""COMPUTED_VALUE"""),"تم استبدال نرمادة باب عدد 2")</f>
        <v>تم استبدال نرمادة باب عدد 2</v>
      </c>
      <c r="G95" s="10"/>
      <c r="H95" s="10" t="str">
        <f ca="1">IFERROR(__xludf.DUMMYFUNCTION("""COMPUTED_VALUE"""),"كهرباء")</f>
        <v>كهرباء</v>
      </c>
      <c r="I95" s="12" t="str">
        <f ca="1">IFERROR(__xludf.DUMMYFUNCTION("""COMPUTED_VALUE"""),"منجز")</f>
        <v>منجز</v>
      </c>
      <c r="J95" s="19">
        <f ca="1">IFERROR(__xludf.DUMMYFUNCTION("""COMPUTED_VALUE"""),46061.32675603)</f>
        <v>46061.326756030001</v>
      </c>
    </row>
    <row r="96" spans="1:10" ht="75" customHeight="1">
      <c r="A96" s="7">
        <f ca="1">IFERROR(__xludf.DUMMYFUNCTION("""COMPUTED_VALUE"""),46061.3243828356)</f>
        <v>46061.324382835599</v>
      </c>
      <c r="B96" s="18" t="str">
        <f ca="1">IFERROR(__xludf.DUMMYFUNCTION("""COMPUTED_VALUE"""),"المعملجي")</f>
        <v>المعملجي</v>
      </c>
      <c r="C96" s="9" t="str">
        <f ca="1">IFERROR(__xludf.DUMMYFUNCTION("""COMPUTED_VALUE"""),"قسم المشاريع الهندسية")</f>
        <v>قسم المشاريع الهندسية</v>
      </c>
      <c r="D96" s="10" t="str">
        <f ca="1">IFERROR(__xludf.DUMMYFUNCTION("""COMPUTED_VALUE"""),"B- روضة القمر")</f>
        <v>B- روضة القمر</v>
      </c>
      <c r="E96" s="10" t="str">
        <f ca="1">IFERROR(__xludf.DUMMYFUNCTION("""COMPUTED_VALUE"""),"السطح")</f>
        <v>السطح</v>
      </c>
      <c r="F96" s="10" t="str">
        <f ca="1">IFERROR(__xludf.DUMMYFUNCTION("""COMPUTED_VALUE"""),"تم غسل الالواح الشمسية بالكامل ")</f>
        <v xml:space="preserve">تم غسل الالواح الشمسية بالكامل </v>
      </c>
      <c r="G96" s="10"/>
      <c r="H96" s="10" t="str">
        <f ca="1">IFERROR(__xludf.DUMMYFUNCTION("""COMPUTED_VALUE"""),"كهرباء")</f>
        <v>كهرباء</v>
      </c>
      <c r="I96" s="12" t="str">
        <f ca="1">IFERROR(__xludf.DUMMYFUNCTION("""COMPUTED_VALUE"""),"منجز")</f>
        <v>منجز</v>
      </c>
      <c r="J96" s="19">
        <f ca="1">IFERROR(__xludf.DUMMYFUNCTION("""COMPUTED_VALUE"""),46061.3268087731)</f>
        <v>46061.326808773098</v>
      </c>
    </row>
    <row r="97" spans="1:10" ht="75" customHeight="1">
      <c r="A97" s="7">
        <f ca="1">IFERROR(__xludf.DUMMYFUNCTION("""COMPUTED_VALUE"""),46061.3236928472)</f>
        <v>46061.323692847203</v>
      </c>
      <c r="B97" s="18" t="str">
        <f ca="1">IFERROR(__xludf.DUMMYFUNCTION("""COMPUTED_VALUE"""),"المعملجي")</f>
        <v>المعملجي</v>
      </c>
      <c r="C97" s="9" t="str">
        <f ca="1">IFERROR(__xludf.DUMMYFUNCTION("""COMPUTED_VALUE"""),"قسم المشاريع الهندسية")</f>
        <v>قسم المشاريع الهندسية</v>
      </c>
      <c r="D97" s="10" t="str">
        <f ca="1">IFERROR(__xludf.DUMMYFUNCTION("""COMPUTED_VALUE"""),"G- روضة الجود")</f>
        <v>G- روضة الجود</v>
      </c>
      <c r="E97" s="10" t="str">
        <f ca="1">IFERROR(__xludf.DUMMYFUNCTION("""COMPUTED_VALUE"""),".")</f>
        <v>.</v>
      </c>
      <c r="F97" s="10" t="str">
        <f ca="1">IFERROR(__xludf.DUMMYFUNCTION("""COMPUTED_VALUE"""),"تم جرد بناية الروضة  حيث تم تبديل عدد 3  محولة 50w لانارة منشورية (60*60) ")</f>
        <v xml:space="preserve">تم جرد بناية الروضة  حيث تم تبديل عدد 3  محولة 50w لانارة منشورية (60*60) </v>
      </c>
      <c r="G97" s="10"/>
      <c r="H97" s="10" t="str">
        <f ca="1">IFERROR(__xludf.DUMMYFUNCTION("""COMPUTED_VALUE"""),"كهرباء")</f>
        <v>كهرباء</v>
      </c>
      <c r="I97" s="12" t="str">
        <f ca="1">IFERROR(__xludf.DUMMYFUNCTION("""COMPUTED_VALUE"""),"منجز")</f>
        <v>منجز</v>
      </c>
      <c r="J97" s="19">
        <f ca="1">IFERROR(__xludf.DUMMYFUNCTION("""COMPUTED_VALUE"""),46061.3267454745)</f>
        <v>46061.3267454745</v>
      </c>
    </row>
    <row r="98" spans="1:10" ht="75" customHeight="1">
      <c r="A98" s="7">
        <f ca="1">IFERROR(__xludf.DUMMYFUNCTION("""COMPUTED_VALUE"""),46061.3232665625)</f>
        <v>46061.323266562496</v>
      </c>
      <c r="B98" s="18" t="str">
        <f ca="1">IFERROR(__xludf.DUMMYFUNCTION("""COMPUTED_VALUE"""),"المعملجي")</f>
        <v>المعملجي</v>
      </c>
      <c r="C98" s="9" t="str">
        <f ca="1">IFERROR(__xludf.DUMMYFUNCTION("""COMPUTED_VALUE"""),"قسم المشاريع الهندسية")</f>
        <v>قسم المشاريع الهندسية</v>
      </c>
      <c r="D98" s="10" t="str">
        <f ca="1">IFERROR(__xludf.DUMMYFUNCTION("""COMPUTED_VALUE"""),"G- روضة الجود")</f>
        <v>G- روضة الجود</v>
      </c>
      <c r="E98" s="10" t="str">
        <f ca="1">IFERROR(__xludf.DUMMYFUNCTION("""COMPUTED_VALUE"""),".")</f>
        <v>.</v>
      </c>
      <c r="F98" s="10" t="str">
        <f ca="1">IFERROR(__xludf.DUMMYFUNCTION("""COMPUTED_VALUE"""),"تم جرد الروضه  واستبدال خمس محولات")</f>
        <v>تم جرد الروضه  واستبدال خمس محولات</v>
      </c>
      <c r="G98" s="10"/>
      <c r="H98" s="10" t="str">
        <f ca="1">IFERROR(__xludf.DUMMYFUNCTION("""COMPUTED_VALUE"""),"كهرباء")</f>
        <v>كهرباء</v>
      </c>
      <c r="I98" s="12" t="str">
        <f ca="1">IFERROR(__xludf.DUMMYFUNCTION("""COMPUTED_VALUE"""),"منجز")</f>
        <v>منجز</v>
      </c>
      <c r="J98" s="19">
        <f ca="1">IFERROR(__xludf.DUMMYFUNCTION("""COMPUTED_VALUE"""),46061.3267328125)</f>
        <v>46061.3267328125</v>
      </c>
    </row>
    <row r="99" spans="1:10" ht="75" customHeight="1">
      <c r="A99" s="7">
        <f ca="1">IFERROR(__xludf.DUMMYFUNCTION("""COMPUTED_VALUE"""),46061.3225308449)</f>
        <v>46061.322530844896</v>
      </c>
      <c r="B99" s="18" t="str">
        <f ca="1">IFERROR(__xludf.DUMMYFUNCTION("""COMPUTED_VALUE"""),"المعملجي")</f>
        <v>المعملجي</v>
      </c>
      <c r="C99" s="9" t="str">
        <f ca="1">IFERROR(__xludf.DUMMYFUNCTION("""COMPUTED_VALUE"""),"قسم المشاريع الهندسية")</f>
        <v>قسم المشاريع الهندسية</v>
      </c>
      <c r="D99" s="10" t="str">
        <f ca="1">IFERROR(__xludf.DUMMYFUNCTION("""COMPUTED_VALUE"""),"كل المجمع عدا المركز والخارجية")</f>
        <v>كل المجمع عدا المركز والخارجية</v>
      </c>
      <c r="E99" s="10" t="str">
        <f ca="1">IFERROR(__xludf.DUMMYFUNCTION("""COMPUTED_VALUE"""),".")</f>
        <v>.</v>
      </c>
      <c r="F99" s="10" t="str">
        <f ca="1">IFERROR(__xludf.DUMMYFUNCTION("""COMPUTED_VALUE"""),"فحص منظومات تحسين معامل القدرة لجميع المحولات")</f>
        <v>فحص منظومات تحسين معامل القدرة لجميع المحولات</v>
      </c>
      <c r="G99" s="10"/>
      <c r="H99" s="10" t="str">
        <f ca="1">IFERROR(__xludf.DUMMYFUNCTION("""COMPUTED_VALUE"""),"كهرباء")</f>
        <v>كهرباء</v>
      </c>
      <c r="I99" s="12" t="str">
        <f ca="1">IFERROR(__xludf.DUMMYFUNCTION("""COMPUTED_VALUE"""),"منجز")</f>
        <v>منجز</v>
      </c>
      <c r="J99" s="19">
        <f ca="1">IFERROR(__xludf.DUMMYFUNCTION("""COMPUTED_VALUE"""),46061.3267340625)</f>
        <v>46061.326734062503</v>
      </c>
    </row>
    <row r="100" spans="1:10" ht="75" customHeight="1">
      <c r="A100" s="7">
        <f ca="1">IFERROR(__xludf.DUMMYFUNCTION("""COMPUTED_VALUE"""),46061.3220361342)</f>
        <v>46061.322036134203</v>
      </c>
      <c r="B100" s="18" t="str">
        <f ca="1">IFERROR(__xludf.DUMMYFUNCTION("""COMPUTED_VALUE"""),"المعملجي")</f>
        <v>المعملجي</v>
      </c>
      <c r="C100" s="9" t="str">
        <f ca="1">IFERROR(__xludf.DUMMYFUNCTION("""COMPUTED_VALUE"""),"قسم المشاريع الهندسية")</f>
        <v>قسم المشاريع الهندسية</v>
      </c>
      <c r="D100" s="10" t="str">
        <f ca="1">IFERROR(__xludf.DUMMYFUNCTION("""COMPUTED_VALUE"""),"A- المركز الثقافي")</f>
        <v>A- المركز الثقافي</v>
      </c>
      <c r="E100" s="10" t="str">
        <f ca="1">IFERROR(__xludf.DUMMYFUNCTION("""COMPUTED_VALUE"""),"الطابق الارضي,  مطبخ رئاسة القسم ")</f>
        <v xml:space="preserve">الطابق الارضي,  مطبخ رئاسة القسم </v>
      </c>
      <c r="F100" s="10" t="str">
        <f ca="1">IFERROR(__xludf.DUMMYFUNCTION("""COMPUTED_VALUE"""),"استبدال سبوت لايت شغال بآخر تالف لحين اصلاح التالف.")</f>
        <v>استبدال سبوت لايت شغال بآخر تالف لحين اصلاح التالف.</v>
      </c>
      <c r="G100" s="10"/>
      <c r="H100" s="10" t="str">
        <f ca="1">IFERROR(__xludf.DUMMYFUNCTION("""COMPUTED_VALUE"""),"كهرباء")</f>
        <v>كهرباء</v>
      </c>
      <c r="I100" s="12" t="str">
        <f ca="1">IFERROR(__xludf.DUMMYFUNCTION("""COMPUTED_VALUE"""),"منجز")</f>
        <v>منجز</v>
      </c>
      <c r="J100" s="19">
        <f ca="1">IFERROR(__xludf.DUMMYFUNCTION("""COMPUTED_VALUE"""),46061.3267174768)</f>
        <v>46061.326717476797</v>
      </c>
    </row>
    <row r="101" spans="1:10" ht="75" customHeight="1">
      <c r="A101" s="7">
        <f ca="1">IFERROR(__xludf.DUMMYFUNCTION("""COMPUTED_VALUE"""),46061.3214925231)</f>
        <v>46061.3214925231</v>
      </c>
      <c r="B101" s="18" t="str">
        <f ca="1">IFERROR(__xludf.DUMMYFUNCTION("""COMPUTED_VALUE"""),"المعملجي")</f>
        <v>المعملجي</v>
      </c>
      <c r="C101" s="9" t="str">
        <f ca="1">IFERROR(__xludf.DUMMYFUNCTION("""COMPUTED_VALUE"""),"قسم المشاريع الهندسية")</f>
        <v>قسم المشاريع الهندسية</v>
      </c>
      <c r="D101" s="10"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E101" s="10" t="str">
        <f ca="1">IFERROR(__xludf.DUMMYFUNCTION("""COMPUTED_VALUE"""),"الطابق الارضي")</f>
        <v>الطابق الارضي</v>
      </c>
      <c r="F101" s="10" t="str">
        <f ca="1">IFERROR(__xludf.DUMMYFUNCTION("""COMPUTED_VALUE"""),"لصق ليبل على الاسلاك الخاصة بال VRV و الأسلاك المضافة حديثا.")</f>
        <v>لصق ليبل على الاسلاك الخاصة بال VRV و الأسلاك المضافة حديثا.</v>
      </c>
      <c r="G101" s="10"/>
      <c r="H101" s="10" t="str">
        <f ca="1">IFERROR(__xludf.DUMMYFUNCTION("""COMPUTED_VALUE"""),"كهرباء")</f>
        <v>كهرباء</v>
      </c>
      <c r="I101" s="12" t="str">
        <f ca="1">IFERROR(__xludf.DUMMYFUNCTION("""COMPUTED_VALUE"""),"منجز")</f>
        <v>منجز</v>
      </c>
      <c r="J101" s="19">
        <f ca="1">IFERROR(__xludf.DUMMYFUNCTION("""COMPUTED_VALUE"""),46061.326715625)</f>
        <v>46061.326715625</v>
      </c>
    </row>
    <row r="102" spans="1:10" ht="75" customHeight="1">
      <c r="A102" s="7">
        <f ca="1">IFERROR(__xludf.DUMMYFUNCTION("""COMPUTED_VALUE"""),46061.3211862847)</f>
        <v>46061.321186284702</v>
      </c>
      <c r="B102" s="18" t="str">
        <f ca="1">IFERROR(__xludf.DUMMYFUNCTION("""COMPUTED_VALUE"""),"المعملجي")</f>
        <v>المعملجي</v>
      </c>
      <c r="C102" s="9" t="str">
        <f ca="1">IFERROR(__xludf.DUMMYFUNCTION("""COMPUTED_VALUE"""),"قسم المشاريع الهندسية")</f>
        <v>قسم المشاريع الهندسية</v>
      </c>
      <c r="D102" s="10" t="str">
        <f ca="1">IFERROR(__xludf.DUMMYFUNCTION("""COMPUTED_VALUE"""),"شعبة الصيانة")</f>
        <v>شعبة الصيانة</v>
      </c>
      <c r="E102" s="10" t="str">
        <f ca="1">IFERROR(__xludf.DUMMYFUNCTION("""COMPUTED_VALUE"""),"غرفة المضخة الرئيسية")</f>
        <v>غرفة المضخة الرئيسية</v>
      </c>
      <c r="F102" s="10" t="str">
        <f ca="1">IFERROR(__xludf.DUMMYFUNCTION("""COMPUTED_VALUE"""),"تم اضافة هولدر عدد2  مع مصباح 60W عدد 2")</f>
        <v>تم اضافة هولدر عدد2  مع مصباح 60W عدد 2</v>
      </c>
      <c r="G102" s="10"/>
      <c r="H102" s="10" t="str">
        <f ca="1">IFERROR(__xludf.DUMMYFUNCTION("""COMPUTED_VALUE"""),"كهرباء")</f>
        <v>كهرباء</v>
      </c>
      <c r="I102" s="12" t="str">
        <f ca="1">IFERROR(__xludf.DUMMYFUNCTION("""COMPUTED_VALUE"""),"منجز")</f>
        <v>منجز</v>
      </c>
      <c r="J102" s="19">
        <f ca="1">IFERROR(__xludf.DUMMYFUNCTION("""COMPUTED_VALUE"""),46061.3266944444)</f>
        <v>46061.326694444397</v>
      </c>
    </row>
    <row r="103" spans="1:10" ht="75" customHeight="1">
      <c r="A103" s="7">
        <f ca="1">IFERROR(__xludf.DUMMYFUNCTION("""COMPUTED_VALUE"""),46061.3206337268)</f>
        <v>46061.320633726798</v>
      </c>
      <c r="B103" s="18" t="str">
        <f ca="1">IFERROR(__xludf.DUMMYFUNCTION("""COMPUTED_VALUE"""),"المعملجي")</f>
        <v>المعملجي</v>
      </c>
      <c r="C103" s="9" t="str">
        <f ca="1">IFERROR(__xludf.DUMMYFUNCTION("""COMPUTED_VALUE"""),"قسم المشاريع الهندسية")</f>
        <v>قسم المشاريع الهندسية</v>
      </c>
      <c r="D103" s="10" t="str">
        <f ca="1">IFERROR(__xludf.DUMMYFUNCTION("""COMPUTED_VALUE"""),"B- روضة القمر")</f>
        <v>B- روضة القمر</v>
      </c>
      <c r="E103" s="10" t="str">
        <f ca="1">IFERROR(__xludf.DUMMYFUNCTION("""COMPUTED_VALUE"""),"صحيات مقابل الاولى")</f>
        <v>صحيات مقابل الاولى</v>
      </c>
      <c r="F103" s="10" t="str">
        <f ca="1">IFERROR(__xludf.DUMMYFUNCTION("""COMPUTED_VALUE""")," تبديل محولة سبوت لايت ")</f>
        <v xml:space="preserve"> تبديل محولة سبوت لايت </v>
      </c>
      <c r="G103" s="10"/>
      <c r="H103" s="10" t="str">
        <f ca="1">IFERROR(__xludf.DUMMYFUNCTION("""COMPUTED_VALUE"""),"كهرباء")</f>
        <v>كهرباء</v>
      </c>
      <c r="I103" s="12" t="str">
        <f ca="1">IFERROR(__xludf.DUMMYFUNCTION("""COMPUTED_VALUE"""),"منجز")</f>
        <v>منجز</v>
      </c>
      <c r="J103" s="19">
        <f ca="1">IFERROR(__xludf.DUMMYFUNCTION("""COMPUTED_VALUE"""),46061.326682199)</f>
        <v>46061.326682198996</v>
      </c>
    </row>
    <row r="104" spans="1:10" ht="75" customHeight="1">
      <c r="A104" s="7">
        <f ca="1">IFERROR(__xludf.DUMMYFUNCTION("""COMPUTED_VALUE"""),46061.3199487152)</f>
        <v>46061.319948715201</v>
      </c>
      <c r="B104" s="18" t="str">
        <f ca="1">IFERROR(__xludf.DUMMYFUNCTION("""COMPUTED_VALUE"""),"المعملجي")</f>
        <v>المعملجي</v>
      </c>
      <c r="C104" s="9" t="str">
        <f ca="1">IFERROR(__xludf.DUMMYFUNCTION("""COMPUTED_VALUE"""),"قسم المشاريع الهندسية")</f>
        <v>قسم المشاريع الهندسية</v>
      </c>
      <c r="D104" s="10" t="str">
        <f ca="1">IFERROR(__xludf.DUMMYFUNCTION("""COMPUTED_VALUE"""),"F-  ابتدائية جود العميد للبنات (الرابعة)")</f>
        <v>F-  ابتدائية جود العميد للبنات (الرابعة)</v>
      </c>
      <c r="E104" s="10" t="str">
        <f ca="1">IFERROR(__xludf.DUMMYFUNCTION("""COMPUTED_VALUE"""),".")</f>
        <v>.</v>
      </c>
      <c r="F104" s="10" t="str">
        <f ca="1">IFERROR(__xludf.DUMMYFUNCTION("""COMPUTED_VALUE"""),"3 منشوريات")</f>
        <v>3 منشوريات</v>
      </c>
      <c r="G104" s="10"/>
      <c r="H104" s="10" t="str">
        <f ca="1">IFERROR(__xludf.DUMMYFUNCTION("""COMPUTED_VALUE"""),"كهرباء")</f>
        <v>كهرباء</v>
      </c>
      <c r="I104" s="12" t="str">
        <f ca="1">IFERROR(__xludf.DUMMYFUNCTION("""COMPUTED_VALUE"""),"منجز")</f>
        <v>منجز</v>
      </c>
      <c r="J104" s="19">
        <f ca="1">IFERROR(__xludf.DUMMYFUNCTION("""COMPUTED_VALUE"""),46061.326670949)</f>
        <v>46061.326670948998</v>
      </c>
    </row>
    <row r="105" spans="1:10" ht="75" customHeight="1">
      <c r="A105" s="7">
        <f ca="1">IFERROR(__xludf.DUMMYFUNCTION("""COMPUTED_VALUE"""),46061.3194982638)</f>
        <v>46061.319498263802</v>
      </c>
      <c r="B105" s="18" t="str">
        <f ca="1">IFERROR(__xludf.DUMMYFUNCTION("""COMPUTED_VALUE"""),"المعملجي")</f>
        <v>المعملجي</v>
      </c>
      <c r="C105" s="9" t="str">
        <f ca="1">IFERROR(__xludf.DUMMYFUNCTION("""COMPUTED_VALUE"""),"قسم المشاريع الهندسية")</f>
        <v>قسم المشاريع الهندسية</v>
      </c>
      <c r="D105" s="10" t="str">
        <f ca="1">IFERROR(__xludf.DUMMYFUNCTION("""COMPUTED_VALUE"""),"E- ابتدائية العميد للبنات (الثالثة)")</f>
        <v>E- ابتدائية العميد للبنات (الثالثة)</v>
      </c>
      <c r="E105" s="10" t="str">
        <f ca="1">IFERROR(__xludf.DUMMYFUNCTION("""COMPUTED_VALUE"""),".")</f>
        <v>.</v>
      </c>
      <c r="F105" s="10" t="str">
        <f ca="1">IFERROR(__xludf.DUMMYFUNCTION("""COMPUTED_VALUE"""),"تم جرد المدرسة الثالثة وجد 4 منشوريات وتم إعادة تثبيت بلك سويج عدد 2 منفذ انترنت 1 وتم تبديل محولة سبوت لايت في صحيات زون B")</f>
        <v>تم جرد المدرسة الثالثة وجد 4 منشوريات وتم إعادة تثبيت بلك سويج عدد 2 منفذ انترنت 1 وتم تبديل محولة سبوت لايت في صحيات زون B</v>
      </c>
      <c r="G105" s="10"/>
      <c r="H105" s="10" t="str">
        <f ca="1">IFERROR(__xludf.DUMMYFUNCTION("""COMPUTED_VALUE"""),"كهرباء")</f>
        <v>كهرباء</v>
      </c>
      <c r="I105" s="12" t="str">
        <f ca="1">IFERROR(__xludf.DUMMYFUNCTION("""COMPUTED_VALUE"""),"منجز")</f>
        <v>منجز</v>
      </c>
      <c r="J105" s="19">
        <f ca="1">IFERROR(__xludf.DUMMYFUNCTION("""COMPUTED_VALUE"""),46061.3268502314)</f>
        <v>46061.326850231402</v>
      </c>
    </row>
    <row r="106" spans="1:10" ht="75" customHeight="1">
      <c r="A106" s="7">
        <f ca="1">IFERROR(__xludf.DUMMYFUNCTION("""COMPUTED_VALUE"""),46061.3173604513)</f>
        <v>46061.317360451299</v>
      </c>
      <c r="B106" s="18" t="str">
        <f ca="1">IFERROR(__xludf.DUMMYFUNCTION("""COMPUTED_VALUE"""),"المعملجي")</f>
        <v>المعملجي</v>
      </c>
      <c r="C106" s="9" t="str">
        <f ca="1">IFERROR(__xludf.DUMMYFUNCTION("""COMPUTED_VALUE"""),"قسم المشاريع الهندسية")</f>
        <v>قسم المشاريع الهندسية</v>
      </c>
      <c r="D106" s="10" t="str">
        <f ca="1">IFERROR(__xludf.DUMMYFUNCTION("""COMPUTED_VALUE"""),"C- ثانوية العميد بناية الاعدادية  (الاولى)")</f>
        <v>C- ثانوية العميد بناية الاعدادية  (الاولى)</v>
      </c>
      <c r="E106" s="10" t="str">
        <f ca="1">IFERROR(__xludf.DUMMYFUNCTION("""COMPUTED_VALUE"""),"الطابق الثاني, جناح الادائرة ZONE A")</f>
        <v>الطابق الثاني, جناح الادائرة ZONE A</v>
      </c>
      <c r="F106" s="10" t="str">
        <f ca="1">IFERROR(__xludf.DUMMYFUNCTION("""COMPUTED_VALUE"""),"جرد المدرسة الأولى :-  حيث تم إعادة تشغيل عدد 8 انارة منشورية 50w  وتبديل عدد 3 محولات 50w.
وتبديل عدد 2 محولات 24w لسبوت لايت ")</f>
        <v xml:space="preserve">جرد المدرسة الأولى :-  حيث تم إعادة تشغيل عدد 8 انارة منشورية 50w  وتبديل عدد 3 محولات 50w.
وتبديل عدد 2 محولات 24w لسبوت لايت </v>
      </c>
      <c r="G106" s="10"/>
      <c r="H106" s="10" t="str">
        <f ca="1">IFERROR(__xludf.DUMMYFUNCTION("""COMPUTED_VALUE"""),"كهرباء")</f>
        <v>كهرباء</v>
      </c>
      <c r="I106" s="12" t="str">
        <f ca="1">IFERROR(__xludf.DUMMYFUNCTION("""COMPUTED_VALUE"""),"منجز")</f>
        <v>منجز</v>
      </c>
      <c r="J106" s="19">
        <f ca="1">IFERROR(__xludf.DUMMYFUNCTION("""COMPUTED_VALUE"""),46061.3266580902)</f>
        <v>46061.326658090198</v>
      </c>
    </row>
    <row r="107" spans="1:10" ht="75" customHeight="1">
      <c r="A107" s="7">
        <f ca="1">IFERROR(__xludf.DUMMYFUNCTION("""COMPUTED_VALUE"""),46061.3166349421)</f>
        <v>46061.316634942101</v>
      </c>
      <c r="B107" s="18" t="str">
        <f ca="1">IFERROR(__xludf.DUMMYFUNCTION("""COMPUTED_VALUE"""),"المعملجي")</f>
        <v>المعملجي</v>
      </c>
      <c r="C107" s="9" t="str">
        <f ca="1">IFERROR(__xludf.DUMMYFUNCTION("""COMPUTED_VALUE"""),"قسم المشاريع الهندسية")</f>
        <v>قسم المشاريع الهندسية</v>
      </c>
      <c r="D107" s="10" t="str">
        <f ca="1">IFERROR(__xludf.DUMMYFUNCTION("""COMPUTED_VALUE"""),"D- ثانوية العميد بناية المتوسطة  (الثانية)")</f>
        <v>D- ثانوية العميد بناية المتوسطة  (الثانية)</v>
      </c>
      <c r="E107" s="10" t="str">
        <f ca="1">IFERROR(__xludf.DUMMYFUNCTION("""COMPUTED_VALUE"""),"غير محدد")</f>
        <v>غير محدد</v>
      </c>
      <c r="F107" s="10" t="str">
        <f ca="1">IFERROR(__xludf.DUMMYFUNCTION("""COMPUTED_VALUE"""),"تم جرد المدرسه من اناره وبلكات سويج ووجده عطل في المنشوريات عدد(4)وتم صيانتها وصيانة البلك سويج عدد(2)")</f>
        <v>تم جرد المدرسه من اناره وبلكات سويج ووجده عطل في المنشوريات عدد(4)وتم صيانتها وصيانة البلك سويج عدد(2)</v>
      </c>
      <c r="G107" s="10"/>
      <c r="H107" s="10" t="str">
        <f ca="1">IFERROR(__xludf.DUMMYFUNCTION("""COMPUTED_VALUE"""),"كهرباء")</f>
        <v>كهرباء</v>
      </c>
      <c r="I107" s="12" t="str">
        <f ca="1">IFERROR(__xludf.DUMMYFUNCTION("""COMPUTED_VALUE"""),"منجز")</f>
        <v>منجز</v>
      </c>
      <c r="J107" s="19">
        <f ca="1">IFERROR(__xludf.DUMMYFUNCTION("""COMPUTED_VALUE"""),46061.3266491435)</f>
        <v>46061.326649143499</v>
      </c>
    </row>
    <row r="108" spans="1:10" ht="75" customHeight="1">
      <c r="A108" s="7">
        <f ca="1">IFERROR(__xludf.DUMMYFUNCTION("""COMPUTED_VALUE"""),46061.3160871296)</f>
        <v>46061.316087129599</v>
      </c>
      <c r="B108" s="18" t="str">
        <f ca="1">IFERROR(__xludf.DUMMYFUNCTION("""COMPUTED_VALUE"""),"المعملجي")</f>
        <v>المعملجي</v>
      </c>
      <c r="C108" s="9" t="str">
        <f ca="1">IFERROR(__xludf.DUMMYFUNCTION("""COMPUTED_VALUE"""),"قسم المشاريع الهندسية")</f>
        <v>قسم المشاريع الهندسية</v>
      </c>
      <c r="D108" s="10" t="str">
        <f ca="1">IFERROR(__xludf.DUMMYFUNCTION("""COMPUTED_VALUE"""),"A- المركز الثقافي, C- ثانوية العميد بناية الاعدادية  (الاولى), D- ثانوية العميد بناية المتوسطة  (الثانية)")</f>
        <v>A- المركز الثقافي, C- ثانوية العميد بناية الاعدادية  (الاولى), D- ثانوية العميد بناية المتوسطة  (الثانية)</v>
      </c>
      <c r="E108" s="10" t="str">
        <f ca="1">IFERROR(__xludf.DUMMYFUNCTION("""COMPUTED_VALUE"""),"الطابق الارضي, الطابق الاول")</f>
        <v>الطابق الارضي, الطابق الاول</v>
      </c>
      <c r="F108" s="10" t="str">
        <f ca="1">IFERROR(__xludf.DUMMYFUNCTION("""COMPUTED_VALUE"""),"لصق ليبل على الاسلاك الخاصة بالVRF و الأسلاك المضافة حديثا.")</f>
        <v>لصق ليبل على الاسلاك الخاصة بالVRF و الأسلاك المضافة حديثا.</v>
      </c>
      <c r="G108" s="10"/>
      <c r="H108" s="10" t="str">
        <f ca="1">IFERROR(__xludf.DUMMYFUNCTION("""COMPUTED_VALUE"""),"كهرباء")</f>
        <v>كهرباء</v>
      </c>
      <c r="I108" s="12" t="str">
        <f ca="1">IFERROR(__xludf.DUMMYFUNCTION("""COMPUTED_VALUE"""),"منجز")</f>
        <v>منجز</v>
      </c>
      <c r="J108" s="19">
        <f ca="1">IFERROR(__xludf.DUMMYFUNCTION("""COMPUTED_VALUE"""),46061.3266334722)</f>
        <v>46061.326633472199</v>
      </c>
    </row>
    <row r="109" spans="1:10" ht="75" customHeight="1">
      <c r="A109" s="7">
        <f ca="1">IFERROR(__xludf.DUMMYFUNCTION("""COMPUTED_VALUE"""),46061.3157062384)</f>
        <v>46061.315706238398</v>
      </c>
      <c r="B109" s="18" t="str">
        <f ca="1">IFERROR(__xludf.DUMMYFUNCTION("""COMPUTED_VALUE"""),"المعملجي")</f>
        <v>المعملجي</v>
      </c>
      <c r="C109" s="9" t="str">
        <f ca="1">IFERROR(__xludf.DUMMYFUNCTION("""COMPUTED_VALUE"""),"قسم المشاريع الهندسية")</f>
        <v>قسم المشاريع الهندسية</v>
      </c>
      <c r="D109" s="10" t="str">
        <f ca="1">IFERROR(__xludf.DUMMYFUNCTION("""COMPUTED_VALUE"""),"A- المركز الثقافي")</f>
        <v>A- المركز الثقافي</v>
      </c>
      <c r="E109" s="10" t="str">
        <f ca="1">IFERROR(__xludf.DUMMYFUNCTION("""COMPUTED_VALUE"""),"الطابق الارضي")</f>
        <v>الطابق الارضي</v>
      </c>
      <c r="F109" s="10" t="str">
        <f ca="1">IFERROR(__xludf.DUMMYFUNCTION("""COMPUTED_VALUE"""),"* ازالة الأسلاك القديمة التالفة والخارجة عن الخدمة.  * إعادة مد الكيبل الجديد بنفس مكان الكيبل القديم وكبسه في patch panel. * تنظيم جميع الأسلاك الغير منظمة.")</f>
        <v>* ازالة الأسلاك القديمة التالفة والخارجة عن الخدمة.  * إعادة مد الكيبل الجديد بنفس مكان الكيبل القديم وكبسه في patch panel. * تنظيم جميع الأسلاك الغير منظمة.</v>
      </c>
      <c r="G109" s="10"/>
      <c r="H109" s="10" t="str">
        <f ca="1">IFERROR(__xludf.DUMMYFUNCTION("""COMPUTED_VALUE"""),"كهرباء")</f>
        <v>كهرباء</v>
      </c>
      <c r="I109" s="12" t="str">
        <f ca="1">IFERROR(__xludf.DUMMYFUNCTION("""COMPUTED_VALUE"""),"منجز")</f>
        <v>منجز</v>
      </c>
      <c r="J109" s="19">
        <f ca="1">IFERROR(__xludf.DUMMYFUNCTION("""COMPUTED_VALUE"""),46061.3266075925)</f>
        <v>46061.326607592498</v>
      </c>
    </row>
    <row r="110" spans="1:10" ht="75" customHeight="1">
      <c r="A110" s="7">
        <f ca="1">IFERROR(__xludf.DUMMYFUNCTION("""COMPUTED_VALUE"""),46061.3144498032)</f>
        <v>46061.314449803198</v>
      </c>
      <c r="B110" s="18" t="str">
        <f ca="1">IFERROR(__xludf.DUMMYFUNCTION("""COMPUTED_VALUE"""),"المعملجي")</f>
        <v>المعملجي</v>
      </c>
      <c r="C110" s="9" t="str">
        <f ca="1">IFERROR(__xludf.DUMMYFUNCTION("""COMPUTED_VALUE"""),"قسم المشاريع الهندسية")</f>
        <v>قسم المشاريع الهندسية</v>
      </c>
      <c r="D110" s="10" t="str">
        <f ca="1">IFERROR(__xludf.DUMMYFUNCTION("""COMPUTED_VALUE"""),"A- المركز الثقافي")</f>
        <v>A- المركز الثقافي</v>
      </c>
      <c r="E110" s="10" t="str">
        <f ca="1">IFERROR(__xludf.DUMMYFUNCTION("""COMPUTED_VALUE"""),"غرفة مزامنة المولدة")</f>
        <v>غرفة مزامنة المولدة</v>
      </c>
      <c r="F110" s="10" t="str">
        <f ca="1">IFERROR(__xludf.DUMMYFUNCTION("""COMPUTED_VALUE"""),"تسليك كيبل STP CAT6 طول 32 متر تقريبا بدل من الكيبل المقطوع الخاص بالكاميرا")</f>
        <v>تسليك كيبل STP CAT6 طول 32 متر تقريبا بدل من الكيبل المقطوع الخاص بالكاميرا</v>
      </c>
      <c r="G110" s="10"/>
      <c r="H110" s="10" t="str">
        <f ca="1">IFERROR(__xludf.DUMMYFUNCTION("""COMPUTED_VALUE"""),"كهرباء")</f>
        <v>كهرباء</v>
      </c>
      <c r="I110" s="12" t="str">
        <f ca="1">IFERROR(__xludf.DUMMYFUNCTION("""COMPUTED_VALUE"""),"منجز")</f>
        <v>منجز</v>
      </c>
      <c r="J110" s="19">
        <f ca="1">IFERROR(__xludf.DUMMYFUNCTION("""COMPUTED_VALUE"""),46061.3265799537)</f>
        <v>46061.326579953697</v>
      </c>
    </row>
    <row r="111" spans="1:10" ht="75" customHeight="1">
      <c r="A111" s="7">
        <f ca="1">IFERROR(__xludf.DUMMYFUNCTION("""COMPUTED_VALUE"""),46061.3136675)</f>
        <v>46061.313667499999</v>
      </c>
      <c r="B111" s="18" t="str">
        <f ca="1">IFERROR(__xludf.DUMMYFUNCTION("""COMPUTED_VALUE"""),"المعملجي")</f>
        <v>المعملجي</v>
      </c>
      <c r="C111" s="9" t="str">
        <f ca="1">IFERROR(__xludf.DUMMYFUNCTION("""COMPUTED_VALUE"""),"قسم المشاريع الهندسية")</f>
        <v>قسم المشاريع الهندسية</v>
      </c>
      <c r="D111" s="10" t="str">
        <f ca="1">IFERROR(__xludf.DUMMYFUNCTION("""COMPUTED_VALUE"""),"D- ثانوية العميد بناية المتوسطة  (الثانية)")</f>
        <v>D- ثانوية العميد بناية المتوسطة  (الثانية)</v>
      </c>
      <c r="E111" s="10" t="str">
        <f ca="1">IFERROR(__xludf.DUMMYFUNCTION("""COMPUTED_VALUE"""),"الطابق الارضي")</f>
        <v>الطابق الارضي</v>
      </c>
      <c r="F111" s="10" t="str">
        <f ca="1">IFERROR(__xludf.DUMMYFUNCTION("""COMPUTED_VALUE"""),"تبديل محولة  50w لشمعة منشورية")</f>
        <v>تبديل محولة  50w لشمعة منشورية</v>
      </c>
      <c r="G111" s="10"/>
      <c r="H111" s="10" t="str">
        <f ca="1">IFERROR(__xludf.DUMMYFUNCTION("""COMPUTED_VALUE"""),"كهرباء")</f>
        <v>كهرباء</v>
      </c>
      <c r="I111" s="12" t="str">
        <f ca="1">IFERROR(__xludf.DUMMYFUNCTION("""COMPUTED_VALUE"""),"منجز")</f>
        <v>منجز</v>
      </c>
      <c r="J111" s="19">
        <f ca="1">IFERROR(__xludf.DUMMYFUNCTION("""COMPUTED_VALUE"""),46061.3265266319)</f>
        <v>46061.326526631899</v>
      </c>
    </row>
    <row r="112" spans="1:10" ht="75" customHeight="1">
      <c r="A112" s="7">
        <f ca="1">IFERROR(__xludf.DUMMYFUNCTION("""COMPUTED_VALUE"""),46061.3105741319)</f>
        <v>46061.310574131901</v>
      </c>
      <c r="B112" s="18" t="str">
        <f ca="1">IFERROR(__xludf.DUMMYFUNCTION("""COMPUTED_VALUE"""),"المعملجي")</f>
        <v>المعملجي</v>
      </c>
      <c r="C112" s="9" t="str">
        <f ca="1">IFERROR(__xludf.DUMMYFUNCTION("""COMPUTED_VALUE"""),"قسم المشاريع الهندسية")</f>
        <v>قسم المشاريع الهندسية</v>
      </c>
      <c r="D112" s="10" t="str">
        <f ca="1">IFERROR(__xludf.DUMMYFUNCTION("""COMPUTED_VALUE"""),"F-  ابتدائية جود العميد للبنات (الرابعة)")</f>
        <v>F-  ابتدائية جود العميد للبنات (الرابعة)</v>
      </c>
      <c r="E112" s="10" t="str">
        <f ca="1">IFERROR(__xludf.DUMMYFUNCTION("""COMPUTED_VALUE"""),"السطح, في غرفة منظومة الماء (RO)")</f>
        <v>السطح, في غرفة منظومة الماء (RO)</v>
      </c>
      <c r="F112" s="10" t="str">
        <f ca="1">IFERROR(__xludf.DUMMYFUNCTION("""COMPUTED_VALUE"""),"تعديل طريقة ربط الريلي (220v) مع الفيوز الخاص بتشغيل مصابيح الإشارة بعد أن تبين وجود خطأ في طريقة الربط ")</f>
        <v xml:space="preserve">تعديل طريقة ربط الريلي (220v) مع الفيوز الخاص بتشغيل مصابيح الإشارة بعد أن تبين وجود خطأ في طريقة الربط </v>
      </c>
      <c r="G112" s="10"/>
      <c r="H112" s="10" t="str">
        <f ca="1">IFERROR(__xludf.DUMMYFUNCTION("""COMPUTED_VALUE"""),"كهرباء")</f>
        <v>كهرباء</v>
      </c>
      <c r="I112" s="12" t="str">
        <f ca="1">IFERROR(__xludf.DUMMYFUNCTION("""COMPUTED_VALUE"""),"منجز")</f>
        <v>منجز</v>
      </c>
      <c r="J112" s="19">
        <f ca="1">IFERROR(__xludf.DUMMYFUNCTION("""COMPUTED_VALUE"""),46061.3118912962)</f>
        <v>46061.311891296202</v>
      </c>
    </row>
    <row r="113" spans="1:10" ht="75" customHeight="1">
      <c r="A113" s="7">
        <f ca="1">IFERROR(__xludf.DUMMYFUNCTION("""COMPUTED_VALUE"""),46061.3098985763)</f>
        <v>46061.309898576299</v>
      </c>
      <c r="B113" s="18" t="str">
        <f ca="1">IFERROR(__xludf.DUMMYFUNCTION("""COMPUTED_VALUE"""),"المعملجي")</f>
        <v>المعملجي</v>
      </c>
      <c r="C113" s="9" t="str">
        <f ca="1">IFERROR(__xludf.DUMMYFUNCTION("""COMPUTED_VALUE"""),"قسم المشاريع الهندسية")</f>
        <v>قسم المشاريع الهندسية</v>
      </c>
      <c r="D113" s="10" t="str">
        <f ca="1">IFERROR(__xludf.DUMMYFUNCTION("""COMPUTED_VALUE"""),"G- روضة الجود")</f>
        <v>G- روضة الجود</v>
      </c>
      <c r="E113" s="10" t="str">
        <f ca="1">IFERROR(__xludf.DUMMYFUNCTION("""COMPUTED_VALUE"""),"الطابق الارضي")</f>
        <v>الطابق الارضي</v>
      </c>
      <c r="F113" s="10" t="str">
        <f ca="1">IFERROR(__xludf.DUMMYFUNCTION("""COMPUTED_VALUE"""),"تم استبدال محولة منشوريه عاطله ")</f>
        <v xml:space="preserve">تم استبدال محولة منشوريه عاطله </v>
      </c>
      <c r="G113" s="10"/>
      <c r="H113" s="10" t="str">
        <f ca="1">IFERROR(__xludf.DUMMYFUNCTION("""COMPUTED_VALUE"""),"كهرباء")</f>
        <v>كهرباء</v>
      </c>
      <c r="I113" s="12" t="str">
        <f ca="1">IFERROR(__xludf.DUMMYFUNCTION("""COMPUTED_VALUE"""),"منجز")</f>
        <v>منجز</v>
      </c>
      <c r="J113" s="19">
        <f ca="1">IFERROR(__xludf.DUMMYFUNCTION("""COMPUTED_VALUE"""),46061.3102396412)</f>
        <v>46061.3102396412</v>
      </c>
    </row>
    <row r="114" spans="1:10" ht="75" customHeight="1">
      <c r="A114" s="7">
        <f ca="1">IFERROR(__xludf.DUMMYFUNCTION("""COMPUTED_VALUE"""),46061.3090710416)</f>
        <v>46061.3090710416</v>
      </c>
      <c r="B114" s="18" t="str">
        <f ca="1">IFERROR(__xludf.DUMMYFUNCTION("""COMPUTED_VALUE"""),"المعملجي")</f>
        <v>المعملجي</v>
      </c>
      <c r="C114" s="9" t="str">
        <f ca="1">IFERROR(__xludf.DUMMYFUNCTION("""COMPUTED_VALUE"""),"قسم المشاريع الهندسية")</f>
        <v>قسم المشاريع الهندسية</v>
      </c>
      <c r="D114" s="10" t="str">
        <f ca="1">IFERROR(__xludf.DUMMYFUNCTION("""COMPUTED_VALUE"""),"المختبرات")</f>
        <v>المختبرات</v>
      </c>
      <c r="E114" s="10" t="str">
        <f ca="1">IFERROR(__xludf.DUMMYFUNCTION("""COMPUTED_VALUE"""),"الطابق الارضي")</f>
        <v>الطابق الارضي</v>
      </c>
      <c r="F114" s="10" t="str">
        <f ca="1">IFERROR(__xludf.DUMMYFUNCTION("""COMPUTED_VALUE"""),"استبدال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f>
        <v>استبدال قاطع 6A بآخر 10A في بورد UPS بناية المختبرات 🏢.
حيث اني القاطع الذي كانت عليه 10A يشغل rack الموجود في الطابق الثالث
والتي كان عليها 6A تغذي شاشات غرفة المراقبة وتم التبديل بينها بسبب زيادة الحمل في غرفة المراقبة</v>
      </c>
      <c r="G114" s="10"/>
      <c r="H114" s="10" t="str">
        <f ca="1">IFERROR(__xludf.DUMMYFUNCTION("""COMPUTED_VALUE"""),"كهرباء")</f>
        <v>كهرباء</v>
      </c>
      <c r="I114" s="12" t="str">
        <f ca="1">IFERROR(__xludf.DUMMYFUNCTION("""COMPUTED_VALUE"""),"منجز")</f>
        <v>منجز</v>
      </c>
      <c r="J114" s="19">
        <f ca="1">IFERROR(__xludf.DUMMYFUNCTION("""COMPUTED_VALUE"""),46061.3103689351)</f>
        <v>46061.310368935097</v>
      </c>
    </row>
    <row r="115" spans="1:10" ht="75" customHeight="1">
      <c r="A115" s="7">
        <f ca="1">IFERROR(__xludf.DUMMYFUNCTION("""COMPUTED_VALUE"""),46061.3088094097)</f>
        <v>46061.308809409697</v>
      </c>
      <c r="B115" s="18" t="str">
        <f ca="1">IFERROR(__xludf.DUMMYFUNCTION("""COMPUTED_VALUE"""),"المعملجي")</f>
        <v>المعملجي</v>
      </c>
      <c r="C115" s="9" t="str">
        <f ca="1">IFERROR(__xludf.DUMMYFUNCTION("""COMPUTED_VALUE"""),"قسم المشاريع الهندسية")</f>
        <v>قسم المشاريع الهندسية</v>
      </c>
      <c r="D115" s="10" t="str">
        <f ca="1">IFERROR(__xludf.DUMMYFUNCTION("""COMPUTED_VALUE"""),"المختبرات")</f>
        <v>المختبرات</v>
      </c>
      <c r="E115" s="10" t="str">
        <f ca="1">IFERROR(__xludf.DUMMYFUNCTION("""COMPUTED_VALUE"""),"غرفة المولدة")</f>
        <v>غرفة المولدة</v>
      </c>
      <c r="F115" s="10" t="str">
        <f ca="1">IFERROR(__xludf.DUMMYFUNCTION("""COMPUTED_VALUE"""),"دخال السليفات في الانانبيب الموجودة في  غرفة المزامنة ")</f>
        <v xml:space="preserve">دخال السليفات في الانانبيب الموجودة في  غرفة المزامنة </v>
      </c>
      <c r="G115" s="10"/>
      <c r="H115" s="10" t="str">
        <f ca="1">IFERROR(__xludf.DUMMYFUNCTION("""COMPUTED_VALUE"""),"كهرباء")</f>
        <v>كهرباء</v>
      </c>
      <c r="I115" s="12" t="str">
        <f ca="1">IFERROR(__xludf.DUMMYFUNCTION("""COMPUTED_VALUE"""),"منجز")</f>
        <v>منجز</v>
      </c>
      <c r="J115" s="19">
        <f ca="1">IFERROR(__xludf.DUMMYFUNCTION("""COMPUTED_VALUE"""),46061.3105517708)</f>
        <v>46061.310551770803</v>
      </c>
    </row>
    <row r="116" spans="1:10" ht="75" customHeight="1">
      <c r="A116" s="7">
        <f ca="1">IFERROR(__xludf.DUMMYFUNCTION("""COMPUTED_VALUE"""),46061.3077628356)</f>
        <v>46061.307762835597</v>
      </c>
      <c r="B116" s="18" t="str">
        <f ca="1">IFERROR(__xludf.DUMMYFUNCTION("""COMPUTED_VALUE"""),"المعملجي")</f>
        <v>المعملجي</v>
      </c>
      <c r="C116" s="9" t="str">
        <f ca="1">IFERROR(__xludf.DUMMYFUNCTION("""COMPUTED_VALUE"""),"قسم المشاريع الهندسية")</f>
        <v>قسم المشاريع الهندسية</v>
      </c>
      <c r="D116" s="10" t="str">
        <f ca="1">IFERROR(__xludf.DUMMYFUNCTION("""COMPUTED_VALUE"""),"المالية")</f>
        <v>المالية</v>
      </c>
      <c r="E116" s="10" t="str">
        <f ca="1">IFERROR(__xludf.DUMMYFUNCTION("""COMPUTED_VALUE"""),".")</f>
        <v>.</v>
      </c>
      <c r="F116" s="10" t="str">
        <f ca="1">IFERROR(__xludf.DUMMYFUNCTION("""COMPUTED_VALUE"""),"تبديل محولة سبوت لايت 24w في شعبة المالية.")</f>
        <v>تبديل محولة سبوت لايت 24w في شعبة المالية.</v>
      </c>
      <c r="G116" s="10"/>
      <c r="H116" s="10" t="str">
        <f ca="1">IFERROR(__xludf.DUMMYFUNCTION("""COMPUTED_VALUE"""),"كهرباء")</f>
        <v>كهرباء</v>
      </c>
      <c r="I116" s="12" t="str">
        <f ca="1">IFERROR(__xludf.DUMMYFUNCTION("""COMPUTED_VALUE"""),"منجز")</f>
        <v>منجز</v>
      </c>
      <c r="J116" s="19">
        <f ca="1">IFERROR(__xludf.DUMMYFUNCTION("""COMPUTED_VALUE"""),46061.310642118)</f>
        <v>46061.310642117998</v>
      </c>
    </row>
    <row r="117" spans="1:10" ht="75" customHeight="1">
      <c r="A117" s="7">
        <f ca="1">IFERROR(__xludf.DUMMYFUNCTION("""COMPUTED_VALUE"""),46060.5225852777)</f>
        <v>46060.5225852777</v>
      </c>
      <c r="B117" s="18" t="str">
        <f ca="1">IFERROR(__xludf.DUMMYFUNCTION("""COMPUTED_VALUE"""),"المعملجي")</f>
        <v>المعملجي</v>
      </c>
      <c r="C117" s="9" t="str">
        <f ca="1">IFERROR(__xludf.DUMMYFUNCTION("""COMPUTED_VALUE"""),"قسم التربية والتعليم العالي")</f>
        <v>قسم التربية والتعليم العالي</v>
      </c>
      <c r="D117" s="10" t="str">
        <f ca="1">IFERROR(__xludf.DUMMYFUNCTION("""COMPUTED_VALUE"""),"A- المركز الثقافي")</f>
        <v>A- المركز الثقافي</v>
      </c>
      <c r="E117" s="10" t="str">
        <f ca="1">IFERROR(__xludf.DUMMYFUNCTION("""COMPUTED_VALUE"""),"الطابق الاول")</f>
        <v>الطابق الاول</v>
      </c>
      <c r="F117" s="10" t="str">
        <f ca="1">IFERROR(__xludf.DUMMYFUNCTION("""COMPUTED_VALUE"""),"احتياج ازالة الضوء ")</f>
        <v xml:space="preserve">احتياج ازالة الضوء </v>
      </c>
      <c r="G117" s="10"/>
      <c r="H117" s="10" t="str">
        <f ca="1">IFERROR(__xludf.DUMMYFUNCTION("""COMPUTED_VALUE"""),"كهرباء")</f>
        <v>كهرباء</v>
      </c>
      <c r="I117" s="12" t="str">
        <f ca="1">IFERROR(__xludf.DUMMYFUNCTION("""COMPUTED_VALUE"""),"منجز")</f>
        <v>منجز</v>
      </c>
      <c r="J117" s="19">
        <f ca="1">IFERROR(__xludf.DUMMYFUNCTION("""COMPUTED_VALUE"""),46062.4088880324)</f>
        <v>46062.408888032398</v>
      </c>
    </row>
    <row r="118" spans="1:10" ht="75" customHeight="1">
      <c r="A118" s="7">
        <f ca="1">IFERROR(__xludf.DUMMYFUNCTION("""COMPUTED_VALUE"""),46060.5214095717)</f>
        <v>46060.521409571702</v>
      </c>
      <c r="B118" s="18" t="str">
        <f ca="1">IFERROR(__xludf.DUMMYFUNCTION("""COMPUTED_VALUE"""),"المعملجي")</f>
        <v>المعملجي</v>
      </c>
      <c r="C118" s="9" t="str">
        <f ca="1">IFERROR(__xludf.DUMMYFUNCTION("""COMPUTED_VALUE"""),"قسم التربية والتعليم العالي")</f>
        <v>قسم التربية والتعليم العالي</v>
      </c>
      <c r="D118" s="10" t="str">
        <f ca="1">IFERROR(__xludf.DUMMYFUNCTION("""COMPUTED_VALUE"""),"C- ثانوية العميد بناية الاعدادية  (الاولى)")</f>
        <v>C- ثانوية العميد بناية الاعدادية  (الاولى)</v>
      </c>
      <c r="E118" s="10" t="str">
        <f ca="1">IFERROR(__xludf.DUMMYFUNCTION("""COMPUTED_VALUE"""),"الطابق الارضي")</f>
        <v>الطابق الارضي</v>
      </c>
      <c r="F118" s="10" t="str">
        <f ca="1">IFERROR(__xludf.DUMMYFUNCTION("""COMPUTED_VALUE"""),"صيانة نقطة كهرباء في غرفة الزينبيات ")</f>
        <v xml:space="preserve">صيانة نقطة كهرباء في غرفة الزينبيات </v>
      </c>
      <c r="G118" s="10"/>
      <c r="H118" s="10" t="str">
        <f ca="1">IFERROR(__xludf.DUMMYFUNCTION("""COMPUTED_VALUE"""),"كهرباء")</f>
        <v>كهرباء</v>
      </c>
      <c r="I118" s="12" t="str">
        <f ca="1">IFERROR(__xludf.DUMMYFUNCTION("""COMPUTED_VALUE"""),"منجز")</f>
        <v>منجز</v>
      </c>
      <c r="J118" s="19">
        <f ca="1">IFERROR(__xludf.DUMMYFUNCTION("""COMPUTED_VALUE"""),46061.3123233796)</f>
        <v>46061.3123233796</v>
      </c>
    </row>
    <row r="119" spans="1:10" ht="75" customHeight="1">
      <c r="A119" s="7">
        <f ca="1">IFERROR(__xludf.DUMMYFUNCTION("""COMPUTED_VALUE"""),46056.3445257291)</f>
        <v>46056.344525729102</v>
      </c>
      <c r="B119" s="18" t="str">
        <f ca="1">IFERROR(__xludf.DUMMYFUNCTION("""COMPUTED_VALUE"""),"المعملجي")</f>
        <v>المعملجي</v>
      </c>
      <c r="C119" s="9" t="str">
        <f ca="1">IFERROR(__xludf.DUMMYFUNCTION("""COMPUTED_VALUE"""),"قسم التربية والتعليم العالي")</f>
        <v>قسم التربية والتعليم العالي</v>
      </c>
      <c r="D119" s="10" t="str">
        <f ca="1">IFERROR(__xludf.DUMMYFUNCTION("""COMPUTED_VALUE"""),"D- ثانوية العميد بناية المتوسطة  (الثانية)")</f>
        <v>D- ثانوية العميد بناية المتوسطة  (الثانية)</v>
      </c>
      <c r="E119" s="10" t="str">
        <f ca="1">IFERROR(__xludf.DUMMYFUNCTION("""COMPUTED_VALUE"""),"الطابق الارضي")</f>
        <v>الطابق الارضي</v>
      </c>
      <c r="F119" s="10" t="str">
        <f ca="1">IFERROR(__xludf.DUMMYFUNCTION("""COMPUTED_VALUE"""),"كهربائي الى غرفة الادارة ")</f>
        <v xml:space="preserve">كهربائي الى غرفة الادارة </v>
      </c>
      <c r="G119" s="10"/>
      <c r="H119" s="10" t="str">
        <f ca="1">IFERROR(__xludf.DUMMYFUNCTION("""COMPUTED_VALUE"""),"كهرباء")</f>
        <v>كهرباء</v>
      </c>
      <c r="I119" s="12" t="str">
        <f ca="1">IFERROR(__xludf.DUMMYFUNCTION("""COMPUTED_VALUE"""),"منجز")</f>
        <v>منجز</v>
      </c>
      <c r="J119" s="19">
        <f ca="1">IFERROR(__xludf.DUMMYFUNCTION("""COMPUTED_VALUE"""),46056.559693206)</f>
        <v>46056.559693206</v>
      </c>
    </row>
    <row r="120" spans="1:10" ht="75" customHeight="1">
      <c r="A120" s="7">
        <f ca="1">IFERROR(__xludf.DUMMYFUNCTION("""COMPUTED_VALUE"""),46055.521698287)</f>
        <v>46055.521698286997</v>
      </c>
      <c r="B120" s="18" t="str">
        <f ca="1">IFERROR(__xludf.DUMMYFUNCTION("""COMPUTED_VALUE"""),"المعملجي")</f>
        <v>المعملجي</v>
      </c>
      <c r="C120" s="9" t="str">
        <f ca="1">IFERROR(__xludf.DUMMYFUNCTION("""COMPUTED_VALUE"""),"قسم التربية والتعليم العالي")</f>
        <v>قسم التربية والتعليم العالي</v>
      </c>
      <c r="D120" s="10" t="str">
        <f ca="1">IFERROR(__xludf.DUMMYFUNCTION("""COMPUTED_VALUE"""),"الاستعلامات الرئيسية")</f>
        <v>الاستعلامات الرئيسية</v>
      </c>
      <c r="E120" s="10" t="str">
        <f ca="1">IFERROR(__xludf.DUMMYFUNCTION("""COMPUTED_VALUE"""),"الطابق الارضي")</f>
        <v>الطابق الارضي</v>
      </c>
      <c r="F120" s="10" t="str">
        <f ca="1">IFERROR(__xludf.DUMMYFUNCTION("""COMPUTED_VALUE"""),"يرجى اطفاء جهاز الانذار من المنظومة ")</f>
        <v xml:space="preserve">يرجى اطفاء جهاز الانذار من المنظومة </v>
      </c>
      <c r="G120" s="10"/>
      <c r="H120" s="10" t="str">
        <f ca="1">IFERROR(__xludf.DUMMYFUNCTION("""COMPUTED_VALUE"""),"كهرباء")</f>
        <v>كهرباء</v>
      </c>
      <c r="I120" s="12" t="str">
        <f ca="1">IFERROR(__xludf.DUMMYFUNCTION("""COMPUTED_VALUE"""),"ملغي")</f>
        <v>ملغي</v>
      </c>
      <c r="J120" s="19">
        <f ca="1">IFERROR(__xludf.DUMMYFUNCTION("""COMPUTED_VALUE"""),46056.3181227314)</f>
        <v>46056.318122731398</v>
      </c>
    </row>
    <row r="121" spans="1:10" ht="75" customHeight="1">
      <c r="A121" s="7">
        <f ca="1">IFERROR(__xludf.DUMMYFUNCTION("""COMPUTED_VALUE"""),46055.43113978)</f>
        <v>46055.431139779997</v>
      </c>
      <c r="B121" s="18" t="str">
        <f ca="1">IFERROR(__xludf.DUMMYFUNCTION("""COMPUTED_VALUE"""),"المعملجي")</f>
        <v>المعملجي</v>
      </c>
      <c r="C121" s="9" t="str">
        <f ca="1">IFERROR(__xludf.DUMMYFUNCTION("""COMPUTED_VALUE"""),"قسم التربية والتعليم العالي")</f>
        <v>قسم التربية والتعليم العالي</v>
      </c>
      <c r="D121" s="10" t="str">
        <f ca="1">IFERROR(__xludf.DUMMYFUNCTION("""COMPUTED_VALUE"""),"A- المركز الثقافي")</f>
        <v>A- المركز الثقافي</v>
      </c>
      <c r="E121" s="10" t="str">
        <f ca="1">IFERROR(__xludf.DUMMYFUNCTION("""COMPUTED_VALUE"""),"الطابق الارضي")</f>
        <v>الطابق الارضي</v>
      </c>
      <c r="F121" s="10" t="str">
        <f ca="1">IFERROR(__xludf.DUMMYFUNCTION("""COMPUTED_VALUE"""),"صيانة سيار كهربائي في الاستعلامات ")</f>
        <v xml:space="preserve">صيانة سيار كهربائي في الاستعلامات </v>
      </c>
      <c r="G121" s="10"/>
      <c r="H121" s="10" t="str">
        <f ca="1">IFERROR(__xludf.DUMMYFUNCTION("""COMPUTED_VALUE"""),"كهرباء")</f>
        <v>كهرباء</v>
      </c>
      <c r="I121" s="12" t="str">
        <f ca="1">IFERROR(__xludf.DUMMYFUNCTION("""COMPUTED_VALUE"""),"منجز")</f>
        <v>منجز</v>
      </c>
      <c r="J121" s="19">
        <f ca="1">IFERROR(__xludf.DUMMYFUNCTION("""COMPUTED_VALUE"""),46055.5205499074)</f>
        <v>46055.5205499074</v>
      </c>
    </row>
    <row r="122" spans="1:10" ht="75" customHeight="1">
      <c r="A122" s="7">
        <f ca="1">IFERROR(__xludf.DUMMYFUNCTION("""COMPUTED_VALUE"""),46054.4986829398)</f>
        <v>46054.498682939797</v>
      </c>
      <c r="B122" s="18" t="str">
        <f ca="1">IFERROR(__xludf.DUMMYFUNCTION("""COMPUTED_VALUE"""),"المعملجي")</f>
        <v>المعملجي</v>
      </c>
      <c r="C122" s="9" t="str">
        <f ca="1">IFERROR(__xludf.DUMMYFUNCTION("""COMPUTED_VALUE"""),"قسم التربية والتعليم العالي")</f>
        <v>قسم التربية والتعليم العالي</v>
      </c>
      <c r="D122" s="10" t="str">
        <f ca="1">IFERROR(__xludf.DUMMYFUNCTION("""COMPUTED_VALUE"""),"H- ابتدائية القمر للبنات (الخامسة)")</f>
        <v>H- ابتدائية القمر للبنات (الخامسة)</v>
      </c>
      <c r="E122" s="10" t="str">
        <f ca="1">IFERROR(__xludf.DUMMYFUNCTION("""COMPUTED_VALUE"""),"الطابق الارضي")</f>
        <v>الطابق الارضي</v>
      </c>
      <c r="F122" s="10" t="str">
        <f ca="1">IFERROR(__xludf.DUMMYFUNCTION("""COMPUTED_VALUE"""),"صيانة مصباح قرب غرفة الادارة")</f>
        <v>صيانة مصباح قرب غرفة الادارة</v>
      </c>
      <c r="G122" s="10"/>
      <c r="H122" s="10" t="str">
        <f ca="1">IFERROR(__xludf.DUMMYFUNCTION("""COMPUTED_VALUE"""),"كهرباء")</f>
        <v>كهرباء</v>
      </c>
      <c r="I122" s="12" t="str">
        <f ca="1">IFERROR(__xludf.DUMMYFUNCTION("""COMPUTED_VALUE"""),"منجز")</f>
        <v>منجز</v>
      </c>
      <c r="J122" s="19">
        <f ca="1">IFERROR(__xludf.DUMMYFUNCTION("""COMPUTED_VALUE"""),46023.4975399305)</f>
        <v>46023.497539930497</v>
      </c>
    </row>
    <row r="123" spans="1:10" ht="75" customHeight="1">
      <c r="A123" s="7"/>
      <c r="B123" s="18"/>
      <c r="C123" s="9"/>
      <c r="D123" s="10"/>
      <c r="E123" s="10"/>
      <c r="F123" s="10"/>
      <c r="G123" s="10"/>
      <c r="H123" s="10"/>
      <c r="I123" s="12"/>
      <c r="J123" s="13"/>
    </row>
    <row r="124" spans="1:10" ht="75" customHeight="1">
      <c r="A124" s="7"/>
      <c r="B124" s="18"/>
      <c r="C124" s="9"/>
      <c r="D124" s="10"/>
      <c r="E124" s="10"/>
      <c r="F124" s="10"/>
      <c r="G124" s="10"/>
      <c r="H124" s="10"/>
      <c r="I124" s="12"/>
      <c r="J124" s="13"/>
    </row>
    <row r="125" spans="1:10" ht="75" customHeight="1">
      <c r="A125" s="7"/>
      <c r="B125" s="18"/>
      <c r="C125" s="9"/>
      <c r="D125" s="10"/>
      <c r="E125" s="10"/>
      <c r="F125" s="10"/>
      <c r="G125" s="10"/>
      <c r="H125" s="10"/>
      <c r="I125" s="12"/>
      <c r="J125" s="13"/>
    </row>
    <row r="126" spans="1:10" ht="75" customHeight="1">
      <c r="A126" s="7"/>
      <c r="B126" s="18"/>
      <c r="C126" s="9"/>
      <c r="D126" s="10"/>
      <c r="E126" s="10"/>
      <c r="F126" s="10"/>
      <c r="G126" s="10"/>
      <c r="H126" s="10"/>
      <c r="I126" s="12"/>
      <c r="J126" s="13"/>
    </row>
    <row r="127" spans="1:10" ht="75" customHeight="1">
      <c r="A127" s="7"/>
      <c r="B127" s="18"/>
      <c r="C127" s="9"/>
      <c r="D127" s="10"/>
      <c r="E127" s="10"/>
      <c r="F127" s="10"/>
      <c r="G127" s="10"/>
      <c r="H127" s="10"/>
      <c r="I127" s="12"/>
      <c r="J127" s="13"/>
    </row>
    <row r="128" spans="1:10" ht="75" customHeight="1">
      <c r="A128" s="7"/>
      <c r="B128" s="18"/>
      <c r="C128" s="9"/>
      <c r="D128" s="10"/>
      <c r="E128" s="10"/>
      <c r="F128" s="10"/>
      <c r="G128" s="10"/>
      <c r="H128" s="10"/>
      <c r="I128" s="12"/>
      <c r="J128" s="13"/>
    </row>
    <row r="129" spans="1:10" ht="75" customHeight="1">
      <c r="A129" s="7"/>
      <c r="B129" s="18"/>
      <c r="C129" s="9"/>
      <c r="D129" s="10"/>
      <c r="E129" s="10"/>
      <c r="F129" s="10"/>
      <c r="G129" s="10"/>
      <c r="H129" s="10"/>
      <c r="I129" s="12"/>
      <c r="J129" s="13"/>
    </row>
    <row r="130" spans="1:10" ht="75" customHeight="1">
      <c r="A130" s="7"/>
      <c r="B130" s="18"/>
      <c r="C130" s="9"/>
      <c r="D130" s="10"/>
      <c r="E130" s="10"/>
      <c r="F130" s="10"/>
      <c r="G130" s="10"/>
      <c r="H130" s="10"/>
      <c r="I130" s="12"/>
      <c r="J130" s="13"/>
    </row>
    <row r="131" spans="1:10" ht="75" customHeight="1">
      <c r="A131" s="7"/>
      <c r="B131" s="18"/>
      <c r="C131" s="9"/>
      <c r="D131" s="10"/>
      <c r="E131" s="10"/>
      <c r="F131" s="10"/>
      <c r="G131" s="10"/>
      <c r="H131" s="10"/>
      <c r="I131" s="12"/>
      <c r="J131" s="13"/>
    </row>
    <row r="132" spans="1:10" ht="75" customHeight="1">
      <c r="A132" s="7"/>
      <c r="B132" s="18"/>
      <c r="C132" s="9"/>
      <c r="D132" s="10"/>
      <c r="E132" s="10"/>
      <c r="F132" s="10"/>
      <c r="G132" s="10"/>
      <c r="H132" s="10"/>
      <c r="I132" s="12"/>
      <c r="J132" s="13"/>
    </row>
    <row r="133" spans="1:10" ht="75" customHeight="1">
      <c r="A133" s="7"/>
      <c r="B133" s="18"/>
      <c r="C133" s="9"/>
      <c r="D133" s="10"/>
      <c r="E133" s="10"/>
      <c r="F133" s="10"/>
      <c r="G133" s="10"/>
      <c r="H133" s="10"/>
      <c r="I133" s="12"/>
      <c r="J133" s="13"/>
    </row>
    <row r="134" spans="1:10" ht="75" customHeight="1">
      <c r="A134" s="7"/>
      <c r="B134" s="18"/>
      <c r="C134" s="9"/>
      <c r="D134" s="10"/>
      <c r="E134" s="10"/>
      <c r="F134" s="10"/>
      <c r="G134" s="10"/>
      <c r="H134" s="10"/>
      <c r="I134" s="12"/>
      <c r="J134" s="13"/>
    </row>
    <row r="135" spans="1:10" ht="75" customHeight="1">
      <c r="A135" s="7"/>
      <c r="B135" s="18"/>
      <c r="C135" s="9"/>
      <c r="D135" s="10"/>
      <c r="E135" s="10"/>
      <c r="F135" s="10"/>
      <c r="G135" s="10"/>
      <c r="H135" s="10"/>
      <c r="I135" s="12"/>
      <c r="J135" s="13"/>
    </row>
    <row r="136" spans="1:10" ht="75" customHeight="1">
      <c r="A136" s="7"/>
      <c r="B136" s="18"/>
      <c r="C136" s="9"/>
      <c r="D136" s="10"/>
      <c r="E136" s="10"/>
      <c r="F136" s="10"/>
      <c r="G136" s="10"/>
      <c r="H136" s="10"/>
      <c r="I136" s="12"/>
      <c r="J136" s="13"/>
    </row>
    <row r="137" spans="1:10" ht="75" customHeight="1">
      <c r="A137" s="7"/>
      <c r="B137" s="18"/>
      <c r="C137" s="9"/>
      <c r="D137" s="10"/>
      <c r="E137" s="10"/>
      <c r="F137" s="10"/>
      <c r="G137" s="10"/>
      <c r="H137" s="10"/>
      <c r="I137" s="12"/>
      <c r="J137" s="13"/>
    </row>
    <row r="138" spans="1:10" ht="75" customHeight="1">
      <c r="A138" s="7"/>
      <c r="B138" s="18"/>
      <c r="C138" s="9"/>
      <c r="D138" s="10"/>
      <c r="E138" s="10"/>
      <c r="F138" s="10"/>
      <c r="G138" s="10"/>
      <c r="H138" s="10"/>
      <c r="I138" s="12"/>
      <c r="J138" s="13"/>
    </row>
    <row r="139" spans="1:10" ht="75" customHeight="1">
      <c r="A139" s="7"/>
      <c r="B139" s="18"/>
      <c r="C139" s="9"/>
      <c r="D139" s="10"/>
      <c r="E139" s="10"/>
      <c r="F139" s="10"/>
      <c r="G139" s="10"/>
      <c r="H139" s="10"/>
      <c r="I139" s="12"/>
      <c r="J139" s="13"/>
    </row>
    <row r="140" spans="1:10" ht="75" customHeight="1">
      <c r="A140" s="7"/>
      <c r="B140" s="18"/>
      <c r="C140" s="9"/>
      <c r="D140" s="10"/>
      <c r="E140" s="10"/>
      <c r="F140" s="10"/>
      <c r="G140" s="10"/>
      <c r="H140" s="10"/>
      <c r="I140" s="12"/>
      <c r="J140" s="13"/>
    </row>
    <row r="141" spans="1:10" ht="75" customHeight="1">
      <c r="A141" s="7"/>
      <c r="B141" s="18"/>
      <c r="C141" s="9"/>
      <c r="D141" s="10"/>
      <c r="E141" s="10"/>
      <c r="F141" s="10"/>
      <c r="G141" s="10"/>
      <c r="H141" s="10"/>
      <c r="I141" s="12"/>
      <c r="J141" s="13"/>
    </row>
    <row r="142" spans="1:10" ht="75" customHeight="1">
      <c r="A142" s="7"/>
      <c r="B142" s="18"/>
      <c r="C142" s="9"/>
      <c r="D142" s="10"/>
      <c r="E142" s="10"/>
      <c r="F142" s="10"/>
      <c r="G142" s="10"/>
      <c r="H142" s="10"/>
      <c r="I142" s="12"/>
      <c r="J142" s="13"/>
    </row>
    <row r="143" spans="1:10" ht="75" customHeight="1">
      <c r="A143" s="7"/>
      <c r="B143" s="18"/>
      <c r="C143" s="9"/>
      <c r="D143" s="10"/>
      <c r="E143" s="10"/>
      <c r="F143" s="10"/>
      <c r="G143" s="10"/>
      <c r="H143" s="10"/>
      <c r="I143" s="12"/>
      <c r="J143" s="13"/>
    </row>
    <row r="144" spans="1:10" ht="75" customHeight="1">
      <c r="A144" s="7"/>
      <c r="B144" s="18"/>
      <c r="C144" s="9"/>
      <c r="D144" s="10"/>
      <c r="E144" s="10"/>
      <c r="F144" s="10"/>
      <c r="G144" s="10"/>
      <c r="H144" s="10"/>
      <c r="I144" s="12"/>
      <c r="J144" s="13"/>
    </row>
    <row r="145" spans="1:10" ht="75" customHeight="1">
      <c r="A145" s="7"/>
      <c r="B145" s="18"/>
      <c r="C145" s="9"/>
      <c r="D145" s="10"/>
      <c r="E145" s="10"/>
      <c r="F145" s="10"/>
      <c r="G145" s="10"/>
      <c r="H145" s="10"/>
      <c r="I145" s="12"/>
      <c r="J145" s="13"/>
    </row>
    <row r="146" spans="1:10" ht="75" customHeight="1">
      <c r="A146" s="7"/>
      <c r="B146" s="18"/>
      <c r="C146" s="9"/>
      <c r="D146" s="10"/>
      <c r="E146" s="10"/>
      <c r="F146" s="10"/>
      <c r="G146" s="10"/>
      <c r="H146" s="10"/>
      <c r="I146" s="12"/>
      <c r="J146" s="13"/>
    </row>
    <row r="147" spans="1:10" ht="75" customHeight="1">
      <c r="A147" s="7"/>
      <c r="B147" s="18"/>
      <c r="C147" s="9"/>
      <c r="D147" s="10"/>
      <c r="E147" s="10"/>
      <c r="F147" s="10"/>
      <c r="G147" s="10"/>
      <c r="H147" s="10"/>
      <c r="I147" s="12"/>
      <c r="J147" s="13"/>
    </row>
    <row r="148" spans="1:10" ht="75" customHeight="1">
      <c r="A148" s="7"/>
      <c r="B148" s="18"/>
      <c r="C148" s="9"/>
      <c r="D148" s="10"/>
      <c r="E148" s="10"/>
      <c r="F148" s="10"/>
      <c r="G148" s="10"/>
      <c r="H148" s="10"/>
      <c r="I148" s="12"/>
      <c r="J148" s="13"/>
    </row>
    <row r="149" spans="1:10" ht="75" customHeight="1">
      <c r="A149" s="7"/>
      <c r="B149" s="18"/>
      <c r="C149" s="9"/>
      <c r="D149" s="10"/>
      <c r="E149" s="10"/>
      <c r="F149" s="10"/>
      <c r="G149" s="10"/>
      <c r="H149" s="10"/>
      <c r="I149" s="12"/>
      <c r="J149" s="13"/>
    </row>
    <row r="150" spans="1:10" ht="75" customHeight="1">
      <c r="A150" s="7"/>
      <c r="B150" s="18"/>
      <c r="C150" s="9"/>
      <c r="D150" s="10"/>
      <c r="E150" s="10"/>
      <c r="F150" s="10"/>
      <c r="G150" s="10"/>
      <c r="H150" s="10"/>
      <c r="I150" s="12"/>
      <c r="J150" s="13"/>
    </row>
    <row r="151" spans="1:10" ht="75" customHeight="1">
      <c r="A151" s="7"/>
      <c r="B151" s="18"/>
      <c r="C151" s="9"/>
      <c r="D151" s="10"/>
      <c r="E151" s="10"/>
      <c r="F151" s="10"/>
      <c r="G151" s="10"/>
      <c r="H151" s="10"/>
      <c r="I151" s="12"/>
      <c r="J151" s="13"/>
    </row>
    <row r="152" spans="1:10" ht="75" customHeight="1">
      <c r="A152" s="7"/>
      <c r="B152" s="18"/>
      <c r="C152" s="9"/>
      <c r="D152" s="10"/>
      <c r="E152" s="10"/>
      <c r="F152" s="10"/>
      <c r="G152" s="10"/>
      <c r="H152" s="10"/>
      <c r="I152" s="12"/>
      <c r="J152" s="13"/>
    </row>
    <row r="153" spans="1:10" ht="75" customHeight="1">
      <c r="A153" s="7"/>
      <c r="B153" s="18"/>
      <c r="C153" s="9"/>
      <c r="D153" s="10"/>
      <c r="E153" s="10"/>
      <c r="F153" s="10"/>
      <c r="G153" s="10"/>
      <c r="H153" s="10"/>
      <c r="I153" s="12"/>
      <c r="J153" s="13"/>
    </row>
    <row r="154" spans="1:10" ht="75" customHeight="1">
      <c r="A154" s="7"/>
      <c r="B154" s="18"/>
      <c r="C154" s="9"/>
      <c r="D154" s="10"/>
      <c r="E154" s="10"/>
      <c r="F154" s="10"/>
      <c r="G154" s="10"/>
      <c r="H154" s="10"/>
      <c r="I154" s="12"/>
      <c r="J154" s="13"/>
    </row>
    <row r="155" spans="1:10" ht="75" customHeight="1">
      <c r="A155" s="7"/>
      <c r="B155" s="18"/>
      <c r="C155" s="9"/>
      <c r="D155" s="10"/>
      <c r="E155" s="10"/>
      <c r="F155" s="10"/>
      <c r="G155" s="10"/>
      <c r="H155" s="10"/>
      <c r="I155" s="12"/>
      <c r="J155" s="13"/>
    </row>
    <row r="156" spans="1:10" ht="75" customHeight="1">
      <c r="A156" s="7"/>
      <c r="B156" s="18"/>
      <c r="C156" s="9"/>
      <c r="D156" s="10"/>
      <c r="E156" s="10"/>
      <c r="F156" s="10"/>
      <c r="G156" s="10"/>
      <c r="H156" s="10"/>
      <c r="I156" s="12"/>
      <c r="J156" s="13"/>
    </row>
    <row r="157" spans="1:10" ht="75" customHeight="1">
      <c r="A157" s="7"/>
      <c r="B157" s="18"/>
      <c r="C157" s="9"/>
      <c r="D157" s="10"/>
      <c r="E157" s="10"/>
      <c r="F157" s="10"/>
      <c r="G157" s="10"/>
      <c r="H157" s="10"/>
      <c r="I157" s="12"/>
      <c r="J157" s="13"/>
    </row>
    <row r="158" spans="1:10" ht="75" customHeight="1">
      <c r="A158" s="7"/>
      <c r="B158" s="18"/>
      <c r="C158" s="9"/>
      <c r="D158" s="10"/>
      <c r="E158" s="10"/>
      <c r="F158" s="10"/>
      <c r="G158" s="10"/>
      <c r="H158" s="10"/>
      <c r="I158" s="12"/>
      <c r="J158" s="13"/>
    </row>
    <row r="159" spans="1:10" ht="75" customHeight="1">
      <c r="A159" s="7"/>
      <c r="B159" s="18"/>
      <c r="C159" s="9"/>
      <c r="D159" s="10"/>
      <c r="E159" s="10"/>
      <c r="F159" s="10"/>
      <c r="G159" s="10"/>
      <c r="H159" s="10"/>
      <c r="I159" s="12"/>
      <c r="J159" s="13"/>
    </row>
    <row r="160" spans="1:10" ht="75" customHeight="1">
      <c r="A160" s="7"/>
      <c r="B160" s="18"/>
      <c r="C160" s="9"/>
      <c r="D160" s="10"/>
      <c r="E160" s="10"/>
      <c r="F160" s="10"/>
      <c r="G160" s="10"/>
      <c r="H160" s="10"/>
      <c r="I160" s="12"/>
      <c r="J160" s="13"/>
    </row>
    <row r="161" spans="1:10" ht="75" customHeight="1">
      <c r="A161" s="7"/>
      <c r="B161" s="18"/>
      <c r="C161" s="9"/>
      <c r="D161" s="10"/>
      <c r="E161" s="10"/>
      <c r="F161" s="10"/>
      <c r="G161" s="10"/>
      <c r="H161" s="10"/>
      <c r="I161" s="12"/>
      <c r="J161" s="13"/>
    </row>
    <row r="162" spans="1:10" ht="75" customHeight="1">
      <c r="A162" s="7"/>
      <c r="B162" s="18"/>
      <c r="C162" s="9"/>
      <c r="D162" s="10"/>
      <c r="E162" s="10"/>
      <c r="F162" s="10"/>
      <c r="G162" s="10"/>
      <c r="H162" s="10"/>
      <c r="I162" s="12"/>
      <c r="J162" s="13"/>
    </row>
    <row r="163" spans="1:10" ht="75" customHeight="1">
      <c r="A163" s="7"/>
      <c r="B163" s="18"/>
      <c r="C163" s="9"/>
      <c r="D163" s="10"/>
      <c r="E163" s="10"/>
      <c r="F163" s="10"/>
      <c r="G163" s="10"/>
      <c r="H163" s="10"/>
      <c r="I163" s="12"/>
      <c r="J163" s="13"/>
    </row>
    <row r="164" spans="1:10" ht="75" customHeight="1">
      <c r="A164" s="7"/>
      <c r="B164" s="18"/>
      <c r="C164" s="9"/>
      <c r="D164" s="10"/>
      <c r="E164" s="10"/>
      <c r="F164" s="10"/>
      <c r="G164" s="10"/>
      <c r="H164" s="10"/>
      <c r="I164" s="12"/>
      <c r="J164" s="13"/>
    </row>
    <row r="165" spans="1:10" ht="75" customHeight="1">
      <c r="A165" s="7"/>
      <c r="B165" s="18"/>
      <c r="C165" s="9"/>
      <c r="D165" s="10"/>
      <c r="E165" s="10"/>
      <c r="F165" s="10"/>
      <c r="G165" s="10"/>
      <c r="H165" s="10"/>
      <c r="I165" s="12"/>
      <c r="J165" s="13"/>
    </row>
    <row r="166" spans="1:10" ht="75" customHeight="1">
      <c r="A166" s="7"/>
      <c r="B166" s="18"/>
      <c r="C166" s="9"/>
      <c r="D166" s="10"/>
      <c r="E166" s="10"/>
      <c r="F166" s="10"/>
      <c r="G166" s="10"/>
      <c r="H166" s="10"/>
      <c r="I166" s="12"/>
      <c r="J166" s="13"/>
    </row>
    <row r="167" spans="1:10" ht="75" customHeight="1">
      <c r="A167" s="7"/>
      <c r="B167" s="18"/>
      <c r="C167" s="9"/>
      <c r="D167" s="10"/>
      <c r="E167" s="10"/>
      <c r="F167" s="10"/>
      <c r="G167" s="10"/>
      <c r="H167" s="10"/>
      <c r="I167" s="12"/>
      <c r="J167" s="13"/>
    </row>
    <row r="168" spans="1:10" ht="75" customHeight="1">
      <c r="A168" s="7"/>
      <c r="B168" s="18"/>
      <c r="C168" s="9"/>
      <c r="D168" s="10"/>
      <c r="E168" s="10"/>
      <c r="F168" s="10"/>
      <c r="G168" s="10"/>
      <c r="H168" s="10"/>
      <c r="I168" s="12"/>
      <c r="J168" s="13"/>
    </row>
    <row r="169" spans="1:10" ht="75" customHeight="1">
      <c r="A169" s="7"/>
      <c r="B169" s="18"/>
      <c r="C169" s="9"/>
      <c r="D169" s="10"/>
      <c r="E169" s="10"/>
      <c r="F169" s="10"/>
      <c r="G169" s="10"/>
      <c r="H169" s="10"/>
      <c r="I169" s="12"/>
      <c r="J169" s="13"/>
    </row>
    <row r="170" spans="1:10" ht="75" customHeight="1">
      <c r="A170" s="7"/>
      <c r="B170" s="18"/>
      <c r="C170" s="9"/>
      <c r="D170" s="10"/>
      <c r="E170" s="10"/>
      <c r="F170" s="10"/>
      <c r="G170" s="10"/>
      <c r="H170" s="10"/>
      <c r="I170" s="12"/>
      <c r="J170" s="13"/>
    </row>
    <row r="171" spans="1:10" ht="75" customHeight="1">
      <c r="A171" s="7"/>
      <c r="B171" s="18"/>
      <c r="C171" s="9"/>
      <c r="D171" s="10"/>
      <c r="E171" s="10"/>
      <c r="F171" s="10"/>
      <c r="G171" s="10"/>
      <c r="H171" s="10"/>
      <c r="I171" s="12"/>
      <c r="J171" s="13"/>
    </row>
    <row r="172" spans="1:10" ht="75" customHeight="1">
      <c r="A172" s="7"/>
      <c r="B172" s="18"/>
      <c r="C172" s="9"/>
      <c r="D172" s="10"/>
      <c r="E172" s="10"/>
      <c r="F172" s="10"/>
      <c r="G172" s="10"/>
      <c r="H172" s="10"/>
      <c r="I172" s="12"/>
      <c r="J172" s="13"/>
    </row>
    <row r="173" spans="1:10" ht="75" customHeight="1">
      <c r="A173" s="7"/>
      <c r="B173" s="18"/>
      <c r="C173" s="9"/>
      <c r="D173" s="10"/>
      <c r="E173" s="10"/>
      <c r="F173" s="10"/>
      <c r="G173" s="10"/>
      <c r="H173" s="10"/>
      <c r="I173" s="12"/>
      <c r="J173" s="13"/>
    </row>
    <row r="174" spans="1:10" ht="75" customHeight="1">
      <c r="A174" s="7"/>
      <c r="B174" s="18"/>
      <c r="C174" s="9"/>
      <c r="D174" s="10"/>
      <c r="E174" s="10"/>
      <c r="F174" s="10"/>
      <c r="G174" s="10"/>
      <c r="H174" s="10"/>
      <c r="I174" s="12"/>
      <c r="J174" s="13"/>
    </row>
    <row r="175" spans="1:10" ht="75" customHeight="1">
      <c r="A175" s="7"/>
      <c r="B175" s="18"/>
      <c r="C175" s="9"/>
      <c r="D175" s="10"/>
      <c r="E175" s="10"/>
      <c r="F175" s="10"/>
      <c r="G175" s="10"/>
      <c r="H175" s="10"/>
      <c r="I175" s="12"/>
      <c r="J175" s="13"/>
    </row>
    <row r="176" spans="1:10" ht="75" customHeight="1">
      <c r="A176" s="7"/>
      <c r="B176" s="18"/>
      <c r="C176" s="9"/>
      <c r="D176" s="10"/>
      <c r="E176" s="10"/>
      <c r="F176" s="10"/>
      <c r="G176" s="10"/>
      <c r="H176" s="10"/>
      <c r="I176" s="12"/>
      <c r="J176" s="13"/>
    </row>
    <row r="177" spans="1:10" ht="75" customHeight="1">
      <c r="A177" s="7"/>
      <c r="B177" s="18"/>
      <c r="C177" s="9"/>
      <c r="D177" s="10"/>
      <c r="E177" s="10"/>
      <c r="F177" s="10"/>
      <c r="G177" s="10"/>
      <c r="H177" s="10"/>
      <c r="I177" s="12"/>
      <c r="J177" s="13"/>
    </row>
    <row r="178" spans="1:10" ht="75" customHeight="1">
      <c r="A178" s="7"/>
      <c r="B178" s="18"/>
      <c r="C178" s="9"/>
      <c r="D178" s="10"/>
      <c r="E178" s="10"/>
      <c r="F178" s="10"/>
      <c r="G178" s="10"/>
      <c r="H178" s="10"/>
      <c r="I178" s="12"/>
      <c r="J178" s="13"/>
    </row>
    <row r="179" spans="1:10" ht="75" customHeight="1">
      <c r="A179" s="7"/>
      <c r="B179" s="18"/>
      <c r="C179" s="9"/>
      <c r="D179" s="10"/>
      <c r="E179" s="10"/>
      <c r="F179" s="10"/>
      <c r="G179" s="10"/>
      <c r="H179" s="10"/>
      <c r="I179" s="12"/>
      <c r="J179" s="13"/>
    </row>
    <row r="180" spans="1:10" ht="75" customHeight="1">
      <c r="A180" s="7"/>
      <c r="B180" s="18"/>
      <c r="C180" s="9"/>
      <c r="D180" s="10"/>
      <c r="E180" s="10"/>
      <c r="F180" s="10"/>
      <c r="G180" s="10"/>
      <c r="H180" s="10"/>
      <c r="I180" s="12"/>
      <c r="J180" s="13"/>
    </row>
    <row r="181" spans="1:10" ht="75" customHeight="1">
      <c r="A181" s="7"/>
      <c r="B181" s="18"/>
      <c r="C181" s="9"/>
      <c r="D181" s="10"/>
      <c r="E181" s="10"/>
      <c r="F181" s="10"/>
      <c r="G181" s="10"/>
      <c r="H181" s="10"/>
      <c r="I181" s="12"/>
      <c r="J181" s="13"/>
    </row>
    <row r="182" spans="1:10" ht="75" customHeight="1">
      <c r="A182" s="7"/>
      <c r="B182" s="18"/>
      <c r="C182" s="9"/>
      <c r="D182" s="10"/>
      <c r="E182" s="10"/>
      <c r="F182" s="10"/>
      <c r="G182" s="10"/>
      <c r="H182" s="10"/>
      <c r="I182" s="12"/>
      <c r="J182" s="13"/>
    </row>
    <row r="183" spans="1:10" ht="75" customHeight="1">
      <c r="A183" s="7"/>
      <c r="B183" s="18"/>
      <c r="C183" s="9"/>
      <c r="D183" s="10"/>
      <c r="E183" s="10"/>
      <c r="F183" s="10"/>
      <c r="G183" s="10"/>
      <c r="H183" s="10"/>
      <c r="I183" s="12"/>
      <c r="J183" s="13"/>
    </row>
    <row r="184" spans="1:10" ht="75" customHeight="1">
      <c r="A184" s="7"/>
      <c r="B184" s="18"/>
      <c r="C184" s="9"/>
      <c r="D184" s="10"/>
      <c r="E184" s="10"/>
      <c r="F184" s="10"/>
      <c r="G184" s="10"/>
      <c r="H184" s="10"/>
      <c r="I184" s="12"/>
      <c r="J184" s="13"/>
    </row>
    <row r="185" spans="1:10" ht="75" customHeight="1">
      <c r="A185" s="7"/>
      <c r="B185" s="18"/>
      <c r="C185" s="9"/>
      <c r="D185" s="10"/>
      <c r="E185" s="10"/>
      <c r="F185" s="10"/>
      <c r="G185" s="10"/>
      <c r="H185" s="10"/>
      <c r="I185" s="12"/>
      <c r="J185" s="13"/>
    </row>
    <row r="186" spans="1:10" ht="75" customHeight="1">
      <c r="A186" s="7"/>
      <c r="B186" s="18"/>
      <c r="C186" s="9"/>
      <c r="D186" s="10"/>
      <c r="E186" s="10"/>
      <c r="F186" s="10"/>
      <c r="G186" s="10"/>
      <c r="H186" s="10"/>
      <c r="I186" s="12"/>
      <c r="J186" s="13"/>
    </row>
    <row r="187" spans="1:10" ht="75" customHeight="1">
      <c r="A187" s="7"/>
      <c r="B187" s="18"/>
      <c r="C187" s="9"/>
      <c r="D187" s="10"/>
      <c r="E187" s="10"/>
      <c r="F187" s="10"/>
      <c r="G187" s="10"/>
      <c r="H187" s="10"/>
      <c r="I187" s="12"/>
      <c r="J187" s="13"/>
    </row>
    <row r="188" spans="1:10" ht="75" customHeight="1">
      <c r="A188" s="7"/>
      <c r="B188" s="18"/>
      <c r="C188" s="9"/>
      <c r="D188" s="10"/>
      <c r="E188" s="10"/>
      <c r="F188" s="10"/>
      <c r="G188" s="10"/>
      <c r="H188" s="10"/>
      <c r="I188" s="12"/>
      <c r="J188" s="13"/>
    </row>
    <row r="189" spans="1:10" ht="75" customHeight="1">
      <c r="A189" s="7"/>
      <c r="B189" s="18"/>
      <c r="C189" s="9"/>
      <c r="D189" s="10"/>
      <c r="E189" s="10"/>
      <c r="F189" s="10"/>
      <c r="G189" s="10"/>
      <c r="H189" s="10"/>
      <c r="I189" s="12"/>
      <c r="J189" s="13"/>
    </row>
    <row r="190" spans="1:10" ht="75" customHeight="1">
      <c r="A190" s="7"/>
      <c r="B190" s="18"/>
      <c r="C190" s="9"/>
      <c r="D190" s="10"/>
      <c r="E190" s="10"/>
      <c r="F190" s="10"/>
      <c r="G190" s="10"/>
      <c r="H190" s="10"/>
      <c r="I190" s="12"/>
      <c r="J190" s="13"/>
    </row>
    <row r="191" spans="1:10" ht="75" customHeight="1">
      <c r="A191" s="7"/>
      <c r="B191" s="18"/>
      <c r="C191" s="9"/>
      <c r="D191" s="10"/>
      <c r="E191" s="10"/>
      <c r="F191" s="10"/>
      <c r="G191" s="10"/>
      <c r="H191" s="10"/>
      <c r="I191" s="12"/>
      <c r="J191" s="13"/>
    </row>
    <row r="192" spans="1:10" ht="75" customHeight="1">
      <c r="A192" s="7"/>
      <c r="B192" s="18"/>
      <c r="C192" s="9"/>
      <c r="D192" s="10"/>
      <c r="E192" s="10"/>
      <c r="F192" s="10"/>
      <c r="G192" s="10"/>
      <c r="H192" s="10"/>
      <c r="I192" s="12"/>
      <c r="J192" s="13"/>
    </row>
    <row r="193" spans="1:10" ht="75" customHeight="1">
      <c r="A193" s="7"/>
      <c r="B193" s="18"/>
      <c r="C193" s="9"/>
      <c r="D193" s="10"/>
      <c r="E193" s="10"/>
      <c r="F193" s="10"/>
      <c r="G193" s="10"/>
      <c r="H193" s="10"/>
      <c r="I193" s="12"/>
      <c r="J193" s="13"/>
    </row>
    <row r="194" spans="1:10" ht="75" customHeight="1">
      <c r="A194" s="7"/>
      <c r="B194" s="18"/>
      <c r="C194" s="9"/>
      <c r="D194" s="10"/>
      <c r="E194" s="10"/>
      <c r="F194" s="10"/>
      <c r="G194" s="10"/>
      <c r="H194" s="10"/>
      <c r="I194" s="12"/>
      <c r="J194" s="13"/>
    </row>
    <row r="195" spans="1:10" ht="75" customHeight="1">
      <c r="A195" s="7"/>
      <c r="B195" s="18"/>
      <c r="C195" s="9"/>
      <c r="D195" s="10"/>
      <c r="E195" s="10"/>
      <c r="F195" s="10"/>
      <c r="G195" s="10"/>
      <c r="H195" s="10"/>
      <c r="I195" s="12"/>
      <c r="J195" s="13"/>
    </row>
    <row r="196" spans="1:10" ht="75" customHeight="1">
      <c r="A196" s="7"/>
      <c r="B196" s="18"/>
      <c r="C196" s="9"/>
      <c r="D196" s="10"/>
      <c r="E196" s="10"/>
      <c r="F196" s="10"/>
      <c r="G196" s="10"/>
      <c r="H196" s="10"/>
      <c r="I196" s="12"/>
      <c r="J196" s="13"/>
    </row>
    <row r="197" spans="1:10" ht="75" customHeight="1">
      <c r="A197" s="7"/>
      <c r="B197" s="18"/>
      <c r="C197" s="9"/>
      <c r="D197" s="10"/>
      <c r="E197" s="10"/>
      <c r="F197" s="10"/>
      <c r="G197" s="10"/>
      <c r="H197" s="10"/>
      <c r="I197" s="12"/>
      <c r="J197" s="13"/>
    </row>
    <row r="198" spans="1:10" ht="75" customHeight="1">
      <c r="A198" s="7"/>
      <c r="B198" s="18"/>
      <c r="C198" s="9"/>
      <c r="D198" s="10"/>
      <c r="E198" s="10"/>
      <c r="F198" s="10"/>
      <c r="G198" s="10"/>
      <c r="H198" s="10"/>
      <c r="I198" s="12"/>
      <c r="J198" s="13"/>
    </row>
    <row r="199" spans="1:10" ht="75" customHeight="1">
      <c r="A199" s="7"/>
      <c r="B199" s="18"/>
      <c r="C199" s="9"/>
      <c r="D199" s="10"/>
      <c r="E199" s="10"/>
      <c r="F199" s="10"/>
      <c r="G199" s="10"/>
      <c r="H199" s="10"/>
      <c r="I199" s="12"/>
      <c r="J199" s="13"/>
    </row>
    <row r="200" spans="1:10" ht="75" customHeight="1">
      <c r="A200" s="7"/>
      <c r="B200" s="18"/>
      <c r="C200" s="9"/>
      <c r="D200" s="10"/>
      <c r="E200" s="10"/>
      <c r="F200" s="10"/>
      <c r="G200" s="10"/>
      <c r="H200" s="10"/>
      <c r="I200" s="12"/>
      <c r="J200" s="13"/>
    </row>
    <row r="201" spans="1:10" ht="75" customHeight="1">
      <c r="A201" s="7"/>
      <c r="B201" s="18"/>
      <c r="C201" s="9"/>
      <c r="D201" s="10"/>
      <c r="E201" s="10"/>
      <c r="F201" s="10"/>
      <c r="G201" s="10"/>
      <c r="H201" s="10"/>
      <c r="I201" s="12"/>
      <c r="J201" s="13"/>
    </row>
    <row r="202" spans="1:10" ht="75" customHeight="1">
      <c r="A202" s="7"/>
      <c r="B202" s="18"/>
      <c r="C202" s="9"/>
      <c r="D202" s="10"/>
      <c r="E202" s="10"/>
      <c r="F202" s="10"/>
      <c r="G202" s="10"/>
      <c r="H202" s="10"/>
      <c r="I202" s="12"/>
      <c r="J202" s="13"/>
    </row>
    <row r="203" spans="1:10" ht="75" customHeight="1">
      <c r="A203" s="7"/>
      <c r="B203" s="18"/>
      <c r="C203" s="9"/>
      <c r="D203" s="10"/>
      <c r="E203" s="10"/>
      <c r="F203" s="10"/>
      <c r="G203" s="10"/>
      <c r="H203" s="10"/>
      <c r="I203" s="12"/>
      <c r="J203" s="13"/>
    </row>
    <row r="204" spans="1:10" ht="75" customHeight="1">
      <c r="A204" s="7"/>
      <c r="B204" s="18"/>
      <c r="C204" s="9"/>
      <c r="D204" s="10"/>
      <c r="E204" s="10"/>
      <c r="F204" s="10"/>
      <c r="G204" s="10"/>
      <c r="H204" s="10"/>
      <c r="I204" s="12"/>
      <c r="J204" s="13"/>
    </row>
    <row r="205" spans="1:10" ht="75" customHeight="1">
      <c r="A205" s="7"/>
      <c r="B205" s="18"/>
      <c r="C205" s="9"/>
      <c r="D205" s="10"/>
      <c r="E205" s="10"/>
      <c r="F205" s="10"/>
      <c r="G205" s="10"/>
      <c r="H205" s="10"/>
      <c r="I205" s="12"/>
      <c r="J205" s="13"/>
    </row>
    <row r="206" spans="1:10" ht="75" customHeight="1">
      <c r="A206" s="7"/>
      <c r="B206" s="18"/>
      <c r="C206" s="9"/>
      <c r="D206" s="10"/>
      <c r="E206" s="10"/>
      <c r="F206" s="10"/>
      <c r="G206" s="10"/>
      <c r="H206" s="10"/>
      <c r="I206" s="12"/>
      <c r="J206" s="13"/>
    </row>
    <row r="207" spans="1:10" ht="75" customHeight="1">
      <c r="A207" s="7"/>
      <c r="B207" s="18"/>
      <c r="C207" s="9"/>
      <c r="D207" s="10"/>
      <c r="E207" s="10"/>
      <c r="F207" s="10"/>
      <c r="G207" s="10"/>
      <c r="H207" s="10"/>
      <c r="I207" s="12"/>
      <c r="J207" s="13"/>
    </row>
    <row r="208" spans="1:10" ht="75" customHeight="1">
      <c r="A208" s="7"/>
      <c r="B208" s="18"/>
      <c r="C208" s="9"/>
      <c r="D208" s="10"/>
      <c r="E208" s="10"/>
      <c r="F208" s="10"/>
      <c r="G208" s="10"/>
      <c r="H208" s="10"/>
      <c r="I208" s="12"/>
      <c r="J208" s="13"/>
    </row>
    <row r="209" spans="1:10" ht="75" customHeight="1">
      <c r="A209" s="7"/>
      <c r="B209" s="18"/>
      <c r="C209" s="9"/>
      <c r="D209" s="10"/>
      <c r="E209" s="10"/>
      <c r="F209" s="10"/>
      <c r="G209" s="10"/>
      <c r="H209" s="10"/>
      <c r="I209" s="12"/>
      <c r="J209" s="13"/>
    </row>
    <row r="210" spans="1:10" ht="75" customHeight="1">
      <c r="A210" s="7"/>
      <c r="B210" s="18"/>
      <c r="C210" s="9"/>
      <c r="D210" s="10"/>
      <c r="E210" s="10"/>
      <c r="F210" s="10"/>
      <c r="G210" s="10"/>
      <c r="H210" s="10"/>
      <c r="I210" s="12"/>
      <c r="J210" s="13"/>
    </row>
    <row r="211" spans="1:10" ht="75" customHeight="1">
      <c r="A211" s="7"/>
      <c r="B211" s="18"/>
      <c r="C211" s="9"/>
      <c r="D211" s="10"/>
      <c r="E211" s="10"/>
      <c r="F211" s="10"/>
      <c r="G211" s="10"/>
      <c r="H211" s="10"/>
      <c r="I211" s="12"/>
      <c r="J211" s="13"/>
    </row>
    <row r="212" spans="1:10" ht="75" customHeight="1">
      <c r="A212" s="7"/>
      <c r="B212" s="18"/>
      <c r="C212" s="9"/>
      <c r="D212" s="10"/>
      <c r="E212" s="10"/>
      <c r="F212" s="10"/>
      <c r="G212" s="10"/>
      <c r="H212" s="10"/>
      <c r="I212" s="12"/>
      <c r="J212" s="13"/>
    </row>
    <row r="213" spans="1:10" ht="75" customHeight="1">
      <c r="A213" s="7"/>
      <c r="B213" s="18"/>
      <c r="C213" s="9"/>
      <c r="D213" s="10"/>
      <c r="E213" s="10"/>
      <c r="F213" s="10"/>
      <c r="G213" s="10"/>
      <c r="H213" s="10"/>
      <c r="I213" s="12"/>
      <c r="J213" s="13"/>
    </row>
    <row r="214" spans="1:10" ht="75" customHeight="1">
      <c r="A214" s="7"/>
      <c r="B214" s="18"/>
      <c r="C214" s="9"/>
      <c r="D214" s="10"/>
      <c r="E214" s="10"/>
      <c r="F214" s="10"/>
      <c r="G214" s="10"/>
      <c r="H214" s="10"/>
      <c r="I214" s="12"/>
      <c r="J214" s="13"/>
    </row>
    <row r="215" spans="1:10" ht="75" customHeight="1">
      <c r="A215" s="7"/>
      <c r="B215" s="18"/>
      <c r="C215" s="9"/>
      <c r="D215" s="10"/>
      <c r="E215" s="10"/>
      <c r="F215" s="10"/>
      <c r="G215" s="10"/>
      <c r="H215" s="10"/>
      <c r="I215" s="12"/>
      <c r="J215" s="13"/>
    </row>
    <row r="216" spans="1:10" ht="75" customHeight="1">
      <c r="A216" s="7"/>
      <c r="B216" s="18"/>
      <c r="C216" s="9"/>
      <c r="D216" s="10"/>
      <c r="E216" s="10"/>
      <c r="F216" s="10"/>
      <c r="G216" s="10"/>
      <c r="H216" s="10"/>
      <c r="I216" s="12"/>
      <c r="J216" s="13"/>
    </row>
    <row r="217" spans="1:10" ht="75" customHeight="1">
      <c r="A217" s="7"/>
      <c r="B217" s="18"/>
      <c r="C217" s="9"/>
      <c r="D217" s="10"/>
      <c r="E217" s="10"/>
      <c r="F217" s="10"/>
      <c r="G217" s="10"/>
      <c r="H217" s="10"/>
      <c r="I217" s="12"/>
      <c r="J217" s="13"/>
    </row>
    <row r="218" spans="1:10" ht="75" customHeight="1">
      <c r="A218" s="7"/>
      <c r="B218" s="18"/>
      <c r="C218" s="9"/>
      <c r="D218" s="10"/>
      <c r="E218" s="10"/>
      <c r="F218" s="10"/>
      <c r="G218" s="10"/>
      <c r="H218" s="10"/>
      <c r="I218" s="12"/>
      <c r="J218" s="13"/>
    </row>
    <row r="219" spans="1:10" ht="75" customHeight="1">
      <c r="A219" s="7"/>
      <c r="B219" s="18"/>
      <c r="C219" s="9"/>
      <c r="D219" s="10"/>
      <c r="E219" s="10"/>
      <c r="F219" s="10"/>
      <c r="G219" s="10"/>
      <c r="H219" s="10"/>
      <c r="I219" s="12"/>
      <c r="J219" s="13"/>
    </row>
    <row r="220" spans="1:10" ht="75" customHeight="1">
      <c r="A220" s="7"/>
      <c r="B220" s="18"/>
      <c r="C220" s="9"/>
      <c r="D220" s="10"/>
      <c r="E220" s="10"/>
      <c r="F220" s="10"/>
      <c r="G220" s="10"/>
      <c r="H220" s="10"/>
      <c r="I220" s="12"/>
      <c r="J220" s="13"/>
    </row>
    <row r="221" spans="1:10" ht="75" customHeight="1">
      <c r="A221" s="7"/>
      <c r="B221" s="18"/>
      <c r="C221" s="9"/>
      <c r="D221" s="10"/>
      <c r="E221" s="10"/>
      <c r="F221" s="10"/>
      <c r="G221" s="10"/>
      <c r="H221" s="10"/>
      <c r="I221" s="12"/>
      <c r="J221" s="13"/>
    </row>
    <row r="222" spans="1:10" ht="75" customHeight="1">
      <c r="A222" s="7"/>
      <c r="B222" s="18"/>
      <c r="C222" s="9"/>
      <c r="D222" s="10"/>
      <c r="E222" s="10"/>
      <c r="F222" s="10"/>
      <c r="G222" s="10"/>
      <c r="H222" s="10"/>
      <c r="I222" s="12"/>
      <c r="J222" s="13"/>
    </row>
    <row r="223" spans="1:10" ht="75" customHeight="1">
      <c r="A223" s="7"/>
      <c r="B223" s="18"/>
      <c r="C223" s="9"/>
      <c r="D223" s="10"/>
      <c r="E223" s="10"/>
      <c r="F223" s="10"/>
      <c r="G223" s="10"/>
      <c r="H223" s="10"/>
      <c r="I223" s="12"/>
      <c r="J223" s="13"/>
    </row>
    <row r="224" spans="1:10" ht="75" customHeight="1">
      <c r="A224" s="7"/>
      <c r="B224" s="18"/>
      <c r="C224" s="9"/>
      <c r="D224" s="10"/>
      <c r="E224" s="10"/>
      <c r="F224" s="10"/>
      <c r="G224" s="10"/>
      <c r="H224" s="10"/>
      <c r="I224" s="12"/>
      <c r="J224" s="13"/>
    </row>
    <row r="225" spans="1:10" ht="75" customHeight="1">
      <c r="A225" s="7"/>
      <c r="B225" s="18"/>
      <c r="C225" s="9"/>
      <c r="D225" s="10"/>
      <c r="E225" s="10"/>
      <c r="F225" s="10"/>
      <c r="G225" s="10"/>
      <c r="H225" s="10"/>
      <c r="I225" s="12"/>
      <c r="J225" s="13"/>
    </row>
    <row r="226" spans="1:10" ht="75" customHeight="1">
      <c r="A226" s="7"/>
      <c r="B226" s="18"/>
      <c r="C226" s="9"/>
      <c r="D226" s="10"/>
      <c r="E226" s="10"/>
      <c r="F226" s="10"/>
      <c r="G226" s="10"/>
      <c r="H226" s="10"/>
      <c r="I226" s="12"/>
      <c r="J226" s="13"/>
    </row>
    <row r="227" spans="1:10" ht="75" customHeight="1">
      <c r="A227" s="7"/>
      <c r="B227" s="18"/>
      <c r="C227" s="9"/>
      <c r="D227" s="10"/>
      <c r="E227" s="10"/>
      <c r="F227" s="10"/>
      <c r="G227" s="10"/>
      <c r="H227" s="10"/>
      <c r="I227" s="12"/>
      <c r="J227" s="13"/>
    </row>
    <row r="228" spans="1:10" ht="75" customHeight="1">
      <c r="A228" s="7"/>
      <c r="B228" s="18"/>
      <c r="C228" s="9"/>
      <c r="D228" s="10"/>
      <c r="E228" s="10"/>
      <c r="F228" s="10"/>
      <c r="G228" s="10"/>
      <c r="H228" s="10"/>
      <c r="I228" s="12"/>
      <c r="J228" s="13"/>
    </row>
    <row r="229" spans="1:10" ht="75" customHeight="1">
      <c r="A229" s="7"/>
      <c r="B229" s="18"/>
      <c r="C229" s="9"/>
      <c r="D229" s="10"/>
      <c r="E229" s="10"/>
      <c r="F229" s="10"/>
      <c r="G229" s="10"/>
      <c r="H229" s="10"/>
      <c r="I229" s="12"/>
      <c r="J229" s="13"/>
    </row>
    <row r="230" spans="1:10" ht="75" customHeight="1">
      <c r="A230" s="7"/>
      <c r="B230" s="18"/>
      <c r="C230" s="9"/>
      <c r="D230" s="10"/>
      <c r="E230" s="10"/>
      <c r="F230" s="10"/>
      <c r="G230" s="10"/>
      <c r="H230" s="10"/>
      <c r="I230" s="12"/>
      <c r="J230" s="13"/>
    </row>
    <row r="231" spans="1:10" ht="75" customHeight="1">
      <c r="A231" s="7"/>
      <c r="B231" s="18"/>
      <c r="C231" s="9"/>
      <c r="D231" s="10"/>
      <c r="E231" s="10"/>
      <c r="F231" s="10"/>
      <c r="G231" s="10"/>
      <c r="H231" s="10"/>
      <c r="I231" s="12"/>
      <c r="J231" s="13"/>
    </row>
    <row r="232" spans="1:10" ht="75" customHeight="1">
      <c r="A232" s="7"/>
      <c r="B232" s="18"/>
      <c r="C232" s="9"/>
      <c r="D232" s="10"/>
      <c r="E232" s="10"/>
      <c r="F232" s="10"/>
      <c r="G232" s="10"/>
      <c r="H232" s="10"/>
      <c r="I232" s="12"/>
      <c r="J232" s="13"/>
    </row>
    <row r="233" spans="1:10" ht="75" customHeight="1">
      <c r="A233" s="7"/>
      <c r="B233" s="18"/>
      <c r="C233" s="9"/>
      <c r="D233" s="10"/>
      <c r="E233" s="10"/>
      <c r="F233" s="10"/>
      <c r="G233" s="10"/>
      <c r="H233" s="10"/>
      <c r="I233" s="12"/>
      <c r="J233" s="13"/>
    </row>
    <row r="234" spans="1:10" ht="75" customHeight="1">
      <c r="A234" s="7"/>
      <c r="B234" s="18"/>
      <c r="C234" s="9"/>
      <c r="D234" s="10"/>
      <c r="E234" s="10"/>
      <c r="F234" s="10"/>
      <c r="G234" s="10"/>
      <c r="H234" s="10"/>
      <c r="I234" s="12"/>
      <c r="J234" s="13"/>
    </row>
    <row r="235" spans="1:10" ht="75" customHeight="1">
      <c r="A235" s="7"/>
      <c r="B235" s="18"/>
      <c r="C235" s="9"/>
      <c r="D235" s="10"/>
      <c r="E235" s="10"/>
      <c r="F235" s="10"/>
      <c r="G235" s="10"/>
      <c r="H235" s="10"/>
      <c r="I235" s="12"/>
      <c r="J235" s="13"/>
    </row>
    <row r="236" spans="1:10" ht="75" customHeight="1">
      <c r="A236" s="7"/>
      <c r="B236" s="18"/>
      <c r="C236" s="9"/>
      <c r="D236" s="10"/>
      <c r="E236" s="10"/>
      <c r="F236" s="10"/>
      <c r="G236" s="10"/>
      <c r="H236" s="10"/>
      <c r="I236" s="12"/>
      <c r="J236" s="13"/>
    </row>
    <row r="237" spans="1:10" ht="75" customHeight="1">
      <c r="A237" s="7"/>
      <c r="B237" s="18"/>
      <c r="C237" s="9"/>
      <c r="D237" s="10"/>
      <c r="E237" s="10"/>
      <c r="F237" s="10"/>
      <c r="G237" s="10"/>
      <c r="H237" s="10"/>
      <c r="I237" s="12"/>
      <c r="J237" s="13"/>
    </row>
    <row r="238" spans="1:10" ht="75" customHeight="1">
      <c r="A238" s="7"/>
      <c r="B238" s="18"/>
      <c r="C238" s="9"/>
      <c r="D238" s="10"/>
      <c r="E238" s="10"/>
      <c r="F238" s="10"/>
      <c r="G238" s="10"/>
      <c r="H238" s="10"/>
      <c r="I238" s="12"/>
      <c r="J238" s="13"/>
    </row>
    <row r="239" spans="1:10" ht="75" customHeight="1">
      <c r="A239" s="7"/>
      <c r="B239" s="18"/>
      <c r="C239" s="9"/>
      <c r="D239" s="10"/>
      <c r="E239" s="10"/>
      <c r="F239" s="10"/>
      <c r="G239" s="10"/>
      <c r="H239" s="10"/>
      <c r="I239" s="12"/>
      <c r="J239" s="13"/>
    </row>
    <row r="240" spans="1:10" ht="75" customHeight="1">
      <c r="A240" s="7"/>
      <c r="B240" s="18"/>
      <c r="C240" s="9"/>
      <c r="D240" s="10"/>
      <c r="E240" s="10"/>
      <c r="F240" s="10"/>
      <c r="G240" s="10"/>
      <c r="H240" s="10"/>
      <c r="I240" s="12"/>
      <c r="J240" s="13"/>
    </row>
    <row r="241" spans="1:10" ht="75" customHeight="1">
      <c r="A241" s="7"/>
      <c r="B241" s="18"/>
      <c r="C241" s="9"/>
      <c r="D241" s="10"/>
      <c r="E241" s="10"/>
      <c r="F241" s="10"/>
      <c r="G241" s="10"/>
      <c r="H241" s="10"/>
      <c r="I241" s="12"/>
      <c r="J241" s="13"/>
    </row>
    <row r="242" spans="1:10" ht="75" customHeight="1">
      <c r="A242" s="7"/>
      <c r="B242" s="18"/>
      <c r="C242" s="9"/>
      <c r="D242" s="10"/>
      <c r="E242" s="10"/>
      <c r="F242" s="10"/>
      <c r="G242" s="10"/>
      <c r="H242" s="10"/>
      <c r="I242" s="12"/>
      <c r="J242" s="13"/>
    </row>
    <row r="243" spans="1:10" ht="75" customHeight="1">
      <c r="A243" s="7"/>
      <c r="B243" s="18"/>
      <c r="C243" s="9"/>
      <c r="D243" s="10"/>
      <c r="E243" s="10"/>
      <c r="F243" s="10"/>
      <c r="G243" s="10"/>
      <c r="H243" s="10"/>
      <c r="I243" s="12"/>
      <c r="J243" s="13"/>
    </row>
    <row r="244" spans="1:10" ht="75" customHeight="1">
      <c r="A244" s="7"/>
      <c r="B244" s="18"/>
      <c r="C244" s="9"/>
      <c r="D244" s="10"/>
      <c r="E244" s="10"/>
      <c r="F244" s="10"/>
      <c r="G244" s="10"/>
      <c r="H244" s="10"/>
      <c r="I244" s="12"/>
      <c r="J244" s="13"/>
    </row>
    <row r="245" spans="1:10" ht="75" customHeight="1">
      <c r="A245" s="7"/>
      <c r="B245" s="18"/>
      <c r="C245" s="9"/>
      <c r="D245" s="10"/>
      <c r="E245" s="10"/>
      <c r="F245" s="10"/>
      <c r="G245" s="10"/>
      <c r="H245" s="10"/>
      <c r="I245" s="12"/>
      <c r="J245" s="13"/>
    </row>
    <row r="246" spans="1:10" ht="75" customHeight="1">
      <c r="A246" s="7"/>
      <c r="B246" s="18"/>
      <c r="C246" s="9"/>
      <c r="D246" s="10"/>
      <c r="E246" s="10"/>
      <c r="F246" s="10"/>
      <c r="G246" s="10"/>
      <c r="H246" s="10"/>
      <c r="I246" s="12"/>
      <c r="J246" s="13"/>
    </row>
    <row r="247" spans="1:10" ht="75" customHeight="1">
      <c r="A247" s="7"/>
      <c r="B247" s="18"/>
      <c r="C247" s="9"/>
      <c r="D247" s="10"/>
      <c r="E247" s="10"/>
      <c r="F247" s="10"/>
      <c r="G247" s="10"/>
      <c r="H247" s="10"/>
      <c r="I247" s="12"/>
      <c r="J247" s="13"/>
    </row>
    <row r="248" spans="1:10" ht="75" customHeight="1">
      <c r="A248" s="7"/>
      <c r="B248" s="18"/>
      <c r="C248" s="9"/>
      <c r="D248" s="10"/>
      <c r="E248" s="10"/>
      <c r="F248" s="10"/>
      <c r="G248" s="10"/>
      <c r="H248" s="10"/>
      <c r="I248" s="12"/>
      <c r="J248" s="13"/>
    </row>
    <row r="249" spans="1:10" ht="75" customHeight="1">
      <c r="A249" s="7"/>
      <c r="B249" s="18"/>
      <c r="C249" s="9"/>
      <c r="D249" s="10"/>
      <c r="E249" s="10"/>
      <c r="F249" s="10"/>
      <c r="G249" s="10"/>
      <c r="H249" s="10"/>
      <c r="I249" s="12"/>
      <c r="J249" s="13"/>
    </row>
    <row r="250" spans="1:10" ht="75" customHeight="1">
      <c r="A250" s="7"/>
      <c r="B250" s="18"/>
      <c r="C250" s="9"/>
      <c r="D250" s="10"/>
      <c r="E250" s="10"/>
      <c r="F250" s="10"/>
      <c r="G250" s="10"/>
      <c r="H250" s="10"/>
      <c r="I250" s="12"/>
      <c r="J250" s="13"/>
    </row>
    <row r="251" spans="1:10" ht="75" customHeight="1">
      <c r="A251" s="7"/>
      <c r="B251" s="18"/>
      <c r="C251" s="9"/>
      <c r="D251" s="10"/>
      <c r="E251" s="10"/>
      <c r="F251" s="10"/>
      <c r="G251" s="10"/>
      <c r="H251" s="10"/>
      <c r="I251" s="12"/>
      <c r="J251" s="13"/>
    </row>
    <row r="252" spans="1:10" ht="75" customHeight="1">
      <c r="A252" s="7"/>
      <c r="B252" s="18"/>
      <c r="C252" s="9"/>
      <c r="D252" s="10"/>
      <c r="E252" s="10"/>
      <c r="F252" s="10"/>
      <c r="G252" s="10"/>
      <c r="H252" s="10"/>
      <c r="I252" s="12"/>
      <c r="J252" s="13"/>
    </row>
    <row r="253" spans="1:10" ht="75" customHeight="1">
      <c r="A253" s="7"/>
      <c r="B253" s="18"/>
      <c r="C253" s="9"/>
      <c r="D253" s="10"/>
      <c r="E253" s="10"/>
      <c r="F253" s="10"/>
      <c r="G253" s="10"/>
      <c r="H253" s="10"/>
      <c r="I253" s="12"/>
      <c r="J253" s="13"/>
    </row>
    <row r="254" spans="1:10" ht="75" customHeight="1">
      <c r="A254" s="7"/>
      <c r="B254" s="18"/>
      <c r="C254" s="9"/>
      <c r="D254" s="10"/>
      <c r="E254" s="10"/>
      <c r="F254" s="10"/>
      <c r="G254" s="10"/>
      <c r="H254" s="10"/>
      <c r="I254" s="12"/>
      <c r="J254" s="13"/>
    </row>
    <row r="255" spans="1:10" ht="75" customHeight="1">
      <c r="A255" s="7"/>
      <c r="B255" s="18"/>
      <c r="C255" s="9"/>
      <c r="D255" s="10"/>
      <c r="E255" s="10"/>
      <c r="F255" s="10"/>
      <c r="G255" s="10"/>
      <c r="H255" s="10"/>
      <c r="I255" s="12"/>
      <c r="J255" s="13"/>
    </row>
    <row r="256" spans="1:10" ht="75" customHeight="1">
      <c r="A256" s="7"/>
      <c r="B256" s="18"/>
      <c r="C256" s="9"/>
      <c r="D256" s="10"/>
      <c r="E256" s="10"/>
      <c r="F256" s="10"/>
      <c r="G256" s="10"/>
      <c r="H256" s="10"/>
      <c r="I256" s="12"/>
      <c r="J256" s="13"/>
    </row>
    <row r="257" spans="1:10" ht="75" customHeight="1">
      <c r="A257" s="7"/>
      <c r="B257" s="18"/>
      <c r="C257" s="9"/>
      <c r="D257" s="10"/>
      <c r="E257" s="10"/>
      <c r="F257" s="10"/>
      <c r="G257" s="10"/>
      <c r="H257" s="10"/>
      <c r="I257" s="12"/>
      <c r="J257" s="13"/>
    </row>
    <row r="258" spans="1:10" ht="75" customHeight="1">
      <c r="A258" s="7"/>
      <c r="B258" s="18"/>
      <c r="C258" s="9"/>
      <c r="D258" s="10"/>
      <c r="E258" s="10"/>
      <c r="F258" s="10"/>
      <c r="G258" s="10"/>
      <c r="H258" s="10"/>
      <c r="I258" s="12"/>
      <c r="J258" s="13"/>
    </row>
    <row r="259" spans="1:10" ht="75" customHeight="1">
      <c r="A259" s="7"/>
      <c r="B259" s="18"/>
      <c r="C259" s="9"/>
      <c r="D259" s="10"/>
      <c r="E259" s="10"/>
      <c r="F259" s="10"/>
      <c r="G259" s="10"/>
      <c r="H259" s="10"/>
      <c r="I259" s="12"/>
      <c r="J259" s="13"/>
    </row>
    <row r="260" spans="1:10" ht="75" customHeight="1">
      <c r="A260" s="7"/>
      <c r="B260" s="18"/>
      <c r="C260" s="9"/>
      <c r="D260" s="10"/>
      <c r="E260" s="10"/>
      <c r="F260" s="10"/>
      <c r="G260" s="10"/>
      <c r="H260" s="10"/>
      <c r="I260" s="12"/>
      <c r="J260" s="13"/>
    </row>
    <row r="261" spans="1:10" ht="75" customHeight="1">
      <c r="A261" s="7"/>
      <c r="B261" s="18"/>
      <c r="C261" s="9"/>
      <c r="D261" s="10"/>
      <c r="E261" s="10"/>
      <c r="F261" s="10"/>
      <c r="G261" s="10"/>
      <c r="H261" s="10"/>
      <c r="I261" s="12"/>
      <c r="J261" s="13"/>
    </row>
    <row r="262" spans="1:10" ht="75" customHeight="1">
      <c r="A262" s="7"/>
      <c r="B262" s="18"/>
      <c r="C262" s="9"/>
      <c r="D262" s="10"/>
      <c r="E262" s="10"/>
      <c r="F262" s="10"/>
      <c r="G262" s="10"/>
      <c r="H262" s="10"/>
      <c r="I262" s="12"/>
      <c r="J262" s="13"/>
    </row>
    <row r="263" spans="1:10" ht="75" customHeight="1">
      <c r="A263" s="7"/>
      <c r="B263" s="18"/>
      <c r="C263" s="9"/>
      <c r="D263" s="10"/>
      <c r="E263" s="10"/>
      <c r="F263" s="10"/>
      <c r="G263" s="10"/>
      <c r="H263" s="10"/>
      <c r="I263" s="12"/>
      <c r="J263" s="13"/>
    </row>
    <row r="264" spans="1:10" ht="75" customHeight="1">
      <c r="A264" s="7"/>
      <c r="B264" s="18"/>
      <c r="C264" s="9"/>
      <c r="D264" s="10"/>
      <c r="E264" s="10"/>
      <c r="F264" s="10"/>
      <c r="G264" s="10"/>
      <c r="H264" s="10"/>
      <c r="I264" s="12"/>
      <c r="J264" s="13"/>
    </row>
    <row r="265" spans="1:10" ht="75" customHeight="1">
      <c r="A265" s="7"/>
      <c r="B265" s="18"/>
      <c r="C265" s="9"/>
      <c r="D265" s="10"/>
      <c r="E265" s="10"/>
      <c r="F265" s="10"/>
      <c r="G265" s="10"/>
      <c r="H265" s="10"/>
      <c r="I265" s="12"/>
      <c r="J265" s="13"/>
    </row>
    <row r="266" spans="1:10" ht="75" customHeight="1">
      <c r="A266" s="7"/>
      <c r="B266" s="18"/>
      <c r="C266" s="9"/>
      <c r="D266" s="10"/>
      <c r="E266" s="10"/>
      <c r="F266" s="10"/>
      <c r="G266" s="10"/>
      <c r="H266" s="10"/>
      <c r="I266" s="12"/>
      <c r="J266" s="13"/>
    </row>
    <row r="267" spans="1:10" ht="75" customHeight="1">
      <c r="A267" s="7"/>
      <c r="B267" s="18"/>
      <c r="C267" s="9"/>
      <c r="D267" s="10"/>
      <c r="E267" s="10"/>
      <c r="F267" s="10"/>
      <c r="G267" s="10"/>
      <c r="H267" s="10"/>
      <c r="I267" s="12"/>
      <c r="J267" s="13"/>
    </row>
    <row r="268" spans="1:10" ht="75" customHeight="1">
      <c r="A268" s="7"/>
      <c r="B268" s="18"/>
      <c r="C268" s="9"/>
      <c r="D268" s="10"/>
      <c r="E268" s="10"/>
      <c r="F268" s="10"/>
      <c r="G268" s="10"/>
      <c r="H268" s="10"/>
      <c r="I268" s="12"/>
      <c r="J268" s="13"/>
    </row>
    <row r="269" spans="1:10" ht="75" customHeight="1">
      <c r="A269" s="7"/>
      <c r="B269" s="18"/>
      <c r="C269" s="9"/>
      <c r="D269" s="10"/>
      <c r="E269" s="10"/>
      <c r="F269" s="10"/>
      <c r="G269" s="10"/>
      <c r="H269" s="10"/>
      <c r="I269" s="12"/>
      <c r="J269" s="13"/>
    </row>
    <row r="270" spans="1:10" ht="75" customHeight="1">
      <c r="A270" s="7"/>
      <c r="B270" s="18"/>
      <c r="C270" s="9"/>
      <c r="D270" s="10"/>
      <c r="E270" s="10"/>
      <c r="F270" s="10"/>
      <c r="G270" s="10"/>
      <c r="H270" s="10"/>
      <c r="I270" s="12"/>
      <c r="J270" s="13"/>
    </row>
    <row r="271" spans="1:10" ht="75" customHeight="1">
      <c r="A271" s="7"/>
      <c r="B271" s="18"/>
      <c r="C271" s="9"/>
      <c r="D271" s="10"/>
      <c r="E271" s="10"/>
      <c r="F271" s="10"/>
      <c r="G271" s="10"/>
      <c r="H271" s="10"/>
      <c r="I271" s="12"/>
      <c r="J271" s="13"/>
    </row>
    <row r="272" spans="1:10" ht="75" customHeight="1">
      <c r="A272" s="7"/>
      <c r="B272" s="18"/>
      <c r="C272" s="9"/>
      <c r="D272" s="10"/>
      <c r="E272" s="10"/>
      <c r="F272" s="10"/>
      <c r="G272" s="10"/>
      <c r="H272" s="10"/>
      <c r="I272" s="12"/>
      <c r="J272" s="13"/>
    </row>
    <row r="273" spans="1:10" ht="75" customHeight="1">
      <c r="A273" s="7"/>
      <c r="B273" s="18"/>
      <c r="C273" s="9"/>
      <c r="D273" s="10"/>
      <c r="E273" s="10"/>
      <c r="F273" s="10"/>
      <c r="G273" s="10"/>
      <c r="H273" s="10"/>
      <c r="I273" s="12"/>
      <c r="J273" s="13"/>
    </row>
    <row r="274" spans="1:10" ht="75" customHeight="1">
      <c r="A274" s="7"/>
      <c r="B274" s="18"/>
      <c r="C274" s="9"/>
      <c r="D274" s="10"/>
      <c r="E274" s="10"/>
      <c r="F274" s="10"/>
      <c r="G274" s="10"/>
      <c r="H274" s="10"/>
      <c r="I274" s="12"/>
      <c r="J274" s="13"/>
    </row>
    <row r="275" spans="1:10" ht="75" customHeight="1">
      <c r="A275" s="7"/>
      <c r="B275" s="18"/>
      <c r="C275" s="9"/>
      <c r="D275" s="10"/>
      <c r="E275" s="10"/>
      <c r="F275" s="10"/>
      <c r="G275" s="10"/>
      <c r="H275" s="10"/>
      <c r="I275" s="12"/>
      <c r="J275" s="13"/>
    </row>
    <row r="276" spans="1:10" ht="75" customHeight="1">
      <c r="A276" s="7"/>
      <c r="B276" s="18"/>
      <c r="C276" s="9"/>
      <c r="D276" s="10"/>
      <c r="E276" s="10"/>
      <c r="F276" s="10"/>
      <c r="G276" s="10"/>
      <c r="H276" s="10"/>
      <c r="I276" s="12"/>
      <c r="J276" s="13"/>
    </row>
    <row r="277" spans="1:10" ht="75" customHeight="1">
      <c r="A277" s="7"/>
      <c r="B277" s="18"/>
      <c r="C277" s="9"/>
      <c r="D277" s="10"/>
      <c r="E277" s="10"/>
      <c r="F277" s="10"/>
      <c r="G277" s="10"/>
      <c r="H277" s="10"/>
      <c r="I277" s="12"/>
      <c r="J277" s="13"/>
    </row>
    <row r="278" spans="1:10" ht="75" customHeight="1">
      <c r="A278" s="7"/>
      <c r="B278" s="18"/>
      <c r="C278" s="9"/>
      <c r="D278" s="10"/>
      <c r="E278" s="10"/>
      <c r="F278" s="10"/>
      <c r="G278" s="10"/>
      <c r="H278" s="10"/>
      <c r="I278" s="12"/>
      <c r="J278" s="13"/>
    </row>
    <row r="279" spans="1:10" ht="75" customHeight="1">
      <c r="A279" s="7"/>
      <c r="B279" s="18"/>
      <c r="C279" s="9"/>
      <c r="D279" s="10"/>
      <c r="E279" s="10"/>
      <c r="F279" s="10"/>
      <c r="G279" s="10"/>
      <c r="H279" s="10"/>
      <c r="I279" s="12"/>
      <c r="J279" s="13"/>
    </row>
    <row r="280" spans="1:10" ht="75" customHeight="1">
      <c r="A280" s="7"/>
      <c r="B280" s="18"/>
      <c r="C280" s="9"/>
      <c r="D280" s="10"/>
      <c r="E280" s="10"/>
      <c r="F280" s="10"/>
      <c r="G280" s="10"/>
      <c r="H280" s="10"/>
      <c r="I280" s="12"/>
      <c r="J280" s="13"/>
    </row>
    <row r="281" spans="1:10" ht="75" customHeight="1">
      <c r="A281" s="7"/>
      <c r="B281" s="18"/>
      <c r="C281" s="9"/>
      <c r="D281" s="10"/>
      <c r="E281" s="10"/>
      <c r="F281" s="10"/>
      <c r="G281" s="10"/>
      <c r="H281" s="10"/>
      <c r="I281" s="12"/>
      <c r="J281" s="13"/>
    </row>
    <row r="282" spans="1:10" ht="75" customHeight="1">
      <c r="A282" s="7"/>
      <c r="B282" s="18"/>
      <c r="C282" s="9"/>
      <c r="D282" s="10"/>
      <c r="E282" s="10"/>
      <c r="F282" s="10"/>
      <c r="G282" s="10"/>
      <c r="H282" s="10"/>
      <c r="I282" s="12"/>
      <c r="J282" s="13"/>
    </row>
    <row r="283" spans="1:10" ht="75" customHeight="1">
      <c r="A283" s="7"/>
      <c r="B283" s="18"/>
      <c r="C283" s="9"/>
      <c r="D283" s="10"/>
      <c r="E283" s="10"/>
      <c r="F283" s="10"/>
      <c r="G283" s="10"/>
      <c r="H283" s="10"/>
      <c r="I283" s="12"/>
      <c r="J283" s="13"/>
    </row>
    <row r="284" spans="1:10" ht="75" customHeight="1">
      <c r="A284" s="7"/>
      <c r="B284" s="18"/>
      <c r="C284" s="9"/>
      <c r="D284" s="10"/>
      <c r="E284" s="10"/>
      <c r="F284" s="10"/>
      <c r="G284" s="10"/>
      <c r="H284" s="10"/>
      <c r="I284" s="12"/>
      <c r="J284" s="13"/>
    </row>
    <row r="285" spans="1:10" ht="75" customHeight="1">
      <c r="A285" s="7"/>
      <c r="B285" s="18"/>
      <c r="C285" s="9"/>
      <c r="D285" s="10"/>
      <c r="E285" s="10"/>
      <c r="F285" s="10"/>
      <c r="G285" s="10"/>
      <c r="H285" s="10"/>
      <c r="I285" s="12"/>
      <c r="J285" s="13"/>
    </row>
    <row r="286" spans="1:10" ht="75" customHeight="1">
      <c r="A286" s="7"/>
      <c r="B286" s="18"/>
      <c r="C286" s="9"/>
      <c r="D286" s="10"/>
      <c r="E286" s="10"/>
      <c r="F286" s="10"/>
      <c r="G286" s="10"/>
      <c r="H286" s="10"/>
      <c r="I286" s="12"/>
      <c r="J286" s="13"/>
    </row>
    <row r="287" spans="1:10" ht="75" customHeight="1">
      <c r="A287" s="7"/>
      <c r="B287" s="18"/>
      <c r="C287" s="9"/>
      <c r="D287" s="10"/>
      <c r="E287" s="10"/>
      <c r="F287" s="10"/>
      <c r="G287" s="10"/>
      <c r="H287" s="10"/>
      <c r="I287" s="12"/>
      <c r="J287" s="13"/>
    </row>
    <row r="288" spans="1:10" ht="75" customHeight="1">
      <c r="A288" s="7"/>
      <c r="B288" s="18"/>
      <c r="C288" s="9"/>
      <c r="D288" s="10"/>
      <c r="E288" s="10"/>
      <c r="F288" s="10"/>
      <c r="G288" s="10"/>
      <c r="H288" s="10"/>
      <c r="I288" s="12"/>
      <c r="J288" s="13"/>
    </row>
    <row r="289" spans="1:10" ht="75" customHeight="1">
      <c r="A289" s="7"/>
      <c r="B289" s="18"/>
      <c r="C289" s="9"/>
      <c r="D289" s="10"/>
      <c r="E289" s="10"/>
      <c r="F289" s="10"/>
      <c r="G289" s="10"/>
      <c r="H289" s="10"/>
      <c r="I289" s="12"/>
      <c r="J289" s="13"/>
    </row>
    <row r="290" spans="1:10" ht="75" customHeight="1">
      <c r="A290" s="7"/>
      <c r="B290" s="18"/>
      <c r="C290" s="9"/>
      <c r="D290" s="10"/>
      <c r="E290" s="10"/>
      <c r="F290" s="10"/>
      <c r="G290" s="10"/>
      <c r="H290" s="10"/>
      <c r="I290" s="12"/>
      <c r="J290" s="13"/>
    </row>
    <row r="291" spans="1:10" ht="75" customHeight="1">
      <c r="A291" s="7"/>
      <c r="B291" s="18"/>
      <c r="C291" s="9"/>
      <c r="D291" s="10"/>
      <c r="E291" s="10"/>
      <c r="F291" s="10"/>
      <c r="G291" s="10"/>
      <c r="H291" s="10"/>
      <c r="I291" s="12"/>
      <c r="J291" s="13"/>
    </row>
    <row r="292" spans="1:10" ht="75" customHeight="1">
      <c r="A292" s="7"/>
      <c r="B292" s="18"/>
      <c r="C292" s="9"/>
      <c r="D292" s="10"/>
      <c r="E292" s="10"/>
      <c r="F292" s="10"/>
      <c r="G292" s="10"/>
      <c r="H292" s="10"/>
      <c r="I292" s="12"/>
      <c r="J292" s="13"/>
    </row>
    <row r="293" spans="1:10" ht="75" customHeight="1">
      <c r="A293" s="7"/>
      <c r="B293" s="18"/>
      <c r="C293" s="9"/>
      <c r="D293" s="10"/>
      <c r="E293" s="10"/>
      <c r="F293" s="10"/>
      <c r="G293" s="10"/>
      <c r="H293" s="10"/>
      <c r="I293" s="12"/>
      <c r="J293" s="13"/>
    </row>
    <row r="294" spans="1:10" ht="75" customHeight="1">
      <c r="A294" s="7"/>
      <c r="B294" s="18"/>
      <c r="C294" s="9"/>
      <c r="D294" s="10"/>
      <c r="E294" s="10"/>
      <c r="F294" s="10"/>
      <c r="G294" s="10"/>
      <c r="H294" s="10"/>
      <c r="I294" s="12"/>
      <c r="J294" s="13"/>
    </row>
    <row r="295" spans="1:10" ht="75" customHeight="1">
      <c r="A295" s="7"/>
      <c r="B295" s="18"/>
      <c r="C295" s="9"/>
      <c r="D295" s="10"/>
      <c r="E295" s="10"/>
      <c r="F295" s="10"/>
      <c r="G295" s="10"/>
      <c r="H295" s="10"/>
      <c r="I295" s="12"/>
      <c r="J295" s="13"/>
    </row>
    <row r="296" spans="1:10" ht="75" customHeight="1">
      <c r="A296" s="7"/>
      <c r="B296" s="18"/>
      <c r="C296" s="9"/>
      <c r="D296" s="10"/>
      <c r="E296" s="10"/>
      <c r="F296" s="10"/>
      <c r="G296" s="10"/>
      <c r="H296" s="10"/>
      <c r="I296" s="12"/>
      <c r="J296" s="13"/>
    </row>
    <row r="297" spans="1:10" ht="75" customHeight="1">
      <c r="A297" s="7"/>
      <c r="B297" s="18"/>
      <c r="C297" s="9"/>
      <c r="D297" s="10"/>
      <c r="E297" s="10"/>
      <c r="F297" s="10"/>
      <c r="G297" s="10"/>
      <c r="H297" s="10"/>
      <c r="I297" s="12"/>
      <c r="J297" s="13"/>
    </row>
    <row r="298" spans="1:10" ht="75" customHeight="1">
      <c r="A298" s="7"/>
      <c r="B298" s="18"/>
      <c r="C298" s="9"/>
      <c r="D298" s="10"/>
      <c r="E298" s="10"/>
      <c r="F298" s="10"/>
      <c r="G298" s="10"/>
      <c r="H298" s="10"/>
      <c r="I298" s="12"/>
      <c r="J298" s="13"/>
    </row>
    <row r="299" spans="1:10" ht="75" customHeight="1">
      <c r="A299" s="7"/>
      <c r="B299" s="18"/>
      <c r="C299" s="9"/>
      <c r="D299" s="10"/>
      <c r="E299" s="10"/>
      <c r="F299" s="10"/>
      <c r="G299" s="10"/>
      <c r="H299" s="10"/>
      <c r="I299" s="12"/>
      <c r="J299" s="13"/>
    </row>
    <row r="300" spans="1:10" ht="75" customHeight="1">
      <c r="A300" s="7"/>
      <c r="B300" s="18"/>
      <c r="C300" s="9"/>
      <c r="D300" s="10"/>
      <c r="E300" s="10"/>
      <c r="F300" s="10"/>
      <c r="G300" s="10"/>
      <c r="H300" s="10"/>
      <c r="I300" s="12"/>
      <c r="J300" s="13"/>
    </row>
    <row r="301" spans="1:10" ht="75" customHeight="1">
      <c r="A301" s="7"/>
      <c r="B301" s="18"/>
      <c r="C301" s="9"/>
      <c r="D301" s="10"/>
      <c r="E301" s="10"/>
      <c r="F301" s="10"/>
      <c r="G301" s="10"/>
      <c r="H301" s="10"/>
      <c r="I301" s="12"/>
      <c r="J301" s="13"/>
    </row>
    <row r="302" spans="1:10" ht="75" customHeight="1">
      <c r="A302" s="7"/>
      <c r="B302" s="18"/>
      <c r="C302" s="9"/>
      <c r="D302" s="10"/>
      <c r="E302" s="10"/>
      <c r="F302" s="10"/>
      <c r="G302" s="10"/>
      <c r="H302" s="10"/>
      <c r="I302" s="12"/>
      <c r="J302" s="13"/>
    </row>
    <row r="303" spans="1:10" ht="75" customHeight="1">
      <c r="A303" s="7"/>
      <c r="B303" s="18"/>
      <c r="C303" s="9"/>
      <c r="D303" s="10"/>
      <c r="E303" s="10"/>
      <c r="F303" s="10"/>
      <c r="G303" s="10"/>
      <c r="H303" s="10"/>
      <c r="I303" s="12"/>
      <c r="J303" s="13"/>
    </row>
    <row r="304" spans="1:10" ht="75" customHeight="1">
      <c r="A304" s="7"/>
      <c r="B304" s="18"/>
      <c r="C304" s="9"/>
      <c r="D304" s="10"/>
      <c r="E304" s="10"/>
      <c r="F304" s="10"/>
      <c r="G304" s="10"/>
      <c r="H304" s="10"/>
      <c r="I304" s="12"/>
      <c r="J304" s="13"/>
    </row>
    <row r="305" spans="1:10" ht="75" customHeight="1">
      <c r="A305" s="7"/>
      <c r="B305" s="18"/>
      <c r="C305" s="9"/>
      <c r="D305" s="10"/>
      <c r="E305" s="10"/>
      <c r="F305" s="10"/>
      <c r="G305" s="10"/>
      <c r="H305" s="10"/>
      <c r="I305" s="12"/>
      <c r="J305" s="13"/>
    </row>
    <row r="306" spans="1:10" ht="75" customHeight="1">
      <c r="A306" s="7"/>
      <c r="B306" s="18"/>
      <c r="C306" s="9"/>
      <c r="D306" s="10"/>
      <c r="E306" s="10"/>
      <c r="F306" s="10"/>
      <c r="G306" s="10"/>
      <c r="H306" s="10"/>
      <c r="I306" s="12"/>
      <c r="J306" s="13"/>
    </row>
    <row r="307" spans="1:10" ht="75" customHeight="1">
      <c r="A307" s="7"/>
      <c r="B307" s="18"/>
      <c r="C307" s="9"/>
      <c r="D307" s="10"/>
      <c r="E307" s="10"/>
      <c r="F307" s="10"/>
      <c r="G307" s="10"/>
      <c r="H307" s="10"/>
      <c r="I307" s="12"/>
      <c r="J307" s="13"/>
    </row>
    <row r="308" spans="1:10" ht="75" customHeight="1">
      <c r="A308" s="7"/>
      <c r="B308" s="18"/>
      <c r="C308" s="9"/>
      <c r="D308" s="10"/>
      <c r="E308" s="10"/>
      <c r="F308" s="10"/>
      <c r="G308" s="10"/>
      <c r="H308" s="10"/>
      <c r="I308" s="12"/>
      <c r="J308" s="13"/>
    </row>
    <row r="309" spans="1:10" ht="75" customHeight="1">
      <c r="A309" s="7"/>
      <c r="B309" s="18"/>
      <c r="C309" s="9"/>
      <c r="D309" s="10"/>
      <c r="E309" s="10"/>
      <c r="F309" s="10"/>
      <c r="G309" s="10"/>
      <c r="H309" s="10"/>
      <c r="I309" s="12"/>
      <c r="J309" s="13"/>
    </row>
    <row r="310" spans="1:10" ht="75" customHeight="1">
      <c r="A310" s="7"/>
      <c r="B310" s="18"/>
      <c r="C310" s="9"/>
      <c r="D310" s="10"/>
      <c r="E310" s="10"/>
      <c r="F310" s="10"/>
      <c r="G310" s="10"/>
      <c r="H310" s="10"/>
      <c r="I310" s="12"/>
      <c r="J310" s="13"/>
    </row>
    <row r="311" spans="1:10" ht="75" customHeight="1">
      <c r="A311" s="7"/>
      <c r="B311" s="18"/>
      <c r="C311" s="9"/>
      <c r="D311" s="10"/>
      <c r="E311" s="10"/>
      <c r="F311" s="10"/>
      <c r="G311" s="10"/>
      <c r="H311" s="10"/>
      <c r="I311" s="12"/>
      <c r="J311" s="13"/>
    </row>
    <row r="312" spans="1:10" ht="75" customHeight="1">
      <c r="A312" s="7"/>
      <c r="B312" s="18"/>
      <c r="C312" s="9"/>
      <c r="D312" s="10"/>
      <c r="E312" s="10"/>
      <c r="F312" s="10"/>
      <c r="G312" s="10"/>
      <c r="H312" s="10"/>
      <c r="I312" s="12"/>
      <c r="J312" s="13"/>
    </row>
    <row r="313" spans="1:10" ht="75" customHeight="1">
      <c r="A313" s="7"/>
      <c r="B313" s="18"/>
      <c r="C313" s="9"/>
      <c r="D313" s="10"/>
      <c r="E313" s="10"/>
      <c r="F313" s="10"/>
      <c r="G313" s="10"/>
      <c r="H313" s="10"/>
      <c r="I313" s="12"/>
      <c r="J313" s="13"/>
    </row>
    <row r="314" spans="1:10" ht="75" customHeight="1">
      <c r="A314" s="7"/>
      <c r="B314" s="18"/>
      <c r="C314" s="9"/>
      <c r="D314" s="10"/>
      <c r="E314" s="10"/>
      <c r="F314" s="10"/>
      <c r="G314" s="10"/>
      <c r="H314" s="10"/>
      <c r="I314" s="12"/>
      <c r="J314" s="13"/>
    </row>
    <row r="315" spans="1:10" ht="75" customHeight="1">
      <c r="A315" s="7"/>
      <c r="B315" s="18"/>
      <c r="C315" s="9"/>
      <c r="D315" s="10"/>
      <c r="E315" s="10"/>
      <c r="F315" s="10"/>
      <c r="G315" s="10"/>
      <c r="H315" s="10"/>
      <c r="I315" s="12"/>
      <c r="J315" s="13"/>
    </row>
    <row r="316" spans="1:10" ht="75" customHeight="1">
      <c r="A316" s="7"/>
      <c r="B316" s="18"/>
      <c r="C316" s="9"/>
      <c r="D316" s="10"/>
      <c r="E316" s="10"/>
      <c r="F316" s="10"/>
      <c r="G316" s="10"/>
      <c r="H316" s="10"/>
      <c r="I316" s="12"/>
      <c r="J316" s="13"/>
    </row>
    <row r="317" spans="1:10" ht="75" customHeight="1">
      <c r="A317" s="7"/>
      <c r="B317" s="18"/>
      <c r="C317" s="9"/>
      <c r="D317" s="10"/>
      <c r="E317" s="10"/>
      <c r="F317" s="10"/>
      <c r="G317" s="10"/>
      <c r="H317" s="10"/>
      <c r="I317" s="12"/>
      <c r="J317" s="13"/>
    </row>
    <row r="318" spans="1:10" ht="75" customHeight="1">
      <c r="A318" s="7"/>
      <c r="B318" s="18"/>
      <c r="C318" s="9"/>
      <c r="D318" s="10"/>
      <c r="E318" s="10"/>
      <c r="F318" s="10"/>
      <c r="G318" s="10"/>
      <c r="H318" s="10"/>
      <c r="I318" s="12"/>
      <c r="J318" s="13"/>
    </row>
    <row r="319" spans="1:10" ht="75" customHeight="1">
      <c r="A319" s="7"/>
      <c r="B319" s="18"/>
      <c r="C319" s="9"/>
      <c r="D319" s="10"/>
      <c r="E319" s="10"/>
      <c r="F319" s="10"/>
      <c r="G319" s="10"/>
      <c r="H319" s="10"/>
      <c r="I319" s="12"/>
      <c r="J319" s="13"/>
    </row>
    <row r="320" spans="1:10" ht="75" customHeight="1">
      <c r="A320" s="7"/>
      <c r="B320" s="18"/>
      <c r="C320" s="9"/>
      <c r="D320" s="10"/>
      <c r="E320" s="10"/>
      <c r="F320" s="10"/>
      <c r="G320" s="10"/>
      <c r="H320" s="10"/>
      <c r="I320" s="12"/>
      <c r="J320" s="13"/>
    </row>
    <row r="321" spans="1:10" ht="75" customHeight="1">
      <c r="A321" s="7"/>
      <c r="B321" s="18"/>
      <c r="C321" s="9"/>
      <c r="D321" s="10"/>
      <c r="E321" s="10"/>
      <c r="F321" s="10"/>
      <c r="G321" s="10"/>
      <c r="H321" s="10"/>
      <c r="I321" s="12"/>
      <c r="J321" s="13"/>
    </row>
    <row r="322" spans="1:10" ht="75" customHeight="1">
      <c r="A322" s="7"/>
      <c r="B322" s="18"/>
      <c r="C322" s="9"/>
      <c r="D322" s="10"/>
      <c r="E322" s="10"/>
      <c r="F322" s="10"/>
      <c r="G322" s="10"/>
      <c r="H322" s="10"/>
      <c r="I322" s="12"/>
      <c r="J322" s="13"/>
    </row>
    <row r="323" spans="1:10" ht="75" customHeight="1">
      <c r="A323" s="7"/>
      <c r="B323" s="18"/>
      <c r="C323" s="9"/>
      <c r="D323" s="10"/>
      <c r="E323" s="10"/>
      <c r="F323" s="10"/>
      <c r="G323" s="10"/>
      <c r="H323" s="10"/>
      <c r="I323" s="12"/>
      <c r="J323" s="13"/>
    </row>
    <row r="324" spans="1:10" ht="75" customHeight="1">
      <c r="A324" s="7"/>
      <c r="B324" s="18"/>
      <c r="C324" s="9"/>
      <c r="D324" s="10"/>
      <c r="E324" s="10"/>
      <c r="F324" s="10"/>
      <c r="G324" s="10"/>
      <c r="H324" s="10"/>
      <c r="I324" s="12"/>
      <c r="J324" s="13"/>
    </row>
    <row r="325" spans="1:10" ht="75" customHeight="1">
      <c r="A325" s="7"/>
      <c r="B325" s="18"/>
      <c r="C325" s="9"/>
      <c r="D325" s="10"/>
      <c r="E325" s="10"/>
      <c r="F325" s="10"/>
      <c r="G325" s="10"/>
      <c r="H325" s="10"/>
      <c r="I325" s="12"/>
      <c r="J325" s="13"/>
    </row>
    <row r="326" spans="1:10" ht="75" customHeight="1">
      <c r="A326" s="7"/>
      <c r="B326" s="18"/>
      <c r="C326" s="9"/>
      <c r="D326" s="10"/>
      <c r="E326" s="10"/>
      <c r="F326" s="10"/>
      <c r="G326" s="10"/>
      <c r="H326" s="10"/>
      <c r="I326" s="12"/>
      <c r="J326" s="13"/>
    </row>
    <row r="327" spans="1:10" ht="75" customHeight="1">
      <c r="A327" s="7"/>
      <c r="B327" s="18"/>
      <c r="C327" s="9"/>
      <c r="D327" s="10"/>
      <c r="E327" s="10"/>
      <c r="F327" s="10"/>
      <c r="G327" s="10"/>
      <c r="H327" s="10"/>
      <c r="I327" s="12"/>
      <c r="J327" s="13"/>
    </row>
    <row r="328" spans="1:10" ht="75" customHeight="1">
      <c r="A328" s="7"/>
      <c r="B328" s="18"/>
      <c r="C328" s="9"/>
      <c r="D328" s="10"/>
      <c r="E328" s="10"/>
      <c r="F328" s="10"/>
      <c r="G328" s="10"/>
      <c r="H328" s="10"/>
      <c r="I328" s="12"/>
      <c r="J328" s="13"/>
    </row>
    <row r="329" spans="1:10" ht="75" customHeight="1">
      <c r="A329" s="7"/>
      <c r="B329" s="18"/>
      <c r="C329" s="9"/>
      <c r="D329" s="10"/>
      <c r="E329" s="10"/>
      <c r="F329" s="10"/>
      <c r="G329" s="10"/>
      <c r="H329" s="10"/>
      <c r="I329" s="12"/>
      <c r="J329" s="13"/>
    </row>
    <row r="330" spans="1:10" ht="75" customHeight="1">
      <c r="A330" s="7"/>
      <c r="B330" s="18"/>
      <c r="C330" s="9"/>
      <c r="D330" s="10"/>
      <c r="E330" s="10"/>
      <c r="F330" s="10"/>
      <c r="G330" s="10"/>
      <c r="H330" s="10"/>
      <c r="I330" s="12"/>
      <c r="J330" s="13"/>
    </row>
    <row r="331" spans="1:10" ht="75" customHeight="1">
      <c r="A331" s="7"/>
      <c r="B331" s="18"/>
      <c r="C331" s="9"/>
      <c r="D331" s="10"/>
      <c r="E331" s="10"/>
      <c r="F331" s="10"/>
      <c r="G331" s="10"/>
      <c r="H331" s="10"/>
      <c r="I331" s="12"/>
      <c r="J331" s="13"/>
    </row>
    <row r="332" spans="1:10" ht="75" customHeight="1">
      <c r="A332" s="7"/>
      <c r="B332" s="18"/>
      <c r="C332" s="9"/>
      <c r="D332" s="10"/>
      <c r="E332" s="10"/>
      <c r="F332" s="10"/>
      <c r="G332" s="10"/>
      <c r="H332" s="10"/>
      <c r="I332" s="12"/>
      <c r="J332" s="13"/>
    </row>
    <row r="333" spans="1:10" ht="75" customHeight="1">
      <c r="A333" s="7"/>
      <c r="B333" s="18"/>
      <c r="C333" s="9"/>
      <c r="D333" s="10"/>
      <c r="E333" s="10"/>
      <c r="F333" s="10"/>
      <c r="G333" s="10"/>
      <c r="H333" s="10"/>
      <c r="I333" s="12"/>
      <c r="J333" s="13"/>
    </row>
    <row r="334" spans="1:10" ht="75" customHeight="1">
      <c r="A334" s="7"/>
      <c r="B334" s="18"/>
      <c r="C334" s="9"/>
      <c r="D334" s="10"/>
      <c r="E334" s="10"/>
      <c r="F334" s="10"/>
      <c r="G334" s="10"/>
      <c r="H334" s="10"/>
      <c r="I334" s="12"/>
      <c r="J334" s="13"/>
    </row>
    <row r="335" spans="1:10" ht="75" customHeight="1">
      <c r="A335" s="7"/>
      <c r="B335" s="18"/>
      <c r="C335" s="9"/>
      <c r="D335" s="10"/>
      <c r="E335" s="10"/>
      <c r="F335" s="10"/>
      <c r="G335" s="10"/>
      <c r="H335" s="10"/>
      <c r="I335" s="12"/>
      <c r="J335" s="13"/>
    </row>
    <row r="336" spans="1:10" ht="75" customHeight="1">
      <c r="A336" s="7"/>
      <c r="B336" s="18"/>
      <c r="C336" s="9"/>
      <c r="D336" s="10"/>
      <c r="E336" s="10"/>
      <c r="F336" s="10"/>
      <c r="G336" s="10"/>
      <c r="H336" s="10"/>
      <c r="I336" s="12"/>
      <c r="J336" s="13"/>
    </row>
    <row r="337" spans="1:10" ht="75" customHeight="1">
      <c r="A337" s="7"/>
      <c r="B337" s="18"/>
      <c r="C337" s="9"/>
      <c r="D337" s="10"/>
      <c r="E337" s="10"/>
      <c r="F337" s="10"/>
      <c r="G337" s="10"/>
      <c r="H337" s="10"/>
      <c r="I337" s="12"/>
      <c r="J337" s="13"/>
    </row>
    <row r="338" spans="1:10" ht="75" customHeight="1">
      <c r="A338" s="7"/>
      <c r="B338" s="18"/>
      <c r="C338" s="9"/>
      <c r="D338" s="10"/>
      <c r="E338" s="10"/>
      <c r="F338" s="10"/>
      <c r="G338" s="10"/>
      <c r="H338" s="10"/>
      <c r="I338" s="12"/>
      <c r="J338" s="13"/>
    </row>
    <row r="339" spans="1:10" ht="75" customHeight="1">
      <c r="A339" s="7"/>
      <c r="B339" s="18"/>
      <c r="C339" s="9"/>
      <c r="D339" s="10"/>
      <c r="E339" s="10"/>
      <c r="F339" s="10"/>
      <c r="G339" s="10"/>
      <c r="H339" s="10"/>
      <c r="I339" s="12"/>
      <c r="J339" s="13"/>
    </row>
    <row r="340" spans="1:10" ht="75" customHeight="1">
      <c r="A340" s="7"/>
      <c r="B340" s="18"/>
      <c r="C340" s="9"/>
      <c r="D340" s="10"/>
      <c r="E340" s="10"/>
      <c r="F340" s="10"/>
      <c r="G340" s="10"/>
      <c r="H340" s="10"/>
      <c r="I340" s="12"/>
      <c r="J340" s="13"/>
    </row>
    <row r="341" spans="1:10" ht="75" customHeight="1">
      <c r="A341" s="7"/>
      <c r="B341" s="18"/>
      <c r="C341" s="9"/>
      <c r="D341" s="10"/>
      <c r="E341" s="10"/>
      <c r="F341" s="10"/>
      <c r="G341" s="10"/>
      <c r="H341" s="10"/>
      <c r="I341" s="12"/>
      <c r="J341" s="13"/>
    </row>
    <row r="342" spans="1:10" ht="75" customHeight="1">
      <c r="A342" s="7"/>
      <c r="B342" s="18"/>
      <c r="C342" s="9"/>
      <c r="D342" s="10"/>
      <c r="E342" s="10"/>
      <c r="F342" s="10"/>
      <c r="G342" s="10"/>
      <c r="H342" s="10"/>
      <c r="I342" s="12"/>
      <c r="J342" s="13"/>
    </row>
    <row r="343" spans="1:10" ht="75" customHeight="1">
      <c r="A343" s="7"/>
      <c r="B343" s="18"/>
      <c r="C343" s="9"/>
      <c r="D343" s="10"/>
      <c r="E343" s="10"/>
      <c r="F343" s="10"/>
      <c r="G343" s="10"/>
      <c r="H343" s="10"/>
      <c r="I343" s="12"/>
      <c r="J343" s="13"/>
    </row>
    <row r="344" spans="1:10" ht="75" customHeight="1">
      <c r="A344" s="7"/>
      <c r="B344" s="18"/>
      <c r="C344" s="9"/>
      <c r="D344" s="10"/>
      <c r="E344" s="10"/>
      <c r="F344" s="10"/>
      <c r="G344" s="10"/>
      <c r="H344" s="10"/>
      <c r="I344" s="12"/>
      <c r="J344" s="13"/>
    </row>
    <row r="345" spans="1:10" ht="75" customHeight="1">
      <c r="A345" s="7"/>
      <c r="B345" s="18"/>
      <c r="C345" s="9"/>
      <c r="D345" s="10"/>
      <c r="E345" s="10"/>
      <c r="F345" s="10"/>
      <c r="G345" s="10"/>
      <c r="H345" s="10"/>
      <c r="I345" s="12"/>
      <c r="J345" s="13"/>
    </row>
    <row r="346" spans="1:10" ht="75" customHeight="1">
      <c r="A346" s="7"/>
      <c r="B346" s="18"/>
      <c r="C346" s="9"/>
      <c r="D346" s="10"/>
      <c r="E346" s="10"/>
      <c r="F346" s="10"/>
      <c r="G346" s="10"/>
      <c r="H346" s="10"/>
      <c r="I346" s="12"/>
      <c r="J346" s="13"/>
    </row>
    <row r="347" spans="1:10" ht="75" customHeight="1">
      <c r="A347" s="7"/>
      <c r="B347" s="18"/>
      <c r="C347" s="9"/>
      <c r="D347" s="10"/>
      <c r="E347" s="10"/>
      <c r="F347" s="10"/>
      <c r="G347" s="10"/>
      <c r="H347" s="10"/>
      <c r="I347" s="12"/>
      <c r="J347" s="13"/>
    </row>
    <row r="348" spans="1:10" ht="75" customHeight="1">
      <c r="A348" s="7"/>
      <c r="B348" s="18"/>
      <c r="C348" s="9"/>
      <c r="D348" s="10"/>
      <c r="E348" s="10"/>
      <c r="F348" s="10"/>
      <c r="G348" s="10"/>
      <c r="H348" s="10"/>
      <c r="I348" s="12"/>
      <c r="J348" s="13"/>
    </row>
    <row r="349" spans="1:10" ht="75" customHeight="1">
      <c r="A349" s="7"/>
      <c r="B349" s="18"/>
      <c r="C349" s="9"/>
      <c r="D349" s="10"/>
      <c r="E349" s="10"/>
      <c r="F349" s="10"/>
      <c r="G349" s="10"/>
      <c r="H349" s="10"/>
      <c r="I349" s="12"/>
      <c r="J349" s="13"/>
    </row>
    <row r="350" spans="1:10" ht="75" customHeight="1">
      <c r="A350" s="7"/>
      <c r="B350" s="18"/>
      <c r="C350" s="9"/>
      <c r="D350" s="10"/>
      <c r="E350" s="10"/>
      <c r="F350" s="10"/>
      <c r="G350" s="10"/>
      <c r="H350" s="10"/>
      <c r="I350" s="12"/>
      <c r="J350" s="13"/>
    </row>
    <row r="351" spans="1:10" ht="75" customHeight="1">
      <c r="A351" s="7"/>
      <c r="B351" s="18"/>
      <c r="C351" s="9"/>
      <c r="D351" s="10"/>
      <c r="E351" s="10"/>
      <c r="F351" s="10"/>
      <c r="G351" s="10"/>
      <c r="H351" s="10"/>
      <c r="I351" s="12"/>
      <c r="J351" s="13"/>
    </row>
    <row r="352" spans="1:10" ht="75" customHeight="1">
      <c r="A352" s="7"/>
      <c r="B352" s="18"/>
      <c r="C352" s="9"/>
      <c r="D352" s="10"/>
      <c r="E352" s="10"/>
      <c r="F352" s="10"/>
      <c r="G352" s="10"/>
      <c r="H352" s="10"/>
      <c r="I352" s="12"/>
      <c r="J352" s="13"/>
    </row>
    <row r="353" spans="1:10" ht="75" customHeight="1">
      <c r="A353" s="7"/>
      <c r="B353" s="18"/>
      <c r="C353" s="9"/>
      <c r="D353" s="10"/>
      <c r="E353" s="10"/>
      <c r="F353" s="10"/>
      <c r="G353" s="10"/>
      <c r="H353" s="10"/>
      <c r="I353" s="12"/>
      <c r="J353" s="13"/>
    </row>
    <row r="354" spans="1:10" ht="75" customHeight="1">
      <c r="A354" s="7"/>
      <c r="B354" s="18"/>
      <c r="C354" s="9"/>
      <c r="D354" s="10"/>
      <c r="E354" s="10"/>
      <c r="F354" s="10"/>
      <c r="G354" s="10"/>
      <c r="H354" s="10"/>
      <c r="I354" s="12"/>
      <c r="J354" s="13"/>
    </row>
    <row r="355" spans="1:10" ht="75" customHeight="1">
      <c r="A355" s="7"/>
      <c r="B355" s="18"/>
      <c r="C355" s="9"/>
      <c r="D355" s="10"/>
      <c r="E355" s="10"/>
      <c r="F355" s="10"/>
      <c r="G355" s="10"/>
      <c r="H355" s="10"/>
      <c r="I355" s="12"/>
      <c r="J355" s="13"/>
    </row>
    <row r="356" spans="1:10" ht="75" customHeight="1">
      <c r="A356" s="7"/>
      <c r="B356" s="18"/>
      <c r="C356" s="9"/>
      <c r="D356" s="10"/>
      <c r="E356" s="10"/>
      <c r="F356" s="10"/>
      <c r="G356" s="10"/>
      <c r="H356" s="10"/>
      <c r="I356" s="12"/>
      <c r="J356" s="13"/>
    </row>
    <row r="357" spans="1:10" ht="75" customHeight="1">
      <c r="A357" s="7"/>
      <c r="B357" s="18"/>
      <c r="C357" s="9"/>
      <c r="D357" s="10"/>
      <c r="E357" s="10"/>
      <c r="F357" s="10"/>
      <c r="G357" s="10"/>
      <c r="H357" s="10"/>
      <c r="I357" s="12"/>
      <c r="J357" s="13"/>
    </row>
    <row r="358" spans="1:10" ht="75" customHeight="1">
      <c r="A358" s="7"/>
      <c r="B358" s="18"/>
      <c r="C358" s="9"/>
      <c r="D358" s="10"/>
      <c r="E358" s="10"/>
      <c r="F358" s="10"/>
      <c r="G358" s="10"/>
      <c r="H358" s="10"/>
      <c r="I358" s="12"/>
      <c r="J358" s="13"/>
    </row>
    <row r="359" spans="1:10" ht="75" customHeight="1">
      <c r="A359" s="7"/>
      <c r="B359" s="18"/>
      <c r="C359" s="9"/>
      <c r="D359" s="10"/>
      <c r="E359" s="10"/>
      <c r="F359" s="10"/>
      <c r="G359" s="10"/>
      <c r="H359" s="10"/>
      <c r="I359" s="12"/>
      <c r="J359" s="13"/>
    </row>
    <row r="360" spans="1:10" ht="75" customHeight="1">
      <c r="A360" s="7"/>
      <c r="B360" s="18"/>
      <c r="C360" s="9"/>
      <c r="D360" s="10"/>
      <c r="E360" s="10"/>
      <c r="F360" s="10"/>
      <c r="G360" s="10"/>
      <c r="H360" s="10"/>
      <c r="I360" s="12"/>
      <c r="J360" s="13"/>
    </row>
    <row r="361" spans="1:10" ht="75" customHeight="1">
      <c r="A361" s="7"/>
      <c r="B361" s="18"/>
      <c r="C361" s="9"/>
      <c r="D361" s="10"/>
      <c r="E361" s="10"/>
      <c r="F361" s="10"/>
      <c r="G361" s="10"/>
      <c r="H361" s="10"/>
      <c r="I361" s="12"/>
      <c r="J361" s="13"/>
    </row>
    <row r="362" spans="1:10" ht="75" customHeight="1">
      <c r="A362" s="7"/>
      <c r="B362" s="18"/>
      <c r="C362" s="9"/>
      <c r="D362" s="10"/>
      <c r="E362" s="10"/>
      <c r="F362" s="10"/>
      <c r="G362" s="10"/>
      <c r="H362" s="10"/>
      <c r="I362" s="12"/>
      <c r="J362" s="13"/>
    </row>
    <row r="363" spans="1:10" ht="75" customHeight="1">
      <c r="A363" s="7"/>
      <c r="B363" s="18"/>
      <c r="C363" s="9"/>
      <c r="D363" s="10"/>
      <c r="E363" s="10"/>
      <c r="F363" s="10"/>
      <c r="G363" s="10"/>
      <c r="H363" s="10"/>
      <c r="I363" s="12"/>
      <c r="J363" s="13"/>
    </row>
    <row r="364" spans="1:10" ht="75" customHeight="1">
      <c r="A364" s="7"/>
      <c r="B364" s="18"/>
      <c r="C364" s="9"/>
      <c r="D364" s="10"/>
      <c r="E364" s="10"/>
      <c r="F364" s="10"/>
      <c r="G364" s="10"/>
      <c r="H364" s="10"/>
      <c r="I364" s="12"/>
      <c r="J364" s="13"/>
    </row>
    <row r="365" spans="1:10" ht="75" customHeight="1">
      <c r="A365" s="7"/>
      <c r="B365" s="18"/>
      <c r="C365" s="9"/>
      <c r="D365" s="10"/>
      <c r="E365" s="10"/>
      <c r="F365" s="10"/>
      <c r="G365" s="10"/>
      <c r="H365" s="10"/>
      <c r="I365" s="12"/>
      <c r="J365" s="13"/>
    </row>
    <row r="366" spans="1:10" ht="75" customHeight="1">
      <c r="A366" s="7"/>
      <c r="B366" s="18"/>
      <c r="C366" s="9"/>
      <c r="D366" s="10"/>
      <c r="E366" s="10"/>
      <c r="F366" s="10"/>
      <c r="G366" s="10"/>
      <c r="H366" s="10"/>
      <c r="I366" s="12"/>
      <c r="J366" s="13"/>
    </row>
    <row r="367" spans="1:10" ht="75" customHeight="1">
      <c r="A367" s="7"/>
      <c r="B367" s="18"/>
      <c r="C367" s="9"/>
      <c r="D367" s="10"/>
      <c r="E367" s="10"/>
      <c r="F367" s="10"/>
      <c r="G367" s="10"/>
      <c r="H367" s="10"/>
      <c r="I367" s="12"/>
      <c r="J367" s="13"/>
    </row>
    <row r="368" spans="1:10" ht="75" customHeight="1">
      <c r="A368" s="7"/>
      <c r="B368" s="18"/>
      <c r="C368" s="9"/>
      <c r="D368" s="10"/>
      <c r="E368" s="10"/>
      <c r="F368" s="10"/>
      <c r="G368" s="10"/>
      <c r="H368" s="10"/>
      <c r="I368" s="12"/>
      <c r="J368" s="13"/>
    </row>
    <row r="369" spans="1:10" ht="75" customHeight="1">
      <c r="A369" s="7"/>
      <c r="B369" s="18"/>
      <c r="C369" s="9"/>
      <c r="D369" s="10"/>
      <c r="E369" s="10"/>
      <c r="F369" s="10"/>
      <c r="G369" s="10"/>
      <c r="H369" s="10"/>
      <c r="I369" s="12"/>
      <c r="J369" s="13"/>
    </row>
    <row r="370" spans="1:10" ht="75" customHeight="1">
      <c r="A370" s="7"/>
      <c r="B370" s="18"/>
      <c r="C370" s="9"/>
      <c r="D370" s="10"/>
      <c r="E370" s="10"/>
      <c r="F370" s="10"/>
      <c r="G370" s="10"/>
      <c r="H370" s="10"/>
      <c r="I370" s="12"/>
      <c r="J370" s="13"/>
    </row>
    <row r="371" spans="1:10" ht="75" customHeight="1">
      <c r="A371" s="7"/>
      <c r="B371" s="18"/>
      <c r="C371" s="9"/>
      <c r="D371" s="10"/>
      <c r="E371" s="10"/>
      <c r="F371" s="10"/>
      <c r="G371" s="10"/>
      <c r="H371" s="10"/>
      <c r="I371" s="12"/>
      <c r="J371" s="13"/>
    </row>
    <row r="372" spans="1:10" ht="75" customHeight="1">
      <c r="A372" s="7"/>
      <c r="B372" s="18"/>
      <c r="C372" s="9"/>
      <c r="D372" s="10"/>
      <c r="E372" s="10"/>
      <c r="F372" s="10"/>
      <c r="G372" s="10"/>
      <c r="H372" s="10"/>
      <c r="I372" s="12"/>
      <c r="J372" s="13"/>
    </row>
    <row r="373" spans="1:10" ht="75" customHeight="1">
      <c r="A373" s="7"/>
      <c r="B373" s="18"/>
      <c r="C373" s="9"/>
      <c r="D373" s="10"/>
      <c r="E373" s="10"/>
      <c r="F373" s="10"/>
      <c r="G373" s="10"/>
      <c r="H373" s="10"/>
      <c r="I373" s="12"/>
      <c r="J373" s="13"/>
    </row>
    <row r="374" spans="1:10" ht="75" customHeight="1">
      <c r="A374" s="7"/>
      <c r="B374" s="18"/>
      <c r="C374" s="9"/>
      <c r="D374" s="10"/>
      <c r="E374" s="10"/>
      <c r="F374" s="10"/>
      <c r="G374" s="10"/>
      <c r="H374" s="10"/>
      <c r="I374" s="12"/>
      <c r="J374" s="13"/>
    </row>
    <row r="375" spans="1:10" ht="75" customHeight="1">
      <c r="A375" s="7"/>
      <c r="B375" s="18"/>
      <c r="C375" s="9"/>
      <c r="D375" s="10"/>
      <c r="E375" s="10"/>
      <c r="F375" s="10"/>
      <c r="G375" s="10"/>
      <c r="H375" s="10"/>
      <c r="I375" s="12"/>
      <c r="J375" s="13"/>
    </row>
    <row r="376" spans="1:10" ht="75" customHeight="1">
      <c r="A376" s="7"/>
      <c r="B376" s="18"/>
      <c r="C376" s="9"/>
      <c r="D376" s="10"/>
      <c r="E376" s="10"/>
      <c r="F376" s="10"/>
      <c r="G376" s="10"/>
      <c r="H376" s="10"/>
      <c r="I376" s="12"/>
      <c r="J376" s="13"/>
    </row>
    <row r="377" spans="1:10" ht="75" customHeight="1">
      <c r="A377" s="7"/>
      <c r="B377" s="18"/>
      <c r="C377" s="9"/>
      <c r="D377" s="10"/>
      <c r="E377" s="10"/>
      <c r="F377" s="10"/>
      <c r="G377" s="10"/>
      <c r="H377" s="10"/>
      <c r="I377" s="12"/>
      <c r="J377" s="13"/>
    </row>
    <row r="378" spans="1:10" ht="75" customHeight="1">
      <c r="A378" s="7"/>
      <c r="B378" s="18"/>
      <c r="C378" s="9"/>
      <c r="D378" s="10"/>
      <c r="E378" s="10"/>
      <c r="F378" s="10"/>
      <c r="G378" s="10"/>
      <c r="H378" s="10"/>
      <c r="I378" s="12"/>
      <c r="J378" s="13"/>
    </row>
    <row r="379" spans="1:10" ht="75" customHeight="1">
      <c r="A379" s="7"/>
      <c r="B379" s="18"/>
      <c r="C379" s="9"/>
      <c r="D379" s="10"/>
      <c r="E379" s="10"/>
      <c r="F379" s="10"/>
      <c r="G379" s="10"/>
      <c r="H379" s="10"/>
      <c r="I379" s="12"/>
      <c r="J379" s="13"/>
    </row>
    <row r="380" spans="1:10" ht="75" customHeight="1">
      <c r="A380" s="7"/>
      <c r="B380" s="18"/>
      <c r="C380" s="9"/>
      <c r="D380" s="10"/>
      <c r="E380" s="10"/>
      <c r="F380" s="10"/>
      <c r="G380" s="10"/>
      <c r="H380" s="10"/>
      <c r="I380" s="12"/>
      <c r="J380" s="13"/>
    </row>
    <row r="381" spans="1:10" ht="75" customHeight="1">
      <c r="A381" s="7"/>
      <c r="B381" s="18"/>
      <c r="C381" s="9"/>
      <c r="D381" s="10"/>
      <c r="E381" s="10"/>
      <c r="F381" s="10"/>
      <c r="G381" s="10"/>
      <c r="H381" s="10"/>
      <c r="I381" s="12"/>
      <c r="J381" s="13"/>
    </row>
    <row r="382" spans="1:10" ht="75" customHeight="1">
      <c r="A382" s="7"/>
      <c r="B382" s="18"/>
      <c r="C382" s="9"/>
      <c r="D382" s="10"/>
      <c r="E382" s="10"/>
      <c r="F382" s="10"/>
      <c r="G382" s="10"/>
      <c r="H382" s="10"/>
      <c r="I382" s="12"/>
      <c r="J382" s="13"/>
    </row>
    <row r="383" spans="1:10" ht="75" customHeight="1">
      <c r="A383" s="7"/>
      <c r="B383" s="18"/>
      <c r="C383" s="9"/>
      <c r="D383" s="10"/>
      <c r="E383" s="10"/>
      <c r="F383" s="10"/>
      <c r="G383" s="10"/>
      <c r="H383" s="10"/>
      <c r="I383" s="12"/>
      <c r="J383" s="13"/>
    </row>
    <row r="384" spans="1:10" ht="75" customHeight="1">
      <c r="A384" s="7"/>
      <c r="B384" s="18"/>
      <c r="C384" s="9"/>
      <c r="D384" s="10"/>
      <c r="E384" s="10"/>
      <c r="F384" s="10"/>
      <c r="G384" s="10"/>
      <c r="H384" s="10"/>
      <c r="I384" s="12"/>
      <c r="J384" s="13"/>
    </row>
    <row r="385" spans="1:10" ht="75" customHeight="1">
      <c r="A385" s="7"/>
      <c r="B385" s="18"/>
      <c r="C385" s="9"/>
      <c r="D385" s="10"/>
      <c r="E385" s="10"/>
      <c r="F385" s="10"/>
      <c r="G385" s="10"/>
      <c r="H385" s="10"/>
      <c r="I385" s="12"/>
      <c r="J385" s="13"/>
    </row>
    <row r="386" spans="1:10" ht="75" customHeight="1">
      <c r="A386" s="7"/>
      <c r="B386" s="18"/>
      <c r="C386" s="9"/>
      <c r="D386" s="10"/>
      <c r="E386" s="10"/>
      <c r="F386" s="10"/>
      <c r="G386" s="10"/>
      <c r="H386" s="10"/>
      <c r="I386" s="12"/>
      <c r="J386" s="13"/>
    </row>
    <row r="387" spans="1:10" ht="75" customHeight="1">
      <c r="A387" s="7"/>
      <c r="B387" s="18"/>
      <c r="C387" s="9"/>
      <c r="D387" s="10"/>
      <c r="E387" s="10"/>
      <c r="F387" s="10"/>
      <c r="G387" s="10"/>
      <c r="H387" s="10"/>
      <c r="I387" s="12"/>
      <c r="J387" s="13"/>
    </row>
    <row r="388" spans="1:10" ht="75" customHeight="1">
      <c r="A388" s="7"/>
      <c r="B388" s="18"/>
      <c r="C388" s="9"/>
      <c r="D388" s="10"/>
      <c r="E388" s="10"/>
      <c r="F388" s="10"/>
      <c r="G388" s="10"/>
      <c r="H388" s="10"/>
      <c r="I388" s="12"/>
      <c r="J388" s="13"/>
    </row>
    <row r="389" spans="1:10" ht="75" customHeight="1">
      <c r="A389" s="7"/>
      <c r="B389" s="18"/>
      <c r="C389" s="9"/>
      <c r="D389" s="10"/>
      <c r="E389" s="10"/>
      <c r="F389" s="10"/>
      <c r="G389" s="10"/>
      <c r="H389" s="10"/>
      <c r="I389" s="12"/>
      <c r="J389" s="13"/>
    </row>
    <row r="390" spans="1:10" ht="75" customHeight="1">
      <c r="A390" s="7"/>
      <c r="B390" s="18"/>
      <c r="C390" s="9"/>
      <c r="D390" s="10"/>
      <c r="E390" s="10"/>
      <c r="F390" s="10"/>
      <c r="G390" s="10"/>
      <c r="H390" s="10"/>
      <c r="I390" s="12"/>
      <c r="J390" s="13"/>
    </row>
    <row r="391" spans="1:10" ht="75" customHeight="1">
      <c r="A391" s="7"/>
      <c r="B391" s="18"/>
      <c r="C391" s="9"/>
      <c r="D391" s="10"/>
      <c r="E391" s="10"/>
      <c r="F391" s="10"/>
      <c r="G391" s="10"/>
      <c r="H391" s="10"/>
      <c r="I391" s="12"/>
      <c r="J391" s="13"/>
    </row>
    <row r="392" spans="1:10" ht="75" customHeight="1">
      <c r="A392" s="7"/>
      <c r="B392" s="18"/>
      <c r="C392" s="9"/>
      <c r="D392" s="10"/>
      <c r="E392" s="10"/>
      <c r="F392" s="10"/>
      <c r="G392" s="10"/>
      <c r="H392" s="10"/>
      <c r="I392" s="12"/>
      <c r="J392" s="13"/>
    </row>
    <row r="393" spans="1:10" ht="75" customHeight="1">
      <c r="A393" s="7"/>
      <c r="B393" s="18"/>
      <c r="C393" s="9"/>
      <c r="D393" s="10"/>
      <c r="E393" s="10"/>
      <c r="F393" s="10"/>
      <c r="G393" s="10"/>
      <c r="H393" s="10"/>
      <c r="I393" s="12"/>
      <c r="J393" s="13"/>
    </row>
    <row r="394" spans="1:10" ht="75" customHeight="1">
      <c r="A394" s="7"/>
      <c r="B394" s="18"/>
      <c r="C394" s="9"/>
      <c r="D394" s="10"/>
      <c r="E394" s="10"/>
      <c r="F394" s="10"/>
      <c r="G394" s="10"/>
      <c r="H394" s="10"/>
      <c r="I394" s="12"/>
      <c r="J394" s="13"/>
    </row>
    <row r="395" spans="1:10" ht="75" customHeight="1">
      <c r="A395" s="7"/>
      <c r="B395" s="18"/>
      <c r="C395" s="9"/>
      <c r="D395" s="10"/>
      <c r="E395" s="10"/>
      <c r="F395" s="10"/>
      <c r="G395" s="10"/>
      <c r="H395" s="10"/>
      <c r="I395" s="12"/>
      <c r="J395" s="13"/>
    </row>
    <row r="396" spans="1:10" ht="75" customHeight="1">
      <c r="A396" s="7"/>
      <c r="B396" s="18"/>
      <c r="C396" s="9"/>
      <c r="D396" s="10"/>
      <c r="E396" s="10"/>
      <c r="F396" s="10"/>
      <c r="G396" s="10"/>
      <c r="H396" s="10"/>
      <c r="I396" s="12"/>
      <c r="J396" s="13"/>
    </row>
    <row r="397" spans="1:10" ht="75" customHeight="1">
      <c r="A397" s="7"/>
      <c r="B397" s="18"/>
      <c r="C397" s="9"/>
      <c r="D397" s="10"/>
      <c r="E397" s="10"/>
      <c r="F397" s="10"/>
      <c r="G397" s="10"/>
      <c r="H397" s="10"/>
      <c r="I397" s="12"/>
      <c r="J397" s="13"/>
    </row>
    <row r="398" spans="1:10" ht="75" customHeight="1">
      <c r="A398" s="7"/>
      <c r="B398" s="18"/>
      <c r="C398" s="9"/>
      <c r="D398" s="10"/>
      <c r="E398" s="10"/>
      <c r="F398" s="10"/>
      <c r="G398" s="10"/>
      <c r="H398" s="10"/>
      <c r="I398" s="12"/>
      <c r="J398" s="13"/>
    </row>
    <row r="399" spans="1:10" ht="75" customHeight="1">
      <c r="A399" s="7"/>
      <c r="B399" s="18"/>
      <c r="C399" s="9"/>
      <c r="D399" s="10"/>
      <c r="E399" s="10"/>
      <c r="F399" s="10"/>
      <c r="G399" s="10"/>
      <c r="H399" s="10"/>
      <c r="I399" s="12"/>
      <c r="J399" s="13"/>
    </row>
    <row r="400" spans="1:10" ht="75" customHeight="1">
      <c r="A400" s="7"/>
      <c r="B400" s="18"/>
      <c r="C400" s="9"/>
      <c r="D400" s="10"/>
      <c r="E400" s="10"/>
      <c r="F400" s="10"/>
      <c r="G400" s="10"/>
      <c r="H400" s="10"/>
      <c r="I400" s="12"/>
      <c r="J400" s="13"/>
    </row>
    <row r="401" spans="1:10" ht="75" customHeight="1">
      <c r="A401" s="7"/>
      <c r="B401" s="18"/>
      <c r="C401" s="9"/>
      <c r="D401" s="10"/>
      <c r="E401" s="10"/>
      <c r="F401" s="10"/>
      <c r="G401" s="10"/>
      <c r="H401" s="10"/>
      <c r="I401" s="12"/>
      <c r="J401" s="13"/>
    </row>
    <row r="402" spans="1:10" ht="75" customHeight="1">
      <c r="A402" s="7"/>
      <c r="B402" s="18"/>
      <c r="C402" s="9"/>
      <c r="D402" s="10"/>
      <c r="E402" s="10"/>
      <c r="F402" s="10"/>
      <c r="G402" s="10"/>
      <c r="H402" s="10"/>
      <c r="I402" s="12"/>
      <c r="J402" s="13"/>
    </row>
    <row r="403" spans="1:10" ht="75" customHeight="1">
      <c r="A403" s="7"/>
      <c r="B403" s="18"/>
      <c r="C403" s="9"/>
      <c r="D403" s="10"/>
      <c r="E403" s="10"/>
      <c r="F403" s="10"/>
      <c r="G403" s="10"/>
      <c r="H403" s="10"/>
      <c r="I403" s="12"/>
      <c r="J403" s="13"/>
    </row>
    <row r="404" spans="1:10" ht="75" customHeight="1">
      <c r="A404" s="7"/>
      <c r="B404" s="18"/>
      <c r="C404" s="9"/>
      <c r="D404" s="10"/>
      <c r="E404" s="10"/>
      <c r="F404" s="10"/>
      <c r="G404" s="10"/>
      <c r="H404" s="10"/>
      <c r="I404" s="12"/>
      <c r="J404" s="13"/>
    </row>
    <row r="405" spans="1:10" ht="75" customHeight="1">
      <c r="A405" s="7"/>
      <c r="B405" s="18"/>
      <c r="C405" s="9"/>
      <c r="D405" s="10"/>
      <c r="E405" s="10"/>
      <c r="F405" s="10"/>
      <c r="G405" s="10"/>
      <c r="H405" s="10"/>
      <c r="I405" s="12"/>
      <c r="J405" s="13"/>
    </row>
    <row r="406" spans="1:10" ht="75" customHeight="1">
      <c r="A406" s="7"/>
      <c r="B406" s="18"/>
      <c r="C406" s="9"/>
      <c r="D406" s="10"/>
      <c r="E406" s="10"/>
      <c r="F406" s="10"/>
      <c r="G406" s="10"/>
      <c r="H406" s="10"/>
      <c r="I406" s="12"/>
      <c r="J406" s="13"/>
    </row>
    <row r="407" spans="1:10" ht="75" customHeight="1">
      <c r="A407" s="7"/>
      <c r="B407" s="18"/>
      <c r="C407" s="9"/>
      <c r="D407" s="10"/>
      <c r="E407" s="10"/>
      <c r="F407" s="10"/>
      <c r="G407" s="10"/>
      <c r="H407" s="10"/>
      <c r="I407" s="12"/>
      <c r="J407" s="13"/>
    </row>
    <row r="408" spans="1:10" ht="75" customHeight="1">
      <c r="A408" s="7"/>
      <c r="B408" s="18"/>
      <c r="C408" s="9"/>
      <c r="D408" s="10"/>
      <c r="E408" s="10"/>
      <c r="F408" s="10"/>
      <c r="G408" s="10"/>
      <c r="H408" s="10"/>
      <c r="I408" s="12"/>
      <c r="J408" s="13"/>
    </row>
    <row r="409" spans="1:10" ht="75" customHeight="1">
      <c r="A409" s="7"/>
      <c r="B409" s="18"/>
      <c r="C409" s="9"/>
      <c r="D409" s="10"/>
      <c r="E409" s="10"/>
      <c r="F409" s="10"/>
      <c r="G409" s="10"/>
      <c r="H409" s="10"/>
      <c r="I409" s="12"/>
      <c r="J409" s="13"/>
    </row>
    <row r="410" spans="1:10" ht="75" customHeight="1">
      <c r="A410" s="7"/>
      <c r="B410" s="18"/>
      <c r="C410" s="9"/>
      <c r="D410" s="10"/>
      <c r="E410" s="10"/>
      <c r="F410" s="10"/>
      <c r="G410" s="10"/>
      <c r="H410" s="10"/>
      <c r="I410" s="12"/>
      <c r="J410" s="13"/>
    </row>
    <row r="411" spans="1:10" ht="75" customHeight="1">
      <c r="A411" s="7"/>
      <c r="B411" s="18"/>
      <c r="C411" s="9"/>
      <c r="D411" s="10"/>
      <c r="E411" s="10"/>
      <c r="F411" s="10"/>
      <c r="G411" s="10"/>
      <c r="H411" s="10"/>
      <c r="I411" s="12"/>
      <c r="J411" s="13"/>
    </row>
    <row r="412" spans="1:10" ht="75" customHeight="1">
      <c r="A412" s="7"/>
      <c r="B412" s="18"/>
      <c r="C412" s="9"/>
      <c r="D412" s="10"/>
      <c r="E412" s="10"/>
      <c r="F412" s="10"/>
      <c r="G412" s="10"/>
      <c r="H412" s="10"/>
      <c r="I412" s="12"/>
      <c r="J412" s="13"/>
    </row>
    <row r="413" spans="1:10" ht="75" customHeight="1">
      <c r="A413" s="7"/>
      <c r="B413" s="18"/>
      <c r="C413" s="9"/>
      <c r="D413" s="10"/>
      <c r="E413" s="10"/>
      <c r="F413" s="10"/>
      <c r="G413" s="10"/>
      <c r="H413" s="10"/>
      <c r="I413" s="12"/>
      <c r="J413" s="13"/>
    </row>
    <row r="414" spans="1:10" ht="75" customHeight="1">
      <c r="A414" s="7"/>
      <c r="B414" s="18"/>
      <c r="C414" s="9"/>
      <c r="D414" s="10"/>
      <c r="E414" s="10"/>
      <c r="F414" s="10"/>
      <c r="G414" s="10"/>
      <c r="H414" s="10"/>
      <c r="I414" s="12"/>
      <c r="J414" s="13"/>
    </row>
    <row r="415" spans="1:10" ht="75" customHeight="1">
      <c r="A415" s="7"/>
      <c r="B415" s="18"/>
      <c r="C415" s="9"/>
      <c r="D415" s="10"/>
      <c r="E415" s="10"/>
      <c r="F415" s="10"/>
      <c r="G415" s="10"/>
      <c r="H415" s="10"/>
      <c r="I415" s="12"/>
      <c r="J415" s="13"/>
    </row>
    <row r="416" spans="1:10" ht="75" customHeight="1">
      <c r="A416" s="7"/>
      <c r="B416" s="18"/>
      <c r="C416" s="9"/>
      <c r="D416" s="10"/>
      <c r="E416" s="10"/>
      <c r="F416" s="10"/>
      <c r="G416" s="10"/>
      <c r="H416" s="10"/>
      <c r="I416" s="12"/>
      <c r="J416" s="13"/>
    </row>
    <row r="417" spans="1:10" ht="75" customHeight="1">
      <c r="A417" s="7"/>
      <c r="B417" s="18"/>
      <c r="C417" s="9"/>
      <c r="D417" s="10"/>
      <c r="E417" s="10"/>
      <c r="F417" s="10"/>
      <c r="G417" s="10"/>
      <c r="H417" s="10"/>
      <c r="I417" s="12"/>
      <c r="J417" s="13"/>
    </row>
    <row r="418" spans="1:10" ht="75" customHeight="1">
      <c r="A418" s="7"/>
      <c r="B418" s="18"/>
      <c r="C418" s="9"/>
      <c r="D418" s="10"/>
      <c r="E418" s="10"/>
      <c r="F418" s="10"/>
      <c r="G418" s="10"/>
      <c r="H418" s="10"/>
      <c r="I418" s="12"/>
      <c r="J418" s="13"/>
    </row>
    <row r="419" spans="1:10" ht="75" customHeight="1">
      <c r="A419" s="7"/>
      <c r="B419" s="18"/>
      <c r="C419" s="9"/>
      <c r="D419" s="10"/>
      <c r="E419" s="10"/>
      <c r="F419" s="10"/>
      <c r="G419" s="10"/>
      <c r="H419" s="10"/>
      <c r="I419" s="12"/>
      <c r="J419" s="13"/>
    </row>
    <row r="420" spans="1:10" ht="75" customHeight="1">
      <c r="A420" s="7"/>
      <c r="B420" s="18"/>
      <c r="C420" s="9"/>
      <c r="D420" s="10"/>
      <c r="E420" s="10"/>
      <c r="F420" s="10"/>
      <c r="G420" s="10"/>
      <c r="H420" s="10"/>
      <c r="I420" s="12"/>
      <c r="J420" s="13"/>
    </row>
    <row r="421" spans="1:10" ht="75" customHeight="1">
      <c r="A421" s="7"/>
      <c r="B421" s="18"/>
      <c r="C421" s="9"/>
      <c r="D421" s="10"/>
      <c r="E421" s="10"/>
      <c r="F421" s="10"/>
      <c r="G421" s="10"/>
      <c r="H421" s="10"/>
      <c r="I421" s="12"/>
      <c r="J421" s="13"/>
    </row>
    <row r="422" spans="1:10" ht="75" customHeight="1">
      <c r="A422" s="7"/>
      <c r="B422" s="18"/>
      <c r="C422" s="9"/>
      <c r="D422" s="10"/>
      <c r="E422" s="10"/>
      <c r="F422" s="10"/>
      <c r="G422" s="10"/>
      <c r="H422" s="10"/>
      <c r="I422" s="12"/>
      <c r="J422" s="13"/>
    </row>
    <row r="423" spans="1:10" ht="75" customHeight="1">
      <c r="A423" s="7"/>
      <c r="B423" s="18"/>
      <c r="C423" s="9"/>
      <c r="D423" s="10"/>
      <c r="E423" s="10"/>
      <c r="F423" s="10"/>
      <c r="G423" s="10"/>
      <c r="H423" s="10"/>
      <c r="I423" s="12"/>
      <c r="J423" s="13"/>
    </row>
    <row r="424" spans="1:10" ht="75" customHeight="1">
      <c r="A424" s="7"/>
      <c r="B424" s="18"/>
      <c r="C424" s="9"/>
      <c r="D424" s="10"/>
      <c r="E424" s="10"/>
      <c r="F424" s="10"/>
      <c r="G424" s="10"/>
      <c r="H424" s="10"/>
      <c r="I424" s="12"/>
      <c r="J424" s="13"/>
    </row>
    <row r="425" spans="1:10" ht="75" customHeight="1">
      <c r="A425" s="7"/>
      <c r="B425" s="18"/>
      <c r="C425" s="9"/>
      <c r="D425" s="10"/>
      <c r="E425" s="10"/>
      <c r="F425" s="10"/>
      <c r="G425" s="10"/>
      <c r="H425" s="10"/>
      <c r="I425" s="12"/>
      <c r="J425" s="13"/>
    </row>
    <row r="426" spans="1:10" ht="75" customHeight="1">
      <c r="A426" s="7"/>
      <c r="B426" s="18"/>
      <c r="C426" s="9"/>
      <c r="D426" s="10"/>
      <c r="E426" s="10"/>
      <c r="F426" s="10"/>
      <c r="G426" s="10"/>
      <c r="H426" s="10"/>
      <c r="I426" s="12"/>
      <c r="J426" s="13"/>
    </row>
    <row r="427" spans="1:10" ht="75" customHeight="1">
      <c r="A427" s="7"/>
      <c r="B427" s="18"/>
      <c r="C427" s="9"/>
      <c r="D427" s="10"/>
      <c r="E427" s="10"/>
      <c r="F427" s="10"/>
      <c r="G427" s="10"/>
      <c r="H427" s="10"/>
      <c r="I427" s="12"/>
      <c r="J427" s="13"/>
    </row>
    <row r="428" spans="1:10" ht="75" customHeight="1">
      <c r="A428" s="7"/>
      <c r="B428" s="18"/>
      <c r="C428" s="9"/>
      <c r="D428" s="10"/>
      <c r="E428" s="10"/>
      <c r="F428" s="10"/>
      <c r="G428" s="10"/>
      <c r="H428" s="10"/>
      <c r="I428" s="12"/>
      <c r="J428" s="13"/>
    </row>
    <row r="429" spans="1:10" ht="75" customHeight="1">
      <c r="A429" s="7"/>
      <c r="B429" s="18"/>
      <c r="C429" s="9"/>
      <c r="D429" s="10"/>
      <c r="E429" s="10"/>
      <c r="F429" s="10"/>
      <c r="G429" s="10"/>
      <c r="H429" s="10"/>
      <c r="I429" s="12"/>
      <c r="J429" s="13"/>
    </row>
    <row r="430" spans="1:10" ht="75" customHeight="1">
      <c r="A430" s="7"/>
      <c r="B430" s="18"/>
      <c r="C430" s="9"/>
      <c r="D430" s="10"/>
      <c r="E430" s="10"/>
      <c r="F430" s="10"/>
      <c r="G430" s="10"/>
      <c r="H430" s="10"/>
      <c r="I430" s="12"/>
      <c r="J430" s="13"/>
    </row>
    <row r="431" spans="1:10" ht="75" customHeight="1">
      <c r="A431" s="7"/>
      <c r="B431" s="18"/>
      <c r="C431" s="9"/>
      <c r="D431" s="10"/>
      <c r="E431" s="10"/>
      <c r="F431" s="10"/>
      <c r="G431" s="10"/>
      <c r="H431" s="10"/>
      <c r="I431" s="12"/>
      <c r="J431" s="13"/>
    </row>
    <row r="432" spans="1:10" ht="75" customHeight="1">
      <c r="A432" s="7"/>
      <c r="B432" s="18"/>
      <c r="C432" s="9"/>
      <c r="D432" s="10"/>
      <c r="E432" s="10"/>
      <c r="F432" s="10"/>
      <c r="G432" s="10"/>
      <c r="H432" s="10"/>
      <c r="I432" s="12"/>
      <c r="J432" s="13"/>
    </row>
    <row r="433" spans="1:10" ht="75" customHeight="1">
      <c r="A433" s="7"/>
      <c r="B433" s="18"/>
      <c r="C433" s="9"/>
      <c r="D433" s="10"/>
      <c r="E433" s="10"/>
      <c r="F433" s="10"/>
      <c r="G433" s="10"/>
      <c r="H433" s="10"/>
      <c r="I433" s="12"/>
      <c r="J433" s="13"/>
    </row>
    <row r="434" spans="1:10" ht="75" customHeight="1">
      <c r="A434" s="7"/>
      <c r="B434" s="18"/>
      <c r="C434" s="9"/>
      <c r="D434" s="10"/>
      <c r="E434" s="10"/>
      <c r="F434" s="10"/>
      <c r="G434" s="10"/>
      <c r="H434" s="10"/>
      <c r="I434" s="12"/>
      <c r="J434" s="13"/>
    </row>
    <row r="435" spans="1:10" ht="75" customHeight="1">
      <c r="A435" s="7"/>
      <c r="B435" s="18"/>
      <c r="C435" s="9"/>
      <c r="D435" s="10"/>
      <c r="E435" s="10"/>
      <c r="F435" s="10"/>
      <c r="G435" s="10"/>
      <c r="H435" s="10"/>
      <c r="I435" s="12"/>
      <c r="J435" s="13"/>
    </row>
    <row r="436" spans="1:10" ht="75" customHeight="1">
      <c r="A436" s="7"/>
      <c r="B436" s="18"/>
      <c r="C436" s="9"/>
      <c r="D436" s="10"/>
      <c r="E436" s="10"/>
      <c r="F436" s="10"/>
      <c r="G436" s="10"/>
      <c r="H436" s="10"/>
      <c r="I436" s="12"/>
      <c r="J436" s="13"/>
    </row>
    <row r="437" spans="1:10" ht="75" customHeight="1">
      <c r="A437" s="7"/>
      <c r="B437" s="18"/>
      <c r="C437" s="9"/>
      <c r="D437" s="10"/>
      <c r="E437" s="10"/>
      <c r="F437" s="10"/>
      <c r="G437" s="10"/>
      <c r="H437" s="10"/>
      <c r="I437" s="12"/>
      <c r="J437" s="13"/>
    </row>
    <row r="438" spans="1:10" ht="75" customHeight="1">
      <c r="A438" s="7"/>
      <c r="B438" s="18"/>
      <c r="C438" s="9"/>
      <c r="D438" s="10"/>
      <c r="E438" s="10"/>
      <c r="F438" s="10"/>
      <c r="G438" s="10"/>
      <c r="H438" s="10"/>
      <c r="I438" s="12"/>
      <c r="J438" s="13"/>
    </row>
    <row r="439" spans="1:10" ht="75" customHeight="1">
      <c r="A439" s="7"/>
      <c r="B439" s="18"/>
      <c r="C439" s="9"/>
      <c r="D439" s="10"/>
      <c r="E439" s="10"/>
      <c r="F439" s="10"/>
      <c r="G439" s="10"/>
      <c r="H439" s="10"/>
      <c r="I439" s="12"/>
      <c r="J439" s="13"/>
    </row>
    <row r="440" spans="1:10" ht="75" customHeight="1">
      <c r="A440" s="7"/>
      <c r="B440" s="18"/>
      <c r="C440" s="9"/>
      <c r="D440" s="10"/>
      <c r="E440" s="10"/>
      <c r="F440" s="10"/>
      <c r="G440" s="10"/>
      <c r="H440" s="10"/>
      <c r="I440" s="12"/>
      <c r="J440" s="13"/>
    </row>
    <row r="441" spans="1:10" ht="75" customHeight="1">
      <c r="A441" s="7"/>
      <c r="B441" s="18"/>
      <c r="C441" s="9"/>
      <c r="D441" s="10"/>
      <c r="E441" s="10"/>
      <c r="F441" s="10"/>
      <c r="G441" s="10"/>
      <c r="H441" s="10"/>
      <c r="I441" s="12"/>
      <c r="J441" s="13"/>
    </row>
    <row r="442" spans="1:10" ht="75" customHeight="1">
      <c r="A442" s="7"/>
      <c r="B442" s="18"/>
      <c r="C442" s="9"/>
      <c r="D442" s="10"/>
      <c r="E442" s="10"/>
      <c r="F442" s="10"/>
      <c r="G442" s="10"/>
      <c r="H442" s="10"/>
      <c r="I442" s="12"/>
      <c r="J442" s="13"/>
    </row>
    <row r="443" spans="1:10" ht="75" customHeight="1">
      <c r="A443" s="7"/>
      <c r="B443" s="18"/>
      <c r="C443" s="9"/>
      <c r="D443" s="10"/>
      <c r="E443" s="10"/>
      <c r="F443" s="10"/>
      <c r="G443" s="10"/>
      <c r="H443" s="10"/>
      <c r="I443" s="12"/>
      <c r="J443" s="13"/>
    </row>
    <row r="444" spans="1:10" ht="75" customHeight="1">
      <c r="A444" s="7"/>
      <c r="B444" s="18"/>
      <c r="C444" s="9"/>
      <c r="D444" s="10"/>
      <c r="E444" s="10"/>
      <c r="F444" s="10"/>
      <c r="G444" s="10"/>
      <c r="H444" s="10"/>
      <c r="I444" s="12"/>
      <c r="J444" s="13"/>
    </row>
    <row r="445" spans="1:10" ht="75" customHeight="1">
      <c r="A445" s="7"/>
      <c r="B445" s="18"/>
      <c r="C445" s="9"/>
      <c r="D445" s="10"/>
      <c r="E445" s="10"/>
      <c r="F445" s="10"/>
      <c r="G445" s="10"/>
      <c r="H445" s="10"/>
      <c r="I445" s="12"/>
      <c r="J445" s="13"/>
    </row>
    <row r="446" spans="1:10" ht="75" customHeight="1">
      <c r="A446" s="7"/>
      <c r="B446" s="18"/>
      <c r="C446" s="9"/>
      <c r="D446" s="10"/>
      <c r="E446" s="10"/>
      <c r="F446" s="10"/>
      <c r="G446" s="10"/>
      <c r="H446" s="10"/>
      <c r="I446" s="12"/>
      <c r="J446" s="13"/>
    </row>
    <row r="447" spans="1:10" ht="75" customHeight="1">
      <c r="A447" s="7"/>
      <c r="B447" s="18"/>
      <c r="C447" s="9"/>
      <c r="D447" s="10"/>
      <c r="E447" s="10"/>
      <c r="F447" s="10"/>
      <c r="G447" s="10"/>
      <c r="H447" s="10"/>
      <c r="I447" s="12"/>
      <c r="J447" s="13"/>
    </row>
    <row r="448" spans="1:10" ht="75" customHeight="1">
      <c r="A448" s="7"/>
      <c r="B448" s="18"/>
      <c r="C448" s="9"/>
      <c r="D448" s="10"/>
      <c r="E448" s="10"/>
      <c r="F448" s="10"/>
      <c r="G448" s="10"/>
      <c r="H448" s="10"/>
      <c r="I448" s="12"/>
      <c r="J448" s="13"/>
    </row>
    <row r="449" spans="1:10" ht="75" customHeight="1">
      <c r="A449" s="7"/>
      <c r="B449" s="18"/>
      <c r="C449" s="9"/>
      <c r="D449" s="10"/>
      <c r="E449" s="10"/>
      <c r="F449" s="10"/>
      <c r="G449" s="10"/>
      <c r="H449" s="10"/>
      <c r="I449" s="12"/>
      <c r="J449" s="13"/>
    </row>
    <row r="450" spans="1:10" ht="75" customHeight="1">
      <c r="A450" s="7"/>
      <c r="B450" s="18"/>
      <c r="C450" s="9"/>
      <c r="D450" s="10"/>
      <c r="E450" s="10"/>
      <c r="F450" s="10"/>
      <c r="G450" s="10"/>
      <c r="H450" s="10"/>
      <c r="I450" s="12"/>
      <c r="J450" s="13"/>
    </row>
    <row r="451" spans="1:10" ht="75" customHeight="1">
      <c r="A451" s="7"/>
      <c r="B451" s="18"/>
      <c r="C451" s="9"/>
      <c r="D451" s="10"/>
      <c r="E451" s="10"/>
      <c r="F451" s="10"/>
      <c r="G451" s="10"/>
      <c r="H451" s="10"/>
      <c r="I451" s="12"/>
      <c r="J451" s="13"/>
    </row>
    <row r="452" spans="1:10" ht="75" customHeight="1">
      <c r="A452" s="7"/>
      <c r="B452" s="18"/>
      <c r="C452" s="9"/>
      <c r="D452" s="10"/>
      <c r="E452" s="10"/>
      <c r="F452" s="10"/>
      <c r="G452" s="10"/>
      <c r="H452" s="10"/>
      <c r="I452" s="12"/>
      <c r="J452" s="13"/>
    </row>
    <row r="453" spans="1:10" ht="75" customHeight="1">
      <c r="A453" s="7"/>
      <c r="B453" s="18"/>
      <c r="C453" s="9"/>
      <c r="D453" s="10"/>
      <c r="E453" s="10"/>
      <c r="F453" s="10"/>
      <c r="G453" s="10"/>
      <c r="H453" s="10"/>
      <c r="I453" s="12"/>
      <c r="J453" s="13"/>
    </row>
    <row r="454" spans="1:10" ht="75" customHeight="1">
      <c r="A454" s="7"/>
      <c r="B454" s="18"/>
      <c r="C454" s="9"/>
      <c r="D454" s="10"/>
      <c r="E454" s="10"/>
      <c r="F454" s="10"/>
      <c r="G454" s="10"/>
      <c r="H454" s="10"/>
      <c r="I454" s="12"/>
      <c r="J454" s="13"/>
    </row>
    <row r="455" spans="1:10" ht="75" customHeight="1">
      <c r="A455" s="7"/>
      <c r="B455" s="18"/>
      <c r="C455" s="9"/>
      <c r="D455" s="10"/>
      <c r="E455" s="10"/>
      <c r="F455" s="10"/>
      <c r="G455" s="10"/>
      <c r="H455" s="10"/>
      <c r="I455" s="12"/>
      <c r="J455" s="13"/>
    </row>
    <row r="456" spans="1:10" ht="75" customHeight="1">
      <c r="A456" s="7"/>
      <c r="B456" s="18"/>
      <c r="C456" s="9"/>
      <c r="D456" s="10"/>
      <c r="E456" s="10"/>
      <c r="F456" s="10"/>
      <c r="G456" s="10"/>
      <c r="H456" s="10"/>
      <c r="I456" s="12"/>
      <c r="J456" s="13"/>
    </row>
    <row r="457" spans="1:10" ht="75" customHeight="1">
      <c r="A457" s="7"/>
      <c r="B457" s="18"/>
      <c r="C457" s="9"/>
      <c r="D457" s="10"/>
      <c r="E457" s="10"/>
      <c r="F457" s="10"/>
      <c r="G457" s="10"/>
      <c r="H457" s="10"/>
      <c r="I457" s="12"/>
      <c r="J457" s="13"/>
    </row>
    <row r="458" spans="1:10" ht="75" customHeight="1">
      <c r="A458" s="7"/>
      <c r="B458" s="18"/>
      <c r="C458" s="9"/>
      <c r="D458" s="10"/>
      <c r="E458" s="10"/>
      <c r="F458" s="10"/>
      <c r="G458" s="10"/>
      <c r="H458" s="10"/>
      <c r="I458" s="12"/>
      <c r="J458" s="13"/>
    </row>
    <row r="459" spans="1:10" ht="75" customHeight="1">
      <c r="A459" s="7"/>
      <c r="B459" s="18"/>
      <c r="C459" s="9"/>
      <c r="D459" s="10"/>
      <c r="E459" s="10"/>
      <c r="F459" s="10"/>
      <c r="G459" s="10"/>
      <c r="H459" s="10"/>
      <c r="I459" s="12"/>
      <c r="J459" s="13"/>
    </row>
    <row r="460" spans="1:10" ht="75" customHeight="1">
      <c r="A460" s="7"/>
      <c r="B460" s="18"/>
      <c r="C460" s="9"/>
      <c r="D460" s="10"/>
      <c r="E460" s="10"/>
      <c r="F460" s="10"/>
      <c r="G460" s="10"/>
      <c r="H460" s="10"/>
      <c r="I460" s="12"/>
      <c r="J460" s="13"/>
    </row>
    <row r="461" spans="1:10" ht="75" customHeight="1">
      <c r="A461" s="7"/>
      <c r="B461" s="18"/>
      <c r="C461" s="9"/>
      <c r="D461" s="10"/>
      <c r="E461" s="10"/>
      <c r="F461" s="10"/>
      <c r="G461" s="10"/>
      <c r="H461" s="10"/>
      <c r="I461" s="12"/>
      <c r="J461" s="13"/>
    </row>
    <row r="462" spans="1:10" ht="75" customHeight="1">
      <c r="A462" s="7"/>
      <c r="B462" s="18"/>
      <c r="C462" s="9"/>
      <c r="D462" s="10"/>
      <c r="E462" s="10"/>
      <c r="F462" s="10"/>
      <c r="G462" s="10"/>
      <c r="H462" s="10"/>
      <c r="I462" s="12"/>
      <c r="J462" s="13"/>
    </row>
    <row r="463" spans="1:10" ht="75" customHeight="1">
      <c r="A463" s="7"/>
      <c r="B463" s="18"/>
      <c r="C463" s="9"/>
      <c r="D463" s="10"/>
      <c r="E463" s="10"/>
      <c r="F463" s="10"/>
      <c r="G463" s="10"/>
      <c r="H463" s="10"/>
      <c r="I463" s="12"/>
      <c r="J463" s="13"/>
    </row>
    <row r="464" spans="1:10" ht="75" customHeight="1">
      <c r="A464" s="7"/>
      <c r="B464" s="18"/>
      <c r="C464" s="9"/>
      <c r="D464" s="10"/>
      <c r="E464" s="10"/>
      <c r="F464" s="10"/>
      <c r="G464" s="10"/>
      <c r="H464" s="10"/>
      <c r="I464" s="12"/>
      <c r="J464" s="13"/>
    </row>
    <row r="465" spans="1:10" ht="75" customHeight="1">
      <c r="A465" s="7"/>
      <c r="B465" s="18"/>
      <c r="C465" s="9"/>
      <c r="D465" s="10"/>
      <c r="E465" s="10"/>
      <c r="F465" s="10"/>
      <c r="G465" s="10"/>
      <c r="H465" s="10"/>
      <c r="I465" s="12"/>
      <c r="J465" s="13"/>
    </row>
    <row r="466" spans="1:10" ht="75" customHeight="1">
      <c r="A466" s="7"/>
      <c r="B466" s="18"/>
      <c r="C466" s="9"/>
      <c r="D466" s="10"/>
      <c r="E466" s="10"/>
      <c r="F466" s="10"/>
      <c r="G466" s="10"/>
      <c r="H466" s="10"/>
      <c r="I466" s="12"/>
      <c r="J466" s="13"/>
    </row>
    <row r="467" spans="1:10" ht="75" customHeight="1">
      <c r="A467" s="7"/>
      <c r="B467" s="18"/>
      <c r="C467" s="9"/>
      <c r="D467" s="10"/>
      <c r="E467" s="10"/>
      <c r="F467" s="10"/>
      <c r="G467" s="10"/>
      <c r="H467" s="10"/>
      <c r="I467" s="12"/>
      <c r="J467" s="13"/>
    </row>
    <row r="468" spans="1:10" ht="75" customHeight="1">
      <c r="A468" s="7"/>
      <c r="B468" s="18"/>
      <c r="C468" s="9"/>
      <c r="D468" s="10"/>
      <c r="E468" s="10"/>
      <c r="F468" s="10"/>
      <c r="G468" s="10"/>
      <c r="H468" s="10"/>
      <c r="I468" s="12"/>
      <c r="J468" s="13"/>
    </row>
    <row r="469" spans="1:10" ht="75" customHeight="1">
      <c r="A469" s="7"/>
      <c r="B469" s="18"/>
      <c r="C469" s="9"/>
      <c r="D469" s="10"/>
      <c r="E469" s="10"/>
      <c r="F469" s="10"/>
      <c r="G469" s="10"/>
      <c r="H469" s="10"/>
      <c r="I469" s="12"/>
      <c r="J469" s="13"/>
    </row>
    <row r="470" spans="1:10" ht="75" customHeight="1">
      <c r="A470" s="7"/>
      <c r="B470" s="18"/>
      <c r="C470" s="9"/>
      <c r="D470" s="10"/>
      <c r="E470" s="10"/>
      <c r="F470" s="10"/>
      <c r="G470" s="10"/>
      <c r="H470" s="10"/>
      <c r="I470" s="12"/>
      <c r="J470" s="13"/>
    </row>
    <row r="471" spans="1:10" ht="75" customHeight="1">
      <c r="A471" s="7"/>
      <c r="B471" s="18"/>
      <c r="C471" s="9"/>
      <c r="D471" s="10"/>
      <c r="E471" s="10"/>
      <c r="F471" s="10"/>
      <c r="G471" s="10"/>
      <c r="H471" s="10"/>
      <c r="I471" s="12"/>
      <c r="J471" s="13"/>
    </row>
    <row r="472" spans="1:10" ht="75" customHeight="1">
      <c r="A472" s="7"/>
      <c r="B472" s="18"/>
      <c r="C472" s="9"/>
      <c r="D472" s="10"/>
      <c r="E472" s="10"/>
      <c r="F472" s="10"/>
      <c r="G472" s="10"/>
      <c r="H472" s="10"/>
      <c r="I472" s="12"/>
      <c r="J472" s="13"/>
    </row>
    <row r="473" spans="1:10" ht="75" customHeight="1">
      <c r="A473" s="7"/>
      <c r="B473" s="18"/>
      <c r="C473" s="9"/>
      <c r="D473" s="10"/>
      <c r="E473" s="10"/>
      <c r="F473" s="10"/>
      <c r="G473" s="10"/>
      <c r="H473" s="10"/>
      <c r="I473" s="12"/>
      <c r="J473" s="13"/>
    </row>
    <row r="474" spans="1:10" ht="75" customHeight="1">
      <c r="A474" s="7"/>
      <c r="B474" s="18"/>
      <c r="C474" s="9"/>
      <c r="D474" s="10"/>
      <c r="E474" s="10"/>
      <c r="F474" s="10"/>
      <c r="G474" s="10"/>
      <c r="H474" s="10"/>
      <c r="I474" s="12"/>
      <c r="J474" s="13"/>
    </row>
    <row r="475" spans="1:10" ht="75" customHeight="1">
      <c r="A475" s="7"/>
      <c r="B475" s="18"/>
      <c r="C475" s="9"/>
      <c r="D475" s="10"/>
      <c r="E475" s="10"/>
      <c r="F475" s="10"/>
      <c r="G475" s="10"/>
      <c r="H475" s="10"/>
      <c r="I475" s="12"/>
      <c r="J475" s="13"/>
    </row>
    <row r="476" spans="1:10" ht="75" customHeight="1">
      <c r="A476" s="7"/>
      <c r="B476" s="18"/>
      <c r="C476" s="9"/>
      <c r="D476" s="10"/>
      <c r="E476" s="10"/>
      <c r="F476" s="10"/>
      <c r="G476" s="10"/>
      <c r="H476" s="10"/>
      <c r="I476" s="12"/>
      <c r="J476" s="13"/>
    </row>
    <row r="477" spans="1:10" ht="75" customHeight="1">
      <c r="A477" s="7"/>
      <c r="B477" s="18"/>
      <c r="C477" s="9"/>
      <c r="D477" s="10"/>
      <c r="E477" s="10"/>
      <c r="F477" s="10"/>
      <c r="G477" s="10"/>
      <c r="H477" s="10"/>
      <c r="I477" s="12"/>
      <c r="J477" s="13"/>
    </row>
    <row r="478" spans="1:10" ht="75" customHeight="1">
      <c r="A478" s="7"/>
      <c r="B478" s="18"/>
      <c r="C478" s="9"/>
      <c r="D478" s="10"/>
      <c r="E478" s="10"/>
      <c r="F478" s="10"/>
      <c r="G478" s="10"/>
      <c r="H478" s="10"/>
      <c r="I478" s="12"/>
      <c r="J478" s="13"/>
    </row>
    <row r="479" spans="1:10" ht="75" customHeight="1">
      <c r="A479" s="7"/>
      <c r="B479" s="18"/>
      <c r="C479" s="9"/>
      <c r="D479" s="10"/>
      <c r="E479" s="10"/>
      <c r="F479" s="10"/>
      <c r="G479" s="10"/>
      <c r="H479" s="10"/>
      <c r="I479" s="12"/>
      <c r="J479" s="13"/>
    </row>
    <row r="480" spans="1:10" ht="75" customHeight="1">
      <c r="A480" s="7"/>
      <c r="B480" s="18"/>
      <c r="C480" s="9"/>
      <c r="D480" s="10"/>
      <c r="E480" s="10"/>
      <c r="F480" s="10"/>
      <c r="G480" s="10"/>
      <c r="H480" s="10"/>
      <c r="I480" s="12"/>
      <c r="J480" s="13"/>
    </row>
    <row r="481" spans="1:10" ht="75" customHeight="1">
      <c r="A481" s="7"/>
      <c r="B481" s="18"/>
      <c r="C481" s="9"/>
      <c r="D481" s="10"/>
      <c r="E481" s="10"/>
      <c r="F481" s="10"/>
      <c r="G481" s="10"/>
      <c r="H481" s="10"/>
      <c r="I481" s="12"/>
      <c r="J481" s="13"/>
    </row>
    <row r="482" spans="1:10" ht="75" customHeight="1">
      <c r="A482" s="7"/>
      <c r="B482" s="18"/>
      <c r="C482" s="9"/>
      <c r="D482" s="10"/>
      <c r="E482" s="10"/>
      <c r="F482" s="10"/>
      <c r="G482" s="10"/>
      <c r="H482" s="10"/>
      <c r="I482" s="12"/>
      <c r="J482" s="13"/>
    </row>
    <row r="483" spans="1:10" ht="75" customHeight="1">
      <c r="A483" s="7"/>
      <c r="B483" s="18"/>
      <c r="C483" s="9"/>
      <c r="D483" s="10"/>
      <c r="E483" s="10"/>
      <c r="F483" s="10"/>
      <c r="G483" s="10"/>
      <c r="H483" s="10"/>
      <c r="I483" s="12"/>
      <c r="J483" s="13"/>
    </row>
    <row r="484" spans="1:10" ht="75" customHeight="1">
      <c r="A484" s="7"/>
      <c r="B484" s="18"/>
      <c r="C484" s="9"/>
      <c r="D484" s="10"/>
      <c r="E484" s="10"/>
      <c r="F484" s="10"/>
      <c r="G484" s="10"/>
      <c r="H484" s="10"/>
      <c r="I484" s="12"/>
      <c r="J484" s="13"/>
    </row>
    <row r="485" spans="1:10" ht="75" customHeight="1">
      <c r="A485" s="7"/>
      <c r="B485" s="18"/>
      <c r="C485" s="9"/>
      <c r="D485" s="10"/>
      <c r="E485" s="10"/>
      <c r="F485" s="10"/>
      <c r="G485" s="10"/>
      <c r="H485" s="10"/>
      <c r="I485" s="12"/>
      <c r="J485" s="13"/>
    </row>
    <row r="486" spans="1:10" ht="75" customHeight="1">
      <c r="A486" s="7"/>
      <c r="B486" s="18"/>
      <c r="C486" s="9"/>
      <c r="D486" s="10"/>
      <c r="E486" s="10"/>
      <c r="F486" s="10"/>
      <c r="G486" s="10"/>
      <c r="H486" s="10"/>
      <c r="I486" s="12"/>
      <c r="J486" s="13"/>
    </row>
    <row r="487" spans="1:10" ht="75" customHeight="1">
      <c r="A487" s="7"/>
      <c r="B487" s="18"/>
      <c r="C487" s="9"/>
      <c r="D487" s="10"/>
      <c r="E487" s="10"/>
      <c r="F487" s="10"/>
      <c r="G487" s="10"/>
      <c r="H487" s="10"/>
      <c r="I487" s="12"/>
      <c r="J487" s="13"/>
    </row>
    <row r="488" spans="1:10" ht="75" customHeight="1">
      <c r="A488" s="7"/>
      <c r="B488" s="18"/>
      <c r="C488" s="9"/>
      <c r="D488" s="10"/>
      <c r="E488" s="10"/>
      <c r="F488" s="10"/>
      <c r="G488" s="10"/>
      <c r="H488" s="10"/>
      <c r="I488" s="12"/>
      <c r="J488" s="13"/>
    </row>
    <row r="489" spans="1:10" ht="75" customHeight="1">
      <c r="A489" s="7"/>
      <c r="B489" s="18"/>
      <c r="C489" s="9"/>
      <c r="D489" s="10"/>
      <c r="E489" s="10"/>
      <c r="F489" s="10"/>
      <c r="G489" s="10"/>
      <c r="H489" s="10"/>
      <c r="I489" s="12"/>
      <c r="J489" s="13"/>
    </row>
    <row r="490" spans="1:10" ht="75" customHeight="1">
      <c r="A490" s="7"/>
      <c r="B490" s="18"/>
      <c r="C490" s="9"/>
      <c r="D490" s="10"/>
      <c r="E490" s="10"/>
      <c r="F490" s="10"/>
      <c r="G490" s="10"/>
      <c r="H490" s="10"/>
      <c r="I490" s="12"/>
      <c r="J490" s="13"/>
    </row>
    <row r="491" spans="1:10" ht="75" customHeight="1">
      <c r="A491" s="7"/>
      <c r="B491" s="18"/>
      <c r="C491" s="9"/>
      <c r="D491" s="10"/>
      <c r="E491" s="10"/>
      <c r="F491" s="10"/>
      <c r="G491" s="10"/>
      <c r="H491" s="10"/>
      <c r="I491" s="12"/>
      <c r="J491" s="13"/>
    </row>
    <row r="492" spans="1:10" ht="75" customHeight="1">
      <c r="A492" s="7"/>
      <c r="B492" s="18"/>
      <c r="C492" s="9"/>
      <c r="D492" s="10"/>
      <c r="E492" s="10"/>
      <c r="F492" s="10"/>
      <c r="G492" s="10"/>
      <c r="H492" s="10"/>
      <c r="I492" s="12"/>
      <c r="J492" s="13"/>
    </row>
    <row r="493" spans="1:10" ht="75" customHeight="1">
      <c r="A493" s="7"/>
      <c r="B493" s="18"/>
      <c r="C493" s="9"/>
      <c r="D493" s="10"/>
      <c r="E493" s="10"/>
      <c r="F493" s="10"/>
      <c r="G493" s="10"/>
      <c r="H493" s="10"/>
      <c r="I493" s="12"/>
      <c r="J493" s="13"/>
    </row>
    <row r="494" spans="1:10" ht="75" customHeight="1">
      <c r="A494" s="7"/>
      <c r="B494" s="18"/>
      <c r="C494" s="9"/>
      <c r="D494" s="10"/>
      <c r="E494" s="10"/>
      <c r="F494" s="10"/>
      <c r="G494" s="10"/>
      <c r="H494" s="10"/>
      <c r="I494" s="12"/>
      <c r="J494" s="13"/>
    </row>
    <row r="495" spans="1:10" ht="75" customHeight="1">
      <c r="A495" s="7"/>
      <c r="B495" s="18"/>
      <c r="C495" s="9"/>
      <c r="D495" s="10"/>
      <c r="E495" s="10"/>
      <c r="F495" s="10"/>
      <c r="G495" s="10"/>
      <c r="H495" s="10"/>
      <c r="I495" s="12"/>
      <c r="J495" s="13"/>
    </row>
    <row r="496" spans="1:10" ht="75" customHeight="1">
      <c r="A496" s="7"/>
      <c r="B496" s="18"/>
      <c r="C496" s="9"/>
      <c r="D496" s="10"/>
      <c r="E496" s="10"/>
      <c r="F496" s="10"/>
      <c r="G496" s="10"/>
      <c r="H496" s="10"/>
      <c r="I496" s="12"/>
      <c r="J496" s="13"/>
    </row>
    <row r="497" spans="1:10" ht="75" customHeight="1">
      <c r="A497" s="7"/>
      <c r="B497" s="18"/>
      <c r="C497" s="9"/>
      <c r="D497" s="10"/>
      <c r="E497" s="10"/>
      <c r="F497" s="10"/>
      <c r="G497" s="10"/>
      <c r="H497" s="10"/>
      <c r="I497" s="12"/>
      <c r="J497" s="13"/>
    </row>
    <row r="498" spans="1:10" ht="75" customHeight="1">
      <c r="A498" s="7"/>
      <c r="B498" s="18"/>
      <c r="C498" s="9"/>
      <c r="D498" s="10"/>
      <c r="E498" s="10"/>
      <c r="F498" s="10"/>
      <c r="G498" s="10"/>
      <c r="H498" s="10"/>
      <c r="I498" s="12"/>
      <c r="J498" s="13"/>
    </row>
    <row r="499" spans="1:10" ht="75" customHeight="1">
      <c r="A499" s="7"/>
      <c r="B499" s="18"/>
      <c r="C499" s="9"/>
      <c r="D499" s="10"/>
      <c r="E499" s="10"/>
      <c r="F499" s="10"/>
      <c r="G499" s="10"/>
      <c r="H499" s="10"/>
      <c r="I499" s="12"/>
      <c r="J499" s="13"/>
    </row>
    <row r="500" spans="1:10" ht="75" customHeight="1">
      <c r="A500" s="7"/>
      <c r="B500" s="18"/>
      <c r="C500" s="9"/>
      <c r="D500" s="10"/>
      <c r="E500" s="10"/>
      <c r="F500" s="10"/>
      <c r="G500" s="10"/>
      <c r="H500" s="10"/>
      <c r="I500" s="12"/>
      <c r="J500" s="13"/>
    </row>
    <row r="501" spans="1:10" ht="75" customHeight="1">
      <c r="A501" s="7"/>
      <c r="B501" s="18"/>
      <c r="C501" s="9"/>
      <c r="D501" s="10"/>
      <c r="E501" s="10"/>
      <c r="F501" s="10"/>
      <c r="G501" s="10"/>
      <c r="H501" s="10"/>
      <c r="I501" s="12"/>
      <c r="J501" s="13"/>
    </row>
    <row r="502" spans="1:10" ht="75" customHeight="1">
      <c r="A502" s="7"/>
      <c r="B502" s="18"/>
      <c r="C502" s="9"/>
      <c r="D502" s="10"/>
      <c r="E502" s="10"/>
      <c r="F502" s="10"/>
      <c r="G502" s="10"/>
      <c r="H502" s="10"/>
      <c r="I502" s="12"/>
      <c r="J502" s="13"/>
    </row>
    <row r="503" spans="1:10" ht="75" customHeight="1">
      <c r="A503" s="7"/>
      <c r="B503" s="18"/>
      <c r="C503" s="9"/>
      <c r="D503" s="10"/>
      <c r="E503" s="10"/>
      <c r="F503" s="10"/>
      <c r="G503" s="10"/>
      <c r="H503" s="10"/>
      <c r="I503" s="12"/>
      <c r="J503" s="13"/>
    </row>
    <row r="504" spans="1:10" ht="75" customHeight="1">
      <c r="A504" s="7"/>
      <c r="B504" s="18"/>
      <c r="C504" s="9"/>
      <c r="D504" s="10"/>
      <c r="E504" s="10"/>
      <c r="F504" s="10"/>
      <c r="G504" s="10"/>
      <c r="H504" s="10"/>
      <c r="I504" s="12"/>
      <c r="J504" s="13"/>
    </row>
    <row r="505" spans="1:10" ht="75" customHeight="1">
      <c r="A505" s="7"/>
      <c r="B505" s="18"/>
      <c r="C505" s="9"/>
      <c r="D505" s="10"/>
      <c r="E505" s="10"/>
      <c r="F505" s="10"/>
      <c r="G505" s="10"/>
      <c r="H505" s="10"/>
      <c r="I505" s="12"/>
      <c r="J505" s="13"/>
    </row>
    <row r="506" spans="1:10" ht="75" customHeight="1">
      <c r="A506" s="7"/>
      <c r="B506" s="18"/>
      <c r="C506" s="9"/>
      <c r="D506" s="10"/>
      <c r="E506" s="10"/>
      <c r="F506" s="10"/>
      <c r="G506" s="10"/>
      <c r="H506" s="10"/>
      <c r="I506" s="12"/>
      <c r="J506" s="13"/>
    </row>
    <row r="507" spans="1:10" ht="75" customHeight="1">
      <c r="A507" s="7"/>
      <c r="B507" s="18"/>
      <c r="C507" s="9"/>
      <c r="D507" s="10"/>
      <c r="E507" s="10"/>
      <c r="F507" s="10"/>
      <c r="G507" s="10"/>
      <c r="H507" s="10"/>
      <c r="I507" s="12"/>
      <c r="J507" s="13"/>
    </row>
    <row r="508" spans="1:10" ht="75" customHeight="1">
      <c r="A508" s="7"/>
      <c r="B508" s="18"/>
      <c r="C508" s="9"/>
      <c r="D508" s="10"/>
      <c r="E508" s="10"/>
      <c r="F508" s="10"/>
      <c r="G508" s="10"/>
      <c r="H508" s="10"/>
      <c r="I508" s="12"/>
      <c r="J508" s="13"/>
    </row>
    <row r="509" spans="1:10" ht="75" customHeight="1">
      <c r="A509" s="7"/>
      <c r="B509" s="18"/>
      <c r="C509" s="9"/>
      <c r="D509" s="10"/>
      <c r="E509" s="10"/>
      <c r="F509" s="10"/>
      <c r="G509" s="10"/>
      <c r="H509" s="10"/>
      <c r="I509" s="12"/>
      <c r="J509" s="13"/>
    </row>
    <row r="510" spans="1:10" ht="75" customHeight="1">
      <c r="A510" s="7"/>
      <c r="B510" s="18"/>
      <c r="C510" s="9"/>
      <c r="D510" s="10"/>
      <c r="E510" s="10"/>
      <c r="F510" s="10"/>
      <c r="G510" s="10"/>
      <c r="H510" s="10"/>
      <c r="I510" s="12"/>
      <c r="J510" s="13"/>
    </row>
    <row r="511" spans="1:10" ht="75" customHeight="1">
      <c r="A511" s="7"/>
      <c r="B511" s="18"/>
      <c r="C511" s="9"/>
      <c r="D511" s="10"/>
      <c r="E511" s="10"/>
      <c r="F511" s="10"/>
      <c r="G511" s="10"/>
      <c r="H511" s="10"/>
      <c r="I511" s="12"/>
      <c r="J511" s="13"/>
    </row>
    <row r="512" spans="1:10" ht="75" customHeight="1">
      <c r="A512" s="7"/>
      <c r="B512" s="18"/>
      <c r="C512" s="9"/>
      <c r="D512" s="10"/>
      <c r="E512" s="10"/>
      <c r="F512" s="10"/>
      <c r="G512" s="10"/>
      <c r="H512" s="10"/>
      <c r="I512" s="12"/>
      <c r="J512" s="13"/>
    </row>
    <row r="513" spans="1:10" ht="75" customHeight="1">
      <c r="A513" s="7"/>
      <c r="B513" s="18"/>
      <c r="C513" s="9"/>
      <c r="D513" s="10"/>
      <c r="E513" s="10"/>
      <c r="F513" s="10"/>
      <c r="G513" s="10"/>
      <c r="H513" s="10"/>
      <c r="I513" s="12"/>
      <c r="J513" s="13"/>
    </row>
    <row r="514" spans="1:10" ht="75" customHeight="1">
      <c r="A514" s="7"/>
      <c r="B514" s="18"/>
      <c r="C514" s="9"/>
      <c r="D514" s="10"/>
      <c r="E514" s="10"/>
      <c r="F514" s="10"/>
      <c r="G514" s="10"/>
      <c r="H514" s="10"/>
      <c r="I514" s="12"/>
      <c r="J514" s="13"/>
    </row>
    <row r="515" spans="1:10" ht="75" customHeight="1">
      <c r="A515" s="7"/>
      <c r="B515" s="18"/>
      <c r="C515" s="9"/>
      <c r="D515" s="10"/>
      <c r="E515" s="10"/>
      <c r="F515" s="10"/>
      <c r="G515" s="10"/>
      <c r="H515" s="10"/>
      <c r="I515" s="12"/>
      <c r="J515" s="13"/>
    </row>
    <row r="516" spans="1:10" ht="75" customHeight="1">
      <c r="A516" s="7"/>
      <c r="B516" s="18"/>
      <c r="C516" s="9"/>
      <c r="D516" s="10"/>
      <c r="E516" s="10"/>
      <c r="F516" s="10"/>
      <c r="G516" s="10"/>
      <c r="H516" s="10"/>
      <c r="I516" s="12"/>
      <c r="J516" s="13"/>
    </row>
    <row r="517" spans="1:10" ht="75" customHeight="1">
      <c r="A517" s="7"/>
      <c r="B517" s="18"/>
      <c r="C517" s="9"/>
      <c r="D517" s="10"/>
      <c r="E517" s="10"/>
      <c r="F517" s="10"/>
      <c r="G517" s="10"/>
      <c r="H517" s="10"/>
      <c r="I517" s="12"/>
      <c r="J517" s="13"/>
    </row>
    <row r="518" spans="1:10" ht="75" customHeight="1">
      <c r="A518" s="7"/>
      <c r="B518" s="18"/>
      <c r="C518" s="9"/>
      <c r="D518" s="10"/>
      <c r="E518" s="10"/>
      <c r="F518" s="10"/>
      <c r="G518" s="10"/>
      <c r="H518" s="10"/>
      <c r="I518" s="12"/>
      <c r="J518" s="13"/>
    </row>
    <row r="519" spans="1:10" ht="75" customHeight="1">
      <c r="A519" s="7"/>
      <c r="B519" s="18"/>
      <c r="C519" s="9"/>
      <c r="D519" s="10"/>
      <c r="E519" s="10"/>
      <c r="F519" s="10"/>
      <c r="G519" s="10"/>
      <c r="H519" s="10"/>
      <c r="I519" s="12"/>
      <c r="J519" s="13"/>
    </row>
    <row r="520" spans="1:10" ht="75" customHeight="1">
      <c r="A520" s="7"/>
      <c r="B520" s="18"/>
      <c r="C520" s="9"/>
      <c r="D520" s="10"/>
      <c r="E520" s="10"/>
      <c r="F520" s="10"/>
      <c r="G520" s="10"/>
      <c r="H520" s="10"/>
      <c r="I520" s="12"/>
      <c r="J520" s="13"/>
    </row>
    <row r="521" spans="1:10" ht="75" customHeight="1">
      <c r="A521" s="7"/>
      <c r="B521" s="18"/>
      <c r="C521" s="9"/>
      <c r="D521" s="10"/>
      <c r="E521" s="10"/>
      <c r="F521" s="10"/>
      <c r="G521" s="10"/>
      <c r="H521" s="10"/>
      <c r="I521" s="12"/>
      <c r="J521" s="13"/>
    </row>
    <row r="522" spans="1:10" ht="75" customHeight="1">
      <c r="A522" s="7"/>
      <c r="B522" s="18"/>
      <c r="C522" s="9"/>
      <c r="D522" s="10"/>
      <c r="E522" s="10"/>
      <c r="F522" s="10"/>
      <c r="G522" s="10"/>
      <c r="H522" s="10"/>
      <c r="I522" s="12"/>
      <c r="J522" s="13"/>
    </row>
    <row r="523" spans="1:10" ht="75" customHeight="1">
      <c r="A523" s="7"/>
      <c r="B523" s="18"/>
      <c r="C523" s="9"/>
      <c r="D523" s="10"/>
      <c r="E523" s="10"/>
      <c r="F523" s="10"/>
      <c r="G523" s="10"/>
      <c r="H523" s="10"/>
      <c r="I523" s="12"/>
      <c r="J523" s="13"/>
    </row>
    <row r="524" spans="1:10" ht="75" customHeight="1">
      <c r="A524" s="7"/>
      <c r="B524" s="18"/>
      <c r="C524" s="9"/>
      <c r="D524" s="10"/>
      <c r="E524" s="10"/>
      <c r="F524" s="10"/>
      <c r="G524" s="10"/>
      <c r="H524" s="10"/>
      <c r="I524" s="12"/>
      <c r="J524" s="13"/>
    </row>
    <row r="525" spans="1:10" ht="75" customHeight="1">
      <c r="A525" s="7"/>
      <c r="B525" s="18"/>
      <c r="C525" s="9"/>
      <c r="D525" s="10"/>
      <c r="E525" s="10"/>
      <c r="F525" s="10"/>
      <c r="G525" s="10"/>
      <c r="H525" s="10"/>
      <c r="I525" s="12"/>
      <c r="J525" s="13"/>
    </row>
    <row r="526" spans="1:10" ht="75" customHeight="1">
      <c r="A526" s="7"/>
      <c r="B526" s="18"/>
      <c r="C526" s="9"/>
      <c r="D526" s="10"/>
      <c r="E526" s="10"/>
      <c r="F526" s="10"/>
      <c r="G526" s="10"/>
      <c r="H526" s="10"/>
      <c r="I526" s="12"/>
      <c r="J526" s="13"/>
    </row>
    <row r="527" spans="1:10" ht="75" customHeight="1">
      <c r="A527" s="7"/>
      <c r="B527" s="18"/>
      <c r="C527" s="9"/>
      <c r="D527" s="10"/>
      <c r="E527" s="10"/>
      <c r="F527" s="10"/>
      <c r="G527" s="10"/>
      <c r="H527" s="10"/>
      <c r="I527" s="12"/>
      <c r="J527" s="13"/>
    </row>
    <row r="528" spans="1:10" ht="75" customHeight="1">
      <c r="A528" s="7"/>
      <c r="B528" s="18"/>
      <c r="C528" s="9"/>
      <c r="D528" s="10"/>
      <c r="E528" s="10"/>
      <c r="F528" s="10"/>
      <c r="G528" s="10"/>
      <c r="H528" s="10"/>
      <c r="I528" s="12"/>
      <c r="J528" s="13"/>
    </row>
    <row r="529" spans="1:10" ht="75" customHeight="1">
      <c r="A529" s="7"/>
      <c r="B529" s="18"/>
      <c r="C529" s="9"/>
      <c r="D529" s="10"/>
      <c r="E529" s="10"/>
      <c r="F529" s="10"/>
      <c r="G529" s="10"/>
      <c r="H529" s="10"/>
      <c r="I529" s="12"/>
      <c r="J529" s="13"/>
    </row>
    <row r="530" spans="1:10" ht="75" customHeight="1">
      <c r="A530" s="7"/>
      <c r="B530" s="18"/>
      <c r="C530" s="9"/>
      <c r="D530" s="10"/>
      <c r="E530" s="10"/>
      <c r="F530" s="10"/>
      <c r="G530" s="10"/>
      <c r="H530" s="10"/>
      <c r="I530" s="12"/>
      <c r="J530" s="13"/>
    </row>
    <row r="531" spans="1:10" ht="75" customHeight="1">
      <c r="A531" s="7"/>
      <c r="B531" s="18"/>
      <c r="C531" s="9"/>
      <c r="D531" s="10"/>
      <c r="E531" s="10"/>
      <c r="F531" s="10"/>
      <c r="G531" s="10"/>
      <c r="H531" s="10"/>
      <c r="I531" s="12"/>
      <c r="J531" s="13"/>
    </row>
    <row r="532" spans="1:10" ht="75" customHeight="1">
      <c r="A532" s="7"/>
      <c r="B532" s="18"/>
      <c r="C532" s="9"/>
      <c r="D532" s="10"/>
      <c r="E532" s="10"/>
      <c r="F532" s="10"/>
      <c r="G532" s="10"/>
      <c r="H532" s="10"/>
      <c r="I532" s="12"/>
      <c r="J532" s="13"/>
    </row>
    <row r="533" spans="1:10" ht="75" customHeight="1">
      <c r="A533" s="7"/>
      <c r="B533" s="18"/>
      <c r="C533" s="9"/>
      <c r="D533" s="10"/>
      <c r="E533" s="10"/>
      <c r="F533" s="10"/>
      <c r="G533" s="10"/>
      <c r="H533" s="10"/>
      <c r="I533" s="12"/>
      <c r="J533" s="13"/>
    </row>
    <row r="534" spans="1:10" ht="75" customHeight="1">
      <c r="A534" s="7"/>
      <c r="B534" s="18"/>
      <c r="C534" s="9"/>
      <c r="D534" s="10"/>
      <c r="E534" s="10"/>
      <c r="F534" s="10"/>
      <c r="G534" s="10"/>
      <c r="H534" s="10"/>
      <c r="I534" s="12"/>
      <c r="J534" s="13"/>
    </row>
    <row r="535" spans="1:10" ht="75" customHeight="1">
      <c r="A535" s="7"/>
      <c r="B535" s="18"/>
      <c r="C535" s="9"/>
      <c r="D535" s="10"/>
      <c r="E535" s="10"/>
      <c r="F535" s="10"/>
      <c r="G535" s="10"/>
      <c r="H535" s="10"/>
      <c r="I535" s="12"/>
      <c r="J535" s="13"/>
    </row>
    <row r="536" spans="1:10" ht="75" customHeight="1">
      <c r="A536" s="7"/>
      <c r="B536" s="18"/>
      <c r="C536" s="9"/>
      <c r="D536" s="10"/>
      <c r="E536" s="10"/>
      <c r="F536" s="10"/>
      <c r="G536" s="10"/>
      <c r="H536" s="10"/>
      <c r="I536" s="12"/>
      <c r="J536" s="13"/>
    </row>
    <row r="537" spans="1:10" ht="75" customHeight="1">
      <c r="A537" s="7"/>
      <c r="B537" s="18"/>
      <c r="C537" s="9"/>
      <c r="D537" s="10"/>
      <c r="E537" s="10"/>
      <c r="F537" s="10"/>
      <c r="G537" s="10"/>
      <c r="H537" s="10"/>
      <c r="I537" s="12"/>
      <c r="J537" s="13"/>
    </row>
    <row r="538" spans="1:10" ht="75" customHeight="1">
      <c r="A538" s="7"/>
      <c r="B538" s="18"/>
      <c r="C538" s="9"/>
      <c r="D538" s="10"/>
      <c r="E538" s="10"/>
      <c r="F538" s="10"/>
      <c r="G538" s="10"/>
      <c r="H538" s="10"/>
      <c r="I538" s="12"/>
      <c r="J538" s="13"/>
    </row>
    <row r="539" spans="1:10" ht="75" customHeight="1">
      <c r="A539" s="7"/>
      <c r="B539" s="18"/>
      <c r="C539" s="9"/>
      <c r="D539" s="10"/>
      <c r="E539" s="10"/>
      <c r="F539" s="10"/>
      <c r="G539" s="10"/>
      <c r="H539" s="10"/>
      <c r="I539" s="12"/>
      <c r="J539" s="13"/>
    </row>
    <row r="540" spans="1:10" ht="75" customHeight="1">
      <c r="A540" s="7"/>
      <c r="B540" s="18"/>
      <c r="C540" s="9"/>
      <c r="D540" s="10"/>
      <c r="E540" s="10"/>
      <c r="F540" s="10"/>
      <c r="G540" s="10"/>
      <c r="H540" s="10"/>
      <c r="I540" s="12"/>
      <c r="J540" s="13"/>
    </row>
    <row r="541" spans="1:10" ht="75" customHeight="1">
      <c r="A541" s="7"/>
      <c r="B541" s="18"/>
      <c r="C541" s="9"/>
      <c r="D541" s="10"/>
      <c r="E541" s="10"/>
      <c r="F541" s="10"/>
      <c r="G541" s="10"/>
      <c r="H541" s="10"/>
      <c r="I541" s="12"/>
      <c r="J541" s="13"/>
    </row>
    <row r="542" spans="1:10" ht="75" customHeight="1">
      <c r="A542" s="7"/>
      <c r="B542" s="18"/>
      <c r="C542" s="9"/>
      <c r="D542" s="10"/>
      <c r="E542" s="10"/>
      <c r="F542" s="10"/>
      <c r="G542" s="10"/>
      <c r="H542" s="10"/>
      <c r="I542" s="12"/>
      <c r="J542" s="13"/>
    </row>
    <row r="543" spans="1:10" ht="75" customHeight="1">
      <c r="A543" s="7"/>
      <c r="B543" s="18"/>
      <c r="C543" s="9"/>
      <c r="D543" s="10"/>
      <c r="E543" s="10"/>
      <c r="F543" s="10"/>
      <c r="G543" s="10"/>
      <c r="H543" s="10"/>
      <c r="I543" s="12"/>
      <c r="J543" s="13"/>
    </row>
    <row r="544" spans="1:10" ht="75" customHeight="1">
      <c r="A544" s="7"/>
      <c r="B544" s="18"/>
      <c r="C544" s="9"/>
      <c r="D544" s="10"/>
      <c r="E544" s="10"/>
      <c r="F544" s="10"/>
      <c r="G544" s="10"/>
      <c r="H544" s="10"/>
      <c r="I544" s="12"/>
      <c r="J544" s="13"/>
    </row>
    <row r="545" spans="1:10" ht="75" customHeight="1">
      <c r="A545" s="7"/>
      <c r="B545" s="18"/>
      <c r="C545" s="9"/>
      <c r="D545" s="10"/>
      <c r="E545" s="10"/>
      <c r="F545" s="10"/>
      <c r="G545" s="10"/>
      <c r="H545" s="10"/>
      <c r="I545" s="12"/>
      <c r="J545" s="13"/>
    </row>
    <row r="546" spans="1:10" ht="75" customHeight="1">
      <c r="A546" s="7"/>
      <c r="B546" s="18"/>
      <c r="C546" s="9"/>
      <c r="D546" s="10"/>
      <c r="E546" s="10"/>
      <c r="F546" s="10"/>
      <c r="G546" s="10"/>
      <c r="H546" s="10"/>
      <c r="I546" s="12"/>
      <c r="J546" s="13"/>
    </row>
    <row r="547" spans="1:10" ht="75" customHeight="1">
      <c r="A547" s="7"/>
      <c r="B547" s="18"/>
      <c r="C547" s="9"/>
      <c r="D547" s="10"/>
      <c r="E547" s="10"/>
      <c r="F547" s="10"/>
      <c r="G547" s="10"/>
      <c r="H547" s="10"/>
      <c r="I547" s="12"/>
      <c r="J547" s="13"/>
    </row>
    <row r="548" spans="1:10" ht="75" customHeight="1">
      <c r="A548" s="7"/>
      <c r="B548" s="18"/>
      <c r="C548" s="9"/>
      <c r="D548" s="10"/>
      <c r="E548" s="10"/>
      <c r="F548" s="10"/>
      <c r="G548" s="10"/>
      <c r="H548" s="10"/>
      <c r="I548" s="12"/>
      <c r="J548" s="13"/>
    </row>
    <row r="549" spans="1:10" ht="75" customHeight="1">
      <c r="A549" s="7"/>
      <c r="B549" s="18"/>
      <c r="C549" s="9"/>
      <c r="D549" s="10"/>
      <c r="E549" s="10"/>
      <c r="F549" s="10"/>
      <c r="G549" s="10"/>
      <c r="H549" s="10"/>
      <c r="I549" s="12"/>
      <c r="J549" s="13"/>
    </row>
    <row r="550" spans="1:10" ht="75" customHeight="1">
      <c r="A550" s="7"/>
      <c r="B550" s="18"/>
      <c r="C550" s="9"/>
      <c r="D550" s="10"/>
      <c r="E550" s="10"/>
      <c r="F550" s="10"/>
      <c r="G550" s="10"/>
      <c r="H550" s="10"/>
      <c r="I550" s="12"/>
      <c r="J550" s="13"/>
    </row>
    <row r="551" spans="1:10" ht="75" customHeight="1">
      <c r="A551" s="7"/>
      <c r="B551" s="18"/>
      <c r="C551" s="9"/>
      <c r="D551" s="10"/>
      <c r="E551" s="10"/>
      <c r="F551" s="10"/>
      <c r="G551" s="10"/>
      <c r="H551" s="10"/>
      <c r="I551" s="12"/>
      <c r="J551" s="13"/>
    </row>
    <row r="552" spans="1:10" ht="75" customHeight="1">
      <c r="A552" s="7"/>
      <c r="B552" s="18"/>
      <c r="C552" s="9"/>
      <c r="D552" s="10"/>
      <c r="E552" s="10"/>
      <c r="F552" s="10"/>
      <c r="G552" s="10"/>
      <c r="H552" s="10"/>
      <c r="I552" s="12"/>
      <c r="J552" s="13"/>
    </row>
    <row r="553" spans="1:10" ht="75" customHeight="1">
      <c r="A553" s="7"/>
      <c r="B553" s="18"/>
      <c r="C553" s="9"/>
      <c r="D553" s="10"/>
      <c r="E553" s="10"/>
      <c r="F553" s="10"/>
      <c r="G553" s="10"/>
      <c r="H553" s="10"/>
      <c r="I553" s="12"/>
      <c r="J553" s="13"/>
    </row>
    <row r="554" spans="1:10" ht="75" customHeight="1">
      <c r="A554" s="7"/>
      <c r="B554" s="18"/>
      <c r="C554" s="9"/>
      <c r="D554" s="10"/>
      <c r="E554" s="10"/>
      <c r="F554" s="10"/>
      <c r="G554" s="10"/>
      <c r="H554" s="10"/>
      <c r="I554" s="12"/>
      <c r="J554" s="13"/>
    </row>
    <row r="555" spans="1:10" ht="75" customHeight="1">
      <c r="A555" s="7"/>
      <c r="B555" s="18"/>
      <c r="C555" s="9"/>
      <c r="D555" s="10"/>
      <c r="E555" s="10"/>
      <c r="F555" s="10"/>
      <c r="G555" s="10"/>
      <c r="H555" s="10"/>
      <c r="I555" s="12"/>
      <c r="J555" s="13"/>
    </row>
    <row r="556" spans="1:10" ht="75" customHeight="1">
      <c r="A556" s="7"/>
      <c r="B556" s="18"/>
      <c r="C556" s="9"/>
      <c r="D556" s="10"/>
      <c r="E556" s="10"/>
      <c r="F556" s="10"/>
      <c r="G556" s="10"/>
      <c r="H556" s="10"/>
      <c r="I556" s="12"/>
      <c r="J556" s="13"/>
    </row>
    <row r="557" spans="1:10" ht="75" customHeight="1">
      <c r="A557" s="7"/>
      <c r="B557" s="18"/>
      <c r="C557" s="9"/>
      <c r="D557" s="10"/>
      <c r="E557" s="10"/>
      <c r="F557" s="10"/>
      <c r="G557" s="10"/>
      <c r="H557" s="10"/>
      <c r="I557" s="12"/>
      <c r="J557" s="13"/>
    </row>
    <row r="558" spans="1:10" ht="75" customHeight="1">
      <c r="A558" s="7"/>
      <c r="B558" s="18"/>
      <c r="C558" s="9"/>
      <c r="D558" s="10"/>
      <c r="E558" s="10"/>
      <c r="F558" s="10"/>
      <c r="G558" s="10"/>
      <c r="H558" s="10"/>
      <c r="I558" s="12"/>
      <c r="J558" s="13"/>
    </row>
    <row r="559" spans="1:10" ht="75" customHeight="1">
      <c r="A559" s="7"/>
      <c r="B559" s="18"/>
      <c r="C559" s="9"/>
      <c r="D559" s="10"/>
      <c r="E559" s="10"/>
      <c r="F559" s="10"/>
      <c r="G559" s="10"/>
      <c r="H559" s="10"/>
      <c r="I559" s="12"/>
      <c r="J559" s="13"/>
    </row>
    <row r="560" spans="1:10" ht="75" customHeight="1">
      <c r="A560" s="7"/>
      <c r="B560" s="18"/>
      <c r="C560" s="9"/>
      <c r="D560" s="10"/>
      <c r="E560" s="10"/>
      <c r="F560" s="10"/>
      <c r="G560" s="10"/>
      <c r="H560" s="10"/>
      <c r="I560" s="12"/>
      <c r="J560" s="13"/>
    </row>
    <row r="561" spans="1:10" ht="75" customHeight="1">
      <c r="A561" s="7"/>
      <c r="B561" s="18"/>
      <c r="C561" s="9"/>
      <c r="D561" s="10"/>
      <c r="E561" s="10"/>
      <c r="F561" s="10"/>
      <c r="G561" s="10"/>
      <c r="H561" s="10"/>
      <c r="I561" s="12"/>
      <c r="J561" s="13"/>
    </row>
    <row r="562" spans="1:10" ht="75" customHeight="1">
      <c r="A562" s="7"/>
      <c r="B562" s="18"/>
      <c r="C562" s="9"/>
      <c r="D562" s="10"/>
      <c r="E562" s="10"/>
      <c r="F562" s="10"/>
      <c r="G562" s="10"/>
      <c r="H562" s="10"/>
      <c r="I562" s="12"/>
      <c r="J562" s="13"/>
    </row>
    <row r="563" spans="1:10" ht="75" customHeight="1">
      <c r="A563" s="7"/>
      <c r="B563" s="18"/>
      <c r="C563" s="9"/>
      <c r="D563" s="10"/>
      <c r="E563" s="10"/>
      <c r="F563" s="10"/>
      <c r="G563" s="10"/>
      <c r="H563" s="10"/>
      <c r="I563" s="12"/>
      <c r="J563" s="13"/>
    </row>
    <row r="564" spans="1:10" ht="75" customHeight="1">
      <c r="A564" s="7"/>
      <c r="B564" s="18"/>
      <c r="C564" s="9"/>
      <c r="D564" s="10"/>
      <c r="E564" s="10"/>
      <c r="F564" s="10"/>
      <c r="G564" s="10"/>
      <c r="H564" s="10"/>
      <c r="I564" s="12"/>
      <c r="J564" s="13"/>
    </row>
    <row r="565" spans="1:10" ht="75" customHeight="1">
      <c r="A565" s="7"/>
      <c r="B565" s="18"/>
      <c r="C565" s="9"/>
      <c r="D565" s="10"/>
      <c r="E565" s="10"/>
      <c r="F565" s="10"/>
      <c r="G565" s="10"/>
      <c r="H565" s="10"/>
      <c r="I565" s="12"/>
      <c r="J565" s="13"/>
    </row>
    <row r="566" spans="1:10" ht="75" customHeight="1">
      <c r="A566" s="7"/>
      <c r="B566" s="18"/>
      <c r="C566" s="9"/>
      <c r="D566" s="10"/>
      <c r="E566" s="10"/>
      <c r="F566" s="10"/>
      <c r="G566" s="10"/>
      <c r="H566" s="10"/>
      <c r="I566" s="12"/>
      <c r="J566" s="13"/>
    </row>
    <row r="567" spans="1:10" ht="75" customHeight="1">
      <c r="A567" s="7"/>
      <c r="B567" s="18"/>
      <c r="C567" s="9"/>
      <c r="D567" s="10"/>
      <c r="E567" s="10"/>
      <c r="F567" s="10"/>
      <c r="G567" s="10"/>
      <c r="H567" s="10"/>
      <c r="I567" s="12"/>
      <c r="J567" s="13"/>
    </row>
    <row r="568" spans="1:10" ht="75" customHeight="1">
      <c r="A568" s="7"/>
      <c r="B568" s="18"/>
      <c r="C568" s="9"/>
      <c r="D568" s="10"/>
      <c r="E568" s="10"/>
      <c r="F568" s="10"/>
      <c r="G568" s="10"/>
      <c r="H568" s="10"/>
      <c r="I568" s="12"/>
      <c r="J568" s="13"/>
    </row>
    <row r="569" spans="1:10" ht="75" customHeight="1">
      <c r="A569" s="7"/>
      <c r="B569" s="18"/>
      <c r="C569" s="9"/>
      <c r="D569" s="10"/>
      <c r="E569" s="10"/>
      <c r="F569" s="10"/>
      <c r="G569" s="10"/>
      <c r="H569" s="10"/>
      <c r="I569" s="12"/>
      <c r="J569" s="13"/>
    </row>
    <row r="570" spans="1:10" ht="75" customHeight="1">
      <c r="A570" s="7"/>
      <c r="B570" s="18"/>
      <c r="C570" s="9"/>
      <c r="D570" s="10"/>
      <c r="E570" s="10"/>
      <c r="F570" s="10"/>
      <c r="G570" s="10"/>
      <c r="H570" s="10"/>
      <c r="I570" s="12"/>
      <c r="J570" s="13"/>
    </row>
    <row r="571" spans="1:10" ht="75" customHeight="1">
      <c r="A571" s="7"/>
      <c r="B571" s="18"/>
      <c r="C571" s="9"/>
      <c r="D571" s="10"/>
      <c r="E571" s="10"/>
      <c r="F571" s="10"/>
      <c r="G571" s="10"/>
      <c r="H571" s="10"/>
      <c r="I571" s="12"/>
      <c r="J571" s="13"/>
    </row>
    <row r="572" spans="1:10" ht="75" customHeight="1">
      <c r="A572" s="7"/>
      <c r="B572" s="18"/>
      <c r="C572" s="9"/>
      <c r="D572" s="10"/>
      <c r="E572" s="10"/>
      <c r="F572" s="10"/>
      <c r="G572" s="10"/>
      <c r="H572" s="10"/>
      <c r="I572" s="12"/>
      <c r="J572" s="13"/>
    </row>
    <row r="573" spans="1:10" ht="75" customHeight="1">
      <c r="A573" s="7"/>
      <c r="B573" s="18"/>
      <c r="C573" s="9"/>
      <c r="D573" s="10"/>
      <c r="E573" s="10"/>
      <c r="F573" s="10"/>
      <c r="G573" s="10"/>
      <c r="H573" s="10"/>
      <c r="I573" s="12"/>
      <c r="J573" s="13"/>
    </row>
    <row r="574" spans="1:10" ht="75" customHeight="1">
      <c r="A574" s="7"/>
      <c r="B574" s="18"/>
      <c r="C574" s="9"/>
      <c r="D574" s="10"/>
      <c r="E574" s="10"/>
      <c r="F574" s="10"/>
      <c r="G574" s="10"/>
      <c r="H574" s="10"/>
      <c r="I574" s="12"/>
      <c r="J574" s="13"/>
    </row>
    <row r="575" spans="1:10" ht="75" customHeight="1">
      <c r="A575" s="7"/>
      <c r="B575" s="18"/>
      <c r="C575" s="9"/>
      <c r="D575" s="10"/>
      <c r="E575" s="10"/>
      <c r="F575" s="10"/>
      <c r="G575" s="10"/>
      <c r="H575" s="10"/>
      <c r="I575" s="12"/>
      <c r="J575" s="13"/>
    </row>
    <row r="576" spans="1:10" ht="75" customHeight="1">
      <c r="A576" s="7"/>
      <c r="B576" s="18"/>
      <c r="C576" s="9"/>
      <c r="D576" s="10"/>
      <c r="E576" s="10"/>
      <c r="F576" s="10"/>
      <c r="G576" s="10"/>
      <c r="H576" s="10"/>
      <c r="I576" s="12"/>
      <c r="J576" s="13"/>
    </row>
    <row r="577" spans="1:10" ht="75" customHeight="1">
      <c r="A577" s="7"/>
      <c r="B577" s="18"/>
      <c r="C577" s="9"/>
      <c r="D577" s="10"/>
      <c r="E577" s="10"/>
      <c r="F577" s="10"/>
      <c r="G577" s="10"/>
      <c r="H577" s="10"/>
      <c r="I577" s="12"/>
      <c r="J577" s="13"/>
    </row>
    <row r="578" spans="1:10" ht="75" customHeight="1">
      <c r="A578" s="7"/>
      <c r="B578" s="18"/>
      <c r="C578" s="9"/>
      <c r="D578" s="10"/>
      <c r="E578" s="10"/>
      <c r="F578" s="10"/>
      <c r="G578" s="10"/>
      <c r="H578" s="10"/>
      <c r="I578" s="12"/>
      <c r="J578" s="13"/>
    </row>
    <row r="579" spans="1:10" ht="75" customHeight="1">
      <c r="A579" s="7"/>
      <c r="B579" s="18"/>
      <c r="C579" s="9"/>
      <c r="D579" s="10"/>
      <c r="E579" s="10"/>
      <c r="F579" s="10"/>
      <c r="G579" s="10"/>
      <c r="H579" s="10"/>
      <c r="I579" s="12"/>
      <c r="J579" s="13"/>
    </row>
    <row r="580" spans="1:10" ht="75" customHeight="1">
      <c r="A580" s="7"/>
      <c r="B580" s="18"/>
      <c r="C580" s="9"/>
      <c r="D580" s="10"/>
      <c r="E580" s="10"/>
      <c r="F580" s="10"/>
      <c r="G580" s="10"/>
      <c r="H580" s="10"/>
      <c r="I580" s="12"/>
      <c r="J580" s="13"/>
    </row>
    <row r="581" spans="1:10" ht="75" customHeight="1">
      <c r="A581" s="7"/>
      <c r="B581" s="18"/>
      <c r="C581" s="9"/>
      <c r="D581" s="10"/>
      <c r="E581" s="10"/>
      <c r="F581" s="10"/>
      <c r="G581" s="10"/>
      <c r="H581" s="10"/>
      <c r="I581" s="12"/>
      <c r="J581" s="13"/>
    </row>
    <row r="582" spans="1:10" ht="75" customHeight="1">
      <c r="A582" s="7"/>
      <c r="B582" s="18"/>
      <c r="C582" s="9"/>
      <c r="D582" s="10"/>
      <c r="E582" s="10"/>
      <c r="F582" s="10"/>
      <c r="G582" s="10"/>
      <c r="H582" s="10"/>
      <c r="I582" s="12"/>
      <c r="J582" s="13"/>
    </row>
    <row r="583" spans="1:10" ht="75" customHeight="1">
      <c r="A583" s="7"/>
      <c r="B583" s="18"/>
      <c r="C583" s="9"/>
      <c r="D583" s="10"/>
      <c r="E583" s="10"/>
      <c r="F583" s="10"/>
      <c r="G583" s="10"/>
      <c r="H583" s="10"/>
      <c r="I583" s="12"/>
      <c r="J583" s="13"/>
    </row>
    <row r="584" spans="1:10" ht="75" customHeight="1">
      <c r="A584" s="7"/>
      <c r="B584" s="18"/>
      <c r="C584" s="9"/>
      <c r="D584" s="10"/>
      <c r="E584" s="10"/>
      <c r="F584" s="10"/>
      <c r="G584" s="10"/>
      <c r="H584" s="10"/>
      <c r="I584" s="12"/>
      <c r="J584" s="13"/>
    </row>
    <row r="585" spans="1:10" ht="75" customHeight="1">
      <c r="A585" s="7"/>
      <c r="B585" s="18"/>
      <c r="C585" s="9"/>
      <c r="D585" s="10"/>
      <c r="E585" s="10"/>
      <c r="F585" s="10"/>
      <c r="G585" s="10"/>
      <c r="H585" s="10"/>
      <c r="I585" s="12"/>
      <c r="J585" s="13"/>
    </row>
    <row r="586" spans="1:10" ht="75" customHeight="1">
      <c r="A586" s="7"/>
      <c r="B586" s="18"/>
      <c r="C586" s="9"/>
      <c r="D586" s="10"/>
      <c r="E586" s="10"/>
      <c r="F586" s="10"/>
      <c r="G586" s="10"/>
      <c r="H586" s="10"/>
      <c r="I586" s="12"/>
      <c r="J586" s="13"/>
    </row>
    <row r="587" spans="1:10" ht="75" customHeight="1">
      <c r="A587" s="7"/>
      <c r="B587" s="18"/>
      <c r="C587" s="9"/>
      <c r="D587" s="10"/>
      <c r="E587" s="10"/>
      <c r="F587" s="10"/>
      <c r="G587" s="10"/>
      <c r="H587" s="10"/>
      <c r="I587" s="12"/>
      <c r="J587" s="13"/>
    </row>
    <row r="588" spans="1:10" ht="75" customHeight="1">
      <c r="A588" s="7"/>
      <c r="B588" s="18"/>
      <c r="C588" s="9"/>
      <c r="D588" s="10"/>
      <c r="E588" s="10"/>
      <c r="F588" s="10"/>
      <c r="G588" s="10"/>
      <c r="H588" s="10"/>
      <c r="I588" s="12"/>
      <c r="J588" s="13"/>
    </row>
    <row r="589" spans="1:10" ht="75" customHeight="1">
      <c r="A589" s="7"/>
      <c r="B589" s="18"/>
      <c r="C589" s="9"/>
      <c r="D589" s="10"/>
      <c r="E589" s="10"/>
      <c r="F589" s="10"/>
      <c r="G589" s="10"/>
      <c r="H589" s="10"/>
      <c r="I589" s="12"/>
      <c r="J589" s="13"/>
    </row>
    <row r="590" spans="1:10" ht="75" customHeight="1">
      <c r="A590" s="7"/>
      <c r="B590" s="18"/>
      <c r="C590" s="9"/>
      <c r="D590" s="10"/>
      <c r="E590" s="10"/>
      <c r="F590" s="10"/>
      <c r="G590" s="10"/>
      <c r="H590" s="10"/>
      <c r="I590" s="12"/>
      <c r="J590" s="13"/>
    </row>
    <row r="591" spans="1:10" ht="75" customHeight="1">
      <c r="A591" s="7"/>
      <c r="B591" s="18"/>
      <c r="C591" s="9"/>
      <c r="D591" s="10"/>
      <c r="E591" s="10"/>
      <c r="F591" s="10"/>
      <c r="G591" s="10"/>
      <c r="H591" s="10"/>
      <c r="I591" s="12"/>
      <c r="J591" s="13"/>
    </row>
    <row r="592" spans="1:10" ht="75" customHeight="1">
      <c r="A592" s="7"/>
      <c r="B592" s="18"/>
      <c r="C592" s="9"/>
      <c r="D592" s="10"/>
      <c r="E592" s="10"/>
      <c r="F592" s="10"/>
      <c r="G592" s="10"/>
      <c r="H592" s="10"/>
      <c r="I592" s="12"/>
      <c r="J592" s="13"/>
    </row>
    <row r="593" spans="1:10" ht="75" customHeight="1">
      <c r="A593" s="7"/>
      <c r="B593" s="18"/>
      <c r="C593" s="9"/>
      <c r="D593" s="10"/>
      <c r="E593" s="10"/>
      <c r="F593" s="10"/>
      <c r="G593" s="10"/>
      <c r="H593" s="10"/>
      <c r="I593" s="12"/>
      <c r="J593" s="13"/>
    </row>
    <row r="594" spans="1:10" ht="75" customHeight="1">
      <c r="A594" s="7"/>
      <c r="B594" s="18"/>
      <c r="C594" s="9"/>
      <c r="D594" s="10"/>
      <c r="E594" s="10"/>
      <c r="F594" s="10"/>
      <c r="G594" s="10"/>
      <c r="H594" s="10"/>
      <c r="I594" s="12"/>
      <c r="J594" s="13"/>
    </row>
    <row r="595" spans="1:10" ht="75" customHeight="1">
      <c r="A595" s="7"/>
      <c r="B595" s="18"/>
      <c r="C595" s="9"/>
      <c r="D595" s="10"/>
      <c r="E595" s="10"/>
      <c r="F595" s="10"/>
      <c r="G595" s="10"/>
      <c r="H595" s="10"/>
      <c r="I595" s="12"/>
      <c r="J595" s="13"/>
    </row>
    <row r="596" spans="1:10" ht="75" customHeight="1">
      <c r="A596" s="7"/>
      <c r="B596" s="18"/>
      <c r="C596" s="9"/>
      <c r="D596" s="10"/>
      <c r="E596" s="10"/>
      <c r="F596" s="10"/>
      <c r="G596" s="10"/>
      <c r="H596" s="10"/>
      <c r="I596" s="12"/>
      <c r="J596" s="13"/>
    </row>
    <row r="597" spans="1:10" ht="75" customHeight="1">
      <c r="A597" s="7"/>
      <c r="B597" s="18"/>
      <c r="C597" s="9"/>
      <c r="D597" s="10"/>
      <c r="E597" s="10"/>
      <c r="F597" s="10"/>
      <c r="G597" s="10"/>
      <c r="H597" s="10"/>
      <c r="I597" s="12"/>
      <c r="J597" s="13"/>
    </row>
    <row r="598" spans="1:10" ht="75" customHeight="1">
      <c r="A598" s="7"/>
      <c r="B598" s="18"/>
      <c r="C598" s="9"/>
      <c r="D598" s="10"/>
      <c r="E598" s="10"/>
      <c r="F598" s="10"/>
      <c r="G598" s="10"/>
      <c r="H598" s="10"/>
      <c r="I598" s="12"/>
      <c r="J598" s="13"/>
    </row>
    <row r="599" spans="1:10" ht="75" customHeight="1">
      <c r="A599" s="7"/>
      <c r="B599" s="18"/>
      <c r="C599" s="9"/>
      <c r="D599" s="10"/>
      <c r="E599" s="10"/>
      <c r="F599" s="10"/>
      <c r="G599" s="10"/>
      <c r="H599" s="10"/>
      <c r="I599" s="12"/>
      <c r="J599" s="13"/>
    </row>
    <row r="600" spans="1:10" ht="75" customHeight="1">
      <c r="A600" s="7"/>
      <c r="B600" s="18"/>
      <c r="C600" s="9"/>
      <c r="D600" s="10"/>
      <c r="E600" s="10"/>
      <c r="F600" s="10"/>
      <c r="G600" s="10"/>
      <c r="H600" s="10"/>
      <c r="I600" s="12"/>
      <c r="J600" s="13"/>
    </row>
    <row r="601" spans="1:10" ht="75" customHeight="1">
      <c r="A601" s="7"/>
      <c r="B601" s="18"/>
      <c r="C601" s="9"/>
      <c r="D601" s="10"/>
      <c r="E601" s="10"/>
      <c r="F601" s="10"/>
      <c r="G601" s="10"/>
      <c r="H601" s="10"/>
      <c r="I601" s="12"/>
      <c r="J601" s="13"/>
    </row>
    <row r="602" spans="1:10" ht="75" customHeight="1">
      <c r="A602" s="7"/>
      <c r="B602" s="18"/>
      <c r="C602" s="9"/>
      <c r="D602" s="10"/>
      <c r="E602" s="10"/>
      <c r="F602" s="10"/>
      <c r="G602" s="10"/>
      <c r="H602" s="10"/>
      <c r="I602" s="12"/>
      <c r="J602" s="13"/>
    </row>
    <row r="603" spans="1:10" ht="75" customHeight="1">
      <c r="A603" s="7"/>
      <c r="B603" s="18"/>
      <c r="C603" s="9"/>
      <c r="D603" s="10"/>
      <c r="E603" s="10"/>
      <c r="F603" s="10"/>
      <c r="G603" s="10"/>
      <c r="H603" s="10"/>
      <c r="I603" s="12"/>
      <c r="J603" s="13"/>
    </row>
    <row r="604" spans="1:10" ht="75" customHeight="1">
      <c r="A604" s="7"/>
      <c r="B604" s="18"/>
      <c r="C604" s="9"/>
      <c r="D604" s="10"/>
      <c r="E604" s="10"/>
      <c r="F604" s="10"/>
      <c r="G604" s="10"/>
      <c r="H604" s="10"/>
      <c r="I604" s="12"/>
      <c r="J604" s="13"/>
    </row>
    <row r="605" spans="1:10" ht="75" customHeight="1">
      <c r="A605" s="7"/>
      <c r="B605" s="18"/>
      <c r="C605" s="9"/>
      <c r="D605" s="10"/>
      <c r="E605" s="10"/>
      <c r="F605" s="10"/>
      <c r="G605" s="10"/>
      <c r="H605" s="10"/>
      <c r="I605" s="12"/>
      <c r="J605" s="13"/>
    </row>
    <row r="606" spans="1:10" ht="75" customHeight="1">
      <c r="A606" s="7"/>
      <c r="B606" s="18"/>
      <c r="C606" s="9"/>
      <c r="D606" s="10"/>
      <c r="E606" s="10"/>
      <c r="F606" s="10"/>
      <c r="G606" s="10"/>
      <c r="H606" s="10"/>
      <c r="I606" s="12"/>
      <c r="J606" s="13"/>
    </row>
    <row r="607" spans="1:10" ht="75" customHeight="1">
      <c r="A607" s="7"/>
      <c r="B607" s="18"/>
      <c r="C607" s="9"/>
      <c r="D607" s="10"/>
      <c r="E607" s="10"/>
      <c r="F607" s="10"/>
      <c r="G607" s="10"/>
      <c r="H607" s="10"/>
      <c r="I607" s="12"/>
      <c r="J607" s="13"/>
    </row>
    <row r="608" spans="1:10" ht="75" customHeight="1">
      <c r="A608" s="7"/>
      <c r="B608" s="18"/>
      <c r="C608" s="9"/>
      <c r="D608" s="10"/>
      <c r="E608" s="10"/>
      <c r="F608" s="10"/>
      <c r="G608" s="10"/>
      <c r="H608" s="10"/>
      <c r="I608" s="12"/>
      <c r="J608" s="13"/>
    </row>
    <row r="609" spans="1:10" ht="75" customHeight="1">
      <c r="A609" s="7"/>
      <c r="B609" s="18"/>
      <c r="C609" s="9"/>
      <c r="D609" s="10"/>
      <c r="E609" s="10"/>
      <c r="F609" s="10"/>
      <c r="G609" s="10"/>
      <c r="H609" s="10"/>
      <c r="I609" s="12"/>
      <c r="J609" s="13"/>
    </row>
    <row r="610" spans="1:10" ht="75" customHeight="1">
      <c r="A610" s="7"/>
      <c r="B610" s="18"/>
      <c r="C610" s="9"/>
      <c r="D610" s="10"/>
      <c r="E610" s="10"/>
      <c r="F610" s="10"/>
      <c r="G610" s="10"/>
      <c r="H610" s="10"/>
      <c r="I610" s="12"/>
      <c r="J610" s="13"/>
    </row>
    <row r="611" spans="1:10" ht="75" customHeight="1">
      <c r="A611" s="7"/>
      <c r="B611" s="18"/>
      <c r="C611" s="9"/>
      <c r="D611" s="10"/>
      <c r="E611" s="10"/>
      <c r="F611" s="10"/>
      <c r="G611" s="10"/>
      <c r="H611" s="10"/>
      <c r="I611" s="12"/>
      <c r="J611" s="13"/>
    </row>
    <row r="612" spans="1:10" ht="75" customHeight="1">
      <c r="A612" s="7"/>
      <c r="B612" s="18"/>
      <c r="C612" s="9"/>
      <c r="D612" s="10"/>
      <c r="E612" s="10"/>
      <c r="F612" s="10"/>
      <c r="G612" s="10"/>
      <c r="H612" s="10"/>
      <c r="I612" s="12"/>
      <c r="J612" s="13"/>
    </row>
    <row r="613" spans="1:10" ht="75" customHeight="1">
      <c r="A613" s="7"/>
      <c r="B613" s="18"/>
      <c r="C613" s="9"/>
      <c r="D613" s="10"/>
      <c r="E613" s="10"/>
      <c r="F613" s="10"/>
      <c r="G613" s="10"/>
      <c r="H613" s="10"/>
      <c r="I613" s="12"/>
      <c r="J613" s="13"/>
    </row>
    <row r="614" spans="1:10" ht="75" customHeight="1">
      <c r="A614" s="7"/>
      <c r="B614" s="18"/>
      <c r="C614" s="9"/>
      <c r="D614" s="10"/>
      <c r="E614" s="10"/>
      <c r="F614" s="10"/>
      <c r="G614" s="10"/>
      <c r="H614" s="10"/>
      <c r="I614" s="12"/>
      <c r="J614" s="13"/>
    </row>
    <row r="615" spans="1:10" ht="75" customHeight="1">
      <c r="A615" s="7"/>
      <c r="B615" s="18"/>
      <c r="C615" s="9"/>
      <c r="D615" s="10"/>
      <c r="E615" s="10"/>
      <c r="F615" s="10"/>
      <c r="G615" s="10"/>
      <c r="H615" s="10"/>
      <c r="I615" s="12"/>
      <c r="J615" s="13"/>
    </row>
    <row r="616" spans="1:10" ht="75" customHeight="1">
      <c r="A616" s="7"/>
      <c r="B616" s="18"/>
      <c r="C616" s="9"/>
      <c r="D616" s="10"/>
      <c r="E616" s="10"/>
      <c r="F616" s="10"/>
      <c r="G616" s="10"/>
      <c r="H616" s="10"/>
      <c r="I616" s="12"/>
      <c r="J616" s="13"/>
    </row>
    <row r="617" spans="1:10" ht="75" customHeight="1">
      <c r="A617" s="7"/>
      <c r="B617" s="18"/>
      <c r="C617" s="9"/>
      <c r="D617" s="10"/>
      <c r="E617" s="10"/>
      <c r="F617" s="10"/>
      <c r="G617" s="10"/>
      <c r="H617" s="10"/>
      <c r="I617" s="12"/>
      <c r="J617" s="13"/>
    </row>
    <row r="618" spans="1:10" ht="75" customHeight="1">
      <c r="A618" s="7"/>
      <c r="B618" s="18"/>
      <c r="C618" s="9"/>
      <c r="D618" s="10"/>
      <c r="E618" s="10"/>
      <c r="F618" s="10"/>
      <c r="G618" s="10"/>
      <c r="H618" s="10"/>
      <c r="I618" s="12"/>
      <c r="J618" s="13"/>
    </row>
    <row r="619" spans="1:10" ht="75" customHeight="1">
      <c r="A619" s="7"/>
      <c r="B619" s="18"/>
      <c r="C619" s="9"/>
      <c r="D619" s="10"/>
      <c r="E619" s="10"/>
      <c r="F619" s="10"/>
      <c r="G619" s="10"/>
      <c r="H619" s="10"/>
      <c r="I619" s="12"/>
      <c r="J619" s="13"/>
    </row>
    <row r="620" spans="1:10" ht="75" customHeight="1">
      <c r="A620" s="7"/>
      <c r="B620" s="18"/>
      <c r="C620" s="9"/>
      <c r="D620" s="10"/>
      <c r="E620" s="10"/>
      <c r="F620" s="10"/>
      <c r="G620" s="10"/>
      <c r="H620" s="10"/>
      <c r="I620" s="12"/>
      <c r="J620" s="13"/>
    </row>
    <row r="621" spans="1:10" ht="75" customHeight="1">
      <c r="A621" s="7"/>
      <c r="B621" s="18"/>
      <c r="C621" s="9"/>
      <c r="D621" s="10"/>
      <c r="E621" s="10"/>
      <c r="F621" s="10"/>
      <c r="G621" s="10"/>
      <c r="H621" s="10"/>
      <c r="I621" s="12"/>
      <c r="J621" s="13"/>
    </row>
    <row r="622" spans="1:10" ht="75" customHeight="1">
      <c r="A622" s="7"/>
      <c r="B622" s="18"/>
      <c r="C622" s="9"/>
      <c r="D622" s="10"/>
      <c r="E622" s="10"/>
      <c r="F622" s="10"/>
      <c r="G622" s="10"/>
      <c r="H622" s="10"/>
      <c r="I622" s="12"/>
      <c r="J622" s="13"/>
    </row>
    <row r="623" spans="1:10" ht="75" customHeight="1">
      <c r="A623" s="7"/>
      <c r="B623" s="18"/>
      <c r="C623" s="9"/>
      <c r="D623" s="10"/>
      <c r="E623" s="10"/>
      <c r="F623" s="10"/>
      <c r="G623" s="10"/>
      <c r="H623" s="10"/>
      <c r="I623" s="12"/>
      <c r="J623" s="13"/>
    </row>
    <row r="624" spans="1:10" ht="75" customHeight="1">
      <c r="A624" s="7"/>
      <c r="B624" s="18"/>
      <c r="C624" s="9"/>
      <c r="D624" s="10"/>
      <c r="E624" s="10"/>
      <c r="F624" s="10"/>
      <c r="G624" s="10"/>
      <c r="H624" s="10"/>
      <c r="I624" s="12"/>
      <c r="J624" s="13"/>
    </row>
    <row r="625" spans="1:10" ht="75" customHeight="1">
      <c r="A625" s="7"/>
      <c r="B625" s="18"/>
      <c r="C625" s="9"/>
      <c r="D625" s="10"/>
      <c r="E625" s="10"/>
      <c r="F625" s="10"/>
      <c r="G625" s="10"/>
      <c r="H625" s="10"/>
      <c r="I625" s="12"/>
      <c r="J625" s="13"/>
    </row>
    <row r="626" spans="1:10" ht="75" customHeight="1">
      <c r="A626" s="7"/>
      <c r="B626" s="18"/>
      <c r="C626" s="9"/>
      <c r="D626" s="10"/>
      <c r="E626" s="10"/>
      <c r="F626" s="10"/>
      <c r="G626" s="10"/>
      <c r="H626" s="10"/>
      <c r="I626" s="12"/>
      <c r="J626" s="13"/>
    </row>
    <row r="627" spans="1:10" ht="75" customHeight="1">
      <c r="A627" s="7"/>
      <c r="B627" s="18"/>
      <c r="C627" s="9"/>
      <c r="D627" s="10"/>
      <c r="E627" s="10"/>
      <c r="F627" s="10"/>
      <c r="G627" s="10"/>
      <c r="H627" s="10"/>
      <c r="I627" s="12"/>
      <c r="J627" s="13"/>
    </row>
    <row r="628" spans="1:10" ht="75" customHeight="1">
      <c r="A628" s="7"/>
      <c r="B628" s="18"/>
      <c r="C628" s="9"/>
      <c r="D628" s="10"/>
      <c r="E628" s="10"/>
      <c r="F628" s="10"/>
      <c r="G628" s="10"/>
      <c r="H628" s="10"/>
      <c r="I628" s="12"/>
      <c r="J628" s="13"/>
    </row>
    <row r="629" spans="1:10" ht="75" customHeight="1">
      <c r="A629" s="7"/>
      <c r="B629" s="18"/>
      <c r="C629" s="9"/>
      <c r="D629" s="10"/>
      <c r="E629" s="10"/>
      <c r="F629" s="10"/>
      <c r="G629" s="10"/>
      <c r="H629" s="10"/>
      <c r="I629" s="12"/>
      <c r="J629" s="13"/>
    </row>
    <row r="630" spans="1:10" ht="75" customHeight="1">
      <c r="A630" s="7"/>
      <c r="B630" s="18"/>
      <c r="C630" s="9"/>
      <c r="D630" s="10"/>
      <c r="E630" s="10"/>
      <c r="F630" s="10"/>
      <c r="G630" s="10"/>
      <c r="H630" s="10"/>
      <c r="I630" s="12"/>
      <c r="J630" s="13"/>
    </row>
    <row r="631" spans="1:10" ht="75" customHeight="1">
      <c r="A631" s="7"/>
      <c r="B631" s="18"/>
      <c r="C631" s="9"/>
      <c r="D631" s="10"/>
      <c r="E631" s="10"/>
      <c r="F631" s="10"/>
      <c r="G631" s="10"/>
      <c r="H631" s="10"/>
      <c r="I631" s="12"/>
      <c r="J631" s="13"/>
    </row>
    <row r="632" spans="1:10" ht="75" customHeight="1">
      <c r="A632" s="7"/>
      <c r="B632" s="18"/>
      <c r="C632" s="9"/>
      <c r="D632" s="10"/>
      <c r="E632" s="10"/>
      <c r="F632" s="10"/>
      <c r="G632" s="10"/>
      <c r="H632" s="10"/>
      <c r="I632" s="12"/>
      <c r="J632" s="13"/>
    </row>
    <row r="633" spans="1:10" ht="75" customHeight="1">
      <c r="A633" s="7"/>
      <c r="B633" s="18"/>
      <c r="C633" s="9"/>
      <c r="D633" s="10"/>
      <c r="E633" s="10"/>
      <c r="F633" s="10"/>
      <c r="G633" s="10"/>
      <c r="H633" s="10"/>
      <c r="I633" s="12"/>
      <c r="J633" s="13"/>
    </row>
    <row r="634" spans="1:10" ht="75" customHeight="1">
      <c r="A634" s="7"/>
      <c r="B634" s="18"/>
      <c r="C634" s="9"/>
      <c r="D634" s="10"/>
      <c r="E634" s="10"/>
      <c r="F634" s="10"/>
      <c r="G634" s="10"/>
      <c r="H634" s="10"/>
      <c r="I634" s="12"/>
      <c r="J634" s="13"/>
    </row>
    <row r="635" spans="1:10" ht="75" customHeight="1">
      <c r="A635" s="7"/>
      <c r="B635" s="18"/>
      <c r="C635" s="9"/>
      <c r="D635" s="10"/>
      <c r="E635" s="10"/>
      <c r="F635" s="10"/>
      <c r="G635" s="10"/>
      <c r="H635" s="10"/>
      <c r="I635" s="12"/>
      <c r="J635" s="13"/>
    </row>
    <row r="636" spans="1:10" ht="75" customHeight="1">
      <c r="A636" s="7"/>
      <c r="B636" s="18"/>
      <c r="C636" s="9"/>
      <c r="D636" s="10"/>
      <c r="E636" s="10"/>
      <c r="F636" s="10"/>
      <c r="G636" s="10"/>
      <c r="H636" s="10"/>
      <c r="I636" s="12"/>
      <c r="J636" s="13"/>
    </row>
    <row r="637" spans="1:10" ht="75" customHeight="1">
      <c r="A637" s="7"/>
      <c r="B637" s="18"/>
      <c r="C637" s="9"/>
      <c r="D637" s="10"/>
      <c r="E637" s="10"/>
      <c r="F637" s="10"/>
      <c r="G637" s="10"/>
      <c r="H637" s="10"/>
      <c r="I637" s="12"/>
      <c r="J637" s="13"/>
    </row>
    <row r="638" spans="1:10" ht="75" customHeight="1">
      <c r="A638" s="7"/>
      <c r="B638" s="18"/>
      <c r="C638" s="9"/>
      <c r="D638" s="10"/>
      <c r="E638" s="10"/>
      <c r="F638" s="10"/>
      <c r="G638" s="10"/>
      <c r="H638" s="10"/>
      <c r="I638" s="12"/>
      <c r="J638" s="13"/>
    </row>
    <row r="639" spans="1:10" ht="75" customHeight="1">
      <c r="A639" s="7"/>
      <c r="B639" s="18"/>
      <c r="C639" s="9"/>
      <c r="D639" s="10"/>
      <c r="E639" s="10"/>
      <c r="F639" s="10"/>
      <c r="G639" s="10"/>
      <c r="H639" s="10"/>
      <c r="I639" s="12"/>
      <c r="J639" s="13"/>
    </row>
    <row r="640" spans="1:10" ht="75" customHeight="1">
      <c r="A640" s="7"/>
      <c r="B640" s="18"/>
      <c r="C640" s="9"/>
      <c r="D640" s="10"/>
      <c r="E640" s="10"/>
      <c r="F640" s="10"/>
      <c r="G640" s="10"/>
      <c r="H640" s="10"/>
      <c r="I640" s="12"/>
      <c r="J640" s="13"/>
    </row>
    <row r="641" spans="1:10" ht="75" customHeight="1">
      <c r="A641" s="7"/>
      <c r="B641" s="18"/>
      <c r="C641" s="9"/>
      <c r="D641" s="10"/>
      <c r="E641" s="10"/>
      <c r="F641" s="10"/>
      <c r="G641" s="10"/>
      <c r="H641" s="10"/>
      <c r="I641" s="12"/>
      <c r="J641" s="13"/>
    </row>
    <row r="642" spans="1:10" ht="75" customHeight="1">
      <c r="A642" s="7"/>
      <c r="B642" s="18"/>
      <c r="C642" s="9"/>
      <c r="D642" s="10"/>
      <c r="E642" s="10"/>
      <c r="F642" s="10"/>
      <c r="G642" s="10"/>
      <c r="H642" s="10"/>
      <c r="I642" s="12"/>
      <c r="J642" s="13"/>
    </row>
    <row r="643" spans="1:10" ht="75" customHeight="1">
      <c r="A643" s="7"/>
      <c r="B643" s="18"/>
      <c r="C643" s="9"/>
      <c r="D643" s="10"/>
      <c r="E643" s="10"/>
      <c r="F643" s="10"/>
      <c r="G643" s="10"/>
      <c r="H643" s="10"/>
      <c r="I643" s="12"/>
      <c r="J643" s="13"/>
    </row>
    <row r="644" spans="1:10" ht="75" customHeight="1">
      <c r="A644" s="7"/>
      <c r="B644" s="18"/>
      <c r="C644" s="9"/>
      <c r="D644" s="10"/>
      <c r="E644" s="10"/>
      <c r="F644" s="10"/>
      <c r="G644" s="10"/>
      <c r="H644" s="10"/>
      <c r="I644" s="12"/>
      <c r="J644" s="13"/>
    </row>
    <row r="645" spans="1:10" ht="75" customHeight="1">
      <c r="A645" s="7"/>
      <c r="B645" s="18"/>
      <c r="C645" s="9"/>
      <c r="D645" s="10"/>
      <c r="E645" s="10"/>
      <c r="F645" s="10"/>
      <c r="G645" s="10"/>
      <c r="H645" s="10"/>
      <c r="I645" s="12"/>
      <c r="J645" s="13"/>
    </row>
    <row r="646" spans="1:10" ht="75" customHeight="1">
      <c r="A646" s="7"/>
      <c r="B646" s="18"/>
      <c r="C646" s="9"/>
      <c r="D646" s="10"/>
      <c r="E646" s="10"/>
      <c r="F646" s="10"/>
      <c r="G646" s="10"/>
      <c r="H646" s="10"/>
      <c r="I646" s="12"/>
      <c r="J646" s="13"/>
    </row>
    <row r="647" spans="1:10" ht="75" customHeight="1">
      <c r="A647" s="7"/>
      <c r="B647" s="18"/>
      <c r="C647" s="9"/>
      <c r="D647" s="10"/>
      <c r="E647" s="10"/>
      <c r="F647" s="10"/>
      <c r="G647" s="10"/>
      <c r="H647" s="10"/>
      <c r="I647" s="12"/>
      <c r="J647" s="13"/>
    </row>
    <row r="648" spans="1:10" ht="75" customHeight="1">
      <c r="A648" s="7"/>
      <c r="B648" s="18"/>
      <c r="C648" s="9"/>
      <c r="D648" s="10"/>
      <c r="E648" s="10"/>
      <c r="F648" s="10"/>
      <c r="G648" s="10"/>
      <c r="H648" s="10"/>
      <c r="I648" s="12"/>
      <c r="J648" s="13"/>
    </row>
    <row r="649" spans="1:10" ht="75" customHeight="1">
      <c r="A649" s="7"/>
      <c r="B649" s="18"/>
      <c r="C649" s="9"/>
      <c r="D649" s="10"/>
      <c r="E649" s="10"/>
      <c r="F649" s="10"/>
      <c r="G649" s="10"/>
      <c r="H649" s="10"/>
      <c r="I649" s="12"/>
      <c r="J649" s="13"/>
    </row>
    <row r="650" spans="1:10" ht="75" customHeight="1">
      <c r="A650" s="7"/>
      <c r="B650" s="18"/>
      <c r="C650" s="9"/>
      <c r="D650" s="10"/>
      <c r="E650" s="10"/>
      <c r="F650" s="10"/>
      <c r="G650" s="10"/>
      <c r="H650" s="10"/>
      <c r="I650" s="12"/>
      <c r="J650" s="13"/>
    </row>
    <row r="651" spans="1:10" ht="75" customHeight="1">
      <c r="A651" s="7"/>
      <c r="B651" s="18"/>
      <c r="C651" s="9"/>
      <c r="D651" s="10"/>
      <c r="E651" s="10"/>
      <c r="F651" s="10"/>
      <c r="G651" s="10"/>
      <c r="H651" s="10"/>
      <c r="I651" s="12"/>
      <c r="J651" s="13"/>
    </row>
    <row r="652" spans="1:10" ht="75" customHeight="1">
      <c r="A652" s="7"/>
      <c r="B652" s="18"/>
      <c r="C652" s="9"/>
      <c r="D652" s="10"/>
      <c r="E652" s="10"/>
      <c r="F652" s="10"/>
      <c r="G652" s="10"/>
      <c r="H652" s="10"/>
      <c r="I652" s="12"/>
      <c r="J652" s="13"/>
    </row>
    <row r="653" spans="1:10" ht="75" customHeight="1">
      <c r="A653" s="7"/>
      <c r="B653" s="18"/>
      <c r="C653" s="9"/>
      <c r="D653" s="10"/>
      <c r="E653" s="10"/>
      <c r="F653" s="10"/>
      <c r="G653" s="10"/>
      <c r="H653" s="10"/>
      <c r="I653" s="12"/>
      <c r="J653" s="13"/>
    </row>
    <row r="654" spans="1:10" ht="75" customHeight="1">
      <c r="A654" s="7"/>
      <c r="B654" s="18"/>
      <c r="C654" s="9"/>
      <c r="D654" s="10"/>
      <c r="E654" s="10"/>
      <c r="F654" s="10"/>
      <c r="G654" s="10"/>
      <c r="H654" s="10"/>
      <c r="I654" s="12"/>
      <c r="J654" s="13"/>
    </row>
    <row r="655" spans="1:10" ht="75" customHeight="1">
      <c r="A655" s="7"/>
      <c r="B655" s="18"/>
      <c r="C655" s="9"/>
      <c r="D655" s="10"/>
      <c r="E655" s="10"/>
      <c r="F655" s="10"/>
      <c r="G655" s="10"/>
      <c r="H655" s="10"/>
      <c r="I655" s="12"/>
      <c r="J655" s="13"/>
    </row>
    <row r="656" spans="1:10" ht="75" customHeight="1">
      <c r="A656" s="7"/>
      <c r="B656" s="18"/>
      <c r="C656" s="9"/>
      <c r="D656" s="10"/>
      <c r="E656" s="10"/>
      <c r="F656" s="10"/>
      <c r="G656" s="10"/>
      <c r="H656" s="10"/>
      <c r="I656" s="12"/>
      <c r="J656" s="13"/>
    </row>
    <row r="657" spans="1:10" ht="75" customHeight="1">
      <c r="A657" s="7"/>
      <c r="B657" s="18"/>
      <c r="C657" s="9"/>
      <c r="D657" s="10"/>
      <c r="E657" s="10"/>
      <c r="F657" s="10"/>
      <c r="G657" s="10"/>
      <c r="H657" s="10"/>
      <c r="I657" s="12"/>
      <c r="J657" s="13"/>
    </row>
    <row r="658" spans="1:10" ht="75" customHeight="1">
      <c r="A658" s="7"/>
      <c r="B658" s="18"/>
      <c r="C658" s="9"/>
      <c r="D658" s="10"/>
      <c r="E658" s="10"/>
      <c r="F658" s="10"/>
      <c r="G658" s="10"/>
      <c r="H658" s="10"/>
      <c r="I658" s="12"/>
      <c r="J658" s="13"/>
    </row>
    <row r="659" spans="1:10" ht="75" customHeight="1">
      <c r="A659" s="7"/>
      <c r="B659" s="18"/>
      <c r="C659" s="9"/>
      <c r="D659" s="10"/>
      <c r="E659" s="10"/>
      <c r="F659" s="10"/>
      <c r="G659" s="10"/>
      <c r="H659" s="10"/>
      <c r="I659" s="12"/>
      <c r="J659" s="13"/>
    </row>
    <row r="660" spans="1:10" ht="75" customHeight="1">
      <c r="A660" s="7"/>
      <c r="B660" s="18"/>
      <c r="C660" s="9"/>
      <c r="D660" s="10"/>
      <c r="E660" s="10"/>
      <c r="F660" s="10"/>
      <c r="G660" s="10"/>
      <c r="H660" s="10"/>
      <c r="I660" s="12"/>
      <c r="J660" s="13"/>
    </row>
    <row r="661" spans="1:10" ht="75" customHeight="1">
      <c r="A661" s="7"/>
      <c r="B661" s="18"/>
      <c r="C661" s="9"/>
      <c r="D661" s="10"/>
      <c r="E661" s="10"/>
      <c r="F661" s="10"/>
      <c r="G661" s="10"/>
      <c r="H661" s="10"/>
      <c r="I661" s="12"/>
      <c r="J661" s="13"/>
    </row>
    <row r="662" spans="1:10" ht="75" customHeight="1">
      <c r="A662" s="7"/>
      <c r="B662" s="18"/>
      <c r="C662" s="9"/>
      <c r="D662" s="10"/>
      <c r="E662" s="10"/>
      <c r="F662" s="10"/>
      <c r="G662" s="10"/>
      <c r="H662" s="10"/>
      <c r="I662" s="12"/>
      <c r="J662" s="13"/>
    </row>
    <row r="663" spans="1:10" ht="75" customHeight="1">
      <c r="A663" s="7"/>
      <c r="B663" s="18"/>
      <c r="C663" s="9"/>
      <c r="D663" s="10"/>
      <c r="E663" s="10"/>
      <c r="F663" s="10"/>
      <c r="G663" s="10"/>
      <c r="H663" s="10"/>
      <c r="I663" s="12"/>
      <c r="J663" s="13"/>
    </row>
    <row r="664" spans="1:10" ht="75" customHeight="1">
      <c r="A664" s="7"/>
      <c r="B664" s="18"/>
      <c r="C664" s="9"/>
      <c r="D664" s="10"/>
      <c r="E664" s="10"/>
      <c r="F664" s="10"/>
      <c r="G664" s="10"/>
      <c r="H664" s="10"/>
      <c r="I664" s="12"/>
      <c r="J664" s="13"/>
    </row>
    <row r="665" spans="1:10" ht="75" customHeight="1">
      <c r="A665" s="7"/>
      <c r="B665" s="18"/>
      <c r="C665" s="9"/>
      <c r="D665" s="10"/>
      <c r="E665" s="10"/>
      <c r="F665" s="10"/>
      <c r="G665" s="10"/>
      <c r="H665" s="10"/>
      <c r="I665" s="12"/>
      <c r="J665" s="13"/>
    </row>
    <row r="666" spans="1:10" ht="75" customHeight="1">
      <c r="A666" s="7"/>
      <c r="B666" s="18"/>
      <c r="C666" s="9"/>
      <c r="D666" s="10"/>
      <c r="E666" s="10"/>
      <c r="F666" s="10"/>
      <c r="G666" s="10"/>
      <c r="H666" s="10"/>
      <c r="I666" s="12"/>
      <c r="J666" s="13"/>
    </row>
    <row r="667" spans="1:10" ht="75" customHeight="1">
      <c r="A667" s="7"/>
      <c r="B667" s="18"/>
      <c r="C667" s="9"/>
      <c r="D667" s="10"/>
      <c r="E667" s="10"/>
      <c r="F667" s="10"/>
      <c r="G667" s="10"/>
      <c r="H667" s="10"/>
      <c r="I667" s="12"/>
      <c r="J667" s="13"/>
    </row>
    <row r="668" spans="1:10" ht="75" customHeight="1">
      <c r="A668" s="7"/>
      <c r="B668" s="18"/>
      <c r="C668" s="9"/>
      <c r="D668" s="10"/>
      <c r="E668" s="10"/>
      <c r="F668" s="10"/>
      <c r="G668" s="10"/>
      <c r="H668" s="10"/>
      <c r="I668" s="12"/>
      <c r="J668" s="13"/>
    </row>
    <row r="669" spans="1:10" ht="75" customHeight="1">
      <c r="A669" s="7"/>
      <c r="B669" s="18"/>
      <c r="C669" s="9"/>
      <c r="D669" s="10"/>
      <c r="E669" s="10"/>
      <c r="F669" s="10"/>
      <c r="G669" s="10"/>
      <c r="H669" s="10"/>
      <c r="I669" s="12"/>
      <c r="J669" s="13"/>
    </row>
    <row r="670" spans="1:10" ht="75" customHeight="1">
      <c r="A670" s="7"/>
      <c r="B670" s="18"/>
      <c r="C670" s="9"/>
      <c r="D670" s="10"/>
      <c r="E670" s="10"/>
      <c r="F670" s="10"/>
      <c r="G670" s="10"/>
      <c r="H670" s="10"/>
      <c r="I670" s="12"/>
      <c r="J670" s="13"/>
    </row>
    <row r="671" spans="1:10" ht="75" customHeight="1">
      <c r="A671" s="7"/>
      <c r="B671" s="18"/>
      <c r="C671" s="9"/>
      <c r="D671" s="10"/>
      <c r="E671" s="10"/>
      <c r="F671" s="10"/>
      <c r="G671" s="10"/>
      <c r="H671" s="10"/>
      <c r="I671" s="12"/>
      <c r="J671" s="13"/>
    </row>
    <row r="672" spans="1:10" ht="75" customHeight="1">
      <c r="A672" s="7"/>
      <c r="B672" s="18"/>
      <c r="C672" s="9"/>
      <c r="D672" s="10"/>
      <c r="E672" s="10"/>
      <c r="F672" s="10"/>
      <c r="G672" s="10"/>
      <c r="H672" s="10"/>
      <c r="I672" s="12"/>
      <c r="J672" s="13"/>
    </row>
    <row r="673" spans="1:10" ht="75" customHeight="1">
      <c r="A673" s="7"/>
      <c r="B673" s="18"/>
      <c r="C673" s="9"/>
      <c r="D673" s="10"/>
      <c r="E673" s="10"/>
      <c r="F673" s="10"/>
      <c r="G673" s="10"/>
      <c r="H673" s="10"/>
      <c r="I673" s="12"/>
      <c r="J673" s="13"/>
    </row>
    <row r="674" spans="1:10" ht="75" customHeight="1">
      <c r="A674" s="7"/>
      <c r="B674" s="18"/>
      <c r="C674" s="9"/>
      <c r="D674" s="10"/>
      <c r="E674" s="10"/>
      <c r="F674" s="10"/>
      <c r="G674" s="10"/>
      <c r="H674" s="10"/>
      <c r="I674" s="12"/>
      <c r="J674" s="13"/>
    </row>
    <row r="675" spans="1:10" ht="75" customHeight="1">
      <c r="A675" s="7"/>
      <c r="B675" s="18"/>
      <c r="C675" s="9"/>
      <c r="D675" s="10"/>
      <c r="E675" s="10"/>
      <c r="F675" s="10"/>
      <c r="G675" s="10"/>
      <c r="H675" s="10"/>
      <c r="I675" s="12"/>
      <c r="J675" s="13"/>
    </row>
    <row r="676" spans="1:10" ht="75" customHeight="1">
      <c r="A676" s="7"/>
      <c r="B676" s="18"/>
      <c r="C676" s="9"/>
      <c r="D676" s="10"/>
      <c r="E676" s="10"/>
      <c r="F676" s="10"/>
      <c r="G676" s="10"/>
      <c r="H676" s="10"/>
      <c r="I676" s="12"/>
      <c r="J676" s="13"/>
    </row>
    <row r="677" spans="1:10" ht="75" customHeight="1">
      <c r="A677" s="7"/>
      <c r="B677" s="18"/>
      <c r="C677" s="9"/>
      <c r="D677" s="10"/>
      <c r="E677" s="10"/>
      <c r="F677" s="10"/>
      <c r="G677" s="10"/>
      <c r="H677" s="10"/>
      <c r="I677" s="12"/>
      <c r="J677" s="13"/>
    </row>
    <row r="678" spans="1:10" ht="75" customHeight="1">
      <c r="A678" s="7"/>
      <c r="B678" s="18"/>
      <c r="C678" s="9"/>
      <c r="D678" s="10"/>
      <c r="E678" s="10"/>
      <c r="F678" s="10"/>
      <c r="G678" s="10"/>
      <c r="H678" s="10"/>
      <c r="I678" s="12"/>
      <c r="J678" s="13"/>
    </row>
    <row r="679" spans="1:10" ht="75" customHeight="1">
      <c r="A679" s="7"/>
      <c r="B679" s="18"/>
      <c r="C679" s="9"/>
      <c r="D679" s="10"/>
      <c r="E679" s="10"/>
      <c r="F679" s="10"/>
      <c r="G679" s="10"/>
      <c r="H679" s="10"/>
      <c r="I679" s="12"/>
      <c r="J679" s="13"/>
    </row>
    <row r="680" spans="1:10" ht="75" customHeight="1">
      <c r="A680" s="7"/>
      <c r="B680" s="18"/>
      <c r="C680" s="9"/>
      <c r="D680" s="10"/>
      <c r="E680" s="10"/>
      <c r="F680" s="10"/>
      <c r="G680" s="10"/>
      <c r="H680" s="10"/>
      <c r="I680" s="12"/>
      <c r="J680" s="13"/>
    </row>
    <row r="681" spans="1:10" ht="75" customHeight="1">
      <c r="A681" s="7"/>
      <c r="B681" s="18"/>
      <c r="C681" s="9"/>
      <c r="D681" s="10"/>
      <c r="E681" s="10"/>
      <c r="F681" s="10"/>
      <c r="G681" s="10"/>
      <c r="H681" s="10"/>
      <c r="I681" s="12"/>
      <c r="J681" s="13"/>
    </row>
    <row r="682" spans="1:10" ht="75" customHeight="1">
      <c r="A682" s="7"/>
      <c r="B682" s="18"/>
      <c r="C682" s="9"/>
      <c r="D682" s="10"/>
      <c r="E682" s="10"/>
      <c r="F682" s="10"/>
      <c r="G682" s="10"/>
      <c r="H682" s="10"/>
      <c r="I682" s="12"/>
      <c r="J682" s="13"/>
    </row>
    <row r="683" spans="1:10" ht="75" customHeight="1">
      <c r="A683" s="7"/>
      <c r="B683" s="18"/>
      <c r="C683" s="9"/>
      <c r="D683" s="10"/>
      <c r="E683" s="10"/>
      <c r="F683" s="10"/>
      <c r="G683" s="10"/>
      <c r="H683" s="10"/>
      <c r="I683" s="12"/>
      <c r="J683" s="13"/>
    </row>
    <row r="684" spans="1:10" ht="75" customHeight="1">
      <c r="A684" s="7"/>
      <c r="B684" s="18"/>
      <c r="C684" s="9"/>
      <c r="D684" s="10"/>
      <c r="E684" s="10"/>
      <c r="F684" s="10"/>
      <c r="G684" s="10"/>
      <c r="H684" s="10"/>
      <c r="I684" s="12"/>
      <c r="J684" s="13"/>
    </row>
    <row r="685" spans="1:10" ht="75" customHeight="1">
      <c r="A685" s="7"/>
      <c r="B685" s="18"/>
      <c r="C685" s="9"/>
      <c r="D685" s="10"/>
      <c r="E685" s="10"/>
      <c r="F685" s="10"/>
      <c r="G685" s="10"/>
      <c r="H685" s="10"/>
      <c r="I685" s="12"/>
      <c r="J685" s="13"/>
    </row>
    <row r="686" spans="1:10" ht="75" customHeight="1">
      <c r="A686" s="7"/>
      <c r="B686" s="18"/>
      <c r="C686" s="9"/>
      <c r="D686" s="10"/>
      <c r="E686" s="10"/>
      <c r="F686" s="10"/>
      <c r="G686" s="10"/>
      <c r="H686" s="10"/>
      <c r="I686" s="12"/>
      <c r="J686" s="13"/>
    </row>
    <row r="687" spans="1:10" ht="75" customHeight="1">
      <c r="A687" s="7"/>
      <c r="B687" s="18"/>
      <c r="C687" s="9"/>
      <c r="D687" s="10"/>
      <c r="E687" s="10"/>
      <c r="F687" s="10"/>
      <c r="G687" s="10"/>
      <c r="H687" s="10"/>
      <c r="I687" s="12"/>
      <c r="J687" s="13"/>
    </row>
    <row r="688" spans="1:10" ht="75" customHeight="1">
      <c r="A688" s="7"/>
      <c r="B688" s="18"/>
      <c r="C688" s="9"/>
      <c r="D688" s="10"/>
      <c r="E688" s="10"/>
      <c r="F688" s="10"/>
      <c r="G688" s="10"/>
      <c r="H688" s="10"/>
      <c r="I688" s="12"/>
      <c r="J688" s="13"/>
    </row>
    <row r="689" spans="1:10" ht="75" customHeight="1">
      <c r="A689" s="7"/>
      <c r="B689" s="18"/>
      <c r="C689" s="9"/>
      <c r="D689" s="10"/>
      <c r="E689" s="10"/>
      <c r="F689" s="10"/>
      <c r="G689" s="10"/>
      <c r="H689" s="10"/>
      <c r="I689" s="12"/>
      <c r="J689" s="13"/>
    </row>
    <row r="690" spans="1:10" ht="75" customHeight="1">
      <c r="A690" s="7"/>
      <c r="B690" s="18"/>
      <c r="C690" s="9"/>
      <c r="D690" s="10"/>
      <c r="E690" s="10"/>
      <c r="F690" s="10"/>
      <c r="G690" s="10"/>
      <c r="H690" s="10"/>
      <c r="I690" s="12"/>
      <c r="J690" s="13"/>
    </row>
    <row r="691" spans="1:10" ht="75" customHeight="1">
      <c r="A691" s="7"/>
      <c r="B691" s="18"/>
      <c r="C691" s="9"/>
      <c r="D691" s="10"/>
      <c r="E691" s="10"/>
      <c r="F691" s="10"/>
      <c r="G691" s="10"/>
      <c r="H691" s="10"/>
      <c r="I691" s="12"/>
      <c r="J691" s="13"/>
    </row>
    <row r="692" spans="1:10" ht="75" customHeight="1">
      <c r="A692" s="7"/>
      <c r="B692" s="18"/>
      <c r="C692" s="9"/>
      <c r="D692" s="10"/>
      <c r="E692" s="10"/>
      <c r="F692" s="10"/>
      <c r="G692" s="10"/>
      <c r="H692" s="10"/>
      <c r="I692" s="12"/>
      <c r="J692" s="13"/>
    </row>
    <row r="693" spans="1:10" ht="75" customHeight="1">
      <c r="A693" s="7"/>
      <c r="B693" s="18"/>
      <c r="C693" s="9"/>
      <c r="D693" s="10"/>
      <c r="E693" s="10"/>
      <c r="F693" s="10"/>
      <c r="G693" s="10"/>
      <c r="H693" s="10"/>
      <c r="I693" s="12"/>
      <c r="J693" s="13"/>
    </row>
    <row r="694" spans="1:10" ht="75" customHeight="1">
      <c r="A694" s="7"/>
      <c r="B694" s="18"/>
      <c r="C694" s="9"/>
      <c r="D694" s="10"/>
      <c r="E694" s="10"/>
      <c r="F694" s="10"/>
      <c r="G694" s="10"/>
      <c r="H694" s="10"/>
      <c r="I694" s="12"/>
      <c r="J694" s="13"/>
    </row>
    <row r="695" spans="1:10" ht="75" customHeight="1">
      <c r="A695" s="7"/>
      <c r="B695" s="18"/>
      <c r="C695" s="9"/>
      <c r="D695" s="10"/>
      <c r="E695" s="10"/>
      <c r="F695" s="10"/>
      <c r="G695" s="10"/>
      <c r="H695" s="10"/>
      <c r="I695" s="12"/>
      <c r="J695" s="13"/>
    </row>
    <row r="696" spans="1:10" ht="75" customHeight="1">
      <c r="A696" s="7"/>
      <c r="B696" s="18"/>
      <c r="C696" s="9"/>
      <c r="D696" s="10"/>
      <c r="E696" s="10"/>
      <c r="F696" s="10"/>
      <c r="G696" s="10"/>
      <c r="H696" s="10"/>
      <c r="I696" s="12"/>
      <c r="J696" s="13"/>
    </row>
    <row r="697" spans="1:10" ht="75" customHeight="1">
      <c r="A697" s="7"/>
      <c r="B697" s="18"/>
      <c r="C697" s="9"/>
      <c r="D697" s="10"/>
      <c r="E697" s="10"/>
      <c r="F697" s="10"/>
      <c r="G697" s="10"/>
      <c r="H697" s="10"/>
      <c r="I697" s="12"/>
      <c r="J697" s="13"/>
    </row>
    <row r="698" spans="1:10" ht="75" customHeight="1">
      <c r="A698" s="7"/>
      <c r="B698" s="18"/>
      <c r="C698" s="9"/>
      <c r="D698" s="10"/>
      <c r="E698" s="10"/>
      <c r="F698" s="10"/>
      <c r="G698" s="10"/>
      <c r="H698" s="10"/>
      <c r="I698" s="12"/>
      <c r="J698" s="13"/>
    </row>
    <row r="699" spans="1:10" ht="75" customHeight="1">
      <c r="A699" s="7"/>
      <c r="B699" s="18"/>
      <c r="C699" s="9"/>
      <c r="D699" s="10"/>
      <c r="E699" s="10"/>
      <c r="F699" s="10"/>
      <c r="G699" s="10"/>
      <c r="H699" s="10"/>
      <c r="I699" s="12"/>
      <c r="J699" s="13"/>
    </row>
    <row r="700" spans="1:10" ht="75" customHeight="1">
      <c r="A700" s="7"/>
      <c r="B700" s="18"/>
      <c r="C700" s="9"/>
      <c r="D700" s="10"/>
      <c r="E700" s="10"/>
      <c r="F700" s="10"/>
      <c r="G700" s="10"/>
      <c r="H700" s="10"/>
      <c r="I700" s="12"/>
      <c r="J700" s="13"/>
    </row>
    <row r="701" spans="1:10" ht="75" customHeight="1">
      <c r="A701" s="7"/>
      <c r="B701" s="18"/>
      <c r="C701" s="9"/>
      <c r="D701" s="10"/>
      <c r="E701" s="10"/>
      <c r="F701" s="10"/>
      <c r="G701" s="10"/>
      <c r="H701" s="10"/>
      <c r="I701" s="12"/>
      <c r="J701" s="13"/>
    </row>
    <row r="702" spans="1:10" ht="75" customHeight="1">
      <c r="A702" s="7"/>
      <c r="B702" s="18"/>
      <c r="C702" s="9"/>
      <c r="D702" s="10"/>
      <c r="E702" s="10"/>
      <c r="F702" s="10"/>
      <c r="G702" s="10"/>
      <c r="H702" s="10"/>
      <c r="I702" s="12"/>
      <c r="J702" s="13"/>
    </row>
    <row r="703" spans="1:10" ht="75" customHeight="1">
      <c r="A703" s="7"/>
      <c r="B703" s="18"/>
      <c r="C703" s="9"/>
      <c r="D703" s="10"/>
      <c r="E703" s="10"/>
      <c r="F703" s="10"/>
      <c r="G703" s="10"/>
      <c r="H703" s="10"/>
      <c r="I703" s="12"/>
      <c r="J703" s="13"/>
    </row>
    <row r="704" spans="1:10" ht="75" customHeight="1">
      <c r="A704" s="7"/>
      <c r="B704" s="18"/>
      <c r="C704" s="9"/>
      <c r="D704" s="10"/>
      <c r="E704" s="10"/>
      <c r="F704" s="10"/>
      <c r="G704" s="10"/>
      <c r="H704" s="10"/>
      <c r="I704" s="12"/>
      <c r="J704" s="13"/>
    </row>
    <row r="705" spans="1:10" ht="75" customHeight="1">
      <c r="A705" s="7"/>
      <c r="B705" s="18"/>
      <c r="C705" s="9"/>
      <c r="D705" s="10"/>
      <c r="E705" s="10"/>
      <c r="F705" s="10"/>
      <c r="G705" s="10"/>
      <c r="H705" s="10"/>
      <c r="I705" s="12"/>
      <c r="J705" s="13"/>
    </row>
    <row r="706" spans="1:10" ht="75" customHeight="1">
      <c r="A706" s="7"/>
      <c r="B706" s="18"/>
      <c r="C706" s="9"/>
      <c r="D706" s="10"/>
      <c r="E706" s="10"/>
      <c r="F706" s="10"/>
      <c r="G706" s="10"/>
      <c r="H706" s="10"/>
      <c r="I706" s="12"/>
      <c r="J706" s="13"/>
    </row>
    <row r="707" spans="1:10" ht="75" customHeight="1">
      <c r="A707" s="7"/>
      <c r="B707" s="18"/>
      <c r="C707" s="9"/>
      <c r="D707" s="10"/>
      <c r="E707" s="10"/>
      <c r="F707" s="10"/>
      <c r="G707" s="10"/>
      <c r="H707" s="10"/>
      <c r="I707" s="12"/>
      <c r="J707" s="13"/>
    </row>
    <row r="708" spans="1:10" ht="75" customHeight="1">
      <c r="A708" s="7"/>
      <c r="B708" s="18"/>
      <c r="C708" s="9"/>
      <c r="D708" s="10"/>
      <c r="E708" s="10"/>
      <c r="F708" s="10"/>
      <c r="G708" s="10"/>
      <c r="H708" s="10"/>
      <c r="I708" s="12"/>
      <c r="J708" s="13"/>
    </row>
    <row r="709" spans="1:10" ht="75" customHeight="1">
      <c r="A709" s="7"/>
      <c r="B709" s="18"/>
      <c r="C709" s="9"/>
      <c r="D709" s="10"/>
      <c r="E709" s="10"/>
      <c r="F709" s="10"/>
      <c r="G709" s="10"/>
      <c r="H709" s="10"/>
      <c r="I709" s="12"/>
      <c r="J709" s="13"/>
    </row>
    <row r="710" spans="1:10" ht="75" customHeight="1">
      <c r="A710" s="7"/>
      <c r="B710" s="18"/>
      <c r="C710" s="9"/>
      <c r="D710" s="10"/>
      <c r="E710" s="10"/>
      <c r="F710" s="10"/>
      <c r="G710" s="10"/>
      <c r="H710" s="10"/>
      <c r="I710" s="12"/>
      <c r="J710" s="13"/>
    </row>
    <row r="711" spans="1:10" ht="75" customHeight="1">
      <c r="A711" s="7"/>
      <c r="B711" s="18"/>
      <c r="C711" s="9"/>
      <c r="D711" s="10"/>
      <c r="E711" s="10"/>
      <c r="F711" s="10"/>
      <c r="G711" s="10"/>
      <c r="H711" s="10"/>
      <c r="I711" s="12"/>
      <c r="J711" s="13"/>
    </row>
    <row r="712" spans="1:10" ht="75" customHeight="1">
      <c r="A712" s="7"/>
      <c r="B712" s="18"/>
      <c r="C712" s="9"/>
      <c r="D712" s="10"/>
      <c r="E712" s="10"/>
      <c r="F712" s="10"/>
      <c r="G712" s="10"/>
      <c r="H712" s="10"/>
      <c r="I712" s="12"/>
      <c r="J712" s="13"/>
    </row>
    <row r="713" spans="1:10" ht="75" customHeight="1">
      <c r="A713" s="7"/>
      <c r="B713" s="18"/>
      <c r="C713" s="9"/>
      <c r="D713" s="10"/>
      <c r="E713" s="10"/>
      <c r="F713" s="10"/>
      <c r="G713" s="10"/>
      <c r="H713" s="10"/>
      <c r="I713" s="12"/>
      <c r="J713" s="13"/>
    </row>
    <row r="714" spans="1:10" ht="75" customHeight="1">
      <c r="A714" s="7"/>
      <c r="B714" s="18"/>
      <c r="C714" s="9"/>
      <c r="D714" s="10"/>
      <c r="E714" s="10"/>
      <c r="F714" s="10"/>
      <c r="G714" s="10"/>
      <c r="H714" s="10"/>
      <c r="I714" s="12"/>
      <c r="J714" s="13"/>
    </row>
    <row r="715" spans="1:10" ht="75" customHeight="1">
      <c r="A715" s="7"/>
      <c r="B715" s="18"/>
      <c r="C715" s="9"/>
      <c r="D715" s="10"/>
      <c r="E715" s="10"/>
      <c r="F715" s="10"/>
      <c r="G715" s="10"/>
      <c r="H715" s="10"/>
      <c r="I715" s="12"/>
      <c r="J715" s="13"/>
    </row>
    <row r="716" spans="1:10" ht="75" customHeight="1">
      <c r="A716" s="7"/>
      <c r="B716" s="18"/>
      <c r="C716" s="9"/>
      <c r="D716" s="10"/>
      <c r="E716" s="10"/>
      <c r="F716" s="10"/>
      <c r="G716" s="10"/>
      <c r="H716" s="10"/>
      <c r="I716" s="12"/>
      <c r="J716" s="13"/>
    </row>
    <row r="717" spans="1:10" ht="75" customHeight="1">
      <c r="A717" s="7"/>
      <c r="B717" s="18"/>
      <c r="C717" s="9"/>
      <c r="D717" s="10"/>
      <c r="E717" s="10"/>
      <c r="F717" s="10"/>
      <c r="G717" s="10"/>
      <c r="H717" s="10"/>
      <c r="I717" s="12"/>
      <c r="J717" s="13"/>
    </row>
    <row r="718" spans="1:10" ht="75" customHeight="1">
      <c r="A718" s="7"/>
      <c r="B718" s="18"/>
      <c r="C718" s="9"/>
      <c r="D718" s="10"/>
      <c r="E718" s="10"/>
      <c r="F718" s="10"/>
      <c r="G718" s="10"/>
      <c r="H718" s="10"/>
      <c r="I718" s="12"/>
      <c r="J718" s="13"/>
    </row>
    <row r="719" spans="1:10" ht="75" customHeight="1">
      <c r="A719" s="7"/>
      <c r="B719" s="18"/>
      <c r="C719" s="9"/>
      <c r="D719" s="10"/>
      <c r="E719" s="10"/>
      <c r="F719" s="10"/>
      <c r="G719" s="10"/>
      <c r="H719" s="10"/>
      <c r="I719" s="12"/>
      <c r="J719" s="13"/>
    </row>
    <row r="720" spans="1:10" ht="75" customHeight="1">
      <c r="A720" s="7"/>
      <c r="B720" s="18"/>
      <c r="C720" s="9"/>
      <c r="D720" s="10"/>
      <c r="E720" s="10"/>
      <c r="F720" s="10"/>
      <c r="G720" s="10"/>
      <c r="H720" s="10"/>
      <c r="I720" s="12"/>
      <c r="J720" s="13"/>
    </row>
    <row r="721" spans="1:10" ht="75" customHeight="1">
      <c r="A721" s="7"/>
      <c r="B721" s="18"/>
      <c r="C721" s="9"/>
      <c r="D721" s="10"/>
      <c r="E721" s="10"/>
      <c r="F721" s="10"/>
      <c r="G721" s="10"/>
      <c r="H721" s="10"/>
      <c r="I721" s="12"/>
      <c r="J721" s="13"/>
    </row>
    <row r="722" spans="1:10" ht="75" customHeight="1">
      <c r="A722" s="7"/>
      <c r="B722" s="18"/>
      <c r="C722" s="9"/>
      <c r="D722" s="10"/>
      <c r="E722" s="10"/>
      <c r="F722" s="10"/>
      <c r="G722" s="10"/>
      <c r="H722" s="10"/>
      <c r="I722" s="12"/>
      <c r="J722" s="13"/>
    </row>
    <row r="723" spans="1:10" ht="75" customHeight="1">
      <c r="A723" s="7"/>
      <c r="B723" s="18"/>
      <c r="C723" s="9"/>
      <c r="D723" s="10"/>
      <c r="E723" s="10"/>
      <c r="F723" s="10"/>
      <c r="G723" s="10"/>
      <c r="H723" s="10"/>
      <c r="I723" s="12"/>
      <c r="J723" s="13"/>
    </row>
    <row r="724" spans="1:10" ht="75" customHeight="1">
      <c r="A724" s="7"/>
      <c r="B724" s="18"/>
      <c r="C724" s="9"/>
      <c r="D724" s="10"/>
      <c r="E724" s="10"/>
      <c r="F724" s="10"/>
      <c r="G724" s="10"/>
      <c r="H724" s="10"/>
      <c r="I724" s="12"/>
      <c r="J724" s="13"/>
    </row>
    <row r="725" spans="1:10" ht="75" customHeight="1">
      <c r="A725" s="7"/>
      <c r="B725" s="18"/>
      <c r="C725" s="9"/>
      <c r="D725" s="10"/>
      <c r="E725" s="10"/>
      <c r="F725" s="10"/>
      <c r="G725" s="10"/>
      <c r="H725" s="10"/>
      <c r="I725" s="12"/>
      <c r="J725" s="13"/>
    </row>
    <row r="726" spans="1:10" ht="75" customHeight="1">
      <c r="A726" s="7"/>
      <c r="B726" s="18"/>
      <c r="C726" s="9"/>
      <c r="D726" s="10"/>
      <c r="E726" s="10"/>
      <c r="F726" s="10"/>
      <c r="G726" s="10"/>
      <c r="H726" s="10"/>
      <c r="I726" s="12"/>
      <c r="J726" s="13"/>
    </row>
    <row r="727" spans="1:10" ht="75" customHeight="1">
      <c r="A727" s="7"/>
      <c r="B727" s="18"/>
      <c r="C727" s="9"/>
      <c r="D727" s="10"/>
      <c r="E727" s="10"/>
      <c r="F727" s="10"/>
      <c r="G727" s="10"/>
      <c r="H727" s="10"/>
      <c r="I727" s="12"/>
      <c r="J727" s="13"/>
    </row>
    <row r="728" spans="1:10" ht="75" customHeight="1">
      <c r="A728" s="7"/>
      <c r="B728" s="18"/>
      <c r="C728" s="9"/>
      <c r="D728" s="10"/>
      <c r="E728" s="10"/>
      <c r="F728" s="10"/>
      <c r="G728" s="10"/>
      <c r="H728" s="10"/>
      <c r="I728" s="12"/>
      <c r="J728" s="13"/>
    </row>
    <row r="729" spans="1:10" ht="75" customHeight="1">
      <c r="A729" s="7"/>
      <c r="B729" s="18"/>
      <c r="C729" s="9"/>
      <c r="D729" s="10"/>
      <c r="E729" s="10"/>
      <c r="F729" s="10"/>
      <c r="G729" s="10"/>
      <c r="H729" s="10"/>
      <c r="I729" s="12"/>
      <c r="J729" s="13"/>
    </row>
    <row r="730" spans="1:10" ht="75" customHeight="1">
      <c r="A730" s="7"/>
      <c r="B730" s="18"/>
      <c r="C730" s="9"/>
      <c r="D730" s="10"/>
      <c r="E730" s="10"/>
      <c r="F730" s="10"/>
      <c r="G730" s="10"/>
      <c r="H730" s="10"/>
      <c r="I730" s="12"/>
      <c r="J730" s="13"/>
    </row>
    <row r="731" spans="1:10" ht="75" customHeight="1">
      <c r="A731" s="7"/>
      <c r="B731" s="18"/>
      <c r="C731" s="9"/>
      <c r="D731" s="10"/>
      <c r="E731" s="10"/>
      <c r="F731" s="10"/>
      <c r="G731" s="10"/>
      <c r="H731" s="10"/>
      <c r="I731" s="12"/>
      <c r="J731" s="13"/>
    </row>
    <row r="732" spans="1:10" ht="75" customHeight="1">
      <c r="A732" s="7"/>
      <c r="B732" s="18"/>
      <c r="C732" s="9"/>
      <c r="D732" s="10"/>
      <c r="E732" s="10"/>
      <c r="F732" s="10"/>
      <c r="G732" s="10"/>
      <c r="H732" s="10"/>
      <c r="I732" s="12"/>
      <c r="J732" s="13"/>
    </row>
    <row r="733" spans="1:10" ht="75" customHeight="1">
      <c r="A733" s="7"/>
      <c r="B733" s="18"/>
      <c r="C733" s="9"/>
      <c r="D733" s="10"/>
      <c r="E733" s="10"/>
      <c r="F733" s="10"/>
      <c r="G733" s="10"/>
      <c r="H733" s="10"/>
      <c r="I733" s="12"/>
      <c r="J733" s="13"/>
    </row>
    <row r="734" spans="1:10" ht="75" customHeight="1">
      <c r="A734" s="7"/>
      <c r="B734" s="18"/>
      <c r="C734" s="9"/>
      <c r="D734" s="10"/>
      <c r="E734" s="10"/>
      <c r="F734" s="10"/>
      <c r="G734" s="10"/>
      <c r="H734" s="10"/>
      <c r="I734" s="12"/>
      <c r="J734" s="13"/>
    </row>
    <row r="735" spans="1:10" ht="75" customHeight="1">
      <c r="A735" s="7"/>
      <c r="B735" s="18"/>
      <c r="C735" s="9"/>
      <c r="D735" s="10"/>
      <c r="E735" s="10"/>
      <c r="F735" s="10"/>
      <c r="G735" s="10"/>
      <c r="H735" s="10"/>
      <c r="I735" s="12"/>
      <c r="J735" s="13"/>
    </row>
    <row r="736" spans="1:10" ht="75" customHeight="1">
      <c r="A736" s="7"/>
      <c r="B736" s="18"/>
      <c r="C736" s="9"/>
      <c r="D736" s="10"/>
      <c r="E736" s="10"/>
      <c r="F736" s="10"/>
      <c r="G736" s="10"/>
      <c r="H736" s="10"/>
      <c r="I736" s="12"/>
      <c r="J736" s="13"/>
    </row>
    <row r="737" spans="1:10" ht="75" customHeight="1">
      <c r="A737" s="7"/>
      <c r="B737" s="18"/>
      <c r="C737" s="9"/>
      <c r="D737" s="10"/>
      <c r="E737" s="10"/>
      <c r="F737" s="10"/>
      <c r="G737" s="10"/>
      <c r="H737" s="10"/>
      <c r="I737" s="12"/>
      <c r="J737" s="13"/>
    </row>
    <row r="738" spans="1:10" ht="75" customHeight="1">
      <c r="A738" s="7"/>
      <c r="B738" s="18"/>
      <c r="C738" s="9"/>
      <c r="D738" s="10"/>
      <c r="E738" s="10"/>
      <c r="F738" s="10"/>
      <c r="G738" s="10"/>
      <c r="H738" s="10"/>
      <c r="I738" s="12"/>
      <c r="J738" s="13"/>
    </row>
    <row r="739" spans="1:10" ht="75" customHeight="1">
      <c r="A739" s="7"/>
      <c r="B739" s="18"/>
      <c r="C739" s="9"/>
      <c r="D739" s="10"/>
      <c r="E739" s="10"/>
      <c r="F739" s="10"/>
      <c r="G739" s="10"/>
      <c r="H739" s="10"/>
      <c r="I739" s="12"/>
      <c r="J739" s="13"/>
    </row>
    <row r="740" spans="1:10" ht="75" customHeight="1">
      <c r="A740" s="7"/>
      <c r="B740" s="18"/>
      <c r="C740" s="9"/>
      <c r="D740" s="10"/>
      <c r="E740" s="10"/>
      <c r="F740" s="10"/>
      <c r="G740" s="10"/>
      <c r="H740" s="10"/>
      <c r="I740" s="12"/>
      <c r="J740" s="13"/>
    </row>
    <row r="741" spans="1:10" ht="75" customHeight="1">
      <c r="A741" s="7"/>
      <c r="B741" s="18"/>
      <c r="C741" s="9"/>
      <c r="D741" s="10"/>
      <c r="E741" s="10"/>
      <c r="F741" s="10"/>
      <c r="G741" s="10"/>
      <c r="H741" s="10"/>
      <c r="I741" s="12"/>
      <c r="J741" s="13"/>
    </row>
    <row r="742" spans="1:10" ht="75" customHeight="1">
      <c r="A742" s="7"/>
      <c r="B742" s="18"/>
      <c r="C742" s="9"/>
      <c r="D742" s="10"/>
      <c r="E742" s="10"/>
      <c r="F742" s="10"/>
      <c r="G742" s="10"/>
      <c r="H742" s="10"/>
      <c r="I742" s="12"/>
      <c r="J742" s="13"/>
    </row>
    <row r="743" spans="1:10" ht="75" customHeight="1">
      <c r="A743" s="7"/>
      <c r="B743" s="18"/>
      <c r="C743" s="9"/>
      <c r="D743" s="10"/>
      <c r="E743" s="10"/>
      <c r="F743" s="10"/>
      <c r="G743" s="10"/>
      <c r="H743" s="10"/>
      <c r="I743" s="12"/>
      <c r="J743" s="13"/>
    </row>
    <row r="744" spans="1:10" ht="75" customHeight="1">
      <c r="A744" s="7"/>
      <c r="B744" s="18"/>
      <c r="C744" s="9"/>
      <c r="D744" s="10"/>
      <c r="E744" s="10"/>
      <c r="F744" s="10"/>
      <c r="G744" s="10"/>
      <c r="H744" s="10"/>
      <c r="I744" s="12"/>
      <c r="J744" s="13"/>
    </row>
    <row r="745" spans="1:10" ht="75" customHeight="1">
      <c r="A745" s="7"/>
      <c r="B745" s="18"/>
      <c r="C745" s="9"/>
      <c r="D745" s="10"/>
      <c r="E745" s="10"/>
      <c r="F745" s="10"/>
      <c r="G745" s="10"/>
      <c r="H745" s="10"/>
      <c r="I745" s="12"/>
      <c r="J745" s="13"/>
    </row>
    <row r="746" spans="1:10" ht="75" customHeight="1">
      <c r="A746" s="7"/>
      <c r="B746" s="18"/>
      <c r="C746" s="9"/>
      <c r="D746" s="10"/>
      <c r="E746" s="10"/>
      <c r="F746" s="10"/>
      <c r="G746" s="10"/>
      <c r="H746" s="10"/>
      <c r="I746" s="12"/>
      <c r="J746" s="13"/>
    </row>
    <row r="747" spans="1:10" ht="75" customHeight="1">
      <c r="A747" s="7"/>
      <c r="B747" s="18"/>
      <c r="C747" s="9"/>
      <c r="D747" s="10"/>
      <c r="E747" s="10"/>
      <c r="F747" s="10"/>
      <c r="G747" s="10"/>
      <c r="H747" s="10"/>
      <c r="I747" s="12"/>
      <c r="J747" s="13"/>
    </row>
    <row r="748" spans="1:10" ht="75" customHeight="1">
      <c r="A748" s="7"/>
      <c r="B748" s="18"/>
      <c r="C748" s="9"/>
      <c r="D748" s="10"/>
      <c r="E748" s="10"/>
      <c r="F748" s="10"/>
      <c r="G748" s="10"/>
      <c r="H748" s="10"/>
      <c r="I748" s="12"/>
      <c r="J748" s="13"/>
    </row>
    <row r="749" spans="1:10" ht="75" customHeight="1">
      <c r="A749" s="7"/>
      <c r="B749" s="18"/>
      <c r="C749" s="9"/>
      <c r="D749" s="10"/>
      <c r="E749" s="10"/>
      <c r="F749" s="10"/>
      <c r="G749" s="10"/>
      <c r="H749" s="10"/>
      <c r="I749" s="12"/>
      <c r="J749" s="13"/>
    </row>
    <row r="750" spans="1:10" ht="75" customHeight="1">
      <c r="A750" s="7"/>
      <c r="B750" s="18"/>
      <c r="C750" s="9"/>
      <c r="D750" s="10"/>
      <c r="E750" s="10"/>
      <c r="F750" s="10"/>
      <c r="G750" s="10"/>
      <c r="H750" s="10"/>
      <c r="I750" s="12"/>
      <c r="J750" s="13"/>
    </row>
    <row r="751" spans="1:10" ht="75" customHeight="1">
      <c r="A751" s="7"/>
      <c r="B751" s="18"/>
      <c r="C751" s="9"/>
      <c r="D751" s="10"/>
      <c r="E751" s="10"/>
      <c r="F751" s="10"/>
      <c r="G751" s="10"/>
      <c r="H751" s="10"/>
      <c r="I751" s="12"/>
      <c r="J751" s="13"/>
    </row>
    <row r="752" spans="1:10" ht="75" customHeight="1">
      <c r="A752" s="7"/>
      <c r="B752" s="18"/>
      <c r="C752" s="9"/>
      <c r="D752" s="10"/>
      <c r="E752" s="10"/>
      <c r="F752" s="10"/>
      <c r="G752" s="10"/>
      <c r="H752" s="10"/>
      <c r="I752" s="12"/>
      <c r="J752" s="13"/>
    </row>
    <row r="753" spans="1:10" ht="75" customHeight="1">
      <c r="A753" s="7"/>
      <c r="B753" s="18"/>
      <c r="C753" s="9"/>
      <c r="D753" s="10"/>
      <c r="E753" s="10"/>
      <c r="F753" s="10"/>
      <c r="G753" s="10"/>
      <c r="H753" s="10"/>
      <c r="I753" s="12"/>
      <c r="J753" s="13"/>
    </row>
    <row r="754" spans="1:10" ht="75" customHeight="1">
      <c r="A754" s="7"/>
      <c r="B754" s="18"/>
      <c r="C754" s="9"/>
      <c r="D754" s="10"/>
      <c r="E754" s="10"/>
      <c r="F754" s="10"/>
      <c r="G754" s="10"/>
      <c r="H754" s="10"/>
      <c r="I754" s="12"/>
      <c r="J754" s="13"/>
    </row>
    <row r="755" spans="1:10" ht="75" customHeight="1">
      <c r="A755" s="7"/>
      <c r="B755" s="18"/>
      <c r="C755" s="9"/>
      <c r="D755" s="10"/>
      <c r="E755" s="10"/>
      <c r="F755" s="10"/>
      <c r="G755" s="10"/>
      <c r="H755" s="10"/>
      <c r="I755" s="12"/>
      <c r="J755" s="13"/>
    </row>
    <row r="756" spans="1:10" ht="75" customHeight="1">
      <c r="A756" s="7"/>
      <c r="B756" s="18"/>
      <c r="C756" s="9"/>
      <c r="D756" s="10"/>
      <c r="E756" s="10"/>
      <c r="F756" s="10"/>
      <c r="G756" s="10"/>
      <c r="H756" s="10"/>
      <c r="I756" s="12"/>
      <c r="J756" s="13"/>
    </row>
    <row r="757" spans="1:10" ht="75" customHeight="1">
      <c r="A757" s="7"/>
      <c r="B757" s="18"/>
      <c r="C757" s="9"/>
      <c r="D757" s="10"/>
      <c r="E757" s="10"/>
      <c r="F757" s="10"/>
      <c r="G757" s="10"/>
      <c r="H757" s="10"/>
      <c r="I757" s="12"/>
      <c r="J757" s="13"/>
    </row>
    <row r="758" spans="1:10" ht="75" customHeight="1">
      <c r="A758" s="7"/>
      <c r="B758" s="18"/>
      <c r="C758" s="9"/>
      <c r="D758" s="10"/>
      <c r="E758" s="10"/>
      <c r="F758" s="10"/>
      <c r="G758" s="10"/>
      <c r="H758" s="10"/>
      <c r="I758" s="12"/>
      <c r="J758" s="13"/>
    </row>
    <row r="759" spans="1:10" ht="75" customHeight="1">
      <c r="A759" s="7"/>
      <c r="B759" s="18"/>
      <c r="C759" s="9"/>
      <c r="D759" s="10"/>
      <c r="E759" s="10"/>
      <c r="F759" s="10"/>
      <c r="G759" s="10"/>
      <c r="H759" s="10"/>
      <c r="I759" s="12"/>
      <c r="J759" s="13"/>
    </row>
    <row r="760" spans="1:10" ht="75" customHeight="1">
      <c r="A760" s="7"/>
      <c r="B760" s="18"/>
      <c r="C760" s="9"/>
      <c r="D760" s="10"/>
      <c r="E760" s="10"/>
      <c r="F760" s="10"/>
      <c r="G760" s="10"/>
      <c r="H760" s="10"/>
      <c r="I760" s="12"/>
      <c r="J760" s="13"/>
    </row>
    <row r="761" spans="1:10" ht="75" customHeight="1">
      <c r="A761" s="7"/>
      <c r="B761" s="18"/>
      <c r="C761" s="9"/>
      <c r="D761" s="10"/>
      <c r="E761" s="10"/>
      <c r="F761" s="10"/>
      <c r="G761" s="10"/>
      <c r="H761" s="10"/>
      <c r="I761" s="12"/>
      <c r="J761" s="13"/>
    </row>
    <row r="762" spans="1:10" ht="75" customHeight="1">
      <c r="A762" s="7"/>
      <c r="B762" s="18"/>
      <c r="C762" s="9"/>
      <c r="D762" s="10"/>
      <c r="E762" s="10"/>
      <c r="F762" s="10"/>
      <c r="G762" s="10"/>
      <c r="H762" s="10"/>
      <c r="I762" s="12"/>
      <c r="J762" s="13"/>
    </row>
    <row r="763" spans="1:10" ht="75" customHeight="1">
      <c r="A763" s="7"/>
      <c r="B763" s="18"/>
      <c r="C763" s="9"/>
      <c r="D763" s="10"/>
      <c r="E763" s="10"/>
      <c r="F763" s="10"/>
      <c r="G763" s="10"/>
      <c r="H763" s="10"/>
      <c r="I763" s="12"/>
      <c r="J763" s="13"/>
    </row>
    <row r="764" spans="1:10" ht="75" customHeight="1">
      <c r="A764" s="7"/>
      <c r="B764" s="18"/>
      <c r="C764" s="9"/>
      <c r="D764" s="10"/>
      <c r="E764" s="10"/>
      <c r="F764" s="10"/>
      <c r="G764" s="10"/>
      <c r="H764" s="10"/>
      <c r="I764" s="12"/>
      <c r="J764" s="13"/>
    </row>
    <row r="765" spans="1:10" ht="75" customHeight="1">
      <c r="A765" s="7"/>
      <c r="B765" s="18"/>
      <c r="C765" s="9"/>
      <c r="D765" s="10"/>
      <c r="E765" s="10"/>
      <c r="F765" s="10"/>
      <c r="G765" s="10"/>
      <c r="H765" s="10"/>
      <c r="I765" s="12"/>
      <c r="J765" s="13"/>
    </row>
    <row r="766" spans="1:10" ht="75" customHeight="1">
      <c r="A766" s="7"/>
      <c r="B766" s="18"/>
      <c r="C766" s="9"/>
      <c r="D766" s="10"/>
      <c r="E766" s="10"/>
      <c r="F766" s="10"/>
      <c r="G766" s="10"/>
      <c r="H766" s="10"/>
      <c r="I766" s="12"/>
      <c r="J766" s="13"/>
    </row>
    <row r="767" spans="1:10" ht="75" customHeight="1">
      <c r="A767" s="7"/>
      <c r="B767" s="18"/>
      <c r="C767" s="9"/>
      <c r="D767" s="10"/>
      <c r="E767" s="10"/>
      <c r="F767" s="10"/>
      <c r="G767" s="10"/>
      <c r="H767" s="10"/>
      <c r="I767" s="12"/>
      <c r="J767" s="13"/>
    </row>
    <row r="768" spans="1:10" ht="75" customHeight="1">
      <c r="A768" s="7"/>
      <c r="B768" s="18"/>
      <c r="C768" s="9"/>
      <c r="D768" s="10"/>
      <c r="E768" s="10"/>
      <c r="F768" s="10"/>
      <c r="G768" s="10"/>
      <c r="H768" s="10"/>
      <c r="I768" s="12"/>
      <c r="J768" s="13"/>
    </row>
    <row r="769" spans="1:10" ht="75" customHeight="1">
      <c r="A769" s="7"/>
      <c r="B769" s="18"/>
      <c r="C769" s="9"/>
      <c r="D769" s="10"/>
      <c r="E769" s="10"/>
      <c r="F769" s="10"/>
      <c r="G769" s="10"/>
      <c r="H769" s="10"/>
      <c r="I769" s="12"/>
      <c r="J769" s="13"/>
    </row>
    <row r="770" spans="1:10" ht="75" customHeight="1">
      <c r="A770" s="7"/>
      <c r="B770" s="18"/>
      <c r="C770" s="9"/>
      <c r="D770" s="10"/>
      <c r="E770" s="10"/>
      <c r="F770" s="10"/>
      <c r="G770" s="10"/>
      <c r="H770" s="10"/>
      <c r="I770" s="12"/>
      <c r="J770" s="13"/>
    </row>
    <row r="771" spans="1:10" ht="75" customHeight="1">
      <c r="A771" s="7"/>
      <c r="B771" s="18"/>
      <c r="C771" s="9"/>
      <c r="D771" s="10"/>
      <c r="E771" s="10"/>
      <c r="F771" s="10"/>
      <c r="G771" s="10"/>
      <c r="H771" s="10"/>
      <c r="I771" s="12"/>
      <c r="J771" s="13"/>
    </row>
    <row r="772" spans="1:10" ht="75" customHeight="1">
      <c r="A772" s="7"/>
      <c r="B772" s="18"/>
      <c r="C772" s="9"/>
      <c r="D772" s="10"/>
      <c r="E772" s="10"/>
      <c r="F772" s="10"/>
      <c r="G772" s="10"/>
      <c r="H772" s="10"/>
      <c r="I772" s="12"/>
      <c r="J772" s="13"/>
    </row>
    <row r="773" spans="1:10" ht="75" customHeight="1">
      <c r="A773" s="7"/>
      <c r="B773" s="18"/>
      <c r="C773" s="9"/>
      <c r="D773" s="10"/>
      <c r="E773" s="10"/>
      <c r="F773" s="10"/>
      <c r="G773" s="10"/>
      <c r="H773" s="10"/>
      <c r="I773" s="12"/>
      <c r="J773" s="13"/>
    </row>
    <row r="774" spans="1:10" ht="75" customHeight="1">
      <c r="A774" s="7"/>
      <c r="B774" s="18"/>
      <c r="C774" s="9"/>
      <c r="D774" s="10"/>
      <c r="E774" s="10"/>
      <c r="F774" s="10"/>
      <c r="G774" s="10"/>
      <c r="H774" s="10"/>
      <c r="I774" s="12"/>
      <c r="J774" s="13"/>
    </row>
    <row r="775" spans="1:10" ht="75" customHeight="1">
      <c r="A775" s="7"/>
      <c r="B775" s="18"/>
      <c r="C775" s="9"/>
      <c r="D775" s="10"/>
      <c r="E775" s="10"/>
      <c r="F775" s="10"/>
      <c r="G775" s="10"/>
      <c r="H775" s="10"/>
      <c r="I775" s="12"/>
      <c r="J775" s="13"/>
    </row>
    <row r="776" spans="1:10" ht="75" customHeight="1">
      <c r="A776" s="7"/>
      <c r="B776" s="18"/>
      <c r="C776" s="9"/>
      <c r="D776" s="10"/>
      <c r="E776" s="10"/>
      <c r="F776" s="10"/>
      <c r="G776" s="10"/>
      <c r="H776" s="10"/>
      <c r="I776" s="12"/>
      <c r="J776" s="13"/>
    </row>
    <row r="777" spans="1:10" ht="75" customHeight="1">
      <c r="A777" s="7"/>
      <c r="B777" s="18"/>
      <c r="C777" s="9"/>
      <c r="D777" s="10"/>
      <c r="E777" s="10"/>
      <c r="F777" s="10"/>
      <c r="G777" s="10"/>
      <c r="H777" s="10"/>
      <c r="I777" s="12"/>
      <c r="J777" s="13"/>
    </row>
    <row r="778" spans="1:10" ht="75" customHeight="1">
      <c r="A778" s="7"/>
      <c r="B778" s="18"/>
      <c r="C778" s="9"/>
      <c r="D778" s="10"/>
      <c r="E778" s="10"/>
      <c r="F778" s="10"/>
      <c r="G778" s="10"/>
      <c r="H778" s="10"/>
      <c r="I778" s="12"/>
      <c r="J778" s="13"/>
    </row>
    <row r="779" spans="1:10" ht="75" customHeight="1">
      <c r="A779" s="7"/>
      <c r="B779" s="18"/>
      <c r="C779" s="9"/>
      <c r="D779" s="10"/>
      <c r="E779" s="10"/>
      <c r="F779" s="10"/>
      <c r="G779" s="10"/>
      <c r="H779" s="10"/>
      <c r="I779" s="12"/>
      <c r="J779" s="13"/>
    </row>
    <row r="780" spans="1:10" ht="75" customHeight="1">
      <c r="A780" s="7"/>
      <c r="B780" s="18"/>
      <c r="C780" s="9"/>
      <c r="D780" s="10"/>
      <c r="E780" s="10"/>
      <c r="F780" s="10"/>
      <c r="G780" s="10"/>
      <c r="H780" s="10"/>
      <c r="I780" s="12"/>
      <c r="J780" s="13"/>
    </row>
    <row r="781" spans="1:10" ht="75" customHeight="1">
      <c r="A781" s="7"/>
      <c r="B781" s="18"/>
      <c r="C781" s="9"/>
      <c r="D781" s="10"/>
      <c r="E781" s="10"/>
      <c r="F781" s="10"/>
      <c r="G781" s="10"/>
      <c r="H781" s="10"/>
      <c r="I781" s="12"/>
      <c r="J781" s="13"/>
    </row>
    <row r="782" spans="1:10" ht="75" customHeight="1">
      <c r="A782" s="7"/>
      <c r="B782" s="18"/>
      <c r="C782" s="9"/>
      <c r="D782" s="10"/>
      <c r="E782" s="10"/>
      <c r="F782" s="10"/>
      <c r="G782" s="10"/>
      <c r="H782" s="10"/>
      <c r="I782" s="12"/>
      <c r="J782" s="13"/>
    </row>
    <row r="783" spans="1:10" ht="75" customHeight="1">
      <c r="A783" s="7"/>
      <c r="B783" s="18"/>
      <c r="C783" s="9"/>
      <c r="D783" s="10"/>
      <c r="E783" s="10"/>
      <c r="F783" s="10"/>
      <c r="G783" s="10"/>
      <c r="H783" s="10"/>
      <c r="I783" s="12"/>
      <c r="J783" s="13"/>
    </row>
    <row r="784" spans="1:10" ht="75" customHeight="1">
      <c r="A784" s="7"/>
      <c r="B784" s="18"/>
      <c r="C784" s="9"/>
      <c r="D784" s="10"/>
      <c r="E784" s="10"/>
      <c r="F784" s="10"/>
      <c r="G784" s="10"/>
      <c r="H784" s="10"/>
      <c r="I784" s="12"/>
      <c r="J784" s="13"/>
    </row>
    <row r="785" spans="1:10" ht="75" customHeight="1">
      <c r="A785" s="7"/>
      <c r="B785" s="18"/>
      <c r="C785" s="9"/>
      <c r="D785" s="10"/>
      <c r="E785" s="10"/>
      <c r="F785" s="10"/>
      <c r="G785" s="10"/>
      <c r="H785" s="10"/>
      <c r="I785" s="12"/>
      <c r="J785" s="13"/>
    </row>
    <row r="786" spans="1:10" ht="75" customHeight="1">
      <c r="A786" s="7"/>
      <c r="B786" s="18"/>
      <c r="C786" s="9"/>
      <c r="D786" s="10"/>
      <c r="E786" s="10"/>
      <c r="F786" s="10"/>
      <c r="G786" s="10"/>
      <c r="H786" s="10"/>
      <c r="I786" s="12"/>
      <c r="J786" s="13"/>
    </row>
    <row r="787" spans="1:10" ht="75" customHeight="1">
      <c r="A787" s="7"/>
      <c r="B787" s="18"/>
      <c r="C787" s="9"/>
      <c r="D787" s="10"/>
      <c r="E787" s="10"/>
      <c r="F787" s="10"/>
      <c r="G787" s="10"/>
      <c r="H787" s="10"/>
      <c r="I787" s="12"/>
      <c r="J787" s="13"/>
    </row>
    <row r="788" spans="1:10" ht="75" customHeight="1">
      <c r="A788" s="7"/>
      <c r="B788" s="18"/>
      <c r="C788" s="9"/>
      <c r="D788" s="10"/>
      <c r="E788" s="10"/>
      <c r="F788" s="10"/>
      <c r="G788" s="10"/>
      <c r="H788" s="10"/>
      <c r="I788" s="12"/>
      <c r="J788" s="13"/>
    </row>
    <row r="789" spans="1:10" ht="75" customHeight="1">
      <c r="A789" s="7"/>
      <c r="B789" s="18"/>
      <c r="C789" s="9"/>
      <c r="D789" s="10"/>
      <c r="E789" s="10"/>
      <c r="F789" s="10"/>
      <c r="G789" s="10"/>
      <c r="H789" s="10"/>
      <c r="I789" s="12"/>
      <c r="J789" s="13"/>
    </row>
    <row r="790" spans="1:10" ht="75" customHeight="1">
      <c r="A790" s="7"/>
      <c r="B790" s="18"/>
      <c r="C790" s="9"/>
      <c r="D790" s="10"/>
      <c r="E790" s="10"/>
      <c r="F790" s="10"/>
      <c r="G790" s="10"/>
      <c r="H790" s="10"/>
      <c r="I790" s="12"/>
      <c r="J790" s="13"/>
    </row>
    <row r="791" spans="1:10" ht="75" customHeight="1">
      <c r="A791" s="7"/>
      <c r="B791" s="18"/>
      <c r="C791" s="9"/>
      <c r="D791" s="10"/>
      <c r="E791" s="10"/>
      <c r="F791" s="10"/>
      <c r="G791" s="10"/>
      <c r="H791" s="10"/>
      <c r="I791" s="12"/>
      <c r="J791" s="13"/>
    </row>
    <row r="792" spans="1:10" ht="75" customHeight="1">
      <c r="A792" s="7"/>
      <c r="B792" s="18"/>
      <c r="C792" s="9"/>
      <c r="D792" s="10"/>
      <c r="E792" s="10"/>
      <c r="F792" s="10"/>
      <c r="G792" s="10"/>
      <c r="H792" s="10"/>
      <c r="I792" s="12"/>
      <c r="J792" s="13"/>
    </row>
    <row r="793" spans="1:10" ht="75" customHeight="1">
      <c r="A793" s="7"/>
      <c r="B793" s="18"/>
      <c r="C793" s="9"/>
      <c r="D793" s="10"/>
      <c r="E793" s="10"/>
      <c r="F793" s="10"/>
      <c r="G793" s="10"/>
      <c r="H793" s="10"/>
      <c r="I793" s="12"/>
      <c r="J793" s="13"/>
    </row>
    <row r="794" spans="1:10" ht="75" customHeight="1">
      <c r="A794" s="7"/>
      <c r="B794" s="18"/>
      <c r="C794" s="9"/>
      <c r="D794" s="10"/>
      <c r="E794" s="10"/>
      <c r="F794" s="10"/>
      <c r="G794" s="10"/>
      <c r="H794" s="10"/>
      <c r="I794" s="12"/>
      <c r="J794" s="13"/>
    </row>
    <row r="795" spans="1:10" ht="75" customHeight="1">
      <c r="A795" s="7"/>
      <c r="B795" s="18"/>
      <c r="C795" s="9"/>
      <c r="D795" s="10"/>
      <c r="E795" s="10"/>
      <c r="F795" s="10"/>
      <c r="G795" s="10"/>
      <c r="H795" s="10"/>
      <c r="I795" s="12"/>
      <c r="J795" s="13"/>
    </row>
    <row r="796" spans="1:10" ht="75" customHeight="1">
      <c r="A796" s="7"/>
      <c r="B796" s="18"/>
      <c r="C796" s="9"/>
      <c r="D796" s="10"/>
      <c r="E796" s="10"/>
      <c r="F796" s="10"/>
      <c r="G796" s="10"/>
      <c r="H796" s="10"/>
      <c r="I796" s="12"/>
      <c r="J796" s="13"/>
    </row>
    <row r="797" spans="1:10" ht="75" customHeight="1">
      <c r="A797" s="7"/>
      <c r="B797" s="18"/>
      <c r="C797" s="9"/>
      <c r="D797" s="10"/>
      <c r="E797" s="10"/>
      <c r="F797" s="10"/>
      <c r="G797" s="10"/>
      <c r="H797" s="10"/>
      <c r="I797" s="12"/>
      <c r="J797" s="13"/>
    </row>
    <row r="798" spans="1:10" ht="75" customHeight="1">
      <c r="A798" s="7"/>
      <c r="B798" s="18"/>
      <c r="C798" s="9"/>
      <c r="D798" s="10"/>
      <c r="E798" s="10"/>
      <c r="F798" s="10"/>
      <c r="G798" s="10"/>
      <c r="H798" s="10"/>
      <c r="I798" s="12"/>
      <c r="J798" s="13"/>
    </row>
    <row r="799" spans="1:10" ht="75" customHeight="1">
      <c r="A799" s="7"/>
      <c r="B799" s="18"/>
      <c r="C799" s="9"/>
      <c r="D799" s="10"/>
      <c r="E799" s="10"/>
      <c r="F799" s="10"/>
      <c r="G799" s="10"/>
      <c r="H799" s="10"/>
      <c r="I799" s="12"/>
      <c r="J799" s="13"/>
    </row>
    <row r="800" spans="1:10" ht="75" customHeight="1">
      <c r="A800" s="7"/>
      <c r="B800" s="18"/>
      <c r="C800" s="9"/>
      <c r="D800" s="10"/>
      <c r="E800" s="10"/>
      <c r="F800" s="10"/>
      <c r="G800" s="10"/>
      <c r="H800" s="10"/>
      <c r="I800" s="12"/>
      <c r="J800" s="13"/>
    </row>
    <row r="801" spans="1:10" ht="75" customHeight="1">
      <c r="A801" s="7"/>
      <c r="B801" s="18"/>
      <c r="C801" s="9"/>
      <c r="D801" s="10"/>
      <c r="E801" s="10"/>
      <c r="F801" s="10"/>
      <c r="G801" s="10"/>
      <c r="H801" s="10"/>
      <c r="I801" s="12"/>
      <c r="J801" s="13"/>
    </row>
    <row r="802" spans="1:10" ht="75" customHeight="1">
      <c r="A802" s="7"/>
      <c r="B802" s="18"/>
      <c r="C802" s="9"/>
      <c r="D802" s="10"/>
      <c r="E802" s="10"/>
      <c r="F802" s="10"/>
      <c r="G802" s="10"/>
      <c r="H802" s="10"/>
      <c r="I802" s="12"/>
      <c r="J802" s="13"/>
    </row>
    <row r="803" spans="1:10" ht="75" customHeight="1">
      <c r="A803" s="7"/>
      <c r="B803" s="18"/>
      <c r="C803" s="9"/>
      <c r="D803" s="10"/>
      <c r="E803" s="10"/>
      <c r="F803" s="10"/>
      <c r="G803" s="10"/>
      <c r="H803" s="10"/>
      <c r="I803" s="12"/>
      <c r="J803" s="13"/>
    </row>
    <row r="804" spans="1:10" ht="75" customHeight="1">
      <c r="A804" s="7"/>
      <c r="B804" s="18"/>
      <c r="C804" s="9"/>
      <c r="D804" s="10"/>
      <c r="E804" s="10"/>
      <c r="F804" s="10"/>
      <c r="G804" s="10"/>
      <c r="H804" s="10"/>
      <c r="I804" s="12"/>
      <c r="J804" s="13"/>
    </row>
    <row r="805" spans="1:10" ht="75" customHeight="1">
      <c r="A805" s="7"/>
      <c r="B805" s="18"/>
      <c r="C805" s="9"/>
      <c r="D805" s="10"/>
      <c r="E805" s="10"/>
      <c r="F805" s="10"/>
      <c r="G805" s="10"/>
      <c r="H805" s="10"/>
      <c r="I805" s="12"/>
      <c r="J805" s="13"/>
    </row>
    <row r="806" spans="1:10" ht="75" customHeight="1">
      <c r="A806" s="7"/>
      <c r="B806" s="18"/>
      <c r="C806" s="9"/>
      <c r="D806" s="10"/>
      <c r="E806" s="10"/>
      <c r="F806" s="10"/>
      <c r="G806" s="10"/>
      <c r="H806" s="10"/>
      <c r="I806" s="12"/>
      <c r="J806" s="13"/>
    </row>
    <row r="807" spans="1:10" ht="75" customHeight="1">
      <c r="A807" s="7"/>
      <c r="B807" s="18"/>
      <c r="C807" s="9"/>
      <c r="D807" s="10"/>
      <c r="E807" s="10"/>
      <c r="F807" s="10"/>
      <c r="G807" s="10"/>
      <c r="H807" s="10"/>
      <c r="I807" s="12"/>
      <c r="J807" s="13"/>
    </row>
    <row r="808" spans="1:10" ht="75" customHeight="1">
      <c r="A808" s="7"/>
      <c r="B808" s="18"/>
      <c r="C808" s="9"/>
      <c r="D808" s="10"/>
      <c r="E808" s="10"/>
      <c r="F808" s="10"/>
      <c r="G808" s="10"/>
      <c r="H808" s="10"/>
      <c r="I808" s="12"/>
      <c r="J808" s="13"/>
    </row>
    <row r="809" spans="1:10" ht="75" customHeight="1">
      <c r="A809" s="7"/>
      <c r="B809" s="18"/>
      <c r="C809" s="9"/>
      <c r="D809" s="10"/>
      <c r="E809" s="10"/>
      <c r="F809" s="10"/>
      <c r="G809" s="10"/>
      <c r="H809" s="10"/>
      <c r="I809" s="12"/>
      <c r="J809" s="13"/>
    </row>
    <row r="810" spans="1:10" ht="75" customHeight="1">
      <c r="A810" s="7"/>
      <c r="B810" s="18"/>
      <c r="C810" s="9"/>
      <c r="D810" s="10"/>
      <c r="E810" s="10"/>
      <c r="F810" s="10"/>
      <c r="G810" s="10"/>
      <c r="H810" s="10"/>
      <c r="I810" s="12"/>
      <c r="J810" s="13"/>
    </row>
    <row r="811" spans="1:10" ht="75" customHeight="1">
      <c r="A811" s="7"/>
      <c r="B811" s="18"/>
      <c r="C811" s="9"/>
      <c r="D811" s="10"/>
      <c r="E811" s="10"/>
      <c r="F811" s="10"/>
      <c r="G811" s="10"/>
      <c r="H811" s="10"/>
      <c r="I811" s="12"/>
      <c r="J811" s="13"/>
    </row>
    <row r="812" spans="1:10" ht="75" customHeight="1">
      <c r="A812" s="7"/>
      <c r="B812" s="18"/>
      <c r="C812" s="9"/>
      <c r="D812" s="10"/>
      <c r="E812" s="10"/>
      <c r="F812" s="10"/>
      <c r="G812" s="10"/>
      <c r="H812" s="10"/>
      <c r="I812" s="12"/>
      <c r="J812" s="13"/>
    </row>
    <row r="813" spans="1:10" ht="75" customHeight="1">
      <c r="A813" s="7"/>
      <c r="B813" s="18"/>
      <c r="C813" s="9"/>
      <c r="D813" s="10"/>
      <c r="E813" s="10"/>
      <c r="F813" s="10"/>
      <c r="G813" s="10"/>
      <c r="H813" s="10"/>
      <c r="I813" s="12"/>
      <c r="J813" s="13"/>
    </row>
    <row r="814" spans="1:10" ht="75" customHeight="1">
      <c r="A814" s="7"/>
      <c r="B814" s="18"/>
      <c r="C814" s="9"/>
      <c r="D814" s="10"/>
      <c r="E814" s="10"/>
      <c r="F814" s="10"/>
      <c r="G814" s="10"/>
      <c r="H814" s="10"/>
      <c r="I814" s="12"/>
      <c r="J814" s="13"/>
    </row>
    <row r="815" spans="1:10" ht="75" customHeight="1">
      <c r="A815" s="7"/>
      <c r="B815" s="18"/>
      <c r="C815" s="9"/>
      <c r="D815" s="10"/>
      <c r="E815" s="10"/>
      <c r="F815" s="10"/>
      <c r="G815" s="10"/>
      <c r="H815" s="10"/>
      <c r="I815" s="12"/>
      <c r="J815" s="13"/>
    </row>
    <row r="816" spans="1:10" ht="75" customHeight="1">
      <c r="A816" s="7"/>
      <c r="B816" s="18"/>
      <c r="C816" s="9"/>
      <c r="D816" s="10"/>
      <c r="E816" s="10"/>
      <c r="F816" s="10"/>
      <c r="G816" s="10"/>
      <c r="H816" s="10"/>
      <c r="I816" s="12"/>
      <c r="J816" s="13"/>
    </row>
    <row r="817" spans="1:10" ht="75" customHeight="1">
      <c r="A817" s="7"/>
      <c r="B817" s="18"/>
      <c r="C817" s="9"/>
      <c r="D817" s="10"/>
      <c r="E817" s="10"/>
      <c r="F817" s="10"/>
      <c r="G817" s="10"/>
      <c r="H817" s="10"/>
      <c r="I817" s="12"/>
      <c r="J817" s="13"/>
    </row>
    <row r="818" spans="1:10" ht="75" customHeight="1">
      <c r="A818" s="7"/>
      <c r="B818" s="18"/>
      <c r="C818" s="9"/>
      <c r="D818" s="10"/>
      <c r="E818" s="10"/>
      <c r="F818" s="10"/>
      <c r="G818" s="10"/>
      <c r="H818" s="10"/>
      <c r="I818" s="12"/>
      <c r="J818" s="13"/>
    </row>
    <row r="819" spans="1:10" ht="75" customHeight="1">
      <c r="A819" s="7"/>
      <c r="B819" s="18"/>
      <c r="C819" s="9"/>
      <c r="D819" s="10"/>
      <c r="E819" s="10"/>
      <c r="F819" s="10"/>
      <c r="G819" s="10"/>
      <c r="H819" s="10"/>
      <c r="I819" s="12"/>
      <c r="J819" s="13"/>
    </row>
    <row r="820" spans="1:10" ht="75" customHeight="1">
      <c r="A820" s="7"/>
      <c r="B820" s="18"/>
      <c r="C820" s="9"/>
      <c r="D820" s="10"/>
      <c r="E820" s="10"/>
      <c r="F820" s="10"/>
      <c r="G820" s="10"/>
      <c r="H820" s="10"/>
      <c r="I820" s="12"/>
      <c r="J820" s="13"/>
    </row>
    <row r="821" spans="1:10" ht="75" customHeight="1">
      <c r="A821" s="7"/>
      <c r="B821" s="18"/>
      <c r="C821" s="9"/>
      <c r="D821" s="10"/>
      <c r="E821" s="10"/>
      <c r="F821" s="10"/>
      <c r="G821" s="10"/>
      <c r="H821" s="10"/>
      <c r="I821" s="12"/>
      <c r="J821" s="13"/>
    </row>
    <row r="822" spans="1:10" ht="75" customHeight="1">
      <c r="A822" s="7"/>
      <c r="B822" s="18"/>
      <c r="C822" s="9"/>
      <c r="D822" s="10"/>
      <c r="E822" s="10"/>
      <c r="F822" s="10"/>
      <c r="G822" s="10"/>
      <c r="H822" s="10"/>
      <c r="I822" s="12"/>
      <c r="J822" s="13"/>
    </row>
    <row r="823" spans="1:10" ht="75" customHeight="1">
      <c r="A823" s="7"/>
      <c r="B823" s="18"/>
      <c r="C823" s="9"/>
      <c r="D823" s="10"/>
      <c r="E823" s="10"/>
      <c r="F823" s="10"/>
      <c r="G823" s="10"/>
      <c r="H823" s="10"/>
      <c r="I823" s="12"/>
      <c r="J823" s="13"/>
    </row>
    <row r="824" spans="1:10" ht="75" customHeight="1">
      <c r="A824" s="7"/>
      <c r="B824" s="18"/>
      <c r="C824" s="9"/>
      <c r="D824" s="10"/>
      <c r="E824" s="10"/>
      <c r="F824" s="10"/>
      <c r="G824" s="10"/>
      <c r="H824" s="10"/>
      <c r="I824" s="12"/>
      <c r="J824" s="13"/>
    </row>
    <row r="825" spans="1:10" ht="75" customHeight="1">
      <c r="A825" s="7"/>
      <c r="B825" s="18"/>
      <c r="C825" s="9"/>
      <c r="D825" s="10"/>
      <c r="E825" s="10"/>
      <c r="F825" s="10"/>
      <c r="G825" s="10"/>
      <c r="H825" s="10"/>
      <c r="I825" s="12"/>
      <c r="J825" s="13"/>
    </row>
    <row r="826" spans="1:10" ht="75" customHeight="1">
      <c r="A826" s="7"/>
      <c r="B826" s="18"/>
      <c r="C826" s="9"/>
      <c r="D826" s="10"/>
      <c r="E826" s="10"/>
      <c r="F826" s="10"/>
      <c r="G826" s="10"/>
      <c r="H826" s="10"/>
      <c r="I826" s="12"/>
      <c r="J826" s="13"/>
    </row>
    <row r="827" spans="1:10" ht="75" customHeight="1">
      <c r="A827" s="7"/>
      <c r="B827" s="18"/>
      <c r="C827" s="9"/>
      <c r="D827" s="10"/>
      <c r="E827" s="10"/>
      <c r="F827" s="10"/>
      <c r="G827" s="10"/>
      <c r="H827" s="10"/>
      <c r="I827" s="12"/>
      <c r="J827" s="13"/>
    </row>
    <row r="828" spans="1:10" ht="75" customHeight="1">
      <c r="A828" s="7"/>
      <c r="B828" s="18"/>
      <c r="C828" s="9"/>
      <c r="D828" s="10"/>
      <c r="E828" s="10"/>
      <c r="F828" s="10"/>
      <c r="G828" s="10"/>
      <c r="H828" s="10"/>
      <c r="I828" s="12"/>
      <c r="J828" s="13"/>
    </row>
    <row r="829" spans="1:10" ht="75" customHeight="1">
      <c r="A829" s="7"/>
      <c r="B829" s="18"/>
      <c r="C829" s="9"/>
      <c r="D829" s="10"/>
      <c r="E829" s="10"/>
      <c r="F829" s="10"/>
      <c r="G829" s="10"/>
      <c r="H829" s="10"/>
      <c r="I829" s="12"/>
      <c r="J829" s="13"/>
    </row>
    <row r="830" spans="1:10" ht="75" customHeight="1">
      <c r="A830" s="7"/>
      <c r="B830" s="18"/>
      <c r="C830" s="9"/>
      <c r="D830" s="10"/>
      <c r="E830" s="10"/>
      <c r="F830" s="10"/>
      <c r="G830" s="10"/>
      <c r="H830" s="10"/>
      <c r="I830" s="12"/>
      <c r="J830" s="13"/>
    </row>
    <row r="831" spans="1:10" ht="75" customHeight="1">
      <c r="A831" s="7"/>
      <c r="B831" s="18"/>
      <c r="C831" s="9"/>
      <c r="D831" s="10"/>
      <c r="E831" s="10"/>
      <c r="F831" s="10"/>
      <c r="G831" s="10"/>
      <c r="H831" s="10"/>
      <c r="I831" s="12"/>
      <c r="J831" s="13"/>
    </row>
    <row r="832" spans="1:10" ht="75" customHeight="1">
      <c r="A832" s="7"/>
      <c r="B832" s="18"/>
      <c r="C832" s="9"/>
      <c r="D832" s="10"/>
      <c r="E832" s="10"/>
      <c r="F832" s="10"/>
      <c r="G832" s="10"/>
      <c r="H832" s="10"/>
      <c r="I832" s="12"/>
      <c r="J832" s="13"/>
    </row>
    <row r="833" spans="1:10" ht="75" customHeight="1">
      <c r="A833" s="7"/>
      <c r="B833" s="18"/>
      <c r="C833" s="9"/>
      <c r="D833" s="10"/>
      <c r="E833" s="10"/>
      <c r="F833" s="10"/>
      <c r="G833" s="10"/>
      <c r="H833" s="10"/>
      <c r="I833" s="12"/>
      <c r="J833" s="13"/>
    </row>
    <row r="834" spans="1:10" ht="75" customHeight="1">
      <c r="A834" s="7"/>
      <c r="B834" s="18"/>
      <c r="C834" s="9"/>
      <c r="D834" s="10"/>
      <c r="E834" s="10"/>
      <c r="F834" s="10"/>
      <c r="G834" s="10"/>
      <c r="H834" s="10"/>
      <c r="I834" s="12"/>
      <c r="J834" s="13"/>
    </row>
    <row r="835" spans="1:10" ht="75" customHeight="1">
      <c r="A835" s="7"/>
      <c r="B835" s="18"/>
      <c r="C835" s="9"/>
      <c r="D835" s="10"/>
      <c r="E835" s="10"/>
      <c r="F835" s="10"/>
      <c r="G835" s="10"/>
      <c r="H835" s="10"/>
      <c r="I835" s="12"/>
      <c r="J835" s="13"/>
    </row>
    <row r="836" spans="1:10" ht="75" customHeight="1">
      <c r="A836" s="7"/>
      <c r="B836" s="18"/>
      <c r="C836" s="9"/>
      <c r="D836" s="10"/>
      <c r="E836" s="10"/>
      <c r="F836" s="10"/>
      <c r="G836" s="10"/>
      <c r="H836" s="10"/>
      <c r="I836" s="12"/>
      <c r="J836" s="13"/>
    </row>
    <row r="837" spans="1:10" ht="75" customHeight="1">
      <c r="A837" s="7"/>
      <c r="B837" s="18"/>
      <c r="C837" s="9"/>
      <c r="D837" s="10"/>
      <c r="E837" s="10"/>
      <c r="F837" s="10"/>
      <c r="G837" s="10"/>
      <c r="H837" s="10"/>
      <c r="I837" s="12"/>
      <c r="J837" s="13"/>
    </row>
    <row r="838" spans="1:10" ht="75" customHeight="1">
      <c r="A838" s="7"/>
      <c r="B838" s="18"/>
      <c r="C838" s="9"/>
      <c r="D838" s="10"/>
      <c r="E838" s="10"/>
      <c r="F838" s="10"/>
      <c r="G838" s="10"/>
      <c r="H838" s="10"/>
      <c r="I838" s="12"/>
      <c r="J838" s="13"/>
    </row>
    <row r="839" spans="1:10" ht="75" customHeight="1">
      <c r="A839" s="7"/>
      <c r="B839" s="18"/>
      <c r="C839" s="9"/>
      <c r="D839" s="10"/>
      <c r="E839" s="10"/>
      <c r="F839" s="10"/>
      <c r="G839" s="10"/>
      <c r="H839" s="10"/>
      <c r="I839" s="12"/>
      <c r="J839" s="13"/>
    </row>
    <row r="840" spans="1:10" ht="75" customHeight="1">
      <c r="A840" s="7"/>
      <c r="B840" s="18"/>
      <c r="C840" s="9"/>
      <c r="D840" s="10"/>
      <c r="E840" s="10"/>
      <c r="F840" s="10"/>
      <c r="G840" s="10"/>
      <c r="H840" s="10"/>
      <c r="I840" s="12"/>
      <c r="J840" s="13"/>
    </row>
    <row r="841" spans="1:10" ht="75" customHeight="1">
      <c r="A841" s="7"/>
      <c r="B841" s="18"/>
      <c r="C841" s="9"/>
      <c r="D841" s="10"/>
      <c r="E841" s="10"/>
      <c r="F841" s="10"/>
      <c r="G841" s="10"/>
      <c r="H841" s="10"/>
      <c r="I841" s="12"/>
      <c r="J841" s="13"/>
    </row>
    <row r="842" spans="1:10" ht="75" customHeight="1">
      <c r="A842" s="7"/>
      <c r="B842" s="18"/>
      <c r="C842" s="9"/>
      <c r="D842" s="10"/>
      <c r="E842" s="10"/>
      <c r="F842" s="10"/>
      <c r="G842" s="10"/>
      <c r="H842" s="10"/>
      <c r="I842" s="12"/>
      <c r="J842" s="13"/>
    </row>
    <row r="843" spans="1:10" ht="75" customHeight="1">
      <c r="A843" s="7"/>
      <c r="B843" s="18"/>
      <c r="C843" s="9"/>
      <c r="D843" s="10"/>
      <c r="E843" s="10"/>
      <c r="F843" s="10"/>
      <c r="G843" s="10"/>
      <c r="H843" s="10"/>
      <c r="I843" s="12"/>
      <c r="J843" s="13"/>
    </row>
    <row r="844" spans="1:10" ht="75" customHeight="1">
      <c r="A844" s="7"/>
      <c r="B844" s="18"/>
      <c r="C844" s="9"/>
      <c r="D844" s="10"/>
      <c r="E844" s="10"/>
      <c r="F844" s="10"/>
      <c r="G844" s="10"/>
      <c r="H844" s="10"/>
      <c r="I844" s="12"/>
      <c r="J844" s="13"/>
    </row>
    <row r="845" spans="1:10" ht="75" customHeight="1">
      <c r="A845" s="7"/>
      <c r="B845" s="18"/>
      <c r="C845" s="9"/>
      <c r="D845" s="10"/>
      <c r="E845" s="10"/>
      <c r="F845" s="10"/>
      <c r="G845" s="10"/>
      <c r="H845" s="10"/>
      <c r="I845" s="12"/>
      <c r="J845" s="13"/>
    </row>
    <row r="846" spans="1:10" ht="75" customHeight="1">
      <c r="A846" s="7"/>
      <c r="B846" s="18"/>
      <c r="C846" s="9"/>
      <c r="D846" s="10"/>
      <c r="E846" s="10"/>
      <c r="F846" s="10"/>
      <c r="G846" s="10"/>
      <c r="H846" s="10"/>
      <c r="I846" s="12"/>
      <c r="J846" s="13"/>
    </row>
    <row r="847" spans="1:10" ht="75" customHeight="1">
      <c r="A847" s="7"/>
      <c r="B847" s="18"/>
      <c r="C847" s="9"/>
      <c r="D847" s="10"/>
      <c r="E847" s="10"/>
      <c r="F847" s="10"/>
      <c r="G847" s="10"/>
      <c r="H847" s="10"/>
      <c r="I847" s="12"/>
      <c r="J847" s="13"/>
    </row>
    <row r="848" spans="1:10" ht="75" customHeight="1">
      <c r="A848" s="7"/>
      <c r="B848" s="18"/>
      <c r="C848" s="9"/>
      <c r="D848" s="10"/>
      <c r="E848" s="10"/>
      <c r="F848" s="10"/>
      <c r="G848" s="10"/>
      <c r="H848" s="10"/>
      <c r="I848" s="12"/>
      <c r="J848" s="13"/>
    </row>
    <row r="849" spans="1:10" ht="75" customHeight="1">
      <c r="A849" s="7"/>
      <c r="B849" s="18"/>
      <c r="C849" s="9"/>
      <c r="D849" s="10"/>
      <c r="E849" s="10"/>
      <c r="F849" s="10"/>
      <c r="G849" s="10"/>
      <c r="H849" s="10"/>
      <c r="I849" s="12"/>
      <c r="J849" s="13"/>
    </row>
    <row r="850" spans="1:10" ht="75" customHeight="1">
      <c r="A850" s="7"/>
      <c r="B850" s="18"/>
      <c r="C850" s="9"/>
      <c r="D850" s="10"/>
      <c r="E850" s="10"/>
      <c r="F850" s="10"/>
      <c r="G850" s="10"/>
      <c r="H850" s="10"/>
      <c r="I850" s="12"/>
      <c r="J850" s="13"/>
    </row>
    <row r="851" spans="1:10" ht="75" customHeight="1">
      <c r="A851" s="7"/>
      <c r="B851" s="18"/>
      <c r="C851" s="9"/>
      <c r="D851" s="10"/>
      <c r="E851" s="10"/>
      <c r="F851" s="10"/>
      <c r="G851" s="10"/>
      <c r="H851" s="10"/>
      <c r="I851" s="12"/>
      <c r="J851" s="13"/>
    </row>
    <row r="852" spans="1:10" ht="75" customHeight="1">
      <c r="A852" s="7"/>
      <c r="B852" s="18"/>
      <c r="C852" s="9"/>
      <c r="D852" s="10"/>
      <c r="E852" s="10"/>
      <c r="F852" s="10"/>
      <c r="G852" s="10"/>
      <c r="H852" s="10"/>
      <c r="I852" s="12"/>
      <c r="J852" s="13"/>
    </row>
    <row r="853" spans="1:10" ht="75" customHeight="1">
      <c r="A853" s="7"/>
      <c r="B853" s="18"/>
      <c r="C853" s="9"/>
      <c r="D853" s="10"/>
      <c r="E853" s="10"/>
      <c r="F853" s="10"/>
      <c r="G853" s="10"/>
      <c r="H853" s="10"/>
      <c r="I853" s="12"/>
      <c r="J853" s="13"/>
    </row>
    <row r="854" spans="1:10" ht="75" customHeight="1">
      <c r="A854" s="7"/>
      <c r="B854" s="18"/>
      <c r="C854" s="9"/>
      <c r="D854" s="10"/>
      <c r="E854" s="10"/>
      <c r="F854" s="10"/>
      <c r="G854" s="10"/>
      <c r="H854" s="10"/>
      <c r="I854" s="12"/>
      <c r="J854" s="13"/>
    </row>
    <row r="855" spans="1:10" ht="75" customHeight="1">
      <c r="A855" s="7"/>
      <c r="B855" s="18"/>
      <c r="C855" s="9"/>
      <c r="D855" s="10"/>
      <c r="E855" s="10"/>
      <c r="F855" s="10"/>
      <c r="G855" s="10"/>
      <c r="H855" s="10"/>
      <c r="I855" s="12"/>
      <c r="J855" s="13"/>
    </row>
    <row r="856" spans="1:10" ht="75" customHeight="1">
      <c r="A856" s="7"/>
      <c r="B856" s="18"/>
      <c r="C856" s="9"/>
      <c r="D856" s="10"/>
      <c r="E856" s="10"/>
      <c r="F856" s="10"/>
      <c r="G856" s="10"/>
      <c r="H856" s="10"/>
      <c r="I856" s="12"/>
      <c r="J856" s="13"/>
    </row>
    <row r="857" spans="1:10" ht="75" customHeight="1">
      <c r="A857" s="7"/>
      <c r="B857" s="18"/>
      <c r="C857" s="9"/>
      <c r="D857" s="10"/>
      <c r="E857" s="10"/>
      <c r="F857" s="10"/>
      <c r="G857" s="10"/>
      <c r="H857" s="10"/>
      <c r="I857" s="12"/>
      <c r="J857" s="13"/>
    </row>
    <row r="858" spans="1:10" ht="75" customHeight="1">
      <c r="A858" s="7"/>
      <c r="B858" s="18"/>
      <c r="C858" s="9"/>
      <c r="D858" s="10"/>
      <c r="E858" s="10"/>
      <c r="F858" s="10"/>
      <c r="G858" s="10"/>
      <c r="H858" s="10"/>
      <c r="I858" s="12"/>
      <c r="J858" s="13"/>
    </row>
    <row r="859" spans="1:10" ht="75" customHeight="1">
      <c r="A859" s="7"/>
      <c r="B859" s="18"/>
      <c r="C859" s="9"/>
      <c r="D859" s="10"/>
      <c r="E859" s="10"/>
      <c r="F859" s="10"/>
      <c r="G859" s="10"/>
      <c r="H859" s="10"/>
      <c r="I859" s="12"/>
      <c r="J859" s="13"/>
    </row>
    <row r="860" spans="1:10" ht="75" customHeight="1">
      <c r="A860" s="7"/>
      <c r="B860" s="18"/>
      <c r="C860" s="9"/>
      <c r="D860" s="10"/>
      <c r="E860" s="10"/>
      <c r="F860" s="10"/>
      <c r="G860" s="10"/>
      <c r="H860" s="10"/>
      <c r="I860" s="12"/>
      <c r="J860" s="13"/>
    </row>
    <row r="861" spans="1:10" ht="75" customHeight="1">
      <c r="A861" s="7"/>
      <c r="B861" s="18"/>
      <c r="C861" s="9"/>
      <c r="D861" s="10"/>
      <c r="E861" s="10"/>
      <c r="F861" s="10"/>
      <c r="G861" s="10"/>
      <c r="H861" s="10"/>
      <c r="I861" s="12"/>
      <c r="J861" s="13"/>
    </row>
    <row r="862" spans="1:10" ht="75" customHeight="1">
      <c r="A862" s="7"/>
      <c r="B862" s="18"/>
      <c r="C862" s="9"/>
      <c r="D862" s="10"/>
      <c r="E862" s="10"/>
      <c r="F862" s="10"/>
      <c r="G862" s="10"/>
      <c r="H862" s="10"/>
      <c r="I862" s="12"/>
      <c r="J862" s="13"/>
    </row>
    <row r="863" spans="1:10" ht="75" customHeight="1">
      <c r="A863" s="7"/>
      <c r="B863" s="18"/>
      <c r="C863" s="9"/>
      <c r="D863" s="10"/>
      <c r="E863" s="10"/>
      <c r="F863" s="10"/>
      <c r="G863" s="10"/>
      <c r="H863" s="10"/>
      <c r="I863" s="12"/>
      <c r="J863" s="13"/>
    </row>
    <row r="864" spans="1:10" ht="75" customHeight="1">
      <c r="A864" s="7"/>
      <c r="B864" s="18"/>
      <c r="C864" s="9"/>
      <c r="D864" s="10"/>
      <c r="E864" s="10"/>
      <c r="F864" s="10"/>
      <c r="G864" s="10"/>
      <c r="H864" s="10"/>
      <c r="I864" s="12"/>
      <c r="J864" s="13"/>
    </row>
    <row r="865" spans="1:10" ht="75" customHeight="1">
      <c r="A865" s="7"/>
      <c r="B865" s="18"/>
      <c r="C865" s="9"/>
      <c r="D865" s="10"/>
      <c r="E865" s="10"/>
      <c r="F865" s="10"/>
      <c r="G865" s="10"/>
      <c r="H865" s="10"/>
      <c r="I865" s="12"/>
      <c r="J865" s="13"/>
    </row>
    <row r="866" spans="1:10" ht="75" customHeight="1">
      <c r="A866" s="7"/>
      <c r="B866" s="18"/>
      <c r="C866" s="9"/>
      <c r="D866" s="10"/>
      <c r="E866" s="10"/>
      <c r="F866" s="10"/>
      <c r="G866" s="10"/>
      <c r="H866" s="10"/>
      <c r="I866" s="12"/>
      <c r="J866" s="13"/>
    </row>
    <row r="867" spans="1:10" ht="75" customHeight="1">
      <c r="A867" s="7"/>
      <c r="B867" s="18"/>
      <c r="C867" s="9"/>
      <c r="D867" s="10"/>
      <c r="E867" s="10"/>
      <c r="F867" s="10"/>
      <c r="G867" s="10"/>
      <c r="H867" s="10"/>
      <c r="I867" s="12"/>
      <c r="J867" s="13"/>
    </row>
    <row r="868" spans="1:10" ht="75" customHeight="1">
      <c r="A868" s="7"/>
      <c r="B868" s="18"/>
      <c r="C868" s="9"/>
      <c r="D868" s="10"/>
      <c r="E868" s="10"/>
      <c r="F868" s="10"/>
      <c r="G868" s="10"/>
      <c r="H868" s="10"/>
      <c r="I868" s="12"/>
      <c r="J868" s="13"/>
    </row>
    <row r="869" spans="1:10" ht="75" customHeight="1">
      <c r="A869" s="7"/>
      <c r="B869" s="18"/>
      <c r="C869" s="9"/>
      <c r="D869" s="10"/>
      <c r="E869" s="10"/>
      <c r="F869" s="10"/>
      <c r="G869" s="10"/>
      <c r="H869" s="10"/>
      <c r="I869" s="12"/>
      <c r="J869" s="13"/>
    </row>
    <row r="870" spans="1:10" ht="75" customHeight="1">
      <c r="A870" s="7"/>
      <c r="B870" s="18"/>
      <c r="C870" s="9"/>
      <c r="D870" s="10"/>
      <c r="E870" s="10"/>
      <c r="F870" s="10"/>
      <c r="G870" s="10"/>
      <c r="H870" s="10"/>
      <c r="I870" s="12"/>
      <c r="J870" s="13"/>
    </row>
    <row r="871" spans="1:10" ht="75" customHeight="1">
      <c r="A871" s="7"/>
      <c r="B871" s="18"/>
      <c r="C871" s="9"/>
      <c r="D871" s="10"/>
      <c r="E871" s="10"/>
      <c r="F871" s="10"/>
      <c r="G871" s="10"/>
      <c r="H871" s="10"/>
      <c r="I871" s="12"/>
      <c r="J871" s="13"/>
    </row>
    <row r="872" spans="1:10" ht="75" customHeight="1">
      <c r="A872" s="7"/>
      <c r="B872" s="18"/>
      <c r="C872" s="9"/>
      <c r="D872" s="10"/>
      <c r="E872" s="10"/>
      <c r="F872" s="10"/>
      <c r="G872" s="10"/>
      <c r="H872" s="10"/>
      <c r="I872" s="12"/>
      <c r="J872" s="13"/>
    </row>
    <row r="873" spans="1:10" ht="75" customHeight="1">
      <c r="A873" s="7"/>
      <c r="B873" s="18"/>
      <c r="C873" s="9"/>
      <c r="D873" s="10"/>
      <c r="E873" s="10"/>
      <c r="F873" s="10"/>
      <c r="G873" s="10"/>
      <c r="H873" s="10"/>
      <c r="I873" s="12"/>
      <c r="J873" s="13"/>
    </row>
    <row r="874" spans="1:10" ht="75" customHeight="1">
      <c r="A874" s="7"/>
      <c r="B874" s="18"/>
      <c r="C874" s="9"/>
      <c r="D874" s="10"/>
      <c r="E874" s="10"/>
      <c r="F874" s="10"/>
      <c r="G874" s="10"/>
      <c r="H874" s="10"/>
      <c r="I874" s="12"/>
      <c r="J874" s="13"/>
    </row>
    <row r="875" spans="1:10" ht="75" customHeight="1">
      <c r="A875" s="7"/>
      <c r="B875" s="18"/>
      <c r="C875" s="9"/>
      <c r="D875" s="10"/>
      <c r="E875" s="10"/>
      <c r="F875" s="10"/>
      <c r="G875" s="10"/>
      <c r="H875" s="10"/>
      <c r="I875" s="12"/>
      <c r="J875" s="13"/>
    </row>
    <row r="876" spans="1:10" ht="75" customHeight="1">
      <c r="A876" s="7"/>
      <c r="B876" s="18"/>
      <c r="C876" s="9"/>
      <c r="D876" s="10"/>
      <c r="E876" s="10"/>
      <c r="F876" s="10"/>
      <c r="G876" s="10"/>
      <c r="H876" s="10"/>
      <c r="I876" s="12"/>
      <c r="J876" s="13"/>
    </row>
    <row r="877" spans="1:10" ht="75" customHeight="1">
      <c r="A877" s="7"/>
      <c r="B877" s="18"/>
      <c r="C877" s="9"/>
      <c r="D877" s="10"/>
      <c r="E877" s="10"/>
      <c r="F877" s="10"/>
      <c r="G877" s="10"/>
      <c r="H877" s="10"/>
      <c r="I877" s="12"/>
      <c r="J877" s="13"/>
    </row>
    <row r="878" spans="1:10" ht="75" customHeight="1">
      <c r="A878" s="7"/>
      <c r="B878" s="18"/>
      <c r="C878" s="9"/>
      <c r="D878" s="10"/>
      <c r="E878" s="10"/>
      <c r="F878" s="10"/>
      <c r="G878" s="10"/>
      <c r="H878" s="10"/>
      <c r="I878" s="12"/>
      <c r="J878" s="13"/>
    </row>
    <row r="879" spans="1:10" ht="75" customHeight="1">
      <c r="A879" s="7"/>
      <c r="B879" s="18"/>
      <c r="C879" s="9"/>
      <c r="D879" s="10"/>
      <c r="E879" s="10"/>
      <c r="F879" s="10"/>
      <c r="G879" s="10"/>
      <c r="H879" s="10"/>
      <c r="I879" s="12"/>
      <c r="J879" s="13"/>
    </row>
    <row r="880" spans="1:10" ht="75" customHeight="1">
      <c r="A880" s="7"/>
      <c r="B880" s="18"/>
      <c r="C880" s="9"/>
      <c r="D880" s="10"/>
      <c r="E880" s="10"/>
      <c r="F880" s="10"/>
      <c r="G880" s="10"/>
      <c r="H880" s="10"/>
      <c r="I880" s="12"/>
      <c r="J880" s="13"/>
    </row>
    <row r="881" spans="1:10" ht="75" customHeight="1">
      <c r="A881" s="7"/>
      <c r="B881" s="18"/>
      <c r="C881" s="9"/>
      <c r="D881" s="10"/>
      <c r="E881" s="10"/>
      <c r="F881" s="10"/>
      <c r="G881" s="10"/>
      <c r="H881" s="10"/>
      <c r="I881" s="12"/>
      <c r="J881" s="13"/>
    </row>
    <row r="882" spans="1:10" ht="75" customHeight="1">
      <c r="A882" s="7"/>
      <c r="B882" s="18"/>
      <c r="C882" s="9"/>
      <c r="D882" s="10"/>
      <c r="E882" s="10"/>
      <c r="F882" s="10"/>
      <c r="G882" s="10"/>
      <c r="H882" s="10"/>
      <c r="I882" s="12"/>
      <c r="J882" s="13"/>
    </row>
    <row r="883" spans="1:10" ht="75" customHeight="1">
      <c r="A883" s="7"/>
      <c r="B883" s="18"/>
      <c r="C883" s="9"/>
      <c r="D883" s="10"/>
      <c r="E883" s="10"/>
      <c r="F883" s="10"/>
      <c r="G883" s="10"/>
      <c r="H883" s="10"/>
      <c r="I883" s="12"/>
      <c r="J883" s="13"/>
    </row>
    <row r="884" spans="1:10" ht="75" customHeight="1">
      <c r="A884" s="7"/>
      <c r="B884" s="18"/>
      <c r="C884" s="9"/>
      <c r="D884" s="10"/>
      <c r="E884" s="10"/>
      <c r="F884" s="10"/>
      <c r="G884" s="10"/>
      <c r="H884" s="10"/>
      <c r="I884" s="12"/>
      <c r="J884" s="13"/>
    </row>
    <row r="885" spans="1:10" ht="75" customHeight="1">
      <c r="A885" s="7"/>
      <c r="B885" s="18"/>
      <c r="C885" s="9"/>
      <c r="D885" s="10"/>
      <c r="E885" s="10"/>
      <c r="F885" s="10"/>
      <c r="G885" s="10"/>
      <c r="H885" s="10"/>
      <c r="I885" s="12"/>
      <c r="J885" s="13"/>
    </row>
    <row r="886" spans="1:10" ht="75" customHeight="1">
      <c r="A886" s="7"/>
      <c r="B886" s="18"/>
      <c r="C886" s="9"/>
      <c r="D886" s="10"/>
      <c r="E886" s="10"/>
      <c r="F886" s="10"/>
      <c r="G886" s="10"/>
      <c r="H886" s="10"/>
      <c r="I886" s="12"/>
      <c r="J886" s="13"/>
    </row>
    <row r="887" spans="1:10" ht="75" customHeight="1">
      <c r="A887" s="7"/>
      <c r="B887" s="18"/>
      <c r="C887" s="9"/>
      <c r="D887" s="10"/>
      <c r="E887" s="10"/>
      <c r="F887" s="10"/>
      <c r="G887" s="10"/>
      <c r="H887" s="10"/>
      <c r="I887" s="12"/>
      <c r="J887" s="13"/>
    </row>
    <row r="888" spans="1:10" ht="75" customHeight="1">
      <c r="A888" s="7"/>
      <c r="B888" s="18"/>
      <c r="C888" s="9"/>
      <c r="D888" s="10"/>
      <c r="E888" s="10"/>
      <c r="F888" s="10"/>
      <c r="G888" s="10"/>
      <c r="H888" s="10"/>
      <c r="I888" s="12"/>
      <c r="J888" s="13"/>
    </row>
    <row r="889" spans="1:10" ht="75" customHeight="1">
      <c r="A889" s="7"/>
      <c r="B889" s="18"/>
      <c r="C889" s="9"/>
      <c r="D889" s="10"/>
      <c r="E889" s="10"/>
      <c r="F889" s="10"/>
      <c r="G889" s="10"/>
      <c r="H889" s="10"/>
      <c r="I889" s="12"/>
      <c r="J889" s="13"/>
    </row>
    <row r="890" spans="1:10" ht="75" customHeight="1">
      <c r="A890" s="7"/>
      <c r="B890" s="18"/>
      <c r="C890" s="9"/>
      <c r="D890" s="10"/>
      <c r="E890" s="10"/>
      <c r="F890" s="10"/>
      <c r="G890" s="10"/>
      <c r="H890" s="10"/>
      <c r="I890" s="12"/>
      <c r="J890" s="13"/>
    </row>
    <row r="891" spans="1:10" ht="75" customHeight="1">
      <c r="A891" s="7"/>
      <c r="B891" s="18"/>
      <c r="C891" s="9"/>
      <c r="D891" s="10"/>
      <c r="E891" s="10"/>
      <c r="F891" s="10"/>
      <c r="G891" s="10"/>
      <c r="H891" s="10"/>
      <c r="I891" s="12"/>
      <c r="J891" s="13"/>
    </row>
    <row r="892" spans="1:10" ht="75" customHeight="1">
      <c r="A892" s="7"/>
      <c r="B892" s="18"/>
      <c r="C892" s="9"/>
      <c r="D892" s="10"/>
      <c r="E892" s="10"/>
      <c r="F892" s="10"/>
      <c r="G892" s="10"/>
      <c r="H892" s="10"/>
      <c r="I892" s="12"/>
      <c r="J892" s="13"/>
    </row>
    <row r="893" spans="1:10" ht="75" customHeight="1">
      <c r="A893" s="7"/>
      <c r="B893" s="18"/>
      <c r="C893" s="9"/>
      <c r="D893" s="10"/>
      <c r="E893" s="10"/>
      <c r="F893" s="10"/>
      <c r="G893" s="10"/>
      <c r="H893" s="10"/>
      <c r="I893" s="12"/>
      <c r="J893" s="13"/>
    </row>
    <row r="894" spans="1:10" ht="75" customHeight="1">
      <c r="A894" s="7"/>
      <c r="B894" s="18"/>
      <c r="C894" s="9"/>
      <c r="D894" s="10"/>
      <c r="E894" s="10"/>
      <c r="F894" s="10"/>
      <c r="G894" s="10"/>
      <c r="H894" s="10"/>
      <c r="I894" s="12"/>
      <c r="J894" s="13"/>
    </row>
    <row r="895" spans="1:10" ht="75" customHeight="1">
      <c r="A895" s="7"/>
      <c r="B895" s="18"/>
      <c r="C895" s="9"/>
      <c r="D895" s="10"/>
      <c r="E895" s="10"/>
      <c r="F895" s="10"/>
      <c r="G895" s="10"/>
      <c r="H895" s="10"/>
      <c r="I895" s="12"/>
      <c r="J895" s="13"/>
    </row>
    <row r="896" spans="1:10" ht="75" customHeight="1">
      <c r="A896" s="7"/>
      <c r="B896" s="18"/>
      <c r="C896" s="9"/>
      <c r="D896" s="10"/>
      <c r="E896" s="10"/>
      <c r="F896" s="10"/>
      <c r="G896" s="10"/>
      <c r="H896" s="10"/>
      <c r="I896" s="12"/>
      <c r="J896" s="13"/>
    </row>
    <row r="897" spans="1:10" ht="75" customHeight="1">
      <c r="A897" s="7"/>
      <c r="B897" s="18"/>
      <c r="C897" s="9"/>
      <c r="D897" s="10"/>
      <c r="E897" s="10"/>
      <c r="F897" s="10"/>
      <c r="G897" s="10"/>
      <c r="H897" s="10"/>
      <c r="I897" s="12"/>
      <c r="J897" s="13"/>
    </row>
    <row r="898" spans="1:10" ht="75" customHeight="1">
      <c r="A898" s="7"/>
      <c r="B898" s="18"/>
      <c r="C898" s="9"/>
      <c r="D898" s="10"/>
      <c r="E898" s="10"/>
      <c r="F898" s="10"/>
      <c r="G898" s="10"/>
      <c r="H898" s="10"/>
      <c r="I898" s="12"/>
      <c r="J898" s="13"/>
    </row>
    <row r="899" spans="1:10" ht="75" customHeight="1">
      <c r="A899" s="7"/>
      <c r="B899" s="18"/>
      <c r="C899" s="9"/>
      <c r="D899" s="10"/>
      <c r="E899" s="10"/>
      <c r="F899" s="10"/>
      <c r="G899" s="10"/>
      <c r="H899" s="10"/>
      <c r="I899" s="12"/>
      <c r="J899" s="13"/>
    </row>
    <row r="900" spans="1:10" ht="75" customHeight="1">
      <c r="A900" s="7"/>
      <c r="B900" s="18"/>
      <c r="C900" s="9"/>
      <c r="D900" s="10"/>
      <c r="E900" s="10"/>
      <c r="F900" s="10"/>
      <c r="G900" s="10"/>
      <c r="H900" s="10"/>
      <c r="I900" s="12"/>
      <c r="J900" s="13"/>
    </row>
    <row r="901" spans="1:10" ht="75" customHeight="1">
      <c r="A901" s="7"/>
      <c r="B901" s="18"/>
      <c r="C901" s="9"/>
      <c r="D901" s="10"/>
      <c r="E901" s="10"/>
      <c r="F901" s="10"/>
      <c r="G901" s="10"/>
      <c r="H901" s="10"/>
      <c r="I901" s="12"/>
      <c r="J901" s="13"/>
    </row>
    <row r="902" spans="1:10" ht="75" customHeight="1">
      <c r="A902" s="7"/>
      <c r="B902" s="18"/>
      <c r="C902" s="9"/>
      <c r="D902" s="10"/>
      <c r="E902" s="10"/>
      <c r="F902" s="10"/>
      <c r="G902" s="10"/>
      <c r="H902" s="10"/>
      <c r="I902" s="12"/>
      <c r="J902" s="13"/>
    </row>
    <row r="903" spans="1:10" ht="75" customHeight="1">
      <c r="A903" s="7"/>
      <c r="B903" s="18"/>
      <c r="C903" s="9"/>
      <c r="D903" s="10"/>
      <c r="E903" s="10"/>
      <c r="F903" s="10"/>
      <c r="G903" s="10"/>
      <c r="H903" s="10"/>
      <c r="I903" s="12"/>
      <c r="J903" s="13"/>
    </row>
    <row r="904" spans="1:10" ht="75" customHeight="1">
      <c r="A904" s="7"/>
      <c r="B904" s="18"/>
      <c r="C904" s="9"/>
      <c r="D904" s="10"/>
      <c r="E904" s="10"/>
      <c r="F904" s="10"/>
      <c r="G904" s="10"/>
      <c r="H904" s="10"/>
      <c r="I904" s="12"/>
      <c r="J904" s="13"/>
    </row>
    <row r="905" spans="1:10" ht="75" customHeight="1">
      <c r="A905" s="7"/>
      <c r="B905" s="18"/>
      <c r="C905" s="9"/>
      <c r="D905" s="10"/>
      <c r="E905" s="10"/>
      <c r="F905" s="10"/>
      <c r="G905" s="10"/>
      <c r="H905" s="10"/>
      <c r="I905" s="12"/>
      <c r="J905" s="13"/>
    </row>
    <row r="906" spans="1:10" ht="75" customHeight="1">
      <c r="A906" s="7"/>
      <c r="B906" s="18"/>
      <c r="C906" s="9"/>
      <c r="D906" s="10"/>
      <c r="E906" s="10"/>
      <c r="F906" s="10"/>
      <c r="G906" s="10"/>
      <c r="H906" s="10"/>
      <c r="I906" s="12"/>
      <c r="J906" s="13"/>
    </row>
    <row r="907" spans="1:10" ht="75" customHeight="1">
      <c r="A907" s="7"/>
      <c r="B907" s="18"/>
      <c r="C907" s="9"/>
      <c r="D907" s="10"/>
      <c r="E907" s="10"/>
      <c r="F907" s="10"/>
      <c r="G907" s="10"/>
      <c r="H907" s="10"/>
      <c r="I907" s="12"/>
      <c r="J907" s="13"/>
    </row>
    <row r="908" spans="1:10" ht="75" customHeight="1">
      <c r="A908" s="7"/>
      <c r="B908" s="18"/>
      <c r="C908" s="9"/>
      <c r="D908" s="10"/>
      <c r="E908" s="10"/>
      <c r="F908" s="10"/>
      <c r="G908" s="10"/>
      <c r="H908" s="10"/>
      <c r="I908" s="12"/>
      <c r="J908" s="13"/>
    </row>
    <row r="909" spans="1:10" ht="75" customHeight="1">
      <c r="A909" s="7"/>
      <c r="B909" s="18"/>
      <c r="C909" s="9"/>
      <c r="D909" s="10"/>
      <c r="E909" s="10"/>
      <c r="F909" s="10"/>
      <c r="G909" s="10"/>
      <c r="H909" s="10"/>
      <c r="I909" s="12"/>
      <c r="J909" s="13"/>
    </row>
    <row r="910" spans="1:10" ht="75" customHeight="1">
      <c r="A910" s="7"/>
      <c r="B910" s="18"/>
      <c r="C910" s="9"/>
      <c r="D910" s="10"/>
      <c r="E910" s="10"/>
      <c r="F910" s="10"/>
      <c r="G910" s="10"/>
      <c r="H910" s="10"/>
      <c r="I910" s="12"/>
      <c r="J910" s="13"/>
    </row>
    <row r="911" spans="1:10" ht="75" customHeight="1">
      <c r="A911" s="7"/>
      <c r="B911" s="18"/>
      <c r="C911" s="9"/>
      <c r="D911" s="10"/>
      <c r="E911" s="10"/>
      <c r="F911" s="10"/>
      <c r="G911" s="10"/>
      <c r="H911" s="10"/>
      <c r="I911" s="12"/>
      <c r="J911" s="13"/>
    </row>
    <row r="912" spans="1:10" ht="75" customHeight="1">
      <c r="A912" s="7"/>
      <c r="B912" s="18"/>
      <c r="C912" s="9"/>
      <c r="D912" s="10"/>
      <c r="E912" s="10"/>
      <c r="F912" s="10"/>
      <c r="G912" s="10"/>
      <c r="H912" s="10"/>
      <c r="I912" s="12"/>
      <c r="J912" s="13"/>
    </row>
    <row r="913" spans="1:10" ht="75" customHeight="1">
      <c r="A913" s="7"/>
      <c r="B913" s="18"/>
      <c r="C913" s="9"/>
      <c r="D913" s="10"/>
      <c r="E913" s="10"/>
      <c r="F913" s="10"/>
      <c r="G913" s="10"/>
      <c r="H913" s="10"/>
      <c r="I913" s="12"/>
      <c r="J913" s="13"/>
    </row>
    <row r="914" spans="1:10" ht="75" customHeight="1">
      <c r="A914" s="7"/>
      <c r="B914" s="18"/>
      <c r="C914" s="9"/>
      <c r="D914" s="10"/>
      <c r="E914" s="10"/>
      <c r="F914" s="10"/>
      <c r="G914" s="10"/>
      <c r="H914" s="10"/>
      <c r="I914" s="12"/>
      <c r="J914" s="13"/>
    </row>
    <row r="915" spans="1:10" ht="75" customHeight="1">
      <c r="A915" s="7"/>
      <c r="B915" s="18"/>
      <c r="C915" s="9"/>
      <c r="D915" s="10"/>
      <c r="E915" s="10"/>
      <c r="F915" s="10"/>
      <c r="G915" s="10"/>
      <c r="H915" s="10"/>
      <c r="I915" s="12"/>
      <c r="J915" s="13"/>
    </row>
    <row r="916" spans="1:10" ht="75" customHeight="1">
      <c r="A916" s="7"/>
      <c r="B916" s="18"/>
      <c r="C916" s="9"/>
      <c r="D916" s="10"/>
      <c r="E916" s="10"/>
      <c r="F916" s="10"/>
      <c r="G916" s="10"/>
      <c r="H916" s="10"/>
      <c r="I916" s="12"/>
      <c r="J916" s="13"/>
    </row>
    <row r="917" spans="1:10" ht="75" customHeight="1">
      <c r="A917" s="7"/>
      <c r="B917" s="18"/>
      <c r="C917" s="9"/>
      <c r="D917" s="10"/>
      <c r="E917" s="10"/>
      <c r="F917" s="10"/>
      <c r="G917" s="10"/>
      <c r="H917" s="10"/>
      <c r="I917" s="12"/>
      <c r="J917" s="13"/>
    </row>
    <row r="918" spans="1:10" ht="75" customHeight="1">
      <c r="A918" s="7"/>
      <c r="B918" s="18"/>
      <c r="C918" s="9"/>
      <c r="D918" s="10"/>
      <c r="E918" s="10"/>
      <c r="F918" s="10"/>
      <c r="G918" s="10"/>
      <c r="H918" s="10"/>
      <c r="I918" s="12"/>
      <c r="J918" s="13"/>
    </row>
    <row r="919" spans="1:10" ht="75" customHeight="1">
      <c r="A919" s="7"/>
      <c r="B919" s="18"/>
      <c r="C919" s="9"/>
      <c r="D919" s="10"/>
      <c r="E919" s="10"/>
      <c r="F919" s="10"/>
      <c r="G919" s="10"/>
      <c r="H919" s="10"/>
      <c r="I919" s="12"/>
      <c r="J919" s="13"/>
    </row>
    <row r="920" spans="1:10" ht="75" customHeight="1">
      <c r="A920" s="7"/>
      <c r="B920" s="18"/>
      <c r="C920" s="9"/>
      <c r="D920" s="10"/>
      <c r="E920" s="10"/>
      <c r="F920" s="10"/>
      <c r="G920" s="10"/>
      <c r="H920" s="10"/>
      <c r="I920" s="12"/>
      <c r="J920" s="13"/>
    </row>
    <row r="921" spans="1:10" ht="75" customHeight="1">
      <c r="A921" s="7"/>
      <c r="B921" s="18"/>
      <c r="C921" s="9"/>
      <c r="D921" s="10"/>
      <c r="E921" s="10"/>
      <c r="F921" s="10"/>
      <c r="G921" s="10"/>
      <c r="H921" s="10"/>
      <c r="I921" s="12"/>
      <c r="J921" s="13"/>
    </row>
    <row r="922" spans="1:10" ht="75" customHeight="1">
      <c r="A922" s="7"/>
      <c r="B922" s="18"/>
      <c r="C922" s="9"/>
      <c r="D922" s="10"/>
      <c r="E922" s="10"/>
      <c r="F922" s="10"/>
      <c r="G922" s="10"/>
      <c r="H922" s="10"/>
      <c r="I922" s="12"/>
      <c r="J922" s="13"/>
    </row>
    <row r="923" spans="1:10" ht="75" customHeight="1">
      <c r="A923" s="7"/>
      <c r="B923" s="18"/>
      <c r="C923" s="9"/>
      <c r="D923" s="10"/>
      <c r="E923" s="10"/>
      <c r="F923" s="10"/>
      <c r="G923" s="10"/>
      <c r="H923" s="10"/>
      <c r="I923" s="12"/>
      <c r="J923" s="13"/>
    </row>
    <row r="924" spans="1:10" ht="75" customHeight="1">
      <c r="A924" s="7"/>
      <c r="B924" s="18"/>
      <c r="C924" s="9"/>
      <c r="D924" s="10"/>
      <c r="E924" s="10"/>
      <c r="F924" s="10"/>
      <c r="G924" s="10"/>
      <c r="H924" s="10"/>
      <c r="I924" s="12"/>
      <c r="J924" s="13"/>
    </row>
    <row r="925" spans="1:10" ht="75" customHeight="1">
      <c r="A925" s="7"/>
      <c r="B925" s="18"/>
      <c r="C925" s="9"/>
      <c r="D925" s="10"/>
      <c r="E925" s="10"/>
      <c r="F925" s="10"/>
      <c r="G925" s="10"/>
      <c r="H925" s="10"/>
      <c r="I925" s="12"/>
      <c r="J925" s="13"/>
    </row>
    <row r="926" spans="1:10" ht="75" customHeight="1">
      <c r="A926" s="7"/>
      <c r="B926" s="18"/>
      <c r="C926" s="9"/>
      <c r="D926" s="10"/>
      <c r="E926" s="10"/>
      <c r="F926" s="10"/>
      <c r="G926" s="10"/>
      <c r="H926" s="10"/>
      <c r="I926" s="12"/>
      <c r="J926" s="13"/>
    </row>
    <row r="927" spans="1:10" ht="75" customHeight="1">
      <c r="A927" s="7"/>
      <c r="B927" s="18"/>
      <c r="C927" s="9"/>
      <c r="D927" s="10"/>
      <c r="E927" s="10"/>
      <c r="F927" s="10"/>
      <c r="G927" s="10"/>
      <c r="H927" s="10"/>
      <c r="I927" s="12"/>
      <c r="J927" s="13"/>
    </row>
    <row r="928" spans="1:10" ht="75" customHeight="1">
      <c r="A928" s="7"/>
      <c r="B928" s="18"/>
      <c r="C928" s="9"/>
      <c r="D928" s="10"/>
      <c r="E928" s="10"/>
      <c r="F928" s="10"/>
      <c r="G928" s="10"/>
      <c r="H928" s="10"/>
      <c r="I928" s="12"/>
      <c r="J928" s="13"/>
    </row>
    <row r="929" spans="1:10" ht="75" customHeight="1">
      <c r="A929" s="7"/>
      <c r="B929" s="18"/>
      <c r="C929" s="9"/>
      <c r="D929" s="10"/>
      <c r="E929" s="10"/>
      <c r="F929" s="10"/>
      <c r="G929" s="10"/>
      <c r="H929" s="10"/>
      <c r="I929" s="12"/>
      <c r="J929" s="13"/>
    </row>
    <row r="930" spans="1:10" ht="75" customHeight="1">
      <c r="A930" s="7"/>
      <c r="B930" s="18"/>
      <c r="C930" s="9"/>
      <c r="D930" s="10"/>
      <c r="E930" s="10"/>
      <c r="F930" s="10"/>
      <c r="G930" s="10"/>
      <c r="H930" s="10"/>
      <c r="I930" s="12"/>
      <c r="J930" s="13"/>
    </row>
    <row r="931" spans="1:10" ht="75" customHeight="1">
      <c r="A931" s="7"/>
      <c r="B931" s="18"/>
      <c r="C931" s="9"/>
      <c r="D931" s="10"/>
      <c r="E931" s="10"/>
      <c r="F931" s="10"/>
      <c r="G931" s="10"/>
      <c r="H931" s="10"/>
      <c r="I931" s="12"/>
      <c r="J931" s="13"/>
    </row>
    <row r="932" spans="1:10" ht="75" customHeight="1">
      <c r="A932" s="7"/>
      <c r="B932" s="18"/>
      <c r="C932" s="9"/>
      <c r="D932" s="10"/>
      <c r="E932" s="10"/>
      <c r="F932" s="10"/>
      <c r="G932" s="10"/>
      <c r="H932" s="10"/>
      <c r="I932" s="12"/>
      <c r="J932" s="13"/>
    </row>
    <row r="933" spans="1:10" ht="75" customHeight="1">
      <c r="A933" s="7"/>
      <c r="B933" s="18"/>
      <c r="C933" s="9"/>
      <c r="D933" s="10"/>
      <c r="E933" s="10"/>
      <c r="F933" s="10"/>
      <c r="G933" s="10"/>
      <c r="H933" s="10"/>
      <c r="I933" s="12"/>
      <c r="J933" s="13"/>
    </row>
    <row r="934" spans="1:10" ht="75" customHeight="1">
      <c r="A934" s="7"/>
      <c r="B934" s="18"/>
      <c r="C934" s="9"/>
      <c r="D934" s="10"/>
      <c r="E934" s="10"/>
      <c r="F934" s="10"/>
      <c r="G934" s="10"/>
      <c r="H934" s="10"/>
      <c r="I934" s="12"/>
      <c r="J934" s="13"/>
    </row>
    <row r="935" spans="1:10" ht="75" customHeight="1">
      <c r="A935" s="7"/>
      <c r="B935" s="18"/>
      <c r="C935" s="9"/>
      <c r="D935" s="10"/>
      <c r="E935" s="10"/>
      <c r="F935" s="10"/>
      <c r="G935" s="10"/>
      <c r="H935" s="10"/>
      <c r="I935" s="12"/>
      <c r="J935" s="13"/>
    </row>
    <row r="936" spans="1:10" ht="75" customHeight="1">
      <c r="A936" s="7"/>
      <c r="B936" s="18"/>
      <c r="C936" s="9"/>
      <c r="D936" s="10"/>
      <c r="E936" s="10"/>
      <c r="F936" s="10"/>
      <c r="G936" s="10"/>
      <c r="H936" s="10"/>
      <c r="I936" s="12"/>
      <c r="J936" s="13"/>
    </row>
    <row r="937" spans="1:10" ht="75" customHeight="1">
      <c r="A937" s="7"/>
      <c r="B937" s="18"/>
      <c r="C937" s="9"/>
      <c r="D937" s="10"/>
      <c r="E937" s="10"/>
      <c r="F937" s="10"/>
      <c r="G937" s="10"/>
      <c r="H937" s="10"/>
      <c r="I937" s="12"/>
      <c r="J937" s="13"/>
    </row>
    <row r="938" spans="1:10" ht="75" customHeight="1">
      <c r="A938" s="7"/>
      <c r="B938" s="18"/>
      <c r="C938" s="9"/>
      <c r="D938" s="10"/>
      <c r="E938" s="10"/>
      <c r="F938" s="10"/>
      <c r="G938" s="10"/>
      <c r="H938" s="10"/>
      <c r="I938" s="12"/>
      <c r="J938" s="13"/>
    </row>
    <row r="939" spans="1:10" ht="75" customHeight="1">
      <c r="A939" s="7"/>
      <c r="B939" s="18"/>
      <c r="C939" s="9"/>
      <c r="D939" s="10"/>
      <c r="E939" s="10"/>
      <c r="F939" s="10"/>
      <c r="G939" s="10"/>
      <c r="H939" s="10"/>
      <c r="I939" s="12"/>
      <c r="J939" s="13"/>
    </row>
    <row r="940" spans="1:10" ht="75" customHeight="1">
      <c r="A940" s="7"/>
      <c r="B940" s="18"/>
      <c r="C940" s="9"/>
      <c r="D940" s="10"/>
      <c r="E940" s="10"/>
      <c r="F940" s="10"/>
      <c r="G940" s="10"/>
      <c r="H940" s="10"/>
      <c r="I940" s="12"/>
      <c r="J940" s="13"/>
    </row>
    <row r="941" spans="1:10" ht="75" customHeight="1">
      <c r="A941" s="7"/>
      <c r="B941" s="18"/>
      <c r="C941" s="9"/>
      <c r="D941" s="10"/>
      <c r="E941" s="10"/>
      <c r="F941" s="10"/>
      <c r="G941" s="10"/>
      <c r="H941" s="10"/>
      <c r="I941" s="12"/>
      <c r="J941" s="13"/>
    </row>
    <row r="942" spans="1:10" ht="75" customHeight="1">
      <c r="A942" s="7"/>
      <c r="B942" s="18"/>
      <c r="C942" s="9"/>
      <c r="D942" s="10"/>
      <c r="E942" s="10"/>
      <c r="F942" s="10"/>
      <c r="G942" s="10"/>
      <c r="H942" s="10"/>
      <c r="I942" s="12"/>
      <c r="J942" s="13"/>
    </row>
    <row r="943" spans="1:10" ht="75" customHeight="1">
      <c r="A943" s="7"/>
      <c r="B943" s="18"/>
      <c r="C943" s="9"/>
      <c r="D943" s="10"/>
      <c r="E943" s="10"/>
      <c r="F943" s="10"/>
      <c r="G943" s="10"/>
      <c r="H943" s="10"/>
      <c r="I943" s="12"/>
      <c r="J943" s="13"/>
    </row>
    <row r="944" spans="1:10" ht="75" customHeight="1">
      <c r="A944" s="7"/>
      <c r="B944" s="18"/>
      <c r="C944" s="9"/>
      <c r="D944" s="10"/>
      <c r="E944" s="10"/>
      <c r="F944" s="10"/>
      <c r="G944" s="10"/>
      <c r="H944" s="10"/>
      <c r="I944" s="12"/>
      <c r="J944" s="13"/>
    </row>
    <row r="945" spans="1:10" ht="75" customHeight="1">
      <c r="A945" s="7"/>
      <c r="B945" s="18"/>
      <c r="C945" s="9"/>
      <c r="D945" s="10"/>
      <c r="E945" s="10"/>
      <c r="F945" s="10"/>
      <c r="G945" s="10"/>
      <c r="H945" s="10"/>
      <c r="I945" s="12"/>
      <c r="J945" s="13"/>
    </row>
    <row r="946" spans="1:10" ht="75" customHeight="1">
      <c r="A946" s="7"/>
      <c r="B946" s="18"/>
      <c r="C946" s="9"/>
      <c r="D946" s="10"/>
      <c r="E946" s="10"/>
      <c r="F946" s="10"/>
      <c r="G946" s="10"/>
      <c r="H946" s="10"/>
      <c r="I946" s="12"/>
      <c r="J946" s="13"/>
    </row>
    <row r="947" spans="1:10" ht="75" customHeight="1">
      <c r="A947" s="7"/>
      <c r="B947" s="18"/>
      <c r="C947" s="9"/>
      <c r="D947" s="10"/>
      <c r="E947" s="10"/>
      <c r="F947" s="10"/>
      <c r="G947" s="10"/>
      <c r="H947" s="10"/>
      <c r="I947" s="12"/>
      <c r="J947" s="13"/>
    </row>
    <row r="948" spans="1:10" ht="75" customHeight="1">
      <c r="A948" s="7"/>
      <c r="B948" s="18"/>
      <c r="C948" s="9"/>
      <c r="D948" s="10"/>
      <c r="E948" s="10"/>
      <c r="F948" s="10"/>
      <c r="G948" s="10"/>
      <c r="H948" s="10"/>
      <c r="I948" s="12"/>
      <c r="J948" s="13"/>
    </row>
    <row r="949" spans="1:10" ht="75" customHeight="1">
      <c r="A949" s="7"/>
      <c r="B949" s="18"/>
      <c r="C949" s="9"/>
      <c r="D949" s="10"/>
      <c r="E949" s="10"/>
      <c r="F949" s="10"/>
      <c r="G949" s="10"/>
      <c r="H949" s="10"/>
      <c r="I949" s="12"/>
      <c r="J949" s="13"/>
    </row>
    <row r="950" spans="1:10" ht="75" customHeight="1">
      <c r="A950" s="7"/>
      <c r="B950" s="18"/>
      <c r="C950" s="9"/>
      <c r="D950" s="10"/>
      <c r="E950" s="10"/>
      <c r="F950" s="10"/>
      <c r="G950" s="10"/>
      <c r="H950" s="10"/>
      <c r="I950" s="12"/>
      <c r="J950" s="13"/>
    </row>
    <row r="951" spans="1:10" ht="75" customHeight="1">
      <c r="A951" s="7"/>
      <c r="B951" s="18"/>
      <c r="C951" s="9"/>
      <c r="D951" s="10"/>
      <c r="E951" s="10"/>
      <c r="F951" s="10"/>
      <c r="G951" s="10"/>
      <c r="H951" s="10"/>
      <c r="I951" s="12"/>
      <c r="J951" s="13"/>
    </row>
    <row r="952" spans="1:10" ht="75" customHeight="1">
      <c r="A952" s="7"/>
      <c r="B952" s="18"/>
      <c r="C952" s="9"/>
      <c r="D952" s="10"/>
      <c r="E952" s="10"/>
      <c r="F952" s="10"/>
      <c r="G952" s="10"/>
      <c r="H952" s="10"/>
      <c r="I952" s="12"/>
      <c r="J952" s="13"/>
    </row>
    <row r="953" spans="1:10" ht="75" customHeight="1">
      <c r="A953" s="7"/>
      <c r="B953" s="18"/>
      <c r="C953" s="9"/>
      <c r="D953" s="10"/>
      <c r="E953" s="10"/>
      <c r="F953" s="10"/>
      <c r="G953" s="10"/>
      <c r="H953" s="10"/>
      <c r="I953" s="12"/>
      <c r="J953" s="13"/>
    </row>
    <row r="954" spans="1:10" ht="75" customHeight="1">
      <c r="A954" s="7"/>
      <c r="B954" s="18"/>
      <c r="C954" s="9"/>
      <c r="D954" s="10"/>
      <c r="E954" s="10"/>
      <c r="F954" s="10"/>
      <c r="G954" s="10"/>
      <c r="H954" s="10"/>
      <c r="I954" s="12"/>
      <c r="J954" s="13"/>
    </row>
    <row r="955" spans="1:10" ht="75" customHeight="1">
      <c r="A955" s="7"/>
      <c r="B955" s="18"/>
      <c r="C955" s="9"/>
      <c r="D955" s="10"/>
      <c r="E955" s="10"/>
      <c r="F955" s="10"/>
      <c r="G955" s="10"/>
      <c r="H955" s="10"/>
      <c r="I955" s="12"/>
      <c r="J955" s="13"/>
    </row>
    <row r="956" spans="1:10" ht="75" customHeight="1">
      <c r="A956" s="7"/>
      <c r="B956" s="18"/>
      <c r="C956" s="9"/>
      <c r="D956" s="10"/>
      <c r="E956" s="10"/>
      <c r="F956" s="10"/>
      <c r="G956" s="10"/>
      <c r="H956" s="10"/>
      <c r="I956" s="12"/>
      <c r="J956" s="13"/>
    </row>
    <row r="957" spans="1:10" ht="75" customHeight="1">
      <c r="A957" s="7"/>
      <c r="B957" s="18"/>
      <c r="C957" s="9"/>
      <c r="D957" s="10"/>
      <c r="E957" s="10"/>
      <c r="F957" s="10"/>
      <c r="G957" s="10"/>
      <c r="H957" s="10"/>
      <c r="I957" s="12"/>
      <c r="J957" s="13"/>
    </row>
    <row r="958" spans="1:10" ht="75" customHeight="1">
      <c r="A958" s="7"/>
      <c r="B958" s="18"/>
      <c r="C958" s="9"/>
      <c r="D958" s="10"/>
      <c r="E958" s="10"/>
      <c r="F958" s="10"/>
      <c r="G958" s="10"/>
      <c r="H958" s="10"/>
      <c r="I958" s="12"/>
      <c r="J958" s="13"/>
    </row>
    <row r="959" spans="1:10" ht="75" customHeight="1">
      <c r="A959" s="7"/>
      <c r="B959" s="18"/>
      <c r="C959" s="9"/>
      <c r="D959" s="10"/>
      <c r="E959" s="10"/>
      <c r="F959" s="10"/>
      <c r="G959" s="10"/>
      <c r="H959" s="10"/>
      <c r="I959" s="12"/>
      <c r="J959" s="13"/>
    </row>
    <row r="960" spans="1:10" ht="75" customHeight="1">
      <c r="A960" s="7"/>
      <c r="B960" s="18"/>
      <c r="C960" s="9"/>
      <c r="D960" s="10"/>
      <c r="E960" s="10"/>
      <c r="F960" s="10"/>
      <c r="G960" s="10"/>
      <c r="H960" s="10"/>
      <c r="I960" s="12"/>
      <c r="J960" s="13"/>
    </row>
    <row r="961" spans="1:10" ht="75" customHeight="1">
      <c r="A961" s="7"/>
      <c r="B961" s="18"/>
      <c r="C961" s="9"/>
      <c r="D961" s="10"/>
      <c r="E961" s="10"/>
      <c r="F961" s="10"/>
      <c r="G961" s="10"/>
      <c r="H961" s="10"/>
      <c r="I961" s="12"/>
      <c r="J961" s="13"/>
    </row>
    <row r="962" spans="1:10" ht="75" customHeight="1">
      <c r="A962" s="7"/>
      <c r="B962" s="18"/>
      <c r="C962" s="9"/>
      <c r="D962" s="10"/>
      <c r="E962" s="10"/>
      <c r="F962" s="10"/>
      <c r="G962" s="10"/>
      <c r="H962" s="10"/>
      <c r="I962" s="12"/>
      <c r="J962" s="13"/>
    </row>
    <row r="963" spans="1:10" ht="75" customHeight="1">
      <c r="A963" s="7"/>
      <c r="B963" s="18"/>
      <c r="C963" s="9"/>
      <c r="D963" s="10"/>
      <c r="E963" s="10"/>
      <c r="F963" s="10"/>
      <c r="G963" s="10"/>
      <c r="H963" s="10"/>
      <c r="I963" s="12"/>
      <c r="J963" s="13"/>
    </row>
    <row r="964" spans="1:10" ht="75" customHeight="1">
      <c r="A964" s="7"/>
      <c r="B964" s="18"/>
      <c r="C964" s="9"/>
      <c r="D964" s="10"/>
      <c r="E964" s="10"/>
      <c r="F964" s="10"/>
      <c r="G964" s="10"/>
      <c r="H964" s="10"/>
      <c r="I964" s="12"/>
      <c r="J964" s="13"/>
    </row>
    <row r="965" spans="1:10" ht="75" customHeight="1">
      <c r="A965" s="7"/>
      <c r="B965" s="18"/>
      <c r="C965" s="9"/>
      <c r="D965" s="10"/>
      <c r="E965" s="10"/>
      <c r="F965" s="10"/>
      <c r="G965" s="10"/>
      <c r="H965" s="10"/>
      <c r="I965" s="12"/>
      <c r="J965" s="13"/>
    </row>
    <row r="966" spans="1:10" ht="75" customHeight="1">
      <c r="A966" s="7"/>
      <c r="B966" s="18"/>
      <c r="C966" s="9"/>
      <c r="D966" s="10"/>
      <c r="E966" s="10"/>
      <c r="F966" s="10"/>
      <c r="G966" s="10"/>
      <c r="H966" s="10"/>
      <c r="I966" s="12"/>
      <c r="J966" s="13"/>
    </row>
    <row r="967" spans="1:10" ht="75" customHeight="1">
      <c r="A967" s="7"/>
      <c r="B967" s="18"/>
      <c r="C967" s="9"/>
      <c r="D967" s="10"/>
      <c r="E967" s="10"/>
      <c r="F967" s="10"/>
      <c r="G967" s="10"/>
      <c r="H967" s="10"/>
      <c r="I967" s="12"/>
      <c r="J967" s="13"/>
    </row>
    <row r="968" spans="1:10" ht="75" customHeight="1">
      <c r="A968" s="7"/>
      <c r="B968" s="18"/>
      <c r="C968" s="9"/>
      <c r="D968" s="10"/>
      <c r="E968" s="10"/>
      <c r="F968" s="10"/>
      <c r="G968" s="10"/>
      <c r="H968" s="10"/>
      <c r="I968" s="12"/>
      <c r="J968" s="13"/>
    </row>
    <row r="969" spans="1:10" ht="75" customHeight="1">
      <c r="A969" s="7"/>
      <c r="B969" s="18"/>
      <c r="C969" s="9"/>
      <c r="D969" s="10"/>
      <c r="E969" s="10"/>
      <c r="F969" s="10"/>
      <c r="G969" s="10"/>
      <c r="H969" s="10"/>
      <c r="I969" s="12"/>
      <c r="J969" s="13"/>
    </row>
    <row r="970" spans="1:10" ht="75" customHeight="1">
      <c r="A970" s="7"/>
      <c r="B970" s="18"/>
      <c r="C970" s="9"/>
      <c r="D970" s="10"/>
      <c r="E970" s="10"/>
      <c r="F970" s="10"/>
      <c r="G970" s="10"/>
      <c r="H970" s="10"/>
      <c r="I970" s="12"/>
      <c r="J970" s="13"/>
    </row>
    <row r="971" spans="1:10" ht="75" customHeight="1">
      <c r="A971" s="7"/>
      <c r="B971" s="18"/>
      <c r="C971" s="9"/>
      <c r="D971" s="10"/>
      <c r="E971" s="10"/>
      <c r="F971" s="10"/>
      <c r="G971" s="10"/>
      <c r="H971" s="10"/>
      <c r="I971" s="12"/>
      <c r="J971" s="13"/>
    </row>
    <row r="972" spans="1:10" ht="75" customHeight="1">
      <c r="A972" s="7"/>
      <c r="B972" s="18"/>
      <c r="C972" s="9"/>
      <c r="D972" s="10"/>
      <c r="E972" s="10"/>
      <c r="F972" s="10"/>
      <c r="G972" s="10"/>
      <c r="H972" s="10"/>
      <c r="I972" s="12"/>
      <c r="J972" s="13"/>
    </row>
    <row r="973" spans="1:10" ht="75" customHeight="1">
      <c r="A973" s="7"/>
      <c r="B973" s="18"/>
      <c r="C973" s="9"/>
      <c r="D973" s="10"/>
      <c r="E973" s="10"/>
      <c r="F973" s="10"/>
      <c r="G973" s="10"/>
      <c r="H973" s="10"/>
      <c r="I973" s="12"/>
      <c r="J973" s="13"/>
    </row>
    <row r="974" spans="1:10" ht="75" customHeight="1">
      <c r="A974" s="7"/>
      <c r="B974" s="18"/>
      <c r="C974" s="9"/>
      <c r="D974" s="10"/>
      <c r="E974" s="10"/>
      <c r="F974" s="10"/>
      <c r="G974" s="10"/>
      <c r="H974" s="10"/>
      <c r="I974" s="12"/>
      <c r="J974" s="13"/>
    </row>
    <row r="975" spans="1:10" ht="75" customHeight="1">
      <c r="A975" s="7"/>
      <c r="B975" s="18"/>
      <c r="C975" s="9"/>
      <c r="D975" s="10"/>
      <c r="E975" s="10"/>
      <c r="F975" s="10"/>
      <c r="G975" s="10"/>
      <c r="H975" s="10"/>
      <c r="I975" s="12"/>
      <c r="J975" s="13"/>
    </row>
    <row r="976" spans="1:10" ht="75" customHeight="1">
      <c r="A976" s="7"/>
      <c r="B976" s="18"/>
      <c r="C976" s="9"/>
      <c r="D976" s="10"/>
      <c r="E976" s="10"/>
      <c r="F976" s="10"/>
      <c r="G976" s="10"/>
      <c r="H976" s="10"/>
      <c r="I976" s="12"/>
      <c r="J976" s="13"/>
    </row>
    <row r="977" spans="1:10" ht="75" customHeight="1">
      <c r="A977" s="7"/>
      <c r="B977" s="18"/>
      <c r="C977" s="9"/>
      <c r="D977" s="10"/>
      <c r="E977" s="10"/>
      <c r="F977" s="10"/>
      <c r="G977" s="10"/>
      <c r="H977" s="10"/>
      <c r="I977" s="12"/>
      <c r="J977" s="13"/>
    </row>
    <row r="978" spans="1:10" ht="75" customHeight="1">
      <c r="A978" s="7"/>
      <c r="B978" s="18"/>
      <c r="C978" s="9"/>
      <c r="D978" s="10"/>
      <c r="E978" s="10"/>
      <c r="F978" s="10"/>
      <c r="G978" s="10"/>
      <c r="H978" s="10"/>
      <c r="I978" s="12"/>
      <c r="J978" s="13"/>
    </row>
    <row r="979" spans="1:10" ht="75" customHeight="1">
      <c r="A979" s="7"/>
      <c r="B979" s="18"/>
      <c r="C979" s="9"/>
      <c r="D979" s="10"/>
      <c r="E979" s="10"/>
      <c r="F979" s="10"/>
      <c r="G979" s="10"/>
      <c r="H979" s="10"/>
      <c r="I979" s="12"/>
      <c r="J979" s="13"/>
    </row>
    <row r="980" spans="1:10" ht="75" customHeight="1">
      <c r="A980" s="7"/>
      <c r="B980" s="18"/>
      <c r="C980" s="9"/>
      <c r="D980" s="10"/>
      <c r="E980" s="10"/>
      <c r="F980" s="10"/>
      <c r="G980" s="10"/>
      <c r="H980" s="10"/>
      <c r="I980" s="12"/>
      <c r="J980" s="13"/>
    </row>
    <row r="981" spans="1:10" ht="75" customHeight="1">
      <c r="A981" s="7"/>
      <c r="B981" s="18"/>
      <c r="C981" s="9"/>
      <c r="D981" s="10"/>
      <c r="E981" s="10"/>
      <c r="F981" s="10"/>
      <c r="G981" s="10"/>
      <c r="H981" s="10"/>
      <c r="I981" s="12"/>
      <c r="J981" s="13"/>
    </row>
    <row r="982" spans="1:10" ht="75" customHeight="1">
      <c r="A982" s="7"/>
      <c r="B982" s="18"/>
      <c r="C982" s="9"/>
      <c r="D982" s="10"/>
      <c r="E982" s="10"/>
      <c r="F982" s="10"/>
      <c r="G982" s="10"/>
      <c r="H982" s="10"/>
      <c r="I982" s="12"/>
      <c r="J982" s="13"/>
    </row>
    <row r="983" spans="1:10" ht="75" customHeight="1">
      <c r="A983" s="7"/>
      <c r="B983" s="18"/>
      <c r="C983" s="9"/>
      <c r="D983" s="10"/>
      <c r="E983" s="10"/>
      <c r="F983" s="10"/>
      <c r="G983" s="10"/>
      <c r="H983" s="10"/>
      <c r="I983" s="12"/>
      <c r="J983" s="13"/>
    </row>
    <row r="984" spans="1:10" ht="75" customHeight="1">
      <c r="A984" s="7"/>
      <c r="B984" s="18"/>
      <c r="C984" s="9"/>
      <c r="D984" s="10"/>
      <c r="E984" s="10"/>
      <c r="F984" s="10"/>
      <c r="G984" s="10"/>
      <c r="H984" s="10"/>
      <c r="I984" s="12"/>
      <c r="J984" s="13"/>
    </row>
    <row r="985" spans="1:10" ht="75" customHeight="1">
      <c r="A985" s="7"/>
      <c r="B985" s="18"/>
      <c r="C985" s="9"/>
      <c r="D985" s="10"/>
      <c r="E985" s="10"/>
      <c r="F985" s="10"/>
      <c r="G985" s="10"/>
      <c r="H985" s="10"/>
      <c r="I985" s="12"/>
      <c r="J985" s="13"/>
    </row>
    <row r="986" spans="1:10" ht="75" customHeight="1">
      <c r="A986" s="7"/>
      <c r="B986" s="18"/>
      <c r="C986" s="9"/>
      <c r="D986" s="10"/>
      <c r="E986" s="10"/>
      <c r="F986" s="10"/>
      <c r="G986" s="10"/>
      <c r="H986" s="10"/>
      <c r="I986" s="12"/>
      <c r="J986" s="13"/>
    </row>
    <row r="987" spans="1:10" ht="75" customHeight="1">
      <c r="A987" s="7"/>
      <c r="B987" s="18"/>
      <c r="C987" s="9"/>
      <c r="D987" s="10"/>
      <c r="E987" s="10"/>
      <c r="F987" s="10"/>
      <c r="G987" s="10"/>
      <c r="H987" s="10"/>
      <c r="I987" s="12"/>
      <c r="J987" s="13"/>
    </row>
    <row r="988" spans="1:10" ht="75" customHeight="1">
      <c r="A988" s="7"/>
      <c r="B988" s="18"/>
      <c r="C988" s="9"/>
      <c r="D988" s="10"/>
      <c r="E988" s="10"/>
      <c r="F988" s="10"/>
      <c r="G988" s="10"/>
      <c r="H988" s="10"/>
      <c r="I988" s="12"/>
      <c r="J988" s="13"/>
    </row>
    <row r="989" spans="1:10" ht="75" customHeight="1">
      <c r="A989" s="7"/>
      <c r="B989" s="18"/>
      <c r="C989" s="9"/>
      <c r="D989" s="10"/>
      <c r="E989" s="10"/>
      <c r="F989" s="10"/>
      <c r="G989" s="10"/>
      <c r="H989" s="10"/>
      <c r="I989" s="12"/>
      <c r="J989" s="13"/>
    </row>
    <row r="990" spans="1:10" ht="75" customHeight="1">
      <c r="A990" s="7"/>
      <c r="B990" s="18"/>
      <c r="C990" s="9"/>
      <c r="D990" s="10"/>
      <c r="E990" s="10"/>
      <c r="F990" s="10"/>
      <c r="G990" s="10"/>
      <c r="H990" s="10"/>
      <c r="I990" s="12"/>
      <c r="J990" s="13"/>
    </row>
    <row r="991" spans="1:10" ht="75" customHeight="1">
      <c r="A991" s="7"/>
      <c r="B991" s="18"/>
      <c r="C991" s="9"/>
      <c r="D991" s="10"/>
      <c r="E991" s="10"/>
      <c r="F991" s="10"/>
      <c r="G991" s="10"/>
      <c r="H991" s="10"/>
      <c r="I991" s="12"/>
      <c r="J991" s="13"/>
    </row>
    <row r="992" spans="1:10" ht="75" customHeight="1">
      <c r="A992" s="7"/>
      <c r="B992" s="18"/>
      <c r="C992" s="9"/>
      <c r="D992" s="10"/>
      <c r="E992" s="10"/>
      <c r="F992" s="10"/>
      <c r="G992" s="10"/>
      <c r="H992" s="10"/>
      <c r="I992" s="12"/>
      <c r="J992" s="13"/>
    </row>
    <row r="993" spans="1:10" ht="75" customHeight="1">
      <c r="A993" s="7"/>
      <c r="B993" s="18"/>
      <c r="C993" s="9"/>
      <c r="D993" s="10"/>
      <c r="E993" s="10"/>
      <c r="F993" s="10"/>
      <c r="G993" s="10"/>
      <c r="H993" s="10"/>
      <c r="I993" s="12"/>
      <c r="J993" s="13"/>
    </row>
    <row r="994" spans="1:10" ht="75" customHeight="1">
      <c r="A994" s="7"/>
      <c r="B994" s="18"/>
      <c r="C994" s="9"/>
      <c r="D994" s="10"/>
      <c r="E994" s="10"/>
      <c r="F994" s="10"/>
      <c r="G994" s="10"/>
      <c r="H994" s="10"/>
      <c r="I994" s="12"/>
      <c r="J994" s="13"/>
    </row>
    <row r="995" spans="1:10" ht="75" customHeight="1">
      <c r="A995" s="7"/>
      <c r="B995" s="18"/>
      <c r="C995" s="9"/>
      <c r="D995" s="10"/>
      <c r="E995" s="10"/>
      <c r="F995" s="10"/>
      <c r="G995" s="10"/>
      <c r="H995" s="10"/>
      <c r="I995" s="12"/>
      <c r="J995" s="13"/>
    </row>
    <row r="996" spans="1:10" ht="75" customHeight="1">
      <c r="A996" s="7"/>
      <c r="B996" s="18"/>
      <c r="C996" s="9"/>
      <c r="D996" s="10"/>
      <c r="E996" s="10"/>
      <c r="F996" s="10"/>
      <c r="G996" s="10"/>
      <c r="H996" s="10"/>
      <c r="I996" s="12"/>
      <c r="J996" s="13"/>
    </row>
    <row r="997" spans="1:10" ht="75" customHeight="1">
      <c r="A997" s="7"/>
      <c r="B997" s="18"/>
      <c r="C997" s="9"/>
      <c r="D997" s="10"/>
      <c r="E997" s="10"/>
      <c r="F997" s="10"/>
      <c r="G997" s="10"/>
      <c r="H997" s="10"/>
      <c r="I997" s="12"/>
      <c r="J997" s="13"/>
    </row>
    <row r="998" spans="1:10" ht="75" customHeight="1">
      <c r="A998" s="7"/>
      <c r="B998" s="18"/>
      <c r="C998" s="9"/>
      <c r="D998" s="10"/>
      <c r="E998" s="10"/>
      <c r="F998" s="10"/>
      <c r="G998" s="10"/>
      <c r="H998" s="10"/>
      <c r="I998" s="12"/>
      <c r="J998" s="13"/>
    </row>
    <row r="999" spans="1:10" ht="75" customHeight="1">
      <c r="A999" s="7"/>
      <c r="B999" s="18"/>
      <c r="C999" s="9"/>
      <c r="D999" s="10"/>
      <c r="E999" s="10"/>
      <c r="F999" s="10"/>
      <c r="G999" s="10"/>
      <c r="H999" s="10"/>
      <c r="I999" s="12"/>
      <c r="J999" s="13"/>
    </row>
    <row r="1000" spans="1:10" ht="75" customHeight="1">
      <c r="A1000" s="7"/>
      <c r="B1000" s="18"/>
      <c r="C1000" s="9"/>
      <c r="D1000" s="10"/>
      <c r="E1000" s="10"/>
      <c r="F1000" s="10"/>
      <c r="G1000" s="10"/>
      <c r="H1000" s="10"/>
      <c r="I1000" s="12"/>
      <c r="J1000" s="13"/>
    </row>
  </sheetData>
  <customSheetViews>
    <customSheetView guid="{E2A63158-D685-4879-B0A3-F19573B03065}" filter="1" showAutoFilter="1">
      <pageMargins left="0.7" right="0.7" top="0.75" bottom="0.75" header="0.3" footer="0.3"/>
      <autoFilter ref="A1:J1000" xr:uid="{00559043-42DA-473C-9204-04280921452E}"/>
    </customSheetView>
    <customSheetView guid="{816D5D8C-D23B-4A0A-BDDA-A84BA4C05A2F}" filter="1" showAutoFilter="1">
      <pageMargins left="0.7" right="0.7" top="0.75" bottom="0.75" header="0.3" footer="0.3"/>
      <autoFilter ref="A1:J1000" xr:uid="{C65EF3AB-4F21-455C-9BD2-6579CB307267}"/>
    </customSheetView>
    <customSheetView guid="{4FECA310-8B3B-49C3-9401-AF0C2EE4D6E8}" filter="1" showAutoFilter="1">
      <pageMargins left="0.7" right="0.7" top="0.75" bottom="0.75" header="0.3" footer="0.3"/>
      <autoFilter ref="A1:J1000" xr:uid="{A1C5458F-C812-426C-AE36-B2D7C19163E7}"/>
    </customSheetView>
  </customSheetViews>
  <conditionalFormatting sqref="A2:A1000">
    <cfRule type="expression" dxfId="27" priority="1">
      <formula>AND($A2&lt;&gt;"", TRIM($J2)="")</formula>
    </cfRule>
    <cfRule type="expression" dxfId="26" priority="2">
      <formula>INT($A2) &lt; TODAY()</formula>
    </cfRule>
    <cfRule type="expression" dxfId="25" priority="3">
      <formula>INT($A2) = TODAY()</formula>
    </cfRule>
  </conditionalFormatting>
  <conditionalFormatting sqref="I2:I1000">
    <cfRule type="cellIs" dxfId="24" priority="4" operator="equal">
      <formula>"منجز"</formula>
    </cfRule>
    <cfRule type="cellIs" dxfId="23" priority="5" operator="equal">
      <formula>"ملغي"</formula>
    </cfRule>
    <cfRule type="cellIs" dxfId="22" priority="6" operator="equal">
      <formula>"تابع للتربية"</formula>
    </cfRule>
    <cfRule type="cellIs" dxfId="21" priority="7" operator="equal">
      <formula>"مؤجل"</formula>
    </cfRule>
  </conditionalFormatting>
  <dataValidations count="1">
    <dataValidation type="custom" allowBlank="1" showDropDown="1" sqref="A2:A21 J2:J21" xr:uid="{00000000-0002-0000-0100-000000000000}">
      <formula1>OR(NOT(ISERROR(DATEVALUE(A2))), AND(ISNUMBER(A2), LEFT(CELL("format", A2))="D"))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CC71"/>
    <outlinePr summaryBelow="0" summaryRight="0"/>
  </sheetPr>
  <dimension ref="A1:J1000"/>
  <sheetViews>
    <sheetView showGridLines="0" workbookViewId="0">
      <pane ySplit="1" topLeftCell="A2" activePane="bottomLeft" state="frozen"/>
      <selection pane="bottomLeft" activeCell="B3" sqref="B3"/>
    </sheetView>
  </sheetViews>
  <sheetFormatPr defaultColWidth="12.5703125" defaultRowHeight="15.75" customHeight="1"/>
  <cols>
    <col min="1" max="1" width="23.140625"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s>
  <sheetData>
    <row r="1" spans="1:10" ht="37.5" customHeight="1">
      <c r="A1" s="1" t="s">
        <v>0</v>
      </c>
      <c r="B1" s="2" t="s">
        <v>1</v>
      </c>
      <c r="C1" s="3" t="s">
        <v>3</v>
      </c>
      <c r="D1" s="1" t="s">
        <v>4</v>
      </c>
      <c r="E1" s="1" t="s">
        <v>38</v>
      </c>
      <c r="F1" s="1" t="s">
        <v>6</v>
      </c>
      <c r="G1" s="1" t="s">
        <v>7</v>
      </c>
      <c r="H1" s="1" t="s">
        <v>8</v>
      </c>
      <c r="I1" s="3" t="s">
        <v>9</v>
      </c>
      <c r="J1" s="3" t="s">
        <v>10</v>
      </c>
    </row>
    <row r="2" spans="1:10" ht="75" customHeight="1">
      <c r="A2" s="7">
        <f ca="1">IFERROR(__xludf.DUMMYFUNCTION("QUERY('البيانات'!A2:N1000, ""SELECT A, B, D, E, F, G, H, I,J,K WHERE I='مدني'ORDER BY A DESC "")"),46081.4026026157)</f>
        <v>46081.402602615701</v>
      </c>
      <c r="B2" s="18" t="str">
        <f ca="1">IFERROR(__xludf.DUMMYFUNCTION("""COMPUTED_VALUE"""),"المعملجي")</f>
        <v>المعملجي</v>
      </c>
      <c r="C2" s="9" t="str">
        <f ca="1">IFERROR(__xludf.DUMMYFUNCTION("""COMPUTED_VALUE"""),"قسم التربية والتعليم العالي")</f>
        <v>قسم التربية والتعليم العالي</v>
      </c>
      <c r="D2" s="10" t="str">
        <f ca="1">IFERROR(__xludf.DUMMYFUNCTION("""COMPUTED_VALUE"""),"B- روضة القمر")</f>
        <v>B- روضة القمر</v>
      </c>
      <c r="E2" s="10" t="str">
        <f ca="1">IFERROR(__xludf.DUMMYFUNCTION("""COMPUTED_VALUE"""),"صف النجوم ")</f>
        <v xml:space="preserve">صف النجوم </v>
      </c>
      <c r="F2" s="10" t="str">
        <f ca="1">IFERROR(__xludf.DUMMYFUNCTION("""COMPUTED_VALUE"""),"صيانة باب حمام ")</f>
        <v xml:space="preserve">صيانة باب حمام </v>
      </c>
      <c r="G2" s="11"/>
      <c r="H2" s="10" t="str">
        <f ca="1">IFERROR(__xludf.DUMMYFUNCTION("""COMPUTED_VALUE"""),"مدني")</f>
        <v>مدني</v>
      </c>
      <c r="I2" s="12" t="str">
        <f ca="1">IFERROR(__xludf.DUMMYFUNCTION("""COMPUTED_VALUE"""),"منجز")</f>
        <v>منجز</v>
      </c>
      <c r="J2" s="19">
        <f ca="1">IFERROR(__xludf.DUMMYFUNCTION("""COMPUTED_VALUE"""),46081.4177674189)</f>
        <v>46081.417767418898</v>
      </c>
    </row>
    <row r="3" spans="1:10" ht="75" customHeight="1">
      <c r="A3" s="7">
        <f ca="1">IFERROR(__xludf.DUMMYFUNCTION("""COMPUTED_VALUE"""),46081.4021645833)</f>
        <v>46081.402164583298</v>
      </c>
      <c r="B3" s="18" t="str">
        <f ca="1">IFERROR(__xludf.DUMMYFUNCTION("""COMPUTED_VALUE"""),"المعملجي")</f>
        <v>المعملجي</v>
      </c>
      <c r="C3" s="9" t="str">
        <f ca="1">IFERROR(__xludf.DUMMYFUNCTION("""COMPUTED_VALUE"""),"قسم التربية والتعليم العالي")</f>
        <v>قسم التربية والتعليم العالي</v>
      </c>
      <c r="D3" s="10" t="str">
        <f ca="1">IFERROR(__xludf.DUMMYFUNCTION("""COMPUTED_VALUE"""),"B- روضة القمر")</f>
        <v>B- روضة القمر</v>
      </c>
      <c r="E3" s="10" t="str">
        <f ca="1">IFERROR(__xludf.DUMMYFUNCTION("""COMPUTED_VALUE"""),"صف النجوم")</f>
        <v>صف النجوم</v>
      </c>
      <c r="F3" s="10" t="str">
        <f ca="1">IFERROR(__xludf.DUMMYFUNCTION("""COMPUTED_VALUE"""),"صيانة يدة شباك ")</f>
        <v xml:space="preserve">صيانة يدة شباك </v>
      </c>
      <c r="G3" s="11"/>
      <c r="H3" s="10" t="str">
        <f ca="1">IFERROR(__xludf.DUMMYFUNCTION("""COMPUTED_VALUE"""),"مدني")</f>
        <v>مدني</v>
      </c>
      <c r="I3" s="12" t="str">
        <f ca="1">IFERROR(__xludf.DUMMYFUNCTION("""COMPUTED_VALUE"""),"منجز")</f>
        <v>منجز</v>
      </c>
      <c r="J3" s="19">
        <f ca="1">IFERROR(__xludf.DUMMYFUNCTION("""COMPUTED_VALUE"""),46081.4177200578)</f>
        <v>46081.417720057798</v>
      </c>
    </row>
    <row r="4" spans="1:10" ht="75" customHeight="1">
      <c r="A4" s="15">
        <f ca="1">IFERROR(__xludf.DUMMYFUNCTION("""COMPUTED_VALUE"""),46081.3813385301)</f>
        <v>46081.381338530096</v>
      </c>
      <c r="B4" s="18" t="str">
        <f ca="1">IFERROR(__xludf.DUMMYFUNCTION("""COMPUTED_VALUE"""),"المعملجي")</f>
        <v>المعملجي</v>
      </c>
      <c r="C4" s="9" t="str">
        <f ca="1">IFERROR(__xludf.DUMMYFUNCTION("""COMPUTED_VALUE"""),"قسم المشاريع الهندسية")</f>
        <v>قسم المشاريع الهندسية</v>
      </c>
      <c r="D4" s="10" t="str">
        <f ca="1">IFERROR(__xludf.DUMMYFUNCTION("""COMPUTED_VALUE"""),"النافورة")</f>
        <v>النافورة</v>
      </c>
      <c r="E4" s="10" t="str">
        <f ca="1">IFERROR(__xludf.DUMMYFUNCTION("""COMPUTED_VALUE"""),"مقابل المركز الثقافي ")</f>
        <v xml:space="preserve">مقابل المركز الثقافي </v>
      </c>
      <c r="F4" s="10" t="str">
        <f ca="1">IFERROR(__xludf.DUMMYFUNCTION("""COMPUTED_VALUE"""),"غسل النافورة")</f>
        <v>غسل النافورة</v>
      </c>
      <c r="G4" s="11"/>
      <c r="H4" s="10" t="str">
        <f ca="1">IFERROR(__xludf.DUMMYFUNCTION("""COMPUTED_VALUE"""),"مدني")</f>
        <v>مدني</v>
      </c>
      <c r="I4" s="12" t="str">
        <f ca="1">IFERROR(__xludf.DUMMYFUNCTION("""COMPUTED_VALUE"""),"منجز")</f>
        <v>منجز</v>
      </c>
      <c r="J4" s="19">
        <f ca="1">IFERROR(__xludf.DUMMYFUNCTION("""COMPUTED_VALUE"""),46081.3814157175)</f>
        <v>46081.3814157175</v>
      </c>
    </row>
    <row r="5" spans="1:10" ht="75" customHeight="1">
      <c r="A5" s="7">
        <f ca="1">IFERROR(__xludf.DUMMYFUNCTION("""COMPUTED_VALUE"""),46081.3798740393)</f>
        <v>46081.379874039303</v>
      </c>
      <c r="B5" s="18" t="str">
        <f ca="1">IFERROR(__xludf.DUMMYFUNCTION("""COMPUTED_VALUE"""),"المعملجي")</f>
        <v>المعملجي</v>
      </c>
      <c r="C5" s="9" t="str">
        <f ca="1">IFERROR(__xludf.DUMMYFUNCTION("""COMPUTED_VALUE"""),"قسم التربية والتعليم العالي")</f>
        <v>قسم التربية والتعليم العالي</v>
      </c>
      <c r="D5" s="10" t="str">
        <f ca="1">IFERROR(__xludf.DUMMYFUNCTION("""COMPUTED_VALUE"""),"الرصيف مقابل الالعاب ")</f>
        <v xml:space="preserve">الرصيف مقابل الالعاب </v>
      </c>
      <c r="E5" s="10" t="str">
        <f ca="1">IFERROR(__xludf.DUMMYFUNCTION("""COMPUTED_VALUE"""),"رصيف الالعاب ")</f>
        <v xml:space="preserve">رصيف الالعاب </v>
      </c>
      <c r="F5" s="10" t="str">
        <f ca="1">IFERROR(__xludf.DUMMYFUNCTION("""COMPUTED_VALUE"""),"صبغ الرصيف بالون الابيض والاصفر ")</f>
        <v xml:space="preserve">صبغ الرصيف بالون الابيض والاصفر </v>
      </c>
      <c r="G5" s="10"/>
      <c r="H5" s="10" t="str">
        <f ca="1">IFERROR(__xludf.DUMMYFUNCTION("""COMPUTED_VALUE"""),"مدني")</f>
        <v>مدني</v>
      </c>
      <c r="I5" s="12" t="str">
        <f ca="1">IFERROR(__xludf.DUMMYFUNCTION("""COMPUTED_VALUE"""),"منجز")</f>
        <v>منجز</v>
      </c>
      <c r="J5" s="19">
        <f ca="1">IFERROR(__xludf.DUMMYFUNCTION("""COMPUTED_VALUE"""),46081.37997853)</f>
        <v>46081.37997853</v>
      </c>
    </row>
    <row r="6" spans="1:10" ht="75" customHeight="1">
      <c r="A6" s="7">
        <f ca="1">IFERROR(__xludf.DUMMYFUNCTION("""COMPUTED_VALUE"""),46081.3790203703)</f>
        <v>46081.379020370303</v>
      </c>
      <c r="B6" s="18" t="str">
        <f ca="1">IFERROR(__xludf.DUMMYFUNCTION("""COMPUTED_VALUE"""),"المعملجي")</f>
        <v>المعملجي</v>
      </c>
      <c r="C6" s="9" t="str">
        <f ca="1">IFERROR(__xludf.DUMMYFUNCTION("""COMPUTED_VALUE"""),"قسم التربية والتعليم العالي")</f>
        <v>قسم التربية والتعليم العالي</v>
      </c>
      <c r="D6" s="10" t="str">
        <f ca="1">IFERROR(__xludf.DUMMYFUNCTION("""COMPUTED_VALUE"""),"الرصيف مقابل الالعاب ")</f>
        <v xml:space="preserve">الرصيف مقابل الالعاب </v>
      </c>
      <c r="E6" s="10" t="str">
        <f ca="1">IFERROR(__xludf.DUMMYFUNCTION("""COMPUTED_VALUE"""),"رصيف الالعاب ")</f>
        <v xml:space="preserve">رصيف الالعاب </v>
      </c>
      <c r="F6" s="10" t="str">
        <f ca="1">IFERROR(__xludf.DUMMYFUNCTION("""COMPUTED_VALUE"""),"تصليح الرصيف بمادة المعجون")</f>
        <v>تصليح الرصيف بمادة المعجون</v>
      </c>
      <c r="G6" s="10"/>
      <c r="H6" s="10" t="str">
        <f ca="1">IFERROR(__xludf.DUMMYFUNCTION("""COMPUTED_VALUE"""),"مدني")</f>
        <v>مدني</v>
      </c>
      <c r="I6" s="12" t="str">
        <f ca="1">IFERROR(__xludf.DUMMYFUNCTION("""COMPUTED_VALUE"""),"منجز")</f>
        <v>منجز</v>
      </c>
      <c r="J6" s="19">
        <f ca="1">IFERROR(__xludf.DUMMYFUNCTION("""COMPUTED_VALUE"""),46081.3799945717)</f>
        <v>46081.379994571696</v>
      </c>
    </row>
    <row r="7" spans="1:10" ht="75" customHeight="1">
      <c r="A7" s="7">
        <f ca="1">IFERROR(__xludf.DUMMYFUNCTION("""COMPUTED_VALUE"""),46081.3781735995)</f>
        <v>46081.3781735995</v>
      </c>
      <c r="B7" s="18" t="str">
        <f ca="1">IFERROR(__xludf.DUMMYFUNCTION("""COMPUTED_VALUE"""),"المعملجي")</f>
        <v>المعملجي</v>
      </c>
      <c r="C7" s="9" t="str">
        <f ca="1">IFERROR(__xludf.DUMMYFUNCTION("""COMPUTED_VALUE"""),"قسم التربية والتعليم العالي")</f>
        <v>قسم التربية والتعليم العالي</v>
      </c>
      <c r="D7" s="10" t="str">
        <f ca="1">IFERROR(__xludf.DUMMYFUNCTION("""COMPUTED_VALUE"""),"رصيف مقابل الالعاب")</f>
        <v>رصيف مقابل الالعاب</v>
      </c>
      <c r="E7" s="10" t="str">
        <f ca="1">IFERROR(__xludf.DUMMYFUNCTION("""COMPUTED_VALUE"""),"رصيف الالعاب")</f>
        <v>رصيف الالعاب</v>
      </c>
      <c r="F7" s="10" t="str">
        <f ca="1">IFERROR(__xludf.DUMMYFUNCTION("""COMPUTED_VALUE"""),"صبغ برايمر للرصيف")</f>
        <v>صبغ برايمر للرصيف</v>
      </c>
      <c r="G7" s="10"/>
      <c r="H7" s="10" t="str">
        <f ca="1">IFERROR(__xludf.DUMMYFUNCTION("""COMPUTED_VALUE"""),"مدني")</f>
        <v>مدني</v>
      </c>
      <c r="I7" s="12" t="str">
        <f ca="1">IFERROR(__xludf.DUMMYFUNCTION("""COMPUTED_VALUE"""),"منجز")</f>
        <v>منجز</v>
      </c>
      <c r="J7" s="19">
        <f ca="1">IFERROR(__xludf.DUMMYFUNCTION("""COMPUTED_VALUE"""),46081.3800130324)</f>
        <v>46081.380013032402</v>
      </c>
    </row>
    <row r="8" spans="1:10" ht="75" customHeight="1">
      <c r="A8" s="7">
        <f ca="1">IFERROR(__xludf.DUMMYFUNCTION("""COMPUTED_VALUE"""),46079.3358060416)</f>
        <v>46079.335806041599</v>
      </c>
      <c r="B8" s="18" t="str">
        <f ca="1">IFERROR(__xludf.DUMMYFUNCTION("""COMPUTED_VALUE"""),"المعملجي")</f>
        <v>المعملجي</v>
      </c>
      <c r="C8" s="9" t="str">
        <f ca="1">IFERROR(__xludf.DUMMYFUNCTION("""COMPUTED_VALUE"""),"قسم التربية والتعليم العالي")</f>
        <v>قسم التربية والتعليم العالي</v>
      </c>
      <c r="D8" s="10" t="str">
        <f ca="1">IFERROR(__xludf.DUMMYFUNCTION("""COMPUTED_VALUE"""),"H- ابتدائية القمر للبنات (الخامسة)")</f>
        <v>H- ابتدائية القمر للبنات (الخامسة)</v>
      </c>
      <c r="E8" s="10" t="str">
        <f ca="1">IFERROR(__xludf.DUMMYFUNCTION("""COMPUTED_VALUE"""),"جناح الادائرة ZONE A, جناح الساحة ZONE B, الساحة المستطيله")</f>
        <v>جناح الادائرة ZONE A, جناح الساحة ZONE B, الساحة المستطيله</v>
      </c>
      <c r="F8" s="10" t="str">
        <f ca="1">IFERROR(__xludf.DUMMYFUNCTION("""COMPUTED_VALUE"""),"صيانه باب في للصحيات")</f>
        <v>صيانه باب في للصحيات</v>
      </c>
      <c r="G8" s="10"/>
      <c r="H8" s="10" t="str">
        <f ca="1">IFERROR(__xludf.DUMMYFUNCTION("""COMPUTED_VALUE"""),"مدني")</f>
        <v>مدني</v>
      </c>
      <c r="I8" s="12" t="str">
        <f ca="1">IFERROR(__xludf.DUMMYFUNCTION("""COMPUTED_VALUE"""),"منجز")</f>
        <v>منجز</v>
      </c>
      <c r="J8" s="19">
        <f ca="1">IFERROR(__xludf.DUMMYFUNCTION("""COMPUTED_VALUE"""),46079.5440109375)</f>
        <v>46079.544010937498</v>
      </c>
    </row>
    <row r="9" spans="1:10" ht="75" customHeight="1">
      <c r="A9" s="7">
        <f ca="1">IFERROR(__xludf.DUMMYFUNCTION("""COMPUTED_VALUE"""),46078.3746670949)</f>
        <v>46078.374667094897</v>
      </c>
      <c r="B9" s="18" t="str">
        <f ca="1">IFERROR(__xludf.DUMMYFUNCTION("""COMPUTED_VALUE"""),"المعملجي")</f>
        <v>المعملجي</v>
      </c>
      <c r="C9" s="9" t="str">
        <f ca="1">IFERROR(__xludf.DUMMYFUNCTION("""COMPUTED_VALUE"""),"قسم التربية والتعليم العالي")</f>
        <v>قسم التربية والتعليم العالي</v>
      </c>
      <c r="D9" s="10" t="str">
        <f ca="1">IFERROR(__xludf.DUMMYFUNCTION("""COMPUTED_VALUE"""),"G- روضة الجود")</f>
        <v>G- روضة الجود</v>
      </c>
      <c r="E9" s="10" t="str">
        <f ca="1">IFERROR(__xludf.DUMMYFUNCTION("""COMPUTED_VALUE"""),"الرصيف")</f>
        <v>الرصيف</v>
      </c>
      <c r="F9" s="10" t="str">
        <f ca="1">IFERROR(__xludf.DUMMYFUNCTION("""COMPUTED_VALUE"""),"صبغ الرصيف بالون الابيض والاصفر ")</f>
        <v xml:space="preserve">صبغ الرصيف بالون الابيض والاصفر </v>
      </c>
      <c r="G9" s="10"/>
      <c r="H9" s="10" t="str">
        <f ca="1">IFERROR(__xludf.DUMMYFUNCTION("""COMPUTED_VALUE"""),"مدني")</f>
        <v>مدني</v>
      </c>
      <c r="I9" s="12" t="str">
        <f ca="1">IFERROR(__xludf.DUMMYFUNCTION("""COMPUTED_VALUE"""),"منجز")</f>
        <v>منجز</v>
      </c>
      <c r="J9" s="19"/>
    </row>
    <row r="10" spans="1:10" ht="75" customHeight="1">
      <c r="A10" s="7">
        <f ca="1">IFERROR(__xludf.DUMMYFUNCTION("""COMPUTED_VALUE"""),46078.3733711574)</f>
        <v>46078.373371157402</v>
      </c>
      <c r="B10" s="18" t="str">
        <f ca="1">IFERROR(__xludf.DUMMYFUNCTION("""COMPUTED_VALUE"""),"المعملجي")</f>
        <v>المعملجي</v>
      </c>
      <c r="C10" s="9" t="str">
        <f ca="1">IFERROR(__xludf.DUMMYFUNCTION("""COMPUTED_VALUE"""),"قسم التربية والتعليم العالي")</f>
        <v>قسم التربية والتعليم العالي</v>
      </c>
      <c r="D10" s="10" t="str">
        <f ca="1">IFERROR(__xludf.DUMMYFUNCTION("""COMPUTED_VALUE"""),"G- روضة الجود")</f>
        <v>G- روضة الجود</v>
      </c>
      <c r="E10" s="10" t="str">
        <f ca="1">IFERROR(__xludf.DUMMYFUNCTION("""COMPUTED_VALUE"""),"الرصيف")</f>
        <v>الرصيف</v>
      </c>
      <c r="F10" s="10" t="str">
        <f ca="1">IFERROR(__xludf.DUMMYFUNCTION("""COMPUTED_VALUE"""),"بمالجة الرصيف بالمعجون")</f>
        <v>بمالجة الرصيف بالمعجون</v>
      </c>
      <c r="G10" s="10"/>
      <c r="H10" s="10" t="str">
        <f ca="1">IFERROR(__xludf.DUMMYFUNCTION("""COMPUTED_VALUE"""),"مدني")</f>
        <v>مدني</v>
      </c>
      <c r="I10" s="12" t="str">
        <f ca="1">IFERROR(__xludf.DUMMYFUNCTION("""COMPUTED_VALUE"""),"منجز")</f>
        <v>منجز</v>
      </c>
      <c r="J10" s="19"/>
    </row>
    <row r="11" spans="1:10" ht="75" customHeight="1">
      <c r="A11" s="7">
        <f ca="1">IFERROR(__xludf.DUMMYFUNCTION("""COMPUTED_VALUE"""),46078.3726303125)</f>
        <v>46078.3726303125</v>
      </c>
      <c r="B11" s="18" t="str">
        <f ca="1">IFERROR(__xludf.DUMMYFUNCTION("""COMPUTED_VALUE"""),"المعملجي")</f>
        <v>المعملجي</v>
      </c>
      <c r="C11" s="9" t="str">
        <f ca="1">IFERROR(__xludf.DUMMYFUNCTION("""COMPUTED_VALUE"""),"قسم التربية والتعليم العالي")</f>
        <v>قسم التربية والتعليم العالي</v>
      </c>
      <c r="D11" s="10" t="str">
        <f ca="1">IFERROR(__xludf.DUMMYFUNCTION("""COMPUTED_VALUE"""),"G- روضة الجود")</f>
        <v>G- روضة الجود</v>
      </c>
      <c r="E11" s="10" t="str">
        <f ca="1">IFERROR(__xludf.DUMMYFUNCTION("""COMPUTED_VALUE"""),"الرصيف")</f>
        <v>الرصيف</v>
      </c>
      <c r="F11" s="10" t="str">
        <f ca="1">IFERROR(__xludf.DUMMYFUNCTION("""COMPUTED_VALUE"""),"صبغ الرصيف بمادة البرايمر")</f>
        <v>صبغ الرصيف بمادة البرايمر</v>
      </c>
      <c r="G11" s="10"/>
      <c r="H11" s="10" t="str">
        <f ca="1">IFERROR(__xludf.DUMMYFUNCTION("""COMPUTED_VALUE"""),"مدني")</f>
        <v>مدني</v>
      </c>
      <c r="I11" s="12" t="str">
        <f ca="1">IFERROR(__xludf.DUMMYFUNCTION("""COMPUTED_VALUE"""),"منجز")</f>
        <v>منجز</v>
      </c>
      <c r="J11" s="19"/>
    </row>
    <row r="12" spans="1:10" ht="75" customHeight="1">
      <c r="A12" s="7">
        <f ca="1">IFERROR(__xludf.DUMMYFUNCTION("""COMPUTED_VALUE"""),46078.3670978125)</f>
        <v>46078.367097812501</v>
      </c>
      <c r="B12" s="18" t="str">
        <f ca="1">IFERROR(__xludf.DUMMYFUNCTION("""COMPUTED_VALUE"""),"المعملجي")</f>
        <v>المعملجي</v>
      </c>
      <c r="C12" s="9" t="str">
        <f ca="1">IFERROR(__xludf.DUMMYFUNCTION("""COMPUTED_VALUE"""),"قسم التربية والتعليم العالي")</f>
        <v>قسم التربية والتعليم العالي</v>
      </c>
      <c r="D12" s="10" t="str">
        <f ca="1">IFERROR(__xludf.DUMMYFUNCTION("""COMPUTED_VALUE"""),"A- المركز الثقافي")</f>
        <v>A- المركز الثقافي</v>
      </c>
      <c r="E12" s="10" t="str">
        <f ca="1">IFERROR(__xludf.DUMMYFUNCTION("""COMPUTED_VALUE"""),"الرصيف")</f>
        <v>الرصيف</v>
      </c>
      <c r="F12" s="10" t="str">
        <f ca="1">IFERROR(__xludf.DUMMYFUNCTION("""COMPUTED_VALUE"""),"صبغ الرصيف بالون الابيض والاصفر")</f>
        <v>صبغ الرصيف بالون الابيض والاصفر</v>
      </c>
      <c r="G12" s="10"/>
      <c r="H12" s="10" t="str">
        <f ca="1">IFERROR(__xludf.DUMMYFUNCTION("""COMPUTED_VALUE"""),"مدني")</f>
        <v>مدني</v>
      </c>
      <c r="I12" s="12" t="str">
        <f ca="1">IFERROR(__xludf.DUMMYFUNCTION("""COMPUTED_VALUE"""),"منجز")</f>
        <v>منجز</v>
      </c>
      <c r="J12" s="19"/>
    </row>
    <row r="13" spans="1:10" ht="75" customHeight="1">
      <c r="A13" s="7">
        <f ca="1">IFERROR(__xludf.DUMMYFUNCTION("""COMPUTED_VALUE"""),46078.3660022106)</f>
        <v>46078.366002210598</v>
      </c>
      <c r="B13" s="18" t="str">
        <f ca="1">IFERROR(__xludf.DUMMYFUNCTION("""COMPUTED_VALUE"""),"المعملجي")</f>
        <v>المعملجي</v>
      </c>
      <c r="C13" s="9" t="str">
        <f ca="1">IFERROR(__xludf.DUMMYFUNCTION("""COMPUTED_VALUE"""),"قسم التربية والتعليم العالي")</f>
        <v>قسم التربية والتعليم العالي</v>
      </c>
      <c r="D13" s="10" t="str">
        <f ca="1">IFERROR(__xludf.DUMMYFUNCTION("""COMPUTED_VALUE"""),"A- المركز الثقافي")</f>
        <v>A- المركز الثقافي</v>
      </c>
      <c r="E13" s="10" t="str">
        <f ca="1">IFERROR(__xludf.DUMMYFUNCTION("""COMPUTED_VALUE"""),"الرصيف")</f>
        <v>الرصيف</v>
      </c>
      <c r="F13" s="10" t="str">
        <f ca="1">IFERROR(__xludf.DUMMYFUNCTION("""COMPUTED_VALUE"""),"معالجة الرصيف مراد المعجون")</f>
        <v>معالجة الرصيف مراد المعجون</v>
      </c>
      <c r="G13" s="10"/>
      <c r="H13" s="10" t="str">
        <f ca="1">IFERROR(__xludf.DUMMYFUNCTION("""COMPUTED_VALUE"""),"مدني")</f>
        <v>مدني</v>
      </c>
      <c r="I13" s="12" t="str">
        <f ca="1">IFERROR(__xludf.DUMMYFUNCTION("""COMPUTED_VALUE"""),"منجز")</f>
        <v>منجز</v>
      </c>
      <c r="J13" s="19"/>
    </row>
    <row r="14" spans="1:10" ht="75" customHeight="1">
      <c r="A14" s="7">
        <f ca="1">IFERROR(__xludf.DUMMYFUNCTION("""COMPUTED_VALUE"""),46078.3580219097)</f>
        <v>46078.358021909698</v>
      </c>
      <c r="B14" s="18" t="str">
        <f ca="1">IFERROR(__xludf.DUMMYFUNCTION("""COMPUTED_VALUE"""),"المعملجي")</f>
        <v>المعملجي</v>
      </c>
      <c r="C14" s="9" t="str">
        <f ca="1">IFERROR(__xludf.DUMMYFUNCTION("""COMPUTED_VALUE"""),"قسم التربية والتعليم العالي")</f>
        <v>قسم التربية والتعليم العالي</v>
      </c>
      <c r="D14" s="10" t="str">
        <f ca="1">IFERROR(__xludf.DUMMYFUNCTION("""COMPUTED_VALUE"""),"A- المركز الثقافي")</f>
        <v>A- المركز الثقافي</v>
      </c>
      <c r="E14" s="10" t="str">
        <f ca="1">IFERROR(__xludf.DUMMYFUNCTION("""COMPUTED_VALUE"""),"الرصيف")</f>
        <v>الرصيف</v>
      </c>
      <c r="F14" s="10" t="str">
        <f ca="1">IFERROR(__xludf.DUMMYFUNCTION("""COMPUTED_VALUE"""),"اعمال صبغ الرصيف بمادة البرايمر ")</f>
        <v xml:space="preserve">اعمال صبغ الرصيف بمادة البرايمر </v>
      </c>
      <c r="G14" s="10"/>
      <c r="H14" s="10" t="str">
        <f ca="1">IFERROR(__xludf.DUMMYFUNCTION("""COMPUTED_VALUE"""),"مدني")</f>
        <v>مدني</v>
      </c>
      <c r="I14" s="12" t="str">
        <f ca="1">IFERROR(__xludf.DUMMYFUNCTION("""COMPUTED_VALUE"""),"منجز")</f>
        <v>منجز</v>
      </c>
      <c r="J14" s="20">
        <f ca="1">IFERROR(__xludf.DUMMYFUNCTION("""COMPUTED_VALUE"""),46078.3760037615)</f>
        <v>46078.376003761499</v>
      </c>
    </row>
    <row r="15" spans="1:10" ht="75" customHeight="1">
      <c r="A15" s="7">
        <f ca="1">IFERROR(__xludf.DUMMYFUNCTION("""COMPUTED_VALUE"""),46077.5027842592)</f>
        <v>46077.502784259203</v>
      </c>
      <c r="B15" s="18" t="str">
        <f ca="1">IFERROR(__xludf.DUMMYFUNCTION("""COMPUTED_VALUE"""),"المعملجي")</f>
        <v>المعملجي</v>
      </c>
      <c r="C15" s="9" t="str">
        <f ca="1">IFERROR(__xludf.DUMMYFUNCTION("""COMPUTED_VALUE"""),"قسم التربية والتعليم العالي")</f>
        <v>قسم التربية والتعليم العالي</v>
      </c>
      <c r="D15" s="10" t="str">
        <f ca="1">IFERROR(__xludf.DUMMYFUNCTION("""COMPUTED_VALUE"""),"F-  ابتدائية جود العميد للبنات (الرابعة)")</f>
        <v>F-  ابتدائية جود العميد للبنات (الرابعة)</v>
      </c>
      <c r="E15" s="10" t="str">
        <f ca="1">IFERROR(__xludf.DUMMYFUNCTION("""COMPUTED_VALUE"""),"الطابق الارضي")</f>
        <v>الطابق الارضي</v>
      </c>
      <c r="F15" s="10" t="str">
        <f ca="1">IFERROR(__xludf.DUMMYFUNCTION("""COMPUTED_VALUE"""),"صيانة باب حمام ")</f>
        <v xml:space="preserve">صيانة باب حمام </v>
      </c>
      <c r="G15" s="10"/>
      <c r="H15" s="10" t="str">
        <f ca="1">IFERROR(__xludf.DUMMYFUNCTION("""COMPUTED_VALUE"""),"مدني")</f>
        <v>مدني</v>
      </c>
      <c r="I15" s="12" t="str">
        <f ca="1">IFERROR(__xludf.DUMMYFUNCTION("""COMPUTED_VALUE"""),"منجز")</f>
        <v>منجز</v>
      </c>
      <c r="J15" s="19">
        <f ca="1">IFERROR(__xludf.DUMMYFUNCTION("""COMPUTED_VALUE"""),46077.6029898379)</f>
        <v>46077.602989837898</v>
      </c>
    </row>
    <row r="16" spans="1:10" ht="75" customHeight="1">
      <c r="A16" s="7">
        <f ca="1">IFERROR(__xludf.DUMMYFUNCTION("""COMPUTED_VALUE"""),46077.4955301273)</f>
        <v>46077.4955301273</v>
      </c>
      <c r="B16" s="18" t="str">
        <f ca="1">IFERROR(__xludf.DUMMYFUNCTION("""COMPUTED_VALUE"""),"المعملجي")</f>
        <v>المعملجي</v>
      </c>
      <c r="C16" s="9" t="str">
        <f ca="1">IFERROR(__xludf.DUMMYFUNCTION("""COMPUTED_VALUE"""),"قسم التربية والتعليم العالي")</f>
        <v>قسم التربية والتعليم العالي</v>
      </c>
      <c r="D16" s="10" t="str">
        <f ca="1">IFERROR(__xludf.DUMMYFUNCTION("""COMPUTED_VALUE"""),"I- ابتدائية الساقي للبنين (السادسة)")</f>
        <v>I- ابتدائية الساقي للبنين (السادسة)</v>
      </c>
      <c r="E16" s="10" t="str">
        <f ca="1">IFERROR(__xludf.DUMMYFUNCTION("""COMPUTED_VALUE"""),"الطابق الارضي")</f>
        <v>الطابق الارضي</v>
      </c>
      <c r="F16" s="10" t="str">
        <f ca="1">IFERROR(__xludf.DUMMYFUNCTION("""COMPUTED_VALUE"""),"ميز الاستعلامات بحاجة الى سيلكون ")</f>
        <v xml:space="preserve">ميز الاستعلامات بحاجة الى سيلكون </v>
      </c>
      <c r="G16" s="10"/>
      <c r="H16" s="10" t="str">
        <f ca="1">IFERROR(__xludf.DUMMYFUNCTION("""COMPUTED_VALUE"""),"مدني")</f>
        <v>مدني</v>
      </c>
      <c r="I16" s="12" t="str">
        <f ca="1">IFERROR(__xludf.DUMMYFUNCTION("""COMPUTED_VALUE"""),"منجز")</f>
        <v>منجز</v>
      </c>
      <c r="J16" s="19">
        <f ca="1">IFERROR(__xludf.DUMMYFUNCTION("""COMPUTED_VALUE"""),46077.6029370138)</f>
        <v>46077.602937013799</v>
      </c>
    </row>
    <row r="17" spans="1:10" ht="75" customHeight="1">
      <c r="A17" s="7">
        <f ca="1">IFERROR(__xludf.DUMMYFUNCTION("""COMPUTED_VALUE"""),46077.4936048842)</f>
        <v>46077.493604884199</v>
      </c>
      <c r="B17" s="18" t="str">
        <f ca="1">IFERROR(__xludf.DUMMYFUNCTION("""COMPUTED_VALUE"""),"المعملجي")</f>
        <v>المعملجي</v>
      </c>
      <c r="C17" s="9" t="str">
        <f ca="1">IFERROR(__xludf.DUMMYFUNCTION("""COMPUTED_VALUE"""),"قسم التربية والتعليم العالي")</f>
        <v>قسم التربية والتعليم العالي</v>
      </c>
      <c r="D17" s="10" t="str">
        <f ca="1">IFERROR(__xludf.DUMMYFUNCTION("""COMPUTED_VALUE"""),"I- ابتدائية الساقي للبنين (السادسة)")</f>
        <v>I- ابتدائية الساقي للبنين (السادسة)</v>
      </c>
      <c r="E17" s="10" t="str">
        <f ca="1">IFERROR(__xludf.DUMMYFUNCTION("""COMPUTED_VALUE"""),"جناح الساحة ZONE B, والمصلى ")</f>
        <v xml:space="preserve">جناح الساحة ZONE B, والمصلى </v>
      </c>
      <c r="F17" s="10" t="str">
        <f ca="1">IFERROR(__xludf.DUMMYFUNCTION("""COMPUTED_VALUE"""),"تثبيت بردات ")</f>
        <v xml:space="preserve">تثبيت بردات </v>
      </c>
      <c r="G17" s="10"/>
      <c r="H17" s="10" t="str">
        <f ca="1">IFERROR(__xludf.DUMMYFUNCTION("""COMPUTED_VALUE"""),"مدني")</f>
        <v>مدني</v>
      </c>
      <c r="I17" s="12" t="str">
        <f ca="1">IFERROR(__xludf.DUMMYFUNCTION("""COMPUTED_VALUE"""),"منجز")</f>
        <v>منجز</v>
      </c>
      <c r="J17" s="19">
        <f ca="1">IFERROR(__xludf.DUMMYFUNCTION("""COMPUTED_VALUE"""),46077.6028831713)</f>
        <v>46077.602883171297</v>
      </c>
    </row>
    <row r="18" spans="1:10" ht="75" customHeight="1">
      <c r="A18" s="7">
        <f ca="1">IFERROR(__xludf.DUMMYFUNCTION("""COMPUTED_VALUE"""),46077.4917879398)</f>
        <v>46077.491787939798</v>
      </c>
      <c r="B18" s="18" t="str">
        <f ca="1">IFERROR(__xludf.DUMMYFUNCTION("""COMPUTED_VALUE"""),"المعملجي")</f>
        <v>المعملجي</v>
      </c>
      <c r="C18" s="9" t="str">
        <f ca="1">IFERROR(__xludf.DUMMYFUNCTION("""COMPUTED_VALUE"""),"قسم التربية والتعليم العالي")</f>
        <v>قسم التربية والتعليم العالي</v>
      </c>
      <c r="D18" s="10" t="str">
        <f ca="1">IFERROR(__xludf.DUMMYFUNCTION("""COMPUTED_VALUE"""),"H- ابتدائية القمر للبنات (الخامسة)")</f>
        <v>H- ابتدائية القمر للبنات (الخامسة)</v>
      </c>
      <c r="E18" s="10" t="str">
        <f ca="1">IFERROR(__xludf.DUMMYFUNCTION("""COMPUTED_VALUE"""),"الطابق الارضي")</f>
        <v>الطابق الارضي</v>
      </c>
      <c r="F18" s="10" t="str">
        <f ca="1">IFERROR(__xludf.DUMMYFUNCTION("""COMPUTED_VALUE"""),"صيانة استول في المختبر ")</f>
        <v xml:space="preserve">صيانة استول في المختبر </v>
      </c>
      <c r="G18" s="10"/>
      <c r="H18" s="10" t="str">
        <f ca="1">IFERROR(__xludf.DUMMYFUNCTION("""COMPUTED_VALUE"""),"مدني")</f>
        <v>مدني</v>
      </c>
      <c r="I18" s="12" t="str">
        <f ca="1">IFERROR(__xludf.DUMMYFUNCTION("""COMPUTED_VALUE"""),"منجز")</f>
        <v>منجز</v>
      </c>
      <c r="J18" s="19">
        <f ca="1">IFERROR(__xludf.DUMMYFUNCTION("""COMPUTED_VALUE"""),46077.6028197916)</f>
        <v>46077.602819791602</v>
      </c>
    </row>
    <row r="19" spans="1:10" ht="75" customHeight="1">
      <c r="A19" s="7">
        <f ca="1">IFERROR(__xludf.DUMMYFUNCTION("""COMPUTED_VALUE"""),46077.3941211226)</f>
        <v>46077.394121122597</v>
      </c>
      <c r="B19" s="18" t="str">
        <f ca="1">IFERROR(__xludf.DUMMYFUNCTION("""COMPUTED_VALUE"""),"المعملجي")</f>
        <v>المعملجي</v>
      </c>
      <c r="C19" s="9" t="str">
        <f ca="1">IFERROR(__xludf.DUMMYFUNCTION("""COMPUTED_VALUE"""),"قسم التربية والتعليم العالي")</f>
        <v>قسم التربية والتعليم العالي</v>
      </c>
      <c r="D19" s="10" t="str">
        <f ca="1">IFERROR(__xludf.DUMMYFUNCTION("""COMPUTED_VALUE"""),"G- روضة الجود")</f>
        <v>G- روضة الجود</v>
      </c>
      <c r="E19" s="10" t="str">
        <f ca="1">IFERROR(__xludf.DUMMYFUNCTION("""COMPUTED_VALUE"""),"الطابق الارضي, صف الفرح")</f>
        <v>الطابق الارضي, صف الفرح</v>
      </c>
      <c r="F19" s="10" t="str">
        <f ca="1">IFERROR(__xludf.DUMMYFUNCTION("""COMPUTED_VALUE"""),"تثبيت بردة")</f>
        <v>تثبيت بردة</v>
      </c>
      <c r="G19" s="10"/>
      <c r="H19" s="10" t="str">
        <f ca="1">IFERROR(__xludf.DUMMYFUNCTION("""COMPUTED_VALUE"""),"مدني")</f>
        <v>مدني</v>
      </c>
      <c r="I19" s="12" t="str">
        <f ca="1">IFERROR(__xludf.DUMMYFUNCTION("""COMPUTED_VALUE"""),"منجز")</f>
        <v>منجز</v>
      </c>
      <c r="J19" s="19">
        <f ca="1">IFERROR(__xludf.DUMMYFUNCTION("""COMPUTED_VALUE"""),46078.3005812152)</f>
        <v>46078.300581215197</v>
      </c>
    </row>
    <row r="20" spans="1:10" ht="75" customHeight="1">
      <c r="A20" s="7">
        <f ca="1">IFERROR(__xludf.DUMMYFUNCTION("""COMPUTED_VALUE"""),46077.3067542245)</f>
        <v>46077.306754224497</v>
      </c>
      <c r="B20" s="18" t="str">
        <f ca="1">IFERROR(__xludf.DUMMYFUNCTION("""COMPUTED_VALUE"""),"المعملجي")</f>
        <v>المعملجي</v>
      </c>
      <c r="C20" s="9" t="str">
        <f ca="1">IFERROR(__xludf.DUMMYFUNCTION("""COMPUTED_VALUE"""),"قسم التربية والتعليم العالي")</f>
        <v>قسم التربية والتعليم العالي</v>
      </c>
      <c r="D20" s="10" t="str">
        <f ca="1">IFERROR(__xludf.DUMMYFUNCTION("""COMPUTED_VALUE"""),"صحيات مقابيل الالعاب ")</f>
        <v xml:space="preserve">صحيات مقابيل الالعاب </v>
      </c>
      <c r="E20" s="10" t="str">
        <f ca="1">IFERROR(__xludf.DUMMYFUNCTION("""COMPUTED_VALUE"""),"/")</f>
        <v>/</v>
      </c>
      <c r="F20" s="10" t="str">
        <f ca="1">IFERROR(__xludf.DUMMYFUNCTION("""COMPUTED_VALUE"""),"صيانة باب")</f>
        <v>صيانة باب</v>
      </c>
      <c r="G20" s="10"/>
      <c r="H20" s="10" t="str">
        <f ca="1">IFERROR(__xludf.DUMMYFUNCTION("""COMPUTED_VALUE"""),"مدني")</f>
        <v>مدني</v>
      </c>
      <c r="I20" s="12" t="str">
        <f ca="1">IFERROR(__xludf.DUMMYFUNCTION("""COMPUTED_VALUE"""),"منجز")</f>
        <v>منجز</v>
      </c>
      <c r="J20" s="19">
        <f ca="1">IFERROR(__xludf.DUMMYFUNCTION("""COMPUTED_VALUE"""),46077.4885803588)</f>
        <v>46077.488580358797</v>
      </c>
    </row>
    <row r="21" spans="1:10" ht="75" customHeight="1">
      <c r="A21" s="7">
        <f ca="1">IFERROR(__xludf.DUMMYFUNCTION("""COMPUTED_VALUE"""),46076.4702588194)</f>
        <v>46076.470258819398</v>
      </c>
      <c r="B21" s="18" t="str">
        <f ca="1">IFERROR(__xludf.DUMMYFUNCTION("""COMPUTED_VALUE"""),"المعملجي")</f>
        <v>المعملجي</v>
      </c>
      <c r="C21" s="9" t="str">
        <f ca="1">IFERROR(__xludf.DUMMYFUNCTION("""COMPUTED_VALUE"""),"قسم التربية والتعليم العالي")</f>
        <v>قسم التربية والتعليم العالي</v>
      </c>
      <c r="D21" s="10" t="str">
        <f ca="1">IFERROR(__xludf.DUMMYFUNCTION("""COMPUTED_VALUE"""),"B- روضة القمر")</f>
        <v>B- روضة القمر</v>
      </c>
      <c r="E21" s="10" t="str">
        <f ca="1">IFERROR(__xludf.DUMMYFUNCTION("""COMPUTED_VALUE"""),"الطابق الارضي, غرفة المعاونات ")</f>
        <v xml:space="preserve">الطابق الارضي, غرفة المعاونات </v>
      </c>
      <c r="F21" s="10" t="str">
        <f ca="1">IFERROR(__xludf.DUMMYFUNCTION("""COMPUTED_VALUE"""),"صيانة سيدار بردة ")</f>
        <v xml:space="preserve">صيانة سيدار بردة </v>
      </c>
      <c r="G21" s="10"/>
      <c r="H21" s="10" t="str">
        <f ca="1">IFERROR(__xludf.DUMMYFUNCTION("""COMPUTED_VALUE"""),"مدني")</f>
        <v>مدني</v>
      </c>
      <c r="I21" s="12" t="str">
        <f ca="1">IFERROR(__xludf.DUMMYFUNCTION("""COMPUTED_VALUE"""),"منجز")</f>
        <v>منجز</v>
      </c>
      <c r="J21" s="19">
        <f ca="1">IFERROR(__xludf.DUMMYFUNCTION("""COMPUTED_VALUE"""),46077.3356643055)</f>
        <v>46077.335664305501</v>
      </c>
    </row>
    <row r="22" spans="1:10" ht="75" customHeight="1">
      <c r="A22" s="7">
        <f ca="1">IFERROR(__xludf.DUMMYFUNCTION("""COMPUTED_VALUE"""),46076.3098310648)</f>
        <v>46076.309831064798</v>
      </c>
      <c r="B22" s="18" t="str">
        <f ca="1">IFERROR(__xludf.DUMMYFUNCTION("""COMPUTED_VALUE"""),"المعملجي")</f>
        <v>المعملجي</v>
      </c>
      <c r="C22" s="9" t="str">
        <f ca="1">IFERROR(__xludf.DUMMYFUNCTION("""COMPUTED_VALUE"""),"قسم التربية والتعليم العالي")</f>
        <v>قسم التربية والتعليم العالي</v>
      </c>
      <c r="D22" s="10" t="str">
        <f ca="1">IFERROR(__xludf.DUMMYFUNCTION("""COMPUTED_VALUE"""),"H- ابتدائية القمر للبنات (الخامسة)")</f>
        <v>H- ابتدائية القمر للبنات (الخامسة)</v>
      </c>
      <c r="E22" s="10" t="str">
        <f ca="1">IFERROR(__xludf.DUMMYFUNCTION("""COMPUTED_VALUE"""),"الطابق الارضي, صف السادس أ")</f>
        <v>الطابق الارضي, صف السادس أ</v>
      </c>
      <c r="F22" s="10" t="str">
        <f ca="1">IFERROR(__xludf.DUMMYFUNCTION("""COMPUTED_VALUE"""),"صيانه شباك")</f>
        <v>صيانه شباك</v>
      </c>
      <c r="G22" s="10"/>
      <c r="H22" s="10" t="str">
        <f ca="1">IFERROR(__xludf.DUMMYFUNCTION("""COMPUTED_VALUE"""),"مدني")</f>
        <v>مدني</v>
      </c>
      <c r="I22" s="12" t="str">
        <f ca="1">IFERROR(__xludf.DUMMYFUNCTION("""COMPUTED_VALUE"""),"منجز")</f>
        <v>منجز</v>
      </c>
      <c r="J22" s="19">
        <f ca="1">IFERROR(__xludf.DUMMYFUNCTION("""COMPUTED_VALUE"""),46077.334575081)</f>
        <v>46077.334575080997</v>
      </c>
    </row>
    <row r="23" spans="1:10" ht="75" customHeight="1">
      <c r="A23" s="7">
        <f ca="1">IFERROR(__xludf.DUMMYFUNCTION("""COMPUTED_VALUE"""),46075.5658766435)</f>
        <v>46075.565876643501</v>
      </c>
      <c r="B23" s="18" t="str">
        <f ca="1">IFERROR(__xludf.DUMMYFUNCTION("""COMPUTED_VALUE"""),"المعملجي")</f>
        <v>المعملجي</v>
      </c>
      <c r="C23" s="9" t="str">
        <f ca="1">IFERROR(__xludf.DUMMYFUNCTION("""COMPUTED_VALUE"""),"قسم التربية والتعليم العالي")</f>
        <v>قسم التربية والتعليم العالي</v>
      </c>
      <c r="D23" s="10" t="str">
        <f ca="1">IFERROR(__xludf.DUMMYFUNCTION("""COMPUTED_VALUE"""),"J- ابتدائية الساقي للبنين الجانب الثاني (السابعة)")</f>
        <v>J- ابتدائية الساقي للبنين الجانب الثاني (السابعة)</v>
      </c>
      <c r="E23" s="10" t="str">
        <f ca="1">IFERROR(__xludf.DUMMYFUNCTION("""COMPUTED_VALUE"""),"الطابق الارضي, جناح الساحة ZONE B")</f>
        <v>الطابق الارضي, جناح الساحة ZONE B</v>
      </c>
      <c r="F23" s="10" t="str">
        <f ca="1">IFERROR(__xludf.DUMMYFUNCTION("""COMPUTED_VALUE"""),"صيانة  باب الساحة الوسطية ")</f>
        <v xml:space="preserve">صيانة  باب الساحة الوسطية </v>
      </c>
      <c r="G23" s="10"/>
      <c r="H23" s="10" t="str">
        <f ca="1">IFERROR(__xludf.DUMMYFUNCTION("""COMPUTED_VALUE"""),"مدني")</f>
        <v>مدني</v>
      </c>
      <c r="I23" s="12" t="str">
        <f ca="1">IFERROR(__xludf.DUMMYFUNCTION("""COMPUTED_VALUE"""),"منجز")</f>
        <v>منجز</v>
      </c>
      <c r="J23" s="19">
        <f ca="1">IFERROR(__xludf.DUMMYFUNCTION("""COMPUTED_VALUE"""),46076.3174230208)</f>
        <v>46076.317423020802</v>
      </c>
    </row>
    <row r="24" spans="1:10" ht="75" customHeight="1">
      <c r="A24" s="7">
        <f ca="1">IFERROR(__xludf.DUMMYFUNCTION("""COMPUTED_VALUE"""),46075.4580193287)</f>
        <v>46075.458019328697</v>
      </c>
      <c r="B24" s="18" t="str">
        <f ca="1">IFERROR(__xludf.DUMMYFUNCTION("""COMPUTED_VALUE"""),"المعملجي")</f>
        <v>المعملجي</v>
      </c>
      <c r="C24" s="9" t="str">
        <f ca="1">IFERROR(__xludf.DUMMYFUNCTION("""COMPUTED_VALUE"""),"قسم التربية والتعليم العالي")</f>
        <v>قسم التربية والتعليم العالي</v>
      </c>
      <c r="D24" s="10" t="str">
        <f ca="1">IFERROR(__xludf.DUMMYFUNCTION("""COMPUTED_VALUE"""),"الاستعلامات الرئيسية")</f>
        <v>الاستعلامات الرئيسية</v>
      </c>
      <c r="E24" s="10" t="str">
        <f ca="1">IFERROR(__xludf.DUMMYFUNCTION("""COMPUTED_VALUE"""),"الباب الخلفية ")</f>
        <v xml:space="preserve">الباب الخلفية </v>
      </c>
      <c r="F24" s="10" t="str">
        <f ca="1">IFERROR(__xludf.DUMMYFUNCTION("""COMPUTED_VALUE"""),"صيانة باب الاستعلامات الخلية ")</f>
        <v xml:space="preserve">صيانة باب الاستعلامات الخلية </v>
      </c>
      <c r="G24" s="10"/>
      <c r="H24" s="10" t="str">
        <f ca="1">IFERROR(__xludf.DUMMYFUNCTION("""COMPUTED_VALUE"""),"مدني")</f>
        <v>مدني</v>
      </c>
      <c r="I24" s="12" t="str">
        <f ca="1">IFERROR(__xludf.DUMMYFUNCTION("""COMPUTED_VALUE"""),"منجز")</f>
        <v>منجز</v>
      </c>
      <c r="J24" s="19">
        <f ca="1">IFERROR(__xludf.DUMMYFUNCTION("""COMPUTED_VALUE"""),46076.4237175231)</f>
        <v>46076.423717523103</v>
      </c>
    </row>
    <row r="25" spans="1:10" ht="75" customHeight="1">
      <c r="A25" s="7">
        <f ca="1">IFERROR(__xludf.DUMMYFUNCTION("""COMPUTED_VALUE"""),46075.3996381944)</f>
        <v>46075.399638194402</v>
      </c>
      <c r="B25" s="18" t="str">
        <f ca="1">IFERROR(__xludf.DUMMYFUNCTION("""COMPUTED_VALUE"""),"المعملجي")</f>
        <v>المعملجي</v>
      </c>
      <c r="C25" s="9" t="str">
        <f ca="1">IFERROR(__xludf.DUMMYFUNCTION("""COMPUTED_VALUE"""),"قسم التربية والتعليم العالي")</f>
        <v>قسم التربية والتعليم العالي</v>
      </c>
      <c r="D25" s="10" t="str">
        <f ca="1">IFERROR(__xludf.DUMMYFUNCTION("""COMPUTED_VALUE"""),"B- روضة القمر")</f>
        <v>B- روضة القمر</v>
      </c>
      <c r="E25" s="10" t="str">
        <f ca="1">IFERROR(__xludf.DUMMYFUNCTION("""COMPUTED_VALUE"""),"الطابق الارضي")</f>
        <v>الطابق الارضي</v>
      </c>
      <c r="F25" s="10" t="str">
        <f ca="1">IFERROR(__xludf.DUMMYFUNCTION("""COMPUTED_VALUE"""),"صيانة  ميز اطفال ")</f>
        <v xml:space="preserve">صيانة  ميز اطفال </v>
      </c>
      <c r="G25" s="10"/>
      <c r="H25" s="10" t="str">
        <f ca="1">IFERROR(__xludf.DUMMYFUNCTION("""COMPUTED_VALUE"""),"مدني")</f>
        <v>مدني</v>
      </c>
      <c r="I25" s="12" t="str">
        <f ca="1">IFERROR(__xludf.DUMMYFUNCTION("""COMPUTED_VALUE"""),"منجز")</f>
        <v>منجز</v>
      </c>
      <c r="J25" s="19">
        <f ca="1">IFERROR(__xludf.DUMMYFUNCTION("""COMPUTED_VALUE"""),46075.5082402777)</f>
        <v>46075.508240277697</v>
      </c>
    </row>
    <row r="26" spans="1:10" ht="75" customHeight="1">
      <c r="A26" s="7">
        <f ca="1">IFERROR(__xludf.DUMMYFUNCTION("""COMPUTED_VALUE"""),46075.3770442013)</f>
        <v>46075.377044201297</v>
      </c>
      <c r="B26" s="18" t="str">
        <f ca="1">IFERROR(__xludf.DUMMYFUNCTION("""COMPUTED_VALUE"""),"المعملجي")</f>
        <v>المعملجي</v>
      </c>
      <c r="C26" s="9" t="str">
        <f ca="1">IFERROR(__xludf.DUMMYFUNCTION("""COMPUTED_VALUE"""),"قسم التربية والتعليم العالي")</f>
        <v>قسم التربية والتعليم العالي</v>
      </c>
      <c r="D26" s="10" t="str">
        <f ca="1">IFERROR(__xludf.DUMMYFUNCTION("""COMPUTED_VALUE"""),"F-  ابتدائية جود العميد للبنات (الرابعة)")</f>
        <v>F-  ابتدائية جود العميد للبنات (الرابعة)</v>
      </c>
      <c r="E26" s="10" t="str">
        <f ca="1">IFERROR(__xludf.DUMMYFUNCTION("""COMPUTED_VALUE"""),"الطابق الارضي, استفسر من الاستعلامات ")</f>
        <v xml:space="preserve">الطابق الارضي, استفسر من الاستعلامات </v>
      </c>
      <c r="F26" s="10" t="str">
        <f ca="1">IFERROR(__xludf.DUMMYFUNCTION("""COMPUTED_VALUE"""),"تعليق برد ")</f>
        <v xml:space="preserve">تعليق برد </v>
      </c>
      <c r="G26" s="10"/>
      <c r="H26" s="10" t="str">
        <f ca="1">IFERROR(__xludf.DUMMYFUNCTION("""COMPUTED_VALUE"""),"مدني")</f>
        <v>مدني</v>
      </c>
      <c r="I26" s="12" t="str">
        <f ca="1">IFERROR(__xludf.DUMMYFUNCTION("""COMPUTED_VALUE"""),"منجز")</f>
        <v>منجز</v>
      </c>
      <c r="J26" s="19">
        <f ca="1">IFERROR(__xludf.DUMMYFUNCTION("""COMPUTED_VALUE"""),46076.4238475463)</f>
        <v>46076.423847546299</v>
      </c>
    </row>
    <row r="27" spans="1:10" ht="75" customHeight="1">
      <c r="A27" s="7">
        <f ca="1">IFERROR(__xludf.DUMMYFUNCTION("""COMPUTED_VALUE"""),46074.5805705671)</f>
        <v>46074.580570567101</v>
      </c>
      <c r="B27" s="18" t="str">
        <f ca="1">IFERROR(__xludf.DUMMYFUNCTION("""COMPUTED_VALUE"""),"المعملجي")</f>
        <v>المعملجي</v>
      </c>
      <c r="C27" s="9" t="str">
        <f ca="1">IFERROR(__xludf.DUMMYFUNCTION("""COMPUTED_VALUE"""),"قسم التربية والتعليم العالي")</f>
        <v>قسم التربية والتعليم العالي</v>
      </c>
      <c r="D27" s="10" t="str">
        <f ca="1">IFERROR(__xludf.DUMMYFUNCTION("""COMPUTED_VALUE"""),"مقابيل المركز الثقافي ")</f>
        <v xml:space="preserve">مقابيل المركز الثقافي </v>
      </c>
      <c r="E27" s="10" t="str">
        <f ca="1">IFERROR(__xludf.DUMMYFUNCTION("""COMPUTED_VALUE"""),"مكان المولدات ")</f>
        <v xml:space="preserve">مكان المولدات </v>
      </c>
      <c r="F27" s="10" t="str">
        <f ca="1">IFERROR(__xludf.DUMMYFUNCTION("""COMPUTED_VALUE"""),"تعديل تارتان ")</f>
        <v xml:space="preserve">تعديل تارتان </v>
      </c>
      <c r="G27" s="10"/>
      <c r="H27" s="10" t="str">
        <f ca="1">IFERROR(__xludf.DUMMYFUNCTION("""COMPUTED_VALUE"""),"مدني")</f>
        <v>مدني</v>
      </c>
      <c r="I27" s="12" t="str">
        <f ca="1">IFERROR(__xludf.DUMMYFUNCTION("""COMPUTED_VALUE"""),"منجز")</f>
        <v>منجز</v>
      </c>
      <c r="J27" s="19">
        <f ca="1">IFERROR(__xludf.DUMMYFUNCTION("""COMPUTED_VALUE"""),46076.4926833912)</f>
        <v>46076.492683391203</v>
      </c>
    </row>
    <row r="28" spans="1:10" ht="75" customHeight="1">
      <c r="A28" s="7">
        <f ca="1">IFERROR(__xludf.DUMMYFUNCTION("""COMPUTED_VALUE"""),46074.4042077777)</f>
        <v>46074.404207777698</v>
      </c>
      <c r="B28" s="18" t="str">
        <f ca="1">IFERROR(__xludf.DUMMYFUNCTION("""COMPUTED_VALUE"""),"المعملجي")</f>
        <v>المعملجي</v>
      </c>
      <c r="C28" s="9" t="str">
        <f ca="1">IFERROR(__xludf.DUMMYFUNCTION("""COMPUTED_VALUE"""),"قسم التربية والتعليم العالي")</f>
        <v>قسم التربية والتعليم العالي</v>
      </c>
      <c r="D28" s="10" t="str">
        <f ca="1">IFERROR(__xludf.DUMMYFUNCTION("""COMPUTED_VALUE"""),"الاستعلامات الرئيسية")</f>
        <v>الاستعلامات الرئيسية</v>
      </c>
      <c r="E28" s="10" t="str">
        <f ca="1">IFERROR(__xludf.DUMMYFUNCTION("""COMPUTED_VALUE"""),"قرب الاستعلامات ")</f>
        <v xml:space="preserve">قرب الاستعلامات </v>
      </c>
      <c r="F28" s="10" t="str">
        <f ca="1">IFERROR(__xludf.DUMMYFUNCTION("""COMPUTED_VALUE"""),"عمل ترتيب اللافتة ")</f>
        <v xml:space="preserve">عمل ترتيب اللافتة </v>
      </c>
      <c r="G28" s="10"/>
      <c r="H28" s="10" t="str">
        <f ca="1">IFERROR(__xludf.DUMMYFUNCTION("""COMPUTED_VALUE"""),"مدني")</f>
        <v>مدني</v>
      </c>
      <c r="I28" s="12" t="str">
        <f ca="1">IFERROR(__xludf.DUMMYFUNCTION("""COMPUTED_VALUE"""),"منجز")</f>
        <v>منجز</v>
      </c>
      <c r="J28" s="19">
        <f ca="1">IFERROR(__xludf.DUMMYFUNCTION("""COMPUTED_VALUE"""),46074.5803060416)</f>
        <v>46074.5803060416</v>
      </c>
    </row>
    <row r="29" spans="1:10" ht="75" customHeight="1">
      <c r="A29" s="7">
        <f ca="1">IFERROR(__xludf.DUMMYFUNCTION("""COMPUTED_VALUE"""),46074.3684266319)</f>
        <v>46074.368426631903</v>
      </c>
      <c r="B29" s="18" t="str">
        <f ca="1">IFERROR(__xludf.DUMMYFUNCTION("""COMPUTED_VALUE"""),"المعملجي")</f>
        <v>المعملجي</v>
      </c>
      <c r="C29" s="9" t="str">
        <f ca="1">IFERROR(__xludf.DUMMYFUNCTION("""COMPUTED_VALUE"""),"قسم التربية والتعليم العالي")</f>
        <v>قسم التربية والتعليم العالي</v>
      </c>
      <c r="D29" s="10" t="str">
        <f ca="1">IFERROR(__xludf.DUMMYFUNCTION("""COMPUTED_VALUE"""),"A- المركز الثقافي")</f>
        <v>A- المركز الثقافي</v>
      </c>
      <c r="E29" s="10" t="str">
        <f ca="1">IFERROR(__xludf.DUMMYFUNCTION("""COMPUTED_VALUE"""),"الطابق الثاني")</f>
        <v>الطابق الثاني</v>
      </c>
      <c r="F29" s="10" t="str">
        <f ca="1">IFERROR(__xludf.DUMMYFUNCTION("""COMPUTED_VALUE"""),"صيانة ميز طعام ")</f>
        <v xml:space="preserve">صيانة ميز طعام </v>
      </c>
      <c r="G29" s="10"/>
      <c r="H29" s="10" t="str">
        <f ca="1">IFERROR(__xludf.DUMMYFUNCTION("""COMPUTED_VALUE"""),"مدني")</f>
        <v>مدني</v>
      </c>
      <c r="I29" s="12" t="str">
        <f ca="1">IFERROR(__xludf.DUMMYFUNCTION("""COMPUTED_VALUE"""),"منجز")</f>
        <v>منجز</v>
      </c>
      <c r="J29" s="19">
        <f ca="1">IFERROR(__xludf.DUMMYFUNCTION("""COMPUTED_VALUE"""),46074.5329479861)</f>
        <v>46074.532947986103</v>
      </c>
    </row>
    <row r="30" spans="1:10" ht="75" customHeight="1">
      <c r="A30" s="7">
        <f ca="1">IFERROR(__xludf.DUMMYFUNCTION("""COMPUTED_VALUE"""),46072.5196130208)</f>
        <v>46072.519613020799</v>
      </c>
      <c r="B30" s="18" t="str">
        <f ca="1">IFERROR(__xludf.DUMMYFUNCTION("""COMPUTED_VALUE"""),"المعملجي")</f>
        <v>المعملجي</v>
      </c>
      <c r="C30" s="9" t="str">
        <f ca="1">IFERROR(__xludf.DUMMYFUNCTION("""COMPUTED_VALUE"""),"قسم التربية والتعليم العالي")</f>
        <v>قسم التربية والتعليم العالي</v>
      </c>
      <c r="D30" s="10" t="str">
        <f ca="1">IFERROR(__xludf.DUMMYFUNCTION("""COMPUTED_VALUE"""),"F-  ابتدائية جود العميد للبنات (الرابعة)")</f>
        <v>F-  ابتدائية جود العميد للبنات (الرابعة)</v>
      </c>
      <c r="E30" s="10" t="str">
        <f ca="1">IFERROR(__xludf.DUMMYFUNCTION("""COMPUTED_VALUE"""),"الطابق الاول")</f>
        <v>الطابق الاول</v>
      </c>
      <c r="F30" s="10" t="str">
        <f ca="1">IFERROR(__xludf.DUMMYFUNCTION("""COMPUTED_VALUE"""),"تبديل كيلون باب ")</f>
        <v xml:space="preserve">تبديل كيلون باب </v>
      </c>
      <c r="G30" s="10"/>
      <c r="H30" s="10" t="str">
        <f ca="1">IFERROR(__xludf.DUMMYFUNCTION("""COMPUTED_VALUE"""),"مدني")</f>
        <v>مدني</v>
      </c>
      <c r="I30" s="12" t="str">
        <f ca="1">IFERROR(__xludf.DUMMYFUNCTION("""COMPUTED_VALUE"""),"منجز")</f>
        <v>منجز</v>
      </c>
      <c r="J30" s="19">
        <f ca="1">IFERROR(__xludf.DUMMYFUNCTION("""COMPUTED_VALUE"""),46072.5221560416)</f>
        <v>46072.522156041603</v>
      </c>
    </row>
    <row r="31" spans="1:10" ht="75" customHeight="1">
      <c r="A31" s="7">
        <f ca="1">IFERROR(__xludf.DUMMYFUNCTION("""COMPUTED_VALUE"""),46072.5183073842)</f>
        <v>46072.518307384198</v>
      </c>
      <c r="B31" s="18" t="str">
        <f ca="1">IFERROR(__xludf.DUMMYFUNCTION("""COMPUTED_VALUE"""),"المعملجي")</f>
        <v>المعملجي</v>
      </c>
      <c r="C31" s="9" t="str">
        <f ca="1">IFERROR(__xludf.DUMMYFUNCTION("""COMPUTED_VALUE"""),"قسم التربية والتعليم العالي")</f>
        <v>قسم التربية والتعليم العالي</v>
      </c>
      <c r="D31" s="10" t="str">
        <f ca="1">IFERROR(__xludf.DUMMYFUNCTION("""COMPUTED_VALUE"""),"D- ثانوية العميد بناية المتوسطة  (الثانية)")</f>
        <v>D- ثانوية العميد بناية المتوسطة  (الثانية)</v>
      </c>
      <c r="E31" s="10" t="str">
        <f ca="1">IFERROR(__xludf.DUMMYFUNCTION("""COMPUTED_VALUE"""),"الطابق الثاني")</f>
        <v>الطابق الثاني</v>
      </c>
      <c r="F31" s="10" t="str">
        <f ca="1">IFERROR(__xludf.DUMMYFUNCTION("""COMPUTED_VALUE"""),"تبديل يدة شباك ")</f>
        <v xml:space="preserve">تبديل يدة شباك </v>
      </c>
      <c r="G31" s="10"/>
      <c r="H31" s="10" t="str">
        <f ca="1">IFERROR(__xludf.DUMMYFUNCTION("""COMPUTED_VALUE"""),"مدني")</f>
        <v>مدني</v>
      </c>
      <c r="I31" s="12" t="str">
        <f ca="1">IFERROR(__xludf.DUMMYFUNCTION("""COMPUTED_VALUE"""),"منجز")</f>
        <v>منجز</v>
      </c>
      <c r="J31" s="19">
        <f ca="1">IFERROR(__xludf.DUMMYFUNCTION("""COMPUTED_VALUE"""),46072.5184425925)</f>
        <v>46072.518442592504</v>
      </c>
    </row>
    <row r="32" spans="1:10" ht="75" customHeight="1">
      <c r="A32" s="7">
        <f ca="1">IFERROR(__xludf.DUMMYFUNCTION("""COMPUTED_VALUE"""),46072.5179755555)</f>
        <v>46072.5179755555</v>
      </c>
      <c r="B32" s="18" t="str">
        <f ca="1">IFERROR(__xludf.DUMMYFUNCTION("""COMPUTED_VALUE"""),"المعملجي")</f>
        <v>المعملجي</v>
      </c>
      <c r="C32" s="9" t="str">
        <f ca="1">IFERROR(__xludf.DUMMYFUNCTION("""COMPUTED_VALUE"""),"قسم التربية والتعليم العالي")</f>
        <v>قسم التربية والتعليم العالي</v>
      </c>
      <c r="D32" s="10" t="str">
        <f ca="1">IFERROR(__xludf.DUMMYFUNCTION("""COMPUTED_VALUE"""),"D- ثانوية العميد بناية المتوسطة  (الثانية)")</f>
        <v>D- ثانوية العميد بناية المتوسطة  (الثانية)</v>
      </c>
      <c r="E32" s="10" t="str">
        <f ca="1">IFERROR(__xludf.DUMMYFUNCTION("""COMPUTED_VALUE"""),"الطابق الاول")</f>
        <v>الطابق الاول</v>
      </c>
      <c r="F32" s="10" t="str">
        <f ca="1">IFERROR(__xludf.DUMMYFUNCTION("""COMPUTED_VALUE"""),"صيانة يدة باب المنيوم ")</f>
        <v xml:space="preserve">صيانة يدة باب المنيوم </v>
      </c>
      <c r="G32" s="10"/>
      <c r="H32" s="10" t="str">
        <f ca="1">IFERROR(__xludf.DUMMYFUNCTION("""COMPUTED_VALUE"""),"مدني")</f>
        <v>مدني</v>
      </c>
      <c r="I32" s="12" t="str">
        <f ca="1">IFERROR(__xludf.DUMMYFUNCTION("""COMPUTED_VALUE"""),"منجز")</f>
        <v>منجز</v>
      </c>
      <c r="J32" s="19">
        <f ca="1">IFERROR(__xludf.DUMMYFUNCTION("""COMPUTED_VALUE"""),46072.5184259375)</f>
        <v>46072.518425937502</v>
      </c>
    </row>
    <row r="33" spans="1:10" ht="75" customHeight="1">
      <c r="A33" s="7">
        <f ca="1">IFERROR(__xludf.DUMMYFUNCTION("""COMPUTED_VALUE"""),46072.4420510185)</f>
        <v>46072.442051018501</v>
      </c>
      <c r="B33" s="18" t="str">
        <f ca="1">IFERROR(__xludf.DUMMYFUNCTION("""COMPUTED_VALUE"""),"المعملجي")</f>
        <v>المعملجي</v>
      </c>
      <c r="C33" s="9" t="str">
        <f ca="1">IFERROR(__xludf.DUMMYFUNCTION("""COMPUTED_VALUE"""),"قسم التربية والتعليم العالي")</f>
        <v>قسم التربية والتعليم العالي</v>
      </c>
      <c r="D33" s="10" t="str">
        <f ca="1">IFERROR(__xludf.DUMMYFUNCTION("""COMPUTED_VALUE"""),"B- روضة القمر")</f>
        <v>B- روضة القمر</v>
      </c>
      <c r="E33" s="10" t="str">
        <f ca="1">IFERROR(__xludf.DUMMYFUNCTION("""COMPUTED_VALUE"""),"الطابق الارضي")</f>
        <v>الطابق الارضي</v>
      </c>
      <c r="F33" s="10" t="str">
        <f ca="1">IFERROR(__xludf.DUMMYFUNCTION("""COMPUTED_VALUE"""),"احتياج تعليق بردة واحتياج لاصق ")</f>
        <v xml:space="preserve">احتياج تعليق بردة واحتياج لاصق </v>
      </c>
      <c r="G33" s="10"/>
      <c r="H33" s="10" t="str">
        <f ca="1">IFERROR(__xludf.DUMMYFUNCTION("""COMPUTED_VALUE"""),"مدني")</f>
        <v>مدني</v>
      </c>
      <c r="I33" s="12" t="str">
        <f ca="1">IFERROR(__xludf.DUMMYFUNCTION("""COMPUTED_VALUE"""),"منجز")</f>
        <v>منجز</v>
      </c>
      <c r="J33" s="19">
        <f ca="1">IFERROR(__xludf.DUMMYFUNCTION("""COMPUTED_VALUE"""),46072.5144040856)</f>
        <v>46072.514404085603</v>
      </c>
    </row>
    <row r="34" spans="1:10" ht="75" customHeight="1">
      <c r="A34" s="7">
        <f ca="1">IFERROR(__xludf.DUMMYFUNCTION("""COMPUTED_VALUE"""),46072.390732824)</f>
        <v>46072.390732824002</v>
      </c>
      <c r="B34" s="18" t="str">
        <f ca="1">IFERROR(__xludf.DUMMYFUNCTION("""COMPUTED_VALUE"""),"المعملجي")</f>
        <v>المعملجي</v>
      </c>
      <c r="C34" s="9" t="str">
        <f ca="1">IFERROR(__xludf.DUMMYFUNCTION("""COMPUTED_VALUE"""),"قسم التربية والتعليم العالي")</f>
        <v>قسم التربية والتعليم العالي</v>
      </c>
      <c r="D34" s="10" t="str">
        <f ca="1">IFERROR(__xludf.DUMMYFUNCTION("""COMPUTED_VALUE"""),"B- روضة القمر")</f>
        <v>B- روضة القمر</v>
      </c>
      <c r="E34" s="10" t="str">
        <f ca="1">IFERROR(__xludf.DUMMYFUNCTION("""COMPUTED_VALUE"""),"الطابق الارضي")</f>
        <v>الطابق الارضي</v>
      </c>
      <c r="F34" s="10" t="str">
        <f ca="1">IFERROR(__xludf.DUMMYFUNCTION("""COMPUTED_VALUE"""),"صيانة ميز طعام")</f>
        <v>صيانة ميز طعام</v>
      </c>
      <c r="G34" s="10"/>
      <c r="H34" s="10" t="str">
        <f ca="1">IFERROR(__xludf.DUMMYFUNCTION("""COMPUTED_VALUE"""),"مدني")</f>
        <v>مدني</v>
      </c>
      <c r="I34" s="12" t="str">
        <f ca="1">IFERROR(__xludf.DUMMYFUNCTION("""COMPUTED_VALUE"""),"منجز")</f>
        <v>منجز</v>
      </c>
      <c r="J34" s="19">
        <f ca="1">IFERROR(__xludf.DUMMYFUNCTION("""COMPUTED_VALUE"""),46072.5143585416)</f>
        <v>46072.514358541601</v>
      </c>
    </row>
    <row r="35" spans="1:10" ht="75" customHeight="1">
      <c r="A35" s="7">
        <f ca="1">IFERROR(__xludf.DUMMYFUNCTION("""COMPUTED_VALUE"""),46072.3811080092)</f>
        <v>46072.381108009198</v>
      </c>
      <c r="B35" s="18" t="str">
        <f ca="1">IFERROR(__xludf.DUMMYFUNCTION("""COMPUTED_VALUE"""),"المعملجي")</f>
        <v>المعملجي</v>
      </c>
      <c r="C35" s="9" t="str">
        <f ca="1">IFERROR(__xludf.DUMMYFUNCTION("""COMPUTED_VALUE"""),"قسم التربية والتعليم العالي")</f>
        <v>قسم التربية والتعليم العالي</v>
      </c>
      <c r="D35" s="10" t="str">
        <f ca="1">IFERROR(__xludf.DUMMYFUNCTION("""COMPUTED_VALUE"""),"F-  ابتدائية جود العميد للبنات (الرابعة)")</f>
        <v>F-  ابتدائية جود العميد للبنات (الرابعة)</v>
      </c>
      <c r="E35" s="10" t="str">
        <f ca="1">IFERROR(__xludf.DUMMYFUNCTION("""COMPUTED_VALUE"""),"الطابق الارضي")</f>
        <v>الطابق الارضي</v>
      </c>
      <c r="F35" s="10" t="str">
        <f ca="1">IFERROR(__xludf.DUMMYFUNCTION("""COMPUTED_VALUE"""),"صيانة يدة بااب الاستفسار عند الاستعلامات عن المكان بالضبط ")</f>
        <v xml:space="preserve">صيانة يدة بااب الاستفسار عند الاستعلامات عن المكان بالضبط </v>
      </c>
      <c r="G35" s="10"/>
      <c r="H35" s="10" t="str">
        <f ca="1">IFERROR(__xludf.DUMMYFUNCTION("""COMPUTED_VALUE"""),"مدني")</f>
        <v>مدني</v>
      </c>
      <c r="I35" s="12" t="str">
        <f ca="1">IFERROR(__xludf.DUMMYFUNCTION("""COMPUTED_VALUE"""),"منجز")</f>
        <v>منجز</v>
      </c>
      <c r="J35" s="19">
        <f ca="1">IFERROR(__xludf.DUMMYFUNCTION("""COMPUTED_VALUE"""),46072.4302449421)</f>
        <v>46072.430244942101</v>
      </c>
    </row>
    <row r="36" spans="1:10" ht="75" customHeight="1">
      <c r="A36" s="7">
        <f ca="1">IFERROR(__xludf.DUMMYFUNCTION("""COMPUTED_VALUE"""),46072.3682147453)</f>
        <v>46072.3682147453</v>
      </c>
      <c r="B36" s="18" t="str">
        <f ca="1">IFERROR(__xludf.DUMMYFUNCTION("""COMPUTED_VALUE"""),"المعملجي")</f>
        <v>المعملجي</v>
      </c>
      <c r="C36" s="9" t="str">
        <f ca="1">IFERROR(__xludf.DUMMYFUNCTION("""COMPUTED_VALUE"""),"قسم التربية والتعليم العالي")</f>
        <v>قسم التربية والتعليم العالي</v>
      </c>
      <c r="D36" s="10" t="str">
        <f ca="1">IFERROR(__xludf.DUMMYFUNCTION("""COMPUTED_VALUE"""),"D- ثانوية العميد بناية المتوسطة  (الثانية)")</f>
        <v>D- ثانوية العميد بناية المتوسطة  (الثانية)</v>
      </c>
      <c r="E36" s="10" t="str">
        <f ca="1">IFERROR(__xludf.DUMMYFUNCTION("""COMPUTED_VALUE"""),"الطابق الارضي")</f>
        <v>الطابق الارضي</v>
      </c>
      <c r="F36" s="10" t="str">
        <f ca="1">IFERROR(__xludf.DUMMYFUNCTION("""COMPUTED_VALUE"""),"صيانة مفتاح باب الحمام ")</f>
        <v xml:space="preserve">صيانة مفتاح باب الحمام </v>
      </c>
      <c r="G36" s="10"/>
      <c r="H36" s="10" t="str">
        <f ca="1">IFERROR(__xludf.DUMMYFUNCTION("""COMPUTED_VALUE"""),"مدني")</f>
        <v>مدني</v>
      </c>
      <c r="I36" s="12" t="str">
        <f ca="1">IFERROR(__xludf.DUMMYFUNCTION("""COMPUTED_VALUE"""),"منجز")</f>
        <v>منجز</v>
      </c>
      <c r="J36" s="19">
        <f ca="1">IFERROR(__xludf.DUMMYFUNCTION("""COMPUTED_VALUE"""),46072.4303212384)</f>
        <v>46072.430321238397</v>
      </c>
    </row>
    <row r="37" spans="1:10" ht="75" customHeight="1">
      <c r="A37" s="7">
        <f ca="1">IFERROR(__xludf.DUMMYFUNCTION("""COMPUTED_VALUE"""),46072.367704537)</f>
        <v>46072.367704536999</v>
      </c>
      <c r="B37" s="18" t="str">
        <f ca="1">IFERROR(__xludf.DUMMYFUNCTION("""COMPUTED_VALUE"""),"المعملجي")</f>
        <v>المعملجي</v>
      </c>
      <c r="C37" s="9" t="str">
        <f ca="1">IFERROR(__xludf.DUMMYFUNCTION("""COMPUTED_VALUE"""),"قسم التربية والتعليم العالي")</f>
        <v>قسم التربية والتعليم العالي</v>
      </c>
      <c r="D37" s="10" t="str">
        <f ca="1">IFERROR(__xludf.DUMMYFUNCTION("""COMPUTED_VALUE"""),"D- ثانوية العميد بناية المتوسطة  (الثانية)")</f>
        <v>D- ثانوية العميد بناية المتوسطة  (الثانية)</v>
      </c>
      <c r="E37" s="10" t="str">
        <f ca="1">IFERROR(__xludf.DUMMYFUNCTION("""COMPUTED_VALUE"""),"الطابق الارضي")</f>
        <v>الطابق الارضي</v>
      </c>
      <c r="F37" s="10" t="str">
        <f ca="1">IFERROR(__xludf.DUMMYFUNCTION("""COMPUTED_VALUE"""),"صيانة القطع الخاص بالاستعلامات ")</f>
        <v xml:space="preserve">صيانة القطع الخاص بالاستعلامات </v>
      </c>
      <c r="G37" s="10"/>
      <c r="H37" s="10" t="str">
        <f ca="1">IFERROR(__xludf.DUMMYFUNCTION("""COMPUTED_VALUE"""),"مدني")</f>
        <v>مدني</v>
      </c>
      <c r="I37" s="12" t="str">
        <f ca="1">IFERROR(__xludf.DUMMYFUNCTION("""COMPUTED_VALUE"""),"منجز")</f>
        <v>منجز</v>
      </c>
      <c r="J37" s="19">
        <f ca="1">IFERROR(__xludf.DUMMYFUNCTION("""COMPUTED_VALUE"""),46072.429671956)</f>
        <v>46072.429671956001</v>
      </c>
    </row>
    <row r="38" spans="1:10" ht="75" customHeight="1">
      <c r="A38" s="7">
        <f ca="1">IFERROR(__xludf.DUMMYFUNCTION("""COMPUTED_VALUE"""),46071.4967608449)</f>
        <v>46071.496760844901</v>
      </c>
      <c r="B38" s="18" t="str">
        <f ca="1">IFERROR(__xludf.DUMMYFUNCTION("""COMPUTED_VALUE"""),"المعملجي")</f>
        <v>المعملجي</v>
      </c>
      <c r="C38" s="9" t="str">
        <f ca="1">IFERROR(__xludf.DUMMYFUNCTION("""COMPUTED_VALUE"""),"قسم التربية والتعليم العالي")</f>
        <v>قسم التربية والتعليم العالي</v>
      </c>
      <c r="D38" s="10" t="str">
        <f ca="1">IFERROR(__xludf.DUMMYFUNCTION("""COMPUTED_VALUE"""),"I- ابتدائية الساقي للبنين (السادسة)")</f>
        <v>I- ابتدائية الساقي للبنين (السادسة)</v>
      </c>
      <c r="E38" s="10" t="str">
        <f ca="1">IFERROR(__xludf.DUMMYFUNCTION("""COMPUTED_VALUE"""),"جناح الساحة ZONE B")</f>
        <v>جناح الساحة ZONE B</v>
      </c>
      <c r="F38" s="10" t="str">
        <f ca="1">IFERROR(__xludf.DUMMYFUNCTION("""COMPUTED_VALUE"""),"صيانة باب الساحة الوسطية ")</f>
        <v xml:space="preserve">صيانة باب الساحة الوسطية </v>
      </c>
      <c r="G38" s="10"/>
      <c r="H38" s="10" t="str">
        <f ca="1">IFERROR(__xludf.DUMMYFUNCTION("""COMPUTED_VALUE"""),"مدني")</f>
        <v>مدني</v>
      </c>
      <c r="I38" s="12" t="str">
        <f ca="1">IFERROR(__xludf.DUMMYFUNCTION("""COMPUTED_VALUE"""),"منجز")</f>
        <v>منجز</v>
      </c>
      <c r="J38" s="19">
        <f ca="1">IFERROR(__xludf.DUMMYFUNCTION("""COMPUTED_VALUE"""),46072.4677021527)</f>
        <v>46072.467702152702</v>
      </c>
    </row>
    <row r="39" spans="1:10" ht="75" customHeight="1">
      <c r="A39" s="7">
        <f ca="1">IFERROR(__xludf.DUMMYFUNCTION("""COMPUTED_VALUE"""),46071.4102368055)</f>
        <v>46071.410236805503</v>
      </c>
      <c r="B39" s="18" t="str">
        <f ca="1">IFERROR(__xludf.DUMMYFUNCTION("""COMPUTED_VALUE"""),"المعملجي")</f>
        <v>المعملجي</v>
      </c>
      <c r="C39" s="9" t="str">
        <f ca="1">IFERROR(__xludf.DUMMYFUNCTION("""COMPUTED_VALUE"""),"قسم التربية والتعليم العالي")</f>
        <v>قسم التربية والتعليم العالي</v>
      </c>
      <c r="D39" s="10" t="str">
        <f ca="1">IFERROR(__xludf.DUMMYFUNCTION("""COMPUTED_VALUE"""),"G- روضة الجود")</f>
        <v>G- روضة الجود</v>
      </c>
      <c r="E39" s="10" t="str">
        <f ca="1">IFERROR(__xludf.DUMMYFUNCTION("""COMPUTED_VALUE"""),"الطابق الارضي, صف الفرح ")</f>
        <v xml:space="preserve">الطابق الارضي, صف الفرح </v>
      </c>
      <c r="F39" s="10" t="str">
        <f ca="1">IFERROR(__xludf.DUMMYFUNCTION("""COMPUTED_VALUE"""),"يدت شباك تبديل")</f>
        <v>يدت شباك تبديل</v>
      </c>
      <c r="G39" s="10"/>
      <c r="H39" s="10" t="str">
        <f ca="1">IFERROR(__xludf.DUMMYFUNCTION("""COMPUTED_VALUE"""),"مدني")</f>
        <v>مدني</v>
      </c>
      <c r="I39" s="12" t="str">
        <f ca="1">IFERROR(__xludf.DUMMYFUNCTION("""COMPUTED_VALUE"""),"منجز")</f>
        <v>منجز</v>
      </c>
      <c r="J39" s="19">
        <f ca="1">IFERROR(__xludf.DUMMYFUNCTION("""COMPUTED_VALUE"""),46071.4528443287)</f>
        <v>46071.452844328698</v>
      </c>
    </row>
    <row r="40" spans="1:10" ht="75" customHeight="1">
      <c r="A40" s="7">
        <f ca="1">IFERROR(__xludf.DUMMYFUNCTION("""COMPUTED_VALUE"""),46071.3909907176)</f>
        <v>46071.390990717598</v>
      </c>
      <c r="B40" s="18" t="str">
        <f ca="1">IFERROR(__xludf.DUMMYFUNCTION("""COMPUTED_VALUE"""),"المعملجي")</f>
        <v>المعملجي</v>
      </c>
      <c r="C40" s="9" t="str">
        <f ca="1">IFERROR(__xludf.DUMMYFUNCTION("""COMPUTED_VALUE"""),"قسم التربية والتعليم العالي")</f>
        <v>قسم التربية والتعليم العالي</v>
      </c>
      <c r="D40" s="10" t="str">
        <f ca="1">IFERROR(__xludf.DUMMYFUNCTION("""COMPUTED_VALUE"""),"B- روضة القمر")</f>
        <v>B- روضة القمر</v>
      </c>
      <c r="E40" s="10" t="str">
        <f ca="1">IFERROR(__xludf.DUMMYFUNCTION("""COMPUTED_VALUE"""),"الطابق الارضي")</f>
        <v>الطابق الارضي</v>
      </c>
      <c r="F40" s="10" t="str">
        <f ca="1">IFERROR(__xludf.DUMMYFUNCTION("""COMPUTED_VALUE"""),"معالجة الزوايا الحادة لمكان خرطوم الاطفاء")</f>
        <v>معالجة الزوايا الحادة لمكان خرطوم الاطفاء</v>
      </c>
      <c r="G40" s="10"/>
      <c r="H40" s="10" t="str">
        <f ca="1">IFERROR(__xludf.DUMMYFUNCTION("""COMPUTED_VALUE"""),"مدني")</f>
        <v>مدني</v>
      </c>
      <c r="I40" s="12" t="str">
        <f ca="1">IFERROR(__xludf.DUMMYFUNCTION("""COMPUTED_VALUE"""),"منجز")</f>
        <v>منجز</v>
      </c>
      <c r="J40" s="19">
        <f ca="1">IFERROR(__xludf.DUMMYFUNCTION("""COMPUTED_VALUE"""),46072.5134502662)</f>
        <v>46072.513450266197</v>
      </c>
    </row>
    <row r="41" spans="1:10" ht="75" customHeight="1">
      <c r="A41" s="7">
        <f ca="1">IFERROR(__xludf.DUMMYFUNCTION("""COMPUTED_VALUE"""),46071.3540800347)</f>
        <v>46071.354080034696</v>
      </c>
      <c r="B41" s="18" t="str">
        <f ca="1">IFERROR(__xludf.DUMMYFUNCTION("""COMPUTED_VALUE"""),"المعملجي")</f>
        <v>المعملجي</v>
      </c>
      <c r="C41" s="9" t="str">
        <f ca="1">IFERROR(__xludf.DUMMYFUNCTION("""COMPUTED_VALUE"""),"قسم المشاريع الهندسية")</f>
        <v>قسم المشاريع الهندسية</v>
      </c>
      <c r="D41" s="10" t="str">
        <f ca="1">IFERROR(__xludf.DUMMYFUNCTION("""COMPUTED_VALUE"""),"C- ثانوية العميد بناية الاعدادية  (الاولى)")</f>
        <v>C- ثانوية العميد بناية الاعدادية  (الاولى)</v>
      </c>
      <c r="E41" s="10" t="str">
        <f ca="1">IFERROR(__xludf.DUMMYFUNCTION("""COMPUTED_VALUE"""),"قرب المدرسة الاولى ")</f>
        <v xml:space="preserve">قرب المدرسة الاولى </v>
      </c>
      <c r="F41" s="10" t="str">
        <f ca="1">IFERROR(__xludf.DUMMYFUNCTION("""COMPUTED_VALUE"""),"رفع المقرنص لغرض مد بوري لتسليك واير كهرباء ")</f>
        <v xml:space="preserve">رفع المقرنص لغرض مد بوري لتسليك واير كهرباء </v>
      </c>
      <c r="G41" s="10"/>
      <c r="H41" s="10" t="str">
        <f ca="1">IFERROR(__xludf.DUMMYFUNCTION("""COMPUTED_VALUE"""),"مدني")</f>
        <v>مدني</v>
      </c>
      <c r="I41" s="12" t="str">
        <f ca="1">IFERROR(__xludf.DUMMYFUNCTION("""COMPUTED_VALUE"""),"منجز")</f>
        <v>منجز</v>
      </c>
      <c r="J41" s="19">
        <f ca="1">IFERROR(__xludf.DUMMYFUNCTION("""COMPUTED_VALUE"""),46071.3543457523)</f>
        <v>46071.354345752297</v>
      </c>
    </row>
    <row r="42" spans="1:10" ht="75" customHeight="1">
      <c r="A42" s="7">
        <f ca="1">IFERROR(__xludf.DUMMYFUNCTION("""COMPUTED_VALUE"""),46071.3521833449)</f>
        <v>46071.352183344898</v>
      </c>
      <c r="B42" s="18" t="str">
        <f ca="1">IFERROR(__xludf.DUMMYFUNCTION("""COMPUTED_VALUE"""),"المعملجي")</f>
        <v>المعملجي</v>
      </c>
      <c r="C42" s="9" t="str">
        <f ca="1">IFERROR(__xludf.DUMMYFUNCTION("""COMPUTED_VALUE"""),"قسم المشاريع الهندسية")</f>
        <v>قسم المشاريع الهندسية</v>
      </c>
      <c r="D42" s="10" t="str">
        <f ca="1">IFERROR(__xludf.DUMMYFUNCTION("""COMPUTED_VALUE"""),"D- ثانوية العميد بناية المتوسطة  (الثانية)")</f>
        <v>D- ثانوية العميد بناية المتوسطة  (الثانية)</v>
      </c>
      <c r="E42" s="10" t="str">
        <f ca="1">IFERROR(__xludf.DUMMYFUNCTION("""COMPUTED_VALUE"""),"السياج الخارجي")</f>
        <v>السياج الخارجي</v>
      </c>
      <c r="F42" s="10" t="str">
        <f ca="1">IFERROR(__xludf.DUMMYFUNCTION("""COMPUTED_VALUE"""),"صيانة الفطور في السياج الخارجي")</f>
        <v>صيانة الفطور في السياج الخارجي</v>
      </c>
      <c r="G42" s="10"/>
      <c r="H42" s="10" t="str">
        <f ca="1">IFERROR(__xludf.DUMMYFUNCTION("""COMPUTED_VALUE"""),"مدني")</f>
        <v>مدني</v>
      </c>
      <c r="I42" s="12" t="str">
        <f ca="1">IFERROR(__xludf.DUMMYFUNCTION("""COMPUTED_VALUE"""),"منجز")</f>
        <v>منجز</v>
      </c>
      <c r="J42" s="19">
        <f ca="1">IFERROR(__xludf.DUMMYFUNCTION("""COMPUTED_VALUE"""),46071.3543295023)</f>
        <v>46071.354329502297</v>
      </c>
    </row>
    <row r="43" spans="1:10" ht="75" customHeight="1">
      <c r="A43" s="7">
        <f ca="1">IFERROR(__xludf.DUMMYFUNCTION("""COMPUTED_VALUE"""),46070.3400943402)</f>
        <v>46070.340094340201</v>
      </c>
      <c r="B43" s="18" t="str">
        <f ca="1">IFERROR(__xludf.DUMMYFUNCTION("""COMPUTED_VALUE"""),"المعملجي")</f>
        <v>المعملجي</v>
      </c>
      <c r="C43" s="9" t="str">
        <f ca="1">IFERROR(__xludf.DUMMYFUNCTION("""COMPUTED_VALUE"""),"قسم التربية والتعليم العالي")</f>
        <v>قسم التربية والتعليم العالي</v>
      </c>
      <c r="D43" s="10" t="str">
        <f ca="1">IFERROR(__xludf.DUMMYFUNCTION("""COMPUTED_VALUE"""),"H- ابتدائية القمر للبنات (الخامسة)")</f>
        <v>H- ابتدائية القمر للبنات (الخامسة)</v>
      </c>
      <c r="E43" s="10" t="str">
        <f ca="1">IFERROR(__xludf.DUMMYFUNCTION("""COMPUTED_VALUE"""),"الطابق الارضي")</f>
        <v>الطابق الارضي</v>
      </c>
      <c r="F43" s="10" t="str">
        <f ca="1">IFERROR(__xludf.DUMMYFUNCTION("""COMPUTED_VALUE"""),"صيانة كرسي")</f>
        <v>صيانة كرسي</v>
      </c>
      <c r="G43" s="10"/>
      <c r="H43" s="10" t="str">
        <f ca="1">IFERROR(__xludf.DUMMYFUNCTION("""COMPUTED_VALUE"""),"مدني")</f>
        <v>مدني</v>
      </c>
      <c r="I43" s="12" t="str">
        <f ca="1">IFERROR(__xludf.DUMMYFUNCTION("""COMPUTED_VALUE"""),"منجز")</f>
        <v>منجز</v>
      </c>
      <c r="J43" s="19">
        <f ca="1">IFERROR(__xludf.DUMMYFUNCTION("""COMPUTED_VALUE"""),46070.5041691319)</f>
        <v>46070.504169131898</v>
      </c>
    </row>
    <row r="44" spans="1:10" ht="75" customHeight="1">
      <c r="A44" s="7">
        <f ca="1">IFERROR(__xludf.DUMMYFUNCTION("""COMPUTED_VALUE"""),46069.3171673032)</f>
        <v>46069.317167303197</v>
      </c>
      <c r="B44" s="18" t="str">
        <f ca="1">IFERROR(__xludf.DUMMYFUNCTION("""COMPUTED_VALUE"""),"المعملجي")</f>
        <v>المعملجي</v>
      </c>
      <c r="C44" s="9" t="str">
        <f ca="1">IFERROR(__xludf.DUMMYFUNCTION("""COMPUTED_VALUE"""),"قسم المشاريع الهندسية")</f>
        <v>قسم المشاريع الهندسية</v>
      </c>
      <c r="D44" s="10" t="str">
        <f ca="1">IFERROR(__xludf.DUMMYFUNCTION("""COMPUTED_VALUE"""),"E- ابتدائية العميد للبنات (الثالثة)")</f>
        <v>E- ابتدائية العميد للبنات (الثالثة)</v>
      </c>
      <c r="E44" s="10" t="str">
        <f ca="1">IFERROR(__xludf.DUMMYFUNCTION("""COMPUTED_VALUE"""),"الطابق الارضي, الطابق الاول, الطابق الثاني")</f>
        <v>الطابق الارضي, الطابق الاول, الطابق الثاني</v>
      </c>
      <c r="F44" s="10" t="str">
        <f ca="1">IFERROR(__xludf.DUMMYFUNCTION("""COMPUTED_VALUE"""),"إدامة وتنظيف القطع الداخليه الخاصة بالبناية")</f>
        <v>إدامة وتنظيف القطع الداخليه الخاصة بالبناية</v>
      </c>
      <c r="G44" s="10"/>
      <c r="H44" s="10" t="str">
        <f ca="1">IFERROR(__xludf.DUMMYFUNCTION("""COMPUTED_VALUE"""),"مدني")</f>
        <v>مدني</v>
      </c>
      <c r="I44" s="12" t="str">
        <f ca="1">IFERROR(__xludf.DUMMYFUNCTION("""COMPUTED_VALUE"""),"منجز")</f>
        <v>منجز</v>
      </c>
      <c r="J44" s="19"/>
    </row>
    <row r="45" spans="1:10" ht="75" customHeight="1">
      <c r="A45" s="7">
        <f ca="1">IFERROR(__xludf.DUMMYFUNCTION("""COMPUTED_VALUE"""),46068.5341053935)</f>
        <v>46068.534105393497</v>
      </c>
      <c r="B45" s="18" t="str">
        <f ca="1">IFERROR(__xludf.DUMMYFUNCTION("""COMPUTED_VALUE"""),"المعملجي")</f>
        <v>المعملجي</v>
      </c>
      <c r="C45" s="9" t="str">
        <f ca="1">IFERROR(__xludf.DUMMYFUNCTION("""COMPUTED_VALUE"""),"قسم التربية والتعليم العالي")</f>
        <v>قسم التربية والتعليم العالي</v>
      </c>
      <c r="D45" s="10" t="str">
        <f ca="1">IFERROR(__xludf.DUMMYFUNCTION("""COMPUTED_VALUE"""),"I- ابتدائية الساقي للبنين (السادسة)")</f>
        <v>I- ابتدائية الساقي للبنين (السادسة)</v>
      </c>
      <c r="E45" s="10" t="str">
        <f ca="1">IFERROR(__xludf.DUMMYFUNCTION("""COMPUTED_VALUE"""),"الطابق الارضي")</f>
        <v>الطابق الارضي</v>
      </c>
      <c r="F45" s="10" t="str">
        <f ca="1">IFERROR(__xludf.DUMMYFUNCTION("""COMPUTED_VALUE"""),"تصليح تارتان الدرج ")</f>
        <v xml:space="preserve">تصليح تارتان الدرج </v>
      </c>
      <c r="G45" s="10"/>
      <c r="H45" s="10" t="str">
        <f ca="1">IFERROR(__xludf.DUMMYFUNCTION("""COMPUTED_VALUE"""),"مدني")</f>
        <v>مدني</v>
      </c>
      <c r="I45" s="12" t="str">
        <f ca="1">IFERROR(__xludf.DUMMYFUNCTION("""COMPUTED_VALUE"""),"منجز")</f>
        <v>منجز</v>
      </c>
      <c r="J45" s="19">
        <f ca="1">IFERROR(__xludf.DUMMYFUNCTION("""COMPUTED_VALUE"""),46068.5542611689)</f>
        <v>46068.554261168902</v>
      </c>
    </row>
    <row r="46" spans="1:10" ht="75" customHeight="1">
      <c r="A46" s="7">
        <f ca="1">IFERROR(__xludf.DUMMYFUNCTION("""COMPUTED_VALUE"""),46067.463618912)</f>
        <v>46067.463618911999</v>
      </c>
      <c r="B46" s="18" t="str">
        <f ca="1">IFERROR(__xludf.DUMMYFUNCTION("""COMPUTED_VALUE"""),"المعملجي")</f>
        <v>المعملجي</v>
      </c>
      <c r="C46" s="9" t="str">
        <f ca="1">IFERROR(__xludf.DUMMYFUNCTION("""COMPUTED_VALUE"""),"قسم المشاريع الهندسية")</f>
        <v>قسم المشاريع الهندسية</v>
      </c>
      <c r="D46" s="10" t="str">
        <f ca="1">IFERROR(__xludf.DUMMYFUNCTION("""COMPUTED_VALUE"""),"B- روضة القمر")</f>
        <v>B- روضة القمر</v>
      </c>
      <c r="E46" s="10" t="str">
        <f ca="1">IFERROR(__xludf.DUMMYFUNCTION("""COMPUTED_VALUE"""),"الرصيف الخارجي ")</f>
        <v xml:space="preserve">الرصيف الخارجي </v>
      </c>
      <c r="F46" s="10" t="str">
        <f ca="1">IFERROR(__xludf.DUMMYFUNCTION("""COMPUTED_VALUE"""),"صبغ الرصيف بالون الابيض والاصفر ")</f>
        <v xml:space="preserve">صبغ الرصيف بالون الابيض والاصفر </v>
      </c>
      <c r="G46" s="10"/>
      <c r="H46" s="10" t="str">
        <f ca="1">IFERROR(__xludf.DUMMYFUNCTION("""COMPUTED_VALUE"""),"مدني")</f>
        <v>مدني</v>
      </c>
      <c r="I46" s="12" t="str">
        <f ca="1">IFERROR(__xludf.DUMMYFUNCTION("""COMPUTED_VALUE"""),"منجز")</f>
        <v>منجز</v>
      </c>
      <c r="J46" s="19"/>
    </row>
    <row r="47" spans="1:10" ht="75" customHeight="1">
      <c r="A47" s="7">
        <f ca="1">IFERROR(__xludf.DUMMYFUNCTION("""COMPUTED_VALUE"""),46067.4628083333)</f>
        <v>46067.462808333301</v>
      </c>
      <c r="B47" s="18" t="str">
        <f ca="1">IFERROR(__xludf.DUMMYFUNCTION("""COMPUTED_VALUE"""),"المعملجي")</f>
        <v>المعملجي</v>
      </c>
      <c r="C47" s="9" t="str">
        <f ca="1">IFERROR(__xludf.DUMMYFUNCTION("""COMPUTED_VALUE"""),"قسم المشاريع الهندسية")</f>
        <v>قسم المشاريع الهندسية</v>
      </c>
      <c r="D47" s="10" t="str">
        <f ca="1">IFERROR(__xludf.DUMMYFUNCTION("""COMPUTED_VALUE"""),"B- روضة القمر")</f>
        <v>B- روضة القمر</v>
      </c>
      <c r="E47" s="10" t="str">
        <f ca="1">IFERROR(__xludf.DUMMYFUNCTION("""COMPUTED_VALUE"""),"الرصيف الخارجي")</f>
        <v>الرصيف الخارجي</v>
      </c>
      <c r="F47" s="10" t="str">
        <f ca="1">IFERROR(__xludf.DUMMYFUNCTION("""COMPUTED_VALUE"""),"تصليح الرصيف بمادة المعجون والسنفرة")</f>
        <v>تصليح الرصيف بمادة المعجون والسنفرة</v>
      </c>
      <c r="G47" s="10"/>
      <c r="H47" s="10" t="str">
        <f ca="1">IFERROR(__xludf.DUMMYFUNCTION("""COMPUTED_VALUE"""),"مدني")</f>
        <v>مدني</v>
      </c>
      <c r="I47" s="12" t="str">
        <f ca="1">IFERROR(__xludf.DUMMYFUNCTION("""COMPUTED_VALUE"""),"منجز")</f>
        <v>منجز</v>
      </c>
      <c r="J47" s="19"/>
    </row>
    <row r="48" spans="1:10" ht="75" customHeight="1">
      <c r="A48" s="7">
        <f ca="1">IFERROR(__xludf.DUMMYFUNCTION("""COMPUTED_VALUE"""),46067.4620969791)</f>
        <v>46067.462096979099</v>
      </c>
      <c r="B48" s="18" t="str">
        <f ca="1">IFERROR(__xludf.DUMMYFUNCTION("""COMPUTED_VALUE"""),"المعملجي")</f>
        <v>المعملجي</v>
      </c>
      <c r="C48" s="9" t="str">
        <f ca="1">IFERROR(__xludf.DUMMYFUNCTION("""COMPUTED_VALUE"""),"قسم المشاريع الهندسية")</f>
        <v>قسم المشاريع الهندسية</v>
      </c>
      <c r="D48" s="10" t="str">
        <f ca="1">IFERROR(__xludf.DUMMYFUNCTION("""COMPUTED_VALUE"""),"B- روضة القمر")</f>
        <v>B- روضة القمر</v>
      </c>
      <c r="E48" s="10" t="str">
        <f ca="1">IFERROR(__xludf.DUMMYFUNCTION("""COMPUTED_VALUE"""),"الرصيف الخارجي")</f>
        <v>الرصيف الخارجي</v>
      </c>
      <c r="F48" s="10" t="str">
        <f ca="1">IFERROR(__xludf.DUMMYFUNCTION("""COMPUTED_VALUE"""),"صبغ برايمر للرصيف")</f>
        <v>صبغ برايمر للرصيف</v>
      </c>
      <c r="G48" s="10"/>
      <c r="H48" s="10" t="str">
        <f ca="1">IFERROR(__xludf.DUMMYFUNCTION("""COMPUTED_VALUE"""),"مدني")</f>
        <v>مدني</v>
      </c>
      <c r="I48" s="12" t="str">
        <f ca="1">IFERROR(__xludf.DUMMYFUNCTION("""COMPUTED_VALUE"""),"منجز")</f>
        <v>منجز</v>
      </c>
      <c r="J48" s="19"/>
    </row>
    <row r="49" spans="1:10" ht="75" customHeight="1">
      <c r="A49" s="7">
        <f ca="1">IFERROR(__xludf.DUMMYFUNCTION("""COMPUTED_VALUE"""),46067.4606885648)</f>
        <v>46067.460688564803</v>
      </c>
      <c r="B49" s="18" t="str">
        <f ca="1">IFERROR(__xludf.DUMMYFUNCTION("""COMPUTED_VALUE"""),"المعملجي")</f>
        <v>المعملجي</v>
      </c>
      <c r="C49" s="9" t="str">
        <f ca="1">IFERROR(__xludf.DUMMYFUNCTION("""COMPUTED_VALUE"""),"قسم المشاريع الهندسية")</f>
        <v>قسم المشاريع الهندسية</v>
      </c>
      <c r="D49" s="10" t="str">
        <f ca="1">IFERROR(__xludf.DUMMYFUNCTION("""COMPUTED_VALUE"""),"F-  ابتدائية جود العميد للبنات (الرابعة)")</f>
        <v>F-  ابتدائية جود العميد للبنات (الرابعة)</v>
      </c>
      <c r="E49" s="10" t="str">
        <f ca="1">IFERROR(__xludf.DUMMYFUNCTION("""COMPUTED_VALUE"""),"الطابق الاول")</f>
        <v>الطابق الاول</v>
      </c>
      <c r="F49" s="10" t="str">
        <f ca="1">IFERROR(__xludf.DUMMYFUNCTION("""COMPUTED_VALUE"""),"تثبيت لوحة خشب ")</f>
        <v xml:space="preserve">تثبيت لوحة خشب </v>
      </c>
      <c r="G49" s="10"/>
      <c r="H49" s="10" t="str">
        <f ca="1">IFERROR(__xludf.DUMMYFUNCTION("""COMPUTED_VALUE"""),"مدني")</f>
        <v>مدني</v>
      </c>
      <c r="I49" s="12" t="str">
        <f ca="1">IFERROR(__xludf.DUMMYFUNCTION("""COMPUTED_VALUE"""),"منجز")</f>
        <v>منجز</v>
      </c>
      <c r="J49" s="19"/>
    </row>
    <row r="50" spans="1:10" ht="75" customHeight="1">
      <c r="A50" s="7">
        <f ca="1">IFERROR(__xludf.DUMMYFUNCTION("""COMPUTED_VALUE"""),46067.4598556944)</f>
        <v>46067.459855694397</v>
      </c>
      <c r="B50" s="18" t="str">
        <f ca="1">IFERROR(__xludf.DUMMYFUNCTION("""COMPUTED_VALUE"""),"المعملجي")</f>
        <v>المعملجي</v>
      </c>
      <c r="C50" s="9" t="str">
        <f ca="1">IFERROR(__xludf.DUMMYFUNCTION("""COMPUTED_VALUE"""),"قسم المشاريع الهندسية")</f>
        <v>قسم المشاريع الهندسية</v>
      </c>
      <c r="D50" s="10" t="str">
        <f ca="1">IFERROR(__xludf.DUMMYFUNCTION("""COMPUTED_VALUE"""),"F-  ابتدائية جود العميد للبنات (الرابعة)")</f>
        <v>F-  ابتدائية جود العميد للبنات (الرابعة)</v>
      </c>
      <c r="E50" s="10" t="str">
        <f ca="1">IFERROR(__xludf.DUMMYFUNCTION("""COMPUTED_VALUE"""),"الطابق الارضي, الطابق الاول")</f>
        <v>الطابق الارضي, الطابق الاول</v>
      </c>
      <c r="F50" s="10" t="str">
        <f ca="1">IFERROR(__xludf.DUMMYFUNCTION("""COMPUTED_VALUE"""),"صيانة وتبديل يدة بالصحيات")</f>
        <v>صيانة وتبديل يدة بالصحيات</v>
      </c>
      <c r="G50" s="10"/>
      <c r="H50" s="10" t="str">
        <f ca="1">IFERROR(__xludf.DUMMYFUNCTION("""COMPUTED_VALUE"""),"مدني")</f>
        <v>مدني</v>
      </c>
      <c r="I50" s="12" t="str">
        <f ca="1">IFERROR(__xludf.DUMMYFUNCTION("""COMPUTED_VALUE"""),"منجز")</f>
        <v>منجز</v>
      </c>
      <c r="J50" s="19"/>
    </row>
    <row r="51" spans="1:10" ht="75" customHeight="1">
      <c r="A51" s="7">
        <f ca="1">IFERROR(__xludf.DUMMYFUNCTION("""COMPUTED_VALUE"""),46067.458557743)</f>
        <v>46067.458557742997</v>
      </c>
      <c r="B51" s="18" t="str">
        <f ca="1">IFERROR(__xludf.DUMMYFUNCTION("""COMPUTED_VALUE"""),"المعملجي")</f>
        <v>المعملجي</v>
      </c>
      <c r="C51" s="9" t="str">
        <f ca="1">IFERROR(__xludf.DUMMYFUNCTION("""COMPUTED_VALUE"""),"قسم المشاريع الهندسية")</f>
        <v>قسم المشاريع الهندسية</v>
      </c>
      <c r="D51" s="10" t="str">
        <f ca="1">IFERROR(__xludf.DUMMYFUNCTION("""COMPUTED_VALUE"""),"F-  ابتدائية جود العميد للبنات (الرابعة)")</f>
        <v>F-  ابتدائية جود العميد للبنات (الرابعة)</v>
      </c>
      <c r="E51" s="10" t="str">
        <f ca="1">IFERROR(__xludf.DUMMYFUNCTION("""COMPUTED_VALUE"""),"الطابق الارضي")</f>
        <v>الطابق الارضي</v>
      </c>
      <c r="F51" s="10" t="str">
        <f ca="1">IFERROR(__xludf.DUMMYFUNCTION("""COMPUTED_VALUE"""),"صيانة باب خشب الصحيات")</f>
        <v>صيانة باب خشب الصحيات</v>
      </c>
      <c r="G51" s="10"/>
      <c r="H51" s="10" t="str">
        <f ca="1">IFERROR(__xludf.DUMMYFUNCTION("""COMPUTED_VALUE"""),"مدني")</f>
        <v>مدني</v>
      </c>
      <c r="I51" s="12" t="str">
        <f ca="1">IFERROR(__xludf.DUMMYFUNCTION("""COMPUTED_VALUE"""),"منجز")</f>
        <v>منجز</v>
      </c>
      <c r="J51" s="19"/>
    </row>
    <row r="52" spans="1:10" ht="75" customHeight="1">
      <c r="A52" s="7">
        <f ca="1">IFERROR(__xludf.DUMMYFUNCTION("""COMPUTED_VALUE"""),46067.4579994444)</f>
        <v>46067.457999444399</v>
      </c>
      <c r="B52" s="18" t="str">
        <f ca="1">IFERROR(__xludf.DUMMYFUNCTION("""COMPUTED_VALUE"""),"المعملجي")</f>
        <v>المعملجي</v>
      </c>
      <c r="C52" s="9" t="str">
        <f ca="1">IFERROR(__xludf.DUMMYFUNCTION("""COMPUTED_VALUE"""),"قسم المشاريع الهندسية")</f>
        <v>قسم المشاريع الهندسية</v>
      </c>
      <c r="D52" s="10" t="str">
        <f ca="1">IFERROR(__xludf.DUMMYFUNCTION("""COMPUTED_VALUE"""),"النافورة")</f>
        <v>النافورة</v>
      </c>
      <c r="E52" s="10" t="str">
        <f ca="1">IFERROR(__xludf.DUMMYFUNCTION("""COMPUTED_VALUE"""),"الطابق الاول")</f>
        <v>الطابق الاول</v>
      </c>
      <c r="F52" s="10" t="str">
        <f ca="1">IFERROR(__xludf.DUMMYFUNCTION("""COMPUTED_VALUE"""),"غسل النافورة")</f>
        <v>غسل النافورة</v>
      </c>
      <c r="G52" s="10"/>
      <c r="H52" s="10" t="str">
        <f ca="1">IFERROR(__xludf.DUMMYFUNCTION("""COMPUTED_VALUE"""),"مدني")</f>
        <v>مدني</v>
      </c>
      <c r="I52" s="12" t="str">
        <f ca="1">IFERROR(__xludf.DUMMYFUNCTION("""COMPUTED_VALUE"""),"منجز")</f>
        <v>منجز</v>
      </c>
      <c r="J52" s="19"/>
    </row>
    <row r="53" spans="1:10" ht="75" customHeight="1">
      <c r="A53" s="7">
        <f ca="1">IFERROR(__xludf.DUMMYFUNCTION("""COMPUTED_VALUE"""),46067.4573175115)</f>
        <v>46067.4573175115</v>
      </c>
      <c r="B53" s="18" t="str">
        <f ca="1">IFERROR(__xludf.DUMMYFUNCTION("""COMPUTED_VALUE"""),"المعملجي")</f>
        <v>المعملجي</v>
      </c>
      <c r="C53" s="9" t="str">
        <f ca="1">IFERROR(__xludf.DUMMYFUNCTION("""COMPUTED_VALUE"""),"قسم المشاريع الهندسية")</f>
        <v>قسم المشاريع الهندسية</v>
      </c>
      <c r="D53" s="10" t="str">
        <f ca="1">IFERROR(__xludf.DUMMYFUNCTION("""COMPUTED_VALUE"""),"H- ابتدائية القمر للبنات (الخامسة)")</f>
        <v>H- ابتدائية القمر للبنات (الخامسة)</v>
      </c>
      <c r="E53" s="10" t="str">
        <f ca="1">IFERROR(__xludf.DUMMYFUNCTION("""COMPUTED_VALUE"""),"الطابق الاول")</f>
        <v>الطابق الاول</v>
      </c>
      <c r="F53" s="10" t="str">
        <f ca="1">IFERROR(__xludf.DUMMYFUNCTION("""COMPUTED_VALUE"""),"تبديل يدة باب بالصحيات ")</f>
        <v xml:space="preserve">تبديل يدة باب بالصحيات </v>
      </c>
      <c r="G53" s="10"/>
      <c r="H53" s="10" t="str">
        <f ca="1">IFERROR(__xludf.DUMMYFUNCTION("""COMPUTED_VALUE"""),"مدني")</f>
        <v>مدني</v>
      </c>
      <c r="I53" s="12" t="str">
        <f ca="1">IFERROR(__xludf.DUMMYFUNCTION("""COMPUTED_VALUE"""),"منجز")</f>
        <v>منجز</v>
      </c>
      <c r="J53" s="19"/>
    </row>
    <row r="54" spans="1:10" ht="75" customHeight="1">
      <c r="A54" s="7">
        <f ca="1">IFERROR(__xludf.DUMMYFUNCTION("""COMPUTED_VALUE"""),46067.4568213425)</f>
        <v>46067.456821342501</v>
      </c>
      <c r="B54" s="18" t="str">
        <f ca="1">IFERROR(__xludf.DUMMYFUNCTION("""COMPUTED_VALUE"""),"المعملجي")</f>
        <v>المعملجي</v>
      </c>
      <c r="C54" s="9" t="str">
        <f ca="1">IFERROR(__xludf.DUMMYFUNCTION("""COMPUTED_VALUE"""),"قسم المشاريع الهندسية")</f>
        <v>قسم المشاريع الهندسية</v>
      </c>
      <c r="D54" s="10" t="str">
        <f ca="1">IFERROR(__xludf.DUMMYFUNCTION("""COMPUTED_VALUE"""),"A- المركز الثقافي")</f>
        <v>A- المركز الثقافي</v>
      </c>
      <c r="E54" s="10" t="str">
        <f ca="1">IFERROR(__xludf.DUMMYFUNCTION("""COMPUTED_VALUE"""),"الطابق الارضي")</f>
        <v>الطابق الارضي</v>
      </c>
      <c r="F54" s="10" t="str">
        <f ca="1">IFERROR(__xludf.DUMMYFUNCTION("""COMPUTED_VALUE"""),"تبديل يدة باب بالصحيات ")</f>
        <v xml:space="preserve">تبديل يدة باب بالصحيات </v>
      </c>
      <c r="G54" s="10"/>
      <c r="H54" s="10" t="str">
        <f ca="1">IFERROR(__xludf.DUMMYFUNCTION("""COMPUTED_VALUE"""),"مدني")</f>
        <v>مدني</v>
      </c>
      <c r="I54" s="12" t="str">
        <f ca="1">IFERROR(__xludf.DUMMYFUNCTION("""COMPUTED_VALUE"""),"منجز")</f>
        <v>منجز</v>
      </c>
      <c r="J54" s="19"/>
    </row>
    <row r="55" spans="1:10" ht="75" customHeight="1">
      <c r="A55" s="7">
        <f ca="1">IFERROR(__xludf.DUMMYFUNCTION("""COMPUTED_VALUE"""),46067.4560006365)</f>
        <v>46067.456000636499</v>
      </c>
      <c r="B55" s="18" t="str">
        <f ca="1">IFERROR(__xludf.DUMMYFUNCTION("""COMPUTED_VALUE"""),"المعملجي")</f>
        <v>المعملجي</v>
      </c>
      <c r="C55" s="9" t="str">
        <f ca="1">IFERROR(__xludf.DUMMYFUNCTION("""COMPUTED_VALUE"""),"قسم المشاريع الهندسية")</f>
        <v>قسم المشاريع الهندسية</v>
      </c>
      <c r="D55" s="10" t="str">
        <f ca="1">IFERROR(__xludf.DUMMYFUNCTION("""COMPUTED_VALUE"""),"A- المركز الثقافي")</f>
        <v>A- المركز الثقافي</v>
      </c>
      <c r="E55" s="10" t="str">
        <f ca="1">IFERROR(__xludf.DUMMYFUNCTION("""COMPUTED_VALUE"""),"الطابق الارضي")</f>
        <v>الطابق الارضي</v>
      </c>
      <c r="F55" s="10" t="str">
        <f ca="1">IFERROR(__xludf.DUMMYFUNCTION("""COMPUTED_VALUE"""),"تثبيت تور الاخضر سياج المولدة")</f>
        <v>تثبيت تور الاخضر سياج المولدة</v>
      </c>
      <c r="G55" s="10"/>
      <c r="H55" s="10" t="str">
        <f ca="1">IFERROR(__xludf.DUMMYFUNCTION("""COMPUTED_VALUE"""),"مدني")</f>
        <v>مدني</v>
      </c>
      <c r="I55" s="12" t="str">
        <f ca="1">IFERROR(__xludf.DUMMYFUNCTION("""COMPUTED_VALUE"""),"منجز")</f>
        <v>منجز</v>
      </c>
      <c r="J55" s="19"/>
    </row>
    <row r="56" spans="1:10" ht="75" customHeight="1">
      <c r="A56" s="7">
        <f ca="1">IFERROR(__xludf.DUMMYFUNCTION("""COMPUTED_VALUE"""),46067.4551919328)</f>
        <v>46067.455191932801</v>
      </c>
      <c r="B56" s="18" t="str">
        <f ca="1">IFERROR(__xludf.DUMMYFUNCTION("""COMPUTED_VALUE"""),"المعملجي")</f>
        <v>المعملجي</v>
      </c>
      <c r="C56" s="9" t="str">
        <f ca="1">IFERROR(__xludf.DUMMYFUNCTION("""COMPUTED_VALUE"""),"قسم المشاريع الهندسية")</f>
        <v>قسم المشاريع الهندسية</v>
      </c>
      <c r="D56" s="10" t="str">
        <f ca="1">IFERROR(__xludf.DUMMYFUNCTION("""COMPUTED_VALUE"""),"E- ابتدائية العميد للبنات (الثالثة)")</f>
        <v>E- ابتدائية العميد للبنات (الثالثة)</v>
      </c>
      <c r="E56" s="10" t="str">
        <f ca="1">IFERROR(__xludf.DUMMYFUNCTION("""COMPUTED_VALUE"""),"الطابق الثاني")</f>
        <v>الطابق الثاني</v>
      </c>
      <c r="F56" s="10" t="str">
        <f ca="1">IFERROR(__xludf.DUMMYFUNCTION("""COMPUTED_VALUE"""),"تبديل يدة باب بالصحيات")</f>
        <v>تبديل يدة باب بالصحيات</v>
      </c>
      <c r="G56" s="10"/>
      <c r="H56" s="10" t="str">
        <f ca="1">IFERROR(__xludf.DUMMYFUNCTION("""COMPUTED_VALUE"""),"مدني")</f>
        <v>مدني</v>
      </c>
      <c r="I56" s="12" t="str">
        <f ca="1">IFERROR(__xludf.DUMMYFUNCTION("""COMPUTED_VALUE"""),"منجز")</f>
        <v>منجز</v>
      </c>
      <c r="J56" s="19"/>
    </row>
    <row r="57" spans="1:10" ht="75" customHeight="1">
      <c r="A57" s="7">
        <f ca="1">IFERROR(__xludf.DUMMYFUNCTION("""COMPUTED_VALUE"""),46067.4545171527)</f>
        <v>46067.454517152699</v>
      </c>
      <c r="B57" s="18" t="str">
        <f ca="1">IFERROR(__xludf.DUMMYFUNCTION("""COMPUTED_VALUE"""),"المعملجي")</f>
        <v>المعملجي</v>
      </c>
      <c r="C57" s="9" t="str">
        <f ca="1">IFERROR(__xludf.DUMMYFUNCTION("""COMPUTED_VALUE"""),"قسم المشاريع الهندسية")</f>
        <v>قسم المشاريع الهندسية</v>
      </c>
      <c r="D57" s="10" t="str">
        <f ca="1">IFERROR(__xludf.DUMMYFUNCTION("""COMPUTED_VALUE"""),"E- ابتدائية العميد للبنات (الثالثة)")</f>
        <v>E- ابتدائية العميد للبنات (الثالثة)</v>
      </c>
      <c r="E57" s="10" t="str">
        <f ca="1">IFERROR(__xludf.DUMMYFUNCTION("""COMPUTED_VALUE"""),"الطابق الاول")</f>
        <v>الطابق الاول</v>
      </c>
      <c r="F57" s="10" t="str">
        <f ca="1">IFERROR(__xludf.DUMMYFUNCTION("""COMPUTED_VALUE"""),"تثبيت تور شباك")</f>
        <v>تثبيت تور شباك</v>
      </c>
      <c r="G57" s="10"/>
      <c r="H57" s="10" t="str">
        <f ca="1">IFERROR(__xludf.DUMMYFUNCTION("""COMPUTED_VALUE"""),"مدني")</f>
        <v>مدني</v>
      </c>
      <c r="I57" s="12" t="str">
        <f ca="1">IFERROR(__xludf.DUMMYFUNCTION("""COMPUTED_VALUE"""),"منجز")</f>
        <v>منجز</v>
      </c>
      <c r="J57" s="19"/>
    </row>
    <row r="58" spans="1:10" ht="75" customHeight="1">
      <c r="A58" s="7">
        <f ca="1">IFERROR(__xludf.DUMMYFUNCTION("""COMPUTED_VALUE"""),46067.4537376504)</f>
        <v>46067.453737650401</v>
      </c>
      <c r="B58" s="18" t="str">
        <f ca="1">IFERROR(__xludf.DUMMYFUNCTION("""COMPUTED_VALUE"""),"المعملجي")</f>
        <v>المعملجي</v>
      </c>
      <c r="C58" s="9" t="str">
        <f ca="1">IFERROR(__xludf.DUMMYFUNCTION("""COMPUTED_VALUE"""),"قسم المشاريع الهندسية")</f>
        <v>قسم المشاريع الهندسية</v>
      </c>
      <c r="D58" s="10" t="str">
        <f ca="1">IFERROR(__xludf.DUMMYFUNCTION("""COMPUTED_VALUE"""),"E- ابتدائية العميد للبنات (الثالثة)")</f>
        <v>E- ابتدائية العميد للبنات (الثالثة)</v>
      </c>
      <c r="E58" s="10" t="str">
        <f ca="1">IFERROR(__xludf.DUMMYFUNCTION("""COMPUTED_VALUE"""),"الطابق الارضي")</f>
        <v>الطابق الارضي</v>
      </c>
      <c r="F58" s="10" t="str">
        <f ca="1">IFERROR(__xludf.DUMMYFUNCTION("""COMPUTED_VALUE"""),"تبديل يدة باب المنيوم")</f>
        <v>تبديل يدة باب المنيوم</v>
      </c>
      <c r="G58" s="10"/>
      <c r="H58" s="10" t="str">
        <f ca="1">IFERROR(__xludf.DUMMYFUNCTION("""COMPUTED_VALUE"""),"مدني")</f>
        <v>مدني</v>
      </c>
      <c r="I58" s="12" t="str">
        <f ca="1">IFERROR(__xludf.DUMMYFUNCTION("""COMPUTED_VALUE"""),"منجز")</f>
        <v>منجز</v>
      </c>
      <c r="J58" s="19"/>
    </row>
    <row r="59" spans="1:10" ht="75" customHeight="1">
      <c r="A59" s="7">
        <f ca="1">IFERROR(__xludf.DUMMYFUNCTION("""COMPUTED_VALUE"""),46067.453085)</f>
        <v>46067.453085000001</v>
      </c>
      <c r="B59" s="18" t="str">
        <f ca="1">IFERROR(__xludf.DUMMYFUNCTION("""COMPUTED_VALUE"""),"المعملجي")</f>
        <v>المعملجي</v>
      </c>
      <c r="C59" s="9" t="str">
        <f ca="1">IFERROR(__xludf.DUMMYFUNCTION("""COMPUTED_VALUE"""),"قسم المشاريع الهندسية")</f>
        <v>قسم المشاريع الهندسية</v>
      </c>
      <c r="D59" s="10" t="str">
        <f ca="1">IFERROR(__xludf.DUMMYFUNCTION("""COMPUTED_VALUE"""),"D- ثانوية العميد بناية المتوسطة  (الثانية)")</f>
        <v>D- ثانوية العميد بناية المتوسطة  (الثانية)</v>
      </c>
      <c r="E59" s="10" t="str">
        <f ca="1">IFERROR(__xludf.DUMMYFUNCTION("""COMPUTED_VALUE"""),"الطابق الاول")</f>
        <v>الطابق الاول</v>
      </c>
      <c r="F59" s="10" t="str">
        <f ca="1">IFERROR(__xludf.DUMMYFUNCTION("""COMPUTED_VALUE"""),"صيانة. باب خشب")</f>
        <v>صيانة. باب خشب</v>
      </c>
      <c r="G59" s="10"/>
      <c r="H59" s="10" t="str">
        <f ca="1">IFERROR(__xludf.DUMMYFUNCTION("""COMPUTED_VALUE"""),"مدني")</f>
        <v>مدني</v>
      </c>
      <c r="I59" s="12" t="str">
        <f ca="1">IFERROR(__xludf.DUMMYFUNCTION("""COMPUTED_VALUE"""),"منجز")</f>
        <v>منجز</v>
      </c>
      <c r="J59" s="19"/>
    </row>
    <row r="60" spans="1:10" ht="75" customHeight="1">
      <c r="A60" s="7">
        <f ca="1">IFERROR(__xludf.DUMMYFUNCTION("""COMPUTED_VALUE"""),46067.4525789351)</f>
        <v>46067.452578935103</v>
      </c>
      <c r="B60" s="18" t="str">
        <f ca="1">IFERROR(__xludf.DUMMYFUNCTION("""COMPUTED_VALUE"""),"المعملجي")</f>
        <v>المعملجي</v>
      </c>
      <c r="C60" s="9" t="str">
        <f ca="1">IFERROR(__xludf.DUMMYFUNCTION("""COMPUTED_VALUE"""),"قسم المشاريع الهندسية")</f>
        <v>قسم المشاريع الهندسية</v>
      </c>
      <c r="D60" s="10" t="str">
        <f ca="1">IFERROR(__xludf.DUMMYFUNCTION("""COMPUTED_VALUE"""),"D- ثانوية العميد بناية المتوسطة  (الثانية)")</f>
        <v>D- ثانوية العميد بناية المتوسطة  (الثانية)</v>
      </c>
      <c r="E60" s="10" t="str">
        <f ca="1">IFERROR(__xludf.DUMMYFUNCTION("""COMPUTED_VALUE"""),"الطابق الاول")</f>
        <v>الطابق الاول</v>
      </c>
      <c r="F60" s="10" t="str">
        <f ca="1">IFERROR(__xludf.DUMMYFUNCTION("""COMPUTED_VALUE"""),"تبديل يدة شباك")</f>
        <v>تبديل يدة شباك</v>
      </c>
      <c r="G60" s="10"/>
      <c r="H60" s="10" t="str">
        <f ca="1">IFERROR(__xludf.DUMMYFUNCTION("""COMPUTED_VALUE"""),"مدني")</f>
        <v>مدني</v>
      </c>
      <c r="I60" s="12" t="str">
        <f ca="1">IFERROR(__xludf.DUMMYFUNCTION("""COMPUTED_VALUE"""),"منجز")</f>
        <v>منجز</v>
      </c>
      <c r="J60" s="19"/>
    </row>
    <row r="61" spans="1:10" ht="75" customHeight="1">
      <c r="A61" s="7">
        <f ca="1">IFERROR(__xludf.DUMMYFUNCTION("""COMPUTED_VALUE"""),46067.4521100115)</f>
        <v>46067.452110011502</v>
      </c>
      <c r="B61" s="18" t="str">
        <f ca="1">IFERROR(__xludf.DUMMYFUNCTION("""COMPUTED_VALUE"""),"المعملجي")</f>
        <v>المعملجي</v>
      </c>
      <c r="C61" s="9" t="str">
        <f ca="1">IFERROR(__xludf.DUMMYFUNCTION("""COMPUTED_VALUE"""),"قسم المشاريع الهندسية")</f>
        <v>قسم المشاريع الهندسية</v>
      </c>
      <c r="D61" s="10" t="str">
        <f ca="1">IFERROR(__xludf.DUMMYFUNCTION("""COMPUTED_VALUE"""),"D- ثانوية العميد بناية المتوسطة  (الثانية)")</f>
        <v>D- ثانوية العميد بناية المتوسطة  (الثانية)</v>
      </c>
      <c r="E61" s="10" t="str">
        <f ca="1">IFERROR(__xludf.DUMMYFUNCTION("""COMPUTED_VALUE"""),"الطابق الثاني")</f>
        <v>الطابق الثاني</v>
      </c>
      <c r="F61" s="10" t="str">
        <f ca="1">IFERROR(__xludf.DUMMYFUNCTION("""COMPUTED_VALUE"""),"ارجاع سقوف ثانوية")</f>
        <v>ارجاع سقوف ثانوية</v>
      </c>
      <c r="G61" s="10"/>
      <c r="H61" s="10" t="str">
        <f ca="1">IFERROR(__xludf.DUMMYFUNCTION("""COMPUTED_VALUE"""),"مدني")</f>
        <v>مدني</v>
      </c>
      <c r="I61" s="12" t="str">
        <f ca="1">IFERROR(__xludf.DUMMYFUNCTION("""COMPUTED_VALUE"""),"منجز")</f>
        <v>منجز</v>
      </c>
      <c r="J61" s="19"/>
    </row>
    <row r="62" spans="1:10" ht="75" customHeight="1">
      <c r="A62" s="7">
        <f ca="1">IFERROR(__xludf.DUMMYFUNCTION("""COMPUTED_VALUE"""),46067.4512895023)</f>
        <v>46067.4512895023</v>
      </c>
      <c r="B62" s="18" t="str">
        <f ca="1">IFERROR(__xludf.DUMMYFUNCTION("""COMPUTED_VALUE"""),"المعملجي")</f>
        <v>المعملجي</v>
      </c>
      <c r="C62" s="9" t="str">
        <f ca="1">IFERROR(__xludf.DUMMYFUNCTION("""COMPUTED_VALUE"""),"قسم المشاريع الهندسية")</f>
        <v>قسم المشاريع الهندسية</v>
      </c>
      <c r="D62" s="10" t="str">
        <f ca="1">IFERROR(__xludf.DUMMYFUNCTION("""COMPUTED_VALUE"""),"D- ثانوية العميد بناية المتوسطة  (الثانية)")</f>
        <v>D- ثانوية العميد بناية المتوسطة  (الثانية)</v>
      </c>
      <c r="E62" s="10" t="str">
        <f ca="1">IFERROR(__xludf.DUMMYFUNCTION("""COMPUTED_VALUE"""),"الطابق الارضي")</f>
        <v>الطابق الارضي</v>
      </c>
      <c r="F62" s="10" t="str">
        <f ca="1">IFERROR(__xludf.DUMMYFUNCTION("""COMPUTED_VALUE"""),"تبديل يدة باب بين الزونين")</f>
        <v>تبديل يدة باب بين الزونين</v>
      </c>
      <c r="G62" s="10"/>
      <c r="H62" s="10" t="str">
        <f ca="1">IFERROR(__xludf.DUMMYFUNCTION("""COMPUTED_VALUE"""),"مدني")</f>
        <v>مدني</v>
      </c>
      <c r="I62" s="12" t="str">
        <f ca="1">IFERROR(__xludf.DUMMYFUNCTION("""COMPUTED_VALUE"""),"منجز")</f>
        <v>منجز</v>
      </c>
      <c r="J62" s="19"/>
    </row>
    <row r="63" spans="1:10" ht="75" customHeight="1">
      <c r="A63" s="7">
        <f ca="1">IFERROR(__xludf.DUMMYFUNCTION("""COMPUTED_VALUE"""),46067.4482220833)</f>
        <v>46067.448222083302</v>
      </c>
      <c r="B63" s="18" t="str">
        <f ca="1">IFERROR(__xludf.DUMMYFUNCTION("""COMPUTED_VALUE"""),"المعملجي")</f>
        <v>المعملجي</v>
      </c>
      <c r="C63" s="9" t="str">
        <f ca="1">IFERROR(__xludf.DUMMYFUNCTION("""COMPUTED_VALUE"""),"قسم المشاريع الهندسية")</f>
        <v>قسم المشاريع الهندسية</v>
      </c>
      <c r="D63" s="10" t="str">
        <f ca="1">IFERROR(__xludf.DUMMYFUNCTION("""COMPUTED_VALUE"""),"D- ثانوية العميد بناية المتوسطة  (الثانية)")</f>
        <v>D- ثانوية العميد بناية المتوسطة  (الثانية)</v>
      </c>
      <c r="E63" s="10" t="str">
        <f ca="1">IFERROR(__xludf.DUMMYFUNCTION("""COMPUTED_VALUE"""),"الطابق الاول")</f>
        <v>الطابق الاول</v>
      </c>
      <c r="F63" s="10" t="str">
        <f ca="1">IFERROR(__xludf.DUMMYFUNCTION("""COMPUTED_VALUE"""),"فتح باب الصحيات")</f>
        <v>فتح باب الصحيات</v>
      </c>
      <c r="G63" s="10"/>
      <c r="H63" s="10" t="str">
        <f ca="1">IFERROR(__xludf.DUMMYFUNCTION("""COMPUTED_VALUE"""),"مدني")</f>
        <v>مدني</v>
      </c>
      <c r="I63" s="12" t="str">
        <f ca="1">IFERROR(__xludf.DUMMYFUNCTION("""COMPUTED_VALUE"""),"منجز")</f>
        <v>منجز</v>
      </c>
      <c r="J63" s="19"/>
    </row>
    <row r="64" spans="1:10" ht="75" customHeight="1">
      <c r="A64" s="7">
        <f ca="1">IFERROR(__xludf.DUMMYFUNCTION("""COMPUTED_VALUE"""),46064.5773750694)</f>
        <v>46064.577375069399</v>
      </c>
      <c r="B64" s="18" t="str">
        <f ca="1">IFERROR(__xludf.DUMMYFUNCTION("""COMPUTED_VALUE"""),"المعملجي")</f>
        <v>المعملجي</v>
      </c>
      <c r="C64" s="9" t="str">
        <f ca="1">IFERROR(__xludf.DUMMYFUNCTION("""COMPUTED_VALUE"""),"قسم المشاريع الهندسية")</f>
        <v>قسم المشاريع الهندسية</v>
      </c>
      <c r="D64" s="10" t="str">
        <f ca="1">IFERROR(__xludf.DUMMYFUNCTION("""COMPUTED_VALUE"""),"E- ابتدائية العميد للبنات (الثالثة)")</f>
        <v>E- ابتدائية العميد للبنات (الثالثة)</v>
      </c>
      <c r="E64" s="10" t="str">
        <f ca="1">IFERROR(__xludf.DUMMYFUNCTION("""COMPUTED_VALUE"""),"الممر الخارجي")</f>
        <v>الممر الخارجي</v>
      </c>
      <c r="F64" s="10" t="str">
        <f ca="1">IFERROR(__xludf.DUMMYFUNCTION("""COMPUTED_VALUE"""),"صيانة ممر عدد 2")</f>
        <v>صيانة ممر عدد 2</v>
      </c>
      <c r="G64" s="10"/>
      <c r="H64" s="10" t="str">
        <f ca="1">IFERROR(__xludf.DUMMYFUNCTION("""COMPUTED_VALUE"""),"مدني")</f>
        <v>مدني</v>
      </c>
      <c r="I64" s="12" t="str">
        <f ca="1">IFERROR(__xludf.DUMMYFUNCTION("""COMPUTED_VALUE"""),"منجز")</f>
        <v>منجز</v>
      </c>
      <c r="J64" s="19">
        <f ca="1">IFERROR(__xludf.DUMMYFUNCTION("""COMPUTED_VALUE"""),46064.5777864699)</f>
        <v>46064.577786469898</v>
      </c>
    </row>
    <row r="65" spans="1:10" ht="75" customHeight="1">
      <c r="A65" s="7">
        <f ca="1">IFERROR(__xludf.DUMMYFUNCTION("""COMPUTED_VALUE"""),46064.5766365046)</f>
        <v>46064.5766365046</v>
      </c>
      <c r="B65" s="18" t="str">
        <f ca="1">IFERROR(__xludf.DUMMYFUNCTION("""COMPUTED_VALUE"""),"المعملجي")</f>
        <v>المعملجي</v>
      </c>
      <c r="C65" s="9" t="str">
        <f ca="1">IFERROR(__xludf.DUMMYFUNCTION("""COMPUTED_VALUE"""),"قسم المشاريع الهندسية")</f>
        <v>قسم المشاريع الهندسية</v>
      </c>
      <c r="D65" s="10" t="str">
        <f ca="1">IFERROR(__xludf.DUMMYFUNCTION("""COMPUTED_VALUE"""),"C- ثانوية العميد بناية الاعدادية  (الاولى)")</f>
        <v>C- ثانوية العميد بناية الاعدادية  (الاولى)</v>
      </c>
      <c r="E65" s="10" t="str">
        <f ca="1">IFERROR(__xludf.DUMMYFUNCTION("""COMPUTED_VALUE"""),"الممر الخارجي")</f>
        <v>الممر الخارجي</v>
      </c>
      <c r="F65" s="10" t="str">
        <f ca="1">IFERROR(__xludf.DUMMYFUNCTION("""COMPUTED_VALUE"""),"صيانة الممر الخارجي")</f>
        <v>صيانة الممر الخارجي</v>
      </c>
      <c r="G65" s="10"/>
      <c r="H65" s="10" t="str">
        <f ca="1">IFERROR(__xludf.DUMMYFUNCTION("""COMPUTED_VALUE"""),"مدني")</f>
        <v>مدني</v>
      </c>
      <c r="I65" s="12" t="str">
        <f ca="1">IFERROR(__xludf.DUMMYFUNCTION("""COMPUTED_VALUE"""),"منجز")</f>
        <v>منجز</v>
      </c>
      <c r="J65" s="19">
        <f ca="1">IFERROR(__xludf.DUMMYFUNCTION("""COMPUTED_VALUE"""),46064.5777637847)</f>
        <v>46064.577763784699</v>
      </c>
    </row>
    <row r="66" spans="1:10" ht="75" customHeight="1">
      <c r="A66" s="7">
        <f ca="1">IFERROR(__xludf.DUMMYFUNCTION("""COMPUTED_VALUE"""),46064.5755425115)</f>
        <v>46064.575542511498</v>
      </c>
      <c r="B66" s="18" t="str">
        <f ca="1">IFERROR(__xludf.DUMMYFUNCTION("""COMPUTED_VALUE"""),"المعملجي")</f>
        <v>المعملجي</v>
      </c>
      <c r="C66" s="9" t="str">
        <f ca="1">IFERROR(__xludf.DUMMYFUNCTION("""COMPUTED_VALUE"""),"قسم المشاريع الهندسية")</f>
        <v>قسم المشاريع الهندسية</v>
      </c>
      <c r="D66" s="10" t="str">
        <f ca="1">IFERROR(__xludf.DUMMYFUNCTION("""COMPUTED_VALUE"""),"B- روضة القمر")</f>
        <v>B- روضة القمر</v>
      </c>
      <c r="E66" s="10" t="str">
        <f ca="1">IFERROR(__xludf.DUMMYFUNCTION("""COMPUTED_VALUE"""),"السطح")</f>
        <v>السطح</v>
      </c>
      <c r="F66" s="10" t="str">
        <f ca="1">IFERROR(__xludf.DUMMYFUNCTION("""COMPUTED_VALUE"""),"عمل فتحة لمد بوري ماء لغسل الالواح")</f>
        <v>عمل فتحة لمد بوري ماء لغسل الالواح</v>
      </c>
      <c r="G66" s="10"/>
      <c r="H66" s="10" t="str">
        <f ca="1">IFERROR(__xludf.DUMMYFUNCTION("""COMPUTED_VALUE"""),"مدني")</f>
        <v>مدني</v>
      </c>
      <c r="I66" s="12" t="str">
        <f ca="1">IFERROR(__xludf.DUMMYFUNCTION("""COMPUTED_VALUE"""),"منجز")</f>
        <v>منجز</v>
      </c>
      <c r="J66" s="19">
        <f ca="1">IFERROR(__xludf.DUMMYFUNCTION("""COMPUTED_VALUE"""),46064.5756393981)</f>
        <v>46064.575639398099</v>
      </c>
    </row>
    <row r="67" spans="1:10" ht="75" customHeight="1">
      <c r="A67" s="7">
        <f ca="1">IFERROR(__xludf.DUMMYFUNCTION("""COMPUTED_VALUE"""),46064.5715990393)</f>
        <v>46064.5715990393</v>
      </c>
      <c r="B67" s="18" t="str">
        <f ca="1">IFERROR(__xludf.DUMMYFUNCTION("""COMPUTED_VALUE"""),"المعملجي")</f>
        <v>المعملجي</v>
      </c>
      <c r="C67" s="9" t="str">
        <f ca="1">IFERROR(__xludf.DUMMYFUNCTION("""COMPUTED_VALUE"""),"قسم المشاريع الهندسية")</f>
        <v>قسم المشاريع الهندسية</v>
      </c>
      <c r="D67" s="10" t="str">
        <f ca="1">IFERROR(__xludf.DUMMYFUNCTION("""COMPUTED_VALUE"""),"C- ثانوية العميد بناية الاعدادية  (الاولى)")</f>
        <v>C- ثانوية العميد بناية الاعدادية  (الاولى)</v>
      </c>
      <c r="E67" s="10" t="str">
        <f ca="1">IFERROR(__xludf.DUMMYFUNCTION("""COMPUTED_VALUE"""),"خارج البناية")</f>
        <v>خارج البناية</v>
      </c>
      <c r="F67" s="10" t="str">
        <f ca="1">IFERROR(__xludf.DUMMYFUNCTION("""COMPUTED_VALUE"""),"معالجة الفطور في ممر المدرسة")</f>
        <v>معالجة الفطور في ممر المدرسة</v>
      </c>
      <c r="G67" s="10"/>
      <c r="H67" s="10" t="str">
        <f ca="1">IFERROR(__xludf.DUMMYFUNCTION("""COMPUTED_VALUE"""),"مدني")</f>
        <v>مدني</v>
      </c>
      <c r="I67" s="12" t="str">
        <f ca="1">IFERROR(__xludf.DUMMYFUNCTION("""COMPUTED_VALUE"""),"منجز")</f>
        <v>منجز</v>
      </c>
      <c r="J67" s="19">
        <f ca="1">IFERROR(__xludf.DUMMYFUNCTION("""COMPUTED_VALUE"""),46064.5732399537)</f>
        <v>46064.573239953701</v>
      </c>
    </row>
    <row r="68" spans="1:10" ht="75" customHeight="1">
      <c r="A68" s="7">
        <f ca="1">IFERROR(__xludf.DUMMYFUNCTION("""COMPUTED_VALUE"""),46064.570881574)</f>
        <v>46064.570881574</v>
      </c>
      <c r="B68" s="18" t="str">
        <f ca="1">IFERROR(__xludf.DUMMYFUNCTION("""COMPUTED_VALUE"""),"المعملجي")</f>
        <v>المعملجي</v>
      </c>
      <c r="C68" s="9" t="str">
        <f ca="1">IFERROR(__xludf.DUMMYFUNCTION("""COMPUTED_VALUE"""),"قسم التربية والتعليم العالي")</f>
        <v>قسم التربية والتعليم العالي</v>
      </c>
      <c r="D68" s="10" t="str">
        <f ca="1">IFERROR(__xludf.DUMMYFUNCTION("""COMPUTED_VALUE"""),"A- المركز الثقافي")</f>
        <v>A- المركز الثقافي</v>
      </c>
      <c r="E68" s="10" t="str">
        <f ca="1">IFERROR(__xludf.DUMMYFUNCTION("""COMPUTED_VALUE"""),"الطابق الارضي")</f>
        <v>الطابق الارضي</v>
      </c>
      <c r="F68" s="10" t="str">
        <f ca="1">IFERROR(__xludf.DUMMYFUNCTION("""COMPUTED_VALUE"""),"عمل رصيف جديد وتطبيك مقرنص")</f>
        <v>عمل رصيف جديد وتطبيك مقرنص</v>
      </c>
      <c r="G68" s="10"/>
      <c r="H68" s="10" t="str">
        <f ca="1">IFERROR(__xludf.DUMMYFUNCTION("""COMPUTED_VALUE"""),"مدني")</f>
        <v>مدني</v>
      </c>
      <c r="I68" s="12" t="str">
        <f ca="1">IFERROR(__xludf.DUMMYFUNCTION("""COMPUTED_VALUE"""),"منجز")</f>
        <v>منجز</v>
      </c>
      <c r="J68" s="19">
        <f ca="1">IFERROR(__xludf.DUMMYFUNCTION("""COMPUTED_VALUE"""),46064.5732244676)</f>
        <v>46064.573224467596</v>
      </c>
    </row>
    <row r="69" spans="1:10" ht="75" customHeight="1">
      <c r="A69" s="7">
        <f ca="1">IFERROR(__xludf.DUMMYFUNCTION("""COMPUTED_VALUE"""),46064.5695852083)</f>
        <v>46064.569585208301</v>
      </c>
      <c r="B69" s="18" t="str">
        <f ca="1">IFERROR(__xludf.DUMMYFUNCTION("""COMPUTED_VALUE"""),"المعملجي")</f>
        <v>المعملجي</v>
      </c>
      <c r="C69" s="9" t="str">
        <f ca="1">IFERROR(__xludf.DUMMYFUNCTION("""COMPUTED_VALUE"""),"قسم التربية والتعليم العالي")</f>
        <v>قسم التربية والتعليم العالي</v>
      </c>
      <c r="D69" s="10" t="str">
        <f ca="1">IFERROR(__xludf.DUMMYFUNCTION("""COMPUTED_VALUE"""),"A- المركز الثقافي")</f>
        <v>A- المركز الثقافي</v>
      </c>
      <c r="E69" s="10" t="str">
        <f ca="1">IFERROR(__xludf.DUMMYFUNCTION("""COMPUTED_VALUE"""),"الطابق الارضي")</f>
        <v>الطابق الارضي</v>
      </c>
      <c r="F69" s="10" t="str">
        <f ca="1">IFERROR(__xludf.DUMMYFUNCTION("""COMPUTED_VALUE"""),"حفر واستخراج مقرنص")</f>
        <v>حفر واستخراج مقرنص</v>
      </c>
      <c r="G69" s="10"/>
      <c r="H69" s="10" t="str">
        <f ca="1">IFERROR(__xludf.DUMMYFUNCTION("""COMPUTED_VALUE"""),"مدني")</f>
        <v>مدني</v>
      </c>
      <c r="I69" s="12" t="str">
        <f ca="1">IFERROR(__xludf.DUMMYFUNCTION("""COMPUTED_VALUE"""),"منجز")</f>
        <v>منجز</v>
      </c>
      <c r="J69" s="19">
        <f ca="1">IFERROR(__xludf.DUMMYFUNCTION("""COMPUTED_VALUE"""),46064.5732037615)</f>
        <v>46064.573203761502</v>
      </c>
    </row>
    <row r="70" spans="1:10" ht="75" customHeight="1">
      <c r="A70" s="7">
        <f ca="1">IFERROR(__xludf.DUMMYFUNCTION("""COMPUTED_VALUE"""),46064.5690646527)</f>
        <v>46064.5690646527</v>
      </c>
      <c r="B70" s="18" t="str">
        <f ca="1">IFERROR(__xludf.DUMMYFUNCTION("""COMPUTED_VALUE"""),"المعملجي")</f>
        <v>المعملجي</v>
      </c>
      <c r="C70" s="9" t="str">
        <f ca="1">IFERROR(__xludf.DUMMYFUNCTION("""COMPUTED_VALUE"""),"قسم التربية والتعليم العالي")</f>
        <v>قسم التربية والتعليم العالي</v>
      </c>
      <c r="D70" s="10" t="str">
        <f ca="1">IFERROR(__xludf.DUMMYFUNCTION("""COMPUTED_VALUE"""),"A- المركز الثقافي")</f>
        <v>A- المركز الثقافي</v>
      </c>
      <c r="E70" s="10" t="str">
        <f ca="1">IFERROR(__xludf.DUMMYFUNCTION("""COMPUTED_VALUE"""),"الطابق الارضي")</f>
        <v>الطابق الارضي</v>
      </c>
      <c r="F70" s="10" t="str">
        <f ca="1">IFERROR(__xludf.DUMMYFUNCTION("""COMPUTED_VALUE"""),"نقل قواعد وطفايات عدد 2")</f>
        <v>نقل قواعد وطفايات عدد 2</v>
      </c>
      <c r="G70" s="10"/>
      <c r="H70" s="10" t="str">
        <f ca="1">IFERROR(__xludf.DUMMYFUNCTION("""COMPUTED_VALUE"""),"مدني")</f>
        <v>مدني</v>
      </c>
      <c r="I70" s="12" t="str">
        <f ca="1">IFERROR(__xludf.DUMMYFUNCTION("""COMPUTED_VALUE"""),"منجز")</f>
        <v>منجز</v>
      </c>
      <c r="J70" s="19">
        <f ca="1">IFERROR(__xludf.DUMMYFUNCTION("""COMPUTED_VALUE"""),46064.5731889583)</f>
        <v>46064.573188958297</v>
      </c>
    </row>
    <row r="71" spans="1:10" ht="75" customHeight="1">
      <c r="A71" s="7">
        <f ca="1">IFERROR(__xludf.DUMMYFUNCTION("""COMPUTED_VALUE"""),46064.4192793865)</f>
        <v>46064.4192793865</v>
      </c>
      <c r="B71" s="18" t="str">
        <f ca="1">IFERROR(__xludf.DUMMYFUNCTION("""COMPUTED_VALUE"""),"المعملجي")</f>
        <v>المعملجي</v>
      </c>
      <c r="C71" s="9" t="str">
        <f ca="1">IFERROR(__xludf.DUMMYFUNCTION("""COMPUTED_VALUE"""),"قسم التربية والتعليم العالي")</f>
        <v>قسم التربية والتعليم العالي</v>
      </c>
      <c r="D71" s="10" t="str">
        <f ca="1">IFERROR(__xludf.DUMMYFUNCTION("""COMPUTED_VALUE"""),"E- ابتدائية العميد للبنات (الثالثة)")</f>
        <v>E- ابتدائية العميد للبنات (الثالثة)</v>
      </c>
      <c r="E71" s="10" t="str">
        <f ca="1">IFERROR(__xludf.DUMMYFUNCTION("""COMPUTED_VALUE"""),"الطابق الثاني")</f>
        <v>الطابق الثاني</v>
      </c>
      <c r="F71" s="10" t="str">
        <f ca="1">IFERROR(__xludf.DUMMYFUNCTION("""COMPUTED_VALUE"""),"صيانة سقف الثانوي للمصلى  يسرب ماء")</f>
        <v>صيانة سقف الثانوي للمصلى  يسرب ماء</v>
      </c>
      <c r="G71" s="10"/>
      <c r="H71" s="10" t="str">
        <f ca="1">IFERROR(__xludf.DUMMYFUNCTION("""COMPUTED_VALUE"""),"مدني")</f>
        <v>مدني</v>
      </c>
      <c r="I71" s="12"/>
      <c r="J71" s="19"/>
    </row>
    <row r="72" spans="1:10" ht="75" customHeight="1">
      <c r="A72" s="7">
        <f ca="1">IFERROR(__xludf.DUMMYFUNCTION("""COMPUTED_VALUE"""),46064.4184583449)</f>
        <v>46064.418458344902</v>
      </c>
      <c r="B72" s="18" t="str">
        <f ca="1">IFERROR(__xludf.DUMMYFUNCTION("""COMPUTED_VALUE"""),"المعملجي")</f>
        <v>المعملجي</v>
      </c>
      <c r="C72" s="9" t="str">
        <f ca="1">IFERROR(__xludf.DUMMYFUNCTION("""COMPUTED_VALUE"""),"قسم التربية والتعليم العالي")</f>
        <v>قسم التربية والتعليم العالي</v>
      </c>
      <c r="D72" s="10" t="str">
        <f ca="1">IFERROR(__xludf.DUMMYFUNCTION("""COMPUTED_VALUE"""),"F-  ابتدائية جود العميد للبنات (الرابعة)")</f>
        <v>F-  ابتدائية جود العميد للبنات (الرابعة)</v>
      </c>
      <c r="E72" s="10" t="str">
        <f ca="1">IFERROR(__xludf.DUMMYFUNCTION("""COMPUTED_VALUE"""),"الطابق الثاني")</f>
        <v>الطابق الثاني</v>
      </c>
      <c r="F72" s="10" t="str">
        <f ca="1">IFERROR(__xludf.DUMMYFUNCTION("""COMPUTED_VALUE"""),"صيانة مقبض شباك  صف الثاني ، الثالث ، الخامس ")</f>
        <v xml:space="preserve">صيانة مقبض شباك  صف الثاني ، الثالث ، الخامس </v>
      </c>
      <c r="G72" s="10"/>
      <c r="H72" s="10" t="str">
        <f ca="1">IFERROR(__xludf.DUMMYFUNCTION("""COMPUTED_VALUE"""),"مدني")</f>
        <v>مدني</v>
      </c>
      <c r="I72" s="12" t="str">
        <f ca="1">IFERROR(__xludf.DUMMYFUNCTION("""COMPUTED_VALUE"""),"منجز")</f>
        <v>منجز</v>
      </c>
      <c r="J72" s="19">
        <f ca="1">IFERROR(__xludf.DUMMYFUNCTION("""COMPUTED_VALUE"""),46064.5661732291)</f>
        <v>46064.566173229097</v>
      </c>
    </row>
    <row r="73" spans="1:10" ht="75" customHeight="1">
      <c r="A73" s="7">
        <f ca="1">IFERROR(__xludf.DUMMYFUNCTION("""COMPUTED_VALUE"""),46063.6957572801)</f>
        <v>46063.695757280097</v>
      </c>
      <c r="B73" s="18" t="str">
        <f ca="1">IFERROR(__xludf.DUMMYFUNCTION("""COMPUTED_VALUE"""),"المعملجي")</f>
        <v>المعملجي</v>
      </c>
      <c r="C73" s="9" t="str">
        <f ca="1">IFERROR(__xludf.DUMMYFUNCTION("""COMPUTED_VALUE"""),"قسم التربية والتعليم العالي")</f>
        <v>قسم التربية والتعليم العالي</v>
      </c>
      <c r="D73" s="10" t="str">
        <f ca="1">IFERROR(__xludf.DUMMYFUNCTION("""COMPUTED_VALUE"""),"G- روضة الجود")</f>
        <v>G- روضة الجود</v>
      </c>
      <c r="E73" s="10" t="str">
        <f ca="1">IFERROR(__xludf.DUMMYFUNCTION("""COMPUTED_VALUE"""),"الطابق الارضي, غرفة الكاميرات ")</f>
        <v xml:space="preserve">الطابق الارضي, غرفة الكاميرات </v>
      </c>
      <c r="F73" s="10" t="str">
        <f ca="1">IFERROR(__xludf.DUMMYFUNCTION("""COMPUTED_VALUE"""),"صيانة يدت شباك")</f>
        <v>صيانة يدت شباك</v>
      </c>
      <c r="G73" s="10"/>
      <c r="H73" s="10" t="str">
        <f ca="1">IFERROR(__xludf.DUMMYFUNCTION("""COMPUTED_VALUE"""),"مدني")</f>
        <v>مدني</v>
      </c>
      <c r="I73" s="12" t="str">
        <f ca="1">IFERROR(__xludf.DUMMYFUNCTION("""COMPUTED_VALUE"""),"منجز")</f>
        <v>منجز</v>
      </c>
      <c r="J73" s="19">
        <f ca="1">IFERROR(__xludf.DUMMYFUNCTION("""COMPUTED_VALUE"""),46064.5270487731)</f>
        <v>46064.527048773103</v>
      </c>
    </row>
    <row r="74" spans="1:10" ht="75" customHeight="1">
      <c r="A74" s="7">
        <f ca="1">IFERROR(__xludf.DUMMYFUNCTION("""COMPUTED_VALUE"""),46063.6951567361)</f>
        <v>46063.695156736103</v>
      </c>
      <c r="B74" s="18" t="str">
        <f ca="1">IFERROR(__xludf.DUMMYFUNCTION("""COMPUTED_VALUE"""),"المعملجي")</f>
        <v>المعملجي</v>
      </c>
      <c r="C74" s="9" t="str">
        <f ca="1">IFERROR(__xludf.DUMMYFUNCTION("""COMPUTED_VALUE"""),"قسم التربية والتعليم العالي")</f>
        <v>قسم التربية والتعليم العالي</v>
      </c>
      <c r="D74" s="10" t="str">
        <f ca="1">IFERROR(__xludf.DUMMYFUNCTION("""COMPUTED_VALUE"""),"G- روضة الجود")</f>
        <v>G- روضة الجود</v>
      </c>
      <c r="E74" s="10" t="str">
        <f ca="1">IFERROR(__xludf.DUMMYFUNCTION("""COMPUTED_VALUE"""),"الطابق الارضي, صف الفرح")</f>
        <v>الطابق الارضي, صف الفرح</v>
      </c>
      <c r="F74" s="10" t="str">
        <f ca="1">IFERROR(__xludf.DUMMYFUNCTION("""COMPUTED_VALUE"""),"صيانه يدت شباك")</f>
        <v>صيانه يدت شباك</v>
      </c>
      <c r="G74" s="10"/>
      <c r="H74" s="10" t="str">
        <f ca="1">IFERROR(__xludf.DUMMYFUNCTION("""COMPUTED_VALUE"""),"مدني")</f>
        <v>مدني</v>
      </c>
      <c r="I74" s="12" t="str">
        <f ca="1">IFERROR(__xludf.DUMMYFUNCTION("""COMPUTED_VALUE"""),"منجز")</f>
        <v>منجز</v>
      </c>
      <c r="J74" s="19">
        <f ca="1">IFERROR(__xludf.DUMMYFUNCTION("""COMPUTED_VALUE"""),46064.527006956)</f>
        <v>46064.527006955999</v>
      </c>
    </row>
    <row r="75" spans="1:10" ht="75" customHeight="1">
      <c r="A75" s="7">
        <f ca="1">IFERROR(__xludf.DUMMYFUNCTION("""COMPUTED_VALUE"""),46063.6946818171)</f>
        <v>46063.694681817098</v>
      </c>
      <c r="B75" s="18" t="str">
        <f ca="1">IFERROR(__xludf.DUMMYFUNCTION("""COMPUTED_VALUE"""),"المعملجي")</f>
        <v>المعملجي</v>
      </c>
      <c r="C75" s="9" t="str">
        <f ca="1">IFERROR(__xludf.DUMMYFUNCTION("""COMPUTED_VALUE"""),"قسم التربية والتعليم العالي")</f>
        <v>قسم التربية والتعليم العالي</v>
      </c>
      <c r="D75" s="10" t="str">
        <f ca="1">IFERROR(__xludf.DUMMYFUNCTION("""COMPUTED_VALUE"""),"G- روضة الجود")</f>
        <v>G- روضة الجود</v>
      </c>
      <c r="E75" s="10" t="str">
        <f ca="1">IFERROR(__xludf.DUMMYFUNCTION("""COMPUTED_VALUE"""),"الطابق الاول")</f>
        <v>الطابق الاول</v>
      </c>
      <c r="F75" s="10" t="str">
        <f ca="1">IFERROR(__xludf.DUMMYFUNCTION("""COMPUTED_VALUE"""),"تعليق صوبه في الحانوت ")</f>
        <v xml:space="preserve">تعليق صوبه في الحانوت </v>
      </c>
      <c r="G75" s="10"/>
      <c r="H75" s="10" t="str">
        <f ca="1">IFERROR(__xludf.DUMMYFUNCTION("""COMPUTED_VALUE"""),"مدني")</f>
        <v>مدني</v>
      </c>
      <c r="I75" s="12" t="str">
        <f ca="1">IFERROR(__xludf.DUMMYFUNCTION("""COMPUTED_VALUE"""),"منجز")</f>
        <v>منجز</v>
      </c>
      <c r="J75" s="19">
        <f ca="1">IFERROR(__xludf.DUMMYFUNCTION("""COMPUTED_VALUE"""),46064.5270041435)</f>
        <v>46064.5270041435</v>
      </c>
    </row>
    <row r="76" spans="1:10" ht="75" customHeight="1">
      <c r="A76" s="7">
        <f ca="1">IFERROR(__xludf.DUMMYFUNCTION("""COMPUTED_VALUE"""),46060.5220296875)</f>
        <v>46060.522029687498</v>
      </c>
      <c r="B76" s="18" t="str">
        <f ca="1">IFERROR(__xludf.DUMMYFUNCTION("""COMPUTED_VALUE"""),"المعملجي")</f>
        <v>المعملجي</v>
      </c>
      <c r="C76" s="9" t="str">
        <f ca="1">IFERROR(__xludf.DUMMYFUNCTION("""COMPUTED_VALUE"""),"قسم التربية والتعليم العالي")</f>
        <v>قسم التربية والتعليم العالي</v>
      </c>
      <c r="D76" s="10" t="str">
        <f ca="1">IFERROR(__xludf.DUMMYFUNCTION("""COMPUTED_VALUE"""),"C- ثانوية العميد بناية الاعدادية  (الاولى)")</f>
        <v>C- ثانوية العميد بناية الاعدادية  (الاولى)</v>
      </c>
      <c r="E76" s="10" t="str">
        <f ca="1">IFERROR(__xludf.DUMMYFUNCTION("""COMPUTED_VALUE"""),"الطابق الاول")</f>
        <v>الطابق الاول</v>
      </c>
      <c r="F76" s="10" t="str">
        <f ca="1">IFERROR(__xludf.DUMMYFUNCTION("""COMPUTED_VALUE"""),"صيانة باب الصحيات الخارجي مقابيل الصف ")</f>
        <v xml:space="preserve">صيانة باب الصحيات الخارجي مقابيل الصف </v>
      </c>
      <c r="G76" s="10"/>
      <c r="H76" s="10" t="str">
        <f ca="1">IFERROR(__xludf.DUMMYFUNCTION("""COMPUTED_VALUE"""),"مدني")</f>
        <v>مدني</v>
      </c>
      <c r="I76" s="12" t="str">
        <f ca="1">IFERROR(__xludf.DUMMYFUNCTION("""COMPUTED_VALUE"""),"منجز")</f>
        <v>منجز</v>
      </c>
      <c r="J76" s="19">
        <f ca="1">IFERROR(__xludf.DUMMYFUNCTION("""COMPUTED_VALUE"""),46061.5696554282)</f>
        <v>46061.569655428197</v>
      </c>
    </row>
    <row r="77" spans="1:10" ht="75" customHeight="1">
      <c r="A77" s="7">
        <f ca="1">IFERROR(__xludf.DUMMYFUNCTION("""COMPUTED_VALUE"""),46060.5206197222)</f>
        <v>46060.5206197222</v>
      </c>
      <c r="B77" s="18" t="str">
        <f ca="1">IFERROR(__xludf.DUMMYFUNCTION("""COMPUTED_VALUE"""),"المعملجي")</f>
        <v>المعملجي</v>
      </c>
      <c r="C77" s="9" t="str">
        <f ca="1">IFERROR(__xludf.DUMMYFUNCTION("""COMPUTED_VALUE"""),"قسم التربية والتعليم العالي")</f>
        <v>قسم التربية والتعليم العالي</v>
      </c>
      <c r="D77" s="10" t="str">
        <f ca="1">IFERROR(__xludf.DUMMYFUNCTION("""COMPUTED_VALUE"""),"C- ثانوية العميد بناية الاعدادية  (الاولى)")</f>
        <v>C- ثانوية العميد بناية الاعدادية  (الاولى)</v>
      </c>
      <c r="E77" s="10" t="str">
        <f ca="1">IFERROR(__xludf.DUMMYFUNCTION("""COMPUTED_VALUE"""),"الطابق الارضي")</f>
        <v>الطابق الارضي</v>
      </c>
      <c r="F77" s="10" t="str">
        <f ca="1">IFERROR(__xludf.DUMMYFUNCTION("""COMPUTED_VALUE"""),"صيانة باب الالمنيوم غرفة المدرسات ")</f>
        <v xml:space="preserve">صيانة باب الالمنيوم غرفة المدرسات </v>
      </c>
      <c r="G77" s="10"/>
      <c r="H77" s="10" t="str">
        <f ca="1">IFERROR(__xludf.DUMMYFUNCTION("""COMPUTED_VALUE"""),"مدني")</f>
        <v>مدني</v>
      </c>
      <c r="I77" s="12" t="str">
        <f ca="1">IFERROR(__xludf.DUMMYFUNCTION("""COMPUTED_VALUE"""),"منجز")</f>
        <v>منجز</v>
      </c>
      <c r="J77" s="19">
        <f ca="1">IFERROR(__xludf.DUMMYFUNCTION("""COMPUTED_VALUE"""),46062.5823221296)</f>
        <v>46062.582322129601</v>
      </c>
    </row>
    <row r="78" spans="1:10" ht="75" customHeight="1">
      <c r="A78" s="7">
        <f ca="1">IFERROR(__xludf.DUMMYFUNCTION("""COMPUTED_VALUE"""),46060.5198335879)</f>
        <v>46060.519833587903</v>
      </c>
      <c r="B78" s="18" t="str">
        <f ca="1">IFERROR(__xludf.DUMMYFUNCTION("""COMPUTED_VALUE"""),"المعملجي")</f>
        <v>المعملجي</v>
      </c>
      <c r="C78" s="9" t="str">
        <f ca="1">IFERROR(__xludf.DUMMYFUNCTION("""COMPUTED_VALUE"""),"قسم التربية والتعليم العالي")</f>
        <v>قسم التربية والتعليم العالي</v>
      </c>
      <c r="D78" s="10" t="str">
        <f ca="1">IFERROR(__xludf.DUMMYFUNCTION("""COMPUTED_VALUE"""),"C- ثانوية العميد بناية الاعدادية  (الاولى)")</f>
        <v>C- ثانوية العميد بناية الاعدادية  (الاولى)</v>
      </c>
      <c r="E78" s="10" t="str">
        <f ca="1">IFERROR(__xludf.DUMMYFUNCTION("""COMPUTED_VALUE"""),"جناح الساحة ZONE B")</f>
        <v>جناح الساحة ZONE B</v>
      </c>
      <c r="F78" s="10" t="str">
        <f ca="1">IFERROR(__xludf.DUMMYFUNCTION("""COMPUTED_VALUE"""),"احتياج مفتاح الباب باب مخزن")</f>
        <v>احتياج مفتاح الباب باب مخزن</v>
      </c>
      <c r="G78" s="10"/>
      <c r="H78" s="10" t="str">
        <f ca="1">IFERROR(__xludf.DUMMYFUNCTION("""COMPUTED_VALUE"""),"مدني")</f>
        <v>مدني</v>
      </c>
      <c r="I78" s="12" t="str">
        <f ca="1">IFERROR(__xludf.DUMMYFUNCTION("""COMPUTED_VALUE"""),"منجز")</f>
        <v>منجز</v>
      </c>
      <c r="J78" s="19">
        <f ca="1">IFERROR(__xludf.DUMMYFUNCTION("""COMPUTED_VALUE"""),46061.5691564467)</f>
        <v>46061.569156446698</v>
      </c>
    </row>
    <row r="79" spans="1:10" ht="75" customHeight="1">
      <c r="A79" s="7">
        <f ca="1">IFERROR(__xludf.DUMMYFUNCTION("""COMPUTED_VALUE"""),46060.5191751157)</f>
        <v>46060.519175115704</v>
      </c>
      <c r="B79" s="18" t="str">
        <f ca="1">IFERROR(__xludf.DUMMYFUNCTION("""COMPUTED_VALUE"""),"المعملجي")</f>
        <v>المعملجي</v>
      </c>
      <c r="C79" s="9" t="str">
        <f ca="1">IFERROR(__xludf.DUMMYFUNCTION("""COMPUTED_VALUE"""),"قسم التربية والتعليم العالي")</f>
        <v>قسم التربية والتعليم العالي</v>
      </c>
      <c r="D79" s="10" t="str">
        <f ca="1">IFERROR(__xludf.DUMMYFUNCTION("""COMPUTED_VALUE"""),"C- ثانوية العميد بناية الاعدادية  (الاولى)")</f>
        <v>C- ثانوية العميد بناية الاعدادية  (الاولى)</v>
      </c>
      <c r="E79" s="10" t="str">
        <f ca="1">IFERROR(__xludf.DUMMYFUNCTION("""COMPUTED_VALUE"""),"الطابق الارضي")</f>
        <v>الطابق الارضي</v>
      </c>
      <c r="F79" s="10" t="str">
        <f ca="1">IFERROR(__xludf.DUMMYFUNCTION("""COMPUTED_VALUE"""),"تركيب ستائر في الاستعلامات ")</f>
        <v xml:space="preserve">تركيب ستائر في الاستعلامات </v>
      </c>
      <c r="G79" s="10"/>
      <c r="H79" s="10" t="str">
        <f ca="1">IFERROR(__xludf.DUMMYFUNCTION("""COMPUTED_VALUE"""),"مدني")</f>
        <v>مدني</v>
      </c>
      <c r="I79" s="12" t="str">
        <f ca="1">IFERROR(__xludf.DUMMYFUNCTION("""COMPUTED_VALUE"""),"منجز")</f>
        <v>منجز</v>
      </c>
      <c r="J79" s="19">
        <f ca="1">IFERROR(__xludf.DUMMYFUNCTION("""COMPUTED_VALUE"""),46061.5691326388)</f>
        <v>46061.569132638797</v>
      </c>
    </row>
    <row r="80" spans="1:10" ht="75" customHeight="1">
      <c r="A80" s="7">
        <f ca="1">IFERROR(__xludf.DUMMYFUNCTION("""COMPUTED_VALUE"""),46060.3997686226)</f>
        <v>46060.399768622599</v>
      </c>
      <c r="B80" s="18" t="str">
        <f ca="1">IFERROR(__xludf.DUMMYFUNCTION("""COMPUTED_VALUE"""),"المعملجي")</f>
        <v>المعملجي</v>
      </c>
      <c r="C80" s="9" t="str">
        <f ca="1">IFERROR(__xludf.DUMMYFUNCTION("""COMPUTED_VALUE"""),"قسم التربية والتعليم العالي")</f>
        <v>قسم التربية والتعليم العالي</v>
      </c>
      <c r="D80" s="10" t="str">
        <f ca="1">IFERROR(__xludf.DUMMYFUNCTION("""COMPUTED_VALUE"""),"H- ابتدائية القمر للبنات (الخامسة)")</f>
        <v>H- ابتدائية القمر للبنات (الخامسة)</v>
      </c>
      <c r="E80" s="10" t="str">
        <f ca="1">IFERROR(__xludf.DUMMYFUNCTION("""COMPUTED_VALUE"""),"جناح الساحة ZONE B")</f>
        <v>جناح الساحة ZONE B</v>
      </c>
      <c r="F80" s="10" t="str">
        <f ca="1">IFERROR(__xludf.DUMMYFUNCTION("""COMPUTED_VALUE"""),"صيانة باب الالمنيوم المطلة على الساحة المستطيلة ")</f>
        <v xml:space="preserve">صيانة باب الالمنيوم المطلة على الساحة المستطيلة </v>
      </c>
      <c r="G80" s="10"/>
      <c r="H80" s="10" t="str">
        <f ca="1">IFERROR(__xludf.DUMMYFUNCTION("""COMPUTED_VALUE"""),"مدني")</f>
        <v>مدني</v>
      </c>
      <c r="I80" s="12" t="str">
        <f ca="1">IFERROR(__xludf.DUMMYFUNCTION("""COMPUTED_VALUE"""),"منجز")</f>
        <v>منجز</v>
      </c>
      <c r="J80" s="19">
        <f ca="1">IFERROR(__xludf.DUMMYFUNCTION("""COMPUTED_VALUE"""),46062.5823601967)</f>
        <v>46062.582360196699</v>
      </c>
    </row>
    <row r="81" spans="1:10" ht="75" customHeight="1">
      <c r="A81" s="7">
        <f ca="1">IFERROR(__xludf.DUMMYFUNCTION("""COMPUTED_VALUE"""),46058.5713325694)</f>
        <v>46058.571332569401</v>
      </c>
      <c r="B81" s="18" t="str">
        <f ca="1">IFERROR(__xludf.DUMMYFUNCTION("""COMPUTED_VALUE"""),"المعملجي")</f>
        <v>المعملجي</v>
      </c>
      <c r="C81" s="9" t="str">
        <f ca="1">IFERROR(__xludf.DUMMYFUNCTION("""COMPUTED_VALUE"""),"قسم المشاريع الهندسية")</f>
        <v>قسم المشاريع الهندسية</v>
      </c>
      <c r="D81" s="10" t="str">
        <f ca="1">IFERROR(__xludf.DUMMYFUNCTION("""COMPUTED_VALUE"""),"D- ثانوية العميد بناية المتوسطة  (الثانية)")</f>
        <v>D- ثانوية العميد بناية المتوسطة  (الثانية)</v>
      </c>
      <c r="E81" s="10" t="str">
        <f ca="1">IFERROR(__xludf.DUMMYFUNCTION("""COMPUTED_VALUE"""),"الطابق الاول, جناح الساحة ZONE B")</f>
        <v>الطابق الاول, جناح الساحة ZONE B</v>
      </c>
      <c r="F81" s="10" t="str">
        <f ca="1">IFERROR(__xludf.DUMMYFUNCTION("""COMPUTED_VALUE"""),"صيانة سقوف ثانوية ")</f>
        <v xml:space="preserve">صيانة سقوف ثانوية </v>
      </c>
      <c r="G81" s="10"/>
      <c r="H81" s="10" t="str">
        <f ca="1">IFERROR(__xludf.DUMMYFUNCTION("""COMPUTED_VALUE"""),"مدني")</f>
        <v>مدني</v>
      </c>
      <c r="I81" s="12" t="str">
        <f ca="1">IFERROR(__xludf.DUMMYFUNCTION("""COMPUTED_VALUE"""),"منجز")</f>
        <v>منجز</v>
      </c>
      <c r="J81" s="19"/>
    </row>
    <row r="82" spans="1:10" ht="75" customHeight="1">
      <c r="A82" s="7">
        <f ca="1">IFERROR(__xludf.DUMMYFUNCTION("""COMPUTED_VALUE"""),46058.5707481944)</f>
        <v>46058.570748194397</v>
      </c>
      <c r="B82" s="18" t="str">
        <f ca="1">IFERROR(__xludf.DUMMYFUNCTION("""COMPUTED_VALUE"""),"المعملجي")</f>
        <v>المعملجي</v>
      </c>
      <c r="C82" s="9" t="str">
        <f ca="1">IFERROR(__xludf.DUMMYFUNCTION("""COMPUTED_VALUE"""),"قسم المشاريع الهندسية")</f>
        <v>قسم المشاريع الهندسية</v>
      </c>
      <c r="D82" s="10" t="str">
        <f ca="1">IFERROR(__xludf.DUMMYFUNCTION("""COMPUTED_VALUE"""),"C- ثانوية العميد بناية الاعدادية  (الاولى)")</f>
        <v>C- ثانوية العميد بناية الاعدادية  (الاولى)</v>
      </c>
      <c r="E82" s="10" t="str">
        <f ca="1">IFERROR(__xludf.DUMMYFUNCTION("""COMPUTED_VALUE"""),"الطابق الاول, جناح الساحة ZONE B")</f>
        <v>الطابق الاول, جناح الساحة ZONE B</v>
      </c>
      <c r="F82" s="10" t="str">
        <f ca="1">IFERROR(__xludf.DUMMYFUNCTION("""COMPUTED_VALUE"""),"صيانة سقوف ثانوية")</f>
        <v>صيانة سقوف ثانوية</v>
      </c>
      <c r="G82" s="10"/>
      <c r="H82" s="10" t="str">
        <f ca="1">IFERROR(__xludf.DUMMYFUNCTION("""COMPUTED_VALUE"""),"مدني")</f>
        <v>مدني</v>
      </c>
      <c r="I82" s="12" t="str">
        <f ca="1">IFERROR(__xludf.DUMMYFUNCTION("""COMPUTED_VALUE"""),"منجز")</f>
        <v>منجز</v>
      </c>
      <c r="J82" s="19"/>
    </row>
    <row r="83" spans="1:10" ht="75" customHeight="1">
      <c r="A83" s="7">
        <f ca="1">IFERROR(__xludf.DUMMYFUNCTION("""COMPUTED_VALUE"""),46058.5701079629)</f>
        <v>46058.5701079629</v>
      </c>
      <c r="B83" s="18" t="str">
        <f ca="1">IFERROR(__xludf.DUMMYFUNCTION("""COMPUTED_VALUE"""),"المعملجي")</f>
        <v>المعملجي</v>
      </c>
      <c r="C83" s="9" t="str">
        <f ca="1">IFERROR(__xludf.DUMMYFUNCTION("""COMPUTED_VALUE"""),"قسم المشاريع الهندسية")</f>
        <v>قسم المشاريع الهندسية</v>
      </c>
      <c r="D83" s="10" t="str">
        <f ca="1">IFERROR(__xludf.DUMMYFUNCTION("""COMPUTED_VALUE"""),"C- ثانوية العميد بناية الاعدادية  (الاولى)")</f>
        <v>C- ثانوية العميد بناية الاعدادية  (الاولى)</v>
      </c>
      <c r="E83" s="10" t="str">
        <f ca="1">IFERROR(__xludf.DUMMYFUNCTION("""COMPUTED_VALUE"""),"الطابق الارضي, جناح الساحة ZONE B")</f>
        <v>الطابق الارضي, جناح الساحة ZONE B</v>
      </c>
      <c r="F83" s="10" t="str">
        <f ca="1">IFERROR(__xludf.DUMMYFUNCTION("""COMPUTED_VALUE"""),"صيانة باب المنيوم ")</f>
        <v xml:space="preserve">صيانة باب المنيوم </v>
      </c>
      <c r="G83" s="10"/>
      <c r="H83" s="10" t="str">
        <f ca="1">IFERROR(__xludf.DUMMYFUNCTION("""COMPUTED_VALUE"""),"مدني")</f>
        <v>مدني</v>
      </c>
      <c r="I83" s="12" t="str">
        <f ca="1">IFERROR(__xludf.DUMMYFUNCTION("""COMPUTED_VALUE"""),"منجز")</f>
        <v>منجز</v>
      </c>
      <c r="J83" s="19"/>
    </row>
    <row r="84" spans="1:10" ht="75" customHeight="1">
      <c r="A84" s="7">
        <f ca="1">IFERROR(__xludf.DUMMYFUNCTION("""COMPUTED_VALUE"""),46058.5696522106)</f>
        <v>46058.569652210601</v>
      </c>
      <c r="B84" s="18" t="str">
        <f ca="1">IFERROR(__xludf.DUMMYFUNCTION("""COMPUTED_VALUE"""),"المعملجي")</f>
        <v>المعملجي</v>
      </c>
      <c r="C84" s="9" t="str">
        <f ca="1">IFERROR(__xludf.DUMMYFUNCTION("""COMPUTED_VALUE"""),"قسم المشاريع الهندسية")</f>
        <v>قسم المشاريع الهندسية</v>
      </c>
      <c r="D84" s="10" t="str">
        <f ca="1">IFERROR(__xludf.DUMMYFUNCTION("""COMPUTED_VALUE"""),"D- ثانوية العميد بناية المتوسطة  (الثانية)")</f>
        <v>D- ثانوية العميد بناية المتوسطة  (الثانية)</v>
      </c>
      <c r="E84" s="10" t="str">
        <f ca="1">IFERROR(__xludf.DUMMYFUNCTION("""COMPUTED_VALUE"""),"الطابق الاول, جناح الساحة ZONE B")</f>
        <v>الطابق الاول, جناح الساحة ZONE B</v>
      </c>
      <c r="F84" s="10" t="str">
        <f ca="1">IFERROR(__xludf.DUMMYFUNCTION("""COMPUTED_VALUE"""),"صيانة باب المنيوم ")</f>
        <v xml:space="preserve">صيانة باب المنيوم </v>
      </c>
      <c r="G84" s="10"/>
      <c r="H84" s="10" t="str">
        <f ca="1">IFERROR(__xludf.DUMMYFUNCTION("""COMPUTED_VALUE"""),"مدني")</f>
        <v>مدني</v>
      </c>
      <c r="I84" s="12" t="str">
        <f ca="1">IFERROR(__xludf.DUMMYFUNCTION("""COMPUTED_VALUE"""),"منجز")</f>
        <v>منجز</v>
      </c>
      <c r="J84" s="19"/>
    </row>
    <row r="85" spans="1:10" ht="75" customHeight="1">
      <c r="A85" s="7">
        <f ca="1">IFERROR(__xludf.DUMMYFUNCTION("""COMPUTED_VALUE"""),46058.5679880324)</f>
        <v>46058.567988032402</v>
      </c>
      <c r="B85" s="18" t="str">
        <f ca="1">IFERROR(__xludf.DUMMYFUNCTION("""COMPUTED_VALUE"""),"المعملجي")</f>
        <v>المعملجي</v>
      </c>
      <c r="C85" s="9" t="str">
        <f ca="1">IFERROR(__xludf.DUMMYFUNCTION("""COMPUTED_VALUE"""),"قسم التربية والتعليم العالي")</f>
        <v>قسم التربية والتعليم العالي</v>
      </c>
      <c r="D85" s="10" t="str">
        <f ca="1">IFERROR(__xludf.DUMMYFUNCTION("""COMPUTED_VALUE"""),"النافوره ")</f>
        <v xml:space="preserve">النافوره </v>
      </c>
      <c r="E85" s="10" t="str">
        <f ca="1">IFERROR(__xludf.DUMMYFUNCTION("""COMPUTED_VALUE"""),"الطابق الارضي")</f>
        <v>الطابق الارضي</v>
      </c>
      <c r="F85" s="10" t="str">
        <f ca="1">IFERROR(__xludf.DUMMYFUNCTION("""COMPUTED_VALUE"""),"صبغ أساس وصبغ نهائي لرصيف حديقة النافورة الداخلي")</f>
        <v>صبغ أساس وصبغ نهائي لرصيف حديقة النافورة الداخلي</v>
      </c>
      <c r="G85" s="10"/>
      <c r="H85" s="10" t="str">
        <f ca="1">IFERROR(__xludf.DUMMYFUNCTION("""COMPUTED_VALUE"""),"مدني")</f>
        <v>مدني</v>
      </c>
      <c r="I85" s="12" t="str">
        <f ca="1">IFERROR(__xludf.DUMMYFUNCTION("""COMPUTED_VALUE"""),"منجز")</f>
        <v>منجز</v>
      </c>
      <c r="J85" s="19"/>
    </row>
    <row r="86" spans="1:10" ht="75" customHeight="1">
      <c r="A86" s="7">
        <f ca="1">IFERROR(__xludf.DUMMYFUNCTION("""COMPUTED_VALUE"""),46058.5673067476)</f>
        <v>46058.567306747602</v>
      </c>
      <c r="B86" s="18" t="str">
        <f ca="1">IFERROR(__xludf.DUMMYFUNCTION("""COMPUTED_VALUE"""),"المعملجي")</f>
        <v>المعملجي</v>
      </c>
      <c r="C86" s="9" t="str">
        <f ca="1">IFERROR(__xludf.DUMMYFUNCTION("""COMPUTED_VALUE"""),"قسم التربية والتعليم العالي")</f>
        <v>قسم التربية والتعليم العالي</v>
      </c>
      <c r="D86" s="10" t="str">
        <f ca="1">IFERROR(__xludf.DUMMYFUNCTION("""COMPUTED_VALUE"""),"النافورة")</f>
        <v>النافورة</v>
      </c>
      <c r="E86" s="10" t="str">
        <f ca="1">IFERROR(__xludf.DUMMYFUNCTION("""COMPUTED_VALUE"""),"الطابق الارضي")</f>
        <v>الطابق الارضي</v>
      </c>
      <c r="F86" s="10" t="str">
        <f ca="1">IFERROR(__xludf.DUMMYFUNCTION("""COMPUTED_VALUE"""),"صبغ أساس وصبغ نهائي لاعمدة محيط النافورة")</f>
        <v>صبغ أساس وصبغ نهائي لاعمدة محيط النافورة</v>
      </c>
      <c r="G86" s="10"/>
      <c r="H86" s="10" t="str">
        <f ca="1">IFERROR(__xludf.DUMMYFUNCTION("""COMPUTED_VALUE"""),"مدني")</f>
        <v>مدني</v>
      </c>
      <c r="I86" s="12" t="str">
        <f ca="1">IFERROR(__xludf.DUMMYFUNCTION("""COMPUTED_VALUE"""),"منجز")</f>
        <v>منجز</v>
      </c>
      <c r="J86" s="19"/>
    </row>
    <row r="87" spans="1:10" ht="75" customHeight="1">
      <c r="A87" s="7">
        <f ca="1">IFERROR(__xludf.DUMMYFUNCTION("""COMPUTED_VALUE"""),46058.5664958333)</f>
        <v>46058.5664958333</v>
      </c>
      <c r="B87" s="18" t="str">
        <f ca="1">IFERROR(__xludf.DUMMYFUNCTION("""COMPUTED_VALUE"""),"المعملجي")</f>
        <v>المعملجي</v>
      </c>
      <c r="C87" s="9" t="str">
        <f ca="1">IFERROR(__xludf.DUMMYFUNCTION("""COMPUTED_VALUE"""),"قسم التربية والتعليم العالي")</f>
        <v>قسم التربية والتعليم العالي</v>
      </c>
      <c r="D87" s="10" t="str">
        <f ca="1">IFERROR(__xludf.DUMMYFUNCTION("""COMPUTED_VALUE"""),"النافورة")</f>
        <v>النافورة</v>
      </c>
      <c r="E87" s="10" t="str">
        <f ca="1">IFERROR(__xludf.DUMMYFUNCTION("""COMPUTED_VALUE"""),"الطابق الارضي")</f>
        <v>الطابق الارضي</v>
      </c>
      <c r="F87" s="10" t="str">
        <f ca="1">IFERROR(__xludf.DUMMYFUNCTION("""COMPUTED_VALUE"""),"صبغ أساس وصبغ نهائي لرصيف النافورة الخارجي")</f>
        <v>صبغ أساس وصبغ نهائي لرصيف النافورة الخارجي</v>
      </c>
      <c r="G87" s="10"/>
      <c r="H87" s="10" t="str">
        <f ca="1">IFERROR(__xludf.DUMMYFUNCTION("""COMPUTED_VALUE"""),"مدني")</f>
        <v>مدني</v>
      </c>
      <c r="I87" s="12" t="str">
        <f ca="1">IFERROR(__xludf.DUMMYFUNCTION("""COMPUTED_VALUE"""),"منجز")</f>
        <v>منجز</v>
      </c>
      <c r="J87" s="19"/>
    </row>
    <row r="88" spans="1:10" ht="75" customHeight="1">
      <c r="A88" s="7">
        <f ca="1">IFERROR(__xludf.DUMMYFUNCTION("""COMPUTED_VALUE"""),46058.565694074)</f>
        <v>46058.565694074001</v>
      </c>
      <c r="B88" s="18" t="str">
        <f ca="1">IFERROR(__xludf.DUMMYFUNCTION("""COMPUTED_VALUE"""),"المعملجي")</f>
        <v>المعملجي</v>
      </c>
      <c r="C88" s="9" t="str">
        <f ca="1">IFERROR(__xludf.DUMMYFUNCTION("""COMPUTED_VALUE"""),"قسم التربية والتعليم العالي")</f>
        <v>قسم التربية والتعليم العالي</v>
      </c>
      <c r="D88" s="10" t="str">
        <f ca="1">IFERROR(__xludf.DUMMYFUNCTION("""COMPUTED_VALUE"""),"النافورة ")</f>
        <v xml:space="preserve">النافورة </v>
      </c>
      <c r="E88" s="10" t="str">
        <f ca="1">IFERROR(__xludf.DUMMYFUNCTION("""COMPUTED_VALUE"""),"الطابق الارضي")</f>
        <v>الطابق الارضي</v>
      </c>
      <c r="F88" s="10" t="str">
        <f ca="1">IFERROR(__xludf.DUMMYFUNCTION("""COMPUTED_VALUE"""),"معالجة الرصيف الداخلي لحديقة النافورة")</f>
        <v>معالجة الرصيف الداخلي لحديقة النافورة</v>
      </c>
      <c r="G88" s="10"/>
      <c r="H88" s="10" t="str">
        <f ca="1">IFERROR(__xludf.DUMMYFUNCTION("""COMPUTED_VALUE"""),"مدني")</f>
        <v>مدني</v>
      </c>
      <c r="I88" s="12" t="str">
        <f ca="1">IFERROR(__xludf.DUMMYFUNCTION("""COMPUTED_VALUE"""),"منجز")</f>
        <v>منجز</v>
      </c>
      <c r="J88" s="19"/>
    </row>
    <row r="89" spans="1:10" ht="75" customHeight="1">
      <c r="A89" s="7">
        <f ca="1">IFERROR(__xludf.DUMMYFUNCTION("""COMPUTED_VALUE"""),46058.5649495833)</f>
        <v>46058.564949583299</v>
      </c>
      <c r="B89" s="18" t="str">
        <f ca="1">IFERROR(__xludf.DUMMYFUNCTION("""COMPUTED_VALUE"""),"المعملجي")</f>
        <v>المعملجي</v>
      </c>
      <c r="C89" s="9" t="str">
        <f ca="1">IFERROR(__xludf.DUMMYFUNCTION("""COMPUTED_VALUE"""),"قسم التربية والتعليم العالي")</f>
        <v>قسم التربية والتعليم العالي</v>
      </c>
      <c r="D89" s="10" t="str">
        <f ca="1">IFERROR(__xludf.DUMMYFUNCTION("""COMPUTED_VALUE"""),"النافورة")</f>
        <v>النافورة</v>
      </c>
      <c r="E89" s="10" t="str">
        <f ca="1">IFERROR(__xludf.DUMMYFUNCTION("""COMPUTED_VALUE"""),"الطابق الارضي")</f>
        <v>الطابق الارضي</v>
      </c>
      <c r="F89" s="10" t="str">
        <f ca="1">IFERROR(__xludf.DUMMYFUNCTION("""COMPUTED_VALUE"""),"معالجة وسنفرة أعمدة الانارة محيط النافورة")</f>
        <v>معالجة وسنفرة أعمدة الانارة محيط النافورة</v>
      </c>
      <c r="G89" s="10"/>
      <c r="H89" s="10" t="str">
        <f ca="1">IFERROR(__xludf.DUMMYFUNCTION("""COMPUTED_VALUE"""),"مدني")</f>
        <v>مدني</v>
      </c>
      <c r="I89" s="12" t="str">
        <f ca="1">IFERROR(__xludf.DUMMYFUNCTION("""COMPUTED_VALUE"""),"منجز")</f>
        <v>منجز</v>
      </c>
      <c r="J89" s="19"/>
    </row>
    <row r="90" spans="1:10" ht="75" customHeight="1">
      <c r="A90" s="7">
        <f ca="1">IFERROR(__xludf.DUMMYFUNCTION("""COMPUTED_VALUE"""),46058.5639268865)</f>
        <v>46058.563926886498</v>
      </c>
      <c r="B90" s="18" t="str">
        <f ca="1">IFERROR(__xludf.DUMMYFUNCTION("""COMPUTED_VALUE"""),"المعملجي")</f>
        <v>المعملجي</v>
      </c>
      <c r="C90" s="9" t="str">
        <f ca="1">IFERROR(__xludf.DUMMYFUNCTION("""COMPUTED_VALUE"""),"قسم التربية والتعليم العالي")</f>
        <v>قسم التربية والتعليم العالي</v>
      </c>
      <c r="D90" s="10" t="str">
        <f ca="1">IFERROR(__xludf.DUMMYFUNCTION("""COMPUTED_VALUE"""),"النافورة")</f>
        <v>النافورة</v>
      </c>
      <c r="E90" s="10" t="str">
        <f ca="1">IFERROR(__xludf.DUMMYFUNCTION("""COMPUTED_VALUE"""),"الطابق الارضي")</f>
        <v>الطابق الارضي</v>
      </c>
      <c r="F90" s="10" t="str">
        <f ca="1">IFERROR(__xludf.DUMMYFUNCTION("""COMPUTED_VALUE"""),"معالجة وسنفرة الرصيف الخارجي للنافور")</f>
        <v>معالجة وسنفرة الرصيف الخارجي للنافور</v>
      </c>
      <c r="G90" s="10"/>
      <c r="H90" s="10" t="str">
        <f ca="1">IFERROR(__xludf.DUMMYFUNCTION("""COMPUTED_VALUE"""),"مدني")</f>
        <v>مدني</v>
      </c>
      <c r="I90" s="12" t="str">
        <f ca="1">IFERROR(__xludf.DUMMYFUNCTION("""COMPUTED_VALUE"""),"منجز")</f>
        <v>منجز</v>
      </c>
      <c r="J90" s="19"/>
    </row>
    <row r="91" spans="1:10" ht="75" customHeight="1">
      <c r="A91" s="7">
        <f ca="1">IFERROR(__xludf.DUMMYFUNCTION("""COMPUTED_VALUE"""),46056.3438253009)</f>
        <v>46056.343825300901</v>
      </c>
      <c r="B91" s="18" t="str">
        <f ca="1">IFERROR(__xludf.DUMMYFUNCTION("""COMPUTED_VALUE"""),"المعملجي")</f>
        <v>المعملجي</v>
      </c>
      <c r="C91" s="9" t="str">
        <f ca="1">IFERROR(__xludf.DUMMYFUNCTION("""COMPUTED_VALUE"""),"قسم التربية والتعليم العالي")</f>
        <v>قسم التربية والتعليم العالي</v>
      </c>
      <c r="D91" s="10" t="str">
        <f ca="1">IFERROR(__xludf.DUMMYFUNCTION("""COMPUTED_VALUE"""),"D- ثانوية العميد بناية المتوسطة  (الثانية)")</f>
        <v>D- ثانوية العميد بناية المتوسطة  (الثانية)</v>
      </c>
      <c r="E91" s="10" t="str">
        <f ca="1">IFERROR(__xludf.DUMMYFUNCTION("""COMPUTED_VALUE"""),"الطابق الارضي")</f>
        <v>الطابق الارضي</v>
      </c>
      <c r="F91" s="10" t="str">
        <f ca="1">IFERROR(__xludf.DUMMYFUNCTION("""COMPUTED_VALUE"""),"صيانة الباب الرئيسية ")</f>
        <v xml:space="preserve">صيانة الباب الرئيسية </v>
      </c>
      <c r="G91" s="10"/>
      <c r="H91" s="10" t="str">
        <f ca="1">IFERROR(__xludf.DUMMYFUNCTION("""COMPUTED_VALUE"""),"مدني")</f>
        <v>مدني</v>
      </c>
      <c r="I91" s="12" t="str">
        <f ca="1">IFERROR(__xludf.DUMMYFUNCTION("""COMPUTED_VALUE"""),"منجز")</f>
        <v>منجز</v>
      </c>
      <c r="J91" s="19">
        <f ca="1">IFERROR(__xludf.DUMMYFUNCTION("""COMPUTED_VALUE"""),46056.5596795949)</f>
        <v>46056.559679594902</v>
      </c>
    </row>
    <row r="92" spans="1:10" ht="75" customHeight="1">
      <c r="A92" s="7"/>
      <c r="B92" s="18"/>
      <c r="C92" s="9"/>
      <c r="D92" s="10"/>
      <c r="E92" s="10"/>
      <c r="F92" s="10"/>
      <c r="G92" s="10"/>
      <c r="H92" s="10"/>
      <c r="I92" s="12"/>
      <c r="J92" s="13"/>
    </row>
    <row r="93" spans="1:10" ht="75" customHeight="1">
      <c r="A93" s="7"/>
      <c r="B93" s="18"/>
      <c r="C93" s="9"/>
      <c r="D93" s="10"/>
      <c r="E93" s="10"/>
      <c r="F93" s="10"/>
      <c r="G93" s="10"/>
      <c r="H93" s="10"/>
      <c r="I93" s="12"/>
      <c r="J93" s="13"/>
    </row>
    <row r="94" spans="1:10" ht="75" customHeight="1">
      <c r="A94" s="7"/>
      <c r="B94" s="18"/>
      <c r="C94" s="9"/>
      <c r="D94" s="10"/>
      <c r="E94" s="10"/>
      <c r="F94" s="10"/>
      <c r="G94" s="10"/>
      <c r="H94" s="10"/>
      <c r="I94" s="12"/>
      <c r="J94" s="13"/>
    </row>
    <row r="95" spans="1:10" ht="75" customHeight="1">
      <c r="A95" s="7"/>
      <c r="B95" s="18"/>
      <c r="C95" s="9"/>
      <c r="D95" s="10"/>
      <c r="E95" s="10"/>
      <c r="F95" s="10"/>
      <c r="G95" s="10"/>
      <c r="H95" s="10"/>
      <c r="I95" s="12"/>
      <c r="J95" s="13"/>
    </row>
    <row r="96" spans="1:10" ht="75" customHeight="1">
      <c r="A96" s="7"/>
      <c r="B96" s="18"/>
      <c r="C96" s="9"/>
      <c r="D96" s="10"/>
      <c r="E96" s="10"/>
      <c r="F96" s="10"/>
      <c r="G96" s="10"/>
      <c r="H96" s="10"/>
      <c r="I96" s="12"/>
      <c r="J96" s="13"/>
    </row>
    <row r="97" spans="1:10" ht="75" customHeight="1">
      <c r="A97" s="7"/>
      <c r="B97" s="18"/>
      <c r="C97" s="9"/>
      <c r="D97" s="10"/>
      <c r="E97" s="10"/>
      <c r="F97" s="10"/>
      <c r="G97" s="10"/>
      <c r="H97" s="10"/>
      <c r="I97" s="12"/>
      <c r="J97" s="13"/>
    </row>
    <row r="98" spans="1:10" ht="75" customHeight="1">
      <c r="A98" s="7"/>
      <c r="B98" s="18"/>
      <c r="C98" s="9"/>
      <c r="D98" s="10"/>
      <c r="E98" s="10"/>
      <c r="F98" s="10"/>
      <c r="G98" s="10"/>
      <c r="H98" s="10"/>
      <c r="I98" s="12"/>
      <c r="J98" s="13"/>
    </row>
    <row r="99" spans="1:10" ht="75" customHeight="1">
      <c r="A99" s="7"/>
      <c r="B99" s="18"/>
      <c r="C99" s="9"/>
      <c r="D99" s="10"/>
      <c r="E99" s="10"/>
      <c r="F99" s="10"/>
      <c r="G99" s="10"/>
      <c r="H99" s="10"/>
      <c r="I99" s="12"/>
      <c r="J99" s="13"/>
    </row>
    <row r="100" spans="1:10" ht="75" customHeight="1">
      <c r="A100" s="7"/>
      <c r="B100" s="18"/>
      <c r="C100" s="9"/>
      <c r="D100" s="10"/>
      <c r="E100" s="10"/>
      <c r="F100" s="10"/>
      <c r="G100" s="10"/>
      <c r="H100" s="10"/>
      <c r="I100" s="12"/>
      <c r="J100" s="13"/>
    </row>
    <row r="101" spans="1:10" ht="75" customHeight="1">
      <c r="A101" s="7"/>
      <c r="B101" s="18"/>
      <c r="C101" s="9"/>
      <c r="D101" s="10"/>
      <c r="E101" s="10"/>
      <c r="F101" s="10"/>
      <c r="G101" s="10"/>
      <c r="H101" s="10"/>
      <c r="I101" s="12"/>
      <c r="J101" s="13"/>
    </row>
    <row r="102" spans="1:10" ht="75" customHeight="1">
      <c r="A102" s="7"/>
      <c r="B102" s="18"/>
      <c r="C102" s="9"/>
      <c r="D102" s="10"/>
      <c r="E102" s="10"/>
      <c r="F102" s="10"/>
      <c r="G102" s="10"/>
      <c r="H102" s="10"/>
      <c r="I102" s="12"/>
      <c r="J102" s="13"/>
    </row>
    <row r="103" spans="1:10" ht="75" customHeight="1">
      <c r="A103" s="7"/>
      <c r="B103" s="18"/>
      <c r="C103" s="9"/>
      <c r="D103" s="10"/>
      <c r="E103" s="10"/>
      <c r="F103" s="10"/>
      <c r="G103" s="10"/>
      <c r="H103" s="10"/>
      <c r="I103" s="12"/>
      <c r="J103" s="13"/>
    </row>
    <row r="104" spans="1:10" ht="75" customHeight="1">
      <c r="A104" s="7"/>
      <c r="B104" s="18"/>
      <c r="C104" s="9"/>
      <c r="D104" s="10"/>
      <c r="E104" s="10"/>
      <c r="F104" s="10"/>
      <c r="G104" s="10"/>
      <c r="H104" s="10"/>
      <c r="I104" s="12"/>
      <c r="J104" s="13"/>
    </row>
    <row r="105" spans="1:10" ht="75" customHeight="1">
      <c r="A105" s="7"/>
      <c r="B105" s="18"/>
      <c r="C105" s="9"/>
      <c r="D105" s="10"/>
      <c r="E105" s="10"/>
      <c r="F105" s="10"/>
      <c r="G105" s="10"/>
      <c r="H105" s="10"/>
      <c r="I105" s="12"/>
      <c r="J105" s="13"/>
    </row>
    <row r="106" spans="1:10" ht="75" customHeight="1">
      <c r="A106" s="7"/>
      <c r="B106" s="18"/>
      <c r="C106" s="9"/>
      <c r="D106" s="10"/>
      <c r="E106" s="10"/>
      <c r="F106" s="10"/>
      <c r="G106" s="10"/>
      <c r="H106" s="10"/>
      <c r="I106" s="12"/>
      <c r="J106" s="13"/>
    </row>
    <row r="107" spans="1:10" ht="75" customHeight="1">
      <c r="A107" s="7"/>
      <c r="B107" s="18"/>
      <c r="C107" s="9"/>
      <c r="D107" s="10"/>
      <c r="E107" s="10"/>
      <c r="F107" s="10"/>
      <c r="G107" s="10"/>
      <c r="H107" s="10"/>
      <c r="I107" s="12"/>
      <c r="J107" s="13"/>
    </row>
    <row r="108" spans="1:10" ht="75" customHeight="1">
      <c r="A108" s="7"/>
      <c r="B108" s="18"/>
      <c r="C108" s="9"/>
      <c r="D108" s="10"/>
      <c r="E108" s="10"/>
      <c r="F108" s="10"/>
      <c r="G108" s="10"/>
      <c r="H108" s="10"/>
      <c r="I108" s="12"/>
      <c r="J108" s="13"/>
    </row>
    <row r="109" spans="1:10" ht="75" customHeight="1">
      <c r="A109" s="7"/>
      <c r="B109" s="18"/>
      <c r="C109" s="9"/>
      <c r="D109" s="10"/>
      <c r="E109" s="10"/>
      <c r="F109" s="10"/>
      <c r="G109" s="10"/>
      <c r="H109" s="10"/>
      <c r="I109" s="12"/>
      <c r="J109" s="13"/>
    </row>
    <row r="110" spans="1:10" ht="75" customHeight="1">
      <c r="A110" s="7"/>
      <c r="B110" s="18"/>
      <c r="C110" s="9"/>
      <c r="D110" s="10"/>
      <c r="E110" s="10"/>
      <c r="F110" s="10"/>
      <c r="G110" s="10"/>
      <c r="H110" s="10"/>
      <c r="I110" s="12"/>
      <c r="J110" s="13"/>
    </row>
    <row r="111" spans="1:10" ht="75" customHeight="1">
      <c r="A111" s="7"/>
      <c r="B111" s="18"/>
      <c r="C111" s="9"/>
      <c r="D111" s="10"/>
      <c r="E111" s="10"/>
      <c r="F111" s="10"/>
      <c r="G111" s="10"/>
      <c r="H111" s="10"/>
      <c r="I111" s="12"/>
      <c r="J111" s="13"/>
    </row>
    <row r="112" spans="1:10" ht="75" customHeight="1">
      <c r="A112" s="7"/>
      <c r="B112" s="18"/>
      <c r="C112" s="9"/>
      <c r="D112" s="10"/>
      <c r="E112" s="10"/>
      <c r="F112" s="10"/>
      <c r="G112" s="10"/>
      <c r="H112" s="10"/>
      <c r="I112" s="12"/>
      <c r="J112" s="13"/>
    </row>
    <row r="113" spans="1:10" ht="75" customHeight="1">
      <c r="A113" s="7"/>
      <c r="B113" s="18"/>
      <c r="C113" s="9"/>
      <c r="D113" s="10"/>
      <c r="E113" s="10"/>
      <c r="F113" s="10"/>
      <c r="G113" s="10"/>
      <c r="H113" s="10"/>
      <c r="I113" s="12"/>
      <c r="J113" s="13"/>
    </row>
    <row r="114" spans="1:10" ht="75" customHeight="1">
      <c r="A114" s="7"/>
      <c r="B114" s="18"/>
      <c r="C114" s="9"/>
      <c r="D114" s="10"/>
      <c r="E114" s="10"/>
      <c r="F114" s="10"/>
      <c r="G114" s="10"/>
      <c r="H114" s="10"/>
      <c r="I114" s="12"/>
      <c r="J114" s="13"/>
    </row>
    <row r="115" spans="1:10" ht="75" customHeight="1">
      <c r="A115" s="7"/>
      <c r="B115" s="18"/>
      <c r="C115" s="9"/>
      <c r="D115" s="10"/>
      <c r="E115" s="10"/>
      <c r="F115" s="10"/>
      <c r="G115" s="10"/>
      <c r="H115" s="10"/>
      <c r="I115" s="12"/>
      <c r="J115" s="13"/>
    </row>
    <row r="116" spans="1:10" ht="75" customHeight="1">
      <c r="A116" s="7"/>
      <c r="B116" s="18"/>
      <c r="C116" s="9"/>
      <c r="D116" s="10"/>
      <c r="E116" s="10"/>
      <c r="F116" s="10"/>
      <c r="G116" s="10"/>
      <c r="H116" s="10"/>
      <c r="I116" s="12"/>
      <c r="J116" s="13"/>
    </row>
    <row r="117" spans="1:10" ht="75" customHeight="1">
      <c r="A117" s="7"/>
      <c r="B117" s="18"/>
      <c r="C117" s="9"/>
      <c r="D117" s="10"/>
      <c r="E117" s="10"/>
      <c r="F117" s="10"/>
      <c r="G117" s="10"/>
      <c r="H117" s="10"/>
      <c r="I117" s="12"/>
      <c r="J117" s="13"/>
    </row>
    <row r="118" spans="1:10" ht="75" customHeight="1">
      <c r="A118" s="7"/>
      <c r="B118" s="18"/>
      <c r="C118" s="9"/>
      <c r="D118" s="10"/>
      <c r="E118" s="10"/>
      <c r="F118" s="10"/>
      <c r="G118" s="10"/>
      <c r="H118" s="10"/>
      <c r="I118" s="12"/>
      <c r="J118" s="13"/>
    </row>
    <row r="119" spans="1:10" ht="75" customHeight="1">
      <c r="A119" s="7"/>
      <c r="B119" s="18"/>
      <c r="C119" s="9"/>
      <c r="D119" s="10"/>
      <c r="E119" s="10"/>
      <c r="F119" s="10"/>
      <c r="G119" s="10"/>
      <c r="H119" s="10"/>
      <c r="I119" s="12"/>
      <c r="J119" s="13"/>
    </row>
    <row r="120" spans="1:10" ht="75" customHeight="1">
      <c r="A120" s="7"/>
      <c r="B120" s="18"/>
      <c r="C120" s="9"/>
      <c r="D120" s="10"/>
      <c r="E120" s="10"/>
      <c r="F120" s="10"/>
      <c r="G120" s="10"/>
      <c r="H120" s="10"/>
      <c r="I120" s="12"/>
      <c r="J120" s="13"/>
    </row>
    <row r="121" spans="1:10" ht="75" customHeight="1">
      <c r="A121" s="7"/>
      <c r="B121" s="18"/>
      <c r="C121" s="9"/>
      <c r="D121" s="10"/>
      <c r="E121" s="10"/>
      <c r="F121" s="10"/>
      <c r="G121" s="10"/>
      <c r="H121" s="10"/>
      <c r="I121" s="12"/>
      <c r="J121" s="13"/>
    </row>
    <row r="122" spans="1:10" ht="75" customHeight="1">
      <c r="A122" s="7"/>
      <c r="B122" s="18"/>
      <c r="C122" s="9"/>
      <c r="D122" s="10"/>
      <c r="E122" s="10"/>
      <c r="F122" s="10"/>
      <c r="G122" s="10"/>
      <c r="H122" s="10"/>
      <c r="I122" s="12"/>
      <c r="J122" s="13"/>
    </row>
    <row r="123" spans="1:10" ht="75" customHeight="1">
      <c r="A123" s="7"/>
      <c r="B123" s="18"/>
      <c r="C123" s="9"/>
      <c r="D123" s="10"/>
      <c r="E123" s="10"/>
      <c r="F123" s="10"/>
      <c r="G123" s="10"/>
      <c r="H123" s="10"/>
      <c r="I123" s="12"/>
      <c r="J123" s="13"/>
    </row>
    <row r="124" spans="1:10" ht="75" customHeight="1">
      <c r="A124" s="7"/>
      <c r="B124" s="18"/>
      <c r="C124" s="9"/>
      <c r="D124" s="10"/>
      <c r="E124" s="10"/>
      <c r="F124" s="10"/>
      <c r="G124" s="10"/>
      <c r="H124" s="10"/>
      <c r="I124" s="12"/>
      <c r="J124" s="13"/>
    </row>
    <row r="125" spans="1:10" ht="75" customHeight="1">
      <c r="A125" s="7"/>
      <c r="B125" s="18"/>
      <c r="C125" s="9"/>
      <c r="D125" s="10"/>
      <c r="E125" s="10"/>
      <c r="F125" s="10"/>
      <c r="G125" s="10"/>
      <c r="H125" s="10"/>
      <c r="I125" s="12"/>
      <c r="J125" s="13"/>
    </row>
    <row r="126" spans="1:10" ht="75" customHeight="1">
      <c r="A126" s="7"/>
      <c r="B126" s="18"/>
      <c r="C126" s="9"/>
      <c r="D126" s="10"/>
      <c r="E126" s="10"/>
      <c r="F126" s="10"/>
      <c r="G126" s="10"/>
      <c r="H126" s="10"/>
      <c r="I126" s="12"/>
      <c r="J126" s="13"/>
    </row>
    <row r="127" spans="1:10" ht="75" customHeight="1">
      <c r="A127" s="7"/>
      <c r="B127" s="18"/>
      <c r="C127" s="9"/>
      <c r="D127" s="10"/>
      <c r="E127" s="10"/>
      <c r="F127" s="10"/>
      <c r="G127" s="10"/>
      <c r="H127" s="10"/>
      <c r="I127" s="12"/>
      <c r="J127" s="13"/>
    </row>
    <row r="128" spans="1:10" ht="75" customHeight="1">
      <c r="A128" s="7"/>
      <c r="B128" s="18"/>
      <c r="C128" s="9"/>
      <c r="D128" s="10"/>
      <c r="E128" s="10"/>
      <c r="F128" s="10"/>
      <c r="G128" s="10"/>
      <c r="H128" s="10"/>
      <c r="I128" s="12"/>
      <c r="J128" s="13"/>
    </row>
    <row r="129" spans="1:10" ht="75" customHeight="1">
      <c r="A129" s="7"/>
      <c r="B129" s="18"/>
      <c r="C129" s="9"/>
      <c r="D129" s="10"/>
      <c r="E129" s="10"/>
      <c r="F129" s="10"/>
      <c r="G129" s="10"/>
      <c r="H129" s="10"/>
      <c r="I129" s="12"/>
      <c r="J129" s="13"/>
    </row>
    <row r="130" spans="1:10" ht="75" customHeight="1">
      <c r="A130" s="7"/>
      <c r="B130" s="18"/>
      <c r="C130" s="9"/>
      <c r="D130" s="10"/>
      <c r="E130" s="10"/>
      <c r="F130" s="10"/>
      <c r="G130" s="10"/>
      <c r="H130" s="10"/>
      <c r="I130" s="12"/>
      <c r="J130" s="13"/>
    </row>
    <row r="131" spans="1:10" ht="75" customHeight="1">
      <c r="A131" s="7"/>
      <c r="B131" s="18"/>
      <c r="C131" s="9"/>
      <c r="D131" s="10"/>
      <c r="E131" s="10"/>
      <c r="F131" s="10"/>
      <c r="G131" s="10"/>
      <c r="H131" s="10"/>
      <c r="I131" s="12"/>
      <c r="J131" s="13"/>
    </row>
    <row r="132" spans="1:10" ht="75" customHeight="1">
      <c r="A132" s="7"/>
      <c r="B132" s="18"/>
      <c r="C132" s="9"/>
      <c r="D132" s="10"/>
      <c r="E132" s="10"/>
      <c r="F132" s="10"/>
      <c r="G132" s="10"/>
      <c r="H132" s="10"/>
      <c r="I132" s="12"/>
      <c r="J132" s="13"/>
    </row>
    <row r="133" spans="1:10" ht="75" customHeight="1">
      <c r="A133" s="7"/>
      <c r="B133" s="18"/>
      <c r="C133" s="9"/>
      <c r="D133" s="10"/>
      <c r="E133" s="10"/>
      <c r="F133" s="10"/>
      <c r="G133" s="10"/>
      <c r="H133" s="10"/>
      <c r="I133" s="12"/>
      <c r="J133" s="13"/>
    </row>
    <row r="134" spans="1:10" ht="75" customHeight="1">
      <c r="A134" s="7"/>
      <c r="B134" s="18"/>
      <c r="C134" s="9"/>
      <c r="D134" s="10"/>
      <c r="E134" s="10"/>
      <c r="F134" s="10"/>
      <c r="G134" s="10"/>
      <c r="H134" s="10"/>
      <c r="I134" s="12"/>
      <c r="J134" s="13"/>
    </row>
    <row r="135" spans="1:10" ht="75" customHeight="1">
      <c r="A135" s="7"/>
      <c r="B135" s="18"/>
      <c r="C135" s="9"/>
      <c r="D135" s="10"/>
      <c r="E135" s="10"/>
      <c r="F135" s="10"/>
      <c r="G135" s="10"/>
      <c r="H135" s="10"/>
      <c r="I135" s="12"/>
      <c r="J135" s="13"/>
    </row>
    <row r="136" spans="1:10" ht="75" customHeight="1">
      <c r="A136" s="7"/>
      <c r="B136" s="18"/>
      <c r="C136" s="9"/>
      <c r="D136" s="10"/>
      <c r="E136" s="10"/>
      <c r="F136" s="10"/>
      <c r="G136" s="10"/>
      <c r="H136" s="10"/>
      <c r="I136" s="12"/>
      <c r="J136" s="13"/>
    </row>
    <row r="137" spans="1:10" ht="75" customHeight="1">
      <c r="A137" s="7"/>
      <c r="B137" s="18"/>
      <c r="C137" s="9"/>
      <c r="D137" s="10"/>
      <c r="E137" s="10"/>
      <c r="F137" s="10"/>
      <c r="G137" s="10"/>
      <c r="H137" s="10"/>
      <c r="I137" s="12"/>
      <c r="J137" s="13"/>
    </row>
    <row r="138" spans="1:10" ht="75" customHeight="1">
      <c r="A138" s="7"/>
      <c r="B138" s="18"/>
      <c r="C138" s="9"/>
      <c r="D138" s="10"/>
      <c r="E138" s="10"/>
      <c r="F138" s="10"/>
      <c r="G138" s="10"/>
      <c r="H138" s="10"/>
      <c r="I138" s="12"/>
      <c r="J138" s="13"/>
    </row>
    <row r="139" spans="1:10" ht="75" customHeight="1">
      <c r="A139" s="7"/>
      <c r="B139" s="18"/>
      <c r="C139" s="9"/>
      <c r="D139" s="10"/>
      <c r="E139" s="10"/>
      <c r="F139" s="10"/>
      <c r="G139" s="10"/>
      <c r="H139" s="10"/>
      <c r="I139" s="12"/>
      <c r="J139" s="13"/>
    </row>
    <row r="140" spans="1:10" ht="75" customHeight="1">
      <c r="A140" s="7"/>
      <c r="B140" s="18"/>
      <c r="C140" s="9"/>
      <c r="D140" s="10"/>
      <c r="E140" s="10"/>
      <c r="F140" s="10"/>
      <c r="G140" s="10"/>
      <c r="H140" s="10"/>
      <c r="I140" s="12"/>
      <c r="J140" s="13"/>
    </row>
    <row r="141" spans="1:10" ht="75" customHeight="1">
      <c r="A141" s="7"/>
      <c r="B141" s="18"/>
      <c r="C141" s="9"/>
      <c r="D141" s="10"/>
      <c r="E141" s="10"/>
      <c r="F141" s="10"/>
      <c r="G141" s="10"/>
      <c r="H141" s="10"/>
      <c r="I141" s="12"/>
      <c r="J141" s="13"/>
    </row>
    <row r="142" spans="1:10" ht="75" customHeight="1">
      <c r="A142" s="7"/>
      <c r="B142" s="18"/>
      <c r="C142" s="9"/>
      <c r="D142" s="10"/>
      <c r="E142" s="10"/>
      <c r="F142" s="10"/>
      <c r="G142" s="10"/>
      <c r="H142" s="10"/>
      <c r="I142" s="12"/>
      <c r="J142" s="13"/>
    </row>
    <row r="143" spans="1:10" ht="75" customHeight="1">
      <c r="A143" s="7"/>
      <c r="B143" s="18"/>
      <c r="C143" s="9"/>
      <c r="D143" s="10"/>
      <c r="E143" s="10"/>
      <c r="F143" s="10"/>
      <c r="G143" s="10"/>
      <c r="H143" s="10"/>
      <c r="I143" s="12"/>
      <c r="J143" s="13"/>
    </row>
    <row r="144" spans="1:10" ht="75" customHeight="1">
      <c r="A144" s="7"/>
      <c r="B144" s="18"/>
      <c r="C144" s="9"/>
      <c r="D144" s="10"/>
      <c r="E144" s="10"/>
      <c r="F144" s="10"/>
      <c r="G144" s="10"/>
      <c r="H144" s="10"/>
      <c r="I144" s="12"/>
      <c r="J144" s="13"/>
    </row>
    <row r="145" spans="1:10" ht="75" customHeight="1">
      <c r="A145" s="7"/>
      <c r="B145" s="18"/>
      <c r="C145" s="9"/>
      <c r="D145" s="10"/>
      <c r="E145" s="10"/>
      <c r="F145" s="10"/>
      <c r="G145" s="10"/>
      <c r="H145" s="10"/>
      <c r="I145" s="12"/>
      <c r="J145" s="13"/>
    </row>
    <row r="146" spans="1:10" ht="75" customHeight="1">
      <c r="A146" s="7"/>
      <c r="B146" s="18"/>
      <c r="C146" s="9"/>
      <c r="D146" s="10"/>
      <c r="E146" s="10"/>
      <c r="F146" s="10"/>
      <c r="G146" s="10"/>
      <c r="H146" s="10"/>
      <c r="I146" s="12"/>
      <c r="J146" s="13"/>
    </row>
    <row r="147" spans="1:10" ht="75" customHeight="1">
      <c r="A147" s="7"/>
      <c r="B147" s="18"/>
      <c r="C147" s="9"/>
      <c r="D147" s="10"/>
      <c r="E147" s="10"/>
      <c r="F147" s="10"/>
      <c r="G147" s="10"/>
      <c r="H147" s="10"/>
      <c r="I147" s="12"/>
      <c r="J147" s="13"/>
    </row>
    <row r="148" spans="1:10" ht="75" customHeight="1">
      <c r="A148" s="7"/>
      <c r="B148" s="18"/>
      <c r="C148" s="9"/>
      <c r="D148" s="10"/>
      <c r="E148" s="10"/>
      <c r="F148" s="10"/>
      <c r="G148" s="10"/>
      <c r="H148" s="10"/>
      <c r="I148" s="12"/>
      <c r="J148" s="13"/>
    </row>
    <row r="149" spans="1:10" ht="75" customHeight="1">
      <c r="A149" s="7"/>
      <c r="B149" s="18"/>
      <c r="C149" s="9"/>
      <c r="D149" s="10"/>
      <c r="E149" s="10"/>
      <c r="F149" s="10"/>
      <c r="G149" s="10"/>
      <c r="H149" s="10"/>
      <c r="I149" s="12"/>
      <c r="J149" s="13"/>
    </row>
    <row r="150" spans="1:10" ht="75" customHeight="1">
      <c r="A150" s="7"/>
      <c r="B150" s="18"/>
      <c r="C150" s="9"/>
      <c r="D150" s="10"/>
      <c r="E150" s="10"/>
      <c r="F150" s="10"/>
      <c r="G150" s="10"/>
      <c r="H150" s="10"/>
      <c r="I150" s="12"/>
      <c r="J150" s="13"/>
    </row>
    <row r="151" spans="1:10" ht="75" customHeight="1">
      <c r="A151" s="7"/>
      <c r="B151" s="18"/>
      <c r="C151" s="9"/>
      <c r="D151" s="10"/>
      <c r="E151" s="10"/>
      <c r="F151" s="10"/>
      <c r="G151" s="10"/>
      <c r="H151" s="10"/>
      <c r="I151" s="12"/>
      <c r="J151" s="13"/>
    </row>
    <row r="152" spans="1:10" ht="75" customHeight="1">
      <c r="A152" s="7"/>
      <c r="B152" s="18"/>
      <c r="C152" s="9"/>
      <c r="D152" s="10"/>
      <c r="E152" s="10"/>
      <c r="F152" s="10"/>
      <c r="G152" s="10"/>
      <c r="H152" s="10"/>
      <c r="I152" s="12"/>
      <c r="J152" s="13"/>
    </row>
    <row r="153" spans="1:10" ht="75" customHeight="1">
      <c r="A153" s="7"/>
      <c r="B153" s="18"/>
      <c r="C153" s="9"/>
      <c r="D153" s="10"/>
      <c r="E153" s="10"/>
      <c r="F153" s="10"/>
      <c r="G153" s="10"/>
      <c r="H153" s="10"/>
      <c r="I153" s="12"/>
      <c r="J153" s="13"/>
    </row>
    <row r="154" spans="1:10" ht="75" customHeight="1">
      <c r="A154" s="7"/>
      <c r="B154" s="18"/>
      <c r="C154" s="9"/>
      <c r="D154" s="10"/>
      <c r="E154" s="10"/>
      <c r="F154" s="10"/>
      <c r="G154" s="10"/>
      <c r="H154" s="10"/>
      <c r="I154" s="12"/>
      <c r="J154" s="13"/>
    </row>
    <row r="155" spans="1:10" ht="75" customHeight="1">
      <c r="A155" s="7"/>
      <c r="B155" s="18"/>
      <c r="C155" s="9"/>
      <c r="D155" s="10"/>
      <c r="E155" s="10"/>
      <c r="F155" s="10"/>
      <c r="G155" s="10"/>
      <c r="H155" s="10"/>
      <c r="I155" s="12"/>
      <c r="J155" s="13"/>
    </row>
    <row r="156" spans="1:10" ht="75" customHeight="1">
      <c r="A156" s="7"/>
      <c r="B156" s="18"/>
      <c r="C156" s="9"/>
      <c r="D156" s="10"/>
      <c r="E156" s="10"/>
      <c r="F156" s="10"/>
      <c r="G156" s="10"/>
      <c r="H156" s="10"/>
      <c r="I156" s="12"/>
      <c r="J156" s="13"/>
    </row>
    <row r="157" spans="1:10" ht="75" customHeight="1">
      <c r="A157" s="7"/>
      <c r="B157" s="18"/>
      <c r="C157" s="9"/>
      <c r="D157" s="10"/>
      <c r="E157" s="10"/>
      <c r="F157" s="10"/>
      <c r="G157" s="10"/>
      <c r="H157" s="10"/>
      <c r="I157" s="12"/>
      <c r="J157" s="13"/>
    </row>
    <row r="158" spans="1:10" ht="75" customHeight="1">
      <c r="A158" s="7"/>
      <c r="B158" s="18"/>
      <c r="C158" s="9"/>
      <c r="D158" s="10"/>
      <c r="E158" s="10"/>
      <c r="F158" s="10"/>
      <c r="G158" s="10"/>
      <c r="H158" s="10"/>
      <c r="I158" s="12"/>
      <c r="J158" s="13"/>
    </row>
    <row r="159" spans="1:10" ht="75" customHeight="1">
      <c r="A159" s="7"/>
      <c r="B159" s="18"/>
      <c r="C159" s="9"/>
      <c r="D159" s="10"/>
      <c r="E159" s="10"/>
      <c r="F159" s="10"/>
      <c r="G159" s="10"/>
      <c r="H159" s="10"/>
      <c r="I159" s="12"/>
      <c r="J159" s="13"/>
    </row>
    <row r="160" spans="1:10" ht="75" customHeight="1">
      <c r="A160" s="7"/>
      <c r="B160" s="18"/>
      <c r="C160" s="9"/>
      <c r="D160" s="10"/>
      <c r="E160" s="10"/>
      <c r="F160" s="10"/>
      <c r="G160" s="10"/>
      <c r="H160" s="10"/>
      <c r="I160" s="12"/>
      <c r="J160" s="13"/>
    </row>
    <row r="161" spans="1:10" ht="75" customHeight="1">
      <c r="A161" s="7"/>
      <c r="B161" s="18"/>
      <c r="C161" s="9"/>
      <c r="D161" s="10"/>
      <c r="E161" s="10"/>
      <c r="F161" s="10"/>
      <c r="G161" s="10"/>
      <c r="H161" s="10"/>
      <c r="I161" s="12"/>
      <c r="J161" s="13"/>
    </row>
    <row r="162" spans="1:10" ht="75" customHeight="1">
      <c r="A162" s="7"/>
      <c r="B162" s="18"/>
      <c r="C162" s="9"/>
      <c r="D162" s="10"/>
      <c r="E162" s="10"/>
      <c r="F162" s="10"/>
      <c r="G162" s="10"/>
      <c r="H162" s="10"/>
      <c r="I162" s="12"/>
      <c r="J162" s="13"/>
    </row>
    <row r="163" spans="1:10" ht="75" customHeight="1">
      <c r="A163" s="7"/>
      <c r="B163" s="18"/>
      <c r="C163" s="9"/>
      <c r="D163" s="10"/>
      <c r="E163" s="10"/>
      <c r="F163" s="10"/>
      <c r="G163" s="10"/>
      <c r="H163" s="10"/>
      <c r="I163" s="12"/>
      <c r="J163" s="13"/>
    </row>
    <row r="164" spans="1:10" ht="75" customHeight="1">
      <c r="A164" s="7"/>
      <c r="B164" s="18"/>
      <c r="C164" s="9"/>
      <c r="D164" s="10"/>
      <c r="E164" s="10"/>
      <c r="F164" s="10"/>
      <c r="G164" s="10"/>
      <c r="H164" s="10"/>
      <c r="I164" s="12"/>
      <c r="J164" s="13"/>
    </row>
    <row r="165" spans="1:10" ht="75" customHeight="1">
      <c r="A165" s="7"/>
      <c r="B165" s="18"/>
      <c r="C165" s="9"/>
      <c r="D165" s="10"/>
      <c r="E165" s="10"/>
      <c r="F165" s="10"/>
      <c r="G165" s="10"/>
      <c r="H165" s="10"/>
      <c r="I165" s="12"/>
      <c r="J165" s="13"/>
    </row>
    <row r="166" spans="1:10" ht="75" customHeight="1">
      <c r="A166" s="7"/>
      <c r="B166" s="18"/>
      <c r="C166" s="9"/>
      <c r="D166" s="10"/>
      <c r="E166" s="10"/>
      <c r="F166" s="10"/>
      <c r="G166" s="10"/>
      <c r="H166" s="10"/>
      <c r="I166" s="12"/>
      <c r="J166" s="13"/>
    </row>
    <row r="167" spans="1:10" ht="75" customHeight="1">
      <c r="A167" s="7"/>
      <c r="B167" s="18"/>
      <c r="C167" s="9"/>
      <c r="D167" s="10"/>
      <c r="E167" s="10"/>
      <c r="F167" s="10"/>
      <c r="G167" s="10"/>
      <c r="H167" s="10"/>
      <c r="I167" s="12"/>
      <c r="J167" s="13"/>
    </row>
    <row r="168" spans="1:10" ht="75" customHeight="1">
      <c r="A168" s="7"/>
      <c r="B168" s="18"/>
      <c r="C168" s="9"/>
      <c r="D168" s="10"/>
      <c r="E168" s="10"/>
      <c r="F168" s="10"/>
      <c r="G168" s="10"/>
      <c r="H168" s="10"/>
      <c r="I168" s="12"/>
      <c r="J168" s="13"/>
    </row>
    <row r="169" spans="1:10" ht="75" customHeight="1">
      <c r="A169" s="7"/>
      <c r="B169" s="18"/>
      <c r="C169" s="9"/>
      <c r="D169" s="10"/>
      <c r="E169" s="10"/>
      <c r="F169" s="10"/>
      <c r="G169" s="10"/>
      <c r="H169" s="10"/>
      <c r="I169" s="12"/>
      <c r="J169" s="13"/>
    </row>
    <row r="170" spans="1:10" ht="75" customHeight="1">
      <c r="A170" s="7"/>
      <c r="B170" s="18"/>
      <c r="C170" s="9"/>
      <c r="D170" s="10"/>
      <c r="E170" s="10"/>
      <c r="F170" s="10"/>
      <c r="G170" s="10"/>
      <c r="H170" s="10"/>
      <c r="I170" s="12"/>
      <c r="J170" s="13"/>
    </row>
    <row r="171" spans="1:10" ht="75" customHeight="1">
      <c r="A171" s="7"/>
      <c r="B171" s="18"/>
      <c r="C171" s="9"/>
      <c r="D171" s="10"/>
      <c r="E171" s="10"/>
      <c r="F171" s="10"/>
      <c r="G171" s="10"/>
      <c r="H171" s="10"/>
      <c r="I171" s="12"/>
      <c r="J171" s="13"/>
    </row>
    <row r="172" spans="1:10" ht="75" customHeight="1">
      <c r="A172" s="7"/>
      <c r="B172" s="18"/>
      <c r="C172" s="9"/>
      <c r="D172" s="10"/>
      <c r="E172" s="10"/>
      <c r="F172" s="10"/>
      <c r="G172" s="10"/>
      <c r="H172" s="10"/>
      <c r="I172" s="12"/>
      <c r="J172" s="13"/>
    </row>
    <row r="173" spans="1:10" ht="75" customHeight="1">
      <c r="A173" s="7"/>
      <c r="B173" s="18"/>
      <c r="C173" s="9"/>
      <c r="D173" s="10"/>
      <c r="E173" s="10"/>
      <c r="F173" s="10"/>
      <c r="G173" s="10"/>
      <c r="H173" s="10"/>
      <c r="I173" s="12"/>
      <c r="J173" s="13"/>
    </row>
    <row r="174" spans="1:10" ht="75" customHeight="1">
      <c r="A174" s="7"/>
      <c r="B174" s="18"/>
      <c r="C174" s="9"/>
      <c r="D174" s="10"/>
      <c r="E174" s="10"/>
      <c r="F174" s="10"/>
      <c r="G174" s="10"/>
      <c r="H174" s="10"/>
      <c r="I174" s="12"/>
      <c r="J174" s="13"/>
    </row>
    <row r="175" spans="1:10" ht="75" customHeight="1">
      <c r="A175" s="7"/>
      <c r="B175" s="18"/>
      <c r="C175" s="9"/>
      <c r="D175" s="10"/>
      <c r="E175" s="10"/>
      <c r="F175" s="10"/>
      <c r="G175" s="10"/>
      <c r="H175" s="10"/>
      <c r="I175" s="12"/>
      <c r="J175" s="13"/>
    </row>
    <row r="176" spans="1:10" ht="75" customHeight="1">
      <c r="A176" s="7"/>
      <c r="B176" s="18"/>
      <c r="C176" s="9"/>
      <c r="D176" s="10"/>
      <c r="E176" s="10"/>
      <c r="F176" s="10"/>
      <c r="G176" s="10"/>
      <c r="H176" s="10"/>
      <c r="I176" s="12"/>
      <c r="J176" s="13"/>
    </row>
    <row r="177" spans="1:10" ht="75" customHeight="1">
      <c r="A177" s="7"/>
      <c r="B177" s="18"/>
      <c r="C177" s="9"/>
      <c r="D177" s="10"/>
      <c r="E177" s="10"/>
      <c r="F177" s="10"/>
      <c r="G177" s="10"/>
      <c r="H177" s="10"/>
      <c r="I177" s="12"/>
      <c r="J177" s="13"/>
    </row>
    <row r="178" spans="1:10" ht="75" customHeight="1">
      <c r="A178" s="7"/>
      <c r="B178" s="18"/>
      <c r="C178" s="9"/>
      <c r="D178" s="10"/>
      <c r="E178" s="10"/>
      <c r="F178" s="10"/>
      <c r="G178" s="10"/>
      <c r="H178" s="10"/>
      <c r="I178" s="12"/>
      <c r="J178" s="13"/>
    </row>
    <row r="179" spans="1:10" ht="75" customHeight="1">
      <c r="A179" s="7"/>
      <c r="B179" s="18"/>
      <c r="C179" s="9"/>
      <c r="D179" s="10"/>
      <c r="E179" s="10"/>
      <c r="F179" s="10"/>
      <c r="G179" s="10"/>
      <c r="H179" s="10"/>
      <c r="I179" s="12"/>
      <c r="J179" s="13"/>
    </row>
    <row r="180" spans="1:10" ht="75" customHeight="1">
      <c r="A180" s="7"/>
      <c r="B180" s="18"/>
      <c r="C180" s="9"/>
      <c r="D180" s="10"/>
      <c r="E180" s="10"/>
      <c r="F180" s="10"/>
      <c r="G180" s="10"/>
      <c r="H180" s="10"/>
      <c r="I180" s="12"/>
      <c r="J180" s="13"/>
    </row>
    <row r="181" spans="1:10" ht="75" customHeight="1">
      <c r="A181" s="7"/>
      <c r="B181" s="18"/>
      <c r="C181" s="9"/>
      <c r="D181" s="10"/>
      <c r="E181" s="10"/>
      <c r="F181" s="10"/>
      <c r="G181" s="10"/>
      <c r="H181" s="10"/>
      <c r="I181" s="12"/>
      <c r="J181" s="13"/>
    </row>
    <row r="182" spans="1:10" ht="75" customHeight="1">
      <c r="A182" s="7"/>
      <c r="B182" s="18"/>
      <c r="C182" s="9"/>
      <c r="D182" s="10"/>
      <c r="E182" s="10"/>
      <c r="F182" s="10"/>
      <c r="G182" s="10"/>
      <c r="H182" s="10"/>
      <c r="I182" s="12"/>
      <c r="J182" s="13"/>
    </row>
    <row r="183" spans="1:10" ht="75" customHeight="1">
      <c r="A183" s="7"/>
      <c r="B183" s="18"/>
      <c r="C183" s="9"/>
      <c r="D183" s="10"/>
      <c r="E183" s="10"/>
      <c r="F183" s="10"/>
      <c r="G183" s="10"/>
      <c r="H183" s="10"/>
      <c r="I183" s="12"/>
      <c r="J183" s="13"/>
    </row>
    <row r="184" spans="1:10" ht="75" customHeight="1">
      <c r="A184" s="7"/>
      <c r="B184" s="18"/>
      <c r="C184" s="9"/>
      <c r="D184" s="10"/>
      <c r="E184" s="10"/>
      <c r="F184" s="10"/>
      <c r="G184" s="10"/>
      <c r="H184" s="10"/>
      <c r="I184" s="12"/>
      <c r="J184" s="13"/>
    </row>
    <row r="185" spans="1:10" ht="75" customHeight="1">
      <c r="A185" s="7"/>
      <c r="B185" s="18"/>
      <c r="C185" s="9"/>
      <c r="D185" s="10"/>
      <c r="E185" s="10"/>
      <c r="F185" s="10"/>
      <c r="G185" s="10"/>
      <c r="H185" s="10"/>
      <c r="I185" s="12"/>
      <c r="J185" s="13"/>
    </row>
    <row r="186" spans="1:10" ht="75" customHeight="1">
      <c r="A186" s="7"/>
      <c r="B186" s="18"/>
      <c r="C186" s="9"/>
      <c r="D186" s="10"/>
      <c r="E186" s="10"/>
      <c r="F186" s="10"/>
      <c r="G186" s="10"/>
      <c r="H186" s="10"/>
      <c r="I186" s="12"/>
      <c r="J186" s="13"/>
    </row>
    <row r="187" spans="1:10" ht="75" customHeight="1">
      <c r="A187" s="7"/>
      <c r="B187" s="18"/>
      <c r="C187" s="9"/>
      <c r="D187" s="10"/>
      <c r="E187" s="10"/>
      <c r="F187" s="10"/>
      <c r="G187" s="10"/>
      <c r="H187" s="10"/>
      <c r="I187" s="12"/>
      <c r="J187" s="13"/>
    </row>
    <row r="188" spans="1:10" ht="75" customHeight="1">
      <c r="A188" s="7"/>
      <c r="B188" s="18"/>
      <c r="C188" s="9"/>
      <c r="D188" s="10"/>
      <c r="E188" s="10"/>
      <c r="F188" s="10"/>
      <c r="G188" s="10"/>
      <c r="H188" s="10"/>
      <c r="I188" s="12"/>
      <c r="J188" s="13"/>
    </row>
    <row r="189" spans="1:10" ht="75" customHeight="1">
      <c r="A189" s="7"/>
      <c r="B189" s="18"/>
      <c r="C189" s="9"/>
      <c r="D189" s="10"/>
      <c r="E189" s="10"/>
      <c r="F189" s="10"/>
      <c r="G189" s="10"/>
      <c r="H189" s="10"/>
      <c r="I189" s="12"/>
      <c r="J189" s="13"/>
    </row>
    <row r="190" spans="1:10" ht="75" customHeight="1">
      <c r="A190" s="7"/>
      <c r="B190" s="18"/>
      <c r="C190" s="9"/>
      <c r="D190" s="10"/>
      <c r="E190" s="10"/>
      <c r="F190" s="10"/>
      <c r="G190" s="10"/>
      <c r="H190" s="10"/>
      <c r="I190" s="12"/>
      <c r="J190" s="13"/>
    </row>
    <row r="191" spans="1:10" ht="75" customHeight="1">
      <c r="A191" s="7"/>
      <c r="B191" s="18"/>
      <c r="C191" s="9"/>
      <c r="D191" s="10"/>
      <c r="E191" s="10"/>
      <c r="F191" s="10"/>
      <c r="G191" s="10"/>
      <c r="H191" s="10"/>
      <c r="I191" s="12"/>
      <c r="J191" s="13"/>
    </row>
    <row r="192" spans="1:10" ht="75" customHeight="1">
      <c r="A192" s="7"/>
      <c r="B192" s="18"/>
      <c r="C192" s="9"/>
      <c r="D192" s="10"/>
      <c r="E192" s="10"/>
      <c r="F192" s="10"/>
      <c r="G192" s="10"/>
      <c r="H192" s="10"/>
      <c r="I192" s="12"/>
      <c r="J192" s="13"/>
    </row>
    <row r="193" spans="1:10" ht="75" customHeight="1">
      <c r="A193" s="7"/>
      <c r="B193" s="18"/>
      <c r="C193" s="9"/>
      <c r="D193" s="10"/>
      <c r="E193" s="10"/>
      <c r="F193" s="10"/>
      <c r="G193" s="10"/>
      <c r="H193" s="10"/>
      <c r="I193" s="12"/>
      <c r="J193" s="13"/>
    </row>
    <row r="194" spans="1:10" ht="75" customHeight="1">
      <c r="A194" s="7"/>
      <c r="B194" s="18"/>
      <c r="C194" s="9"/>
      <c r="D194" s="10"/>
      <c r="E194" s="10"/>
      <c r="F194" s="10"/>
      <c r="G194" s="10"/>
      <c r="H194" s="10"/>
      <c r="I194" s="12"/>
      <c r="J194" s="13"/>
    </row>
    <row r="195" spans="1:10" ht="75" customHeight="1">
      <c r="A195" s="7"/>
      <c r="B195" s="18"/>
      <c r="C195" s="9"/>
      <c r="D195" s="10"/>
      <c r="E195" s="10"/>
      <c r="F195" s="10"/>
      <c r="G195" s="10"/>
      <c r="H195" s="10"/>
      <c r="I195" s="12"/>
      <c r="J195" s="13"/>
    </row>
    <row r="196" spans="1:10" ht="75" customHeight="1">
      <c r="A196" s="7"/>
      <c r="B196" s="18"/>
      <c r="C196" s="9"/>
      <c r="D196" s="10"/>
      <c r="E196" s="10"/>
      <c r="F196" s="10"/>
      <c r="G196" s="10"/>
      <c r="H196" s="10"/>
      <c r="I196" s="12"/>
      <c r="J196" s="13"/>
    </row>
    <row r="197" spans="1:10" ht="75" customHeight="1">
      <c r="A197" s="7"/>
      <c r="B197" s="18"/>
      <c r="C197" s="9"/>
      <c r="D197" s="10"/>
      <c r="E197" s="10"/>
      <c r="F197" s="10"/>
      <c r="G197" s="10"/>
      <c r="H197" s="10"/>
      <c r="I197" s="12"/>
      <c r="J197" s="13"/>
    </row>
    <row r="198" spans="1:10" ht="75" customHeight="1">
      <c r="A198" s="7"/>
      <c r="B198" s="18"/>
      <c r="C198" s="9"/>
      <c r="D198" s="10"/>
      <c r="E198" s="10"/>
      <c r="F198" s="10"/>
      <c r="G198" s="10"/>
      <c r="H198" s="10"/>
      <c r="I198" s="12"/>
      <c r="J198" s="13"/>
    </row>
    <row r="199" spans="1:10" ht="75" customHeight="1">
      <c r="A199" s="7"/>
      <c r="B199" s="18"/>
      <c r="C199" s="9"/>
      <c r="D199" s="10"/>
      <c r="E199" s="10"/>
      <c r="F199" s="10"/>
      <c r="G199" s="10"/>
      <c r="H199" s="10"/>
      <c r="I199" s="12"/>
      <c r="J199" s="13"/>
    </row>
    <row r="200" spans="1:10" ht="75" customHeight="1">
      <c r="A200" s="7"/>
      <c r="B200" s="18"/>
      <c r="C200" s="9"/>
      <c r="D200" s="10"/>
      <c r="E200" s="10"/>
      <c r="F200" s="10"/>
      <c r="G200" s="10"/>
      <c r="H200" s="10"/>
      <c r="I200" s="12"/>
      <c r="J200" s="13"/>
    </row>
    <row r="201" spans="1:10" ht="75" customHeight="1">
      <c r="A201" s="7"/>
      <c r="B201" s="18"/>
      <c r="C201" s="9"/>
      <c r="D201" s="10"/>
      <c r="E201" s="10"/>
      <c r="F201" s="10"/>
      <c r="G201" s="10"/>
      <c r="H201" s="10"/>
      <c r="I201" s="12"/>
      <c r="J201" s="13"/>
    </row>
    <row r="202" spans="1:10" ht="75" customHeight="1">
      <c r="A202" s="7"/>
      <c r="B202" s="18"/>
      <c r="C202" s="9"/>
      <c r="D202" s="10"/>
      <c r="E202" s="10"/>
      <c r="F202" s="10"/>
      <c r="G202" s="10"/>
      <c r="H202" s="10"/>
      <c r="I202" s="12"/>
      <c r="J202" s="13"/>
    </row>
    <row r="203" spans="1:10" ht="75" customHeight="1">
      <c r="A203" s="7"/>
      <c r="B203" s="18"/>
      <c r="C203" s="9"/>
      <c r="D203" s="10"/>
      <c r="E203" s="10"/>
      <c r="F203" s="10"/>
      <c r="G203" s="10"/>
      <c r="H203" s="10"/>
      <c r="I203" s="12"/>
      <c r="J203" s="13"/>
    </row>
    <row r="204" spans="1:10" ht="75" customHeight="1">
      <c r="A204" s="7"/>
      <c r="B204" s="18"/>
      <c r="C204" s="9"/>
      <c r="D204" s="10"/>
      <c r="E204" s="10"/>
      <c r="F204" s="10"/>
      <c r="G204" s="10"/>
      <c r="H204" s="10"/>
      <c r="I204" s="12"/>
      <c r="J204" s="13"/>
    </row>
    <row r="205" spans="1:10" ht="75" customHeight="1">
      <c r="A205" s="7"/>
      <c r="B205" s="18"/>
      <c r="C205" s="9"/>
      <c r="D205" s="10"/>
      <c r="E205" s="10"/>
      <c r="F205" s="10"/>
      <c r="G205" s="10"/>
      <c r="H205" s="10"/>
      <c r="I205" s="12"/>
      <c r="J205" s="13"/>
    </row>
    <row r="206" spans="1:10" ht="75" customHeight="1">
      <c r="A206" s="7"/>
      <c r="B206" s="18"/>
      <c r="C206" s="9"/>
      <c r="D206" s="10"/>
      <c r="E206" s="10"/>
      <c r="F206" s="10"/>
      <c r="G206" s="10"/>
      <c r="H206" s="10"/>
      <c r="I206" s="12"/>
      <c r="J206" s="13"/>
    </row>
    <row r="207" spans="1:10" ht="75" customHeight="1">
      <c r="A207" s="7"/>
      <c r="B207" s="18"/>
      <c r="C207" s="9"/>
      <c r="D207" s="10"/>
      <c r="E207" s="10"/>
      <c r="F207" s="10"/>
      <c r="G207" s="10"/>
      <c r="H207" s="10"/>
      <c r="I207" s="12"/>
      <c r="J207" s="13"/>
    </row>
    <row r="208" spans="1:10" ht="75" customHeight="1">
      <c r="A208" s="7"/>
      <c r="B208" s="18"/>
      <c r="C208" s="9"/>
      <c r="D208" s="10"/>
      <c r="E208" s="10"/>
      <c r="F208" s="10"/>
      <c r="G208" s="10"/>
      <c r="H208" s="10"/>
      <c r="I208" s="12"/>
      <c r="J208" s="13"/>
    </row>
    <row r="209" spans="1:10" ht="75" customHeight="1">
      <c r="A209" s="7"/>
      <c r="B209" s="18"/>
      <c r="C209" s="9"/>
      <c r="D209" s="10"/>
      <c r="E209" s="10"/>
      <c r="F209" s="10"/>
      <c r="G209" s="10"/>
      <c r="H209" s="10"/>
      <c r="I209" s="12"/>
      <c r="J209" s="13"/>
    </row>
    <row r="210" spans="1:10" ht="75" customHeight="1">
      <c r="A210" s="7"/>
      <c r="B210" s="18"/>
      <c r="C210" s="9"/>
      <c r="D210" s="10"/>
      <c r="E210" s="10"/>
      <c r="F210" s="10"/>
      <c r="G210" s="10"/>
      <c r="H210" s="10"/>
      <c r="I210" s="12"/>
      <c r="J210" s="13"/>
    </row>
    <row r="211" spans="1:10" ht="75" customHeight="1">
      <c r="A211" s="7"/>
      <c r="B211" s="18"/>
      <c r="C211" s="9"/>
      <c r="D211" s="10"/>
      <c r="E211" s="10"/>
      <c r="F211" s="10"/>
      <c r="G211" s="10"/>
      <c r="H211" s="10"/>
      <c r="I211" s="12"/>
      <c r="J211" s="13"/>
    </row>
    <row r="212" spans="1:10" ht="75" customHeight="1">
      <c r="A212" s="7"/>
      <c r="B212" s="18"/>
      <c r="C212" s="9"/>
      <c r="D212" s="10"/>
      <c r="E212" s="10"/>
      <c r="F212" s="10"/>
      <c r="G212" s="10"/>
      <c r="H212" s="10"/>
      <c r="I212" s="12"/>
      <c r="J212" s="13"/>
    </row>
    <row r="213" spans="1:10" ht="75" customHeight="1">
      <c r="A213" s="7"/>
      <c r="B213" s="18"/>
      <c r="C213" s="9"/>
      <c r="D213" s="10"/>
      <c r="E213" s="10"/>
      <c r="F213" s="10"/>
      <c r="G213" s="10"/>
      <c r="H213" s="10"/>
      <c r="I213" s="12"/>
      <c r="J213" s="13"/>
    </row>
    <row r="214" spans="1:10" ht="75" customHeight="1">
      <c r="A214" s="7"/>
      <c r="B214" s="18"/>
      <c r="C214" s="9"/>
      <c r="D214" s="10"/>
      <c r="E214" s="10"/>
      <c r="F214" s="10"/>
      <c r="G214" s="10"/>
      <c r="H214" s="10"/>
      <c r="I214" s="12"/>
      <c r="J214" s="13"/>
    </row>
    <row r="215" spans="1:10" ht="75" customHeight="1">
      <c r="A215" s="7"/>
      <c r="B215" s="18"/>
      <c r="C215" s="9"/>
      <c r="D215" s="10"/>
      <c r="E215" s="10"/>
      <c r="F215" s="10"/>
      <c r="G215" s="10"/>
      <c r="H215" s="10"/>
      <c r="I215" s="12"/>
      <c r="J215" s="13"/>
    </row>
    <row r="216" spans="1:10" ht="75" customHeight="1">
      <c r="A216" s="7"/>
      <c r="B216" s="18"/>
      <c r="C216" s="9"/>
      <c r="D216" s="10"/>
      <c r="E216" s="10"/>
      <c r="F216" s="10"/>
      <c r="G216" s="10"/>
      <c r="H216" s="10"/>
      <c r="I216" s="12"/>
      <c r="J216" s="13"/>
    </row>
    <row r="217" spans="1:10" ht="75" customHeight="1">
      <c r="A217" s="7"/>
      <c r="B217" s="18"/>
      <c r="C217" s="9"/>
      <c r="D217" s="10"/>
      <c r="E217" s="10"/>
      <c r="F217" s="10"/>
      <c r="G217" s="10"/>
      <c r="H217" s="10"/>
      <c r="I217" s="12"/>
      <c r="J217" s="13"/>
    </row>
    <row r="218" spans="1:10" ht="75" customHeight="1">
      <c r="A218" s="7"/>
      <c r="B218" s="18"/>
      <c r="C218" s="9"/>
      <c r="D218" s="10"/>
      <c r="E218" s="10"/>
      <c r="F218" s="10"/>
      <c r="G218" s="10"/>
      <c r="H218" s="10"/>
      <c r="I218" s="12"/>
      <c r="J218" s="13"/>
    </row>
    <row r="219" spans="1:10" ht="75" customHeight="1">
      <c r="A219" s="7"/>
      <c r="B219" s="18"/>
      <c r="C219" s="9"/>
      <c r="D219" s="10"/>
      <c r="E219" s="10"/>
      <c r="F219" s="10"/>
      <c r="G219" s="10"/>
      <c r="H219" s="10"/>
      <c r="I219" s="12"/>
      <c r="J219" s="13"/>
    </row>
    <row r="220" spans="1:10" ht="75" customHeight="1">
      <c r="A220" s="7"/>
      <c r="B220" s="18"/>
      <c r="C220" s="9"/>
      <c r="D220" s="10"/>
      <c r="E220" s="10"/>
      <c r="F220" s="10"/>
      <c r="G220" s="10"/>
      <c r="H220" s="10"/>
      <c r="I220" s="12"/>
      <c r="J220" s="13"/>
    </row>
    <row r="221" spans="1:10" ht="75" customHeight="1">
      <c r="A221" s="7"/>
      <c r="B221" s="18"/>
      <c r="C221" s="9"/>
      <c r="D221" s="10"/>
      <c r="E221" s="10"/>
      <c r="F221" s="10"/>
      <c r="G221" s="10"/>
      <c r="H221" s="10"/>
      <c r="I221" s="12"/>
      <c r="J221" s="13"/>
    </row>
    <row r="222" spans="1:10" ht="75" customHeight="1">
      <c r="A222" s="7"/>
      <c r="B222" s="18"/>
      <c r="C222" s="9"/>
      <c r="D222" s="10"/>
      <c r="E222" s="10"/>
      <c r="F222" s="10"/>
      <c r="G222" s="10"/>
      <c r="H222" s="10"/>
      <c r="I222" s="12"/>
      <c r="J222" s="13"/>
    </row>
    <row r="223" spans="1:10" ht="75" customHeight="1">
      <c r="A223" s="7"/>
      <c r="B223" s="18"/>
      <c r="C223" s="9"/>
      <c r="D223" s="10"/>
      <c r="E223" s="10"/>
      <c r="F223" s="10"/>
      <c r="G223" s="10"/>
      <c r="H223" s="10"/>
      <c r="I223" s="12"/>
      <c r="J223" s="13"/>
    </row>
    <row r="224" spans="1:10" ht="75" customHeight="1">
      <c r="A224" s="7"/>
      <c r="B224" s="18"/>
      <c r="C224" s="9"/>
      <c r="D224" s="10"/>
      <c r="E224" s="10"/>
      <c r="F224" s="10"/>
      <c r="G224" s="10"/>
      <c r="H224" s="10"/>
      <c r="I224" s="12"/>
      <c r="J224" s="13"/>
    </row>
    <row r="225" spans="1:10" ht="75" customHeight="1">
      <c r="A225" s="7"/>
      <c r="B225" s="18"/>
      <c r="C225" s="9"/>
      <c r="D225" s="10"/>
      <c r="E225" s="10"/>
      <c r="F225" s="10"/>
      <c r="G225" s="10"/>
      <c r="H225" s="10"/>
      <c r="I225" s="12"/>
      <c r="J225" s="13"/>
    </row>
    <row r="226" spans="1:10" ht="75" customHeight="1">
      <c r="A226" s="7"/>
      <c r="B226" s="18"/>
      <c r="C226" s="9"/>
      <c r="D226" s="10"/>
      <c r="E226" s="10"/>
      <c r="F226" s="10"/>
      <c r="G226" s="10"/>
      <c r="H226" s="10"/>
      <c r="I226" s="12"/>
      <c r="J226" s="13"/>
    </row>
    <row r="227" spans="1:10" ht="75" customHeight="1">
      <c r="A227" s="7"/>
      <c r="B227" s="18"/>
      <c r="C227" s="9"/>
      <c r="D227" s="10"/>
      <c r="E227" s="10"/>
      <c r="F227" s="10"/>
      <c r="G227" s="10"/>
      <c r="H227" s="10"/>
      <c r="I227" s="12"/>
      <c r="J227" s="13"/>
    </row>
    <row r="228" spans="1:10" ht="75" customHeight="1">
      <c r="A228" s="7"/>
      <c r="B228" s="18"/>
      <c r="C228" s="9"/>
      <c r="D228" s="10"/>
      <c r="E228" s="10"/>
      <c r="F228" s="10"/>
      <c r="G228" s="10"/>
      <c r="H228" s="10"/>
      <c r="I228" s="12"/>
      <c r="J228" s="13"/>
    </row>
    <row r="229" spans="1:10" ht="75" customHeight="1">
      <c r="A229" s="7"/>
      <c r="B229" s="18"/>
      <c r="C229" s="9"/>
      <c r="D229" s="10"/>
      <c r="E229" s="10"/>
      <c r="F229" s="10"/>
      <c r="G229" s="10"/>
      <c r="H229" s="10"/>
      <c r="I229" s="12"/>
      <c r="J229" s="13"/>
    </row>
    <row r="230" spans="1:10" ht="75" customHeight="1">
      <c r="A230" s="7"/>
      <c r="B230" s="18"/>
      <c r="C230" s="9"/>
      <c r="D230" s="10"/>
      <c r="E230" s="10"/>
      <c r="F230" s="10"/>
      <c r="G230" s="10"/>
      <c r="H230" s="10"/>
      <c r="I230" s="12"/>
      <c r="J230" s="13"/>
    </row>
    <row r="231" spans="1:10" ht="75" customHeight="1">
      <c r="A231" s="7"/>
      <c r="B231" s="18"/>
      <c r="C231" s="9"/>
      <c r="D231" s="10"/>
      <c r="E231" s="10"/>
      <c r="F231" s="10"/>
      <c r="G231" s="10"/>
      <c r="H231" s="10"/>
      <c r="I231" s="12"/>
      <c r="J231" s="13"/>
    </row>
    <row r="232" spans="1:10" ht="75" customHeight="1">
      <c r="A232" s="7"/>
      <c r="B232" s="18"/>
      <c r="C232" s="9"/>
      <c r="D232" s="10"/>
      <c r="E232" s="10"/>
      <c r="F232" s="10"/>
      <c r="G232" s="10"/>
      <c r="H232" s="10"/>
      <c r="I232" s="12"/>
      <c r="J232" s="13"/>
    </row>
    <row r="233" spans="1:10" ht="75" customHeight="1">
      <c r="A233" s="7"/>
      <c r="B233" s="18"/>
      <c r="C233" s="9"/>
      <c r="D233" s="10"/>
      <c r="E233" s="10"/>
      <c r="F233" s="10"/>
      <c r="G233" s="10"/>
      <c r="H233" s="10"/>
      <c r="I233" s="12"/>
      <c r="J233" s="13"/>
    </row>
    <row r="234" spans="1:10" ht="75" customHeight="1">
      <c r="A234" s="7"/>
      <c r="B234" s="18"/>
      <c r="C234" s="9"/>
      <c r="D234" s="10"/>
      <c r="E234" s="10"/>
      <c r="F234" s="10"/>
      <c r="G234" s="10"/>
      <c r="H234" s="10"/>
      <c r="I234" s="12"/>
      <c r="J234" s="13"/>
    </row>
    <row r="235" spans="1:10" ht="75" customHeight="1">
      <c r="A235" s="7"/>
      <c r="B235" s="18"/>
      <c r="C235" s="9"/>
      <c r="D235" s="10"/>
      <c r="E235" s="10"/>
      <c r="F235" s="10"/>
      <c r="G235" s="10"/>
      <c r="H235" s="10"/>
      <c r="I235" s="12"/>
      <c r="J235" s="13"/>
    </row>
    <row r="236" spans="1:10" ht="75" customHeight="1">
      <c r="A236" s="7"/>
      <c r="B236" s="18"/>
      <c r="C236" s="9"/>
      <c r="D236" s="10"/>
      <c r="E236" s="10"/>
      <c r="F236" s="10"/>
      <c r="G236" s="10"/>
      <c r="H236" s="10"/>
      <c r="I236" s="12"/>
      <c r="J236" s="13"/>
    </row>
    <row r="237" spans="1:10" ht="75" customHeight="1">
      <c r="A237" s="7"/>
      <c r="B237" s="18"/>
      <c r="C237" s="9"/>
      <c r="D237" s="10"/>
      <c r="E237" s="10"/>
      <c r="F237" s="10"/>
      <c r="G237" s="10"/>
      <c r="H237" s="10"/>
      <c r="I237" s="12"/>
      <c r="J237" s="13"/>
    </row>
    <row r="238" spans="1:10" ht="75" customHeight="1">
      <c r="A238" s="7"/>
      <c r="B238" s="18"/>
      <c r="C238" s="9"/>
      <c r="D238" s="10"/>
      <c r="E238" s="10"/>
      <c r="F238" s="10"/>
      <c r="G238" s="10"/>
      <c r="H238" s="10"/>
      <c r="I238" s="12"/>
      <c r="J238" s="13"/>
    </row>
    <row r="239" spans="1:10" ht="75" customHeight="1">
      <c r="A239" s="7"/>
      <c r="B239" s="18"/>
      <c r="C239" s="9"/>
      <c r="D239" s="10"/>
      <c r="E239" s="10"/>
      <c r="F239" s="10"/>
      <c r="G239" s="10"/>
      <c r="H239" s="10"/>
      <c r="I239" s="12"/>
      <c r="J239" s="13"/>
    </row>
    <row r="240" spans="1:10" ht="75" customHeight="1">
      <c r="A240" s="7"/>
      <c r="B240" s="18"/>
      <c r="C240" s="9"/>
      <c r="D240" s="10"/>
      <c r="E240" s="10"/>
      <c r="F240" s="10"/>
      <c r="G240" s="10"/>
      <c r="H240" s="10"/>
      <c r="I240" s="12"/>
      <c r="J240" s="13"/>
    </row>
    <row r="241" spans="1:10" ht="75" customHeight="1">
      <c r="A241" s="7"/>
      <c r="B241" s="18"/>
      <c r="C241" s="9"/>
      <c r="D241" s="10"/>
      <c r="E241" s="10"/>
      <c r="F241" s="10"/>
      <c r="G241" s="10"/>
      <c r="H241" s="10"/>
      <c r="I241" s="12"/>
      <c r="J241" s="13"/>
    </row>
    <row r="242" spans="1:10" ht="75" customHeight="1">
      <c r="A242" s="7"/>
      <c r="B242" s="18"/>
      <c r="C242" s="9"/>
      <c r="D242" s="10"/>
      <c r="E242" s="10"/>
      <c r="F242" s="10"/>
      <c r="G242" s="10"/>
      <c r="H242" s="10"/>
      <c r="I242" s="12"/>
      <c r="J242" s="13"/>
    </row>
    <row r="243" spans="1:10" ht="75" customHeight="1">
      <c r="A243" s="7"/>
      <c r="B243" s="18"/>
      <c r="C243" s="9"/>
      <c r="D243" s="10"/>
      <c r="E243" s="10"/>
      <c r="F243" s="10"/>
      <c r="G243" s="10"/>
      <c r="H243" s="10"/>
      <c r="I243" s="12"/>
      <c r="J243" s="13"/>
    </row>
    <row r="244" spans="1:10" ht="75" customHeight="1">
      <c r="A244" s="7"/>
      <c r="B244" s="18"/>
      <c r="C244" s="9"/>
      <c r="D244" s="10"/>
      <c r="E244" s="10"/>
      <c r="F244" s="10"/>
      <c r="G244" s="10"/>
      <c r="H244" s="10"/>
      <c r="I244" s="12"/>
      <c r="J244" s="13"/>
    </row>
    <row r="245" spans="1:10" ht="75" customHeight="1">
      <c r="A245" s="7"/>
      <c r="B245" s="18"/>
      <c r="C245" s="9"/>
      <c r="D245" s="10"/>
      <c r="E245" s="10"/>
      <c r="F245" s="10"/>
      <c r="G245" s="10"/>
      <c r="H245" s="10"/>
      <c r="I245" s="12"/>
      <c r="J245" s="13"/>
    </row>
    <row r="246" spans="1:10" ht="75" customHeight="1">
      <c r="A246" s="7"/>
      <c r="B246" s="18"/>
      <c r="C246" s="9"/>
      <c r="D246" s="10"/>
      <c r="E246" s="10"/>
      <c r="F246" s="10"/>
      <c r="G246" s="10"/>
      <c r="H246" s="10"/>
      <c r="I246" s="12"/>
      <c r="J246" s="13"/>
    </row>
    <row r="247" spans="1:10" ht="75" customHeight="1">
      <c r="A247" s="7"/>
      <c r="B247" s="18"/>
      <c r="C247" s="9"/>
      <c r="D247" s="10"/>
      <c r="E247" s="10"/>
      <c r="F247" s="10"/>
      <c r="G247" s="10"/>
      <c r="H247" s="10"/>
      <c r="I247" s="12"/>
      <c r="J247" s="13"/>
    </row>
    <row r="248" spans="1:10" ht="75" customHeight="1">
      <c r="A248" s="7"/>
      <c r="B248" s="18"/>
      <c r="C248" s="9"/>
      <c r="D248" s="10"/>
      <c r="E248" s="10"/>
      <c r="F248" s="10"/>
      <c r="G248" s="10"/>
      <c r="H248" s="10"/>
      <c r="I248" s="12"/>
      <c r="J248" s="13"/>
    </row>
    <row r="249" spans="1:10" ht="75" customHeight="1">
      <c r="A249" s="7"/>
      <c r="B249" s="18"/>
      <c r="C249" s="9"/>
      <c r="D249" s="10"/>
      <c r="E249" s="10"/>
      <c r="F249" s="10"/>
      <c r="G249" s="10"/>
      <c r="H249" s="10"/>
      <c r="I249" s="12"/>
      <c r="J249" s="13"/>
    </row>
    <row r="250" spans="1:10" ht="75" customHeight="1">
      <c r="A250" s="7"/>
      <c r="B250" s="18"/>
      <c r="C250" s="9"/>
      <c r="D250" s="10"/>
      <c r="E250" s="10"/>
      <c r="F250" s="10"/>
      <c r="G250" s="10"/>
      <c r="H250" s="10"/>
      <c r="I250" s="12"/>
      <c r="J250" s="13"/>
    </row>
    <row r="251" spans="1:10" ht="75" customHeight="1">
      <c r="A251" s="7"/>
      <c r="B251" s="18"/>
      <c r="C251" s="9"/>
      <c r="D251" s="10"/>
      <c r="E251" s="10"/>
      <c r="F251" s="10"/>
      <c r="G251" s="10"/>
      <c r="H251" s="10"/>
      <c r="I251" s="12"/>
      <c r="J251" s="13"/>
    </row>
    <row r="252" spans="1:10" ht="75" customHeight="1">
      <c r="A252" s="7"/>
      <c r="B252" s="18"/>
      <c r="C252" s="9"/>
      <c r="D252" s="10"/>
      <c r="E252" s="10"/>
      <c r="F252" s="10"/>
      <c r="G252" s="10"/>
      <c r="H252" s="10"/>
      <c r="I252" s="12"/>
      <c r="J252" s="13"/>
    </row>
    <row r="253" spans="1:10" ht="75" customHeight="1">
      <c r="A253" s="7"/>
      <c r="B253" s="18"/>
      <c r="C253" s="9"/>
      <c r="D253" s="10"/>
      <c r="E253" s="10"/>
      <c r="F253" s="10"/>
      <c r="G253" s="10"/>
      <c r="H253" s="10"/>
      <c r="I253" s="12"/>
      <c r="J253" s="13"/>
    </row>
    <row r="254" spans="1:10" ht="75" customHeight="1">
      <c r="A254" s="7"/>
      <c r="B254" s="18"/>
      <c r="C254" s="9"/>
      <c r="D254" s="10"/>
      <c r="E254" s="10"/>
      <c r="F254" s="10"/>
      <c r="G254" s="10"/>
      <c r="H254" s="10"/>
      <c r="I254" s="12"/>
      <c r="J254" s="13"/>
    </row>
    <row r="255" spans="1:10" ht="75" customHeight="1">
      <c r="A255" s="7"/>
      <c r="B255" s="18"/>
      <c r="C255" s="9"/>
      <c r="D255" s="10"/>
      <c r="E255" s="10"/>
      <c r="F255" s="10"/>
      <c r="G255" s="10"/>
      <c r="H255" s="10"/>
      <c r="I255" s="12"/>
      <c r="J255" s="13"/>
    </row>
    <row r="256" spans="1:10" ht="75" customHeight="1">
      <c r="A256" s="7"/>
      <c r="B256" s="18"/>
      <c r="C256" s="9"/>
      <c r="D256" s="10"/>
      <c r="E256" s="10"/>
      <c r="F256" s="10"/>
      <c r="G256" s="10"/>
      <c r="H256" s="10"/>
      <c r="I256" s="12"/>
      <c r="J256" s="13"/>
    </row>
    <row r="257" spans="1:10" ht="75" customHeight="1">
      <c r="A257" s="7"/>
      <c r="B257" s="18"/>
      <c r="C257" s="9"/>
      <c r="D257" s="10"/>
      <c r="E257" s="10"/>
      <c r="F257" s="10"/>
      <c r="G257" s="10"/>
      <c r="H257" s="10"/>
      <c r="I257" s="12"/>
      <c r="J257" s="13"/>
    </row>
    <row r="258" spans="1:10" ht="75" customHeight="1">
      <c r="A258" s="7"/>
      <c r="B258" s="18"/>
      <c r="C258" s="9"/>
      <c r="D258" s="10"/>
      <c r="E258" s="10"/>
      <c r="F258" s="10"/>
      <c r="G258" s="10"/>
      <c r="H258" s="10"/>
      <c r="I258" s="12"/>
      <c r="J258" s="13"/>
    </row>
    <row r="259" spans="1:10" ht="75" customHeight="1">
      <c r="A259" s="7"/>
      <c r="B259" s="18"/>
      <c r="C259" s="9"/>
      <c r="D259" s="10"/>
      <c r="E259" s="10"/>
      <c r="F259" s="10"/>
      <c r="G259" s="10"/>
      <c r="H259" s="10"/>
      <c r="I259" s="12"/>
      <c r="J259" s="13"/>
    </row>
    <row r="260" spans="1:10" ht="75" customHeight="1">
      <c r="A260" s="7"/>
      <c r="B260" s="18"/>
      <c r="C260" s="9"/>
      <c r="D260" s="10"/>
      <c r="E260" s="10"/>
      <c r="F260" s="10"/>
      <c r="G260" s="10"/>
      <c r="H260" s="10"/>
      <c r="I260" s="12"/>
      <c r="J260" s="13"/>
    </row>
    <row r="261" spans="1:10" ht="75" customHeight="1">
      <c r="A261" s="7"/>
      <c r="B261" s="18"/>
      <c r="C261" s="9"/>
      <c r="D261" s="10"/>
      <c r="E261" s="10"/>
      <c r="F261" s="10"/>
      <c r="G261" s="10"/>
      <c r="H261" s="10"/>
      <c r="I261" s="12"/>
      <c r="J261" s="13"/>
    </row>
    <row r="262" spans="1:10" ht="75" customHeight="1">
      <c r="A262" s="7"/>
      <c r="B262" s="18"/>
      <c r="C262" s="9"/>
      <c r="D262" s="10"/>
      <c r="E262" s="10"/>
      <c r="F262" s="10"/>
      <c r="G262" s="10"/>
      <c r="H262" s="10"/>
      <c r="I262" s="12"/>
      <c r="J262" s="13"/>
    </row>
    <row r="263" spans="1:10" ht="75" customHeight="1">
      <c r="A263" s="7"/>
      <c r="B263" s="18"/>
      <c r="C263" s="9"/>
      <c r="D263" s="10"/>
      <c r="E263" s="10"/>
      <c r="F263" s="10"/>
      <c r="G263" s="10"/>
      <c r="H263" s="10"/>
      <c r="I263" s="12"/>
      <c r="J263" s="13"/>
    </row>
    <row r="264" spans="1:10" ht="75" customHeight="1">
      <c r="A264" s="7"/>
      <c r="B264" s="18"/>
      <c r="C264" s="9"/>
      <c r="D264" s="10"/>
      <c r="E264" s="10"/>
      <c r="F264" s="10"/>
      <c r="G264" s="10"/>
      <c r="H264" s="10"/>
      <c r="I264" s="12"/>
      <c r="J264" s="13"/>
    </row>
    <row r="265" spans="1:10" ht="75" customHeight="1">
      <c r="A265" s="7"/>
      <c r="B265" s="18"/>
      <c r="C265" s="9"/>
      <c r="D265" s="10"/>
      <c r="E265" s="10"/>
      <c r="F265" s="10"/>
      <c r="G265" s="10"/>
      <c r="H265" s="10"/>
      <c r="I265" s="12"/>
      <c r="J265" s="13"/>
    </row>
    <row r="266" spans="1:10" ht="75" customHeight="1">
      <c r="A266" s="7"/>
      <c r="B266" s="18"/>
      <c r="C266" s="9"/>
      <c r="D266" s="10"/>
      <c r="E266" s="10"/>
      <c r="F266" s="10"/>
      <c r="G266" s="10"/>
      <c r="H266" s="10"/>
      <c r="I266" s="12"/>
      <c r="J266" s="13"/>
    </row>
    <row r="267" spans="1:10" ht="75" customHeight="1">
      <c r="A267" s="7"/>
      <c r="B267" s="18"/>
      <c r="C267" s="9"/>
      <c r="D267" s="10"/>
      <c r="E267" s="10"/>
      <c r="F267" s="10"/>
      <c r="G267" s="10"/>
      <c r="H267" s="10"/>
      <c r="I267" s="12"/>
      <c r="J267" s="13"/>
    </row>
    <row r="268" spans="1:10" ht="75" customHeight="1">
      <c r="A268" s="7"/>
      <c r="B268" s="18"/>
      <c r="C268" s="9"/>
      <c r="D268" s="10"/>
      <c r="E268" s="10"/>
      <c r="F268" s="10"/>
      <c r="G268" s="10"/>
      <c r="H268" s="10"/>
      <c r="I268" s="12"/>
      <c r="J268" s="13"/>
    </row>
    <row r="269" spans="1:10" ht="75" customHeight="1">
      <c r="A269" s="7"/>
      <c r="B269" s="18"/>
      <c r="C269" s="9"/>
      <c r="D269" s="10"/>
      <c r="E269" s="10"/>
      <c r="F269" s="10"/>
      <c r="G269" s="10"/>
      <c r="H269" s="10"/>
      <c r="I269" s="12"/>
      <c r="J269" s="13"/>
    </row>
    <row r="270" spans="1:10" ht="75" customHeight="1">
      <c r="A270" s="7"/>
      <c r="B270" s="18"/>
      <c r="C270" s="9"/>
      <c r="D270" s="10"/>
      <c r="E270" s="10"/>
      <c r="F270" s="10"/>
      <c r="G270" s="10"/>
      <c r="H270" s="10"/>
      <c r="I270" s="12"/>
      <c r="J270" s="13"/>
    </row>
    <row r="271" spans="1:10" ht="75" customHeight="1">
      <c r="A271" s="7"/>
      <c r="B271" s="18"/>
      <c r="C271" s="9"/>
      <c r="D271" s="10"/>
      <c r="E271" s="10"/>
      <c r="F271" s="10"/>
      <c r="G271" s="10"/>
      <c r="H271" s="10"/>
      <c r="I271" s="12"/>
      <c r="J271" s="13"/>
    </row>
    <row r="272" spans="1:10" ht="75" customHeight="1">
      <c r="A272" s="7"/>
      <c r="B272" s="18"/>
      <c r="C272" s="9"/>
      <c r="D272" s="10"/>
      <c r="E272" s="10"/>
      <c r="F272" s="10"/>
      <c r="G272" s="10"/>
      <c r="H272" s="10"/>
      <c r="I272" s="12"/>
      <c r="J272" s="13"/>
    </row>
    <row r="273" spans="1:10" ht="75" customHeight="1">
      <c r="A273" s="7"/>
      <c r="B273" s="18"/>
      <c r="C273" s="9"/>
      <c r="D273" s="10"/>
      <c r="E273" s="10"/>
      <c r="F273" s="10"/>
      <c r="G273" s="10"/>
      <c r="H273" s="10"/>
      <c r="I273" s="12"/>
      <c r="J273" s="13"/>
    </row>
    <row r="274" spans="1:10" ht="75" customHeight="1">
      <c r="A274" s="7"/>
      <c r="B274" s="18"/>
      <c r="C274" s="9"/>
      <c r="D274" s="10"/>
      <c r="E274" s="10"/>
      <c r="F274" s="10"/>
      <c r="G274" s="10"/>
      <c r="H274" s="10"/>
      <c r="I274" s="12"/>
      <c r="J274" s="13"/>
    </row>
    <row r="275" spans="1:10" ht="75" customHeight="1">
      <c r="A275" s="7"/>
      <c r="B275" s="18"/>
      <c r="C275" s="9"/>
      <c r="D275" s="10"/>
      <c r="E275" s="10"/>
      <c r="F275" s="10"/>
      <c r="G275" s="10"/>
      <c r="H275" s="10"/>
      <c r="I275" s="12"/>
      <c r="J275" s="13"/>
    </row>
    <row r="276" spans="1:10" ht="75" customHeight="1">
      <c r="A276" s="7"/>
      <c r="B276" s="18"/>
      <c r="C276" s="9"/>
      <c r="D276" s="10"/>
      <c r="E276" s="10"/>
      <c r="F276" s="10"/>
      <c r="G276" s="10"/>
      <c r="H276" s="10"/>
      <c r="I276" s="12"/>
      <c r="J276" s="13"/>
    </row>
    <row r="277" spans="1:10" ht="75" customHeight="1">
      <c r="A277" s="7"/>
      <c r="B277" s="18"/>
      <c r="C277" s="9"/>
      <c r="D277" s="10"/>
      <c r="E277" s="10"/>
      <c r="F277" s="10"/>
      <c r="G277" s="10"/>
      <c r="H277" s="10"/>
      <c r="I277" s="12"/>
      <c r="J277" s="13"/>
    </row>
    <row r="278" spans="1:10" ht="75" customHeight="1">
      <c r="A278" s="7"/>
      <c r="B278" s="18"/>
      <c r="C278" s="9"/>
      <c r="D278" s="10"/>
      <c r="E278" s="10"/>
      <c r="F278" s="10"/>
      <c r="G278" s="10"/>
      <c r="H278" s="10"/>
      <c r="I278" s="12"/>
      <c r="J278" s="13"/>
    </row>
    <row r="279" spans="1:10" ht="75" customHeight="1">
      <c r="A279" s="7"/>
      <c r="B279" s="18"/>
      <c r="C279" s="9"/>
      <c r="D279" s="10"/>
      <c r="E279" s="10"/>
      <c r="F279" s="10"/>
      <c r="G279" s="10"/>
      <c r="H279" s="10"/>
      <c r="I279" s="12"/>
      <c r="J279" s="13"/>
    </row>
    <row r="280" spans="1:10" ht="75" customHeight="1">
      <c r="A280" s="7"/>
      <c r="B280" s="18"/>
      <c r="C280" s="9"/>
      <c r="D280" s="10"/>
      <c r="E280" s="10"/>
      <c r="F280" s="10"/>
      <c r="G280" s="10"/>
      <c r="H280" s="10"/>
      <c r="I280" s="12"/>
      <c r="J280" s="13"/>
    </row>
    <row r="281" spans="1:10" ht="75" customHeight="1">
      <c r="A281" s="7"/>
      <c r="B281" s="18"/>
      <c r="C281" s="9"/>
      <c r="D281" s="10"/>
      <c r="E281" s="10"/>
      <c r="F281" s="10"/>
      <c r="G281" s="10"/>
      <c r="H281" s="10"/>
      <c r="I281" s="12"/>
      <c r="J281" s="13"/>
    </row>
    <row r="282" spans="1:10" ht="75" customHeight="1">
      <c r="A282" s="7"/>
      <c r="B282" s="18"/>
      <c r="C282" s="9"/>
      <c r="D282" s="10"/>
      <c r="E282" s="10"/>
      <c r="F282" s="10"/>
      <c r="G282" s="10"/>
      <c r="H282" s="10"/>
      <c r="I282" s="12"/>
      <c r="J282" s="13"/>
    </row>
    <row r="283" spans="1:10" ht="75" customHeight="1">
      <c r="A283" s="7"/>
      <c r="B283" s="18"/>
      <c r="C283" s="9"/>
      <c r="D283" s="10"/>
      <c r="E283" s="10"/>
      <c r="F283" s="10"/>
      <c r="G283" s="10"/>
      <c r="H283" s="10"/>
      <c r="I283" s="12"/>
      <c r="J283" s="13"/>
    </row>
    <row r="284" spans="1:10" ht="75" customHeight="1">
      <c r="A284" s="7"/>
      <c r="B284" s="18"/>
      <c r="C284" s="9"/>
      <c r="D284" s="10"/>
      <c r="E284" s="10"/>
      <c r="F284" s="10"/>
      <c r="G284" s="10"/>
      <c r="H284" s="10"/>
      <c r="I284" s="12"/>
      <c r="J284" s="13"/>
    </row>
    <row r="285" spans="1:10" ht="75" customHeight="1">
      <c r="A285" s="7"/>
      <c r="B285" s="18"/>
      <c r="C285" s="9"/>
      <c r="D285" s="10"/>
      <c r="E285" s="10"/>
      <c r="F285" s="10"/>
      <c r="G285" s="10"/>
      <c r="H285" s="10"/>
      <c r="I285" s="12"/>
      <c r="J285" s="13"/>
    </row>
    <row r="286" spans="1:10" ht="75" customHeight="1">
      <c r="A286" s="7"/>
      <c r="B286" s="18"/>
      <c r="C286" s="9"/>
      <c r="D286" s="10"/>
      <c r="E286" s="10"/>
      <c r="F286" s="10"/>
      <c r="G286" s="10"/>
      <c r="H286" s="10"/>
      <c r="I286" s="12"/>
      <c r="J286" s="13"/>
    </row>
    <row r="287" spans="1:10" ht="75" customHeight="1">
      <c r="A287" s="7"/>
      <c r="B287" s="18"/>
      <c r="C287" s="9"/>
      <c r="D287" s="10"/>
      <c r="E287" s="10"/>
      <c r="F287" s="10"/>
      <c r="G287" s="10"/>
      <c r="H287" s="10"/>
      <c r="I287" s="12"/>
      <c r="J287" s="13"/>
    </row>
    <row r="288" spans="1:10" ht="75" customHeight="1">
      <c r="A288" s="7"/>
      <c r="B288" s="18"/>
      <c r="C288" s="9"/>
      <c r="D288" s="10"/>
      <c r="E288" s="10"/>
      <c r="F288" s="10"/>
      <c r="G288" s="10"/>
      <c r="H288" s="10"/>
      <c r="I288" s="12"/>
      <c r="J288" s="13"/>
    </row>
    <row r="289" spans="1:10" ht="75" customHeight="1">
      <c r="A289" s="7"/>
      <c r="B289" s="18"/>
      <c r="C289" s="9"/>
      <c r="D289" s="10"/>
      <c r="E289" s="10"/>
      <c r="F289" s="10"/>
      <c r="G289" s="10"/>
      <c r="H289" s="10"/>
      <c r="I289" s="12"/>
      <c r="J289" s="13"/>
    </row>
    <row r="290" spans="1:10" ht="75" customHeight="1">
      <c r="A290" s="7"/>
      <c r="B290" s="18"/>
      <c r="C290" s="9"/>
      <c r="D290" s="10"/>
      <c r="E290" s="10"/>
      <c r="F290" s="10"/>
      <c r="G290" s="10"/>
      <c r="H290" s="10"/>
      <c r="I290" s="12"/>
      <c r="J290" s="13"/>
    </row>
    <row r="291" spans="1:10" ht="75" customHeight="1">
      <c r="A291" s="7"/>
      <c r="B291" s="18"/>
      <c r="C291" s="9"/>
      <c r="D291" s="10"/>
      <c r="E291" s="10"/>
      <c r="F291" s="10"/>
      <c r="G291" s="10"/>
      <c r="H291" s="10"/>
      <c r="I291" s="12"/>
      <c r="J291" s="13"/>
    </row>
    <row r="292" spans="1:10" ht="75" customHeight="1">
      <c r="A292" s="7"/>
      <c r="B292" s="18"/>
      <c r="C292" s="9"/>
      <c r="D292" s="10"/>
      <c r="E292" s="10"/>
      <c r="F292" s="10"/>
      <c r="G292" s="10"/>
      <c r="H292" s="10"/>
      <c r="I292" s="12"/>
      <c r="J292" s="13"/>
    </row>
    <row r="293" spans="1:10" ht="75" customHeight="1">
      <c r="A293" s="7"/>
      <c r="B293" s="18"/>
      <c r="C293" s="9"/>
      <c r="D293" s="10"/>
      <c r="E293" s="10"/>
      <c r="F293" s="10"/>
      <c r="G293" s="10"/>
      <c r="H293" s="10"/>
      <c r="I293" s="12"/>
      <c r="J293" s="13"/>
    </row>
    <row r="294" spans="1:10" ht="75" customHeight="1">
      <c r="A294" s="7"/>
      <c r="B294" s="18"/>
      <c r="C294" s="9"/>
      <c r="D294" s="10"/>
      <c r="E294" s="10"/>
      <c r="F294" s="10"/>
      <c r="G294" s="10"/>
      <c r="H294" s="10"/>
      <c r="I294" s="12"/>
      <c r="J294" s="13"/>
    </row>
    <row r="295" spans="1:10" ht="75" customHeight="1">
      <c r="A295" s="7"/>
      <c r="B295" s="18"/>
      <c r="C295" s="9"/>
      <c r="D295" s="10"/>
      <c r="E295" s="10"/>
      <c r="F295" s="10"/>
      <c r="G295" s="10"/>
      <c r="H295" s="10"/>
      <c r="I295" s="12"/>
      <c r="J295" s="13"/>
    </row>
    <row r="296" spans="1:10" ht="75" customHeight="1">
      <c r="A296" s="7"/>
      <c r="B296" s="18"/>
      <c r="C296" s="9"/>
      <c r="D296" s="10"/>
      <c r="E296" s="10"/>
      <c r="F296" s="10"/>
      <c r="G296" s="10"/>
      <c r="H296" s="10"/>
      <c r="I296" s="12"/>
      <c r="J296" s="13"/>
    </row>
    <row r="297" spans="1:10" ht="75" customHeight="1">
      <c r="A297" s="7"/>
      <c r="B297" s="18"/>
      <c r="C297" s="9"/>
      <c r="D297" s="10"/>
      <c r="E297" s="10"/>
      <c r="F297" s="10"/>
      <c r="G297" s="10"/>
      <c r="H297" s="10"/>
      <c r="I297" s="12"/>
      <c r="J297" s="13"/>
    </row>
    <row r="298" spans="1:10" ht="75" customHeight="1">
      <c r="A298" s="7"/>
      <c r="B298" s="18"/>
      <c r="C298" s="9"/>
      <c r="D298" s="10"/>
      <c r="E298" s="10"/>
      <c r="F298" s="10"/>
      <c r="G298" s="10"/>
      <c r="H298" s="10"/>
      <c r="I298" s="12"/>
      <c r="J298" s="13"/>
    </row>
    <row r="299" spans="1:10" ht="75" customHeight="1">
      <c r="A299" s="7"/>
      <c r="B299" s="18"/>
      <c r="C299" s="9"/>
      <c r="D299" s="10"/>
      <c r="E299" s="10"/>
      <c r="F299" s="10"/>
      <c r="G299" s="10"/>
      <c r="H299" s="10"/>
      <c r="I299" s="12"/>
      <c r="J299" s="13"/>
    </row>
    <row r="300" spans="1:10" ht="75" customHeight="1">
      <c r="A300" s="7"/>
      <c r="B300" s="18"/>
      <c r="C300" s="9"/>
      <c r="D300" s="10"/>
      <c r="E300" s="10"/>
      <c r="F300" s="10"/>
      <c r="G300" s="10"/>
      <c r="H300" s="10"/>
      <c r="I300" s="12"/>
      <c r="J300" s="13"/>
    </row>
    <row r="301" spans="1:10" ht="75" customHeight="1">
      <c r="A301" s="7"/>
      <c r="B301" s="18"/>
      <c r="C301" s="9"/>
      <c r="D301" s="10"/>
      <c r="E301" s="10"/>
      <c r="F301" s="10"/>
      <c r="G301" s="10"/>
      <c r="H301" s="10"/>
      <c r="I301" s="12"/>
      <c r="J301" s="13"/>
    </row>
    <row r="302" spans="1:10" ht="75" customHeight="1">
      <c r="A302" s="7"/>
      <c r="B302" s="18"/>
      <c r="C302" s="9"/>
      <c r="D302" s="10"/>
      <c r="E302" s="10"/>
      <c r="F302" s="10"/>
      <c r="G302" s="10"/>
      <c r="H302" s="10"/>
      <c r="I302" s="12"/>
      <c r="J302" s="13"/>
    </row>
    <row r="303" spans="1:10" ht="75" customHeight="1">
      <c r="A303" s="7"/>
      <c r="B303" s="18"/>
      <c r="C303" s="9"/>
      <c r="D303" s="10"/>
      <c r="E303" s="10"/>
      <c r="F303" s="10"/>
      <c r="G303" s="10"/>
      <c r="H303" s="10"/>
      <c r="I303" s="12"/>
      <c r="J303" s="13"/>
    </row>
    <row r="304" spans="1:10" ht="75" customHeight="1">
      <c r="A304" s="7"/>
      <c r="B304" s="18"/>
      <c r="C304" s="9"/>
      <c r="D304" s="10"/>
      <c r="E304" s="10"/>
      <c r="F304" s="10"/>
      <c r="G304" s="10"/>
      <c r="H304" s="10"/>
      <c r="I304" s="12"/>
      <c r="J304" s="13"/>
    </row>
    <row r="305" spans="1:10" ht="75" customHeight="1">
      <c r="A305" s="7"/>
      <c r="B305" s="18"/>
      <c r="C305" s="9"/>
      <c r="D305" s="10"/>
      <c r="E305" s="10"/>
      <c r="F305" s="10"/>
      <c r="G305" s="10"/>
      <c r="H305" s="10"/>
      <c r="I305" s="12"/>
      <c r="J305" s="13"/>
    </row>
    <row r="306" spans="1:10" ht="75" customHeight="1">
      <c r="A306" s="7"/>
      <c r="B306" s="18"/>
      <c r="C306" s="9"/>
      <c r="D306" s="10"/>
      <c r="E306" s="10"/>
      <c r="F306" s="10"/>
      <c r="G306" s="10"/>
      <c r="H306" s="10"/>
      <c r="I306" s="12"/>
      <c r="J306" s="13"/>
    </row>
    <row r="307" spans="1:10" ht="75" customHeight="1">
      <c r="A307" s="7"/>
      <c r="B307" s="18"/>
      <c r="C307" s="9"/>
      <c r="D307" s="10"/>
      <c r="E307" s="10"/>
      <c r="F307" s="10"/>
      <c r="G307" s="10"/>
      <c r="H307" s="10"/>
      <c r="I307" s="12"/>
      <c r="J307" s="13"/>
    </row>
    <row r="308" spans="1:10" ht="75" customHeight="1">
      <c r="A308" s="7"/>
      <c r="B308" s="18"/>
      <c r="C308" s="9"/>
      <c r="D308" s="10"/>
      <c r="E308" s="10"/>
      <c r="F308" s="10"/>
      <c r="G308" s="10"/>
      <c r="H308" s="10"/>
      <c r="I308" s="12"/>
      <c r="J308" s="13"/>
    </row>
    <row r="309" spans="1:10" ht="75" customHeight="1">
      <c r="A309" s="7"/>
      <c r="B309" s="18"/>
      <c r="C309" s="9"/>
      <c r="D309" s="10"/>
      <c r="E309" s="10"/>
      <c r="F309" s="10"/>
      <c r="G309" s="10"/>
      <c r="H309" s="10"/>
      <c r="I309" s="12"/>
      <c r="J309" s="13"/>
    </row>
    <row r="310" spans="1:10" ht="75" customHeight="1">
      <c r="A310" s="7"/>
      <c r="B310" s="18"/>
      <c r="C310" s="9"/>
      <c r="D310" s="10"/>
      <c r="E310" s="10"/>
      <c r="F310" s="10"/>
      <c r="G310" s="10"/>
      <c r="H310" s="10"/>
      <c r="I310" s="12"/>
      <c r="J310" s="13"/>
    </row>
    <row r="311" spans="1:10" ht="75" customHeight="1">
      <c r="A311" s="7"/>
      <c r="B311" s="18"/>
      <c r="C311" s="9"/>
      <c r="D311" s="10"/>
      <c r="E311" s="10"/>
      <c r="F311" s="10"/>
      <c r="G311" s="10"/>
      <c r="H311" s="10"/>
      <c r="I311" s="12"/>
      <c r="J311" s="13"/>
    </row>
    <row r="312" spans="1:10" ht="75" customHeight="1">
      <c r="A312" s="7"/>
      <c r="B312" s="18"/>
      <c r="C312" s="9"/>
      <c r="D312" s="10"/>
      <c r="E312" s="10"/>
      <c r="F312" s="10"/>
      <c r="G312" s="10"/>
      <c r="H312" s="10"/>
      <c r="I312" s="12"/>
      <c r="J312" s="13"/>
    </row>
    <row r="313" spans="1:10" ht="75" customHeight="1">
      <c r="A313" s="7"/>
      <c r="B313" s="18"/>
      <c r="C313" s="9"/>
      <c r="D313" s="10"/>
      <c r="E313" s="10"/>
      <c r="F313" s="10"/>
      <c r="G313" s="10"/>
      <c r="H313" s="10"/>
      <c r="I313" s="12"/>
      <c r="J313" s="13"/>
    </row>
    <row r="314" spans="1:10" ht="75" customHeight="1">
      <c r="A314" s="7"/>
      <c r="B314" s="18"/>
      <c r="C314" s="9"/>
      <c r="D314" s="10"/>
      <c r="E314" s="10"/>
      <c r="F314" s="10"/>
      <c r="G314" s="10"/>
      <c r="H314" s="10"/>
      <c r="I314" s="12"/>
      <c r="J314" s="13"/>
    </row>
    <row r="315" spans="1:10" ht="75" customHeight="1">
      <c r="A315" s="7"/>
      <c r="B315" s="18"/>
      <c r="C315" s="9"/>
      <c r="D315" s="10"/>
      <c r="E315" s="10"/>
      <c r="F315" s="10"/>
      <c r="G315" s="10"/>
      <c r="H315" s="10"/>
      <c r="I315" s="12"/>
      <c r="J315" s="13"/>
    </row>
    <row r="316" spans="1:10" ht="75" customHeight="1">
      <c r="A316" s="7"/>
      <c r="B316" s="18"/>
      <c r="C316" s="9"/>
      <c r="D316" s="10"/>
      <c r="E316" s="10"/>
      <c r="F316" s="10"/>
      <c r="G316" s="10"/>
      <c r="H316" s="10"/>
      <c r="I316" s="12"/>
      <c r="J316" s="13"/>
    </row>
    <row r="317" spans="1:10" ht="75" customHeight="1">
      <c r="A317" s="7"/>
      <c r="B317" s="18"/>
      <c r="C317" s="9"/>
      <c r="D317" s="10"/>
      <c r="E317" s="10"/>
      <c r="F317" s="10"/>
      <c r="G317" s="10"/>
      <c r="H317" s="10"/>
      <c r="I317" s="12"/>
      <c r="J317" s="13"/>
    </row>
    <row r="318" spans="1:10" ht="75" customHeight="1">
      <c r="A318" s="7"/>
      <c r="B318" s="18"/>
      <c r="C318" s="9"/>
      <c r="D318" s="10"/>
      <c r="E318" s="10"/>
      <c r="F318" s="10"/>
      <c r="G318" s="10"/>
      <c r="H318" s="10"/>
      <c r="I318" s="12"/>
      <c r="J318" s="13"/>
    </row>
    <row r="319" spans="1:10" ht="75" customHeight="1">
      <c r="A319" s="7"/>
      <c r="B319" s="18"/>
      <c r="C319" s="9"/>
      <c r="D319" s="10"/>
      <c r="E319" s="10"/>
      <c r="F319" s="10"/>
      <c r="G319" s="10"/>
      <c r="H319" s="10"/>
      <c r="I319" s="12"/>
      <c r="J319" s="13"/>
    </row>
    <row r="320" spans="1:10" ht="75" customHeight="1">
      <c r="A320" s="7"/>
      <c r="B320" s="18"/>
      <c r="C320" s="9"/>
      <c r="D320" s="10"/>
      <c r="E320" s="10"/>
      <c r="F320" s="10"/>
      <c r="G320" s="10"/>
      <c r="H320" s="10"/>
      <c r="I320" s="12"/>
      <c r="J320" s="13"/>
    </row>
    <row r="321" spans="1:10" ht="75" customHeight="1">
      <c r="A321" s="7"/>
      <c r="B321" s="18"/>
      <c r="C321" s="9"/>
      <c r="D321" s="10"/>
      <c r="E321" s="10"/>
      <c r="F321" s="10"/>
      <c r="G321" s="10"/>
      <c r="H321" s="10"/>
      <c r="I321" s="12"/>
      <c r="J321" s="13"/>
    </row>
    <row r="322" spans="1:10" ht="75" customHeight="1">
      <c r="A322" s="7"/>
      <c r="B322" s="18"/>
      <c r="C322" s="9"/>
      <c r="D322" s="10"/>
      <c r="E322" s="10"/>
      <c r="F322" s="10"/>
      <c r="G322" s="10"/>
      <c r="H322" s="10"/>
      <c r="I322" s="12"/>
      <c r="J322" s="13"/>
    </row>
    <row r="323" spans="1:10" ht="75" customHeight="1">
      <c r="A323" s="7"/>
      <c r="B323" s="18"/>
      <c r="C323" s="9"/>
      <c r="D323" s="10"/>
      <c r="E323" s="10"/>
      <c r="F323" s="10"/>
      <c r="G323" s="10"/>
      <c r="H323" s="10"/>
      <c r="I323" s="12"/>
      <c r="J323" s="13"/>
    </row>
    <row r="324" spans="1:10" ht="75" customHeight="1">
      <c r="A324" s="7"/>
      <c r="B324" s="18"/>
      <c r="C324" s="9"/>
      <c r="D324" s="10"/>
      <c r="E324" s="10"/>
      <c r="F324" s="10"/>
      <c r="G324" s="10"/>
      <c r="H324" s="10"/>
      <c r="I324" s="12"/>
      <c r="J324" s="13"/>
    </row>
    <row r="325" spans="1:10" ht="75" customHeight="1">
      <c r="A325" s="7"/>
      <c r="B325" s="18"/>
      <c r="C325" s="9"/>
      <c r="D325" s="10"/>
      <c r="E325" s="10"/>
      <c r="F325" s="10"/>
      <c r="G325" s="10"/>
      <c r="H325" s="10"/>
      <c r="I325" s="12"/>
      <c r="J325" s="13"/>
    </row>
    <row r="326" spans="1:10" ht="75" customHeight="1">
      <c r="A326" s="7"/>
      <c r="B326" s="18"/>
      <c r="C326" s="9"/>
      <c r="D326" s="10"/>
      <c r="E326" s="10"/>
      <c r="F326" s="10"/>
      <c r="G326" s="10"/>
      <c r="H326" s="10"/>
      <c r="I326" s="12"/>
      <c r="J326" s="13"/>
    </row>
    <row r="327" spans="1:10" ht="75" customHeight="1">
      <c r="A327" s="7"/>
      <c r="B327" s="18"/>
      <c r="C327" s="9"/>
      <c r="D327" s="10"/>
      <c r="E327" s="10"/>
      <c r="F327" s="10"/>
      <c r="G327" s="10"/>
      <c r="H327" s="10"/>
      <c r="I327" s="12"/>
      <c r="J327" s="13"/>
    </row>
    <row r="328" spans="1:10" ht="75" customHeight="1">
      <c r="A328" s="7"/>
      <c r="B328" s="18"/>
      <c r="C328" s="9"/>
      <c r="D328" s="10"/>
      <c r="E328" s="10"/>
      <c r="F328" s="10"/>
      <c r="G328" s="10"/>
      <c r="H328" s="10"/>
      <c r="I328" s="12"/>
      <c r="J328" s="13"/>
    </row>
    <row r="329" spans="1:10" ht="75" customHeight="1">
      <c r="A329" s="7"/>
      <c r="B329" s="18"/>
      <c r="C329" s="9"/>
      <c r="D329" s="10"/>
      <c r="E329" s="10"/>
      <c r="F329" s="10"/>
      <c r="G329" s="10"/>
      <c r="H329" s="10"/>
      <c r="I329" s="12"/>
      <c r="J329" s="13"/>
    </row>
    <row r="330" spans="1:10" ht="75" customHeight="1">
      <c r="A330" s="7"/>
      <c r="B330" s="18"/>
      <c r="C330" s="9"/>
      <c r="D330" s="10"/>
      <c r="E330" s="10"/>
      <c r="F330" s="10"/>
      <c r="G330" s="10"/>
      <c r="H330" s="10"/>
      <c r="I330" s="12"/>
      <c r="J330" s="13"/>
    </row>
    <row r="331" spans="1:10" ht="75" customHeight="1">
      <c r="A331" s="7"/>
      <c r="B331" s="18"/>
      <c r="C331" s="9"/>
      <c r="D331" s="10"/>
      <c r="E331" s="10"/>
      <c r="F331" s="10"/>
      <c r="G331" s="10"/>
      <c r="H331" s="10"/>
      <c r="I331" s="12"/>
      <c r="J331" s="13"/>
    </row>
    <row r="332" spans="1:10" ht="75" customHeight="1">
      <c r="A332" s="7"/>
      <c r="B332" s="18"/>
      <c r="C332" s="9"/>
      <c r="D332" s="10"/>
      <c r="E332" s="10"/>
      <c r="F332" s="10"/>
      <c r="G332" s="10"/>
      <c r="H332" s="10"/>
      <c r="I332" s="12"/>
      <c r="J332" s="13"/>
    </row>
    <row r="333" spans="1:10" ht="75" customHeight="1">
      <c r="A333" s="7"/>
      <c r="B333" s="18"/>
      <c r="C333" s="9"/>
      <c r="D333" s="10"/>
      <c r="E333" s="10"/>
      <c r="F333" s="10"/>
      <c r="G333" s="10"/>
      <c r="H333" s="10"/>
      <c r="I333" s="12"/>
      <c r="J333" s="13"/>
    </row>
    <row r="334" spans="1:10" ht="75" customHeight="1">
      <c r="A334" s="7"/>
      <c r="B334" s="18"/>
      <c r="C334" s="9"/>
      <c r="D334" s="10"/>
      <c r="E334" s="10"/>
      <c r="F334" s="10"/>
      <c r="G334" s="10"/>
      <c r="H334" s="10"/>
      <c r="I334" s="12"/>
      <c r="J334" s="13"/>
    </row>
    <row r="335" spans="1:10" ht="75" customHeight="1">
      <c r="A335" s="7"/>
      <c r="B335" s="18"/>
      <c r="C335" s="9"/>
      <c r="D335" s="10"/>
      <c r="E335" s="10"/>
      <c r="F335" s="10"/>
      <c r="G335" s="10"/>
      <c r="H335" s="10"/>
      <c r="I335" s="12"/>
      <c r="J335" s="13"/>
    </row>
    <row r="336" spans="1:10" ht="75" customHeight="1">
      <c r="A336" s="7"/>
      <c r="B336" s="18"/>
      <c r="C336" s="9"/>
      <c r="D336" s="10"/>
      <c r="E336" s="10"/>
      <c r="F336" s="10"/>
      <c r="G336" s="10"/>
      <c r="H336" s="10"/>
      <c r="I336" s="12"/>
      <c r="J336" s="13"/>
    </row>
    <row r="337" spans="1:10" ht="75" customHeight="1">
      <c r="A337" s="7"/>
      <c r="B337" s="18"/>
      <c r="C337" s="9"/>
      <c r="D337" s="10"/>
      <c r="E337" s="10"/>
      <c r="F337" s="10"/>
      <c r="G337" s="10"/>
      <c r="H337" s="10"/>
      <c r="I337" s="12"/>
      <c r="J337" s="13"/>
    </row>
    <row r="338" spans="1:10" ht="75" customHeight="1">
      <c r="A338" s="7"/>
      <c r="B338" s="18"/>
      <c r="C338" s="9"/>
      <c r="D338" s="10"/>
      <c r="E338" s="10"/>
      <c r="F338" s="10"/>
      <c r="G338" s="10"/>
      <c r="H338" s="10"/>
      <c r="I338" s="12"/>
      <c r="J338" s="13"/>
    </row>
    <row r="339" spans="1:10" ht="75" customHeight="1">
      <c r="A339" s="7"/>
      <c r="B339" s="18"/>
      <c r="C339" s="9"/>
      <c r="D339" s="10"/>
      <c r="E339" s="10"/>
      <c r="F339" s="10"/>
      <c r="G339" s="10"/>
      <c r="H339" s="10"/>
      <c r="I339" s="12"/>
      <c r="J339" s="13"/>
    </row>
    <row r="340" spans="1:10" ht="75" customHeight="1">
      <c r="A340" s="7"/>
      <c r="B340" s="18"/>
      <c r="C340" s="9"/>
      <c r="D340" s="10"/>
      <c r="E340" s="10"/>
      <c r="F340" s="10"/>
      <c r="G340" s="10"/>
      <c r="H340" s="10"/>
      <c r="I340" s="12"/>
      <c r="J340" s="13"/>
    </row>
    <row r="341" spans="1:10" ht="75" customHeight="1">
      <c r="A341" s="7"/>
      <c r="B341" s="18"/>
      <c r="C341" s="9"/>
      <c r="D341" s="10"/>
      <c r="E341" s="10"/>
      <c r="F341" s="10"/>
      <c r="G341" s="10"/>
      <c r="H341" s="10"/>
      <c r="I341" s="12"/>
      <c r="J341" s="13"/>
    </row>
    <row r="342" spans="1:10" ht="75" customHeight="1">
      <c r="A342" s="7"/>
      <c r="B342" s="18"/>
      <c r="C342" s="9"/>
      <c r="D342" s="10"/>
      <c r="E342" s="10"/>
      <c r="F342" s="10"/>
      <c r="G342" s="10"/>
      <c r="H342" s="10"/>
      <c r="I342" s="12"/>
      <c r="J342" s="13"/>
    </row>
    <row r="343" spans="1:10" ht="75" customHeight="1">
      <c r="A343" s="7"/>
      <c r="B343" s="18"/>
      <c r="C343" s="9"/>
      <c r="D343" s="10"/>
      <c r="E343" s="10"/>
      <c r="F343" s="10"/>
      <c r="G343" s="10"/>
      <c r="H343" s="10"/>
      <c r="I343" s="12"/>
      <c r="J343" s="13"/>
    </row>
    <row r="344" spans="1:10" ht="75" customHeight="1">
      <c r="A344" s="7"/>
      <c r="B344" s="18"/>
      <c r="C344" s="9"/>
      <c r="D344" s="10"/>
      <c r="E344" s="10"/>
      <c r="F344" s="10"/>
      <c r="G344" s="10"/>
      <c r="H344" s="10"/>
      <c r="I344" s="12"/>
      <c r="J344" s="13"/>
    </row>
    <row r="345" spans="1:10" ht="75" customHeight="1">
      <c r="A345" s="7"/>
      <c r="B345" s="18"/>
      <c r="C345" s="9"/>
      <c r="D345" s="10"/>
      <c r="E345" s="10"/>
      <c r="F345" s="10"/>
      <c r="G345" s="10"/>
      <c r="H345" s="10"/>
      <c r="I345" s="12"/>
      <c r="J345" s="13"/>
    </row>
    <row r="346" spans="1:10" ht="75" customHeight="1">
      <c r="A346" s="7"/>
      <c r="B346" s="18"/>
      <c r="C346" s="9"/>
      <c r="D346" s="10"/>
      <c r="E346" s="10"/>
      <c r="F346" s="10"/>
      <c r="G346" s="10"/>
      <c r="H346" s="10"/>
      <c r="I346" s="12"/>
      <c r="J346" s="13"/>
    </row>
    <row r="347" spans="1:10" ht="75" customHeight="1">
      <c r="A347" s="7"/>
      <c r="B347" s="18"/>
      <c r="C347" s="9"/>
      <c r="D347" s="10"/>
      <c r="E347" s="10"/>
      <c r="F347" s="10"/>
      <c r="G347" s="10"/>
      <c r="H347" s="10"/>
      <c r="I347" s="12"/>
      <c r="J347" s="13"/>
    </row>
    <row r="348" spans="1:10" ht="75" customHeight="1">
      <c r="A348" s="7"/>
      <c r="B348" s="18"/>
      <c r="C348" s="9"/>
      <c r="D348" s="10"/>
      <c r="E348" s="10"/>
      <c r="F348" s="10"/>
      <c r="G348" s="10"/>
      <c r="H348" s="10"/>
      <c r="I348" s="12"/>
      <c r="J348" s="13"/>
    </row>
    <row r="349" spans="1:10" ht="75" customHeight="1">
      <c r="A349" s="7"/>
      <c r="B349" s="18"/>
      <c r="C349" s="9"/>
      <c r="D349" s="10"/>
      <c r="E349" s="10"/>
      <c r="F349" s="10"/>
      <c r="G349" s="10"/>
      <c r="H349" s="10"/>
      <c r="I349" s="12"/>
      <c r="J349" s="13"/>
    </row>
    <row r="350" spans="1:10" ht="75" customHeight="1">
      <c r="A350" s="7"/>
      <c r="B350" s="18"/>
      <c r="C350" s="9"/>
      <c r="D350" s="10"/>
      <c r="E350" s="10"/>
      <c r="F350" s="10"/>
      <c r="G350" s="10"/>
      <c r="H350" s="10"/>
      <c r="I350" s="12"/>
      <c r="J350" s="13"/>
    </row>
    <row r="351" spans="1:10" ht="75" customHeight="1">
      <c r="A351" s="7"/>
      <c r="B351" s="18"/>
      <c r="C351" s="9"/>
      <c r="D351" s="10"/>
      <c r="E351" s="10"/>
      <c r="F351" s="10"/>
      <c r="G351" s="10"/>
      <c r="H351" s="10"/>
      <c r="I351" s="12"/>
      <c r="J351" s="13"/>
    </row>
    <row r="352" spans="1:10" ht="75" customHeight="1">
      <c r="A352" s="7"/>
      <c r="B352" s="18"/>
      <c r="C352" s="9"/>
      <c r="D352" s="10"/>
      <c r="E352" s="10"/>
      <c r="F352" s="10"/>
      <c r="G352" s="10"/>
      <c r="H352" s="10"/>
      <c r="I352" s="12"/>
      <c r="J352" s="13"/>
    </row>
    <row r="353" spans="1:10" ht="75" customHeight="1">
      <c r="A353" s="7"/>
      <c r="B353" s="18"/>
      <c r="C353" s="9"/>
      <c r="D353" s="10"/>
      <c r="E353" s="10"/>
      <c r="F353" s="10"/>
      <c r="G353" s="10"/>
      <c r="H353" s="10"/>
      <c r="I353" s="12"/>
      <c r="J353" s="13"/>
    </row>
    <row r="354" spans="1:10" ht="75" customHeight="1">
      <c r="A354" s="7"/>
      <c r="B354" s="18"/>
      <c r="C354" s="9"/>
      <c r="D354" s="10"/>
      <c r="E354" s="10"/>
      <c r="F354" s="10"/>
      <c r="G354" s="10"/>
      <c r="H354" s="10"/>
      <c r="I354" s="12"/>
      <c r="J354" s="13"/>
    </row>
    <row r="355" spans="1:10" ht="75" customHeight="1">
      <c r="A355" s="7"/>
      <c r="B355" s="18"/>
      <c r="C355" s="9"/>
      <c r="D355" s="10"/>
      <c r="E355" s="10"/>
      <c r="F355" s="10"/>
      <c r="G355" s="10"/>
      <c r="H355" s="10"/>
      <c r="I355" s="12"/>
      <c r="J355" s="13"/>
    </row>
    <row r="356" spans="1:10" ht="75" customHeight="1">
      <c r="A356" s="7"/>
      <c r="B356" s="18"/>
      <c r="C356" s="9"/>
      <c r="D356" s="10"/>
      <c r="E356" s="10"/>
      <c r="F356" s="10"/>
      <c r="G356" s="10"/>
      <c r="H356" s="10"/>
      <c r="I356" s="12"/>
      <c r="J356" s="13"/>
    </row>
    <row r="357" spans="1:10" ht="75" customHeight="1">
      <c r="A357" s="7"/>
      <c r="B357" s="18"/>
      <c r="C357" s="9"/>
      <c r="D357" s="10"/>
      <c r="E357" s="10"/>
      <c r="F357" s="10"/>
      <c r="G357" s="10"/>
      <c r="H357" s="10"/>
      <c r="I357" s="12"/>
      <c r="J357" s="13"/>
    </row>
    <row r="358" spans="1:10" ht="75" customHeight="1">
      <c r="A358" s="7"/>
      <c r="B358" s="18"/>
      <c r="C358" s="9"/>
      <c r="D358" s="10"/>
      <c r="E358" s="10"/>
      <c r="F358" s="10"/>
      <c r="G358" s="10"/>
      <c r="H358" s="10"/>
      <c r="I358" s="12"/>
      <c r="J358" s="13"/>
    </row>
    <row r="359" spans="1:10" ht="75" customHeight="1">
      <c r="A359" s="7"/>
      <c r="B359" s="18"/>
      <c r="C359" s="9"/>
      <c r="D359" s="10"/>
      <c r="E359" s="10"/>
      <c r="F359" s="10"/>
      <c r="G359" s="10"/>
      <c r="H359" s="10"/>
      <c r="I359" s="12"/>
      <c r="J359" s="13"/>
    </row>
    <row r="360" spans="1:10" ht="75" customHeight="1">
      <c r="A360" s="7"/>
      <c r="B360" s="18"/>
      <c r="C360" s="9"/>
      <c r="D360" s="10"/>
      <c r="E360" s="10"/>
      <c r="F360" s="10"/>
      <c r="G360" s="10"/>
      <c r="H360" s="10"/>
      <c r="I360" s="12"/>
      <c r="J360" s="13"/>
    </row>
    <row r="361" spans="1:10" ht="75" customHeight="1">
      <c r="A361" s="7"/>
      <c r="B361" s="18"/>
      <c r="C361" s="9"/>
      <c r="D361" s="10"/>
      <c r="E361" s="10"/>
      <c r="F361" s="10"/>
      <c r="G361" s="10"/>
      <c r="H361" s="10"/>
      <c r="I361" s="12"/>
      <c r="J361" s="13"/>
    </row>
    <row r="362" spans="1:10" ht="75" customHeight="1">
      <c r="A362" s="7"/>
      <c r="B362" s="18"/>
      <c r="C362" s="9"/>
      <c r="D362" s="10"/>
      <c r="E362" s="10"/>
      <c r="F362" s="10"/>
      <c r="G362" s="10"/>
      <c r="H362" s="10"/>
      <c r="I362" s="12"/>
      <c r="J362" s="13"/>
    </row>
    <row r="363" spans="1:10" ht="75" customHeight="1">
      <c r="A363" s="7"/>
      <c r="B363" s="18"/>
      <c r="C363" s="9"/>
      <c r="D363" s="10"/>
      <c r="E363" s="10"/>
      <c r="F363" s="10"/>
      <c r="G363" s="10"/>
      <c r="H363" s="10"/>
      <c r="I363" s="12"/>
      <c r="J363" s="13"/>
    </row>
    <row r="364" spans="1:10" ht="75" customHeight="1">
      <c r="A364" s="7"/>
      <c r="B364" s="18"/>
      <c r="C364" s="9"/>
      <c r="D364" s="10"/>
      <c r="E364" s="10"/>
      <c r="F364" s="10"/>
      <c r="G364" s="10"/>
      <c r="H364" s="10"/>
      <c r="I364" s="12"/>
      <c r="J364" s="13"/>
    </row>
    <row r="365" spans="1:10" ht="75" customHeight="1">
      <c r="A365" s="7"/>
      <c r="B365" s="18"/>
      <c r="C365" s="9"/>
      <c r="D365" s="10"/>
      <c r="E365" s="10"/>
      <c r="F365" s="10"/>
      <c r="G365" s="10"/>
      <c r="H365" s="10"/>
      <c r="I365" s="12"/>
      <c r="J365" s="13"/>
    </row>
    <row r="366" spans="1:10" ht="75" customHeight="1">
      <c r="A366" s="7"/>
      <c r="B366" s="18"/>
      <c r="C366" s="9"/>
      <c r="D366" s="10"/>
      <c r="E366" s="10"/>
      <c r="F366" s="10"/>
      <c r="G366" s="10"/>
      <c r="H366" s="10"/>
      <c r="I366" s="12"/>
      <c r="J366" s="13"/>
    </row>
    <row r="367" spans="1:10" ht="75" customHeight="1">
      <c r="A367" s="7"/>
      <c r="B367" s="18"/>
      <c r="C367" s="9"/>
      <c r="D367" s="10"/>
      <c r="E367" s="10"/>
      <c r="F367" s="10"/>
      <c r="G367" s="10"/>
      <c r="H367" s="10"/>
      <c r="I367" s="12"/>
      <c r="J367" s="13"/>
    </row>
    <row r="368" spans="1:10" ht="75" customHeight="1">
      <c r="A368" s="7"/>
      <c r="B368" s="18"/>
      <c r="C368" s="9"/>
      <c r="D368" s="10"/>
      <c r="E368" s="10"/>
      <c r="F368" s="10"/>
      <c r="G368" s="10"/>
      <c r="H368" s="10"/>
      <c r="I368" s="12"/>
      <c r="J368" s="13"/>
    </row>
    <row r="369" spans="1:10" ht="75" customHeight="1">
      <c r="A369" s="7"/>
      <c r="B369" s="18"/>
      <c r="C369" s="9"/>
      <c r="D369" s="10"/>
      <c r="E369" s="10"/>
      <c r="F369" s="10"/>
      <c r="G369" s="10"/>
      <c r="H369" s="10"/>
      <c r="I369" s="12"/>
      <c r="J369" s="13"/>
    </row>
    <row r="370" spans="1:10" ht="75" customHeight="1">
      <c r="A370" s="7"/>
      <c r="B370" s="18"/>
      <c r="C370" s="9"/>
      <c r="D370" s="10"/>
      <c r="E370" s="10"/>
      <c r="F370" s="10"/>
      <c r="G370" s="10"/>
      <c r="H370" s="10"/>
      <c r="I370" s="12"/>
      <c r="J370" s="13"/>
    </row>
    <row r="371" spans="1:10" ht="75" customHeight="1">
      <c r="A371" s="7"/>
      <c r="B371" s="18"/>
      <c r="C371" s="9"/>
      <c r="D371" s="10"/>
      <c r="E371" s="10"/>
      <c r="F371" s="10"/>
      <c r="G371" s="10"/>
      <c r="H371" s="10"/>
      <c r="I371" s="12"/>
      <c r="J371" s="13"/>
    </row>
    <row r="372" spans="1:10" ht="75" customHeight="1">
      <c r="A372" s="7"/>
      <c r="B372" s="18"/>
      <c r="C372" s="9"/>
      <c r="D372" s="10"/>
      <c r="E372" s="10"/>
      <c r="F372" s="10"/>
      <c r="G372" s="10"/>
      <c r="H372" s="10"/>
      <c r="I372" s="12"/>
      <c r="J372" s="13"/>
    </row>
    <row r="373" spans="1:10" ht="75" customHeight="1">
      <c r="A373" s="7"/>
      <c r="B373" s="18"/>
      <c r="C373" s="9"/>
      <c r="D373" s="10"/>
      <c r="E373" s="10"/>
      <c r="F373" s="10"/>
      <c r="G373" s="10"/>
      <c r="H373" s="10"/>
      <c r="I373" s="12"/>
      <c r="J373" s="13"/>
    </row>
    <row r="374" spans="1:10" ht="75" customHeight="1">
      <c r="A374" s="7"/>
      <c r="B374" s="18"/>
      <c r="C374" s="9"/>
      <c r="D374" s="10"/>
      <c r="E374" s="10"/>
      <c r="F374" s="10"/>
      <c r="G374" s="10"/>
      <c r="H374" s="10"/>
      <c r="I374" s="12"/>
      <c r="J374" s="13"/>
    </row>
    <row r="375" spans="1:10" ht="75" customHeight="1">
      <c r="A375" s="7"/>
      <c r="B375" s="18"/>
      <c r="C375" s="9"/>
      <c r="D375" s="10"/>
      <c r="E375" s="10"/>
      <c r="F375" s="10"/>
      <c r="G375" s="10"/>
      <c r="H375" s="10"/>
      <c r="I375" s="12"/>
      <c r="J375" s="13"/>
    </row>
    <row r="376" spans="1:10" ht="75" customHeight="1">
      <c r="A376" s="7"/>
      <c r="B376" s="18"/>
      <c r="C376" s="9"/>
      <c r="D376" s="10"/>
      <c r="E376" s="10"/>
      <c r="F376" s="10"/>
      <c r="G376" s="10"/>
      <c r="H376" s="10"/>
      <c r="I376" s="12"/>
      <c r="J376" s="13"/>
    </row>
    <row r="377" spans="1:10" ht="75" customHeight="1">
      <c r="A377" s="7"/>
      <c r="B377" s="18"/>
      <c r="C377" s="9"/>
      <c r="D377" s="10"/>
      <c r="E377" s="10"/>
      <c r="F377" s="10"/>
      <c r="G377" s="10"/>
      <c r="H377" s="10"/>
      <c r="I377" s="12"/>
      <c r="J377" s="13"/>
    </row>
    <row r="378" spans="1:10" ht="75" customHeight="1">
      <c r="A378" s="7"/>
      <c r="B378" s="18"/>
      <c r="C378" s="9"/>
      <c r="D378" s="10"/>
      <c r="E378" s="10"/>
      <c r="F378" s="10"/>
      <c r="G378" s="10"/>
      <c r="H378" s="10"/>
      <c r="I378" s="12"/>
      <c r="J378" s="13"/>
    </row>
    <row r="379" spans="1:10" ht="75" customHeight="1">
      <c r="A379" s="7"/>
      <c r="B379" s="18"/>
      <c r="C379" s="9"/>
      <c r="D379" s="10"/>
      <c r="E379" s="10"/>
      <c r="F379" s="10"/>
      <c r="G379" s="10"/>
      <c r="H379" s="10"/>
      <c r="I379" s="12"/>
      <c r="J379" s="13"/>
    </row>
    <row r="380" spans="1:10" ht="75" customHeight="1">
      <c r="A380" s="7"/>
      <c r="B380" s="18"/>
      <c r="C380" s="9"/>
      <c r="D380" s="10"/>
      <c r="E380" s="10"/>
      <c r="F380" s="10"/>
      <c r="G380" s="10"/>
      <c r="H380" s="10"/>
      <c r="I380" s="12"/>
      <c r="J380" s="13"/>
    </row>
    <row r="381" spans="1:10" ht="75" customHeight="1">
      <c r="A381" s="7"/>
      <c r="B381" s="18"/>
      <c r="C381" s="9"/>
      <c r="D381" s="10"/>
      <c r="E381" s="10"/>
      <c r="F381" s="10"/>
      <c r="G381" s="10"/>
      <c r="H381" s="10"/>
      <c r="I381" s="12"/>
      <c r="J381" s="13"/>
    </row>
    <row r="382" spans="1:10" ht="75" customHeight="1">
      <c r="A382" s="7"/>
      <c r="B382" s="18"/>
      <c r="C382" s="9"/>
      <c r="D382" s="10"/>
      <c r="E382" s="10"/>
      <c r="F382" s="10"/>
      <c r="G382" s="10"/>
      <c r="H382" s="10"/>
      <c r="I382" s="12"/>
      <c r="J382" s="13"/>
    </row>
    <row r="383" spans="1:10" ht="75" customHeight="1">
      <c r="A383" s="7"/>
      <c r="B383" s="18"/>
      <c r="C383" s="9"/>
      <c r="D383" s="10"/>
      <c r="E383" s="10"/>
      <c r="F383" s="10"/>
      <c r="G383" s="10"/>
      <c r="H383" s="10"/>
      <c r="I383" s="12"/>
      <c r="J383" s="13"/>
    </row>
    <row r="384" spans="1:10" ht="75" customHeight="1">
      <c r="A384" s="7"/>
      <c r="B384" s="18"/>
      <c r="C384" s="9"/>
      <c r="D384" s="10"/>
      <c r="E384" s="10"/>
      <c r="F384" s="10"/>
      <c r="G384" s="10"/>
      <c r="H384" s="10"/>
      <c r="I384" s="12"/>
      <c r="J384" s="13"/>
    </row>
    <row r="385" spans="1:10" ht="75" customHeight="1">
      <c r="A385" s="7"/>
      <c r="B385" s="18"/>
      <c r="C385" s="9"/>
      <c r="D385" s="10"/>
      <c r="E385" s="10"/>
      <c r="F385" s="10"/>
      <c r="G385" s="10"/>
      <c r="H385" s="10"/>
      <c r="I385" s="12"/>
      <c r="J385" s="13"/>
    </row>
    <row r="386" spans="1:10" ht="75" customHeight="1">
      <c r="A386" s="7"/>
      <c r="B386" s="18"/>
      <c r="C386" s="9"/>
      <c r="D386" s="10"/>
      <c r="E386" s="10"/>
      <c r="F386" s="10"/>
      <c r="G386" s="10"/>
      <c r="H386" s="10"/>
      <c r="I386" s="12"/>
      <c r="J386" s="13"/>
    </row>
    <row r="387" spans="1:10" ht="75" customHeight="1">
      <c r="A387" s="7"/>
      <c r="B387" s="18"/>
      <c r="C387" s="9"/>
      <c r="D387" s="10"/>
      <c r="E387" s="10"/>
      <c r="F387" s="10"/>
      <c r="G387" s="10"/>
      <c r="H387" s="10"/>
      <c r="I387" s="12"/>
      <c r="J387" s="13"/>
    </row>
    <row r="388" spans="1:10" ht="75" customHeight="1">
      <c r="A388" s="7"/>
      <c r="B388" s="18"/>
      <c r="C388" s="9"/>
      <c r="D388" s="10"/>
      <c r="E388" s="10"/>
      <c r="F388" s="10"/>
      <c r="G388" s="10"/>
      <c r="H388" s="10"/>
      <c r="I388" s="12"/>
      <c r="J388" s="13"/>
    </row>
    <row r="389" spans="1:10" ht="75" customHeight="1">
      <c r="A389" s="7"/>
      <c r="B389" s="18"/>
      <c r="C389" s="9"/>
      <c r="D389" s="10"/>
      <c r="E389" s="10"/>
      <c r="F389" s="10"/>
      <c r="G389" s="10"/>
      <c r="H389" s="10"/>
      <c r="I389" s="12"/>
      <c r="J389" s="13"/>
    </row>
    <row r="390" spans="1:10" ht="75" customHeight="1">
      <c r="A390" s="7"/>
      <c r="B390" s="18"/>
      <c r="C390" s="9"/>
      <c r="D390" s="10"/>
      <c r="E390" s="10"/>
      <c r="F390" s="10"/>
      <c r="G390" s="10"/>
      <c r="H390" s="10"/>
      <c r="I390" s="12"/>
      <c r="J390" s="13"/>
    </row>
    <row r="391" spans="1:10" ht="75" customHeight="1">
      <c r="A391" s="7"/>
      <c r="B391" s="18"/>
      <c r="C391" s="9"/>
      <c r="D391" s="10"/>
      <c r="E391" s="10"/>
      <c r="F391" s="10"/>
      <c r="G391" s="10"/>
      <c r="H391" s="10"/>
      <c r="I391" s="12"/>
      <c r="J391" s="13"/>
    </row>
    <row r="392" spans="1:10" ht="75" customHeight="1">
      <c r="A392" s="7"/>
      <c r="B392" s="18"/>
      <c r="C392" s="9"/>
      <c r="D392" s="10"/>
      <c r="E392" s="10"/>
      <c r="F392" s="10"/>
      <c r="G392" s="10"/>
      <c r="H392" s="10"/>
      <c r="I392" s="12"/>
      <c r="J392" s="13"/>
    </row>
    <row r="393" spans="1:10" ht="75" customHeight="1">
      <c r="A393" s="7"/>
      <c r="B393" s="18"/>
      <c r="C393" s="9"/>
      <c r="D393" s="10"/>
      <c r="E393" s="10"/>
      <c r="F393" s="10"/>
      <c r="G393" s="10"/>
      <c r="H393" s="10"/>
      <c r="I393" s="12"/>
      <c r="J393" s="13"/>
    </row>
    <row r="394" spans="1:10" ht="75" customHeight="1">
      <c r="A394" s="7"/>
      <c r="B394" s="18"/>
      <c r="C394" s="9"/>
      <c r="D394" s="10"/>
      <c r="E394" s="10"/>
      <c r="F394" s="10"/>
      <c r="G394" s="10"/>
      <c r="H394" s="10"/>
      <c r="I394" s="12"/>
      <c r="J394" s="13"/>
    </row>
    <row r="395" spans="1:10" ht="75" customHeight="1">
      <c r="A395" s="7"/>
      <c r="B395" s="18"/>
      <c r="C395" s="9"/>
      <c r="D395" s="10"/>
      <c r="E395" s="10"/>
      <c r="F395" s="10"/>
      <c r="G395" s="10"/>
      <c r="H395" s="10"/>
      <c r="I395" s="12"/>
      <c r="J395" s="13"/>
    </row>
    <row r="396" spans="1:10" ht="75" customHeight="1">
      <c r="A396" s="7"/>
      <c r="B396" s="18"/>
      <c r="C396" s="9"/>
      <c r="D396" s="10"/>
      <c r="E396" s="10"/>
      <c r="F396" s="10"/>
      <c r="G396" s="10"/>
      <c r="H396" s="10"/>
      <c r="I396" s="12"/>
      <c r="J396" s="13"/>
    </row>
    <row r="397" spans="1:10" ht="75" customHeight="1">
      <c r="A397" s="7"/>
      <c r="B397" s="18"/>
      <c r="C397" s="9"/>
      <c r="D397" s="10"/>
      <c r="E397" s="10"/>
      <c r="F397" s="10"/>
      <c r="G397" s="10"/>
      <c r="H397" s="10"/>
      <c r="I397" s="12"/>
      <c r="J397" s="13"/>
    </row>
    <row r="398" spans="1:10" ht="75" customHeight="1">
      <c r="A398" s="7"/>
      <c r="B398" s="18"/>
      <c r="C398" s="9"/>
      <c r="D398" s="10"/>
      <c r="E398" s="10"/>
      <c r="F398" s="10"/>
      <c r="G398" s="10"/>
      <c r="H398" s="10"/>
      <c r="I398" s="12"/>
      <c r="J398" s="13"/>
    </row>
    <row r="399" spans="1:10" ht="75" customHeight="1">
      <c r="A399" s="7"/>
      <c r="B399" s="18"/>
      <c r="C399" s="9"/>
      <c r="D399" s="10"/>
      <c r="E399" s="10"/>
      <c r="F399" s="10"/>
      <c r="G399" s="10"/>
      <c r="H399" s="10"/>
      <c r="I399" s="12"/>
      <c r="J399" s="13"/>
    </row>
    <row r="400" spans="1:10" ht="75" customHeight="1">
      <c r="A400" s="7"/>
      <c r="B400" s="18"/>
      <c r="C400" s="9"/>
      <c r="D400" s="10"/>
      <c r="E400" s="10"/>
      <c r="F400" s="10"/>
      <c r="G400" s="10"/>
      <c r="H400" s="10"/>
      <c r="I400" s="12"/>
      <c r="J400" s="13"/>
    </row>
    <row r="401" spans="1:10" ht="75" customHeight="1">
      <c r="A401" s="7"/>
      <c r="B401" s="18"/>
      <c r="C401" s="9"/>
      <c r="D401" s="10"/>
      <c r="E401" s="10"/>
      <c r="F401" s="10"/>
      <c r="G401" s="10"/>
      <c r="H401" s="10"/>
      <c r="I401" s="12"/>
      <c r="J401" s="13"/>
    </row>
    <row r="402" spans="1:10" ht="75" customHeight="1">
      <c r="A402" s="7"/>
      <c r="B402" s="18"/>
      <c r="C402" s="9"/>
      <c r="D402" s="10"/>
      <c r="E402" s="10"/>
      <c r="F402" s="10"/>
      <c r="G402" s="10"/>
      <c r="H402" s="10"/>
      <c r="I402" s="12"/>
      <c r="J402" s="13"/>
    </row>
    <row r="403" spans="1:10" ht="75" customHeight="1">
      <c r="A403" s="7"/>
      <c r="B403" s="18"/>
      <c r="C403" s="9"/>
      <c r="D403" s="10"/>
      <c r="E403" s="10"/>
      <c r="F403" s="10"/>
      <c r="G403" s="10"/>
      <c r="H403" s="10"/>
      <c r="I403" s="12"/>
      <c r="J403" s="13"/>
    </row>
    <row r="404" spans="1:10" ht="75" customHeight="1">
      <c r="A404" s="7"/>
      <c r="B404" s="18"/>
      <c r="C404" s="9"/>
      <c r="D404" s="10"/>
      <c r="E404" s="10"/>
      <c r="F404" s="10"/>
      <c r="G404" s="10"/>
      <c r="H404" s="10"/>
      <c r="I404" s="12"/>
      <c r="J404" s="13"/>
    </row>
    <row r="405" spans="1:10" ht="75" customHeight="1">
      <c r="A405" s="7"/>
      <c r="B405" s="18"/>
      <c r="C405" s="9"/>
      <c r="D405" s="10"/>
      <c r="E405" s="10"/>
      <c r="F405" s="10"/>
      <c r="G405" s="10"/>
      <c r="H405" s="10"/>
      <c r="I405" s="12"/>
      <c r="J405" s="13"/>
    </row>
    <row r="406" spans="1:10" ht="75" customHeight="1">
      <c r="A406" s="7"/>
      <c r="B406" s="18"/>
      <c r="C406" s="9"/>
      <c r="D406" s="10"/>
      <c r="E406" s="10"/>
      <c r="F406" s="10"/>
      <c r="G406" s="10"/>
      <c r="H406" s="10"/>
      <c r="I406" s="12"/>
      <c r="J406" s="13"/>
    </row>
    <row r="407" spans="1:10" ht="75" customHeight="1">
      <c r="A407" s="7"/>
      <c r="B407" s="18"/>
      <c r="C407" s="9"/>
      <c r="D407" s="10"/>
      <c r="E407" s="10"/>
      <c r="F407" s="10"/>
      <c r="G407" s="10"/>
      <c r="H407" s="10"/>
      <c r="I407" s="12"/>
      <c r="J407" s="13"/>
    </row>
    <row r="408" spans="1:10" ht="75" customHeight="1">
      <c r="A408" s="7"/>
      <c r="B408" s="18"/>
      <c r="C408" s="9"/>
      <c r="D408" s="10"/>
      <c r="E408" s="10"/>
      <c r="F408" s="10"/>
      <c r="G408" s="10"/>
      <c r="H408" s="10"/>
      <c r="I408" s="12"/>
      <c r="J408" s="13"/>
    </row>
    <row r="409" spans="1:10" ht="75" customHeight="1">
      <c r="A409" s="7"/>
      <c r="B409" s="18"/>
      <c r="C409" s="9"/>
      <c r="D409" s="10"/>
      <c r="E409" s="10"/>
      <c r="F409" s="10"/>
      <c r="G409" s="10"/>
      <c r="H409" s="10"/>
      <c r="I409" s="12"/>
      <c r="J409" s="13"/>
    </row>
    <row r="410" spans="1:10" ht="75" customHeight="1">
      <c r="A410" s="7"/>
      <c r="B410" s="18"/>
      <c r="C410" s="9"/>
      <c r="D410" s="10"/>
      <c r="E410" s="10"/>
      <c r="F410" s="10"/>
      <c r="G410" s="10"/>
      <c r="H410" s="10"/>
      <c r="I410" s="12"/>
      <c r="J410" s="13"/>
    </row>
    <row r="411" spans="1:10" ht="75" customHeight="1">
      <c r="A411" s="7"/>
      <c r="B411" s="18"/>
      <c r="C411" s="9"/>
      <c r="D411" s="10"/>
      <c r="E411" s="10"/>
      <c r="F411" s="10"/>
      <c r="G411" s="10"/>
      <c r="H411" s="10"/>
      <c r="I411" s="12"/>
      <c r="J411" s="13"/>
    </row>
    <row r="412" spans="1:10" ht="75" customHeight="1">
      <c r="A412" s="7"/>
      <c r="B412" s="18"/>
      <c r="C412" s="9"/>
      <c r="D412" s="10"/>
      <c r="E412" s="10"/>
      <c r="F412" s="10"/>
      <c r="G412" s="10"/>
      <c r="H412" s="10"/>
      <c r="I412" s="12"/>
      <c r="J412" s="13"/>
    </row>
    <row r="413" spans="1:10" ht="75" customHeight="1">
      <c r="A413" s="7"/>
      <c r="B413" s="18"/>
      <c r="C413" s="9"/>
      <c r="D413" s="10"/>
      <c r="E413" s="10"/>
      <c r="F413" s="10"/>
      <c r="G413" s="10"/>
      <c r="H413" s="10"/>
      <c r="I413" s="12"/>
      <c r="J413" s="13"/>
    </row>
    <row r="414" spans="1:10" ht="75" customHeight="1">
      <c r="A414" s="7"/>
      <c r="B414" s="18"/>
      <c r="C414" s="9"/>
      <c r="D414" s="10"/>
      <c r="E414" s="10"/>
      <c r="F414" s="10"/>
      <c r="G414" s="10"/>
      <c r="H414" s="10"/>
      <c r="I414" s="12"/>
      <c r="J414" s="13"/>
    </row>
    <row r="415" spans="1:10" ht="75" customHeight="1">
      <c r="A415" s="7"/>
      <c r="B415" s="18"/>
      <c r="C415" s="9"/>
      <c r="D415" s="10"/>
      <c r="E415" s="10"/>
      <c r="F415" s="10"/>
      <c r="G415" s="10"/>
      <c r="H415" s="10"/>
      <c r="I415" s="12"/>
      <c r="J415" s="13"/>
    </row>
    <row r="416" spans="1:10" ht="75" customHeight="1">
      <c r="A416" s="7"/>
      <c r="B416" s="18"/>
      <c r="C416" s="9"/>
      <c r="D416" s="10"/>
      <c r="E416" s="10"/>
      <c r="F416" s="10"/>
      <c r="G416" s="10"/>
      <c r="H416" s="10"/>
      <c r="I416" s="12"/>
      <c r="J416" s="13"/>
    </row>
    <row r="417" spans="1:10" ht="75" customHeight="1">
      <c r="A417" s="7"/>
      <c r="B417" s="18"/>
      <c r="C417" s="9"/>
      <c r="D417" s="10"/>
      <c r="E417" s="10"/>
      <c r="F417" s="10"/>
      <c r="G417" s="10"/>
      <c r="H417" s="10"/>
      <c r="I417" s="12"/>
      <c r="J417" s="13"/>
    </row>
    <row r="418" spans="1:10" ht="75" customHeight="1">
      <c r="A418" s="7"/>
      <c r="B418" s="18"/>
      <c r="C418" s="9"/>
      <c r="D418" s="10"/>
      <c r="E418" s="10"/>
      <c r="F418" s="10"/>
      <c r="G418" s="10"/>
      <c r="H418" s="10"/>
      <c r="I418" s="12"/>
      <c r="J418" s="13"/>
    </row>
    <row r="419" spans="1:10" ht="75" customHeight="1">
      <c r="A419" s="7"/>
      <c r="B419" s="18"/>
      <c r="C419" s="9"/>
      <c r="D419" s="10"/>
      <c r="E419" s="10"/>
      <c r="F419" s="10"/>
      <c r="G419" s="10"/>
      <c r="H419" s="10"/>
      <c r="I419" s="12"/>
      <c r="J419" s="13"/>
    </row>
    <row r="420" spans="1:10" ht="75" customHeight="1">
      <c r="A420" s="7"/>
      <c r="B420" s="18"/>
      <c r="C420" s="9"/>
      <c r="D420" s="10"/>
      <c r="E420" s="10"/>
      <c r="F420" s="10"/>
      <c r="G420" s="10"/>
      <c r="H420" s="10"/>
      <c r="I420" s="12"/>
      <c r="J420" s="13"/>
    </row>
    <row r="421" spans="1:10" ht="75" customHeight="1">
      <c r="A421" s="7"/>
      <c r="B421" s="18"/>
      <c r="C421" s="9"/>
      <c r="D421" s="10"/>
      <c r="E421" s="10"/>
      <c r="F421" s="10"/>
      <c r="G421" s="10"/>
      <c r="H421" s="10"/>
      <c r="I421" s="12"/>
      <c r="J421" s="13"/>
    </row>
    <row r="422" spans="1:10" ht="75" customHeight="1">
      <c r="A422" s="7"/>
      <c r="B422" s="18"/>
      <c r="C422" s="9"/>
      <c r="D422" s="10"/>
      <c r="E422" s="10"/>
      <c r="F422" s="10"/>
      <c r="G422" s="10"/>
      <c r="H422" s="10"/>
      <c r="I422" s="12"/>
      <c r="J422" s="13"/>
    </row>
    <row r="423" spans="1:10" ht="75" customHeight="1">
      <c r="A423" s="7"/>
      <c r="B423" s="18"/>
      <c r="C423" s="9"/>
      <c r="D423" s="10"/>
      <c r="E423" s="10"/>
      <c r="F423" s="10"/>
      <c r="G423" s="10"/>
      <c r="H423" s="10"/>
      <c r="I423" s="12"/>
      <c r="J423" s="13"/>
    </row>
    <row r="424" spans="1:10" ht="75" customHeight="1">
      <c r="A424" s="7"/>
      <c r="B424" s="18"/>
      <c r="C424" s="9"/>
      <c r="D424" s="10"/>
      <c r="E424" s="10"/>
      <c r="F424" s="10"/>
      <c r="G424" s="10"/>
      <c r="H424" s="10"/>
      <c r="I424" s="12"/>
      <c r="J424" s="13"/>
    </row>
    <row r="425" spans="1:10" ht="75" customHeight="1">
      <c r="A425" s="7"/>
      <c r="B425" s="18"/>
      <c r="C425" s="9"/>
      <c r="D425" s="10"/>
      <c r="E425" s="10"/>
      <c r="F425" s="10"/>
      <c r="G425" s="10"/>
      <c r="H425" s="10"/>
      <c r="I425" s="12"/>
      <c r="J425" s="13"/>
    </row>
    <row r="426" spans="1:10" ht="75" customHeight="1">
      <c r="A426" s="7"/>
      <c r="B426" s="18"/>
      <c r="C426" s="9"/>
      <c r="D426" s="10"/>
      <c r="E426" s="10"/>
      <c r="F426" s="10"/>
      <c r="G426" s="10"/>
      <c r="H426" s="10"/>
      <c r="I426" s="12"/>
      <c r="J426" s="13"/>
    </row>
    <row r="427" spans="1:10" ht="75" customHeight="1">
      <c r="A427" s="7"/>
      <c r="B427" s="18"/>
      <c r="C427" s="9"/>
      <c r="D427" s="10"/>
      <c r="E427" s="10"/>
      <c r="F427" s="10"/>
      <c r="G427" s="10"/>
      <c r="H427" s="10"/>
      <c r="I427" s="12"/>
      <c r="J427" s="13"/>
    </row>
    <row r="428" spans="1:10" ht="75" customHeight="1">
      <c r="A428" s="7"/>
      <c r="B428" s="18"/>
      <c r="C428" s="9"/>
      <c r="D428" s="10"/>
      <c r="E428" s="10"/>
      <c r="F428" s="10"/>
      <c r="G428" s="10"/>
      <c r="H428" s="10"/>
      <c r="I428" s="12"/>
      <c r="J428" s="13"/>
    </row>
    <row r="429" spans="1:10" ht="75" customHeight="1">
      <c r="A429" s="7"/>
      <c r="B429" s="18"/>
      <c r="C429" s="9"/>
      <c r="D429" s="10"/>
      <c r="E429" s="10"/>
      <c r="F429" s="10"/>
      <c r="G429" s="10"/>
      <c r="H429" s="10"/>
      <c r="I429" s="12"/>
      <c r="J429" s="13"/>
    </row>
    <row r="430" spans="1:10" ht="75" customHeight="1">
      <c r="A430" s="7"/>
      <c r="B430" s="18"/>
      <c r="C430" s="9"/>
      <c r="D430" s="10"/>
      <c r="E430" s="10"/>
      <c r="F430" s="10"/>
      <c r="G430" s="10"/>
      <c r="H430" s="10"/>
      <c r="I430" s="12"/>
      <c r="J430" s="13"/>
    </row>
    <row r="431" spans="1:10" ht="75" customHeight="1">
      <c r="A431" s="7"/>
      <c r="B431" s="18"/>
      <c r="C431" s="9"/>
      <c r="D431" s="10"/>
      <c r="E431" s="10"/>
      <c r="F431" s="10"/>
      <c r="G431" s="10"/>
      <c r="H431" s="10"/>
      <c r="I431" s="12"/>
      <c r="J431" s="13"/>
    </row>
    <row r="432" spans="1:10" ht="75" customHeight="1">
      <c r="A432" s="7"/>
      <c r="B432" s="18"/>
      <c r="C432" s="9"/>
      <c r="D432" s="10"/>
      <c r="E432" s="10"/>
      <c r="F432" s="10"/>
      <c r="G432" s="10"/>
      <c r="H432" s="10"/>
      <c r="I432" s="12"/>
      <c r="J432" s="13"/>
    </row>
    <row r="433" spans="1:10" ht="75" customHeight="1">
      <c r="A433" s="7"/>
      <c r="B433" s="18"/>
      <c r="C433" s="9"/>
      <c r="D433" s="10"/>
      <c r="E433" s="10"/>
      <c r="F433" s="10"/>
      <c r="G433" s="10"/>
      <c r="H433" s="10"/>
      <c r="I433" s="12"/>
      <c r="J433" s="13"/>
    </row>
    <row r="434" spans="1:10" ht="75" customHeight="1">
      <c r="A434" s="7"/>
      <c r="B434" s="18"/>
      <c r="C434" s="9"/>
      <c r="D434" s="10"/>
      <c r="E434" s="10"/>
      <c r="F434" s="10"/>
      <c r="G434" s="10"/>
      <c r="H434" s="10"/>
      <c r="I434" s="12"/>
      <c r="J434" s="13"/>
    </row>
    <row r="435" spans="1:10" ht="75" customHeight="1">
      <c r="A435" s="7"/>
      <c r="B435" s="18"/>
      <c r="C435" s="9"/>
      <c r="D435" s="10"/>
      <c r="E435" s="10"/>
      <c r="F435" s="10"/>
      <c r="G435" s="10"/>
      <c r="H435" s="10"/>
      <c r="I435" s="12"/>
      <c r="J435" s="13"/>
    </row>
    <row r="436" spans="1:10" ht="75" customHeight="1">
      <c r="A436" s="7"/>
      <c r="B436" s="18"/>
      <c r="C436" s="9"/>
      <c r="D436" s="10"/>
      <c r="E436" s="10"/>
      <c r="F436" s="10"/>
      <c r="G436" s="10"/>
      <c r="H436" s="10"/>
      <c r="I436" s="12"/>
      <c r="J436" s="13"/>
    </row>
    <row r="437" spans="1:10" ht="75" customHeight="1">
      <c r="A437" s="7"/>
      <c r="B437" s="18"/>
      <c r="C437" s="9"/>
      <c r="D437" s="10"/>
      <c r="E437" s="10"/>
      <c r="F437" s="10"/>
      <c r="G437" s="10"/>
      <c r="H437" s="10"/>
      <c r="I437" s="12"/>
      <c r="J437" s="13"/>
    </row>
    <row r="438" spans="1:10" ht="75" customHeight="1">
      <c r="A438" s="7"/>
      <c r="B438" s="18"/>
      <c r="C438" s="9"/>
      <c r="D438" s="10"/>
      <c r="E438" s="10"/>
      <c r="F438" s="10"/>
      <c r="G438" s="10"/>
      <c r="H438" s="10"/>
      <c r="I438" s="12"/>
      <c r="J438" s="13"/>
    </row>
    <row r="439" spans="1:10" ht="75" customHeight="1">
      <c r="A439" s="7"/>
      <c r="B439" s="18"/>
      <c r="C439" s="9"/>
      <c r="D439" s="10"/>
      <c r="E439" s="10"/>
      <c r="F439" s="10"/>
      <c r="G439" s="10"/>
      <c r="H439" s="10"/>
      <c r="I439" s="12"/>
      <c r="J439" s="13"/>
    </row>
    <row r="440" spans="1:10" ht="75" customHeight="1">
      <c r="A440" s="7"/>
      <c r="B440" s="18"/>
      <c r="C440" s="9"/>
      <c r="D440" s="10"/>
      <c r="E440" s="10"/>
      <c r="F440" s="10"/>
      <c r="G440" s="10"/>
      <c r="H440" s="10"/>
      <c r="I440" s="12"/>
      <c r="J440" s="13"/>
    </row>
    <row r="441" spans="1:10" ht="75" customHeight="1">
      <c r="A441" s="7"/>
      <c r="B441" s="18"/>
      <c r="C441" s="9"/>
      <c r="D441" s="10"/>
      <c r="E441" s="10"/>
      <c r="F441" s="10"/>
      <c r="G441" s="10"/>
      <c r="H441" s="10"/>
      <c r="I441" s="12"/>
      <c r="J441" s="13"/>
    </row>
    <row r="442" spans="1:10" ht="75" customHeight="1">
      <c r="A442" s="7"/>
      <c r="B442" s="18"/>
      <c r="C442" s="9"/>
      <c r="D442" s="10"/>
      <c r="E442" s="10"/>
      <c r="F442" s="10"/>
      <c r="G442" s="10"/>
      <c r="H442" s="10"/>
      <c r="I442" s="12"/>
      <c r="J442" s="13"/>
    </row>
    <row r="443" spans="1:10" ht="75" customHeight="1">
      <c r="A443" s="7"/>
      <c r="B443" s="18"/>
      <c r="C443" s="9"/>
      <c r="D443" s="10"/>
      <c r="E443" s="10"/>
      <c r="F443" s="10"/>
      <c r="G443" s="10"/>
      <c r="H443" s="10"/>
      <c r="I443" s="12"/>
      <c r="J443" s="13"/>
    </row>
    <row r="444" spans="1:10" ht="75" customHeight="1">
      <c r="A444" s="7"/>
      <c r="B444" s="18"/>
      <c r="C444" s="9"/>
      <c r="D444" s="10"/>
      <c r="E444" s="10"/>
      <c r="F444" s="10"/>
      <c r="G444" s="10"/>
      <c r="H444" s="10"/>
      <c r="I444" s="12"/>
      <c r="J444" s="13"/>
    </row>
    <row r="445" spans="1:10" ht="75" customHeight="1">
      <c r="A445" s="7"/>
      <c r="B445" s="18"/>
      <c r="C445" s="9"/>
      <c r="D445" s="10"/>
      <c r="E445" s="10"/>
      <c r="F445" s="10"/>
      <c r="G445" s="10"/>
      <c r="H445" s="10"/>
      <c r="I445" s="12"/>
      <c r="J445" s="13"/>
    </row>
    <row r="446" spans="1:10" ht="75" customHeight="1">
      <c r="A446" s="7"/>
      <c r="B446" s="18"/>
      <c r="C446" s="9"/>
      <c r="D446" s="10"/>
      <c r="E446" s="10"/>
      <c r="F446" s="10"/>
      <c r="G446" s="10"/>
      <c r="H446" s="10"/>
      <c r="I446" s="12"/>
      <c r="J446" s="13"/>
    </row>
    <row r="447" spans="1:10" ht="75" customHeight="1">
      <c r="A447" s="7"/>
      <c r="B447" s="18"/>
      <c r="C447" s="9"/>
      <c r="D447" s="10"/>
      <c r="E447" s="10"/>
      <c r="F447" s="10"/>
      <c r="G447" s="10"/>
      <c r="H447" s="10"/>
      <c r="I447" s="12"/>
      <c r="J447" s="13"/>
    </row>
    <row r="448" spans="1:10" ht="75" customHeight="1">
      <c r="A448" s="7"/>
      <c r="B448" s="18"/>
      <c r="C448" s="9"/>
      <c r="D448" s="10"/>
      <c r="E448" s="10"/>
      <c r="F448" s="10"/>
      <c r="G448" s="10"/>
      <c r="H448" s="10"/>
      <c r="I448" s="12"/>
      <c r="J448" s="13"/>
    </row>
    <row r="449" spans="1:10" ht="75" customHeight="1">
      <c r="A449" s="7"/>
      <c r="B449" s="18"/>
      <c r="C449" s="9"/>
      <c r="D449" s="10"/>
      <c r="E449" s="10"/>
      <c r="F449" s="10"/>
      <c r="G449" s="10"/>
      <c r="H449" s="10"/>
      <c r="I449" s="12"/>
      <c r="J449" s="13"/>
    </row>
    <row r="450" spans="1:10" ht="75" customHeight="1">
      <c r="A450" s="7"/>
      <c r="B450" s="18"/>
      <c r="C450" s="9"/>
      <c r="D450" s="10"/>
      <c r="E450" s="10"/>
      <c r="F450" s="10"/>
      <c r="G450" s="10"/>
      <c r="H450" s="10"/>
      <c r="I450" s="12"/>
      <c r="J450" s="13"/>
    </row>
    <row r="451" spans="1:10" ht="75" customHeight="1">
      <c r="A451" s="7"/>
      <c r="B451" s="18"/>
      <c r="C451" s="9"/>
      <c r="D451" s="10"/>
      <c r="E451" s="10"/>
      <c r="F451" s="10"/>
      <c r="G451" s="10"/>
      <c r="H451" s="10"/>
      <c r="I451" s="12"/>
      <c r="J451" s="13"/>
    </row>
    <row r="452" spans="1:10" ht="75" customHeight="1">
      <c r="A452" s="7"/>
      <c r="B452" s="18"/>
      <c r="C452" s="9"/>
      <c r="D452" s="10"/>
      <c r="E452" s="10"/>
      <c r="F452" s="10"/>
      <c r="G452" s="10"/>
      <c r="H452" s="10"/>
      <c r="I452" s="12"/>
      <c r="J452" s="13"/>
    </row>
    <row r="453" spans="1:10" ht="75" customHeight="1">
      <c r="A453" s="7"/>
      <c r="B453" s="18"/>
      <c r="C453" s="9"/>
      <c r="D453" s="10"/>
      <c r="E453" s="10"/>
      <c r="F453" s="10"/>
      <c r="G453" s="10"/>
      <c r="H453" s="10"/>
      <c r="I453" s="12"/>
      <c r="J453" s="13"/>
    </row>
    <row r="454" spans="1:10" ht="75" customHeight="1">
      <c r="A454" s="7"/>
      <c r="B454" s="18"/>
      <c r="C454" s="9"/>
      <c r="D454" s="10"/>
      <c r="E454" s="10"/>
      <c r="F454" s="10"/>
      <c r="G454" s="10"/>
      <c r="H454" s="10"/>
      <c r="I454" s="12"/>
      <c r="J454" s="13"/>
    </row>
    <row r="455" spans="1:10" ht="75" customHeight="1">
      <c r="A455" s="7"/>
      <c r="B455" s="18"/>
      <c r="C455" s="9"/>
      <c r="D455" s="10"/>
      <c r="E455" s="10"/>
      <c r="F455" s="10"/>
      <c r="G455" s="10"/>
      <c r="H455" s="10"/>
      <c r="I455" s="12"/>
      <c r="J455" s="13"/>
    </row>
    <row r="456" spans="1:10" ht="75" customHeight="1">
      <c r="A456" s="7"/>
      <c r="B456" s="18"/>
      <c r="C456" s="9"/>
      <c r="D456" s="10"/>
      <c r="E456" s="10"/>
      <c r="F456" s="10"/>
      <c r="G456" s="10"/>
      <c r="H456" s="10"/>
      <c r="I456" s="12"/>
      <c r="J456" s="13"/>
    </row>
    <row r="457" spans="1:10" ht="75" customHeight="1">
      <c r="A457" s="7"/>
      <c r="B457" s="18"/>
      <c r="C457" s="9"/>
      <c r="D457" s="10"/>
      <c r="E457" s="10"/>
      <c r="F457" s="10"/>
      <c r="G457" s="10"/>
      <c r="H457" s="10"/>
      <c r="I457" s="12"/>
      <c r="J457" s="13"/>
    </row>
    <row r="458" spans="1:10" ht="75" customHeight="1">
      <c r="A458" s="7"/>
      <c r="B458" s="18"/>
      <c r="C458" s="9"/>
      <c r="D458" s="10"/>
      <c r="E458" s="10"/>
      <c r="F458" s="10"/>
      <c r="G458" s="10"/>
      <c r="H458" s="10"/>
      <c r="I458" s="12"/>
      <c r="J458" s="13"/>
    </row>
    <row r="459" spans="1:10" ht="75" customHeight="1">
      <c r="A459" s="7"/>
      <c r="B459" s="18"/>
      <c r="C459" s="9"/>
      <c r="D459" s="10"/>
      <c r="E459" s="10"/>
      <c r="F459" s="10"/>
      <c r="G459" s="10"/>
      <c r="H459" s="10"/>
      <c r="I459" s="12"/>
      <c r="J459" s="13"/>
    </row>
    <row r="460" spans="1:10" ht="75" customHeight="1">
      <c r="A460" s="7"/>
      <c r="B460" s="18"/>
      <c r="C460" s="9"/>
      <c r="D460" s="10"/>
      <c r="E460" s="10"/>
      <c r="F460" s="10"/>
      <c r="G460" s="10"/>
      <c r="H460" s="10"/>
      <c r="I460" s="12"/>
      <c r="J460" s="13"/>
    </row>
    <row r="461" spans="1:10" ht="75" customHeight="1">
      <c r="A461" s="7"/>
      <c r="B461" s="18"/>
      <c r="C461" s="9"/>
      <c r="D461" s="10"/>
      <c r="E461" s="10"/>
      <c r="F461" s="10"/>
      <c r="G461" s="10"/>
      <c r="H461" s="10"/>
      <c r="I461" s="12"/>
      <c r="J461" s="13"/>
    </row>
    <row r="462" spans="1:10" ht="75" customHeight="1">
      <c r="A462" s="7"/>
      <c r="B462" s="18"/>
      <c r="C462" s="9"/>
      <c r="D462" s="10"/>
      <c r="E462" s="10"/>
      <c r="F462" s="10"/>
      <c r="G462" s="10"/>
      <c r="H462" s="10"/>
      <c r="I462" s="12"/>
      <c r="J462" s="13"/>
    </row>
    <row r="463" spans="1:10" ht="75" customHeight="1">
      <c r="A463" s="7"/>
      <c r="B463" s="18"/>
      <c r="C463" s="9"/>
      <c r="D463" s="10"/>
      <c r="E463" s="10"/>
      <c r="F463" s="10"/>
      <c r="G463" s="10"/>
      <c r="H463" s="10"/>
      <c r="I463" s="12"/>
      <c r="J463" s="13"/>
    </row>
    <row r="464" spans="1:10" ht="75" customHeight="1">
      <c r="A464" s="7"/>
      <c r="B464" s="18"/>
      <c r="C464" s="9"/>
      <c r="D464" s="10"/>
      <c r="E464" s="10"/>
      <c r="F464" s="10"/>
      <c r="G464" s="10"/>
      <c r="H464" s="10"/>
      <c r="I464" s="12"/>
      <c r="J464" s="13"/>
    </row>
    <row r="465" spans="1:10" ht="75" customHeight="1">
      <c r="A465" s="7"/>
      <c r="B465" s="18"/>
      <c r="C465" s="9"/>
      <c r="D465" s="10"/>
      <c r="E465" s="10"/>
      <c r="F465" s="10"/>
      <c r="G465" s="10"/>
      <c r="H465" s="10"/>
      <c r="I465" s="12"/>
      <c r="J465" s="13"/>
    </row>
    <row r="466" spans="1:10" ht="75" customHeight="1">
      <c r="A466" s="7"/>
      <c r="B466" s="18"/>
      <c r="C466" s="9"/>
      <c r="D466" s="10"/>
      <c r="E466" s="10"/>
      <c r="F466" s="10"/>
      <c r="G466" s="10"/>
      <c r="H466" s="10"/>
      <c r="I466" s="12"/>
      <c r="J466" s="13"/>
    </row>
    <row r="467" spans="1:10" ht="75" customHeight="1">
      <c r="A467" s="7"/>
      <c r="B467" s="18"/>
      <c r="C467" s="9"/>
      <c r="D467" s="10"/>
      <c r="E467" s="10"/>
      <c r="F467" s="10"/>
      <c r="G467" s="10"/>
      <c r="H467" s="10"/>
      <c r="I467" s="12"/>
      <c r="J467" s="13"/>
    </row>
    <row r="468" spans="1:10" ht="75" customHeight="1">
      <c r="A468" s="7"/>
      <c r="B468" s="18"/>
      <c r="C468" s="9"/>
      <c r="D468" s="10"/>
      <c r="E468" s="10"/>
      <c r="F468" s="10"/>
      <c r="G468" s="10"/>
      <c r="H468" s="10"/>
      <c r="I468" s="12"/>
      <c r="J468" s="13"/>
    </row>
    <row r="469" spans="1:10" ht="75" customHeight="1">
      <c r="A469" s="7"/>
      <c r="B469" s="18"/>
      <c r="C469" s="9"/>
      <c r="D469" s="10"/>
      <c r="E469" s="10"/>
      <c r="F469" s="10"/>
      <c r="G469" s="10"/>
      <c r="H469" s="10"/>
      <c r="I469" s="12"/>
      <c r="J469" s="13"/>
    </row>
    <row r="470" spans="1:10" ht="75" customHeight="1">
      <c r="A470" s="7"/>
      <c r="B470" s="18"/>
      <c r="C470" s="9"/>
      <c r="D470" s="10"/>
      <c r="E470" s="10"/>
      <c r="F470" s="10"/>
      <c r="G470" s="10"/>
      <c r="H470" s="10"/>
      <c r="I470" s="12"/>
      <c r="J470" s="13"/>
    </row>
    <row r="471" spans="1:10" ht="75" customHeight="1">
      <c r="A471" s="7"/>
      <c r="B471" s="18"/>
      <c r="C471" s="9"/>
      <c r="D471" s="10"/>
      <c r="E471" s="10"/>
      <c r="F471" s="10"/>
      <c r="G471" s="10"/>
      <c r="H471" s="10"/>
      <c r="I471" s="12"/>
      <c r="J471" s="13"/>
    </row>
    <row r="472" spans="1:10" ht="75" customHeight="1">
      <c r="A472" s="7"/>
      <c r="B472" s="18"/>
      <c r="C472" s="9"/>
      <c r="D472" s="10"/>
      <c r="E472" s="10"/>
      <c r="F472" s="10"/>
      <c r="G472" s="10"/>
      <c r="H472" s="10"/>
      <c r="I472" s="12"/>
      <c r="J472" s="13"/>
    </row>
    <row r="473" spans="1:10" ht="75" customHeight="1">
      <c r="A473" s="7"/>
      <c r="B473" s="18"/>
      <c r="C473" s="9"/>
      <c r="D473" s="10"/>
      <c r="E473" s="10"/>
      <c r="F473" s="10"/>
      <c r="G473" s="10"/>
      <c r="H473" s="10"/>
      <c r="I473" s="12"/>
      <c r="J473" s="13"/>
    </row>
    <row r="474" spans="1:10" ht="75" customHeight="1">
      <c r="A474" s="7"/>
      <c r="B474" s="18"/>
      <c r="C474" s="9"/>
      <c r="D474" s="10"/>
      <c r="E474" s="10"/>
      <c r="F474" s="10"/>
      <c r="G474" s="10"/>
      <c r="H474" s="10"/>
      <c r="I474" s="12"/>
      <c r="J474" s="13"/>
    </row>
    <row r="475" spans="1:10" ht="75" customHeight="1">
      <c r="A475" s="7"/>
      <c r="B475" s="18"/>
      <c r="C475" s="9"/>
      <c r="D475" s="10"/>
      <c r="E475" s="10"/>
      <c r="F475" s="10"/>
      <c r="G475" s="10"/>
      <c r="H475" s="10"/>
      <c r="I475" s="12"/>
      <c r="J475" s="13"/>
    </row>
    <row r="476" spans="1:10" ht="75" customHeight="1">
      <c r="A476" s="7"/>
      <c r="B476" s="18"/>
      <c r="C476" s="9"/>
      <c r="D476" s="10"/>
      <c r="E476" s="10"/>
      <c r="F476" s="10"/>
      <c r="G476" s="10"/>
      <c r="H476" s="10"/>
      <c r="I476" s="12"/>
      <c r="J476" s="13"/>
    </row>
    <row r="477" spans="1:10" ht="75" customHeight="1">
      <c r="A477" s="7"/>
      <c r="B477" s="18"/>
      <c r="C477" s="9"/>
      <c r="D477" s="10"/>
      <c r="E477" s="10"/>
      <c r="F477" s="10"/>
      <c r="G477" s="10"/>
      <c r="H477" s="10"/>
      <c r="I477" s="12"/>
      <c r="J477" s="13"/>
    </row>
    <row r="478" spans="1:10" ht="75" customHeight="1">
      <c r="A478" s="7"/>
      <c r="B478" s="18"/>
      <c r="C478" s="9"/>
      <c r="D478" s="10"/>
      <c r="E478" s="10"/>
      <c r="F478" s="10"/>
      <c r="G478" s="10"/>
      <c r="H478" s="10"/>
      <c r="I478" s="12"/>
      <c r="J478" s="13"/>
    </row>
    <row r="479" spans="1:10" ht="75" customHeight="1">
      <c r="A479" s="7"/>
      <c r="B479" s="18"/>
      <c r="C479" s="9"/>
      <c r="D479" s="10"/>
      <c r="E479" s="10"/>
      <c r="F479" s="10"/>
      <c r="G479" s="10"/>
      <c r="H479" s="10"/>
      <c r="I479" s="12"/>
      <c r="J479" s="13"/>
    </row>
    <row r="480" spans="1:10" ht="75" customHeight="1">
      <c r="A480" s="7"/>
      <c r="B480" s="18"/>
      <c r="C480" s="9"/>
      <c r="D480" s="10"/>
      <c r="E480" s="10"/>
      <c r="F480" s="10"/>
      <c r="G480" s="10"/>
      <c r="H480" s="10"/>
      <c r="I480" s="12"/>
      <c r="J480" s="13"/>
    </row>
    <row r="481" spans="1:10" ht="75" customHeight="1">
      <c r="A481" s="7"/>
      <c r="B481" s="18"/>
      <c r="C481" s="9"/>
      <c r="D481" s="10"/>
      <c r="E481" s="10"/>
      <c r="F481" s="10"/>
      <c r="G481" s="10"/>
      <c r="H481" s="10"/>
      <c r="I481" s="12"/>
      <c r="J481" s="13"/>
    </row>
    <row r="482" spans="1:10" ht="75" customHeight="1">
      <c r="A482" s="7"/>
      <c r="B482" s="18"/>
      <c r="C482" s="9"/>
      <c r="D482" s="10"/>
      <c r="E482" s="10"/>
      <c r="F482" s="10"/>
      <c r="G482" s="10"/>
      <c r="H482" s="10"/>
      <c r="I482" s="12"/>
      <c r="J482" s="13"/>
    </row>
    <row r="483" spans="1:10" ht="75" customHeight="1">
      <c r="A483" s="7"/>
      <c r="B483" s="18"/>
      <c r="C483" s="9"/>
      <c r="D483" s="10"/>
      <c r="E483" s="10"/>
      <c r="F483" s="10"/>
      <c r="G483" s="10"/>
      <c r="H483" s="10"/>
      <c r="I483" s="12"/>
      <c r="J483" s="13"/>
    </row>
    <row r="484" spans="1:10" ht="75" customHeight="1">
      <c r="A484" s="7"/>
      <c r="B484" s="18"/>
      <c r="C484" s="9"/>
      <c r="D484" s="10"/>
      <c r="E484" s="10"/>
      <c r="F484" s="10"/>
      <c r="G484" s="10"/>
      <c r="H484" s="10"/>
      <c r="I484" s="12"/>
      <c r="J484" s="13"/>
    </row>
    <row r="485" spans="1:10" ht="75" customHeight="1">
      <c r="A485" s="7"/>
      <c r="B485" s="18"/>
      <c r="C485" s="9"/>
      <c r="D485" s="10"/>
      <c r="E485" s="10"/>
      <c r="F485" s="10"/>
      <c r="G485" s="10"/>
      <c r="H485" s="10"/>
      <c r="I485" s="12"/>
      <c r="J485" s="13"/>
    </row>
    <row r="486" spans="1:10" ht="75" customHeight="1">
      <c r="A486" s="7"/>
      <c r="B486" s="18"/>
      <c r="C486" s="9"/>
      <c r="D486" s="10"/>
      <c r="E486" s="10"/>
      <c r="F486" s="10"/>
      <c r="G486" s="10"/>
      <c r="H486" s="10"/>
      <c r="I486" s="12"/>
      <c r="J486" s="13"/>
    </row>
    <row r="487" spans="1:10" ht="75" customHeight="1">
      <c r="A487" s="7"/>
      <c r="B487" s="18"/>
      <c r="C487" s="9"/>
      <c r="D487" s="10"/>
      <c r="E487" s="10"/>
      <c r="F487" s="10"/>
      <c r="G487" s="10"/>
      <c r="H487" s="10"/>
      <c r="I487" s="12"/>
      <c r="J487" s="13"/>
    </row>
    <row r="488" spans="1:10" ht="75" customHeight="1">
      <c r="A488" s="7"/>
      <c r="B488" s="18"/>
      <c r="C488" s="9"/>
      <c r="D488" s="10"/>
      <c r="E488" s="10"/>
      <c r="F488" s="10"/>
      <c r="G488" s="10"/>
      <c r="H488" s="10"/>
      <c r="I488" s="12"/>
      <c r="J488" s="13"/>
    </row>
    <row r="489" spans="1:10" ht="75" customHeight="1">
      <c r="A489" s="7"/>
      <c r="B489" s="18"/>
      <c r="C489" s="9"/>
      <c r="D489" s="10"/>
      <c r="E489" s="10"/>
      <c r="F489" s="10"/>
      <c r="G489" s="10"/>
      <c r="H489" s="10"/>
      <c r="I489" s="12"/>
      <c r="J489" s="13"/>
    </row>
    <row r="490" spans="1:10" ht="75" customHeight="1">
      <c r="A490" s="7"/>
      <c r="B490" s="18"/>
      <c r="C490" s="9"/>
      <c r="D490" s="10"/>
      <c r="E490" s="10"/>
      <c r="F490" s="10"/>
      <c r="G490" s="10"/>
      <c r="H490" s="10"/>
      <c r="I490" s="12"/>
      <c r="J490" s="13"/>
    </row>
    <row r="491" spans="1:10" ht="75" customHeight="1">
      <c r="A491" s="7"/>
      <c r="B491" s="18"/>
      <c r="C491" s="9"/>
      <c r="D491" s="10"/>
      <c r="E491" s="10"/>
      <c r="F491" s="10"/>
      <c r="G491" s="10"/>
      <c r="H491" s="10"/>
      <c r="I491" s="12"/>
      <c r="J491" s="13"/>
    </row>
    <row r="492" spans="1:10" ht="75" customHeight="1">
      <c r="A492" s="7"/>
      <c r="B492" s="18"/>
      <c r="C492" s="9"/>
      <c r="D492" s="10"/>
      <c r="E492" s="10"/>
      <c r="F492" s="10"/>
      <c r="G492" s="10"/>
      <c r="H492" s="10"/>
      <c r="I492" s="12"/>
      <c r="J492" s="13"/>
    </row>
    <row r="493" spans="1:10" ht="75" customHeight="1">
      <c r="A493" s="7"/>
      <c r="B493" s="18"/>
      <c r="C493" s="9"/>
      <c r="D493" s="10"/>
      <c r="E493" s="10"/>
      <c r="F493" s="10"/>
      <c r="G493" s="10"/>
      <c r="H493" s="10"/>
      <c r="I493" s="12"/>
      <c r="J493" s="13"/>
    </row>
    <row r="494" spans="1:10" ht="75" customHeight="1">
      <c r="A494" s="7"/>
      <c r="B494" s="18"/>
      <c r="C494" s="9"/>
      <c r="D494" s="10"/>
      <c r="E494" s="10"/>
      <c r="F494" s="10"/>
      <c r="G494" s="10"/>
      <c r="H494" s="10"/>
      <c r="I494" s="12"/>
      <c r="J494" s="13"/>
    </row>
    <row r="495" spans="1:10" ht="75" customHeight="1">
      <c r="A495" s="7"/>
      <c r="B495" s="18"/>
      <c r="C495" s="9"/>
      <c r="D495" s="10"/>
      <c r="E495" s="10"/>
      <c r="F495" s="10"/>
      <c r="G495" s="10"/>
      <c r="H495" s="10"/>
      <c r="I495" s="12"/>
      <c r="J495" s="13"/>
    </row>
    <row r="496" spans="1:10" ht="75" customHeight="1">
      <c r="A496" s="7"/>
      <c r="B496" s="18"/>
      <c r="C496" s="9"/>
      <c r="D496" s="10"/>
      <c r="E496" s="10"/>
      <c r="F496" s="10"/>
      <c r="G496" s="10"/>
      <c r="H496" s="10"/>
      <c r="I496" s="12"/>
      <c r="J496" s="13"/>
    </row>
    <row r="497" spans="1:10" ht="75" customHeight="1">
      <c r="A497" s="7"/>
      <c r="B497" s="18"/>
      <c r="C497" s="9"/>
      <c r="D497" s="10"/>
      <c r="E497" s="10"/>
      <c r="F497" s="10"/>
      <c r="G497" s="10"/>
      <c r="H497" s="10"/>
      <c r="I497" s="12"/>
      <c r="J497" s="13"/>
    </row>
    <row r="498" spans="1:10" ht="75" customHeight="1">
      <c r="A498" s="7"/>
      <c r="B498" s="18"/>
      <c r="C498" s="9"/>
      <c r="D498" s="10"/>
      <c r="E498" s="10"/>
      <c r="F498" s="10"/>
      <c r="G498" s="10"/>
      <c r="H498" s="10"/>
      <c r="I498" s="12"/>
      <c r="J498" s="13"/>
    </row>
    <row r="499" spans="1:10" ht="75" customHeight="1">
      <c r="A499" s="7"/>
      <c r="B499" s="18"/>
      <c r="C499" s="9"/>
      <c r="D499" s="10"/>
      <c r="E499" s="10"/>
      <c r="F499" s="10"/>
      <c r="G499" s="10"/>
      <c r="H499" s="10"/>
      <c r="I499" s="12"/>
      <c r="J499" s="13"/>
    </row>
    <row r="500" spans="1:10" ht="75" customHeight="1">
      <c r="A500" s="7"/>
      <c r="B500" s="18"/>
      <c r="C500" s="9"/>
      <c r="D500" s="10"/>
      <c r="E500" s="10"/>
      <c r="F500" s="10"/>
      <c r="G500" s="10"/>
      <c r="H500" s="10"/>
      <c r="I500" s="12"/>
      <c r="J500" s="13"/>
    </row>
    <row r="501" spans="1:10" ht="75" customHeight="1">
      <c r="A501" s="7"/>
      <c r="B501" s="18"/>
      <c r="C501" s="9"/>
      <c r="D501" s="10"/>
      <c r="E501" s="10"/>
      <c r="F501" s="10"/>
      <c r="G501" s="10"/>
      <c r="H501" s="10"/>
      <c r="I501" s="12"/>
      <c r="J501" s="13"/>
    </row>
    <row r="502" spans="1:10" ht="75" customHeight="1">
      <c r="A502" s="7"/>
      <c r="B502" s="18"/>
      <c r="C502" s="9"/>
      <c r="D502" s="10"/>
      <c r="E502" s="10"/>
      <c r="F502" s="10"/>
      <c r="G502" s="10"/>
      <c r="H502" s="10"/>
      <c r="I502" s="12"/>
      <c r="J502" s="13"/>
    </row>
    <row r="503" spans="1:10" ht="75" customHeight="1">
      <c r="A503" s="7"/>
      <c r="B503" s="18"/>
      <c r="C503" s="9"/>
      <c r="D503" s="10"/>
      <c r="E503" s="10"/>
      <c r="F503" s="10"/>
      <c r="G503" s="10"/>
      <c r="H503" s="10"/>
      <c r="I503" s="12"/>
      <c r="J503" s="13"/>
    </row>
    <row r="504" spans="1:10" ht="75" customHeight="1">
      <c r="A504" s="7"/>
      <c r="B504" s="18"/>
      <c r="C504" s="9"/>
      <c r="D504" s="10"/>
      <c r="E504" s="10"/>
      <c r="F504" s="10"/>
      <c r="G504" s="10"/>
      <c r="H504" s="10"/>
      <c r="I504" s="12"/>
      <c r="J504" s="13"/>
    </row>
    <row r="505" spans="1:10" ht="75" customHeight="1">
      <c r="A505" s="7"/>
      <c r="B505" s="18"/>
      <c r="C505" s="9"/>
      <c r="D505" s="10"/>
      <c r="E505" s="10"/>
      <c r="F505" s="10"/>
      <c r="G505" s="10"/>
      <c r="H505" s="10"/>
      <c r="I505" s="12"/>
      <c r="J505" s="13"/>
    </row>
    <row r="506" spans="1:10" ht="75" customHeight="1">
      <c r="A506" s="7"/>
      <c r="B506" s="18"/>
      <c r="C506" s="9"/>
      <c r="D506" s="10"/>
      <c r="E506" s="10"/>
      <c r="F506" s="10"/>
      <c r="G506" s="10"/>
      <c r="H506" s="10"/>
      <c r="I506" s="12"/>
      <c r="J506" s="13"/>
    </row>
    <row r="507" spans="1:10" ht="75" customHeight="1">
      <c r="A507" s="7"/>
      <c r="B507" s="18"/>
      <c r="C507" s="9"/>
      <c r="D507" s="10"/>
      <c r="E507" s="10"/>
      <c r="F507" s="10"/>
      <c r="G507" s="10"/>
      <c r="H507" s="10"/>
      <c r="I507" s="12"/>
      <c r="J507" s="13"/>
    </row>
    <row r="508" spans="1:10" ht="75" customHeight="1">
      <c r="A508" s="7"/>
      <c r="B508" s="18"/>
      <c r="C508" s="9"/>
      <c r="D508" s="10"/>
      <c r="E508" s="10"/>
      <c r="F508" s="10"/>
      <c r="G508" s="10"/>
      <c r="H508" s="10"/>
      <c r="I508" s="12"/>
      <c r="J508" s="13"/>
    </row>
    <row r="509" spans="1:10" ht="75" customHeight="1">
      <c r="A509" s="7"/>
      <c r="B509" s="18"/>
      <c r="C509" s="9"/>
      <c r="D509" s="10"/>
      <c r="E509" s="10"/>
      <c r="F509" s="10"/>
      <c r="G509" s="10"/>
      <c r="H509" s="10"/>
      <c r="I509" s="12"/>
      <c r="J509" s="13"/>
    </row>
    <row r="510" spans="1:10" ht="75" customHeight="1">
      <c r="A510" s="7"/>
      <c r="B510" s="18"/>
      <c r="C510" s="9"/>
      <c r="D510" s="10"/>
      <c r="E510" s="10"/>
      <c r="F510" s="10"/>
      <c r="G510" s="10"/>
      <c r="H510" s="10"/>
      <c r="I510" s="12"/>
      <c r="J510" s="13"/>
    </row>
    <row r="511" spans="1:10" ht="75" customHeight="1">
      <c r="A511" s="7"/>
      <c r="B511" s="18"/>
      <c r="C511" s="9"/>
      <c r="D511" s="10"/>
      <c r="E511" s="10"/>
      <c r="F511" s="10"/>
      <c r="G511" s="10"/>
      <c r="H511" s="10"/>
      <c r="I511" s="12"/>
      <c r="J511" s="13"/>
    </row>
    <row r="512" spans="1:10" ht="75" customHeight="1">
      <c r="A512" s="7"/>
      <c r="B512" s="18"/>
      <c r="C512" s="9"/>
      <c r="D512" s="10"/>
      <c r="E512" s="10"/>
      <c r="F512" s="10"/>
      <c r="G512" s="10"/>
      <c r="H512" s="10"/>
      <c r="I512" s="12"/>
      <c r="J512" s="13"/>
    </row>
    <row r="513" spans="1:10" ht="75" customHeight="1">
      <c r="A513" s="7"/>
      <c r="B513" s="18"/>
      <c r="C513" s="9"/>
      <c r="D513" s="10"/>
      <c r="E513" s="10"/>
      <c r="F513" s="10"/>
      <c r="G513" s="10"/>
      <c r="H513" s="10"/>
      <c r="I513" s="12"/>
      <c r="J513" s="13"/>
    </row>
    <row r="514" spans="1:10" ht="75" customHeight="1">
      <c r="A514" s="7"/>
      <c r="B514" s="18"/>
      <c r="C514" s="9"/>
      <c r="D514" s="10"/>
      <c r="E514" s="10"/>
      <c r="F514" s="10"/>
      <c r="G514" s="10"/>
      <c r="H514" s="10"/>
      <c r="I514" s="12"/>
      <c r="J514" s="13"/>
    </row>
    <row r="515" spans="1:10" ht="75" customHeight="1">
      <c r="A515" s="7"/>
      <c r="B515" s="18"/>
      <c r="C515" s="9"/>
      <c r="D515" s="10"/>
      <c r="E515" s="10"/>
      <c r="F515" s="10"/>
      <c r="G515" s="10"/>
      <c r="H515" s="10"/>
      <c r="I515" s="12"/>
      <c r="J515" s="13"/>
    </row>
    <row r="516" spans="1:10" ht="75" customHeight="1">
      <c r="A516" s="7"/>
      <c r="B516" s="18"/>
      <c r="C516" s="9"/>
      <c r="D516" s="10"/>
      <c r="E516" s="10"/>
      <c r="F516" s="10"/>
      <c r="G516" s="10"/>
      <c r="H516" s="10"/>
      <c r="I516" s="12"/>
      <c r="J516" s="13"/>
    </row>
    <row r="517" spans="1:10" ht="75" customHeight="1">
      <c r="A517" s="7"/>
      <c r="B517" s="18"/>
      <c r="C517" s="9"/>
      <c r="D517" s="10"/>
      <c r="E517" s="10"/>
      <c r="F517" s="10"/>
      <c r="G517" s="10"/>
      <c r="H517" s="10"/>
      <c r="I517" s="12"/>
      <c r="J517" s="13"/>
    </row>
    <row r="518" spans="1:10" ht="75" customHeight="1">
      <c r="A518" s="7"/>
      <c r="B518" s="18"/>
      <c r="C518" s="9"/>
      <c r="D518" s="10"/>
      <c r="E518" s="10"/>
      <c r="F518" s="10"/>
      <c r="G518" s="10"/>
      <c r="H518" s="10"/>
      <c r="I518" s="12"/>
      <c r="J518" s="13"/>
    </row>
    <row r="519" spans="1:10" ht="75" customHeight="1">
      <c r="A519" s="7"/>
      <c r="B519" s="18"/>
      <c r="C519" s="9"/>
      <c r="D519" s="10"/>
      <c r="E519" s="10"/>
      <c r="F519" s="10"/>
      <c r="G519" s="10"/>
      <c r="H519" s="10"/>
      <c r="I519" s="12"/>
      <c r="J519" s="13"/>
    </row>
    <row r="520" spans="1:10" ht="75" customHeight="1">
      <c r="A520" s="7"/>
      <c r="B520" s="18"/>
      <c r="C520" s="9"/>
      <c r="D520" s="10"/>
      <c r="E520" s="10"/>
      <c r="F520" s="10"/>
      <c r="G520" s="10"/>
      <c r="H520" s="10"/>
      <c r="I520" s="12"/>
      <c r="J520" s="13"/>
    </row>
    <row r="521" spans="1:10" ht="75" customHeight="1">
      <c r="A521" s="7"/>
      <c r="B521" s="18"/>
      <c r="C521" s="9"/>
      <c r="D521" s="10"/>
      <c r="E521" s="10"/>
      <c r="F521" s="10"/>
      <c r="G521" s="10"/>
      <c r="H521" s="10"/>
      <c r="I521" s="12"/>
      <c r="J521" s="13"/>
    </row>
    <row r="522" spans="1:10" ht="75" customHeight="1">
      <c r="A522" s="7"/>
      <c r="B522" s="18"/>
      <c r="C522" s="9"/>
      <c r="D522" s="10"/>
      <c r="E522" s="10"/>
      <c r="F522" s="10"/>
      <c r="G522" s="10"/>
      <c r="H522" s="10"/>
      <c r="I522" s="12"/>
      <c r="J522" s="13"/>
    </row>
    <row r="523" spans="1:10" ht="75" customHeight="1">
      <c r="A523" s="7"/>
      <c r="B523" s="18"/>
      <c r="C523" s="9"/>
      <c r="D523" s="10"/>
      <c r="E523" s="10"/>
      <c r="F523" s="10"/>
      <c r="G523" s="10"/>
      <c r="H523" s="10"/>
      <c r="I523" s="12"/>
      <c r="J523" s="13"/>
    </row>
    <row r="524" spans="1:10" ht="75" customHeight="1">
      <c r="A524" s="7"/>
      <c r="B524" s="18"/>
      <c r="C524" s="9"/>
      <c r="D524" s="10"/>
      <c r="E524" s="10"/>
      <c r="F524" s="10"/>
      <c r="G524" s="10"/>
      <c r="H524" s="10"/>
      <c r="I524" s="12"/>
      <c r="J524" s="13"/>
    </row>
    <row r="525" spans="1:10" ht="75" customHeight="1">
      <c r="A525" s="7"/>
      <c r="B525" s="18"/>
      <c r="C525" s="9"/>
      <c r="D525" s="10"/>
      <c r="E525" s="10"/>
      <c r="F525" s="10"/>
      <c r="G525" s="10"/>
      <c r="H525" s="10"/>
      <c r="I525" s="12"/>
      <c r="J525" s="13"/>
    </row>
    <row r="526" spans="1:10" ht="75" customHeight="1">
      <c r="A526" s="7"/>
      <c r="B526" s="18"/>
      <c r="C526" s="9"/>
      <c r="D526" s="10"/>
      <c r="E526" s="10"/>
      <c r="F526" s="10"/>
      <c r="G526" s="10"/>
      <c r="H526" s="10"/>
      <c r="I526" s="12"/>
      <c r="J526" s="13"/>
    </row>
    <row r="527" spans="1:10" ht="75" customHeight="1">
      <c r="A527" s="7"/>
      <c r="B527" s="18"/>
      <c r="C527" s="9"/>
      <c r="D527" s="10"/>
      <c r="E527" s="10"/>
      <c r="F527" s="10"/>
      <c r="G527" s="10"/>
      <c r="H527" s="10"/>
      <c r="I527" s="12"/>
      <c r="J527" s="13"/>
    </row>
    <row r="528" spans="1:10" ht="75" customHeight="1">
      <c r="A528" s="7"/>
      <c r="B528" s="18"/>
      <c r="C528" s="9"/>
      <c r="D528" s="10"/>
      <c r="E528" s="10"/>
      <c r="F528" s="10"/>
      <c r="G528" s="10"/>
      <c r="H528" s="10"/>
      <c r="I528" s="12"/>
      <c r="J528" s="13"/>
    </row>
    <row r="529" spans="1:10" ht="75" customHeight="1">
      <c r="A529" s="7"/>
      <c r="B529" s="18"/>
      <c r="C529" s="9"/>
      <c r="D529" s="10"/>
      <c r="E529" s="10"/>
      <c r="F529" s="10"/>
      <c r="G529" s="10"/>
      <c r="H529" s="10"/>
      <c r="I529" s="12"/>
      <c r="J529" s="13"/>
    </row>
    <row r="530" spans="1:10" ht="75" customHeight="1">
      <c r="A530" s="7"/>
      <c r="B530" s="18"/>
      <c r="C530" s="9"/>
      <c r="D530" s="10"/>
      <c r="E530" s="10"/>
      <c r="F530" s="10"/>
      <c r="G530" s="10"/>
      <c r="H530" s="10"/>
      <c r="I530" s="12"/>
      <c r="J530" s="13"/>
    </row>
    <row r="531" spans="1:10" ht="75" customHeight="1">
      <c r="A531" s="7"/>
      <c r="B531" s="18"/>
      <c r="C531" s="9"/>
      <c r="D531" s="10"/>
      <c r="E531" s="10"/>
      <c r="F531" s="10"/>
      <c r="G531" s="10"/>
      <c r="H531" s="10"/>
      <c r="I531" s="12"/>
      <c r="J531" s="13"/>
    </row>
    <row r="532" spans="1:10" ht="75" customHeight="1">
      <c r="A532" s="7"/>
      <c r="B532" s="18"/>
      <c r="C532" s="9"/>
      <c r="D532" s="10"/>
      <c r="E532" s="10"/>
      <c r="F532" s="10"/>
      <c r="G532" s="10"/>
      <c r="H532" s="10"/>
      <c r="I532" s="12"/>
      <c r="J532" s="13"/>
    </row>
    <row r="533" spans="1:10" ht="75" customHeight="1">
      <c r="A533" s="7"/>
      <c r="B533" s="18"/>
      <c r="C533" s="9"/>
      <c r="D533" s="10"/>
      <c r="E533" s="10"/>
      <c r="F533" s="10"/>
      <c r="G533" s="10"/>
      <c r="H533" s="10"/>
      <c r="I533" s="12"/>
      <c r="J533" s="13"/>
    </row>
    <row r="534" spans="1:10" ht="75" customHeight="1">
      <c r="A534" s="7"/>
      <c r="B534" s="18"/>
      <c r="C534" s="9"/>
      <c r="D534" s="10"/>
      <c r="E534" s="10"/>
      <c r="F534" s="10"/>
      <c r="G534" s="10"/>
      <c r="H534" s="10"/>
      <c r="I534" s="12"/>
      <c r="J534" s="13"/>
    </row>
    <row r="535" spans="1:10" ht="75" customHeight="1">
      <c r="A535" s="7"/>
      <c r="B535" s="18"/>
      <c r="C535" s="9"/>
      <c r="D535" s="10"/>
      <c r="E535" s="10"/>
      <c r="F535" s="10"/>
      <c r="G535" s="10"/>
      <c r="H535" s="10"/>
      <c r="I535" s="12"/>
      <c r="J535" s="13"/>
    </row>
    <row r="536" spans="1:10" ht="75" customHeight="1">
      <c r="A536" s="7"/>
      <c r="B536" s="18"/>
      <c r="C536" s="9"/>
      <c r="D536" s="10"/>
      <c r="E536" s="10"/>
      <c r="F536" s="10"/>
      <c r="G536" s="10"/>
      <c r="H536" s="10"/>
      <c r="I536" s="12"/>
      <c r="J536" s="13"/>
    </row>
    <row r="537" spans="1:10" ht="75" customHeight="1">
      <c r="A537" s="7"/>
      <c r="B537" s="18"/>
      <c r="C537" s="9"/>
      <c r="D537" s="10"/>
      <c r="E537" s="10"/>
      <c r="F537" s="10"/>
      <c r="G537" s="10"/>
      <c r="H537" s="10"/>
      <c r="I537" s="12"/>
      <c r="J537" s="13"/>
    </row>
    <row r="538" spans="1:10" ht="75" customHeight="1">
      <c r="A538" s="7"/>
      <c r="B538" s="18"/>
      <c r="C538" s="9"/>
      <c r="D538" s="10"/>
      <c r="E538" s="10"/>
      <c r="F538" s="10"/>
      <c r="G538" s="10"/>
      <c r="H538" s="10"/>
      <c r="I538" s="12"/>
      <c r="J538" s="13"/>
    </row>
    <row r="539" spans="1:10" ht="75" customHeight="1">
      <c r="A539" s="7"/>
      <c r="B539" s="18"/>
      <c r="C539" s="9"/>
      <c r="D539" s="10"/>
      <c r="E539" s="10"/>
      <c r="F539" s="10"/>
      <c r="G539" s="10"/>
      <c r="H539" s="10"/>
      <c r="I539" s="12"/>
      <c r="J539" s="13"/>
    </row>
    <row r="540" spans="1:10" ht="75" customHeight="1">
      <c r="A540" s="7"/>
      <c r="B540" s="18"/>
      <c r="C540" s="9"/>
      <c r="D540" s="10"/>
      <c r="E540" s="10"/>
      <c r="F540" s="10"/>
      <c r="G540" s="10"/>
      <c r="H540" s="10"/>
      <c r="I540" s="12"/>
      <c r="J540" s="13"/>
    </row>
    <row r="541" spans="1:10" ht="75" customHeight="1">
      <c r="A541" s="7"/>
      <c r="B541" s="18"/>
      <c r="C541" s="9"/>
      <c r="D541" s="10"/>
      <c r="E541" s="10"/>
      <c r="F541" s="10"/>
      <c r="G541" s="10"/>
      <c r="H541" s="10"/>
      <c r="I541" s="12"/>
      <c r="J541" s="13"/>
    </row>
    <row r="542" spans="1:10" ht="75" customHeight="1">
      <c r="A542" s="7"/>
      <c r="B542" s="18"/>
      <c r="C542" s="9"/>
      <c r="D542" s="10"/>
      <c r="E542" s="10"/>
      <c r="F542" s="10"/>
      <c r="G542" s="10"/>
      <c r="H542" s="10"/>
      <c r="I542" s="12"/>
      <c r="J542" s="13"/>
    </row>
    <row r="543" spans="1:10" ht="75" customHeight="1">
      <c r="A543" s="7"/>
      <c r="B543" s="18"/>
      <c r="C543" s="9"/>
      <c r="D543" s="10"/>
      <c r="E543" s="10"/>
      <c r="F543" s="10"/>
      <c r="G543" s="10"/>
      <c r="H543" s="10"/>
      <c r="I543" s="12"/>
      <c r="J543" s="13"/>
    </row>
    <row r="544" spans="1:10" ht="75" customHeight="1">
      <c r="A544" s="7"/>
      <c r="B544" s="18"/>
      <c r="C544" s="9"/>
      <c r="D544" s="10"/>
      <c r="E544" s="10"/>
      <c r="F544" s="10"/>
      <c r="G544" s="10"/>
      <c r="H544" s="10"/>
      <c r="I544" s="12"/>
      <c r="J544" s="13"/>
    </row>
    <row r="545" spans="1:10" ht="75" customHeight="1">
      <c r="A545" s="7"/>
      <c r="B545" s="18"/>
      <c r="C545" s="9"/>
      <c r="D545" s="10"/>
      <c r="E545" s="10"/>
      <c r="F545" s="10"/>
      <c r="G545" s="10"/>
      <c r="H545" s="10"/>
      <c r="I545" s="12"/>
      <c r="J545" s="13"/>
    </row>
    <row r="546" spans="1:10" ht="75" customHeight="1">
      <c r="A546" s="7"/>
      <c r="B546" s="18"/>
      <c r="C546" s="9"/>
      <c r="D546" s="10"/>
      <c r="E546" s="10"/>
      <c r="F546" s="10"/>
      <c r="G546" s="10"/>
      <c r="H546" s="10"/>
      <c r="I546" s="12"/>
      <c r="J546" s="13"/>
    </row>
    <row r="547" spans="1:10" ht="75" customHeight="1">
      <c r="A547" s="7"/>
      <c r="B547" s="18"/>
      <c r="C547" s="9"/>
      <c r="D547" s="10"/>
      <c r="E547" s="10"/>
      <c r="F547" s="10"/>
      <c r="G547" s="10"/>
      <c r="H547" s="10"/>
      <c r="I547" s="12"/>
      <c r="J547" s="13"/>
    </row>
    <row r="548" spans="1:10" ht="75" customHeight="1">
      <c r="A548" s="7"/>
      <c r="B548" s="18"/>
      <c r="C548" s="9"/>
      <c r="D548" s="10"/>
      <c r="E548" s="10"/>
      <c r="F548" s="10"/>
      <c r="G548" s="10"/>
      <c r="H548" s="10"/>
      <c r="I548" s="12"/>
      <c r="J548" s="13"/>
    </row>
    <row r="549" spans="1:10" ht="75" customHeight="1">
      <c r="A549" s="7"/>
      <c r="B549" s="18"/>
      <c r="C549" s="9"/>
      <c r="D549" s="10"/>
      <c r="E549" s="10"/>
      <c r="F549" s="10"/>
      <c r="G549" s="10"/>
      <c r="H549" s="10"/>
      <c r="I549" s="12"/>
      <c r="J549" s="13"/>
    </row>
    <row r="550" spans="1:10" ht="75" customHeight="1">
      <c r="A550" s="7"/>
      <c r="B550" s="18"/>
      <c r="C550" s="9"/>
      <c r="D550" s="10"/>
      <c r="E550" s="10"/>
      <c r="F550" s="10"/>
      <c r="G550" s="10"/>
      <c r="H550" s="10"/>
      <c r="I550" s="12"/>
      <c r="J550" s="13"/>
    </row>
    <row r="551" spans="1:10" ht="75" customHeight="1">
      <c r="A551" s="7"/>
      <c r="B551" s="18"/>
      <c r="C551" s="9"/>
      <c r="D551" s="10"/>
      <c r="E551" s="10"/>
      <c r="F551" s="10"/>
      <c r="G551" s="10"/>
      <c r="H551" s="10"/>
      <c r="I551" s="12"/>
      <c r="J551" s="13"/>
    </row>
    <row r="552" spans="1:10" ht="75" customHeight="1">
      <c r="A552" s="7"/>
      <c r="B552" s="18"/>
      <c r="C552" s="9"/>
      <c r="D552" s="10"/>
      <c r="E552" s="10"/>
      <c r="F552" s="10"/>
      <c r="G552" s="10"/>
      <c r="H552" s="10"/>
      <c r="I552" s="12"/>
      <c r="J552" s="13"/>
    </row>
    <row r="553" spans="1:10" ht="75" customHeight="1">
      <c r="A553" s="7"/>
      <c r="B553" s="18"/>
      <c r="C553" s="9"/>
      <c r="D553" s="10"/>
      <c r="E553" s="10"/>
      <c r="F553" s="10"/>
      <c r="G553" s="10"/>
      <c r="H553" s="10"/>
      <c r="I553" s="12"/>
      <c r="J553" s="13"/>
    </row>
    <row r="554" spans="1:10" ht="75" customHeight="1">
      <c r="A554" s="7"/>
      <c r="B554" s="18"/>
      <c r="C554" s="9"/>
      <c r="D554" s="10"/>
      <c r="E554" s="10"/>
      <c r="F554" s="10"/>
      <c r="G554" s="10"/>
      <c r="H554" s="10"/>
      <c r="I554" s="12"/>
      <c r="J554" s="13"/>
    </row>
    <row r="555" spans="1:10" ht="75" customHeight="1">
      <c r="A555" s="7"/>
      <c r="B555" s="18"/>
      <c r="C555" s="9"/>
      <c r="D555" s="10"/>
      <c r="E555" s="10"/>
      <c r="F555" s="10"/>
      <c r="G555" s="10"/>
      <c r="H555" s="10"/>
      <c r="I555" s="12"/>
      <c r="J555" s="13"/>
    </row>
    <row r="556" spans="1:10" ht="75" customHeight="1">
      <c r="A556" s="7"/>
      <c r="B556" s="18"/>
      <c r="C556" s="9"/>
      <c r="D556" s="10"/>
      <c r="E556" s="10"/>
      <c r="F556" s="10"/>
      <c r="G556" s="10"/>
      <c r="H556" s="10"/>
      <c r="I556" s="12"/>
      <c r="J556" s="13"/>
    </row>
    <row r="557" spans="1:10" ht="75" customHeight="1">
      <c r="A557" s="7"/>
      <c r="B557" s="18"/>
      <c r="C557" s="9"/>
      <c r="D557" s="10"/>
      <c r="E557" s="10"/>
      <c r="F557" s="10"/>
      <c r="G557" s="10"/>
      <c r="H557" s="10"/>
      <c r="I557" s="12"/>
      <c r="J557" s="13"/>
    </row>
    <row r="558" spans="1:10" ht="75" customHeight="1">
      <c r="A558" s="7"/>
      <c r="B558" s="18"/>
      <c r="C558" s="9"/>
      <c r="D558" s="10"/>
      <c r="E558" s="10"/>
      <c r="F558" s="10"/>
      <c r="G558" s="10"/>
      <c r="H558" s="10"/>
      <c r="I558" s="12"/>
      <c r="J558" s="13"/>
    </row>
    <row r="559" spans="1:10" ht="75" customHeight="1">
      <c r="A559" s="7"/>
      <c r="B559" s="18"/>
      <c r="C559" s="9"/>
      <c r="D559" s="10"/>
      <c r="E559" s="10"/>
      <c r="F559" s="10"/>
      <c r="G559" s="10"/>
      <c r="H559" s="10"/>
      <c r="I559" s="12"/>
      <c r="J559" s="13"/>
    </row>
    <row r="560" spans="1:10" ht="75" customHeight="1">
      <c r="A560" s="7"/>
      <c r="B560" s="18"/>
      <c r="C560" s="9"/>
      <c r="D560" s="10"/>
      <c r="E560" s="10"/>
      <c r="F560" s="10"/>
      <c r="G560" s="10"/>
      <c r="H560" s="10"/>
      <c r="I560" s="12"/>
      <c r="J560" s="13"/>
    </row>
    <row r="561" spans="1:10" ht="75" customHeight="1">
      <c r="A561" s="7"/>
      <c r="B561" s="18"/>
      <c r="C561" s="9"/>
      <c r="D561" s="10"/>
      <c r="E561" s="10"/>
      <c r="F561" s="10"/>
      <c r="G561" s="10"/>
      <c r="H561" s="10"/>
      <c r="I561" s="12"/>
      <c r="J561" s="13"/>
    </row>
    <row r="562" spans="1:10" ht="75" customHeight="1">
      <c r="A562" s="7"/>
      <c r="B562" s="18"/>
      <c r="C562" s="9"/>
      <c r="D562" s="10"/>
      <c r="E562" s="10"/>
      <c r="F562" s="10"/>
      <c r="G562" s="10"/>
      <c r="H562" s="10"/>
      <c r="I562" s="12"/>
      <c r="J562" s="13"/>
    </row>
    <row r="563" spans="1:10" ht="75" customHeight="1">
      <c r="A563" s="7"/>
      <c r="B563" s="18"/>
      <c r="C563" s="9"/>
      <c r="D563" s="10"/>
      <c r="E563" s="10"/>
      <c r="F563" s="10"/>
      <c r="G563" s="10"/>
      <c r="H563" s="10"/>
      <c r="I563" s="12"/>
      <c r="J563" s="13"/>
    </row>
    <row r="564" spans="1:10" ht="75" customHeight="1">
      <c r="A564" s="7"/>
      <c r="B564" s="18"/>
      <c r="C564" s="9"/>
      <c r="D564" s="10"/>
      <c r="E564" s="10"/>
      <c r="F564" s="10"/>
      <c r="G564" s="10"/>
      <c r="H564" s="10"/>
      <c r="I564" s="12"/>
      <c r="J564" s="13"/>
    </row>
    <row r="565" spans="1:10" ht="75" customHeight="1">
      <c r="A565" s="7"/>
      <c r="B565" s="18"/>
      <c r="C565" s="9"/>
      <c r="D565" s="10"/>
      <c r="E565" s="10"/>
      <c r="F565" s="10"/>
      <c r="G565" s="10"/>
      <c r="H565" s="10"/>
      <c r="I565" s="12"/>
      <c r="J565" s="13"/>
    </row>
    <row r="566" spans="1:10" ht="75" customHeight="1">
      <c r="A566" s="7"/>
      <c r="B566" s="18"/>
      <c r="C566" s="9"/>
      <c r="D566" s="10"/>
      <c r="E566" s="10"/>
      <c r="F566" s="10"/>
      <c r="G566" s="10"/>
      <c r="H566" s="10"/>
      <c r="I566" s="12"/>
      <c r="J566" s="13"/>
    </row>
    <row r="567" spans="1:10" ht="75" customHeight="1">
      <c r="A567" s="7"/>
      <c r="B567" s="18"/>
      <c r="C567" s="9"/>
      <c r="D567" s="10"/>
      <c r="E567" s="10"/>
      <c r="F567" s="10"/>
      <c r="G567" s="10"/>
      <c r="H567" s="10"/>
      <c r="I567" s="12"/>
      <c r="J567" s="13"/>
    </row>
    <row r="568" spans="1:10" ht="75" customHeight="1">
      <c r="A568" s="7"/>
      <c r="B568" s="18"/>
      <c r="C568" s="9"/>
      <c r="D568" s="10"/>
      <c r="E568" s="10"/>
      <c r="F568" s="10"/>
      <c r="G568" s="10"/>
      <c r="H568" s="10"/>
      <c r="I568" s="12"/>
      <c r="J568" s="13"/>
    </row>
    <row r="569" spans="1:10" ht="75" customHeight="1">
      <c r="A569" s="7"/>
      <c r="B569" s="18"/>
      <c r="C569" s="9"/>
      <c r="D569" s="10"/>
      <c r="E569" s="10"/>
      <c r="F569" s="10"/>
      <c r="G569" s="10"/>
      <c r="H569" s="10"/>
      <c r="I569" s="12"/>
      <c r="J569" s="13"/>
    </row>
    <row r="570" spans="1:10" ht="75" customHeight="1">
      <c r="A570" s="7"/>
      <c r="B570" s="18"/>
      <c r="C570" s="9"/>
      <c r="D570" s="10"/>
      <c r="E570" s="10"/>
      <c r="F570" s="10"/>
      <c r="G570" s="10"/>
      <c r="H570" s="10"/>
      <c r="I570" s="12"/>
      <c r="J570" s="13"/>
    </row>
    <row r="571" spans="1:10" ht="75" customHeight="1">
      <c r="A571" s="7"/>
      <c r="B571" s="18"/>
      <c r="C571" s="9"/>
      <c r="D571" s="10"/>
      <c r="E571" s="10"/>
      <c r="F571" s="10"/>
      <c r="G571" s="10"/>
      <c r="H571" s="10"/>
      <c r="I571" s="12"/>
      <c r="J571" s="13"/>
    </row>
    <row r="572" spans="1:10" ht="75" customHeight="1">
      <c r="A572" s="7"/>
      <c r="B572" s="18"/>
      <c r="C572" s="9"/>
      <c r="D572" s="10"/>
      <c r="E572" s="10"/>
      <c r="F572" s="10"/>
      <c r="G572" s="10"/>
      <c r="H572" s="10"/>
      <c r="I572" s="12"/>
      <c r="J572" s="13"/>
    </row>
    <row r="573" spans="1:10" ht="75" customHeight="1">
      <c r="A573" s="7"/>
      <c r="B573" s="18"/>
      <c r="C573" s="9"/>
      <c r="D573" s="10"/>
      <c r="E573" s="10"/>
      <c r="F573" s="10"/>
      <c r="G573" s="10"/>
      <c r="H573" s="10"/>
      <c r="I573" s="12"/>
      <c r="J573" s="13"/>
    </row>
    <row r="574" spans="1:10" ht="75" customHeight="1">
      <c r="A574" s="7"/>
      <c r="B574" s="18"/>
      <c r="C574" s="9"/>
      <c r="D574" s="10"/>
      <c r="E574" s="10"/>
      <c r="F574" s="10"/>
      <c r="G574" s="10"/>
      <c r="H574" s="10"/>
      <c r="I574" s="12"/>
      <c r="J574" s="13"/>
    </row>
    <row r="575" spans="1:10" ht="75" customHeight="1">
      <c r="A575" s="7"/>
      <c r="B575" s="18"/>
      <c r="C575" s="9"/>
      <c r="D575" s="10"/>
      <c r="E575" s="10"/>
      <c r="F575" s="10"/>
      <c r="G575" s="10"/>
      <c r="H575" s="10"/>
      <c r="I575" s="12"/>
      <c r="J575" s="13"/>
    </row>
    <row r="576" spans="1:10" ht="75" customHeight="1">
      <c r="A576" s="7"/>
      <c r="B576" s="18"/>
      <c r="C576" s="9"/>
      <c r="D576" s="10"/>
      <c r="E576" s="10"/>
      <c r="F576" s="10"/>
      <c r="G576" s="10"/>
      <c r="H576" s="10"/>
      <c r="I576" s="12"/>
      <c r="J576" s="13"/>
    </row>
    <row r="577" spans="1:10" ht="75" customHeight="1">
      <c r="A577" s="7"/>
      <c r="B577" s="18"/>
      <c r="C577" s="9"/>
      <c r="D577" s="10"/>
      <c r="E577" s="10"/>
      <c r="F577" s="10"/>
      <c r="G577" s="10"/>
      <c r="H577" s="10"/>
      <c r="I577" s="12"/>
      <c r="J577" s="13"/>
    </row>
    <row r="578" spans="1:10" ht="75" customHeight="1">
      <c r="A578" s="7"/>
      <c r="B578" s="18"/>
      <c r="C578" s="9"/>
      <c r="D578" s="10"/>
      <c r="E578" s="10"/>
      <c r="F578" s="10"/>
      <c r="G578" s="10"/>
      <c r="H578" s="10"/>
      <c r="I578" s="12"/>
      <c r="J578" s="13"/>
    </row>
    <row r="579" spans="1:10" ht="75" customHeight="1">
      <c r="A579" s="7"/>
      <c r="B579" s="18"/>
      <c r="C579" s="9"/>
      <c r="D579" s="10"/>
      <c r="E579" s="10"/>
      <c r="F579" s="10"/>
      <c r="G579" s="10"/>
      <c r="H579" s="10"/>
      <c r="I579" s="12"/>
      <c r="J579" s="13"/>
    </row>
    <row r="580" spans="1:10" ht="75" customHeight="1">
      <c r="A580" s="7"/>
      <c r="B580" s="18"/>
      <c r="C580" s="9"/>
      <c r="D580" s="10"/>
      <c r="E580" s="10"/>
      <c r="F580" s="10"/>
      <c r="G580" s="10"/>
      <c r="H580" s="10"/>
      <c r="I580" s="12"/>
      <c r="J580" s="13"/>
    </row>
    <row r="581" spans="1:10" ht="75" customHeight="1">
      <c r="A581" s="7"/>
      <c r="B581" s="18"/>
      <c r="C581" s="9"/>
      <c r="D581" s="10"/>
      <c r="E581" s="10"/>
      <c r="F581" s="10"/>
      <c r="G581" s="10"/>
      <c r="H581" s="10"/>
      <c r="I581" s="12"/>
      <c r="J581" s="13"/>
    </row>
    <row r="582" spans="1:10" ht="75" customHeight="1">
      <c r="A582" s="7"/>
      <c r="B582" s="18"/>
      <c r="C582" s="9"/>
      <c r="D582" s="10"/>
      <c r="E582" s="10"/>
      <c r="F582" s="10"/>
      <c r="G582" s="10"/>
      <c r="H582" s="10"/>
      <c r="I582" s="12"/>
      <c r="J582" s="13"/>
    </row>
    <row r="583" spans="1:10" ht="75" customHeight="1">
      <c r="A583" s="7"/>
      <c r="B583" s="18"/>
      <c r="C583" s="9"/>
      <c r="D583" s="10"/>
      <c r="E583" s="10"/>
      <c r="F583" s="10"/>
      <c r="G583" s="10"/>
      <c r="H583" s="10"/>
      <c r="I583" s="12"/>
      <c r="J583" s="13"/>
    </row>
    <row r="584" spans="1:10" ht="75" customHeight="1">
      <c r="A584" s="7"/>
      <c r="B584" s="18"/>
      <c r="C584" s="9"/>
      <c r="D584" s="10"/>
      <c r="E584" s="10"/>
      <c r="F584" s="10"/>
      <c r="G584" s="10"/>
      <c r="H584" s="10"/>
      <c r="I584" s="12"/>
      <c r="J584" s="13"/>
    </row>
    <row r="585" spans="1:10" ht="75" customHeight="1">
      <c r="A585" s="7"/>
      <c r="B585" s="18"/>
      <c r="C585" s="9"/>
      <c r="D585" s="10"/>
      <c r="E585" s="10"/>
      <c r="F585" s="10"/>
      <c r="G585" s="10"/>
      <c r="H585" s="10"/>
      <c r="I585" s="12"/>
      <c r="J585" s="13"/>
    </row>
    <row r="586" spans="1:10" ht="75" customHeight="1">
      <c r="A586" s="7"/>
      <c r="B586" s="18"/>
      <c r="C586" s="9"/>
      <c r="D586" s="10"/>
      <c r="E586" s="10"/>
      <c r="F586" s="10"/>
      <c r="G586" s="10"/>
      <c r="H586" s="10"/>
      <c r="I586" s="12"/>
      <c r="J586" s="13"/>
    </row>
    <row r="587" spans="1:10" ht="75" customHeight="1">
      <c r="A587" s="7"/>
      <c r="B587" s="18"/>
      <c r="C587" s="9"/>
      <c r="D587" s="10"/>
      <c r="E587" s="10"/>
      <c r="F587" s="10"/>
      <c r="G587" s="10"/>
      <c r="H587" s="10"/>
      <c r="I587" s="12"/>
      <c r="J587" s="13"/>
    </row>
    <row r="588" spans="1:10" ht="75" customHeight="1">
      <c r="A588" s="7"/>
      <c r="B588" s="18"/>
      <c r="C588" s="9"/>
      <c r="D588" s="10"/>
      <c r="E588" s="10"/>
      <c r="F588" s="10"/>
      <c r="G588" s="10"/>
      <c r="H588" s="10"/>
      <c r="I588" s="12"/>
      <c r="J588" s="13"/>
    </row>
    <row r="589" spans="1:10" ht="75" customHeight="1">
      <c r="A589" s="7"/>
      <c r="B589" s="18"/>
      <c r="C589" s="9"/>
      <c r="D589" s="10"/>
      <c r="E589" s="10"/>
      <c r="F589" s="10"/>
      <c r="G589" s="10"/>
      <c r="H589" s="10"/>
      <c r="I589" s="12"/>
      <c r="J589" s="13"/>
    </row>
    <row r="590" spans="1:10" ht="75" customHeight="1">
      <c r="A590" s="7"/>
      <c r="B590" s="18"/>
      <c r="C590" s="9"/>
      <c r="D590" s="10"/>
      <c r="E590" s="10"/>
      <c r="F590" s="10"/>
      <c r="G590" s="10"/>
      <c r="H590" s="10"/>
      <c r="I590" s="12"/>
      <c r="J590" s="13"/>
    </row>
    <row r="591" spans="1:10" ht="75" customHeight="1">
      <c r="A591" s="7"/>
      <c r="B591" s="18"/>
      <c r="C591" s="9"/>
      <c r="D591" s="10"/>
      <c r="E591" s="10"/>
      <c r="F591" s="10"/>
      <c r="G591" s="10"/>
      <c r="H591" s="10"/>
      <c r="I591" s="12"/>
      <c r="J591" s="13"/>
    </row>
    <row r="592" spans="1:10" ht="75" customHeight="1">
      <c r="A592" s="7"/>
      <c r="B592" s="18"/>
      <c r="C592" s="9"/>
      <c r="D592" s="10"/>
      <c r="E592" s="10"/>
      <c r="F592" s="10"/>
      <c r="G592" s="10"/>
      <c r="H592" s="10"/>
      <c r="I592" s="12"/>
      <c r="J592" s="13"/>
    </row>
    <row r="593" spans="1:10" ht="75" customHeight="1">
      <c r="A593" s="7"/>
      <c r="B593" s="18"/>
      <c r="C593" s="9"/>
      <c r="D593" s="10"/>
      <c r="E593" s="10"/>
      <c r="F593" s="10"/>
      <c r="G593" s="10"/>
      <c r="H593" s="10"/>
      <c r="I593" s="12"/>
      <c r="J593" s="13"/>
    </row>
    <row r="594" spans="1:10" ht="75" customHeight="1">
      <c r="A594" s="7"/>
      <c r="B594" s="18"/>
      <c r="C594" s="9"/>
      <c r="D594" s="10"/>
      <c r="E594" s="10"/>
      <c r="F594" s="10"/>
      <c r="G594" s="10"/>
      <c r="H594" s="10"/>
      <c r="I594" s="12"/>
      <c r="J594" s="13"/>
    </row>
    <row r="595" spans="1:10" ht="75" customHeight="1">
      <c r="A595" s="7"/>
      <c r="B595" s="18"/>
      <c r="C595" s="9"/>
      <c r="D595" s="10"/>
      <c r="E595" s="10"/>
      <c r="F595" s="10"/>
      <c r="G595" s="10"/>
      <c r="H595" s="10"/>
      <c r="I595" s="12"/>
      <c r="J595" s="13"/>
    </row>
    <row r="596" spans="1:10" ht="75" customHeight="1">
      <c r="A596" s="7"/>
      <c r="B596" s="18"/>
      <c r="C596" s="9"/>
      <c r="D596" s="10"/>
      <c r="E596" s="10"/>
      <c r="F596" s="10"/>
      <c r="G596" s="10"/>
      <c r="H596" s="10"/>
      <c r="I596" s="12"/>
      <c r="J596" s="13"/>
    </row>
    <row r="597" spans="1:10" ht="75" customHeight="1">
      <c r="A597" s="7"/>
      <c r="B597" s="18"/>
      <c r="C597" s="9"/>
      <c r="D597" s="10"/>
      <c r="E597" s="10"/>
      <c r="F597" s="10"/>
      <c r="G597" s="10"/>
      <c r="H597" s="10"/>
      <c r="I597" s="12"/>
      <c r="J597" s="13"/>
    </row>
    <row r="598" spans="1:10" ht="75" customHeight="1">
      <c r="A598" s="7"/>
      <c r="B598" s="18"/>
      <c r="C598" s="9"/>
      <c r="D598" s="10"/>
      <c r="E598" s="10"/>
      <c r="F598" s="10"/>
      <c r="G598" s="10"/>
      <c r="H598" s="10"/>
      <c r="I598" s="12"/>
      <c r="J598" s="13"/>
    </row>
    <row r="599" spans="1:10" ht="75" customHeight="1">
      <c r="A599" s="7"/>
      <c r="B599" s="18"/>
      <c r="C599" s="9"/>
      <c r="D599" s="10"/>
      <c r="E599" s="10"/>
      <c r="F599" s="10"/>
      <c r="G599" s="10"/>
      <c r="H599" s="10"/>
      <c r="I599" s="12"/>
      <c r="J599" s="13"/>
    </row>
    <row r="600" spans="1:10" ht="75" customHeight="1">
      <c r="A600" s="7"/>
      <c r="B600" s="18"/>
      <c r="C600" s="9"/>
      <c r="D600" s="10"/>
      <c r="E600" s="10"/>
      <c r="F600" s="10"/>
      <c r="G600" s="10"/>
      <c r="H600" s="10"/>
      <c r="I600" s="12"/>
      <c r="J600" s="13"/>
    </row>
    <row r="601" spans="1:10" ht="75" customHeight="1">
      <c r="A601" s="7"/>
      <c r="B601" s="18"/>
      <c r="C601" s="9"/>
      <c r="D601" s="10"/>
      <c r="E601" s="10"/>
      <c r="F601" s="10"/>
      <c r="G601" s="10"/>
      <c r="H601" s="10"/>
      <c r="I601" s="12"/>
      <c r="J601" s="13"/>
    </row>
    <row r="602" spans="1:10" ht="75" customHeight="1">
      <c r="A602" s="7"/>
      <c r="B602" s="18"/>
      <c r="C602" s="9"/>
      <c r="D602" s="10"/>
      <c r="E602" s="10"/>
      <c r="F602" s="10"/>
      <c r="G602" s="10"/>
      <c r="H602" s="10"/>
      <c r="I602" s="12"/>
      <c r="J602" s="13"/>
    </row>
    <row r="603" spans="1:10" ht="75" customHeight="1">
      <c r="A603" s="7"/>
      <c r="B603" s="18"/>
      <c r="C603" s="9"/>
      <c r="D603" s="10"/>
      <c r="E603" s="10"/>
      <c r="F603" s="10"/>
      <c r="G603" s="10"/>
      <c r="H603" s="10"/>
      <c r="I603" s="12"/>
      <c r="J603" s="13"/>
    </row>
    <row r="604" spans="1:10" ht="75" customHeight="1">
      <c r="A604" s="7"/>
      <c r="B604" s="18"/>
      <c r="C604" s="9"/>
      <c r="D604" s="10"/>
      <c r="E604" s="10"/>
      <c r="F604" s="10"/>
      <c r="G604" s="10"/>
      <c r="H604" s="10"/>
      <c r="I604" s="12"/>
      <c r="J604" s="13"/>
    </row>
    <row r="605" spans="1:10" ht="75" customHeight="1">
      <c r="A605" s="7"/>
      <c r="B605" s="18"/>
      <c r="C605" s="9"/>
      <c r="D605" s="10"/>
      <c r="E605" s="10"/>
      <c r="F605" s="10"/>
      <c r="G605" s="10"/>
      <c r="H605" s="10"/>
      <c r="I605" s="12"/>
      <c r="J605" s="13"/>
    </row>
    <row r="606" spans="1:10" ht="75" customHeight="1">
      <c r="A606" s="7"/>
      <c r="B606" s="18"/>
      <c r="C606" s="9"/>
      <c r="D606" s="10"/>
      <c r="E606" s="10"/>
      <c r="F606" s="10"/>
      <c r="G606" s="10"/>
      <c r="H606" s="10"/>
      <c r="I606" s="12"/>
      <c r="J606" s="13"/>
    </row>
    <row r="607" spans="1:10" ht="75" customHeight="1">
      <c r="A607" s="7"/>
      <c r="B607" s="18"/>
      <c r="C607" s="9"/>
      <c r="D607" s="10"/>
      <c r="E607" s="10"/>
      <c r="F607" s="10"/>
      <c r="G607" s="10"/>
      <c r="H607" s="10"/>
      <c r="I607" s="12"/>
      <c r="J607" s="13"/>
    </row>
    <row r="608" spans="1:10" ht="75" customHeight="1">
      <c r="A608" s="7"/>
      <c r="B608" s="18"/>
      <c r="C608" s="9"/>
      <c r="D608" s="10"/>
      <c r="E608" s="10"/>
      <c r="F608" s="10"/>
      <c r="G608" s="10"/>
      <c r="H608" s="10"/>
      <c r="I608" s="12"/>
      <c r="J608" s="13"/>
    </row>
    <row r="609" spans="1:10" ht="75" customHeight="1">
      <c r="A609" s="7"/>
      <c r="B609" s="18"/>
      <c r="C609" s="9"/>
      <c r="D609" s="10"/>
      <c r="E609" s="10"/>
      <c r="F609" s="10"/>
      <c r="G609" s="10"/>
      <c r="H609" s="10"/>
      <c r="I609" s="12"/>
      <c r="J609" s="13"/>
    </row>
    <row r="610" spans="1:10" ht="75" customHeight="1">
      <c r="A610" s="7"/>
      <c r="B610" s="18"/>
      <c r="C610" s="9"/>
      <c r="D610" s="10"/>
      <c r="E610" s="10"/>
      <c r="F610" s="10"/>
      <c r="G610" s="10"/>
      <c r="H610" s="10"/>
      <c r="I610" s="12"/>
      <c r="J610" s="13"/>
    </row>
    <row r="611" spans="1:10" ht="75" customHeight="1">
      <c r="A611" s="7"/>
      <c r="B611" s="18"/>
      <c r="C611" s="9"/>
      <c r="D611" s="10"/>
      <c r="E611" s="10"/>
      <c r="F611" s="10"/>
      <c r="G611" s="10"/>
      <c r="H611" s="10"/>
      <c r="I611" s="12"/>
      <c r="J611" s="13"/>
    </row>
    <row r="612" spans="1:10" ht="75" customHeight="1">
      <c r="A612" s="7"/>
      <c r="B612" s="18"/>
      <c r="C612" s="9"/>
      <c r="D612" s="10"/>
      <c r="E612" s="10"/>
      <c r="F612" s="10"/>
      <c r="G612" s="10"/>
      <c r="H612" s="10"/>
      <c r="I612" s="12"/>
      <c r="J612" s="13"/>
    </row>
    <row r="613" spans="1:10" ht="75" customHeight="1">
      <c r="A613" s="7"/>
      <c r="B613" s="18"/>
      <c r="C613" s="9"/>
      <c r="D613" s="10"/>
      <c r="E613" s="10"/>
      <c r="F613" s="10"/>
      <c r="G613" s="10"/>
      <c r="H613" s="10"/>
      <c r="I613" s="12"/>
      <c r="J613" s="13"/>
    </row>
    <row r="614" spans="1:10" ht="75" customHeight="1">
      <c r="A614" s="7"/>
      <c r="B614" s="18"/>
      <c r="C614" s="9"/>
      <c r="D614" s="10"/>
      <c r="E614" s="10"/>
      <c r="F614" s="10"/>
      <c r="G614" s="10"/>
      <c r="H614" s="10"/>
      <c r="I614" s="12"/>
      <c r="J614" s="13"/>
    </row>
    <row r="615" spans="1:10" ht="75" customHeight="1">
      <c r="A615" s="7"/>
      <c r="B615" s="18"/>
      <c r="C615" s="9"/>
      <c r="D615" s="10"/>
      <c r="E615" s="10"/>
      <c r="F615" s="10"/>
      <c r="G615" s="10"/>
      <c r="H615" s="10"/>
      <c r="I615" s="12"/>
      <c r="J615" s="13"/>
    </row>
    <row r="616" spans="1:10" ht="75" customHeight="1">
      <c r="A616" s="7"/>
      <c r="B616" s="18"/>
      <c r="C616" s="9"/>
      <c r="D616" s="10"/>
      <c r="E616" s="10"/>
      <c r="F616" s="10"/>
      <c r="G616" s="10"/>
      <c r="H616" s="10"/>
      <c r="I616" s="12"/>
      <c r="J616" s="13"/>
    </row>
    <row r="617" spans="1:10" ht="75" customHeight="1">
      <c r="A617" s="7"/>
      <c r="B617" s="18"/>
      <c r="C617" s="9"/>
      <c r="D617" s="10"/>
      <c r="E617" s="10"/>
      <c r="F617" s="10"/>
      <c r="G617" s="10"/>
      <c r="H617" s="10"/>
      <c r="I617" s="12"/>
      <c r="J617" s="13"/>
    </row>
    <row r="618" spans="1:10" ht="75" customHeight="1">
      <c r="A618" s="7"/>
      <c r="B618" s="18"/>
      <c r="C618" s="9"/>
      <c r="D618" s="10"/>
      <c r="E618" s="10"/>
      <c r="F618" s="10"/>
      <c r="G618" s="10"/>
      <c r="H618" s="10"/>
      <c r="I618" s="12"/>
      <c r="J618" s="13"/>
    </row>
    <row r="619" spans="1:10" ht="75" customHeight="1">
      <c r="A619" s="7"/>
      <c r="B619" s="18"/>
      <c r="C619" s="9"/>
      <c r="D619" s="10"/>
      <c r="E619" s="10"/>
      <c r="F619" s="10"/>
      <c r="G619" s="10"/>
      <c r="H619" s="10"/>
      <c r="I619" s="12"/>
      <c r="J619" s="13"/>
    </row>
    <row r="620" spans="1:10" ht="75" customHeight="1">
      <c r="A620" s="7"/>
      <c r="B620" s="18"/>
      <c r="C620" s="9"/>
      <c r="D620" s="10"/>
      <c r="E620" s="10"/>
      <c r="F620" s="10"/>
      <c r="G620" s="10"/>
      <c r="H620" s="10"/>
      <c r="I620" s="12"/>
      <c r="J620" s="13"/>
    </row>
    <row r="621" spans="1:10" ht="75" customHeight="1">
      <c r="A621" s="7"/>
      <c r="B621" s="18"/>
      <c r="C621" s="9"/>
      <c r="D621" s="10"/>
      <c r="E621" s="10"/>
      <c r="F621" s="10"/>
      <c r="G621" s="10"/>
      <c r="H621" s="10"/>
      <c r="I621" s="12"/>
      <c r="J621" s="13"/>
    </row>
    <row r="622" spans="1:10" ht="75" customHeight="1">
      <c r="A622" s="7"/>
      <c r="B622" s="18"/>
      <c r="C622" s="9"/>
      <c r="D622" s="10"/>
      <c r="E622" s="10"/>
      <c r="F622" s="10"/>
      <c r="G622" s="10"/>
      <c r="H622" s="10"/>
      <c r="I622" s="12"/>
      <c r="J622" s="13"/>
    </row>
    <row r="623" spans="1:10" ht="75" customHeight="1">
      <c r="A623" s="7"/>
      <c r="B623" s="18"/>
      <c r="C623" s="9"/>
      <c r="D623" s="10"/>
      <c r="E623" s="10"/>
      <c r="F623" s="10"/>
      <c r="G623" s="10"/>
      <c r="H623" s="10"/>
      <c r="I623" s="12"/>
      <c r="J623" s="13"/>
    </row>
    <row r="624" spans="1:10" ht="75" customHeight="1">
      <c r="A624" s="7"/>
      <c r="B624" s="18"/>
      <c r="C624" s="9"/>
      <c r="D624" s="10"/>
      <c r="E624" s="10"/>
      <c r="F624" s="10"/>
      <c r="G624" s="10"/>
      <c r="H624" s="10"/>
      <c r="I624" s="12"/>
      <c r="J624" s="13"/>
    </row>
    <row r="625" spans="1:10" ht="75" customHeight="1">
      <c r="A625" s="7"/>
      <c r="B625" s="18"/>
      <c r="C625" s="9"/>
      <c r="D625" s="10"/>
      <c r="E625" s="10"/>
      <c r="F625" s="10"/>
      <c r="G625" s="10"/>
      <c r="H625" s="10"/>
      <c r="I625" s="12"/>
      <c r="J625" s="13"/>
    </row>
    <row r="626" spans="1:10" ht="75" customHeight="1">
      <c r="A626" s="7"/>
      <c r="B626" s="18"/>
      <c r="C626" s="9"/>
      <c r="D626" s="10"/>
      <c r="E626" s="10"/>
      <c r="F626" s="10"/>
      <c r="G626" s="10"/>
      <c r="H626" s="10"/>
      <c r="I626" s="12"/>
      <c r="J626" s="13"/>
    </row>
    <row r="627" spans="1:10" ht="75" customHeight="1">
      <c r="A627" s="7"/>
      <c r="B627" s="18"/>
      <c r="C627" s="9"/>
      <c r="D627" s="10"/>
      <c r="E627" s="10"/>
      <c r="F627" s="10"/>
      <c r="G627" s="10"/>
      <c r="H627" s="10"/>
      <c r="I627" s="12"/>
      <c r="J627" s="13"/>
    </row>
    <row r="628" spans="1:10" ht="75" customHeight="1">
      <c r="A628" s="7"/>
      <c r="B628" s="18"/>
      <c r="C628" s="9"/>
      <c r="D628" s="10"/>
      <c r="E628" s="10"/>
      <c r="F628" s="10"/>
      <c r="G628" s="10"/>
      <c r="H628" s="10"/>
      <c r="I628" s="12"/>
      <c r="J628" s="13"/>
    </row>
    <row r="629" spans="1:10" ht="75" customHeight="1">
      <c r="A629" s="7"/>
      <c r="B629" s="18"/>
      <c r="C629" s="9"/>
      <c r="D629" s="10"/>
      <c r="E629" s="10"/>
      <c r="F629" s="10"/>
      <c r="G629" s="10"/>
      <c r="H629" s="10"/>
      <c r="I629" s="12"/>
      <c r="J629" s="13"/>
    </row>
    <row r="630" spans="1:10" ht="75" customHeight="1">
      <c r="A630" s="7"/>
      <c r="B630" s="18"/>
      <c r="C630" s="9"/>
      <c r="D630" s="10"/>
      <c r="E630" s="10"/>
      <c r="F630" s="10"/>
      <c r="G630" s="10"/>
      <c r="H630" s="10"/>
      <c r="I630" s="12"/>
      <c r="J630" s="13"/>
    </row>
    <row r="631" spans="1:10" ht="75" customHeight="1">
      <c r="A631" s="7"/>
      <c r="B631" s="18"/>
      <c r="C631" s="9"/>
      <c r="D631" s="10"/>
      <c r="E631" s="10"/>
      <c r="F631" s="10"/>
      <c r="G631" s="10"/>
      <c r="H631" s="10"/>
      <c r="I631" s="12"/>
      <c r="J631" s="13"/>
    </row>
    <row r="632" spans="1:10" ht="75" customHeight="1">
      <c r="A632" s="7"/>
      <c r="B632" s="18"/>
      <c r="C632" s="9"/>
      <c r="D632" s="10"/>
      <c r="E632" s="10"/>
      <c r="F632" s="10"/>
      <c r="G632" s="10"/>
      <c r="H632" s="10"/>
      <c r="I632" s="12"/>
      <c r="J632" s="13"/>
    </row>
    <row r="633" spans="1:10" ht="75" customHeight="1">
      <c r="A633" s="7"/>
      <c r="B633" s="18"/>
      <c r="C633" s="9"/>
      <c r="D633" s="10"/>
      <c r="E633" s="10"/>
      <c r="F633" s="10"/>
      <c r="G633" s="10"/>
      <c r="H633" s="10"/>
      <c r="I633" s="12"/>
      <c r="J633" s="13"/>
    </row>
    <row r="634" spans="1:10" ht="75" customHeight="1">
      <c r="A634" s="7"/>
      <c r="B634" s="18"/>
      <c r="C634" s="9"/>
      <c r="D634" s="10"/>
      <c r="E634" s="10"/>
      <c r="F634" s="10"/>
      <c r="G634" s="10"/>
      <c r="H634" s="10"/>
      <c r="I634" s="12"/>
      <c r="J634" s="13"/>
    </row>
    <row r="635" spans="1:10" ht="75" customHeight="1">
      <c r="A635" s="7"/>
      <c r="B635" s="18"/>
      <c r="C635" s="9"/>
      <c r="D635" s="10"/>
      <c r="E635" s="10"/>
      <c r="F635" s="10"/>
      <c r="G635" s="10"/>
      <c r="H635" s="10"/>
      <c r="I635" s="12"/>
      <c r="J635" s="13"/>
    </row>
    <row r="636" spans="1:10" ht="75" customHeight="1">
      <c r="A636" s="7"/>
      <c r="B636" s="18"/>
      <c r="C636" s="9"/>
      <c r="D636" s="10"/>
      <c r="E636" s="10"/>
      <c r="F636" s="10"/>
      <c r="G636" s="10"/>
      <c r="H636" s="10"/>
      <c r="I636" s="12"/>
      <c r="J636" s="13"/>
    </row>
    <row r="637" spans="1:10" ht="75" customHeight="1">
      <c r="A637" s="7"/>
      <c r="B637" s="18"/>
      <c r="C637" s="9"/>
      <c r="D637" s="10"/>
      <c r="E637" s="10"/>
      <c r="F637" s="10"/>
      <c r="G637" s="10"/>
      <c r="H637" s="10"/>
      <c r="I637" s="12"/>
      <c r="J637" s="13"/>
    </row>
    <row r="638" spans="1:10" ht="75" customHeight="1">
      <c r="A638" s="7"/>
      <c r="B638" s="18"/>
      <c r="C638" s="9"/>
      <c r="D638" s="10"/>
      <c r="E638" s="10"/>
      <c r="F638" s="10"/>
      <c r="G638" s="10"/>
      <c r="H638" s="10"/>
      <c r="I638" s="12"/>
      <c r="J638" s="13"/>
    </row>
    <row r="639" spans="1:10" ht="75" customHeight="1">
      <c r="A639" s="7"/>
      <c r="B639" s="18"/>
      <c r="C639" s="9"/>
      <c r="D639" s="10"/>
      <c r="E639" s="10"/>
      <c r="F639" s="10"/>
      <c r="G639" s="10"/>
      <c r="H639" s="10"/>
      <c r="I639" s="12"/>
      <c r="J639" s="13"/>
    </row>
    <row r="640" spans="1:10" ht="75" customHeight="1">
      <c r="A640" s="7"/>
      <c r="B640" s="18"/>
      <c r="C640" s="9"/>
      <c r="D640" s="10"/>
      <c r="E640" s="10"/>
      <c r="F640" s="10"/>
      <c r="G640" s="10"/>
      <c r="H640" s="10"/>
      <c r="I640" s="12"/>
      <c r="J640" s="13"/>
    </row>
    <row r="641" spans="1:10" ht="75" customHeight="1">
      <c r="A641" s="7"/>
      <c r="B641" s="18"/>
      <c r="C641" s="9"/>
      <c r="D641" s="10"/>
      <c r="E641" s="10"/>
      <c r="F641" s="10"/>
      <c r="G641" s="10"/>
      <c r="H641" s="10"/>
      <c r="I641" s="12"/>
      <c r="J641" s="13"/>
    </row>
    <row r="642" spans="1:10" ht="75" customHeight="1">
      <c r="A642" s="7"/>
      <c r="B642" s="18"/>
      <c r="C642" s="9"/>
      <c r="D642" s="10"/>
      <c r="E642" s="10"/>
      <c r="F642" s="10"/>
      <c r="G642" s="10"/>
      <c r="H642" s="10"/>
      <c r="I642" s="12"/>
      <c r="J642" s="13"/>
    </row>
    <row r="643" spans="1:10" ht="75" customHeight="1">
      <c r="A643" s="7"/>
      <c r="B643" s="18"/>
      <c r="C643" s="9"/>
      <c r="D643" s="10"/>
      <c r="E643" s="10"/>
      <c r="F643" s="10"/>
      <c r="G643" s="10"/>
      <c r="H643" s="10"/>
      <c r="I643" s="12"/>
      <c r="J643" s="13"/>
    </row>
    <row r="644" spans="1:10" ht="75" customHeight="1">
      <c r="A644" s="7"/>
      <c r="B644" s="18"/>
      <c r="C644" s="9"/>
      <c r="D644" s="10"/>
      <c r="E644" s="10"/>
      <c r="F644" s="10"/>
      <c r="G644" s="10"/>
      <c r="H644" s="10"/>
      <c r="I644" s="12"/>
      <c r="J644" s="13"/>
    </row>
    <row r="645" spans="1:10" ht="75" customHeight="1">
      <c r="A645" s="7"/>
      <c r="B645" s="18"/>
      <c r="C645" s="9"/>
      <c r="D645" s="10"/>
      <c r="E645" s="10"/>
      <c r="F645" s="10"/>
      <c r="G645" s="10"/>
      <c r="H645" s="10"/>
      <c r="I645" s="12"/>
      <c r="J645" s="13"/>
    </row>
    <row r="646" spans="1:10" ht="75" customHeight="1">
      <c r="A646" s="7"/>
      <c r="B646" s="18"/>
      <c r="C646" s="9"/>
      <c r="D646" s="10"/>
      <c r="E646" s="10"/>
      <c r="F646" s="10"/>
      <c r="G646" s="10"/>
      <c r="H646" s="10"/>
      <c r="I646" s="12"/>
      <c r="J646" s="13"/>
    </row>
    <row r="647" spans="1:10" ht="75" customHeight="1">
      <c r="A647" s="7"/>
      <c r="B647" s="18"/>
      <c r="C647" s="9"/>
      <c r="D647" s="10"/>
      <c r="E647" s="10"/>
      <c r="F647" s="10"/>
      <c r="G647" s="10"/>
      <c r="H647" s="10"/>
      <c r="I647" s="12"/>
      <c r="J647" s="13"/>
    </row>
    <row r="648" spans="1:10" ht="75" customHeight="1">
      <c r="A648" s="7"/>
      <c r="B648" s="18"/>
      <c r="C648" s="9"/>
      <c r="D648" s="10"/>
      <c r="E648" s="10"/>
      <c r="F648" s="10"/>
      <c r="G648" s="10"/>
      <c r="H648" s="10"/>
      <c r="I648" s="12"/>
      <c r="J648" s="13"/>
    </row>
    <row r="649" spans="1:10" ht="75" customHeight="1">
      <c r="A649" s="7"/>
      <c r="B649" s="18"/>
      <c r="C649" s="9"/>
      <c r="D649" s="10"/>
      <c r="E649" s="10"/>
      <c r="F649" s="10"/>
      <c r="G649" s="10"/>
      <c r="H649" s="10"/>
      <c r="I649" s="12"/>
      <c r="J649" s="13"/>
    </row>
    <row r="650" spans="1:10" ht="75" customHeight="1">
      <c r="A650" s="7"/>
      <c r="B650" s="18"/>
      <c r="C650" s="9"/>
      <c r="D650" s="10"/>
      <c r="E650" s="10"/>
      <c r="F650" s="10"/>
      <c r="G650" s="10"/>
      <c r="H650" s="10"/>
      <c r="I650" s="12"/>
      <c r="J650" s="13"/>
    </row>
    <row r="651" spans="1:10" ht="75" customHeight="1">
      <c r="A651" s="7"/>
      <c r="B651" s="18"/>
      <c r="C651" s="9"/>
      <c r="D651" s="10"/>
      <c r="E651" s="10"/>
      <c r="F651" s="10"/>
      <c r="G651" s="10"/>
      <c r="H651" s="10"/>
      <c r="I651" s="12"/>
      <c r="J651" s="13"/>
    </row>
    <row r="652" spans="1:10" ht="75" customHeight="1">
      <c r="A652" s="7"/>
      <c r="B652" s="18"/>
      <c r="C652" s="9"/>
      <c r="D652" s="10"/>
      <c r="E652" s="10"/>
      <c r="F652" s="10"/>
      <c r="G652" s="10"/>
      <c r="H652" s="10"/>
      <c r="I652" s="12"/>
      <c r="J652" s="13"/>
    </row>
    <row r="653" spans="1:10" ht="75" customHeight="1">
      <c r="A653" s="7"/>
      <c r="B653" s="18"/>
      <c r="C653" s="9"/>
      <c r="D653" s="10"/>
      <c r="E653" s="10"/>
      <c r="F653" s="10"/>
      <c r="G653" s="10"/>
      <c r="H653" s="10"/>
      <c r="I653" s="12"/>
      <c r="J653" s="13"/>
    </row>
    <row r="654" spans="1:10" ht="75" customHeight="1">
      <c r="A654" s="7"/>
      <c r="B654" s="18"/>
      <c r="C654" s="9"/>
      <c r="D654" s="10"/>
      <c r="E654" s="10"/>
      <c r="F654" s="10"/>
      <c r="G654" s="10"/>
      <c r="H654" s="10"/>
      <c r="I654" s="12"/>
      <c r="J654" s="13"/>
    </row>
    <row r="655" spans="1:10" ht="75" customHeight="1">
      <c r="A655" s="7"/>
      <c r="B655" s="18"/>
      <c r="C655" s="9"/>
      <c r="D655" s="10"/>
      <c r="E655" s="10"/>
      <c r="F655" s="10"/>
      <c r="G655" s="10"/>
      <c r="H655" s="10"/>
      <c r="I655" s="12"/>
      <c r="J655" s="13"/>
    </row>
    <row r="656" spans="1:10" ht="75" customHeight="1">
      <c r="A656" s="7"/>
      <c r="B656" s="18"/>
      <c r="C656" s="9"/>
      <c r="D656" s="10"/>
      <c r="E656" s="10"/>
      <c r="F656" s="10"/>
      <c r="G656" s="10"/>
      <c r="H656" s="10"/>
      <c r="I656" s="12"/>
      <c r="J656" s="13"/>
    </row>
    <row r="657" spans="1:10" ht="75" customHeight="1">
      <c r="A657" s="7"/>
      <c r="B657" s="18"/>
      <c r="C657" s="9"/>
      <c r="D657" s="10"/>
      <c r="E657" s="10"/>
      <c r="F657" s="10"/>
      <c r="G657" s="10"/>
      <c r="H657" s="10"/>
      <c r="I657" s="12"/>
      <c r="J657" s="13"/>
    </row>
    <row r="658" spans="1:10" ht="75" customHeight="1">
      <c r="A658" s="7"/>
      <c r="B658" s="18"/>
      <c r="C658" s="9"/>
      <c r="D658" s="10"/>
      <c r="E658" s="10"/>
      <c r="F658" s="10"/>
      <c r="G658" s="10"/>
      <c r="H658" s="10"/>
      <c r="I658" s="12"/>
      <c r="J658" s="13"/>
    </row>
    <row r="659" spans="1:10" ht="75" customHeight="1">
      <c r="A659" s="7"/>
      <c r="B659" s="18"/>
      <c r="C659" s="9"/>
      <c r="D659" s="10"/>
      <c r="E659" s="10"/>
      <c r="F659" s="10"/>
      <c r="G659" s="10"/>
      <c r="H659" s="10"/>
      <c r="I659" s="12"/>
      <c r="J659" s="13"/>
    </row>
    <row r="660" spans="1:10" ht="75" customHeight="1">
      <c r="A660" s="7"/>
      <c r="B660" s="18"/>
      <c r="C660" s="9"/>
      <c r="D660" s="10"/>
      <c r="E660" s="10"/>
      <c r="F660" s="10"/>
      <c r="G660" s="10"/>
      <c r="H660" s="10"/>
      <c r="I660" s="12"/>
      <c r="J660" s="13"/>
    </row>
    <row r="661" spans="1:10" ht="75" customHeight="1">
      <c r="A661" s="7"/>
      <c r="B661" s="18"/>
      <c r="C661" s="9"/>
      <c r="D661" s="10"/>
      <c r="E661" s="10"/>
      <c r="F661" s="10"/>
      <c r="G661" s="10"/>
      <c r="H661" s="10"/>
      <c r="I661" s="12"/>
      <c r="J661" s="13"/>
    </row>
    <row r="662" spans="1:10" ht="75" customHeight="1">
      <c r="A662" s="7"/>
      <c r="B662" s="18"/>
      <c r="C662" s="9"/>
      <c r="D662" s="10"/>
      <c r="E662" s="10"/>
      <c r="F662" s="10"/>
      <c r="G662" s="10"/>
      <c r="H662" s="10"/>
      <c r="I662" s="12"/>
      <c r="J662" s="13"/>
    </row>
    <row r="663" spans="1:10" ht="75" customHeight="1">
      <c r="A663" s="7"/>
      <c r="B663" s="18"/>
      <c r="C663" s="9"/>
      <c r="D663" s="10"/>
      <c r="E663" s="10"/>
      <c r="F663" s="10"/>
      <c r="G663" s="10"/>
      <c r="H663" s="10"/>
      <c r="I663" s="12"/>
      <c r="J663" s="13"/>
    </row>
    <row r="664" spans="1:10" ht="75" customHeight="1">
      <c r="A664" s="7"/>
      <c r="B664" s="18"/>
      <c r="C664" s="9"/>
      <c r="D664" s="10"/>
      <c r="E664" s="10"/>
      <c r="F664" s="10"/>
      <c r="G664" s="10"/>
      <c r="H664" s="10"/>
      <c r="I664" s="12"/>
      <c r="J664" s="13"/>
    </row>
    <row r="665" spans="1:10" ht="75" customHeight="1">
      <c r="A665" s="7"/>
      <c r="B665" s="18"/>
      <c r="C665" s="9"/>
      <c r="D665" s="10"/>
      <c r="E665" s="10"/>
      <c r="F665" s="10"/>
      <c r="G665" s="10"/>
      <c r="H665" s="10"/>
      <c r="I665" s="12"/>
      <c r="J665" s="13"/>
    </row>
    <row r="666" spans="1:10" ht="75" customHeight="1">
      <c r="A666" s="7"/>
      <c r="B666" s="18"/>
      <c r="C666" s="9"/>
      <c r="D666" s="10"/>
      <c r="E666" s="10"/>
      <c r="F666" s="10"/>
      <c r="G666" s="10"/>
      <c r="H666" s="10"/>
      <c r="I666" s="12"/>
      <c r="J666" s="13"/>
    </row>
    <row r="667" spans="1:10" ht="75" customHeight="1">
      <c r="A667" s="7"/>
      <c r="B667" s="18"/>
      <c r="C667" s="9"/>
      <c r="D667" s="10"/>
      <c r="E667" s="10"/>
      <c r="F667" s="10"/>
      <c r="G667" s="10"/>
      <c r="H667" s="10"/>
      <c r="I667" s="12"/>
      <c r="J667" s="13"/>
    </row>
    <row r="668" spans="1:10" ht="75" customHeight="1">
      <c r="A668" s="7"/>
      <c r="B668" s="18"/>
      <c r="C668" s="9"/>
      <c r="D668" s="10"/>
      <c r="E668" s="10"/>
      <c r="F668" s="10"/>
      <c r="G668" s="10"/>
      <c r="H668" s="10"/>
      <c r="I668" s="12"/>
      <c r="J668" s="13"/>
    </row>
    <row r="669" spans="1:10" ht="75" customHeight="1">
      <c r="A669" s="7"/>
      <c r="B669" s="18"/>
      <c r="C669" s="9"/>
      <c r="D669" s="10"/>
      <c r="E669" s="10"/>
      <c r="F669" s="10"/>
      <c r="G669" s="10"/>
      <c r="H669" s="10"/>
      <c r="I669" s="12"/>
      <c r="J669" s="13"/>
    </row>
    <row r="670" spans="1:10" ht="75" customHeight="1">
      <c r="A670" s="7"/>
      <c r="B670" s="18"/>
      <c r="C670" s="9"/>
      <c r="D670" s="10"/>
      <c r="E670" s="10"/>
      <c r="F670" s="10"/>
      <c r="G670" s="10"/>
      <c r="H670" s="10"/>
      <c r="I670" s="12"/>
      <c r="J670" s="13"/>
    </row>
    <row r="671" spans="1:10" ht="75" customHeight="1">
      <c r="A671" s="7"/>
      <c r="B671" s="18"/>
      <c r="C671" s="9"/>
      <c r="D671" s="10"/>
      <c r="E671" s="10"/>
      <c r="F671" s="10"/>
      <c r="G671" s="10"/>
      <c r="H671" s="10"/>
      <c r="I671" s="12"/>
      <c r="J671" s="13"/>
    </row>
    <row r="672" spans="1:10" ht="75" customHeight="1">
      <c r="A672" s="7"/>
      <c r="B672" s="18"/>
      <c r="C672" s="9"/>
      <c r="D672" s="10"/>
      <c r="E672" s="10"/>
      <c r="F672" s="10"/>
      <c r="G672" s="10"/>
      <c r="H672" s="10"/>
      <c r="I672" s="12"/>
      <c r="J672" s="13"/>
    </row>
    <row r="673" spans="1:10" ht="75" customHeight="1">
      <c r="A673" s="7"/>
      <c r="B673" s="18"/>
      <c r="C673" s="9"/>
      <c r="D673" s="10"/>
      <c r="E673" s="10"/>
      <c r="F673" s="10"/>
      <c r="G673" s="10"/>
      <c r="H673" s="10"/>
      <c r="I673" s="12"/>
      <c r="J673" s="13"/>
    </row>
    <row r="674" spans="1:10" ht="75" customHeight="1">
      <c r="A674" s="7"/>
      <c r="B674" s="18"/>
      <c r="C674" s="9"/>
      <c r="D674" s="10"/>
      <c r="E674" s="10"/>
      <c r="F674" s="10"/>
      <c r="G674" s="10"/>
      <c r="H674" s="10"/>
      <c r="I674" s="12"/>
      <c r="J674" s="13"/>
    </row>
    <row r="675" spans="1:10" ht="75" customHeight="1">
      <c r="A675" s="7"/>
      <c r="B675" s="18"/>
      <c r="C675" s="9"/>
      <c r="D675" s="10"/>
      <c r="E675" s="10"/>
      <c r="F675" s="10"/>
      <c r="G675" s="10"/>
      <c r="H675" s="10"/>
      <c r="I675" s="12"/>
      <c r="J675" s="13"/>
    </row>
    <row r="676" spans="1:10" ht="75" customHeight="1">
      <c r="A676" s="7"/>
      <c r="B676" s="18"/>
      <c r="C676" s="9"/>
      <c r="D676" s="10"/>
      <c r="E676" s="10"/>
      <c r="F676" s="10"/>
      <c r="G676" s="10"/>
      <c r="H676" s="10"/>
      <c r="I676" s="12"/>
      <c r="J676" s="13"/>
    </row>
    <row r="677" spans="1:10" ht="75" customHeight="1">
      <c r="A677" s="7"/>
      <c r="B677" s="18"/>
      <c r="C677" s="9"/>
      <c r="D677" s="10"/>
      <c r="E677" s="10"/>
      <c r="F677" s="10"/>
      <c r="G677" s="10"/>
      <c r="H677" s="10"/>
      <c r="I677" s="12"/>
      <c r="J677" s="13"/>
    </row>
    <row r="678" spans="1:10" ht="75" customHeight="1">
      <c r="A678" s="7"/>
      <c r="B678" s="18"/>
      <c r="C678" s="9"/>
      <c r="D678" s="10"/>
      <c r="E678" s="10"/>
      <c r="F678" s="10"/>
      <c r="G678" s="10"/>
      <c r="H678" s="10"/>
      <c r="I678" s="12"/>
      <c r="J678" s="13"/>
    </row>
    <row r="679" spans="1:10" ht="75" customHeight="1">
      <c r="A679" s="7"/>
      <c r="B679" s="18"/>
      <c r="C679" s="9"/>
      <c r="D679" s="10"/>
      <c r="E679" s="10"/>
      <c r="F679" s="10"/>
      <c r="G679" s="10"/>
      <c r="H679" s="10"/>
      <c r="I679" s="12"/>
      <c r="J679" s="13"/>
    </row>
    <row r="680" spans="1:10" ht="75" customHeight="1">
      <c r="A680" s="7"/>
      <c r="B680" s="18"/>
      <c r="C680" s="9"/>
      <c r="D680" s="10"/>
      <c r="E680" s="10"/>
      <c r="F680" s="10"/>
      <c r="G680" s="10"/>
      <c r="H680" s="10"/>
      <c r="I680" s="12"/>
      <c r="J680" s="13"/>
    </row>
    <row r="681" spans="1:10" ht="75" customHeight="1">
      <c r="A681" s="7"/>
      <c r="B681" s="18"/>
      <c r="C681" s="9"/>
      <c r="D681" s="10"/>
      <c r="E681" s="10"/>
      <c r="F681" s="10"/>
      <c r="G681" s="10"/>
      <c r="H681" s="10"/>
      <c r="I681" s="12"/>
      <c r="J681" s="13"/>
    </row>
    <row r="682" spans="1:10" ht="75" customHeight="1">
      <c r="A682" s="7"/>
      <c r="B682" s="18"/>
      <c r="C682" s="9"/>
      <c r="D682" s="10"/>
      <c r="E682" s="10"/>
      <c r="F682" s="10"/>
      <c r="G682" s="10"/>
      <c r="H682" s="10"/>
      <c r="I682" s="12"/>
      <c r="J682" s="13"/>
    </row>
    <row r="683" spans="1:10" ht="75" customHeight="1">
      <c r="A683" s="7"/>
      <c r="B683" s="18"/>
      <c r="C683" s="9"/>
      <c r="D683" s="10"/>
      <c r="E683" s="10"/>
      <c r="F683" s="10"/>
      <c r="G683" s="10"/>
      <c r="H683" s="10"/>
      <c r="I683" s="12"/>
      <c r="J683" s="13"/>
    </row>
    <row r="684" spans="1:10" ht="75" customHeight="1">
      <c r="A684" s="7"/>
      <c r="B684" s="18"/>
      <c r="C684" s="9"/>
      <c r="D684" s="10"/>
      <c r="E684" s="10"/>
      <c r="F684" s="10"/>
      <c r="G684" s="10"/>
      <c r="H684" s="10"/>
      <c r="I684" s="12"/>
      <c r="J684" s="13"/>
    </row>
    <row r="685" spans="1:10" ht="75" customHeight="1">
      <c r="A685" s="7"/>
      <c r="B685" s="18"/>
      <c r="C685" s="9"/>
      <c r="D685" s="10"/>
      <c r="E685" s="10"/>
      <c r="F685" s="10"/>
      <c r="G685" s="10"/>
      <c r="H685" s="10"/>
      <c r="I685" s="12"/>
      <c r="J685" s="13"/>
    </row>
    <row r="686" spans="1:10" ht="75" customHeight="1">
      <c r="A686" s="7"/>
      <c r="B686" s="18"/>
      <c r="C686" s="9"/>
      <c r="D686" s="10"/>
      <c r="E686" s="10"/>
      <c r="F686" s="10"/>
      <c r="G686" s="10"/>
      <c r="H686" s="10"/>
      <c r="I686" s="12"/>
      <c r="J686" s="13"/>
    </row>
    <row r="687" spans="1:10" ht="75" customHeight="1">
      <c r="A687" s="7"/>
      <c r="B687" s="18"/>
      <c r="C687" s="9"/>
      <c r="D687" s="10"/>
      <c r="E687" s="10"/>
      <c r="F687" s="10"/>
      <c r="G687" s="10"/>
      <c r="H687" s="10"/>
      <c r="I687" s="12"/>
      <c r="J687" s="13"/>
    </row>
    <row r="688" spans="1:10" ht="75" customHeight="1">
      <c r="A688" s="7"/>
      <c r="B688" s="18"/>
      <c r="C688" s="9"/>
      <c r="D688" s="10"/>
      <c r="E688" s="10"/>
      <c r="F688" s="10"/>
      <c r="G688" s="10"/>
      <c r="H688" s="10"/>
      <c r="I688" s="12"/>
      <c r="J688" s="13"/>
    </row>
    <row r="689" spans="1:10" ht="75" customHeight="1">
      <c r="A689" s="7"/>
      <c r="B689" s="18"/>
      <c r="C689" s="9"/>
      <c r="D689" s="10"/>
      <c r="E689" s="10"/>
      <c r="F689" s="10"/>
      <c r="G689" s="10"/>
      <c r="H689" s="10"/>
      <c r="I689" s="12"/>
      <c r="J689" s="13"/>
    </row>
    <row r="690" spans="1:10" ht="75" customHeight="1">
      <c r="A690" s="7"/>
      <c r="B690" s="18"/>
      <c r="C690" s="9"/>
      <c r="D690" s="10"/>
      <c r="E690" s="10"/>
      <c r="F690" s="10"/>
      <c r="G690" s="10"/>
      <c r="H690" s="10"/>
      <c r="I690" s="12"/>
      <c r="J690" s="13"/>
    </row>
    <row r="691" spans="1:10" ht="75" customHeight="1">
      <c r="A691" s="7"/>
      <c r="B691" s="18"/>
      <c r="C691" s="9"/>
      <c r="D691" s="10"/>
      <c r="E691" s="10"/>
      <c r="F691" s="10"/>
      <c r="G691" s="10"/>
      <c r="H691" s="10"/>
      <c r="I691" s="12"/>
      <c r="J691" s="13"/>
    </row>
    <row r="692" spans="1:10" ht="75" customHeight="1">
      <c r="A692" s="7"/>
      <c r="B692" s="18"/>
      <c r="C692" s="9"/>
      <c r="D692" s="10"/>
      <c r="E692" s="10"/>
      <c r="F692" s="10"/>
      <c r="G692" s="10"/>
      <c r="H692" s="10"/>
      <c r="I692" s="12"/>
      <c r="J692" s="13"/>
    </row>
    <row r="693" spans="1:10" ht="75" customHeight="1">
      <c r="A693" s="7"/>
      <c r="B693" s="18"/>
      <c r="C693" s="9"/>
      <c r="D693" s="10"/>
      <c r="E693" s="10"/>
      <c r="F693" s="10"/>
      <c r="G693" s="10"/>
      <c r="H693" s="10"/>
      <c r="I693" s="12"/>
      <c r="J693" s="13"/>
    </row>
    <row r="694" spans="1:10" ht="75" customHeight="1">
      <c r="A694" s="7"/>
      <c r="B694" s="18"/>
      <c r="C694" s="9"/>
      <c r="D694" s="10"/>
      <c r="E694" s="10"/>
      <c r="F694" s="10"/>
      <c r="G694" s="10"/>
      <c r="H694" s="10"/>
      <c r="I694" s="12"/>
      <c r="J694" s="13"/>
    </row>
    <row r="695" spans="1:10" ht="75" customHeight="1">
      <c r="A695" s="7"/>
      <c r="B695" s="18"/>
      <c r="C695" s="9"/>
      <c r="D695" s="10"/>
      <c r="E695" s="10"/>
      <c r="F695" s="10"/>
      <c r="G695" s="10"/>
      <c r="H695" s="10"/>
      <c r="I695" s="12"/>
      <c r="J695" s="13"/>
    </row>
    <row r="696" spans="1:10" ht="75" customHeight="1">
      <c r="A696" s="7"/>
      <c r="B696" s="18"/>
      <c r="C696" s="9"/>
      <c r="D696" s="10"/>
      <c r="E696" s="10"/>
      <c r="F696" s="10"/>
      <c r="G696" s="10"/>
      <c r="H696" s="10"/>
      <c r="I696" s="12"/>
      <c r="J696" s="13"/>
    </row>
    <row r="697" spans="1:10" ht="75" customHeight="1">
      <c r="A697" s="7"/>
      <c r="B697" s="18"/>
      <c r="C697" s="9"/>
      <c r="D697" s="10"/>
      <c r="E697" s="10"/>
      <c r="F697" s="10"/>
      <c r="G697" s="10"/>
      <c r="H697" s="10"/>
      <c r="I697" s="12"/>
      <c r="J697" s="13"/>
    </row>
    <row r="698" spans="1:10" ht="75" customHeight="1">
      <c r="A698" s="7"/>
      <c r="B698" s="18"/>
      <c r="C698" s="9"/>
      <c r="D698" s="10"/>
      <c r="E698" s="10"/>
      <c r="F698" s="10"/>
      <c r="G698" s="10"/>
      <c r="H698" s="10"/>
      <c r="I698" s="12"/>
      <c r="J698" s="13"/>
    </row>
    <row r="699" spans="1:10" ht="75" customHeight="1">
      <c r="A699" s="7"/>
      <c r="B699" s="18"/>
      <c r="C699" s="9"/>
      <c r="D699" s="10"/>
      <c r="E699" s="10"/>
      <c r="F699" s="10"/>
      <c r="G699" s="10"/>
      <c r="H699" s="10"/>
      <c r="I699" s="12"/>
      <c r="J699" s="13"/>
    </row>
    <row r="700" spans="1:10" ht="75" customHeight="1">
      <c r="A700" s="7"/>
      <c r="B700" s="18"/>
      <c r="C700" s="9"/>
      <c r="D700" s="10"/>
      <c r="E700" s="10"/>
      <c r="F700" s="10"/>
      <c r="G700" s="10"/>
      <c r="H700" s="10"/>
      <c r="I700" s="12"/>
      <c r="J700" s="13"/>
    </row>
    <row r="701" spans="1:10" ht="75" customHeight="1">
      <c r="A701" s="7"/>
      <c r="B701" s="18"/>
      <c r="C701" s="9"/>
      <c r="D701" s="10"/>
      <c r="E701" s="10"/>
      <c r="F701" s="10"/>
      <c r="G701" s="10"/>
      <c r="H701" s="10"/>
      <c r="I701" s="12"/>
      <c r="J701" s="13"/>
    </row>
    <row r="702" spans="1:10" ht="75" customHeight="1">
      <c r="A702" s="7"/>
      <c r="B702" s="18"/>
      <c r="C702" s="9"/>
      <c r="D702" s="10"/>
      <c r="E702" s="10"/>
      <c r="F702" s="10"/>
      <c r="G702" s="10"/>
      <c r="H702" s="10"/>
      <c r="I702" s="12"/>
      <c r="J702" s="13"/>
    </row>
    <row r="703" spans="1:10" ht="75" customHeight="1">
      <c r="A703" s="7"/>
      <c r="B703" s="18"/>
      <c r="C703" s="9"/>
      <c r="D703" s="10"/>
      <c r="E703" s="10"/>
      <c r="F703" s="10"/>
      <c r="G703" s="10"/>
      <c r="H703" s="10"/>
      <c r="I703" s="12"/>
      <c r="J703" s="13"/>
    </row>
    <row r="704" spans="1:10" ht="75" customHeight="1">
      <c r="A704" s="7"/>
      <c r="B704" s="18"/>
      <c r="C704" s="9"/>
      <c r="D704" s="10"/>
      <c r="E704" s="10"/>
      <c r="F704" s="10"/>
      <c r="G704" s="10"/>
      <c r="H704" s="10"/>
      <c r="I704" s="12"/>
      <c r="J704" s="13"/>
    </row>
    <row r="705" spans="1:10" ht="75" customHeight="1">
      <c r="A705" s="7"/>
      <c r="B705" s="18"/>
      <c r="C705" s="9"/>
      <c r="D705" s="10"/>
      <c r="E705" s="10"/>
      <c r="F705" s="10"/>
      <c r="G705" s="10"/>
      <c r="H705" s="10"/>
      <c r="I705" s="12"/>
      <c r="J705" s="13"/>
    </row>
    <row r="706" spans="1:10" ht="75" customHeight="1">
      <c r="A706" s="7"/>
      <c r="B706" s="18"/>
      <c r="C706" s="9"/>
      <c r="D706" s="10"/>
      <c r="E706" s="10"/>
      <c r="F706" s="10"/>
      <c r="G706" s="10"/>
      <c r="H706" s="10"/>
      <c r="I706" s="12"/>
      <c r="J706" s="13"/>
    </row>
    <row r="707" spans="1:10" ht="75" customHeight="1">
      <c r="A707" s="7"/>
      <c r="B707" s="18"/>
      <c r="C707" s="9"/>
      <c r="D707" s="10"/>
      <c r="E707" s="10"/>
      <c r="F707" s="10"/>
      <c r="G707" s="10"/>
      <c r="H707" s="10"/>
      <c r="I707" s="12"/>
      <c r="J707" s="13"/>
    </row>
    <row r="708" spans="1:10" ht="75" customHeight="1">
      <c r="A708" s="7"/>
      <c r="B708" s="18"/>
      <c r="C708" s="9"/>
      <c r="D708" s="10"/>
      <c r="E708" s="10"/>
      <c r="F708" s="10"/>
      <c r="G708" s="10"/>
      <c r="H708" s="10"/>
      <c r="I708" s="12"/>
      <c r="J708" s="13"/>
    </row>
    <row r="709" spans="1:10" ht="75" customHeight="1">
      <c r="A709" s="7"/>
      <c r="B709" s="18"/>
      <c r="C709" s="9"/>
      <c r="D709" s="10"/>
      <c r="E709" s="10"/>
      <c r="F709" s="10"/>
      <c r="G709" s="10"/>
      <c r="H709" s="10"/>
      <c r="I709" s="12"/>
      <c r="J709" s="13"/>
    </row>
    <row r="710" spans="1:10" ht="75" customHeight="1">
      <c r="A710" s="7"/>
      <c r="B710" s="18"/>
      <c r="C710" s="9"/>
      <c r="D710" s="10"/>
      <c r="E710" s="10"/>
      <c r="F710" s="10"/>
      <c r="G710" s="10"/>
      <c r="H710" s="10"/>
      <c r="I710" s="12"/>
      <c r="J710" s="13"/>
    </row>
    <row r="711" spans="1:10" ht="75" customHeight="1">
      <c r="A711" s="7"/>
      <c r="B711" s="18"/>
      <c r="C711" s="9"/>
      <c r="D711" s="10"/>
      <c r="E711" s="10"/>
      <c r="F711" s="10"/>
      <c r="G711" s="10"/>
      <c r="H711" s="10"/>
      <c r="I711" s="12"/>
      <c r="J711" s="13"/>
    </row>
    <row r="712" spans="1:10" ht="75" customHeight="1">
      <c r="A712" s="7"/>
      <c r="B712" s="18"/>
      <c r="C712" s="9"/>
      <c r="D712" s="10"/>
      <c r="E712" s="10"/>
      <c r="F712" s="10"/>
      <c r="G712" s="10"/>
      <c r="H712" s="10"/>
      <c r="I712" s="12"/>
      <c r="J712" s="13"/>
    </row>
    <row r="713" spans="1:10" ht="75" customHeight="1">
      <c r="A713" s="7"/>
      <c r="B713" s="18"/>
      <c r="C713" s="9"/>
      <c r="D713" s="10"/>
      <c r="E713" s="10"/>
      <c r="F713" s="10"/>
      <c r="G713" s="10"/>
      <c r="H713" s="10"/>
      <c r="I713" s="12"/>
      <c r="J713" s="13"/>
    </row>
    <row r="714" spans="1:10" ht="75" customHeight="1">
      <c r="A714" s="7"/>
      <c r="B714" s="18"/>
      <c r="C714" s="9"/>
      <c r="D714" s="10"/>
      <c r="E714" s="10"/>
      <c r="F714" s="10"/>
      <c r="G714" s="10"/>
      <c r="H714" s="10"/>
      <c r="I714" s="12"/>
      <c r="J714" s="13"/>
    </row>
    <row r="715" spans="1:10" ht="75" customHeight="1">
      <c r="A715" s="7"/>
      <c r="B715" s="18"/>
      <c r="C715" s="9"/>
      <c r="D715" s="10"/>
      <c r="E715" s="10"/>
      <c r="F715" s="10"/>
      <c r="G715" s="10"/>
      <c r="H715" s="10"/>
      <c r="I715" s="12"/>
      <c r="J715" s="13"/>
    </row>
    <row r="716" spans="1:10" ht="75" customHeight="1">
      <c r="A716" s="7"/>
      <c r="B716" s="18"/>
      <c r="C716" s="9"/>
      <c r="D716" s="10"/>
      <c r="E716" s="10"/>
      <c r="F716" s="10"/>
      <c r="G716" s="10"/>
      <c r="H716" s="10"/>
      <c r="I716" s="12"/>
      <c r="J716" s="13"/>
    </row>
    <row r="717" spans="1:10" ht="75" customHeight="1">
      <c r="A717" s="7"/>
      <c r="B717" s="18"/>
      <c r="C717" s="9"/>
      <c r="D717" s="10"/>
      <c r="E717" s="10"/>
      <c r="F717" s="10"/>
      <c r="G717" s="10"/>
      <c r="H717" s="10"/>
      <c r="I717" s="12"/>
      <c r="J717" s="13"/>
    </row>
    <row r="718" spans="1:10" ht="75" customHeight="1">
      <c r="A718" s="7"/>
      <c r="B718" s="18"/>
      <c r="C718" s="9"/>
      <c r="D718" s="10"/>
      <c r="E718" s="10"/>
      <c r="F718" s="10"/>
      <c r="G718" s="10"/>
      <c r="H718" s="10"/>
      <c r="I718" s="12"/>
      <c r="J718" s="13"/>
    </row>
    <row r="719" spans="1:10" ht="75" customHeight="1">
      <c r="A719" s="7"/>
      <c r="B719" s="18"/>
      <c r="C719" s="9"/>
      <c r="D719" s="10"/>
      <c r="E719" s="10"/>
      <c r="F719" s="10"/>
      <c r="G719" s="10"/>
      <c r="H719" s="10"/>
      <c r="I719" s="12"/>
      <c r="J719" s="13"/>
    </row>
    <row r="720" spans="1:10" ht="75" customHeight="1">
      <c r="A720" s="7"/>
      <c r="B720" s="18"/>
      <c r="C720" s="9"/>
      <c r="D720" s="10"/>
      <c r="E720" s="10"/>
      <c r="F720" s="10"/>
      <c r="G720" s="10"/>
      <c r="H720" s="10"/>
      <c r="I720" s="12"/>
      <c r="J720" s="13"/>
    </row>
    <row r="721" spans="1:10" ht="75" customHeight="1">
      <c r="A721" s="7"/>
      <c r="B721" s="18"/>
      <c r="C721" s="9"/>
      <c r="D721" s="10"/>
      <c r="E721" s="10"/>
      <c r="F721" s="10"/>
      <c r="G721" s="10"/>
      <c r="H721" s="10"/>
      <c r="I721" s="12"/>
      <c r="J721" s="13"/>
    </row>
    <row r="722" spans="1:10" ht="75" customHeight="1">
      <c r="A722" s="7"/>
      <c r="B722" s="18"/>
      <c r="C722" s="9"/>
      <c r="D722" s="10"/>
      <c r="E722" s="10"/>
      <c r="F722" s="10"/>
      <c r="G722" s="10"/>
      <c r="H722" s="10"/>
      <c r="I722" s="12"/>
      <c r="J722" s="13"/>
    </row>
    <row r="723" spans="1:10" ht="75" customHeight="1">
      <c r="A723" s="7"/>
      <c r="B723" s="18"/>
      <c r="C723" s="9"/>
      <c r="D723" s="10"/>
      <c r="E723" s="10"/>
      <c r="F723" s="10"/>
      <c r="G723" s="10"/>
      <c r="H723" s="10"/>
      <c r="I723" s="12"/>
      <c r="J723" s="13"/>
    </row>
    <row r="724" spans="1:10" ht="75" customHeight="1">
      <c r="A724" s="7"/>
      <c r="B724" s="18"/>
      <c r="C724" s="9"/>
      <c r="D724" s="10"/>
      <c r="E724" s="10"/>
      <c r="F724" s="10"/>
      <c r="G724" s="10"/>
      <c r="H724" s="10"/>
      <c r="I724" s="12"/>
      <c r="J724" s="13"/>
    </row>
    <row r="725" spans="1:10" ht="75" customHeight="1">
      <c r="A725" s="7"/>
      <c r="B725" s="18"/>
      <c r="C725" s="9"/>
      <c r="D725" s="10"/>
      <c r="E725" s="10"/>
      <c r="F725" s="10"/>
      <c r="G725" s="10"/>
      <c r="H725" s="10"/>
      <c r="I725" s="12"/>
      <c r="J725" s="13"/>
    </row>
    <row r="726" spans="1:10" ht="75" customHeight="1">
      <c r="A726" s="7"/>
      <c r="B726" s="18"/>
      <c r="C726" s="9"/>
      <c r="D726" s="10"/>
      <c r="E726" s="10"/>
      <c r="F726" s="10"/>
      <c r="G726" s="10"/>
      <c r="H726" s="10"/>
      <c r="I726" s="12"/>
      <c r="J726" s="13"/>
    </row>
    <row r="727" spans="1:10" ht="75" customHeight="1">
      <c r="A727" s="7"/>
      <c r="B727" s="18"/>
      <c r="C727" s="9"/>
      <c r="D727" s="10"/>
      <c r="E727" s="10"/>
      <c r="F727" s="10"/>
      <c r="G727" s="10"/>
      <c r="H727" s="10"/>
      <c r="I727" s="12"/>
      <c r="J727" s="13"/>
    </row>
    <row r="728" spans="1:10" ht="75" customHeight="1">
      <c r="A728" s="7"/>
      <c r="B728" s="18"/>
      <c r="C728" s="9"/>
      <c r="D728" s="10"/>
      <c r="E728" s="10"/>
      <c r="F728" s="10"/>
      <c r="G728" s="10"/>
      <c r="H728" s="10"/>
      <c r="I728" s="12"/>
      <c r="J728" s="13"/>
    </row>
    <row r="729" spans="1:10" ht="75" customHeight="1">
      <c r="A729" s="7"/>
      <c r="B729" s="18"/>
      <c r="C729" s="9"/>
      <c r="D729" s="10"/>
      <c r="E729" s="10"/>
      <c r="F729" s="10"/>
      <c r="G729" s="10"/>
      <c r="H729" s="10"/>
      <c r="I729" s="12"/>
      <c r="J729" s="13"/>
    </row>
    <row r="730" spans="1:10" ht="75" customHeight="1">
      <c r="A730" s="7"/>
      <c r="B730" s="18"/>
      <c r="C730" s="9"/>
      <c r="D730" s="10"/>
      <c r="E730" s="10"/>
      <c r="F730" s="10"/>
      <c r="G730" s="10"/>
      <c r="H730" s="10"/>
      <c r="I730" s="12"/>
      <c r="J730" s="13"/>
    </row>
    <row r="731" spans="1:10" ht="75" customHeight="1">
      <c r="A731" s="7"/>
      <c r="B731" s="18"/>
      <c r="C731" s="9"/>
      <c r="D731" s="10"/>
      <c r="E731" s="10"/>
      <c r="F731" s="10"/>
      <c r="G731" s="10"/>
      <c r="H731" s="10"/>
      <c r="I731" s="12"/>
      <c r="J731" s="13"/>
    </row>
    <row r="732" spans="1:10" ht="75" customHeight="1">
      <c r="A732" s="7"/>
      <c r="B732" s="18"/>
      <c r="C732" s="9"/>
      <c r="D732" s="10"/>
      <c r="E732" s="10"/>
      <c r="F732" s="10"/>
      <c r="G732" s="10"/>
      <c r="H732" s="10"/>
      <c r="I732" s="12"/>
      <c r="J732" s="13"/>
    </row>
    <row r="733" spans="1:10" ht="75" customHeight="1">
      <c r="A733" s="7"/>
      <c r="B733" s="18"/>
      <c r="C733" s="9"/>
      <c r="D733" s="10"/>
      <c r="E733" s="10"/>
      <c r="F733" s="10"/>
      <c r="G733" s="10"/>
      <c r="H733" s="10"/>
      <c r="I733" s="12"/>
      <c r="J733" s="13"/>
    </row>
    <row r="734" spans="1:10" ht="75" customHeight="1">
      <c r="A734" s="7"/>
      <c r="B734" s="18"/>
      <c r="C734" s="9"/>
      <c r="D734" s="10"/>
      <c r="E734" s="10"/>
      <c r="F734" s="10"/>
      <c r="G734" s="10"/>
      <c r="H734" s="10"/>
      <c r="I734" s="12"/>
      <c r="J734" s="13"/>
    </row>
    <row r="735" spans="1:10" ht="75" customHeight="1">
      <c r="A735" s="7"/>
      <c r="B735" s="18"/>
      <c r="C735" s="9"/>
      <c r="D735" s="10"/>
      <c r="E735" s="10"/>
      <c r="F735" s="10"/>
      <c r="G735" s="10"/>
      <c r="H735" s="10"/>
      <c r="I735" s="12"/>
      <c r="J735" s="13"/>
    </row>
    <row r="736" spans="1:10" ht="75" customHeight="1">
      <c r="A736" s="7"/>
      <c r="B736" s="18"/>
      <c r="C736" s="9"/>
      <c r="D736" s="10"/>
      <c r="E736" s="10"/>
      <c r="F736" s="10"/>
      <c r="G736" s="10"/>
      <c r="H736" s="10"/>
      <c r="I736" s="12"/>
      <c r="J736" s="13"/>
    </row>
    <row r="737" spans="1:10" ht="75" customHeight="1">
      <c r="A737" s="7"/>
      <c r="B737" s="18"/>
      <c r="C737" s="9"/>
      <c r="D737" s="10"/>
      <c r="E737" s="10"/>
      <c r="F737" s="10"/>
      <c r="G737" s="10"/>
      <c r="H737" s="10"/>
      <c r="I737" s="12"/>
      <c r="J737" s="13"/>
    </row>
    <row r="738" spans="1:10" ht="75" customHeight="1">
      <c r="A738" s="7"/>
      <c r="B738" s="18"/>
      <c r="C738" s="9"/>
      <c r="D738" s="10"/>
      <c r="E738" s="10"/>
      <c r="F738" s="10"/>
      <c r="G738" s="10"/>
      <c r="H738" s="10"/>
      <c r="I738" s="12"/>
      <c r="J738" s="13"/>
    </row>
    <row r="739" spans="1:10" ht="75" customHeight="1">
      <c r="A739" s="7"/>
      <c r="B739" s="18"/>
      <c r="C739" s="9"/>
      <c r="D739" s="10"/>
      <c r="E739" s="10"/>
      <c r="F739" s="10"/>
      <c r="G739" s="10"/>
      <c r="H739" s="10"/>
      <c r="I739" s="12"/>
      <c r="J739" s="13"/>
    </row>
    <row r="740" spans="1:10" ht="75" customHeight="1">
      <c r="A740" s="7"/>
      <c r="B740" s="18"/>
      <c r="C740" s="9"/>
      <c r="D740" s="10"/>
      <c r="E740" s="10"/>
      <c r="F740" s="10"/>
      <c r="G740" s="10"/>
      <c r="H740" s="10"/>
      <c r="I740" s="12"/>
      <c r="J740" s="13"/>
    </row>
    <row r="741" spans="1:10" ht="75" customHeight="1">
      <c r="A741" s="7"/>
      <c r="B741" s="18"/>
      <c r="C741" s="9"/>
      <c r="D741" s="10"/>
      <c r="E741" s="10"/>
      <c r="F741" s="10"/>
      <c r="G741" s="10"/>
      <c r="H741" s="10"/>
      <c r="I741" s="12"/>
      <c r="J741" s="13"/>
    </row>
    <row r="742" spans="1:10" ht="75" customHeight="1">
      <c r="A742" s="7"/>
      <c r="B742" s="18"/>
      <c r="C742" s="9"/>
      <c r="D742" s="10"/>
      <c r="E742" s="10"/>
      <c r="F742" s="10"/>
      <c r="G742" s="10"/>
      <c r="H742" s="10"/>
      <c r="I742" s="12"/>
      <c r="J742" s="13"/>
    </row>
    <row r="743" spans="1:10" ht="75" customHeight="1">
      <c r="A743" s="7"/>
      <c r="B743" s="18"/>
      <c r="C743" s="9"/>
      <c r="D743" s="10"/>
      <c r="E743" s="10"/>
      <c r="F743" s="10"/>
      <c r="G743" s="10"/>
      <c r="H743" s="10"/>
      <c r="I743" s="12"/>
      <c r="J743" s="13"/>
    </row>
    <row r="744" spans="1:10" ht="75" customHeight="1">
      <c r="A744" s="7"/>
      <c r="B744" s="18"/>
      <c r="C744" s="9"/>
      <c r="D744" s="10"/>
      <c r="E744" s="10"/>
      <c r="F744" s="10"/>
      <c r="G744" s="10"/>
      <c r="H744" s="10"/>
      <c r="I744" s="12"/>
      <c r="J744" s="13"/>
    </row>
    <row r="745" spans="1:10" ht="75" customHeight="1">
      <c r="A745" s="7"/>
      <c r="B745" s="18"/>
      <c r="C745" s="9"/>
      <c r="D745" s="10"/>
      <c r="E745" s="10"/>
      <c r="F745" s="10"/>
      <c r="G745" s="10"/>
      <c r="H745" s="10"/>
      <c r="I745" s="12"/>
      <c r="J745" s="13"/>
    </row>
    <row r="746" spans="1:10" ht="75" customHeight="1">
      <c r="A746" s="7"/>
      <c r="B746" s="18"/>
      <c r="C746" s="9"/>
      <c r="D746" s="10"/>
      <c r="E746" s="10"/>
      <c r="F746" s="10"/>
      <c r="G746" s="10"/>
      <c r="H746" s="10"/>
      <c r="I746" s="12"/>
      <c r="J746" s="13"/>
    </row>
    <row r="747" spans="1:10" ht="75" customHeight="1">
      <c r="A747" s="7"/>
      <c r="B747" s="18"/>
      <c r="C747" s="9"/>
      <c r="D747" s="10"/>
      <c r="E747" s="10"/>
      <c r="F747" s="10"/>
      <c r="G747" s="10"/>
      <c r="H747" s="10"/>
      <c r="I747" s="12"/>
      <c r="J747" s="13"/>
    </row>
    <row r="748" spans="1:10" ht="75" customHeight="1">
      <c r="A748" s="7"/>
      <c r="B748" s="18"/>
      <c r="C748" s="9"/>
      <c r="D748" s="10"/>
      <c r="E748" s="10"/>
      <c r="F748" s="10"/>
      <c r="G748" s="10"/>
      <c r="H748" s="10"/>
      <c r="I748" s="12"/>
      <c r="J748" s="13"/>
    </row>
    <row r="749" spans="1:10" ht="75" customHeight="1">
      <c r="A749" s="7"/>
      <c r="B749" s="18"/>
      <c r="C749" s="9"/>
      <c r="D749" s="10"/>
      <c r="E749" s="10"/>
      <c r="F749" s="10"/>
      <c r="G749" s="10"/>
      <c r="H749" s="10"/>
      <c r="I749" s="12"/>
      <c r="J749" s="13"/>
    </row>
    <row r="750" spans="1:10" ht="75" customHeight="1">
      <c r="A750" s="7"/>
      <c r="B750" s="18"/>
      <c r="C750" s="9"/>
      <c r="D750" s="10"/>
      <c r="E750" s="10"/>
      <c r="F750" s="10"/>
      <c r="G750" s="10"/>
      <c r="H750" s="10"/>
      <c r="I750" s="12"/>
      <c r="J750" s="13"/>
    </row>
    <row r="751" spans="1:10" ht="75" customHeight="1">
      <c r="A751" s="7"/>
      <c r="B751" s="18"/>
      <c r="C751" s="9"/>
      <c r="D751" s="10"/>
      <c r="E751" s="10"/>
      <c r="F751" s="10"/>
      <c r="G751" s="10"/>
      <c r="H751" s="10"/>
      <c r="I751" s="12"/>
      <c r="J751" s="13"/>
    </row>
    <row r="752" spans="1:10" ht="75" customHeight="1">
      <c r="A752" s="7"/>
      <c r="B752" s="18"/>
      <c r="C752" s="9"/>
      <c r="D752" s="10"/>
      <c r="E752" s="10"/>
      <c r="F752" s="10"/>
      <c r="G752" s="10"/>
      <c r="H752" s="10"/>
      <c r="I752" s="12"/>
      <c r="J752" s="13"/>
    </row>
    <row r="753" spans="1:10" ht="75" customHeight="1">
      <c r="A753" s="7"/>
      <c r="B753" s="18"/>
      <c r="C753" s="9"/>
      <c r="D753" s="10"/>
      <c r="E753" s="10"/>
      <c r="F753" s="10"/>
      <c r="G753" s="10"/>
      <c r="H753" s="10"/>
      <c r="I753" s="12"/>
      <c r="J753" s="13"/>
    </row>
    <row r="754" spans="1:10" ht="75" customHeight="1">
      <c r="A754" s="7"/>
      <c r="B754" s="18"/>
      <c r="C754" s="9"/>
      <c r="D754" s="10"/>
      <c r="E754" s="10"/>
      <c r="F754" s="10"/>
      <c r="G754" s="10"/>
      <c r="H754" s="10"/>
      <c r="I754" s="12"/>
      <c r="J754" s="13"/>
    </row>
    <row r="755" spans="1:10" ht="75" customHeight="1">
      <c r="A755" s="7"/>
      <c r="B755" s="18"/>
      <c r="C755" s="9"/>
      <c r="D755" s="10"/>
      <c r="E755" s="10"/>
      <c r="F755" s="10"/>
      <c r="G755" s="10"/>
      <c r="H755" s="10"/>
      <c r="I755" s="12"/>
      <c r="J755" s="13"/>
    </row>
    <row r="756" spans="1:10" ht="75" customHeight="1">
      <c r="A756" s="7"/>
      <c r="B756" s="18"/>
      <c r="C756" s="9"/>
      <c r="D756" s="10"/>
      <c r="E756" s="10"/>
      <c r="F756" s="10"/>
      <c r="G756" s="10"/>
      <c r="H756" s="10"/>
      <c r="I756" s="12"/>
      <c r="J756" s="13"/>
    </row>
    <row r="757" spans="1:10" ht="75" customHeight="1">
      <c r="A757" s="7"/>
      <c r="B757" s="18"/>
      <c r="C757" s="9"/>
      <c r="D757" s="10"/>
      <c r="E757" s="10"/>
      <c r="F757" s="10"/>
      <c r="G757" s="10"/>
      <c r="H757" s="10"/>
      <c r="I757" s="12"/>
      <c r="J757" s="13"/>
    </row>
    <row r="758" spans="1:10" ht="75" customHeight="1">
      <c r="A758" s="7"/>
      <c r="B758" s="18"/>
      <c r="C758" s="9"/>
      <c r="D758" s="10"/>
      <c r="E758" s="10"/>
      <c r="F758" s="10"/>
      <c r="G758" s="10"/>
      <c r="H758" s="10"/>
      <c r="I758" s="12"/>
      <c r="J758" s="13"/>
    </row>
    <row r="759" spans="1:10" ht="75" customHeight="1">
      <c r="A759" s="7"/>
      <c r="B759" s="18"/>
      <c r="C759" s="9"/>
      <c r="D759" s="10"/>
      <c r="E759" s="10"/>
      <c r="F759" s="10"/>
      <c r="G759" s="10"/>
      <c r="H759" s="10"/>
      <c r="I759" s="12"/>
      <c r="J759" s="13"/>
    </row>
    <row r="760" spans="1:10" ht="75" customHeight="1">
      <c r="A760" s="7"/>
      <c r="B760" s="18"/>
      <c r="C760" s="9"/>
      <c r="D760" s="10"/>
      <c r="E760" s="10"/>
      <c r="F760" s="10"/>
      <c r="G760" s="10"/>
      <c r="H760" s="10"/>
      <c r="I760" s="12"/>
      <c r="J760" s="13"/>
    </row>
    <row r="761" spans="1:10" ht="75" customHeight="1">
      <c r="A761" s="7"/>
      <c r="B761" s="18"/>
      <c r="C761" s="9"/>
      <c r="D761" s="10"/>
      <c r="E761" s="10"/>
      <c r="F761" s="10"/>
      <c r="G761" s="10"/>
      <c r="H761" s="10"/>
      <c r="I761" s="12"/>
      <c r="J761" s="13"/>
    </row>
    <row r="762" spans="1:10" ht="75" customHeight="1">
      <c r="A762" s="7"/>
      <c r="B762" s="18"/>
      <c r="C762" s="9"/>
      <c r="D762" s="10"/>
      <c r="E762" s="10"/>
      <c r="F762" s="10"/>
      <c r="G762" s="10"/>
      <c r="H762" s="10"/>
      <c r="I762" s="12"/>
      <c r="J762" s="13"/>
    </row>
    <row r="763" spans="1:10" ht="75" customHeight="1">
      <c r="A763" s="7"/>
      <c r="B763" s="18"/>
      <c r="C763" s="9"/>
      <c r="D763" s="10"/>
      <c r="E763" s="10"/>
      <c r="F763" s="10"/>
      <c r="G763" s="10"/>
      <c r="H763" s="10"/>
      <c r="I763" s="12"/>
      <c r="J763" s="13"/>
    </row>
    <row r="764" spans="1:10" ht="75" customHeight="1">
      <c r="A764" s="7"/>
      <c r="B764" s="18"/>
      <c r="C764" s="9"/>
      <c r="D764" s="10"/>
      <c r="E764" s="10"/>
      <c r="F764" s="10"/>
      <c r="G764" s="10"/>
      <c r="H764" s="10"/>
      <c r="I764" s="12"/>
      <c r="J764" s="13"/>
    </row>
    <row r="765" spans="1:10" ht="75" customHeight="1">
      <c r="A765" s="7"/>
      <c r="B765" s="18"/>
      <c r="C765" s="9"/>
      <c r="D765" s="10"/>
      <c r="E765" s="10"/>
      <c r="F765" s="10"/>
      <c r="G765" s="10"/>
      <c r="H765" s="10"/>
      <c r="I765" s="12"/>
      <c r="J765" s="13"/>
    </row>
    <row r="766" spans="1:10" ht="75" customHeight="1">
      <c r="A766" s="7"/>
      <c r="B766" s="18"/>
      <c r="C766" s="9"/>
      <c r="D766" s="10"/>
      <c r="E766" s="10"/>
      <c r="F766" s="10"/>
      <c r="G766" s="10"/>
      <c r="H766" s="10"/>
      <c r="I766" s="12"/>
      <c r="J766" s="13"/>
    </row>
    <row r="767" spans="1:10" ht="75" customHeight="1">
      <c r="A767" s="7"/>
      <c r="B767" s="18"/>
      <c r="C767" s="9"/>
      <c r="D767" s="10"/>
      <c r="E767" s="10"/>
      <c r="F767" s="10"/>
      <c r="G767" s="10"/>
      <c r="H767" s="10"/>
      <c r="I767" s="12"/>
      <c r="J767" s="13"/>
    </row>
    <row r="768" spans="1:10" ht="75" customHeight="1">
      <c r="A768" s="7"/>
      <c r="B768" s="18"/>
      <c r="C768" s="9"/>
      <c r="D768" s="10"/>
      <c r="E768" s="10"/>
      <c r="F768" s="10"/>
      <c r="G768" s="10"/>
      <c r="H768" s="10"/>
      <c r="I768" s="12"/>
      <c r="J768" s="13"/>
    </row>
    <row r="769" spans="1:10" ht="75" customHeight="1">
      <c r="A769" s="7"/>
      <c r="B769" s="18"/>
      <c r="C769" s="9"/>
      <c r="D769" s="10"/>
      <c r="E769" s="10"/>
      <c r="F769" s="10"/>
      <c r="G769" s="10"/>
      <c r="H769" s="10"/>
      <c r="I769" s="12"/>
      <c r="J769" s="13"/>
    </row>
    <row r="770" spans="1:10" ht="75" customHeight="1">
      <c r="A770" s="7"/>
      <c r="B770" s="18"/>
      <c r="C770" s="9"/>
      <c r="D770" s="10"/>
      <c r="E770" s="10"/>
      <c r="F770" s="10"/>
      <c r="G770" s="10"/>
      <c r="H770" s="10"/>
      <c r="I770" s="12"/>
      <c r="J770" s="13"/>
    </row>
    <row r="771" spans="1:10" ht="75" customHeight="1">
      <c r="A771" s="7"/>
      <c r="B771" s="18"/>
      <c r="C771" s="9"/>
      <c r="D771" s="10"/>
      <c r="E771" s="10"/>
      <c r="F771" s="10"/>
      <c r="G771" s="10"/>
      <c r="H771" s="10"/>
      <c r="I771" s="12"/>
      <c r="J771" s="13"/>
    </row>
    <row r="772" spans="1:10" ht="75" customHeight="1">
      <c r="A772" s="7"/>
      <c r="B772" s="18"/>
      <c r="C772" s="9"/>
      <c r="D772" s="10"/>
      <c r="E772" s="10"/>
      <c r="F772" s="10"/>
      <c r="G772" s="10"/>
      <c r="H772" s="10"/>
      <c r="I772" s="12"/>
      <c r="J772" s="13"/>
    </row>
    <row r="773" spans="1:10" ht="75" customHeight="1">
      <c r="A773" s="7"/>
      <c r="B773" s="18"/>
      <c r="C773" s="9"/>
      <c r="D773" s="10"/>
      <c r="E773" s="10"/>
      <c r="F773" s="10"/>
      <c r="G773" s="10"/>
      <c r="H773" s="10"/>
      <c r="I773" s="12"/>
      <c r="J773" s="13"/>
    </row>
    <row r="774" spans="1:10" ht="75" customHeight="1">
      <c r="A774" s="7"/>
      <c r="B774" s="18"/>
      <c r="C774" s="9"/>
      <c r="D774" s="10"/>
      <c r="E774" s="10"/>
      <c r="F774" s="10"/>
      <c r="G774" s="10"/>
      <c r="H774" s="10"/>
      <c r="I774" s="12"/>
      <c r="J774" s="13"/>
    </row>
    <row r="775" spans="1:10" ht="75" customHeight="1">
      <c r="A775" s="7"/>
      <c r="B775" s="18"/>
      <c r="C775" s="9"/>
      <c r="D775" s="10"/>
      <c r="E775" s="10"/>
      <c r="F775" s="10"/>
      <c r="G775" s="10"/>
      <c r="H775" s="10"/>
      <c r="I775" s="12"/>
      <c r="J775" s="13"/>
    </row>
    <row r="776" spans="1:10" ht="75" customHeight="1">
      <c r="A776" s="7"/>
      <c r="B776" s="18"/>
      <c r="C776" s="9"/>
      <c r="D776" s="10"/>
      <c r="E776" s="10"/>
      <c r="F776" s="10"/>
      <c r="G776" s="10"/>
      <c r="H776" s="10"/>
      <c r="I776" s="12"/>
      <c r="J776" s="13"/>
    </row>
    <row r="777" spans="1:10" ht="75" customHeight="1">
      <c r="A777" s="7"/>
      <c r="B777" s="18"/>
      <c r="C777" s="9"/>
      <c r="D777" s="10"/>
      <c r="E777" s="10"/>
      <c r="F777" s="10"/>
      <c r="G777" s="10"/>
      <c r="H777" s="10"/>
      <c r="I777" s="12"/>
      <c r="J777" s="13"/>
    </row>
    <row r="778" spans="1:10" ht="75" customHeight="1">
      <c r="A778" s="7"/>
      <c r="B778" s="18"/>
      <c r="C778" s="9"/>
      <c r="D778" s="10"/>
      <c r="E778" s="10"/>
      <c r="F778" s="10"/>
      <c r="G778" s="10"/>
      <c r="H778" s="10"/>
      <c r="I778" s="12"/>
      <c r="J778" s="13"/>
    </row>
    <row r="779" spans="1:10" ht="75" customHeight="1">
      <c r="A779" s="7"/>
      <c r="B779" s="18"/>
      <c r="C779" s="9"/>
      <c r="D779" s="10"/>
      <c r="E779" s="10"/>
      <c r="F779" s="10"/>
      <c r="G779" s="10"/>
      <c r="H779" s="10"/>
      <c r="I779" s="12"/>
      <c r="J779" s="13"/>
    </row>
    <row r="780" spans="1:10" ht="75" customHeight="1">
      <c r="A780" s="7"/>
      <c r="B780" s="18"/>
      <c r="C780" s="9"/>
      <c r="D780" s="10"/>
      <c r="E780" s="10"/>
      <c r="F780" s="10"/>
      <c r="G780" s="10"/>
      <c r="H780" s="10"/>
      <c r="I780" s="12"/>
      <c r="J780" s="13"/>
    </row>
    <row r="781" spans="1:10" ht="75" customHeight="1">
      <c r="A781" s="7"/>
      <c r="B781" s="18"/>
      <c r="C781" s="9"/>
      <c r="D781" s="10"/>
      <c r="E781" s="10"/>
      <c r="F781" s="10"/>
      <c r="G781" s="10"/>
      <c r="H781" s="10"/>
      <c r="I781" s="12"/>
      <c r="J781" s="13"/>
    </row>
    <row r="782" spans="1:10" ht="75" customHeight="1">
      <c r="A782" s="7"/>
      <c r="B782" s="18"/>
      <c r="C782" s="9"/>
      <c r="D782" s="10"/>
      <c r="E782" s="10"/>
      <c r="F782" s="10"/>
      <c r="G782" s="10"/>
      <c r="H782" s="10"/>
      <c r="I782" s="12"/>
      <c r="J782" s="13"/>
    </row>
    <row r="783" spans="1:10" ht="75" customHeight="1">
      <c r="A783" s="7"/>
      <c r="B783" s="18"/>
      <c r="C783" s="9"/>
      <c r="D783" s="10"/>
      <c r="E783" s="10"/>
      <c r="F783" s="10"/>
      <c r="G783" s="10"/>
      <c r="H783" s="10"/>
      <c r="I783" s="12"/>
      <c r="J783" s="13"/>
    </row>
    <row r="784" spans="1:10" ht="75" customHeight="1">
      <c r="A784" s="7"/>
      <c r="B784" s="18"/>
      <c r="C784" s="9"/>
      <c r="D784" s="10"/>
      <c r="E784" s="10"/>
      <c r="F784" s="10"/>
      <c r="G784" s="10"/>
      <c r="H784" s="10"/>
      <c r="I784" s="12"/>
      <c r="J784" s="13"/>
    </row>
    <row r="785" spans="1:10" ht="75" customHeight="1">
      <c r="A785" s="7"/>
      <c r="B785" s="18"/>
      <c r="C785" s="9"/>
      <c r="D785" s="10"/>
      <c r="E785" s="10"/>
      <c r="F785" s="10"/>
      <c r="G785" s="10"/>
      <c r="H785" s="10"/>
      <c r="I785" s="12"/>
      <c r="J785" s="13"/>
    </row>
    <row r="786" spans="1:10" ht="75" customHeight="1">
      <c r="A786" s="7"/>
      <c r="B786" s="18"/>
      <c r="C786" s="9"/>
      <c r="D786" s="10"/>
      <c r="E786" s="10"/>
      <c r="F786" s="10"/>
      <c r="G786" s="10"/>
      <c r="H786" s="10"/>
      <c r="I786" s="12"/>
      <c r="J786" s="13"/>
    </row>
    <row r="787" spans="1:10" ht="75" customHeight="1">
      <c r="A787" s="7"/>
      <c r="B787" s="18"/>
      <c r="C787" s="9"/>
      <c r="D787" s="10"/>
      <c r="E787" s="10"/>
      <c r="F787" s="10"/>
      <c r="G787" s="10"/>
      <c r="H787" s="10"/>
      <c r="I787" s="12"/>
      <c r="J787" s="13"/>
    </row>
    <row r="788" spans="1:10" ht="75" customHeight="1">
      <c r="A788" s="7"/>
      <c r="B788" s="18"/>
      <c r="C788" s="9"/>
      <c r="D788" s="10"/>
      <c r="E788" s="10"/>
      <c r="F788" s="10"/>
      <c r="G788" s="10"/>
      <c r="H788" s="10"/>
      <c r="I788" s="12"/>
      <c r="J788" s="13"/>
    </row>
    <row r="789" spans="1:10" ht="75" customHeight="1">
      <c r="A789" s="7"/>
      <c r="B789" s="18"/>
      <c r="C789" s="9"/>
      <c r="D789" s="10"/>
      <c r="E789" s="10"/>
      <c r="F789" s="10"/>
      <c r="G789" s="10"/>
      <c r="H789" s="10"/>
      <c r="I789" s="12"/>
      <c r="J789" s="13"/>
    </row>
    <row r="790" spans="1:10" ht="75" customHeight="1">
      <c r="A790" s="7"/>
      <c r="B790" s="18"/>
      <c r="C790" s="9"/>
      <c r="D790" s="10"/>
      <c r="E790" s="10"/>
      <c r="F790" s="10"/>
      <c r="G790" s="10"/>
      <c r="H790" s="10"/>
      <c r="I790" s="12"/>
      <c r="J790" s="13"/>
    </row>
    <row r="791" spans="1:10" ht="75" customHeight="1">
      <c r="A791" s="7"/>
      <c r="B791" s="18"/>
      <c r="C791" s="9"/>
      <c r="D791" s="10"/>
      <c r="E791" s="10"/>
      <c r="F791" s="10"/>
      <c r="G791" s="10"/>
      <c r="H791" s="10"/>
      <c r="I791" s="12"/>
      <c r="J791" s="13"/>
    </row>
    <row r="792" spans="1:10" ht="75" customHeight="1">
      <c r="A792" s="7"/>
      <c r="B792" s="18"/>
      <c r="C792" s="9"/>
      <c r="D792" s="10"/>
      <c r="E792" s="10"/>
      <c r="F792" s="10"/>
      <c r="G792" s="10"/>
      <c r="H792" s="10"/>
      <c r="I792" s="12"/>
      <c r="J792" s="13"/>
    </row>
    <row r="793" spans="1:10" ht="75" customHeight="1">
      <c r="A793" s="7"/>
      <c r="B793" s="18"/>
      <c r="C793" s="9"/>
      <c r="D793" s="10"/>
      <c r="E793" s="10"/>
      <c r="F793" s="10"/>
      <c r="G793" s="10"/>
      <c r="H793" s="10"/>
      <c r="I793" s="12"/>
      <c r="J793" s="13"/>
    </row>
    <row r="794" spans="1:10" ht="75" customHeight="1">
      <c r="A794" s="7"/>
      <c r="B794" s="18"/>
      <c r="C794" s="9"/>
      <c r="D794" s="10"/>
      <c r="E794" s="10"/>
      <c r="F794" s="10"/>
      <c r="G794" s="10"/>
      <c r="H794" s="10"/>
      <c r="I794" s="12"/>
      <c r="J794" s="13"/>
    </row>
    <row r="795" spans="1:10" ht="75" customHeight="1">
      <c r="A795" s="7"/>
      <c r="B795" s="18"/>
      <c r="C795" s="9"/>
      <c r="D795" s="10"/>
      <c r="E795" s="10"/>
      <c r="F795" s="10"/>
      <c r="G795" s="10"/>
      <c r="H795" s="10"/>
      <c r="I795" s="12"/>
      <c r="J795" s="13"/>
    </row>
    <row r="796" spans="1:10" ht="75" customHeight="1">
      <c r="A796" s="7"/>
      <c r="B796" s="18"/>
      <c r="C796" s="9"/>
      <c r="D796" s="10"/>
      <c r="E796" s="10"/>
      <c r="F796" s="10"/>
      <c r="G796" s="10"/>
      <c r="H796" s="10"/>
      <c r="I796" s="12"/>
      <c r="J796" s="13"/>
    </row>
    <row r="797" spans="1:10" ht="75" customHeight="1">
      <c r="A797" s="7"/>
      <c r="B797" s="18"/>
      <c r="C797" s="9"/>
      <c r="D797" s="10"/>
      <c r="E797" s="10"/>
      <c r="F797" s="10"/>
      <c r="G797" s="10"/>
      <c r="H797" s="10"/>
      <c r="I797" s="12"/>
      <c r="J797" s="13"/>
    </row>
    <row r="798" spans="1:10" ht="75" customHeight="1">
      <c r="A798" s="7"/>
      <c r="B798" s="18"/>
      <c r="C798" s="9"/>
      <c r="D798" s="10"/>
      <c r="E798" s="10"/>
      <c r="F798" s="10"/>
      <c r="G798" s="10"/>
      <c r="H798" s="10"/>
      <c r="I798" s="12"/>
      <c r="J798" s="13"/>
    </row>
    <row r="799" spans="1:10" ht="75" customHeight="1">
      <c r="A799" s="7"/>
      <c r="B799" s="18"/>
      <c r="C799" s="9"/>
      <c r="D799" s="10"/>
      <c r="E799" s="10"/>
      <c r="F799" s="10"/>
      <c r="G799" s="10"/>
      <c r="H799" s="10"/>
      <c r="I799" s="12"/>
      <c r="J799" s="13"/>
    </row>
    <row r="800" spans="1:10" ht="75" customHeight="1">
      <c r="A800" s="7"/>
      <c r="B800" s="18"/>
      <c r="C800" s="9"/>
      <c r="D800" s="10"/>
      <c r="E800" s="10"/>
      <c r="F800" s="10"/>
      <c r="G800" s="10"/>
      <c r="H800" s="10"/>
      <c r="I800" s="12"/>
      <c r="J800" s="13"/>
    </row>
    <row r="801" spans="1:10" ht="75" customHeight="1">
      <c r="A801" s="7"/>
      <c r="B801" s="18"/>
      <c r="C801" s="9"/>
      <c r="D801" s="10"/>
      <c r="E801" s="10"/>
      <c r="F801" s="10"/>
      <c r="G801" s="10"/>
      <c r="H801" s="10"/>
      <c r="I801" s="12"/>
      <c r="J801" s="13"/>
    </row>
    <row r="802" spans="1:10" ht="75" customHeight="1">
      <c r="A802" s="7"/>
      <c r="B802" s="18"/>
      <c r="C802" s="9"/>
      <c r="D802" s="10"/>
      <c r="E802" s="10"/>
      <c r="F802" s="10"/>
      <c r="G802" s="10"/>
      <c r="H802" s="10"/>
      <c r="I802" s="12"/>
      <c r="J802" s="13"/>
    </row>
    <row r="803" spans="1:10" ht="75" customHeight="1">
      <c r="A803" s="7"/>
      <c r="B803" s="18"/>
      <c r="C803" s="9"/>
      <c r="D803" s="10"/>
      <c r="E803" s="10"/>
      <c r="F803" s="10"/>
      <c r="G803" s="10"/>
      <c r="H803" s="10"/>
      <c r="I803" s="12"/>
      <c r="J803" s="13"/>
    </row>
    <row r="804" spans="1:10" ht="75" customHeight="1">
      <c r="A804" s="7"/>
      <c r="B804" s="18"/>
      <c r="C804" s="9"/>
      <c r="D804" s="10"/>
      <c r="E804" s="10"/>
      <c r="F804" s="10"/>
      <c r="G804" s="10"/>
      <c r="H804" s="10"/>
      <c r="I804" s="12"/>
      <c r="J804" s="13"/>
    </row>
    <row r="805" spans="1:10" ht="75" customHeight="1">
      <c r="A805" s="7"/>
      <c r="B805" s="18"/>
      <c r="C805" s="9"/>
      <c r="D805" s="10"/>
      <c r="E805" s="10"/>
      <c r="F805" s="10"/>
      <c r="G805" s="10"/>
      <c r="H805" s="10"/>
      <c r="I805" s="12"/>
      <c r="J805" s="13"/>
    </row>
    <row r="806" spans="1:10" ht="75" customHeight="1">
      <c r="A806" s="7"/>
      <c r="B806" s="18"/>
      <c r="C806" s="9"/>
      <c r="D806" s="10"/>
      <c r="E806" s="10"/>
      <c r="F806" s="10"/>
      <c r="G806" s="10"/>
      <c r="H806" s="10"/>
      <c r="I806" s="12"/>
      <c r="J806" s="13"/>
    </row>
    <row r="807" spans="1:10" ht="75" customHeight="1">
      <c r="A807" s="7"/>
      <c r="B807" s="18"/>
      <c r="C807" s="9"/>
      <c r="D807" s="10"/>
      <c r="E807" s="10"/>
      <c r="F807" s="10"/>
      <c r="G807" s="10"/>
      <c r="H807" s="10"/>
      <c r="I807" s="12"/>
      <c r="J807" s="13"/>
    </row>
    <row r="808" spans="1:10" ht="75" customHeight="1">
      <c r="A808" s="7"/>
      <c r="B808" s="18"/>
      <c r="C808" s="9"/>
      <c r="D808" s="10"/>
      <c r="E808" s="10"/>
      <c r="F808" s="10"/>
      <c r="G808" s="10"/>
      <c r="H808" s="10"/>
      <c r="I808" s="12"/>
      <c r="J808" s="13"/>
    </row>
    <row r="809" spans="1:10" ht="75" customHeight="1">
      <c r="A809" s="7"/>
      <c r="B809" s="18"/>
      <c r="C809" s="9"/>
      <c r="D809" s="10"/>
      <c r="E809" s="10"/>
      <c r="F809" s="10"/>
      <c r="G809" s="10"/>
      <c r="H809" s="10"/>
      <c r="I809" s="12"/>
      <c r="J809" s="13"/>
    </row>
    <row r="810" spans="1:10" ht="75" customHeight="1">
      <c r="A810" s="7"/>
      <c r="B810" s="18"/>
      <c r="C810" s="9"/>
      <c r="D810" s="10"/>
      <c r="E810" s="10"/>
      <c r="F810" s="10"/>
      <c r="G810" s="10"/>
      <c r="H810" s="10"/>
      <c r="I810" s="12"/>
      <c r="J810" s="13"/>
    </row>
    <row r="811" spans="1:10" ht="75" customHeight="1">
      <c r="A811" s="7"/>
      <c r="B811" s="18"/>
      <c r="C811" s="9"/>
      <c r="D811" s="10"/>
      <c r="E811" s="10"/>
      <c r="F811" s="10"/>
      <c r="G811" s="10"/>
      <c r="H811" s="10"/>
      <c r="I811" s="12"/>
      <c r="J811" s="13"/>
    </row>
    <row r="812" spans="1:10" ht="75" customHeight="1">
      <c r="A812" s="7"/>
      <c r="B812" s="18"/>
      <c r="C812" s="9"/>
      <c r="D812" s="10"/>
      <c r="E812" s="10"/>
      <c r="F812" s="10"/>
      <c r="G812" s="10"/>
      <c r="H812" s="10"/>
      <c r="I812" s="12"/>
      <c r="J812" s="13"/>
    </row>
    <row r="813" spans="1:10" ht="75" customHeight="1">
      <c r="A813" s="7"/>
      <c r="B813" s="18"/>
      <c r="C813" s="9"/>
      <c r="D813" s="10"/>
      <c r="E813" s="10"/>
      <c r="F813" s="10"/>
      <c r="G813" s="10"/>
      <c r="H813" s="10"/>
      <c r="I813" s="12"/>
      <c r="J813" s="13"/>
    </row>
    <row r="814" spans="1:10" ht="75" customHeight="1">
      <c r="A814" s="7"/>
      <c r="B814" s="18"/>
      <c r="C814" s="9"/>
      <c r="D814" s="10"/>
      <c r="E814" s="10"/>
      <c r="F814" s="10"/>
      <c r="G814" s="10"/>
      <c r="H814" s="10"/>
      <c r="I814" s="12"/>
      <c r="J814" s="13"/>
    </row>
    <row r="815" spans="1:10" ht="75" customHeight="1">
      <c r="A815" s="7"/>
      <c r="B815" s="18"/>
      <c r="C815" s="9"/>
      <c r="D815" s="10"/>
      <c r="E815" s="10"/>
      <c r="F815" s="10"/>
      <c r="G815" s="10"/>
      <c r="H815" s="10"/>
      <c r="I815" s="12"/>
      <c r="J815" s="13"/>
    </row>
    <row r="816" spans="1:10" ht="75" customHeight="1">
      <c r="A816" s="7"/>
      <c r="B816" s="18"/>
      <c r="C816" s="9"/>
      <c r="D816" s="10"/>
      <c r="E816" s="10"/>
      <c r="F816" s="10"/>
      <c r="G816" s="10"/>
      <c r="H816" s="10"/>
      <c r="I816" s="12"/>
      <c r="J816" s="13"/>
    </row>
    <row r="817" spans="1:10" ht="75" customHeight="1">
      <c r="A817" s="7"/>
      <c r="B817" s="18"/>
      <c r="C817" s="9"/>
      <c r="D817" s="10"/>
      <c r="E817" s="10"/>
      <c r="F817" s="10"/>
      <c r="G817" s="10"/>
      <c r="H817" s="10"/>
      <c r="I817" s="12"/>
      <c r="J817" s="13"/>
    </row>
    <row r="818" spans="1:10" ht="75" customHeight="1">
      <c r="A818" s="7"/>
      <c r="B818" s="18"/>
      <c r="C818" s="9"/>
      <c r="D818" s="10"/>
      <c r="E818" s="10"/>
      <c r="F818" s="10"/>
      <c r="G818" s="10"/>
      <c r="H818" s="10"/>
      <c r="I818" s="12"/>
      <c r="J818" s="13"/>
    </row>
    <row r="819" spans="1:10" ht="75" customHeight="1">
      <c r="A819" s="7"/>
      <c r="B819" s="18"/>
      <c r="C819" s="9"/>
      <c r="D819" s="10"/>
      <c r="E819" s="10"/>
      <c r="F819" s="10"/>
      <c r="G819" s="10"/>
      <c r="H819" s="10"/>
      <c r="I819" s="12"/>
      <c r="J819" s="13"/>
    </row>
    <row r="820" spans="1:10" ht="75" customHeight="1">
      <c r="A820" s="7"/>
      <c r="B820" s="18"/>
      <c r="C820" s="9"/>
      <c r="D820" s="10"/>
      <c r="E820" s="10"/>
      <c r="F820" s="10"/>
      <c r="G820" s="10"/>
      <c r="H820" s="10"/>
      <c r="I820" s="12"/>
      <c r="J820" s="13"/>
    </row>
    <row r="821" spans="1:10" ht="75" customHeight="1">
      <c r="A821" s="7"/>
      <c r="B821" s="18"/>
      <c r="C821" s="9"/>
      <c r="D821" s="10"/>
      <c r="E821" s="10"/>
      <c r="F821" s="10"/>
      <c r="G821" s="10"/>
      <c r="H821" s="10"/>
      <c r="I821" s="12"/>
      <c r="J821" s="13"/>
    </row>
    <row r="822" spans="1:10" ht="75" customHeight="1">
      <c r="A822" s="7"/>
      <c r="B822" s="18"/>
      <c r="C822" s="9"/>
      <c r="D822" s="10"/>
      <c r="E822" s="10"/>
      <c r="F822" s="10"/>
      <c r="G822" s="10"/>
      <c r="H822" s="10"/>
      <c r="I822" s="12"/>
      <c r="J822" s="13"/>
    </row>
    <row r="823" spans="1:10" ht="75" customHeight="1">
      <c r="A823" s="7"/>
      <c r="B823" s="18"/>
      <c r="C823" s="9"/>
      <c r="D823" s="10"/>
      <c r="E823" s="10"/>
      <c r="F823" s="10"/>
      <c r="G823" s="10"/>
      <c r="H823" s="10"/>
      <c r="I823" s="12"/>
      <c r="J823" s="13"/>
    </row>
    <row r="824" spans="1:10" ht="75" customHeight="1">
      <c r="A824" s="7"/>
      <c r="B824" s="18"/>
      <c r="C824" s="9"/>
      <c r="D824" s="10"/>
      <c r="E824" s="10"/>
      <c r="F824" s="10"/>
      <c r="G824" s="10"/>
      <c r="H824" s="10"/>
      <c r="I824" s="12"/>
      <c r="J824" s="13"/>
    </row>
    <row r="825" spans="1:10" ht="75" customHeight="1">
      <c r="A825" s="7"/>
      <c r="B825" s="18"/>
      <c r="C825" s="9"/>
      <c r="D825" s="10"/>
      <c r="E825" s="10"/>
      <c r="F825" s="10"/>
      <c r="G825" s="10"/>
      <c r="H825" s="10"/>
      <c r="I825" s="12"/>
      <c r="J825" s="13"/>
    </row>
    <row r="826" spans="1:10" ht="75" customHeight="1">
      <c r="A826" s="7"/>
      <c r="B826" s="18"/>
      <c r="C826" s="9"/>
      <c r="D826" s="10"/>
      <c r="E826" s="10"/>
      <c r="F826" s="10"/>
      <c r="G826" s="10"/>
      <c r="H826" s="10"/>
      <c r="I826" s="12"/>
      <c r="J826" s="13"/>
    </row>
    <row r="827" spans="1:10" ht="75" customHeight="1">
      <c r="A827" s="7"/>
      <c r="B827" s="18"/>
      <c r="C827" s="9"/>
      <c r="D827" s="10"/>
      <c r="E827" s="10"/>
      <c r="F827" s="10"/>
      <c r="G827" s="10"/>
      <c r="H827" s="10"/>
      <c r="I827" s="12"/>
      <c r="J827" s="13"/>
    </row>
    <row r="828" spans="1:10" ht="75" customHeight="1">
      <c r="A828" s="7"/>
      <c r="B828" s="18"/>
      <c r="C828" s="9"/>
      <c r="D828" s="10"/>
      <c r="E828" s="10"/>
      <c r="F828" s="10"/>
      <c r="G828" s="10"/>
      <c r="H828" s="10"/>
      <c r="I828" s="12"/>
      <c r="J828" s="13"/>
    </row>
    <row r="829" spans="1:10" ht="75" customHeight="1">
      <c r="A829" s="7"/>
      <c r="B829" s="18"/>
      <c r="C829" s="9"/>
      <c r="D829" s="10"/>
      <c r="E829" s="10"/>
      <c r="F829" s="10"/>
      <c r="G829" s="10"/>
      <c r="H829" s="10"/>
      <c r="I829" s="12"/>
      <c r="J829" s="13"/>
    </row>
    <row r="830" spans="1:10" ht="75" customHeight="1">
      <c r="A830" s="7"/>
      <c r="B830" s="18"/>
      <c r="C830" s="9"/>
      <c r="D830" s="10"/>
      <c r="E830" s="10"/>
      <c r="F830" s="10"/>
      <c r="G830" s="10"/>
      <c r="H830" s="10"/>
      <c r="I830" s="12"/>
      <c r="J830" s="13"/>
    </row>
    <row r="831" spans="1:10" ht="75" customHeight="1">
      <c r="A831" s="7"/>
      <c r="B831" s="18"/>
      <c r="C831" s="9"/>
      <c r="D831" s="10"/>
      <c r="E831" s="10"/>
      <c r="F831" s="10"/>
      <c r="G831" s="10"/>
      <c r="H831" s="10"/>
      <c r="I831" s="12"/>
      <c r="J831" s="13"/>
    </row>
    <row r="832" spans="1:10" ht="75" customHeight="1">
      <c r="A832" s="7"/>
      <c r="B832" s="18"/>
      <c r="C832" s="9"/>
      <c r="D832" s="10"/>
      <c r="E832" s="10"/>
      <c r="F832" s="10"/>
      <c r="G832" s="10"/>
      <c r="H832" s="10"/>
      <c r="I832" s="12"/>
      <c r="J832" s="13"/>
    </row>
    <row r="833" spans="1:10" ht="75" customHeight="1">
      <c r="A833" s="7"/>
      <c r="B833" s="18"/>
      <c r="C833" s="9"/>
      <c r="D833" s="10"/>
      <c r="E833" s="10"/>
      <c r="F833" s="10"/>
      <c r="G833" s="10"/>
      <c r="H833" s="10"/>
      <c r="I833" s="12"/>
      <c r="J833" s="13"/>
    </row>
    <row r="834" spans="1:10" ht="75" customHeight="1">
      <c r="A834" s="7"/>
      <c r="B834" s="18"/>
      <c r="C834" s="9"/>
      <c r="D834" s="10"/>
      <c r="E834" s="10"/>
      <c r="F834" s="10"/>
      <c r="G834" s="10"/>
      <c r="H834" s="10"/>
      <c r="I834" s="12"/>
      <c r="J834" s="13"/>
    </row>
    <row r="835" spans="1:10" ht="75" customHeight="1">
      <c r="A835" s="7"/>
      <c r="B835" s="18"/>
      <c r="C835" s="9"/>
      <c r="D835" s="10"/>
      <c r="E835" s="10"/>
      <c r="F835" s="10"/>
      <c r="G835" s="10"/>
      <c r="H835" s="10"/>
      <c r="I835" s="12"/>
      <c r="J835" s="13"/>
    </row>
    <row r="836" spans="1:10" ht="75" customHeight="1">
      <c r="A836" s="7"/>
      <c r="B836" s="18"/>
      <c r="C836" s="9"/>
      <c r="D836" s="10"/>
      <c r="E836" s="10"/>
      <c r="F836" s="10"/>
      <c r="G836" s="10"/>
      <c r="H836" s="10"/>
      <c r="I836" s="12"/>
      <c r="J836" s="13"/>
    </row>
    <row r="837" spans="1:10" ht="75" customHeight="1">
      <c r="A837" s="7"/>
      <c r="B837" s="18"/>
      <c r="C837" s="9"/>
      <c r="D837" s="10"/>
      <c r="E837" s="10"/>
      <c r="F837" s="10"/>
      <c r="G837" s="10"/>
      <c r="H837" s="10"/>
      <c r="I837" s="12"/>
      <c r="J837" s="13"/>
    </row>
    <row r="838" spans="1:10" ht="75" customHeight="1">
      <c r="A838" s="7"/>
      <c r="B838" s="18"/>
      <c r="C838" s="9"/>
      <c r="D838" s="10"/>
      <c r="E838" s="10"/>
      <c r="F838" s="10"/>
      <c r="G838" s="10"/>
      <c r="H838" s="10"/>
      <c r="I838" s="12"/>
      <c r="J838" s="13"/>
    </row>
    <row r="839" spans="1:10" ht="75" customHeight="1">
      <c r="A839" s="7"/>
      <c r="B839" s="18"/>
      <c r="C839" s="9"/>
      <c r="D839" s="10"/>
      <c r="E839" s="10"/>
      <c r="F839" s="10"/>
      <c r="G839" s="10"/>
      <c r="H839" s="10"/>
      <c r="I839" s="12"/>
      <c r="J839" s="13"/>
    </row>
    <row r="840" spans="1:10" ht="75" customHeight="1">
      <c r="A840" s="7"/>
      <c r="B840" s="18"/>
      <c r="C840" s="9"/>
      <c r="D840" s="10"/>
      <c r="E840" s="10"/>
      <c r="F840" s="10"/>
      <c r="G840" s="10"/>
      <c r="H840" s="10"/>
      <c r="I840" s="12"/>
      <c r="J840" s="13"/>
    </row>
    <row r="841" spans="1:10" ht="75" customHeight="1">
      <c r="A841" s="7"/>
      <c r="B841" s="18"/>
      <c r="C841" s="9"/>
      <c r="D841" s="10"/>
      <c r="E841" s="10"/>
      <c r="F841" s="10"/>
      <c r="G841" s="10"/>
      <c r="H841" s="10"/>
      <c r="I841" s="12"/>
      <c r="J841" s="13"/>
    </row>
    <row r="842" spans="1:10" ht="75" customHeight="1">
      <c r="A842" s="7"/>
      <c r="B842" s="18"/>
      <c r="C842" s="9"/>
      <c r="D842" s="10"/>
      <c r="E842" s="10"/>
      <c r="F842" s="10"/>
      <c r="G842" s="10"/>
      <c r="H842" s="10"/>
      <c r="I842" s="12"/>
      <c r="J842" s="13"/>
    </row>
    <row r="843" spans="1:10" ht="75" customHeight="1">
      <c r="A843" s="7"/>
      <c r="B843" s="18"/>
      <c r="C843" s="9"/>
      <c r="D843" s="10"/>
      <c r="E843" s="10"/>
      <c r="F843" s="10"/>
      <c r="G843" s="10"/>
      <c r="H843" s="10"/>
      <c r="I843" s="12"/>
      <c r="J843" s="13"/>
    </row>
    <row r="844" spans="1:10" ht="75" customHeight="1">
      <c r="A844" s="7"/>
      <c r="B844" s="18"/>
      <c r="C844" s="9"/>
      <c r="D844" s="10"/>
      <c r="E844" s="10"/>
      <c r="F844" s="10"/>
      <c r="G844" s="10"/>
      <c r="H844" s="10"/>
      <c r="I844" s="12"/>
      <c r="J844" s="13"/>
    </row>
    <row r="845" spans="1:10" ht="75" customHeight="1">
      <c r="A845" s="7"/>
      <c r="B845" s="18"/>
      <c r="C845" s="9"/>
      <c r="D845" s="10"/>
      <c r="E845" s="10"/>
      <c r="F845" s="10"/>
      <c r="G845" s="10"/>
      <c r="H845" s="10"/>
      <c r="I845" s="12"/>
      <c r="J845" s="13"/>
    </row>
    <row r="846" spans="1:10" ht="75" customHeight="1">
      <c r="A846" s="7"/>
      <c r="B846" s="18"/>
      <c r="C846" s="9"/>
      <c r="D846" s="10"/>
      <c r="E846" s="10"/>
      <c r="F846" s="10"/>
      <c r="G846" s="10"/>
      <c r="H846" s="10"/>
      <c r="I846" s="12"/>
      <c r="J846" s="13"/>
    </row>
    <row r="847" spans="1:10" ht="75" customHeight="1">
      <c r="A847" s="7"/>
      <c r="B847" s="18"/>
      <c r="C847" s="9"/>
      <c r="D847" s="10"/>
      <c r="E847" s="10"/>
      <c r="F847" s="10"/>
      <c r="G847" s="10"/>
      <c r="H847" s="10"/>
      <c r="I847" s="12"/>
      <c r="J847" s="13"/>
    </row>
    <row r="848" spans="1:10" ht="75" customHeight="1">
      <c r="A848" s="7"/>
      <c r="B848" s="18"/>
      <c r="C848" s="9"/>
      <c r="D848" s="10"/>
      <c r="E848" s="10"/>
      <c r="F848" s="10"/>
      <c r="G848" s="10"/>
      <c r="H848" s="10"/>
      <c r="I848" s="12"/>
      <c r="J848" s="13"/>
    </row>
    <row r="849" spans="1:10" ht="75" customHeight="1">
      <c r="A849" s="7"/>
      <c r="B849" s="18"/>
      <c r="C849" s="9"/>
      <c r="D849" s="10"/>
      <c r="E849" s="10"/>
      <c r="F849" s="10"/>
      <c r="G849" s="10"/>
      <c r="H849" s="10"/>
      <c r="I849" s="12"/>
      <c r="J849" s="13"/>
    </row>
    <row r="850" spans="1:10" ht="75" customHeight="1">
      <c r="A850" s="7"/>
      <c r="B850" s="18"/>
      <c r="C850" s="9"/>
      <c r="D850" s="10"/>
      <c r="E850" s="10"/>
      <c r="F850" s="10"/>
      <c r="G850" s="10"/>
      <c r="H850" s="10"/>
      <c r="I850" s="12"/>
      <c r="J850" s="13"/>
    </row>
    <row r="851" spans="1:10" ht="75" customHeight="1">
      <c r="A851" s="7"/>
      <c r="B851" s="18"/>
      <c r="C851" s="9"/>
      <c r="D851" s="10"/>
      <c r="E851" s="10"/>
      <c r="F851" s="10"/>
      <c r="G851" s="10"/>
      <c r="H851" s="10"/>
      <c r="I851" s="12"/>
      <c r="J851" s="13"/>
    </row>
    <row r="852" spans="1:10" ht="75" customHeight="1">
      <c r="A852" s="7"/>
      <c r="B852" s="18"/>
      <c r="C852" s="9"/>
      <c r="D852" s="10"/>
      <c r="E852" s="10"/>
      <c r="F852" s="10"/>
      <c r="G852" s="10"/>
      <c r="H852" s="10"/>
      <c r="I852" s="12"/>
      <c r="J852" s="13"/>
    </row>
    <row r="853" spans="1:10" ht="75" customHeight="1">
      <c r="A853" s="7"/>
      <c r="B853" s="18"/>
      <c r="C853" s="9"/>
      <c r="D853" s="10"/>
      <c r="E853" s="10"/>
      <c r="F853" s="10"/>
      <c r="G853" s="10"/>
      <c r="H853" s="10"/>
      <c r="I853" s="12"/>
      <c r="J853" s="13"/>
    </row>
    <row r="854" spans="1:10" ht="75" customHeight="1">
      <c r="A854" s="7"/>
      <c r="B854" s="18"/>
      <c r="C854" s="9"/>
      <c r="D854" s="10"/>
      <c r="E854" s="10"/>
      <c r="F854" s="10"/>
      <c r="G854" s="10"/>
      <c r="H854" s="10"/>
      <c r="I854" s="12"/>
      <c r="J854" s="13"/>
    </row>
    <row r="855" spans="1:10" ht="75" customHeight="1">
      <c r="A855" s="7"/>
      <c r="B855" s="18"/>
      <c r="C855" s="9"/>
      <c r="D855" s="10"/>
      <c r="E855" s="10"/>
      <c r="F855" s="10"/>
      <c r="G855" s="10"/>
      <c r="H855" s="10"/>
      <c r="I855" s="12"/>
      <c r="J855" s="13"/>
    </row>
    <row r="856" spans="1:10" ht="75" customHeight="1">
      <c r="A856" s="7"/>
      <c r="B856" s="18"/>
      <c r="C856" s="9"/>
      <c r="D856" s="10"/>
      <c r="E856" s="10"/>
      <c r="F856" s="10"/>
      <c r="G856" s="10"/>
      <c r="H856" s="10"/>
      <c r="I856" s="12"/>
      <c r="J856" s="13"/>
    </row>
    <row r="857" spans="1:10" ht="75" customHeight="1">
      <c r="A857" s="7"/>
      <c r="B857" s="18"/>
      <c r="C857" s="9"/>
      <c r="D857" s="10"/>
      <c r="E857" s="10"/>
      <c r="F857" s="10"/>
      <c r="G857" s="10"/>
      <c r="H857" s="10"/>
      <c r="I857" s="12"/>
      <c r="J857" s="13"/>
    </row>
    <row r="858" spans="1:10" ht="75" customHeight="1">
      <c r="A858" s="7"/>
      <c r="B858" s="18"/>
      <c r="C858" s="9"/>
      <c r="D858" s="10"/>
      <c r="E858" s="10"/>
      <c r="F858" s="10"/>
      <c r="G858" s="10"/>
      <c r="H858" s="10"/>
      <c r="I858" s="12"/>
      <c r="J858" s="13"/>
    </row>
    <row r="859" spans="1:10" ht="75" customHeight="1">
      <c r="A859" s="7"/>
      <c r="B859" s="18"/>
      <c r="C859" s="9"/>
      <c r="D859" s="10"/>
      <c r="E859" s="10"/>
      <c r="F859" s="10"/>
      <c r="G859" s="10"/>
      <c r="H859" s="10"/>
      <c r="I859" s="12"/>
      <c r="J859" s="13"/>
    </row>
    <row r="860" spans="1:10" ht="75" customHeight="1">
      <c r="A860" s="7"/>
      <c r="B860" s="18"/>
      <c r="C860" s="9"/>
      <c r="D860" s="10"/>
      <c r="E860" s="10"/>
      <c r="F860" s="10"/>
      <c r="G860" s="10"/>
      <c r="H860" s="10"/>
      <c r="I860" s="12"/>
      <c r="J860" s="13"/>
    </row>
    <row r="861" spans="1:10" ht="75" customHeight="1">
      <c r="A861" s="7"/>
      <c r="B861" s="18"/>
      <c r="C861" s="9"/>
      <c r="D861" s="10"/>
      <c r="E861" s="10"/>
      <c r="F861" s="10"/>
      <c r="G861" s="10"/>
      <c r="H861" s="10"/>
      <c r="I861" s="12"/>
      <c r="J861" s="13"/>
    </row>
    <row r="862" spans="1:10" ht="75" customHeight="1">
      <c r="A862" s="7"/>
      <c r="B862" s="18"/>
      <c r="C862" s="9"/>
      <c r="D862" s="10"/>
      <c r="E862" s="10"/>
      <c r="F862" s="10"/>
      <c r="G862" s="10"/>
      <c r="H862" s="10"/>
      <c r="I862" s="12"/>
      <c r="J862" s="13"/>
    </row>
    <row r="863" spans="1:10" ht="75" customHeight="1">
      <c r="A863" s="7"/>
      <c r="B863" s="18"/>
      <c r="C863" s="9"/>
      <c r="D863" s="10"/>
      <c r="E863" s="10"/>
      <c r="F863" s="10"/>
      <c r="G863" s="10"/>
      <c r="H863" s="10"/>
      <c r="I863" s="12"/>
      <c r="J863" s="13"/>
    </row>
    <row r="864" spans="1:10" ht="75" customHeight="1">
      <c r="A864" s="7"/>
      <c r="B864" s="18"/>
      <c r="C864" s="9"/>
      <c r="D864" s="10"/>
      <c r="E864" s="10"/>
      <c r="F864" s="10"/>
      <c r="G864" s="10"/>
      <c r="H864" s="10"/>
      <c r="I864" s="12"/>
      <c r="J864" s="13"/>
    </row>
    <row r="865" spans="1:10" ht="75" customHeight="1">
      <c r="A865" s="7"/>
      <c r="B865" s="18"/>
      <c r="C865" s="9"/>
      <c r="D865" s="10"/>
      <c r="E865" s="10"/>
      <c r="F865" s="10"/>
      <c r="G865" s="10"/>
      <c r="H865" s="10"/>
      <c r="I865" s="12"/>
      <c r="J865" s="13"/>
    </row>
    <row r="866" spans="1:10" ht="75" customHeight="1">
      <c r="A866" s="7"/>
      <c r="B866" s="18"/>
      <c r="C866" s="9"/>
      <c r="D866" s="10"/>
      <c r="E866" s="10"/>
      <c r="F866" s="10"/>
      <c r="G866" s="10"/>
      <c r="H866" s="10"/>
      <c r="I866" s="12"/>
      <c r="J866" s="13"/>
    </row>
    <row r="867" spans="1:10" ht="75" customHeight="1">
      <c r="A867" s="7"/>
      <c r="B867" s="18"/>
      <c r="C867" s="9"/>
      <c r="D867" s="10"/>
      <c r="E867" s="10"/>
      <c r="F867" s="10"/>
      <c r="G867" s="10"/>
      <c r="H867" s="10"/>
      <c r="I867" s="12"/>
      <c r="J867" s="13"/>
    </row>
    <row r="868" spans="1:10" ht="75" customHeight="1">
      <c r="A868" s="7"/>
      <c r="B868" s="18"/>
      <c r="C868" s="9"/>
      <c r="D868" s="10"/>
      <c r="E868" s="10"/>
      <c r="F868" s="10"/>
      <c r="G868" s="10"/>
      <c r="H868" s="10"/>
      <c r="I868" s="12"/>
      <c r="J868" s="13"/>
    </row>
    <row r="869" spans="1:10" ht="75" customHeight="1">
      <c r="A869" s="7"/>
      <c r="B869" s="18"/>
      <c r="C869" s="9"/>
      <c r="D869" s="10"/>
      <c r="E869" s="10"/>
      <c r="F869" s="10"/>
      <c r="G869" s="10"/>
      <c r="H869" s="10"/>
      <c r="I869" s="12"/>
      <c r="J869" s="13"/>
    </row>
    <row r="870" spans="1:10" ht="75" customHeight="1">
      <c r="A870" s="7"/>
      <c r="B870" s="18"/>
      <c r="C870" s="9"/>
      <c r="D870" s="10"/>
      <c r="E870" s="10"/>
      <c r="F870" s="10"/>
      <c r="G870" s="10"/>
      <c r="H870" s="10"/>
      <c r="I870" s="12"/>
      <c r="J870" s="13"/>
    </row>
    <row r="871" spans="1:10" ht="75" customHeight="1">
      <c r="A871" s="7"/>
      <c r="B871" s="18"/>
      <c r="C871" s="9"/>
      <c r="D871" s="10"/>
      <c r="E871" s="10"/>
      <c r="F871" s="10"/>
      <c r="G871" s="10"/>
      <c r="H871" s="10"/>
      <c r="I871" s="12"/>
      <c r="J871" s="13"/>
    </row>
    <row r="872" spans="1:10" ht="75" customHeight="1">
      <c r="A872" s="7"/>
      <c r="B872" s="18"/>
      <c r="C872" s="9"/>
      <c r="D872" s="10"/>
      <c r="E872" s="10"/>
      <c r="F872" s="10"/>
      <c r="G872" s="10"/>
      <c r="H872" s="10"/>
      <c r="I872" s="12"/>
      <c r="J872" s="13"/>
    </row>
    <row r="873" spans="1:10" ht="75" customHeight="1">
      <c r="A873" s="7"/>
      <c r="B873" s="18"/>
      <c r="C873" s="9"/>
      <c r="D873" s="10"/>
      <c r="E873" s="10"/>
      <c r="F873" s="10"/>
      <c r="G873" s="10"/>
      <c r="H873" s="10"/>
      <c r="I873" s="12"/>
      <c r="J873" s="13"/>
    </row>
    <row r="874" spans="1:10" ht="75" customHeight="1">
      <c r="A874" s="7"/>
      <c r="B874" s="18"/>
      <c r="C874" s="9"/>
      <c r="D874" s="10"/>
      <c r="E874" s="10"/>
      <c r="F874" s="10"/>
      <c r="G874" s="10"/>
      <c r="H874" s="10"/>
      <c r="I874" s="12"/>
      <c r="J874" s="13"/>
    </row>
    <row r="875" spans="1:10" ht="75" customHeight="1">
      <c r="A875" s="7"/>
      <c r="B875" s="18"/>
      <c r="C875" s="9"/>
      <c r="D875" s="10"/>
      <c r="E875" s="10"/>
      <c r="F875" s="10"/>
      <c r="G875" s="10"/>
      <c r="H875" s="10"/>
      <c r="I875" s="12"/>
      <c r="J875" s="13"/>
    </row>
    <row r="876" spans="1:10" ht="75" customHeight="1">
      <c r="A876" s="7"/>
      <c r="B876" s="18"/>
      <c r="C876" s="9"/>
      <c r="D876" s="10"/>
      <c r="E876" s="10"/>
      <c r="F876" s="10"/>
      <c r="G876" s="10"/>
      <c r="H876" s="10"/>
      <c r="I876" s="12"/>
      <c r="J876" s="13"/>
    </row>
    <row r="877" spans="1:10" ht="75" customHeight="1">
      <c r="A877" s="7"/>
      <c r="B877" s="18"/>
      <c r="C877" s="9"/>
      <c r="D877" s="10"/>
      <c r="E877" s="10"/>
      <c r="F877" s="10"/>
      <c r="G877" s="10"/>
      <c r="H877" s="10"/>
      <c r="I877" s="12"/>
      <c r="J877" s="13"/>
    </row>
    <row r="878" spans="1:10" ht="75" customHeight="1">
      <c r="A878" s="7"/>
      <c r="B878" s="18"/>
      <c r="C878" s="9"/>
      <c r="D878" s="10"/>
      <c r="E878" s="10"/>
      <c r="F878" s="10"/>
      <c r="G878" s="10"/>
      <c r="H878" s="10"/>
      <c r="I878" s="12"/>
      <c r="J878" s="13"/>
    </row>
    <row r="879" spans="1:10" ht="75" customHeight="1">
      <c r="A879" s="7"/>
      <c r="B879" s="18"/>
      <c r="C879" s="9"/>
      <c r="D879" s="10"/>
      <c r="E879" s="10"/>
      <c r="F879" s="10"/>
      <c r="G879" s="10"/>
      <c r="H879" s="10"/>
      <c r="I879" s="12"/>
      <c r="J879" s="13"/>
    </row>
    <row r="880" spans="1:10" ht="75" customHeight="1">
      <c r="A880" s="7"/>
      <c r="B880" s="18"/>
      <c r="C880" s="9"/>
      <c r="D880" s="10"/>
      <c r="E880" s="10"/>
      <c r="F880" s="10"/>
      <c r="G880" s="10"/>
      <c r="H880" s="10"/>
      <c r="I880" s="12"/>
      <c r="J880" s="13"/>
    </row>
    <row r="881" spans="1:10" ht="75" customHeight="1">
      <c r="A881" s="7"/>
      <c r="B881" s="18"/>
      <c r="C881" s="9"/>
      <c r="D881" s="10"/>
      <c r="E881" s="10"/>
      <c r="F881" s="10"/>
      <c r="G881" s="10"/>
      <c r="H881" s="10"/>
      <c r="I881" s="12"/>
      <c r="J881" s="13"/>
    </row>
    <row r="882" spans="1:10" ht="75" customHeight="1">
      <c r="A882" s="7"/>
      <c r="B882" s="18"/>
      <c r="C882" s="9"/>
      <c r="D882" s="10"/>
      <c r="E882" s="10"/>
      <c r="F882" s="10"/>
      <c r="G882" s="10"/>
      <c r="H882" s="10"/>
      <c r="I882" s="12"/>
      <c r="J882" s="13"/>
    </row>
    <row r="883" spans="1:10" ht="75" customHeight="1">
      <c r="A883" s="7"/>
      <c r="B883" s="18"/>
      <c r="C883" s="9"/>
      <c r="D883" s="10"/>
      <c r="E883" s="10"/>
      <c r="F883" s="10"/>
      <c r="G883" s="10"/>
      <c r="H883" s="10"/>
      <c r="I883" s="12"/>
      <c r="J883" s="13"/>
    </row>
    <row r="884" spans="1:10" ht="75" customHeight="1">
      <c r="A884" s="7"/>
      <c r="B884" s="18"/>
      <c r="C884" s="9"/>
      <c r="D884" s="10"/>
      <c r="E884" s="10"/>
      <c r="F884" s="10"/>
      <c r="G884" s="10"/>
      <c r="H884" s="10"/>
      <c r="I884" s="12"/>
      <c r="J884" s="13"/>
    </row>
    <row r="885" spans="1:10" ht="75" customHeight="1">
      <c r="A885" s="7"/>
      <c r="B885" s="18"/>
      <c r="C885" s="9"/>
      <c r="D885" s="10"/>
      <c r="E885" s="10"/>
      <c r="F885" s="10"/>
      <c r="G885" s="10"/>
      <c r="H885" s="10"/>
      <c r="I885" s="12"/>
      <c r="J885" s="13"/>
    </row>
    <row r="886" spans="1:10" ht="75" customHeight="1">
      <c r="A886" s="7"/>
      <c r="B886" s="18"/>
      <c r="C886" s="9"/>
      <c r="D886" s="10"/>
      <c r="E886" s="10"/>
      <c r="F886" s="10"/>
      <c r="G886" s="10"/>
      <c r="H886" s="10"/>
      <c r="I886" s="12"/>
      <c r="J886" s="13"/>
    </row>
    <row r="887" spans="1:10" ht="75" customHeight="1">
      <c r="A887" s="7"/>
      <c r="B887" s="18"/>
      <c r="C887" s="9"/>
      <c r="D887" s="10"/>
      <c r="E887" s="10"/>
      <c r="F887" s="10"/>
      <c r="G887" s="10"/>
      <c r="H887" s="10"/>
      <c r="I887" s="12"/>
      <c r="J887" s="13"/>
    </row>
    <row r="888" spans="1:10" ht="75" customHeight="1">
      <c r="A888" s="7"/>
      <c r="B888" s="18"/>
      <c r="C888" s="9"/>
      <c r="D888" s="10"/>
      <c r="E888" s="10"/>
      <c r="F888" s="10"/>
      <c r="G888" s="10"/>
      <c r="H888" s="10"/>
      <c r="I888" s="12"/>
      <c r="J888" s="13"/>
    </row>
    <row r="889" spans="1:10" ht="75" customHeight="1">
      <c r="A889" s="7"/>
      <c r="B889" s="18"/>
      <c r="C889" s="9"/>
      <c r="D889" s="10"/>
      <c r="E889" s="10"/>
      <c r="F889" s="10"/>
      <c r="G889" s="10"/>
      <c r="H889" s="10"/>
      <c r="I889" s="12"/>
      <c r="J889" s="13"/>
    </row>
    <row r="890" spans="1:10" ht="75" customHeight="1">
      <c r="A890" s="7"/>
      <c r="B890" s="18"/>
      <c r="C890" s="9"/>
      <c r="D890" s="10"/>
      <c r="E890" s="10"/>
      <c r="F890" s="10"/>
      <c r="G890" s="10"/>
      <c r="H890" s="10"/>
      <c r="I890" s="12"/>
      <c r="J890" s="13"/>
    </row>
    <row r="891" spans="1:10" ht="75" customHeight="1">
      <c r="A891" s="7"/>
      <c r="B891" s="18"/>
      <c r="C891" s="9"/>
      <c r="D891" s="10"/>
      <c r="E891" s="10"/>
      <c r="F891" s="10"/>
      <c r="G891" s="10"/>
      <c r="H891" s="10"/>
      <c r="I891" s="12"/>
      <c r="J891" s="13"/>
    </row>
    <row r="892" spans="1:10" ht="75" customHeight="1">
      <c r="A892" s="7"/>
      <c r="B892" s="18"/>
      <c r="C892" s="9"/>
      <c r="D892" s="10"/>
      <c r="E892" s="10"/>
      <c r="F892" s="10"/>
      <c r="G892" s="10"/>
      <c r="H892" s="10"/>
      <c r="I892" s="12"/>
      <c r="J892" s="13"/>
    </row>
    <row r="893" spans="1:10" ht="75" customHeight="1">
      <c r="A893" s="7"/>
      <c r="B893" s="18"/>
      <c r="C893" s="9"/>
      <c r="D893" s="10"/>
      <c r="E893" s="10"/>
      <c r="F893" s="10"/>
      <c r="G893" s="10"/>
      <c r="H893" s="10"/>
      <c r="I893" s="12"/>
      <c r="J893" s="13"/>
    </row>
    <row r="894" spans="1:10" ht="75" customHeight="1">
      <c r="A894" s="7"/>
      <c r="B894" s="18"/>
      <c r="C894" s="9"/>
      <c r="D894" s="10"/>
      <c r="E894" s="10"/>
      <c r="F894" s="10"/>
      <c r="G894" s="10"/>
      <c r="H894" s="10"/>
      <c r="I894" s="12"/>
      <c r="J894" s="13"/>
    </row>
    <row r="895" spans="1:10" ht="75" customHeight="1">
      <c r="A895" s="7"/>
      <c r="B895" s="18"/>
      <c r="C895" s="9"/>
      <c r="D895" s="10"/>
      <c r="E895" s="10"/>
      <c r="F895" s="10"/>
      <c r="G895" s="10"/>
      <c r="H895" s="10"/>
      <c r="I895" s="12"/>
      <c r="J895" s="13"/>
    </row>
    <row r="896" spans="1:10" ht="75" customHeight="1">
      <c r="A896" s="7"/>
      <c r="B896" s="18"/>
      <c r="C896" s="9"/>
      <c r="D896" s="10"/>
      <c r="E896" s="10"/>
      <c r="F896" s="10"/>
      <c r="G896" s="10"/>
      <c r="H896" s="10"/>
      <c r="I896" s="12"/>
      <c r="J896" s="13"/>
    </row>
    <row r="897" spans="1:10" ht="75" customHeight="1">
      <c r="A897" s="7"/>
      <c r="B897" s="18"/>
      <c r="C897" s="9"/>
      <c r="D897" s="10"/>
      <c r="E897" s="10"/>
      <c r="F897" s="10"/>
      <c r="G897" s="10"/>
      <c r="H897" s="10"/>
      <c r="I897" s="12"/>
      <c r="J897" s="13"/>
    </row>
    <row r="898" spans="1:10" ht="75" customHeight="1">
      <c r="A898" s="7"/>
      <c r="B898" s="18"/>
      <c r="C898" s="9"/>
      <c r="D898" s="10"/>
      <c r="E898" s="10"/>
      <c r="F898" s="10"/>
      <c r="G898" s="10"/>
      <c r="H898" s="10"/>
      <c r="I898" s="12"/>
      <c r="J898" s="13"/>
    </row>
    <row r="899" spans="1:10" ht="75" customHeight="1">
      <c r="A899" s="7"/>
      <c r="B899" s="18"/>
      <c r="C899" s="9"/>
      <c r="D899" s="10"/>
      <c r="E899" s="10"/>
      <c r="F899" s="10"/>
      <c r="G899" s="10"/>
      <c r="H899" s="10"/>
      <c r="I899" s="12"/>
      <c r="J899" s="13"/>
    </row>
    <row r="900" spans="1:10" ht="75" customHeight="1">
      <c r="A900" s="7"/>
      <c r="B900" s="18"/>
      <c r="C900" s="9"/>
      <c r="D900" s="10"/>
      <c r="E900" s="10"/>
      <c r="F900" s="10"/>
      <c r="G900" s="10"/>
      <c r="H900" s="10"/>
      <c r="I900" s="12"/>
      <c r="J900" s="13"/>
    </row>
    <row r="901" spans="1:10" ht="75" customHeight="1">
      <c r="A901" s="7"/>
      <c r="B901" s="18"/>
      <c r="C901" s="9"/>
      <c r="D901" s="10"/>
      <c r="E901" s="10"/>
      <c r="F901" s="10"/>
      <c r="G901" s="10"/>
      <c r="H901" s="10"/>
      <c r="I901" s="12"/>
      <c r="J901" s="13"/>
    </row>
    <row r="902" spans="1:10" ht="75" customHeight="1">
      <c r="A902" s="7"/>
      <c r="B902" s="18"/>
      <c r="C902" s="9"/>
      <c r="D902" s="10"/>
      <c r="E902" s="10"/>
      <c r="F902" s="10"/>
      <c r="G902" s="10"/>
      <c r="H902" s="10"/>
      <c r="I902" s="12"/>
      <c r="J902" s="13"/>
    </row>
    <row r="903" spans="1:10" ht="75" customHeight="1">
      <c r="A903" s="7"/>
      <c r="B903" s="18"/>
      <c r="C903" s="9"/>
      <c r="D903" s="10"/>
      <c r="E903" s="10"/>
      <c r="F903" s="10"/>
      <c r="G903" s="10"/>
      <c r="H903" s="10"/>
      <c r="I903" s="12"/>
      <c r="J903" s="13"/>
    </row>
    <row r="904" spans="1:10" ht="75" customHeight="1">
      <c r="A904" s="7"/>
      <c r="B904" s="18"/>
      <c r="C904" s="9"/>
      <c r="D904" s="10"/>
      <c r="E904" s="10"/>
      <c r="F904" s="10"/>
      <c r="G904" s="10"/>
      <c r="H904" s="10"/>
      <c r="I904" s="12"/>
      <c r="J904" s="13"/>
    </row>
    <row r="905" spans="1:10" ht="75" customHeight="1">
      <c r="A905" s="7"/>
      <c r="B905" s="18"/>
      <c r="C905" s="9"/>
      <c r="D905" s="10"/>
      <c r="E905" s="10"/>
      <c r="F905" s="10"/>
      <c r="G905" s="10"/>
      <c r="H905" s="10"/>
      <c r="I905" s="12"/>
      <c r="J905" s="13"/>
    </row>
    <row r="906" spans="1:10" ht="75" customHeight="1">
      <c r="A906" s="7"/>
      <c r="B906" s="18"/>
      <c r="C906" s="9"/>
      <c r="D906" s="10"/>
      <c r="E906" s="10"/>
      <c r="F906" s="10"/>
      <c r="G906" s="10"/>
      <c r="H906" s="10"/>
      <c r="I906" s="12"/>
      <c r="J906" s="13"/>
    </row>
    <row r="907" spans="1:10" ht="75" customHeight="1">
      <c r="A907" s="7"/>
      <c r="B907" s="18"/>
      <c r="C907" s="9"/>
      <c r="D907" s="10"/>
      <c r="E907" s="10"/>
      <c r="F907" s="10"/>
      <c r="G907" s="10"/>
      <c r="H907" s="10"/>
      <c r="I907" s="12"/>
      <c r="J907" s="13"/>
    </row>
    <row r="908" spans="1:10" ht="75" customHeight="1">
      <c r="A908" s="7"/>
      <c r="B908" s="18"/>
      <c r="C908" s="9"/>
      <c r="D908" s="10"/>
      <c r="E908" s="10"/>
      <c r="F908" s="10"/>
      <c r="G908" s="10"/>
      <c r="H908" s="10"/>
      <c r="I908" s="12"/>
      <c r="J908" s="13"/>
    </row>
    <row r="909" spans="1:10" ht="75" customHeight="1">
      <c r="A909" s="7"/>
      <c r="B909" s="18"/>
      <c r="C909" s="9"/>
      <c r="D909" s="10"/>
      <c r="E909" s="10"/>
      <c r="F909" s="10"/>
      <c r="G909" s="10"/>
      <c r="H909" s="10"/>
      <c r="I909" s="12"/>
      <c r="J909" s="13"/>
    </row>
    <row r="910" spans="1:10" ht="75" customHeight="1">
      <c r="A910" s="7"/>
      <c r="B910" s="18"/>
      <c r="C910" s="9"/>
      <c r="D910" s="10"/>
      <c r="E910" s="10"/>
      <c r="F910" s="10"/>
      <c r="G910" s="10"/>
      <c r="H910" s="10"/>
      <c r="I910" s="12"/>
      <c r="J910" s="13"/>
    </row>
    <row r="911" spans="1:10" ht="75" customHeight="1">
      <c r="A911" s="7"/>
      <c r="B911" s="18"/>
      <c r="C911" s="9"/>
      <c r="D911" s="10"/>
      <c r="E911" s="10"/>
      <c r="F911" s="10"/>
      <c r="G911" s="10"/>
      <c r="H911" s="10"/>
      <c r="I911" s="12"/>
      <c r="J911" s="13"/>
    </row>
    <row r="912" spans="1:10" ht="75" customHeight="1">
      <c r="A912" s="7"/>
      <c r="B912" s="18"/>
      <c r="C912" s="9"/>
      <c r="D912" s="10"/>
      <c r="E912" s="10"/>
      <c r="F912" s="10"/>
      <c r="G912" s="10"/>
      <c r="H912" s="10"/>
      <c r="I912" s="12"/>
      <c r="J912" s="13"/>
    </row>
    <row r="913" spans="1:10" ht="75" customHeight="1">
      <c r="A913" s="7"/>
      <c r="B913" s="18"/>
      <c r="C913" s="9"/>
      <c r="D913" s="10"/>
      <c r="E913" s="10"/>
      <c r="F913" s="10"/>
      <c r="G913" s="10"/>
      <c r="H913" s="10"/>
      <c r="I913" s="12"/>
      <c r="J913" s="13"/>
    </row>
    <row r="914" spans="1:10" ht="75" customHeight="1">
      <c r="A914" s="7"/>
      <c r="B914" s="18"/>
      <c r="C914" s="9"/>
      <c r="D914" s="10"/>
      <c r="E914" s="10"/>
      <c r="F914" s="10"/>
      <c r="G914" s="10"/>
      <c r="H914" s="10"/>
      <c r="I914" s="12"/>
      <c r="J914" s="13"/>
    </row>
    <row r="915" spans="1:10" ht="75" customHeight="1">
      <c r="A915" s="7"/>
      <c r="B915" s="18"/>
      <c r="C915" s="9"/>
      <c r="D915" s="10"/>
      <c r="E915" s="10"/>
      <c r="F915" s="10"/>
      <c r="G915" s="10"/>
      <c r="H915" s="10"/>
      <c r="I915" s="12"/>
      <c r="J915" s="13"/>
    </row>
    <row r="916" spans="1:10" ht="75" customHeight="1">
      <c r="A916" s="7"/>
      <c r="B916" s="18"/>
      <c r="C916" s="9"/>
      <c r="D916" s="10"/>
      <c r="E916" s="10"/>
      <c r="F916" s="10"/>
      <c r="G916" s="10"/>
      <c r="H916" s="10"/>
      <c r="I916" s="12"/>
      <c r="J916" s="13"/>
    </row>
    <row r="917" spans="1:10" ht="75" customHeight="1">
      <c r="A917" s="7"/>
      <c r="B917" s="18"/>
      <c r="C917" s="9"/>
      <c r="D917" s="10"/>
      <c r="E917" s="10"/>
      <c r="F917" s="10"/>
      <c r="G917" s="10"/>
      <c r="H917" s="10"/>
      <c r="I917" s="12"/>
      <c r="J917" s="13"/>
    </row>
    <row r="918" spans="1:10" ht="75" customHeight="1">
      <c r="A918" s="7"/>
      <c r="B918" s="18"/>
      <c r="C918" s="9"/>
      <c r="D918" s="10"/>
      <c r="E918" s="10"/>
      <c r="F918" s="10"/>
      <c r="G918" s="10"/>
      <c r="H918" s="10"/>
      <c r="I918" s="12"/>
      <c r="J918" s="13"/>
    </row>
    <row r="919" spans="1:10" ht="75" customHeight="1">
      <c r="A919" s="7"/>
      <c r="B919" s="18"/>
      <c r="C919" s="9"/>
      <c r="D919" s="10"/>
      <c r="E919" s="10"/>
      <c r="F919" s="10"/>
      <c r="G919" s="10"/>
      <c r="H919" s="10"/>
      <c r="I919" s="12"/>
      <c r="J919" s="13"/>
    </row>
    <row r="920" spans="1:10" ht="75" customHeight="1">
      <c r="A920" s="7"/>
      <c r="B920" s="18"/>
      <c r="C920" s="9"/>
      <c r="D920" s="10"/>
      <c r="E920" s="10"/>
      <c r="F920" s="10"/>
      <c r="G920" s="10"/>
      <c r="H920" s="10"/>
      <c r="I920" s="12"/>
      <c r="J920" s="13"/>
    </row>
    <row r="921" spans="1:10" ht="75" customHeight="1">
      <c r="A921" s="7"/>
      <c r="B921" s="18"/>
      <c r="C921" s="9"/>
      <c r="D921" s="10"/>
      <c r="E921" s="10"/>
      <c r="F921" s="10"/>
      <c r="G921" s="10"/>
      <c r="H921" s="10"/>
      <c r="I921" s="12"/>
      <c r="J921" s="13"/>
    </row>
    <row r="922" spans="1:10" ht="75" customHeight="1">
      <c r="A922" s="7"/>
      <c r="B922" s="18"/>
      <c r="C922" s="9"/>
      <c r="D922" s="10"/>
      <c r="E922" s="10"/>
      <c r="F922" s="10"/>
      <c r="G922" s="10"/>
      <c r="H922" s="10"/>
      <c r="I922" s="12"/>
      <c r="J922" s="13"/>
    </row>
    <row r="923" spans="1:10" ht="75" customHeight="1">
      <c r="A923" s="7"/>
      <c r="B923" s="18"/>
      <c r="C923" s="9"/>
      <c r="D923" s="10"/>
      <c r="E923" s="10"/>
      <c r="F923" s="10"/>
      <c r="G923" s="10"/>
      <c r="H923" s="10"/>
      <c r="I923" s="12"/>
      <c r="J923" s="13"/>
    </row>
    <row r="924" spans="1:10" ht="75" customHeight="1">
      <c r="A924" s="7"/>
      <c r="B924" s="18"/>
      <c r="C924" s="9"/>
      <c r="D924" s="10"/>
      <c r="E924" s="10"/>
      <c r="F924" s="10"/>
      <c r="G924" s="10"/>
      <c r="H924" s="10"/>
      <c r="I924" s="12"/>
      <c r="J924" s="13"/>
    </row>
    <row r="925" spans="1:10" ht="75" customHeight="1">
      <c r="A925" s="7"/>
      <c r="B925" s="18"/>
      <c r="C925" s="9"/>
      <c r="D925" s="10"/>
      <c r="E925" s="10"/>
      <c r="F925" s="10"/>
      <c r="G925" s="10"/>
      <c r="H925" s="10"/>
      <c r="I925" s="12"/>
      <c r="J925" s="13"/>
    </row>
    <row r="926" spans="1:10" ht="75" customHeight="1">
      <c r="A926" s="7"/>
      <c r="B926" s="18"/>
      <c r="C926" s="9"/>
      <c r="D926" s="10"/>
      <c r="E926" s="10"/>
      <c r="F926" s="10"/>
      <c r="G926" s="10"/>
      <c r="H926" s="10"/>
      <c r="I926" s="12"/>
      <c r="J926" s="13"/>
    </row>
    <row r="927" spans="1:10" ht="75" customHeight="1">
      <c r="A927" s="7"/>
      <c r="B927" s="18"/>
      <c r="C927" s="9"/>
      <c r="D927" s="10"/>
      <c r="E927" s="10"/>
      <c r="F927" s="10"/>
      <c r="G927" s="10"/>
      <c r="H927" s="10"/>
      <c r="I927" s="12"/>
      <c r="J927" s="13"/>
    </row>
    <row r="928" spans="1:10" ht="75" customHeight="1">
      <c r="A928" s="7"/>
      <c r="B928" s="18"/>
      <c r="C928" s="9"/>
      <c r="D928" s="10"/>
      <c r="E928" s="10"/>
      <c r="F928" s="10"/>
      <c r="G928" s="10"/>
      <c r="H928" s="10"/>
      <c r="I928" s="12"/>
      <c r="J928" s="13"/>
    </row>
    <row r="929" spans="1:10" ht="75" customHeight="1">
      <c r="A929" s="7"/>
      <c r="B929" s="18"/>
      <c r="C929" s="9"/>
      <c r="D929" s="10"/>
      <c r="E929" s="10"/>
      <c r="F929" s="10"/>
      <c r="G929" s="10"/>
      <c r="H929" s="10"/>
      <c r="I929" s="12"/>
      <c r="J929" s="13"/>
    </row>
    <row r="930" spans="1:10" ht="75" customHeight="1">
      <c r="A930" s="7"/>
      <c r="B930" s="18"/>
      <c r="C930" s="9"/>
      <c r="D930" s="10"/>
      <c r="E930" s="10"/>
      <c r="F930" s="10"/>
      <c r="G930" s="10"/>
      <c r="H930" s="10"/>
      <c r="I930" s="12"/>
      <c r="J930" s="13"/>
    </row>
    <row r="931" spans="1:10" ht="75" customHeight="1">
      <c r="A931" s="7"/>
      <c r="B931" s="18"/>
      <c r="C931" s="9"/>
      <c r="D931" s="10"/>
      <c r="E931" s="10"/>
      <c r="F931" s="10"/>
      <c r="G931" s="10"/>
      <c r="H931" s="10"/>
      <c r="I931" s="12"/>
      <c r="J931" s="13"/>
    </row>
    <row r="932" spans="1:10" ht="75" customHeight="1">
      <c r="A932" s="7"/>
      <c r="B932" s="18"/>
      <c r="C932" s="9"/>
      <c r="D932" s="10"/>
      <c r="E932" s="10"/>
      <c r="F932" s="10"/>
      <c r="G932" s="10"/>
      <c r="H932" s="10"/>
      <c r="I932" s="12"/>
      <c r="J932" s="13"/>
    </row>
    <row r="933" spans="1:10" ht="75" customHeight="1">
      <c r="A933" s="7"/>
      <c r="B933" s="18"/>
      <c r="C933" s="9"/>
      <c r="D933" s="10"/>
      <c r="E933" s="10"/>
      <c r="F933" s="10"/>
      <c r="G933" s="10"/>
      <c r="H933" s="10"/>
      <c r="I933" s="12"/>
      <c r="J933" s="13"/>
    </row>
    <row r="934" spans="1:10" ht="75" customHeight="1">
      <c r="A934" s="7"/>
      <c r="B934" s="18"/>
      <c r="C934" s="9"/>
      <c r="D934" s="10"/>
      <c r="E934" s="10"/>
      <c r="F934" s="10"/>
      <c r="G934" s="10"/>
      <c r="H934" s="10"/>
      <c r="I934" s="12"/>
      <c r="J934" s="13"/>
    </row>
    <row r="935" spans="1:10" ht="75" customHeight="1">
      <c r="A935" s="7"/>
      <c r="B935" s="18"/>
      <c r="C935" s="9"/>
      <c r="D935" s="10"/>
      <c r="E935" s="10"/>
      <c r="F935" s="10"/>
      <c r="G935" s="10"/>
      <c r="H935" s="10"/>
      <c r="I935" s="12"/>
      <c r="J935" s="13"/>
    </row>
    <row r="936" spans="1:10" ht="75" customHeight="1">
      <c r="A936" s="7"/>
      <c r="B936" s="18"/>
      <c r="C936" s="9"/>
      <c r="D936" s="10"/>
      <c r="E936" s="10"/>
      <c r="F936" s="10"/>
      <c r="G936" s="10"/>
      <c r="H936" s="10"/>
      <c r="I936" s="12"/>
      <c r="J936" s="13"/>
    </row>
    <row r="937" spans="1:10" ht="75" customHeight="1">
      <c r="A937" s="7"/>
      <c r="B937" s="18"/>
      <c r="C937" s="9"/>
      <c r="D937" s="10"/>
      <c r="E937" s="10"/>
      <c r="F937" s="10"/>
      <c r="G937" s="10"/>
      <c r="H937" s="10"/>
      <c r="I937" s="12"/>
      <c r="J937" s="13"/>
    </row>
    <row r="938" spans="1:10" ht="75" customHeight="1">
      <c r="A938" s="7"/>
      <c r="B938" s="18"/>
      <c r="C938" s="9"/>
      <c r="D938" s="10"/>
      <c r="E938" s="10"/>
      <c r="F938" s="10"/>
      <c r="G938" s="10"/>
      <c r="H938" s="10"/>
      <c r="I938" s="12"/>
      <c r="J938" s="13"/>
    </row>
    <row r="939" spans="1:10" ht="75" customHeight="1">
      <c r="A939" s="7"/>
      <c r="B939" s="18"/>
      <c r="C939" s="9"/>
      <c r="D939" s="10"/>
      <c r="E939" s="10"/>
      <c r="F939" s="10"/>
      <c r="G939" s="10"/>
      <c r="H939" s="10"/>
      <c r="I939" s="12"/>
      <c r="J939" s="13"/>
    </row>
    <row r="940" spans="1:10" ht="75" customHeight="1">
      <c r="A940" s="7"/>
      <c r="B940" s="18"/>
      <c r="C940" s="9"/>
      <c r="D940" s="10"/>
      <c r="E940" s="10"/>
      <c r="F940" s="10"/>
      <c r="G940" s="10"/>
      <c r="H940" s="10"/>
      <c r="I940" s="12"/>
      <c r="J940" s="13"/>
    </row>
    <row r="941" spans="1:10" ht="75" customHeight="1">
      <c r="A941" s="7"/>
      <c r="B941" s="18"/>
      <c r="C941" s="9"/>
      <c r="D941" s="10"/>
      <c r="E941" s="10"/>
      <c r="F941" s="10"/>
      <c r="G941" s="10"/>
      <c r="H941" s="10"/>
      <c r="I941" s="12"/>
      <c r="J941" s="13"/>
    </row>
    <row r="942" spans="1:10" ht="75" customHeight="1">
      <c r="A942" s="7"/>
      <c r="B942" s="18"/>
      <c r="C942" s="9"/>
      <c r="D942" s="10"/>
      <c r="E942" s="10"/>
      <c r="F942" s="10"/>
      <c r="G942" s="10"/>
      <c r="H942" s="10"/>
      <c r="I942" s="12"/>
      <c r="J942" s="13"/>
    </row>
    <row r="943" spans="1:10" ht="75" customHeight="1">
      <c r="A943" s="7"/>
      <c r="B943" s="18"/>
      <c r="C943" s="9"/>
      <c r="D943" s="10"/>
      <c r="E943" s="10"/>
      <c r="F943" s="10"/>
      <c r="G943" s="10"/>
      <c r="H943" s="10"/>
      <c r="I943" s="12"/>
      <c r="J943" s="13"/>
    </row>
    <row r="944" spans="1:10" ht="75" customHeight="1">
      <c r="A944" s="7"/>
      <c r="B944" s="18"/>
      <c r="C944" s="9"/>
      <c r="D944" s="10"/>
      <c r="E944" s="10"/>
      <c r="F944" s="10"/>
      <c r="G944" s="10"/>
      <c r="H944" s="10"/>
      <c r="I944" s="12"/>
      <c r="J944" s="13"/>
    </row>
    <row r="945" spans="1:10" ht="75" customHeight="1">
      <c r="A945" s="7"/>
      <c r="B945" s="18"/>
      <c r="C945" s="9"/>
      <c r="D945" s="10"/>
      <c r="E945" s="10"/>
      <c r="F945" s="10"/>
      <c r="G945" s="10"/>
      <c r="H945" s="10"/>
      <c r="I945" s="12"/>
      <c r="J945" s="13"/>
    </row>
    <row r="946" spans="1:10" ht="75" customHeight="1">
      <c r="A946" s="7"/>
      <c r="B946" s="18"/>
      <c r="C946" s="9"/>
      <c r="D946" s="10"/>
      <c r="E946" s="10"/>
      <c r="F946" s="10"/>
      <c r="G946" s="10"/>
      <c r="H946" s="10"/>
      <c r="I946" s="12"/>
      <c r="J946" s="13"/>
    </row>
    <row r="947" spans="1:10" ht="75" customHeight="1">
      <c r="A947" s="7"/>
      <c r="B947" s="18"/>
      <c r="C947" s="9"/>
      <c r="D947" s="10"/>
      <c r="E947" s="10"/>
      <c r="F947" s="10"/>
      <c r="G947" s="10"/>
      <c r="H947" s="10"/>
      <c r="I947" s="12"/>
      <c r="J947" s="13"/>
    </row>
    <row r="948" spans="1:10" ht="75" customHeight="1">
      <c r="A948" s="7"/>
      <c r="B948" s="18"/>
      <c r="C948" s="9"/>
      <c r="D948" s="10"/>
      <c r="E948" s="10"/>
      <c r="F948" s="10"/>
      <c r="G948" s="10"/>
      <c r="H948" s="10"/>
      <c r="I948" s="12"/>
      <c r="J948" s="13"/>
    </row>
    <row r="949" spans="1:10" ht="75" customHeight="1">
      <c r="A949" s="7"/>
      <c r="B949" s="18"/>
      <c r="C949" s="9"/>
      <c r="D949" s="10"/>
      <c r="E949" s="10"/>
      <c r="F949" s="10"/>
      <c r="G949" s="10"/>
      <c r="H949" s="10"/>
      <c r="I949" s="12"/>
      <c r="J949" s="13"/>
    </row>
    <row r="950" spans="1:10" ht="75" customHeight="1">
      <c r="A950" s="7"/>
      <c r="B950" s="18"/>
      <c r="C950" s="9"/>
      <c r="D950" s="10"/>
      <c r="E950" s="10"/>
      <c r="F950" s="10"/>
      <c r="G950" s="10"/>
      <c r="H950" s="10"/>
      <c r="I950" s="12"/>
      <c r="J950" s="13"/>
    </row>
    <row r="951" spans="1:10" ht="75" customHeight="1">
      <c r="A951" s="7"/>
      <c r="B951" s="18"/>
      <c r="C951" s="9"/>
      <c r="D951" s="10"/>
      <c r="E951" s="10"/>
      <c r="F951" s="10"/>
      <c r="G951" s="10"/>
      <c r="H951" s="10"/>
      <c r="I951" s="12"/>
      <c r="J951" s="13"/>
    </row>
    <row r="952" spans="1:10" ht="75" customHeight="1">
      <c r="A952" s="7"/>
      <c r="B952" s="18"/>
      <c r="C952" s="9"/>
      <c r="D952" s="10"/>
      <c r="E952" s="10"/>
      <c r="F952" s="10"/>
      <c r="G952" s="10"/>
      <c r="H952" s="10"/>
      <c r="I952" s="12"/>
      <c r="J952" s="13"/>
    </row>
    <row r="953" spans="1:10" ht="75" customHeight="1">
      <c r="A953" s="7"/>
      <c r="B953" s="18"/>
      <c r="C953" s="9"/>
      <c r="D953" s="10"/>
      <c r="E953" s="10"/>
      <c r="F953" s="10"/>
      <c r="G953" s="10"/>
      <c r="H953" s="10"/>
      <c r="I953" s="12"/>
      <c r="J953" s="13"/>
    </row>
    <row r="954" spans="1:10" ht="75" customHeight="1">
      <c r="A954" s="7"/>
      <c r="B954" s="18"/>
      <c r="C954" s="9"/>
      <c r="D954" s="10"/>
      <c r="E954" s="10"/>
      <c r="F954" s="10"/>
      <c r="G954" s="10"/>
      <c r="H954" s="10"/>
      <c r="I954" s="12"/>
      <c r="J954" s="13"/>
    </row>
    <row r="955" spans="1:10" ht="75" customHeight="1">
      <c r="A955" s="7"/>
      <c r="B955" s="18"/>
      <c r="C955" s="9"/>
      <c r="D955" s="10"/>
      <c r="E955" s="10"/>
      <c r="F955" s="10"/>
      <c r="G955" s="10"/>
      <c r="H955" s="10"/>
      <c r="I955" s="12"/>
      <c r="J955" s="13"/>
    </row>
    <row r="956" spans="1:10" ht="75" customHeight="1">
      <c r="A956" s="7"/>
      <c r="B956" s="18"/>
      <c r="C956" s="9"/>
      <c r="D956" s="10"/>
      <c r="E956" s="10"/>
      <c r="F956" s="10"/>
      <c r="G956" s="10"/>
      <c r="H956" s="10"/>
      <c r="I956" s="12"/>
      <c r="J956" s="13"/>
    </row>
    <row r="957" spans="1:10" ht="75" customHeight="1">
      <c r="A957" s="7"/>
      <c r="B957" s="18"/>
      <c r="C957" s="9"/>
      <c r="D957" s="10"/>
      <c r="E957" s="10"/>
      <c r="F957" s="10"/>
      <c r="G957" s="10"/>
      <c r="H957" s="10"/>
      <c r="I957" s="12"/>
      <c r="J957" s="13"/>
    </row>
    <row r="958" spans="1:10" ht="75" customHeight="1">
      <c r="A958" s="7"/>
      <c r="B958" s="18"/>
      <c r="C958" s="9"/>
      <c r="D958" s="10"/>
      <c r="E958" s="10"/>
      <c r="F958" s="10"/>
      <c r="G958" s="10"/>
      <c r="H958" s="10"/>
      <c r="I958" s="12"/>
      <c r="J958" s="13"/>
    </row>
    <row r="959" spans="1:10" ht="75" customHeight="1">
      <c r="A959" s="7"/>
      <c r="B959" s="18"/>
      <c r="C959" s="9"/>
      <c r="D959" s="10"/>
      <c r="E959" s="10"/>
      <c r="F959" s="10"/>
      <c r="G959" s="10"/>
      <c r="H959" s="10"/>
      <c r="I959" s="12"/>
      <c r="J959" s="13"/>
    </row>
    <row r="960" spans="1:10" ht="75" customHeight="1">
      <c r="A960" s="7"/>
      <c r="B960" s="18"/>
      <c r="C960" s="9"/>
      <c r="D960" s="10"/>
      <c r="E960" s="10"/>
      <c r="F960" s="10"/>
      <c r="G960" s="10"/>
      <c r="H960" s="10"/>
      <c r="I960" s="12"/>
      <c r="J960" s="13"/>
    </row>
    <row r="961" spans="1:10" ht="75" customHeight="1">
      <c r="A961" s="7"/>
      <c r="B961" s="18"/>
      <c r="C961" s="9"/>
      <c r="D961" s="10"/>
      <c r="E961" s="10"/>
      <c r="F961" s="10"/>
      <c r="G961" s="10"/>
      <c r="H961" s="10"/>
      <c r="I961" s="12"/>
      <c r="J961" s="13"/>
    </row>
    <row r="962" spans="1:10" ht="75" customHeight="1">
      <c r="A962" s="7"/>
      <c r="B962" s="18"/>
      <c r="C962" s="9"/>
      <c r="D962" s="10"/>
      <c r="E962" s="10"/>
      <c r="F962" s="10"/>
      <c r="G962" s="10"/>
      <c r="H962" s="10"/>
      <c r="I962" s="12"/>
      <c r="J962" s="13"/>
    </row>
    <row r="963" spans="1:10" ht="75" customHeight="1">
      <c r="A963" s="7"/>
      <c r="B963" s="18"/>
      <c r="C963" s="9"/>
      <c r="D963" s="10"/>
      <c r="E963" s="10"/>
      <c r="F963" s="10"/>
      <c r="G963" s="10"/>
      <c r="H963" s="10"/>
      <c r="I963" s="12"/>
      <c r="J963" s="13"/>
    </row>
    <row r="964" spans="1:10" ht="75" customHeight="1">
      <c r="A964" s="7"/>
      <c r="B964" s="18"/>
      <c r="C964" s="9"/>
      <c r="D964" s="10"/>
      <c r="E964" s="10"/>
      <c r="F964" s="10"/>
      <c r="G964" s="10"/>
      <c r="H964" s="10"/>
      <c r="I964" s="12"/>
      <c r="J964" s="13"/>
    </row>
    <row r="965" spans="1:10" ht="75" customHeight="1">
      <c r="A965" s="7"/>
      <c r="B965" s="18"/>
      <c r="C965" s="9"/>
      <c r="D965" s="10"/>
      <c r="E965" s="10"/>
      <c r="F965" s="10"/>
      <c r="G965" s="10"/>
      <c r="H965" s="10"/>
      <c r="I965" s="12"/>
      <c r="J965" s="13"/>
    </row>
    <row r="966" spans="1:10" ht="75" customHeight="1">
      <c r="A966" s="7"/>
      <c r="B966" s="18"/>
      <c r="C966" s="9"/>
      <c r="D966" s="10"/>
      <c r="E966" s="10"/>
      <c r="F966" s="10"/>
      <c r="G966" s="10"/>
      <c r="H966" s="10"/>
      <c r="I966" s="12"/>
      <c r="J966" s="13"/>
    </row>
    <row r="967" spans="1:10" ht="75" customHeight="1">
      <c r="A967" s="7"/>
      <c r="B967" s="18"/>
      <c r="C967" s="9"/>
      <c r="D967" s="10"/>
      <c r="E967" s="10"/>
      <c r="F967" s="10"/>
      <c r="G967" s="10"/>
      <c r="H967" s="10"/>
      <c r="I967" s="12"/>
      <c r="J967" s="13"/>
    </row>
    <row r="968" spans="1:10" ht="75" customHeight="1">
      <c r="A968" s="7"/>
      <c r="B968" s="18"/>
      <c r="C968" s="9"/>
      <c r="D968" s="10"/>
      <c r="E968" s="10"/>
      <c r="F968" s="10"/>
      <c r="G968" s="10"/>
      <c r="H968" s="10"/>
      <c r="I968" s="12"/>
      <c r="J968" s="13"/>
    </row>
    <row r="969" spans="1:10" ht="75" customHeight="1">
      <c r="A969" s="7"/>
      <c r="B969" s="18"/>
      <c r="C969" s="9"/>
      <c r="D969" s="10"/>
      <c r="E969" s="10"/>
      <c r="F969" s="10"/>
      <c r="G969" s="10"/>
      <c r="H969" s="10"/>
      <c r="I969" s="12"/>
      <c r="J969" s="13"/>
    </row>
    <row r="970" spans="1:10" ht="75" customHeight="1">
      <c r="A970" s="7"/>
      <c r="B970" s="18"/>
      <c r="C970" s="9"/>
      <c r="D970" s="10"/>
      <c r="E970" s="10"/>
      <c r="F970" s="10"/>
      <c r="G970" s="10"/>
      <c r="H970" s="10"/>
      <c r="I970" s="12"/>
      <c r="J970" s="13"/>
    </row>
    <row r="971" spans="1:10" ht="75" customHeight="1">
      <c r="A971" s="7"/>
      <c r="B971" s="18"/>
      <c r="C971" s="9"/>
      <c r="D971" s="10"/>
      <c r="E971" s="10"/>
      <c r="F971" s="10"/>
      <c r="G971" s="10"/>
      <c r="H971" s="10"/>
      <c r="I971" s="12"/>
      <c r="J971" s="13"/>
    </row>
    <row r="972" spans="1:10" ht="75" customHeight="1">
      <c r="A972" s="7"/>
      <c r="B972" s="18"/>
      <c r="C972" s="9"/>
      <c r="D972" s="10"/>
      <c r="E972" s="10"/>
      <c r="F972" s="10"/>
      <c r="G972" s="10"/>
      <c r="H972" s="10"/>
      <c r="I972" s="12"/>
      <c r="J972" s="13"/>
    </row>
    <row r="973" spans="1:10" ht="75" customHeight="1">
      <c r="A973" s="7"/>
      <c r="B973" s="18"/>
      <c r="C973" s="9"/>
      <c r="D973" s="10"/>
      <c r="E973" s="10"/>
      <c r="F973" s="10"/>
      <c r="G973" s="10"/>
      <c r="H973" s="10"/>
      <c r="I973" s="12"/>
      <c r="J973" s="13"/>
    </row>
    <row r="974" spans="1:10" ht="75" customHeight="1">
      <c r="A974" s="7"/>
      <c r="B974" s="18"/>
      <c r="C974" s="9"/>
      <c r="D974" s="10"/>
      <c r="E974" s="10"/>
      <c r="F974" s="10"/>
      <c r="G974" s="10"/>
      <c r="H974" s="10"/>
      <c r="I974" s="12"/>
      <c r="J974" s="13"/>
    </row>
    <row r="975" spans="1:10" ht="75" customHeight="1">
      <c r="A975" s="7"/>
      <c r="B975" s="18"/>
      <c r="C975" s="9"/>
      <c r="D975" s="10"/>
      <c r="E975" s="10"/>
      <c r="F975" s="10"/>
      <c r="G975" s="10"/>
      <c r="H975" s="10"/>
      <c r="I975" s="12"/>
      <c r="J975" s="13"/>
    </row>
    <row r="976" spans="1:10" ht="75" customHeight="1">
      <c r="A976" s="7"/>
      <c r="B976" s="18"/>
      <c r="C976" s="9"/>
      <c r="D976" s="10"/>
      <c r="E976" s="10"/>
      <c r="F976" s="10"/>
      <c r="G976" s="10"/>
      <c r="H976" s="10"/>
      <c r="I976" s="12"/>
      <c r="J976" s="13"/>
    </row>
    <row r="977" spans="1:10" ht="75" customHeight="1">
      <c r="A977" s="7"/>
      <c r="B977" s="18"/>
      <c r="C977" s="9"/>
      <c r="D977" s="10"/>
      <c r="E977" s="10"/>
      <c r="F977" s="10"/>
      <c r="G977" s="10"/>
      <c r="H977" s="10"/>
      <c r="I977" s="12"/>
      <c r="J977" s="13"/>
    </row>
    <row r="978" spans="1:10" ht="75" customHeight="1">
      <c r="A978" s="7"/>
      <c r="B978" s="18"/>
      <c r="C978" s="9"/>
      <c r="D978" s="10"/>
      <c r="E978" s="10"/>
      <c r="F978" s="10"/>
      <c r="G978" s="10"/>
      <c r="H978" s="10"/>
      <c r="I978" s="12"/>
      <c r="J978" s="13"/>
    </row>
    <row r="979" spans="1:10" ht="75" customHeight="1">
      <c r="A979" s="7"/>
      <c r="B979" s="18"/>
      <c r="C979" s="9"/>
      <c r="D979" s="10"/>
      <c r="E979" s="10"/>
      <c r="F979" s="10"/>
      <c r="G979" s="10"/>
      <c r="H979" s="10"/>
      <c r="I979" s="12"/>
      <c r="J979" s="13"/>
    </row>
    <row r="980" spans="1:10" ht="75" customHeight="1">
      <c r="A980" s="7"/>
      <c r="B980" s="18"/>
      <c r="C980" s="9"/>
      <c r="D980" s="10"/>
      <c r="E980" s="10"/>
      <c r="F980" s="10"/>
      <c r="G980" s="10"/>
      <c r="H980" s="10"/>
      <c r="I980" s="12"/>
      <c r="J980" s="13"/>
    </row>
    <row r="981" spans="1:10" ht="75" customHeight="1">
      <c r="A981" s="7"/>
      <c r="B981" s="18"/>
      <c r="C981" s="9"/>
      <c r="D981" s="10"/>
      <c r="E981" s="10"/>
      <c r="F981" s="10"/>
      <c r="G981" s="10"/>
      <c r="H981" s="10"/>
      <c r="I981" s="12"/>
      <c r="J981" s="13"/>
    </row>
    <row r="982" spans="1:10" ht="75" customHeight="1">
      <c r="A982" s="7"/>
      <c r="B982" s="18"/>
      <c r="C982" s="9"/>
      <c r="D982" s="10"/>
      <c r="E982" s="10"/>
      <c r="F982" s="10"/>
      <c r="G982" s="10"/>
      <c r="H982" s="10"/>
      <c r="I982" s="12"/>
      <c r="J982" s="13"/>
    </row>
    <row r="983" spans="1:10" ht="75" customHeight="1">
      <c r="A983" s="7"/>
      <c r="B983" s="18"/>
      <c r="C983" s="9"/>
      <c r="D983" s="10"/>
      <c r="E983" s="10"/>
      <c r="F983" s="10"/>
      <c r="G983" s="10"/>
      <c r="H983" s="10"/>
      <c r="I983" s="12"/>
      <c r="J983" s="13"/>
    </row>
    <row r="984" spans="1:10" ht="75" customHeight="1">
      <c r="A984" s="7"/>
      <c r="B984" s="18"/>
      <c r="C984" s="9"/>
      <c r="D984" s="10"/>
      <c r="E984" s="10"/>
      <c r="F984" s="10"/>
      <c r="G984" s="10"/>
      <c r="H984" s="10"/>
      <c r="I984" s="12"/>
      <c r="J984" s="13"/>
    </row>
    <row r="985" spans="1:10" ht="75" customHeight="1">
      <c r="A985" s="7"/>
      <c r="B985" s="18"/>
      <c r="C985" s="9"/>
      <c r="D985" s="10"/>
      <c r="E985" s="10"/>
      <c r="F985" s="10"/>
      <c r="G985" s="10"/>
      <c r="H985" s="10"/>
      <c r="I985" s="12"/>
      <c r="J985" s="13"/>
    </row>
    <row r="986" spans="1:10" ht="75" customHeight="1">
      <c r="A986" s="7"/>
      <c r="B986" s="18"/>
      <c r="C986" s="9"/>
      <c r="D986" s="10"/>
      <c r="E986" s="10"/>
      <c r="F986" s="10"/>
      <c r="G986" s="10"/>
      <c r="H986" s="10"/>
      <c r="I986" s="12"/>
      <c r="J986" s="13"/>
    </row>
    <row r="987" spans="1:10" ht="75" customHeight="1">
      <c r="A987" s="7"/>
      <c r="B987" s="18"/>
      <c r="C987" s="9"/>
      <c r="D987" s="10"/>
      <c r="E987" s="10"/>
      <c r="F987" s="10"/>
      <c r="G987" s="10"/>
      <c r="H987" s="10"/>
      <c r="I987" s="12"/>
      <c r="J987" s="13"/>
    </row>
    <row r="988" spans="1:10" ht="75" customHeight="1">
      <c r="A988" s="7"/>
      <c r="B988" s="18"/>
      <c r="C988" s="9"/>
      <c r="D988" s="10"/>
      <c r="E988" s="10"/>
      <c r="F988" s="10"/>
      <c r="G988" s="10"/>
      <c r="H988" s="10"/>
      <c r="I988" s="12"/>
      <c r="J988" s="13"/>
    </row>
    <row r="989" spans="1:10" ht="75" customHeight="1">
      <c r="A989" s="7"/>
      <c r="B989" s="18"/>
      <c r="C989" s="9"/>
      <c r="D989" s="10"/>
      <c r="E989" s="10"/>
      <c r="F989" s="10"/>
      <c r="G989" s="10"/>
      <c r="H989" s="10"/>
      <c r="I989" s="12"/>
      <c r="J989" s="13"/>
    </row>
    <row r="990" spans="1:10" ht="75" customHeight="1">
      <c r="A990" s="7"/>
      <c r="B990" s="18"/>
      <c r="C990" s="9"/>
      <c r="D990" s="10"/>
      <c r="E990" s="10"/>
      <c r="F990" s="10"/>
      <c r="G990" s="10"/>
      <c r="H990" s="10"/>
      <c r="I990" s="12"/>
      <c r="J990" s="13"/>
    </row>
    <row r="991" spans="1:10" ht="75" customHeight="1">
      <c r="A991" s="7"/>
      <c r="B991" s="18"/>
      <c r="C991" s="9"/>
      <c r="D991" s="10"/>
      <c r="E991" s="10"/>
      <c r="F991" s="10"/>
      <c r="G991" s="10"/>
      <c r="H991" s="10"/>
      <c r="I991" s="12"/>
      <c r="J991" s="13"/>
    </row>
    <row r="992" spans="1:10" ht="75" customHeight="1">
      <c r="A992" s="7"/>
      <c r="B992" s="18"/>
      <c r="C992" s="9"/>
      <c r="D992" s="10"/>
      <c r="E992" s="10"/>
      <c r="F992" s="10"/>
      <c r="G992" s="10"/>
      <c r="H992" s="10"/>
      <c r="I992" s="12"/>
      <c r="J992" s="13"/>
    </row>
    <row r="993" spans="1:10" ht="75" customHeight="1">
      <c r="A993" s="7"/>
      <c r="B993" s="18"/>
      <c r="C993" s="9"/>
      <c r="D993" s="10"/>
      <c r="E993" s="10"/>
      <c r="F993" s="10"/>
      <c r="G993" s="10"/>
      <c r="H993" s="10"/>
      <c r="I993" s="12"/>
      <c r="J993" s="13"/>
    </row>
    <row r="994" spans="1:10" ht="75" customHeight="1">
      <c r="A994" s="7"/>
      <c r="B994" s="18"/>
      <c r="C994" s="9"/>
      <c r="D994" s="10"/>
      <c r="E994" s="10"/>
      <c r="F994" s="10"/>
      <c r="G994" s="10"/>
      <c r="H994" s="10"/>
      <c r="I994" s="12"/>
      <c r="J994" s="13"/>
    </row>
    <row r="995" spans="1:10" ht="75" customHeight="1">
      <c r="A995" s="7"/>
      <c r="B995" s="18"/>
      <c r="C995" s="9"/>
      <c r="D995" s="10"/>
      <c r="E995" s="10"/>
      <c r="F995" s="10"/>
      <c r="G995" s="10"/>
      <c r="H995" s="10"/>
      <c r="I995" s="12"/>
      <c r="J995" s="13"/>
    </row>
    <row r="996" spans="1:10" ht="75" customHeight="1">
      <c r="A996" s="7"/>
      <c r="B996" s="18"/>
      <c r="C996" s="9"/>
      <c r="D996" s="10"/>
      <c r="E996" s="10"/>
      <c r="F996" s="10"/>
      <c r="G996" s="10"/>
      <c r="H996" s="10"/>
      <c r="I996" s="12"/>
      <c r="J996" s="13"/>
    </row>
    <row r="997" spans="1:10" ht="75" customHeight="1">
      <c r="A997" s="7"/>
      <c r="B997" s="18"/>
      <c r="C997" s="9"/>
      <c r="D997" s="10"/>
      <c r="E997" s="10"/>
      <c r="F997" s="10"/>
      <c r="G997" s="10"/>
      <c r="H997" s="10"/>
      <c r="I997" s="12"/>
      <c r="J997" s="13"/>
    </row>
    <row r="998" spans="1:10" ht="75" customHeight="1">
      <c r="A998" s="7"/>
      <c r="B998" s="18"/>
      <c r="C998" s="9"/>
      <c r="D998" s="10"/>
      <c r="E998" s="10"/>
      <c r="F998" s="10"/>
      <c r="G998" s="10"/>
      <c r="H998" s="10"/>
      <c r="I998" s="12"/>
      <c r="J998" s="13"/>
    </row>
    <row r="999" spans="1:10" ht="75" customHeight="1">
      <c r="A999" s="7"/>
      <c r="B999" s="18"/>
      <c r="C999" s="9"/>
      <c r="D999" s="10"/>
      <c r="E999" s="10"/>
      <c r="F999" s="10"/>
      <c r="G999" s="10"/>
      <c r="H999" s="10"/>
      <c r="I999" s="12"/>
      <c r="J999" s="13"/>
    </row>
    <row r="1000" spans="1:10" ht="75" customHeight="1">
      <c r="A1000" s="7"/>
      <c r="B1000" s="18"/>
      <c r="C1000" s="9"/>
      <c r="D1000" s="10"/>
      <c r="E1000" s="10"/>
      <c r="F1000" s="10"/>
      <c r="G1000" s="10"/>
      <c r="H1000" s="10"/>
      <c r="I1000" s="12"/>
      <c r="J1000" s="13"/>
    </row>
  </sheetData>
  <customSheetViews>
    <customSheetView guid="{4FECA310-8B3B-49C3-9401-AF0C2EE4D6E8}" filter="1" showAutoFilter="1">
      <pageMargins left="0.7" right="0.7" top="0.75" bottom="0.75" header="0.3" footer="0.3"/>
      <autoFilter ref="A1:J1000" xr:uid="{93D76215-7FBC-427F-AAF9-B0586DE59D43}"/>
    </customSheetView>
    <customSheetView guid="{E2A63158-D685-4879-B0A3-F19573B03065}" filter="1" showAutoFilter="1">
      <pageMargins left="0.7" right="0.7" top="0.75" bottom="0.75" header="0.3" footer="0.3"/>
      <autoFilter ref="A1:J1000" xr:uid="{36443FB8-AE7B-4C72-8AD9-E38B697ED7B8}"/>
    </customSheetView>
    <customSheetView guid="{816D5D8C-D23B-4A0A-BDDA-A84BA4C05A2F}" filter="1" showAutoFilter="1">
      <pageMargins left="0.7" right="0.7" top="0.75" bottom="0.75" header="0.3" footer="0.3"/>
      <autoFilter ref="A1:J1000" xr:uid="{F6CFCCD8-CE86-4075-8956-4FE34645599A}"/>
    </customSheetView>
  </customSheetViews>
  <conditionalFormatting sqref="A2:A1000">
    <cfRule type="expression" dxfId="20" priority="1">
      <formula>AND($A2&lt;&gt;"", TRIM($J2)="")</formula>
    </cfRule>
    <cfRule type="expression" dxfId="19" priority="2">
      <formula>INT($A2) &lt; TODAY()</formula>
    </cfRule>
    <cfRule type="expression" dxfId="18" priority="3">
      <formula>INT($A2) = TODAY()</formula>
    </cfRule>
  </conditionalFormatting>
  <conditionalFormatting sqref="I2:I1000">
    <cfRule type="cellIs" dxfId="17" priority="4" operator="equal">
      <formula>"منجز"</formula>
    </cfRule>
    <cfRule type="cellIs" dxfId="16" priority="5" operator="equal">
      <formula>"ملغي"</formula>
    </cfRule>
    <cfRule type="cellIs" dxfId="15" priority="6" operator="equal">
      <formula>"تابع للتربية"</formula>
    </cfRule>
    <cfRule type="cellIs" dxfId="14" priority="7" operator="equal">
      <formula>"مؤجل"</formula>
    </cfRule>
  </conditionalFormatting>
  <dataValidations count="1">
    <dataValidation type="custom" allowBlank="1" showDropDown="1" sqref="A2:A21 J2:J21" xr:uid="{00000000-0002-0000-0200-000000000000}">
      <formula1>OR(NOT(ISERROR(DATEVALUE(A2))), AND(ISNUMBER(A2), LEFT(CELL("format", A2))="D"))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6000"/>
    <outlinePr summaryBelow="0" summaryRight="0"/>
  </sheetPr>
  <dimension ref="A1:J1000"/>
  <sheetViews>
    <sheetView showGridLines="0" workbookViewId="0">
      <pane ySplit="1" topLeftCell="A2" activePane="bottomLeft" state="frozen"/>
      <selection pane="bottomLeft" activeCell="B3" sqref="B3"/>
    </sheetView>
  </sheetViews>
  <sheetFormatPr defaultColWidth="12.5703125" defaultRowHeight="15.75" customHeight="1"/>
  <cols>
    <col min="1" max="1" width="23.140625"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s>
  <sheetData>
    <row r="1" spans="1:10" ht="37.5" customHeight="1">
      <c r="A1" s="1" t="s">
        <v>0</v>
      </c>
      <c r="B1" s="2" t="s">
        <v>1</v>
      </c>
      <c r="C1" s="3" t="s">
        <v>3</v>
      </c>
      <c r="D1" s="1" t="s">
        <v>4</v>
      </c>
      <c r="E1" s="1" t="s">
        <v>38</v>
      </c>
      <c r="F1" s="1" t="s">
        <v>6</v>
      </c>
      <c r="G1" s="1" t="s">
        <v>7</v>
      </c>
      <c r="H1" s="1" t="s">
        <v>8</v>
      </c>
      <c r="I1" s="3" t="s">
        <v>9</v>
      </c>
      <c r="J1" s="3" t="s">
        <v>10</v>
      </c>
    </row>
    <row r="2" spans="1:10" ht="75" customHeight="1">
      <c r="A2" s="7">
        <f ca="1">IFERROR(__xludf.DUMMYFUNCTION("QUERY('البيانات'!A2:N1000, ""SELECT A, B, D, E, F, G, H, I,J,K WHERE I='ميكانيك'ORDER BY A DESC "")"),46081.8565665972)</f>
        <v>46081.856566597198</v>
      </c>
      <c r="B2" s="18" t="str">
        <f ca="1">IFERROR(__xludf.DUMMYFUNCTION("""COMPUTED_VALUE"""),"المعملجي")</f>
        <v>المعملجي</v>
      </c>
      <c r="C2" s="9" t="str">
        <f ca="1">IFERROR(__xludf.DUMMYFUNCTION("""COMPUTED_VALUE"""),"قسم المشاريع الهندسية")</f>
        <v>قسم المشاريع الهندسية</v>
      </c>
      <c r="D2"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E2" s="10" t="str">
        <f ca="1">IFERROR(__xludf.DUMMYFUNCTION("""COMPUTED_VALUE"""),"الطابق الارضي, الطابق الاول, الطابق الثاني, السطح")</f>
        <v>الطابق الارضي, الطابق الاول, الطابق الثاني, السطح</v>
      </c>
      <c r="F2"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2" s="11"/>
      <c r="H2" s="10" t="str">
        <f ca="1">IFERROR(__xludf.DUMMYFUNCTION("""COMPUTED_VALUE"""),"ميكانيك")</f>
        <v>ميكانيك</v>
      </c>
      <c r="I2" s="12" t="str">
        <f ca="1">IFERROR(__xludf.DUMMYFUNCTION("""COMPUTED_VALUE"""),"منجز")</f>
        <v>منجز</v>
      </c>
      <c r="J2" s="19">
        <f ca="1">IFERROR(__xludf.DUMMYFUNCTION("""COMPUTED_VALUE"""),46081.8575352893)</f>
        <v>46081.857535289302</v>
      </c>
    </row>
    <row r="3" spans="1:10" ht="75" customHeight="1">
      <c r="A3" s="7">
        <f ca="1">IFERROR(__xludf.DUMMYFUNCTION("""COMPUTED_VALUE"""),46081.8563441898)</f>
        <v>46081.8563441898</v>
      </c>
      <c r="B3" s="18" t="str">
        <f ca="1">IFERROR(__xludf.DUMMYFUNCTION("""COMPUTED_VALUE"""),"المعملجي")</f>
        <v>المعملجي</v>
      </c>
      <c r="C3" s="9" t="str">
        <f ca="1">IFERROR(__xludf.DUMMYFUNCTION("""COMPUTED_VALUE"""),"قسم المشاريع الهندسية")</f>
        <v>قسم المشاريع الهندسية</v>
      </c>
      <c r="D3" s="10" t="str">
        <f ca="1">IFERROR(__xludf.DUMMYFUNCTION("""COMPUTED_VALUE"""),"I- ابتدائية الساقي للبنين (السادسة)")</f>
        <v>I- ابتدائية الساقي للبنين (السادسة)</v>
      </c>
      <c r="E3" s="10" t="str">
        <f ca="1">IFERROR(__xludf.DUMMYFUNCTION("""COMPUTED_VALUE"""),"الطابق الارضي, الطابق الاول, الطابق الثاني, السطح")</f>
        <v>الطابق الارضي, الطابق الاول, الطابق الثاني, السطح</v>
      </c>
      <c r="F3"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3" s="11"/>
      <c r="H3" s="10" t="str">
        <f ca="1">IFERROR(__xludf.DUMMYFUNCTION("""COMPUTED_VALUE"""),"ميكانيك")</f>
        <v>ميكانيك</v>
      </c>
      <c r="I3" s="12" t="str">
        <f ca="1">IFERROR(__xludf.DUMMYFUNCTION("""COMPUTED_VALUE"""),"منجز")</f>
        <v>منجز</v>
      </c>
      <c r="J3" s="19">
        <f ca="1">IFERROR(__xludf.DUMMYFUNCTION("""COMPUTED_VALUE"""),46081.8575080092)</f>
        <v>46081.857508009198</v>
      </c>
    </row>
    <row r="4" spans="1:10" ht="75" customHeight="1">
      <c r="A4" s="15">
        <f ca="1">IFERROR(__xludf.DUMMYFUNCTION("""COMPUTED_VALUE"""),46081.8560874884)</f>
        <v>46081.856087488399</v>
      </c>
      <c r="B4" s="18" t="str">
        <f ca="1">IFERROR(__xludf.DUMMYFUNCTION("""COMPUTED_VALUE"""),"المعملجي")</f>
        <v>المعملجي</v>
      </c>
      <c r="C4" s="9" t="str">
        <f ca="1">IFERROR(__xludf.DUMMYFUNCTION("""COMPUTED_VALUE"""),"قسم المشاريع الهندسية")</f>
        <v>قسم المشاريع الهندسية</v>
      </c>
      <c r="D4" s="10" t="str">
        <f ca="1">IFERROR(__xludf.DUMMYFUNCTION("""COMPUTED_VALUE"""),"H- ابتدائية القمر للبنات (الخامسة)")</f>
        <v>H- ابتدائية القمر للبنات (الخامسة)</v>
      </c>
      <c r="E4" s="10" t="str">
        <f ca="1">IFERROR(__xludf.DUMMYFUNCTION("""COMPUTED_VALUE"""),"الطابق الارضي, الطابق الاول, الطابق الثاني, السطح")</f>
        <v>الطابق الارضي, الطابق الاول, الطابق الثاني, السطح</v>
      </c>
      <c r="F4"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4" s="11"/>
      <c r="H4" s="10" t="str">
        <f ca="1">IFERROR(__xludf.DUMMYFUNCTION("""COMPUTED_VALUE"""),"ميكانيك")</f>
        <v>ميكانيك</v>
      </c>
      <c r="I4" s="12" t="str">
        <f ca="1">IFERROR(__xludf.DUMMYFUNCTION("""COMPUTED_VALUE"""),"منجز")</f>
        <v>منجز</v>
      </c>
      <c r="J4" s="19">
        <f ca="1">IFERROR(__xludf.DUMMYFUNCTION("""COMPUTED_VALUE"""),46081.8574945949)</f>
        <v>46081.8574945949</v>
      </c>
    </row>
    <row r="5" spans="1:10" ht="75" customHeight="1">
      <c r="A5" s="7">
        <f ca="1">IFERROR(__xludf.DUMMYFUNCTION("""COMPUTED_VALUE"""),46081.8558084027)</f>
        <v>46081.855808402703</v>
      </c>
      <c r="B5" s="18" t="str">
        <f ca="1">IFERROR(__xludf.DUMMYFUNCTION("""COMPUTED_VALUE"""),"المعملجي")</f>
        <v>المعملجي</v>
      </c>
      <c r="C5" s="9" t="str">
        <f ca="1">IFERROR(__xludf.DUMMYFUNCTION("""COMPUTED_VALUE"""),"قسم المشاريع الهندسية")</f>
        <v>قسم المشاريع الهندسية</v>
      </c>
      <c r="D5" s="10" t="str">
        <f ca="1">IFERROR(__xludf.DUMMYFUNCTION("""COMPUTED_VALUE"""),"F-  ابتدائية جود العميد للبنات (الرابعة)")</f>
        <v>F-  ابتدائية جود العميد للبنات (الرابعة)</v>
      </c>
      <c r="E5" s="10" t="str">
        <f ca="1">IFERROR(__xludf.DUMMYFUNCTION("""COMPUTED_VALUE"""),"الطابق الارضي, الطابق الاول, الطابق الثاني, السطح")</f>
        <v>الطابق الارضي, الطابق الاول, الطابق الثاني, السطح</v>
      </c>
      <c r="F5"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5" s="10"/>
      <c r="H5" s="10" t="str">
        <f ca="1">IFERROR(__xludf.DUMMYFUNCTION("""COMPUTED_VALUE"""),"ميكانيك")</f>
        <v>ميكانيك</v>
      </c>
      <c r="I5" s="12" t="str">
        <f ca="1">IFERROR(__xludf.DUMMYFUNCTION("""COMPUTED_VALUE"""),"منجز")</f>
        <v>منجز</v>
      </c>
      <c r="J5" s="19">
        <f ca="1">IFERROR(__xludf.DUMMYFUNCTION("""COMPUTED_VALUE"""),46081.8574905092)</f>
        <v>46081.857490509203</v>
      </c>
    </row>
    <row r="6" spans="1:10" ht="75" customHeight="1">
      <c r="A6" s="7">
        <f ca="1">IFERROR(__xludf.DUMMYFUNCTION("""COMPUTED_VALUE"""),46081.8555601967)</f>
        <v>46081.855560196702</v>
      </c>
      <c r="B6" s="18" t="str">
        <f ca="1">IFERROR(__xludf.DUMMYFUNCTION("""COMPUTED_VALUE"""),"المعملجي")</f>
        <v>المعملجي</v>
      </c>
      <c r="C6" s="9" t="str">
        <f ca="1">IFERROR(__xludf.DUMMYFUNCTION("""COMPUTED_VALUE"""),"قسم المشاريع الهندسية")</f>
        <v>قسم المشاريع الهندسية</v>
      </c>
      <c r="D6" s="10" t="str">
        <f ca="1">IFERROR(__xludf.DUMMYFUNCTION("""COMPUTED_VALUE"""),"E- ابتدائية العميد للبنات (الثالثة)")</f>
        <v>E- ابتدائية العميد للبنات (الثالثة)</v>
      </c>
      <c r="E6" s="10" t="str">
        <f ca="1">IFERROR(__xludf.DUMMYFUNCTION("""COMPUTED_VALUE"""),"الطابق الارضي, الطابق الاول, الطابق الثاني, السطح")</f>
        <v>الطابق الارضي, الطابق الاول, الطابق الثاني, السطح</v>
      </c>
      <c r="F6"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6" s="10"/>
      <c r="H6" s="10" t="str">
        <f ca="1">IFERROR(__xludf.DUMMYFUNCTION("""COMPUTED_VALUE"""),"ميكانيك")</f>
        <v>ميكانيك</v>
      </c>
      <c r="I6" s="12" t="str">
        <f ca="1">IFERROR(__xludf.DUMMYFUNCTION("""COMPUTED_VALUE"""),"منجز")</f>
        <v>منجز</v>
      </c>
      <c r="J6" s="19">
        <f ca="1">IFERROR(__xludf.DUMMYFUNCTION("""COMPUTED_VALUE"""),46081.8574091203)</f>
        <v>46081.857409120297</v>
      </c>
    </row>
    <row r="7" spans="1:10" ht="75" customHeight="1">
      <c r="A7" s="7">
        <f ca="1">IFERROR(__xludf.DUMMYFUNCTION("""COMPUTED_VALUE"""),46081.8552794097)</f>
        <v>46081.855279409698</v>
      </c>
      <c r="B7" s="18" t="str">
        <f ca="1">IFERROR(__xludf.DUMMYFUNCTION("""COMPUTED_VALUE"""),"المعملجي")</f>
        <v>المعملجي</v>
      </c>
      <c r="C7" s="9" t="str">
        <f ca="1">IFERROR(__xludf.DUMMYFUNCTION("""COMPUTED_VALUE"""),"قسم المشاريع الهندسية")</f>
        <v>قسم المشاريع الهندسية</v>
      </c>
      <c r="D7" s="10" t="str">
        <f ca="1">IFERROR(__xludf.DUMMYFUNCTION("""COMPUTED_VALUE"""),"D- ثانوية العميد بناية المتوسطة  (الثانية)")</f>
        <v>D- ثانوية العميد بناية المتوسطة  (الثانية)</v>
      </c>
      <c r="E7" s="10" t="str">
        <f ca="1">IFERROR(__xludf.DUMMYFUNCTION("""COMPUTED_VALUE"""),"الطابق الارضي, الطابق الاول, الطابق الثاني, السطح")</f>
        <v>الطابق الارضي, الطابق الاول, الطابق الثاني, السطح</v>
      </c>
      <c r="F7"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7" s="10"/>
      <c r="H7" s="10" t="str">
        <f ca="1">IFERROR(__xludf.DUMMYFUNCTION("""COMPUTED_VALUE"""),"ميكانيك")</f>
        <v>ميكانيك</v>
      </c>
      <c r="I7" s="12" t="str">
        <f ca="1">IFERROR(__xludf.DUMMYFUNCTION("""COMPUTED_VALUE"""),"منجز")</f>
        <v>منجز</v>
      </c>
      <c r="J7" s="19">
        <f ca="1">IFERROR(__xludf.DUMMYFUNCTION("""COMPUTED_VALUE"""),46081.8573918402)</f>
        <v>46081.857391840203</v>
      </c>
    </row>
    <row r="8" spans="1:10" ht="75" customHeight="1">
      <c r="A8" s="7">
        <f ca="1">IFERROR(__xludf.DUMMYFUNCTION("""COMPUTED_VALUE"""),46081.8550863425)</f>
        <v>46081.855086342497</v>
      </c>
      <c r="B8" s="18" t="str">
        <f ca="1">IFERROR(__xludf.DUMMYFUNCTION("""COMPUTED_VALUE"""),"المعملجي")</f>
        <v>المعملجي</v>
      </c>
      <c r="C8" s="9" t="str">
        <f ca="1">IFERROR(__xludf.DUMMYFUNCTION("""COMPUTED_VALUE"""),"قسم المشاريع الهندسية")</f>
        <v>قسم المشاريع الهندسية</v>
      </c>
      <c r="D8" s="10" t="str">
        <f ca="1">IFERROR(__xludf.DUMMYFUNCTION("""COMPUTED_VALUE"""),"C- ثانوية العميد بناية الاعدادية  (الاولى)")</f>
        <v>C- ثانوية العميد بناية الاعدادية  (الاولى)</v>
      </c>
      <c r="E8" s="10" t="str">
        <f ca="1">IFERROR(__xludf.DUMMYFUNCTION("""COMPUTED_VALUE"""),"الطابق الارضي, الطابق الاول, الطابق الثاني, السطح")</f>
        <v>الطابق الارضي, الطابق الاول, الطابق الثاني, السطح</v>
      </c>
      <c r="F8"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8" s="10"/>
      <c r="H8" s="10" t="str">
        <f ca="1">IFERROR(__xludf.DUMMYFUNCTION("""COMPUTED_VALUE"""),"ميكانيك")</f>
        <v>ميكانيك</v>
      </c>
      <c r="I8" s="12" t="str">
        <f ca="1">IFERROR(__xludf.DUMMYFUNCTION("""COMPUTED_VALUE"""),"منجز")</f>
        <v>منجز</v>
      </c>
      <c r="J8" s="19">
        <f ca="1">IFERROR(__xludf.DUMMYFUNCTION("""COMPUTED_VALUE"""),46081.8573640509)</f>
        <v>46081.857364050898</v>
      </c>
    </row>
    <row r="9" spans="1:10" ht="75" customHeight="1">
      <c r="A9" s="7">
        <f ca="1">IFERROR(__xludf.DUMMYFUNCTION("""COMPUTED_VALUE"""),46081.8548824074)</f>
        <v>46081.854882407402</v>
      </c>
      <c r="B9" s="18" t="str">
        <f ca="1">IFERROR(__xludf.DUMMYFUNCTION("""COMPUTED_VALUE"""),"المعملجي")</f>
        <v>المعملجي</v>
      </c>
      <c r="C9" s="9" t="str">
        <f ca="1">IFERROR(__xludf.DUMMYFUNCTION("""COMPUTED_VALUE"""),"قسم المشاريع الهندسية")</f>
        <v>قسم المشاريع الهندسية</v>
      </c>
      <c r="D9" s="10" t="str">
        <f ca="1">IFERROR(__xludf.DUMMYFUNCTION("""COMPUTED_VALUE"""),"G- روضة الجود")</f>
        <v>G- روضة الجود</v>
      </c>
      <c r="E9" s="10" t="str">
        <f ca="1">IFERROR(__xludf.DUMMYFUNCTION("""COMPUTED_VALUE"""),"الطابق الارضي, الطابق الاول, الطابق الثاني, السطح")</f>
        <v>الطابق الارضي, الطابق الاول, الطابق الثاني, السطح</v>
      </c>
      <c r="F9"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9" s="10"/>
      <c r="H9" s="10" t="str">
        <f ca="1">IFERROR(__xludf.DUMMYFUNCTION("""COMPUTED_VALUE"""),"ميكانيك")</f>
        <v>ميكانيك</v>
      </c>
      <c r="I9" s="12" t="str">
        <f ca="1">IFERROR(__xludf.DUMMYFUNCTION("""COMPUTED_VALUE"""),"منجز")</f>
        <v>منجز</v>
      </c>
      <c r="J9" s="19">
        <f ca="1">IFERROR(__xludf.DUMMYFUNCTION("""COMPUTED_VALUE"""),46081.8573601157)</f>
        <v>46081.857360115697</v>
      </c>
    </row>
    <row r="10" spans="1:10" ht="75" customHeight="1">
      <c r="A10" s="7">
        <f ca="1">IFERROR(__xludf.DUMMYFUNCTION("""COMPUTED_VALUE"""),46081.8546809143)</f>
        <v>46081.854680914301</v>
      </c>
      <c r="B10" s="18" t="str">
        <f ca="1">IFERROR(__xludf.DUMMYFUNCTION("""COMPUTED_VALUE"""),"المعملجي")</f>
        <v>المعملجي</v>
      </c>
      <c r="C10" s="9" t="str">
        <f ca="1">IFERROR(__xludf.DUMMYFUNCTION("""COMPUTED_VALUE"""),"قسم المشاريع الهندسية")</f>
        <v>قسم المشاريع الهندسية</v>
      </c>
      <c r="D10" s="10" t="str">
        <f ca="1">IFERROR(__xludf.DUMMYFUNCTION("""COMPUTED_VALUE"""),"B- روضة القمر")</f>
        <v>B- روضة القمر</v>
      </c>
      <c r="E10" s="10" t="str">
        <f ca="1">IFERROR(__xludf.DUMMYFUNCTION("""COMPUTED_VALUE"""),"الطابق الارضي, الطابق الاول, الطابق الثاني, السطح")</f>
        <v>الطابق الارضي, الطابق الاول, الطابق الثاني, السطح</v>
      </c>
      <c r="F10" s="10" t="str">
        <f ca="1">IFERROR(__xludf.DUMMYFUNCTION("""COMPUTED_VALUE"""),"إفراغ شبكة اطفاء الحريق واستبدال الماء المضغوط لغرض حماية انابيب الشبكة من التأكسد")</f>
        <v>إفراغ شبكة اطفاء الحريق واستبدال الماء المضغوط لغرض حماية انابيب الشبكة من التأكسد</v>
      </c>
      <c r="G10" s="10"/>
      <c r="H10" s="10" t="str">
        <f ca="1">IFERROR(__xludf.DUMMYFUNCTION("""COMPUTED_VALUE"""),"ميكانيك")</f>
        <v>ميكانيك</v>
      </c>
      <c r="I10" s="12" t="str">
        <f ca="1">IFERROR(__xludf.DUMMYFUNCTION("""COMPUTED_VALUE"""),"منجز")</f>
        <v>منجز</v>
      </c>
      <c r="J10" s="19">
        <f ca="1">IFERROR(__xludf.DUMMYFUNCTION("""COMPUTED_VALUE"""),46081.8573096875)</f>
        <v>46081.857309687497</v>
      </c>
    </row>
    <row r="11" spans="1:10" ht="75" customHeight="1">
      <c r="A11" s="7">
        <f ca="1">IFERROR(__xludf.DUMMYFUNCTION("""COMPUTED_VALUE"""),46081.8544603819)</f>
        <v>46081.854460381903</v>
      </c>
      <c r="B11" s="18" t="str">
        <f ca="1">IFERROR(__xludf.DUMMYFUNCTION("""COMPUTED_VALUE"""),"المعملجي")</f>
        <v>المعملجي</v>
      </c>
      <c r="C11" s="9" t="str">
        <f ca="1">IFERROR(__xludf.DUMMYFUNCTION("""COMPUTED_VALUE"""),"قسم المشاريع الهندسية")</f>
        <v>قسم المشاريع الهندسية</v>
      </c>
      <c r="D11" s="10" t="str">
        <f ca="1">IFERROR(__xludf.DUMMYFUNCTION("""COMPUTED_VALUE"""),"A- المركز الثقافي")</f>
        <v>A- المركز الثقافي</v>
      </c>
      <c r="E11" s="10" t="str">
        <f ca="1">IFERROR(__xludf.DUMMYFUNCTION("""COMPUTED_VALUE"""),"الطابق الارضي, الطابق الاول, الطابق الثاني, الطابق الثالث, الطابق الرابع, السطح")</f>
        <v>الطابق الارضي, الطابق الاول, الطابق الثاني, الطابق الثالث, الطابق الرابع, السطح</v>
      </c>
      <c r="F11" s="10" t="str">
        <f ca="1">IFERROR(__xludf.DUMMYFUNCTION("""COMPUTED_VALUE"""),"إفراغ شبكة اطفاء الحريق واستبدال الماء المضغوط لغرض حماية انابيب الشبكة من التأكسد ")</f>
        <v xml:space="preserve">إفراغ شبكة اطفاء الحريق واستبدال الماء المضغوط لغرض حماية انابيب الشبكة من التأكسد </v>
      </c>
      <c r="G11" s="10"/>
      <c r="H11" s="10" t="str">
        <f ca="1">IFERROR(__xludf.DUMMYFUNCTION("""COMPUTED_VALUE"""),"ميكانيك")</f>
        <v>ميكانيك</v>
      </c>
      <c r="I11" s="12" t="str">
        <f ca="1">IFERROR(__xludf.DUMMYFUNCTION("""COMPUTED_VALUE"""),"منجز")</f>
        <v>منجز</v>
      </c>
      <c r="J11" s="19">
        <f ca="1">IFERROR(__xludf.DUMMYFUNCTION("""COMPUTED_VALUE"""),46081.8573080208)</f>
        <v>46081.857308020801</v>
      </c>
    </row>
    <row r="12" spans="1:10" ht="75" customHeight="1">
      <c r="A12" s="7">
        <f ca="1">IFERROR(__xludf.DUMMYFUNCTION("""COMPUTED_VALUE"""),46081.8527358449)</f>
        <v>46081.852735844899</v>
      </c>
      <c r="B12" s="18" t="str">
        <f ca="1">IFERROR(__xludf.DUMMYFUNCTION("""COMPUTED_VALUE"""),"المعملجي")</f>
        <v>المعملجي</v>
      </c>
      <c r="C12" s="9" t="str">
        <f ca="1">IFERROR(__xludf.DUMMYFUNCTION("""COMPUTED_VALUE"""),"قسم المشاريع الهندسية")</f>
        <v>قسم المشاريع الهندسية</v>
      </c>
      <c r="D12" s="10" t="str">
        <f ca="1">IFERROR(__xludf.DUMMYFUNCTION("""COMPUTED_VALUE"""),"B- روضة القمر")</f>
        <v>B- روضة القمر</v>
      </c>
      <c r="E12" s="10" t="str">
        <f ca="1">IFERROR(__xludf.DUMMYFUNCTION("""COMPUTED_VALUE"""),"السطح")</f>
        <v>السطح</v>
      </c>
      <c r="F12" s="10" t="str">
        <f ca="1">IFERROR(__xludf.DUMMYFUNCTION("""COMPUTED_VALUE"""),"اضافة وتأسيس شبكة مياه خاصة بغسل الألواح الشمسية في سطح القاعات الرياضية ")</f>
        <v xml:space="preserve">اضافة وتأسيس شبكة مياه خاصة بغسل الألواح الشمسية في سطح القاعات الرياضية </v>
      </c>
      <c r="G12" s="10"/>
      <c r="H12" s="10" t="str">
        <f ca="1">IFERROR(__xludf.DUMMYFUNCTION("""COMPUTED_VALUE"""),"ميكانيك")</f>
        <v>ميكانيك</v>
      </c>
      <c r="I12" s="12" t="str">
        <f ca="1">IFERROR(__xludf.DUMMYFUNCTION("""COMPUTED_VALUE"""),"منجز")</f>
        <v>منجز</v>
      </c>
      <c r="J12" s="19">
        <f ca="1">IFERROR(__xludf.DUMMYFUNCTION("""COMPUTED_VALUE"""),46081.8570029398)</f>
        <v>46081.857002939803</v>
      </c>
    </row>
    <row r="13" spans="1:10" ht="75" customHeight="1">
      <c r="A13" s="7">
        <f ca="1">IFERROR(__xludf.DUMMYFUNCTION("""COMPUTED_VALUE"""),46081.8434635185)</f>
        <v>46081.843463518497</v>
      </c>
      <c r="B13" s="18" t="str">
        <f ca="1">IFERROR(__xludf.DUMMYFUNCTION("""COMPUTED_VALUE"""),"المعملجي")</f>
        <v>المعملجي</v>
      </c>
      <c r="C13" s="9" t="str">
        <f ca="1">IFERROR(__xludf.DUMMYFUNCTION("""COMPUTED_VALUE"""),"قسم المشاريع الهندسية")</f>
        <v>قسم المشاريع الهندسية</v>
      </c>
      <c r="D13"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E13" s="10" t="str">
        <f ca="1">IFERROR(__xludf.DUMMYFUNCTION("""COMPUTED_VALUE"""),"السطح")</f>
        <v>السطح</v>
      </c>
      <c r="F13" s="10" t="str">
        <f ca="1">IFERROR(__xludf.DUMMYFUNCTION("""COMPUTED_VALUE"""),"صيانة التسريب في الخزان واستبدال الطوافة التالفه")</f>
        <v>صيانة التسريب في الخزان واستبدال الطوافة التالفه</v>
      </c>
      <c r="G13" s="10"/>
      <c r="H13" s="10" t="str">
        <f ca="1">IFERROR(__xludf.DUMMYFUNCTION("""COMPUTED_VALUE"""),"ميكانيك")</f>
        <v>ميكانيك</v>
      </c>
      <c r="I13" s="12" t="str">
        <f ca="1">IFERROR(__xludf.DUMMYFUNCTION("""COMPUTED_VALUE"""),"منجز")</f>
        <v>منجز</v>
      </c>
      <c r="J13" s="19">
        <f ca="1">IFERROR(__xludf.DUMMYFUNCTION("""COMPUTED_VALUE"""),46081.8504240856)</f>
        <v>46081.850424085598</v>
      </c>
    </row>
    <row r="14" spans="1:10" ht="75" customHeight="1">
      <c r="A14" s="7">
        <f ca="1">IFERROR(__xludf.DUMMYFUNCTION("""COMPUTED_VALUE"""),46081.8432299884)</f>
        <v>46081.843229988401</v>
      </c>
      <c r="B14" s="18" t="str">
        <f ca="1">IFERROR(__xludf.DUMMYFUNCTION("""COMPUTED_VALUE"""),"المعملجي")</f>
        <v>المعملجي</v>
      </c>
      <c r="C14" s="9" t="str">
        <f ca="1">IFERROR(__xludf.DUMMYFUNCTION("""COMPUTED_VALUE"""),"قسم المشاريع الهندسية")</f>
        <v>قسم المشاريع الهندسية</v>
      </c>
      <c r="D14" s="10" t="str">
        <f ca="1">IFERROR(__xludf.DUMMYFUNCTION("""COMPUTED_VALUE"""),"I- ابتدائية الساقي للبنين (السادسة)")</f>
        <v>I- ابتدائية الساقي للبنين (السادسة)</v>
      </c>
      <c r="E14" s="10" t="str">
        <f ca="1">IFERROR(__xludf.DUMMYFUNCTION("""COMPUTED_VALUE"""),"السطح")</f>
        <v>السطح</v>
      </c>
      <c r="F14" s="10" t="str">
        <f ca="1">IFERROR(__xludf.DUMMYFUNCTION("""COMPUTED_VALUE"""),"صيانة التسريب في الخزان واستبدال الطوافة التالفه ")</f>
        <v xml:space="preserve">صيانة التسريب في الخزان واستبدال الطوافة التالفه </v>
      </c>
      <c r="G14" s="10"/>
      <c r="H14" s="10" t="str">
        <f ca="1">IFERROR(__xludf.DUMMYFUNCTION("""COMPUTED_VALUE"""),"ميكانيك")</f>
        <v>ميكانيك</v>
      </c>
      <c r="I14" s="12" t="str">
        <f ca="1">IFERROR(__xludf.DUMMYFUNCTION("""COMPUTED_VALUE"""),"منجز")</f>
        <v>منجز</v>
      </c>
      <c r="J14" s="20">
        <f ca="1">IFERROR(__xludf.DUMMYFUNCTION("""COMPUTED_VALUE"""),46081.8503413425)</f>
        <v>46081.850341342499</v>
      </c>
    </row>
    <row r="15" spans="1:10" ht="75" customHeight="1">
      <c r="A15" s="7">
        <f ca="1">IFERROR(__xludf.DUMMYFUNCTION("""COMPUTED_VALUE"""),46081.8365982754)</f>
        <v>46081.836598275397</v>
      </c>
      <c r="B15" s="18" t="str">
        <f ca="1">IFERROR(__xludf.DUMMYFUNCTION("""COMPUTED_VALUE"""),"المعملجي")</f>
        <v>المعملجي</v>
      </c>
      <c r="C15" s="9" t="str">
        <f ca="1">IFERROR(__xludf.DUMMYFUNCTION("""COMPUTED_VALUE"""),"قسم المشاريع الهندسية")</f>
        <v>قسم المشاريع الهندسية</v>
      </c>
      <c r="D15" s="10" t="str">
        <f ca="1">IFERROR(__xludf.DUMMYFUNCTION("""COMPUTED_VALUE"""),"B-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f>
        <v>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v>
      </c>
      <c r="E15" s="10" t="str">
        <f ca="1">IFERROR(__xludf.DUMMYFUNCTION("""COMPUTED_VALUE"""),"السطح")</f>
        <v>السطح</v>
      </c>
      <c r="F15" s="10" t="str">
        <f ca="1">IFERROR(__xludf.DUMMYFUNCTION("""COMPUTED_VALUE"""),"اضافة مأخذ ماء اضافي لتسهيل عملية التشغيل والادامه")</f>
        <v>اضافة مأخذ ماء اضافي لتسهيل عملية التشغيل والادامه</v>
      </c>
      <c r="G15" s="10"/>
      <c r="H15" s="10" t="str">
        <f ca="1">IFERROR(__xludf.DUMMYFUNCTION("""COMPUTED_VALUE"""),"ميكانيك")</f>
        <v>ميكانيك</v>
      </c>
      <c r="I15" s="12" t="str">
        <f ca="1">IFERROR(__xludf.DUMMYFUNCTION("""COMPUTED_VALUE"""),"منجز")</f>
        <v>منجز</v>
      </c>
      <c r="J15" s="19">
        <f ca="1">IFERROR(__xludf.DUMMYFUNCTION("""COMPUTED_VALUE"""),46081.8501710648)</f>
        <v>46081.850171064798</v>
      </c>
    </row>
    <row r="16" spans="1:10" ht="75" customHeight="1">
      <c r="A16" s="7">
        <f ca="1">IFERROR(__xludf.DUMMYFUNCTION("""COMPUTED_VALUE"""),46081.8362923611)</f>
        <v>46081.836292361098</v>
      </c>
      <c r="B16" s="18" t="str">
        <f ca="1">IFERROR(__xludf.DUMMYFUNCTION("""COMPUTED_VALUE"""),"المعملجي")</f>
        <v>المعملجي</v>
      </c>
      <c r="C16" s="9" t="str">
        <f ca="1">IFERROR(__xludf.DUMMYFUNCTION("""COMPUTED_VALUE"""),"قسم المشاريع الهندسية")</f>
        <v>قسم المشاريع الهندسية</v>
      </c>
      <c r="D16" s="10" t="str">
        <f ca="1">IFERROR(__xludf.DUMMYFUNCTION("""COMPUTED_VALUE"""),"C- ثانوية العميد بناية الاعدادية  (الاولى), D- ثانوية العميد بناية المتوسطة  (الثانية), E- ابتدائية العميد للبنات (الثالثة), F-  ابتدائية جود العميد للبنات (الرابعة)")</f>
        <v>C- ثانوية العميد بناية الاعدادية  (الاولى), D- ثانوية العميد بناية المتوسطة  (الثانية), E- ابتدائية العميد للبنات (الثالثة), F-  ابتدائية جود العميد للبنات (الرابعة)</v>
      </c>
      <c r="E16" s="10" t="str">
        <f ca="1">IFERROR(__xludf.DUMMYFUNCTION("""COMPUTED_VALUE"""),"السطح")</f>
        <v>السطح</v>
      </c>
      <c r="F16" s="10" t="str">
        <f ca="1">IFERROR(__xludf.DUMMYFUNCTION("""COMPUTED_VALUE"""),"اضافة مأخذ ماء اضافي لتسهيل عملية التشغيل والادامه ")</f>
        <v xml:space="preserve">اضافة مأخذ ماء اضافي لتسهيل عملية التشغيل والادامه </v>
      </c>
      <c r="G16" s="10"/>
      <c r="H16" s="10" t="str">
        <f ca="1">IFERROR(__xludf.DUMMYFUNCTION("""COMPUTED_VALUE"""),"ميكانيك")</f>
        <v>ميكانيك</v>
      </c>
      <c r="I16" s="12" t="str">
        <f ca="1">IFERROR(__xludf.DUMMYFUNCTION("""COMPUTED_VALUE"""),"منجز")</f>
        <v>منجز</v>
      </c>
      <c r="J16" s="19">
        <f ca="1">IFERROR(__xludf.DUMMYFUNCTION("""COMPUTED_VALUE"""),46081.8500799074)</f>
        <v>46081.850079907403</v>
      </c>
    </row>
    <row r="17" spans="1:10" ht="75" customHeight="1">
      <c r="A17" s="7">
        <f ca="1">IFERROR(__xludf.DUMMYFUNCTION("""COMPUTED_VALUE"""),46081.4031712963)</f>
        <v>46081.403171296297</v>
      </c>
      <c r="B17" s="18" t="str">
        <f ca="1">IFERROR(__xludf.DUMMYFUNCTION("""COMPUTED_VALUE"""),"المعملجي")</f>
        <v>المعملجي</v>
      </c>
      <c r="C17" s="9" t="str">
        <f ca="1">IFERROR(__xludf.DUMMYFUNCTION("""COMPUTED_VALUE"""),"قسم التربية والتعليم العالي")</f>
        <v>قسم التربية والتعليم العالي</v>
      </c>
      <c r="D17" s="10" t="str">
        <f ca="1">IFERROR(__xludf.DUMMYFUNCTION("""COMPUTED_VALUE"""),"G- روضة الجود")</f>
        <v>G- روضة الجود</v>
      </c>
      <c r="E17" s="10" t="str">
        <f ca="1">IFERROR(__xludf.DUMMYFUNCTION("""COMPUTED_VALUE"""),"صف الياقوت")</f>
        <v>صف الياقوت</v>
      </c>
      <c r="F17" s="10" t="str">
        <f ca="1">IFERROR(__xludf.DUMMYFUNCTION("""COMPUTED_VALUE"""),"صيانة حنفية حمام ")</f>
        <v xml:space="preserve">صيانة حنفية حمام </v>
      </c>
      <c r="G17" s="10"/>
      <c r="H17" s="10" t="str">
        <f ca="1">IFERROR(__xludf.DUMMYFUNCTION("""COMPUTED_VALUE"""),"ميكانيك")</f>
        <v>ميكانيك</v>
      </c>
      <c r="I17" s="12" t="str">
        <f ca="1">IFERROR(__xludf.DUMMYFUNCTION("""COMPUTED_VALUE"""),"منجز")</f>
        <v>منجز</v>
      </c>
      <c r="J17" s="19">
        <f ca="1">IFERROR(__xludf.DUMMYFUNCTION("""COMPUTED_VALUE"""),46081.4432966898)</f>
        <v>46081.443296689802</v>
      </c>
    </row>
    <row r="18" spans="1:10" ht="75" customHeight="1">
      <c r="A18" s="7">
        <f ca="1">IFERROR(__xludf.DUMMYFUNCTION("""COMPUTED_VALUE"""),46081.401703368)</f>
        <v>46081.401703367999</v>
      </c>
      <c r="B18" s="18" t="str">
        <f ca="1">IFERROR(__xludf.DUMMYFUNCTION("""COMPUTED_VALUE"""),"المعملجي")</f>
        <v>المعملجي</v>
      </c>
      <c r="C18" s="9" t="str">
        <f ca="1">IFERROR(__xludf.DUMMYFUNCTION("""COMPUTED_VALUE"""),"قسم التربية والتعليم العالي")</f>
        <v>قسم التربية والتعليم العالي</v>
      </c>
      <c r="D18" s="10" t="str">
        <f ca="1">IFERROR(__xludf.DUMMYFUNCTION("""COMPUTED_VALUE"""),"B- روضة القمر")</f>
        <v>B- روضة القمر</v>
      </c>
      <c r="E18" s="10" t="str">
        <f ca="1">IFERROR(__xludf.DUMMYFUNCTION("""COMPUTED_VALUE"""),"/")</f>
        <v>/</v>
      </c>
      <c r="F18" s="10" t="str">
        <f ca="1">IFERROR(__xludf.DUMMYFUNCTION("""COMPUTED_VALUE"""),"تصليح مجرى السنك")</f>
        <v>تصليح مجرى السنك</v>
      </c>
      <c r="G18" s="10"/>
      <c r="H18" s="10" t="str">
        <f ca="1">IFERROR(__xludf.DUMMYFUNCTION("""COMPUTED_VALUE"""),"ميكانيك")</f>
        <v>ميكانيك</v>
      </c>
      <c r="I18" s="12" t="str">
        <f ca="1">IFERROR(__xludf.DUMMYFUNCTION("""COMPUTED_VALUE"""),"منجز")</f>
        <v>منجز</v>
      </c>
      <c r="J18" s="19">
        <f ca="1">IFERROR(__xludf.DUMMYFUNCTION("""COMPUTED_VALUE"""),46081.4432175694)</f>
        <v>46081.443217569402</v>
      </c>
    </row>
    <row r="19" spans="1:10" ht="75" customHeight="1">
      <c r="A19" s="7">
        <f ca="1">IFERROR(__xludf.DUMMYFUNCTION("""COMPUTED_VALUE"""),46079.3727078125)</f>
        <v>46079.372707812501</v>
      </c>
      <c r="B19" s="18" t="str">
        <f ca="1">IFERROR(__xludf.DUMMYFUNCTION("""COMPUTED_VALUE"""),"المعملجي")</f>
        <v>المعملجي</v>
      </c>
      <c r="C19" s="9" t="str">
        <f ca="1">IFERROR(__xludf.DUMMYFUNCTION("""COMPUTED_VALUE"""),"قسم التربية والتعليم العالي")</f>
        <v>قسم التربية والتعليم العالي</v>
      </c>
      <c r="D19" s="10" t="str">
        <f ca="1">IFERROR(__xludf.DUMMYFUNCTION("""COMPUTED_VALUE"""),"G- روضة الجود")</f>
        <v>G- روضة الجود</v>
      </c>
      <c r="E19" s="10" t="str">
        <f ca="1">IFERROR(__xludf.DUMMYFUNCTION("""COMPUTED_VALUE"""),"الطابق الارضي")</f>
        <v>الطابق الارضي</v>
      </c>
      <c r="F19" s="10" t="str">
        <f ca="1">IFERROR(__xludf.DUMMYFUNCTION("""COMPUTED_VALUE"""),"لايوجد ماء في منظومة الشرب ")</f>
        <v xml:space="preserve">لايوجد ماء في منظومة الشرب </v>
      </c>
      <c r="G19" s="10"/>
      <c r="H19" s="10" t="str">
        <f ca="1">IFERROR(__xludf.DUMMYFUNCTION("""COMPUTED_VALUE"""),"ميكانيك")</f>
        <v>ميكانيك</v>
      </c>
      <c r="I19" s="12" t="str">
        <f ca="1">IFERROR(__xludf.DUMMYFUNCTION("""COMPUTED_VALUE"""),"منجز")</f>
        <v>منجز</v>
      </c>
      <c r="J19" s="19">
        <f ca="1">IFERROR(__xludf.DUMMYFUNCTION("""COMPUTED_VALUE"""),46079.5130246875)</f>
        <v>46079.513024687498</v>
      </c>
    </row>
    <row r="20" spans="1:10" ht="75" customHeight="1">
      <c r="A20" s="7">
        <f ca="1">IFERROR(__xludf.DUMMYFUNCTION("""COMPUTED_VALUE"""),46079.3325724074)</f>
        <v>46079.332572407402</v>
      </c>
      <c r="B20" s="18" t="str">
        <f ca="1">IFERROR(__xludf.DUMMYFUNCTION("""COMPUTED_VALUE"""),"المعملجي")</f>
        <v>المعملجي</v>
      </c>
      <c r="C20" s="9" t="str">
        <f ca="1">IFERROR(__xludf.DUMMYFUNCTION("""COMPUTED_VALUE"""),"قسم التربية والتعليم العالي")</f>
        <v>قسم التربية والتعليم العالي</v>
      </c>
      <c r="D20" s="10" t="str">
        <f ca="1">IFERROR(__xludf.DUMMYFUNCTION("""COMPUTED_VALUE"""),"B- روضة القمر")</f>
        <v>B- روضة القمر</v>
      </c>
      <c r="E20" s="10" t="str">
        <f ca="1">IFERROR(__xludf.DUMMYFUNCTION("""COMPUTED_VALUE"""),"الطابق الارضي")</f>
        <v>الطابق الارضي</v>
      </c>
      <c r="F20" s="10" t="str">
        <f ca="1">IFERROR(__xludf.DUMMYFUNCTION("""COMPUTED_VALUE"""),"لايوجد ماء شرب ")</f>
        <v xml:space="preserve">لايوجد ماء شرب </v>
      </c>
      <c r="G20" s="10"/>
      <c r="H20" s="10" t="str">
        <f ca="1">IFERROR(__xludf.DUMMYFUNCTION("""COMPUTED_VALUE"""),"ميكانيك")</f>
        <v>ميكانيك</v>
      </c>
      <c r="I20" s="12" t="str">
        <f ca="1">IFERROR(__xludf.DUMMYFUNCTION("""COMPUTED_VALUE"""),"منجز")</f>
        <v>منجز</v>
      </c>
      <c r="J20" s="19">
        <f ca="1">IFERROR(__xludf.DUMMYFUNCTION("""COMPUTED_VALUE"""),46079.36594125)</f>
        <v>46079.365941249998</v>
      </c>
    </row>
    <row r="21" spans="1:10" ht="75" customHeight="1">
      <c r="A21" s="7">
        <f ca="1">IFERROR(__xludf.DUMMYFUNCTION("""COMPUTED_VALUE"""),46077.5032757986)</f>
        <v>46077.503275798597</v>
      </c>
      <c r="B21" s="18" t="str">
        <f ca="1">IFERROR(__xludf.DUMMYFUNCTION("""COMPUTED_VALUE"""),"المعملجي")</f>
        <v>المعملجي</v>
      </c>
      <c r="C21" s="9" t="str">
        <f ca="1">IFERROR(__xludf.DUMMYFUNCTION("""COMPUTED_VALUE"""),"قسم التربية والتعليم العالي")</f>
        <v>قسم التربية والتعليم العالي</v>
      </c>
      <c r="D21" s="10" t="str">
        <f ca="1">IFERROR(__xludf.DUMMYFUNCTION("""COMPUTED_VALUE"""),"F-  ابتدائية جود العميد للبنات (الرابعة)")</f>
        <v>F-  ابتدائية جود العميد للبنات (الرابعة)</v>
      </c>
      <c r="E21" s="10" t="str">
        <f ca="1">IFERROR(__xludf.DUMMYFUNCTION("""COMPUTED_VALUE"""),"الطابق الارضي")</f>
        <v>الطابق الارضي</v>
      </c>
      <c r="F21" s="10" t="str">
        <f ca="1">IFERROR(__xludf.DUMMYFUNCTION("""COMPUTED_VALUE"""),"صيانة شفاط ")</f>
        <v xml:space="preserve">صيانة شفاط </v>
      </c>
      <c r="G21" s="10"/>
      <c r="H21" s="10" t="str">
        <f ca="1">IFERROR(__xludf.DUMMYFUNCTION("""COMPUTED_VALUE"""),"ميكانيك")</f>
        <v>ميكانيك</v>
      </c>
      <c r="I21" s="12" t="str">
        <f ca="1">IFERROR(__xludf.DUMMYFUNCTION("""COMPUTED_VALUE"""),"منجز")</f>
        <v>منجز</v>
      </c>
      <c r="J21" s="19">
        <f ca="1">IFERROR(__xludf.DUMMYFUNCTION("""COMPUTED_VALUE"""),46078.5770174537)</f>
        <v>46078.577017453703</v>
      </c>
    </row>
    <row r="22" spans="1:10" ht="75" customHeight="1">
      <c r="A22" s="7">
        <f ca="1">IFERROR(__xludf.DUMMYFUNCTION("""COMPUTED_VALUE"""),46077.4943871759)</f>
        <v>46077.494387175902</v>
      </c>
      <c r="B22" s="18" t="str">
        <f ca="1">IFERROR(__xludf.DUMMYFUNCTION("""COMPUTED_VALUE"""),"المعملجي")</f>
        <v>المعملجي</v>
      </c>
      <c r="C22" s="9" t="str">
        <f ca="1">IFERROR(__xludf.DUMMYFUNCTION("""COMPUTED_VALUE"""),"قسم التربية والتعليم العالي")</f>
        <v>قسم التربية والتعليم العالي</v>
      </c>
      <c r="D22" s="10" t="str">
        <f ca="1">IFERROR(__xludf.DUMMYFUNCTION("""COMPUTED_VALUE"""),"I- ابتدائية الساقي للبنين (السادسة)")</f>
        <v>I- ابتدائية الساقي للبنين (السادسة)</v>
      </c>
      <c r="E22" s="10" t="str">
        <f ca="1">IFERROR(__xludf.DUMMYFUNCTION("""COMPUTED_VALUE"""),"الطابق الاول, الطابق الثاني, جناح الساحة ZONE B")</f>
        <v>الطابق الاول, الطابق الثاني, جناح الساحة ZONE B</v>
      </c>
      <c r="F22" s="10" t="str">
        <f ca="1">IFERROR(__xludf.DUMMYFUNCTION("""COMPUTED_VALUE"""),"صيانة حمام شطاف ")</f>
        <v xml:space="preserve">صيانة حمام شطاف </v>
      </c>
      <c r="G22" s="10"/>
      <c r="H22" s="10" t="str">
        <f ca="1">IFERROR(__xludf.DUMMYFUNCTION("""COMPUTED_VALUE"""),"ميكانيك")</f>
        <v>ميكانيك</v>
      </c>
      <c r="I22" s="12" t="str">
        <f ca="1">IFERROR(__xludf.DUMMYFUNCTION("""COMPUTED_VALUE"""),"منجز")</f>
        <v>منجز</v>
      </c>
      <c r="J22" s="19">
        <f ca="1">IFERROR(__xludf.DUMMYFUNCTION("""COMPUTED_VALUE"""),46077.518543993)</f>
        <v>46077.518543992999</v>
      </c>
    </row>
    <row r="23" spans="1:10" ht="75" customHeight="1">
      <c r="A23" s="7">
        <f ca="1">IFERROR(__xludf.DUMMYFUNCTION("""COMPUTED_VALUE"""),46076.3620845601)</f>
        <v>46076.362084560104</v>
      </c>
      <c r="B23" s="18" t="str">
        <f ca="1">IFERROR(__xludf.DUMMYFUNCTION("""COMPUTED_VALUE"""),"المعملجي")</f>
        <v>المعملجي</v>
      </c>
      <c r="C23" s="9" t="str">
        <f ca="1">IFERROR(__xludf.DUMMYFUNCTION("""COMPUTED_VALUE"""),"قسم التربية والتعليم العالي")</f>
        <v>قسم التربية والتعليم العالي</v>
      </c>
      <c r="D23" s="10" t="str">
        <f ca="1">IFERROR(__xludf.DUMMYFUNCTION("""COMPUTED_VALUE"""),"G- روضة الجود")</f>
        <v>G- روضة الجود</v>
      </c>
      <c r="E23" s="10" t="str">
        <f ca="1">IFERROR(__xludf.DUMMYFUNCTION("""COMPUTED_VALUE"""),"الطابق الارضي, استفسر من الاستعلامات عن المكان بالضبط ")</f>
        <v xml:space="preserve">الطابق الارضي, استفسر من الاستعلامات عن المكان بالضبط </v>
      </c>
      <c r="F23" s="10" t="str">
        <f ca="1">IFERROR(__xludf.DUMMYFUNCTION("""COMPUTED_VALUE"""),"صيانة براد ")</f>
        <v xml:space="preserve">صيانة براد </v>
      </c>
      <c r="G23" s="10"/>
      <c r="H23" s="10" t="str">
        <f ca="1">IFERROR(__xludf.DUMMYFUNCTION("""COMPUTED_VALUE"""),"ميكانيك")</f>
        <v>ميكانيك</v>
      </c>
      <c r="I23" s="12" t="str">
        <f ca="1">IFERROR(__xludf.DUMMYFUNCTION("""COMPUTED_VALUE"""),"منجز")</f>
        <v>منجز</v>
      </c>
      <c r="J23" s="19">
        <f ca="1">IFERROR(__xludf.DUMMYFUNCTION("""COMPUTED_VALUE"""),46077.3360221759)</f>
        <v>46077.336022175899</v>
      </c>
    </row>
    <row r="24" spans="1:10" ht="75" customHeight="1">
      <c r="A24" s="7">
        <f ca="1">IFERROR(__xludf.DUMMYFUNCTION("""COMPUTED_VALUE"""),46075.3329946875)</f>
        <v>46075.332994687502</v>
      </c>
      <c r="B24" s="18" t="str">
        <f ca="1">IFERROR(__xludf.DUMMYFUNCTION("""COMPUTED_VALUE"""),"المعملجي")</f>
        <v>المعملجي</v>
      </c>
      <c r="C24" s="9" t="str">
        <f ca="1">IFERROR(__xludf.DUMMYFUNCTION("""COMPUTED_VALUE"""),"قسم التربية والتعليم العالي")</f>
        <v>قسم التربية والتعليم العالي</v>
      </c>
      <c r="D24" s="10" t="str">
        <f ca="1">IFERROR(__xludf.DUMMYFUNCTION("""COMPUTED_VALUE"""),"H- ابتدائية القمر للبنات (الخامسة)")</f>
        <v>H- ابتدائية القمر للبنات (الخامسة)</v>
      </c>
      <c r="E24" s="10" t="str">
        <f ca="1">IFERROR(__xludf.DUMMYFUNCTION("""COMPUTED_VALUE"""),"/")</f>
        <v>/</v>
      </c>
      <c r="F24" s="10" t="str">
        <f ca="1">IFERROR(__xludf.DUMMYFUNCTION("""COMPUTED_VALUE"""),"احتياج صوندة براد ")</f>
        <v xml:space="preserve">احتياج صوندة براد </v>
      </c>
      <c r="G24" s="10"/>
      <c r="H24" s="10" t="str">
        <f ca="1">IFERROR(__xludf.DUMMYFUNCTION("""COMPUTED_VALUE"""),"ميكانيك")</f>
        <v>ميكانيك</v>
      </c>
      <c r="I24" s="12" t="str">
        <f ca="1">IFERROR(__xludf.DUMMYFUNCTION("""COMPUTED_VALUE"""),"منجز")</f>
        <v>منجز</v>
      </c>
      <c r="J24" s="19">
        <f ca="1">IFERROR(__xludf.DUMMYFUNCTION("""COMPUTED_VALUE"""),46075.3605251041)</f>
        <v>46075.360525104101</v>
      </c>
    </row>
    <row r="25" spans="1:10" ht="75" customHeight="1">
      <c r="A25" s="7">
        <f ca="1">IFERROR(__xludf.DUMMYFUNCTION("""COMPUTED_VALUE"""),46072.373020868)</f>
        <v>46072.373020867999</v>
      </c>
      <c r="B25" s="18" t="str">
        <f ca="1">IFERROR(__xludf.DUMMYFUNCTION("""COMPUTED_VALUE"""),"المعملجي")</f>
        <v>المعملجي</v>
      </c>
      <c r="C25" s="9" t="str">
        <f ca="1">IFERROR(__xludf.DUMMYFUNCTION("""COMPUTED_VALUE"""),"قسم التربية والتعليم العالي")</f>
        <v>قسم التربية والتعليم العالي</v>
      </c>
      <c r="D25" s="10" t="str">
        <f ca="1">IFERROR(__xludf.DUMMYFUNCTION("""COMPUTED_VALUE"""),"I- ابتدائية الساقي للبنين (السادسة)")</f>
        <v>I- ابتدائية الساقي للبنين (السادسة)</v>
      </c>
      <c r="E25" s="10" t="str">
        <f ca="1">IFERROR(__xludf.DUMMYFUNCTION("""COMPUTED_VALUE"""),"الطابق الارضي")</f>
        <v>الطابق الارضي</v>
      </c>
      <c r="F25" s="10" t="str">
        <f ca="1">IFERROR(__xludf.DUMMYFUNCTION("""COMPUTED_VALUE"""),"لايوجد ماء في المنظومة ")</f>
        <v xml:space="preserve">لايوجد ماء في المنظومة </v>
      </c>
      <c r="G25" s="10"/>
      <c r="H25" s="10" t="str">
        <f ca="1">IFERROR(__xludf.DUMMYFUNCTION("""COMPUTED_VALUE"""),"ميكانيك")</f>
        <v>ميكانيك</v>
      </c>
      <c r="I25" s="12" t="str">
        <f ca="1">IFERROR(__xludf.DUMMYFUNCTION("""COMPUTED_VALUE"""),"منجز")</f>
        <v>منجز</v>
      </c>
      <c r="J25" s="19">
        <f ca="1">IFERROR(__xludf.DUMMYFUNCTION("""COMPUTED_VALUE"""),46072.5127498958)</f>
        <v>46072.512749895803</v>
      </c>
    </row>
    <row r="26" spans="1:10" ht="75" customHeight="1">
      <c r="A26" s="7">
        <f ca="1">IFERROR(__xludf.DUMMYFUNCTION("""COMPUTED_VALUE"""),46072.3686706597)</f>
        <v>46072.3686706597</v>
      </c>
      <c r="B26" s="18" t="str">
        <f ca="1">IFERROR(__xludf.DUMMYFUNCTION("""COMPUTED_VALUE"""),"المعملجي")</f>
        <v>المعملجي</v>
      </c>
      <c r="C26" s="9" t="str">
        <f ca="1">IFERROR(__xludf.DUMMYFUNCTION("""COMPUTED_VALUE"""),"قسم التربية والتعليم العالي")</f>
        <v>قسم التربية والتعليم العالي</v>
      </c>
      <c r="D26" s="10" t="str">
        <f ca="1">IFERROR(__xludf.DUMMYFUNCTION("""COMPUTED_VALUE"""),"D- ثانوية العميد بناية المتوسطة  (الثانية)")</f>
        <v>D- ثانوية العميد بناية المتوسطة  (الثانية)</v>
      </c>
      <c r="E26" s="10" t="str">
        <f ca="1">IFERROR(__xludf.DUMMYFUNCTION("""COMPUTED_VALUE"""),"الطابق الارضي")</f>
        <v>الطابق الارضي</v>
      </c>
      <c r="F26" s="10" t="str">
        <f ca="1">IFERROR(__xludf.DUMMYFUNCTION("""COMPUTED_VALUE"""),"صيانة حنفية الحمام ")</f>
        <v xml:space="preserve">صيانة حنفية الحمام </v>
      </c>
      <c r="G26" s="10"/>
      <c r="H26" s="10" t="str">
        <f ca="1">IFERROR(__xludf.DUMMYFUNCTION("""COMPUTED_VALUE"""),"ميكانيك")</f>
        <v>ميكانيك</v>
      </c>
      <c r="I26" s="12" t="str">
        <f ca="1">IFERROR(__xludf.DUMMYFUNCTION("""COMPUTED_VALUE"""),"منجز")</f>
        <v>منجز</v>
      </c>
      <c r="J26" s="19">
        <f ca="1">IFERROR(__xludf.DUMMYFUNCTION("""COMPUTED_VALUE"""),46072.5129316319)</f>
        <v>46072.5129316319</v>
      </c>
    </row>
    <row r="27" spans="1:10" ht="75" customHeight="1">
      <c r="A27" s="7">
        <f ca="1">IFERROR(__xludf.DUMMYFUNCTION("""COMPUTED_VALUE"""),46071.4313393055)</f>
        <v>46071.431339305498</v>
      </c>
      <c r="B27" s="18" t="str">
        <f ca="1">IFERROR(__xludf.DUMMYFUNCTION("""COMPUTED_VALUE"""),"المعملجي")</f>
        <v>المعملجي</v>
      </c>
      <c r="C27" s="9" t="str">
        <f ca="1">IFERROR(__xludf.DUMMYFUNCTION("""COMPUTED_VALUE"""),"قسم التربية والتعليم العالي")</f>
        <v>قسم التربية والتعليم العالي</v>
      </c>
      <c r="D27" s="10" t="str">
        <f ca="1">IFERROR(__xludf.DUMMYFUNCTION("""COMPUTED_VALUE"""),"D- ثانوية العميد بناية المتوسطة  (الثانية)")</f>
        <v>D- ثانوية العميد بناية المتوسطة  (الثانية)</v>
      </c>
      <c r="E27" s="10" t="str">
        <f ca="1">IFERROR(__xludf.DUMMYFUNCTION("""COMPUTED_VALUE"""),"الطابق الارضي, استفسر  المكان من قبل الاستعلامات ")</f>
        <v xml:space="preserve">الطابق الارضي, استفسر  المكان من قبل الاستعلامات </v>
      </c>
      <c r="F27" s="10" t="str">
        <f ca="1">IFERROR(__xludf.DUMMYFUNCTION("""COMPUTED_VALUE"""),"صيانة حنفيات  ")</f>
        <v xml:space="preserve">صيانة حنفيات  </v>
      </c>
      <c r="G27" s="10"/>
      <c r="H27" s="10" t="str">
        <f ca="1">IFERROR(__xludf.DUMMYFUNCTION("""COMPUTED_VALUE"""),"ميكانيك")</f>
        <v>ميكانيك</v>
      </c>
      <c r="I27" s="12" t="str">
        <f ca="1">IFERROR(__xludf.DUMMYFUNCTION("""COMPUTED_VALUE"""),"منجز")</f>
        <v>منجز</v>
      </c>
      <c r="J27" s="19">
        <f ca="1">IFERROR(__xludf.DUMMYFUNCTION("""COMPUTED_VALUE"""),46071.4535840046)</f>
        <v>46071.453584004601</v>
      </c>
    </row>
    <row r="28" spans="1:10" ht="75" customHeight="1">
      <c r="A28" s="7">
        <f ca="1">IFERROR(__xludf.DUMMYFUNCTION("""COMPUTED_VALUE"""),46071.4146167245)</f>
        <v>46071.414616724498</v>
      </c>
      <c r="B28" s="18" t="str">
        <f ca="1">IFERROR(__xludf.DUMMYFUNCTION("""COMPUTED_VALUE"""),"المعملجي")</f>
        <v>المعملجي</v>
      </c>
      <c r="C28" s="9" t="str">
        <f ca="1">IFERROR(__xludf.DUMMYFUNCTION("""COMPUTED_VALUE"""),"قسم التربية والتعليم العالي")</f>
        <v>قسم التربية والتعليم العالي</v>
      </c>
      <c r="D28" s="10" t="str">
        <f ca="1">IFERROR(__xludf.DUMMYFUNCTION("""COMPUTED_VALUE"""),"D- ثانوية العميد بناية المتوسطة  (الثانية)")</f>
        <v>D- ثانوية العميد بناية المتوسطة  (الثانية)</v>
      </c>
      <c r="E28" s="10" t="str">
        <f ca="1">IFERROR(__xludf.DUMMYFUNCTION("""COMPUTED_VALUE"""),"الطابق الارضي")</f>
        <v>الطابق الارضي</v>
      </c>
      <c r="F28" s="10" t="str">
        <f ca="1">IFERROR(__xludf.DUMMYFUNCTION("""COMPUTED_VALUE"""),"انسداد مجاري في الصحيات ")</f>
        <v xml:space="preserve">انسداد مجاري في الصحيات </v>
      </c>
      <c r="G28" s="10"/>
      <c r="H28" s="10" t="str">
        <f ca="1">IFERROR(__xludf.DUMMYFUNCTION("""COMPUTED_VALUE"""),"ميكانيك")</f>
        <v>ميكانيك</v>
      </c>
      <c r="I28" s="12" t="str">
        <f ca="1">IFERROR(__xludf.DUMMYFUNCTION("""COMPUTED_VALUE"""),"منجز")</f>
        <v>منجز</v>
      </c>
      <c r="J28" s="19">
        <f ca="1">IFERROR(__xludf.DUMMYFUNCTION("""COMPUTED_VALUE"""),46072.3728081481)</f>
        <v>46072.372808148102</v>
      </c>
    </row>
    <row r="29" spans="1:10" ht="75" customHeight="1">
      <c r="A29" s="7">
        <f ca="1">IFERROR(__xludf.DUMMYFUNCTION("""COMPUTED_VALUE"""),46071.3278994097)</f>
        <v>46071.327899409698</v>
      </c>
      <c r="B29" s="18" t="str">
        <f ca="1">IFERROR(__xludf.DUMMYFUNCTION("""COMPUTED_VALUE"""),"المعملجي")</f>
        <v>المعملجي</v>
      </c>
      <c r="C29" s="9" t="str">
        <f ca="1">IFERROR(__xludf.DUMMYFUNCTION("""COMPUTED_VALUE"""),"قسم التربية والتعليم العالي")</f>
        <v>قسم التربية والتعليم العالي</v>
      </c>
      <c r="D29" s="10" t="str">
        <f ca="1">IFERROR(__xludf.DUMMYFUNCTION("""COMPUTED_VALUE"""),"H- ابتدائية القمر للبنات (الخامسة)")</f>
        <v>H- ابتدائية القمر للبنات (الخامسة)</v>
      </c>
      <c r="E29" s="10" t="str">
        <f ca="1">IFERROR(__xludf.DUMMYFUNCTION("""COMPUTED_VALUE"""),"الطابق الارضي")</f>
        <v>الطابق الارضي</v>
      </c>
      <c r="F29" s="10" t="str">
        <f ca="1">IFERROR(__xludf.DUMMYFUNCTION("""COMPUTED_VALUE"""),"لايوجد ماء شراب")</f>
        <v>لايوجد ماء شراب</v>
      </c>
      <c r="G29" s="10"/>
      <c r="H29" s="10" t="str">
        <f ca="1">IFERROR(__xludf.DUMMYFUNCTION("""COMPUTED_VALUE"""),"ميكانيك")</f>
        <v>ميكانيك</v>
      </c>
      <c r="I29" s="12" t="str">
        <f ca="1">IFERROR(__xludf.DUMMYFUNCTION("""COMPUTED_VALUE"""),"منجز")</f>
        <v>منجز</v>
      </c>
      <c r="J29" s="19">
        <f ca="1">IFERROR(__xludf.DUMMYFUNCTION("""COMPUTED_VALUE"""),46074.320656574)</f>
        <v>46074.320656573997</v>
      </c>
    </row>
    <row r="30" spans="1:10" ht="75" customHeight="1">
      <c r="A30" s="7">
        <f ca="1">IFERROR(__xludf.DUMMYFUNCTION("""COMPUTED_VALUE"""),46069.3229389814)</f>
        <v>46069.322938981401</v>
      </c>
      <c r="B30" s="18" t="str">
        <f ca="1">IFERROR(__xludf.DUMMYFUNCTION("""COMPUTED_VALUE"""),"المعملجي")</f>
        <v>المعملجي</v>
      </c>
      <c r="C30" s="9" t="str">
        <f ca="1">IFERROR(__xludf.DUMMYFUNCTION("""COMPUTED_VALUE"""),"قسم المشاريع الهندسية")</f>
        <v>قسم المشاريع الهندسية</v>
      </c>
      <c r="D30"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E30" s="10" t="str">
        <f ca="1">IFERROR(__xludf.DUMMYFUNCTION("""COMPUTED_VALUE"""),"السطح")</f>
        <v>السطح</v>
      </c>
      <c r="F30" s="10" t="str">
        <f ca="1">IFERROR(__xludf.DUMMYFUNCTION("""COMPUTED_VALUE"""),"غسل وادامة منظومة تصفية المياه في البناية ")</f>
        <v xml:space="preserve">غسل وادامة منظومة تصفية المياه في البناية </v>
      </c>
      <c r="G30" s="10"/>
      <c r="H30" s="10" t="str">
        <f ca="1">IFERROR(__xludf.DUMMYFUNCTION("""COMPUTED_VALUE"""),"ميكانيك")</f>
        <v>ميكانيك</v>
      </c>
      <c r="I30" s="12" t="str">
        <f ca="1">IFERROR(__xludf.DUMMYFUNCTION("""COMPUTED_VALUE"""),"منجز")</f>
        <v>منجز</v>
      </c>
      <c r="J30" s="19">
        <f ca="1">IFERROR(__xludf.DUMMYFUNCTION("""COMPUTED_VALUE"""),46069.3244064236)</f>
        <v>46069.324406423599</v>
      </c>
    </row>
    <row r="31" spans="1:10" ht="75" customHeight="1">
      <c r="A31" s="7">
        <f ca="1">IFERROR(__xludf.DUMMYFUNCTION("""COMPUTED_VALUE"""),46069.3223860648)</f>
        <v>46069.3223860648</v>
      </c>
      <c r="B31" s="18" t="str">
        <f ca="1">IFERROR(__xludf.DUMMYFUNCTION("""COMPUTED_VALUE"""),"المعملجي")</f>
        <v>المعملجي</v>
      </c>
      <c r="C31" s="9" t="str">
        <f ca="1">IFERROR(__xludf.DUMMYFUNCTION("""COMPUTED_VALUE"""),"قسم المشاريع الهندسية")</f>
        <v>قسم المشاريع الهندسية</v>
      </c>
      <c r="D31" s="10" t="str">
        <f ca="1">IFERROR(__xludf.DUMMYFUNCTION("""COMPUTED_VALUE"""),"I- ابتدائية الساقي للبنين (السادسة)")</f>
        <v>I- ابتدائية الساقي للبنين (السادسة)</v>
      </c>
      <c r="E31" s="10" t="str">
        <f ca="1">IFERROR(__xludf.DUMMYFUNCTION("""COMPUTED_VALUE"""),"السطح")</f>
        <v>السطح</v>
      </c>
      <c r="F31" s="10" t="str">
        <f ca="1">IFERROR(__xludf.DUMMYFUNCTION("""COMPUTED_VALUE"""),"غسل وادامة منظومة تصفية المياه في البناية ")</f>
        <v xml:space="preserve">غسل وادامة منظومة تصفية المياه في البناية </v>
      </c>
      <c r="G31" s="10"/>
      <c r="H31" s="10" t="str">
        <f ca="1">IFERROR(__xludf.DUMMYFUNCTION("""COMPUTED_VALUE"""),"ميكانيك")</f>
        <v>ميكانيك</v>
      </c>
      <c r="I31" s="12" t="str">
        <f ca="1">IFERROR(__xludf.DUMMYFUNCTION("""COMPUTED_VALUE"""),"منجز")</f>
        <v>منجز</v>
      </c>
      <c r="J31" s="19"/>
    </row>
    <row r="32" spans="1:10" ht="75" customHeight="1">
      <c r="A32" s="7">
        <f ca="1">IFERROR(__xludf.DUMMYFUNCTION("""COMPUTED_VALUE"""),46069.3220822453)</f>
        <v>46069.3220822453</v>
      </c>
      <c r="B32" s="18" t="str">
        <f ca="1">IFERROR(__xludf.DUMMYFUNCTION("""COMPUTED_VALUE"""),"المعملجي")</f>
        <v>المعملجي</v>
      </c>
      <c r="C32" s="9" t="str">
        <f ca="1">IFERROR(__xludf.DUMMYFUNCTION("""COMPUTED_VALUE"""),"قسم المشاريع الهندسية")</f>
        <v>قسم المشاريع الهندسية</v>
      </c>
      <c r="D32" s="10" t="str">
        <f ca="1">IFERROR(__xludf.DUMMYFUNCTION("""COMPUTED_VALUE"""),"H- ابتدائية القمر للبنات (الخامسة)")</f>
        <v>H- ابتدائية القمر للبنات (الخامسة)</v>
      </c>
      <c r="E32" s="10" t="str">
        <f ca="1">IFERROR(__xludf.DUMMYFUNCTION("""COMPUTED_VALUE"""),"السطح")</f>
        <v>السطح</v>
      </c>
      <c r="F32" s="10" t="str">
        <f ca="1">IFERROR(__xludf.DUMMYFUNCTION("""COMPUTED_VALUE"""),"غسل وادامة منظومة تصفية المياه في البناية ")</f>
        <v xml:space="preserve">غسل وادامة منظومة تصفية المياه في البناية </v>
      </c>
      <c r="G32" s="10"/>
      <c r="H32" s="10" t="str">
        <f ca="1">IFERROR(__xludf.DUMMYFUNCTION("""COMPUTED_VALUE"""),"ميكانيك")</f>
        <v>ميكانيك</v>
      </c>
      <c r="I32" s="12" t="str">
        <f ca="1">IFERROR(__xludf.DUMMYFUNCTION("""COMPUTED_VALUE"""),"منجز")</f>
        <v>منجز</v>
      </c>
      <c r="J32" s="19"/>
    </row>
    <row r="33" spans="1:10" ht="75" customHeight="1">
      <c r="A33" s="7">
        <f ca="1">IFERROR(__xludf.DUMMYFUNCTION("""COMPUTED_VALUE"""),46069.3212476851)</f>
        <v>46069.321247685097</v>
      </c>
      <c r="B33" s="18" t="str">
        <f ca="1">IFERROR(__xludf.DUMMYFUNCTION("""COMPUTED_VALUE"""),"المعملجي")</f>
        <v>المعملجي</v>
      </c>
      <c r="C33" s="9" t="str">
        <f ca="1">IFERROR(__xludf.DUMMYFUNCTION("""COMPUTED_VALUE"""),"قسم المشاريع الهندسية")</f>
        <v>قسم المشاريع الهندسية</v>
      </c>
      <c r="D33" s="10" t="str">
        <f ca="1">IFERROR(__xludf.DUMMYFUNCTION("""COMPUTED_VALUE"""),"F-  ابتدائية جود العميد للبنات (الرابعة)")</f>
        <v>F-  ابتدائية جود العميد للبنات (الرابعة)</v>
      </c>
      <c r="E33" s="10" t="str">
        <f ca="1">IFERROR(__xludf.DUMMYFUNCTION("""COMPUTED_VALUE"""),"السطح")</f>
        <v>السطح</v>
      </c>
      <c r="F33" s="10" t="str">
        <f ca="1">IFERROR(__xludf.DUMMYFUNCTION("""COMPUTED_VALUE"""),"غسل وادامة منظومة تصفية المياه في البناية ")</f>
        <v xml:space="preserve">غسل وادامة منظومة تصفية المياه في البناية </v>
      </c>
      <c r="G33" s="10"/>
      <c r="H33" s="10" t="str">
        <f ca="1">IFERROR(__xludf.DUMMYFUNCTION("""COMPUTED_VALUE"""),"ميكانيك")</f>
        <v>ميكانيك</v>
      </c>
      <c r="I33" s="12" t="str">
        <f ca="1">IFERROR(__xludf.DUMMYFUNCTION("""COMPUTED_VALUE"""),"منجز")</f>
        <v>منجز</v>
      </c>
      <c r="J33" s="19"/>
    </row>
    <row r="34" spans="1:10" ht="75" customHeight="1">
      <c r="A34" s="7">
        <f ca="1">IFERROR(__xludf.DUMMYFUNCTION("""COMPUTED_VALUE"""),46069.3209988078)</f>
        <v>46069.320998807802</v>
      </c>
      <c r="B34" s="18" t="str">
        <f ca="1">IFERROR(__xludf.DUMMYFUNCTION("""COMPUTED_VALUE"""),"المعملجي")</f>
        <v>المعملجي</v>
      </c>
      <c r="C34" s="9" t="str">
        <f ca="1">IFERROR(__xludf.DUMMYFUNCTION("""COMPUTED_VALUE"""),"قسم المشاريع الهندسية")</f>
        <v>قسم المشاريع الهندسية</v>
      </c>
      <c r="D34" s="10" t="str">
        <f ca="1">IFERROR(__xludf.DUMMYFUNCTION("""COMPUTED_VALUE"""),"E- ابتدائية العميد للبنات (الثالثة)")</f>
        <v>E- ابتدائية العميد للبنات (الثالثة)</v>
      </c>
      <c r="E34" s="10" t="str">
        <f ca="1">IFERROR(__xludf.DUMMYFUNCTION("""COMPUTED_VALUE"""),"السطح")</f>
        <v>السطح</v>
      </c>
      <c r="F34" s="10" t="str">
        <f ca="1">IFERROR(__xludf.DUMMYFUNCTION("""COMPUTED_VALUE"""),"غسل وادامة منظومة تصفية المياه في البناية ")</f>
        <v xml:space="preserve">غسل وادامة منظومة تصفية المياه في البناية </v>
      </c>
      <c r="G34" s="10"/>
      <c r="H34" s="10" t="str">
        <f ca="1">IFERROR(__xludf.DUMMYFUNCTION("""COMPUTED_VALUE"""),"ميكانيك")</f>
        <v>ميكانيك</v>
      </c>
      <c r="I34" s="12" t="str">
        <f ca="1">IFERROR(__xludf.DUMMYFUNCTION("""COMPUTED_VALUE"""),"منجز")</f>
        <v>منجز</v>
      </c>
      <c r="J34" s="19"/>
    </row>
    <row r="35" spans="1:10" ht="75" customHeight="1">
      <c r="A35" s="7">
        <f ca="1">IFERROR(__xludf.DUMMYFUNCTION("""COMPUTED_VALUE"""),46069.3207779398)</f>
        <v>46069.3207779398</v>
      </c>
      <c r="B35" s="18" t="str">
        <f ca="1">IFERROR(__xludf.DUMMYFUNCTION("""COMPUTED_VALUE"""),"المعملجي")</f>
        <v>المعملجي</v>
      </c>
      <c r="C35" s="9" t="str">
        <f ca="1">IFERROR(__xludf.DUMMYFUNCTION("""COMPUTED_VALUE"""),"قسم المشاريع الهندسية")</f>
        <v>قسم المشاريع الهندسية</v>
      </c>
      <c r="D35" s="10" t="str">
        <f ca="1">IFERROR(__xludf.DUMMYFUNCTION("""COMPUTED_VALUE"""),"D- ثانوية العميد بناية المتوسطة  (الثانية)")</f>
        <v>D- ثانوية العميد بناية المتوسطة  (الثانية)</v>
      </c>
      <c r="E35" s="10" t="str">
        <f ca="1">IFERROR(__xludf.DUMMYFUNCTION("""COMPUTED_VALUE"""),"السطح")</f>
        <v>السطح</v>
      </c>
      <c r="F35" s="10" t="str">
        <f ca="1">IFERROR(__xludf.DUMMYFUNCTION("""COMPUTED_VALUE"""),"غسل وادامة منظومة تصفية المياه في البناية ")</f>
        <v xml:space="preserve">غسل وادامة منظومة تصفية المياه في البناية </v>
      </c>
      <c r="G35" s="10"/>
      <c r="H35" s="10" t="str">
        <f ca="1">IFERROR(__xludf.DUMMYFUNCTION("""COMPUTED_VALUE"""),"ميكانيك")</f>
        <v>ميكانيك</v>
      </c>
      <c r="I35" s="12" t="str">
        <f ca="1">IFERROR(__xludf.DUMMYFUNCTION("""COMPUTED_VALUE"""),"منجز")</f>
        <v>منجز</v>
      </c>
      <c r="J35" s="19"/>
    </row>
    <row r="36" spans="1:10" ht="75" customHeight="1">
      <c r="A36" s="7">
        <f ca="1">IFERROR(__xludf.DUMMYFUNCTION("""COMPUTED_VALUE"""),46069.3204905208)</f>
        <v>46069.320490520797</v>
      </c>
      <c r="B36" s="18" t="str">
        <f ca="1">IFERROR(__xludf.DUMMYFUNCTION("""COMPUTED_VALUE"""),"المعملجي")</f>
        <v>المعملجي</v>
      </c>
      <c r="C36" s="9" t="str">
        <f ca="1">IFERROR(__xludf.DUMMYFUNCTION("""COMPUTED_VALUE"""),"قسم المشاريع الهندسية")</f>
        <v>قسم المشاريع الهندسية</v>
      </c>
      <c r="D36" s="10" t="str">
        <f ca="1">IFERROR(__xludf.DUMMYFUNCTION("""COMPUTED_VALUE"""),"C- ثانوية العميد بناية الاعدادية  (الاولى)")</f>
        <v>C- ثانوية العميد بناية الاعدادية  (الاولى)</v>
      </c>
      <c r="E36" s="10" t="str">
        <f ca="1">IFERROR(__xludf.DUMMYFUNCTION("""COMPUTED_VALUE"""),"السطح")</f>
        <v>السطح</v>
      </c>
      <c r="F36" s="10" t="str">
        <f ca="1">IFERROR(__xludf.DUMMYFUNCTION("""COMPUTED_VALUE"""),"غسل وادامة منظومة تصفية المياه في البناية ")</f>
        <v xml:space="preserve">غسل وادامة منظومة تصفية المياه في البناية </v>
      </c>
      <c r="G36" s="10"/>
      <c r="H36" s="10" t="str">
        <f ca="1">IFERROR(__xludf.DUMMYFUNCTION("""COMPUTED_VALUE"""),"ميكانيك")</f>
        <v>ميكانيك</v>
      </c>
      <c r="I36" s="12" t="str">
        <f ca="1">IFERROR(__xludf.DUMMYFUNCTION("""COMPUTED_VALUE"""),"منجز")</f>
        <v>منجز</v>
      </c>
      <c r="J36" s="19"/>
    </row>
    <row r="37" spans="1:10" ht="75" customHeight="1">
      <c r="A37" s="7">
        <f ca="1">IFERROR(__xludf.DUMMYFUNCTION("""COMPUTED_VALUE"""),46069.3200410995)</f>
        <v>46069.320041099498</v>
      </c>
      <c r="B37" s="18" t="str">
        <f ca="1">IFERROR(__xludf.DUMMYFUNCTION("""COMPUTED_VALUE"""),"المعملجي")</f>
        <v>المعملجي</v>
      </c>
      <c r="C37" s="9" t="str">
        <f ca="1">IFERROR(__xludf.DUMMYFUNCTION("""COMPUTED_VALUE"""),"قسم المشاريع الهندسية")</f>
        <v>قسم المشاريع الهندسية</v>
      </c>
      <c r="D37" s="10" t="str">
        <f ca="1">IFERROR(__xludf.DUMMYFUNCTION("""COMPUTED_VALUE"""),"B- روضة القمر")</f>
        <v>B- روضة القمر</v>
      </c>
      <c r="E37" s="10" t="str">
        <f ca="1">IFERROR(__xludf.DUMMYFUNCTION("""COMPUTED_VALUE"""),"السطح")</f>
        <v>السطح</v>
      </c>
      <c r="F37" s="10" t="str">
        <f ca="1">IFERROR(__xludf.DUMMYFUNCTION("""COMPUTED_VALUE"""),"غسل وادامة منظومة تصفية المياه في البناية ")</f>
        <v xml:space="preserve">غسل وادامة منظومة تصفية المياه في البناية </v>
      </c>
      <c r="G37" s="10"/>
      <c r="H37" s="10" t="str">
        <f ca="1">IFERROR(__xludf.DUMMYFUNCTION("""COMPUTED_VALUE"""),"ميكانيك")</f>
        <v>ميكانيك</v>
      </c>
      <c r="I37" s="12" t="str">
        <f ca="1">IFERROR(__xludf.DUMMYFUNCTION("""COMPUTED_VALUE"""),"منجز")</f>
        <v>منجز</v>
      </c>
      <c r="J37" s="19"/>
    </row>
    <row r="38" spans="1:10" ht="75" customHeight="1">
      <c r="A38" s="7">
        <f ca="1">IFERROR(__xludf.DUMMYFUNCTION("""COMPUTED_VALUE"""),46069.318677743)</f>
        <v>46069.318677743002</v>
      </c>
      <c r="B38" s="18" t="str">
        <f ca="1">IFERROR(__xludf.DUMMYFUNCTION("""COMPUTED_VALUE"""),"المعملجي")</f>
        <v>المعملجي</v>
      </c>
      <c r="C38" s="9" t="str">
        <f ca="1">IFERROR(__xludf.DUMMYFUNCTION("""COMPUTED_VALUE"""),"قسم التربية والتعليم العالي")</f>
        <v>قسم التربية والتعليم العالي</v>
      </c>
      <c r="D38" s="10" t="str">
        <f ca="1">IFERROR(__xludf.DUMMYFUNCTION("""COMPUTED_VALUE"""),"C- ثانوية العميد بناية الاعدادية  (الاولى)")</f>
        <v>C- ثانوية العميد بناية الاعدادية  (الاولى)</v>
      </c>
      <c r="E38" s="10" t="str">
        <f ca="1">IFERROR(__xludf.DUMMYFUNCTION("""COMPUTED_VALUE"""),"الطابق الارضي")</f>
        <v>الطابق الارضي</v>
      </c>
      <c r="F38" s="10" t="str">
        <f ca="1">IFERROR(__xludf.DUMMYFUNCTION("""COMPUTED_VALUE"""),"لايوجد ماء")</f>
        <v>لايوجد ماء</v>
      </c>
      <c r="G38" s="10"/>
      <c r="H38" s="10" t="str">
        <f ca="1">IFERROR(__xludf.DUMMYFUNCTION("""COMPUTED_VALUE"""),"ميكانيك")</f>
        <v>ميكانيك</v>
      </c>
      <c r="I38" s="12" t="str">
        <f ca="1">IFERROR(__xludf.DUMMYFUNCTION("""COMPUTED_VALUE"""),"منجز")</f>
        <v>منجز</v>
      </c>
      <c r="J38" s="19">
        <f ca="1">IFERROR(__xludf.DUMMYFUNCTION("""COMPUTED_VALUE"""),46069.3940947453)</f>
        <v>46069.394094745301</v>
      </c>
    </row>
    <row r="39" spans="1:10" ht="75" customHeight="1">
      <c r="A39" s="7">
        <f ca="1">IFERROR(__xludf.DUMMYFUNCTION("""COMPUTED_VALUE"""),46068.38332853)</f>
        <v>46068.383328529999</v>
      </c>
      <c r="B39" s="18" t="str">
        <f ca="1">IFERROR(__xludf.DUMMYFUNCTION("""COMPUTED_VALUE"""),"المعملجي")</f>
        <v>المعملجي</v>
      </c>
      <c r="C39" s="9" t="str">
        <f ca="1">IFERROR(__xludf.DUMMYFUNCTION("""COMPUTED_VALUE"""),"قسم التربية والتعليم العالي")</f>
        <v>قسم التربية والتعليم العالي</v>
      </c>
      <c r="D39" s="10" t="str">
        <f ca="1">IFERROR(__xludf.DUMMYFUNCTION("""COMPUTED_VALUE"""),"B- روضة القمر")</f>
        <v>B- روضة القمر</v>
      </c>
      <c r="E39" s="10" t="str">
        <f ca="1">IFERROR(__xludf.DUMMYFUNCTION("""COMPUTED_VALUE"""),"الطابق الارضي")</f>
        <v>الطابق الارضي</v>
      </c>
      <c r="F39" s="10" t="str">
        <f ca="1">IFERROR(__xludf.DUMMYFUNCTION("""COMPUTED_VALUE"""),"لا يوجد ماء في المنظومة ")</f>
        <v xml:space="preserve">لا يوجد ماء في المنظومة </v>
      </c>
      <c r="G39" s="10"/>
      <c r="H39" s="10" t="str">
        <f ca="1">IFERROR(__xludf.DUMMYFUNCTION("""COMPUTED_VALUE"""),"ميكانيك")</f>
        <v>ميكانيك</v>
      </c>
      <c r="I39" s="12" t="str">
        <f ca="1">IFERROR(__xludf.DUMMYFUNCTION("""COMPUTED_VALUE"""),"منجز")</f>
        <v>منجز</v>
      </c>
      <c r="J39" s="19">
        <f ca="1">IFERROR(__xludf.DUMMYFUNCTION("""COMPUTED_VALUE"""),46068.4507417939)</f>
        <v>46068.450741793902</v>
      </c>
    </row>
    <row r="40" spans="1:10" ht="75" customHeight="1">
      <c r="A40" s="7">
        <f ca="1">IFERROR(__xludf.DUMMYFUNCTION("""COMPUTED_VALUE"""),46067.402754537)</f>
        <v>46067.402754536997</v>
      </c>
      <c r="B40" s="18" t="str">
        <f ca="1">IFERROR(__xludf.DUMMYFUNCTION("""COMPUTED_VALUE"""),"المعملجي")</f>
        <v>المعملجي</v>
      </c>
      <c r="C40" s="9" t="str">
        <f ca="1">IFERROR(__xludf.DUMMYFUNCTION("""COMPUTED_VALUE"""),"قسم التربية والتعليم العالي")</f>
        <v>قسم التربية والتعليم العالي</v>
      </c>
      <c r="D40" s="10" t="str">
        <f ca="1">IFERROR(__xludf.DUMMYFUNCTION("""COMPUTED_VALUE"""),"رئاسة القسم ")</f>
        <v xml:space="preserve">رئاسة القسم </v>
      </c>
      <c r="E40" s="10" t="str">
        <f ca="1">IFERROR(__xludf.DUMMYFUNCTION("""COMPUTED_VALUE"""),"الطابق الارضي")</f>
        <v>الطابق الارضي</v>
      </c>
      <c r="F40" s="10" t="str">
        <f ca="1">IFERROR(__xludf.DUMMYFUNCTION("""COMPUTED_VALUE"""),"صيانة كاك يسرب ماء ")</f>
        <v xml:space="preserve">صيانة كاك يسرب ماء </v>
      </c>
      <c r="G40" s="10"/>
      <c r="H40" s="10" t="str">
        <f ca="1">IFERROR(__xludf.DUMMYFUNCTION("""COMPUTED_VALUE"""),"ميكانيك")</f>
        <v>ميكانيك</v>
      </c>
      <c r="I40" s="12" t="str">
        <f ca="1">IFERROR(__xludf.DUMMYFUNCTION("""COMPUTED_VALUE"""),"منجز")</f>
        <v>منجز</v>
      </c>
      <c r="J40" s="19">
        <f ca="1">IFERROR(__xludf.DUMMYFUNCTION("""COMPUTED_VALUE"""),46067.4216324884)</f>
        <v>46067.421632488396</v>
      </c>
    </row>
    <row r="41" spans="1:10" ht="75" customHeight="1">
      <c r="A41" s="7">
        <f ca="1">IFERROR(__xludf.DUMMYFUNCTION("""COMPUTED_VALUE"""),46067.3365336342)</f>
        <v>46067.336533634203</v>
      </c>
      <c r="B41" s="18" t="str">
        <f ca="1">IFERROR(__xludf.DUMMYFUNCTION("""COMPUTED_VALUE"""),"المعملجي")</f>
        <v>المعملجي</v>
      </c>
      <c r="C41" s="9" t="str">
        <f ca="1">IFERROR(__xludf.DUMMYFUNCTION("""COMPUTED_VALUE"""),"قسم التربية والتعليم العالي")</f>
        <v>قسم التربية والتعليم العالي</v>
      </c>
      <c r="D41" s="10" t="str">
        <f ca="1">IFERROR(__xludf.DUMMYFUNCTION("""COMPUTED_VALUE"""),"C- ثانوية العميد بناية الاعدادية  (الاولى)")</f>
        <v>C- ثانوية العميد بناية الاعدادية  (الاولى)</v>
      </c>
      <c r="E41" s="10" t="str">
        <f ca="1">IFERROR(__xludf.DUMMYFUNCTION("""COMPUTED_VALUE"""),"الطابق الثاني")</f>
        <v>الطابق الثاني</v>
      </c>
      <c r="F41" s="10" t="str">
        <f ca="1">IFERROR(__xludf.DUMMYFUNCTION("""COMPUTED_VALUE"""),"لايوجد ماء")</f>
        <v>لايوجد ماء</v>
      </c>
      <c r="G41" s="10"/>
      <c r="H41" s="10" t="str">
        <f ca="1">IFERROR(__xludf.DUMMYFUNCTION("""COMPUTED_VALUE"""),"ميكانيك")</f>
        <v>ميكانيك</v>
      </c>
      <c r="I41" s="12" t="str">
        <f ca="1">IFERROR(__xludf.DUMMYFUNCTION("""COMPUTED_VALUE"""),"منجز")</f>
        <v>منجز</v>
      </c>
      <c r="J41" s="19">
        <f ca="1">IFERROR(__xludf.DUMMYFUNCTION("""COMPUTED_VALUE"""),46067.4045761574)</f>
        <v>46067.404576157402</v>
      </c>
    </row>
    <row r="42" spans="1:10" ht="75" customHeight="1">
      <c r="A42" s="7">
        <f ca="1">IFERROR(__xludf.DUMMYFUNCTION("""COMPUTED_VALUE"""),46064.4620975231)</f>
        <v>46064.462097523101</v>
      </c>
      <c r="B42" s="18" t="str">
        <f ca="1">IFERROR(__xludf.DUMMYFUNCTION("""COMPUTED_VALUE"""),"المعملجي")</f>
        <v>المعملجي</v>
      </c>
      <c r="C42" s="9" t="str">
        <f ca="1">IFERROR(__xludf.DUMMYFUNCTION("""COMPUTED_VALUE"""),"قسم التربية والتعليم العالي")</f>
        <v>قسم التربية والتعليم العالي</v>
      </c>
      <c r="D42" s="10" t="str">
        <f ca="1">IFERROR(__xludf.DUMMYFUNCTION("""COMPUTED_VALUE"""),"A- المركز الثقافي")</f>
        <v>A- المركز الثقافي</v>
      </c>
      <c r="E42" s="10" t="str">
        <f ca="1">IFERROR(__xludf.DUMMYFUNCTION("""COMPUTED_VALUE"""),"الطابق الرابع, وحدة الكامرات ")</f>
        <v xml:space="preserve">الطابق الرابع, وحدة الكامرات </v>
      </c>
      <c r="F42" s="10" t="str">
        <f ca="1">IFERROR(__xludf.DUMMYFUNCTION("""COMPUTED_VALUE"""),"مغسلة تبديلها الى سنك في المطبخ ")</f>
        <v xml:space="preserve">مغسلة تبديلها الى سنك في المطبخ </v>
      </c>
      <c r="G42" s="10"/>
      <c r="H42" s="10" t="str">
        <f ca="1">IFERROR(__xludf.DUMMYFUNCTION("""COMPUTED_VALUE"""),"ميكانيك")</f>
        <v>ميكانيك</v>
      </c>
      <c r="I42" s="12" t="str">
        <f ca="1">IFERROR(__xludf.DUMMYFUNCTION("""COMPUTED_VALUE"""),"تابع للتربية")</f>
        <v>تابع للتربية</v>
      </c>
      <c r="J42" s="19">
        <f ca="1">IFERROR(__xludf.DUMMYFUNCTION("""COMPUTED_VALUE"""),46071.3244742361)</f>
        <v>46071.324474236098</v>
      </c>
    </row>
    <row r="43" spans="1:10" ht="75" customHeight="1">
      <c r="A43" s="7">
        <f ca="1">IFERROR(__xludf.DUMMYFUNCTION("""COMPUTED_VALUE"""),46064.4170844675)</f>
        <v>46064.417084467503</v>
      </c>
      <c r="B43" s="18" t="str">
        <f ca="1">IFERROR(__xludf.DUMMYFUNCTION("""COMPUTED_VALUE"""),"المعملجي")</f>
        <v>المعملجي</v>
      </c>
      <c r="C43" s="9" t="str">
        <f ca="1">IFERROR(__xludf.DUMMYFUNCTION("""COMPUTED_VALUE"""),"قسم التربية والتعليم العالي")</f>
        <v>قسم التربية والتعليم العالي</v>
      </c>
      <c r="D43" s="10" t="str">
        <f ca="1">IFERROR(__xludf.DUMMYFUNCTION("""COMPUTED_VALUE"""),"F-  ابتدائية جود العميد للبنات (الرابعة)")</f>
        <v>F-  ابتدائية جود العميد للبنات (الرابعة)</v>
      </c>
      <c r="E43" s="10" t="str">
        <f ca="1">IFERROR(__xludf.DUMMYFUNCTION("""COMPUTED_VALUE"""),"الطابق الاول, الزوم الخارجي ")</f>
        <v xml:space="preserve">الطابق الاول, الزوم الخارجي </v>
      </c>
      <c r="F43" s="10" t="str">
        <f ca="1">IFERROR(__xludf.DUMMYFUNCTION("""COMPUTED_VALUE"""),"صيانة غربي")</f>
        <v>صيانة غربي</v>
      </c>
      <c r="G43" s="10"/>
      <c r="H43" s="10" t="str">
        <f ca="1">IFERROR(__xludf.DUMMYFUNCTION("""COMPUTED_VALUE"""),"ميكانيك")</f>
        <v>ميكانيك</v>
      </c>
      <c r="I43" s="12" t="str">
        <f ca="1">IFERROR(__xludf.DUMMYFUNCTION("""COMPUTED_VALUE"""),"منجز")</f>
        <v>منجز</v>
      </c>
      <c r="J43" s="19">
        <f ca="1">IFERROR(__xludf.DUMMYFUNCTION("""COMPUTED_VALUE"""),46064.5736913657)</f>
        <v>46064.573691365702</v>
      </c>
    </row>
    <row r="44" spans="1:10" ht="75" customHeight="1">
      <c r="A44" s="7">
        <f ca="1">IFERROR(__xludf.DUMMYFUNCTION("""COMPUTED_VALUE"""),46064.4161822916)</f>
        <v>46064.416182291599</v>
      </c>
      <c r="B44" s="18" t="str">
        <f ca="1">IFERROR(__xludf.DUMMYFUNCTION("""COMPUTED_VALUE"""),"المعملجي")</f>
        <v>المعملجي</v>
      </c>
      <c r="C44" s="9" t="str">
        <f ca="1">IFERROR(__xludf.DUMMYFUNCTION("""COMPUTED_VALUE"""),"قسم التربية والتعليم العالي")</f>
        <v>قسم التربية والتعليم العالي</v>
      </c>
      <c r="D44" s="10" t="str">
        <f ca="1">IFERROR(__xludf.DUMMYFUNCTION("""COMPUTED_VALUE"""),"F-  ابتدائية جود العميد للبنات (الرابعة)")</f>
        <v>F-  ابتدائية جود العميد للبنات (الرابعة)</v>
      </c>
      <c r="E44" s="10" t="str">
        <f ca="1">IFERROR(__xludf.DUMMYFUNCTION("""COMPUTED_VALUE"""),"الطابق الاول")</f>
        <v>الطابق الاول</v>
      </c>
      <c r="F44" s="10" t="str">
        <f ca="1">IFERROR(__xludf.DUMMYFUNCTION("""COMPUTED_VALUE"""),"صيانة خلاط مغسلة في صحيات الزوم الداخلي ")</f>
        <v xml:space="preserve">صيانة خلاط مغسلة في صحيات الزوم الداخلي </v>
      </c>
      <c r="G44" s="10"/>
      <c r="H44" s="10" t="str">
        <f ca="1">IFERROR(__xludf.DUMMYFUNCTION("""COMPUTED_VALUE"""),"ميكانيك")</f>
        <v>ميكانيك</v>
      </c>
      <c r="I44" s="12" t="str">
        <f ca="1">IFERROR(__xludf.DUMMYFUNCTION("""COMPUTED_VALUE"""),"منجز")</f>
        <v>منجز</v>
      </c>
      <c r="J44" s="19">
        <f ca="1">IFERROR(__xludf.DUMMYFUNCTION("""COMPUTED_VALUE"""),46064.7786201967)</f>
        <v>46064.778620196703</v>
      </c>
    </row>
    <row r="45" spans="1:10" ht="75" customHeight="1">
      <c r="A45" s="7">
        <f ca="1">IFERROR(__xludf.DUMMYFUNCTION("""COMPUTED_VALUE"""),46064.4155267245)</f>
        <v>46064.415526724501</v>
      </c>
      <c r="B45" s="18" t="str">
        <f ca="1">IFERROR(__xludf.DUMMYFUNCTION("""COMPUTED_VALUE"""),"المعملجي")</f>
        <v>المعملجي</v>
      </c>
      <c r="C45" s="9" t="str">
        <f ca="1">IFERROR(__xludf.DUMMYFUNCTION("""COMPUTED_VALUE"""),"قسم التربية والتعليم العالي")</f>
        <v>قسم التربية والتعليم العالي</v>
      </c>
      <c r="D45" s="10" t="str">
        <f ca="1">IFERROR(__xludf.DUMMYFUNCTION("""COMPUTED_VALUE"""),"F-  ابتدائية جود العميد للبنات (الرابعة)")</f>
        <v>F-  ابتدائية جود العميد للبنات (الرابعة)</v>
      </c>
      <c r="E45" s="10" t="str">
        <f ca="1">IFERROR(__xludf.DUMMYFUNCTION("""COMPUTED_VALUE"""),"جناح الادائرة ZONE A")</f>
        <v>جناح الادائرة ZONE A</v>
      </c>
      <c r="F45" s="10" t="str">
        <f ca="1">IFERROR(__xludf.DUMMYFUNCTION("""COMPUTED_VALUE"""),"صيانة شفاط الصحيات ")</f>
        <v xml:space="preserve">صيانة شفاط الصحيات </v>
      </c>
      <c r="G45" s="10"/>
      <c r="H45" s="10" t="str">
        <f ca="1">IFERROR(__xludf.DUMMYFUNCTION("""COMPUTED_VALUE"""),"ميكانيك")</f>
        <v>ميكانيك</v>
      </c>
      <c r="I45" s="12" t="str">
        <f ca="1">IFERROR(__xludf.DUMMYFUNCTION("""COMPUTED_VALUE"""),"منجز")</f>
        <v>منجز</v>
      </c>
      <c r="J45" s="19">
        <f ca="1">IFERROR(__xludf.DUMMYFUNCTION("""COMPUTED_VALUE"""),46064.5735456134)</f>
        <v>46064.573545613399</v>
      </c>
    </row>
    <row r="46" spans="1:10" ht="75" customHeight="1">
      <c r="A46" s="7">
        <f ca="1">IFERROR(__xludf.DUMMYFUNCTION("""COMPUTED_VALUE"""),46064.4149859259)</f>
        <v>46064.414985925898</v>
      </c>
      <c r="B46" s="18" t="str">
        <f ca="1">IFERROR(__xludf.DUMMYFUNCTION("""COMPUTED_VALUE"""),"المعملجي")</f>
        <v>المعملجي</v>
      </c>
      <c r="C46" s="9" t="str">
        <f ca="1">IFERROR(__xludf.DUMMYFUNCTION("""COMPUTED_VALUE"""),"قسم التربية والتعليم العالي")</f>
        <v>قسم التربية والتعليم العالي</v>
      </c>
      <c r="D46" s="10" t="str">
        <f ca="1">IFERROR(__xludf.DUMMYFUNCTION("""COMPUTED_VALUE"""),"F-  ابتدائية جود العميد للبنات (الرابعة)")</f>
        <v>F-  ابتدائية جود العميد للبنات (الرابعة)</v>
      </c>
      <c r="E46" s="10" t="str">
        <f ca="1">IFERROR(__xludf.DUMMYFUNCTION("""COMPUTED_VALUE"""),"الطابق الارضي")</f>
        <v>الطابق الارضي</v>
      </c>
      <c r="F46" s="10" t="str">
        <f ca="1">IFERROR(__xludf.DUMMYFUNCTION("""COMPUTED_VALUE"""),"صيانة سيفونة في الصحيات ")</f>
        <v xml:space="preserve">صيانة سيفونة في الصحيات </v>
      </c>
      <c r="G46" s="10"/>
      <c r="H46" s="10" t="str">
        <f ca="1">IFERROR(__xludf.DUMMYFUNCTION("""COMPUTED_VALUE"""),"ميكانيك")</f>
        <v>ميكانيك</v>
      </c>
      <c r="I46" s="12" t="str">
        <f ca="1">IFERROR(__xludf.DUMMYFUNCTION("""COMPUTED_VALUE"""),"منجز")</f>
        <v>منجز</v>
      </c>
      <c r="J46" s="19">
        <f ca="1">IFERROR(__xludf.DUMMYFUNCTION("""COMPUTED_VALUE"""),46064.5734839004)</f>
        <v>46064.5734839004</v>
      </c>
    </row>
    <row r="47" spans="1:10" ht="75" customHeight="1">
      <c r="A47" s="7">
        <f ca="1">IFERROR(__xludf.DUMMYFUNCTION("""COMPUTED_VALUE"""),46064.4145195717)</f>
        <v>46064.414519571699</v>
      </c>
      <c r="B47" s="18" t="str">
        <f ca="1">IFERROR(__xludf.DUMMYFUNCTION("""COMPUTED_VALUE"""),"المعملجي")</f>
        <v>المعملجي</v>
      </c>
      <c r="C47" s="9" t="str">
        <f ca="1">IFERROR(__xludf.DUMMYFUNCTION("""COMPUTED_VALUE"""),"قسم التربية والتعليم العالي")</f>
        <v>قسم التربية والتعليم العالي</v>
      </c>
      <c r="D47" s="10" t="str">
        <f ca="1">IFERROR(__xludf.DUMMYFUNCTION("""COMPUTED_VALUE"""),"F-  ابتدائية جود العميد للبنات (الرابعة)")</f>
        <v>F-  ابتدائية جود العميد للبنات (الرابعة)</v>
      </c>
      <c r="E47" s="10" t="str">
        <f ca="1">IFERROR(__xludf.DUMMYFUNCTION("""COMPUTED_VALUE"""),"الطابق الارضي")</f>
        <v>الطابق الارضي</v>
      </c>
      <c r="F47" s="10" t="str">
        <f ca="1">IFERROR(__xludf.DUMMYFUNCTION("""COMPUTED_VALUE"""),"لايوجد ماء في المنظومة ")</f>
        <v xml:space="preserve">لايوجد ماء في المنظومة </v>
      </c>
      <c r="G47" s="10"/>
      <c r="H47" s="10" t="str">
        <f ca="1">IFERROR(__xludf.DUMMYFUNCTION("""COMPUTED_VALUE"""),"ميكانيك")</f>
        <v>ميكانيك</v>
      </c>
      <c r="I47" s="12" t="str">
        <f ca="1">IFERROR(__xludf.DUMMYFUNCTION("""COMPUTED_VALUE"""),"منجز")</f>
        <v>منجز</v>
      </c>
      <c r="J47" s="19">
        <f ca="1">IFERROR(__xludf.DUMMYFUNCTION("""COMPUTED_VALUE"""),46065.3283561111)</f>
        <v>46065.328356111102</v>
      </c>
    </row>
    <row r="48" spans="1:10" ht="75" customHeight="1">
      <c r="A48" s="7">
        <f ca="1">IFERROR(__xludf.DUMMYFUNCTION("""COMPUTED_VALUE"""),46064.3543976157)</f>
        <v>46064.354397615702</v>
      </c>
      <c r="B48" s="18" t="str">
        <f ca="1">IFERROR(__xludf.DUMMYFUNCTION("""COMPUTED_VALUE"""),"المعملجي")</f>
        <v>المعملجي</v>
      </c>
      <c r="C48" s="9" t="str">
        <f ca="1">IFERROR(__xludf.DUMMYFUNCTION("""COMPUTED_VALUE"""),"قسم التربية والتعليم العالي")</f>
        <v>قسم التربية والتعليم العالي</v>
      </c>
      <c r="D48" s="10" t="str">
        <f ca="1">IFERROR(__xludf.DUMMYFUNCTION("""COMPUTED_VALUE"""),"B- روضة القمر")</f>
        <v>B- روضة القمر</v>
      </c>
      <c r="E48" s="10" t="str">
        <f ca="1">IFERROR(__xludf.DUMMYFUNCTION("""COMPUTED_VALUE"""),"الطابق الارضي")</f>
        <v>الطابق الارضي</v>
      </c>
      <c r="F48" s="10" t="str">
        <f ca="1">IFERROR(__xludf.DUMMYFUNCTION("""COMPUTED_VALUE"""),"لايوجد ماء في منظومة الشرب 
")</f>
        <v xml:space="preserve">لايوجد ماء في منظومة الشرب 
</v>
      </c>
      <c r="G48" s="10"/>
      <c r="H48" s="10" t="str">
        <f ca="1">IFERROR(__xludf.DUMMYFUNCTION("""COMPUTED_VALUE"""),"ميكانيك")</f>
        <v>ميكانيك</v>
      </c>
      <c r="I48" s="12" t="str">
        <f ca="1">IFERROR(__xludf.DUMMYFUNCTION("""COMPUTED_VALUE"""),"منجز")</f>
        <v>منجز</v>
      </c>
      <c r="J48" s="19">
        <f ca="1">IFERROR(__xludf.DUMMYFUNCTION("""COMPUTED_VALUE"""),46064.5270461689)</f>
        <v>46064.5270461689</v>
      </c>
    </row>
    <row r="49" spans="1:10" ht="75" customHeight="1">
      <c r="A49" s="7">
        <f ca="1">IFERROR(__xludf.DUMMYFUNCTION("""COMPUTED_VALUE"""),46062.5049853588)</f>
        <v>46062.504985358799</v>
      </c>
      <c r="B49" s="18" t="str">
        <f ca="1">IFERROR(__xludf.DUMMYFUNCTION("""COMPUTED_VALUE"""),"المعملجي")</f>
        <v>المعملجي</v>
      </c>
      <c r="C49" s="9" t="str">
        <f ca="1">IFERROR(__xludf.DUMMYFUNCTION("""COMPUTED_VALUE"""),"قسم التربية والتعليم العالي")</f>
        <v>قسم التربية والتعليم العالي</v>
      </c>
      <c r="D49" s="10" t="str">
        <f ca="1">IFERROR(__xludf.DUMMYFUNCTION("""COMPUTED_VALUE"""),"H- ابتدائية القمر للبنات (الخامسة)")</f>
        <v>H- ابتدائية القمر للبنات (الخامسة)</v>
      </c>
      <c r="E49" s="10" t="str">
        <f ca="1">IFERROR(__xludf.DUMMYFUNCTION("""COMPUTED_VALUE"""),"جناح الساحة ZONE B")</f>
        <v>جناح الساحة ZONE B</v>
      </c>
      <c r="F49" s="10" t="str">
        <f ca="1">IFERROR(__xludf.DUMMYFUNCTION("""COMPUTED_VALUE"""),"صيانة مجاري في الساحة الدائرية يوجد انسداد ")</f>
        <v xml:space="preserve">صيانة مجاري في الساحة الدائرية يوجد انسداد </v>
      </c>
      <c r="G49" s="10"/>
      <c r="H49" s="10" t="str">
        <f ca="1">IFERROR(__xludf.DUMMYFUNCTION("""COMPUTED_VALUE"""),"ميكانيك")</f>
        <v>ميكانيك</v>
      </c>
      <c r="I49" s="12" t="str">
        <f ca="1">IFERROR(__xludf.DUMMYFUNCTION("""COMPUTED_VALUE"""),"منجز")</f>
        <v>منجز</v>
      </c>
      <c r="J49" s="19">
        <f ca="1">IFERROR(__xludf.DUMMYFUNCTION("""COMPUTED_VALUE"""),46064.391372118)</f>
        <v>46064.391372118</v>
      </c>
    </row>
    <row r="50" spans="1:10" ht="75" customHeight="1">
      <c r="A50" s="7">
        <f ca="1">IFERROR(__xludf.DUMMYFUNCTION("""COMPUTED_VALUE"""),46062.5043168865)</f>
        <v>46062.504316886501</v>
      </c>
      <c r="B50" s="18" t="str">
        <f ca="1">IFERROR(__xludf.DUMMYFUNCTION("""COMPUTED_VALUE"""),"المعملجي")</f>
        <v>المعملجي</v>
      </c>
      <c r="C50" s="9" t="str">
        <f ca="1">IFERROR(__xludf.DUMMYFUNCTION("""COMPUTED_VALUE"""),"قسم التربية والتعليم العالي")</f>
        <v>قسم التربية والتعليم العالي</v>
      </c>
      <c r="D50" s="10" t="str">
        <f ca="1">IFERROR(__xludf.DUMMYFUNCTION("""COMPUTED_VALUE"""),"D- ثانوية العميد بناية المتوسطة  (الثانية)")</f>
        <v>D- ثانوية العميد بناية المتوسطة  (الثانية)</v>
      </c>
      <c r="E50" s="10" t="str">
        <f ca="1">IFERROR(__xludf.DUMMYFUNCTION("""COMPUTED_VALUE"""),"الطابق الاول")</f>
        <v>الطابق الاول</v>
      </c>
      <c r="F50" s="10" t="str">
        <f ca="1">IFERROR(__xludf.DUMMYFUNCTION("""COMPUTED_VALUE"""),"يوجد تسريب ماء في السقف الثانوي في صحيات الادارة ")</f>
        <v xml:space="preserve">يوجد تسريب ماء في السقف الثانوي في صحيات الادارة </v>
      </c>
      <c r="G50" s="10"/>
      <c r="H50" s="10" t="str">
        <f ca="1">IFERROR(__xludf.DUMMYFUNCTION("""COMPUTED_VALUE"""),"ميكانيك")</f>
        <v>ميكانيك</v>
      </c>
      <c r="I50" s="12" t="str">
        <f ca="1">IFERROR(__xludf.DUMMYFUNCTION("""COMPUTED_VALUE"""),"منجز")</f>
        <v>منجز</v>
      </c>
      <c r="J50" s="19">
        <f ca="1">IFERROR(__xludf.DUMMYFUNCTION("""COMPUTED_VALUE"""),46067.4047812962)</f>
        <v>46067.404781296202</v>
      </c>
    </row>
    <row r="51" spans="1:10" ht="75" customHeight="1">
      <c r="A51" s="7">
        <f ca="1">IFERROR(__xludf.DUMMYFUNCTION("""COMPUTED_VALUE"""),46058.6004381018)</f>
        <v>46058.600438101799</v>
      </c>
      <c r="B51" s="18" t="str">
        <f ca="1">IFERROR(__xludf.DUMMYFUNCTION("""COMPUTED_VALUE"""),"المعملجي")</f>
        <v>المعملجي</v>
      </c>
      <c r="C51" s="9" t="str">
        <f ca="1">IFERROR(__xludf.DUMMYFUNCTION("""COMPUTED_VALUE"""),"قسم المشاريع الهندسية")</f>
        <v>قسم المشاريع الهندسية</v>
      </c>
      <c r="D51" s="10" t="str">
        <f ca="1">IFERROR(__xludf.DUMMYFUNCTION("""COMPUTED_VALUE"""),"C- ثانوية العميد بناية الاعدادية  (الاولى), D- ثانوية العميد بناية المتوسطة  (الثانية)")</f>
        <v>C- ثانوية العميد بناية الاعدادية  (الاولى), D- ثانوية العميد بناية المتوسطة  (الثانية)</v>
      </c>
      <c r="E51" s="10" t="str">
        <f ca="1">IFERROR(__xludf.DUMMYFUNCTION("""COMPUTED_VALUE"""),"السطح")</f>
        <v>السطح</v>
      </c>
      <c r="F51" s="10" t="str">
        <f ca="1">IFERROR(__xludf.DUMMYFUNCTION("""COMPUTED_VALUE"""),"غسل وتنظيف المضخات الثانوية")</f>
        <v>غسل وتنظيف المضخات الثانوية</v>
      </c>
      <c r="G51" s="10"/>
      <c r="H51" s="10" t="str">
        <f ca="1">IFERROR(__xludf.DUMMYFUNCTION("""COMPUTED_VALUE"""),"ميكانيك")</f>
        <v>ميكانيك</v>
      </c>
      <c r="I51" s="12" t="str">
        <f ca="1">IFERROR(__xludf.DUMMYFUNCTION("""COMPUTED_VALUE"""),"منجز")</f>
        <v>منجز</v>
      </c>
      <c r="J51" s="19"/>
    </row>
    <row r="52" spans="1:10" ht="75" customHeight="1">
      <c r="A52" s="7">
        <f ca="1">IFERROR(__xludf.DUMMYFUNCTION("""COMPUTED_VALUE"""),46058.5992636805)</f>
        <v>46058.599263680502</v>
      </c>
      <c r="B52" s="18" t="str">
        <f ca="1">IFERROR(__xludf.DUMMYFUNCTION("""COMPUTED_VALUE"""),"المعملجي")</f>
        <v>المعملجي</v>
      </c>
      <c r="C52" s="9" t="str">
        <f ca="1">IFERROR(__xludf.DUMMYFUNCTION("""COMPUTED_VALUE"""),"قسم المشاريع الهندسية")</f>
        <v>قسم المشاريع الهندسية</v>
      </c>
      <c r="D52" s="10" t="str">
        <f ca="1">IFERROR(__xludf.DUMMYFUNCTION("""COMPUTED_VALUE"""),"D- ثانوية العميد بناية المتوسطة  (الثانية)")</f>
        <v>D- ثانوية العميد بناية المتوسطة  (الثانية)</v>
      </c>
      <c r="E52" s="10" t="str">
        <f ca="1">IFERROR(__xludf.DUMMYFUNCTION("""COMPUTED_VALUE"""),"السطح")</f>
        <v>السطح</v>
      </c>
      <c r="F52" s="10" t="str">
        <f ca="1">IFERROR(__xludf.DUMMYFUNCTION("""COMPUTED_VALUE"""),"تشغيل محطة الماء RO")</f>
        <v>تشغيل محطة الماء RO</v>
      </c>
      <c r="G52" s="10"/>
      <c r="H52" s="10" t="str">
        <f ca="1">IFERROR(__xludf.DUMMYFUNCTION("""COMPUTED_VALUE"""),"ميكانيك")</f>
        <v>ميكانيك</v>
      </c>
      <c r="I52" s="12" t="str">
        <f ca="1">IFERROR(__xludf.DUMMYFUNCTION("""COMPUTED_VALUE"""),"منجز")</f>
        <v>منجز</v>
      </c>
      <c r="J52" s="19"/>
    </row>
    <row r="53" spans="1:10" ht="75" customHeight="1">
      <c r="A53" s="7">
        <f ca="1">IFERROR(__xludf.DUMMYFUNCTION("""COMPUTED_VALUE"""),46058.5985126273)</f>
        <v>46058.598512627301</v>
      </c>
      <c r="B53" s="18" t="str">
        <f ca="1">IFERROR(__xludf.DUMMYFUNCTION("""COMPUTED_VALUE"""),"المعملجي")</f>
        <v>المعملجي</v>
      </c>
      <c r="C53" s="9" t="str">
        <f ca="1">IFERROR(__xludf.DUMMYFUNCTION("""COMPUTED_VALUE"""),"قسم المشاريع الهندسية")</f>
        <v>قسم المشاريع الهندسية</v>
      </c>
      <c r="D53" s="10" t="str">
        <f ca="1">IFERROR(__xludf.DUMMYFUNCTION("""COMPUTED_VALUE"""),"H- ابتدائية القمر للبنات (الخامسة)")</f>
        <v>H- ابتدائية القمر للبنات (الخامسة)</v>
      </c>
      <c r="E53" s="10" t="str">
        <f ca="1">IFERROR(__xludf.DUMMYFUNCTION("""COMPUTED_VALUE"""),"السطح")</f>
        <v>السطح</v>
      </c>
      <c r="F53" s="10" t="str">
        <f ca="1">IFERROR(__xludf.DUMMYFUNCTION("""COMPUTED_VALUE"""),"تبديل check valve مضخة إطفاء الديزل")</f>
        <v>تبديل check valve مضخة إطفاء الديزل</v>
      </c>
      <c r="G53" s="10"/>
      <c r="H53" s="10" t="str">
        <f ca="1">IFERROR(__xludf.DUMMYFUNCTION("""COMPUTED_VALUE"""),"ميكانيك")</f>
        <v>ميكانيك</v>
      </c>
      <c r="I53" s="12" t="str">
        <f ca="1">IFERROR(__xludf.DUMMYFUNCTION("""COMPUTED_VALUE"""),"منجز")</f>
        <v>منجز</v>
      </c>
      <c r="J53" s="19"/>
    </row>
    <row r="54" spans="1:10" ht="75" customHeight="1">
      <c r="A54" s="7">
        <f ca="1">IFERROR(__xludf.DUMMYFUNCTION("""COMPUTED_VALUE"""),46058.5963486921)</f>
        <v>46058.596348692103</v>
      </c>
      <c r="B54" s="18" t="str">
        <f ca="1">IFERROR(__xludf.DUMMYFUNCTION("""COMPUTED_VALUE"""),"المعملجي")</f>
        <v>المعملجي</v>
      </c>
      <c r="C54" s="9" t="str">
        <f ca="1">IFERROR(__xludf.DUMMYFUNCTION("""COMPUTED_VALUE"""),"قسم المشاريع الهندسية")</f>
        <v>قسم المشاريع الهندسية</v>
      </c>
      <c r="D54" s="10" t="str">
        <f ca="1">IFERROR(__xludf.DUMMYFUNCTION("""COMPUTED_VALUE"""),"G- روضة الجود")</f>
        <v>G- روضة الجود</v>
      </c>
      <c r="E54" s="10" t="str">
        <f ca="1">IFERROR(__xludf.DUMMYFUNCTION("""COMPUTED_VALUE"""),"السطح")</f>
        <v>السطح</v>
      </c>
      <c r="F54" s="10" t="str">
        <f ca="1">IFERROR(__xludf.DUMMYFUNCTION("""COMPUTED_VALUE"""),"تشغل محطة الماء RO")</f>
        <v>تشغل محطة الماء RO</v>
      </c>
      <c r="G54" s="10"/>
      <c r="H54" s="10" t="str">
        <f ca="1">IFERROR(__xludf.DUMMYFUNCTION("""COMPUTED_VALUE"""),"ميكانيك")</f>
        <v>ميكانيك</v>
      </c>
      <c r="I54" s="12" t="str">
        <f ca="1">IFERROR(__xludf.DUMMYFUNCTION("""COMPUTED_VALUE"""),"منجز")</f>
        <v>منجز</v>
      </c>
      <c r="J54" s="19"/>
    </row>
    <row r="55" spans="1:10" ht="75" customHeight="1">
      <c r="A55" s="7">
        <f ca="1">IFERROR(__xludf.DUMMYFUNCTION("""COMPUTED_VALUE"""),46058.5955143518)</f>
        <v>46058.5955143518</v>
      </c>
      <c r="B55" s="18" t="str">
        <f ca="1">IFERROR(__xludf.DUMMYFUNCTION("""COMPUTED_VALUE"""),"المعملجي")</f>
        <v>المعملجي</v>
      </c>
      <c r="C55" s="9" t="str">
        <f ca="1">IFERROR(__xludf.DUMMYFUNCTION("""COMPUTED_VALUE"""),"قسم المشاريع الهندسية")</f>
        <v>قسم المشاريع الهندسية</v>
      </c>
      <c r="D55" s="10" t="str">
        <f ca="1">IFERROR(__xludf.DUMMYFUNCTION("""COMPUTED_VALUE"""),"F-  ابتدائية جود العميد للبنات (الرابعة)")</f>
        <v>F-  ابتدائية جود العميد للبنات (الرابعة)</v>
      </c>
      <c r="E55" s="10" t="str">
        <f ca="1">IFERROR(__xludf.DUMMYFUNCTION("""COMPUTED_VALUE"""),"السطح")</f>
        <v>السطح</v>
      </c>
      <c r="F55" s="10" t="str">
        <f ca="1">IFERROR(__xludf.DUMMYFUNCTION("""COMPUTED_VALUE"""),"تشغيل محطة الماء RO")</f>
        <v>تشغيل محطة الماء RO</v>
      </c>
      <c r="G55" s="10"/>
      <c r="H55" s="10" t="str">
        <f ca="1">IFERROR(__xludf.DUMMYFUNCTION("""COMPUTED_VALUE"""),"ميكانيك")</f>
        <v>ميكانيك</v>
      </c>
      <c r="I55" s="12" t="str">
        <f ca="1">IFERROR(__xludf.DUMMYFUNCTION("""COMPUTED_VALUE"""),"منجز")</f>
        <v>منجز</v>
      </c>
      <c r="J55" s="19"/>
    </row>
    <row r="56" spans="1:10" ht="75" customHeight="1">
      <c r="A56" s="7">
        <f ca="1">IFERROR(__xludf.DUMMYFUNCTION("""COMPUTED_VALUE"""),46058.5947415046)</f>
        <v>46058.594741504603</v>
      </c>
      <c r="B56" s="18" t="str">
        <f ca="1">IFERROR(__xludf.DUMMYFUNCTION("""COMPUTED_VALUE"""),"المعملجي")</f>
        <v>المعملجي</v>
      </c>
      <c r="C56" s="9" t="str">
        <f ca="1">IFERROR(__xludf.DUMMYFUNCTION("""COMPUTED_VALUE"""),"قسم المشاريع الهندسية")</f>
        <v>قسم المشاريع الهندسية</v>
      </c>
      <c r="D56" s="10" t="str">
        <f ca="1">IFERROR(__xludf.DUMMYFUNCTION("""COMPUTED_VALUE"""),"H- ابتدائية القمر للبنات (الخامسة)")</f>
        <v>H- ابتدائية القمر للبنات (الخامسة)</v>
      </c>
      <c r="E56" s="10" t="str">
        <f ca="1">IFERROR(__xludf.DUMMYFUNCTION("""COMPUTED_VALUE"""),"السطح")</f>
        <v>السطح</v>
      </c>
      <c r="F56" s="10" t="str">
        <f ca="1">IFERROR(__xludf.DUMMYFUNCTION("""COMPUTED_VALUE"""),"تبديل فلاتر عامودي")</f>
        <v>تبديل فلاتر عامودي</v>
      </c>
      <c r="G56" s="10"/>
      <c r="H56" s="10" t="str">
        <f ca="1">IFERROR(__xludf.DUMMYFUNCTION("""COMPUTED_VALUE"""),"ميكانيك")</f>
        <v>ميكانيك</v>
      </c>
      <c r="I56" s="12" t="str">
        <f ca="1">IFERROR(__xludf.DUMMYFUNCTION("""COMPUTED_VALUE"""),"منجز")</f>
        <v>منجز</v>
      </c>
      <c r="J56" s="19"/>
    </row>
    <row r="57" spans="1:10" ht="75" customHeight="1">
      <c r="A57" s="7">
        <f ca="1">IFERROR(__xludf.DUMMYFUNCTION("""COMPUTED_VALUE"""),46058.5941580092)</f>
        <v>46058.594158009197</v>
      </c>
      <c r="B57" s="18" t="str">
        <f ca="1">IFERROR(__xludf.DUMMYFUNCTION("""COMPUTED_VALUE"""),"المعملجي")</f>
        <v>المعملجي</v>
      </c>
      <c r="C57" s="9" t="str">
        <f ca="1">IFERROR(__xludf.DUMMYFUNCTION("""COMPUTED_VALUE"""),"قسم المشاريع الهندسية")</f>
        <v>قسم المشاريع الهندسية</v>
      </c>
      <c r="D57" s="10" t="str">
        <f ca="1">IFERROR(__xludf.DUMMYFUNCTION("""COMPUTED_VALUE"""),"H- ابتدائية القمر للبنات (الخامسة)")</f>
        <v>H- ابتدائية القمر للبنات (الخامسة)</v>
      </c>
      <c r="E57" s="10" t="str">
        <f ca="1">IFERROR(__xludf.DUMMYFUNCTION("""COMPUTED_VALUE"""),"السطح")</f>
        <v>السطح</v>
      </c>
      <c r="F57" s="10" t="str">
        <f ca="1">IFERROR(__xludf.DUMMYFUNCTION("""COMPUTED_VALUE"""),"تشغيل محطة الماء RO ")</f>
        <v xml:space="preserve">تشغيل محطة الماء RO </v>
      </c>
      <c r="G57" s="10"/>
      <c r="H57" s="10" t="str">
        <f ca="1">IFERROR(__xludf.DUMMYFUNCTION("""COMPUTED_VALUE"""),"ميكانيك")</f>
        <v>ميكانيك</v>
      </c>
      <c r="I57" s="12" t="str">
        <f ca="1">IFERROR(__xludf.DUMMYFUNCTION("""COMPUTED_VALUE"""),"منجز")</f>
        <v>منجز</v>
      </c>
      <c r="J57" s="19"/>
    </row>
    <row r="58" spans="1:10" ht="75" customHeight="1">
      <c r="A58" s="7">
        <f ca="1">IFERROR(__xludf.DUMMYFUNCTION("""COMPUTED_VALUE"""),46058.5930663194)</f>
        <v>46058.593066319401</v>
      </c>
      <c r="B58" s="18" t="str">
        <f ca="1">IFERROR(__xludf.DUMMYFUNCTION("""COMPUTED_VALUE"""),"المعملجي")</f>
        <v>المعملجي</v>
      </c>
      <c r="C58" s="9" t="str">
        <f ca="1">IFERROR(__xludf.DUMMYFUNCTION("""COMPUTED_VALUE"""),"قسم المشاريع الهندسية")</f>
        <v>قسم المشاريع الهندسية</v>
      </c>
      <c r="D58" s="10" t="str">
        <f ca="1">IFERROR(__xludf.DUMMYFUNCTION("""COMPUTED_VALUE"""),"D- ثانوية العميد بناية المتوسطة  (الثانية)")</f>
        <v>D- ثانوية العميد بناية المتوسطة  (الثانية)</v>
      </c>
      <c r="E58" s="10" t="str">
        <f ca="1">IFERROR(__xludf.DUMMYFUNCTION("""COMPUTED_VALUE"""),"الطابق الاول, جناح الساحة ZONE B")</f>
        <v>الطابق الاول, جناح الساحة ZONE B</v>
      </c>
      <c r="F58" s="10" t="str">
        <f ca="1">IFERROR(__xludf.DUMMYFUNCTION("""COMPUTED_VALUE"""),"فتح انسداد")</f>
        <v>فتح انسداد</v>
      </c>
      <c r="G58" s="10"/>
      <c r="H58" s="10" t="str">
        <f ca="1">IFERROR(__xludf.DUMMYFUNCTION("""COMPUTED_VALUE"""),"ميكانيك")</f>
        <v>ميكانيك</v>
      </c>
      <c r="I58" s="12" t="str">
        <f ca="1">IFERROR(__xludf.DUMMYFUNCTION("""COMPUTED_VALUE"""),"منجز")</f>
        <v>منجز</v>
      </c>
      <c r="J58" s="19"/>
    </row>
    <row r="59" spans="1:10" ht="75" customHeight="1">
      <c r="A59" s="7">
        <f ca="1">IFERROR(__xludf.DUMMYFUNCTION("""COMPUTED_VALUE"""),46058.587925787)</f>
        <v>46058.587925786996</v>
      </c>
      <c r="B59" s="18" t="str">
        <f ca="1">IFERROR(__xludf.DUMMYFUNCTION("""COMPUTED_VALUE"""),"المعملجي")</f>
        <v>المعملجي</v>
      </c>
      <c r="C59" s="9" t="str">
        <f ca="1">IFERROR(__xludf.DUMMYFUNCTION("""COMPUTED_VALUE"""),"قسم المشاريع الهندسية")</f>
        <v>قسم المشاريع الهندسية</v>
      </c>
      <c r="D59" s="10" t="str">
        <f ca="1">IFERROR(__xludf.DUMMYFUNCTION("""COMPUTED_VALUE"""),"B- روضة القمر")</f>
        <v>B- روضة القمر</v>
      </c>
      <c r="E59" s="10" t="str">
        <f ca="1">IFERROR(__xludf.DUMMYFUNCTION("""COMPUTED_VALUE"""),"السطح")</f>
        <v>السطح</v>
      </c>
      <c r="F59" s="10" t="str">
        <f ca="1">IFERROR(__xludf.DUMMYFUNCTION("""COMPUTED_VALUE"""),"تشغيل محطة الماء RO")</f>
        <v>تشغيل محطة الماء RO</v>
      </c>
      <c r="G59" s="10"/>
      <c r="H59" s="10" t="str">
        <f ca="1">IFERROR(__xludf.DUMMYFUNCTION("""COMPUTED_VALUE"""),"ميكانيك")</f>
        <v>ميكانيك</v>
      </c>
      <c r="I59" s="12" t="str">
        <f ca="1">IFERROR(__xludf.DUMMYFUNCTION("""COMPUTED_VALUE"""),"منجز")</f>
        <v>منجز</v>
      </c>
      <c r="J59" s="19"/>
    </row>
    <row r="60" spans="1:10" ht="75" customHeight="1">
      <c r="A60" s="7">
        <f ca="1">IFERROR(__xludf.DUMMYFUNCTION("""COMPUTED_VALUE"""),46058.5866703587)</f>
        <v>46058.586670358702</v>
      </c>
      <c r="B60" s="18" t="str">
        <f ca="1">IFERROR(__xludf.DUMMYFUNCTION("""COMPUTED_VALUE"""),"المعملجي")</f>
        <v>المعملجي</v>
      </c>
      <c r="C60" s="9" t="str">
        <f ca="1">IFERROR(__xludf.DUMMYFUNCTION("""COMPUTED_VALUE"""),"قسم المشاريع الهندسية")</f>
        <v>قسم المشاريع الهندسية</v>
      </c>
      <c r="D60" s="10" t="str">
        <f ca="1">IFERROR(__xludf.DUMMYFUNCTION("""COMPUTED_VALUE"""),"I- ابتدائية الساقي للبنين (السادسة)")</f>
        <v>I- ابتدائية الساقي للبنين (السادسة)</v>
      </c>
      <c r="E60" s="10" t="str">
        <f ca="1">IFERROR(__xludf.DUMMYFUNCTION("""COMPUTED_VALUE"""),"الطابق الاول")</f>
        <v>الطابق الاول</v>
      </c>
      <c r="F60" s="10" t="str">
        <f ca="1">IFERROR(__xludf.DUMMYFUNCTION("""COMPUTED_VALUE"""),"فحص فإن كويل ")</f>
        <v xml:space="preserve">فحص فإن كويل </v>
      </c>
      <c r="G60" s="10"/>
      <c r="H60" s="10" t="str">
        <f ca="1">IFERROR(__xludf.DUMMYFUNCTION("""COMPUTED_VALUE"""),"ميكانيك")</f>
        <v>ميكانيك</v>
      </c>
      <c r="I60" s="12" t="str">
        <f ca="1">IFERROR(__xludf.DUMMYFUNCTION("""COMPUTED_VALUE"""),"منجز")</f>
        <v>منجز</v>
      </c>
      <c r="J60" s="19"/>
    </row>
    <row r="61" spans="1:10" ht="75" customHeight="1">
      <c r="A61" s="7">
        <f ca="1">IFERROR(__xludf.DUMMYFUNCTION("""COMPUTED_VALUE"""),46058.5839627777)</f>
        <v>46058.583962777702</v>
      </c>
      <c r="B61" s="18" t="str">
        <f ca="1">IFERROR(__xludf.DUMMYFUNCTION("""COMPUTED_VALUE"""),"المعملجي")</f>
        <v>المعملجي</v>
      </c>
      <c r="C61" s="9" t="str">
        <f ca="1">IFERROR(__xludf.DUMMYFUNCTION("""COMPUTED_VALUE"""),"قسم المشاريع الهندسية")</f>
        <v>قسم المشاريع الهندسية</v>
      </c>
      <c r="D61" s="10" t="str">
        <f ca="1">IFERROR(__xludf.DUMMYFUNCTION("""COMPUTED_VALUE"""),"D- ثانوية العميد بناية المتوسطة  (الثانية)")</f>
        <v>D- ثانوية العميد بناية المتوسطة  (الثانية)</v>
      </c>
      <c r="E61" s="10" t="str">
        <f ca="1">IFERROR(__xludf.DUMMYFUNCTION("""COMPUTED_VALUE"""),"الطابق الثاني, جناح الساحة ZONE B")</f>
        <v>الطابق الثاني, جناح الساحة ZONE B</v>
      </c>
      <c r="F61" s="10" t="str">
        <f ca="1">IFERROR(__xludf.DUMMYFUNCTION("""COMPUTED_VALUE"""),"تبديل كاك زاوية عدد 2")</f>
        <v>تبديل كاك زاوية عدد 2</v>
      </c>
      <c r="G61" s="10"/>
      <c r="H61" s="10" t="str">
        <f ca="1">IFERROR(__xludf.DUMMYFUNCTION("""COMPUTED_VALUE"""),"ميكانيك")</f>
        <v>ميكانيك</v>
      </c>
      <c r="I61" s="12" t="str">
        <f ca="1">IFERROR(__xludf.DUMMYFUNCTION("""COMPUTED_VALUE"""),"منجز")</f>
        <v>منجز</v>
      </c>
      <c r="J61" s="19"/>
    </row>
    <row r="62" spans="1:10" ht="75" customHeight="1">
      <c r="A62" s="7">
        <f ca="1">IFERROR(__xludf.DUMMYFUNCTION("""COMPUTED_VALUE"""),46058.582280243)</f>
        <v>46058.582280242998</v>
      </c>
      <c r="B62" s="18" t="str">
        <f ca="1">IFERROR(__xludf.DUMMYFUNCTION("""COMPUTED_VALUE"""),"المعملجي")</f>
        <v>المعملجي</v>
      </c>
      <c r="C62" s="9" t="str">
        <f ca="1">IFERROR(__xludf.DUMMYFUNCTION("""COMPUTED_VALUE"""),"قسم المشاريع الهندسية")</f>
        <v>قسم المشاريع الهندسية</v>
      </c>
      <c r="D62" s="10" t="str">
        <f ca="1">IFERROR(__xludf.DUMMYFUNCTION("""COMPUTED_VALUE"""),"D- ثانوية العميد بناية المتوسطة  (الثانية)")</f>
        <v>D- ثانوية العميد بناية المتوسطة  (الثانية)</v>
      </c>
      <c r="E62" s="10" t="str">
        <f ca="1">IFERROR(__xludf.DUMMYFUNCTION("""COMPUTED_VALUE"""),"الطابق الثاني, جناح الساحة ZONE B")</f>
        <v>الطابق الثاني, جناح الساحة ZONE B</v>
      </c>
      <c r="F62" s="10" t="str">
        <f ca="1">IFERROR(__xludf.DUMMYFUNCTION("""COMPUTED_VALUE"""),"تبديل صوندة شطاف ")</f>
        <v xml:space="preserve">تبديل صوندة شطاف </v>
      </c>
      <c r="G62" s="10"/>
      <c r="H62" s="10" t="str">
        <f ca="1">IFERROR(__xludf.DUMMYFUNCTION("""COMPUTED_VALUE"""),"ميكانيك")</f>
        <v>ميكانيك</v>
      </c>
      <c r="I62" s="12" t="str">
        <f ca="1">IFERROR(__xludf.DUMMYFUNCTION("""COMPUTED_VALUE"""),"منجز")</f>
        <v>منجز</v>
      </c>
      <c r="J62" s="19"/>
    </row>
    <row r="63" spans="1:10" ht="75" customHeight="1">
      <c r="A63" s="7">
        <f ca="1">IFERROR(__xludf.DUMMYFUNCTION("""COMPUTED_VALUE"""),46058.5815625925)</f>
        <v>46058.581562592502</v>
      </c>
      <c r="B63" s="18" t="str">
        <f ca="1">IFERROR(__xludf.DUMMYFUNCTION("""COMPUTED_VALUE"""),"المعملجي")</f>
        <v>المعملجي</v>
      </c>
      <c r="C63" s="9" t="str">
        <f ca="1">IFERROR(__xludf.DUMMYFUNCTION("""COMPUTED_VALUE"""),"قسم المشاريع الهندسية")</f>
        <v>قسم المشاريع الهندسية</v>
      </c>
      <c r="D63" s="10" t="str">
        <f ca="1">IFERROR(__xludf.DUMMYFUNCTION("""COMPUTED_VALUE"""),"E- ابتدائية العميد للبنات (الثالثة)")</f>
        <v>E- ابتدائية العميد للبنات (الثالثة)</v>
      </c>
      <c r="E63" s="10" t="str">
        <f ca="1">IFERROR(__xludf.DUMMYFUNCTION("""COMPUTED_VALUE"""),"الطابق الثالث, جناح الساحة ZONE B")</f>
        <v>الطابق الثالث, جناح الساحة ZONE B</v>
      </c>
      <c r="F63" s="10" t="str">
        <f ca="1">IFERROR(__xludf.DUMMYFUNCTION("""COMPUTED_VALUE"""),"تبديل قاعدة صابون ")</f>
        <v xml:space="preserve">تبديل قاعدة صابون </v>
      </c>
      <c r="G63" s="10"/>
      <c r="H63" s="10" t="str">
        <f ca="1">IFERROR(__xludf.DUMMYFUNCTION("""COMPUTED_VALUE"""),"ميكانيك")</f>
        <v>ميكانيك</v>
      </c>
      <c r="I63" s="12" t="str">
        <f ca="1">IFERROR(__xludf.DUMMYFUNCTION("""COMPUTED_VALUE"""),"منجز")</f>
        <v>منجز</v>
      </c>
      <c r="J63" s="19"/>
    </row>
    <row r="64" spans="1:10" ht="75" customHeight="1">
      <c r="A64" s="7">
        <f ca="1">IFERROR(__xludf.DUMMYFUNCTION("""COMPUTED_VALUE"""),46058.5809330324)</f>
        <v>46058.580933032397</v>
      </c>
      <c r="B64" s="18" t="str">
        <f ca="1">IFERROR(__xludf.DUMMYFUNCTION("""COMPUTED_VALUE"""),"المعملجي")</f>
        <v>المعملجي</v>
      </c>
      <c r="C64" s="9" t="str">
        <f ca="1">IFERROR(__xludf.DUMMYFUNCTION("""COMPUTED_VALUE"""),"قسم المشاريع الهندسية")</f>
        <v>قسم المشاريع الهندسية</v>
      </c>
      <c r="D64" s="10" t="str">
        <f ca="1">IFERROR(__xludf.DUMMYFUNCTION("""COMPUTED_VALUE"""),"D- ثانوية العميد بناية المتوسطة  (الثانية)")</f>
        <v>D- ثانوية العميد بناية المتوسطة  (الثانية)</v>
      </c>
      <c r="E64" s="10" t="str">
        <f ca="1">IFERROR(__xludf.DUMMYFUNCTION("""COMPUTED_VALUE"""),"الطابق الارضي, الطابق الاول, الطابق الثاني")</f>
        <v>الطابق الارضي, الطابق الاول, الطابق الثاني</v>
      </c>
      <c r="F64" s="10" t="str">
        <f ca="1">IFERROR(__xludf.DUMMYFUNCTION("""COMPUTED_VALUE"""),"إضافة غطاء كاك زاوية ")</f>
        <v xml:space="preserve">إضافة غطاء كاك زاوية </v>
      </c>
      <c r="G64" s="10"/>
      <c r="H64" s="10" t="str">
        <f ca="1">IFERROR(__xludf.DUMMYFUNCTION("""COMPUTED_VALUE"""),"ميكانيك")</f>
        <v>ميكانيك</v>
      </c>
      <c r="I64" s="12" t="str">
        <f ca="1">IFERROR(__xludf.DUMMYFUNCTION("""COMPUTED_VALUE"""),"منجز")</f>
        <v>منجز</v>
      </c>
      <c r="J64" s="19"/>
    </row>
    <row r="65" spans="1:10" ht="75" customHeight="1">
      <c r="A65" s="7">
        <f ca="1">IFERROR(__xludf.DUMMYFUNCTION("""COMPUTED_VALUE"""),46058.5805376273)</f>
        <v>46058.580537627298</v>
      </c>
      <c r="B65" s="18" t="str">
        <f ca="1">IFERROR(__xludf.DUMMYFUNCTION("""COMPUTED_VALUE"""),"المعملجي")</f>
        <v>المعملجي</v>
      </c>
      <c r="C65" s="9" t="str">
        <f ca="1">IFERROR(__xludf.DUMMYFUNCTION("""COMPUTED_VALUE"""),"قسم المشاريع الهندسية")</f>
        <v>قسم المشاريع الهندسية</v>
      </c>
      <c r="D65" s="10" t="str">
        <f ca="1">IFERROR(__xludf.DUMMYFUNCTION("""COMPUTED_VALUE"""),"C- ثانوية العميد بناية الاعدادية  (الاولى)")</f>
        <v>C- ثانوية العميد بناية الاعدادية  (الاولى)</v>
      </c>
      <c r="E65" s="10" t="str">
        <f ca="1">IFERROR(__xludf.DUMMYFUNCTION("""COMPUTED_VALUE"""),"الطابق الاول, الطابق الثاني")</f>
        <v>الطابق الاول, الطابق الثاني</v>
      </c>
      <c r="F65" s="10" t="str">
        <f ca="1">IFERROR(__xludf.DUMMYFUNCTION("""COMPUTED_VALUE"""),"إضافة غطاء كاك زاوية ")</f>
        <v xml:space="preserve">إضافة غطاء كاك زاوية </v>
      </c>
      <c r="G65" s="10"/>
      <c r="H65" s="10" t="str">
        <f ca="1">IFERROR(__xludf.DUMMYFUNCTION("""COMPUTED_VALUE"""),"ميكانيك")</f>
        <v>ميكانيك</v>
      </c>
      <c r="I65" s="12" t="str">
        <f ca="1">IFERROR(__xludf.DUMMYFUNCTION("""COMPUTED_VALUE"""),"منجز")</f>
        <v>منجز</v>
      </c>
      <c r="J65" s="19"/>
    </row>
    <row r="66" spans="1:10" ht="75" customHeight="1">
      <c r="A66" s="7">
        <f ca="1">IFERROR(__xludf.DUMMYFUNCTION("""COMPUTED_VALUE"""),46058.5766366203)</f>
        <v>46058.576636620302</v>
      </c>
      <c r="B66" s="18" t="str">
        <f ca="1">IFERROR(__xludf.DUMMYFUNCTION("""COMPUTED_VALUE"""),"المعملجي")</f>
        <v>المعملجي</v>
      </c>
      <c r="C66" s="9" t="str">
        <f ca="1">IFERROR(__xludf.DUMMYFUNCTION("""COMPUTED_VALUE"""),"قسم المشاريع الهندسية")</f>
        <v>قسم المشاريع الهندسية</v>
      </c>
      <c r="D66" s="10" t="str">
        <f ca="1">IFERROR(__xludf.DUMMYFUNCTION("""COMPUTED_VALUE"""),"D- ثانوية العميد بناية المتوسطة  (الثانية)")</f>
        <v>D- ثانوية العميد بناية المتوسطة  (الثانية)</v>
      </c>
      <c r="E66" s="10" t="str">
        <f ca="1">IFERROR(__xludf.DUMMYFUNCTION("""COMPUTED_VALUE"""),"السطح")</f>
        <v>السطح</v>
      </c>
      <c r="F66" s="10" t="str">
        <f ca="1">IFERROR(__xludf.DUMMYFUNCTION("""COMPUTED_VALUE"""),"غسل خزان الماء RO وغرفة المحطة")</f>
        <v>غسل خزان الماء RO وغرفة المحطة</v>
      </c>
      <c r="G66" s="10"/>
      <c r="H66" s="10" t="str">
        <f ca="1">IFERROR(__xludf.DUMMYFUNCTION("""COMPUTED_VALUE"""),"ميكانيك")</f>
        <v>ميكانيك</v>
      </c>
      <c r="I66" s="12" t="str">
        <f ca="1">IFERROR(__xludf.DUMMYFUNCTION("""COMPUTED_VALUE"""),"منجز")</f>
        <v>منجز</v>
      </c>
      <c r="J66" s="19"/>
    </row>
    <row r="67" spans="1:10" ht="75" customHeight="1">
      <c r="A67" s="7">
        <f ca="1">IFERROR(__xludf.DUMMYFUNCTION("""COMPUTED_VALUE"""),46058.575991412)</f>
        <v>46058.575991411999</v>
      </c>
      <c r="B67" s="18" t="str">
        <f ca="1">IFERROR(__xludf.DUMMYFUNCTION("""COMPUTED_VALUE"""),"المعملجي")</f>
        <v>المعملجي</v>
      </c>
      <c r="C67" s="9" t="str">
        <f ca="1">IFERROR(__xludf.DUMMYFUNCTION("""COMPUTED_VALUE"""),"قسم المشاريع الهندسية")</f>
        <v>قسم المشاريع الهندسية</v>
      </c>
      <c r="D67" s="10" t="str">
        <f ca="1">IFERROR(__xludf.DUMMYFUNCTION("""COMPUTED_VALUE"""),"C- ثانوية العميد بناية الاعدادية  (الاولى)")</f>
        <v>C- ثانوية العميد بناية الاعدادية  (الاولى)</v>
      </c>
      <c r="E67" s="10" t="str">
        <f ca="1">IFERROR(__xludf.DUMMYFUNCTION("""COMPUTED_VALUE"""),"السطح")</f>
        <v>السطح</v>
      </c>
      <c r="F67" s="10" t="str">
        <f ca="1">IFERROR(__xludf.DUMMYFUNCTION("""COMPUTED_VALUE"""),"غسل خزان الماء RO وغرفة المحطة")</f>
        <v>غسل خزان الماء RO وغرفة المحطة</v>
      </c>
      <c r="G67" s="10"/>
      <c r="H67" s="10" t="str">
        <f ca="1">IFERROR(__xludf.DUMMYFUNCTION("""COMPUTED_VALUE"""),"ميكانيك")</f>
        <v>ميكانيك</v>
      </c>
      <c r="I67" s="12" t="str">
        <f ca="1">IFERROR(__xludf.DUMMYFUNCTION("""COMPUTED_VALUE"""),"منجز")</f>
        <v>منجز</v>
      </c>
      <c r="J67" s="19"/>
    </row>
    <row r="68" spans="1:10" ht="75" customHeight="1">
      <c r="A68" s="7">
        <f ca="1">IFERROR(__xludf.DUMMYFUNCTION("""COMPUTED_VALUE"""),46058.5745062384)</f>
        <v>46058.574506238401</v>
      </c>
      <c r="B68" s="18" t="str">
        <f ca="1">IFERROR(__xludf.DUMMYFUNCTION("""COMPUTED_VALUE"""),"المعملجي")</f>
        <v>المعملجي</v>
      </c>
      <c r="C68" s="9" t="str">
        <f ca="1">IFERROR(__xludf.DUMMYFUNCTION("""COMPUTED_VALUE"""),"قسم المشاريع الهندسية")</f>
        <v>قسم المشاريع الهندسية</v>
      </c>
      <c r="D68" s="10" t="str">
        <f ca="1">IFERROR(__xludf.DUMMYFUNCTION("""COMPUTED_VALUE"""),"C- ثانوية العميد بناية الاعدادية  (الاولى)")</f>
        <v>C- ثانوية العميد بناية الاعدادية  (الاولى)</v>
      </c>
      <c r="E68" s="10" t="str">
        <f ca="1">IFERROR(__xludf.DUMMYFUNCTION("""COMPUTED_VALUE"""),"السطح")</f>
        <v>السطح</v>
      </c>
      <c r="F68" s="10" t="str">
        <f ca="1">IFERROR(__xludf.DUMMYFUNCTION("""COMPUTED_VALUE"""),"تشغيل محطة الماء RO")</f>
        <v>تشغيل محطة الماء RO</v>
      </c>
      <c r="G68" s="10"/>
      <c r="H68" s="10" t="str">
        <f ca="1">IFERROR(__xludf.DUMMYFUNCTION("""COMPUTED_VALUE"""),"ميكانيك")</f>
        <v>ميكانيك</v>
      </c>
      <c r="I68" s="12" t="str">
        <f ca="1">IFERROR(__xludf.DUMMYFUNCTION("""COMPUTED_VALUE"""),"منجز")</f>
        <v>منجز</v>
      </c>
      <c r="J68" s="19"/>
    </row>
    <row r="69" spans="1:10" ht="75" customHeight="1">
      <c r="A69" s="7">
        <f ca="1">IFERROR(__xludf.DUMMYFUNCTION("""COMPUTED_VALUE"""),46058.5733427314)</f>
        <v>46058.573342731397</v>
      </c>
      <c r="B69" s="18" t="str">
        <f ca="1">IFERROR(__xludf.DUMMYFUNCTION("""COMPUTED_VALUE"""),"المعملجي")</f>
        <v>المعملجي</v>
      </c>
      <c r="C69" s="9" t="str">
        <f ca="1">IFERROR(__xludf.DUMMYFUNCTION("""COMPUTED_VALUE"""),"قسم المشاريع الهندسية")</f>
        <v>قسم المشاريع الهندسية</v>
      </c>
      <c r="D69" s="10" t="str">
        <f ca="1">IFERROR(__xludf.DUMMYFUNCTION("""COMPUTED_VALUE"""),"E- ابتدائية العميد للبنات (الثالثة)")</f>
        <v>E- ابتدائية العميد للبنات (الثالثة)</v>
      </c>
      <c r="E69" s="10" t="str">
        <f ca="1">IFERROR(__xludf.DUMMYFUNCTION("""COMPUTED_VALUE"""),"الطابق الارضي, الطابق الاول, الطابق الثاني")</f>
        <v>الطابق الارضي, الطابق الاول, الطابق الثاني</v>
      </c>
      <c r="F69" s="10" t="str">
        <f ca="1">IFERROR(__xludf.DUMMYFUNCTION("""COMPUTED_VALUE"""),"إضافة غطاء كاك زاوية عدد 20")</f>
        <v>إضافة غطاء كاك زاوية عدد 20</v>
      </c>
      <c r="G69" s="10"/>
      <c r="H69" s="10" t="str">
        <f ca="1">IFERROR(__xludf.DUMMYFUNCTION("""COMPUTED_VALUE"""),"ميكانيك")</f>
        <v>ميكانيك</v>
      </c>
      <c r="I69" s="12" t="str">
        <f ca="1">IFERROR(__xludf.DUMMYFUNCTION("""COMPUTED_VALUE"""),"منجز")</f>
        <v>منجز</v>
      </c>
      <c r="J69" s="19"/>
    </row>
    <row r="70" spans="1:10" ht="75" customHeight="1">
      <c r="A70" s="7">
        <f ca="1">IFERROR(__xludf.DUMMYFUNCTION("""COMPUTED_VALUE"""),46056.4655704745)</f>
        <v>46056.465570474502</v>
      </c>
      <c r="B70" s="18" t="str">
        <f ca="1">IFERROR(__xludf.DUMMYFUNCTION("""COMPUTED_VALUE"""),"المعملجي")</f>
        <v>المعملجي</v>
      </c>
      <c r="C70" s="9" t="str">
        <f ca="1">IFERROR(__xludf.DUMMYFUNCTION("""COMPUTED_VALUE"""),"قسم التربية والتعليم العالي")</f>
        <v>قسم التربية والتعليم العالي</v>
      </c>
      <c r="D70" s="10" t="str">
        <f ca="1">IFERROR(__xludf.DUMMYFUNCTION("""COMPUTED_VALUE"""),"D- ثانوية العميد بناية المتوسطة  (الثانية)")</f>
        <v>D- ثانوية العميد بناية المتوسطة  (الثانية)</v>
      </c>
      <c r="E70" s="10" t="str">
        <f ca="1">IFERROR(__xludf.DUMMYFUNCTION("""COMPUTED_VALUE"""),"الطابق الارضي")</f>
        <v>الطابق الارضي</v>
      </c>
      <c r="F70" s="10" t="str">
        <f ca="1">IFERROR(__xludf.DUMMYFUNCTION("""COMPUTED_VALUE"""),"انسداد في المجاري ")</f>
        <v xml:space="preserve">انسداد في المجاري </v>
      </c>
      <c r="G70" s="10"/>
      <c r="H70" s="10" t="str">
        <f ca="1">IFERROR(__xludf.DUMMYFUNCTION("""COMPUTED_VALUE"""),"ميكانيك")</f>
        <v>ميكانيك</v>
      </c>
      <c r="I70" s="12" t="str">
        <f ca="1">IFERROR(__xludf.DUMMYFUNCTION("""COMPUTED_VALUE"""),"منجز")</f>
        <v>منجز</v>
      </c>
      <c r="J70" s="19">
        <f ca="1">IFERROR(__xludf.DUMMYFUNCTION("""COMPUTED_VALUE"""),46056.5110202777)</f>
        <v>46056.5110202777</v>
      </c>
    </row>
    <row r="71" spans="1:10" ht="75" customHeight="1">
      <c r="A71" s="7"/>
      <c r="B71" s="18"/>
      <c r="C71" s="9"/>
      <c r="D71" s="10"/>
      <c r="E71" s="10"/>
      <c r="F71" s="10"/>
      <c r="G71" s="10"/>
      <c r="H71" s="10"/>
      <c r="I71" s="12"/>
      <c r="J71" s="13"/>
    </row>
    <row r="72" spans="1:10" ht="75" customHeight="1">
      <c r="A72" s="7"/>
      <c r="B72" s="18"/>
      <c r="C72" s="9"/>
      <c r="D72" s="10"/>
      <c r="E72" s="10"/>
      <c r="F72" s="10"/>
      <c r="G72" s="10"/>
      <c r="H72" s="10"/>
      <c r="I72" s="12"/>
      <c r="J72" s="13"/>
    </row>
    <row r="73" spans="1:10" ht="75" customHeight="1">
      <c r="A73" s="7"/>
      <c r="B73" s="18"/>
      <c r="C73" s="9"/>
      <c r="D73" s="10"/>
      <c r="E73" s="10"/>
      <c r="F73" s="10"/>
      <c r="G73" s="10"/>
      <c r="H73" s="10"/>
      <c r="I73" s="12"/>
      <c r="J73" s="13"/>
    </row>
    <row r="74" spans="1:10" ht="75" customHeight="1">
      <c r="A74" s="7"/>
      <c r="B74" s="18"/>
      <c r="C74" s="9"/>
      <c r="D74" s="10"/>
      <c r="E74" s="10"/>
      <c r="F74" s="10"/>
      <c r="G74" s="10"/>
      <c r="H74" s="10"/>
      <c r="I74" s="12"/>
      <c r="J74" s="13"/>
    </row>
    <row r="75" spans="1:10" ht="75" customHeight="1">
      <c r="A75" s="7"/>
      <c r="B75" s="18"/>
      <c r="C75" s="9"/>
      <c r="D75" s="10"/>
      <c r="E75" s="10"/>
      <c r="F75" s="10"/>
      <c r="G75" s="10"/>
      <c r="H75" s="10"/>
      <c r="I75" s="12"/>
      <c r="J75" s="13"/>
    </row>
    <row r="76" spans="1:10" ht="75" customHeight="1">
      <c r="A76" s="7"/>
      <c r="B76" s="18"/>
      <c r="C76" s="9"/>
      <c r="D76" s="10"/>
      <c r="E76" s="10"/>
      <c r="F76" s="10"/>
      <c r="G76" s="10"/>
      <c r="H76" s="10"/>
      <c r="I76" s="12"/>
      <c r="J76" s="13"/>
    </row>
    <row r="77" spans="1:10" ht="75" customHeight="1">
      <c r="A77" s="7"/>
      <c r="B77" s="18"/>
      <c r="C77" s="9"/>
      <c r="D77" s="10"/>
      <c r="E77" s="10"/>
      <c r="F77" s="10"/>
      <c r="G77" s="10"/>
      <c r="H77" s="10"/>
      <c r="I77" s="12"/>
      <c r="J77" s="13"/>
    </row>
    <row r="78" spans="1:10" ht="75" customHeight="1">
      <c r="A78" s="7"/>
      <c r="B78" s="18"/>
      <c r="C78" s="9"/>
      <c r="D78" s="10"/>
      <c r="E78" s="10"/>
      <c r="F78" s="10"/>
      <c r="G78" s="10"/>
      <c r="H78" s="10"/>
      <c r="I78" s="12"/>
      <c r="J78" s="13"/>
    </row>
    <row r="79" spans="1:10" ht="75" customHeight="1">
      <c r="A79" s="7"/>
      <c r="B79" s="18"/>
      <c r="C79" s="9"/>
      <c r="D79" s="10"/>
      <c r="E79" s="10"/>
      <c r="F79" s="10"/>
      <c r="G79" s="10"/>
      <c r="H79" s="10"/>
      <c r="I79" s="12"/>
      <c r="J79" s="13"/>
    </row>
    <row r="80" spans="1:10" ht="75" customHeight="1">
      <c r="A80" s="7"/>
      <c r="B80" s="18"/>
      <c r="C80" s="9"/>
      <c r="D80" s="10"/>
      <c r="E80" s="10"/>
      <c r="F80" s="10"/>
      <c r="G80" s="10"/>
      <c r="H80" s="10"/>
      <c r="I80" s="12"/>
      <c r="J80" s="13"/>
    </row>
    <row r="81" spans="1:10" ht="75" customHeight="1">
      <c r="A81" s="7"/>
      <c r="B81" s="18"/>
      <c r="C81" s="9"/>
      <c r="D81" s="10"/>
      <c r="E81" s="10"/>
      <c r="F81" s="10"/>
      <c r="G81" s="10"/>
      <c r="H81" s="10"/>
      <c r="I81" s="12"/>
      <c r="J81" s="13"/>
    </row>
    <row r="82" spans="1:10" ht="75" customHeight="1">
      <c r="A82" s="7"/>
      <c r="B82" s="18"/>
      <c r="C82" s="9"/>
      <c r="D82" s="10"/>
      <c r="E82" s="10"/>
      <c r="F82" s="10"/>
      <c r="G82" s="10"/>
      <c r="H82" s="10"/>
      <c r="I82" s="12"/>
      <c r="J82" s="13"/>
    </row>
    <row r="83" spans="1:10" ht="75" customHeight="1">
      <c r="A83" s="7"/>
      <c r="B83" s="18"/>
      <c r="C83" s="9"/>
      <c r="D83" s="10"/>
      <c r="E83" s="10"/>
      <c r="F83" s="10"/>
      <c r="G83" s="10"/>
      <c r="H83" s="10"/>
      <c r="I83" s="12"/>
      <c r="J83" s="13"/>
    </row>
    <row r="84" spans="1:10" ht="75" customHeight="1">
      <c r="A84" s="7"/>
      <c r="B84" s="18"/>
      <c r="C84" s="9"/>
      <c r="D84" s="10"/>
      <c r="E84" s="10"/>
      <c r="F84" s="10"/>
      <c r="G84" s="10"/>
      <c r="H84" s="10"/>
      <c r="I84" s="12"/>
      <c r="J84" s="13"/>
    </row>
    <row r="85" spans="1:10" ht="75" customHeight="1">
      <c r="A85" s="7"/>
      <c r="B85" s="18"/>
      <c r="C85" s="9"/>
      <c r="D85" s="10"/>
      <c r="E85" s="10"/>
      <c r="F85" s="10"/>
      <c r="G85" s="10"/>
      <c r="H85" s="10"/>
      <c r="I85" s="12"/>
      <c r="J85" s="13"/>
    </row>
    <row r="86" spans="1:10" ht="75" customHeight="1">
      <c r="A86" s="7"/>
      <c r="B86" s="18"/>
      <c r="C86" s="9"/>
      <c r="D86" s="10"/>
      <c r="E86" s="10"/>
      <c r="F86" s="10"/>
      <c r="G86" s="10"/>
      <c r="H86" s="10"/>
      <c r="I86" s="12"/>
      <c r="J86" s="13"/>
    </row>
    <row r="87" spans="1:10" ht="75" customHeight="1">
      <c r="A87" s="7"/>
      <c r="B87" s="18"/>
      <c r="C87" s="9"/>
      <c r="D87" s="10"/>
      <c r="E87" s="10"/>
      <c r="F87" s="10"/>
      <c r="G87" s="10"/>
      <c r="H87" s="10"/>
      <c r="I87" s="12"/>
      <c r="J87" s="13"/>
    </row>
    <row r="88" spans="1:10" ht="75" customHeight="1">
      <c r="A88" s="7"/>
      <c r="B88" s="18"/>
      <c r="C88" s="9"/>
      <c r="D88" s="10"/>
      <c r="E88" s="10"/>
      <c r="F88" s="10"/>
      <c r="G88" s="10"/>
      <c r="H88" s="10"/>
      <c r="I88" s="12"/>
      <c r="J88" s="13"/>
    </row>
    <row r="89" spans="1:10" ht="75" customHeight="1">
      <c r="A89" s="7"/>
      <c r="B89" s="18"/>
      <c r="C89" s="9"/>
      <c r="D89" s="10"/>
      <c r="E89" s="10"/>
      <c r="F89" s="10"/>
      <c r="G89" s="10"/>
      <c r="H89" s="10"/>
      <c r="I89" s="12"/>
      <c r="J89" s="13"/>
    </row>
    <row r="90" spans="1:10" ht="75" customHeight="1">
      <c r="A90" s="7"/>
      <c r="B90" s="18"/>
      <c r="C90" s="9"/>
      <c r="D90" s="10"/>
      <c r="E90" s="10"/>
      <c r="F90" s="10"/>
      <c r="G90" s="10"/>
      <c r="H90" s="10"/>
      <c r="I90" s="12"/>
      <c r="J90" s="13"/>
    </row>
    <row r="91" spans="1:10" ht="75" customHeight="1">
      <c r="A91" s="7"/>
      <c r="B91" s="18"/>
      <c r="C91" s="9"/>
      <c r="D91" s="10"/>
      <c r="E91" s="10"/>
      <c r="F91" s="10"/>
      <c r="G91" s="10"/>
      <c r="H91" s="10"/>
      <c r="I91" s="12"/>
      <c r="J91" s="13"/>
    </row>
    <row r="92" spans="1:10" ht="75" customHeight="1">
      <c r="A92" s="7"/>
      <c r="B92" s="18"/>
      <c r="C92" s="9"/>
      <c r="D92" s="10"/>
      <c r="E92" s="10"/>
      <c r="F92" s="10"/>
      <c r="G92" s="10"/>
      <c r="H92" s="10"/>
      <c r="I92" s="12"/>
      <c r="J92" s="13"/>
    </row>
    <row r="93" spans="1:10" ht="75" customHeight="1">
      <c r="A93" s="7"/>
      <c r="B93" s="18"/>
      <c r="C93" s="9"/>
      <c r="D93" s="10"/>
      <c r="E93" s="10"/>
      <c r="F93" s="10"/>
      <c r="G93" s="10"/>
      <c r="H93" s="10"/>
      <c r="I93" s="12"/>
      <c r="J93" s="13"/>
    </row>
    <row r="94" spans="1:10" ht="75" customHeight="1">
      <c r="A94" s="7"/>
      <c r="B94" s="18"/>
      <c r="C94" s="9"/>
      <c r="D94" s="10"/>
      <c r="E94" s="10"/>
      <c r="F94" s="10"/>
      <c r="G94" s="10"/>
      <c r="H94" s="10"/>
      <c r="I94" s="12"/>
      <c r="J94" s="13"/>
    </row>
    <row r="95" spans="1:10" ht="75" customHeight="1">
      <c r="A95" s="7"/>
      <c r="B95" s="18"/>
      <c r="C95" s="9"/>
      <c r="D95" s="10"/>
      <c r="E95" s="10"/>
      <c r="F95" s="10"/>
      <c r="G95" s="10"/>
      <c r="H95" s="10"/>
      <c r="I95" s="12"/>
      <c r="J95" s="13"/>
    </row>
    <row r="96" spans="1:10" ht="75" customHeight="1">
      <c r="A96" s="7"/>
      <c r="B96" s="18"/>
      <c r="C96" s="9"/>
      <c r="D96" s="10"/>
      <c r="E96" s="10"/>
      <c r="F96" s="10"/>
      <c r="G96" s="10"/>
      <c r="H96" s="10"/>
      <c r="I96" s="12"/>
      <c r="J96" s="13"/>
    </row>
    <row r="97" spans="1:10" ht="75" customHeight="1">
      <c r="A97" s="7"/>
      <c r="B97" s="18"/>
      <c r="C97" s="9"/>
      <c r="D97" s="10"/>
      <c r="E97" s="10"/>
      <c r="F97" s="10"/>
      <c r="G97" s="10"/>
      <c r="H97" s="10"/>
      <c r="I97" s="12"/>
      <c r="J97" s="13"/>
    </row>
    <row r="98" spans="1:10" ht="75" customHeight="1">
      <c r="A98" s="7"/>
      <c r="B98" s="18"/>
      <c r="C98" s="9"/>
      <c r="D98" s="10"/>
      <c r="E98" s="10"/>
      <c r="F98" s="10"/>
      <c r="G98" s="10"/>
      <c r="H98" s="10"/>
      <c r="I98" s="12"/>
      <c r="J98" s="13"/>
    </row>
    <row r="99" spans="1:10" ht="75" customHeight="1">
      <c r="A99" s="7"/>
      <c r="B99" s="18"/>
      <c r="C99" s="9"/>
      <c r="D99" s="10"/>
      <c r="E99" s="10"/>
      <c r="F99" s="10"/>
      <c r="G99" s="10"/>
      <c r="H99" s="10"/>
      <c r="I99" s="12"/>
      <c r="J99" s="13"/>
    </row>
    <row r="100" spans="1:10" ht="75" customHeight="1">
      <c r="A100" s="7"/>
      <c r="B100" s="18"/>
      <c r="C100" s="9"/>
      <c r="D100" s="10"/>
      <c r="E100" s="10"/>
      <c r="F100" s="10"/>
      <c r="G100" s="10"/>
      <c r="H100" s="10"/>
      <c r="I100" s="12"/>
      <c r="J100" s="13"/>
    </row>
    <row r="101" spans="1:10" ht="75" customHeight="1">
      <c r="A101" s="7"/>
      <c r="B101" s="18"/>
      <c r="C101" s="9"/>
      <c r="D101" s="10"/>
      <c r="E101" s="10"/>
      <c r="F101" s="10"/>
      <c r="G101" s="10"/>
      <c r="H101" s="10"/>
      <c r="I101" s="12"/>
      <c r="J101" s="13"/>
    </row>
    <row r="102" spans="1:10" ht="75" customHeight="1">
      <c r="A102" s="7"/>
      <c r="B102" s="18"/>
      <c r="C102" s="9"/>
      <c r="D102" s="10"/>
      <c r="E102" s="10"/>
      <c r="F102" s="10"/>
      <c r="G102" s="10"/>
      <c r="H102" s="10"/>
      <c r="I102" s="12"/>
      <c r="J102" s="13"/>
    </row>
    <row r="103" spans="1:10" ht="75" customHeight="1">
      <c r="A103" s="7"/>
      <c r="B103" s="18"/>
      <c r="C103" s="9"/>
      <c r="D103" s="10"/>
      <c r="E103" s="10"/>
      <c r="F103" s="10"/>
      <c r="G103" s="10"/>
      <c r="H103" s="10"/>
      <c r="I103" s="12"/>
      <c r="J103" s="13"/>
    </row>
    <row r="104" spans="1:10" ht="75" customHeight="1">
      <c r="A104" s="7"/>
      <c r="B104" s="18"/>
      <c r="C104" s="9"/>
      <c r="D104" s="10"/>
      <c r="E104" s="10"/>
      <c r="F104" s="10"/>
      <c r="G104" s="10"/>
      <c r="H104" s="10"/>
      <c r="I104" s="12"/>
      <c r="J104" s="13"/>
    </row>
    <row r="105" spans="1:10" ht="75" customHeight="1">
      <c r="A105" s="7"/>
      <c r="B105" s="18"/>
      <c r="C105" s="9"/>
      <c r="D105" s="10"/>
      <c r="E105" s="10"/>
      <c r="F105" s="10"/>
      <c r="G105" s="10"/>
      <c r="H105" s="10"/>
      <c r="I105" s="12"/>
      <c r="J105" s="13"/>
    </row>
    <row r="106" spans="1:10" ht="75" customHeight="1">
      <c r="A106" s="7"/>
      <c r="B106" s="18"/>
      <c r="C106" s="9"/>
      <c r="D106" s="10"/>
      <c r="E106" s="10"/>
      <c r="F106" s="10"/>
      <c r="G106" s="10"/>
      <c r="H106" s="10"/>
      <c r="I106" s="12"/>
      <c r="J106" s="13"/>
    </row>
    <row r="107" spans="1:10" ht="75" customHeight="1">
      <c r="A107" s="7"/>
      <c r="B107" s="18"/>
      <c r="C107" s="9"/>
      <c r="D107" s="10"/>
      <c r="E107" s="10"/>
      <c r="F107" s="10"/>
      <c r="G107" s="10"/>
      <c r="H107" s="10"/>
      <c r="I107" s="12"/>
      <c r="J107" s="13"/>
    </row>
    <row r="108" spans="1:10" ht="75" customHeight="1">
      <c r="A108" s="7"/>
      <c r="B108" s="18"/>
      <c r="C108" s="9"/>
      <c r="D108" s="10"/>
      <c r="E108" s="10"/>
      <c r="F108" s="10"/>
      <c r="G108" s="10"/>
      <c r="H108" s="10"/>
      <c r="I108" s="12"/>
      <c r="J108" s="13"/>
    </row>
    <row r="109" spans="1:10" ht="75" customHeight="1">
      <c r="A109" s="7"/>
      <c r="B109" s="18"/>
      <c r="C109" s="9"/>
      <c r="D109" s="10"/>
      <c r="E109" s="10"/>
      <c r="F109" s="10"/>
      <c r="G109" s="10"/>
      <c r="H109" s="10"/>
      <c r="I109" s="12"/>
      <c r="J109" s="13"/>
    </row>
    <row r="110" spans="1:10" ht="75" customHeight="1">
      <c r="A110" s="7"/>
      <c r="B110" s="18"/>
      <c r="C110" s="9"/>
      <c r="D110" s="10"/>
      <c r="E110" s="10"/>
      <c r="F110" s="10"/>
      <c r="G110" s="10"/>
      <c r="H110" s="10"/>
      <c r="I110" s="12"/>
      <c r="J110" s="13"/>
    </row>
    <row r="111" spans="1:10" ht="75" customHeight="1">
      <c r="A111" s="7"/>
      <c r="B111" s="18"/>
      <c r="C111" s="9"/>
      <c r="D111" s="10"/>
      <c r="E111" s="10"/>
      <c r="F111" s="10"/>
      <c r="G111" s="10"/>
      <c r="H111" s="10"/>
      <c r="I111" s="12"/>
      <c r="J111" s="13"/>
    </row>
    <row r="112" spans="1:10" ht="75" customHeight="1">
      <c r="A112" s="7"/>
      <c r="B112" s="18"/>
      <c r="C112" s="9"/>
      <c r="D112" s="10"/>
      <c r="E112" s="10"/>
      <c r="F112" s="10"/>
      <c r="G112" s="10"/>
      <c r="H112" s="10"/>
      <c r="I112" s="12"/>
      <c r="J112" s="13"/>
    </row>
    <row r="113" spans="1:10" ht="75" customHeight="1">
      <c r="A113" s="7"/>
      <c r="B113" s="18"/>
      <c r="C113" s="9"/>
      <c r="D113" s="10"/>
      <c r="E113" s="10"/>
      <c r="F113" s="10"/>
      <c r="G113" s="10"/>
      <c r="H113" s="10"/>
      <c r="I113" s="12"/>
      <c r="J113" s="13"/>
    </row>
    <row r="114" spans="1:10" ht="75" customHeight="1">
      <c r="A114" s="7"/>
      <c r="B114" s="18"/>
      <c r="C114" s="9"/>
      <c r="D114" s="10"/>
      <c r="E114" s="10"/>
      <c r="F114" s="10"/>
      <c r="G114" s="10"/>
      <c r="H114" s="10"/>
      <c r="I114" s="12"/>
      <c r="J114" s="13"/>
    </row>
    <row r="115" spans="1:10" ht="75" customHeight="1">
      <c r="A115" s="7"/>
      <c r="B115" s="18"/>
      <c r="C115" s="9"/>
      <c r="D115" s="10"/>
      <c r="E115" s="10"/>
      <c r="F115" s="10"/>
      <c r="G115" s="10"/>
      <c r="H115" s="10"/>
      <c r="I115" s="12"/>
      <c r="J115" s="13"/>
    </row>
    <row r="116" spans="1:10" ht="75" customHeight="1">
      <c r="A116" s="7"/>
      <c r="B116" s="18"/>
      <c r="C116" s="9"/>
      <c r="D116" s="10"/>
      <c r="E116" s="10"/>
      <c r="F116" s="10"/>
      <c r="G116" s="10"/>
      <c r="H116" s="10"/>
      <c r="I116" s="12"/>
      <c r="J116" s="13"/>
    </row>
    <row r="117" spans="1:10" ht="75" customHeight="1">
      <c r="A117" s="7"/>
      <c r="B117" s="18"/>
      <c r="C117" s="9"/>
      <c r="D117" s="10"/>
      <c r="E117" s="10"/>
      <c r="F117" s="10"/>
      <c r="G117" s="10"/>
      <c r="H117" s="10"/>
      <c r="I117" s="12"/>
      <c r="J117" s="13"/>
    </row>
    <row r="118" spans="1:10" ht="75" customHeight="1">
      <c r="A118" s="7"/>
      <c r="B118" s="18"/>
      <c r="C118" s="9"/>
      <c r="D118" s="10"/>
      <c r="E118" s="10"/>
      <c r="F118" s="10"/>
      <c r="G118" s="10"/>
      <c r="H118" s="10"/>
      <c r="I118" s="12"/>
      <c r="J118" s="13"/>
    </row>
    <row r="119" spans="1:10" ht="75" customHeight="1">
      <c r="A119" s="7"/>
      <c r="B119" s="18"/>
      <c r="C119" s="9"/>
      <c r="D119" s="10"/>
      <c r="E119" s="10"/>
      <c r="F119" s="10"/>
      <c r="G119" s="10"/>
      <c r="H119" s="10"/>
      <c r="I119" s="12"/>
      <c r="J119" s="13"/>
    </row>
    <row r="120" spans="1:10" ht="75" customHeight="1">
      <c r="A120" s="7"/>
      <c r="B120" s="18"/>
      <c r="C120" s="9"/>
      <c r="D120" s="10"/>
      <c r="E120" s="10"/>
      <c r="F120" s="10"/>
      <c r="G120" s="10"/>
      <c r="H120" s="10"/>
      <c r="I120" s="12"/>
      <c r="J120" s="13"/>
    </row>
    <row r="121" spans="1:10" ht="75" customHeight="1">
      <c r="A121" s="7"/>
      <c r="B121" s="18"/>
      <c r="C121" s="9"/>
      <c r="D121" s="10"/>
      <c r="E121" s="10"/>
      <c r="F121" s="10"/>
      <c r="G121" s="10"/>
      <c r="H121" s="10"/>
      <c r="I121" s="12"/>
      <c r="J121" s="13"/>
    </row>
    <row r="122" spans="1:10" ht="75" customHeight="1">
      <c r="A122" s="7"/>
      <c r="B122" s="18"/>
      <c r="C122" s="9"/>
      <c r="D122" s="10"/>
      <c r="E122" s="10"/>
      <c r="F122" s="10"/>
      <c r="G122" s="10"/>
      <c r="H122" s="10"/>
      <c r="I122" s="12"/>
      <c r="J122" s="13"/>
    </row>
    <row r="123" spans="1:10" ht="75" customHeight="1">
      <c r="A123" s="7"/>
      <c r="B123" s="18"/>
      <c r="C123" s="9"/>
      <c r="D123" s="10"/>
      <c r="E123" s="10"/>
      <c r="F123" s="10"/>
      <c r="G123" s="10"/>
      <c r="H123" s="10"/>
      <c r="I123" s="12"/>
      <c r="J123" s="13"/>
    </row>
    <row r="124" spans="1:10" ht="75" customHeight="1">
      <c r="A124" s="7"/>
      <c r="B124" s="18"/>
      <c r="C124" s="9"/>
      <c r="D124" s="10"/>
      <c r="E124" s="10"/>
      <c r="F124" s="10"/>
      <c r="G124" s="10"/>
      <c r="H124" s="10"/>
      <c r="I124" s="12"/>
      <c r="J124" s="13"/>
    </row>
    <row r="125" spans="1:10" ht="75" customHeight="1">
      <c r="A125" s="7"/>
      <c r="B125" s="18"/>
      <c r="C125" s="9"/>
      <c r="D125" s="10"/>
      <c r="E125" s="10"/>
      <c r="F125" s="10"/>
      <c r="G125" s="10"/>
      <c r="H125" s="10"/>
      <c r="I125" s="12"/>
      <c r="J125" s="13"/>
    </row>
    <row r="126" spans="1:10" ht="75" customHeight="1">
      <c r="A126" s="7"/>
      <c r="B126" s="18"/>
      <c r="C126" s="9"/>
      <c r="D126" s="10"/>
      <c r="E126" s="10"/>
      <c r="F126" s="10"/>
      <c r="G126" s="10"/>
      <c r="H126" s="10"/>
      <c r="I126" s="12"/>
      <c r="J126" s="13"/>
    </row>
    <row r="127" spans="1:10" ht="75" customHeight="1">
      <c r="A127" s="7"/>
      <c r="B127" s="18"/>
      <c r="C127" s="9"/>
      <c r="D127" s="10"/>
      <c r="E127" s="10"/>
      <c r="F127" s="10"/>
      <c r="G127" s="10"/>
      <c r="H127" s="10"/>
      <c r="I127" s="12"/>
      <c r="J127" s="13"/>
    </row>
    <row r="128" spans="1:10" ht="75" customHeight="1">
      <c r="A128" s="7"/>
      <c r="B128" s="18"/>
      <c r="C128" s="9"/>
      <c r="D128" s="10"/>
      <c r="E128" s="10"/>
      <c r="F128" s="10"/>
      <c r="G128" s="10"/>
      <c r="H128" s="10"/>
      <c r="I128" s="12"/>
      <c r="J128" s="13"/>
    </row>
    <row r="129" spans="1:10" ht="75" customHeight="1">
      <c r="A129" s="7"/>
      <c r="B129" s="18"/>
      <c r="C129" s="9"/>
      <c r="D129" s="10"/>
      <c r="E129" s="10"/>
      <c r="F129" s="10"/>
      <c r="G129" s="10"/>
      <c r="H129" s="10"/>
      <c r="I129" s="12"/>
      <c r="J129" s="13"/>
    </row>
    <row r="130" spans="1:10" ht="75" customHeight="1">
      <c r="A130" s="7"/>
      <c r="B130" s="18"/>
      <c r="C130" s="9"/>
      <c r="D130" s="10"/>
      <c r="E130" s="10"/>
      <c r="F130" s="10"/>
      <c r="G130" s="10"/>
      <c r="H130" s="10"/>
      <c r="I130" s="12"/>
      <c r="J130" s="13"/>
    </row>
    <row r="131" spans="1:10" ht="75" customHeight="1">
      <c r="A131" s="7"/>
      <c r="B131" s="18"/>
      <c r="C131" s="9"/>
      <c r="D131" s="10"/>
      <c r="E131" s="10"/>
      <c r="F131" s="10"/>
      <c r="G131" s="10"/>
      <c r="H131" s="10"/>
      <c r="I131" s="12"/>
      <c r="J131" s="13"/>
    </row>
    <row r="132" spans="1:10" ht="75" customHeight="1">
      <c r="A132" s="7"/>
      <c r="B132" s="18"/>
      <c r="C132" s="9"/>
      <c r="D132" s="10"/>
      <c r="E132" s="10"/>
      <c r="F132" s="10"/>
      <c r="G132" s="10"/>
      <c r="H132" s="10"/>
      <c r="I132" s="12"/>
      <c r="J132" s="13"/>
    </row>
    <row r="133" spans="1:10" ht="75" customHeight="1">
      <c r="A133" s="7"/>
      <c r="B133" s="18"/>
      <c r="C133" s="9"/>
      <c r="D133" s="10"/>
      <c r="E133" s="10"/>
      <c r="F133" s="10"/>
      <c r="G133" s="10"/>
      <c r="H133" s="10"/>
      <c r="I133" s="12"/>
      <c r="J133" s="13"/>
    </row>
    <row r="134" spans="1:10" ht="75" customHeight="1">
      <c r="A134" s="7"/>
      <c r="B134" s="18"/>
      <c r="C134" s="9"/>
      <c r="D134" s="10"/>
      <c r="E134" s="10"/>
      <c r="F134" s="10"/>
      <c r="G134" s="10"/>
      <c r="H134" s="10"/>
      <c r="I134" s="12"/>
      <c r="J134" s="13"/>
    </row>
    <row r="135" spans="1:10" ht="75" customHeight="1">
      <c r="A135" s="7"/>
      <c r="B135" s="18"/>
      <c r="C135" s="9"/>
      <c r="D135" s="10"/>
      <c r="E135" s="10"/>
      <c r="F135" s="10"/>
      <c r="G135" s="10"/>
      <c r="H135" s="10"/>
      <c r="I135" s="12"/>
      <c r="J135" s="13"/>
    </row>
    <row r="136" spans="1:10" ht="75" customHeight="1">
      <c r="A136" s="7"/>
      <c r="B136" s="18"/>
      <c r="C136" s="9"/>
      <c r="D136" s="10"/>
      <c r="E136" s="10"/>
      <c r="F136" s="10"/>
      <c r="G136" s="10"/>
      <c r="H136" s="10"/>
      <c r="I136" s="12"/>
      <c r="J136" s="13"/>
    </row>
    <row r="137" spans="1:10" ht="75" customHeight="1">
      <c r="A137" s="7"/>
      <c r="B137" s="18"/>
      <c r="C137" s="9"/>
      <c r="D137" s="10"/>
      <c r="E137" s="10"/>
      <c r="F137" s="10"/>
      <c r="G137" s="10"/>
      <c r="H137" s="10"/>
      <c r="I137" s="12"/>
      <c r="J137" s="13"/>
    </row>
    <row r="138" spans="1:10" ht="75" customHeight="1">
      <c r="A138" s="7"/>
      <c r="B138" s="18"/>
      <c r="C138" s="9"/>
      <c r="D138" s="10"/>
      <c r="E138" s="10"/>
      <c r="F138" s="10"/>
      <c r="G138" s="10"/>
      <c r="H138" s="10"/>
      <c r="I138" s="12"/>
      <c r="J138" s="13"/>
    </row>
    <row r="139" spans="1:10" ht="75" customHeight="1">
      <c r="A139" s="7"/>
      <c r="B139" s="18"/>
      <c r="C139" s="9"/>
      <c r="D139" s="10"/>
      <c r="E139" s="10"/>
      <c r="F139" s="10"/>
      <c r="G139" s="10"/>
      <c r="H139" s="10"/>
      <c r="I139" s="12"/>
      <c r="J139" s="13"/>
    </row>
    <row r="140" spans="1:10" ht="75" customHeight="1">
      <c r="A140" s="7"/>
      <c r="B140" s="18"/>
      <c r="C140" s="9"/>
      <c r="D140" s="10"/>
      <c r="E140" s="10"/>
      <c r="F140" s="10"/>
      <c r="G140" s="10"/>
      <c r="H140" s="10"/>
      <c r="I140" s="12"/>
      <c r="J140" s="13"/>
    </row>
    <row r="141" spans="1:10" ht="75" customHeight="1">
      <c r="A141" s="7"/>
      <c r="B141" s="18"/>
      <c r="C141" s="9"/>
      <c r="D141" s="10"/>
      <c r="E141" s="10"/>
      <c r="F141" s="10"/>
      <c r="G141" s="10"/>
      <c r="H141" s="10"/>
      <c r="I141" s="12"/>
      <c r="J141" s="13"/>
    </row>
    <row r="142" spans="1:10" ht="75" customHeight="1">
      <c r="A142" s="7"/>
      <c r="B142" s="18"/>
      <c r="C142" s="9"/>
      <c r="D142" s="10"/>
      <c r="E142" s="10"/>
      <c r="F142" s="10"/>
      <c r="G142" s="10"/>
      <c r="H142" s="10"/>
      <c r="I142" s="12"/>
      <c r="J142" s="13"/>
    </row>
    <row r="143" spans="1:10" ht="75" customHeight="1">
      <c r="A143" s="7"/>
      <c r="B143" s="18"/>
      <c r="C143" s="9"/>
      <c r="D143" s="10"/>
      <c r="E143" s="10"/>
      <c r="F143" s="10"/>
      <c r="G143" s="10"/>
      <c r="H143" s="10"/>
      <c r="I143" s="12"/>
      <c r="J143" s="13"/>
    </row>
    <row r="144" spans="1:10" ht="75" customHeight="1">
      <c r="A144" s="7"/>
      <c r="B144" s="18"/>
      <c r="C144" s="9"/>
      <c r="D144" s="10"/>
      <c r="E144" s="10"/>
      <c r="F144" s="10"/>
      <c r="G144" s="10"/>
      <c r="H144" s="10"/>
      <c r="I144" s="12"/>
      <c r="J144" s="13"/>
    </row>
    <row r="145" spans="1:10" ht="75" customHeight="1">
      <c r="A145" s="7"/>
      <c r="B145" s="18"/>
      <c r="C145" s="9"/>
      <c r="D145" s="10"/>
      <c r="E145" s="10"/>
      <c r="F145" s="10"/>
      <c r="G145" s="10"/>
      <c r="H145" s="10"/>
      <c r="I145" s="12"/>
      <c r="J145" s="13"/>
    </row>
    <row r="146" spans="1:10" ht="75" customHeight="1">
      <c r="A146" s="7"/>
      <c r="B146" s="18"/>
      <c r="C146" s="9"/>
      <c r="D146" s="10"/>
      <c r="E146" s="10"/>
      <c r="F146" s="10"/>
      <c r="G146" s="10"/>
      <c r="H146" s="10"/>
      <c r="I146" s="12"/>
      <c r="J146" s="13"/>
    </row>
    <row r="147" spans="1:10" ht="75" customHeight="1">
      <c r="A147" s="7"/>
      <c r="B147" s="18"/>
      <c r="C147" s="9"/>
      <c r="D147" s="10"/>
      <c r="E147" s="10"/>
      <c r="F147" s="10"/>
      <c r="G147" s="10"/>
      <c r="H147" s="10"/>
      <c r="I147" s="12"/>
      <c r="J147" s="13"/>
    </row>
    <row r="148" spans="1:10" ht="75" customHeight="1">
      <c r="A148" s="7"/>
      <c r="B148" s="18"/>
      <c r="C148" s="9"/>
      <c r="D148" s="10"/>
      <c r="E148" s="10"/>
      <c r="F148" s="10"/>
      <c r="G148" s="10"/>
      <c r="H148" s="10"/>
      <c r="I148" s="12"/>
      <c r="J148" s="13"/>
    </row>
    <row r="149" spans="1:10" ht="75" customHeight="1">
      <c r="A149" s="7"/>
      <c r="B149" s="18"/>
      <c r="C149" s="9"/>
      <c r="D149" s="10"/>
      <c r="E149" s="10"/>
      <c r="F149" s="10"/>
      <c r="G149" s="10"/>
      <c r="H149" s="10"/>
      <c r="I149" s="12"/>
      <c r="J149" s="13"/>
    </row>
    <row r="150" spans="1:10" ht="75" customHeight="1">
      <c r="A150" s="7"/>
      <c r="B150" s="18"/>
      <c r="C150" s="9"/>
      <c r="D150" s="10"/>
      <c r="E150" s="10"/>
      <c r="F150" s="10"/>
      <c r="G150" s="10"/>
      <c r="H150" s="10"/>
      <c r="I150" s="12"/>
      <c r="J150" s="13"/>
    </row>
    <row r="151" spans="1:10" ht="75" customHeight="1">
      <c r="A151" s="7"/>
      <c r="B151" s="18"/>
      <c r="C151" s="9"/>
      <c r="D151" s="10"/>
      <c r="E151" s="10"/>
      <c r="F151" s="10"/>
      <c r="G151" s="10"/>
      <c r="H151" s="10"/>
      <c r="I151" s="12"/>
      <c r="J151" s="13"/>
    </row>
    <row r="152" spans="1:10" ht="75" customHeight="1">
      <c r="A152" s="7"/>
      <c r="B152" s="18"/>
      <c r="C152" s="9"/>
      <c r="D152" s="10"/>
      <c r="E152" s="10"/>
      <c r="F152" s="10"/>
      <c r="G152" s="10"/>
      <c r="H152" s="10"/>
      <c r="I152" s="12"/>
      <c r="J152" s="13"/>
    </row>
    <row r="153" spans="1:10" ht="75" customHeight="1">
      <c r="A153" s="7"/>
      <c r="B153" s="18"/>
      <c r="C153" s="9"/>
      <c r="D153" s="10"/>
      <c r="E153" s="10"/>
      <c r="F153" s="10"/>
      <c r="G153" s="10"/>
      <c r="H153" s="10"/>
      <c r="I153" s="12"/>
      <c r="J153" s="13"/>
    </row>
    <row r="154" spans="1:10" ht="75" customHeight="1">
      <c r="A154" s="7"/>
      <c r="B154" s="18"/>
      <c r="C154" s="9"/>
      <c r="D154" s="10"/>
      <c r="E154" s="10"/>
      <c r="F154" s="10"/>
      <c r="G154" s="10"/>
      <c r="H154" s="10"/>
      <c r="I154" s="12"/>
      <c r="J154" s="13"/>
    </row>
    <row r="155" spans="1:10" ht="75" customHeight="1">
      <c r="A155" s="7"/>
      <c r="B155" s="18"/>
      <c r="C155" s="9"/>
      <c r="D155" s="10"/>
      <c r="E155" s="10"/>
      <c r="F155" s="10"/>
      <c r="G155" s="10"/>
      <c r="H155" s="10"/>
      <c r="I155" s="12"/>
      <c r="J155" s="13"/>
    </row>
    <row r="156" spans="1:10" ht="75" customHeight="1">
      <c r="A156" s="7"/>
      <c r="B156" s="18"/>
      <c r="C156" s="9"/>
      <c r="D156" s="10"/>
      <c r="E156" s="10"/>
      <c r="F156" s="10"/>
      <c r="G156" s="10"/>
      <c r="H156" s="10"/>
      <c r="I156" s="12"/>
      <c r="J156" s="13"/>
    </row>
    <row r="157" spans="1:10" ht="75" customHeight="1">
      <c r="A157" s="7"/>
      <c r="B157" s="18"/>
      <c r="C157" s="9"/>
      <c r="D157" s="10"/>
      <c r="E157" s="10"/>
      <c r="F157" s="10"/>
      <c r="G157" s="10"/>
      <c r="H157" s="10"/>
      <c r="I157" s="12"/>
      <c r="J157" s="13"/>
    </row>
    <row r="158" spans="1:10" ht="75" customHeight="1">
      <c r="A158" s="7"/>
      <c r="B158" s="18"/>
      <c r="C158" s="9"/>
      <c r="D158" s="10"/>
      <c r="E158" s="10"/>
      <c r="F158" s="10"/>
      <c r="G158" s="10"/>
      <c r="H158" s="10"/>
      <c r="I158" s="12"/>
      <c r="J158" s="13"/>
    </row>
    <row r="159" spans="1:10" ht="75" customHeight="1">
      <c r="A159" s="7"/>
      <c r="B159" s="18"/>
      <c r="C159" s="9"/>
      <c r="D159" s="10"/>
      <c r="E159" s="10"/>
      <c r="F159" s="10"/>
      <c r="G159" s="10"/>
      <c r="H159" s="10"/>
      <c r="I159" s="12"/>
      <c r="J159" s="13"/>
    </row>
    <row r="160" spans="1:10" ht="75" customHeight="1">
      <c r="A160" s="7"/>
      <c r="B160" s="18"/>
      <c r="C160" s="9"/>
      <c r="D160" s="10"/>
      <c r="E160" s="10"/>
      <c r="F160" s="10"/>
      <c r="G160" s="10"/>
      <c r="H160" s="10"/>
      <c r="I160" s="12"/>
      <c r="J160" s="13"/>
    </row>
    <row r="161" spans="1:10" ht="75" customHeight="1">
      <c r="A161" s="7"/>
      <c r="B161" s="18"/>
      <c r="C161" s="9"/>
      <c r="D161" s="10"/>
      <c r="E161" s="10"/>
      <c r="F161" s="10"/>
      <c r="G161" s="10"/>
      <c r="H161" s="10"/>
      <c r="I161" s="12"/>
      <c r="J161" s="13"/>
    </row>
    <row r="162" spans="1:10" ht="75" customHeight="1">
      <c r="A162" s="7"/>
      <c r="B162" s="18"/>
      <c r="C162" s="9"/>
      <c r="D162" s="10"/>
      <c r="E162" s="10"/>
      <c r="F162" s="10"/>
      <c r="G162" s="10"/>
      <c r="H162" s="10"/>
      <c r="I162" s="12"/>
      <c r="J162" s="13"/>
    </row>
    <row r="163" spans="1:10" ht="75" customHeight="1">
      <c r="A163" s="7"/>
      <c r="B163" s="18"/>
      <c r="C163" s="9"/>
      <c r="D163" s="10"/>
      <c r="E163" s="10"/>
      <c r="F163" s="10"/>
      <c r="G163" s="10"/>
      <c r="H163" s="10"/>
      <c r="I163" s="12"/>
      <c r="J163" s="13"/>
    </row>
    <row r="164" spans="1:10" ht="75" customHeight="1">
      <c r="A164" s="7"/>
      <c r="B164" s="18"/>
      <c r="C164" s="9"/>
      <c r="D164" s="10"/>
      <c r="E164" s="10"/>
      <c r="F164" s="10"/>
      <c r="G164" s="10"/>
      <c r="H164" s="10"/>
      <c r="I164" s="12"/>
      <c r="J164" s="13"/>
    </row>
    <row r="165" spans="1:10" ht="75" customHeight="1">
      <c r="A165" s="7"/>
      <c r="B165" s="18"/>
      <c r="C165" s="9"/>
      <c r="D165" s="10"/>
      <c r="E165" s="10"/>
      <c r="F165" s="10"/>
      <c r="G165" s="10"/>
      <c r="H165" s="10"/>
      <c r="I165" s="12"/>
      <c r="J165" s="13"/>
    </row>
    <row r="166" spans="1:10" ht="75" customHeight="1">
      <c r="A166" s="7"/>
      <c r="B166" s="18"/>
      <c r="C166" s="9"/>
      <c r="D166" s="10"/>
      <c r="E166" s="10"/>
      <c r="F166" s="10"/>
      <c r="G166" s="10"/>
      <c r="H166" s="10"/>
      <c r="I166" s="12"/>
      <c r="J166" s="13"/>
    </row>
    <row r="167" spans="1:10" ht="75" customHeight="1">
      <c r="A167" s="7"/>
      <c r="B167" s="18"/>
      <c r="C167" s="9"/>
      <c r="D167" s="10"/>
      <c r="E167" s="10"/>
      <c r="F167" s="10"/>
      <c r="G167" s="10"/>
      <c r="H167" s="10"/>
      <c r="I167" s="12"/>
      <c r="J167" s="13"/>
    </row>
    <row r="168" spans="1:10" ht="75" customHeight="1">
      <c r="A168" s="7"/>
      <c r="B168" s="18"/>
      <c r="C168" s="9"/>
      <c r="D168" s="10"/>
      <c r="E168" s="10"/>
      <c r="F168" s="10"/>
      <c r="G168" s="10"/>
      <c r="H168" s="10"/>
      <c r="I168" s="12"/>
      <c r="J168" s="13"/>
    </row>
    <row r="169" spans="1:10" ht="75" customHeight="1">
      <c r="A169" s="7"/>
      <c r="B169" s="18"/>
      <c r="C169" s="9"/>
      <c r="D169" s="10"/>
      <c r="E169" s="10"/>
      <c r="F169" s="10"/>
      <c r="G169" s="10"/>
      <c r="H169" s="10"/>
      <c r="I169" s="12"/>
      <c r="J169" s="13"/>
    </row>
    <row r="170" spans="1:10" ht="75" customHeight="1">
      <c r="A170" s="7"/>
      <c r="B170" s="18"/>
      <c r="C170" s="9"/>
      <c r="D170" s="10"/>
      <c r="E170" s="10"/>
      <c r="F170" s="10"/>
      <c r="G170" s="10"/>
      <c r="H170" s="10"/>
      <c r="I170" s="12"/>
      <c r="J170" s="13"/>
    </row>
    <row r="171" spans="1:10" ht="75" customHeight="1">
      <c r="A171" s="7"/>
      <c r="B171" s="18"/>
      <c r="C171" s="9"/>
      <c r="D171" s="10"/>
      <c r="E171" s="10"/>
      <c r="F171" s="10"/>
      <c r="G171" s="10"/>
      <c r="H171" s="10"/>
      <c r="I171" s="12"/>
      <c r="J171" s="13"/>
    </row>
    <row r="172" spans="1:10" ht="75" customHeight="1">
      <c r="A172" s="7"/>
      <c r="B172" s="18"/>
      <c r="C172" s="9"/>
      <c r="D172" s="10"/>
      <c r="E172" s="10"/>
      <c r="F172" s="10"/>
      <c r="G172" s="10"/>
      <c r="H172" s="10"/>
      <c r="I172" s="12"/>
      <c r="J172" s="13"/>
    </row>
    <row r="173" spans="1:10" ht="75" customHeight="1">
      <c r="A173" s="7"/>
      <c r="B173" s="18"/>
      <c r="C173" s="9"/>
      <c r="D173" s="10"/>
      <c r="E173" s="10"/>
      <c r="F173" s="10"/>
      <c r="G173" s="10"/>
      <c r="H173" s="10"/>
      <c r="I173" s="12"/>
      <c r="J173" s="13"/>
    </row>
    <row r="174" spans="1:10" ht="75" customHeight="1">
      <c r="A174" s="7"/>
      <c r="B174" s="18"/>
      <c r="C174" s="9"/>
      <c r="D174" s="10"/>
      <c r="E174" s="10"/>
      <c r="F174" s="10"/>
      <c r="G174" s="10"/>
      <c r="H174" s="10"/>
      <c r="I174" s="12"/>
      <c r="J174" s="13"/>
    </row>
    <row r="175" spans="1:10" ht="75" customHeight="1">
      <c r="A175" s="7"/>
      <c r="B175" s="18"/>
      <c r="C175" s="9"/>
      <c r="D175" s="10"/>
      <c r="E175" s="10"/>
      <c r="F175" s="10"/>
      <c r="G175" s="10"/>
      <c r="H175" s="10"/>
      <c r="I175" s="12"/>
      <c r="J175" s="13"/>
    </row>
    <row r="176" spans="1:10" ht="75" customHeight="1">
      <c r="A176" s="7"/>
      <c r="B176" s="18"/>
      <c r="C176" s="9"/>
      <c r="D176" s="10"/>
      <c r="E176" s="10"/>
      <c r="F176" s="10"/>
      <c r="G176" s="10"/>
      <c r="H176" s="10"/>
      <c r="I176" s="12"/>
      <c r="J176" s="13"/>
    </row>
    <row r="177" spans="1:10" ht="75" customHeight="1">
      <c r="A177" s="7"/>
      <c r="B177" s="18"/>
      <c r="C177" s="9"/>
      <c r="D177" s="10"/>
      <c r="E177" s="10"/>
      <c r="F177" s="10"/>
      <c r="G177" s="10"/>
      <c r="H177" s="10"/>
      <c r="I177" s="12"/>
      <c r="J177" s="13"/>
    </row>
    <row r="178" spans="1:10" ht="75" customHeight="1">
      <c r="A178" s="7"/>
      <c r="B178" s="18"/>
      <c r="C178" s="9"/>
      <c r="D178" s="10"/>
      <c r="E178" s="10"/>
      <c r="F178" s="10"/>
      <c r="G178" s="10"/>
      <c r="H178" s="10"/>
      <c r="I178" s="12"/>
      <c r="J178" s="13"/>
    </row>
    <row r="179" spans="1:10" ht="75" customHeight="1">
      <c r="A179" s="7"/>
      <c r="B179" s="18"/>
      <c r="C179" s="9"/>
      <c r="D179" s="10"/>
      <c r="E179" s="10"/>
      <c r="F179" s="10"/>
      <c r="G179" s="10"/>
      <c r="H179" s="10"/>
      <c r="I179" s="12"/>
      <c r="J179" s="13"/>
    </row>
    <row r="180" spans="1:10" ht="75" customHeight="1">
      <c r="A180" s="7"/>
      <c r="B180" s="18"/>
      <c r="C180" s="9"/>
      <c r="D180" s="10"/>
      <c r="E180" s="10"/>
      <c r="F180" s="10"/>
      <c r="G180" s="10"/>
      <c r="H180" s="10"/>
      <c r="I180" s="12"/>
      <c r="J180" s="13"/>
    </row>
    <row r="181" spans="1:10" ht="75" customHeight="1">
      <c r="A181" s="7"/>
      <c r="B181" s="18"/>
      <c r="C181" s="9"/>
      <c r="D181" s="10"/>
      <c r="E181" s="10"/>
      <c r="F181" s="10"/>
      <c r="G181" s="10"/>
      <c r="H181" s="10"/>
      <c r="I181" s="12"/>
      <c r="J181" s="13"/>
    </row>
    <row r="182" spans="1:10" ht="75" customHeight="1">
      <c r="A182" s="7"/>
      <c r="B182" s="18"/>
      <c r="C182" s="9"/>
      <c r="D182" s="10"/>
      <c r="E182" s="10"/>
      <c r="F182" s="10"/>
      <c r="G182" s="10"/>
      <c r="H182" s="10"/>
      <c r="I182" s="12"/>
      <c r="J182" s="13"/>
    </row>
    <row r="183" spans="1:10" ht="75" customHeight="1">
      <c r="A183" s="7"/>
      <c r="B183" s="18"/>
      <c r="C183" s="9"/>
      <c r="D183" s="10"/>
      <c r="E183" s="10"/>
      <c r="F183" s="10"/>
      <c r="G183" s="10"/>
      <c r="H183" s="10"/>
      <c r="I183" s="12"/>
      <c r="J183" s="13"/>
    </row>
    <row r="184" spans="1:10" ht="75" customHeight="1">
      <c r="A184" s="7"/>
      <c r="B184" s="18"/>
      <c r="C184" s="9"/>
      <c r="D184" s="10"/>
      <c r="E184" s="10"/>
      <c r="F184" s="10"/>
      <c r="G184" s="10"/>
      <c r="H184" s="10"/>
      <c r="I184" s="12"/>
      <c r="J184" s="13"/>
    </row>
    <row r="185" spans="1:10" ht="75" customHeight="1">
      <c r="A185" s="7"/>
      <c r="B185" s="18"/>
      <c r="C185" s="9"/>
      <c r="D185" s="10"/>
      <c r="E185" s="10"/>
      <c r="F185" s="10"/>
      <c r="G185" s="10"/>
      <c r="H185" s="10"/>
      <c r="I185" s="12"/>
      <c r="J185" s="13"/>
    </row>
    <row r="186" spans="1:10" ht="75" customHeight="1">
      <c r="A186" s="7"/>
      <c r="B186" s="18"/>
      <c r="C186" s="9"/>
      <c r="D186" s="10"/>
      <c r="E186" s="10"/>
      <c r="F186" s="10"/>
      <c r="G186" s="10"/>
      <c r="H186" s="10"/>
      <c r="I186" s="12"/>
      <c r="J186" s="13"/>
    </row>
    <row r="187" spans="1:10" ht="75" customHeight="1">
      <c r="A187" s="7"/>
      <c r="B187" s="18"/>
      <c r="C187" s="9"/>
      <c r="D187" s="10"/>
      <c r="E187" s="10"/>
      <c r="F187" s="10"/>
      <c r="G187" s="10"/>
      <c r="H187" s="10"/>
      <c r="I187" s="12"/>
      <c r="J187" s="13"/>
    </row>
    <row r="188" spans="1:10" ht="75" customHeight="1">
      <c r="A188" s="7"/>
      <c r="B188" s="18"/>
      <c r="C188" s="9"/>
      <c r="D188" s="10"/>
      <c r="E188" s="10"/>
      <c r="F188" s="10"/>
      <c r="G188" s="10"/>
      <c r="H188" s="10"/>
      <c r="I188" s="12"/>
      <c r="J188" s="13"/>
    </row>
    <row r="189" spans="1:10" ht="75" customHeight="1">
      <c r="A189" s="7"/>
      <c r="B189" s="18"/>
      <c r="C189" s="9"/>
      <c r="D189" s="10"/>
      <c r="E189" s="10"/>
      <c r="F189" s="10"/>
      <c r="G189" s="10"/>
      <c r="H189" s="10"/>
      <c r="I189" s="12"/>
      <c r="J189" s="13"/>
    </row>
    <row r="190" spans="1:10" ht="75" customHeight="1">
      <c r="A190" s="7"/>
      <c r="B190" s="18"/>
      <c r="C190" s="9"/>
      <c r="D190" s="10"/>
      <c r="E190" s="10"/>
      <c r="F190" s="10"/>
      <c r="G190" s="10"/>
      <c r="H190" s="10"/>
      <c r="I190" s="12"/>
      <c r="J190" s="13"/>
    </row>
    <row r="191" spans="1:10" ht="75" customHeight="1">
      <c r="A191" s="7"/>
      <c r="B191" s="18"/>
      <c r="C191" s="9"/>
      <c r="D191" s="10"/>
      <c r="E191" s="10"/>
      <c r="F191" s="10"/>
      <c r="G191" s="10"/>
      <c r="H191" s="10"/>
      <c r="I191" s="12"/>
      <c r="J191" s="13"/>
    </row>
    <row r="192" spans="1:10" ht="75" customHeight="1">
      <c r="A192" s="7"/>
      <c r="B192" s="18"/>
      <c r="C192" s="9"/>
      <c r="D192" s="10"/>
      <c r="E192" s="10"/>
      <c r="F192" s="10"/>
      <c r="G192" s="10"/>
      <c r="H192" s="10"/>
      <c r="I192" s="12"/>
      <c r="J192" s="13"/>
    </row>
    <row r="193" spans="1:10" ht="75" customHeight="1">
      <c r="A193" s="7"/>
      <c r="B193" s="18"/>
      <c r="C193" s="9"/>
      <c r="D193" s="10"/>
      <c r="E193" s="10"/>
      <c r="F193" s="10"/>
      <c r="G193" s="10"/>
      <c r="H193" s="10"/>
      <c r="I193" s="12"/>
      <c r="J193" s="13"/>
    </row>
    <row r="194" spans="1:10" ht="75" customHeight="1">
      <c r="A194" s="7"/>
      <c r="B194" s="18"/>
      <c r="C194" s="9"/>
      <c r="D194" s="10"/>
      <c r="E194" s="10"/>
      <c r="F194" s="10"/>
      <c r="G194" s="10"/>
      <c r="H194" s="10"/>
      <c r="I194" s="12"/>
      <c r="J194" s="13"/>
    </row>
    <row r="195" spans="1:10" ht="75" customHeight="1">
      <c r="A195" s="7"/>
      <c r="B195" s="18"/>
      <c r="C195" s="9"/>
      <c r="D195" s="10"/>
      <c r="E195" s="10"/>
      <c r="F195" s="10"/>
      <c r="G195" s="10"/>
      <c r="H195" s="10"/>
      <c r="I195" s="12"/>
      <c r="J195" s="13"/>
    </row>
    <row r="196" spans="1:10" ht="75" customHeight="1">
      <c r="A196" s="7"/>
      <c r="B196" s="18"/>
      <c r="C196" s="9"/>
      <c r="D196" s="10"/>
      <c r="E196" s="10"/>
      <c r="F196" s="10"/>
      <c r="G196" s="10"/>
      <c r="H196" s="10"/>
      <c r="I196" s="12"/>
      <c r="J196" s="13"/>
    </row>
    <row r="197" spans="1:10" ht="75" customHeight="1">
      <c r="A197" s="7"/>
      <c r="B197" s="18"/>
      <c r="C197" s="9"/>
      <c r="D197" s="10"/>
      <c r="E197" s="10"/>
      <c r="F197" s="10"/>
      <c r="G197" s="10"/>
      <c r="H197" s="10"/>
      <c r="I197" s="12"/>
      <c r="J197" s="13"/>
    </row>
    <row r="198" spans="1:10" ht="75" customHeight="1">
      <c r="A198" s="7"/>
      <c r="B198" s="18"/>
      <c r="C198" s="9"/>
      <c r="D198" s="10"/>
      <c r="E198" s="10"/>
      <c r="F198" s="10"/>
      <c r="G198" s="10"/>
      <c r="H198" s="10"/>
      <c r="I198" s="12"/>
      <c r="J198" s="13"/>
    </row>
    <row r="199" spans="1:10" ht="75" customHeight="1">
      <c r="A199" s="7"/>
      <c r="B199" s="18"/>
      <c r="C199" s="9"/>
      <c r="D199" s="10"/>
      <c r="E199" s="10"/>
      <c r="F199" s="10"/>
      <c r="G199" s="10"/>
      <c r="H199" s="10"/>
      <c r="I199" s="12"/>
      <c r="J199" s="13"/>
    </row>
    <row r="200" spans="1:10" ht="75" customHeight="1">
      <c r="A200" s="7"/>
      <c r="B200" s="18"/>
      <c r="C200" s="9"/>
      <c r="D200" s="10"/>
      <c r="E200" s="10"/>
      <c r="F200" s="10"/>
      <c r="G200" s="10"/>
      <c r="H200" s="10"/>
      <c r="I200" s="12"/>
      <c r="J200" s="13"/>
    </row>
    <row r="201" spans="1:10" ht="75" customHeight="1">
      <c r="A201" s="7"/>
      <c r="B201" s="18"/>
      <c r="C201" s="9"/>
      <c r="D201" s="10"/>
      <c r="E201" s="10"/>
      <c r="F201" s="10"/>
      <c r="G201" s="10"/>
      <c r="H201" s="10"/>
      <c r="I201" s="12"/>
      <c r="J201" s="13"/>
    </row>
    <row r="202" spans="1:10" ht="75" customHeight="1">
      <c r="A202" s="7"/>
      <c r="B202" s="18"/>
      <c r="C202" s="9"/>
      <c r="D202" s="10"/>
      <c r="E202" s="10"/>
      <c r="F202" s="10"/>
      <c r="G202" s="10"/>
      <c r="H202" s="10"/>
      <c r="I202" s="12"/>
      <c r="J202" s="13"/>
    </row>
    <row r="203" spans="1:10" ht="75" customHeight="1">
      <c r="A203" s="7"/>
      <c r="B203" s="18"/>
      <c r="C203" s="9"/>
      <c r="D203" s="10"/>
      <c r="E203" s="10"/>
      <c r="F203" s="10"/>
      <c r="G203" s="10"/>
      <c r="H203" s="10"/>
      <c r="I203" s="12"/>
      <c r="J203" s="13"/>
    </row>
    <row r="204" spans="1:10" ht="75" customHeight="1">
      <c r="A204" s="7"/>
      <c r="B204" s="18"/>
      <c r="C204" s="9"/>
      <c r="D204" s="10"/>
      <c r="E204" s="10"/>
      <c r="F204" s="10"/>
      <c r="G204" s="10"/>
      <c r="H204" s="10"/>
      <c r="I204" s="12"/>
      <c r="J204" s="13"/>
    </row>
    <row r="205" spans="1:10" ht="75" customHeight="1">
      <c r="A205" s="7"/>
      <c r="B205" s="18"/>
      <c r="C205" s="9"/>
      <c r="D205" s="10"/>
      <c r="E205" s="10"/>
      <c r="F205" s="10"/>
      <c r="G205" s="10"/>
      <c r="H205" s="10"/>
      <c r="I205" s="12"/>
      <c r="J205" s="13"/>
    </row>
    <row r="206" spans="1:10" ht="75" customHeight="1">
      <c r="A206" s="7"/>
      <c r="B206" s="18"/>
      <c r="C206" s="9"/>
      <c r="D206" s="10"/>
      <c r="E206" s="10"/>
      <c r="F206" s="10"/>
      <c r="G206" s="10"/>
      <c r="H206" s="10"/>
      <c r="I206" s="12"/>
      <c r="J206" s="13"/>
    </row>
    <row r="207" spans="1:10" ht="75" customHeight="1">
      <c r="A207" s="7"/>
      <c r="B207" s="18"/>
      <c r="C207" s="9"/>
      <c r="D207" s="10"/>
      <c r="E207" s="10"/>
      <c r="F207" s="10"/>
      <c r="G207" s="10"/>
      <c r="H207" s="10"/>
      <c r="I207" s="12"/>
      <c r="J207" s="13"/>
    </row>
    <row r="208" spans="1:10" ht="75" customHeight="1">
      <c r="A208" s="7"/>
      <c r="B208" s="18"/>
      <c r="C208" s="9"/>
      <c r="D208" s="10"/>
      <c r="E208" s="10"/>
      <c r="F208" s="10"/>
      <c r="G208" s="10"/>
      <c r="H208" s="10"/>
      <c r="I208" s="12"/>
      <c r="J208" s="13"/>
    </row>
    <row r="209" spans="1:10" ht="75" customHeight="1">
      <c r="A209" s="7"/>
      <c r="B209" s="18"/>
      <c r="C209" s="9"/>
      <c r="D209" s="10"/>
      <c r="E209" s="10"/>
      <c r="F209" s="10"/>
      <c r="G209" s="10"/>
      <c r="H209" s="10"/>
      <c r="I209" s="12"/>
      <c r="J209" s="13"/>
    </row>
    <row r="210" spans="1:10" ht="75" customHeight="1">
      <c r="A210" s="7"/>
      <c r="B210" s="18"/>
      <c r="C210" s="9"/>
      <c r="D210" s="10"/>
      <c r="E210" s="10"/>
      <c r="F210" s="10"/>
      <c r="G210" s="10"/>
      <c r="H210" s="10"/>
      <c r="I210" s="12"/>
      <c r="J210" s="13"/>
    </row>
    <row r="211" spans="1:10" ht="75" customHeight="1">
      <c r="A211" s="7"/>
      <c r="B211" s="18"/>
      <c r="C211" s="9"/>
      <c r="D211" s="10"/>
      <c r="E211" s="10"/>
      <c r="F211" s="10"/>
      <c r="G211" s="10"/>
      <c r="H211" s="10"/>
      <c r="I211" s="12"/>
      <c r="J211" s="13"/>
    </row>
    <row r="212" spans="1:10" ht="75" customHeight="1">
      <c r="A212" s="7"/>
      <c r="B212" s="18"/>
      <c r="C212" s="9"/>
      <c r="D212" s="10"/>
      <c r="E212" s="10"/>
      <c r="F212" s="10"/>
      <c r="G212" s="10"/>
      <c r="H212" s="10"/>
      <c r="I212" s="12"/>
      <c r="J212" s="13"/>
    </row>
    <row r="213" spans="1:10" ht="75" customHeight="1">
      <c r="A213" s="7"/>
      <c r="B213" s="18"/>
      <c r="C213" s="9"/>
      <c r="D213" s="10"/>
      <c r="E213" s="10"/>
      <c r="F213" s="10"/>
      <c r="G213" s="10"/>
      <c r="H213" s="10"/>
      <c r="I213" s="12"/>
      <c r="J213" s="13"/>
    </row>
    <row r="214" spans="1:10" ht="75" customHeight="1">
      <c r="A214" s="7"/>
      <c r="B214" s="18"/>
      <c r="C214" s="9"/>
      <c r="D214" s="10"/>
      <c r="E214" s="10"/>
      <c r="F214" s="10"/>
      <c r="G214" s="10"/>
      <c r="H214" s="10"/>
      <c r="I214" s="12"/>
      <c r="J214" s="13"/>
    </row>
    <row r="215" spans="1:10" ht="75" customHeight="1">
      <c r="A215" s="7"/>
      <c r="B215" s="18"/>
      <c r="C215" s="9"/>
      <c r="D215" s="10"/>
      <c r="E215" s="10"/>
      <c r="F215" s="10"/>
      <c r="G215" s="10"/>
      <c r="H215" s="10"/>
      <c r="I215" s="12"/>
      <c r="J215" s="13"/>
    </row>
    <row r="216" spans="1:10" ht="75" customHeight="1">
      <c r="A216" s="7"/>
      <c r="B216" s="18"/>
      <c r="C216" s="9"/>
      <c r="D216" s="10"/>
      <c r="E216" s="10"/>
      <c r="F216" s="10"/>
      <c r="G216" s="10"/>
      <c r="H216" s="10"/>
      <c r="I216" s="12"/>
      <c r="J216" s="13"/>
    </row>
    <row r="217" spans="1:10" ht="75" customHeight="1">
      <c r="A217" s="7"/>
      <c r="B217" s="18"/>
      <c r="C217" s="9"/>
      <c r="D217" s="10"/>
      <c r="E217" s="10"/>
      <c r="F217" s="10"/>
      <c r="G217" s="10"/>
      <c r="H217" s="10"/>
      <c r="I217" s="12"/>
      <c r="J217" s="13"/>
    </row>
    <row r="218" spans="1:10" ht="75" customHeight="1">
      <c r="A218" s="7"/>
      <c r="B218" s="18"/>
      <c r="C218" s="9"/>
      <c r="D218" s="10"/>
      <c r="E218" s="10"/>
      <c r="F218" s="10"/>
      <c r="G218" s="10"/>
      <c r="H218" s="10"/>
      <c r="I218" s="12"/>
      <c r="J218" s="13"/>
    </row>
    <row r="219" spans="1:10" ht="75" customHeight="1">
      <c r="A219" s="7"/>
      <c r="B219" s="18"/>
      <c r="C219" s="9"/>
      <c r="D219" s="10"/>
      <c r="E219" s="10"/>
      <c r="F219" s="10"/>
      <c r="G219" s="10"/>
      <c r="H219" s="10"/>
      <c r="I219" s="12"/>
      <c r="J219" s="13"/>
    </row>
    <row r="220" spans="1:10" ht="75" customHeight="1">
      <c r="A220" s="7"/>
      <c r="B220" s="18"/>
      <c r="C220" s="9"/>
      <c r="D220" s="10"/>
      <c r="E220" s="10"/>
      <c r="F220" s="10"/>
      <c r="G220" s="10"/>
      <c r="H220" s="10"/>
      <c r="I220" s="12"/>
      <c r="J220" s="13"/>
    </row>
    <row r="221" spans="1:10" ht="75" customHeight="1">
      <c r="A221" s="7"/>
      <c r="B221" s="18"/>
      <c r="C221" s="9"/>
      <c r="D221" s="10"/>
      <c r="E221" s="10"/>
      <c r="F221" s="10"/>
      <c r="G221" s="10"/>
      <c r="H221" s="10"/>
      <c r="I221" s="12"/>
      <c r="J221" s="13"/>
    </row>
    <row r="222" spans="1:10" ht="75" customHeight="1">
      <c r="A222" s="7"/>
      <c r="B222" s="18"/>
      <c r="C222" s="9"/>
      <c r="D222" s="10"/>
      <c r="E222" s="10"/>
      <c r="F222" s="10"/>
      <c r="G222" s="10"/>
      <c r="H222" s="10"/>
      <c r="I222" s="12"/>
      <c r="J222" s="13"/>
    </row>
    <row r="223" spans="1:10" ht="75" customHeight="1">
      <c r="A223" s="7"/>
      <c r="B223" s="18"/>
      <c r="C223" s="9"/>
      <c r="D223" s="10"/>
      <c r="E223" s="10"/>
      <c r="F223" s="10"/>
      <c r="G223" s="10"/>
      <c r="H223" s="10"/>
      <c r="I223" s="12"/>
      <c r="J223" s="13"/>
    </row>
    <row r="224" spans="1:10" ht="75" customHeight="1">
      <c r="A224" s="7"/>
      <c r="B224" s="18"/>
      <c r="C224" s="9"/>
      <c r="D224" s="10"/>
      <c r="E224" s="10"/>
      <c r="F224" s="10"/>
      <c r="G224" s="10"/>
      <c r="H224" s="10"/>
      <c r="I224" s="12"/>
      <c r="J224" s="13"/>
    </row>
    <row r="225" spans="1:10" ht="75" customHeight="1">
      <c r="A225" s="7"/>
      <c r="B225" s="18"/>
      <c r="C225" s="9"/>
      <c r="D225" s="10"/>
      <c r="E225" s="10"/>
      <c r="F225" s="10"/>
      <c r="G225" s="10"/>
      <c r="H225" s="10"/>
      <c r="I225" s="12"/>
      <c r="J225" s="13"/>
    </row>
    <row r="226" spans="1:10" ht="75" customHeight="1">
      <c r="A226" s="7"/>
      <c r="B226" s="18"/>
      <c r="C226" s="9"/>
      <c r="D226" s="10"/>
      <c r="E226" s="10"/>
      <c r="F226" s="10"/>
      <c r="G226" s="10"/>
      <c r="H226" s="10"/>
      <c r="I226" s="12"/>
      <c r="J226" s="13"/>
    </row>
    <row r="227" spans="1:10" ht="75" customHeight="1">
      <c r="A227" s="7"/>
      <c r="B227" s="18"/>
      <c r="C227" s="9"/>
      <c r="D227" s="10"/>
      <c r="E227" s="10"/>
      <c r="F227" s="10"/>
      <c r="G227" s="10"/>
      <c r="H227" s="10"/>
      <c r="I227" s="12"/>
      <c r="J227" s="13"/>
    </row>
    <row r="228" spans="1:10" ht="75" customHeight="1">
      <c r="A228" s="7"/>
      <c r="B228" s="18"/>
      <c r="C228" s="9"/>
      <c r="D228" s="10"/>
      <c r="E228" s="10"/>
      <c r="F228" s="10"/>
      <c r="G228" s="10"/>
      <c r="H228" s="10"/>
      <c r="I228" s="12"/>
      <c r="J228" s="13"/>
    </row>
    <row r="229" spans="1:10" ht="75" customHeight="1">
      <c r="A229" s="7"/>
      <c r="B229" s="18"/>
      <c r="C229" s="9"/>
      <c r="D229" s="10"/>
      <c r="E229" s="10"/>
      <c r="F229" s="10"/>
      <c r="G229" s="10"/>
      <c r="H229" s="10"/>
      <c r="I229" s="12"/>
      <c r="J229" s="13"/>
    </row>
    <row r="230" spans="1:10" ht="75" customHeight="1">
      <c r="A230" s="7"/>
      <c r="B230" s="18"/>
      <c r="C230" s="9"/>
      <c r="D230" s="10"/>
      <c r="E230" s="10"/>
      <c r="F230" s="10"/>
      <c r="G230" s="10"/>
      <c r="H230" s="10"/>
      <c r="I230" s="12"/>
      <c r="J230" s="13"/>
    </row>
    <row r="231" spans="1:10" ht="75" customHeight="1">
      <c r="A231" s="7"/>
      <c r="B231" s="18"/>
      <c r="C231" s="9"/>
      <c r="D231" s="10"/>
      <c r="E231" s="10"/>
      <c r="F231" s="10"/>
      <c r="G231" s="10"/>
      <c r="H231" s="10"/>
      <c r="I231" s="12"/>
      <c r="J231" s="13"/>
    </row>
    <row r="232" spans="1:10" ht="75" customHeight="1">
      <c r="A232" s="7"/>
      <c r="B232" s="18"/>
      <c r="C232" s="9"/>
      <c r="D232" s="10"/>
      <c r="E232" s="10"/>
      <c r="F232" s="10"/>
      <c r="G232" s="10"/>
      <c r="H232" s="10"/>
      <c r="I232" s="12"/>
      <c r="J232" s="13"/>
    </row>
    <row r="233" spans="1:10" ht="75" customHeight="1">
      <c r="A233" s="7"/>
      <c r="B233" s="18"/>
      <c r="C233" s="9"/>
      <c r="D233" s="10"/>
      <c r="E233" s="10"/>
      <c r="F233" s="10"/>
      <c r="G233" s="10"/>
      <c r="H233" s="10"/>
      <c r="I233" s="12"/>
      <c r="J233" s="13"/>
    </row>
    <row r="234" spans="1:10" ht="75" customHeight="1">
      <c r="A234" s="7"/>
      <c r="B234" s="18"/>
      <c r="C234" s="9"/>
      <c r="D234" s="10"/>
      <c r="E234" s="10"/>
      <c r="F234" s="10"/>
      <c r="G234" s="10"/>
      <c r="H234" s="10"/>
      <c r="I234" s="12"/>
      <c r="J234" s="13"/>
    </row>
    <row r="235" spans="1:10" ht="75" customHeight="1">
      <c r="A235" s="7"/>
      <c r="B235" s="18"/>
      <c r="C235" s="9"/>
      <c r="D235" s="10"/>
      <c r="E235" s="10"/>
      <c r="F235" s="10"/>
      <c r="G235" s="10"/>
      <c r="H235" s="10"/>
      <c r="I235" s="12"/>
      <c r="J235" s="13"/>
    </row>
    <row r="236" spans="1:10" ht="75" customHeight="1">
      <c r="A236" s="7"/>
      <c r="B236" s="18"/>
      <c r="C236" s="9"/>
      <c r="D236" s="10"/>
      <c r="E236" s="10"/>
      <c r="F236" s="10"/>
      <c r="G236" s="10"/>
      <c r="H236" s="10"/>
      <c r="I236" s="12"/>
      <c r="J236" s="13"/>
    </row>
    <row r="237" spans="1:10" ht="75" customHeight="1">
      <c r="A237" s="7"/>
      <c r="B237" s="18"/>
      <c r="C237" s="9"/>
      <c r="D237" s="10"/>
      <c r="E237" s="10"/>
      <c r="F237" s="10"/>
      <c r="G237" s="10"/>
      <c r="H237" s="10"/>
      <c r="I237" s="12"/>
      <c r="J237" s="13"/>
    </row>
    <row r="238" spans="1:10" ht="75" customHeight="1">
      <c r="A238" s="7"/>
      <c r="B238" s="18"/>
      <c r="C238" s="9"/>
      <c r="D238" s="10"/>
      <c r="E238" s="10"/>
      <c r="F238" s="10"/>
      <c r="G238" s="10"/>
      <c r="H238" s="10"/>
      <c r="I238" s="12"/>
      <c r="J238" s="13"/>
    </row>
    <row r="239" spans="1:10" ht="75" customHeight="1">
      <c r="A239" s="7"/>
      <c r="B239" s="18"/>
      <c r="C239" s="9"/>
      <c r="D239" s="10"/>
      <c r="E239" s="10"/>
      <c r="F239" s="10"/>
      <c r="G239" s="10"/>
      <c r="H239" s="10"/>
      <c r="I239" s="12"/>
      <c r="J239" s="13"/>
    </row>
    <row r="240" spans="1:10" ht="75" customHeight="1">
      <c r="A240" s="7"/>
      <c r="B240" s="18"/>
      <c r="C240" s="9"/>
      <c r="D240" s="10"/>
      <c r="E240" s="10"/>
      <c r="F240" s="10"/>
      <c r="G240" s="10"/>
      <c r="H240" s="10"/>
      <c r="I240" s="12"/>
      <c r="J240" s="13"/>
    </row>
    <row r="241" spans="1:10" ht="75" customHeight="1">
      <c r="A241" s="7"/>
      <c r="B241" s="18"/>
      <c r="C241" s="9"/>
      <c r="D241" s="10"/>
      <c r="E241" s="10"/>
      <c r="F241" s="10"/>
      <c r="G241" s="10"/>
      <c r="H241" s="10"/>
      <c r="I241" s="12"/>
      <c r="J241" s="13"/>
    </row>
    <row r="242" spans="1:10" ht="75" customHeight="1">
      <c r="A242" s="7"/>
      <c r="B242" s="18"/>
      <c r="C242" s="9"/>
      <c r="D242" s="10"/>
      <c r="E242" s="10"/>
      <c r="F242" s="10"/>
      <c r="G242" s="10"/>
      <c r="H242" s="10"/>
      <c r="I242" s="12"/>
      <c r="J242" s="13"/>
    </row>
    <row r="243" spans="1:10" ht="75" customHeight="1">
      <c r="A243" s="7"/>
      <c r="B243" s="18"/>
      <c r="C243" s="9"/>
      <c r="D243" s="10"/>
      <c r="E243" s="10"/>
      <c r="F243" s="10"/>
      <c r="G243" s="10"/>
      <c r="H243" s="10"/>
      <c r="I243" s="12"/>
      <c r="J243" s="13"/>
    </row>
    <row r="244" spans="1:10" ht="75" customHeight="1">
      <c r="A244" s="7"/>
      <c r="B244" s="18"/>
      <c r="C244" s="9"/>
      <c r="D244" s="10"/>
      <c r="E244" s="10"/>
      <c r="F244" s="10"/>
      <c r="G244" s="10"/>
      <c r="H244" s="10"/>
      <c r="I244" s="12"/>
      <c r="J244" s="13"/>
    </row>
    <row r="245" spans="1:10" ht="75" customHeight="1">
      <c r="A245" s="7"/>
      <c r="B245" s="18"/>
      <c r="C245" s="9"/>
      <c r="D245" s="10"/>
      <c r="E245" s="10"/>
      <c r="F245" s="10"/>
      <c r="G245" s="10"/>
      <c r="H245" s="10"/>
      <c r="I245" s="12"/>
      <c r="J245" s="13"/>
    </row>
    <row r="246" spans="1:10" ht="75" customHeight="1">
      <c r="A246" s="7"/>
      <c r="B246" s="18"/>
      <c r="C246" s="9"/>
      <c r="D246" s="10"/>
      <c r="E246" s="10"/>
      <c r="F246" s="10"/>
      <c r="G246" s="10"/>
      <c r="H246" s="10"/>
      <c r="I246" s="12"/>
      <c r="J246" s="13"/>
    </row>
    <row r="247" spans="1:10" ht="75" customHeight="1">
      <c r="A247" s="7"/>
      <c r="B247" s="18"/>
      <c r="C247" s="9"/>
      <c r="D247" s="10"/>
      <c r="E247" s="10"/>
      <c r="F247" s="10"/>
      <c r="G247" s="10"/>
      <c r="H247" s="10"/>
      <c r="I247" s="12"/>
      <c r="J247" s="13"/>
    </row>
    <row r="248" spans="1:10" ht="75" customHeight="1">
      <c r="A248" s="7"/>
      <c r="B248" s="18"/>
      <c r="C248" s="9"/>
      <c r="D248" s="10"/>
      <c r="E248" s="10"/>
      <c r="F248" s="10"/>
      <c r="G248" s="10"/>
      <c r="H248" s="10"/>
      <c r="I248" s="12"/>
      <c r="J248" s="13"/>
    </row>
    <row r="249" spans="1:10" ht="75" customHeight="1">
      <c r="A249" s="7"/>
      <c r="B249" s="18"/>
      <c r="C249" s="9"/>
      <c r="D249" s="10"/>
      <c r="E249" s="10"/>
      <c r="F249" s="10"/>
      <c r="G249" s="10"/>
      <c r="H249" s="10"/>
      <c r="I249" s="12"/>
      <c r="J249" s="13"/>
    </row>
    <row r="250" spans="1:10" ht="75" customHeight="1">
      <c r="A250" s="7"/>
      <c r="B250" s="18"/>
      <c r="C250" s="9"/>
      <c r="D250" s="10"/>
      <c r="E250" s="10"/>
      <c r="F250" s="10"/>
      <c r="G250" s="10"/>
      <c r="H250" s="10"/>
      <c r="I250" s="12"/>
      <c r="J250" s="13"/>
    </row>
    <row r="251" spans="1:10" ht="75" customHeight="1">
      <c r="A251" s="7"/>
      <c r="B251" s="18"/>
      <c r="C251" s="9"/>
      <c r="D251" s="10"/>
      <c r="E251" s="10"/>
      <c r="F251" s="10"/>
      <c r="G251" s="10"/>
      <c r="H251" s="10"/>
      <c r="I251" s="12"/>
      <c r="J251" s="13"/>
    </row>
    <row r="252" spans="1:10" ht="75" customHeight="1">
      <c r="A252" s="7"/>
      <c r="B252" s="18"/>
      <c r="C252" s="9"/>
      <c r="D252" s="10"/>
      <c r="E252" s="10"/>
      <c r="F252" s="10"/>
      <c r="G252" s="10"/>
      <c r="H252" s="10"/>
      <c r="I252" s="12"/>
      <c r="J252" s="13"/>
    </row>
    <row r="253" spans="1:10" ht="75" customHeight="1">
      <c r="A253" s="7"/>
      <c r="B253" s="18"/>
      <c r="C253" s="9"/>
      <c r="D253" s="10"/>
      <c r="E253" s="10"/>
      <c r="F253" s="10"/>
      <c r="G253" s="10"/>
      <c r="H253" s="10"/>
      <c r="I253" s="12"/>
      <c r="J253" s="13"/>
    </row>
    <row r="254" spans="1:10" ht="75" customHeight="1">
      <c r="A254" s="7"/>
      <c r="B254" s="18"/>
      <c r="C254" s="9"/>
      <c r="D254" s="10"/>
      <c r="E254" s="10"/>
      <c r="F254" s="10"/>
      <c r="G254" s="10"/>
      <c r="H254" s="10"/>
      <c r="I254" s="12"/>
      <c r="J254" s="13"/>
    </row>
    <row r="255" spans="1:10" ht="75" customHeight="1">
      <c r="A255" s="7"/>
      <c r="B255" s="18"/>
      <c r="C255" s="9"/>
      <c r="D255" s="10"/>
      <c r="E255" s="10"/>
      <c r="F255" s="10"/>
      <c r="G255" s="10"/>
      <c r="H255" s="10"/>
      <c r="I255" s="12"/>
      <c r="J255" s="13"/>
    </row>
    <row r="256" spans="1:10" ht="75" customHeight="1">
      <c r="A256" s="7"/>
      <c r="B256" s="18"/>
      <c r="C256" s="9"/>
      <c r="D256" s="10"/>
      <c r="E256" s="10"/>
      <c r="F256" s="10"/>
      <c r="G256" s="10"/>
      <c r="H256" s="10"/>
      <c r="I256" s="12"/>
      <c r="J256" s="13"/>
    </row>
    <row r="257" spans="1:10" ht="75" customHeight="1">
      <c r="A257" s="7"/>
      <c r="B257" s="18"/>
      <c r="C257" s="9"/>
      <c r="D257" s="10"/>
      <c r="E257" s="10"/>
      <c r="F257" s="10"/>
      <c r="G257" s="10"/>
      <c r="H257" s="10"/>
      <c r="I257" s="12"/>
      <c r="J257" s="13"/>
    </row>
    <row r="258" spans="1:10" ht="75" customHeight="1">
      <c r="A258" s="7"/>
      <c r="B258" s="18"/>
      <c r="C258" s="9"/>
      <c r="D258" s="10"/>
      <c r="E258" s="10"/>
      <c r="F258" s="10"/>
      <c r="G258" s="10"/>
      <c r="H258" s="10"/>
      <c r="I258" s="12"/>
      <c r="J258" s="13"/>
    </row>
    <row r="259" spans="1:10" ht="75" customHeight="1">
      <c r="A259" s="7"/>
      <c r="B259" s="18"/>
      <c r="C259" s="9"/>
      <c r="D259" s="10"/>
      <c r="E259" s="10"/>
      <c r="F259" s="10"/>
      <c r="G259" s="10"/>
      <c r="H259" s="10"/>
      <c r="I259" s="12"/>
      <c r="J259" s="13"/>
    </row>
    <row r="260" spans="1:10" ht="75" customHeight="1">
      <c r="A260" s="7"/>
      <c r="B260" s="18"/>
      <c r="C260" s="9"/>
      <c r="D260" s="10"/>
      <c r="E260" s="10"/>
      <c r="F260" s="10"/>
      <c r="G260" s="10"/>
      <c r="H260" s="10"/>
      <c r="I260" s="12"/>
      <c r="J260" s="13"/>
    </row>
    <row r="261" spans="1:10" ht="75" customHeight="1">
      <c r="A261" s="7"/>
      <c r="B261" s="18"/>
      <c r="C261" s="9"/>
      <c r="D261" s="10"/>
      <c r="E261" s="10"/>
      <c r="F261" s="10"/>
      <c r="G261" s="10"/>
      <c r="H261" s="10"/>
      <c r="I261" s="12"/>
      <c r="J261" s="13"/>
    </row>
    <row r="262" spans="1:10" ht="75" customHeight="1">
      <c r="A262" s="7"/>
      <c r="B262" s="18"/>
      <c r="C262" s="9"/>
      <c r="D262" s="10"/>
      <c r="E262" s="10"/>
      <c r="F262" s="10"/>
      <c r="G262" s="10"/>
      <c r="H262" s="10"/>
      <c r="I262" s="12"/>
      <c r="J262" s="13"/>
    </row>
    <row r="263" spans="1:10" ht="75" customHeight="1">
      <c r="A263" s="7"/>
      <c r="B263" s="18"/>
      <c r="C263" s="9"/>
      <c r="D263" s="10"/>
      <c r="E263" s="10"/>
      <c r="F263" s="10"/>
      <c r="G263" s="10"/>
      <c r="H263" s="10"/>
      <c r="I263" s="12"/>
      <c r="J263" s="13"/>
    </row>
    <row r="264" spans="1:10" ht="75" customHeight="1">
      <c r="A264" s="7"/>
      <c r="B264" s="18"/>
      <c r="C264" s="9"/>
      <c r="D264" s="10"/>
      <c r="E264" s="10"/>
      <c r="F264" s="10"/>
      <c r="G264" s="10"/>
      <c r="H264" s="10"/>
      <c r="I264" s="12"/>
      <c r="J264" s="13"/>
    </row>
    <row r="265" spans="1:10" ht="75" customHeight="1">
      <c r="A265" s="7"/>
      <c r="B265" s="18"/>
      <c r="C265" s="9"/>
      <c r="D265" s="10"/>
      <c r="E265" s="10"/>
      <c r="F265" s="10"/>
      <c r="G265" s="10"/>
      <c r="H265" s="10"/>
      <c r="I265" s="12"/>
      <c r="J265" s="13"/>
    </row>
    <row r="266" spans="1:10" ht="75" customHeight="1">
      <c r="A266" s="7"/>
      <c r="B266" s="18"/>
      <c r="C266" s="9"/>
      <c r="D266" s="10"/>
      <c r="E266" s="10"/>
      <c r="F266" s="10"/>
      <c r="G266" s="10"/>
      <c r="H266" s="10"/>
      <c r="I266" s="12"/>
      <c r="J266" s="13"/>
    </row>
    <row r="267" spans="1:10" ht="75" customHeight="1">
      <c r="A267" s="7"/>
      <c r="B267" s="18"/>
      <c r="C267" s="9"/>
      <c r="D267" s="10"/>
      <c r="E267" s="10"/>
      <c r="F267" s="10"/>
      <c r="G267" s="10"/>
      <c r="H267" s="10"/>
      <c r="I267" s="12"/>
      <c r="J267" s="13"/>
    </row>
    <row r="268" spans="1:10" ht="75" customHeight="1">
      <c r="A268" s="7"/>
      <c r="B268" s="18"/>
      <c r="C268" s="9"/>
      <c r="D268" s="10"/>
      <c r="E268" s="10"/>
      <c r="F268" s="10"/>
      <c r="G268" s="10"/>
      <c r="H268" s="10"/>
      <c r="I268" s="12"/>
      <c r="J268" s="13"/>
    </row>
    <row r="269" spans="1:10" ht="75" customHeight="1">
      <c r="A269" s="7"/>
      <c r="B269" s="18"/>
      <c r="C269" s="9"/>
      <c r="D269" s="10"/>
      <c r="E269" s="10"/>
      <c r="F269" s="10"/>
      <c r="G269" s="10"/>
      <c r="H269" s="10"/>
      <c r="I269" s="12"/>
      <c r="J269" s="13"/>
    </row>
    <row r="270" spans="1:10" ht="75" customHeight="1">
      <c r="A270" s="7"/>
      <c r="B270" s="18"/>
      <c r="C270" s="9"/>
      <c r="D270" s="10"/>
      <c r="E270" s="10"/>
      <c r="F270" s="10"/>
      <c r="G270" s="10"/>
      <c r="H270" s="10"/>
      <c r="I270" s="12"/>
      <c r="J270" s="13"/>
    </row>
    <row r="271" spans="1:10" ht="75" customHeight="1">
      <c r="A271" s="7"/>
      <c r="B271" s="18"/>
      <c r="C271" s="9"/>
      <c r="D271" s="10"/>
      <c r="E271" s="10"/>
      <c r="F271" s="10"/>
      <c r="G271" s="10"/>
      <c r="H271" s="10"/>
      <c r="I271" s="12"/>
      <c r="J271" s="13"/>
    </row>
    <row r="272" spans="1:10" ht="75" customHeight="1">
      <c r="A272" s="7"/>
      <c r="B272" s="18"/>
      <c r="C272" s="9"/>
      <c r="D272" s="10"/>
      <c r="E272" s="10"/>
      <c r="F272" s="10"/>
      <c r="G272" s="10"/>
      <c r="H272" s="10"/>
      <c r="I272" s="12"/>
      <c r="J272" s="13"/>
    </row>
    <row r="273" spans="1:10" ht="75" customHeight="1">
      <c r="A273" s="7"/>
      <c r="B273" s="18"/>
      <c r="C273" s="9"/>
      <c r="D273" s="10"/>
      <c r="E273" s="10"/>
      <c r="F273" s="10"/>
      <c r="G273" s="10"/>
      <c r="H273" s="10"/>
      <c r="I273" s="12"/>
      <c r="J273" s="13"/>
    </row>
    <row r="274" spans="1:10" ht="75" customHeight="1">
      <c r="A274" s="7"/>
      <c r="B274" s="18"/>
      <c r="C274" s="9"/>
      <c r="D274" s="10"/>
      <c r="E274" s="10"/>
      <c r="F274" s="10"/>
      <c r="G274" s="10"/>
      <c r="H274" s="10"/>
      <c r="I274" s="12"/>
      <c r="J274" s="13"/>
    </row>
    <row r="275" spans="1:10" ht="75" customHeight="1">
      <c r="A275" s="7"/>
      <c r="B275" s="18"/>
      <c r="C275" s="9"/>
      <c r="D275" s="10"/>
      <c r="E275" s="10"/>
      <c r="F275" s="10"/>
      <c r="G275" s="10"/>
      <c r="H275" s="10"/>
      <c r="I275" s="12"/>
      <c r="J275" s="13"/>
    </row>
    <row r="276" spans="1:10" ht="75" customHeight="1">
      <c r="A276" s="7"/>
      <c r="B276" s="18"/>
      <c r="C276" s="9"/>
      <c r="D276" s="10"/>
      <c r="E276" s="10"/>
      <c r="F276" s="10"/>
      <c r="G276" s="10"/>
      <c r="H276" s="10"/>
      <c r="I276" s="12"/>
      <c r="J276" s="13"/>
    </row>
    <row r="277" spans="1:10" ht="75" customHeight="1">
      <c r="A277" s="7"/>
      <c r="B277" s="18"/>
      <c r="C277" s="9"/>
      <c r="D277" s="10"/>
      <c r="E277" s="10"/>
      <c r="F277" s="10"/>
      <c r="G277" s="10"/>
      <c r="H277" s="10"/>
      <c r="I277" s="12"/>
      <c r="J277" s="13"/>
    </row>
    <row r="278" spans="1:10" ht="75" customHeight="1">
      <c r="A278" s="7"/>
      <c r="B278" s="18"/>
      <c r="C278" s="9"/>
      <c r="D278" s="10"/>
      <c r="E278" s="10"/>
      <c r="F278" s="10"/>
      <c r="G278" s="10"/>
      <c r="H278" s="10"/>
      <c r="I278" s="12"/>
      <c r="J278" s="13"/>
    </row>
    <row r="279" spans="1:10" ht="75" customHeight="1">
      <c r="A279" s="7"/>
      <c r="B279" s="18"/>
      <c r="C279" s="9"/>
      <c r="D279" s="10"/>
      <c r="E279" s="10"/>
      <c r="F279" s="10"/>
      <c r="G279" s="10"/>
      <c r="H279" s="10"/>
      <c r="I279" s="12"/>
      <c r="J279" s="13"/>
    </row>
    <row r="280" spans="1:10" ht="75" customHeight="1">
      <c r="A280" s="7"/>
      <c r="B280" s="18"/>
      <c r="C280" s="9"/>
      <c r="D280" s="10"/>
      <c r="E280" s="10"/>
      <c r="F280" s="10"/>
      <c r="G280" s="10"/>
      <c r="H280" s="10"/>
      <c r="I280" s="12"/>
      <c r="J280" s="13"/>
    </row>
    <row r="281" spans="1:10" ht="75" customHeight="1">
      <c r="A281" s="7"/>
      <c r="B281" s="18"/>
      <c r="C281" s="9"/>
      <c r="D281" s="10"/>
      <c r="E281" s="10"/>
      <c r="F281" s="10"/>
      <c r="G281" s="10"/>
      <c r="H281" s="10"/>
      <c r="I281" s="12"/>
      <c r="J281" s="13"/>
    </row>
    <row r="282" spans="1:10" ht="75" customHeight="1">
      <c r="A282" s="7"/>
      <c r="B282" s="18"/>
      <c r="C282" s="9"/>
      <c r="D282" s="10"/>
      <c r="E282" s="10"/>
      <c r="F282" s="10"/>
      <c r="G282" s="10"/>
      <c r="H282" s="10"/>
      <c r="I282" s="12"/>
      <c r="J282" s="13"/>
    </row>
    <row r="283" spans="1:10" ht="75" customHeight="1">
      <c r="A283" s="7"/>
      <c r="B283" s="18"/>
      <c r="C283" s="9"/>
      <c r="D283" s="10"/>
      <c r="E283" s="10"/>
      <c r="F283" s="10"/>
      <c r="G283" s="10"/>
      <c r="H283" s="10"/>
      <c r="I283" s="12"/>
      <c r="J283" s="13"/>
    </row>
    <row r="284" spans="1:10" ht="75" customHeight="1">
      <c r="A284" s="7"/>
      <c r="B284" s="18"/>
      <c r="C284" s="9"/>
      <c r="D284" s="10"/>
      <c r="E284" s="10"/>
      <c r="F284" s="10"/>
      <c r="G284" s="10"/>
      <c r="H284" s="10"/>
      <c r="I284" s="12"/>
      <c r="J284" s="13"/>
    </row>
    <row r="285" spans="1:10" ht="75" customHeight="1">
      <c r="A285" s="7"/>
      <c r="B285" s="18"/>
      <c r="C285" s="9"/>
      <c r="D285" s="10"/>
      <c r="E285" s="10"/>
      <c r="F285" s="10"/>
      <c r="G285" s="10"/>
      <c r="H285" s="10"/>
      <c r="I285" s="12"/>
      <c r="J285" s="13"/>
    </row>
    <row r="286" spans="1:10" ht="75" customHeight="1">
      <c r="A286" s="7"/>
      <c r="B286" s="18"/>
      <c r="C286" s="9"/>
      <c r="D286" s="10"/>
      <c r="E286" s="10"/>
      <c r="F286" s="10"/>
      <c r="G286" s="10"/>
      <c r="H286" s="10"/>
      <c r="I286" s="12"/>
      <c r="J286" s="13"/>
    </row>
    <row r="287" spans="1:10" ht="75" customHeight="1">
      <c r="A287" s="7"/>
      <c r="B287" s="18"/>
      <c r="C287" s="9"/>
      <c r="D287" s="10"/>
      <c r="E287" s="10"/>
      <c r="F287" s="10"/>
      <c r="G287" s="10"/>
      <c r="H287" s="10"/>
      <c r="I287" s="12"/>
      <c r="J287" s="13"/>
    </row>
    <row r="288" spans="1:10" ht="75" customHeight="1">
      <c r="A288" s="7"/>
      <c r="B288" s="18"/>
      <c r="C288" s="9"/>
      <c r="D288" s="10"/>
      <c r="E288" s="10"/>
      <c r="F288" s="10"/>
      <c r="G288" s="10"/>
      <c r="H288" s="10"/>
      <c r="I288" s="12"/>
      <c r="J288" s="13"/>
    </row>
    <row r="289" spans="1:10" ht="75" customHeight="1">
      <c r="A289" s="7"/>
      <c r="B289" s="18"/>
      <c r="C289" s="9"/>
      <c r="D289" s="10"/>
      <c r="E289" s="10"/>
      <c r="F289" s="10"/>
      <c r="G289" s="10"/>
      <c r="H289" s="10"/>
      <c r="I289" s="12"/>
      <c r="J289" s="13"/>
    </row>
    <row r="290" spans="1:10" ht="75" customHeight="1">
      <c r="A290" s="7"/>
      <c r="B290" s="18"/>
      <c r="C290" s="9"/>
      <c r="D290" s="10"/>
      <c r="E290" s="10"/>
      <c r="F290" s="10"/>
      <c r="G290" s="10"/>
      <c r="H290" s="10"/>
      <c r="I290" s="12"/>
      <c r="J290" s="13"/>
    </row>
    <row r="291" spans="1:10" ht="75" customHeight="1">
      <c r="A291" s="7"/>
      <c r="B291" s="18"/>
      <c r="C291" s="9"/>
      <c r="D291" s="10"/>
      <c r="E291" s="10"/>
      <c r="F291" s="10"/>
      <c r="G291" s="10"/>
      <c r="H291" s="10"/>
      <c r="I291" s="12"/>
      <c r="J291" s="13"/>
    </row>
    <row r="292" spans="1:10" ht="75" customHeight="1">
      <c r="A292" s="7"/>
      <c r="B292" s="18"/>
      <c r="C292" s="9"/>
      <c r="D292" s="10"/>
      <c r="E292" s="10"/>
      <c r="F292" s="10"/>
      <c r="G292" s="10"/>
      <c r="H292" s="10"/>
      <c r="I292" s="12"/>
      <c r="J292" s="13"/>
    </row>
    <row r="293" spans="1:10" ht="75" customHeight="1">
      <c r="A293" s="7"/>
      <c r="B293" s="18"/>
      <c r="C293" s="9"/>
      <c r="D293" s="10"/>
      <c r="E293" s="10"/>
      <c r="F293" s="10"/>
      <c r="G293" s="10"/>
      <c r="H293" s="10"/>
      <c r="I293" s="12"/>
      <c r="J293" s="13"/>
    </row>
    <row r="294" spans="1:10" ht="75" customHeight="1">
      <c r="A294" s="7"/>
      <c r="B294" s="18"/>
      <c r="C294" s="9"/>
      <c r="D294" s="10"/>
      <c r="E294" s="10"/>
      <c r="F294" s="10"/>
      <c r="G294" s="10"/>
      <c r="H294" s="10"/>
      <c r="I294" s="12"/>
      <c r="J294" s="13"/>
    </row>
    <row r="295" spans="1:10" ht="75" customHeight="1">
      <c r="A295" s="7"/>
      <c r="B295" s="18"/>
      <c r="C295" s="9"/>
      <c r="D295" s="10"/>
      <c r="E295" s="10"/>
      <c r="F295" s="10"/>
      <c r="G295" s="10"/>
      <c r="H295" s="10"/>
      <c r="I295" s="12"/>
      <c r="J295" s="13"/>
    </row>
    <row r="296" spans="1:10" ht="75" customHeight="1">
      <c r="A296" s="7"/>
      <c r="B296" s="18"/>
      <c r="C296" s="9"/>
      <c r="D296" s="10"/>
      <c r="E296" s="10"/>
      <c r="F296" s="10"/>
      <c r="G296" s="10"/>
      <c r="H296" s="10"/>
      <c r="I296" s="12"/>
      <c r="J296" s="13"/>
    </row>
    <row r="297" spans="1:10" ht="75" customHeight="1">
      <c r="A297" s="7"/>
      <c r="B297" s="18"/>
      <c r="C297" s="9"/>
      <c r="D297" s="10"/>
      <c r="E297" s="10"/>
      <c r="F297" s="10"/>
      <c r="G297" s="10"/>
      <c r="H297" s="10"/>
      <c r="I297" s="12"/>
      <c r="J297" s="13"/>
    </row>
    <row r="298" spans="1:10" ht="75" customHeight="1">
      <c r="A298" s="7"/>
      <c r="B298" s="18"/>
      <c r="C298" s="9"/>
      <c r="D298" s="10"/>
      <c r="E298" s="10"/>
      <c r="F298" s="10"/>
      <c r="G298" s="10"/>
      <c r="H298" s="10"/>
      <c r="I298" s="12"/>
      <c r="J298" s="13"/>
    </row>
    <row r="299" spans="1:10" ht="75" customHeight="1">
      <c r="A299" s="7"/>
      <c r="B299" s="18"/>
      <c r="C299" s="9"/>
      <c r="D299" s="10"/>
      <c r="E299" s="10"/>
      <c r="F299" s="10"/>
      <c r="G299" s="10"/>
      <c r="H299" s="10"/>
      <c r="I299" s="12"/>
      <c r="J299" s="13"/>
    </row>
    <row r="300" spans="1:10" ht="75" customHeight="1">
      <c r="A300" s="7"/>
      <c r="B300" s="18"/>
      <c r="C300" s="9"/>
      <c r="D300" s="10"/>
      <c r="E300" s="10"/>
      <c r="F300" s="10"/>
      <c r="G300" s="10"/>
      <c r="H300" s="10"/>
      <c r="I300" s="12"/>
      <c r="J300" s="13"/>
    </row>
    <row r="301" spans="1:10" ht="75" customHeight="1">
      <c r="A301" s="7"/>
      <c r="B301" s="18"/>
      <c r="C301" s="9"/>
      <c r="D301" s="10"/>
      <c r="E301" s="10"/>
      <c r="F301" s="10"/>
      <c r="G301" s="10"/>
      <c r="H301" s="10"/>
      <c r="I301" s="12"/>
      <c r="J301" s="13"/>
    </row>
    <row r="302" spans="1:10" ht="75" customHeight="1">
      <c r="A302" s="7"/>
      <c r="B302" s="18"/>
      <c r="C302" s="9"/>
      <c r="D302" s="10"/>
      <c r="E302" s="10"/>
      <c r="F302" s="10"/>
      <c r="G302" s="10"/>
      <c r="H302" s="10"/>
      <c r="I302" s="12"/>
      <c r="J302" s="13"/>
    </row>
    <row r="303" spans="1:10" ht="75" customHeight="1">
      <c r="A303" s="7"/>
      <c r="B303" s="18"/>
      <c r="C303" s="9"/>
      <c r="D303" s="10"/>
      <c r="E303" s="10"/>
      <c r="F303" s="10"/>
      <c r="G303" s="10"/>
      <c r="H303" s="10"/>
      <c r="I303" s="12"/>
      <c r="J303" s="13"/>
    </row>
    <row r="304" spans="1:10" ht="75" customHeight="1">
      <c r="A304" s="7"/>
      <c r="B304" s="18"/>
      <c r="C304" s="9"/>
      <c r="D304" s="10"/>
      <c r="E304" s="10"/>
      <c r="F304" s="10"/>
      <c r="G304" s="10"/>
      <c r="H304" s="10"/>
      <c r="I304" s="12"/>
      <c r="J304" s="13"/>
    </row>
    <row r="305" spans="1:10" ht="75" customHeight="1">
      <c r="A305" s="7"/>
      <c r="B305" s="18"/>
      <c r="C305" s="9"/>
      <c r="D305" s="10"/>
      <c r="E305" s="10"/>
      <c r="F305" s="10"/>
      <c r="G305" s="10"/>
      <c r="H305" s="10"/>
      <c r="I305" s="12"/>
      <c r="J305" s="13"/>
    </row>
    <row r="306" spans="1:10" ht="75" customHeight="1">
      <c r="A306" s="7"/>
      <c r="B306" s="18"/>
      <c r="C306" s="9"/>
      <c r="D306" s="10"/>
      <c r="E306" s="10"/>
      <c r="F306" s="10"/>
      <c r="G306" s="10"/>
      <c r="H306" s="10"/>
      <c r="I306" s="12"/>
      <c r="J306" s="13"/>
    </row>
    <row r="307" spans="1:10" ht="75" customHeight="1">
      <c r="A307" s="7"/>
      <c r="B307" s="18"/>
      <c r="C307" s="9"/>
      <c r="D307" s="10"/>
      <c r="E307" s="10"/>
      <c r="F307" s="10"/>
      <c r="G307" s="10"/>
      <c r="H307" s="10"/>
      <c r="I307" s="12"/>
      <c r="J307" s="13"/>
    </row>
    <row r="308" spans="1:10" ht="75" customHeight="1">
      <c r="A308" s="7"/>
      <c r="B308" s="18"/>
      <c r="C308" s="9"/>
      <c r="D308" s="10"/>
      <c r="E308" s="10"/>
      <c r="F308" s="10"/>
      <c r="G308" s="10"/>
      <c r="H308" s="10"/>
      <c r="I308" s="12"/>
      <c r="J308" s="13"/>
    </row>
    <row r="309" spans="1:10" ht="75" customHeight="1">
      <c r="A309" s="7"/>
      <c r="B309" s="18"/>
      <c r="C309" s="9"/>
      <c r="D309" s="10"/>
      <c r="E309" s="10"/>
      <c r="F309" s="10"/>
      <c r="G309" s="10"/>
      <c r="H309" s="10"/>
      <c r="I309" s="12"/>
      <c r="J309" s="13"/>
    </row>
    <row r="310" spans="1:10" ht="75" customHeight="1">
      <c r="A310" s="7"/>
      <c r="B310" s="18"/>
      <c r="C310" s="9"/>
      <c r="D310" s="10"/>
      <c r="E310" s="10"/>
      <c r="F310" s="10"/>
      <c r="G310" s="10"/>
      <c r="H310" s="10"/>
      <c r="I310" s="12"/>
      <c r="J310" s="13"/>
    </row>
    <row r="311" spans="1:10" ht="75" customHeight="1">
      <c r="A311" s="7"/>
      <c r="B311" s="18"/>
      <c r="C311" s="9"/>
      <c r="D311" s="10"/>
      <c r="E311" s="10"/>
      <c r="F311" s="10"/>
      <c r="G311" s="10"/>
      <c r="H311" s="10"/>
      <c r="I311" s="12"/>
      <c r="J311" s="13"/>
    </row>
    <row r="312" spans="1:10" ht="75" customHeight="1">
      <c r="A312" s="7"/>
      <c r="B312" s="18"/>
      <c r="C312" s="9"/>
      <c r="D312" s="10"/>
      <c r="E312" s="10"/>
      <c r="F312" s="10"/>
      <c r="G312" s="10"/>
      <c r="H312" s="10"/>
      <c r="I312" s="12"/>
      <c r="J312" s="13"/>
    </row>
    <row r="313" spans="1:10" ht="75" customHeight="1">
      <c r="A313" s="7"/>
      <c r="B313" s="18"/>
      <c r="C313" s="9"/>
      <c r="D313" s="10"/>
      <c r="E313" s="10"/>
      <c r="F313" s="10"/>
      <c r="G313" s="10"/>
      <c r="H313" s="10"/>
      <c r="I313" s="12"/>
      <c r="J313" s="13"/>
    </row>
    <row r="314" spans="1:10" ht="75" customHeight="1">
      <c r="A314" s="7"/>
      <c r="B314" s="18"/>
      <c r="C314" s="9"/>
      <c r="D314" s="10"/>
      <c r="E314" s="10"/>
      <c r="F314" s="10"/>
      <c r="G314" s="10"/>
      <c r="H314" s="10"/>
      <c r="I314" s="12"/>
      <c r="J314" s="13"/>
    </row>
    <row r="315" spans="1:10" ht="75" customHeight="1">
      <c r="A315" s="7"/>
      <c r="B315" s="18"/>
      <c r="C315" s="9"/>
      <c r="D315" s="10"/>
      <c r="E315" s="10"/>
      <c r="F315" s="10"/>
      <c r="G315" s="10"/>
      <c r="H315" s="10"/>
      <c r="I315" s="12"/>
      <c r="J315" s="13"/>
    </row>
    <row r="316" spans="1:10" ht="75" customHeight="1">
      <c r="A316" s="7"/>
      <c r="B316" s="18"/>
      <c r="C316" s="9"/>
      <c r="D316" s="10"/>
      <c r="E316" s="10"/>
      <c r="F316" s="10"/>
      <c r="G316" s="10"/>
      <c r="H316" s="10"/>
      <c r="I316" s="12"/>
      <c r="J316" s="13"/>
    </row>
    <row r="317" spans="1:10" ht="75" customHeight="1">
      <c r="A317" s="7"/>
      <c r="B317" s="18"/>
      <c r="C317" s="9"/>
      <c r="D317" s="10"/>
      <c r="E317" s="10"/>
      <c r="F317" s="10"/>
      <c r="G317" s="10"/>
      <c r="H317" s="10"/>
      <c r="I317" s="12"/>
      <c r="J317" s="13"/>
    </row>
    <row r="318" spans="1:10" ht="75" customHeight="1">
      <c r="A318" s="7"/>
      <c r="B318" s="18"/>
      <c r="C318" s="9"/>
      <c r="D318" s="10"/>
      <c r="E318" s="10"/>
      <c r="F318" s="10"/>
      <c r="G318" s="10"/>
      <c r="H318" s="10"/>
      <c r="I318" s="12"/>
      <c r="J318" s="13"/>
    </row>
    <row r="319" spans="1:10" ht="75" customHeight="1">
      <c r="A319" s="7"/>
      <c r="B319" s="18"/>
      <c r="C319" s="9"/>
      <c r="D319" s="10"/>
      <c r="E319" s="10"/>
      <c r="F319" s="10"/>
      <c r="G319" s="10"/>
      <c r="H319" s="10"/>
      <c r="I319" s="12"/>
      <c r="J319" s="13"/>
    </row>
    <row r="320" spans="1:10" ht="75" customHeight="1">
      <c r="A320" s="7"/>
      <c r="B320" s="18"/>
      <c r="C320" s="9"/>
      <c r="D320" s="10"/>
      <c r="E320" s="10"/>
      <c r="F320" s="10"/>
      <c r="G320" s="10"/>
      <c r="H320" s="10"/>
      <c r="I320" s="12"/>
      <c r="J320" s="13"/>
    </row>
    <row r="321" spans="1:10" ht="75" customHeight="1">
      <c r="A321" s="7"/>
      <c r="B321" s="18"/>
      <c r="C321" s="9"/>
      <c r="D321" s="10"/>
      <c r="E321" s="10"/>
      <c r="F321" s="10"/>
      <c r="G321" s="10"/>
      <c r="H321" s="10"/>
      <c r="I321" s="12"/>
      <c r="J321" s="13"/>
    </row>
    <row r="322" spans="1:10" ht="75" customHeight="1">
      <c r="A322" s="7"/>
      <c r="B322" s="18"/>
      <c r="C322" s="9"/>
      <c r="D322" s="10"/>
      <c r="E322" s="10"/>
      <c r="F322" s="10"/>
      <c r="G322" s="10"/>
      <c r="H322" s="10"/>
      <c r="I322" s="12"/>
      <c r="J322" s="13"/>
    </row>
    <row r="323" spans="1:10" ht="75" customHeight="1">
      <c r="A323" s="7"/>
      <c r="B323" s="18"/>
      <c r="C323" s="9"/>
      <c r="D323" s="10"/>
      <c r="E323" s="10"/>
      <c r="F323" s="10"/>
      <c r="G323" s="10"/>
      <c r="H323" s="10"/>
      <c r="I323" s="12"/>
      <c r="J323" s="13"/>
    </row>
    <row r="324" spans="1:10" ht="75" customHeight="1">
      <c r="A324" s="7"/>
      <c r="B324" s="18"/>
      <c r="C324" s="9"/>
      <c r="D324" s="10"/>
      <c r="E324" s="10"/>
      <c r="F324" s="10"/>
      <c r="G324" s="10"/>
      <c r="H324" s="10"/>
      <c r="I324" s="12"/>
      <c r="J324" s="13"/>
    </row>
    <row r="325" spans="1:10" ht="75" customHeight="1">
      <c r="A325" s="7"/>
      <c r="B325" s="18"/>
      <c r="C325" s="9"/>
      <c r="D325" s="10"/>
      <c r="E325" s="10"/>
      <c r="F325" s="10"/>
      <c r="G325" s="10"/>
      <c r="H325" s="10"/>
      <c r="I325" s="12"/>
      <c r="J325" s="13"/>
    </row>
    <row r="326" spans="1:10" ht="75" customHeight="1">
      <c r="A326" s="7"/>
      <c r="B326" s="18"/>
      <c r="C326" s="9"/>
      <c r="D326" s="10"/>
      <c r="E326" s="10"/>
      <c r="F326" s="10"/>
      <c r="G326" s="10"/>
      <c r="H326" s="10"/>
      <c r="I326" s="12"/>
      <c r="J326" s="13"/>
    </row>
    <row r="327" spans="1:10" ht="75" customHeight="1">
      <c r="A327" s="7"/>
      <c r="B327" s="18"/>
      <c r="C327" s="9"/>
      <c r="D327" s="10"/>
      <c r="E327" s="10"/>
      <c r="F327" s="10"/>
      <c r="G327" s="10"/>
      <c r="H327" s="10"/>
      <c r="I327" s="12"/>
      <c r="J327" s="13"/>
    </row>
    <row r="328" spans="1:10" ht="75" customHeight="1">
      <c r="A328" s="7"/>
      <c r="B328" s="18"/>
      <c r="C328" s="9"/>
      <c r="D328" s="10"/>
      <c r="E328" s="10"/>
      <c r="F328" s="10"/>
      <c r="G328" s="10"/>
      <c r="H328" s="10"/>
      <c r="I328" s="12"/>
      <c r="J328" s="13"/>
    </row>
    <row r="329" spans="1:10" ht="75" customHeight="1">
      <c r="A329" s="7"/>
      <c r="B329" s="18"/>
      <c r="C329" s="9"/>
      <c r="D329" s="10"/>
      <c r="E329" s="10"/>
      <c r="F329" s="10"/>
      <c r="G329" s="10"/>
      <c r="H329" s="10"/>
      <c r="I329" s="12"/>
      <c r="J329" s="13"/>
    </row>
    <row r="330" spans="1:10" ht="75" customHeight="1">
      <c r="A330" s="7"/>
      <c r="B330" s="18"/>
      <c r="C330" s="9"/>
      <c r="D330" s="10"/>
      <c r="E330" s="10"/>
      <c r="F330" s="10"/>
      <c r="G330" s="10"/>
      <c r="H330" s="10"/>
      <c r="I330" s="12"/>
      <c r="J330" s="13"/>
    </row>
    <row r="331" spans="1:10" ht="75" customHeight="1">
      <c r="A331" s="7"/>
      <c r="B331" s="18"/>
      <c r="C331" s="9"/>
      <c r="D331" s="10"/>
      <c r="E331" s="10"/>
      <c r="F331" s="10"/>
      <c r="G331" s="10"/>
      <c r="H331" s="10"/>
      <c r="I331" s="12"/>
      <c r="J331" s="13"/>
    </row>
    <row r="332" spans="1:10" ht="75" customHeight="1">
      <c r="A332" s="7"/>
      <c r="B332" s="18"/>
      <c r="C332" s="9"/>
      <c r="D332" s="10"/>
      <c r="E332" s="10"/>
      <c r="F332" s="10"/>
      <c r="G332" s="10"/>
      <c r="H332" s="10"/>
      <c r="I332" s="12"/>
      <c r="J332" s="13"/>
    </row>
    <row r="333" spans="1:10" ht="75" customHeight="1">
      <c r="A333" s="7"/>
      <c r="B333" s="18"/>
      <c r="C333" s="9"/>
      <c r="D333" s="10"/>
      <c r="E333" s="10"/>
      <c r="F333" s="10"/>
      <c r="G333" s="10"/>
      <c r="H333" s="10"/>
      <c r="I333" s="12"/>
      <c r="J333" s="13"/>
    </row>
    <row r="334" spans="1:10" ht="75" customHeight="1">
      <c r="A334" s="7"/>
      <c r="B334" s="18"/>
      <c r="C334" s="9"/>
      <c r="D334" s="10"/>
      <c r="E334" s="10"/>
      <c r="F334" s="10"/>
      <c r="G334" s="10"/>
      <c r="H334" s="10"/>
      <c r="I334" s="12"/>
      <c r="J334" s="13"/>
    </row>
    <row r="335" spans="1:10" ht="75" customHeight="1">
      <c r="A335" s="7"/>
      <c r="B335" s="18"/>
      <c r="C335" s="9"/>
      <c r="D335" s="10"/>
      <c r="E335" s="10"/>
      <c r="F335" s="10"/>
      <c r="G335" s="10"/>
      <c r="H335" s="10"/>
      <c r="I335" s="12"/>
      <c r="J335" s="13"/>
    </row>
    <row r="336" spans="1:10" ht="75" customHeight="1">
      <c r="A336" s="7"/>
      <c r="B336" s="18"/>
      <c r="C336" s="9"/>
      <c r="D336" s="10"/>
      <c r="E336" s="10"/>
      <c r="F336" s="10"/>
      <c r="G336" s="10"/>
      <c r="H336" s="10"/>
      <c r="I336" s="12"/>
      <c r="J336" s="13"/>
    </row>
    <row r="337" spans="1:10" ht="75" customHeight="1">
      <c r="A337" s="7"/>
      <c r="B337" s="18"/>
      <c r="C337" s="9"/>
      <c r="D337" s="10"/>
      <c r="E337" s="10"/>
      <c r="F337" s="10"/>
      <c r="G337" s="10"/>
      <c r="H337" s="10"/>
      <c r="I337" s="12"/>
      <c r="J337" s="13"/>
    </row>
    <row r="338" spans="1:10" ht="75" customHeight="1">
      <c r="A338" s="7"/>
      <c r="B338" s="18"/>
      <c r="C338" s="9"/>
      <c r="D338" s="10"/>
      <c r="E338" s="10"/>
      <c r="F338" s="10"/>
      <c r="G338" s="10"/>
      <c r="H338" s="10"/>
      <c r="I338" s="12"/>
      <c r="J338" s="13"/>
    </row>
    <row r="339" spans="1:10" ht="75" customHeight="1">
      <c r="A339" s="7"/>
      <c r="B339" s="18"/>
      <c r="C339" s="9"/>
      <c r="D339" s="10"/>
      <c r="E339" s="10"/>
      <c r="F339" s="10"/>
      <c r="G339" s="10"/>
      <c r="H339" s="10"/>
      <c r="I339" s="12"/>
      <c r="J339" s="13"/>
    </row>
    <row r="340" spans="1:10" ht="75" customHeight="1">
      <c r="A340" s="7"/>
      <c r="B340" s="18"/>
      <c r="C340" s="9"/>
      <c r="D340" s="10"/>
      <c r="E340" s="10"/>
      <c r="F340" s="10"/>
      <c r="G340" s="10"/>
      <c r="H340" s="10"/>
      <c r="I340" s="12"/>
      <c r="J340" s="13"/>
    </row>
    <row r="341" spans="1:10" ht="75" customHeight="1">
      <c r="A341" s="7"/>
      <c r="B341" s="18"/>
      <c r="C341" s="9"/>
      <c r="D341" s="10"/>
      <c r="E341" s="10"/>
      <c r="F341" s="10"/>
      <c r="G341" s="10"/>
      <c r="H341" s="10"/>
      <c r="I341" s="12"/>
      <c r="J341" s="13"/>
    </row>
    <row r="342" spans="1:10" ht="75" customHeight="1">
      <c r="A342" s="7"/>
      <c r="B342" s="18"/>
      <c r="C342" s="9"/>
      <c r="D342" s="10"/>
      <c r="E342" s="10"/>
      <c r="F342" s="10"/>
      <c r="G342" s="10"/>
      <c r="H342" s="10"/>
      <c r="I342" s="12"/>
      <c r="J342" s="13"/>
    </row>
    <row r="343" spans="1:10" ht="75" customHeight="1">
      <c r="A343" s="7"/>
      <c r="B343" s="18"/>
      <c r="C343" s="9"/>
      <c r="D343" s="10"/>
      <c r="E343" s="10"/>
      <c r="F343" s="10"/>
      <c r="G343" s="10"/>
      <c r="H343" s="10"/>
      <c r="I343" s="12"/>
      <c r="J343" s="13"/>
    </row>
    <row r="344" spans="1:10" ht="75" customHeight="1">
      <c r="A344" s="7"/>
      <c r="B344" s="18"/>
      <c r="C344" s="9"/>
      <c r="D344" s="10"/>
      <c r="E344" s="10"/>
      <c r="F344" s="10"/>
      <c r="G344" s="10"/>
      <c r="H344" s="10"/>
      <c r="I344" s="12"/>
      <c r="J344" s="13"/>
    </row>
    <row r="345" spans="1:10" ht="75" customHeight="1">
      <c r="A345" s="7"/>
      <c r="B345" s="18"/>
      <c r="C345" s="9"/>
      <c r="D345" s="10"/>
      <c r="E345" s="10"/>
      <c r="F345" s="10"/>
      <c r="G345" s="10"/>
      <c r="H345" s="10"/>
      <c r="I345" s="12"/>
      <c r="J345" s="13"/>
    </row>
    <row r="346" spans="1:10" ht="75" customHeight="1">
      <c r="A346" s="7"/>
      <c r="B346" s="18"/>
      <c r="C346" s="9"/>
      <c r="D346" s="10"/>
      <c r="E346" s="10"/>
      <c r="F346" s="10"/>
      <c r="G346" s="10"/>
      <c r="H346" s="10"/>
      <c r="I346" s="12"/>
      <c r="J346" s="13"/>
    </row>
    <row r="347" spans="1:10" ht="75" customHeight="1">
      <c r="A347" s="7"/>
      <c r="B347" s="18"/>
      <c r="C347" s="9"/>
      <c r="D347" s="10"/>
      <c r="E347" s="10"/>
      <c r="F347" s="10"/>
      <c r="G347" s="10"/>
      <c r="H347" s="10"/>
      <c r="I347" s="12"/>
      <c r="J347" s="13"/>
    </row>
    <row r="348" spans="1:10" ht="75" customHeight="1">
      <c r="A348" s="7"/>
      <c r="B348" s="18"/>
      <c r="C348" s="9"/>
      <c r="D348" s="10"/>
      <c r="E348" s="10"/>
      <c r="F348" s="10"/>
      <c r="G348" s="10"/>
      <c r="H348" s="10"/>
      <c r="I348" s="12"/>
      <c r="J348" s="13"/>
    </row>
    <row r="349" spans="1:10" ht="75" customHeight="1">
      <c r="A349" s="7"/>
      <c r="B349" s="18"/>
      <c r="C349" s="9"/>
      <c r="D349" s="10"/>
      <c r="E349" s="10"/>
      <c r="F349" s="10"/>
      <c r="G349" s="10"/>
      <c r="H349" s="10"/>
      <c r="I349" s="12"/>
      <c r="J349" s="13"/>
    </row>
    <row r="350" spans="1:10" ht="75" customHeight="1">
      <c r="A350" s="7"/>
      <c r="B350" s="18"/>
      <c r="C350" s="9"/>
      <c r="D350" s="10"/>
      <c r="E350" s="10"/>
      <c r="F350" s="10"/>
      <c r="G350" s="10"/>
      <c r="H350" s="10"/>
      <c r="I350" s="12"/>
      <c r="J350" s="13"/>
    </row>
    <row r="351" spans="1:10" ht="75" customHeight="1">
      <c r="A351" s="7"/>
      <c r="B351" s="18"/>
      <c r="C351" s="9"/>
      <c r="D351" s="10"/>
      <c r="E351" s="10"/>
      <c r="F351" s="10"/>
      <c r="G351" s="10"/>
      <c r="H351" s="10"/>
      <c r="I351" s="12"/>
      <c r="J351" s="13"/>
    </row>
    <row r="352" spans="1:10" ht="75" customHeight="1">
      <c r="A352" s="7"/>
      <c r="B352" s="18"/>
      <c r="C352" s="9"/>
      <c r="D352" s="10"/>
      <c r="E352" s="10"/>
      <c r="F352" s="10"/>
      <c r="G352" s="10"/>
      <c r="H352" s="10"/>
      <c r="I352" s="12"/>
      <c r="J352" s="13"/>
    </row>
    <row r="353" spans="1:10" ht="75" customHeight="1">
      <c r="A353" s="7"/>
      <c r="B353" s="18"/>
      <c r="C353" s="9"/>
      <c r="D353" s="10"/>
      <c r="E353" s="10"/>
      <c r="F353" s="10"/>
      <c r="G353" s="10"/>
      <c r="H353" s="10"/>
      <c r="I353" s="12"/>
      <c r="J353" s="13"/>
    </row>
    <row r="354" spans="1:10" ht="75" customHeight="1">
      <c r="A354" s="7"/>
      <c r="B354" s="18"/>
      <c r="C354" s="9"/>
      <c r="D354" s="10"/>
      <c r="E354" s="10"/>
      <c r="F354" s="10"/>
      <c r="G354" s="10"/>
      <c r="H354" s="10"/>
      <c r="I354" s="12"/>
      <c r="J354" s="13"/>
    </row>
    <row r="355" spans="1:10" ht="75" customHeight="1">
      <c r="A355" s="7"/>
      <c r="B355" s="18"/>
      <c r="C355" s="9"/>
      <c r="D355" s="10"/>
      <c r="E355" s="10"/>
      <c r="F355" s="10"/>
      <c r="G355" s="10"/>
      <c r="H355" s="10"/>
      <c r="I355" s="12"/>
      <c r="J355" s="13"/>
    </row>
    <row r="356" spans="1:10" ht="75" customHeight="1">
      <c r="A356" s="7"/>
      <c r="B356" s="18"/>
      <c r="C356" s="9"/>
      <c r="D356" s="10"/>
      <c r="E356" s="10"/>
      <c r="F356" s="10"/>
      <c r="G356" s="10"/>
      <c r="H356" s="10"/>
      <c r="I356" s="12"/>
      <c r="J356" s="13"/>
    </row>
    <row r="357" spans="1:10" ht="75" customHeight="1">
      <c r="A357" s="7"/>
      <c r="B357" s="18"/>
      <c r="C357" s="9"/>
      <c r="D357" s="10"/>
      <c r="E357" s="10"/>
      <c r="F357" s="10"/>
      <c r="G357" s="10"/>
      <c r="H357" s="10"/>
      <c r="I357" s="12"/>
      <c r="J357" s="13"/>
    </row>
    <row r="358" spans="1:10" ht="75" customHeight="1">
      <c r="A358" s="7"/>
      <c r="B358" s="18"/>
      <c r="C358" s="9"/>
      <c r="D358" s="10"/>
      <c r="E358" s="10"/>
      <c r="F358" s="10"/>
      <c r="G358" s="10"/>
      <c r="H358" s="10"/>
      <c r="I358" s="12"/>
      <c r="J358" s="13"/>
    </row>
    <row r="359" spans="1:10" ht="75" customHeight="1">
      <c r="A359" s="7"/>
      <c r="B359" s="18"/>
      <c r="C359" s="9"/>
      <c r="D359" s="10"/>
      <c r="E359" s="10"/>
      <c r="F359" s="10"/>
      <c r="G359" s="10"/>
      <c r="H359" s="10"/>
      <c r="I359" s="12"/>
      <c r="J359" s="13"/>
    </row>
    <row r="360" spans="1:10" ht="75" customHeight="1">
      <c r="A360" s="7"/>
      <c r="B360" s="18"/>
      <c r="C360" s="9"/>
      <c r="D360" s="10"/>
      <c r="E360" s="10"/>
      <c r="F360" s="10"/>
      <c r="G360" s="10"/>
      <c r="H360" s="10"/>
      <c r="I360" s="12"/>
      <c r="J360" s="13"/>
    </row>
    <row r="361" spans="1:10" ht="75" customHeight="1">
      <c r="A361" s="7"/>
      <c r="B361" s="18"/>
      <c r="C361" s="9"/>
      <c r="D361" s="10"/>
      <c r="E361" s="10"/>
      <c r="F361" s="10"/>
      <c r="G361" s="10"/>
      <c r="H361" s="10"/>
      <c r="I361" s="12"/>
      <c r="J361" s="13"/>
    </row>
    <row r="362" spans="1:10" ht="75" customHeight="1">
      <c r="A362" s="7"/>
      <c r="B362" s="18"/>
      <c r="C362" s="9"/>
      <c r="D362" s="10"/>
      <c r="E362" s="10"/>
      <c r="F362" s="10"/>
      <c r="G362" s="10"/>
      <c r="H362" s="10"/>
      <c r="I362" s="12"/>
      <c r="J362" s="13"/>
    </row>
    <row r="363" spans="1:10" ht="75" customHeight="1">
      <c r="A363" s="7"/>
      <c r="B363" s="18"/>
      <c r="C363" s="9"/>
      <c r="D363" s="10"/>
      <c r="E363" s="10"/>
      <c r="F363" s="10"/>
      <c r="G363" s="10"/>
      <c r="H363" s="10"/>
      <c r="I363" s="12"/>
      <c r="J363" s="13"/>
    </row>
    <row r="364" spans="1:10" ht="75" customHeight="1">
      <c r="A364" s="7"/>
      <c r="B364" s="18"/>
      <c r="C364" s="9"/>
      <c r="D364" s="10"/>
      <c r="E364" s="10"/>
      <c r="F364" s="10"/>
      <c r="G364" s="10"/>
      <c r="H364" s="10"/>
      <c r="I364" s="12"/>
      <c r="J364" s="13"/>
    </row>
    <row r="365" spans="1:10" ht="75" customHeight="1">
      <c r="A365" s="7"/>
      <c r="B365" s="18"/>
      <c r="C365" s="9"/>
      <c r="D365" s="10"/>
      <c r="E365" s="10"/>
      <c r="F365" s="10"/>
      <c r="G365" s="10"/>
      <c r="H365" s="10"/>
      <c r="I365" s="12"/>
      <c r="J365" s="13"/>
    </row>
    <row r="366" spans="1:10" ht="75" customHeight="1">
      <c r="A366" s="7"/>
      <c r="B366" s="18"/>
      <c r="C366" s="9"/>
      <c r="D366" s="10"/>
      <c r="E366" s="10"/>
      <c r="F366" s="10"/>
      <c r="G366" s="10"/>
      <c r="H366" s="10"/>
      <c r="I366" s="12"/>
      <c r="J366" s="13"/>
    </row>
    <row r="367" spans="1:10" ht="75" customHeight="1">
      <c r="A367" s="7"/>
      <c r="B367" s="18"/>
      <c r="C367" s="9"/>
      <c r="D367" s="10"/>
      <c r="E367" s="10"/>
      <c r="F367" s="10"/>
      <c r="G367" s="10"/>
      <c r="H367" s="10"/>
      <c r="I367" s="12"/>
      <c r="J367" s="13"/>
    </row>
    <row r="368" spans="1:10" ht="75" customHeight="1">
      <c r="A368" s="7"/>
      <c r="B368" s="18"/>
      <c r="C368" s="9"/>
      <c r="D368" s="10"/>
      <c r="E368" s="10"/>
      <c r="F368" s="10"/>
      <c r="G368" s="10"/>
      <c r="H368" s="10"/>
      <c r="I368" s="12"/>
      <c r="J368" s="13"/>
    </row>
    <row r="369" spans="1:10" ht="75" customHeight="1">
      <c r="A369" s="7"/>
      <c r="B369" s="18"/>
      <c r="C369" s="9"/>
      <c r="D369" s="10"/>
      <c r="E369" s="10"/>
      <c r="F369" s="10"/>
      <c r="G369" s="10"/>
      <c r="H369" s="10"/>
      <c r="I369" s="12"/>
      <c r="J369" s="13"/>
    </row>
    <row r="370" spans="1:10" ht="75" customHeight="1">
      <c r="A370" s="7"/>
      <c r="B370" s="18"/>
      <c r="C370" s="9"/>
      <c r="D370" s="10"/>
      <c r="E370" s="10"/>
      <c r="F370" s="10"/>
      <c r="G370" s="10"/>
      <c r="H370" s="10"/>
      <c r="I370" s="12"/>
      <c r="J370" s="13"/>
    </row>
    <row r="371" spans="1:10" ht="75" customHeight="1">
      <c r="A371" s="7"/>
      <c r="B371" s="18"/>
      <c r="C371" s="9"/>
      <c r="D371" s="10"/>
      <c r="E371" s="10"/>
      <c r="F371" s="10"/>
      <c r="G371" s="10"/>
      <c r="H371" s="10"/>
      <c r="I371" s="12"/>
      <c r="J371" s="13"/>
    </row>
    <row r="372" spans="1:10" ht="75" customHeight="1">
      <c r="A372" s="7"/>
      <c r="B372" s="18"/>
      <c r="C372" s="9"/>
      <c r="D372" s="10"/>
      <c r="E372" s="10"/>
      <c r="F372" s="10"/>
      <c r="G372" s="10"/>
      <c r="H372" s="10"/>
      <c r="I372" s="12"/>
      <c r="J372" s="13"/>
    </row>
    <row r="373" spans="1:10" ht="75" customHeight="1">
      <c r="A373" s="7"/>
      <c r="B373" s="18"/>
      <c r="C373" s="9"/>
      <c r="D373" s="10"/>
      <c r="E373" s="10"/>
      <c r="F373" s="10"/>
      <c r="G373" s="10"/>
      <c r="H373" s="10"/>
      <c r="I373" s="12"/>
      <c r="J373" s="13"/>
    </row>
    <row r="374" spans="1:10" ht="75" customHeight="1">
      <c r="A374" s="7"/>
      <c r="B374" s="18"/>
      <c r="C374" s="9"/>
      <c r="D374" s="10"/>
      <c r="E374" s="10"/>
      <c r="F374" s="10"/>
      <c r="G374" s="10"/>
      <c r="H374" s="10"/>
      <c r="I374" s="12"/>
      <c r="J374" s="13"/>
    </row>
    <row r="375" spans="1:10" ht="75" customHeight="1">
      <c r="A375" s="7"/>
      <c r="B375" s="18"/>
      <c r="C375" s="9"/>
      <c r="D375" s="10"/>
      <c r="E375" s="10"/>
      <c r="F375" s="10"/>
      <c r="G375" s="10"/>
      <c r="H375" s="10"/>
      <c r="I375" s="12"/>
      <c r="J375" s="13"/>
    </row>
    <row r="376" spans="1:10" ht="75" customHeight="1">
      <c r="A376" s="7"/>
      <c r="B376" s="18"/>
      <c r="C376" s="9"/>
      <c r="D376" s="10"/>
      <c r="E376" s="10"/>
      <c r="F376" s="10"/>
      <c r="G376" s="10"/>
      <c r="H376" s="10"/>
      <c r="I376" s="12"/>
      <c r="J376" s="13"/>
    </row>
    <row r="377" spans="1:10" ht="75" customHeight="1">
      <c r="A377" s="7"/>
      <c r="B377" s="18"/>
      <c r="C377" s="9"/>
      <c r="D377" s="10"/>
      <c r="E377" s="10"/>
      <c r="F377" s="10"/>
      <c r="G377" s="10"/>
      <c r="H377" s="10"/>
      <c r="I377" s="12"/>
      <c r="J377" s="13"/>
    </row>
    <row r="378" spans="1:10" ht="75" customHeight="1">
      <c r="A378" s="7"/>
      <c r="B378" s="18"/>
      <c r="C378" s="9"/>
      <c r="D378" s="10"/>
      <c r="E378" s="10"/>
      <c r="F378" s="10"/>
      <c r="G378" s="10"/>
      <c r="H378" s="10"/>
      <c r="I378" s="12"/>
      <c r="J378" s="13"/>
    </row>
    <row r="379" spans="1:10" ht="75" customHeight="1">
      <c r="A379" s="7"/>
      <c r="B379" s="18"/>
      <c r="C379" s="9"/>
      <c r="D379" s="10"/>
      <c r="E379" s="10"/>
      <c r="F379" s="10"/>
      <c r="G379" s="10"/>
      <c r="H379" s="10"/>
      <c r="I379" s="12"/>
      <c r="J379" s="13"/>
    </row>
    <row r="380" spans="1:10" ht="75" customHeight="1">
      <c r="A380" s="7"/>
      <c r="B380" s="18"/>
      <c r="C380" s="9"/>
      <c r="D380" s="10"/>
      <c r="E380" s="10"/>
      <c r="F380" s="10"/>
      <c r="G380" s="10"/>
      <c r="H380" s="10"/>
      <c r="I380" s="12"/>
      <c r="J380" s="13"/>
    </row>
    <row r="381" spans="1:10" ht="75" customHeight="1">
      <c r="A381" s="7"/>
      <c r="B381" s="18"/>
      <c r="C381" s="9"/>
      <c r="D381" s="10"/>
      <c r="E381" s="10"/>
      <c r="F381" s="10"/>
      <c r="G381" s="10"/>
      <c r="H381" s="10"/>
      <c r="I381" s="12"/>
      <c r="J381" s="13"/>
    </row>
    <row r="382" spans="1:10" ht="75" customHeight="1">
      <c r="A382" s="7"/>
      <c r="B382" s="18"/>
      <c r="C382" s="9"/>
      <c r="D382" s="10"/>
      <c r="E382" s="10"/>
      <c r="F382" s="10"/>
      <c r="G382" s="10"/>
      <c r="H382" s="10"/>
      <c r="I382" s="12"/>
      <c r="J382" s="13"/>
    </row>
    <row r="383" spans="1:10" ht="75" customHeight="1">
      <c r="A383" s="7"/>
      <c r="B383" s="18"/>
      <c r="C383" s="9"/>
      <c r="D383" s="10"/>
      <c r="E383" s="10"/>
      <c r="F383" s="10"/>
      <c r="G383" s="10"/>
      <c r="H383" s="10"/>
      <c r="I383" s="12"/>
      <c r="J383" s="13"/>
    </row>
    <row r="384" spans="1:10" ht="75" customHeight="1">
      <c r="A384" s="7"/>
      <c r="B384" s="18"/>
      <c r="C384" s="9"/>
      <c r="D384" s="10"/>
      <c r="E384" s="10"/>
      <c r="F384" s="10"/>
      <c r="G384" s="10"/>
      <c r="H384" s="10"/>
      <c r="I384" s="12"/>
      <c r="J384" s="13"/>
    </row>
    <row r="385" spans="1:10" ht="75" customHeight="1">
      <c r="A385" s="7"/>
      <c r="B385" s="18"/>
      <c r="C385" s="9"/>
      <c r="D385" s="10"/>
      <c r="E385" s="10"/>
      <c r="F385" s="10"/>
      <c r="G385" s="10"/>
      <c r="H385" s="10"/>
      <c r="I385" s="12"/>
      <c r="J385" s="13"/>
    </row>
    <row r="386" spans="1:10" ht="75" customHeight="1">
      <c r="A386" s="7"/>
      <c r="B386" s="18"/>
      <c r="C386" s="9"/>
      <c r="D386" s="10"/>
      <c r="E386" s="10"/>
      <c r="F386" s="10"/>
      <c r="G386" s="10"/>
      <c r="H386" s="10"/>
      <c r="I386" s="12"/>
      <c r="J386" s="13"/>
    </row>
    <row r="387" spans="1:10" ht="75" customHeight="1">
      <c r="A387" s="7"/>
      <c r="B387" s="18"/>
      <c r="C387" s="9"/>
      <c r="D387" s="10"/>
      <c r="E387" s="10"/>
      <c r="F387" s="10"/>
      <c r="G387" s="10"/>
      <c r="H387" s="10"/>
      <c r="I387" s="12"/>
      <c r="J387" s="13"/>
    </row>
    <row r="388" spans="1:10" ht="75" customHeight="1">
      <c r="A388" s="7"/>
      <c r="B388" s="18"/>
      <c r="C388" s="9"/>
      <c r="D388" s="10"/>
      <c r="E388" s="10"/>
      <c r="F388" s="10"/>
      <c r="G388" s="10"/>
      <c r="H388" s="10"/>
      <c r="I388" s="12"/>
      <c r="J388" s="13"/>
    </row>
    <row r="389" spans="1:10" ht="75" customHeight="1">
      <c r="A389" s="7"/>
      <c r="B389" s="18"/>
      <c r="C389" s="9"/>
      <c r="D389" s="10"/>
      <c r="E389" s="10"/>
      <c r="F389" s="10"/>
      <c r="G389" s="10"/>
      <c r="H389" s="10"/>
      <c r="I389" s="12"/>
      <c r="J389" s="13"/>
    </row>
    <row r="390" spans="1:10" ht="75" customHeight="1">
      <c r="A390" s="7"/>
      <c r="B390" s="18"/>
      <c r="C390" s="9"/>
      <c r="D390" s="10"/>
      <c r="E390" s="10"/>
      <c r="F390" s="10"/>
      <c r="G390" s="10"/>
      <c r="H390" s="10"/>
      <c r="I390" s="12"/>
      <c r="J390" s="13"/>
    </row>
    <row r="391" spans="1:10" ht="75" customHeight="1">
      <c r="A391" s="7"/>
      <c r="B391" s="18"/>
      <c r="C391" s="9"/>
      <c r="D391" s="10"/>
      <c r="E391" s="10"/>
      <c r="F391" s="10"/>
      <c r="G391" s="10"/>
      <c r="H391" s="10"/>
      <c r="I391" s="12"/>
      <c r="J391" s="13"/>
    </row>
    <row r="392" spans="1:10" ht="75" customHeight="1">
      <c r="A392" s="7"/>
      <c r="B392" s="18"/>
      <c r="C392" s="9"/>
      <c r="D392" s="10"/>
      <c r="E392" s="10"/>
      <c r="F392" s="10"/>
      <c r="G392" s="10"/>
      <c r="H392" s="10"/>
      <c r="I392" s="12"/>
      <c r="J392" s="13"/>
    </row>
    <row r="393" spans="1:10" ht="75" customHeight="1">
      <c r="A393" s="7"/>
      <c r="B393" s="18"/>
      <c r="C393" s="9"/>
      <c r="D393" s="10"/>
      <c r="E393" s="10"/>
      <c r="F393" s="10"/>
      <c r="G393" s="10"/>
      <c r="H393" s="10"/>
      <c r="I393" s="12"/>
      <c r="J393" s="13"/>
    </row>
    <row r="394" spans="1:10" ht="75" customHeight="1">
      <c r="A394" s="7"/>
      <c r="B394" s="18"/>
      <c r="C394" s="9"/>
      <c r="D394" s="10"/>
      <c r="E394" s="10"/>
      <c r="F394" s="10"/>
      <c r="G394" s="10"/>
      <c r="H394" s="10"/>
      <c r="I394" s="12"/>
      <c r="J394" s="13"/>
    </row>
    <row r="395" spans="1:10" ht="75" customHeight="1">
      <c r="A395" s="7"/>
      <c r="B395" s="18"/>
      <c r="C395" s="9"/>
      <c r="D395" s="10"/>
      <c r="E395" s="10"/>
      <c r="F395" s="10"/>
      <c r="G395" s="10"/>
      <c r="H395" s="10"/>
      <c r="I395" s="12"/>
      <c r="J395" s="13"/>
    </row>
    <row r="396" spans="1:10" ht="75" customHeight="1">
      <c r="A396" s="7"/>
      <c r="B396" s="18"/>
      <c r="C396" s="9"/>
      <c r="D396" s="10"/>
      <c r="E396" s="10"/>
      <c r="F396" s="10"/>
      <c r="G396" s="10"/>
      <c r="H396" s="10"/>
      <c r="I396" s="12"/>
      <c r="J396" s="13"/>
    </row>
    <row r="397" spans="1:10" ht="75" customHeight="1">
      <c r="A397" s="7"/>
      <c r="B397" s="18"/>
      <c r="C397" s="9"/>
      <c r="D397" s="10"/>
      <c r="E397" s="10"/>
      <c r="F397" s="10"/>
      <c r="G397" s="10"/>
      <c r="H397" s="10"/>
      <c r="I397" s="12"/>
      <c r="J397" s="13"/>
    </row>
    <row r="398" spans="1:10" ht="75" customHeight="1">
      <c r="A398" s="7"/>
      <c r="B398" s="18"/>
      <c r="C398" s="9"/>
      <c r="D398" s="10"/>
      <c r="E398" s="10"/>
      <c r="F398" s="10"/>
      <c r="G398" s="10"/>
      <c r="H398" s="10"/>
      <c r="I398" s="12"/>
      <c r="J398" s="13"/>
    </row>
    <row r="399" spans="1:10" ht="75" customHeight="1">
      <c r="A399" s="7"/>
      <c r="B399" s="18"/>
      <c r="C399" s="9"/>
      <c r="D399" s="10"/>
      <c r="E399" s="10"/>
      <c r="F399" s="10"/>
      <c r="G399" s="10"/>
      <c r="H399" s="10"/>
      <c r="I399" s="12"/>
      <c r="J399" s="13"/>
    </row>
    <row r="400" spans="1:10" ht="75" customHeight="1">
      <c r="A400" s="7"/>
      <c r="B400" s="18"/>
      <c r="C400" s="9"/>
      <c r="D400" s="10"/>
      <c r="E400" s="10"/>
      <c r="F400" s="10"/>
      <c r="G400" s="10"/>
      <c r="H400" s="10"/>
      <c r="I400" s="12"/>
      <c r="J400" s="13"/>
    </row>
    <row r="401" spans="1:10" ht="75" customHeight="1">
      <c r="A401" s="7"/>
      <c r="B401" s="18"/>
      <c r="C401" s="9"/>
      <c r="D401" s="10"/>
      <c r="E401" s="10"/>
      <c r="F401" s="10"/>
      <c r="G401" s="10"/>
      <c r="H401" s="10"/>
      <c r="I401" s="12"/>
      <c r="J401" s="13"/>
    </row>
    <row r="402" spans="1:10" ht="75" customHeight="1">
      <c r="A402" s="7"/>
      <c r="B402" s="18"/>
      <c r="C402" s="9"/>
      <c r="D402" s="10"/>
      <c r="E402" s="10"/>
      <c r="F402" s="10"/>
      <c r="G402" s="10"/>
      <c r="H402" s="10"/>
      <c r="I402" s="12"/>
      <c r="J402" s="13"/>
    </row>
    <row r="403" spans="1:10" ht="75" customHeight="1">
      <c r="A403" s="7"/>
      <c r="B403" s="18"/>
      <c r="C403" s="9"/>
      <c r="D403" s="10"/>
      <c r="E403" s="10"/>
      <c r="F403" s="10"/>
      <c r="G403" s="10"/>
      <c r="H403" s="10"/>
      <c r="I403" s="12"/>
      <c r="J403" s="13"/>
    </row>
    <row r="404" spans="1:10" ht="75" customHeight="1">
      <c r="A404" s="7"/>
      <c r="B404" s="18"/>
      <c r="C404" s="9"/>
      <c r="D404" s="10"/>
      <c r="E404" s="10"/>
      <c r="F404" s="10"/>
      <c r="G404" s="10"/>
      <c r="H404" s="10"/>
      <c r="I404" s="12"/>
      <c r="J404" s="13"/>
    </row>
    <row r="405" spans="1:10" ht="75" customHeight="1">
      <c r="A405" s="7"/>
      <c r="B405" s="18"/>
      <c r="C405" s="9"/>
      <c r="D405" s="10"/>
      <c r="E405" s="10"/>
      <c r="F405" s="10"/>
      <c r="G405" s="10"/>
      <c r="H405" s="10"/>
      <c r="I405" s="12"/>
      <c r="J405" s="13"/>
    </row>
    <row r="406" spans="1:10" ht="75" customHeight="1">
      <c r="A406" s="7"/>
      <c r="B406" s="18"/>
      <c r="C406" s="9"/>
      <c r="D406" s="10"/>
      <c r="E406" s="10"/>
      <c r="F406" s="10"/>
      <c r="G406" s="10"/>
      <c r="H406" s="10"/>
      <c r="I406" s="12"/>
      <c r="J406" s="13"/>
    </row>
    <row r="407" spans="1:10" ht="75" customHeight="1">
      <c r="A407" s="7"/>
      <c r="B407" s="18"/>
      <c r="C407" s="9"/>
      <c r="D407" s="10"/>
      <c r="E407" s="10"/>
      <c r="F407" s="10"/>
      <c r="G407" s="10"/>
      <c r="H407" s="10"/>
      <c r="I407" s="12"/>
      <c r="J407" s="13"/>
    </row>
    <row r="408" spans="1:10" ht="75" customHeight="1">
      <c r="A408" s="7"/>
      <c r="B408" s="18"/>
      <c r="C408" s="9"/>
      <c r="D408" s="10"/>
      <c r="E408" s="10"/>
      <c r="F408" s="10"/>
      <c r="G408" s="10"/>
      <c r="H408" s="10"/>
      <c r="I408" s="12"/>
      <c r="J408" s="13"/>
    </row>
    <row r="409" spans="1:10" ht="75" customHeight="1">
      <c r="A409" s="7"/>
      <c r="B409" s="18"/>
      <c r="C409" s="9"/>
      <c r="D409" s="10"/>
      <c r="E409" s="10"/>
      <c r="F409" s="10"/>
      <c r="G409" s="10"/>
      <c r="H409" s="10"/>
      <c r="I409" s="12"/>
      <c r="J409" s="13"/>
    </row>
    <row r="410" spans="1:10" ht="75" customHeight="1">
      <c r="A410" s="7"/>
      <c r="B410" s="18"/>
      <c r="C410" s="9"/>
      <c r="D410" s="10"/>
      <c r="E410" s="10"/>
      <c r="F410" s="10"/>
      <c r="G410" s="10"/>
      <c r="H410" s="10"/>
      <c r="I410" s="12"/>
      <c r="J410" s="13"/>
    </row>
    <row r="411" spans="1:10" ht="75" customHeight="1">
      <c r="A411" s="7"/>
      <c r="B411" s="18"/>
      <c r="C411" s="9"/>
      <c r="D411" s="10"/>
      <c r="E411" s="10"/>
      <c r="F411" s="10"/>
      <c r="G411" s="10"/>
      <c r="H411" s="10"/>
      <c r="I411" s="12"/>
      <c r="J411" s="13"/>
    </row>
    <row r="412" spans="1:10" ht="75" customHeight="1">
      <c r="A412" s="7"/>
      <c r="B412" s="18"/>
      <c r="C412" s="9"/>
      <c r="D412" s="10"/>
      <c r="E412" s="10"/>
      <c r="F412" s="10"/>
      <c r="G412" s="10"/>
      <c r="H412" s="10"/>
      <c r="I412" s="12"/>
      <c r="J412" s="13"/>
    </row>
    <row r="413" spans="1:10" ht="75" customHeight="1">
      <c r="A413" s="7"/>
      <c r="B413" s="18"/>
      <c r="C413" s="9"/>
      <c r="D413" s="10"/>
      <c r="E413" s="10"/>
      <c r="F413" s="10"/>
      <c r="G413" s="10"/>
      <c r="H413" s="10"/>
      <c r="I413" s="12"/>
      <c r="J413" s="13"/>
    </row>
    <row r="414" spans="1:10" ht="75" customHeight="1">
      <c r="A414" s="7"/>
      <c r="B414" s="18"/>
      <c r="C414" s="9"/>
      <c r="D414" s="10"/>
      <c r="E414" s="10"/>
      <c r="F414" s="10"/>
      <c r="G414" s="10"/>
      <c r="H414" s="10"/>
      <c r="I414" s="12"/>
      <c r="J414" s="13"/>
    </row>
    <row r="415" spans="1:10" ht="75" customHeight="1">
      <c r="A415" s="7"/>
      <c r="B415" s="18"/>
      <c r="C415" s="9"/>
      <c r="D415" s="10"/>
      <c r="E415" s="10"/>
      <c r="F415" s="10"/>
      <c r="G415" s="10"/>
      <c r="H415" s="10"/>
      <c r="I415" s="12"/>
      <c r="J415" s="13"/>
    </row>
    <row r="416" spans="1:10" ht="75" customHeight="1">
      <c r="A416" s="7"/>
      <c r="B416" s="18"/>
      <c r="C416" s="9"/>
      <c r="D416" s="10"/>
      <c r="E416" s="10"/>
      <c r="F416" s="10"/>
      <c r="G416" s="10"/>
      <c r="H416" s="10"/>
      <c r="I416" s="12"/>
      <c r="J416" s="13"/>
    </row>
    <row r="417" spans="1:10" ht="75" customHeight="1">
      <c r="A417" s="7"/>
      <c r="B417" s="18"/>
      <c r="C417" s="9"/>
      <c r="D417" s="10"/>
      <c r="E417" s="10"/>
      <c r="F417" s="10"/>
      <c r="G417" s="10"/>
      <c r="H417" s="10"/>
      <c r="I417" s="12"/>
      <c r="J417" s="13"/>
    </row>
    <row r="418" spans="1:10" ht="75" customHeight="1">
      <c r="A418" s="7"/>
      <c r="B418" s="18"/>
      <c r="C418" s="9"/>
      <c r="D418" s="10"/>
      <c r="E418" s="10"/>
      <c r="F418" s="10"/>
      <c r="G418" s="10"/>
      <c r="H418" s="10"/>
      <c r="I418" s="12"/>
      <c r="J418" s="13"/>
    </row>
    <row r="419" spans="1:10" ht="75" customHeight="1">
      <c r="A419" s="7"/>
      <c r="B419" s="18"/>
      <c r="C419" s="9"/>
      <c r="D419" s="10"/>
      <c r="E419" s="10"/>
      <c r="F419" s="10"/>
      <c r="G419" s="10"/>
      <c r="H419" s="10"/>
      <c r="I419" s="12"/>
      <c r="J419" s="13"/>
    </row>
    <row r="420" spans="1:10" ht="75" customHeight="1">
      <c r="A420" s="7"/>
      <c r="B420" s="18"/>
      <c r="C420" s="9"/>
      <c r="D420" s="10"/>
      <c r="E420" s="10"/>
      <c r="F420" s="10"/>
      <c r="G420" s="10"/>
      <c r="H420" s="10"/>
      <c r="I420" s="12"/>
      <c r="J420" s="13"/>
    </row>
    <row r="421" spans="1:10" ht="75" customHeight="1">
      <c r="A421" s="7"/>
      <c r="B421" s="18"/>
      <c r="C421" s="9"/>
      <c r="D421" s="10"/>
      <c r="E421" s="10"/>
      <c r="F421" s="10"/>
      <c r="G421" s="10"/>
      <c r="H421" s="10"/>
      <c r="I421" s="12"/>
      <c r="J421" s="13"/>
    </row>
    <row r="422" spans="1:10" ht="75" customHeight="1">
      <c r="A422" s="7"/>
      <c r="B422" s="18"/>
      <c r="C422" s="9"/>
      <c r="D422" s="10"/>
      <c r="E422" s="10"/>
      <c r="F422" s="10"/>
      <c r="G422" s="10"/>
      <c r="H422" s="10"/>
      <c r="I422" s="12"/>
      <c r="J422" s="13"/>
    </row>
    <row r="423" spans="1:10" ht="75" customHeight="1">
      <c r="A423" s="7"/>
      <c r="B423" s="18"/>
      <c r="C423" s="9"/>
      <c r="D423" s="10"/>
      <c r="E423" s="10"/>
      <c r="F423" s="10"/>
      <c r="G423" s="10"/>
      <c r="H423" s="10"/>
      <c r="I423" s="12"/>
      <c r="J423" s="13"/>
    </row>
    <row r="424" spans="1:10" ht="75" customHeight="1">
      <c r="A424" s="7"/>
      <c r="B424" s="18"/>
      <c r="C424" s="9"/>
      <c r="D424" s="10"/>
      <c r="E424" s="10"/>
      <c r="F424" s="10"/>
      <c r="G424" s="10"/>
      <c r="H424" s="10"/>
      <c r="I424" s="12"/>
      <c r="J424" s="13"/>
    </row>
    <row r="425" spans="1:10" ht="75" customHeight="1">
      <c r="A425" s="7"/>
      <c r="B425" s="18"/>
      <c r="C425" s="9"/>
      <c r="D425" s="10"/>
      <c r="E425" s="10"/>
      <c r="F425" s="10"/>
      <c r="G425" s="10"/>
      <c r="H425" s="10"/>
      <c r="I425" s="12"/>
      <c r="J425" s="13"/>
    </row>
    <row r="426" spans="1:10" ht="75" customHeight="1">
      <c r="A426" s="7"/>
      <c r="B426" s="18"/>
      <c r="C426" s="9"/>
      <c r="D426" s="10"/>
      <c r="E426" s="10"/>
      <c r="F426" s="10"/>
      <c r="G426" s="10"/>
      <c r="H426" s="10"/>
      <c r="I426" s="12"/>
      <c r="J426" s="13"/>
    </row>
    <row r="427" spans="1:10" ht="75" customHeight="1">
      <c r="A427" s="7"/>
      <c r="B427" s="18"/>
      <c r="C427" s="9"/>
      <c r="D427" s="10"/>
      <c r="E427" s="10"/>
      <c r="F427" s="10"/>
      <c r="G427" s="10"/>
      <c r="H427" s="10"/>
      <c r="I427" s="12"/>
      <c r="J427" s="13"/>
    </row>
    <row r="428" spans="1:10" ht="75" customHeight="1">
      <c r="A428" s="7"/>
      <c r="B428" s="18"/>
      <c r="C428" s="9"/>
      <c r="D428" s="10"/>
      <c r="E428" s="10"/>
      <c r="F428" s="10"/>
      <c r="G428" s="10"/>
      <c r="H428" s="10"/>
      <c r="I428" s="12"/>
      <c r="J428" s="13"/>
    </row>
    <row r="429" spans="1:10" ht="75" customHeight="1">
      <c r="A429" s="7"/>
      <c r="B429" s="18"/>
      <c r="C429" s="9"/>
      <c r="D429" s="10"/>
      <c r="E429" s="10"/>
      <c r="F429" s="10"/>
      <c r="G429" s="10"/>
      <c r="H429" s="10"/>
      <c r="I429" s="12"/>
      <c r="J429" s="13"/>
    </row>
    <row r="430" spans="1:10" ht="75" customHeight="1">
      <c r="A430" s="7"/>
      <c r="B430" s="18"/>
      <c r="C430" s="9"/>
      <c r="D430" s="10"/>
      <c r="E430" s="10"/>
      <c r="F430" s="10"/>
      <c r="G430" s="10"/>
      <c r="H430" s="10"/>
      <c r="I430" s="12"/>
      <c r="J430" s="13"/>
    </row>
    <row r="431" spans="1:10" ht="75" customHeight="1">
      <c r="A431" s="7"/>
      <c r="B431" s="18"/>
      <c r="C431" s="9"/>
      <c r="D431" s="10"/>
      <c r="E431" s="10"/>
      <c r="F431" s="10"/>
      <c r="G431" s="10"/>
      <c r="H431" s="10"/>
      <c r="I431" s="12"/>
      <c r="J431" s="13"/>
    </row>
    <row r="432" spans="1:10" ht="75" customHeight="1">
      <c r="A432" s="7"/>
      <c r="B432" s="18"/>
      <c r="C432" s="9"/>
      <c r="D432" s="10"/>
      <c r="E432" s="10"/>
      <c r="F432" s="10"/>
      <c r="G432" s="10"/>
      <c r="H432" s="10"/>
      <c r="I432" s="12"/>
      <c r="J432" s="13"/>
    </row>
    <row r="433" spans="1:10" ht="75" customHeight="1">
      <c r="A433" s="7"/>
      <c r="B433" s="18"/>
      <c r="C433" s="9"/>
      <c r="D433" s="10"/>
      <c r="E433" s="10"/>
      <c r="F433" s="10"/>
      <c r="G433" s="10"/>
      <c r="H433" s="10"/>
      <c r="I433" s="12"/>
      <c r="J433" s="13"/>
    </row>
    <row r="434" spans="1:10" ht="75" customHeight="1">
      <c r="A434" s="7"/>
      <c r="B434" s="18"/>
      <c r="C434" s="9"/>
      <c r="D434" s="10"/>
      <c r="E434" s="10"/>
      <c r="F434" s="10"/>
      <c r="G434" s="10"/>
      <c r="H434" s="10"/>
      <c r="I434" s="12"/>
      <c r="J434" s="13"/>
    </row>
    <row r="435" spans="1:10" ht="75" customHeight="1">
      <c r="A435" s="7"/>
      <c r="B435" s="18"/>
      <c r="C435" s="9"/>
      <c r="D435" s="10"/>
      <c r="E435" s="10"/>
      <c r="F435" s="10"/>
      <c r="G435" s="10"/>
      <c r="H435" s="10"/>
      <c r="I435" s="12"/>
      <c r="J435" s="13"/>
    </row>
    <row r="436" spans="1:10" ht="75" customHeight="1">
      <c r="A436" s="7"/>
      <c r="B436" s="18"/>
      <c r="C436" s="9"/>
      <c r="D436" s="10"/>
      <c r="E436" s="10"/>
      <c r="F436" s="10"/>
      <c r="G436" s="10"/>
      <c r="H436" s="10"/>
      <c r="I436" s="12"/>
      <c r="J436" s="13"/>
    </row>
    <row r="437" spans="1:10" ht="75" customHeight="1">
      <c r="A437" s="7"/>
      <c r="B437" s="18"/>
      <c r="C437" s="9"/>
      <c r="D437" s="10"/>
      <c r="E437" s="10"/>
      <c r="F437" s="10"/>
      <c r="G437" s="10"/>
      <c r="H437" s="10"/>
      <c r="I437" s="12"/>
      <c r="J437" s="13"/>
    </row>
    <row r="438" spans="1:10" ht="75" customHeight="1">
      <c r="A438" s="7"/>
      <c r="B438" s="18"/>
      <c r="C438" s="9"/>
      <c r="D438" s="10"/>
      <c r="E438" s="10"/>
      <c r="F438" s="10"/>
      <c r="G438" s="10"/>
      <c r="H438" s="10"/>
      <c r="I438" s="12"/>
      <c r="J438" s="13"/>
    </row>
    <row r="439" spans="1:10" ht="75" customHeight="1">
      <c r="A439" s="7"/>
      <c r="B439" s="18"/>
      <c r="C439" s="9"/>
      <c r="D439" s="10"/>
      <c r="E439" s="10"/>
      <c r="F439" s="10"/>
      <c r="G439" s="10"/>
      <c r="H439" s="10"/>
      <c r="I439" s="12"/>
      <c r="J439" s="13"/>
    </row>
    <row r="440" spans="1:10" ht="75" customHeight="1">
      <c r="A440" s="7"/>
      <c r="B440" s="18"/>
      <c r="C440" s="9"/>
      <c r="D440" s="10"/>
      <c r="E440" s="10"/>
      <c r="F440" s="10"/>
      <c r="G440" s="10"/>
      <c r="H440" s="10"/>
      <c r="I440" s="12"/>
      <c r="J440" s="13"/>
    </row>
    <row r="441" spans="1:10" ht="75" customHeight="1">
      <c r="A441" s="7"/>
      <c r="B441" s="18"/>
      <c r="C441" s="9"/>
      <c r="D441" s="10"/>
      <c r="E441" s="10"/>
      <c r="F441" s="10"/>
      <c r="G441" s="10"/>
      <c r="H441" s="10"/>
      <c r="I441" s="12"/>
      <c r="J441" s="13"/>
    </row>
    <row r="442" spans="1:10" ht="75" customHeight="1">
      <c r="A442" s="7"/>
      <c r="B442" s="18"/>
      <c r="C442" s="9"/>
      <c r="D442" s="10"/>
      <c r="E442" s="10"/>
      <c r="F442" s="10"/>
      <c r="G442" s="10"/>
      <c r="H442" s="10"/>
      <c r="I442" s="12"/>
      <c r="J442" s="13"/>
    </row>
    <row r="443" spans="1:10" ht="75" customHeight="1">
      <c r="A443" s="7"/>
      <c r="B443" s="18"/>
      <c r="C443" s="9"/>
      <c r="D443" s="10"/>
      <c r="E443" s="10"/>
      <c r="F443" s="10"/>
      <c r="G443" s="10"/>
      <c r="H443" s="10"/>
      <c r="I443" s="12"/>
      <c r="J443" s="13"/>
    </row>
    <row r="444" spans="1:10" ht="75" customHeight="1">
      <c r="A444" s="7"/>
      <c r="B444" s="18"/>
      <c r="C444" s="9"/>
      <c r="D444" s="10"/>
      <c r="E444" s="10"/>
      <c r="F444" s="10"/>
      <c r="G444" s="10"/>
      <c r="H444" s="10"/>
      <c r="I444" s="12"/>
      <c r="J444" s="13"/>
    </row>
    <row r="445" spans="1:10" ht="75" customHeight="1">
      <c r="A445" s="7"/>
      <c r="B445" s="18"/>
      <c r="C445" s="9"/>
      <c r="D445" s="10"/>
      <c r="E445" s="10"/>
      <c r="F445" s="10"/>
      <c r="G445" s="10"/>
      <c r="H445" s="10"/>
      <c r="I445" s="12"/>
      <c r="J445" s="13"/>
    </row>
    <row r="446" spans="1:10" ht="75" customHeight="1">
      <c r="A446" s="7"/>
      <c r="B446" s="18"/>
      <c r="C446" s="9"/>
      <c r="D446" s="10"/>
      <c r="E446" s="10"/>
      <c r="F446" s="10"/>
      <c r="G446" s="10"/>
      <c r="H446" s="10"/>
      <c r="I446" s="12"/>
      <c r="J446" s="13"/>
    </row>
    <row r="447" spans="1:10" ht="75" customHeight="1">
      <c r="A447" s="7"/>
      <c r="B447" s="18"/>
      <c r="C447" s="9"/>
      <c r="D447" s="10"/>
      <c r="E447" s="10"/>
      <c r="F447" s="10"/>
      <c r="G447" s="10"/>
      <c r="H447" s="10"/>
      <c r="I447" s="12"/>
      <c r="J447" s="13"/>
    </row>
    <row r="448" spans="1:10" ht="75" customHeight="1">
      <c r="A448" s="7"/>
      <c r="B448" s="18"/>
      <c r="C448" s="9"/>
      <c r="D448" s="10"/>
      <c r="E448" s="10"/>
      <c r="F448" s="10"/>
      <c r="G448" s="10"/>
      <c r="H448" s="10"/>
      <c r="I448" s="12"/>
      <c r="J448" s="13"/>
    </row>
    <row r="449" spans="1:10" ht="75" customHeight="1">
      <c r="A449" s="7"/>
      <c r="B449" s="18"/>
      <c r="C449" s="9"/>
      <c r="D449" s="10"/>
      <c r="E449" s="10"/>
      <c r="F449" s="10"/>
      <c r="G449" s="10"/>
      <c r="H449" s="10"/>
      <c r="I449" s="12"/>
      <c r="J449" s="13"/>
    </row>
    <row r="450" spans="1:10" ht="75" customHeight="1">
      <c r="A450" s="7"/>
      <c r="B450" s="18"/>
      <c r="C450" s="9"/>
      <c r="D450" s="10"/>
      <c r="E450" s="10"/>
      <c r="F450" s="10"/>
      <c r="G450" s="10"/>
      <c r="H450" s="10"/>
      <c r="I450" s="12"/>
      <c r="J450" s="13"/>
    </row>
    <row r="451" spans="1:10" ht="75" customHeight="1">
      <c r="A451" s="7"/>
      <c r="B451" s="18"/>
      <c r="C451" s="9"/>
      <c r="D451" s="10"/>
      <c r="E451" s="10"/>
      <c r="F451" s="10"/>
      <c r="G451" s="10"/>
      <c r="H451" s="10"/>
      <c r="I451" s="12"/>
      <c r="J451" s="13"/>
    </row>
    <row r="452" spans="1:10" ht="75" customHeight="1">
      <c r="A452" s="7"/>
      <c r="B452" s="18"/>
      <c r="C452" s="9"/>
      <c r="D452" s="10"/>
      <c r="E452" s="10"/>
      <c r="F452" s="10"/>
      <c r="G452" s="10"/>
      <c r="H452" s="10"/>
      <c r="I452" s="12"/>
      <c r="J452" s="13"/>
    </row>
    <row r="453" spans="1:10" ht="75" customHeight="1">
      <c r="A453" s="7"/>
      <c r="B453" s="18"/>
      <c r="C453" s="9"/>
      <c r="D453" s="10"/>
      <c r="E453" s="10"/>
      <c r="F453" s="10"/>
      <c r="G453" s="10"/>
      <c r="H453" s="10"/>
      <c r="I453" s="12"/>
      <c r="J453" s="13"/>
    </row>
    <row r="454" spans="1:10" ht="75" customHeight="1">
      <c r="A454" s="7"/>
      <c r="B454" s="18"/>
      <c r="C454" s="9"/>
      <c r="D454" s="10"/>
      <c r="E454" s="10"/>
      <c r="F454" s="10"/>
      <c r="G454" s="10"/>
      <c r="H454" s="10"/>
      <c r="I454" s="12"/>
      <c r="J454" s="13"/>
    </row>
    <row r="455" spans="1:10" ht="75" customHeight="1">
      <c r="A455" s="7"/>
      <c r="B455" s="18"/>
      <c r="C455" s="9"/>
      <c r="D455" s="10"/>
      <c r="E455" s="10"/>
      <c r="F455" s="10"/>
      <c r="G455" s="10"/>
      <c r="H455" s="10"/>
      <c r="I455" s="12"/>
      <c r="J455" s="13"/>
    </row>
    <row r="456" spans="1:10" ht="75" customHeight="1">
      <c r="A456" s="7"/>
      <c r="B456" s="18"/>
      <c r="C456" s="9"/>
      <c r="D456" s="10"/>
      <c r="E456" s="10"/>
      <c r="F456" s="10"/>
      <c r="G456" s="10"/>
      <c r="H456" s="10"/>
      <c r="I456" s="12"/>
      <c r="J456" s="13"/>
    </row>
    <row r="457" spans="1:10" ht="75" customHeight="1">
      <c r="A457" s="7"/>
      <c r="B457" s="18"/>
      <c r="C457" s="9"/>
      <c r="D457" s="10"/>
      <c r="E457" s="10"/>
      <c r="F457" s="10"/>
      <c r="G457" s="10"/>
      <c r="H457" s="10"/>
      <c r="I457" s="12"/>
      <c r="J457" s="13"/>
    </row>
    <row r="458" spans="1:10" ht="75" customHeight="1">
      <c r="A458" s="7"/>
      <c r="B458" s="18"/>
      <c r="C458" s="9"/>
      <c r="D458" s="10"/>
      <c r="E458" s="10"/>
      <c r="F458" s="10"/>
      <c r="G458" s="10"/>
      <c r="H458" s="10"/>
      <c r="I458" s="12"/>
      <c r="J458" s="13"/>
    </row>
    <row r="459" spans="1:10" ht="75" customHeight="1">
      <c r="A459" s="7"/>
      <c r="B459" s="18"/>
      <c r="C459" s="9"/>
      <c r="D459" s="10"/>
      <c r="E459" s="10"/>
      <c r="F459" s="10"/>
      <c r="G459" s="10"/>
      <c r="H459" s="10"/>
      <c r="I459" s="12"/>
      <c r="J459" s="13"/>
    </row>
    <row r="460" spans="1:10" ht="75" customHeight="1">
      <c r="A460" s="7"/>
      <c r="B460" s="18"/>
      <c r="C460" s="9"/>
      <c r="D460" s="10"/>
      <c r="E460" s="10"/>
      <c r="F460" s="10"/>
      <c r="G460" s="10"/>
      <c r="H460" s="10"/>
      <c r="I460" s="12"/>
      <c r="J460" s="13"/>
    </row>
    <row r="461" spans="1:10" ht="75" customHeight="1">
      <c r="A461" s="7"/>
      <c r="B461" s="18"/>
      <c r="C461" s="9"/>
      <c r="D461" s="10"/>
      <c r="E461" s="10"/>
      <c r="F461" s="10"/>
      <c r="G461" s="10"/>
      <c r="H461" s="10"/>
      <c r="I461" s="12"/>
      <c r="J461" s="13"/>
    </row>
    <row r="462" spans="1:10" ht="75" customHeight="1">
      <c r="A462" s="7"/>
      <c r="B462" s="18"/>
      <c r="C462" s="9"/>
      <c r="D462" s="10"/>
      <c r="E462" s="10"/>
      <c r="F462" s="10"/>
      <c r="G462" s="10"/>
      <c r="H462" s="10"/>
      <c r="I462" s="12"/>
      <c r="J462" s="13"/>
    </row>
    <row r="463" spans="1:10" ht="75" customHeight="1">
      <c r="A463" s="7"/>
      <c r="B463" s="18"/>
      <c r="C463" s="9"/>
      <c r="D463" s="10"/>
      <c r="E463" s="10"/>
      <c r="F463" s="10"/>
      <c r="G463" s="10"/>
      <c r="H463" s="10"/>
      <c r="I463" s="12"/>
      <c r="J463" s="13"/>
    </row>
    <row r="464" spans="1:10" ht="75" customHeight="1">
      <c r="A464" s="7"/>
      <c r="B464" s="18"/>
      <c r="C464" s="9"/>
      <c r="D464" s="10"/>
      <c r="E464" s="10"/>
      <c r="F464" s="10"/>
      <c r="G464" s="10"/>
      <c r="H464" s="10"/>
      <c r="I464" s="12"/>
      <c r="J464" s="13"/>
    </row>
    <row r="465" spans="1:10" ht="75" customHeight="1">
      <c r="A465" s="7"/>
      <c r="B465" s="18"/>
      <c r="C465" s="9"/>
      <c r="D465" s="10"/>
      <c r="E465" s="10"/>
      <c r="F465" s="10"/>
      <c r="G465" s="10"/>
      <c r="H465" s="10"/>
      <c r="I465" s="12"/>
      <c r="J465" s="13"/>
    </row>
    <row r="466" spans="1:10" ht="75" customHeight="1">
      <c r="A466" s="7"/>
      <c r="B466" s="18"/>
      <c r="C466" s="9"/>
      <c r="D466" s="10"/>
      <c r="E466" s="10"/>
      <c r="F466" s="10"/>
      <c r="G466" s="10"/>
      <c r="H466" s="10"/>
      <c r="I466" s="12"/>
      <c r="J466" s="13"/>
    </row>
    <row r="467" spans="1:10" ht="75" customHeight="1">
      <c r="A467" s="7"/>
      <c r="B467" s="18"/>
      <c r="C467" s="9"/>
      <c r="D467" s="10"/>
      <c r="E467" s="10"/>
      <c r="F467" s="10"/>
      <c r="G467" s="10"/>
      <c r="H467" s="10"/>
      <c r="I467" s="12"/>
      <c r="J467" s="13"/>
    </row>
    <row r="468" spans="1:10" ht="75" customHeight="1">
      <c r="A468" s="7"/>
      <c r="B468" s="18"/>
      <c r="C468" s="9"/>
      <c r="D468" s="10"/>
      <c r="E468" s="10"/>
      <c r="F468" s="10"/>
      <c r="G468" s="10"/>
      <c r="H468" s="10"/>
      <c r="I468" s="12"/>
      <c r="J468" s="13"/>
    </row>
    <row r="469" spans="1:10" ht="75" customHeight="1">
      <c r="A469" s="7"/>
      <c r="B469" s="18"/>
      <c r="C469" s="9"/>
      <c r="D469" s="10"/>
      <c r="E469" s="10"/>
      <c r="F469" s="10"/>
      <c r="G469" s="10"/>
      <c r="H469" s="10"/>
      <c r="I469" s="12"/>
      <c r="J469" s="13"/>
    </row>
    <row r="470" spans="1:10" ht="75" customHeight="1">
      <c r="A470" s="7"/>
      <c r="B470" s="18"/>
      <c r="C470" s="9"/>
      <c r="D470" s="10"/>
      <c r="E470" s="10"/>
      <c r="F470" s="10"/>
      <c r="G470" s="10"/>
      <c r="H470" s="10"/>
      <c r="I470" s="12"/>
      <c r="J470" s="13"/>
    </row>
    <row r="471" spans="1:10" ht="75" customHeight="1">
      <c r="A471" s="7"/>
      <c r="B471" s="18"/>
      <c r="C471" s="9"/>
      <c r="D471" s="10"/>
      <c r="E471" s="10"/>
      <c r="F471" s="10"/>
      <c r="G471" s="10"/>
      <c r="H471" s="10"/>
      <c r="I471" s="12"/>
      <c r="J471" s="13"/>
    </row>
    <row r="472" spans="1:10" ht="75" customHeight="1">
      <c r="A472" s="7"/>
      <c r="B472" s="18"/>
      <c r="C472" s="9"/>
      <c r="D472" s="10"/>
      <c r="E472" s="10"/>
      <c r="F472" s="10"/>
      <c r="G472" s="10"/>
      <c r="H472" s="10"/>
      <c r="I472" s="12"/>
      <c r="J472" s="13"/>
    </row>
    <row r="473" spans="1:10" ht="75" customHeight="1">
      <c r="A473" s="7"/>
      <c r="B473" s="18"/>
      <c r="C473" s="9"/>
      <c r="D473" s="10"/>
      <c r="E473" s="10"/>
      <c r="F473" s="10"/>
      <c r="G473" s="10"/>
      <c r="H473" s="10"/>
      <c r="I473" s="12"/>
      <c r="J473" s="13"/>
    </row>
    <row r="474" spans="1:10" ht="75" customHeight="1">
      <c r="A474" s="7"/>
      <c r="B474" s="18"/>
      <c r="C474" s="9"/>
      <c r="D474" s="10"/>
      <c r="E474" s="10"/>
      <c r="F474" s="10"/>
      <c r="G474" s="10"/>
      <c r="H474" s="10"/>
      <c r="I474" s="12"/>
      <c r="J474" s="13"/>
    </row>
    <row r="475" spans="1:10" ht="75" customHeight="1">
      <c r="A475" s="7"/>
      <c r="B475" s="18"/>
      <c r="C475" s="9"/>
      <c r="D475" s="10"/>
      <c r="E475" s="10"/>
      <c r="F475" s="10"/>
      <c r="G475" s="10"/>
      <c r="H475" s="10"/>
      <c r="I475" s="12"/>
      <c r="J475" s="13"/>
    </row>
    <row r="476" spans="1:10" ht="75" customHeight="1">
      <c r="A476" s="7"/>
      <c r="B476" s="18"/>
      <c r="C476" s="9"/>
      <c r="D476" s="10"/>
      <c r="E476" s="10"/>
      <c r="F476" s="10"/>
      <c r="G476" s="10"/>
      <c r="H476" s="10"/>
      <c r="I476" s="12"/>
      <c r="J476" s="13"/>
    </row>
    <row r="477" spans="1:10" ht="75" customHeight="1">
      <c r="A477" s="7"/>
      <c r="B477" s="18"/>
      <c r="C477" s="9"/>
      <c r="D477" s="10"/>
      <c r="E477" s="10"/>
      <c r="F477" s="10"/>
      <c r="G477" s="10"/>
      <c r="H477" s="10"/>
      <c r="I477" s="12"/>
      <c r="J477" s="13"/>
    </row>
    <row r="478" spans="1:10" ht="75" customHeight="1">
      <c r="A478" s="7"/>
      <c r="B478" s="18"/>
      <c r="C478" s="9"/>
      <c r="D478" s="10"/>
      <c r="E478" s="10"/>
      <c r="F478" s="10"/>
      <c r="G478" s="10"/>
      <c r="H478" s="10"/>
      <c r="I478" s="12"/>
      <c r="J478" s="13"/>
    </row>
    <row r="479" spans="1:10" ht="75" customHeight="1">
      <c r="A479" s="7"/>
      <c r="B479" s="18"/>
      <c r="C479" s="9"/>
      <c r="D479" s="10"/>
      <c r="E479" s="10"/>
      <c r="F479" s="10"/>
      <c r="G479" s="10"/>
      <c r="H479" s="10"/>
      <c r="I479" s="12"/>
      <c r="J479" s="13"/>
    </row>
    <row r="480" spans="1:10" ht="75" customHeight="1">
      <c r="A480" s="7"/>
      <c r="B480" s="18"/>
      <c r="C480" s="9"/>
      <c r="D480" s="10"/>
      <c r="E480" s="10"/>
      <c r="F480" s="10"/>
      <c r="G480" s="10"/>
      <c r="H480" s="10"/>
      <c r="I480" s="12"/>
      <c r="J480" s="13"/>
    </row>
    <row r="481" spans="1:10" ht="75" customHeight="1">
      <c r="A481" s="7"/>
      <c r="B481" s="18"/>
      <c r="C481" s="9"/>
      <c r="D481" s="10"/>
      <c r="E481" s="10"/>
      <c r="F481" s="10"/>
      <c r="G481" s="10"/>
      <c r="H481" s="10"/>
      <c r="I481" s="12"/>
      <c r="J481" s="13"/>
    </row>
    <row r="482" spans="1:10" ht="75" customHeight="1">
      <c r="A482" s="7"/>
      <c r="B482" s="18"/>
      <c r="C482" s="9"/>
      <c r="D482" s="10"/>
      <c r="E482" s="10"/>
      <c r="F482" s="10"/>
      <c r="G482" s="10"/>
      <c r="H482" s="10"/>
      <c r="I482" s="12"/>
      <c r="J482" s="13"/>
    </row>
    <row r="483" spans="1:10" ht="75" customHeight="1">
      <c r="A483" s="7"/>
      <c r="B483" s="18"/>
      <c r="C483" s="9"/>
      <c r="D483" s="10"/>
      <c r="E483" s="10"/>
      <c r="F483" s="10"/>
      <c r="G483" s="10"/>
      <c r="H483" s="10"/>
      <c r="I483" s="12"/>
      <c r="J483" s="13"/>
    </row>
    <row r="484" spans="1:10" ht="75" customHeight="1">
      <c r="A484" s="7"/>
      <c r="B484" s="18"/>
      <c r="C484" s="9"/>
      <c r="D484" s="10"/>
      <c r="E484" s="10"/>
      <c r="F484" s="10"/>
      <c r="G484" s="10"/>
      <c r="H484" s="10"/>
      <c r="I484" s="12"/>
      <c r="J484" s="13"/>
    </row>
    <row r="485" spans="1:10" ht="75" customHeight="1">
      <c r="A485" s="7"/>
      <c r="B485" s="18"/>
      <c r="C485" s="9"/>
      <c r="D485" s="10"/>
      <c r="E485" s="10"/>
      <c r="F485" s="10"/>
      <c r="G485" s="10"/>
      <c r="H485" s="10"/>
      <c r="I485" s="12"/>
      <c r="J485" s="13"/>
    </row>
    <row r="486" spans="1:10" ht="75" customHeight="1">
      <c r="A486" s="7"/>
      <c r="B486" s="18"/>
      <c r="C486" s="9"/>
      <c r="D486" s="10"/>
      <c r="E486" s="10"/>
      <c r="F486" s="10"/>
      <c r="G486" s="10"/>
      <c r="H486" s="10"/>
      <c r="I486" s="12"/>
      <c r="J486" s="13"/>
    </row>
    <row r="487" spans="1:10" ht="75" customHeight="1">
      <c r="A487" s="7"/>
      <c r="B487" s="18"/>
      <c r="C487" s="9"/>
      <c r="D487" s="10"/>
      <c r="E487" s="10"/>
      <c r="F487" s="10"/>
      <c r="G487" s="10"/>
      <c r="H487" s="10"/>
      <c r="I487" s="12"/>
      <c r="J487" s="13"/>
    </row>
    <row r="488" spans="1:10" ht="75" customHeight="1">
      <c r="A488" s="7"/>
      <c r="B488" s="18"/>
      <c r="C488" s="9"/>
      <c r="D488" s="10"/>
      <c r="E488" s="10"/>
      <c r="F488" s="10"/>
      <c r="G488" s="10"/>
      <c r="H488" s="10"/>
      <c r="I488" s="12"/>
      <c r="J488" s="13"/>
    </row>
    <row r="489" spans="1:10" ht="75" customHeight="1">
      <c r="A489" s="7"/>
      <c r="B489" s="18"/>
      <c r="C489" s="9"/>
      <c r="D489" s="10"/>
      <c r="E489" s="10"/>
      <c r="F489" s="10"/>
      <c r="G489" s="10"/>
      <c r="H489" s="10"/>
      <c r="I489" s="12"/>
      <c r="J489" s="13"/>
    </row>
    <row r="490" spans="1:10" ht="75" customHeight="1">
      <c r="A490" s="7"/>
      <c r="B490" s="18"/>
      <c r="C490" s="9"/>
      <c r="D490" s="10"/>
      <c r="E490" s="10"/>
      <c r="F490" s="10"/>
      <c r="G490" s="10"/>
      <c r="H490" s="10"/>
      <c r="I490" s="12"/>
      <c r="J490" s="13"/>
    </row>
    <row r="491" spans="1:10" ht="75" customHeight="1">
      <c r="A491" s="7"/>
      <c r="B491" s="18"/>
      <c r="C491" s="9"/>
      <c r="D491" s="10"/>
      <c r="E491" s="10"/>
      <c r="F491" s="10"/>
      <c r="G491" s="10"/>
      <c r="H491" s="10"/>
      <c r="I491" s="12"/>
      <c r="J491" s="13"/>
    </row>
    <row r="492" spans="1:10" ht="75" customHeight="1">
      <c r="A492" s="7"/>
      <c r="B492" s="18"/>
      <c r="C492" s="9"/>
      <c r="D492" s="10"/>
      <c r="E492" s="10"/>
      <c r="F492" s="10"/>
      <c r="G492" s="10"/>
      <c r="H492" s="10"/>
      <c r="I492" s="12"/>
      <c r="J492" s="13"/>
    </row>
    <row r="493" spans="1:10" ht="75" customHeight="1">
      <c r="A493" s="7"/>
      <c r="B493" s="18"/>
      <c r="C493" s="9"/>
      <c r="D493" s="10"/>
      <c r="E493" s="10"/>
      <c r="F493" s="10"/>
      <c r="G493" s="10"/>
      <c r="H493" s="10"/>
      <c r="I493" s="12"/>
      <c r="J493" s="13"/>
    </row>
    <row r="494" spans="1:10" ht="75" customHeight="1">
      <c r="A494" s="7"/>
      <c r="B494" s="18"/>
      <c r="C494" s="9"/>
      <c r="D494" s="10"/>
      <c r="E494" s="10"/>
      <c r="F494" s="10"/>
      <c r="G494" s="10"/>
      <c r="H494" s="10"/>
      <c r="I494" s="12"/>
      <c r="J494" s="13"/>
    </row>
    <row r="495" spans="1:10" ht="75" customHeight="1">
      <c r="A495" s="7"/>
      <c r="B495" s="18"/>
      <c r="C495" s="9"/>
      <c r="D495" s="10"/>
      <c r="E495" s="10"/>
      <c r="F495" s="10"/>
      <c r="G495" s="10"/>
      <c r="H495" s="10"/>
      <c r="I495" s="12"/>
      <c r="J495" s="13"/>
    </row>
    <row r="496" spans="1:10" ht="75" customHeight="1">
      <c r="A496" s="7"/>
      <c r="B496" s="18"/>
      <c r="C496" s="9"/>
      <c r="D496" s="10"/>
      <c r="E496" s="10"/>
      <c r="F496" s="10"/>
      <c r="G496" s="10"/>
      <c r="H496" s="10"/>
      <c r="I496" s="12"/>
      <c r="J496" s="13"/>
    </row>
    <row r="497" spans="1:10" ht="75" customHeight="1">
      <c r="A497" s="7"/>
      <c r="B497" s="18"/>
      <c r="C497" s="9"/>
      <c r="D497" s="10"/>
      <c r="E497" s="10"/>
      <c r="F497" s="10"/>
      <c r="G497" s="10"/>
      <c r="H497" s="10"/>
      <c r="I497" s="12"/>
      <c r="J497" s="13"/>
    </row>
    <row r="498" spans="1:10" ht="75" customHeight="1">
      <c r="A498" s="7"/>
      <c r="B498" s="18"/>
      <c r="C498" s="9"/>
      <c r="D498" s="10"/>
      <c r="E498" s="10"/>
      <c r="F498" s="10"/>
      <c r="G498" s="10"/>
      <c r="H498" s="10"/>
      <c r="I498" s="12"/>
      <c r="J498" s="13"/>
    </row>
    <row r="499" spans="1:10" ht="75" customHeight="1">
      <c r="A499" s="7"/>
      <c r="B499" s="18"/>
      <c r="C499" s="9"/>
      <c r="D499" s="10"/>
      <c r="E499" s="10"/>
      <c r="F499" s="10"/>
      <c r="G499" s="10"/>
      <c r="H499" s="10"/>
      <c r="I499" s="12"/>
      <c r="J499" s="13"/>
    </row>
    <row r="500" spans="1:10" ht="75" customHeight="1">
      <c r="A500" s="7"/>
      <c r="B500" s="18"/>
      <c r="C500" s="9"/>
      <c r="D500" s="10"/>
      <c r="E500" s="10"/>
      <c r="F500" s="10"/>
      <c r="G500" s="10"/>
      <c r="H500" s="10"/>
      <c r="I500" s="12"/>
      <c r="J500" s="13"/>
    </row>
    <row r="501" spans="1:10" ht="75" customHeight="1">
      <c r="A501" s="7"/>
      <c r="B501" s="18"/>
      <c r="C501" s="9"/>
      <c r="D501" s="10"/>
      <c r="E501" s="10"/>
      <c r="F501" s="10"/>
      <c r="G501" s="10"/>
      <c r="H501" s="10"/>
      <c r="I501" s="12"/>
      <c r="J501" s="13"/>
    </row>
    <row r="502" spans="1:10" ht="75" customHeight="1">
      <c r="A502" s="7"/>
      <c r="B502" s="18"/>
      <c r="C502" s="9"/>
      <c r="D502" s="10"/>
      <c r="E502" s="10"/>
      <c r="F502" s="10"/>
      <c r="G502" s="10"/>
      <c r="H502" s="10"/>
      <c r="I502" s="12"/>
      <c r="J502" s="13"/>
    </row>
    <row r="503" spans="1:10" ht="75" customHeight="1">
      <c r="A503" s="7"/>
      <c r="B503" s="18"/>
      <c r="C503" s="9"/>
      <c r="D503" s="10"/>
      <c r="E503" s="10"/>
      <c r="F503" s="10"/>
      <c r="G503" s="10"/>
      <c r="H503" s="10"/>
      <c r="I503" s="12"/>
      <c r="J503" s="13"/>
    </row>
    <row r="504" spans="1:10" ht="75" customHeight="1">
      <c r="A504" s="7"/>
      <c r="B504" s="18"/>
      <c r="C504" s="9"/>
      <c r="D504" s="10"/>
      <c r="E504" s="10"/>
      <c r="F504" s="10"/>
      <c r="G504" s="10"/>
      <c r="H504" s="10"/>
      <c r="I504" s="12"/>
      <c r="J504" s="13"/>
    </row>
    <row r="505" spans="1:10" ht="75" customHeight="1">
      <c r="A505" s="7"/>
      <c r="B505" s="18"/>
      <c r="C505" s="9"/>
      <c r="D505" s="10"/>
      <c r="E505" s="10"/>
      <c r="F505" s="10"/>
      <c r="G505" s="10"/>
      <c r="H505" s="10"/>
      <c r="I505" s="12"/>
      <c r="J505" s="13"/>
    </row>
    <row r="506" spans="1:10" ht="75" customHeight="1">
      <c r="A506" s="7"/>
      <c r="B506" s="18"/>
      <c r="C506" s="9"/>
      <c r="D506" s="10"/>
      <c r="E506" s="10"/>
      <c r="F506" s="10"/>
      <c r="G506" s="10"/>
      <c r="H506" s="10"/>
      <c r="I506" s="12"/>
      <c r="J506" s="13"/>
    </row>
    <row r="507" spans="1:10" ht="75" customHeight="1">
      <c r="A507" s="7"/>
      <c r="B507" s="18"/>
      <c r="C507" s="9"/>
      <c r="D507" s="10"/>
      <c r="E507" s="10"/>
      <c r="F507" s="10"/>
      <c r="G507" s="10"/>
      <c r="H507" s="10"/>
      <c r="I507" s="12"/>
      <c r="J507" s="13"/>
    </row>
    <row r="508" spans="1:10" ht="75" customHeight="1">
      <c r="A508" s="7"/>
      <c r="B508" s="18"/>
      <c r="C508" s="9"/>
      <c r="D508" s="10"/>
      <c r="E508" s="10"/>
      <c r="F508" s="10"/>
      <c r="G508" s="10"/>
      <c r="H508" s="10"/>
      <c r="I508" s="12"/>
      <c r="J508" s="13"/>
    </row>
    <row r="509" spans="1:10" ht="75" customHeight="1">
      <c r="A509" s="7"/>
      <c r="B509" s="18"/>
      <c r="C509" s="9"/>
      <c r="D509" s="10"/>
      <c r="E509" s="10"/>
      <c r="F509" s="10"/>
      <c r="G509" s="10"/>
      <c r="H509" s="10"/>
      <c r="I509" s="12"/>
      <c r="J509" s="13"/>
    </row>
    <row r="510" spans="1:10" ht="75" customHeight="1">
      <c r="A510" s="7"/>
      <c r="B510" s="18"/>
      <c r="C510" s="9"/>
      <c r="D510" s="10"/>
      <c r="E510" s="10"/>
      <c r="F510" s="10"/>
      <c r="G510" s="10"/>
      <c r="H510" s="10"/>
      <c r="I510" s="12"/>
      <c r="J510" s="13"/>
    </row>
    <row r="511" spans="1:10" ht="75" customHeight="1">
      <c r="A511" s="7"/>
      <c r="B511" s="18"/>
      <c r="C511" s="9"/>
      <c r="D511" s="10"/>
      <c r="E511" s="10"/>
      <c r="F511" s="10"/>
      <c r="G511" s="10"/>
      <c r="H511" s="10"/>
      <c r="I511" s="12"/>
      <c r="J511" s="13"/>
    </row>
    <row r="512" spans="1:10" ht="75" customHeight="1">
      <c r="A512" s="7"/>
      <c r="B512" s="18"/>
      <c r="C512" s="9"/>
      <c r="D512" s="10"/>
      <c r="E512" s="10"/>
      <c r="F512" s="10"/>
      <c r="G512" s="10"/>
      <c r="H512" s="10"/>
      <c r="I512" s="12"/>
      <c r="J512" s="13"/>
    </row>
    <row r="513" spans="1:10" ht="75" customHeight="1">
      <c r="A513" s="7"/>
      <c r="B513" s="18"/>
      <c r="C513" s="9"/>
      <c r="D513" s="10"/>
      <c r="E513" s="10"/>
      <c r="F513" s="10"/>
      <c r="G513" s="10"/>
      <c r="H513" s="10"/>
      <c r="I513" s="12"/>
      <c r="J513" s="13"/>
    </row>
    <row r="514" spans="1:10" ht="75" customHeight="1">
      <c r="A514" s="7"/>
      <c r="B514" s="18"/>
      <c r="C514" s="9"/>
      <c r="D514" s="10"/>
      <c r="E514" s="10"/>
      <c r="F514" s="10"/>
      <c r="G514" s="10"/>
      <c r="H514" s="10"/>
      <c r="I514" s="12"/>
      <c r="J514" s="13"/>
    </row>
    <row r="515" spans="1:10" ht="75" customHeight="1">
      <c r="A515" s="7"/>
      <c r="B515" s="18"/>
      <c r="C515" s="9"/>
      <c r="D515" s="10"/>
      <c r="E515" s="10"/>
      <c r="F515" s="10"/>
      <c r="G515" s="10"/>
      <c r="H515" s="10"/>
      <c r="I515" s="12"/>
      <c r="J515" s="13"/>
    </row>
    <row r="516" spans="1:10" ht="75" customHeight="1">
      <c r="A516" s="7"/>
      <c r="B516" s="18"/>
      <c r="C516" s="9"/>
      <c r="D516" s="10"/>
      <c r="E516" s="10"/>
      <c r="F516" s="10"/>
      <c r="G516" s="10"/>
      <c r="H516" s="10"/>
      <c r="I516" s="12"/>
      <c r="J516" s="13"/>
    </row>
    <row r="517" spans="1:10" ht="75" customHeight="1">
      <c r="A517" s="7"/>
      <c r="B517" s="18"/>
      <c r="C517" s="9"/>
      <c r="D517" s="10"/>
      <c r="E517" s="10"/>
      <c r="F517" s="10"/>
      <c r="G517" s="10"/>
      <c r="H517" s="10"/>
      <c r="I517" s="12"/>
      <c r="J517" s="13"/>
    </row>
    <row r="518" spans="1:10" ht="75" customHeight="1">
      <c r="A518" s="7"/>
      <c r="B518" s="18"/>
      <c r="C518" s="9"/>
      <c r="D518" s="10"/>
      <c r="E518" s="10"/>
      <c r="F518" s="10"/>
      <c r="G518" s="10"/>
      <c r="H518" s="10"/>
      <c r="I518" s="12"/>
      <c r="J518" s="13"/>
    </row>
    <row r="519" spans="1:10" ht="75" customHeight="1">
      <c r="A519" s="7"/>
      <c r="B519" s="18"/>
      <c r="C519" s="9"/>
      <c r="D519" s="10"/>
      <c r="E519" s="10"/>
      <c r="F519" s="10"/>
      <c r="G519" s="10"/>
      <c r="H519" s="10"/>
      <c r="I519" s="12"/>
      <c r="J519" s="13"/>
    </row>
    <row r="520" spans="1:10" ht="75" customHeight="1">
      <c r="A520" s="7"/>
      <c r="B520" s="18"/>
      <c r="C520" s="9"/>
      <c r="D520" s="10"/>
      <c r="E520" s="10"/>
      <c r="F520" s="10"/>
      <c r="G520" s="10"/>
      <c r="H520" s="10"/>
      <c r="I520" s="12"/>
      <c r="J520" s="13"/>
    </row>
    <row r="521" spans="1:10" ht="75" customHeight="1">
      <c r="A521" s="7"/>
      <c r="B521" s="18"/>
      <c r="C521" s="9"/>
      <c r="D521" s="10"/>
      <c r="E521" s="10"/>
      <c r="F521" s="10"/>
      <c r="G521" s="10"/>
      <c r="H521" s="10"/>
      <c r="I521" s="12"/>
      <c r="J521" s="13"/>
    </row>
    <row r="522" spans="1:10" ht="75" customHeight="1">
      <c r="A522" s="7"/>
      <c r="B522" s="18"/>
      <c r="C522" s="9"/>
      <c r="D522" s="10"/>
      <c r="E522" s="10"/>
      <c r="F522" s="10"/>
      <c r="G522" s="10"/>
      <c r="H522" s="10"/>
      <c r="I522" s="12"/>
      <c r="J522" s="13"/>
    </row>
    <row r="523" spans="1:10" ht="75" customHeight="1">
      <c r="A523" s="7"/>
      <c r="B523" s="18"/>
      <c r="C523" s="9"/>
      <c r="D523" s="10"/>
      <c r="E523" s="10"/>
      <c r="F523" s="10"/>
      <c r="G523" s="10"/>
      <c r="H523" s="10"/>
      <c r="I523" s="12"/>
      <c r="J523" s="13"/>
    </row>
    <row r="524" spans="1:10" ht="75" customHeight="1">
      <c r="A524" s="7"/>
      <c r="B524" s="18"/>
      <c r="C524" s="9"/>
      <c r="D524" s="10"/>
      <c r="E524" s="10"/>
      <c r="F524" s="10"/>
      <c r="G524" s="10"/>
      <c r="H524" s="10"/>
      <c r="I524" s="12"/>
      <c r="J524" s="13"/>
    </row>
    <row r="525" spans="1:10" ht="75" customHeight="1">
      <c r="A525" s="7"/>
      <c r="B525" s="18"/>
      <c r="C525" s="9"/>
      <c r="D525" s="10"/>
      <c r="E525" s="10"/>
      <c r="F525" s="10"/>
      <c r="G525" s="10"/>
      <c r="H525" s="10"/>
      <c r="I525" s="12"/>
      <c r="J525" s="13"/>
    </row>
    <row r="526" spans="1:10" ht="75" customHeight="1">
      <c r="A526" s="7"/>
      <c r="B526" s="18"/>
      <c r="C526" s="9"/>
      <c r="D526" s="10"/>
      <c r="E526" s="10"/>
      <c r="F526" s="10"/>
      <c r="G526" s="10"/>
      <c r="H526" s="10"/>
      <c r="I526" s="12"/>
      <c r="J526" s="13"/>
    </row>
    <row r="527" spans="1:10" ht="75" customHeight="1">
      <c r="A527" s="7"/>
      <c r="B527" s="18"/>
      <c r="C527" s="9"/>
      <c r="D527" s="10"/>
      <c r="E527" s="10"/>
      <c r="F527" s="10"/>
      <c r="G527" s="10"/>
      <c r="H527" s="10"/>
      <c r="I527" s="12"/>
      <c r="J527" s="13"/>
    </row>
    <row r="528" spans="1:10" ht="75" customHeight="1">
      <c r="A528" s="7"/>
      <c r="B528" s="18"/>
      <c r="C528" s="9"/>
      <c r="D528" s="10"/>
      <c r="E528" s="10"/>
      <c r="F528" s="10"/>
      <c r="G528" s="10"/>
      <c r="H528" s="10"/>
      <c r="I528" s="12"/>
      <c r="J528" s="13"/>
    </row>
    <row r="529" spans="1:10" ht="75" customHeight="1">
      <c r="A529" s="7"/>
      <c r="B529" s="18"/>
      <c r="C529" s="9"/>
      <c r="D529" s="10"/>
      <c r="E529" s="10"/>
      <c r="F529" s="10"/>
      <c r="G529" s="10"/>
      <c r="H529" s="10"/>
      <c r="I529" s="12"/>
      <c r="J529" s="13"/>
    </row>
    <row r="530" spans="1:10" ht="75" customHeight="1">
      <c r="A530" s="7"/>
      <c r="B530" s="18"/>
      <c r="C530" s="9"/>
      <c r="D530" s="10"/>
      <c r="E530" s="10"/>
      <c r="F530" s="10"/>
      <c r="G530" s="10"/>
      <c r="H530" s="10"/>
      <c r="I530" s="12"/>
      <c r="J530" s="13"/>
    </row>
    <row r="531" spans="1:10" ht="75" customHeight="1">
      <c r="A531" s="7"/>
      <c r="B531" s="18"/>
      <c r="C531" s="9"/>
      <c r="D531" s="10"/>
      <c r="E531" s="10"/>
      <c r="F531" s="10"/>
      <c r="G531" s="10"/>
      <c r="H531" s="10"/>
      <c r="I531" s="12"/>
      <c r="J531" s="13"/>
    </row>
    <row r="532" spans="1:10" ht="75" customHeight="1">
      <c r="A532" s="7"/>
      <c r="B532" s="18"/>
      <c r="C532" s="9"/>
      <c r="D532" s="10"/>
      <c r="E532" s="10"/>
      <c r="F532" s="10"/>
      <c r="G532" s="10"/>
      <c r="H532" s="10"/>
      <c r="I532" s="12"/>
      <c r="J532" s="13"/>
    </row>
    <row r="533" spans="1:10" ht="75" customHeight="1">
      <c r="A533" s="7"/>
      <c r="B533" s="18"/>
      <c r="C533" s="9"/>
      <c r="D533" s="10"/>
      <c r="E533" s="10"/>
      <c r="F533" s="10"/>
      <c r="G533" s="10"/>
      <c r="H533" s="10"/>
      <c r="I533" s="12"/>
      <c r="J533" s="13"/>
    </row>
    <row r="534" spans="1:10" ht="75" customHeight="1">
      <c r="A534" s="7"/>
      <c r="B534" s="18"/>
      <c r="C534" s="9"/>
      <c r="D534" s="10"/>
      <c r="E534" s="10"/>
      <c r="F534" s="10"/>
      <c r="G534" s="10"/>
      <c r="H534" s="10"/>
      <c r="I534" s="12"/>
      <c r="J534" s="13"/>
    </row>
    <row r="535" spans="1:10" ht="75" customHeight="1">
      <c r="A535" s="7"/>
      <c r="B535" s="18"/>
      <c r="C535" s="9"/>
      <c r="D535" s="10"/>
      <c r="E535" s="10"/>
      <c r="F535" s="10"/>
      <c r="G535" s="10"/>
      <c r="H535" s="10"/>
      <c r="I535" s="12"/>
      <c r="J535" s="13"/>
    </row>
    <row r="536" spans="1:10" ht="75" customHeight="1">
      <c r="A536" s="7"/>
      <c r="B536" s="18"/>
      <c r="C536" s="9"/>
      <c r="D536" s="10"/>
      <c r="E536" s="10"/>
      <c r="F536" s="10"/>
      <c r="G536" s="10"/>
      <c r="H536" s="10"/>
      <c r="I536" s="12"/>
      <c r="J536" s="13"/>
    </row>
    <row r="537" spans="1:10" ht="75" customHeight="1">
      <c r="A537" s="7"/>
      <c r="B537" s="18"/>
      <c r="C537" s="9"/>
      <c r="D537" s="10"/>
      <c r="E537" s="10"/>
      <c r="F537" s="10"/>
      <c r="G537" s="10"/>
      <c r="H537" s="10"/>
      <c r="I537" s="12"/>
      <c r="J537" s="13"/>
    </row>
    <row r="538" spans="1:10" ht="75" customHeight="1">
      <c r="A538" s="7"/>
      <c r="B538" s="18"/>
      <c r="C538" s="9"/>
      <c r="D538" s="10"/>
      <c r="E538" s="10"/>
      <c r="F538" s="10"/>
      <c r="G538" s="10"/>
      <c r="H538" s="10"/>
      <c r="I538" s="12"/>
      <c r="J538" s="13"/>
    </row>
    <row r="539" spans="1:10" ht="75" customHeight="1">
      <c r="A539" s="7"/>
      <c r="B539" s="18"/>
      <c r="C539" s="9"/>
      <c r="D539" s="10"/>
      <c r="E539" s="10"/>
      <c r="F539" s="10"/>
      <c r="G539" s="10"/>
      <c r="H539" s="10"/>
      <c r="I539" s="12"/>
      <c r="J539" s="13"/>
    </row>
    <row r="540" spans="1:10" ht="75" customHeight="1">
      <c r="A540" s="7"/>
      <c r="B540" s="18"/>
      <c r="C540" s="9"/>
      <c r="D540" s="10"/>
      <c r="E540" s="10"/>
      <c r="F540" s="10"/>
      <c r="G540" s="10"/>
      <c r="H540" s="10"/>
      <c r="I540" s="12"/>
      <c r="J540" s="13"/>
    </row>
    <row r="541" spans="1:10" ht="75" customHeight="1">
      <c r="A541" s="7"/>
      <c r="B541" s="18"/>
      <c r="C541" s="9"/>
      <c r="D541" s="10"/>
      <c r="E541" s="10"/>
      <c r="F541" s="10"/>
      <c r="G541" s="10"/>
      <c r="H541" s="10"/>
      <c r="I541" s="12"/>
      <c r="J541" s="13"/>
    </row>
    <row r="542" spans="1:10" ht="75" customHeight="1">
      <c r="A542" s="7"/>
      <c r="B542" s="18"/>
      <c r="C542" s="9"/>
      <c r="D542" s="10"/>
      <c r="E542" s="10"/>
      <c r="F542" s="10"/>
      <c r="G542" s="10"/>
      <c r="H542" s="10"/>
      <c r="I542" s="12"/>
      <c r="J542" s="13"/>
    </row>
    <row r="543" spans="1:10" ht="75" customHeight="1">
      <c r="A543" s="7"/>
      <c r="B543" s="18"/>
      <c r="C543" s="9"/>
      <c r="D543" s="10"/>
      <c r="E543" s="10"/>
      <c r="F543" s="10"/>
      <c r="G543" s="10"/>
      <c r="H543" s="10"/>
      <c r="I543" s="12"/>
      <c r="J543" s="13"/>
    </row>
    <row r="544" spans="1:10" ht="75" customHeight="1">
      <c r="A544" s="7"/>
      <c r="B544" s="18"/>
      <c r="C544" s="9"/>
      <c r="D544" s="10"/>
      <c r="E544" s="10"/>
      <c r="F544" s="10"/>
      <c r="G544" s="10"/>
      <c r="H544" s="10"/>
      <c r="I544" s="12"/>
      <c r="J544" s="13"/>
    </row>
    <row r="545" spans="1:10" ht="75" customHeight="1">
      <c r="A545" s="7"/>
      <c r="B545" s="18"/>
      <c r="C545" s="9"/>
      <c r="D545" s="10"/>
      <c r="E545" s="10"/>
      <c r="F545" s="10"/>
      <c r="G545" s="10"/>
      <c r="H545" s="10"/>
      <c r="I545" s="12"/>
      <c r="J545" s="13"/>
    </row>
    <row r="546" spans="1:10" ht="75" customHeight="1">
      <c r="A546" s="7"/>
      <c r="B546" s="18"/>
      <c r="C546" s="9"/>
      <c r="D546" s="10"/>
      <c r="E546" s="10"/>
      <c r="F546" s="10"/>
      <c r="G546" s="10"/>
      <c r="H546" s="10"/>
      <c r="I546" s="12"/>
      <c r="J546" s="13"/>
    </row>
    <row r="547" spans="1:10" ht="75" customHeight="1">
      <c r="A547" s="7"/>
      <c r="B547" s="18"/>
      <c r="C547" s="9"/>
      <c r="D547" s="10"/>
      <c r="E547" s="10"/>
      <c r="F547" s="10"/>
      <c r="G547" s="10"/>
      <c r="H547" s="10"/>
      <c r="I547" s="12"/>
      <c r="J547" s="13"/>
    </row>
    <row r="548" spans="1:10" ht="75" customHeight="1">
      <c r="A548" s="7"/>
      <c r="B548" s="18"/>
      <c r="C548" s="9"/>
      <c r="D548" s="10"/>
      <c r="E548" s="10"/>
      <c r="F548" s="10"/>
      <c r="G548" s="10"/>
      <c r="H548" s="10"/>
      <c r="I548" s="12"/>
      <c r="J548" s="13"/>
    </row>
    <row r="549" spans="1:10" ht="75" customHeight="1">
      <c r="A549" s="7"/>
      <c r="B549" s="18"/>
      <c r="C549" s="9"/>
      <c r="D549" s="10"/>
      <c r="E549" s="10"/>
      <c r="F549" s="10"/>
      <c r="G549" s="10"/>
      <c r="H549" s="10"/>
      <c r="I549" s="12"/>
      <c r="J549" s="13"/>
    </row>
    <row r="550" spans="1:10" ht="75" customHeight="1">
      <c r="A550" s="7"/>
      <c r="B550" s="18"/>
      <c r="C550" s="9"/>
      <c r="D550" s="10"/>
      <c r="E550" s="10"/>
      <c r="F550" s="10"/>
      <c r="G550" s="10"/>
      <c r="H550" s="10"/>
      <c r="I550" s="12"/>
      <c r="J550" s="13"/>
    </row>
    <row r="551" spans="1:10" ht="75" customHeight="1">
      <c r="A551" s="7"/>
      <c r="B551" s="18"/>
      <c r="C551" s="9"/>
      <c r="D551" s="10"/>
      <c r="E551" s="10"/>
      <c r="F551" s="10"/>
      <c r="G551" s="10"/>
      <c r="H551" s="10"/>
      <c r="I551" s="12"/>
      <c r="J551" s="13"/>
    </row>
    <row r="552" spans="1:10" ht="75" customHeight="1">
      <c r="A552" s="7"/>
      <c r="B552" s="18"/>
      <c r="C552" s="9"/>
      <c r="D552" s="10"/>
      <c r="E552" s="10"/>
      <c r="F552" s="10"/>
      <c r="G552" s="10"/>
      <c r="H552" s="10"/>
      <c r="I552" s="12"/>
      <c r="J552" s="13"/>
    </row>
    <row r="553" spans="1:10" ht="75" customHeight="1">
      <c r="A553" s="7"/>
      <c r="B553" s="18"/>
      <c r="C553" s="9"/>
      <c r="D553" s="10"/>
      <c r="E553" s="10"/>
      <c r="F553" s="10"/>
      <c r="G553" s="10"/>
      <c r="H553" s="10"/>
      <c r="I553" s="12"/>
      <c r="J553" s="13"/>
    </row>
    <row r="554" spans="1:10" ht="75" customHeight="1">
      <c r="A554" s="7"/>
      <c r="B554" s="18"/>
      <c r="C554" s="9"/>
      <c r="D554" s="10"/>
      <c r="E554" s="10"/>
      <c r="F554" s="10"/>
      <c r="G554" s="10"/>
      <c r="H554" s="10"/>
      <c r="I554" s="12"/>
      <c r="J554" s="13"/>
    </row>
    <row r="555" spans="1:10" ht="75" customHeight="1">
      <c r="A555" s="7"/>
      <c r="B555" s="18"/>
      <c r="C555" s="9"/>
      <c r="D555" s="10"/>
      <c r="E555" s="10"/>
      <c r="F555" s="10"/>
      <c r="G555" s="10"/>
      <c r="H555" s="10"/>
      <c r="I555" s="12"/>
      <c r="J555" s="13"/>
    </row>
    <row r="556" spans="1:10" ht="75" customHeight="1">
      <c r="A556" s="7"/>
      <c r="B556" s="18"/>
      <c r="C556" s="9"/>
      <c r="D556" s="10"/>
      <c r="E556" s="10"/>
      <c r="F556" s="10"/>
      <c r="G556" s="10"/>
      <c r="H556" s="10"/>
      <c r="I556" s="12"/>
      <c r="J556" s="13"/>
    </row>
    <row r="557" spans="1:10" ht="75" customHeight="1">
      <c r="A557" s="7"/>
      <c r="B557" s="18"/>
      <c r="C557" s="9"/>
      <c r="D557" s="10"/>
      <c r="E557" s="10"/>
      <c r="F557" s="10"/>
      <c r="G557" s="10"/>
      <c r="H557" s="10"/>
      <c r="I557" s="12"/>
      <c r="J557" s="13"/>
    </row>
    <row r="558" spans="1:10" ht="75" customHeight="1">
      <c r="A558" s="7"/>
      <c r="B558" s="18"/>
      <c r="C558" s="9"/>
      <c r="D558" s="10"/>
      <c r="E558" s="10"/>
      <c r="F558" s="10"/>
      <c r="G558" s="10"/>
      <c r="H558" s="10"/>
      <c r="I558" s="12"/>
      <c r="J558" s="13"/>
    </row>
    <row r="559" spans="1:10" ht="75" customHeight="1">
      <c r="A559" s="7"/>
      <c r="B559" s="18"/>
      <c r="C559" s="9"/>
      <c r="D559" s="10"/>
      <c r="E559" s="10"/>
      <c r="F559" s="10"/>
      <c r="G559" s="10"/>
      <c r="H559" s="10"/>
      <c r="I559" s="12"/>
      <c r="J559" s="13"/>
    </row>
    <row r="560" spans="1:10" ht="75" customHeight="1">
      <c r="A560" s="7"/>
      <c r="B560" s="18"/>
      <c r="C560" s="9"/>
      <c r="D560" s="10"/>
      <c r="E560" s="10"/>
      <c r="F560" s="10"/>
      <c r="G560" s="10"/>
      <c r="H560" s="10"/>
      <c r="I560" s="12"/>
      <c r="J560" s="13"/>
    </row>
    <row r="561" spans="1:10" ht="75" customHeight="1">
      <c r="A561" s="7"/>
      <c r="B561" s="18"/>
      <c r="C561" s="9"/>
      <c r="D561" s="10"/>
      <c r="E561" s="10"/>
      <c r="F561" s="10"/>
      <c r="G561" s="10"/>
      <c r="H561" s="10"/>
      <c r="I561" s="12"/>
      <c r="J561" s="13"/>
    </row>
    <row r="562" spans="1:10" ht="75" customHeight="1">
      <c r="A562" s="7"/>
      <c r="B562" s="18"/>
      <c r="C562" s="9"/>
      <c r="D562" s="10"/>
      <c r="E562" s="10"/>
      <c r="F562" s="10"/>
      <c r="G562" s="10"/>
      <c r="H562" s="10"/>
      <c r="I562" s="12"/>
      <c r="J562" s="13"/>
    </row>
    <row r="563" spans="1:10" ht="75" customHeight="1">
      <c r="A563" s="7"/>
      <c r="B563" s="18"/>
      <c r="C563" s="9"/>
      <c r="D563" s="10"/>
      <c r="E563" s="10"/>
      <c r="F563" s="10"/>
      <c r="G563" s="10"/>
      <c r="H563" s="10"/>
      <c r="I563" s="12"/>
      <c r="J563" s="13"/>
    </row>
    <row r="564" spans="1:10" ht="75" customHeight="1">
      <c r="A564" s="7"/>
      <c r="B564" s="18"/>
      <c r="C564" s="9"/>
      <c r="D564" s="10"/>
      <c r="E564" s="10"/>
      <c r="F564" s="10"/>
      <c r="G564" s="10"/>
      <c r="H564" s="10"/>
      <c r="I564" s="12"/>
      <c r="J564" s="13"/>
    </row>
    <row r="565" spans="1:10" ht="75" customHeight="1">
      <c r="A565" s="7"/>
      <c r="B565" s="18"/>
      <c r="C565" s="9"/>
      <c r="D565" s="10"/>
      <c r="E565" s="10"/>
      <c r="F565" s="10"/>
      <c r="G565" s="10"/>
      <c r="H565" s="10"/>
      <c r="I565" s="12"/>
      <c r="J565" s="13"/>
    </row>
    <row r="566" spans="1:10" ht="75" customHeight="1">
      <c r="A566" s="7"/>
      <c r="B566" s="18"/>
      <c r="C566" s="9"/>
      <c r="D566" s="10"/>
      <c r="E566" s="10"/>
      <c r="F566" s="10"/>
      <c r="G566" s="10"/>
      <c r="H566" s="10"/>
      <c r="I566" s="12"/>
      <c r="J566" s="13"/>
    </row>
    <row r="567" spans="1:10" ht="75" customHeight="1">
      <c r="A567" s="7"/>
      <c r="B567" s="18"/>
      <c r="C567" s="9"/>
      <c r="D567" s="10"/>
      <c r="E567" s="10"/>
      <c r="F567" s="10"/>
      <c r="G567" s="10"/>
      <c r="H567" s="10"/>
      <c r="I567" s="12"/>
      <c r="J567" s="13"/>
    </row>
    <row r="568" spans="1:10" ht="75" customHeight="1">
      <c r="A568" s="7"/>
      <c r="B568" s="18"/>
      <c r="C568" s="9"/>
      <c r="D568" s="10"/>
      <c r="E568" s="10"/>
      <c r="F568" s="10"/>
      <c r="G568" s="10"/>
      <c r="H568" s="10"/>
      <c r="I568" s="12"/>
      <c r="J568" s="13"/>
    </row>
    <row r="569" spans="1:10" ht="75" customHeight="1">
      <c r="A569" s="7"/>
      <c r="B569" s="18"/>
      <c r="C569" s="9"/>
      <c r="D569" s="10"/>
      <c r="E569" s="10"/>
      <c r="F569" s="10"/>
      <c r="G569" s="10"/>
      <c r="H569" s="10"/>
      <c r="I569" s="12"/>
      <c r="J569" s="13"/>
    </row>
    <row r="570" spans="1:10" ht="75" customHeight="1">
      <c r="A570" s="7"/>
      <c r="B570" s="18"/>
      <c r="C570" s="9"/>
      <c r="D570" s="10"/>
      <c r="E570" s="10"/>
      <c r="F570" s="10"/>
      <c r="G570" s="10"/>
      <c r="H570" s="10"/>
      <c r="I570" s="12"/>
      <c r="J570" s="13"/>
    </row>
    <row r="571" spans="1:10" ht="75" customHeight="1">
      <c r="A571" s="7"/>
      <c r="B571" s="18"/>
      <c r="C571" s="9"/>
      <c r="D571" s="10"/>
      <c r="E571" s="10"/>
      <c r="F571" s="10"/>
      <c r="G571" s="10"/>
      <c r="H571" s="10"/>
      <c r="I571" s="12"/>
      <c r="J571" s="13"/>
    </row>
    <row r="572" spans="1:10" ht="75" customHeight="1">
      <c r="A572" s="7"/>
      <c r="B572" s="18"/>
      <c r="C572" s="9"/>
      <c r="D572" s="10"/>
      <c r="E572" s="10"/>
      <c r="F572" s="10"/>
      <c r="G572" s="10"/>
      <c r="H572" s="10"/>
      <c r="I572" s="12"/>
      <c r="J572" s="13"/>
    </row>
    <row r="573" spans="1:10" ht="75" customHeight="1">
      <c r="A573" s="7"/>
      <c r="B573" s="18"/>
      <c r="C573" s="9"/>
      <c r="D573" s="10"/>
      <c r="E573" s="10"/>
      <c r="F573" s="10"/>
      <c r="G573" s="10"/>
      <c r="H573" s="10"/>
      <c r="I573" s="12"/>
      <c r="J573" s="13"/>
    </row>
    <row r="574" spans="1:10" ht="75" customHeight="1">
      <c r="A574" s="7"/>
      <c r="B574" s="18"/>
      <c r="C574" s="9"/>
      <c r="D574" s="10"/>
      <c r="E574" s="10"/>
      <c r="F574" s="10"/>
      <c r="G574" s="10"/>
      <c r="H574" s="10"/>
      <c r="I574" s="12"/>
      <c r="J574" s="13"/>
    </row>
    <row r="575" spans="1:10" ht="75" customHeight="1">
      <c r="A575" s="7"/>
      <c r="B575" s="18"/>
      <c r="C575" s="9"/>
      <c r="D575" s="10"/>
      <c r="E575" s="10"/>
      <c r="F575" s="10"/>
      <c r="G575" s="10"/>
      <c r="H575" s="10"/>
      <c r="I575" s="12"/>
      <c r="J575" s="13"/>
    </row>
    <row r="576" spans="1:10" ht="75" customHeight="1">
      <c r="A576" s="7"/>
      <c r="B576" s="18"/>
      <c r="C576" s="9"/>
      <c r="D576" s="10"/>
      <c r="E576" s="10"/>
      <c r="F576" s="10"/>
      <c r="G576" s="10"/>
      <c r="H576" s="10"/>
      <c r="I576" s="12"/>
      <c r="J576" s="13"/>
    </row>
    <row r="577" spans="1:10" ht="75" customHeight="1">
      <c r="A577" s="7"/>
      <c r="B577" s="18"/>
      <c r="C577" s="9"/>
      <c r="D577" s="10"/>
      <c r="E577" s="10"/>
      <c r="F577" s="10"/>
      <c r="G577" s="10"/>
      <c r="H577" s="10"/>
      <c r="I577" s="12"/>
      <c r="J577" s="13"/>
    </row>
    <row r="578" spans="1:10" ht="75" customHeight="1">
      <c r="A578" s="7"/>
      <c r="B578" s="18"/>
      <c r="C578" s="9"/>
      <c r="D578" s="10"/>
      <c r="E578" s="10"/>
      <c r="F578" s="10"/>
      <c r="G578" s="10"/>
      <c r="H578" s="10"/>
      <c r="I578" s="12"/>
      <c r="J578" s="13"/>
    </row>
    <row r="579" spans="1:10" ht="75" customHeight="1">
      <c r="A579" s="7"/>
      <c r="B579" s="18"/>
      <c r="C579" s="9"/>
      <c r="D579" s="10"/>
      <c r="E579" s="10"/>
      <c r="F579" s="10"/>
      <c r="G579" s="10"/>
      <c r="H579" s="10"/>
      <c r="I579" s="12"/>
      <c r="J579" s="13"/>
    </row>
    <row r="580" spans="1:10" ht="75" customHeight="1">
      <c r="A580" s="7"/>
      <c r="B580" s="18"/>
      <c r="C580" s="9"/>
      <c r="D580" s="10"/>
      <c r="E580" s="10"/>
      <c r="F580" s="10"/>
      <c r="G580" s="10"/>
      <c r="H580" s="10"/>
      <c r="I580" s="12"/>
      <c r="J580" s="13"/>
    </row>
    <row r="581" spans="1:10" ht="75" customHeight="1">
      <c r="A581" s="7"/>
      <c r="B581" s="18"/>
      <c r="C581" s="9"/>
      <c r="D581" s="10"/>
      <c r="E581" s="10"/>
      <c r="F581" s="10"/>
      <c r="G581" s="10"/>
      <c r="H581" s="10"/>
      <c r="I581" s="12"/>
      <c r="J581" s="13"/>
    </row>
    <row r="582" spans="1:10" ht="75" customHeight="1">
      <c r="A582" s="7"/>
      <c r="B582" s="18"/>
      <c r="C582" s="9"/>
      <c r="D582" s="10"/>
      <c r="E582" s="10"/>
      <c r="F582" s="10"/>
      <c r="G582" s="10"/>
      <c r="H582" s="10"/>
      <c r="I582" s="12"/>
      <c r="J582" s="13"/>
    </row>
    <row r="583" spans="1:10" ht="75" customHeight="1">
      <c r="A583" s="7"/>
      <c r="B583" s="18"/>
      <c r="C583" s="9"/>
      <c r="D583" s="10"/>
      <c r="E583" s="10"/>
      <c r="F583" s="10"/>
      <c r="G583" s="10"/>
      <c r="H583" s="10"/>
      <c r="I583" s="12"/>
      <c r="J583" s="13"/>
    </row>
    <row r="584" spans="1:10" ht="75" customHeight="1">
      <c r="A584" s="7"/>
      <c r="B584" s="18"/>
      <c r="C584" s="9"/>
      <c r="D584" s="10"/>
      <c r="E584" s="10"/>
      <c r="F584" s="10"/>
      <c r="G584" s="10"/>
      <c r="H584" s="10"/>
      <c r="I584" s="12"/>
      <c r="J584" s="13"/>
    </row>
    <row r="585" spans="1:10" ht="75" customHeight="1">
      <c r="A585" s="7"/>
      <c r="B585" s="18"/>
      <c r="C585" s="9"/>
      <c r="D585" s="10"/>
      <c r="E585" s="10"/>
      <c r="F585" s="10"/>
      <c r="G585" s="10"/>
      <c r="H585" s="10"/>
      <c r="I585" s="12"/>
      <c r="J585" s="13"/>
    </row>
    <row r="586" spans="1:10" ht="75" customHeight="1">
      <c r="A586" s="7"/>
      <c r="B586" s="18"/>
      <c r="C586" s="9"/>
      <c r="D586" s="10"/>
      <c r="E586" s="10"/>
      <c r="F586" s="10"/>
      <c r="G586" s="10"/>
      <c r="H586" s="10"/>
      <c r="I586" s="12"/>
      <c r="J586" s="13"/>
    </row>
    <row r="587" spans="1:10" ht="75" customHeight="1">
      <c r="A587" s="7"/>
      <c r="B587" s="18"/>
      <c r="C587" s="9"/>
      <c r="D587" s="10"/>
      <c r="E587" s="10"/>
      <c r="F587" s="10"/>
      <c r="G587" s="10"/>
      <c r="H587" s="10"/>
      <c r="I587" s="12"/>
      <c r="J587" s="13"/>
    </row>
    <row r="588" spans="1:10" ht="75" customHeight="1">
      <c r="A588" s="7"/>
      <c r="B588" s="18"/>
      <c r="C588" s="9"/>
      <c r="D588" s="10"/>
      <c r="E588" s="10"/>
      <c r="F588" s="10"/>
      <c r="G588" s="10"/>
      <c r="H588" s="10"/>
      <c r="I588" s="12"/>
      <c r="J588" s="13"/>
    </row>
    <row r="589" spans="1:10" ht="75" customHeight="1">
      <c r="A589" s="7"/>
      <c r="B589" s="18"/>
      <c r="C589" s="9"/>
      <c r="D589" s="10"/>
      <c r="E589" s="10"/>
      <c r="F589" s="10"/>
      <c r="G589" s="10"/>
      <c r="H589" s="10"/>
      <c r="I589" s="12"/>
      <c r="J589" s="13"/>
    </row>
    <row r="590" spans="1:10" ht="75" customHeight="1">
      <c r="A590" s="7"/>
      <c r="B590" s="18"/>
      <c r="C590" s="9"/>
      <c r="D590" s="10"/>
      <c r="E590" s="10"/>
      <c r="F590" s="10"/>
      <c r="G590" s="10"/>
      <c r="H590" s="10"/>
      <c r="I590" s="12"/>
      <c r="J590" s="13"/>
    </row>
    <row r="591" spans="1:10" ht="75" customHeight="1">
      <c r="A591" s="7"/>
      <c r="B591" s="18"/>
      <c r="C591" s="9"/>
      <c r="D591" s="10"/>
      <c r="E591" s="10"/>
      <c r="F591" s="10"/>
      <c r="G591" s="10"/>
      <c r="H591" s="10"/>
      <c r="I591" s="12"/>
      <c r="J591" s="13"/>
    </row>
    <row r="592" spans="1:10" ht="75" customHeight="1">
      <c r="A592" s="7"/>
      <c r="B592" s="18"/>
      <c r="C592" s="9"/>
      <c r="D592" s="10"/>
      <c r="E592" s="10"/>
      <c r="F592" s="10"/>
      <c r="G592" s="10"/>
      <c r="H592" s="10"/>
      <c r="I592" s="12"/>
      <c r="J592" s="13"/>
    </row>
    <row r="593" spans="1:10" ht="75" customHeight="1">
      <c r="A593" s="7"/>
      <c r="B593" s="18"/>
      <c r="C593" s="9"/>
      <c r="D593" s="10"/>
      <c r="E593" s="10"/>
      <c r="F593" s="10"/>
      <c r="G593" s="10"/>
      <c r="H593" s="10"/>
      <c r="I593" s="12"/>
      <c r="J593" s="13"/>
    </row>
    <row r="594" spans="1:10" ht="75" customHeight="1">
      <c r="A594" s="7"/>
      <c r="B594" s="18"/>
      <c r="C594" s="9"/>
      <c r="D594" s="10"/>
      <c r="E594" s="10"/>
      <c r="F594" s="10"/>
      <c r="G594" s="10"/>
      <c r="H594" s="10"/>
      <c r="I594" s="12"/>
      <c r="J594" s="13"/>
    </row>
    <row r="595" spans="1:10" ht="75" customHeight="1">
      <c r="A595" s="7"/>
      <c r="B595" s="18"/>
      <c r="C595" s="9"/>
      <c r="D595" s="10"/>
      <c r="E595" s="10"/>
      <c r="F595" s="10"/>
      <c r="G595" s="10"/>
      <c r="H595" s="10"/>
      <c r="I595" s="12"/>
      <c r="J595" s="13"/>
    </row>
    <row r="596" spans="1:10" ht="75" customHeight="1">
      <c r="A596" s="7"/>
      <c r="B596" s="18"/>
      <c r="C596" s="9"/>
      <c r="D596" s="10"/>
      <c r="E596" s="10"/>
      <c r="F596" s="10"/>
      <c r="G596" s="10"/>
      <c r="H596" s="10"/>
      <c r="I596" s="12"/>
      <c r="J596" s="13"/>
    </row>
    <row r="597" spans="1:10" ht="75" customHeight="1">
      <c r="A597" s="7"/>
      <c r="B597" s="18"/>
      <c r="C597" s="9"/>
      <c r="D597" s="10"/>
      <c r="E597" s="10"/>
      <c r="F597" s="10"/>
      <c r="G597" s="10"/>
      <c r="H597" s="10"/>
      <c r="I597" s="12"/>
      <c r="J597" s="13"/>
    </row>
    <row r="598" spans="1:10" ht="75" customHeight="1">
      <c r="A598" s="7"/>
      <c r="B598" s="18"/>
      <c r="C598" s="9"/>
      <c r="D598" s="10"/>
      <c r="E598" s="10"/>
      <c r="F598" s="10"/>
      <c r="G598" s="10"/>
      <c r="H598" s="10"/>
      <c r="I598" s="12"/>
      <c r="J598" s="13"/>
    </row>
    <row r="599" spans="1:10" ht="75" customHeight="1">
      <c r="A599" s="7"/>
      <c r="B599" s="18"/>
      <c r="C599" s="9"/>
      <c r="D599" s="10"/>
      <c r="E599" s="10"/>
      <c r="F599" s="10"/>
      <c r="G599" s="10"/>
      <c r="H599" s="10"/>
      <c r="I599" s="12"/>
      <c r="J599" s="13"/>
    </row>
    <row r="600" spans="1:10" ht="75" customHeight="1">
      <c r="A600" s="7"/>
      <c r="B600" s="18"/>
      <c r="C600" s="9"/>
      <c r="D600" s="10"/>
      <c r="E600" s="10"/>
      <c r="F600" s="10"/>
      <c r="G600" s="10"/>
      <c r="H600" s="10"/>
      <c r="I600" s="12"/>
      <c r="J600" s="13"/>
    </row>
    <row r="601" spans="1:10" ht="75" customHeight="1">
      <c r="A601" s="7"/>
      <c r="B601" s="18"/>
      <c r="C601" s="9"/>
      <c r="D601" s="10"/>
      <c r="E601" s="10"/>
      <c r="F601" s="10"/>
      <c r="G601" s="10"/>
      <c r="H601" s="10"/>
      <c r="I601" s="12"/>
      <c r="J601" s="13"/>
    </row>
    <row r="602" spans="1:10" ht="75" customHeight="1">
      <c r="A602" s="7"/>
      <c r="B602" s="18"/>
      <c r="C602" s="9"/>
      <c r="D602" s="10"/>
      <c r="E602" s="10"/>
      <c r="F602" s="10"/>
      <c r="G602" s="10"/>
      <c r="H602" s="10"/>
      <c r="I602" s="12"/>
      <c r="J602" s="13"/>
    </row>
    <row r="603" spans="1:10" ht="75" customHeight="1">
      <c r="A603" s="7"/>
      <c r="B603" s="18"/>
      <c r="C603" s="9"/>
      <c r="D603" s="10"/>
      <c r="E603" s="10"/>
      <c r="F603" s="10"/>
      <c r="G603" s="10"/>
      <c r="H603" s="10"/>
      <c r="I603" s="12"/>
      <c r="J603" s="13"/>
    </row>
    <row r="604" spans="1:10" ht="75" customHeight="1">
      <c r="A604" s="7"/>
      <c r="B604" s="18"/>
      <c r="C604" s="9"/>
      <c r="D604" s="10"/>
      <c r="E604" s="10"/>
      <c r="F604" s="10"/>
      <c r="G604" s="10"/>
      <c r="H604" s="10"/>
      <c r="I604" s="12"/>
      <c r="J604" s="13"/>
    </row>
    <row r="605" spans="1:10" ht="75" customHeight="1">
      <c r="A605" s="7"/>
      <c r="B605" s="18"/>
      <c r="C605" s="9"/>
      <c r="D605" s="10"/>
      <c r="E605" s="10"/>
      <c r="F605" s="10"/>
      <c r="G605" s="10"/>
      <c r="H605" s="10"/>
      <c r="I605" s="12"/>
      <c r="J605" s="13"/>
    </row>
    <row r="606" spans="1:10" ht="75" customHeight="1">
      <c r="A606" s="7"/>
      <c r="B606" s="18"/>
      <c r="C606" s="9"/>
      <c r="D606" s="10"/>
      <c r="E606" s="10"/>
      <c r="F606" s="10"/>
      <c r="G606" s="10"/>
      <c r="H606" s="10"/>
      <c r="I606" s="12"/>
      <c r="J606" s="13"/>
    </row>
    <row r="607" spans="1:10" ht="75" customHeight="1">
      <c r="A607" s="7"/>
      <c r="B607" s="18"/>
      <c r="C607" s="9"/>
      <c r="D607" s="10"/>
      <c r="E607" s="10"/>
      <c r="F607" s="10"/>
      <c r="G607" s="10"/>
      <c r="H607" s="10"/>
      <c r="I607" s="12"/>
      <c r="J607" s="13"/>
    </row>
    <row r="608" spans="1:10" ht="75" customHeight="1">
      <c r="A608" s="7"/>
      <c r="B608" s="18"/>
      <c r="C608" s="9"/>
      <c r="D608" s="10"/>
      <c r="E608" s="10"/>
      <c r="F608" s="10"/>
      <c r="G608" s="10"/>
      <c r="H608" s="10"/>
      <c r="I608" s="12"/>
      <c r="J608" s="13"/>
    </row>
    <row r="609" spans="1:10" ht="75" customHeight="1">
      <c r="A609" s="7"/>
      <c r="B609" s="18"/>
      <c r="C609" s="9"/>
      <c r="D609" s="10"/>
      <c r="E609" s="10"/>
      <c r="F609" s="10"/>
      <c r="G609" s="10"/>
      <c r="H609" s="10"/>
      <c r="I609" s="12"/>
      <c r="J609" s="13"/>
    </row>
    <row r="610" spans="1:10" ht="75" customHeight="1">
      <c r="A610" s="7"/>
      <c r="B610" s="18"/>
      <c r="C610" s="9"/>
      <c r="D610" s="10"/>
      <c r="E610" s="10"/>
      <c r="F610" s="10"/>
      <c r="G610" s="10"/>
      <c r="H610" s="10"/>
      <c r="I610" s="12"/>
      <c r="J610" s="13"/>
    </row>
    <row r="611" spans="1:10" ht="75" customHeight="1">
      <c r="A611" s="7"/>
      <c r="B611" s="18"/>
      <c r="C611" s="9"/>
      <c r="D611" s="10"/>
      <c r="E611" s="10"/>
      <c r="F611" s="10"/>
      <c r="G611" s="10"/>
      <c r="H611" s="10"/>
      <c r="I611" s="12"/>
      <c r="J611" s="13"/>
    </row>
    <row r="612" spans="1:10" ht="75" customHeight="1">
      <c r="A612" s="7"/>
      <c r="B612" s="18"/>
      <c r="C612" s="9"/>
      <c r="D612" s="10"/>
      <c r="E612" s="10"/>
      <c r="F612" s="10"/>
      <c r="G612" s="10"/>
      <c r="H612" s="10"/>
      <c r="I612" s="12"/>
      <c r="J612" s="13"/>
    </row>
    <row r="613" spans="1:10" ht="75" customHeight="1">
      <c r="A613" s="7"/>
      <c r="B613" s="18"/>
      <c r="C613" s="9"/>
      <c r="D613" s="10"/>
      <c r="E613" s="10"/>
      <c r="F613" s="10"/>
      <c r="G613" s="10"/>
      <c r="H613" s="10"/>
      <c r="I613" s="12"/>
      <c r="J613" s="13"/>
    </row>
    <row r="614" spans="1:10" ht="75" customHeight="1">
      <c r="A614" s="7"/>
      <c r="B614" s="18"/>
      <c r="C614" s="9"/>
      <c r="D614" s="10"/>
      <c r="E614" s="10"/>
      <c r="F614" s="10"/>
      <c r="G614" s="10"/>
      <c r="H614" s="10"/>
      <c r="I614" s="12"/>
      <c r="J614" s="13"/>
    </row>
    <row r="615" spans="1:10" ht="75" customHeight="1">
      <c r="A615" s="7"/>
      <c r="B615" s="18"/>
      <c r="C615" s="9"/>
      <c r="D615" s="10"/>
      <c r="E615" s="10"/>
      <c r="F615" s="10"/>
      <c r="G615" s="10"/>
      <c r="H615" s="10"/>
      <c r="I615" s="12"/>
      <c r="J615" s="13"/>
    </row>
    <row r="616" spans="1:10" ht="75" customHeight="1">
      <c r="A616" s="7"/>
      <c r="B616" s="18"/>
      <c r="C616" s="9"/>
      <c r="D616" s="10"/>
      <c r="E616" s="10"/>
      <c r="F616" s="10"/>
      <c r="G616" s="10"/>
      <c r="H616" s="10"/>
      <c r="I616" s="12"/>
      <c r="J616" s="13"/>
    </row>
    <row r="617" spans="1:10" ht="75" customHeight="1">
      <c r="A617" s="7"/>
      <c r="B617" s="18"/>
      <c r="C617" s="9"/>
      <c r="D617" s="10"/>
      <c r="E617" s="10"/>
      <c r="F617" s="10"/>
      <c r="G617" s="10"/>
      <c r="H617" s="10"/>
      <c r="I617" s="12"/>
      <c r="J617" s="13"/>
    </row>
    <row r="618" spans="1:10" ht="75" customHeight="1">
      <c r="A618" s="7"/>
      <c r="B618" s="18"/>
      <c r="C618" s="9"/>
      <c r="D618" s="10"/>
      <c r="E618" s="10"/>
      <c r="F618" s="10"/>
      <c r="G618" s="10"/>
      <c r="H618" s="10"/>
      <c r="I618" s="12"/>
      <c r="J618" s="13"/>
    </row>
    <row r="619" spans="1:10" ht="75" customHeight="1">
      <c r="A619" s="7"/>
      <c r="B619" s="18"/>
      <c r="C619" s="9"/>
      <c r="D619" s="10"/>
      <c r="E619" s="10"/>
      <c r="F619" s="10"/>
      <c r="G619" s="10"/>
      <c r="H619" s="10"/>
      <c r="I619" s="12"/>
      <c r="J619" s="13"/>
    </row>
    <row r="620" spans="1:10" ht="75" customHeight="1">
      <c r="A620" s="7"/>
      <c r="B620" s="18"/>
      <c r="C620" s="9"/>
      <c r="D620" s="10"/>
      <c r="E620" s="10"/>
      <c r="F620" s="10"/>
      <c r="G620" s="10"/>
      <c r="H620" s="10"/>
      <c r="I620" s="12"/>
      <c r="J620" s="13"/>
    </row>
    <row r="621" spans="1:10" ht="75" customHeight="1">
      <c r="A621" s="7"/>
      <c r="B621" s="18"/>
      <c r="C621" s="9"/>
      <c r="D621" s="10"/>
      <c r="E621" s="10"/>
      <c r="F621" s="10"/>
      <c r="G621" s="10"/>
      <c r="H621" s="10"/>
      <c r="I621" s="12"/>
      <c r="J621" s="13"/>
    </row>
    <row r="622" spans="1:10" ht="75" customHeight="1">
      <c r="A622" s="7"/>
      <c r="B622" s="18"/>
      <c r="C622" s="9"/>
      <c r="D622" s="10"/>
      <c r="E622" s="10"/>
      <c r="F622" s="10"/>
      <c r="G622" s="10"/>
      <c r="H622" s="10"/>
      <c r="I622" s="12"/>
      <c r="J622" s="13"/>
    </row>
    <row r="623" spans="1:10" ht="75" customHeight="1">
      <c r="A623" s="7"/>
      <c r="B623" s="18"/>
      <c r="C623" s="9"/>
      <c r="D623" s="10"/>
      <c r="E623" s="10"/>
      <c r="F623" s="10"/>
      <c r="G623" s="10"/>
      <c r="H623" s="10"/>
      <c r="I623" s="12"/>
      <c r="J623" s="13"/>
    </row>
    <row r="624" spans="1:10" ht="75" customHeight="1">
      <c r="A624" s="7"/>
      <c r="B624" s="18"/>
      <c r="C624" s="9"/>
      <c r="D624" s="10"/>
      <c r="E624" s="10"/>
      <c r="F624" s="10"/>
      <c r="G624" s="10"/>
      <c r="H624" s="10"/>
      <c r="I624" s="12"/>
      <c r="J624" s="13"/>
    </row>
    <row r="625" spans="1:10" ht="75" customHeight="1">
      <c r="A625" s="7"/>
      <c r="B625" s="18"/>
      <c r="C625" s="9"/>
      <c r="D625" s="10"/>
      <c r="E625" s="10"/>
      <c r="F625" s="10"/>
      <c r="G625" s="10"/>
      <c r="H625" s="10"/>
      <c r="I625" s="12"/>
      <c r="J625" s="13"/>
    </row>
    <row r="626" spans="1:10" ht="75" customHeight="1">
      <c r="A626" s="7"/>
      <c r="B626" s="18"/>
      <c r="C626" s="9"/>
      <c r="D626" s="10"/>
      <c r="E626" s="10"/>
      <c r="F626" s="10"/>
      <c r="G626" s="10"/>
      <c r="H626" s="10"/>
      <c r="I626" s="12"/>
      <c r="J626" s="13"/>
    </row>
    <row r="627" spans="1:10" ht="75" customHeight="1">
      <c r="A627" s="7"/>
      <c r="B627" s="18"/>
      <c r="C627" s="9"/>
      <c r="D627" s="10"/>
      <c r="E627" s="10"/>
      <c r="F627" s="10"/>
      <c r="G627" s="10"/>
      <c r="H627" s="10"/>
      <c r="I627" s="12"/>
      <c r="J627" s="13"/>
    </row>
    <row r="628" spans="1:10" ht="75" customHeight="1">
      <c r="A628" s="7"/>
      <c r="B628" s="18"/>
      <c r="C628" s="9"/>
      <c r="D628" s="10"/>
      <c r="E628" s="10"/>
      <c r="F628" s="10"/>
      <c r="G628" s="10"/>
      <c r="H628" s="10"/>
      <c r="I628" s="12"/>
      <c r="J628" s="13"/>
    </row>
    <row r="629" spans="1:10" ht="75" customHeight="1">
      <c r="A629" s="7"/>
      <c r="B629" s="18"/>
      <c r="C629" s="9"/>
      <c r="D629" s="10"/>
      <c r="E629" s="10"/>
      <c r="F629" s="10"/>
      <c r="G629" s="10"/>
      <c r="H629" s="10"/>
      <c r="I629" s="12"/>
      <c r="J629" s="13"/>
    </row>
    <row r="630" spans="1:10" ht="75" customHeight="1">
      <c r="A630" s="7"/>
      <c r="B630" s="18"/>
      <c r="C630" s="9"/>
      <c r="D630" s="10"/>
      <c r="E630" s="10"/>
      <c r="F630" s="10"/>
      <c r="G630" s="10"/>
      <c r="H630" s="10"/>
      <c r="I630" s="12"/>
      <c r="J630" s="13"/>
    </row>
    <row r="631" spans="1:10" ht="75" customHeight="1">
      <c r="A631" s="7"/>
      <c r="B631" s="18"/>
      <c r="C631" s="9"/>
      <c r="D631" s="10"/>
      <c r="E631" s="10"/>
      <c r="F631" s="10"/>
      <c r="G631" s="10"/>
      <c r="H631" s="10"/>
      <c r="I631" s="12"/>
      <c r="J631" s="13"/>
    </row>
    <row r="632" spans="1:10" ht="75" customHeight="1">
      <c r="A632" s="7"/>
      <c r="B632" s="18"/>
      <c r="C632" s="9"/>
      <c r="D632" s="10"/>
      <c r="E632" s="10"/>
      <c r="F632" s="10"/>
      <c r="G632" s="10"/>
      <c r="H632" s="10"/>
      <c r="I632" s="12"/>
      <c r="J632" s="13"/>
    </row>
    <row r="633" spans="1:10" ht="75" customHeight="1">
      <c r="A633" s="7"/>
      <c r="B633" s="18"/>
      <c r="C633" s="9"/>
      <c r="D633" s="10"/>
      <c r="E633" s="10"/>
      <c r="F633" s="10"/>
      <c r="G633" s="10"/>
      <c r="H633" s="10"/>
      <c r="I633" s="12"/>
      <c r="J633" s="13"/>
    </row>
    <row r="634" spans="1:10" ht="75" customHeight="1">
      <c r="A634" s="7"/>
      <c r="B634" s="18"/>
      <c r="C634" s="9"/>
      <c r="D634" s="10"/>
      <c r="E634" s="10"/>
      <c r="F634" s="10"/>
      <c r="G634" s="10"/>
      <c r="H634" s="10"/>
      <c r="I634" s="12"/>
      <c r="J634" s="13"/>
    </row>
    <row r="635" spans="1:10" ht="75" customHeight="1">
      <c r="A635" s="7"/>
      <c r="B635" s="18"/>
      <c r="C635" s="9"/>
      <c r="D635" s="10"/>
      <c r="E635" s="10"/>
      <c r="F635" s="10"/>
      <c r="G635" s="10"/>
      <c r="H635" s="10"/>
      <c r="I635" s="12"/>
      <c r="J635" s="13"/>
    </row>
    <row r="636" spans="1:10" ht="75" customHeight="1">
      <c r="A636" s="7"/>
      <c r="B636" s="18"/>
      <c r="C636" s="9"/>
      <c r="D636" s="10"/>
      <c r="E636" s="10"/>
      <c r="F636" s="10"/>
      <c r="G636" s="10"/>
      <c r="H636" s="10"/>
      <c r="I636" s="12"/>
      <c r="J636" s="13"/>
    </row>
    <row r="637" spans="1:10" ht="75" customHeight="1">
      <c r="A637" s="7"/>
      <c r="B637" s="18"/>
      <c r="C637" s="9"/>
      <c r="D637" s="10"/>
      <c r="E637" s="10"/>
      <c r="F637" s="10"/>
      <c r="G637" s="10"/>
      <c r="H637" s="10"/>
      <c r="I637" s="12"/>
      <c r="J637" s="13"/>
    </row>
    <row r="638" spans="1:10" ht="75" customHeight="1">
      <c r="A638" s="7"/>
      <c r="B638" s="18"/>
      <c r="C638" s="9"/>
      <c r="D638" s="10"/>
      <c r="E638" s="10"/>
      <c r="F638" s="10"/>
      <c r="G638" s="10"/>
      <c r="H638" s="10"/>
      <c r="I638" s="12"/>
      <c r="J638" s="13"/>
    </row>
    <row r="639" spans="1:10" ht="75" customHeight="1">
      <c r="A639" s="7"/>
      <c r="B639" s="18"/>
      <c r="C639" s="9"/>
      <c r="D639" s="10"/>
      <c r="E639" s="10"/>
      <c r="F639" s="10"/>
      <c r="G639" s="10"/>
      <c r="H639" s="10"/>
      <c r="I639" s="12"/>
      <c r="J639" s="13"/>
    </row>
    <row r="640" spans="1:10" ht="75" customHeight="1">
      <c r="A640" s="7"/>
      <c r="B640" s="18"/>
      <c r="C640" s="9"/>
      <c r="D640" s="10"/>
      <c r="E640" s="10"/>
      <c r="F640" s="10"/>
      <c r="G640" s="10"/>
      <c r="H640" s="10"/>
      <c r="I640" s="12"/>
      <c r="J640" s="13"/>
    </row>
    <row r="641" spans="1:10" ht="75" customHeight="1">
      <c r="A641" s="7"/>
      <c r="B641" s="18"/>
      <c r="C641" s="9"/>
      <c r="D641" s="10"/>
      <c r="E641" s="10"/>
      <c r="F641" s="10"/>
      <c r="G641" s="10"/>
      <c r="H641" s="10"/>
      <c r="I641" s="12"/>
      <c r="J641" s="13"/>
    </row>
    <row r="642" spans="1:10" ht="75" customHeight="1">
      <c r="A642" s="7"/>
      <c r="B642" s="18"/>
      <c r="C642" s="9"/>
      <c r="D642" s="10"/>
      <c r="E642" s="10"/>
      <c r="F642" s="10"/>
      <c r="G642" s="10"/>
      <c r="H642" s="10"/>
      <c r="I642" s="12"/>
      <c r="J642" s="13"/>
    </row>
    <row r="643" spans="1:10" ht="75" customHeight="1">
      <c r="A643" s="7"/>
      <c r="B643" s="18"/>
      <c r="C643" s="9"/>
      <c r="D643" s="10"/>
      <c r="E643" s="10"/>
      <c r="F643" s="10"/>
      <c r="G643" s="10"/>
      <c r="H643" s="10"/>
      <c r="I643" s="12"/>
      <c r="J643" s="13"/>
    </row>
    <row r="644" spans="1:10" ht="75" customHeight="1">
      <c r="A644" s="7"/>
      <c r="B644" s="18"/>
      <c r="C644" s="9"/>
      <c r="D644" s="10"/>
      <c r="E644" s="10"/>
      <c r="F644" s="10"/>
      <c r="G644" s="10"/>
      <c r="H644" s="10"/>
      <c r="I644" s="12"/>
      <c r="J644" s="13"/>
    </row>
    <row r="645" spans="1:10" ht="75" customHeight="1">
      <c r="A645" s="7"/>
      <c r="B645" s="18"/>
      <c r="C645" s="9"/>
      <c r="D645" s="10"/>
      <c r="E645" s="10"/>
      <c r="F645" s="10"/>
      <c r="G645" s="10"/>
      <c r="H645" s="10"/>
      <c r="I645" s="12"/>
      <c r="J645" s="13"/>
    </row>
    <row r="646" spans="1:10" ht="75" customHeight="1">
      <c r="A646" s="7"/>
      <c r="B646" s="18"/>
      <c r="C646" s="9"/>
      <c r="D646" s="10"/>
      <c r="E646" s="10"/>
      <c r="F646" s="10"/>
      <c r="G646" s="10"/>
      <c r="H646" s="10"/>
      <c r="I646" s="12"/>
      <c r="J646" s="13"/>
    </row>
    <row r="647" spans="1:10" ht="75" customHeight="1">
      <c r="A647" s="7"/>
      <c r="B647" s="18"/>
      <c r="C647" s="9"/>
      <c r="D647" s="10"/>
      <c r="E647" s="10"/>
      <c r="F647" s="10"/>
      <c r="G647" s="10"/>
      <c r="H647" s="10"/>
      <c r="I647" s="12"/>
      <c r="J647" s="13"/>
    </row>
    <row r="648" spans="1:10" ht="75" customHeight="1">
      <c r="A648" s="7"/>
      <c r="B648" s="18"/>
      <c r="C648" s="9"/>
      <c r="D648" s="10"/>
      <c r="E648" s="10"/>
      <c r="F648" s="10"/>
      <c r="G648" s="10"/>
      <c r="H648" s="10"/>
      <c r="I648" s="12"/>
      <c r="J648" s="13"/>
    </row>
    <row r="649" spans="1:10" ht="75" customHeight="1">
      <c r="A649" s="7"/>
      <c r="B649" s="18"/>
      <c r="C649" s="9"/>
      <c r="D649" s="10"/>
      <c r="E649" s="10"/>
      <c r="F649" s="10"/>
      <c r="G649" s="10"/>
      <c r="H649" s="10"/>
      <c r="I649" s="12"/>
      <c r="J649" s="13"/>
    </row>
    <row r="650" spans="1:10" ht="75" customHeight="1">
      <c r="A650" s="7"/>
      <c r="B650" s="18"/>
      <c r="C650" s="9"/>
      <c r="D650" s="10"/>
      <c r="E650" s="10"/>
      <c r="F650" s="10"/>
      <c r="G650" s="10"/>
      <c r="H650" s="10"/>
      <c r="I650" s="12"/>
      <c r="J650" s="13"/>
    </row>
    <row r="651" spans="1:10" ht="75" customHeight="1">
      <c r="A651" s="7"/>
      <c r="B651" s="18"/>
      <c r="C651" s="9"/>
      <c r="D651" s="10"/>
      <c r="E651" s="10"/>
      <c r="F651" s="10"/>
      <c r="G651" s="10"/>
      <c r="H651" s="10"/>
      <c r="I651" s="12"/>
      <c r="J651" s="13"/>
    </row>
    <row r="652" spans="1:10" ht="75" customHeight="1">
      <c r="A652" s="7"/>
      <c r="B652" s="18"/>
      <c r="C652" s="9"/>
      <c r="D652" s="10"/>
      <c r="E652" s="10"/>
      <c r="F652" s="10"/>
      <c r="G652" s="10"/>
      <c r="H652" s="10"/>
      <c r="I652" s="12"/>
      <c r="J652" s="13"/>
    </row>
    <row r="653" spans="1:10" ht="75" customHeight="1">
      <c r="A653" s="7"/>
      <c r="B653" s="18"/>
      <c r="C653" s="9"/>
      <c r="D653" s="10"/>
      <c r="E653" s="10"/>
      <c r="F653" s="10"/>
      <c r="G653" s="10"/>
      <c r="H653" s="10"/>
      <c r="I653" s="12"/>
      <c r="J653" s="13"/>
    </row>
    <row r="654" spans="1:10" ht="75" customHeight="1">
      <c r="A654" s="7"/>
      <c r="B654" s="18"/>
      <c r="C654" s="9"/>
      <c r="D654" s="10"/>
      <c r="E654" s="10"/>
      <c r="F654" s="10"/>
      <c r="G654" s="10"/>
      <c r="H654" s="10"/>
      <c r="I654" s="12"/>
      <c r="J654" s="13"/>
    </row>
    <row r="655" spans="1:10" ht="75" customHeight="1">
      <c r="A655" s="7"/>
      <c r="B655" s="18"/>
      <c r="C655" s="9"/>
      <c r="D655" s="10"/>
      <c r="E655" s="10"/>
      <c r="F655" s="10"/>
      <c r="G655" s="10"/>
      <c r="H655" s="10"/>
      <c r="I655" s="12"/>
      <c r="J655" s="13"/>
    </row>
    <row r="656" spans="1:10" ht="75" customHeight="1">
      <c r="A656" s="7"/>
      <c r="B656" s="18"/>
      <c r="C656" s="9"/>
      <c r="D656" s="10"/>
      <c r="E656" s="10"/>
      <c r="F656" s="10"/>
      <c r="G656" s="10"/>
      <c r="H656" s="10"/>
      <c r="I656" s="12"/>
      <c r="J656" s="13"/>
    </row>
    <row r="657" spans="1:10" ht="75" customHeight="1">
      <c r="A657" s="7"/>
      <c r="B657" s="18"/>
      <c r="C657" s="9"/>
      <c r="D657" s="10"/>
      <c r="E657" s="10"/>
      <c r="F657" s="10"/>
      <c r="G657" s="10"/>
      <c r="H657" s="10"/>
      <c r="I657" s="12"/>
      <c r="J657" s="13"/>
    </row>
    <row r="658" spans="1:10" ht="75" customHeight="1">
      <c r="A658" s="7"/>
      <c r="B658" s="18"/>
      <c r="C658" s="9"/>
      <c r="D658" s="10"/>
      <c r="E658" s="10"/>
      <c r="F658" s="10"/>
      <c r="G658" s="10"/>
      <c r="H658" s="10"/>
      <c r="I658" s="12"/>
      <c r="J658" s="13"/>
    </row>
    <row r="659" spans="1:10" ht="75" customHeight="1">
      <c r="A659" s="7"/>
      <c r="B659" s="18"/>
      <c r="C659" s="9"/>
      <c r="D659" s="10"/>
      <c r="E659" s="10"/>
      <c r="F659" s="10"/>
      <c r="G659" s="10"/>
      <c r="H659" s="10"/>
      <c r="I659" s="12"/>
      <c r="J659" s="13"/>
    </row>
    <row r="660" spans="1:10" ht="75" customHeight="1">
      <c r="A660" s="7"/>
      <c r="B660" s="18"/>
      <c r="C660" s="9"/>
      <c r="D660" s="10"/>
      <c r="E660" s="10"/>
      <c r="F660" s="10"/>
      <c r="G660" s="10"/>
      <c r="H660" s="10"/>
      <c r="I660" s="12"/>
      <c r="J660" s="13"/>
    </row>
    <row r="661" spans="1:10" ht="75" customHeight="1">
      <c r="A661" s="7"/>
      <c r="B661" s="18"/>
      <c r="C661" s="9"/>
      <c r="D661" s="10"/>
      <c r="E661" s="10"/>
      <c r="F661" s="10"/>
      <c r="G661" s="10"/>
      <c r="H661" s="10"/>
      <c r="I661" s="12"/>
      <c r="J661" s="13"/>
    </row>
    <row r="662" spans="1:10" ht="75" customHeight="1">
      <c r="A662" s="7"/>
      <c r="B662" s="18"/>
      <c r="C662" s="9"/>
      <c r="D662" s="10"/>
      <c r="E662" s="10"/>
      <c r="F662" s="10"/>
      <c r="G662" s="10"/>
      <c r="H662" s="10"/>
      <c r="I662" s="12"/>
      <c r="J662" s="13"/>
    </row>
    <row r="663" spans="1:10" ht="75" customHeight="1">
      <c r="A663" s="7"/>
      <c r="B663" s="18"/>
      <c r="C663" s="9"/>
      <c r="D663" s="10"/>
      <c r="E663" s="10"/>
      <c r="F663" s="10"/>
      <c r="G663" s="10"/>
      <c r="H663" s="10"/>
      <c r="I663" s="12"/>
      <c r="J663" s="13"/>
    </row>
    <row r="664" spans="1:10" ht="75" customHeight="1">
      <c r="A664" s="7"/>
      <c r="B664" s="18"/>
      <c r="C664" s="9"/>
      <c r="D664" s="10"/>
      <c r="E664" s="10"/>
      <c r="F664" s="10"/>
      <c r="G664" s="10"/>
      <c r="H664" s="10"/>
      <c r="I664" s="12"/>
      <c r="J664" s="13"/>
    </row>
    <row r="665" spans="1:10" ht="75" customHeight="1">
      <c r="A665" s="7"/>
      <c r="B665" s="18"/>
      <c r="C665" s="9"/>
      <c r="D665" s="10"/>
      <c r="E665" s="10"/>
      <c r="F665" s="10"/>
      <c r="G665" s="10"/>
      <c r="H665" s="10"/>
      <c r="I665" s="12"/>
      <c r="J665" s="13"/>
    </row>
    <row r="666" spans="1:10" ht="75" customHeight="1">
      <c r="A666" s="7"/>
      <c r="B666" s="18"/>
      <c r="C666" s="9"/>
      <c r="D666" s="10"/>
      <c r="E666" s="10"/>
      <c r="F666" s="10"/>
      <c r="G666" s="10"/>
      <c r="H666" s="10"/>
      <c r="I666" s="12"/>
      <c r="J666" s="13"/>
    </row>
    <row r="667" spans="1:10" ht="75" customHeight="1">
      <c r="A667" s="7"/>
      <c r="B667" s="18"/>
      <c r="C667" s="9"/>
      <c r="D667" s="10"/>
      <c r="E667" s="10"/>
      <c r="F667" s="10"/>
      <c r="G667" s="10"/>
      <c r="H667" s="10"/>
      <c r="I667" s="12"/>
      <c r="J667" s="13"/>
    </row>
    <row r="668" spans="1:10" ht="75" customHeight="1">
      <c r="A668" s="7"/>
      <c r="B668" s="18"/>
      <c r="C668" s="9"/>
      <c r="D668" s="10"/>
      <c r="E668" s="10"/>
      <c r="F668" s="10"/>
      <c r="G668" s="10"/>
      <c r="H668" s="10"/>
      <c r="I668" s="12"/>
      <c r="J668" s="13"/>
    </row>
    <row r="669" spans="1:10" ht="75" customHeight="1">
      <c r="A669" s="7"/>
      <c r="B669" s="18"/>
      <c r="C669" s="9"/>
      <c r="D669" s="10"/>
      <c r="E669" s="10"/>
      <c r="F669" s="10"/>
      <c r="G669" s="10"/>
      <c r="H669" s="10"/>
      <c r="I669" s="12"/>
      <c r="J669" s="13"/>
    </row>
    <row r="670" spans="1:10" ht="75" customHeight="1">
      <c r="A670" s="7"/>
      <c r="B670" s="18"/>
      <c r="C670" s="9"/>
      <c r="D670" s="10"/>
      <c r="E670" s="10"/>
      <c r="F670" s="10"/>
      <c r="G670" s="10"/>
      <c r="H670" s="10"/>
      <c r="I670" s="12"/>
      <c r="J670" s="13"/>
    </row>
    <row r="671" spans="1:10" ht="75" customHeight="1">
      <c r="A671" s="7"/>
      <c r="B671" s="18"/>
      <c r="C671" s="9"/>
      <c r="D671" s="10"/>
      <c r="E671" s="10"/>
      <c r="F671" s="10"/>
      <c r="G671" s="10"/>
      <c r="H671" s="10"/>
      <c r="I671" s="12"/>
      <c r="J671" s="13"/>
    </row>
    <row r="672" spans="1:10" ht="75" customHeight="1">
      <c r="A672" s="7"/>
      <c r="B672" s="18"/>
      <c r="C672" s="9"/>
      <c r="D672" s="10"/>
      <c r="E672" s="10"/>
      <c r="F672" s="10"/>
      <c r="G672" s="10"/>
      <c r="H672" s="10"/>
      <c r="I672" s="12"/>
      <c r="J672" s="13"/>
    </row>
    <row r="673" spans="1:10" ht="75" customHeight="1">
      <c r="A673" s="7"/>
      <c r="B673" s="18"/>
      <c r="C673" s="9"/>
      <c r="D673" s="10"/>
      <c r="E673" s="10"/>
      <c r="F673" s="10"/>
      <c r="G673" s="10"/>
      <c r="H673" s="10"/>
      <c r="I673" s="12"/>
      <c r="J673" s="13"/>
    </row>
    <row r="674" spans="1:10" ht="75" customHeight="1">
      <c r="A674" s="7"/>
      <c r="B674" s="18"/>
      <c r="C674" s="9"/>
      <c r="D674" s="10"/>
      <c r="E674" s="10"/>
      <c r="F674" s="10"/>
      <c r="G674" s="10"/>
      <c r="H674" s="10"/>
      <c r="I674" s="12"/>
      <c r="J674" s="13"/>
    </row>
    <row r="675" spans="1:10" ht="75" customHeight="1">
      <c r="A675" s="7"/>
      <c r="B675" s="18"/>
      <c r="C675" s="9"/>
      <c r="D675" s="10"/>
      <c r="E675" s="10"/>
      <c r="F675" s="10"/>
      <c r="G675" s="10"/>
      <c r="H675" s="10"/>
      <c r="I675" s="12"/>
      <c r="J675" s="13"/>
    </row>
    <row r="676" spans="1:10" ht="75" customHeight="1">
      <c r="A676" s="7"/>
      <c r="B676" s="18"/>
      <c r="C676" s="9"/>
      <c r="D676" s="10"/>
      <c r="E676" s="10"/>
      <c r="F676" s="10"/>
      <c r="G676" s="10"/>
      <c r="H676" s="10"/>
      <c r="I676" s="12"/>
      <c r="J676" s="13"/>
    </row>
    <row r="677" spans="1:10" ht="75" customHeight="1">
      <c r="A677" s="7"/>
      <c r="B677" s="18"/>
      <c r="C677" s="9"/>
      <c r="D677" s="10"/>
      <c r="E677" s="10"/>
      <c r="F677" s="10"/>
      <c r="G677" s="10"/>
      <c r="H677" s="10"/>
      <c r="I677" s="12"/>
      <c r="J677" s="13"/>
    </row>
    <row r="678" spans="1:10" ht="75" customHeight="1">
      <c r="A678" s="7"/>
      <c r="B678" s="18"/>
      <c r="C678" s="9"/>
      <c r="D678" s="10"/>
      <c r="E678" s="10"/>
      <c r="F678" s="10"/>
      <c r="G678" s="10"/>
      <c r="H678" s="10"/>
      <c r="I678" s="12"/>
      <c r="J678" s="13"/>
    </row>
    <row r="679" spans="1:10" ht="75" customHeight="1">
      <c r="A679" s="7"/>
      <c r="B679" s="18"/>
      <c r="C679" s="9"/>
      <c r="D679" s="10"/>
      <c r="E679" s="10"/>
      <c r="F679" s="10"/>
      <c r="G679" s="10"/>
      <c r="H679" s="10"/>
      <c r="I679" s="12"/>
      <c r="J679" s="13"/>
    </row>
    <row r="680" spans="1:10" ht="75" customHeight="1">
      <c r="A680" s="7"/>
      <c r="B680" s="18"/>
      <c r="C680" s="9"/>
      <c r="D680" s="10"/>
      <c r="E680" s="10"/>
      <c r="F680" s="10"/>
      <c r="G680" s="10"/>
      <c r="H680" s="10"/>
      <c r="I680" s="12"/>
      <c r="J680" s="13"/>
    </row>
    <row r="681" spans="1:10" ht="75" customHeight="1">
      <c r="A681" s="7"/>
      <c r="B681" s="18"/>
      <c r="C681" s="9"/>
      <c r="D681" s="10"/>
      <c r="E681" s="10"/>
      <c r="F681" s="10"/>
      <c r="G681" s="10"/>
      <c r="H681" s="10"/>
      <c r="I681" s="12"/>
      <c r="J681" s="13"/>
    </row>
    <row r="682" spans="1:10" ht="75" customHeight="1">
      <c r="A682" s="7"/>
      <c r="B682" s="18"/>
      <c r="C682" s="9"/>
      <c r="D682" s="10"/>
      <c r="E682" s="10"/>
      <c r="F682" s="10"/>
      <c r="G682" s="10"/>
      <c r="H682" s="10"/>
      <c r="I682" s="12"/>
      <c r="J682" s="13"/>
    </row>
    <row r="683" spans="1:10" ht="75" customHeight="1">
      <c r="A683" s="7"/>
      <c r="B683" s="18"/>
      <c r="C683" s="9"/>
      <c r="D683" s="10"/>
      <c r="E683" s="10"/>
      <c r="F683" s="10"/>
      <c r="G683" s="10"/>
      <c r="H683" s="10"/>
      <c r="I683" s="12"/>
      <c r="J683" s="13"/>
    </row>
    <row r="684" spans="1:10" ht="75" customHeight="1">
      <c r="A684" s="7"/>
      <c r="B684" s="18"/>
      <c r="C684" s="9"/>
      <c r="D684" s="10"/>
      <c r="E684" s="10"/>
      <c r="F684" s="10"/>
      <c r="G684" s="10"/>
      <c r="H684" s="10"/>
      <c r="I684" s="12"/>
      <c r="J684" s="13"/>
    </row>
    <row r="685" spans="1:10" ht="75" customHeight="1">
      <c r="A685" s="7"/>
      <c r="B685" s="18"/>
      <c r="C685" s="9"/>
      <c r="D685" s="10"/>
      <c r="E685" s="10"/>
      <c r="F685" s="10"/>
      <c r="G685" s="10"/>
      <c r="H685" s="10"/>
      <c r="I685" s="12"/>
      <c r="J685" s="13"/>
    </row>
    <row r="686" spans="1:10" ht="75" customHeight="1">
      <c r="A686" s="7"/>
      <c r="B686" s="18"/>
      <c r="C686" s="9"/>
      <c r="D686" s="10"/>
      <c r="E686" s="10"/>
      <c r="F686" s="10"/>
      <c r="G686" s="10"/>
      <c r="H686" s="10"/>
      <c r="I686" s="12"/>
      <c r="J686" s="13"/>
    </row>
    <row r="687" spans="1:10" ht="75" customHeight="1">
      <c r="A687" s="7"/>
      <c r="B687" s="18"/>
      <c r="C687" s="9"/>
      <c r="D687" s="10"/>
      <c r="E687" s="10"/>
      <c r="F687" s="10"/>
      <c r="G687" s="10"/>
      <c r="H687" s="10"/>
      <c r="I687" s="12"/>
      <c r="J687" s="13"/>
    </row>
    <row r="688" spans="1:10" ht="75" customHeight="1">
      <c r="A688" s="7"/>
      <c r="B688" s="18"/>
      <c r="C688" s="9"/>
      <c r="D688" s="10"/>
      <c r="E688" s="10"/>
      <c r="F688" s="10"/>
      <c r="G688" s="10"/>
      <c r="H688" s="10"/>
      <c r="I688" s="12"/>
      <c r="J688" s="13"/>
    </row>
    <row r="689" spans="1:10" ht="75" customHeight="1">
      <c r="A689" s="7"/>
      <c r="B689" s="18"/>
      <c r="C689" s="9"/>
      <c r="D689" s="10"/>
      <c r="E689" s="10"/>
      <c r="F689" s="10"/>
      <c r="G689" s="10"/>
      <c r="H689" s="10"/>
      <c r="I689" s="12"/>
      <c r="J689" s="13"/>
    </row>
    <row r="690" spans="1:10" ht="75" customHeight="1">
      <c r="A690" s="7"/>
      <c r="B690" s="18"/>
      <c r="C690" s="9"/>
      <c r="D690" s="10"/>
      <c r="E690" s="10"/>
      <c r="F690" s="10"/>
      <c r="G690" s="10"/>
      <c r="H690" s="10"/>
      <c r="I690" s="12"/>
      <c r="J690" s="13"/>
    </row>
    <row r="691" spans="1:10" ht="75" customHeight="1">
      <c r="A691" s="7"/>
      <c r="B691" s="18"/>
      <c r="C691" s="9"/>
      <c r="D691" s="10"/>
      <c r="E691" s="10"/>
      <c r="F691" s="10"/>
      <c r="G691" s="10"/>
      <c r="H691" s="10"/>
      <c r="I691" s="12"/>
      <c r="J691" s="13"/>
    </row>
    <row r="692" spans="1:10" ht="75" customHeight="1">
      <c r="A692" s="7"/>
      <c r="B692" s="18"/>
      <c r="C692" s="9"/>
      <c r="D692" s="10"/>
      <c r="E692" s="10"/>
      <c r="F692" s="10"/>
      <c r="G692" s="10"/>
      <c r="H692" s="10"/>
      <c r="I692" s="12"/>
      <c r="J692" s="13"/>
    </row>
    <row r="693" spans="1:10" ht="75" customHeight="1">
      <c r="A693" s="7"/>
      <c r="B693" s="18"/>
      <c r="C693" s="9"/>
      <c r="D693" s="10"/>
      <c r="E693" s="10"/>
      <c r="F693" s="10"/>
      <c r="G693" s="10"/>
      <c r="H693" s="10"/>
      <c r="I693" s="12"/>
      <c r="J693" s="13"/>
    </row>
    <row r="694" spans="1:10" ht="75" customHeight="1">
      <c r="A694" s="7"/>
      <c r="B694" s="18"/>
      <c r="C694" s="9"/>
      <c r="D694" s="10"/>
      <c r="E694" s="10"/>
      <c r="F694" s="10"/>
      <c r="G694" s="10"/>
      <c r="H694" s="10"/>
      <c r="I694" s="12"/>
      <c r="J694" s="13"/>
    </row>
    <row r="695" spans="1:10" ht="75" customHeight="1">
      <c r="A695" s="7"/>
      <c r="B695" s="18"/>
      <c r="C695" s="9"/>
      <c r="D695" s="10"/>
      <c r="E695" s="10"/>
      <c r="F695" s="10"/>
      <c r="G695" s="10"/>
      <c r="H695" s="10"/>
      <c r="I695" s="12"/>
      <c r="J695" s="13"/>
    </row>
    <row r="696" spans="1:10" ht="75" customHeight="1">
      <c r="A696" s="7"/>
      <c r="B696" s="18"/>
      <c r="C696" s="9"/>
      <c r="D696" s="10"/>
      <c r="E696" s="10"/>
      <c r="F696" s="10"/>
      <c r="G696" s="10"/>
      <c r="H696" s="10"/>
      <c r="I696" s="12"/>
      <c r="J696" s="13"/>
    </row>
    <row r="697" spans="1:10" ht="75" customHeight="1">
      <c r="A697" s="7"/>
      <c r="B697" s="18"/>
      <c r="C697" s="9"/>
      <c r="D697" s="10"/>
      <c r="E697" s="10"/>
      <c r="F697" s="10"/>
      <c r="G697" s="10"/>
      <c r="H697" s="10"/>
      <c r="I697" s="12"/>
      <c r="J697" s="13"/>
    </row>
    <row r="698" spans="1:10" ht="75" customHeight="1">
      <c r="A698" s="7"/>
      <c r="B698" s="18"/>
      <c r="C698" s="9"/>
      <c r="D698" s="10"/>
      <c r="E698" s="10"/>
      <c r="F698" s="10"/>
      <c r="G698" s="10"/>
      <c r="H698" s="10"/>
      <c r="I698" s="12"/>
      <c r="J698" s="13"/>
    </row>
    <row r="699" spans="1:10" ht="75" customHeight="1">
      <c r="A699" s="7"/>
      <c r="B699" s="18"/>
      <c r="C699" s="9"/>
      <c r="D699" s="10"/>
      <c r="E699" s="10"/>
      <c r="F699" s="10"/>
      <c r="G699" s="10"/>
      <c r="H699" s="10"/>
      <c r="I699" s="12"/>
      <c r="J699" s="13"/>
    </row>
    <row r="700" spans="1:10" ht="75" customHeight="1">
      <c r="A700" s="7"/>
      <c r="B700" s="18"/>
      <c r="C700" s="9"/>
      <c r="D700" s="10"/>
      <c r="E700" s="10"/>
      <c r="F700" s="10"/>
      <c r="G700" s="10"/>
      <c r="H700" s="10"/>
      <c r="I700" s="12"/>
      <c r="J700" s="13"/>
    </row>
    <row r="701" spans="1:10" ht="75" customHeight="1">
      <c r="A701" s="7"/>
      <c r="B701" s="18"/>
      <c r="C701" s="9"/>
      <c r="D701" s="10"/>
      <c r="E701" s="10"/>
      <c r="F701" s="10"/>
      <c r="G701" s="10"/>
      <c r="H701" s="10"/>
      <c r="I701" s="12"/>
      <c r="J701" s="13"/>
    </row>
    <row r="702" spans="1:10" ht="75" customHeight="1">
      <c r="A702" s="7"/>
      <c r="B702" s="18"/>
      <c r="C702" s="9"/>
      <c r="D702" s="10"/>
      <c r="E702" s="10"/>
      <c r="F702" s="10"/>
      <c r="G702" s="10"/>
      <c r="H702" s="10"/>
      <c r="I702" s="12"/>
      <c r="J702" s="13"/>
    </row>
    <row r="703" spans="1:10" ht="75" customHeight="1">
      <c r="A703" s="7"/>
      <c r="B703" s="18"/>
      <c r="C703" s="9"/>
      <c r="D703" s="10"/>
      <c r="E703" s="10"/>
      <c r="F703" s="10"/>
      <c r="G703" s="10"/>
      <c r="H703" s="10"/>
      <c r="I703" s="12"/>
      <c r="J703" s="13"/>
    </row>
    <row r="704" spans="1:10" ht="75" customHeight="1">
      <c r="A704" s="7"/>
      <c r="B704" s="18"/>
      <c r="C704" s="9"/>
      <c r="D704" s="10"/>
      <c r="E704" s="10"/>
      <c r="F704" s="10"/>
      <c r="G704" s="10"/>
      <c r="H704" s="10"/>
      <c r="I704" s="12"/>
      <c r="J704" s="13"/>
    </row>
    <row r="705" spans="1:10" ht="75" customHeight="1">
      <c r="A705" s="7"/>
      <c r="B705" s="18"/>
      <c r="C705" s="9"/>
      <c r="D705" s="10"/>
      <c r="E705" s="10"/>
      <c r="F705" s="10"/>
      <c r="G705" s="10"/>
      <c r="H705" s="10"/>
      <c r="I705" s="12"/>
      <c r="J705" s="13"/>
    </row>
    <row r="706" spans="1:10" ht="75" customHeight="1">
      <c r="A706" s="7"/>
      <c r="B706" s="18"/>
      <c r="C706" s="9"/>
      <c r="D706" s="10"/>
      <c r="E706" s="10"/>
      <c r="F706" s="10"/>
      <c r="G706" s="10"/>
      <c r="H706" s="10"/>
      <c r="I706" s="12"/>
      <c r="J706" s="13"/>
    </row>
    <row r="707" spans="1:10" ht="75" customHeight="1">
      <c r="A707" s="7"/>
      <c r="B707" s="18"/>
      <c r="C707" s="9"/>
      <c r="D707" s="10"/>
      <c r="E707" s="10"/>
      <c r="F707" s="10"/>
      <c r="G707" s="10"/>
      <c r="H707" s="10"/>
      <c r="I707" s="12"/>
      <c r="J707" s="13"/>
    </row>
    <row r="708" spans="1:10" ht="75" customHeight="1">
      <c r="A708" s="7"/>
      <c r="B708" s="18"/>
      <c r="C708" s="9"/>
      <c r="D708" s="10"/>
      <c r="E708" s="10"/>
      <c r="F708" s="10"/>
      <c r="G708" s="10"/>
      <c r="H708" s="10"/>
      <c r="I708" s="12"/>
      <c r="J708" s="13"/>
    </row>
    <row r="709" spans="1:10" ht="75" customHeight="1">
      <c r="A709" s="7"/>
      <c r="B709" s="18"/>
      <c r="C709" s="9"/>
      <c r="D709" s="10"/>
      <c r="E709" s="10"/>
      <c r="F709" s="10"/>
      <c r="G709" s="10"/>
      <c r="H709" s="10"/>
      <c r="I709" s="12"/>
      <c r="J709" s="13"/>
    </row>
    <row r="710" spans="1:10" ht="75" customHeight="1">
      <c r="A710" s="7"/>
      <c r="B710" s="18"/>
      <c r="C710" s="9"/>
      <c r="D710" s="10"/>
      <c r="E710" s="10"/>
      <c r="F710" s="10"/>
      <c r="G710" s="10"/>
      <c r="H710" s="10"/>
      <c r="I710" s="12"/>
      <c r="J710" s="13"/>
    </row>
    <row r="711" spans="1:10" ht="75" customHeight="1">
      <c r="A711" s="7"/>
      <c r="B711" s="18"/>
      <c r="C711" s="9"/>
      <c r="D711" s="10"/>
      <c r="E711" s="10"/>
      <c r="F711" s="10"/>
      <c r="G711" s="10"/>
      <c r="H711" s="10"/>
      <c r="I711" s="12"/>
      <c r="J711" s="13"/>
    </row>
    <row r="712" spans="1:10" ht="75" customHeight="1">
      <c r="A712" s="7"/>
      <c r="B712" s="18"/>
      <c r="C712" s="9"/>
      <c r="D712" s="10"/>
      <c r="E712" s="10"/>
      <c r="F712" s="10"/>
      <c r="G712" s="10"/>
      <c r="H712" s="10"/>
      <c r="I712" s="12"/>
      <c r="J712" s="13"/>
    </row>
    <row r="713" spans="1:10" ht="75" customHeight="1">
      <c r="A713" s="7"/>
      <c r="B713" s="18"/>
      <c r="C713" s="9"/>
      <c r="D713" s="10"/>
      <c r="E713" s="10"/>
      <c r="F713" s="10"/>
      <c r="G713" s="10"/>
      <c r="H713" s="10"/>
      <c r="I713" s="12"/>
      <c r="J713" s="13"/>
    </row>
    <row r="714" spans="1:10" ht="75" customHeight="1">
      <c r="A714" s="7"/>
      <c r="B714" s="18"/>
      <c r="C714" s="9"/>
      <c r="D714" s="10"/>
      <c r="E714" s="10"/>
      <c r="F714" s="10"/>
      <c r="G714" s="10"/>
      <c r="H714" s="10"/>
      <c r="I714" s="12"/>
      <c r="J714" s="13"/>
    </row>
    <row r="715" spans="1:10" ht="75" customHeight="1">
      <c r="A715" s="7"/>
      <c r="B715" s="18"/>
      <c r="C715" s="9"/>
      <c r="D715" s="10"/>
      <c r="E715" s="10"/>
      <c r="F715" s="10"/>
      <c r="G715" s="10"/>
      <c r="H715" s="10"/>
      <c r="I715" s="12"/>
      <c r="J715" s="13"/>
    </row>
    <row r="716" spans="1:10" ht="75" customHeight="1">
      <c r="A716" s="7"/>
      <c r="B716" s="18"/>
      <c r="C716" s="9"/>
      <c r="D716" s="10"/>
      <c r="E716" s="10"/>
      <c r="F716" s="10"/>
      <c r="G716" s="10"/>
      <c r="H716" s="10"/>
      <c r="I716" s="12"/>
      <c r="J716" s="13"/>
    </row>
    <row r="717" spans="1:10" ht="75" customHeight="1">
      <c r="A717" s="7"/>
      <c r="B717" s="18"/>
      <c r="C717" s="9"/>
      <c r="D717" s="10"/>
      <c r="E717" s="10"/>
      <c r="F717" s="10"/>
      <c r="G717" s="10"/>
      <c r="H717" s="10"/>
      <c r="I717" s="12"/>
      <c r="J717" s="13"/>
    </row>
    <row r="718" spans="1:10" ht="75" customHeight="1">
      <c r="A718" s="7"/>
      <c r="B718" s="18"/>
      <c r="C718" s="9"/>
      <c r="D718" s="10"/>
      <c r="E718" s="10"/>
      <c r="F718" s="10"/>
      <c r="G718" s="10"/>
      <c r="H718" s="10"/>
      <c r="I718" s="12"/>
      <c r="J718" s="13"/>
    </row>
    <row r="719" spans="1:10" ht="75" customHeight="1">
      <c r="A719" s="7"/>
      <c r="B719" s="18"/>
      <c r="C719" s="9"/>
      <c r="D719" s="10"/>
      <c r="E719" s="10"/>
      <c r="F719" s="10"/>
      <c r="G719" s="10"/>
      <c r="H719" s="10"/>
      <c r="I719" s="12"/>
      <c r="J719" s="13"/>
    </row>
    <row r="720" spans="1:10" ht="75" customHeight="1">
      <c r="A720" s="7"/>
      <c r="B720" s="18"/>
      <c r="C720" s="9"/>
      <c r="D720" s="10"/>
      <c r="E720" s="10"/>
      <c r="F720" s="10"/>
      <c r="G720" s="10"/>
      <c r="H720" s="10"/>
      <c r="I720" s="12"/>
      <c r="J720" s="13"/>
    </row>
    <row r="721" spans="1:10" ht="75" customHeight="1">
      <c r="A721" s="7"/>
      <c r="B721" s="18"/>
      <c r="C721" s="9"/>
      <c r="D721" s="10"/>
      <c r="E721" s="10"/>
      <c r="F721" s="10"/>
      <c r="G721" s="10"/>
      <c r="H721" s="10"/>
      <c r="I721" s="12"/>
      <c r="J721" s="13"/>
    </row>
    <row r="722" spans="1:10" ht="75" customHeight="1">
      <c r="A722" s="7"/>
      <c r="B722" s="18"/>
      <c r="C722" s="9"/>
      <c r="D722" s="10"/>
      <c r="E722" s="10"/>
      <c r="F722" s="10"/>
      <c r="G722" s="10"/>
      <c r="H722" s="10"/>
      <c r="I722" s="12"/>
      <c r="J722" s="13"/>
    </row>
    <row r="723" spans="1:10" ht="75" customHeight="1">
      <c r="A723" s="7"/>
      <c r="B723" s="18"/>
      <c r="C723" s="9"/>
      <c r="D723" s="10"/>
      <c r="E723" s="10"/>
      <c r="F723" s="10"/>
      <c r="G723" s="10"/>
      <c r="H723" s="10"/>
      <c r="I723" s="12"/>
      <c r="J723" s="13"/>
    </row>
    <row r="724" spans="1:10" ht="75" customHeight="1">
      <c r="A724" s="7"/>
      <c r="B724" s="18"/>
      <c r="C724" s="9"/>
      <c r="D724" s="10"/>
      <c r="E724" s="10"/>
      <c r="F724" s="10"/>
      <c r="G724" s="10"/>
      <c r="H724" s="10"/>
      <c r="I724" s="12"/>
      <c r="J724" s="13"/>
    </row>
    <row r="725" spans="1:10" ht="75" customHeight="1">
      <c r="A725" s="7"/>
      <c r="B725" s="18"/>
      <c r="C725" s="9"/>
      <c r="D725" s="10"/>
      <c r="E725" s="10"/>
      <c r="F725" s="10"/>
      <c r="G725" s="10"/>
      <c r="H725" s="10"/>
      <c r="I725" s="12"/>
      <c r="J725" s="13"/>
    </row>
    <row r="726" spans="1:10" ht="75" customHeight="1">
      <c r="A726" s="7"/>
      <c r="B726" s="18"/>
      <c r="C726" s="9"/>
      <c r="D726" s="10"/>
      <c r="E726" s="10"/>
      <c r="F726" s="10"/>
      <c r="G726" s="10"/>
      <c r="H726" s="10"/>
      <c r="I726" s="12"/>
      <c r="J726" s="13"/>
    </row>
    <row r="727" spans="1:10" ht="75" customHeight="1">
      <c r="A727" s="7"/>
      <c r="B727" s="18"/>
      <c r="C727" s="9"/>
      <c r="D727" s="10"/>
      <c r="E727" s="10"/>
      <c r="F727" s="10"/>
      <c r="G727" s="10"/>
      <c r="H727" s="10"/>
      <c r="I727" s="12"/>
      <c r="J727" s="13"/>
    </row>
    <row r="728" spans="1:10" ht="75" customHeight="1">
      <c r="A728" s="7"/>
      <c r="B728" s="18"/>
      <c r="C728" s="9"/>
      <c r="D728" s="10"/>
      <c r="E728" s="10"/>
      <c r="F728" s="10"/>
      <c r="G728" s="10"/>
      <c r="H728" s="10"/>
      <c r="I728" s="12"/>
      <c r="J728" s="13"/>
    </row>
    <row r="729" spans="1:10" ht="75" customHeight="1">
      <c r="A729" s="7"/>
      <c r="B729" s="18"/>
      <c r="C729" s="9"/>
      <c r="D729" s="10"/>
      <c r="E729" s="10"/>
      <c r="F729" s="10"/>
      <c r="G729" s="10"/>
      <c r="H729" s="10"/>
      <c r="I729" s="12"/>
      <c r="J729" s="13"/>
    </row>
    <row r="730" spans="1:10" ht="75" customHeight="1">
      <c r="A730" s="7"/>
      <c r="B730" s="18"/>
      <c r="C730" s="9"/>
      <c r="D730" s="10"/>
      <c r="E730" s="10"/>
      <c r="F730" s="10"/>
      <c r="G730" s="10"/>
      <c r="H730" s="10"/>
      <c r="I730" s="12"/>
      <c r="J730" s="13"/>
    </row>
    <row r="731" spans="1:10" ht="75" customHeight="1">
      <c r="A731" s="7"/>
      <c r="B731" s="18"/>
      <c r="C731" s="9"/>
      <c r="D731" s="10"/>
      <c r="E731" s="10"/>
      <c r="F731" s="10"/>
      <c r="G731" s="10"/>
      <c r="H731" s="10"/>
      <c r="I731" s="12"/>
      <c r="J731" s="13"/>
    </row>
    <row r="732" spans="1:10" ht="75" customHeight="1">
      <c r="A732" s="7"/>
      <c r="B732" s="18"/>
      <c r="C732" s="9"/>
      <c r="D732" s="10"/>
      <c r="E732" s="10"/>
      <c r="F732" s="10"/>
      <c r="G732" s="10"/>
      <c r="H732" s="10"/>
      <c r="I732" s="12"/>
      <c r="J732" s="13"/>
    </row>
    <row r="733" spans="1:10" ht="75" customHeight="1">
      <c r="A733" s="7"/>
      <c r="B733" s="18"/>
      <c r="C733" s="9"/>
      <c r="D733" s="10"/>
      <c r="E733" s="10"/>
      <c r="F733" s="10"/>
      <c r="G733" s="10"/>
      <c r="H733" s="10"/>
      <c r="I733" s="12"/>
      <c r="J733" s="13"/>
    </row>
    <row r="734" spans="1:10" ht="75" customHeight="1">
      <c r="A734" s="7"/>
      <c r="B734" s="18"/>
      <c r="C734" s="9"/>
      <c r="D734" s="10"/>
      <c r="E734" s="10"/>
      <c r="F734" s="10"/>
      <c r="G734" s="10"/>
      <c r="H734" s="10"/>
      <c r="I734" s="12"/>
      <c r="J734" s="13"/>
    </row>
    <row r="735" spans="1:10" ht="75" customHeight="1">
      <c r="A735" s="7"/>
      <c r="B735" s="18"/>
      <c r="C735" s="9"/>
      <c r="D735" s="10"/>
      <c r="E735" s="10"/>
      <c r="F735" s="10"/>
      <c r="G735" s="10"/>
      <c r="H735" s="10"/>
      <c r="I735" s="12"/>
      <c r="J735" s="13"/>
    </row>
    <row r="736" spans="1:10" ht="75" customHeight="1">
      <c r="A736" s="7"/>
      <c r="B736" s="18"/>
      <c r="C736" s="9"/>
      <c r="D736" s="10"/>
      <c r="E736" s="10"/>
      <c r="F736" s="10"/>
      <c r="G736" s="10"/>
      <c r="H736" s="10"/>
      <c r="I736" s="12"/>
      <c r="J736" s="13"/>
    </row>
    <row r="737" spans="1:10" ht="75" customHeight="1">
      <c r="A737" s="7"/>
      <c r="B737" s="18"/>
      <c r="C737" s="9"/>
      <c r="D737" s="10"/>
      <c r="E737" s="10"/>
      <c r="F737" s="10"/>
      <c r="G737" s="10"/>
      <c r="H737" s="10"/>
      <c r="I737" s="12"/>
      <c r="J737" s="13"/>
    </row>
    <row r="738" spans="1:10" ht="75" customHeight="1">
      <c r="A738" s="7"/>
      <c r="B738" s="18"/>
      <c r="C738" s="9"/>
      <c r="D738" s="10"/>
      <c r="E738" s="10"/>
      <c r="F738" s="10"/>
      <c r="G738" s="10"/>
      <c r="H738" s="10"/>
      <c r="I738" s="12"/>
      <c r="J738" s="13"/>
    </row>
    <row r="739" spans="1:10" ht="75" customHeight="1">
      <c r="A739" s="7"/>
      <c r="B739" s="18"/>
      <c r="C739" s="9"/>
      <c r="D739" s="10"/>
      <c r="E739" s="10"/>
      <c r="F739" s="10"/>
      <c r="G739" s="10"/>
      <c r="H739" s="10"/>
      <c r="I739" s="12"/>
      <c r="J739" s="13"/>
    </row>
    <row r="740" spans="1:10" ht="75" customHeight="1">
      <c r="A740" s="7"/>
      <c r="B740" s="18"/>
      <c r="C740" s="9"/>
      <c r="D740" s="10"/>
      <c r="E740" s="10"/>
      <c r="F740" s="10"/>
      <c r="G740" s="10"/>
      <c r="H740" s="10"/>
      <c r="I740" s="12"/>
      <c r="J740" s="13"/>
    </row>
    <row r="741" spans="1:10" ht="75" customHeight="1">
      <c r="A741" s="7"/>
      <c r="B741" s="18"/>
      <c r="C741" s="9"/>
      <c r="D741" s="10"/>
      <c r="E741" s="10"/>
      <c r="F741" s="10"/>
      <c r="G741" s="10"/>
      <c r="H741" s="10"/>
      <c r="I741" s="12"/>
      <c r="J741" s="13"/>
    </row>
    <row r="742" spans="1:10" ht="75" customHeight="1">
      <c r="A742" s="7"/>
      <c r="B742" s="18"/>
      <c r="C742" s="9"/>
      <c r="D742" s="10"/>
      <c r="E742" s="10"/>
      <c r="F742" s="10"/>
      <c r="G742" s="10"/>
      <c r="H742" s="10"/>
      <c r="I742" s="12"/>
      <c r="J742" s="13"/>
    </row>
    <row r="743" spans="1:10" ht="75" customHeight="1">
      <c r="A743" s="7"/>
      <c r="B743" s="18"/>
      <c r="C743" s="9"/>
      <c r="D743" s="10"/>
      <c r="E743" s="10"/>
      <c r="F743" s="10"/>
      <c r="G743" s="10"/>
      <c r="H743" s="10"/>
      <c r="I743" s="12"/>
      <c r="J743" s="13"/>
    </row>
    <row r="744" spans="1:10" ht="75" customHeight="1">
      <c r="A744" s="7"/>
      <c r="B744" s="18"/>
      <c r="C744" s="9"/>
      <c r="D744" s="10"/>
      <c r="E744" s="10"/>
      <c r="F744" s="10"/>
      <c r="G744" s="10"/>
      <c r="H744" s="10"/>
      <c r="I744" s="12"/>
      <c r="J744" s="13"/>
    </row>
    <row r="745" spans="1:10" ht="75" customHeight="1">
      <c r="A745" s="7"/>
      <c r="B745" s="18"/>
      <c r="C745" s="9"/>
      <c r="D745" s="10"/>
      <c r="E745" s="10"/>
      <c r="F745" s="10"/>
      <c r="G745" s="10"/>
      <c r="H745" s="10"/>
      <c r="I745" s="12"/>
      <c r="J745" s="13"/>
    </row>
    <row r="746" spans="1:10" ht="75" customHeight="1">
      <c r="A746" s="7"/>
      <c r="B746" s="18"/>
      <c r="C746" s="9"/>
      <c r="D746" s="10"/>
      <c r="E746" s="10"/>
      <c r="F746" s="10"/>
      <c r="G746" s="10"/>
      <c r="H746" s="10"/>
      <c r="I746" s="12"/>
      <c r="J746" s="13"/>
    </row>
    <row r="747" spans="1:10" ht="75" customHeight="1">
      <c r="A747" s="7"/>
      <c r="B747" s="18"/>
      <c r="C747" s="9"/>
      <c r="D747" s="10"/>
      <c r="E747" s="10"/>
      <c r="F747" s="10"/>
      <c r="G747" s="10"/>
      <c r="H747" s="10"/>
      <c r="I747" s="12"/>
      <c r="J747" s="13"/>
    </row>
    <row r="748" spans="1:10" ht="75" customHeight="1">
      <c r="A748" s="7"/>
      <c r="B748" s="18"/>
      <c r="C748" s="9"/>
      <c r="D748" s="10"/>
      <c r="E748" s="10"/>
      <c r="F748" s="10"/>
      <c r="G748" s="10"/>
      <c r="H748" s="10"/>
      <c r="I748" s="12"/>
      <c r="J748" s="13"/>
    </row>
    <row r="749" spans="1:10" ht="75" customHeight="1">
      <c r="A749" s="7"/>
      <c r="B749" s="18"/>
      <c r="C749" s="9"/>
      <c r="D749" s="10"/>
      <c r="E749" s="10"/>
      <c r="F749" s="10"/>
      <c r="G749" s="10"/>
      <c r="H749" s="10"/>
      <c r="I749" s="12"/>
      <c r="J749" s="13"/>
    </row>
    <row r="750" spans="1:10" ht="75" customHeight="1">
      <c r="A750" s="7"/>
      <c r="B750" s="18"/>
      <c r="C750" s="9"/>
      <c r="D750" s="10"/>
      <c r="E750" s="10"/>
      <c r="F750" s="10"/>
      <c r="G750" s="10"/>
      <c r="H750" s="10"/>
      <c r="I750" s="12"/>
      <c r="J750" s="13"/>
    </row>
    <row r="751" spans="1:10" ht="75" customHeight="1">
      <c r="A751" s="7"/>
      <c r="B751" s="18"/>
      <c r="C751" s="9"/>
      <c r="D751" s="10"/>
      <c r="E751" s="10"/>
      <c r="F751" s="10"/>
      <c r="G751" s="10"/>
      <c r="H751" s="10"/>
      <c r="I751" s="12"/>
      <c r="J751" s="13"/>
    </row>
    <row r="752" spans="1:10" ht="75" customHeight="1">
      <c r="A752" s="7"/>
      <c r="B752" s="18"/>
      <c r="C752" s="9"/>
      <c r="D752" s="10"/>
      <c r="E752" s="10"/>
      <c r="F752" s="10"/>
      <c r="G752" s="10"/>
      <c r="H752" s="10"/>
      <c r="I752" s="12"/>
      <c r="J752" s="13"/>
    </row>
    <row r="753" spans="1:10" ht="75" customHeight="1">
      <c r="A753" s="7"/>
      <c r="B753" s="18"/>
      <c r="C753" s="9"/>
      <c r="D753" s="10"/>
      <c r="E753" s="10"/>
      <c r="F753" s="10"/>
      <c r="G753" s="10"/>
      <c r="H753" s="10"/>
      <c r="I753" s="12"/>
      <c r="J753" s="13"/>
    </row>
    <row r="754" spans="1:10" ht="75" customHeight="1">
      <c r="A754" s="7"/>
      <c r="B754" s="18"/>
      <c r="C754" s="9"/>
      <c r="D754" s="10"/>
      <c r="E754" s="10"/>
      <c r="F754" s="10"/>
      <c r="G754" s="10"/>
      <c r="H754" s="10"/>
      <c r="I754" s="12"/>
      <c r="J754" s="13"/>
    </row>
    <row r="755" spans="1:10" ht="75" customHeight="1">
      <c r="A755" s="7"/>
      <c r="B755" s="18"/>
      <c r="C755" s="9"/>
      <c r="D755" s="10"/>
      <c r="E755" s="10"/>
      <c r="F755" s="10"/>
      <c r="G755" s="10"/>
      <c r="H755" s="10"/>
      <c r="I755" s="12"/>
      <c r="J755" s="13"/>
    </row>
    <row r="756" spans="1:10" ht="75" customHeight="1">
      <c r="A756" s="7"/>
      <c r="B756" s="18"/>
      <c r="C756" s="9"/>
      <c r="D756" s="10"/>
      <c r="E756" s="10"/>
      <c r="F756" s="10"/>
      <c r="G756" s="10"/>
      <c r="H756" s="10"/>
      <c r="I756" s="12"/>
      <c r="J756" s="13"/>
    </row>
    <row r="757" spans="1:10" ht="75" customHeight="1">
      <c r="A757" s="7"/>
      <c r="B757" s="18"/>
      <c r="C757" s="9"/>
      <c r="D757" s="10"/>
      <c r="E757" s="10"/>
      <c r="F757" s="10"/>
      <c r="G757" s="10"/>
      <c r="H757" s="10"/>
      <c r="I757" s="12"/>
      <c r="J757" s="13"/>
    </row>
    <row r="758" spans="1:10" ht="75" customHeight="1">
      <c r="A758" s="7"/>
      <c r="B758" s="18"/>
      <c r="C758" s="9"/>
      <c r="D758" s="10"/>
      <c r="E758" s="10"/>
      <c r="F758" s="10"/>
      <c r="G758" s="10"/>
      <c r="H758" s="10"/>
      <c r="I758" s="12"/>
      <c r="J758" s="13"/>
    </row>
    <row r="759" spans="1:10" ht="75" customHeight="1">
      <c r="A759" s="7"/>
      <c r="B759" s="18"/>
      <c r="C759" s="9"/>
      <c r="D759" s="10"/>
      <c r="E759" s="10"/>
      <c r="F759" s="10"/>
      <c r="G759" s="10"/>
      <c r="H759" s="10"/>
      <c r="I759" s="12"/>
      <c r="J759" s="13"/>
    </row>
    <row r="760" spans="1:10" ht="75" customHeight="1">
      <c r="A760" s="7"/>
      <c r="B760" s="18"/>
      <c r="C760" s="9"/>
      <c r="D760" s="10"/>
      <c r="E760" s="10"/>
      <c r="F760" s="10"/>
      <c r="G760" s="10"/>
      <c r="H760" s="10"/>
      <c r="I760" s="12"/>
      <c r="J760" s="13"/>
    </row>
    <row r="761" spans="1:10" ht="75" customHeight="1">
      <c r="A761" s="7"/>
      <c r="B761" s="18"/>
      <c r="C761" s="9"/>
      <c r="D761" s="10"/>
      <c r="E761" s="10"/>
      <c r="F761" s="10"/>
      <c r="G761" s="10"/>
      <c r="H761" s="10"/>
      <c r="I761" s="12"/>
      <c r="J761" s="13"/>
    </row>
    <row r="762" spans="1:10" ht="75" customHeight="1">
      <c r="A762" s="7"/>
      <c r="B762" s="18"/>
      <c r="C762" s="9"/>
      <c r="D762" s="10"/>
      <c r="E762" s="10"/>
      <c r="F762" s="10"/>
      <c r="G762" s="10"/>
      <c r="H762" s="10"/>
      <c r="I762" s="12"/>
      <c r="J762" s="13"/>
    </row>
    <row r="763" spans="1:10" ht="75" customHeight="1">
      <c r="A763" s="7"/>
      <c r="B763" s="18"/>
      <c r="C763" s="9"/>
      <c r="D763" s="10"/>
      <c r="E763" s="10"/>
      <c r="F763" s="10"/>
      <c r="G763" s="10"/>
      <c r="H763" s="10"/>
      <c r="I763" s="12"/>
      <c r="J763" s="13"/>
    </row>
    <row r="764" spans="1:10" ht="75" customHeight="1">
      <c r="A764" s="7"/>
      <c r="B764" s="18"/>
      <c r="C764" s="9"/>
      <c r="D764" s="10"/>
      <c r="E764" s="10"/>
      <c r="F764" s="10"/>
      <c r="G764" s="10"/>
      <c r="H764" s="10"/>
      <c r="I764" s="12"/>
      <c r="J764" s="13"/>
    </row>
    <row r="765" spans="1:10" ht="75" customHeight="1">
      <c r="A765" s="7"/>
      <c r="B765" s="18"/>
      <c r="C765" s="9"/>
      <c r="D765" s="10"/>
      <c r="E765" s="10"/>
      <c r="F765" s="10"/>
      <c r="G765" s="10"/>
      <c r="H765" s="10"/>
      <c r="I765" s="12"/>
      <c r="J765" s="13"/>
    </row>
    <row r="766" spans="1:10" ht="75" customHeight="1">
      <c r="A766" s="7"/>
      <c r="B766" s="18"/>
      <c r="C766" s="9"/>
      <c r="D766" s="10"/>
      <c r="E766" s="10"/>
      <c r="F766" s="10"/>
      <c r="G766" s="10"/>
      <c r="H766" s="10"/>
      <c r="I766" s="12"/>
      <c r="J766" s="13"/>
    </row>
    <row r="767" spans="1:10" ht="75" customHeight="1">
      <c r="A767" s="7"/>
      <c r="B767" s="18"/>
      <c r="C767" s="9"/>
      <c r="D767" s="10"/>
      <c r="E767" s="10"/>
      <c r="F767" s="10"/>
      <c r="G767" s="10"/>
      <c r="H767" s="10"/>
      <c r="I767" s="12"/>
      <c r="J767" s="13"/>
    </row>
    <row r="768" spans="1:10" ht="75" customHeight="1">
      <c r="A768" s="7"/>
      <c r="B768" s="18"/>
      <c r="C768" s="9"/>
      <c r="D768" s="10"/>
      <c r="E768" s="10"/>
      <c r="F768" s="10"/>
      <c r="G768" s="10"/>
      <c r="H768" s="10"/>
      <c r="I768" s="12"/>
      <c r="J768" s="13"/>
    </row>
    <row r="769" spans="1:10" ht="75" customHeight="1">
      <c r="A769" s="7"/>
      <c r="B769" s="18"/>
      <c r="C769" s="9"/>
      <c r="D769" s="10"/>
      <c r="E769" s="10"/>
      <c r="F769" s="10"/>
      <c r="G769" s="10"/>
      <c r="H769" s="10"/>
      <c r="I769" s="12"/>
      <c r="J769" s="13"/>
    </row>
    <row r="770" spans="1:10" ht="75" customHeight="1">
      <c r="A770" s="7"/>
      <c r="B770" s="18"/>
      <c r="C770" s="9"/>
      <c r="D770" s="10"/>
      <c r="E770" s="10"/>
      <c r="F770" s="10"/>
      <c r="G770" s="10"/>
      <c r="H770" s="10"/>
      <c r="I770" s="12"/>
      <c r="J770" s="13"/>
    </row>
    <row r="771" spans="1:10" ht="75" customHeight="1">
      <c r="A771" s="7"/>
      <c r="B771" s="18"/>
      <c r="C771" s="9"/>
      <c r="D771" s="10"/>
      <c r="E771" s="10"/>
      <c r="F771" s="10"/>
      <c r="G771" s="10"/>
      <c r="H771" s="10"/>
      <c r="I771" s="12"/>
      <c r="J771" s="13"/>
    </row>
    <row r="772" spans="1:10" ht="75" customHeight="1">
      <c r="A772" s="7"/>
      <c r="B772" s="18"/>
      <c r="C772" s="9"/>
      <c r="D772" s="10"/>
      <c r="E772" s="10"/>
      <c r="F772" s="10"/>
      <c r="G772" s="10"/>
      <c r="H772" s="10"/>
      <c r="I772" s="12"/>
      <c r="J772" s="13"/>
    </row>
    <row r="773" spans="1:10" ht="75" customHeight="1">
      <c r="A773" s="7"/>
      <c r="B773" s="18"/>
      <c r="C773" s="9"/>
      <c r="D773" s="10"/>
      <c r="E773" s="10"/>
      <c r="F773" s="10"/>
      <c r="G773" s="10"/>
      <c r="H773" s="10"/>
      <c r="I773" s="12"/>
      <c r="J773" s="13"/>
    </row>
    <row r="774" spans="1:10" ht="75" customHeight="1">
      <c r="A774" s="7"/>
      <c r="B774" s="18"/>
      <c r="C774" s="9"/>
      <c r="D774" s="10"/>
      <c r="E774" s="10"/>
      <c r="F774" s="10"/>
      <c r="G774" s="10"/>
      <c r="H774" s="10"/>
      <c r="I774" s="12"/>
      <c r="J774" s="13"/>
    </row>
    <row r="775" spans="1:10" ht="75" customHeight="1">
      <c r="A775" s="7"/>
      <c r="B775" s="18"/>
      <c r="C775" s="9"/>
      <c r="D775" s="10"/>
      <c r="E775" s="10"/>
      <c r="F775" s="10"/>
      <c r="G775" s="10"/>
      <c r="H775" s="10"/>
      <c r="I775" s="12"/>
      <c r="J775" s="13"/>
    </row>
    <row r="776" spans="1:10" ht="75" customHeight="1">
      <c r="A776" s="7"/>
      <c r="B776" s="18"/>
      <c r="C776" s="9"/>
      <c r="D776" s="10"/>
      <c r="E776" s="10"/>
      <c r="F776" s="10"/>
      <c r="G776" s="10"/>
      <c r="H776" s="10"/>
      <c r="I776" s="12"/>
      <c r="J776" s="13"/>
    </row>
    <row r="777" spans="1:10" ht="75" customHeight="1">
      <c r="A777" s="7"/>
      <c r="B777" s="18"/>
      <c r="C777" s="9"/>
      <c r="D777" s="10"/>
      <c r="E777" s="10"/>
      <c r="F777" s="10"/>
      <c r="G777" s="10"/>
      <c r="H777" s="10"/>
      <c r="I777" s="12"/>
      <c r="J777" s="13"/>
    </row>
    <row r="778" spans="1:10" ht="75" customHeight="1">
      <c r="A778" s="7"/>
      <c r="B778" s="18"/>
      <c r="C778" s="9"/>
      <c r="D778" s="10"/>
      <c r="E778" s="10"/>
      <c r="F778" s="10"/>
      <c r="G778" s="10"/>
      <c r="H778" s="10"/>
      <c r="I778" s="12"/>
      <c r="J778" s="13"/>
    </row>
    <row r="779" spans="1:10" ht="75" customHeight="1">
      <c r="A779" s="7"/>
      <c r="B779" s="18"/>
      <c r="C779" s="9"/>
      <c r="D779" s="10"/>
      <c r="E779" s="10"/>
      <c r="F779" s="10"/>
      <c r="G779" s="10"/>
      <c r="H779" s="10"/>
      <c r="I779" s="12"/>
      <c r="J779" s="13"/>
    </row>
    <row r="780" spans="1:10" ht="75" customHeight="1">
      <c r="A780" s="7"/>
      <c r="B780" s="18"/>
      <c r="C780" s="9"/>
      <c r="D780" s="10"/>
      <c r="E780" s="10"/>
      <c r="F780" s="10"/>
      <c r="G780" s="10"/>
      <c r="H780" s="10"/>
      <c r="I780" s="12"/>
      <c r="J780" s="13"/>
    </row>
    <row r="781" spans="1:10" ht="75" customHeight="1">
      <c r="A781" s="7"/>
      <c r="B781" s="18"/>
      <c r="C781" s="9"/>
      <c r="D781" s="10"/>
      <c r="E781" s="10"/>
      <c r="F781" s="10"/>
      <c r="G781" s="10"/>
      <c r="H781" s="10"/>
      <c r="I781" s="12"/>
      <c r="J781" s="13"/>
    </row>
    <row r="782" spans="1:10" ht="75" customHeight="1">
      <c r="A782" s="7"/>
      <c r="B782" s="18"/>
      <c r="C782" s="9"/>
      <c r="D782" s="10"/>
      <c r="E782" s="10"/>
      <c r="F782" s="10"/>
      <c r="G782" s="10"/>
      <c r="H782" s="10"/>
      <c r="I782" s="12"/>
      <c r="J782" s="13"/>
    </row>
    <row r="783" spans="1:10" ht="75" customHeight="1">
      <c r="A783" s="7"/>
      <c r="B783" s="18"/>
      <c r="C783" s="9"/>
      <c r="D783" s="10"/>
      <c r="E783" s="10"/>
      <c r="F783" s="10"/>
      <c r="G783" s="10"/>
      <c r="H783" s="10"/>
      <c r="I783" s="12"/>
      <c r="J783" s="13"/>
    </row>
    <row r="784" spans="1:10" ht="75" customHeight="1">
      <c r="A784" s="7"/>
      <c r="B784" s="18"/>
      <c r="C784" s="9"/>
      <c r="D784" s="10"/>
      <c r="E784" s="10"/>
      <c r="F784" s="10"/>
      <c r="G784" s="10"/>
      <c r="H784" s="10"/>
      <c r="I784" s="12"/>
      <c r="J784" s="13"/>
    </row>
    <row r="785" spans="1:10" ht="75" customHeight="1">
      <c r="A785" s="7"/>
      <c r="B785" s="18"/>
      <c r="C785" s="9"/>
      <c r="D785" s="10"/>
      <c r="E785" s="10"/>
      <c r="F785" s="10"/>
      <c r="G785" s="10"/>
      <c r="H785" s="10"/>
      <c r="I785" s="12"/>
      <c r="J785" s="13"/>
    </row>
    <row r="786" spans="1:10" ht="75" customHeight="1">
      <c r="A786" s="7"/>
      <c r="B786" s="18"/>
      <c r="C786" s="9"/>
      <c r="D786" s="10"/>
      <c r="E786" s="10"/>
      <c r="F786" s="10"/>
      <c r="G786" s="10"/>
      <c r="H786" s="10"/>
      <c r="I786" s="12"/>
      <c r="J786" s="13"/>
    </row>
    <row r="787" spans="1:10" ht="75" customHeight="1">
      <c r="A787" s="7"/>
      <c r="B787" s="18"/>
      <c r="C787" s="9"/>
      <c r="D787" s="10"/>
      <c r="E787" s="10"/>
      <c r="F787" s="10"/>
      <c r="G787" s="10"/>
      <c r="H787" s="10"/>
      <c r="I787" s="12"/>
      <c r="J787" s="13"/>
    </row>
    <row r="788" spans="1:10" ht="75" customHeight="1">
      <c r="A788" s="7"/>
      <c r="B788" s="18"/>
      <c r="C788" s="9"/>
      <c r="D788" s="10"/>
      <c r="E788" s="10"/>
      <c r="F788" s="10"/>
      <c r="G788" s="10"/>
      <c r="H788" s="10"/>
      <c r="I788" s="12"/>
      <c r="J788" s="13"/>
    </row>
    <row r="789" spans="1:10" ht="75" customHeight="1">
      <c r="A789" s="7"/>
      <c r="B789" s="18"/>
      <c r="C789" s="9"/>
      <c r="D789" s="10"/>
      <c r="E789" s="10"/>
      <c r="F789" s="10"/>
      <c r="G789" s="10"/>
      <c r="H789" s="10"/>
      <c r="I789" s="12"/>
      <c r="J789" s="13"/>
    </row>
    <row r="790" spans="1:10" ht="75" customHeight="1">
      <c r="A790" s="7"/>
      <c r="B790" s="18"/>
      <c r="C790" s="9"/>
      <c r="D790" s="10"/>
      <c r="E790" s="10"/>
      <c r="F790" s="10"/>
      <c r="G790" s="10"/>
      <c r="H790" s="10"/>
      <c r="I790" s="12"/>
      <c r="J790" s="13"/>
    </row>
    <row r="791" spans="1:10" ht="75" customHeight="1">
      <c r="A791" s="7"/>
      <c r="B791" s="18"/>
      <c r="C791" s="9"/>
      <c r="D791" s="10"/>
      <c r="E791" s="10"/>
      <c r="F791" s="10"/>
      <c r="G791" s="10"/>
      <c r="H791" s="10"/>
      <c r="I791" s="12"/>
      <c r="J791" s="13"/>
    </row>
    <row r="792" spans="1:10" ht="75" customHeight="1">
      <c r="A792" s="7"/>
      <c r="B792" s="18"/>
      <c r="C792" s="9"/>
      <c r="D792" s="10"/>
      <c r="E792" s="10"/>
      <c r="F792" s="10"/>
      <c r="G792" s="10"/>
      <c r="H792" s="10"/>
      <c r="I792" s="12"/>
      <c r="J792" s="13"/>
    </row>
    <row r="793" spans="1:10" ht="75" customHeight="1">
      <c r="A793" s="7"/>
      <c r="B793" s="18"/>
      <c r="C793" s="9"/>
      <c r="D793" s="10"/>
      <c r="E793" s="10"/>
      <c r="F793" s="10"/>
      <c r="G793" s="10"/>
      <c r="H793" s="10"/>
      <c r="I793" s="12"/>
      <c r="J793" s="13"/>
    </row>
    <row r="794" spans="1:10" ht="75" customHeight="1">
      <c r="A794" s="7"/>
      <c r="B794" s="18"/>
      <c r="C794" s="9"/>
      <c r="D794" s="10"/>
      <c r="E794" s="10"/>
      <c r="F794" s="10"/>
      <c r="G794" s="10"/>
      <c r="H794" s="10"/>
      <c r="I794" s="12"/>
      <c r="J794" s="13"/>
    </row>
    <row r="795" spans="1:10" ht="75" customHeight="1">
      <c r="A795" s="7"/>
      <c r="B795" s="18"/>
      <c r="C795" s="9"/>
      <c r="D795" s="10"/>
      <c r="E795" s="10"/>
      <c r="F795" s="10"/>
      <c r="G795" s="10"/>
      <c r="H795" s="10"/>
      <c r="I795" s="12"/>
      <c r="J795" s="13"/>
    </row>
    <row r="796" spans="1:10" ht="75" customHeight="1">
      <c r="A796" s="7"/>
      <c r="B796" s="18"/>
      <c r="C796" s="9"/>
      <c r="D796" s="10"/>
      <c r="E796" s="10"/>
      <c r="F796" s="10"/>
      <c r="G796" s="10"/>
      <c r="H796" s="10"/>
      <c r="I796" s="12"/>
      <c r="J796" s="13"/>
    </row>
    <row r="797" spans="1:10" ht="75" customHeight="1">
      <c r="A797" s="7"/>
      <c r="B797" s="18"/>
      <c r="C797" s="9"/>
      <c r="D797" s="10"/>
      <c r="E797" s="10"/>
      <c r="F797" s="10"/>
      <c r="G797" s="10"/>
      <c r="H797" s="10"/>
      <c r="I797" s="12"/>
      <c r="J797" s="13"/>
    </row>
    <row r="798" spans="1:10" ht="75" customHeight="1">
      <c r="A798" s="7"/>
      <c r="B798" s="18"/>
      <c r="C798" s="9"/>
      <c r="D798" s="10"/>
      <c r="E798" s="10"/>
      <c r="F798" s="10"/>
      <c r="G798" s="10"/>
      <c r="H798" s="10"/>
      <c r="I798" s="12"/>
      <c r="J798" s="13"/>
    </row>
    <row r="799" spans="1:10" ht="75" customHeight="1">
      <c r="A799" s="7"/>
      <c r="B799" s="18"/>
      <c r="C799" s="9"/>
      <c r="D799" s="10"/>
      <c r="E799" s="10"/>
      <c r="F799" s="10"/>
      <c r="G799" s="10"/>
      <c r="H799" s="10"/>
      <c r="I799" s="12"/>
      <c r="J799" s="13"/>
    </row>
    <row r="800" spans="1:10" ht="75" customHeight="1">
      <c r="A800" s="7"/>
      <c r="B800" s="18"/>
      <c r="C800" s="9"/>
      <c r="D800" s="10"/>
      <c r="E800" s="10"/>
      <c r="F800" s="10"/>
      <c r="G800" s="10"/>
      <c r="H800" s="10"/>
      <c r="I800" s="12"/>
      <c r="J800" s="13"/>
    </row>
    <row r="801" spans="1:10" ht="75" customHeight="1">
      <c r="A801" s="7"/>
      <c r="B801" s="18"/>
      <c r="C801" s="9"/>
      <c r="D801" s="10"/>
      <c r="E801" s="10"/>
      <c r="F801" s="10"/>
      <c r="G801" s="10"/>
      <c r="H801" s="10"/>
      <c r="I801" s="12"/>
      <c r="J801" s="13"/>
    </row>
    <row r="802" spans="1:10" ht="75" customHeight="1">
      <c r="A802" s="7"/>
      <c r="B802" s="18"/>
      <c r="C802" s="9"/>
      <c r="D802" s="10"/>
      <c r="E802" s="10"/>
      <c r="F802" s="10"/>
      <c r="G802" s="10"/>
      <c r="H802" s="10"/>
      <c r="I802" s="12"/>
      <c r="J802" s="13"/>
    </row>
    <row r="803" spans="1:10" ht="75" customHeight="1">
      <c r="A803" s="7"/>
      <c r="B803" s="18"/>
      <c r="C803" s="9"/>
      <c r="D803" s="10"/>
      <c r="E803" s="10"/>
      <c r="F803" s="10"/>
      <c r="G803" s="10"/>
      <c r="H803" s="10"/>
      <c r="I803" s="12"/>
      <c r="J803" s="13"/>
    </row>
    <row r="804" spans="1:10" ht="75" customHeight="1">
      <c r="A804" s="7"/>
      <c r="B804" s="18"/>
      <c r="C804" s="9"/>
      <c r="D804" s="10"/>
      <c r="E804" s="10"/>
      <c r="F804" s="10"/>
      <c r="G804" s="10"/>
      <c r="H804" s="10"/>
      <c r="I804" s="12"/>
      <c r="J804" s="13"/>
    </row>
    <row r="805" spans="1:10" ht="75" customHeight="1">
      <c r="A805" s="7"/>
      <c r="B805" s="18"/>
      <c r="C805" s="9"/>
      <c r="D805" s="10"/>
      <c r="E805" s="10"/>
      <c r="F805" s="10"/>
      <c r="G805" s="10"/>
      <c r="H805" s="10"/>
      <c r="I805" s="12"/>
      <c r="J805" s="13"/>
    </row>
    <row r="806" spans="1:10" ht="75" customHeight="1">
      <c r="A806" s="7"/>
      <c r="B806" s="18"/>
      <c r="C806" s="9"/>
      <c r="D806" s="10"/>
      <c r="E806" s="10"/>
      <c r="F806" s="10"/>
      <c r="G806" s="10"/>
      <c r="H806" s="10"/>
      <c r="I806" s="12"/>
      <c r="J806" s="13"/>
    </row>
    <row r="807" spans="1:10" ht="75" customHeight="1">
      <c r="A807" s="7"/>
      <c r="B807" s="18"/>
      <c r="C807" s="9"/>
      <c r="D807" s="10"/>
      <c r="E807" s="10"/>
      <c r="F807" s="10"/>
      <c r="G807" s="10"/>
      <c r="H807" s="10"/>
      <c r="I807" s="12"/>
      <c r="J807" s="13"/>
    </row>
    <row r="808" spans="1:10" ht="75" customHeight="1">
      <c r="A808" s="7"/>
      <c r="B808" s="18"/>
      <c r="C808" s="9"/>
      <c r="D808" s="10"/>
      <c r="E808" s="10"/>
      <c r="F808" s="10"/>
      <c r="G808" s="10"/>
      <c r="H808" s="10"/>
      <c r="I808" s="12"/>
      <c r="J808" s="13"/>
    </row>
    <row r="809" spans="1:10" ht="75" customHeight="1">
      <c r="A809" s="7"/>
      <c r="B809" s="18"/>
      <c r="C809" s="9"/>
      <c r="D809" s="10"/>
      <c r="E809" s="10"/>
      <c r="F809" s="10"/>
      <c r="G809" s="10"/>
      <c r="H809" s="10"/>
      <c r="I809" s="12"/>
      <c r="J809" s="13"/>
    </row>
    <row r="810" spans="1:10" ht="75" customHeight="1">
      <c r="A810" s="7"/>
      <c r="B810" s="18"/>
      <c r="C810" s="9"/>
      <c r="D810" s="10"/>
      <c r="E810" s="10"/>
      <c r="F810" s="10"/>
      <c r="G810" s="10"/>
      <c r="H810" s="10"/>
      <c r="I810" s="12"/>
      <c r="J810" s="13"/>
    </row>
    <row r="811" spans="1:10" ht="75" customHeight="1">
      <c r="A811" s="7"/>
      <c r="B811" s="18"/>
      <c r="C811" s="9"/>
      <c r="D811" s="10"/>
      <c r="E811" s="10"/>
      <c r="F811" s="10"/>
      <c r="G811" s="10"/>
      <c r="H811" s="10"/>
      <c r="I811" s="12"/>
      <c r="J811" s="13"/>
    </row>
    <row r="812" spans="1:10" ht="75" customHeight="1">
      <c r="A812" s="7"/>
      <c r="B812" s="18"/>
      <c r="C812" s="9"/>
      <c r="D812" s="10"/>
      <c r="E812" s="10"/>
      <c r="F812" s="10"/>
      <c r="G812" s="10"/>
      <c r="H812" s="10"/>
      <c r="I812" s="12"/>
      <c r="J812" s="13"/>
    </row>
    <row r="813" spans="1:10" ht="75" customHeight="1">
      <c r="A813" s="7"/>
      <c r="B813" s="18"/>
      <c r="C813" s="9"/>
      <c r="D813" s="10"/>
      <c r="E813" s="10"/>
      <c r="F813" s="10"/>
      <c r="G813" s="10"/>
      <c r="H813" s="10"/>
      <c r="I813" s="12"/>
      <c r="J813" s="13"/>
    </row>
    <row r="814" spans="1:10" ht="75" customHeight="1">
      <c r="A814" s="7"/>
      <c r="B814" s="18"/>
      <c r="C814" s="9"/>
      <c r="D814" s="10"/>
      <c r="E814" s="10"/>
      <c r="F814" s="10"/>
      <c r="G814" s="10"/>
      <c r="H814" s="10"/>
      <c r="I814" s="12"/>
      <c r="J814" s="13"/>
    </row>
    <row r="815" spans="1:10" ht="75" customHeight="1">
      <c r="A815" s="7"/>
      <c r="B815" s="18"/>
      <c r="C815" s="9"/>
      <c r="D815" s="10"/>
      <c r="E815" s="10"/>
      <c r="F815" s="10"/>
      <c r="G815" s="10"/>
      <c r="H815" s="10"/>
      <c r="I815" s="12"/>
      <c r="J815" s="13"/>
    </row>
    <row r="816" spans="1:10" ht="75" customHeight="1">
      <c r="A816" s="7"/>
      <c r="B816" s="18"/>
      <c r="C816" s="9"/>
      <c r="D816" s="10"/>
      <c r="E816" s="10"/>
      <c r="F816" s="10"/>
      <c r="G816" s="10"/>
      <c r="H816" s="10"/>
      <c r="I816" s="12"/>
      <c r="J816" s="13"/>
    </row>
    <row r="817" spans="1:10" ht="75" customHeight="1">
      <c r="A817" s="7"/>
      <c r="B817" s="18"/>
      <c r="C817" s="9"/>
      <c r="D817" s="10"/>
      <c r="E817" s="10"/>
      <c r="F817" s="10"/>
      <c r="G817" s="10"/>
      <c r="H817" s="10"/>
      <c r="I817" s="12"/>
      <c r="J817" s="13"/>
    </row>
    <row r="818" spans="1:10" ht="75" customHeight="1">
      <c r="A818" s="7"/>
      <c r="B818" s="18"/>
      <c r="C818" s="9"/>
      <c r="D818" s="10"/>
      <c r="E818" s="10"/>
      <c r="F818" s="10"/>
      <c r="G818" s="10"/>
      <c r="H818" s="10"/>
      <c r="I818" s="12"/>
      <c r="J818" s="13"/>
    </row>
    <row r="819" spans="1:10" ht="75" customHeight="1">
      <c r="A819" s="7"/>
      <c r="B819" s="18"/>
      <c r="C819" s="9"/>
      <c r="D819" s="10"/>
      <c r="E819" s="10"/>
      <c r="F819" s="10"/>
      <c r="G819" s="10"/>
      <c r="H819" s="10"/>
      <c r="I819" s="12"/>
      <c r="J819" s="13"/>
    </row>
    <row r="820" spans="1:10" ht="75" customHeight="1">
      <c r="A820" s="7"/>
      <c r="B820" s="18"/>
      <c r="C820" s="9"/>
      <c r="D820" s="10"/>
      <c r="E820" s="10"/>
      <c r="F820" s="10"/>
      <c r="G820" s="10"/>
      <c r="H820" s="10"/>
      <c r="I820" s="12"/>
      <c r="J820" s="13"/>
    </row>
    <row r="821" spans="1:10" ht="75" customHeight="1">
      <c r="A821" s="7"/>
      <c r="B821" s="18"/>
      <c r="C821" s="9"/>
      <c r="D821" s="10"/>
      <c r="E821" s="10"/>
      <c r="F821" s="10"/>
      <c r="G821" s="10"/>
      <c r="H821" s="10"/>
      <c r="I821" s="12"/>
      <c r="J821" s="13"/>
    </row>
    <row r="822" spans="1:10" ht="75" customHeight="1">
      <c r="A822" s="7"/>
      <c r="B822" s="18"/>
      <c r="C822" s="9"/>
      <c r="D822" s="10"/>
      <c r="E822" s="10"/>
      <c r="F822" s="10"/>
      <c r="G822" s="10"/>
      <c r="H822" s="10"/>
      <c r="I822" s="12"/>
      <c r="J822" s="13"/>
    </row>
    <row r="823" spans="1:10" ht="75" customHeight="1">
      <c r="A823" s="7"/>
      <c r="B823" s="18"/>
      <c r="C823" s="9"/>
      <c r="D823" s="10"/>
      <c r="E823" s="10"/>
      <c r="F823" s="10"/>
      <c r="G823" s="10"/>
      <c r="H823" s="10"/>
      <c r="I823" s="12"/>
      <c r="J823" s="13"/>
    </row>
    <row r="824" spans="1:10" ht="75" customHeight="1">
      <c r="A824" s="7"/>
      <c r="B824" s="18"/>
      <c r="C824" s="9"/>
      <c r="D824" s="10"/>
      <c r="E824" s="10"/>
      <c r="F824" s="10"/>
      <c r="G824" s="10"/>
      <c r="H824" s="10"/>
      <c r="I824" s="12"/>
      <c r="J824" s="13"/>
    </row>
    <row r="825" spans="1:10" ht="75" customHeight="1">
      <c r="A825" s="7"/>
      <c r="B825" s="18"/>
      <c r="C825" s="9"/>
      <c r="D825" s="10"/>
      <c r="E825" s="10"/>
      <c r="F825" s="10"/>
      <c r="G825" s="10"/>
      <c r="H825" s="10"/>
      <c r="I825" s="12"/>
      <c r="J825" s="13"/>
    </row>
    <row r="826" spans="1:10" ht="75" customHeight="1">
      <c r="A826" s="7"/>
      <c r="B826" s="18"/>
      <c r="C826" s="9"/>
      <c r="D826" s="10"/>
      <c r="E826" s="10"/>
      <c r="F826" s="10"/>
      <c r="G826" s="10"/>
      <c r="H826" s="10"/>
      <c r="I826" s="12"/>
      <c r="J826" s="13"/>
    </row>
    <row r="827" spans="1:10" ht="75" customHeight="1">
      <c r="A827" s="7"/>
      <c r="B827" s="18"/>
      <c r="C827" s="9"/>
      <c r="D827" s="10"/>
      <c r="E827" s="10"/>
      <c r="F827" s="10"/>
      <c r="G827" s="10"/>
      <c r="H827" s="10"/>
      <c r="I827" s="12"/>
      <c r="J827" s="13"/>
    </row>
    <row r="828" spans="1:10" ht="75" customHeight="1">
      <c r="A828" s="7"/>
      <c r="B828" s="18"/>
      <c r="C828" s="9"/>
      <c r="D828" s="10"/>
      <c r="E828" s="10"/>
      <c r="F828" s="10"/>
      <c r="G828" s="10"/>
      <c r="H828" s="10"/>
      <c r="I828" s="12"/>
      <c r="J828" s="13"/>
    </row>
    <row r="829" spans="1:10" ht="75" customHeight="1">
      <c r="A829" s="7"/>
      <c r="B829" s="18"/>
      <c r="C829" s="9"/>
      <c r="D829" s="10"/>
      <c r="E829" s="10"/>
      <c r="F829" s="10"/>
      <c r="G829" s="10"/>
      <c r="H829" s="10"/>
      <c r="I829" s="12"/>
      <c r="J829" s="13"/>
    </row>
    <row r="830" spans="1:10" ht="75" customHeight="1">
      <c r="A830" s="7"/>
      <c r="B830" s="18"/>
      <c r="C830" s="9"/>
      <c r="D830" s="10"/>
      <c r="E830" s="10"/>
      <c r="F830" s="10"/>
      <c r="G830" s="10"/>
      <c r="H830" s="10"/>
      <c r="I830" s="12"/>
      <c r="J830" s="13"/>
    </row>
    <row r="831" spans="1:10" ht="75" customHeight="1">
      <c r="A831" s="7"/>
      <c r="B831" s="18"/>
      <c r="C831" s="9"/>
      <c r="D831" s="10"/>
      <c r="E831" s="10"/>
      <c r="F831" s="10"/>
      <c r="G831" s="10"/>
      <c r="H831" s="10"/>
      <c r="I831" s="12"/>
      <c r="J831" s="13"/>
    </row>
    <row r="832" spans="1:10" ht="75" customHeight="1">
      <c r="A832" s="7"/>
      <c r="B832" s="18"/>
      <c r="C832" s="9"/>
      <c r="D832" s="10"/>
      <c r="E832" s="10"/>
      <c r="F832" s="10"/>
      <c r="G832" s="10"/>
      <c r="H832" s="10"/>
      <c r="I832" s="12"/>
      <c r="J832" s="13"/>
    </row>
    <row r="833" spans="1:10" ht="75" customHeight="1">
      <c r="A833" s="7"/>
      <c r="B833" s="18"/>
      <c r="C833" s="9"/>
      <c r="D833" s="10"/>
      <c r="E833" s="10"/>
      <c r="F833" s="10"/>
      <c r="G833" s="10"/>
      <c r="H833" s="10"/>
      <c r="I833" s="12"/>
      <c r="J833" s="13"/>
    </row>
    <row r="834" spans="1:10" ht="75" customHeight="1">
      <c r="A834" s="7"/>
      <c r="B834" s="18"/>
      <c r="C834" s="9"/>
      <c r="D834" s="10"/>
      <c r="E834" s="10"/>
      <c r="F834" s="10"/>
      <c r="G834" s="10"/>
      <c r="H834" s="10"/>
      <c r="I834" s="12"/>
      <c r="J834" s="13"/>
    </row>
    <row r="835" spans="1:10" ht="75" customHeight="1">
      <c r="A835" s="7"/>
      <c r="B835" s="18"/>
      <c r="C835" s="9"/>
      <c r="D835" s="10"/>
      <c r="E835" s="10"/>
      <c r="F835" s="10"/>
      <c r="G835" s="10"/>
      <c r="H835" s="10"/>
      <c r="I835" s="12"/>
      <c r="J835" s="13"/>
    </row>
    <row r="836" spans="1:10" ht="75" customHeight="1">
      <c r="A836" s="7"/>
      <c r="B836" s="18"/>
      <c r="C836" s="9"/>
      <c r="D836" s="10"/>
      <c r="E836" s="10"/>
      <c r="F836" s="10"/>
      <c r="G836" s="10"/>
      <c r="H836" s="10"/>
      <c r="I836" s="12"/>
      <c r="J836" s="13"/>
    </row>
    <row r="837" spans="1:10" ht="75" customHeight="1">
      <c r="A837" s="7"/>
      <c r="B837" s="18"/>
      <c r="C837" s="9"/>
      <c r="D837" s="10"/>
      <c r="E837" s="10"/>
      <c r="F837" s="10"/>
      <c r="G837" s="10"/>
      <c r="H837" s="10"/>
      <c r="I837" s="12"/>
      <c r="J837" s="13"/>
    </row>
    <row r="838" spans="1:10" ht="75" customHeight="1">
      <c r="A838" s="7"/>
      <c r="B838" s="18"/>
      <c r="C838" s="9"/>
      <c r="D838" s="10"/>
      <c r="E838" s="10"/>
      <c r="F838" s="10"/>
      <c r="G838" s="10"/>
      <c r="H838" s="10"/>
      <c r="I838" s="12"/>
      <c r="J838" s="13"/>
    </row>
    <row r="839" spans="1:10" ht="75" customHeight="1">
      <c r="A839" s="7"/>
      <c r="B839" s="18"/>
      <c r="C839" s="9"/>
      <c r="D839" s="10"/>
      <c r="E839" s="10"/>
      <c r="F839" s="10"/>
      <c r="G839" s="10"/>
      <c r="H839" s="10"/>
      <c r="I839" s="12"/>
      <c r="J839" s="13"/>
    </row>
    <row r="840" spans="1:10" ht="75" customHeight="1">
      <c r="A840" s="7"/>
      <c r="B840" s="18"/>
      <c r="C840" s="9"/>
      <c r="D840" s="10"/>
      <c r="E840" s="10"/>
      <c r="F840" s="10"/>
      <c r="G840" s="10"/>
      <c r="H840" s="10"/>
      <c r="I840" s="12"/>
      <c r="J840" s="13"/>
    </row>
    <row r="841" spans="1:10" ht="75" customHeight="1">
      <c r="A841" s="7"/>
      <c r="B841" s="18"/>
      <c r="C841" s="9"/>
      <c r="D841" s="10"/>
      <c r="E841" s="10"/>
      <c r="F841" s="10"/>
      <c r="G841" s="10"/>
      <c r="H841" s="10"/>
      <c r="I841" s="12"/>
      <c r="J841" s="13"/>
    </row>
    <row r="842" spans="1:10" ht="75" customHeight="1">
      <c r="A842" s="7"/>
      <c r="B842" s="18"/>
      <c r="C842" s="9"/>
      <c r="D842" s="10"/>
      <c r="E842" s="10"/>
      <c r="F842" s="10"/>
      <c r="G842" s="10"/>
      <c r="H842" s="10"/>
      <c r="I842" s="12"/>
      <c r="J842" s="13"/>
    </row>
    <row r="843" spans="1:10" ht="75" customHeight="1">
      <c r="A843" s="7"/>
      <c r="B843" s="18"/>
      <c r="C843" s="9"/>
      <c r="D843" s="10"/>
      <c r="E843" s="10"/>
      <c r="F843" s="10"/>
      <c r="G843" s="10"/>
      <c r="H843" s="10"/>
      <c r="I843" s="12"/>
      <c r="J843" s="13"/>
    </row>
    <row r="844" spans="1:10" ht="75" customHeight="1">
      <c r="A844" s="7"/>
      <c r="B844" s="18"/>
      <c r="C844" s="9"/>
      <c r="D844" s="10"/>
      <c r="E844" s="10"/>
      <c r="F844" s="10"/>
      <c r="G844" s="10"/>
      <c r="H844" s="10"/>
      <c r="I844" s="12"/>
      <c r="J844" s="13"/>
    </row>
    <row r="845" spans="1:10" ht="75" customHeight="1">
      <c r="A845" s="7"/>
      <c r="B845" s="18"/>
      <c r="C845" s="9"/>
      <c r="D845" s="10"/>
      <c r="E845" s="10"/>
      <c r="F845" s="10"/>
      <c r="G845" s="10"/>
      <c r="H845" s="10"/>
      <c r="I845" s="12"/>
      <c r="J845" s="13"/>
    </row>
    <row r="846" spans="1:10" ht="75" customHeight="1">
      <c r="A846" s="7"/>
      <c r="B846" s="18"/>
      <c r="C846" s="9"/>
      <c r="D846" s="10"/>
      <c r="E846" s="10"/>
      <c r="F846" s="10"/>
      <c r="G846" s="10"/>
      <c r="H846" s="10"/>
      <c r="I846" s="12"/>
      <c r="J846" s="13"/>
    </row>
    <row r="847" spans="1:10" ht="75" customHeight="1">
      <c r="A847" s="7"/>
      <c r="B847" s="18"/>
      <c r="C847" s="9"/>
      <c r="D847" s="10"/>
      <c r="E847" s="10"/>
      <c r="F847" s="10"/>
      <c r="G847" s="10"/>
      <c r="H847" s="10"/>
      <c r="I847" s="12"/>
      <c r="J847" s="13"/>
    </row>
    <row r="848" spans="1:10" ht="75" customHeight="1">
      <c r="A848" s="7"/>
      <c r="B848" s="18"/>
      <c r="C848" s="9"/>
      <c r="D848" s="10"/>
      <c r="E848" s="10"/>
      <c r="F848" s="10"/>
      <c r="G848" s="10"/>
      <c r="H848" s="10"/>
      <c r="I848" s="12"/>
      <c r="J848" s="13"/>
    </row>
    <row r="849" spans="1:10" ht="75" customHeight="1">
      <c r="A849" s="7"/>
      <c r="B849" s="18"/>
      <c r="C849" s="9"/>
      <c r="D849" s="10"/>
      <c r="E849" s="10"/>
      <c r="F849" s="10"/>
      <c r="G849" s="10"/>
      <c r="H849" s="10"/>
      <c r="I849" s="12"/>
      <c r="J849" s="13"/>
    </row>
    <row r="850" spans="1:10" ht="75" customHeight="1">
      <c r="A850" s="7"/>
      <c r="B850" s="18"/>
      <c r="C850" s="9"/>
      <c r="D850" s="10"/>
      <c r="E850" s="10"/>
      <c r="F850" s="10"/>
      <c r="G850" s="10"/>
      <c r="H850" s="10"/>
      <c r="I850" s="12"/>
      <c r="J850" s="13"/>
    </row>
    <row r="851" spans="1:10" ht="75" customHeight="1">
      <c r="A851" s="7"/>
      <c r="B851" s="18"/>
      <c r="C851" s="9"/>
      <c r="D851" s="10"/>
      <c r="E851" s="10"/>
      <c r="F851" s="10"/>
      <c r="G851" s="10"/>
      <c r="H851" s="10"/>
      <c r="I851" s="12"/>
      <c r="J851" s="13"/>
    </row>
    <row r="852" spans="1:10" ht="75" customHeight="1">
      <c r="A852" s="7"/>
      <c r="B852" s="18"/>
      <c r="C852" s="9"/>
      <c r="D852" s="10"/>
      <c r="E852" s="10"/>
      <c r="F852" s="10"/>
      <c r="G852" s="10"/>
      <c r="H852" s="10"/>
      <c r="I852" s="12"/>
      <c r="J852" s="13"/>
    </row>
    <row r="853" spans="1:10" ht="75" customHeight="1">
      <c r="A853" s="7"/>
      <c r="B853" s="18"/>
      <c r="C853" s="9"/>
      <c r="D853" s="10"/>
      <c r="E853" s="10"/>
      <c r="F853" s="10"/>
      <c r="G853" s="10"/>
      <c r="H853" s="10"/>
      <c r="I853" s="12"/>
      <c r="J853" s="13"/>
    </row>
    <row r="854" spans="1:10" ht="75" customHeight="1">
      <c r="A854" s="7"/>
      <c r="B854" s="18"/>
      <c r="C854" s="9"/>
      <c r="D854" s="10"/>
      <c r="E854" s="10"/>
      <c r="F854" s="10"/>
      <c r="G854" s="10"/>
      <c r="H854" s="10"/>
      <c r="I854" s="12"/>
      <c r="J854" s="13"/>
    </row>
    <row r="855" spans="1:10" ht="75" customHeight="1">
      <c r="A855" s="7"/>
      <c r="B855" s="18"/>
      <c r="C855" s="9"/>
      <c r="D855" s="10"/>
      <c r="E855" s="10"/>
      <c r="F855" s="10"/>
      <c r="G855" s="10"/>
      <c r="H855" s="10"/>
      <c r="I855" s="12"/>
      <c r="J855" s="13"/>
    </row>
    <row r="856" spans="1:10" ht="75" customHeight="1">
      <c r="A856" s="7"/>
      <c r="B856" s="18"/>
      <c r="C856" s="9"/>
      <c r="D856" s="10"/>
      <c r="E856" s="10"/>
      <c r="F856" s="10"/>
      <c r="G856" s="10"/>
      <c r="H856" s="10"/>
      <c r="I856" s="12"/>
      <c r="J856" s="13"/>
    </row>
    <row r="857" spans="1:10" ht="75" customHeight="1">
      <c r="A857" s="7"/>
      <c r="B857" s="18"/>
      <c r="C857" s="9"/>
      <c r="D857" s="10"/>
      <c r="E857" s="10"/>
      <c r="F857" s="10"/>
      <c r="G857" s="10"/>
      <c r="H857" s="10"/>
      <c r="I857" s="12"/>
      <c r="J857" s="13"/>
    </row>
    <row r="858" spans="1:10" ht="75" customHeight="1">
      <c r="A858" s="7"/>
      <c r="B858" s="18"/>
      <c r="C858" s="9"/>
      <c r="D858" s="10"/>
      <c r="E858" s="10"/>
      <c r="F858" s="10"/>
      <c r="G858" s="10"/>
      <c r="H858" s="10"/>
      <c r="I858" s="12"/>
      <c r="J858" s="13"/>
    </row>
    <row r="859" spans="1:10" ht="75" customHeight="1">
      <c r="A859" s="7"/>
      <c r="B859" s="18"/>
      <c r="C859" s="9"/>
      <c r="D859" s="10"/>
      <c r="E859" s="10"/>
      <c r="F859" s="10"/>
      <c r="G859" s="10"/>
      <c r="H859" s="10"/>
      <c r="I859" s="12"/>
      <c r="J859" s="13"/>
    </row>
    <row r="860" spans="1:10" ht="75" customHeight="1">
      <c r="A860" s="7"/>
      <c r="B860" s="18"/>
      <c r="C860" s="9"/>
      <c r="D860" s="10"/>
      <c r="E860" s="10"/>
      <c r="F860" s="10"/>
      <c r="G860" s="10"/>
      <c r="H860" s="10"/>
      <c r="I860" s="12"/>
      <c r="J860" s="13"/>
    </row>
    <row r="861" spans="1:10" ht="75" customHeight="1">
      <c r="A861" s="7"/>
      <c r="B861" s="18"/>
      <c r="C861" s="9"/>
      <c r="D861" s="10"/>
      <c r="E861" s="10"/>
      <c r="F861" s="10"/>
      <c r="G861" s="10"/>
      <c r="H861" s="10"/>
      <c r="I861" s="12"/>
      <c r="J861" s="13"/>
    </row>
    <row r="862" spans="1:10" ht="75" customHeight="1">
      <c r="A862" s="7"/>
      <c r="B862" s="18"/>
      <c r="C862" s="9"/>
      <c r="D862" s="10"/>
      <c r="E862" s="10"/>
      <c r="F862" s="10"/>
      <c r="G862" s="10"/>
      <c r="H862" s="10"/>
      <c r="I862" s="12"/>
      <c r="J862" s="13"/>
    </row>
    <row r="863" spans="1:10" ht="75" customHeight="1">
      <c r="A863" s="7"/>
      <c r="B863" s="18"/>
      <c r="C863" s="9"/>
      <c r="D863" s="10"/>
      <c r="E863" s="10"/>
      <c r="F863" s="10"/>
      <c r="G863" s="10"/>
      <c r="H863" s="10"/>
      <c r="I863" s="12"/>
      <c r="J863" s="13"/>
    </row>
    <row r="864" spans="1:10" ht="75" customHeight="1">
      <c r="A864" s="7"/>
      <c r="B864" s="18"/>
      <c r="C864" s="9"/>
      <c r="D864" s="10"/>
      <c r="E864" s="10"/>
      <c r="F864" s="10"/>
      <c r="G864" s="10"/>
      <c r="H864" s="10"/>
      <c r="I864" s="12"/>
      <c r="J864" s="13"/>
    </row>
    <row r="865" spans="1:10" ht="75" customHeight="1">
      <c r="A865" s="7"/>
      <c r="B865" s="18"/>
      <c r="C865" s="9"/>
      <c r="D865" s="10"/>
      <c r="E865" s="10"/>
      <c r="F865" s="10"/>
      <c r="G865" s="10"/>
      <c r="H865" s="10"/>
      <c r="I865" s="12"/>
      <c r="J865" s="13"/>
    </row>
    <row r="866" spans="1:10" ht="75" customHeight="1">
      <c r="A866" s="7"/>
      <c r="B866" s="18"/>
      <c r="C866" s="9"/>
      <c r="D866" s="10"/>
      <c r="E866" s="10"/>
      <c r="F866" s="10"/>
      <c r="G866" s="10"/>
      <c r="H866" s="10"/>
      <c r="I866" s="12"/>
      <c r="J866" s="13"/>
    </row>
    <row r="867" spans="1:10" ht="75" customHeight="1">
      <c r="A867" s="7"/>
      <c r="B867" s="18"/>
      <c r="C867" s="9"/>
      <c r="D867" s="10"/>
      <c r="E867" s="10"/>
      <c r="F867" s="10"/>
      <c r="G867" s="10"/>
      <c r="H867" s="10"/>
      <c r="I867" s="12"/>
      <c r="J867" s="13"/>
    </row>
    <row r="868" spans="1:10" ht="75" customHeight="1">
      <c r="A868" s="7"/>
      <c r="B868" s="18"/>
      <c r="C868" s="9"/>
      <c r="D868" s="10"/>
      <c r="E868" s="10"/>
      <c r="F868" s="10"/>
      <c r="G868" s="10"/>
      <c r="H868" s="10"/>
      <c r="I868" s="12"/>
      <c r="J868" s="13"/>
    </row>
    <row r="869" spans="1:10" ht="75" customHeight="1">
      <c r="A869" s="7"/>
      <c r="B869" s="18"/>
      <c r="C869" s="9"/>
      <c r="D869" s="10"/>
      <c r="E869" s="10"/>
      <c r="F869" s="10"/>
      <c r="G869" s="10"/>
      <c r="H869" s="10"/>
      <c r="I869" s="12"/>
      <c r="J869" s="13"/>
    </row>
    <row r="870" spans="1:10" ht="75" customHeight="1">
      <c r="A870" s="7"/>
      <c r="B870" s="18"/>
      <c r="C870" s="9"/>
      <c r="D870" s="10"/>
      <c r="E870" s="10"/>
      <c r="F870" s="10"/>
      <c r="G870" s="10"/>
      <c r="H870" s="10"/>
      <c r="I870" s="12"/>
      <c r="J870" s="13"/>
    </row>
    <row r="871" spans="1:10" ht="75" customHeight="1">
      <c r="A871" s="7"/>
      <c r="B871" s="18"/>
      <c r="C871" s="9"/>
      <c r="D871" s="10"/>
      <c r="E871" s="10"/>
      <c r="F871" s="10"/>
      <c r="G871" s="10"/>
      <c r="H871" s="10"/>
      <c r="I871" s="12"/>
      <c r="J871" s="13"/>
    </row>
    <row r="872" spans="1:10" ht="75" customHeight="1">
      <c r="A872" s="7"/>
      <c r="B872" s="18"/>
      <c r="C872" s="9"/>
      <c r="D872" s="10"/>
      <c r="E872" s="10"/>
      <c r="F872" s="10"/>
      <c r="G872" s="10"/>
      <c r="H872" s="10"/>
      <c r="I872" s="12"/>
      <c r="J872" s="13"/>
    </row>
    <row r="873" spans="1:10" ht="75" customHeight="1">
      <c r="A873" s="7"/>
      <c r="B873" s="18"/>
      <c r="C873" s="9"/>
      <c r="D873" s="10"/>
      <c r="E873" s="10"/>
      <c r="F873" s="10"/>
      <c r="G873" s="10"/>
      <c r="H873" s="10"/>
      <c r="I873" s="12"/>
      <c r="J873" s="13"/>
    </row>
    <row r="874" spans="1:10" ht="75" customHeight="1">
      <c r="A874" s="7"/>
      <c r="B874" s="18"/>
      <c r="C874" s="9"/>
      <c r="D874" s="10"/>
      <c r="E874" s="10"/>
      <c r="F874" s="10"/>
      <c r="G874" s="10"/>
      <c r="H874" s="10"/>
      <c r="I874" s="12"/>
      <c r="J874" s="13"/>
    </row>
    <row r="875" spans="1:10" ht="75" customHeight="1">
      <c r="A875" s="7"/>
      <c r="B875" s="18"/>
      <c r="C875" s="9"/>
      <c r="D875" s="10"/>
      <c r="E875" s="10"/>
      <c r="F875" s="10"/>
      <c r="G875" s="10"/>
      <c r="H875" s="10"/>
      <c r="I875" s="12"/>
      <c r="J875" s="13"/>
    </row>
    <row r="876" spans="1:10" ht="75" customHeight="1">
      <c r="A876" s="7"/>
      <c r="B876" s="18"/>
      <c r="C876" s="9"/>
      <c r="D876" s="10"/>
      <c r="E876" s="10"/>
      <c r="F876" s="10"/>
      <c r="G876" s="10"/>
      <c r="H876" s="10"/>
      <c r="I876" s="12"/>
      <c r="J876" s="13"/>
    </row>
    <row r="877" spans="1:10" ht="75" customHeight="1">
      <c r="A877" s="7"/>
      <c r="B877" s="18"/>
      <c r="C877" s="9"/>
      <c r="D877" s="10"/>
      <c r="E877" s="10"/>
      <c r="F877" s="10"/>
      <c r="G877" s="10"/>
      <c r="H877" s="10"/>
      <c r="I877" s="12"/>
      <c r="J877" s="13"/>
    </row>
    <row r="878" spans="1:10" ht="75" customHeight="1">
      <c r="A878" s="7"/>
      <c r="B878" s="18"/>
      <c r="C878" s="9"/>
      <c r="D878" s="10"/>
      <c r="E878" s="10"/>
      <c r="F878" s="10"/>
      <c r="G878" s="10"/>
      <c r="H878" s="10"/>
      <c r="I878" s="12"/>
      <c r="J878" s="13"/>
    </row>
    <row r="879" spans="1:10" ht="75" customHeight="1">
      <c r="A879" s="7"/>
      <c r="B879" s="18"/>
      <c r="C879" s="9"/>
      <c r="D879" s="10"/>
      <c r="E879" s="10"/>
      <c r="F879" s="10"/>
      <c r="G879" s="10"/>
      <c r="H879" s="10"/>
      <c r="I879" s="12"/>
      <c r="J879" s="13"/>
    </row>
    <row r="880" spans="1:10" ht="75" customHeight="1">
      <c r="A880" s="7"/>
      <c r="B880" s="18"/>
      <c r="C880" s="9"/>
      <c r="D880" s="10"/>
      <c r="E880" s="10"/>
      <c r="F880" s="10"/>
      <c r="G880" s="10"/>
      <c r="H880" s="10"/>
      <c r="I880" s="12"/>
      <c r="J880" s="13"/>
    </row>
    <row r="881" spans="1:10" ht="75" customHeight="1">
      <c r="A881" s="7"/>
      <c r="B881" s="18"/>
      <c r="C881" s="9"/>
      <c r="D881" s="10"/>
      <c r="E881" s="10"/>
      <c r="F881" s="10"/>
      <c r="G881" s="10"/>
      <c r="H881" s="10"/>
      <c r="I881" s="12"/>
      <c r="J881" s="13"/>
    </row>
    <row r="882" spans="1:10" ht="75" customHeight="1">
      <c r="A882" s="7"/>
      <c r="B882" s="18"/>
      <c r="C882" s="9"/>
      <c r="D882" s="10"/>
      <c r="E882" s="10"/>
      <c r="F882" s="10"/>
      <c r="G882" s="10"/>
      <c r="H882" s="10"/>
      <c r="I882" s="12"/>
      <c r="J882" s="13"/>
    </row>
    <row r="883" spans="1:10" ht="75" customHeight="1">
      <c r="A883" s="7"/>
      <c r="B883" s="18"/>
      <c r="C883" s="9"/>
      <c r="D883" s="10"/>
      <c r="E883" s="10"/>
      <c r="F883" s="10"/>
      <c r="G883" s="10"/>
      <c r="H883" s="10"/>
      <c r="I883" s="12"/>
      <c r="J883" s="13"/>
    </row>
    <row r="884" spans="1:10" ht="75" customHeight="1">
      <c r="A884" s="7"/>
      <c r="B884" s="18"/>
      <c r="C884" s="9"/>
      <c r="D884" s="10"/>
      <c r="E884" s="10"/>
      <c r="F884" s="10"/>
      <c r="G884" s="10"/>
      <c r="H884" s="10"/>
      <c r="I884" s="12"/>
      <c r="J884" s="13"/>
    </row>
    <row r="885" spans="1:10" ht="75" customHeight="1">
      <c r="A885" s="7"/>
      <c r="B885" s="18"/>
      <c r="C885" s="9"/>
      <c r="D885" s="10"/>
      <c r="E885" s="10"/>
      <c r="F885" s="10"/>
      <c r="G885" s="10"/>
      <c r="H885" s="10"/>
      <c r="I885" s="12"/>
      <c r="J885" s="13"/>
    </row>
    <row r="886" spans="1:10" ht="75" customHeight="1">
      <c r="A886" s="7"/>
      <c r="B886" s="18"/>
      <c r="C886" s="9"/>
      <c r="D886" s="10"/>
      <c r="E886" s="10"/>
      <c r="F886" s="10"/>
      <c r="G886" s="10"/>
      <c r="H886" s="10"/>
      <c r="I886" s="12"/>
      <c r="J886" s="13"/>
    </row>
    <row r="887" spans="1:10" ht="75" customHeight="1">
      <c r="A887" s="7"/>
      <c r="B887" s="18"/>
      <c r="C887" s="9"/>
      <c r="D887" s="10"/>
      <c r="E887" s="10"/>
      <c r="F887" s="10"/>
      <c r="G887" s="10"/>
      <c r="H887" s="10"/>
      <c r="I887" s="12"/>
      <c r="J887" s="13"/>
    </row>
    <row r="888" spans="1:10" ht="75" customHeight="1">
      <c r="A888" s="7"/>
      <c r="B888" s="18"/>
      <c r="C888" s="9"/>
      <c r="D888" s="10"/>
      <c r="E888" s="10"/>
      <c r="F888" s="10"/>
      <c r="G888" s="10"/>
      <c r="H888" s="10"/>
      <c r="I888" s="12"/>
      <c r="J888" s="13"/>
    </row>
    <row r="889" spans="1:10" ht="75" customHeight="1">
      <c r="A889" s="7"/>
      <c r="B889" s="18"/>
      <c r="C889" s="9"/>
      <c r="D889" s="10"/>
      <c r="E889" s="10"/>
      <c r="F889" s="10"/>
      <c r="G889" s="10"/>
      <c r="H889" s="10"/>
      <c r="I889" s="12"/>
      <c r="J889" s="13"/>
    </row>
    <row r="890" spans="1:10" ht="75" customHeight="1">
      <c r="A890" s="7"/>
      <c r="B890" s="18"/>
      <c r="C890" s="9"/>
      <c r="D890" s="10"/>
      <c r="E890" s="10"/>
      <c r="F890" s="10"/>
      <c r="G890" s="10"/>
      <c r="H890" s="10"/>
      <c r="I890" s="12"/>
      <c r="J890" s="13"/>
    </row>
    <row r="891" spans="1:10" ht="75" customHeight="1">
      <c r="A891" s="7"/>
      <c r="B891" s="18"/>
      <c r="C891" s="9"/>
      <c r="D891" s="10"/>
      <c r="E891" s="10"/>
      <c r="F891" s="10"/>
      <c r="G891" s="10"/>
      <c r="H891" s="10"/>
      <c r="I891" s="12"/>
      <c r="J891" s="13"/>
    </row>
    <row r="892" spans="1:10" ht="75" customHeight="1">
      <c r="A892" s="7"/>
      <c r="B892" s="18"/>
      <c r="C892" s="9"/>
      <c r="D892" s="10"/>
      <c r="E892" s="10"/>
      <c r="F892" s="10"/>
      <c r="G892" s="10"/>
      <c r="H892" s="10"/>
      <c r="I892" s="12"/>
      <c r="J892" s="13"/>
    </row>
    <row r="893" spans="1:10" ht="75" customHeight="1">
      <c r="A893" s="7"/>
      <c r="B893" s="18"/>
      <c r="C893" s="9"/>
      <c r="D893" s="10"/>
      <c r="E893" s="10"/>
      <c r="F893" s="10"/>
      <c r="G893" s="10"/>
      <c r="H893" s="10"/>
      <c r="I893" s="12"/>
      <c r="J893" s="13"/>
    </row>
    <row r="894" spans="1:10" ht="75" customHeight="1">
      <c r="A894" s="7"/>
      <c r="B894" s="18"/>
      <c r="C894" s="9"/>
      <c r="D894" s="10"/>
      <c r="E894" s="10"/>
      <c r="F894" s="10"/>
      <c r="G894" s="10"/>
      <c r="H894" s="10"/>
      <c r="I894" s="12"/>
      <c r="J894" s="13"/>
    </row>
    <row r="895" spans="1:10" ht="75" customHeight="1">
      <c r="A895" s="7"/>
      <c r="B895" s="18"/>
      <c r="C895" s="9"/>
      <c r="D895" s="10"/>
      <c r="E895" s="10"/>
      <c r="F895" s="10"/>
      <c r="G895" s="10"/>
      <c r="H895" s="10"/>
      <c r="I895" s="12"/>
      <c r="J895" s="13"/>
    </row>
    <row r="896" spans="1:10" ht="75" customHeight="1">
      <c r="A896" s="7"/>
      <c r="B896" s="18"/>
      <c r="C896" s="9"/>
      <c r="D896" s="10"/>
      <c r="E896" s="10"/>
      <c r="F896" s="10"/>
      <c r="G896" s="10"/>
      <c r="H896" s="10"/>
      <c r="I896" s="12"/>
      <c r="J896" s="13"/>
    </row>
    <row r="897" spans="1:10" ht="75" customHeight="1">
      <c r="A897" s="7"/>
      <c r="B897" s="18"/>
      <c r="C897" s="9"/>
      <c r="D897" s="10"/>
      <c r="E897" s="10"/>
      <c r="F897" s="10"/>
      <c r="G897" s="10"/>
      <c r="H897" s="10"/>
      <c r="I897" s="12"/>
      <c r="J897" s="13"/>
    </row>
    <row r="898" spans="1:10" ht="75" customHeight="1">
      <c r="A898" s="7"/>
      <c r="B898" s="18"/>
      <c r="C898" s="9"/>
      <c r="D898" s="10"/>
      <c r="E898" s="10"/>
      <c r="F898" s="10"/>
      <c r="G898" s="10"/>
      <c r="H898" s="10"/>
      <c r="I898" s="12"/>
      <c r="J898" s="13"/>
    </row>
    <row r="899" spans="1:10" ht="75" customHeight="1">
      <c r="A899" s="7"/>
      <c r="B899" s="18"/>
      <c r="C899" s="9"/>
      <c r="D899" s="10"/>
      <c r="E899" s="10"/>
      <c r="F899" s="10"/>
      <c r="G899" s="10"/>
      <c r="H899" s="10"/>
      <c r="I899" s="12"/>
      <c r="J899" s="13"/>
    </row>
    <row r="900" spans="1:10" ht="75" customHeight="1">
      <c r="A900" s="7"/>
      <c r="B900" s="18"/>
      <c r="C900" s="9"/>
      <c r="D900" s="10"/>
      <c r="E900" s="10"/>
      <c r="F900" s="10"/>
      <c r="G900" s="10"/>
      <c r="H900" s="10"/>
      <c r="I900" s="12"/>
      <c r="J900" s="13"/>
    </row>
    <row r="901" spans="1:10" ht="75" customHeight="1">
      <c r="A901" s="7"/>
      <c r="B901" s="18"/>
      <c r="C901" s="9"/>
      <c r="D901" s="10"/>
      <c r="E901" s="10"/>
      <c r="F901" s="10"/>
      <c r="G901" s="10"/>
      <c r="H901" s="10"/>
      <c r="I901" s="12"/>
      <c r="J901" s="13"/>
    </row>
    <row r="902" spans="1:10" ht="75" customHeight="1">
      <c r="A902" s="7"/>
      <c r="B902" s="18"/>
      <c r="C902" s="9"/>
      <c r="D902" s="10"/>
      <c r="E902" s="10"/>
      <c r="F902" s="10"/>
      <c r="G902" s="10"/>
      <c r="H902" s="10"/>
      <c r="I902" s="12"/>
      <c r="J902" s="13"/>
    </row>
    <row r="903" spans="1:10" ht="75" customHeight="1">
      <c r="A903" s="7"/>
      <c r="B903" s="18"/>
      <c r="C903" s="9"/>
      <c r="D903" s="10"/>
      <c r="E903" s="10"/>
      <c r="F903" s="10"/>
      <c r="G903" s="10"/>
      <c r="H903" s="10"/>
      <c r="I903" s="12"/>
      <c r="J903" s="13"/>
    </row>
    <row r="904" spans="1:10" ht="75" customHeight="1">
      <c r="A904" s="7"/>
      <c r="B904" s="18"/>
      <c r="C904" s="9"/>
      <c r="D904" s="10"/>
      <c r="E904" s="10"/>
      <c r="F904" s="10"/>
      <c r="G904" s="10"/>
      <c r="H904" s="10"/>
      <c r="I904" s="12"/>
      <c r="J904" s="13"/>
    </row>
    <row r="905" spans="1:10" ht="75" customHeight="1">
      <c r="A905" s="7"/>
      <c r="B905" s="18"/>
      <c r="C905" s="9"/>
      <c r="D905" s="10"/>
      <c r="E905" s="10"/>
      <c r="F905" s="10"/>
      <c r="G905" s="10"/>
      <c r="H905" s="10"/>
      <c r="I905" s="12"/>
      <c r="J905" s="13"/>
    </row>
    <row r="906" spans="1:10" ht="75" customHeight="1">
      <c r="A906" s="7"/>
      <c r="B906" s="18"/>
      <c r="C906" s="9"/>
      <c r="D906" s="10"/>
      <c r="E906" s="10"/>
      <c r="F906" s="10"/>
      <c r="G906" s="10"/>
      <c r="H906" s="10"/>
      <c r="I906" s="12"/>
      <c r="J906" s="13"/>
    </row>
    <row r="907" spans="1:10" ht="75" customHeight="1">
      <c r="A907" s="7"/>
      <c r="B907" s="18"/>
      <c r="C907" s="9"/>
      <c r="D907" s="10"/>
      <c r="E907" s="10"/>
      <c r="F907" s="10"/>
      <c r="G907" s="10"/>
      <c r="H907" s="10"/>
      <c r="I907" s="12"/>
      <c r="J907" s="13"/>
    </row>
    <row r="908" spans="1:10" ht="75" customHeight="1">
      <c r="A908" s="7"/>
      <c r="B908" s="18"/>
      <c r="C908" s="9"/>
      <c r="D908" s="10"/>
      <c r="E908" s="10"/>
      <c r="F908" s="10"/>
      <c r="G908" s="10"/>
      <c r="H908" s="10"/>
      <c r="I908" s="12"/>
      <c r="J908" s="13"/>
    </row>
    <row r="909" spans="1:10" ht="75" customHeight="1">
      <c r="A909" s="7"/>
      <c r="B909" s="18"/>
      <c r="C909" s="9"/>
      <c r="D909" s="10"/>
      <c r="E909" s="10"/>
      <c r="F909" s="10"/>
      <c r="G909" s="10"/>
      <c r="H909" s="10"/>
      <c r="I909" s="12"/>
      <c r="J909" s="13"/>
    </row>
    <row r="910" spans="1:10" ht="75" customHeight="1">
      <c r="A910" s="7"/>
      <c r="B910" s="18"/>
      <c r="C910" s="9"/>
      <c r="D910" s="10"/>
      <c r="E910" s="10"/>
      <c r="F910" s="10"/>
      <c r="G910" s="10"/>
      <c r="H910" s="10"/>
      <c r="I910" s="12"/>
      <c r="J910" s="13"/>
    </row>
    <row r="911" spans="1:10" ht="75" customHeight="1">
      <c r="A911" s="7"/>
      <c r="B911" s="18"/>
      <c r="C911" s="9"/>
      <c r="D911" s="10"/>
      <c r="E911" s="10"/>
      <c r="F911" s="10"/>
      <c r="G911" s="10"/>
      <c r="H911" s="10"/>
      <c r="I911" s="12"/>
      <c r="J911" s="13"/>
    </row>
    <row r="912" spans="1:10" ht="75" customHeight="1">
      <c r="A912" s="7"/>
      <c r="B912" s="18"/>
      <c r="C912" s="9"/>
      <c r="D912" s="10"/>
      <c r="E912" s="10"/>
      <c r="F912" s="10"/>
      <c r="G912" s="10"/>
      <c r="H912" s="10"/>
      <c r="I912" s="12"/>
      <c r="J912" s="13"/>
    </row>
    <row r="913" spans="1:10" ht="75" customHeight="1">
      <c r="A913" s="7"/>
      <c r="B913" s="18"/>
      <c r="C913" s="9"/>
      <c r="D913" s="10"/>
      <c r="E913" s="10"/>
      <c r="F913" s="10"/>
      <c r="G913" s="10"/>
      <c r="H913" s="10"/>
      <c r="I913" s="12"/>
      <c r="J913" s="13"/>
    </row>
    <row r="914" spans="1:10" ht="75" customHeight="1">
      <c r="A914" s="7"/>
      <c r="B914" s="18"/>
      <c r="C914" s="9"/>
      <c r="D914" s="10"/>
      <c r="E914" s="10"/>
      <c r="F914" s="10"/>
      <c r="G914" s="10"/>
      <c r="H914" s="10"/>
      <c r="I914" s="12"/>
      <c r="J914" s="13"/>
    </row>
    <row r="915" spans="1:10" ht="75" customHeight="1">
      <c r="A915" s="7"/>
      <c r="B915" s="18"/>
      <c r="C915" s="9"/>
      <c r="D915" s="10"/>
      <c r="E915" s="10"/>
      <c r="F915" s="10"/>
      <c r="G915" s="10"/>
      <c r="H915" s="10"/>
      <c r="I915" s="12"/>
      <c r="J915" s="13"/>
    </row>
    <row r="916" spans="1:10" ht="75" customHeight="1">
      <c r="A916" s="7"/>
      <c r="B916" s="18"/>
      <c r="C916" s="9"/>
      <c r="D916" s="10"/>
      <c r="E916" s="10"/>
      <c r="F916" s="10"/>
      <c r="G916" s="10"/>
      <c r="H916" s="10"/>
      <c r="I916" s="12"/>
      <c r="J916" s="13"/>
    </row>
    <row r="917" spans="1:10" ht="75" customHeight="1">
      <c r="A917" s="7"/>
      <c r="B917" s="18"/>
      <c r="C917" s="9"/>
      <c r="D917" s="10"/>
      <c r="E917" s="10"/>
      <c r="F917" s="10"/>
      <c r="G917" s="10"/>
      <c r="H917" s="10"/>
      <c r="I917" s="12"/>
      <c r="J917" s="13"/>
    </row>
    <row r="918" spans="1:10" ht="75" customHeight="1">
      <c r="A918" s="7"/>
      <c r="B918" s="18"/>
      <c r="C918" s="9"/>
      <c r="D918" s="10"/>
      <c r="E918" s="10"/>
      <c r="F918" s="10"/>
      <c r="G918" s="10"/>
      <c r="H918" s="10"/>
      <c r="I918" s="12"/>
      <c r="J918" s="13"/>
    </row>
    <row r="919" spans="1:10" ht="75" customHeight="1">
      <c r="A919" s="7"/>
      <c r="B919" s="18"/>
      <c r="C919" s="9"/>
      <c r="D919" s="10"/>
      <c r="E919" s="10"/>
      <c r="F919" s="10"/>
      <c r="G919" s="10"/>
      <c r="H919" s="10"/>
      <c r="I919" s="12"/>
      <c r="J919" s="13"/>
    </row>
    <row r="920" spans="1:10" ht="75" customHeight="1">
      <c r="A920" s="7"/>
      <c r="B920" s="18"/>
      <c r="C920" s="9"/>
      <c r="D920" s="10"/>
      <c r="E920" s="10"/>
      <c r="F920" s="10"/>
      <c r="G920" s="10"/>
      <c r="H920" s="10"/>
      <c r="I920" s="12"/>
      <c r="J920" s="13"/>
    </row>
    <row r="921" spans="1:10" ht="75" customHeight="1">
      <c r="A921" s="7"/>
      <c r="B921" s="18"/>
      <c r="C921" s="9"/>
      <c r="D921" s="10"/>
      <c r="E921" s="10"/>
      <c r="F921" s="10"/>
      <c r="G921" s="10"/>
      <c r="H921" s="10"/>
      <c r="I921" s="12"/>
      <c r="J921" s="13"/>
    </row>
    <row r="922" spans="1:10" ht="75" customHeight="1">
      <c r="A922" s="7"/>
      <c r="B922" s="18"/>
      <c r="C922" s="9"/>
      <c r="D922" s="10"/>
      <c r="E922" s="10"/>
      <c r="F922" s="10"/>
      <c r="G922" s="10"/>
      <c r="H922" s="10"/>
      <c r="I922" s="12"/>
      <c r="J922" s="13"/>
    </row>
    <row r="923" spans="1:10" ht="75" customHeight="1">
      <c r="A923" s="7"/>
      <c r="B923" s="18"/>
      <c r="C923" s="9"/>
      <c r="D923" s="10"/>
      <c r="E923" s="10"/>
      <c r="F923" s="10"/>
      <c r="G923" s="10"/>
      <c r="H923" s="10"/>
      <c r="I923" s="12"/>
      <c r="J923" s="13"/>
    </row>
    <row r="924" spans="1:10" ht="75" customHeight="1">
      <c r="A924" s="7"/>
      <c r="B924" s="18"/>
      <c r="C924" s="9"/>
      <c r="D924" s="10"/>
      <c r="E924" s="10"/>
      <c r="F924" s="10"/>
      <c r="G924" s="10"/>
      <c r="H924" s="10"/>
      <c r="I924" s="12"/>
      <c r="J924" s="13"/>
    </row>
    <row r="925" spans="1:10" ht="75" customHeight="1">
      <c r="A925" s="7"/>
      <c r="B925" s="18"/>
      <c r="C925" s="9"/>
      <c r="D925" s="10"/>
      <c r="E925" s="10"/>
      <c r="F925" s="10"/>
      <c r="G925" s="10"/>
      <c r="H925" s="10"/>
      <c r="I925" s="12"/>
      <c r="J925" s="13"/>
    </row>
    <row r="926" spans="1:10" ht="75" customHeight="1">
      <c r="A926" s="7"/>
      <c r="B926" s="18"/>
      <c r="C926" s="9"/>
      <c r="D926" s="10"/>
      <c r="E926" s="10"/>
      <c r="F926" s="10"/>
      <c r="G926" s="10"/>
      <c r="H926" s="10"/>
      <c r="I926" s="12"/>
      <c r="J926" s="13"/>
    </row>
    <row r="927" spans="1:10" ht="75" customHeight="1">
      <c r="A927" s="7"/>
      <c r="B927" s="18"/>
      <c r="C927" s="9"/>
      <c r="D927" s="10"/>
      <c r="E927" s="10"/>
      <c r="F927" s="10"/>
      <c r="G927" s="10"/>
      <c r="H927" s="10"/>
      <c r="I927" s="12"/>
      <c r="J927" s="13"/>
    </row>
    <row r="928" spans="1:10" ht="75" customHeight="1">
      <c r="A928" s="7"/>
      <c r="B928" s="18"/>
      <c r="C928" s="9"/>
      <c r="D928" s="10"/>
      <c r="E928" s="10"/>
      <c r="F928" s="10"/>
      <c r="G928" s="10"/>
      <c r="H928" s="10"/>
      <c r="I928" s="12"/>
      <c r="J928" s="13"/>
    </row>
    <row r="929" spans="1:10" ht="75" customHeight="1">
      <c r="A929" s="7"/>
      <c r="B929" s="18"/>
      <c r="C929" s="9"/>
      <c r="D929" s="10"/>
      <c r="E929" s="10"/>
      <c r="F929" s="10"/>
      <c r="G929" s="10"/>
      <c r="H929" s="10"/>
      <c r="I929" s="12"/>
      <c r="J929" s="13"/>
    </row>
    <row r="930" spans="1:10" ht="75" customHeight="1">
      <c r="A930" s="7"/>
      <c r="B930" s="18"/>
      <c r="C930" s="9"/>
      <c r="D930" s="10"/>
      <c r="E930" s="10"/>
      <c r="F930" s="10"/>
      <c r="G930" s="10"/>
      <c r="H930" s="10"/>
      <c r="I930" s="12"/>
      <c r="J930" s="13"/>
    </row>
    <row r="931" spans="1:10" ht="75" customHeight="1">
      <c r="A931" s="7"/>
      <c r="B931" s="18"/>
      <c r="C931" s="9"/>
      <c r="D931" s="10"/>
      <c r="E931" s="10"/>
      <c r="F931" s="10"/>
      <c r="G931" s="10"/>
      <c r="H931" s="10"/>
      <c r="I931" s="12"/>
      <c r="J931" s="13"/>
    </row>
    <row r="932" spans="1:10" ht="75" customHeight="1">
      <c r="A932" s="7"/>
      <c r="B932" s="18"/>
      <c r="C932" s="9"/>
      <c r="D932" s="10"/>
      <c r="E932" s="10"/>
      <c r="F932" s="10"/>
      <c r="G932" s="10"/>
      <c r="H932" s="10"/>
      <c r="I932" s="12"/>
      <c r="J932" s="13"/>
    </row>
    <row r="933" spans="1:10" ht="75" customHeight="1">
      <c r="A933" s="7"/>
      <c r="B933" s="18"/>
      <c r="C933" s="9"/>
      <c r="D933" s="10"/>
      <c r="E933" s="10"/>
      <c r="F933" s="10"/>
      <c r="G933" s="10"/>
      <c r="H933" s="10"/>
      <c r="I933" s="12"/>
      <c r="J933" s="13"/>
    </row>
    <row r="934" spans="1:10" ht="75" customHeight="1">
      <c r="A934" s="7"/>
      <c r="B934" s="18"/>
      <c r="C934" s="9"/>
      <c r="D934" s="10"/>
      <c r="E934" s="10"/>
      <c r="F934" s="10"/>
      <c r="G934" s="10"/>
      <c r="H934" s="10"/>
      <c r="I934" s="12"/>
      <c r="J934" s="13"/>
    </row>
    <row r="935" spans="1:10" ht="75" customHeight="1">
      <c r="A935" s="7"/>
      <c r="B935" s="18"/>
      <c r="C935" s="9"/>
      <c r="D935" s="10"/>
      <c r="E935" s="10"/>
      <c r="F935" s="10"/>
      <c r="G935" s="10"/>
      <c r="H935" s="10"/>
      <c r="I935" s="12"/>
      <c r="J935" s="13"/>
    </row>
    <row r="936" spans="1:10" ht="75" customHeight="1">
      <c r="A936" s="7"/>
      <c r="B936" s="18"/>
      <c r="C936" s="9"/>
      <c r="D936" s="10"/>
      <c r="E936" s="10"/>
      <c r="F936" s="10"/>
      <c r="G936" s="10"/>
      <c r="H936" s="10"/>
      <c r="I936" s="12"/>
      <c r="J936" s="13"/>
    </row>
    <row r="937" spans="1:10" ht="75" customHeight="1">
      <c r="A937" s="7"/>
      <c r="B937" s="18"/>
      <c r="C937" s="9"/>
      <c r="D937" s="10"/>
      <c r="E937" s="10"/>
      <c r="F937" s="10"/>
      <c r="G937" s="10"/>
      <c r="H937" s="10"/>
      <c r="I937" s="12"/>
      <c r="J937" s="13"/>
    </row>
    <row r="938" spans="1:10" ht="75" customHeight="1">
      <c r="A938" s="7"/>
      <c r="B938" s="18"/>
      <c r="C938" s="9"/>
      <c r="D938" s="10"/>
      <c r="E938" s="10"/>
      <c r="F938" s="10"/>
      <c r="G938" s="10"/>
      <c r="H938" s="10"/>
      <c r="I938" s="12"/>
      <c r="J938" s="13"/>
    </row>
    <row r="939" spans="1:10" ht="75" customHeight="1">
      <c r="A939" s="7"/>
      <c r="B939" s="18"/>
      <c r="C939" s="9"/>
      <c r="D939" s="10"/>
      <c r="E939" s="10"/>
      <c r="F939" s="10"/>
      <c r="G939" s="10"/>
      <c r="H939" s="10"/>
      <c r="I939" s="12"/>
      <c r="J939" s="13"/>
    </row>
    <row r="940" spans="1:10" ht="75" customHeight="1">
      <c r="A940" s="7"/>
      <c r="B940" s="18"/>
      <c r="C940" s="9"/>
      <c r="D940" s="10"/>
      <c r="E940" s="10"/>
      <c r="F940" s="10"/>
      <c r="G940" s="10"/>
      <c r="H940" s="10"/>
      <c r="I940" s="12"/>
      <c r="J940" s="13"/>
    </row>
    <row r="941" spans="1:10" ht="75" customHeight="1">
      <c r="A941" s="7"/>
      <c r="B941" s="18"/>
      <c r="C941" s="9"/>
      <c r="D941" s="10"/>
      <c r="E941" s="10"/>
      <c r="F941" s="10"/>
      <c r="G941" s="10"/>
      <c r="H941" s="10"/>
      <c r="I941" s="12"/>
      <c r="J941" s="13"/>
    </row>
    <row r="942" spans="1:10" ht="75" customHeight="1">
      <c r="A942" s="7"/>
      <c r="B942" s="18"/>
      <c r="C942" s="9"/>
      <c r="D942" s="10"/>
      <c r="E942" s="10"/>
      <c r="F942" s="10"/>
      <c r="G942" s="10"/>
      <c r="H942" s="10"/>
      <c r="I942" s="12"/>
      <c r="J942" s="13"/>
    </row>
    <row r="943" spans="1:10" ht="75" customHeight="1">
      <c r="A943" s="7"/>
      <c r="B943" s="18"/>
      <c r="C943" s="9"/>
      <c r="D943" s="10"/>
      <c r="E943" s="10"/>
      <c r="F943" s="10"/>
      <c r="G943" s="10"/>
      <c r="H943" s="10"/>
      <c r="I943" s="12"/>
      <c r="J943" s="13"/>
    </row>
    <row r="944" spans="1:10" ht="75" customHeight="1">
      <c r="A944" s="7"/>
      <c r="B944" s="18"/>
      <c r="C944" s="9"/>
      <c r="D944" s="10"/>
      <c r="E944" s="10"/>
      <c r="F944" s="10"/>
      <c r="G944" s="10"/>
      <c r="H944" s="10"/>
      <c r="I944" s="12"/>
      <c r="J944" s="13"/>
    </row>
    <row r="945" spans="1:10" ht="75" customHeight="1">
      <c r="A945" s="7"/>
      <c r="B945" s="18"/>
      <c r="C945" s="9"/>
      <c r="D945" s="10"/>
      <c r="E945" s="10"/>
      <c r="F945" s="10"/>
      <c r="G945" s="10"/>
      <c r="H945" s="10"/>
      <c r="I945" s="12"/>
      <c r="J945" s="13"/>
    </row>
    <row r="946" spans="1:10" ht="75" customHeight="1">
      <c r="A946" s="7"/>
      <c r="B946" s="18"/>
      <c r="C946" s="9"/>
      <c r="D946" s="10"/>
      <c r="E946" s="10"/>
      <c r="F946" s="10"/>
      <c r="G946" s="10"/>
      <c r="H946" s="10"/>
      <c r="I946" s="12"/>
      <c r="J946" s="13"/>
    </row>
    <row r="947" spans="1:10" ht="75" customHeight="1">
      <c r="A947" s="7"/>
      <c r="B947" s="18"/>
      <c r="C947" s="9"/>
      <c r="D947" s="10"/>
      <c r="E947" s="10"/>
      <c r="F947" s="10"/>
      <c r="G947" s="10"/>
      <c r="H947" s="10"/>
      <c r="I947" s="12"/>
      <c r="J947" s="13"/>
    </row>
    <row r="948" spans="1:10" ht="75" customHeight="1">
      <c r="A948" s="7"/>
      <c r="B948" s="18"/>
      <c r="C948" s="9"/>
      <c r="D948" s="10"/>
      <c r="E948" s="10"/>
      <c r="F948" s="10"/>
      <c r="G948" s="10"/>
      <c r="H948" s="10"/>
      <c r="I948" s="12"/>
      <c r="J948" s="13"/>
    </row>
    <row r="949" spans="1:10" ht="75" customHeight="1">
      <c r="A949" s="7"/>
      <c r="B949" s="18"/>
      <c r="C949" s="9"/>
      <c r="D949" s="10"/>
      <c r="E949" s="10"/>
      <c r="F949" s="10"/>
      <c r="G949" s="10"/>
      <c r="H949" s="10"/>
      <c r="I949" s="12"/>
      <c r="J949" s="13"/>
    </row>
    <row r="950" spans="1:10" ht="75" customHeight="1">
      <c r="A950" s="7"/>
      <c r="B950" s="18"/>
      <c r="C950" s="9"/>
      <c r="D950" s="10"/>
      <c r="E950" s="10"/>
      <c r="F950" s="10"/>
      <c r="G950" s="10"/>
      <c r="H950" s="10"/>
      <c r="I950" s="12"/>
      <c r="J950" s="13"/>
    </row>
    <row r="951" spans="1:10" ht="75" customHeight="1">
      <c r="A951" s="7"/>
      <c r="B951" s="18"/>
      <c r="C951" s="9"/>
      <c r="D951" s="10"/>
      <c r="E951" s="10"/>
      <c r="F951" s="10"/>
      <c r="G951" s="10"/>
      <c r="H951" s="10"/>
      <c r="I951" s="12"/>
      <c r="J951" s="13"/>
    </row>
    <row r="952" spans="1:10" ht="75" customHeight="1">
      <c r="A952" s="7"/>
      <c r="B952" s="18"/>
      <c r="C952" s="9"/>
      <c r="D952" s="10"/>
      <c r="E952" s="10"/>
      <c r="F952" s="10"/>
      <c r="G952" s="10"/>
      <c r="H952" s="10"/>
      <c r="I952" s="12"/>
      <c r="J952" s="13"/>
    </row>
    <row r="953" spans="1:10" ht="75" customHeight="1">
      <c r="A953" s="7"/>
      <c r="B953" s="18"/>
      <c r="C953" s="9"/>
      <c r="D953" s="10"/>
      <c r="E953" s="10"/>
      <c r="F953" s="10"/>
      <c r="G953" s="10"/>
      <c r="H953" s="10"/>
      <c r="I953" s="12"/>
      <c r="J953" s="13"/>
    </row>
    <row r="954" spans="1:10" ht="75" customHeight="1">
      <c r="A954" s="7"/>
      <c r="B954" s="18"/>
      <c r="C954" s="9"/>
      <c r="D954" s="10"/>
      <c r="E954" s="10"/>
      <c r="F954" s="10"/>
      <c r="G954" s="10"/>
      <c r="H954" s="10"/>
      <c r="I954" s="12"/>
      <c r="J954" s="13"/>
    </row>
    <row r="955" spans="1:10" ht="75" customHeight="1">
      <c r="A955" s="7"/>
      <c r="B955" s="18"/>
      <c r="C955" s="9"/>
      <c r="D955" s="10"/>
      <c r="E955" s="10"/>
      <c r="F955" s="10"/>
      <c r="G955" s="10"/>
      <c r="H955" s="10"/>
      <c r="I955" s="12"/>
      <c r="J955" s="13"/>
    </row>
    <row r="956" spans="1:10" ht="75" customHeight="1">
      <c r="A956" s="7"/>
      <c r="B956" s="18"/>
      <c r="C956" s="9"/>
      <c r="D956" s="10"/>
      <c r="E956" s="10"/>
      <c r="F956" s="10"/>
      <c r="G956" s="10"/>
      <c r="H956" s="10"/>
      <c r="I956" s="12"/>
      <c r="J956" s="13"/>
    </row>
    <row r="957" spans="1:10" ht="75" customHeight="1">
      <c r="A957" s="7"/>
      <c r="B957" s="18"/>
      <c r="C957" s="9"/>
      <c r="D957" s="10"/>
      <c r="E957" s="10"/>
      <c r="F957" s="10"/>
      <c r="G957" s="10"/>
      <c r="H957" s="10"/>
      <c r="I957" s="12"/>
      <c r="J957" s="13"/>
    </row>
    <row r="958" spans="1:10" ht="75" customHeight="1">
      <c r="A958" s="7"/>
      <c r="B958" s="18"/>
      <c r="C958" s="9"/>
      <c r="D958" s="10"/>
      <c r="E958" s="10"/>
      <c r="F958" s="10"/>
      <c r="G958" s="10"/>
      <c r="H958" s="10"/>
      <c r="I958" s="12"/>
      <c r="J958" s="13"/>
    </row>
    <row r="959" spans="1:10" ht="75" customHeight="1">
      <c r="A959" s="7"/>
      <c r="B959" s="18"/>
      <c r="C959" s="9"/>
      <c r="D959" s="10"/>
      <c r="E959" s="10"/>
      <c r="F959" s="10"/>
      <c r="G959" s="10"/>
      <c r="H959" s="10"/>
      <c r="I959" s="12"/>
      <c r="J959" s="13"/>
    </row>
    <row r="960" spans="1:10" ht="75" customHeight="1">
      <c r="A960" s="7"/>
      <c r="B960" s="18"/>
      <c r="C960" s="9"/>
      <c r="D960" s="10"/>
      <c r="E960" s="10"/>
      <c r="F960" s="10"/>
      <c r="G960" s="10"/>
      <c r="H960" s="10"/>
      <c r="I960" s="12"/>
      <c r="J960" s="13"/>
    </row>
    <row r="961" spans="1:10" ht="75" customHeight="1">
      <c r="A961" s="7"/>
      <c r="B961" s="18"/>
      <c r="C961" s="9"/>
      <c r="D961" s="10"/>
      <c r="E961" s="10"/>
      <c r="F961" s="10"/>
      <c r="G961" s="10"/>
      <c r="H961" s="10"/>
      <c r="I961" s="12"/>
      <c r="J961" s="13"/>
    </row>
    <row r="962" spans="1:10" ht="75" customHeight="1">
      <c r="A962" s="7"/>
      <c r="B962" s="18"/>
      <c r="C962" s="9"/>
      <c r="D962" s="10"/>
      <c r="E962" s="10"/>
      <c r="F962" s="10"/>
      <c r="G962" s="10"/>
      <c r="H962" s="10"/>
      <c r="I962" s="12"/>
      <c r="J962" s="13"/>
    </row>
    <row r="963" spans="1:10" ht="75" customHeight="1">
      <c r="A963" s="7"/>
      <c r="B963" s="18"/>
      <c r="C963" s="9"/>
      <c r="D963" s="10"/>
      <c r="E963" s="10"/>
      <c r="F963" s="10"/>
      <c r="G963" s="10"/>
      <c r="H963" s="10"/>
      <c r="I963" s="12"/>
      <c r="J963" s="13"/>
    </row>
    <row r="964" spans="1:10" ht="75" customHeight="1">
      <c r="A964" s="7"/>
      <c r="B964" s="18"/>
      <c r="C964" s="9"/>
      <c r="D964" s="10"/>
      <c r="E964" s="10"/>
      <c r="F964" s="10"/>
      <c r="G964" s="10"/>
      <c r="H964" s="10"/>
      <c r="I964" s="12"/>
      <c r="J964" s="13"/>
    </row>
    <row r="965" spans="1:10" ht="75" customHeight="1">
      <c r="A965" s="7"/>
      <c r="B965" s="18"/>
      <c r="C965" s="9"/>
      <c r="D965" s="10"/>
      <c r="E965" s="10"/>
      <c r="F965" s="10"/>
      <c r="G965" s="10"/>
      <c r="H965" s="10"/>
      <c r="I965" s="12"/>
      <c r="J965" s="13"/>
    </row>
    <row r="966" spans="1:10" ht="75" customHeight="1">
      <c r="A966" s="7"/>
      <c r="B966" s="18"/>
      <c r="C966" s="9"/>
      <c r="D966" s="10"/>
      <c r="E966" s="10"/>
      <c r="F966" s="10"/>
      <c r="G966" s="10"/>
      <c r="H966" s="10"/>
      <c r="I966" s="12"/>
      <c r="J966" s="13"/>
    </row>
    <row r="967" spans="1:10" ht="75" customHeight="1">
      <c r="A967" s="7"/>
      <c r="B967" s="18"/>
      <c r="C967" s="9"/>
      <c r="D967" s="10"/>
      <c r="E967" s="10"/>
      <c r="F967" s="10"/>
      <c r="G967" s="10"/>
      <c r="H967" s="10"/>
      <c r="I967" s="12"/>
      <c r="J967" s="13"/>
    </row>
    <row r="968" spans="1:10" ht="75" customHeight="1">
      <c r="A968" s="7"/>
      <c r="B968" s="18"/>
      <c r="C968" s="9"/>
      <c r="D968" s="10"/>
      <c r="E968" s="10"/>
      <c r="F968" s="10"/>
      <c r="G968" s="10"/>
      <c r="H968" s="10"/>
      <c r="I968" s="12"/>
      <c r="J968" s="13"/>
    </row>
    <row r="969" spans="1:10" ht="75" customHeight="1">
      <c r="A969" s="7"/>
      <c r="B969" s="18"/>
      <c r="C969" s="9"/>
      <c r="D969" s="10"/>
      <c r="E969" s="10"/>
      <c r="F969" s="10"/>
      <c r="G969" s="10"/>
      <c r="H969" s="10"/>
      <c r="I969" s="12"/>
      <c r="J969" s="13"/>
    </row>
    <row r="970" spans="1:10" ht="75" customHeight="1">
      <c r="A970" s="7"/>
      <c r="B970" s="18"/>
      <c r="C970" s="9"/>
      <c r="D970" s="10"/>
      <c r="E970" s="10"/>
      <c r="F970" s="10"/>
      <c r="G970" s="10"/>
      <c r="H970" s="10"/>
      <c r="I970" s="12"/>
      <c r="J970" s="13"/>
    </row>
    <row r="971" spans="1:10" ht="75" customHeight="1">
      <c r="A971" s="7"/>
      <c r="B971" s="18"/>
      <c r="C971" s="9"/>
      <c r="D971" s="10"/>
      <c r="E971" s="10"/>
      <c r="F971" s="10"/>
      <c r="G971" s="10"/>
      <c r="H971" s="10"/>
      <c r="I971" s="12"/>
      <c r="J971" s="13"/>
    </row>
    <row r="972" spans="1:10" ht="75" customHeight="1">
      <c r="A972" s="7"/>
      <c r="B972" s="18"/>
      <c r="C972" s="9"/>
      <c r="D972" s="10"/>
      <c r="E972" s="10"/>
      <c r="F972" s="10"/>
      <c r="G972" s="10"/>
      <c r="H972" s="10"/>
      <c r="I972" s="12"/>
      <c r="J972" s="13"/>
    </row>
    <row r="973" spans="1:10" ht="75" customHeight="1">
      <c r="A973" s="7"/>
      <c r="B973" s="18"/>
      <c r="C973" s="9"/>
      <c r="D973" s="10"/>
      <c r="E973" s="10"/>
      <c r="F973" s="10"/>
      <c r="G973" s="10"/>
      <c r="H973" s="10"/>
      <c r="I973" s="12"/>
      <c r="J973" s="13"/>
    </row>
    <row r="974" spans="1:10" ht="75" customHeight="1">
      <c r="A974" s="7"/>
      <c r="B974" s="18"/>
      <c r="C974" s="9"/>
      <c r="D974" s="10"/>
      <c r="E974" s="10"/>
      <c r="F974" s="10"/>
      <c r="G974" s="10"/>
      <c r="H974" s="10"/>
      <c r="I974" s="12"/>
      <c r="J974" s="13"/>
    </row>
    <row r="975" spans="1:10" ht="75" customHeight="1">
      <c r="A975" s="7"/>
      <c r="B975" s="18"/>
      <c r="C975" s="9"/>
      <c r="D975" s="10"/>
      <c r="E975" s="10"/>
      <c r="F975" s="10"/>
      <c r="G975" s="10"/>
      <c r="H975" s="10"/>
      <c r="I975" s="12"/>
      <c r="J975" s="13"/>
    </row>
    <row r="976" spans="1:10" ht="75" customHeight="1">
      <c r="A976" s="7"/>
      <c r="B976" s="18"/>
      <c r="C976" s="9"/>
      <c r="D976" s="10"/>
      <c r="E976" s="10"/>
      <c r="F976" s="10"/>
      <c r="G976" s="10"/>
      <c r="H976" s="10"/>
      <c r="I976" s="12"/>
      <c r="J976" s="13"/>
    </row>
    <row r="977" spans="1:10" ht="75" customHeight="1">
      <c r="A977" s="7"/>
      <c r="B977" s="18"/>
      <c r="C977" s="9"/>
      <c r="D977" s="10"/>
      <c r="E977" s="10"/>
      <c r="F977" s="10"/>
      <c r="G977" s="10"/>
      <c r="H977" s="10"/>
      <c r="I977" s="12"/>
      <c r="J977" s="13"/>
    </row>
    <row r="978" spans="1:10" ht="75" customHeight="1">
      <c r="A978" s="7"/>
      <c r="B978" s="18"/>
      <c r="C978" s="9"/>
      <c r="D978" s="10"/>
      <c r="E978" s="10"/>
      <c r="F978" s="10"/>
      <c r="G978" s="10"/>
      <c r="H978" s="10"/>
      <c r="I978" s="12"/>
      <c r="J978" s="13"/>
    </row>
    <row r="979" spans="1:10" ht="75" customHeight="1">
      <c r="A979" s="7"/>
      <c r="B979" s="18"/>
      <c r="C979" s="9"/>
      <c r="D979" s="10"/>
      <c r="E979" s="10"/>
      <c r="F979" s="10"/>
      <c r="G979" s="10"/>
      <c r="H979" s="10"/>
      <c r="I979" s="12"/>
      <c r="J979" s="13"/>
    </row>
    <row r="980" spans="1:10" ht="75" customHeight="1">
      <c r="A980" s="7"/>
      <c r="B980" s="18"/>
      <c r="C980" s="9"/>
      <c r="D980" s="10"/>
      <c r="E980" s="10"/>
      <c r="F980" s="10"/>
      <c r="G980" s="10"/>
      <c r="H980" s="10"/>
      <c r="I980" s="12"/>
      <c r="J980" s="13"/>
    </row>
    <row r="981" spans="1:10" ht="75" customHeight="1">
      <c r="A981" s="7"/>
      <c r="B981" s="18"/>
      <c r="C981" s="9"/>
      <c r="D981" s="10"/>
      <c r="E981" s="10"/>
      <c r="F981" s="10"/>
      <c r="G981" s="10"/>
      <c r="H981" s="10"/>
      <c r="I981" s="12"/>
      <c r="J981" s="13"/>
    </row>
    <row r="982" spans="1:10" ht="75" customHeight="1">
      <c r="A982" s="7"/>
      <c r="B982" s="18"/>
      <c r="C982" s="9"/>
      <c r="D982" s="10"/>
      <c r="E982" s="10"/>
      <c r="F982" s="10"/>
      <c r="G982" s="10"/>
      <c r="H982" s="10"/>
      <c r="I982" s="12"/>
      <c r="J982" s="13"/>
    </row>
    <row r="983" spans="1:10" ht="75" customHeight="1">
      <c r="A983" s="7"/>
      <c r="B983" s="18"/>
      <c r="C983" s="9"/>
      <c r="D983" s="10"/>
      <c r="E983" s="10"/>
      <c r="F983" s="10"/>
      <c r="G983" s="10"/>
      <c r="H983" s="10"/>
      <c r="I983" s="12"/>
      <c r="J983" s="13"/>
    </row>
    <row r="984" spans="1:10" ht="75" customHeight="1">
      <c r="A984" s="7"/>
      <c r="B984" s="18"/>
      <c r="C984" s="9"/>
      <c r="D984" s="10"/>
      <c r="E984" s="10"/>
      <c r="F984" s="10"/>
      <c r="G984" s="10"/>
      <c r="H984" s="10"/>
      <c r="I984" s="12"/>
      <c r="J984" s="13"/>
    </row>
    <row r="985" spans="1:10" ht="75" customHeight="1">
      <c r="A985" s="7"/>
      <c r="B985" s="18"/>
      <c r="C985" s="9"/>
      <c r="D985" s="10"/>
      <c r="E985" s="10"/>
      <c r="F985" s="10"/>
      <c r="G985" s="10"/>
      <c r="H985" s="10"/>
      <c r="I985" s="12"/>
      <c r="J985" s="13"/>
    </row>
    <row r="986" spans="1:10" ht="75" customHeight="1">
      <c r="A986" s="7"/>
      <c r="B986" s="18"/>
      <c r="C986" s="9"/>
      <c r="D986" s="10"/>
      <c r="E986" s="10"/>
      <c r="F986" s="10"/>
      <c r="G986" s="10"/>
      <c r="H986" s="10"/>
      <c r="I986" s="12"/>
      <c r="J986" s="13"/>
    </row>
    <row r="987" spans="1:10" ht="75" customHeight="1">
      <c r="A987" s="7"/>
      <c r="B987" s="18"/>
      <c r="C987" s="9"/>
      <c r="D987" s="10"/>
      <c r="E987" s="10"/>
      <c r="F987" s="10"/>
      <c r="G987" s="10"/>
      <c r="H987" s="10"/>
      <c r="I987" s="12"/>
      <c r="J987" s="13"/>
    </row>
    <row r="988" spans="1:10" ht="75" customHeight="1">
      <c r="A988" s="7"/>
      <c r="B988" s="18"/>
      <c r="C988" s="9"/>
      <c r="D988" s="10"/>
      <c r="E988" s="10"/>
      <c r="F988" s="10"/>
      <c r="G988" s="10"/>
      <c r="H988" s="10"/>
      <c r="I988" s="12"/>
      <c r="J988" s="13"/>
    </row>
    <row r="989" spans="1:10" ht="75" customHeight="1">
      <c r="A989" s="7"/>
      <c r="B989" s="18"/>
      <c r="C989" s="9"/>
      <c r="D989" s="10"/>
      <c r="E989" s="10"/>
      <c r="F989" s="10"/>
      <c r="G989" s="10"/>
      <c r="H989" s="10"/>
      <c r="I989" s="12"/>
      <c r="J989" s="13"/>
    </row>
    <row r="990" spans="1:10" ht="75" customHeight="1">
      <c r="A990" s="7"/>
      <c r="B990" s="18"/>
      <c r="C990" s="9"/>
      <c r="D990" s="10"/>
      <c r="E990" s="10"/>
      <c r="F990" s="10"/>
      <c r="G990" s="10"/>
      <c r="H990" s="10"/>
      <c r="I990" s="12"/>
      <c r="J990" s="13"/>
    </row>
    <row r="991" spans="1:10" ht="75" customHeight="1">
      <c r="A991" s="7"/>
      <c r="B991" s="18"/>
      <c r="C991" s="9"/>
      <c r="D991" s="10"/>
      <c r="E991" s="10"/>
      <c r="F991" s="10"/>
      <c r="G991" s="10"/>
      <c r="H991" s="10"/>
      <c r="I991" s="12"/>
      <c r="J991" s="13"/>
    </row>
    <row r="992" spans="1:10" ht="75" customHeight="1">
      <c r="A992" s="7"/>
      <c r="B992" s="18"/>
      <c r="C992" s="9"/>
      <c r="D992" s="10"/>
      <c r="E992" s="10"/>
      <c r="F992" s="10"/>
      <c r="G992" s="10"/>
      <c r="H992" s="10"/>
      <c r="I992" s="12"/>
      <c r="J992" s="13"/>
    </row>
    <row r="993" spans="1:10" ht="75" customHeight="1">
      <c r="A993" s="7"/>
      <c r="B993" s="18"/>
      <c r="C993" s="9"/>
      <c r="D993" s="10"/>
      <c r="E993" s="10"/>
      <c r="F993" s="10"/>
      <c r="G993" s="10"/>
      <c r="H993" s="10"/>
      <c r="I993" s="12"/>
      <c r="J993" s="13"/>
    </row>
    <row r="994" spans="1:10" ht="75" customHeight="1">
      <c r="A994" s="7"/>
      <c r="B994" s="18"/>
      <c r="C994" s="9"/>
      <c r="D994" s="10"/>
      <c r="E994" s="10"/>
      <c r="F994" s="10"/>
      <c r="G994" s="10"/>
      <c r="H994" s="10"/>
      <c r="I994" s="12"/>
      <c r="J994" s="13"/>
    </row>
    <row r="995" spans="1:10" ht="75" customHeight="1">
      <c r="A995" s="7"/>
      <c r="B995" s="18"/>
      <c r="C995" s="9"/>
      <c r="D995" s="10"/>
      <c r="E995" s="10"/>
      <c r="F995" s="10"/>
      <c r="G995" s="10"/>
      <c r="H995" s="10"/>
      <c r="I995" s="12"/>
      <c r="J995" s="13"/>
    </row>
    <row r="996" spans="1:10" ht="75" customHeight="1">
      <c r="A996" s="7"/>
      <c r="B996" s="18"/>
      <c r="C996" s="9"/>
      <c r="D996" s="10"/>
      <c r="E996" s="10"/>
      <c r="F996" s="10"/>
      <c r="G996" s="10"/>
      <c r="H996" s="10"/>
      <c r="I996" s="12"/>
      <c r="J996" s="13"/>
    </row>
    <row r="997" spans="1:10" ht="75" customHeight="1">
      <c r="A997" s="7"/>
      <c r="B997" s="18"/>
      <c r="C997" s="9"/>
      <c r="D997" s="10"/>
      <c r="E997" s="10"/>
      <c r="F997" s="10"/>
      <c r="G997" s="10"/>
      <c r="H997" s="10"/>
      <c r="I997" s="12"/>
      <c r="J997" s="13"/>
    </row>
    <row r="998" spans="1:10" ht="75" customHeight="1">
      <c r="A998" s="7"/>
      <c r="B998" s="18"/>
      <c r="C998" s="9"/>
      <c r="D998" s="10"/>
      <c r="E998" s="10"/>
      <c r="F998" s="10"/>
      <c r="G998" s="10"/>
      <c r="H998" s="10"/>
      <c r="I998" s="12"/>
      <c r="J998" s="13"/>
    </row>
    <row r="999" spans="1:10" ht="75" customHeight="1">
      <c r="A999" s="7"/>
      <c r="B999" s="18"/>
      <c r="C999" s="9"/>
      <c r="D999" s="10"/>
      <c r="E999" s="10"/>
      <c r="F999" s="10"/>
      <c r="G999" s="10"/>
      <c r="H999" s="10"/>
      <c r="I999" s="12"/>
      <c r="J999" s="13"/>
    </row>
    <row r="1000" spans="1:10" ht="75" customHeight="1">
      <c r="A1000" s="7"/>
      <c r="B1000" s="18"/>
      <c r="C1000" s="9"/>
      <c r="D1000" s="10"/>
      <c r="E1000" s="10"/>
      <c r="F1000" s="10"/>
      <c r="G1000" s="10"/>
      <c r="H1000" s="10"/>
      <c r="I1000" s="12"/>
      <c r="J1000" s="13"/>
    </row>
  </sheetData>
  <customSheetViews>
    <customSheetView guid="{E2A63158-D685-4879-B0A3-F19573B03065}" filter="1" showAutoFilter="1">
      <pageMargins left="0.7" right="0.7" top="0.75" bottom="0.75" header="0.3" footer="0.3"/>
      <autoFilter ref="A1:J1000" xr:uid="{D3EC82C7-F36B-41AA-93EC-D0CBEDDC109D}"/>
    </customSheetView>
    <customSheetView guid="{816D5D8C-D23B-4A0A-BDDA-A84BA4C05A2F}" filter="1" showAutoFilter="1">
      <pageMargins left="0.7" right="0.7" top="0.75" bottom="0.75" header="0.3" footer="0.3"/>
      <autoFilter ref="A1:J1000" xr:uid="{4C2765BF-AFA2-44B4-BD9F-55A627FF4B57}"/>
    </customSheetView>
    <customSheetView guid="{4FECA310-8B3B-49C3-9401-AF0C2EE4D6E8}" filter="1" showAutoFilter="1">
      <pageMargins left="0.7" right="0.7" top="0.75" bottom="0.75" header="0.3" footer="0.3"/>
      <autoFilter ref="A1:J1000" xr:uid="{529848CA-2FC6-421D-BECA-764B547CA50A}"/>
    </customSheetView>
  </customSheetViews>
  <conditionalFormatting sqref="A2:A1000">
    <cfRule type="expression" dxfId="13" priority="1">
      <formula>AND($A2&lt;&gt;"", TRIM($J2)="")</formula>
    </cfRule>
    <cfRule type="expression" dxfId="12" priority="2">
      <formula>INT($A2) &lt; TODAY()</formula>
    </cfRule>
    <cfRule type="expression" dxfId="11" priority="3">
      <formula>INT($A2) = TODAY()</formula>
    </cfRule>
  </conditionalFormatting>
  <conditionalFormatting sqref="I2:I1000">
    <cfRule type="cellIs" dxfId="10" priority="4" operator="equal">
      <formula>"منجز"</formula>
    </cfRule>
    <cfRule type="cellIs" dxfId="9" priority="5" operator="equal">
      <formula>"ملغي"</formula>
    </cfRule>
    <cfRule type="cellIs" dxfId="8" priority="6" operator="equal">
      <formula>"تابع للتربية"</formula>
    </cfRule>
    <cfRule type="cellIs" dxfId="7" priority="7" operator="equal">
      <formula>"مؤجل"</formula>
    </cfRule>
  </conditionalFormatting>
  <dataValidations count="1">
    <dataValidation type="custom" allowBlank="1" showDropDown="1" sqref="A2:A21 J2:J21" xr:uid="{00000000-0002-0000-0300-000000000000}">
      <formula1>OR(NOT(ISERROR(DATEVALUE(A2))), AND(ISNUMBER(A2), LEFT(CELL("format", A2))="D"))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outlinePr summaryBelow="0" summaryRight="0"/>
  </sheetPr>
  <dimension ref="A1:J1000"/>
  <sheetViews>
    <sheetView showGridLines="0" workbookViewId="0">
      <pane ySplit="1" topLeftCell="A2" activePane="bottomLeft" state="frozen"/>
      <selection pane="bottomLeft" activeCell="B3" sqref="B3"/>
    </sheetView>
  </sheetViews>
  <sheetFormatPr defaultColWidth="12.5703125" defaultRowHeight="15.75" customHeight="1"/>
  <cols>
    <col min="1" max="1" width="23.140625" customWidth="1"/>
    <col min="2" max="2" width="8.28515625" customWidth="1"/>
    <col min="3" max="3" width="19.28515625" customWidth="1"/>
    <col min="4" max="4" width="13.140625" customWidth="1"/>
    <col min="5" max="7" width="25.140625" customWidth="1"/>
    <col min="8" max="8" width="18.85546875" customWidth="1"/>
    <col min="9" max="9" width="16.42578125" customWidth="1"/>
    <col min="10" max="10" width="29" customWidth="1"/>
  </cols>
  <sheetData>
    <row r="1" spans="1:10" ht="37.5" customHeight="1">
      <c r="A1" s="1" t="s">
        <v>0</v>
      </c>
      <c r="B1" s="2" t="s">
        <v>1</v>
      </c>
      <c r="C1" s="3" t="s">
        <v>3</v>
      </c>
      <c r="D1" s="1" t="s">
        <v>4</v>
      </c>
      <c r="E1" s="1" t="s">
        <v>38</v>
      </c>
      <c r="F1" s="1" t="s">
        <v>6</v>
      </c>
      <c r="G1" s="1" t="s">
        <v>7</v>
      </c>
      <c r="H1" s="1" t="s">
        <v>8</v>
      </c>
      <c r="I1" s="3" t="s">
        <v>9</v>
      </c>
      <c r="J1" s="3" t="s">
        <v>10</v>
      </c>
    </row>
    <row r="2" spans="1:10" ht="75" customHeight="1">
      <c r="A2" s="7">
        <f ca="1">IFERROR(__xludf.DUMMYFUNCTION("QUERY('البيانات'!A2:N1000, ""SELECT A, B, D, E, F, G, H, I,J,K WHERE I='تبريد' ORDER BY A DESC"")"),46081.847905)</f>
        <v>46081.847905000002</v>
      </c>
      <c r="B2" s="18" t="str">
        <f ca="1">IFERROR(__xludf.DUMMYFUNCTION("""COMPUTED_VALUE"""),"المعملجي")</f>
        <v>المعملجي</v>
      </c>
      <c r="C2" s="9" t="str">
        <f ca="1">IFERROR(__xludf.DUMMYFUNCTION("""COMPUTED_VALUE"""),"قسم المشاريع الهندسية")</f>
        <v>قسم المشاريع الهندسية</v>
      </c>
      <c r="D2"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E2" s="10" t="str">
        <f ca="1">IFERROR(__xludf.DUMMYFUNCTION("""COMPUTED_VALUE"""),"الطابق الارضي, الطابق الاول, الطابق الثاني, السطح")</f>
        <v>الطابق الارضي, الطابق الاول, الطابق الثاني, السطح</v>
      </c>
      <c r="F2" s="10" t="str">
        <f ca="1">IFERROR(__xludf.DUMMYFUNCTION("""COMPUTED_VALUE"""),"برمجة شاشة الكنترول الرئيسية وإعادة فرز قطع ال vrv ")</f>
        <v xml:space="preserve">برمجة شاشة الكنترول الرئيسية وإعادة فرز قطع ال vrv </v>
      </c>
      <c r="G2" s="11"/>
      <c r="H2" s="10" t="str">
        <f ca="1">IFERROR(__xludf.DUMMYFUNCTION("""COMPUTED_VALUE"""),"تبريد")</f>
        <v>تبريد</v>
      </c>
      <c r="I2" s="12" t="str">
        <f ca="1">IFERROR(__xludf.DUMMYFUNCTION("""COMPUTED_VALUE"""),"منجز")</f>
        <v>منجز</v>
      </c>
      <c r="J2" s="19">
        <f ca="1">IFERROR(__xludf.DUMMYFUNCTION("""COMPUTED_VALUE"""),46081.8507629745)</f>
        <v>46081.8507629745</v>
      </c>
    </row>
    <row r="3" spans="1:10" ht="75" customHeight="1">
      <c r="A3" s="7">
        <f ca="1">IFERROR(__xludf.DUMMYFUNCTION("""COMPUTED_VALUE"""),46081.8469588657)</f>
        <v>46081.846958865703</v>
      </c>
      <c r="B3" s="18" t="str">
        <f ca="1">IFERROR(__xludf.DUMMYFUNCTION("""COMPUTED_VALUE"""),"المعملجي")</f>
        <v>المعملجي</v>
      </c>
      <c r="C3" s="9" t="str">
        <f ca="1">IFERROR(__xludf.DUMMYFUNCTION("""COMPUTED_VALUE"""),"قسم المشاريع الهندسية")</f>
        <v>قسم المشاريع الهندسية</v>
      </c>
      <c r="D3" s="10" t="str">
        <f ca="1">IFERROR(__xludf.DUMMYFUNCTION("""COMPUTED_VALUE"""),"I- ابتدائية الساقي للبنين (السادسة)")</f>
        <v>I- ابتدائية الساقي للبنين (السادسة)</v>
      </c>
      <c r="E3" s="10" t="str">
        <f ca="1">IFERROR(__xludf.DUMMYFUNCTION("""COMPUTED_VALUE"""),"الطابق الارضي, الطابق الاول, الطابق الثاني, السطح")</f>
        <v>الطابق الارضي, الطابق الاول, الطابق الثاني, السطح</v>
      </c>
      <c r="F3" s="10" t="str">
        <f ca="1">IFERROR(__xludf.DUMMYFUNCTION("""COMPUTED_VALUE"""),"برمجة شاشة الكنترول الرئيسية واعدة فرز قطع ال vrv الداخلية ")</f>
        <v xml:space="preserve">برمجة شاشة الكنترول الرئيسية واعدة فرز قطع ال vrv الداخلية </v>
      </c>
      <c r="G3" s="11"/>
      <c r="H3" s="10" t="str">
        <f ca="1">IFERROR(__xludf.DUMMYFUNCTION("""COMPUTED_VALUE"""),"تبريد")</f>
        <v>تبريد</v>
      </c>
      <c r="I3" s="12" t="str">
        <f ca="1">IFERROR(__xludf.DUMMYFUNCTION("""COMPUTED_VALUE"""),"منجز")</f>
        <v>منجز</v>
      </c>
      <c r="J3" s="19">
        <f ca="1">IFERROR(__xludf.DUMMYFUNCTION("""COMPUTED_VALUE"""),46081.8506574652)</f>
        <v>46081.850657465198</v>
      </c>
    </row>
    <row r="4" spans="1:10" ht="75" customHeight="1">
      <c r="A4" s="15">
        <f ca="1">IFERROR(__xludf.DUMMYFUNCTION("""COMPUTED_VALUE"""),46081.8452995601)</f>
        <v>46081.845299560096</v>
      </c>
      <c r="B4" s="18" t="str">
        <f ca="1">IFERROR(__xludf.DUMMYFUNCTION("""COMPUTED_VALUE"""),"المعملجي")</f>
        <v>المعملجي</v>
      </c>
      <c r="C4" s="9" t="str">
        <f ca="1">IFERROR(__xludf.DUMMYFUNCTION("""COMPUTED_VALUE"""),"قسم المشاريع الهندسية")</f>
        <v>قسم المشاريع الهندسية</v>
      </c>
      <c r="D4" s="10" t="str">
        <f ca="1">IFERROR(__xludf.DUMMYFUNCTION("""COMPUTED_VALUE"""),"A- المركز الثقافي")</f>
        <v>A- المركز الثقافي</v>
      </c>
      <c r="E4" s="10" t="str">
        <f ca="1">IFERROR(__xludf.DUMMYFUNCTION("""COMPUTED_VALUE"""),"الطابق الاول, الطابق الثاني")</f>
        <v>الطابق الاول, الطابق الثاني</v>
      </c>
      <c r="F4" s="10" t="str">
        <f ca="1">IFERROR(__xludf.DUMMYFUNCTION("""COMPUTED_VALUE"""),"ادامة وتنظيف منظومة السبلت بكج الخاصة بقاعة سراج العميد ")</f>
        <v xml:space="preserve">ادامة وتنظيف منظومة السبلت بكج الخاصة بقاعة سراج العميد </v>
      </c>
      <c r="G4" s="11"/>
      <c r="H4" s="10" t="str">
        <f ca="1">IFERROR(__xludf.DUMMYFUNCTION("""COMPUTED_VALUE"""),"تبريد")</f>
        <v>تبريد</v>
      </c>
      <c r="I4" s="12" t="str">
        <f ca="1">IFERROR(__xludf.DUMMYFUNCTION("""COMPUTED_VALUE"""),"منجز")</f>
        <v>منجز</v>
      </c>
      <c r="J4" s="19">
        <f ca="1">IFERROR(__xludf.DUMMYFUNCTION("""COMPUTED_VALUE"""),46081.8505774652)</f>
        <v>46081.8505774652</v>
      </c>
    </row>
    <row r="5" spans="1:10" ht="75" customHeight="1">
      <c r="A5" s="7">
        <f ca="1">IFERROR(__xludf.DUMMYFUNCTION("""COMPUTED_VALUE"""),46081.8449740509)</f>
        <v>46081.844974050902</v>
      </c>
      <c r="B5" s="18" t="str">
        <f ca="1">IFERROR(__xludf.DUMMYFUNCTION("""COMPUTED_VALUE"""),"المعملجي")</f>
        <v>المعملجي</v>
      </c>
      <c r="C5" s="9" t="str">
        <f ca="1">IFERROR(__xludf.DUMMYFUNCTION("""COMPUTED_VALUE"""),"قسم المشاريع الهندسية")</f>
        <v>قسم المشاريع الهندسية</v>
      </c>
      <c r="D5" s="10" t="str">
        <f ca="1">IFERROR(__xludf.DUMMYFUNCTION("""COMPUTED_VALUE"""),"A- المركز الثقافي")</f>
        <v>A- المركز الثقافي</v>
      </c>
      <c r="E5" s="10" t="str">
        <f ca="1">IFERROR(__xludf.DUMMYFUNCTION("""COMPUTED_VALUE"""),"الطابق الاول, الطابق الثاني")</f>
        <v>الطابق الاول, الطابق الثاني</v>
      </c>
      <c r="F5" s="10" t="str">
        <f ca="1">IFERROR(__xludf.DUMMYFUNCTION("""COMPUTED_VALUE"""),"ادامة وتنظيف منظومة السبلت بكج الخاصة بقاعة المؤتمرات ")</f>
        <v xml:space="preserve">ادامة وتنظيف منظومة السبلت بكج الخاصة بقاعة المؤتمرات </v>
      </c>
      <c r="G5" s="10"/>
      <c r="H5" s="10" t="str">
        <f ca="1">IFERROR(__xludf.DUMMYFUNCTION("""COMPUTED_VALUE"""),"تبريد")</f>
        <v>تبريد</v>
      </c>
      <c r="I5" s="12" t="str">
        <f ca="1">IFERROR(__xludf.DUMMYFUNCTION("""COMPUTED_VALUE"""),"منجز")</f>
        <v>منجز</v>
      </c>
      <c r="J5" s="19">
        <f ca="1">IFERROR(__xludf.DUMMYFUNCTION("""COMPUTED_VALUE"""),46081.8505294791)</f>
        <v>46081.850529479103</v>
      </c>
    </row>
    <row r="6" spans="1:10" ht="75" customHeight="1">
      <c r="A6" s="7">
        <f ca="1">IFERROR(__xludf.DUMMYFUNCTION("""COMPUTED_VALUE"""),46081.8417761689)</f>
        <v>46081.841776168898</v>
      </c>
      <c r="B6" s="18" t="str">
        <f ca="1">IFERROR(__xludf.DUMMYFUNCTION("""COMPUTED_VALUE"""),"المعملجي")</f>
        <v>المعملجي</v>
      </c>
      <c r="C6" s="9" t="str">
        <f ca="1">IFERROR(__xludf.DUMMYFUNCTION("""COMPUTED_VALUE"""),"قسم المشاريع الهندسية")</f>
        <v>قسم المشاريع الهندسية</v>
      </c>
      <c r="D6" s="10" t="str">
        <f ca="1">IFERROR(__xludf.DUMMYFUNCTION("""COMPUTED_VALUE"""),"H- ابتدائية القمر للبنات (الخامسة)")</f>
        <v>H- ابتدائية القمر للبنات (الخامسة)</v>
      </c>
      <c r="E6" s="10" t="str">
        <f ca="1">IFERROR(__xludf.DUMMYFUNCTION("""COMPUTED_VALUE"""),"الطابق الارضي")</f>
        <v>الطابق الارضي</v>
      </c>
      <c r="F6" s="10" t="str">
        <f ca="1">IFERROR(__xludf.DUMMYFUNCTION("""COMPUTED_VALUE"""),"صيانة كاسيت سنكل واصلاح الليك في غرفة الادارة ")</f>
        <v xml:space="preserve">صيانة كاسيت سنكل واصلاح الليك في غرفة الادارة </v>
      </c>
      <c r="G6" s="10"/>
      <c r="H6" s="10" t="str">
        <f ca="1">IFERROR(__xludf.DUMMYFUNCTION("""COMPUTED_VALUE"""),"تبريد")</f>
        <v>تبريد</v>
      </c>
      <c r="I6" s="12" t="str">
        <f ca="1">IFERROR(__xludf.DUMMYFUNCTION("""COMPUTED_VALUE"""),"منجز")</f>
        <v>منجز</v>
      </c>
      <c r="J6" s="19">
        <f ca="1">IFERROR(__xludf.DUMMYFUNCTION("""COMPUTED_VALUE"""),46081.8502947106)</f>
        <v>46081.850294710603</v>
      </c>
    </row>
    <row r="7" spans="1:10" ht="75" customHeight="1">
      <c r="A7" s="7">
        <f ca="1">IFERROR(__xludf.DUMMYFUNCTION("""COMPUTED_VALUE"""),46078.4018921412)</f>
        <v>46078.401892141199</v>
      </c>
      <c r="B7" s="18" t="str">
        <f ca="1">IFERROR(__xludf.DUMMYFUNCTION("""COMPUTED_VALUE"""),"المعملجي")</f>
        <v>المعملجي</v>
      </c>
      <c r="C7" s="9" t="str">
        <f ca="1">IFERROR(__xludf.DUMMYFUNCTION("""COMPUTED_VALUE"""),"قسم المشاريع الهندسية")</f>
        <v>قسم المشاريع الهندسية</v>
      </c>
      <c r="D7" s="10" t="str">
        <f ca="1">IFERROR(__xludf.DUMMYFUNCTION("""COMPUTED_VALUE"""),"G- روضة الجود")</f>
        <v>G- روضة الجود</v>
      </c>
      <c r="E7" s="10" t="str">
        <f ca="1">IFERROR(__xludf.DUMMYFUNCTION("""COMPUTED_VALUE"""),"الطابق الارضي, القاعه رياضية الثانية")</f>
        <v>الطابق الارضي, القاعه رياضية الثانية</v>
      </c>
      <c r="F7" s="10" t="str">
        <f ca="1">IFERROR(__xludf.DUMMYFUNCTION("""COMPUTED_VALUE"""),"ادامة وتنظيف منظومة البكج الخاصة بالقاعه ")</f>
        <v xml:space="preserve">ادامة وتنظيف منظومة البكج الخاصة بالقاعه </v>
      </c>
      <c r="G7" s="10"/>
      <c r="H7" s="10" t="str">
        <f ca="1">IFERROR(__xludf.DUMMYFUNCTION("""COMPUTED_VALUE"""),"تبريد")</f>
        <v>تبريد</v>
      </c>
      <c r="I7" s="12" t="str">
        <f ca="1">IFERROR(__xludf.DUMMYFUNCTION("""COMPUTED_VALUE"""),"منجز")</f>
        <v>منجز</v>
      </c>
      <c r="J7" s="19"/>
    </row>
    <row r="8" spans="1:10" ht="75" customHeight="1">
      <c r="A8" s="7">
        <f ca="1">IFERROR(__xludf.DUMMYFUNCTION("""COMPUTED_VALUE"""),46078.4015440972)</f>
        <v>46078.4015440972</v>
      </c>
      <c r="B8" s="18" t="str">
        <f ca="1">IFERROR(__xludf.DUMMYFUNCTION("""COMPUTED_VALUE"""),"المعملجي")</f>
        <v>المعملجي</v>
      </c>
      <c r="C8" s="9" t="str">
        <f ca="1">IFERROR(__xludf.DUMMYFUNCTION("""COMPUTED_VALUE"""),"قسم المشاريع الهندسية")</f>
        <v>قسم المشاريع الهندسية</v>
      </c>
      <c r="D8" s="10" t="str">
        <f ca="1">IFERROR(__xludf.DUMMYFUNCTION("""COMPUTED_VALUE"""),"G- روضة الجود")</f>
        <v>G- روضة الجود</v>
      </c>
      <c r="E8" s="10" t="str">
        <f ca="1">IFERROR(__xludf.DUMMYFUNCTION("""COMPUTED_VALUE"""),"الطابق الارضي, القاعه رياضية الاولى ")</f>
        <v xml:space="preserve">الطابق الارضي, القاعه رياضية الاولى </v>
      </c>
      <c r="F8" s="10" t="str">
        <f ca="1">IFERROR(__xludf.DUMMYFUNCTION("""COMPUTED_VALUE"""),"ادامة وتنظيف منظومة البكج الخاصة بالقاعه ")</f>
        <v xml:space="preserve">ادامة وتنظيف منظومة البكج الخاصة بالقاعه </v>
      </c>
      <c r="G8" s="10"/>
      <c r="H8" s="10" t="str">
        <f ca="1">IFERROR(__xludf.DUMMYFUNCTION("""COMPUTED_VALUE"""),"تبريد")</f>
        <v>تبريد</v>
      </c>
      <c r="I8" s="12" t="str">
        <f ca="1">IFERROR(__xludf.DUMMYFUNCTION("""COMPUTED_VALUE"""),"منجز")</f>
        <v>منجز</v>
      </c>
      <c r="J8" s="19"/>
    </row>
    <row r="9" spans="1:10" ht="75" customHeight="1">
      <c r="A9" s="7">
        <f ca="1">IFERROR(__xludf.DUMMYFUNCTION("""COMPUTED_VALUE"""),46078.4012648263)</f>
        <v>46078.401264826301</v>
      </c>
      <c r="B9" s="18" t="str">
        <f ca="1">IFERROR(__xludf.DUMMYFUNCTION("""COMPUTED_VALUE"""),"المعملجي")</f>
        <v>المعملجي</v>
      </c>
      <c r="C9" s="9" t="str">
        <f ca="1">IFERROR(__xludf.DUMMYFUNCTION("""COMPUTED_VALUE"""),"قسم المشاريع الهندسية")</f>
        <v>قسم المشاريع الهندسية</v>
      </c>
      <c r="D9" s="10" t="str">
        <f ca="1">IFERROR(__xludf.DUMMYFUNCTION("""COMPUTED_VALUE"""),"B- روضة القمر")</f>
        <v>B- روضة القمر</v>
      </c>
      <c r="E9" s="10" t="str">
        <f ca="1">IFERROR(__xludf.DUMMYFUNCTION("""COMPUTED_VALUE"""),"الطابق الارضي, القاعه رياضية الثانية")</f>
        <v>الطابق الارضي, القاعه رياضية الثانية</v>
      </c>
      <c r="F9" s="10" t="str">
        <f ca="1">IFERROR(__xludf.DUMMYFUNCTION("""COMPUTED_VALUE"""),"ادامة وتنظيف منظومة البكج الخاصة بالقاعه ")</f>
        <v xml:space="preserve">ادامة وتنظيف منظومة البكج الخاصة بالقاعه </v>
      </c>
      <c r="G9" s="10"/>
      <c r="H9" s="10" t="str">
        <f ca="1">IFERROR(__xludf.DUMMYFUNCTION("""COMPUTED_VALUE"""),"تبريد")</f>
        <v>تبريد</v>
      </c>
      <c r="I9" s="12" t="str">
        <f ca="1">IFERROR(__xludf.DUMMYFUNCTION("""COMPUTED_VALUE"""),"منجز")</f>
        <v>منجز</v>
      </c>
      <c r="J9" s="19"/>
    </row>
    <row r="10" spans="1:10" ht="75" customHeight="1">
      <c r="A10" s="7">
        <f ca="1">IFERROR(__xludf.DUMMYFUNCTION("""COMPUTED_VALUE"""),46078.4008624189)</f>
        <v>46078.400862418901</v>
      </c>
      <c r="B10" s="18" t="str">
        <f ca="1">IFERROR(__xludf.DUMMYFUNCTION("""COMPUTED_VALUE"""),"المعملجي")</f>
        <v>المعملجي</v>
      </c>
      <c r="C10" s="9" t="str">
        <f ca="1">IFERROR(__xludf.DUMMYFUNCTION("""COMPUTED_VALUE"""),"قسم المشاريع الهندسية")</f>
        <v>قسم المشاريع الهندسية</v>
      </c>
      <c r="D10" s="10" t="str">
        <f ca="1">IFERROR(__xludf.DUMMYFUNCTION("""COMPUTED_VALUE"""),"B- روضة القمر")</f>
        <v>B- روضة القمر</v>
      </c>
      <c r="E10" s="10" t="str">
        <f ca="1">IFERROR(__xludf.DUMMYFUNCTION("""COMPUTED_VALUE"""),"الطابق الارضي, القاعه رياضية الاولى ")</f>
        <v xml:space="preserve">الطابق الارضي, القاعه رياضية الاولى </v>
      </c>
      <c r="F10" s="10" t="str">
        <f ca="1">IFERROR(__xludf.DUMMYFUNCTION("""COMPUTED_VALUE"""),"ادامة وتنظيف منظومة البكج الخاصة بالقاعه ")</f>
        <v xml:space="preserve">ادامة وتنظيف منظومة البكج الخاصة بالقاعه </v>
      </c>
      <c r="G10" s="10"/>
      <c r="H10" s="10" t="str">
        <f ca="1">IFERROR(__xludf.DUMMYFUNCTION("""COMPUTED_VALUE"""),"تبريد")</f>
        <v>تبريد</v>
      </c>
      <c r="I10" s="12" t="str">
        <f ca="1">IFERROR(__xludf.DUMMYFUNCTION("""COMPUTED_VALUE"""),"منجز")</f>
        <v>منجز</v>
      </c>
      <c r="J10" s="19"/>
    </row>
    <row r="11" spans="1:10" ht="75" customHeight="1">
      <c r="A11" s="7">
        <f ca="1">IFERROR(__xludf.DUMMYFUNCTION("""COMPUTED_VALUE"""),46078.3998337152)</f>
        <v>46078.399833715201</v>
      </c>
      <c r="B11" s="18" t="str">
        <f ca="1">IFERROR(__xludf.DUMMYFUNCTION("""COMPUTED_VALUE"""),"المعملجي")</f>
        <v>المعملجي</v>
      </c>
      <c r="C11" s="9" t="str">
        <f ca="1">IFERROR(__xludf.DUMMYFUNCTION("""COMPUTED_VALUE"""),"قسم المشاريع الهندسية")</f>
        <v>قسم المشاريع الهندسية</v>
      </c>
      <c r="D11"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E11" s="10" t="str">
        <f ca="1">IFERROR(__xludf.DUMMYFUNCTION("""COMPUTED_VALUE"""),"الطابق الارضي, الطابق الاول, الطابق الثاني")</f>
        <v>الطابق الارضي, الطابق الاول, الطابق الثاني</v>
      </c>
      <c r="F11"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1" s="10"/>
      <c r="H11" s="10" t="str">
        <f ca="1">IFERROR(__xludf.DUMMYFUNCTION("""COMPUTED_VALUE"""),"تبريد")</f>
        <v>تبريد</v>
      </c>
      <c r="I11" s="12" t="str">
        <f ca="1">IFERROR(__xludf.DUMMYFUNCTION("""COMPUTED_VALUE"""),"منجز")</f>
        <v>منجز</v>
      </c>
      <c r="J11" s="19"/>
    </row>
    <row r="12" spans="1:10" ht="75" customHeight="1">
      <c r="A12" s="7">
        <f ca="1">IFERROR(__xludf.DUMMYFUNCTION("""COMPUTED_VALUE"""),46078.3995885069)</f>
        <v>46078.399588506902</v>
      </c>
      <c r="B12" s="18" t="str">
        <f ca="1">IFERROR(__xludf.DUMMYFUNCTION("""COMPUTED_VALUE"""),"المعملجي")</f>
        <v>المعملجي</v>
      </c>
      <c r="C12" s="9" t="str">
        <f ca="1">IFERROR(__xludf.DUMMYFUNCTION("""COMPUTED_VALUE"""),"قسم المشاريع الهندسية")</f>
        <v>قسم المشاريع الهندسية</v>
      </c>
      <c r="D12" s="10" t="str">
        <f ca="1">IFERROR(__xludf.DUMMYFUNCTION("""COMPUTED_VALUE"""),"I- ابتدائية الساقي للبنين (السادسة)")</f>
        <v>I- ابتدائية الساقي للبنين (السادسة)</v>
      </c>
      <c r="E12" s="10" t="str">
        <f ca="1">IFERROR(__xludf.DUMMYFUNCTION("""COMPUTED_VALUE"""),"الطابق الارضي, الطابق الاول, الطابق الثاني")</f>
        <v>الطابق الارضي, الطابق الاول, الطابق الثاني</v>
      </c>
      <c r="F12"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2" s="10"/>
      <c r="H12" s="10" t="str">
        <f ca="1">IFERROR(__xludf.DUMMYFUNCTION("""COMPUTED_VALUE"""),"تبريد")</f>
        <v>تبريد</v>
      </c>
      <c r="I12" s="12" t="str">
        <f ca="1">IFERROR(__xludf.DUMMYFUNCTION("""COMPUTED_VALUE"""),"منجز")</f>
        <v>منجز</v>
      </c>
      <c r="J12" s="19"/>
    </row>
    <row r="13" spans="1:10" ht="75" customHeight="1">
      <c r="A13" s="7">
        <f ca="1">IFERROR(__xludf.DUMMYFUNCTION("""COMPUTED_VALUE"""),46078.3993507175)</f>
        <v>46078.399350717496</v>
      </c>
      <c r="B13" s="18" t="str">
        <f ca="1">IFERROR(__xludf.DUMMYFUNCTION("""COMPUTED_VALUE"""),"المعملجي")</f>
        <v>المعملجي</v>
      </c>
      <c r="C13" s="9" t="str">
        <f ca="1">IFERROR(__xludf.DUMMYFUNCTION("""COMPUTED_VALUE"""),"قسم المشاريع الهندسية")</f>
        <v>قسم المشاريع الهندسية</v>
      </c>
      <c r="D13" s="10" t="str">
        <f ca="1">IFERROR(__xludf.DUMMYFUNCTION("""COMPUTED_VALUE"""),"H- ابتدائية القمر للبنات (الخامسة)")</f>
        <v>H- ابتدائية القمر للبنات (الخامسة)</v>
      </c>
      <c r="E13" s="10" t="str">
        <f ca="1">IFERROR(__xludf.DUMMYFUNCTION("""COMPUTED_VALUE"""),"الطابق الارضي, الطابق الاول, الطابق الثاني")</f>
        <v>الطابق الارضي, الطابق الاول, الطابق الثاني</v>
      </c>
      <c r="F13"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3" s="10"/>
      <c r="H13" s="10" t="str">
        <f ca="1">IFERROR(__xludf.DUMMYFUNCTION("""COMPUTED_VALUE"""),"تبريد")</f>
        <v>تبريد</v>
      </c>
      <c r="I13" s="12" t="str">
        <f ca="1">IFERROR(__xludf.DUMMYFUNCTION("""COMPUTED_VALUE"""),"منجز")</f>
        <v>منجز</v>
      </c>
      <c r="J13" s="19"/>
    </row>
    <row r="14" spans="1:10" ht="75" customHeight="1">
      <c r="A14" s="7">
        <f ca="1">IFERROR(__xludf.DUMMYFUNCTION("""COMPUTED_VALUE"""),46078.3991576967)</f>
        <v>46078.399157696702</v>
      </c>
      <c r="B14" s="18" t="str">
        <f ca="1">IFERROR(__xludf.DUMMYFUNCTION("""COMPUTED_VALUE"""),"المعملجي")</f>
        <v>المعملجي</v>
      </c>
      <c r="C14" s="9" t="str">
        <f ca="1">IFERROR(__xludf.DUMMYFUNCTION("""COMPUTED_VALUE"""),"قسم المشاريع الهندسية")</f>
        <v>قسم المشاريع الهندسية</v>
      </c>
      <c r="D14" s="10" t="str">
        <f ca="1">IFERROR(__xludf.DUMMYFUNCTION("""COMPUTED_VALUE"""),"F-  ابتدائية جود العميد للبنات (الرابعة)")</f>
        <v>F-  ابتدائية جود العميد للبنات (الرابعة)</v>
      </c>
      <c r="E14" s="10" t="str">
        <f ca="1">IFERROR(__xludf.DUMMYFUNCTION("""COMPUTED_VALUE"""),"الطابق الارضي, الطابق الاول, الطابق الثاني")</f>
        <v>الطابق الارضي, الطابق الاول, الطابق الثاني</v>
      </c>
      <c r="F14"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4" s="10"/>
      <c r="H14" s="10" t="str">
        <f ca="1">IFERROR(__xludf.DUMMYFUNCTION("""COMPUTED_VALUE"""),"تبريد")</f>
        <v>تبريد</v>
      </c>
      <c r="I14" s="12" t="str">
        <f ca="1">IFERROR(__xludf.DUMMYFUNCTION("""COMPUTED_VALUE"""),"منجز")</f>
        <v>منجز</v>
      </c>
      <c r="J14" s="20"/>
    </row>
    <row r="15" spans="1:10" ht="75" customHeight="1">
      <c r="A15" s="7">
        <f ca="1">IFERROR(__xludf.DUMMYFUNCTION("""COMPUTED_VALUE"""),46078.3988390972)</f>
        <v>46078.398839097201</v>
      </c>
      <c r="B15" s="18" t="str">
        <f ca="1">IFERROR(__xludf.DUMMYFUNCTION("""COMPUTED_VALUE"""),"المعملجي")</f>
        <v>المعملجي</v>
      </c>
      <c r="C15" s="9" t="str">
        <f ca="1">IFERROR(__xludf.DUMMYFUNCTION("""COMPUTED_VALUE"""),"قسم المشاريع الهندسية")</f>
        <v>قسم المشاريع الهندسية</v>
      </c>
      <c r="D15" s="10" t="str">
        <f ca="1">IFERROR(__xludf.DUMMYFUNCTION("""COMPUTED_VALUE"""),"E- ابتدائية العميد للبنات (الثالثة)")</f>
        <v>E- ابتدائية العميد للبنات (الثالثة)</v>
      </c>
      <c r="E15" s="10" t="str">
        <f ca="1">IFERROR(__xludf.DUMMYFUNCTION("""COMPUTED_VALUE"""),"الطابق الارضي, الطابق الاول, الطابق الثاني")</f>
        <v>الطابق الارضي, الطابق الاول, الطابق الثاني</v>
      </c>
      <c r="F15"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5" s="10"/>
      <c r="H15" s="10" t="str">
        <f ca="1">IFERROR(__xludf.DUMMYFUNCTION("""COMPUTED_VALUE"""),"تبريد")</f>
        <v>تبريد</v>
      </c>
      <c r="I15" s="12" t="str">
        <f ca="1">IFERROR(__xludf.DUMMYFUNCTION("""COMPUTED_VALUE"""),"منجز")</f>
        <v>منجز</v>
      </c>
      <c r="J15" s="19"/>
    </row>
    <row r="16" spans="1:10" ht="75" customHeight="1">
      <c r="A16" s="7">
        <f ca="1">IFERROR(__xludf.DUMMYFUNCTION("""COMPUTED_VALUE"""),46078.3985930555)</f>
        <v>46078.398593055499</v>
      </c>
      <c r="B16" s="18" t="str">
        <f ca="1">IFERROR(__xludf.DUMMYFUNCTION("""COMPUTED_VALUE"""),"المعملجي")</f>
        <v>المعملجي</v>
      </c>
      <c r="C16" s="9" t="str">
        <f ca="1">IFERROR(__xludf.DUMMYFUNCTION("""COMPUTED_VALUE"""),"قسم المشاريع الهندسية")</f>
        <v>قسم المشاريع الهندسية</v>
      </c>
      <c r="D16" s="10" t="str">
        <f ca="1">IFERROR(__xludf.DUMMYFUNCTION("""COMPUTED_VALUE"""),"D- ثانوية العميد بناية المتوسطة  (الثانية)")</f>
        <v>D- ثانوية العميد بناية المتوسطة  (الثانية)</v>
      </c>
      <c r="E16" s="10" t="str">
        <f ca="1">IFERROR(__xludf.DUMMYFUNCTION("""COMPUTED_VALUE"""),"الطابق الارضي, الطابق الاول, الطابق الثاني")</f>
        <v>الطابق الارضي, الطابق الاول, الطابق الثاني</v>
      </c>
      <c r="F16"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6" s="10"/>
      <c r="H16" s="10" t="str">
        <f ca="1">IFERROR(__xludf.DUMMYFUNCTION("""COMPUTED_VALUE"""),"تبريد")</f>
        <v>تبريد</v>
      </c>
      <c r="I16" s="12" t="str">
        <f ca="1">IFERROR(__xludf.DUMMYFUNCTION("""COMPUTED_VALUE"""),"منجز")</f>
        <v>منجز</v>
      </c>
      <c r="J16" s="19"/>
    </row>
    <row r="17" spans="1:10" ht="75" customHeight="1">
      <c r="A17" s="7">
        <f ca="1">IFERROR(__xludf.DUMMYFUNCTION("""COMPUTED_VALUE"""),46078.3983603356)</f>
        <v>46078.398360335603</v>
      </c>
      <c r="B17" s="18" t="str">
        <f ca="1">IFERROR(__xludf.DUMMYFUNCTION("""COMPUTED_VALUE"""),"المعملجي")</f>
        <v>المعملجي</v>
      </c>
      <c r="C17" s="9" t="str">
        <f ca="1">IFERROR(__xludf.DUMMYFUNCTION("""COMPUTED_VALUE"""),"قسم المشاريع الهندسية")</f>
        <v>قسم المشاريع الهندسية</v>
      </c>
      <c r="D17" s="10" t="str">
        <f ca="1">IFERROR(__xludf.DUMMYFUNCTION("""COMPUTED_VALUE"""),"C- ثانوية العميد بناية الاعدادية  (الاولى)")</f>
        <v>C- ثانوية العميد بناية الاعدادية  (الاولى)</v>
      </c>
      <c r="E17" s="10" t="str">
        <f ca="1">IFERROR(__xludf.DUMMYFUNCTION("""COMPUTED_VALUE"""),"الطابق الارضي, الطابق الاول, الطابق الثاني")</f>
        <v>الطابق الارضي, الطابق الاول, الطابق الثاني</v>
      </c>
      <c r="F17"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7" s="10"/>
      <c r="H17" s="10" t="str">
        <f ca="1">IFERROR(__xludf.DUMMYFUNCTION("""COMPUTED_VALUE"""),"تبريد")</f>
        <v>تبريد</v>
      </c>
      <c r="I17" s="12" t="str">
        <f ca="1">IFERROR(__xludf.DUMMYFUNCTION("""COMPUTED_VALUE"""),"منجز")</f>
        <v>منجز</v>
      </c>
      <c r="J17" s="19"/>
    </row>
    <row r="18" spans="1:10" ht="75" customHeight="1">
      <c r="A18" s="7">
        <f ca="1">IFERROR(__xludf.DUMMYFUNCTION("""COMPUTED_VALUE"""),46078.3980927083)</f>
        <v>46078.398092708303</v>
      </c>
      <c r="B18" s="18" t="str">
        <f ca="1">IFERROR(__xludf.DUMMYFUNCTION("""COMPUTED_VALUE"""),"المعملجي")</f>
        <v>المعملجي</v>
      </c>
      <c r="C18" s="9" t="str">
        <f ca="1">IFERROR(__xludf.DUMMYFUNCTION("""COMPUTED_VALUE"""),"قسم المشاريع الهندسية")</f>
        <v>قسم المشاريع الهندسية</v>
      </c>
      <c r="D18" s="10" t="str">
        <f ca="1">IFERROR(__xludf.DUMMYFUNCTION("""COMPUTED_VALUE"""),"G- روضة الجود")</f>
        <v>G- روضة الجود</v>
      </c>
      <c r="E18" s="10" t="str">
        <f ca="1">IFERROR(__xludf.DUMMYFUNCTION("""COMPUTED_VALUE"""),"الطابق الارضي, الطابق الاول, الطابق الثاني")</f>
        <v>الطابق الارضي, الطابق الاول, الطابق الثاني</v>
      </c>
      <c r="F18"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8" s="10"/>
      <c r="H18" s="10" t="str">
        <f ca="1">IFERROR(__xludf.DUMMYFUNCTION("""COMPUTED_VALUE"""),"تبريد")</f>
        <v>تبريد</v>
      </c>
      <c r="I18" s="12" t="str">
        <f ca="1">IFERROR(__xludf.DUMMYFUNCTION("""COMPUTED_VALUE"""),"منجز")</f>
        <v>منجز</v>
      </c>
      <c r="J18" s="19"/>
    </row>
    <row r="19" spans="1:10" ht="75" customHeight="1">
      <c r="A19" s="7">
        <f ca="1">IFERROR(__xludf.DUMMYFUNCTION("""COMPUTED_VALUE"""),46078.3978602083)</f>
        <v>46078.397860208301</v>
      </c>
      <c r="B19" s="18" t="str">
        <f ca="1">IFERROR(__xludf.DUMMYFUNCTION("""COMPUTED_VALUE"""),"المعملجي")</f>
        <v>المعملجي</v>
      </c>
      <c r="C19" s="9" t="str">
        <f ca="1">IFERROR(__xludf.DUMMYFUNCTION("""COMPUTED_VALUE"""),"قسم المشاريع الهندسية")</f>
        <v>قسم المشاريع الهندسية</v>
      </c>
      <c r="D19" s="10" t="str">
        <f ca="1">IFERROR(__xludf.DUMMYFUNCTION("""COMPUTED_VALUE"""),"B- روضة القمر")</f>
        <v>B- روضة القمر</v>
      </c>
      <c r="E19" s="10" t="str">
        <f ca="1">IFERROR(__xludf.DUMMYFUNCTION("""COMPUTED_VALUE"""),"الطابق الارضي, الطابق الاول, الطابق الثاني")</f>
        <v>الطابق الارضي, الطابق الاول, الطابق الثاني</v>
      </c>
      <c r="F19"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19" s="10"/>
      <c r="H19" s="10" t="str">
        <f ca="1">IFERROR(__xludf.DUMMYFUNCTION("""COMPUTED_VALUE"""),"تبريد")</f>
        <v>تبريد</v>
      </c>
      <c r="I19" s="12" t="str">
        <f ca="1">IFERROR(__xludf.DUMMYFUNCTION("""COMPUTED_VALUE"""),"منجز")</f>
        <v>منجز</v>
      </c>
      <c r="J19" s="19"/>
    </row>
    <row r="20" spans="1:10" ht="75" customHeight="1">
      <c r="A20" s="7">
        <f ca="1">IFERROR(__xludf.DUMMYFUNCTION("""COMPUTED_VALUE"""),46078.397645243)</f>
        <v>46078.397645243</v>
      </c>
      <c r="B20" s="18" t="str">
        <f ca="1">IFERROR(__xludf.DUMMYFUNCTION("""COMPUTED_VALUE"""),"المعملجي")</f>
        <v>المعملجي</v>
      </c>
      <c r="C20" s="9" t="str">
        <f ca="1">IFERROR(__xludf.DUMMYFUNCTION("""COMPUTED_VALUE"""),"قسم المشاريع الهندسية")</f>
        <v>قسم المشاريع الهندسية</v>
      </c>
      <c r="D20" s="10" t="str">
        <f ca="1">IFERROR(__xludf.DUMMYFUNCTION("""COMPUTED_VALUE"""),"A- المركز الثقافي")</f>
        <v>A- المركز الثقافي</v>
      </c>
      <c r="E20" s="10" t="str">
        <f ca="1">IFERROR(__xludf.DUMMYFUNCTION("""COMPUTED_VALUE"""),"الطابق الارضي, الطابق الاول, الطابق الثاني, الطابق الثالث, الطابق الرابع, السطح")</f>
        <v>الطابق الارضي, الطابق الاول, الطابق الثاني, الطابق الثالث, الطابق الرابع, السطح</v>
      </c>
      <c r="F20" s="10" t="str">
        <f ca="1">IFERROR(__xludf.DUMMYFUNCTION("""COMPUTED_VALUE"""),"ادامة وتنظيف اجهزة التبريد الخاصه بغرف الكهرباء والاتصالات ")</f>
        <v xml:space="preserve">ادامة وتنظيف اجهزة التبريد الخاصه بغرف الكهرباء والاتصالات </v>
      </c>
      <c r="G20" s="10"/>
      <c r="H20" s="10" t="str">
        <f ca="1">IFERROR(__xludf.DUMMYFUNCTION("""COMPUTED_VALUE"""),"تبريد")</f>
        <v>تبريد</v>
      </c>
      <c r="I20" s="12" t="str">
        <f ca="1">IFERROR(__xludf.DUMMYFUNCTION("""COMPUTED_VALUE"""),"منجز")</f>
        <v>منجز</v>
      </c>
      <c r="J20" s="19"/>
    </row>
    <row r="21" spans="1:10" ht="75" customHeight="1">
      <c r="A21" s="7">
        <f ca="1">IFERROR(__xludf.DUMMYFUNCTION("""COMPUTED_VALUE"""),46078.3970057523)</f>
        <v>46078.397005752297</v>
      </c>
      <c r="B21" s="18" t="str">
        <f ca="1">IFERROR(__xludf.DUMMYFUNCTION("""COMPUTED_VALUE"""),"المعملجي")</f>
        <v>المعملجي</v>
      </c>
      <c r="C21" s="9" t="str">
        <f ca="1">IFERROR(__xludf.DUMMYFUNCTION("""COMPUTED_VALUE"""),"قسم المشاريع الهندسية")</f>
        <v>قسم المشاريع الهندسية</v>
      </c>
      <c r="D21"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E21" s="10" t="str">
        <f ca="1">IFERROR(__xludf.DUMMYFUNCTION("""COMPUTED_VALUE"""),"السطح")</f>
        <v>السطح</v>
      </c>
      <c r="F21" s="10" t="str">
        <f ca="1">IFERROR(__xludf.DUMMYFUNCTION("""COMPUTED_VALUE"""),"ادامة وغسل القطع الخارجيه لمنظومات التبريد في  البناية")</f>
        <v>ادامة وغسل القطع الخارجيه لمنظومات التبريد في  البناية</v>
      </c>
      <c r="G21" s="10"/>
      <c r="H21" s="10" t="str">
        <f ca="1">IFERROR(__xludf.DUMMYFUNCTION("""COMPUTED_VALUE"""),"تبريد")</f>
        <v>تبريد</v>
      </c>
      <c r="I21" s="12" t="str">
        <f ca="1">IFERROR(__xludf.DUMMYFUNCTION("""COMPUTED_VALUE"""),"منجز")</f>
        <v>منجز</v>
      </c>
      <c r="J21" s="19"/>
    </row>
    <row r="22" spans="1:10" ht="75" customHeight="1">
      <c r="A22" s="7">
        <f ca="1">IFERROR(__xludf.DUMMYFUNCTION("""COMPUTED_VALUE"""),46078.396785405)</f>
        <v>46078.396785404999</v>
      </c>
      <c r="B22" s="18" t="str">
        <f ca="1">IFERROR(__xludf.DUMMYFUNCTION("""COMPUTED_VALUE"""),"المعملجي")</f>
        <v>المعملجي</v>
      </c>
      <c r="C22" s="9" t="str">
        <f ca="1">IFERROR(__xludf.DUMMYFUNCTION("""COMPUTED_VALUE"""),"قسم المشاريع الهندسية")</f>
        <v>قسم المشاريع الهندسية</v>
      </c>
      <c r="D22" s="10" t="str">
        <f ca="1">IFERROR(__xludf.DUMMYFUNCTION("""COMPUTED_VALUE"""),"I- ابتدائية الساقي للبنين (السادسة)")</f>
        <v>I- ابتدائية الساقي للبنين (السادسة)</v>
      </c>
      <c r="E22" s="10" t="str">
        <f ca="1">IFERROR(__xludf.DUMMYFUNCTION("""COMPUTED_VALUE"""),"السطح")</f>
        <v>السطح</v>
      </c>
      <c r="F22" s="10" t="str">
        <f ca="1">IFERROR(__xludf.DUMMYFUNCTION("""COMPUTED_VALUE"""),"ادامة وغسل القطع الخارجيه لمنظومات التبريد في  البناية")</f>
        <v>ادامة وغسل القطع الخارجيه لمنظومات التبريد في  البناية</v>
      </c>
      <c r="G22" s="10"/>
      <c r="H22" s="10" t="str">
        <f ca="1">IFERROR(__xludf.DUMMYFUNCTION("""COMPUTED_VALUE"""),"تبريد")</f>
        <v>تبريد</v>
      </c>
      <c r="I22" s="12" t="str">
        <f ca="1">IFERROR(__xludf.DUMMYFUNCTION("""COMPUTED_VALUE"""),"منجز")</f>
        <v>منجز</v>
      </c>
      <c r="J22" s="19"/>
    </row>
    <row r="23" spans="1:10" ht="75" customHeight="1">
      <c r="A23" s="7">
        <f ca="1">IFERROR(__xludf.DUMMYFUNCTION("""COMPUTED_VALUE"""),46078.396578206)</f>
        <v>46078.396578205997</v>
      </c>
      <c r="B23" s="18" t="str">
        <f ca="1">IFERROR(__xludf.DUMMYFUNCTION("""COMPUTED_VALUE"""),"المعملجي")</f>
        <v>المعملجي</v>
      </c>
      <c r="C23" s="9" t="str">
        <f ca="1">IFERROR(__xludf.DUMMYFUNCTION("""COMPUTED_VALUE"""),"قسم المشاريع الهندسية")</f>
        <v>قسم المشاريع الهندسية</v>
      </c>
      <c r="D23" s="10" t="str">
        <f ca="1">IFERROR(__xludf.DUMMYFUNCTION("""COMPUTED_VALUE"""),"H- ابتدائية القمر للبنات (الخامسة)")</f>
        <v>H- ابتدائية القمر للبنات (الخامسة)</v>
      </c>
      <c r="E23" s="10" t="str">
        <f ca="1">IFERROR(__xludf.DUMMYFUNCTION("""COMPUTED_VALUE"""),"السطح")</f>
        <v>السطح</v>
      </c>
      <c r="F23" s="10" t="str">
        <f ca="1">IFERROR(__xludf.DUMMYFUNCTION("""COMPUTED_VALUE"""),"ادامة وغسل القطع الخارجيه لمنظومات التبريد في  البناية")</f>
        <v>ادامة وغسل القطع الخارجيه لمنظومات التبريد في  البناية</v>
      </c>
      <c r="G23" s="10"/>
      <c r="H23" s="10" t="str">
        <f ca="1">IFERROR(__xludf.DUMMYFUNCTION("""COMPUTED_VALUE"""),"تبريد")</f>
        <v>تبريد</v>
      </c>
      <c r="I23" s="12" t="str">
        <f ca="1">IFERROR(__xludf.DUMMYFUNCTION("""COMPUTED_VALUE"""),"منجز")</f>
        <v>منجز</v>
      </c>
      <c r="J23" s="19"/>
    </row>
    <row r="24" spans="1:10" ht="75" customHeight="1">
      <c r="A24" s="7">
        <f ca="1">IFERROR(__xludf.DUMMYFUNCTION("""COMPUTED_VALUE"""),46078.3963517592)</f>
        <v>46078.396351759198</v>
      </c>
      <c r="B24" s="18" t="str">
        <f ca="1">IFERROR(__xludf.DUMMYFUNCTION("""COMPUTED_VALUE"""),"المعملجي")</f>
        <v>المعملجي</v>
      </c>
      <c r="C24" s="9" t="str">
        <f ca="1">IFERROR(__xludf.DUMMYFUNCTION("""COMPUTED_VALUE"""),"قسم المشاريع الهندسية")</f>
        <v>قسم المشاريع الهندسية</v>
      </c>
      <c r="D24" s="10" t="str">
        <f ca="1">IFERROR(__xludf.DUMMYFUNCTION("""COMPUTED_VALUE"""),"F-  ابتدائية جود العميد للبنات (الرابعة)")</f>
        <v>F-  ابتدائية جود العميد للبنات (الرابعة)</v>
      </c>
      <c r="E24" s="10" t="str">
        <f ca="1">IFERROR(__xludf.DUMMYFUNCTION("""COMPUTED_VALUE"""),"السطح")</f>
        <v>السطح</v>
      </c>
      <c r="F24" s="10" t="str">
        <f ca="1">IFERROR(__xludf.DUMMYFUNCTION("""COMPUTED_VALUE"""),"ادامة وغسل القطع الخارجيه لمنظومات التبريد في  البناية")</f>
        <v>ادامة وغسل القطع الخارجيه لمنظومات التبريد في  البناية</v>
      </c>
      <c r="G24" s="10"/>
      <c r="H24" s="10" t="str">
        <f ca="1">IFERROR(__xludf.DUMMYFUNCTION("""COMPUTED_VALUE"""),"تبريد")</f>
        <v>تبريد</v>
      </c>
      <c r="I24" s="12" t="str">
        <f ca="1">IFERROR(__xludf.DUMMYFUNCTION("""COMPUTED_VALUE"""),"منجز")</f>
        <v>منجز</v>
      </c>
      <c r="J24" s="19"/>
    </row>
    <row r="25" spans="1:10" ht="75" customHeight="1">
      <c r="A25" s="7">
        <f ca="1">IFERROR(__xludf.DUMMYFUNCTION("""COMPUTED_VALUE"""),46078.3961595949)</f>
        <v>46078.3961595949</v>
      </c>
      <c r="B25" s="18" t="str">
        <f ca="1">IFERROR(__xludf.DUMMYFUNCTION("""COMPUTED_VALUE"""),"المعملجي")</f>
        <v>المعملجي</v>
      </c>
      <c r="C25" s="9" t="str">
        <f ca="1">IFERROR(__xludf.DUMMYFUNCTION("""COMPUTED_VALUE"""),"قسم المشاريع الهندسية")</f>
        <v>قسم المشاريع الهندسية</v>
      </c>
      <c r="D25" s="10" t="str">
        <f ca="1">IFERROR(__xludf.DUMMYFUNCTION("""COMPUTED_VALUE"""),"E- ابتدائية العميد للبنات (الثالثة)")</f>
        <v>E- ابتدائية العميد للبنات (الثالثة)</v>
      </c>
      <c r="E25" s="10" t="str">
        <f ca="1">IFERROR(__xludf.DUMMYFUNCTION("""COMPUTED_VALUE"""),"السطح")</f>
        <v>السطح</v>
      </c>
      <c r="F25" s="10" t="str">
        <f ca="1">IFERROR(__xludf.DUMMYFUNCTION("""COMPUTED_VALUE"""),"ادامة وغسل القطع الخارجيه لمنظومات التبريد في  البناية")</f>
        <v>ادامة وغسل القطع الخارجيه لمنظومات التبريد في  البناية</v>
      </c>
      <c r="G25" s="10"/>
      <c r="H25" s="10" t="str">
        <f ca="1">IFERROR(__xludf.DUMMYFUNCTION("""COMPUTED_VALUE"""),"تبريد")</f>
        <v>تبريد</v>
      </c>
      <c r="I25" s="12" t="str">
        <f ca="1">IFERROR(__xludf.DUMMYFUNCTION("""COMPUTED_VALUE"""),"منجز")</f>
        <v>منجز</v>
      </c>
      <c r="J25" s="19"/>
    </row>
    <row r="26" spans="1:10" ht="75" customHeight="1">
      <c r="A26" s="7">
        <f ca="1">IFERROR(__xludf.DUMMYFUNCTION("""COMPUTED_VALUE"""),46078.3959192824)</f>
        <v>46078.395919282397</v>
      </c>
      <c r="B26" s="18" t="str">
        <f ca="1">IFERROR(__xludf.DUMMYFUNCTION("""COMPUTED_VALUE"""),"المعملجي")</f>
        <v>المعملجي</v>
      </c>
      <c r="C26" s="9" t="str">
        <f ca="1">IFERROR(__xludf.DUMMYFUNCTION("""COMPUTED_VALUE"""),"قسم المشاريع الهندسية")</f>
        <v>قسم المشاريع الهندسية</v>
      </c>
      <c r="D26" s="10" t="str">
        <f ca="1">IFERROR(__xludf.DUMMYFUNCTION("""COMPUTED_VALUE"""),"D- ثانوية العميد بناية المتوسطة  (الثانية)")</f>
        <v>D- ثانوية العميد بناية المتوسطة  (الثانية)</v>
      </c>
      <c r="E26" s="10" t="str">
        <f ca="1">IFERROR(__xludf.DUMMYFUNCTION("""COMPUTED_VALUE"""),"السطح")</f>
        <v>السطح</v>
      </c>
      <c r="F26" s="10" t="str">
        <f ca="1">IFERROR(__xludf.DUMMYFUNCTION("""COMPUTED_VALUE"""),"ادامة وغسل القطع الخارجيه لمنظومات التبريد في  البناية")</f>
        <v>ادامة وغسل القطع الخارجيه لمنظومات التبريد في  البناية</v>
      </c>
      <c r="G26" s="10"/>
      <c r="H26" s="10" t="str">
        <f ca="1">IFERROR(__xludf.DUMMYFUNCTION("""COMPUTED_VALUE"""),"تبريد")</f>
        <v>تبريد</v>
      </c>
      <c r="I26" s="12" t="str">
        <f ca="1">IFERROR(__xludf.DUMMYFUNCTION("""COMPUTED_VALUE"""),"منجز")</f>
        <v>منجز</v>
      </c>
      <c r="J26" s="19"/>
    </row>
    <row r="27" spans="1:10" ht="75" customHeight="1">
      <c r="A27" s="7">
        <f ca="1">IFERROR(__xludf.DUMMYFUNCTION("""COMPUTED_VALUE"""),46078.3957200115)</f>
        <v>46078.395720011496</v>
      </c>
      <c r="B27" s="18" t="str">
        <f ca="1">IFERROR(__xludf.DUMMYFUNCTION("""COMPUTED_VALUE"""),"المعملجي")</f>
        <v>المعملجي</v>
      </c>
      <c r="C27" s="9" t="str">
        <f ca="1">IFERROR(__xludf.DUMMYFUNCTION("""COMPUTED_VALUE"""),"قسم المشاريع الهندسية")</f>
        <v>قسم المشاريع الهندسية</v>
      </c>
      <c r="D27" s="10" t="str">
        <f ca="1">IFERROR(__xludf.DUMMYFUNCTION("""COMPUTED_VALUE"""),"C- ثانوية العميد بناية الاعدادية  (الاولى)")</f>
        <v>C- ثانوية العميد بناية الاعدادية  (الاولى)</v>
      </c>
      <c r="E27" s="10" t="str">
        <f ca="1">IFERROR(__xludf.DUMMYFUNCTION("""COMPUTED_VALUE"""),"السطح")</f>
        <v>السطح</v>
      </c>
      <c r="F27" s="10" t="str">
        <f ca="1">IFERROR(__xludf.DUMMYFUNCTION("""COMPUTED_VALUE"""),"ادامة وغسل القطع الخارجيه لمنظومات التبريد في  البناية")</f>
        <v>ادامة وغسل القطع الخارجيه لمنظومات التبريد في  البناية</v>
      </c>
      <c r="G27" s="10"/>
      <c r="H27" s="10" t="str">
        <f ca="1">IFERROR(__xludf.DUMMYFUNCTION("""COMPUTED_VALUE"""),"تبريد")</f>
        <v>تبريد</v>
      </c>
      <c r="I27" s="12" t="str">
        <f ca="1">IFERROR(__xludf.DUMMYFUNCTION("""COMPUTED_VALUE"""),"منجز")</f>
        <v>منجز</v>
      </c>
      <c r="J27" s="19"/>
    </row>
    <row r="28" spans="1:10" ht="75" customHeight="1">
      <c r="A28" s="7">
        <f ca="1">IFERROR(__xludf.DUMMYFUNCTION("""COMPUTED_VALUE"""),46078.3955155787)</f>
        <v>46078.395515578697</v>
      </c>
      <c r="B28" s="18" t="str">
        <f ca="1">IFERROR(__xludf.DUMMYFUNCTION("""COMPUTED_VALUE"""),"المعملجي")</f>
        <v>المعملجي</v>
      </c>
      <c r="C28" s="9" t="str">
        <f ca="1">IFERROR(__xludf.DUMMYFUNCTION("""COMPUTED_VALUE"""),"قسم المشاريع الهندسية")</f>
        <v>قسم المشاريع الهندسية</v>
      </c>
      <c r="D28" s="10" t="str">
        <f ca="1">IFERROR(__xludf.DUMMYFUNCTION("""COMPUTED_VALUE"""),"G- روضة الجود")</f>
        <v>G- روضة الجود</v>
      </c>
      <c r="E28" s="10" t="str">
        <f ca="1">IFERROR(__xludf.DUMMYFUNCTION("""COMPUTED_VALUE"""),"السطح")</f>
        <v>السطح</v>
      </c>
      <c r="F28" s="10" t="str">
        <f ca="1">IFERROR(__xludf.DUMMYFUNCTION("""COMPUTED_VALUE"""),"ادامة وغسل القطع الخارجيه لمنظومات التبريد في  البناية")</f>
        <v>ادامة وغسل القطع الخارجيه لمنظومات التبريد في  البناية</v>
      </c>
      <c r="G28" s="10"/>
      <c r="H28" s="10" t="str">
        <f ca="1">IFERROR(__xludf.DUMMYFUNCTION("""COMPUTED_VALUE"""),"تبريد")</f>
        <v>تبريد</v>
      </c>
      <c r="I28" s="12" t="str">
        <f ca="1">IFERROR(__xludf.DUMMYFUNCTION("""COMPUTED_VALUE"""),"منجز")</f>
        <v>منجز</v>
      </c>
      <c r="J28" s="19"/>
    </row>
    <row r="29" spans="1:10" ht="75" customHeight="1">
      <c r="A29" s="7">
        <f ca="1">IFERROR(__xludf.DUMMYFUNCTION("""COMPUTED_VALUE"""),46078.395312581)</f>
        <v>46078.395312581</v>
      </c>
      <c r="B29" s="18" t="str">
        <f ca="1">IFERROR(__xludf.DUMMYFUNCTION("""COMPUTED_VALUE"""),"المعملجي")</f>
        <v>المعملجي</v>
      </c>
      <c r="C29" s="9" t="str">
        <f ca="1">IFERROR(__xludf.DUMMYFUNCTION("""COMPUTED_VALUE"""),"قسم المشاريع الهندسية")</f>
        <v>قسم المشاريع الهندسية</v>
      </c>
      <c r="D29" s="10" t="str">
        <f ca="1">IFERROR(__xludf.DUMMYFUNCTION("""COMPUTED_VALUE"""),"B- روضة القمر")</f>
        <v>B- روضة القمر</v>
      </c>
      <c r="E29" s="10" t="str">
        <f ca="1">IFERROR(__xludf.DUMMYFUNCTION("""COMPUTED_VALUE"""),"السطح")</f>
        <v>السطح</v>
      </c>
      <c r="F29" s="10" t="str">
        <f ca="1">IFERROR(__xludf.DUMMYFUNCTION("""COMPUTED_VALUE"""),"ادامة وغسل القطع الخارجيه لمنظومات التبريد في  البناية")</f>
        <v>ادامة وغسل القطع الخارجيه لمنظومات التبريد في  البناية</v>
      </c>
      <c r="G29" s="10"/>
      <c r="H29" s="10" t="str">
        <f ca="1">IFERROR(__xludf.DUMMYFUNCTION("""COMPUTED_VALUE"""),"تبريد")</f>
        <v>تبريد</v>
      </c>
      <c r="I29" s="12" t="str">
        <f ca="1">IFERROR(__xludf.DUMMYFUNCTION("""COMPUTED_VALUE"""),"منجز")</f>
        <v>منجز</v>
      </c>
      <c r="J29" s="19"/>
    </row>
    <row r="30" spans="1:10" ht="75" customHeight="1">
      <c r="A30" s="7">
        <f ca="1">IFERROR(__xludf.DUMMYFUNCTION("""COMPUTED_VALUE"""),46078.3950483564)</f>
        <v>46078.395048356397</v>
      </c>
      <c r="B30" s="18" t="str">
        <f ca="1">IFERROR(__xludf.DUMMYFUNCTION("""COMPUTED_VALUE"""),"المعملجي")</f>
        <v>المعملجي</v>
      </c>
      <c r="C30" s="9" t="str">
        <f ca="1">IFERROR(__xludf.DUMMYFUNCTION("""COMPUTED_VALUE"""),"قسم المشاريع الهندسية")</f>
        <v>قسم المشاريع الهندسية</v>
      </c>
      <c r="D30" s="10" t="str">
        <f ca="1">IFERROR(__xludf.DUMMYFUNCTION("""COMPUTED_VALUE"""),"A- المركز الثقافي")</f>
        <v>A- المركز الثقافي</v>
      </c>
      <c r="E30" s="10" t="str">
        <f ca="1">IFERROR(__xludf.DUMMYFUNCTION("""COMPUTED_VALUE"""),"السطح")</f>
        <v>السطح</v>
      </c>
      <c r="F30" s="10" t="str">
        <f ca="1">IFERROR(__xludf.DUMMYFUNCTION("""COMPUTED_VALUE"""),"ادامة وغسل القطع الخارجيه لمنظومات التبريد في  البناية")</f>
        <v>ادامة وغسل القطع الخارجيه لمنظومات التبريد في  البناية</v>
      </c>
      <c r="G30" s="10"/>
      <c r="H30" s="10" t="str">
        <f ca="1">IFERROR(__xludf.DUMMYFUNCTION("""COMPUTED_VALUE"""),"تبريد")</f>
        <v>تبريد</v>
      </c>
      <c r="I30" s="12" t="str">
        <f ca="1">IFERROR(__xludf.DUMMYFUNCTION("""COMPUTED_VALUE"""),"منجز")</f>
        <v>منجز</v>
      </c>
      <c r="J30" s="19"/>
    </row>
    <row r="31" spans="1:10" ht="75" customHeight="1">
      <c r="A31" s="7">
        <f ca="1">IFERROR(__xludf.DUMMYFUNCTION("""COMPUTED_VALUE"""),46077.3182480439)</f>
        <v>46077.318248043899</v>
      </c>
      <c r="B31" s="18" t="str">
        <f ca="1">IFERROR(__xludf.DUMMYFUNCTION("""COMPUTED_VALUE"""),"المعملجي")</f>
        <v>المعملجي</v>
      </c>
      <c r="C31" s="9" t="str">
        <f ca="1">IFERROR(__xludf.DUMMYFUNCTION("""COMPUTED_VALUE"""),"قسم التربية والتعليم العالي")</f>
        <v>قسم التربية والتعليم العالي</v>
      </c>
      <c r="D31" s="10" t="str">
        <f ca="1">IFERROR(__xludf.DUMMYFUNCTION("""COMPUTED_VALUE"""),"H- ابتدائية القمر للبنات (الخامسة)")</f>
        <v>H- ابتدائية القمر للبنات (الخامسة)</v>
      </c>
      <c r="E31" s="10" t="str">
        <f ca="1">IFERROR(__xludf.DUMMYFUNCTION("""COMPUTED_VALUE"""),"غرفة الزينبيات ")</f>
        <v xml:space="preserve">غرفة الزينبيات </v>
      </c>
      <c r="F31" s="10" t="str">
        <f ca="1">IFERROR(__xludf.DUMMYFUNCTION("""COMPUTED_VALUE"""),"صيانه تبريد")</f>
        <v>صيانه تبريد</v>
      </c>
      <c r="G31" s="10"/>
      <c r="H31" s="10" t="str">
        <f ca="1">IFERROR(__xludf.DUMMYFUNCTION("""COMPUTED_VALUE"""),"تبريد")</f>
        <v>تبريد</v>
      </c>
      <c r="I31" s="12" t="str">
        <f ca="1">IFERROR(__xludf.DUMMYFUNCTION("""COMPUTED_VALUE"""),"منجز")</f>
        <v>منجز</v>
      </c>
      <c r="J31" s="19">
        <f ca="1">IFERROR(__xludf.DUMMYFUNCTION("""COMPUTED_VALUE"""),46078.3005423611)</f>
        <v>46078.300542361103</v>
      </c>
    </row>
    <row r="32" spans="1:10" ht="75" customHeight="1">
      <c r="A32" s="7">
        <f ca="1">IFERROR(__xludf.DUMMYFUNCTION("""COMPUTED_VALUE"""),46070.4897985185)</f>
        <v>46070.489798518502</v>
      </c>
      <c r="B32" s="18" t="str">
        <f ca="1">IFERROR(__xludf.DUMMYFUNCTION("""COMPUTED_VALUE"""),"المعملجي")</f>
        <v>المعملجي</v>
      </c>
      <c r="C32" s="9" t="str">
        <f ca="1">IFERROR(__xludf.DUMMYFUNCTION("""COMPUTED_VALUE"""),"قسم التربية والتعليم العالي")</f>
        <v>قسم التربية والتعليم العالي</v>
      </c>
      <c r="D32" s="10" t="str">
        <f ca="1">IFERROR(__xludf.DUMMYFUNCTION("""COMPUTED_VALUE"""),"F-  ابتدائية جود العميد للبنات (الرابعة)")</f>
        <v>F-  ابتدائية جود العميد للبنات (الرابعة)</v>
      </c>
      <c r="E32" s="10" t="str">
        <f ca="1">IFERROR(__xludf.DUMMYFUNCTION("""COMPUTED_VALUE"""),"الطابق الارضي")</f>
        <v>الطابق الارضي</v>
      </c>
      <c r="F32" s="10" t="str">
        <f ca="1">IFERROR(__xludf.DUMMYFUNCTION("""COMPUTED_VALUE"""),"احتياج المدرسة لمنتسب  تبريد ")</f>
        <v xml:space="preserve">احتياج المدرسة لمنتسب  تبريد </v>
      </c>
      <c r="G32" s="10"/>
      <c r="H32" s="10" t="str">
        <f ca="1">IFERROR(__xludf.DUMMYFUNCTION("""COMPUTED_VALUE"""),"تبريد")</f>
        <v>تبريد</v>
      </c>
      <c r="I32" s="12" t="str">
        <f ca="1">IFERROR(__xludf.DUMMYFUNCTION("""COMPUTED_VALUE"""),"منجز")</f>
        <v>منجز</v>
      </c>
      <c r="J32" s="19">
        <f ca="1">IFERROR(__xludf.DUMMYFUNCTION("""COMPUTED_VALUE"""),46070.5315464236)</f>
        <v>46070.531546423597</v>
      </c>
    </row>
    <row r="33" spans="1:10" ht="75" customHeight="1">
      <c r="A33" s="7">
        <f ca="1">IFERROR(__xludf.DUMMYFUNCTION("""COMPUTED_VALUE"""),46070.4444077893)</f>
        <v>46070.444407789299</v>
      </c>
      <c r="B33" s="18" t="str">
        <f ca="1">IFERROR(__xludf.DUMMYFUNCTION("""COMPUTED_VALUE"""),"المعملجي")</f>
        <v>المعملجي</v>
      </c>
      <c r="C33" s="9" t="str">
        <f ca="1">IFERROR(__xludf.DUMMYFUNCTION("""COMPUTED_VALUE"""),"قسم التربية والتعليم العالي")</f>
        <v>قسم التربية والتعليم العالي</v>
      </c>
      <c r="D33" s="10" t="str">
        <f ca="1">IFERROR(__xludf.DUMMYFUNCTION("""COMPUTED_VALUE"""),"A- المركز الثقافي")</f>
        <v>A- المركز الثقافي</v>
      </c>
      <c r="E33" s="10" t="str">
        <f ca="1">IFERROR(__xludf.DUMMYFUNCTION("""COMPUTED_VALUE"""),"الطابق الثالث, وحدة الاعلام ")</f>
        <v xml:space="preserve">الطابق الثالث, وحدة الاعلام </v>
      </c>
      <c r="F33" s="10" t="str">
        <f ca="1">IFERROR(__xludf.DUMMYFUNCTION("""COMPUTED_VALUE"""),"تحويل تدفئة الى تبريد")</f>
        <v>تحويل تدفئة الى تبريد</v>
      </c>
      <c r="G33" s="10"/>
      <c r="H33" s="10" t="str">
        <f ca="1">IFERROR(__xludf.DUMMYFUNCTION("""COMPUTED_VALUE"""),"تبريد")</f>
        <v>تبريد</v>
      </c>
      <c r="I33" s="12" t="str">
        <f ca="1">IFERROR(__xludf.DUMMYFUNCTION("""COMPUTED_VALUE"""),"منجز")</f>
        <v>منجز</v>
      </c>
      <c r="J33" s="19">
        <f ca="1">IFERROR(__xludf.DUMMYFUNCTION("""COMPUTED_VALUE"""),46070.472565324)</f>
        <v>46070.472565324002</v>
      </c>
    </row>
    <row r="34" spans="1:10" ht="75" customHeight="1">
      <c r="A34" s="7">
        <f ca="1">IFERROR(__xludf.DUMMYFUNCTION("""COMPUTED_VALUE"""),46069.3202440277)</f>
        <v>46069.320244027702</v>
      </c>
      <c r="B34" s="18" t="str">
        <f ca="1">IFERROR(__xludf.DUMMYFUNCTION("""COMPUTED_VALUE"""),"المعملجي")</f>
        <v>المعملجي</v>
      </c>
      <c r="C34" s="9" t="str">
        <f ca="1">IFERROR(__xludf.DUMMYFUNCTION("""COMPUTED_VALUE"""),"قسم المشاريع الهندسية")</f>
        <v>قسم المشاريع الهندسية</v>
      </c>
      <c r="D34" s="10" t="str">
        <f ca="1">IFERROR(__xludf.DUMMYFUNCTION("""COMPUTED_VALUE"""),"G- روضة الجود")</f>
        <v>G- روضة الجود</v>
      </c>
      <c r="E34" s="10" t="str">
        <f ca="1">IFERROR(__xludf.DUMMYFUNCTION("""COMPUTED_VALUE"""),"السطح")</f>
        <v>السطح</v>
      </c>
      <c r="F34" s="10" t="str">
        <f ca="1">IFERROR(__xludf.DUMMYFUNCTION("""COMPUTED_VALUE"""),"غسل وادامة منظومة تصفية المياه في البناية ")</f>
        <v xml:space="preserve">غسل وادامة منظومة تصفية المياه في البناية </v>
      </c>
      <c r="G34" s="10"/>
      <c r="H34" s="10" t="str">
        <f ca="1">IFERROR(__xludf.DUMMYFUNCTION("""COMPUTED_VALUE"""),"تبريد")</f>
        <v>تبريد</v>
      </c>
      <c r="I34" s="12" t="str">
        <f ca="1">IFERROR(__xludf.DUMMYFUNCTION("""COMPUTED_VALUE"""),"منجز")</f>
        <v>منجز</v>
      </c>
      <c r="J34" s="19"/>
    </row>
    <row r="35" spans="1:10" ht="75" customHeight="1">
      <c r="A35" s="7">
        <f ca="1">IFERROR(__xludf.DUMMYFUNCTION("""COMPUTED_VALUE"""),46069.3195433796)</f>
        <v>46069.319543379599</v>
      </c>
      <c r="B35" s="18" t="str">
        <f ca="1">IFERROR(__xludf.DUMMYFUNCTION("""COMPUTED_VALUE"""),"المعملجي")</f>
        <v>المعملجي</v>
      </c>
      <c r="C35" s="9" t="str">
        <f ca="1">IFERROR(__xludf.DUMMYFUNCTION("""COMPUTED_VALUE"""),"قسم المشاريع الهندسية")</f>
        <v>قسم المشاريع الهندسية</v>
      </c>
      <c r="D35" s="10"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E35" s="10" t="str">
        <f ca="1">IFERROR(__xludf.DUMMYFUNCTION("""COMPUTED_VALUE"""),"الطابق الارضي, الطابق الاول, الطابق الثاني")</f>
        <v>الطابق الارضي, الطابق الاول, الطابق الثاني</v>
      </c>
      <c r="F35" s="10" t="str">
        <f ca="1">IFERROR(__xludf.DUMMYFUNCTION("""COMPUTED_VALUE"""),"إدامة وتنظيف القطع الداخليه الخاصة بالبناية")</f>
        <v>إدامة وتنظيف القطع الداخليه الخاصة بالبناية</v>
      </c>
      <c r="G35" s="10"/>
      <c r="H35" s="10" t="str">
        <f ca="1">IFERROR(__xludf.DUMMYFUNCTION("""COMPUTED_VALUE"""),"تبريد")</f>
        <v>تبريد</v>
      </c>
      <c r="I35" s="12" t="str">
        <f ca="1">IFERROR(__xludf.DUMMYFUNCTION("""COMPUTED_VALUE"""),"منجز")</f>
        <v>منجز</v>
      </c>
      <c r="J35" s="19"/>
    </row>
    <row r="36" spans="1:10" ht="75" customHeight="1">
      <c r="A36" s="7">
        <f ca="1">IFERROR(__xludf.DUMMYFUNCTION("""COMPUTED_VALUE"""),46069.3192775463)</f>
        <v>46069.319277546303</v>
      </c>
      <c r="B36" s="18" t="str">
        <f ca="1">IFERROR(__xludf.DUMMYFUNCTION("""COMPUTED_VALUE"""),"المعملجي")</f>
        <v>المعملجي</v>
      </c>
      <c r="C36" s="9" t="str">
        <f ca="1">IFERROR(__xludf.DUMMYFUNCTION("""COMPUTED_VALUE"""),"قسم المشاريع الهندسية")</f>
        <v>قسم المشاريع الهندسية</v>
      </c>
      <c r="D36" s="10" t="str">
        <f ca="1">IFERROR(__xludf.DUMMYFUNCTION("""COMPUTED_VALUE"""),"I- ابتدائية الساقي للبنين (السادسة)")</f>
        <v>I- ابتدائية الساقي للبنين (السادسة)</v>
      </c>
      <c r="E36" s="10" t="str">
        <f ca="1">IFERROR(__xludf.DUMMYFUNCTION("""COMPUTED_VALUE"""),"الطابق الارضي, الطابق الاول, الطابق الثاني")</f>
        <v>الطابق الارضي, الطابق الاول, الطابق الثاني</v>
      </c>
      <c r="F36" s="10" t="str">
        <f ca="1">IFERROR(__xludf.DUMMYFUNCTION("""COMPUTED_VALUE"""),"إدامة وتنظيف القطع الداخليه الخاصة بالبناية")</f>
        <v>إدامة وتنظيف القطع الداخليه الخاصة بالبناية</v>
      </c>
      <c r="G36" s="10"/>
      <c r="H36" s="10" t="str">
        <f ca="1">IFERROR(__xludf.DUMMYFUNCTION("""COMPUTED_VALUE"""),"تبريد")</f>
        <v>تبريد</v>
      </c>
      <c r="I36" s="12" t="str">
        <f ca="1">IFERROR(__xludf.DUMMYFUNCTION("""COMPUTED_VALUE"""),"منجز")</f>
        <v>منجز</v>
      </c>
      <c r="J36" s="19">
        <f ca="1">IFERROR(__xludf.DUMMYFUNCTION("""COMPUTED_VALUE"""),46069.3242842013)</f>
        <v>46069.324284201299</v>
      </c>
    </row>
    <row r="37" spans="1:10" ht="75" customHeight="1">
      <c r="A37" s="7">
        <f ca="1">IFERROR(__xludf.DUMMYFUNCTION("""COMPUTED_VALUE"""),46069.3186649768)</f>
        <v>46069.318664976803</v>
      </c>
      <c r="B37" s="18" t="str">
        <f ca="1">IFERROR(__xludf.DUMMYFUNCTION("""COMPUTED_VALUE"""),"المعملجي")</f>
        <v>المعملجي</v>
      </c>
      <c r="C37" s="9" t="str">
        <f ca="1">IFERROR(__xludf.DUMMYFUNCTION("""COMPUTED_VALUE"""),"قسم المشاريع الهندسية")</f>
        <v>قسم المشاريع الهندسية</v>
      </c>
      <c r="D37" s="10" t="str">
        <f ca="1">IFERROR(__xludf.DUMMYFUNCTION("""COMPUTED_VALUE"""),"H- ابتدائية القمر للبنات (الخامسة)")</f>
        <v>H- ابتدائية القمر للبنات (الخامسة)</v>
      </c>
      <c r="E37" s="10" t="str">
        <f ca="1">IFERROR(__xludf.DUMMYFUNCTION("""COMPUTED_VALUE"""),"الطابق الارضي, الطابق الاول, الطابق الثاني")</f>
        <v>الطابق الارضي, الطابق الاول, الطابق الثاني</v>
      </c>
      <c r="F37" s="10" t="str">
        <f ca="1">IFERROR(__xludf.DUMMYFUNCTION("""COMPUTED_VALUE"""),"إدامة وتنظيف القطع الداخليه الخاصة بالبناية")</f>
        <v>إدامة وتنظيف القطع الداخليه الخاصة بالبناية</v>
      </c>
      <c r="G37" s="10"/>
      <c r="H37" s="10" t="str">
        <f ca="1">IFERROR(__xludf.DUMMYFUNCTION("""COMPUTED_VALUE"""),"تبريد")</f>
        <v>تبريد</v>
      </c>
      <c r="I37" s="12" t="str">
        <f ca="1">IFERROR(__xludf.DUMMYFUNCTION("""COMPUTED_VALUE"""),"منجز")</f>
        <v>منجز</v>
      </c>
      <c r="J37" s="19"/>
    </row>
    <row r="38" spans="1:10" ht="75" customHeight="1">
      <c r="A38" s="7">
        <f ca="1">IFERROR(__xludf.DUMMYFUNCTION("""COMPUTED_VALUE"""),46069.3181340162)</f>
        <v>46069.318134016197</v>
      </c>
      <c r="B38" s="18" t="str">
        <f ca="1">IFERROR(__xludf.DUMMYFUNCTION("""COMPUTED_VALUE"""),"المعملجي")</f>
        <v>المعملجي</v>
      </c>
      <c r="C38" s="9" t="str">
        <f ca="1">IFERROR(__xludf.DUMMYFUNCTION("""COMPUTED_VALUE"""),"قسم المشاريع الهندسية")</f>
        <v>قسم المشاريع الهندسية</v>
      </c>
      <c r="D38" s="10" t="str">
        <f ca="1">IFERROR(__xludf.DUMMYFUNCTION("""COMPUTED_VALUE"""),"F-  ابتدائية جود العميد للبنات (الرابعة)")</f>
        <v>F-  ابتدائية جود العميد للبنات (الرابعة)</v>
      </c>
      <c r="E38" s="10" t="str">
        <f ca="1">IFERROR(__xludf.DUMMYFUNCTION("""COMPUTED_VALUE"""),"الطابق الارضي, الطابق الاول, الطابق الثاني")</f>
        <v>الطابق الارضي, الطابق الاول, الطابق الثاني</v>
      </c>
      <c r="F38" s="10" t="str">
        <f ca="1">IFERROR(__xludf.DUMMYFUNCTION("""COMPUTED_VALUE"""),"إدامة وتنظيف القطع الداخليه الخاصة بالبناية")</f>
        <v>إدامة وتنظيف القطع الداخليه الخاصة بالبناية</v>
      </c>
      <c r="G38" s="10"/>
      <c r="H38" s="10" t="str">
        <f ca="1">IFERROR(__xludf.DUMMYFUNCTION("""COMPUTED_VALUE"""),"تبريد")</f>
        <v>تبريد</v>
      </c>
      <c r="I38" s="12" t="str">
        <f ca="1">IFERROR(__xludf.DUMMYFUNCTION("""COMPUTED_VALUE"""),"منجز")</f>
        <v>منجز</v>
      </c>
      <c r="J38" s="19"/>
    </row>
    <row r="39" spans="1:10" ht="75" customHeight="1">
      <c r="A39" s="7">
        <f ca="1">IFERROR(__xludf.DUMMYFUNCTION("""COMPUTED_VALUE"""),46069.3136545023)</f>
        <v>46069.313654502301</v>
      </c>
      <c r="B39" s="18" t="str">
        <f ca="1">IFERROR(__xludf.DUMMYFUNCTION("""COMPUTED_VALUE"""),"المعملجي")</f>
        <v>المعملجي</v>
      </c>
      <c r="C39" s="9" t="str">
        <f ca="1">IFERROR(__xludf.DUMMYFUNCTION("""COMPUTED_VALUE"""),"قسم المشاريع الهندسية")</f>
        <v>قسم المشاريع الهندسية</v>
      </c>
      <c r="D39" s="10" t="str">
        <f ca="1">IFERROR(__xludf.DUMMYFUNCTION("""COMPUTED_VALUE"""),"D- ثانوية العميد بناية المتوسطة  (الثانية)")</f>
        <v>D- ثانوية العميد بناية المتوسطة  (الثانية)</v>
      </c>
      <c r="E39" s="10" t="str">
        <f ca="1">IFERROR(__xludf.DUMMYFUNCTION("""COMPUTED_VALUE"""),"الطابق الارضي, الطابق الاول, الطابق الثاني")</f>
        <v>الطابق الارضي, الطابق الاول, الطابق الثاني</v>
      </c>
      <c r="F39" s="10" t="str">
        <f ca="1">IFERROR(__xludf.DUMMYFUNCTION("""COMPUTED_VALUE"""),"إدامة وتنظيف القطع الداخليه الخاصة بالبناية")</f>
        <v>إدامة وتنظيف القطع الداخليه الخاصة بالبناية</v>
      </c>
      <c r="G39" s="10"/>
      <c r="H39" s="10" t="str">
        <f ca="1">IFERROR(__xludf.DUMMYFUNCTION("""COMPUTED_VALUE"""),"تبريد")</f>
        <v>تبريد</v>
      </c>
      <c r="I39" s="12" t="str">
        <f ca="1">IFERROR(__xludf.DUMMYFUNCTION("""COMPUTED_VALUE"""),"منجز")</f>
        <v>منجز</v>
      </c>
      <c r="J39" s="19"/>
    </row>
    <row r="40" spans="1:10" ht="75" customHeight="1">
      <c r="A40" s="7">
        <f ca="1">IFERROR(__xludf.DUMMYFUNCTION("""COMPUTED_VALUE"""),46069.313369074)</f>
        <v>46069.313369074</v>
      </c>
      <c r="B40" s="18" t="str">
        <f ca="1">IFERROR(__xludf.DUMMYFUNCTION("""COMPUTED_VALUE"""),"المعملجي")</f>
        <v>المعملجي</v>
      </c>
      <c r="C40" s="9" t="str">
        <f ca="1">IFERROR(__xludf.DUMMYFUNCTION("""COMPUTED_VALUE"""),"قسم المشاريع الهندسية")</f>
        <v>قسم المشاريع الهندسية</v>
      </c>
      <c r="D40" s="10" t="str">
        <f ca="1">IFERROR(__xludf.DUMMYFUNCTION("""COMPUTED_VALUE"""),"C- ثانوية العميد بناية الاعدادية  (الاولى)")</f>
        <v>C- ثانوية العميد بناية الاعدادية  (الاولى)</v>
      </c>
      <c r="E40" s="10" t="str">
        <f ca="1">IFERROR(__xludf.DUMMYFUNCTION("""COMPUTED_VALUE"""),"الطابق الارضي, الطابق الاول, الطابق الثاني")</f>
        <v>الطابق الارضي, الطابق الاول, الطابق الثاني</v>
      </c>
      <c r="F40" s="10" t="str">
        <f ca="1">IFERROR(__xludf.DUMMYFUNCTION("""COMPUTED_VALUE"""),"إدامة وتنظيف القطع الداخليه الخاصة بالبناية")</f>
        <v>إدامة وتنظيف القطع الداخليه الخاصة بالبناية</v>
      </c>
      <c r="G40" s="10"/>
      <c r="H40" s="10" t="str">
        <f ca="1">IFERROR(__xludf.DUMMYFUNCTION("""COMPUTED_VALUE"""),"تبريد")</f>
        <v>تبريد</v>
      </c>
      <c r="I40" s="12" t="str">
        <f ca="1">IFERROR(__xludf.DUMMYFUNCTION("""COMPUTED_VALUE"""),"منجز")</f>
        <v>منجز</v>
      </c>
      <c r="J40" s="19"/>
    </row>
    <row r="41" spans="1:10" ht="75" customHeight="1">
      <c r="A41" s="7">
        <f ca="1">IFERROR(__xludf.DUMMYFUNCTION("""COMPUTED_VALUE"""),46069.3123890162)</f>
        <v>46069.312389016202</v>
      </c>
      <c r="B41" s="18" t="str">
        <f ca="1">IFERROR(__xludf.DUMMYFUNCTION("""COMPUTED_VALUE"""),"المعملجي")</f>
        <v>المعملجي</v>
      </c>
      <c r="C41" s="9" t="str">
        <f ca="1">IFERROR(__xludf.DUMMYFUNCTION("""COMPUTED_VALUE"""),"قسم المشاريع الهندسية")</f>
        <v>قسم المشاريع الهندسية</v>
      </c>
      <c r="D41" s="10" t="str">
        <f ca="1">IFERROR(__xludf.DUMMYFUNCTION("""COMPUTED_VALUE"""),"G- روضة الجود")</f>
        <v>G- روضة الجود</v>
      </c>
      <c r="E41" s="10" t="str">
        <f ca="1">IFERROR(__xludf.DUMMYFUNCTION("""COMPUTED_VALUE"""),"الطابق الارضي, الطابق الاول, الطابق الثاني")</f>
        <v>الطابق الارضي, الطابق الاول, الطابق الثاني</v>
      </c>
      <c r="F41" s="10" t="str">
        <f ca="1">IFERROR(__xludf.DUMMYFUNCTION("""COMPUTED_VALUE"""),"إدامة وتنظيف القطع الداخليه الخاصة بالبناية")</f>
        <v>إدامة وتنظيف القطع الداخليه الخاصة بالبناية</v>
      </c>
      <c r="G41" s="10"/>
      <c r="H41" s="10" t="str">
        <f ca="1">IFERROR(__xludf.DUMMYFUNCTION("""COMPUTED_VALUE"""),"تبريد")</f>
        <v>تبريد</v>
      </c>
      <c r="I41" s="12" t="str">
        <f ca="1">IFERROR(__xludf.DUMMYFUNCTION("""COMPUTED_VALUE"""),"منجز")</f>
        <v>منجز</v>
      </c>
      <c r="J41" s="19"/>
    </row>
    <row r="42" spans="1:10" ht="75" customHeight="1">
      <c r="A42" s="7">
        <f ca="1">IFERROR(__xludf.DUMMYFUNCTION("""COMPUTED_VALUE"""),46069.3121160995)</f>
        <v>46069.3121160995</v>
      </c>
      <c r="B42" s="18" t="str">
        <f ca="1">IFERROR(__xludf.DUMMYFUNCTION("""COMPUTED_VALUE"""),"المعملجي")</f>
        <v>المعملجي</v>
      </c>
      <c r="C42" s="9" t="str">
        <f ca="1">IFERROR(__xludf.DUMMYFUNCTION("""COMPUTED_VALUE"""),"قسم المشاريع الهندسية")</f>
        <v>قسم المشاريع الهندسية</v>
      </c>
      <c r="D42" s="10" t="str">
        <f ca="1">IFERROR(__xludf.DUMMYFUNCTION("""COMPUTED_VALUE"""),"B- روضة القمر")</f>
        <v>B- روضة القمر</v>
      </c>
      <c r="E42" s="10" t="str">
        <f ca="1">IFERROR(__xludf.DUMMYFUNCTION("""COMPUTED_VALUE"""),"الطابق الارضي, الطابق الاول, الطابق الثاني")</f>
        <v>الطابق الارضي, الطابق الاول, الطابق الثاني</v>
      </c>
      <c r="F42" s="10" t="str">
        <f ca="1">IFERROR(__xludf.DUMMYFUNCTION("""COMPUTED_VALUE"""),"إدامة وتنظيف القطع الداخليه الخاصة بالبناية")</f>
        <v>إدامة وتنظيف القطع الداخليه الخاصة بالبناية</v>
      </c>
      <c r="G42" s="10"/>
      <c r="H42" s="10" t="str">
        <f ca="1">IFERROR(__xludf.DUMMYFUNCTION("""COMPUTED_VALUE"""),"تبريد")</f>
        <v>تبريد</v>
      </c>
      <c r="I42" s="12" t="str">
        <f ca="1">IFERROR(__xludf.DUMMYFUNCTION("""COMPUTED_VALUE"""),"منجز")</f>
        <v>منجز</v>
      </c>
      <c r="J42" s="19"/>
    </row>
    <row r="43" spans="1:10" ht="75" customHeight="1">
      <c r="A43" s="7">
        <f ca="1">IFERROR(__xludf.DUMMYFUNCTION("""COMPUTED_VALUE"""),46069.3117311805)</f>
        <v>46069.311731180504</v>
      </c>
      <c r="B43" s="18" t="str">
        <f ca="1">IFERROR(__xludf.DUMMYFUNCTION("""COMPUTED_VALUE"""),"المعملجي")</f>
        <v>المعملجي</v>
      </c>
      <c r="C43" s="9" t="str">
        <f ca="1">IFERROR(__xludf.DUMMYFUNCTION("""COMPUTED_VALUE"""),"قسم المشاريع الهندسية")</f>
        <v>قسم المشاريع الهندسية</v>
      </c>
      <c r="D43" s="10" t="str">
        <f ca="1">IFERROR(__xludf.DUMMYFUNCTION("""COMPUTED_VALUE"""),"A- المركز الثقافي")</f>
        <v>A- المركز الثقافي</v>
      </c>
      <c r="E43" s="10" t="str">
        <f ca="1">IFERROR(__xludf.DUMMYFUNCTION("""COMPUTED_VALUE"""),"الطابق الثاني, الطابق الثالث, الطابق الرابع")</f>
        <v>الطابق الثاني, الطابق الثالث, الطابق الرابع</v>
      </c>
      <c r="F43" s="10" t="str">
        <f ca="1">IFERROR(__xludf.DUMMYFUNCTION("""COMPUTED_VALUE"""),"إدامة وتنظيف القطع الداخليه الخاصة بالبناية")</f>
        <v>إدامة وتنظيف القطع الداخليه الخاصة بالبناية</v>
      </c>
      <c r="G43" s="10"/>
      <c r="H43" s="10" t="str">
        <f ca="1">IFERROR(__xludf.DUMMYFUNCTION("""COMPUTED_VALUE"""),"تبريد")</f>
        <v>تبريد</v>
      </c>
      <c r="I43" s="12" t="str">
        <f ca="1">IFERROR(__xludf.DUMMYFUNCTION("""COMPUTED_VALUE"""),"منجز")</f>
        <v>منجز</v>
      </c>
      <c r="J43" s="19"/>
    </row>
    <row r="44" spans="1:10" ht="75" customHeight="1">
      <c r="A44" s="7">
        <f ca="1">IFERROR(__xludf.DUMMYFUNCTION("""COMPUTED_VALUE"""),46069.3114503009)</f>
        <v>46069.311450300898</v>
      </c>
      <c r="B44" s="18" t="str">
        <f ca="1">IFERROR(__xludf.DUMMYFUNCTION("""COMPUTED_VALUE"""),"المعملجي")</f>
        <v>المعملجي</v>
      </c>
      <c r="C44" s="9" t="str">
        <f ca="1">IFERROR(__xludf.DUMMYFUNCTION("""COMPUTED_VALUE"""),"قسم المشاريع الهندسية")</f>
        <v>قسم المشاريع الهندسية</v>
      </c>
      <c r="D44" s="10" t="str">
        <f ca="1">IFERROR(__xludf.DUMMYFUNCTION("""COMPUTED_VALUE"""),"A- المركز الثقافي")</f>
        <v>A- المركز الثقافي</v>
      </c>
      <c r="E44" s="10" t="str">
        <f ca="1">IFERROR(__xludf.DUMMYFUNCTION("""COMPUTED_VALUE"""),"الطابق الارضي, الطابق الاول, إدارة المجمع")</f>
        <v>الطابق الارضي, الطابق الاول, إدارة المجمع</v>
      </c>
      <c r="F44" s="10" t="str">
        <f ca="1">IFERROR(__xludf.DUMMYFUNCTION("""COMPUTED_VALUE"""),"إدامة وتنظيف القطع الداخليه الخاصة بالبناية")</f>
        <v>إدامة وتنظيف القطع الداخليه الخاصة بالبناية</v>
      </c>
      <c r="G44" s="10"/>
      <c r="H44" s="10" t="str">
        <f ca="1">IFERROR(__xludf.DUMMYFUNCTION("""COMPUTED_VALUE"""),"تبريد")</f>
        <v>تبريد</v>
      </c>
      <c r="I44" s="12" t="str">
        <f ca="1">IFERROR(__xludf.DUMMYFUNCTION("""COMPUTED_VALUE"""),"منجز")</f>
        <v>منجز</v>
      </c>
      <c r="J44" s="19"/>
    </row>
    <row r="45" spans="1:10" ht="75" customHeight="1">
      <c r="A45" s="7">
        <f ca="1">IFERROR(__xludf.DUMMYFUNCTION("""COMPUTED_VALUE"""),46055.5080660995)</f>
        <v>46055.508066099501</v>
      </c>
      <c r="B45" s="18" t="str">
        <f ca="1">IFERROR(__xludf.DUMMYFUNCTION("""COMPUTED_VALUE"""),"المعملجي")</f>
        <v>المعملجي</v>
      </c>
      <c r="C45" s="9" t="str">
        <f ca="1">IFERROR(__xludf.DUMMYFUNCTION("""COMPUTED_VALUE"""),"قسم التربية والتعليم العالي")</f>
        <v>قسم التربية والتعليم العالي</v>
      </c>
      <c r="D45" s="10" t="str">
        <f ca="1">IFERROR(__xludf.DUMMYFUNCTION("""COMPUTED_VALUE"""),"I- ابتدائية الساقي للبنين (السادسة)")</f>
        <v>I- ابتدائية الساقي للبنين (السادسة)</v>
      </c>
      <c r="E45" s="10" t="str">
        <f ca="1">IFERROR(__xludf.DUMMYFUNCTION("""COMPUTED_VALUE"""),"الطابق الارضي")</f>
        <v>الطابق الارضي</v>
      </c>
      <c r="F45" s="10" t="str">
        <f ca="1">IFERROR(__xludf.DUMMYFUNCTION("""COMPUTED_VALUE"""),"اطفاء التدفئة ")</f>
        <v xml:space="preserve">اطفاء التدفئة </v>
      </c>
      <c r="G45" s="10"/>
      <c r="H45" s="10" t="str">
        <f ca="1">IFERROR(__xludf.DUMMYFUNCTION("""COMPUTED_VALUE"""),"تبريد")</f>
        <v>تبريد</v>
      </c>
      <c r="I45" s="12" t="str">
        <f ca="1">IFERROR(__xludf.DUMMYFUNCTION("""COMPUTED_VALUE"""),"منجز")</f>
        <v>منجز</v>
      </c>
      <c r="J45" s="19">
        <f ca="1">IFERROR(__xludf.DUMMYFUNCTION("""COMPUTED_VALUE"""),46055.5187597569)</f>
        <v>46055.518759756902</v>
      </c>
    </row>
    <row r="46" spans="1:10" ht="75" customHeight="1">
      <c r="A46" s="7"/>
      <c r="B46" s="18"/>
      <c r="C46" s="9"/>
      <c r="D46" s="10"/>
      <c r="E46" s="10"/>
      <c r="F46" s="10"/>
      <c r="G46" s="10"/>
      <c r="H46" s="10"/>
      <c r="I46" s="12"/>
      <c r="J46" s="13"/>
    </row>
    <row r="47" spans="1:10" ht="75" customHeight="1">
      <c r="A47" s="7"/>
      <c r="B47" s="18"/>
      <c r="C47" s="9"/>
      <c r="D47" s="10"/>
      <c r="E47" s="10"/>
      <c r="F47" s="10"/>
      <c r="G47" s="10"/>
      <c r="H47" s="10"/>
      <c r="I47" s="12"/>
      <c r="J47" s="13"/>
    </row>
    <row r="48" spans="1:10" ht="75" customHeight="1">
      <c r="A48" s="7"/>
      <c r="B48" s="18"/>
      <c r="C48" s="9"/>
      <c r="D48" s="10"/>
      <c r="E48" s="10"/>
      <c r="F48" s="10"/>
      <c r="G48" s="10"/>
      <c r="H48" s="10"/>
      <c r="I48" s="12"/>
      <c r="J48" s="13"/>
    </row>
    <row r="49" spans="1:10" ht="75" customHeight="1">
      <c r="A49" s="7"/>
      <c r="B49" s="18"/>
      <c r="C49" s="9"/>
      <c r="D49" s="10"/>
      <c r="E49" s="10"/>
      <c r="F49" s="10"/>
      <c r="G49" s="10"/>
      <c r="H49" s="10"/>
      <c r="I49" s="12"/>
      <c r="J49" s="13"/>
    </row>
    <row r="50" spans="1:10" ht="75" customHeight="1">
      <c r="A50" s="7"/>
      <c r="B50" s="18"/>
      <c r="C50" s="9"/>
      <c r="D50" s="10"/>
      <c r="E50" s="10"/>
      <c r="F50" s="10"/>
      <c r="G50" s="10"/>
      <c r="H50" s="10"/>
      <c r="I50" s="12"/>
      <c r="J50" s="13"/>
    </row>
    <row r="51" spans="1:10" ht="75" customHeight="1">
      <c r="A51" s="7"/>
      <c r="B51" s="18"/>
      <c r="C51" s="9"/>
      <c r="D51" s="10"/>
      <c r="E51" s="10"/>
      <c r="F51" s="10"/>
      <c r="G51" s="10"/>
      <c r="H51" s="10"/>
      <c r="I51" s="12"/>
      <c r="J51" s="13"/>
    </row>
    <row r="52" spans="1:10" ht="75" customHeight="1">
      <c r="A52" s="7"/>
      <c r="B52" s="18"/>
      <c r="C52" s="9"/>
      <c r="D52" s="10"/>
      <c r="E52" s="10"/>
      <c r="F52" s="10"/>
      <c r="G52" s="10"/>
      <c r="H52" s="10"/>
      <c r="I52" s="12"/>
      <c r="J52" s="13"/>
    </row>
    <row r="53" spans="1:10" ht="75" customHeight="1">
      <c r="A53" s="7"/>
      <c r="B53" s="18"/>
      <c r="C53" s="9"/>
      <c r="D53" s="10"/>
      <c r="E53" s="10"/>
      <c r="F53" s="10"/>
      <c r="G53" s="10"/>
      <c r="H53" s="10"/>
      <c r="I53" s="12"/>
      <c r="J53" s="13"/>
    </row>
    <row r="54" spans="1:10" ht="75" customHeight="1">
      <c r="A54" s="7"/>
      <c r="B54" s="18"/>
      <c r="C54" s="9"/>
      <c r="D54" s="10"/>
      <c r="E54" s="10"/>
      <c r="F54" s="10"/>
      <c r="G54" s="10"/>
      <c r="H54" s="10"/>
      <c r="I54" s="12"/>
      <c r="J54" s="13"/>
    </row>
    <row r="55" spans="1:10" ht="75" customHeight="1">
      <c r="A55" s="7"/>
      <c r="B55" s="18"/>
      <c r="C55" s="9"/>
      <c r="D55" s="10"/>
      <c r="E55" s="10"/>
      <c r="F55" s="10"/>
      <c r="G55" s="10"/>
      <c r="H55" s="10"/>
      <c r="I55" s="12"/>
      <c r="J55" s="13"/>
    </row>
    <row r="56" spans="1:10" ht="75" customHeight="1">
      <c r="A56" s="7"/>
      <c r="B56" s="18"/>
      <c r="C56" s="9"/>
      <c r="D56" s="10"/>
      <c r="E56" s="10"/>
      <c r="F56" s="10"/>
      <c r="G56" s="10"/>
      <c r="H56" s="10"/>
      <c r="I56" s="12"/>
      <c r="J56" s="13"/>
    </row>
    <row r="57" spans="1:10" ht="75" customHeight="1">
      <c r="A57" s="7"/>
      <c r="B57" s="18"/>
      <c r="C57" s="9"/>
      <c r="D57" s="10"/>
      <c r="E57" s="10"/>
      <c r="F57" s="10"/>
      <c r="G57" s="10"/>
      <c r="H57" s="10"/>
      <c r="I57" s="12"/>
      <c r="J57" s="13"/>
    </row>
    <row r="58" spans="1:10" ht="75" customHeight="1">
      <c r="A58" s="7"/>
      <c r="B58" s="18"/>
      <c r="C58" s="9"/>
      <c r="D58" s="10"/>
      <c r="E58" s="10"/>
      <c r="F58" s="10"/>
      <c r="G58" s="10"/>
      <c r="H58" s="10"/>
      <c r="I58" s="12"/>
      <c r="J58" s="13"/>
    </row>
    <row r="59" spans="1:10" ht="75" customHeight="1">
      <c r="A59" s="7"/>
      <c r="B59" s="18"/>
      <c r="C59" s="9"/>
      <c r="D59" s="10"/>
      <c r="E59" s="10"/>
      <c r="F59" s="10"/>
      <c r="G59" s="10"/>
      <c r="H59" s="10"/>
      <c r="I59" s="12"/>
      <c r="J59" s="13"/>
    </row>
    <row r="60" spans="1:10" ht="75" customHeight="1">
      <c r="A60" s="7"/>
      <c r="B60" s="18"/>
      <c r="C60" s="9"/>
      <c r="D60" s="10"/>
      <c r="E60" s="10"/>
      <c r="F60" s="10"/>
      <c r="G60" s="10"/>
      <c r="H60" s="10"/>
      <c r="I60" s="12"/>
      <c r="J60" s="13"/>
    </row>
    <row r="61" spans="1:10" ht="75" customHeight="1">
      <c r="A61" s="7"/>
      <c r="B61" s="18"/>
      <c r="C61" s="9"/>
      <c r="D61" s="10"/>
      <c r="E61" s="10"/>
      <c r="F61" s="10"/>
      <c r="G61" s="10"/>
      <c r="H61" s="10"/>
      <c r="I61" s="12"/>
      <c r="J61" s="13"/>
    </row>
    <row r="62" spans="1:10" ht="75" customHeight="1">
      <c r="A62" s="7"/>
      <c r="B62" s="18"/>
      <c r="C62" s="9"/>
      <c r="D62" s="10"/>
      <c r="E62" s="10"/>
      <c r="F62" s="10"/>
      <c r="G62" s="10"/>
      <c r="H62" s="10"/>
      <c r="I62" s="12"/>
      <c r="J62" s="13"/>
    </row>
    <row r="63" spans="1:10" ht="75" customHeight="1">
      <c r="A63" s="7"/>
      <c r="B63" s="18"/>
      <c r="C63" s="9"/>
      <c r="D63" s="10"/>
      <c r="E63" s="10"/>
      <c r="F63" s="10"/>
      <c r="G63" s="10"/>
      <c r="H63" s="10"/>
      <c r="I63" s="12"/>
      <c r="J63" s="13"/>
    </row>
    <row r="64" spans="1:10" ht="75" customHeight="1">
      <c r="A64" s="7"/>
      <c r="B64" s="18"/>
      <c r="C64" s="9"/>
      <c r="D64" s="10"/>
      <c r="E64" s="10"/>
      <c r="F64" s="10"/>
      <c r="G64" s="10"/>
      <c r="H64" s="10"/>
      <c r="I64" s="12"/>
      <c r="J64" s="13"/>
    </row>
    <row r="65" spans="1:10" ht="75" customHeight="1">
      <c r="A65" s="7"/>
      <c r="B65" s="18"/>
      <c r="C65" s="9"/>
      <c r="D65" s="10"/>
      <c r="E65" s="10"/>
      <c r="F65" s="10"/>
      <c r="G65" s="10"/>
      <c r="H65" s="10"/>
      <c r="I65" s="12"/>
      <c r="J65" s="13"/>
    </row>
    <row r="66" spans="1:10" ht="75" customHeight="1">
      <c r="A66" s="7"/>
      <c r="B66" s="18"/>
      <c r="C66" s="9"/>
      <c r="D66" s="10"/>
      <c r="E66" s="10"/>
      <c r="F66" s="10"/>
      <c r="G66" s="10"/>
      <c r="H66" s="10"/>
      <c r="I66" s="12"/>
      <c r="J66" s="13"/>
    </row>
    <row r="67" spans="1:10" ht="75" customHeight="1">
      <c r="A67" s="7"/>
      <c r="B67" s="18"/>
      <c r="C67" s="9"/>
      <c r="D67" s="10"/>
      <c r="E67" s="10"/>
      <c r="F67" s="10"/>
      <c r="G67" s="10"/>
      <c r="H67" s="10"/>
      <c r="I67" s="12"/>
      <c r="J67" s="13"/>
    </row>
    <row r="68" spans="1:10" ht="75" customHeight="1">
      <c r="A68" s="7"/>
      <c r="B68" s="18"/>
      <c r="C68" s="9"/>
      <c r="D68" s="10"/>
      <c r="E68" s="10"/>
      <c r="F68" s="10"/>
      <c r="G68" s="10"/>
      <c r="H68" s="10"/>
      <c r="I68" s="12"/>
      <c r="J68" s="13"/>
    </row>
    <row r="69" spans="1:10" ht="75" customHeight="1">
      <c r="A69" s="7"/>
      <c r="B69" s="18"/>
      <c r="C69" s="9"/>
      <c r="D69" s="10"/>
      <c r="E69" s="10"/>
      <c r="F69" s="10"/>
      <c r="G69" s="10"/>
      <c r="H69" s="10"/>
      <c r="I69" s="12"/>
      <c r="J69" s="13"/>
    </row>
    <row r="70" spans="1:10" ht="75" customHeight="1">
      <c r="A70" s="7"/>
      <c r="B70" s="18"/>
      <c r="C70" s="9"/>
      <c r="D70" s="10"/>
      <c r="E70" s="10"/>
      <c r="F70" s="10"/>
      <c r="G70" s="10"/>
      <c r="H70" s="10"/>
      <c r="I70" s="12"/>
      <c r="J70" s="13"/>
    </row>
    <row r="71" spans="1:10" ht="75" customHeight="1">
      <c r="A71" s="7"/>
      <c r="B71" s="18"/>
      <c r="C71" s="9"/>
      <c r="D71" s="10"/>
      <c r="E71" s="10"/>
      <c r="F71" s="10"/>
      <c r="G71" s="10"/>
      <c r="H71" s="10"/>
      <c r="I71" s="12"/>
      <c r="J71" s="13"/>
    </row>
    <row r="72" spans="1:10" ht="75" customHeight="1">
      <c r="A72" s="7"/>
      <c r="B72" s="18"/>
      <c r="C72" s="9"/>
      <c r="D72" s="10"/>
      <c r="E72" s="10"/>
      <c r="F72" s="10"/>
      <c r="G72" s="10"/>
      <c r="H72" s="10"/>
      <c r="I72" s="12"/>
      <c r="J72" s="13"/>
    </row>
    <row r="73" spans="1:10" ht="75" customHeight="1">
      <c r="A73" s="7"/>
      <c r="B73" s="18"/>
      <c r="C73" s="9"/>
      <c r="D73" s="10"/>
      <c r="E73" s="10"/>
      <c r="F73" s="10"/>
      <c r="G73" s="10"/>
      <c r="H73" s="10"/>
      <c r="I73" s="12"/>
      <c r="J73" s="13"/>
    </row>
    <row r="74" spans="1:10" ht="75" customHeight="1">
      <c r="A74" s="7"/>
      <c r="B74" s="18"/>
      <c r="C74" s="9"/>
      <c r="D74" s="10"/>
      <c r="E74" s="10"/>
      <c r="F74" s="10"/>
      <c r="G74" s="10"/>
      <c r="H74" s="10"/>
      <c r="I74" s="12"/>
      <c r="J74" s="13"/>
    </row>
    <row r="75" spans="1:10" ht="75" customHeight="1">
      <c r="A75" s="7"/>
      <c r="B75" s="18"/>
      <c r="C75" s="9"/>
      <c r="D75" s="10"/>
      <c r="E75" s="10"/>
      <c r="F75" s="10"/>
      <c r="G75" s="10"/>
      <c r="H75" s="10"/>
      <c r="I75" s="12"/>
      <c r="J75" s="13"/>
    </row>
    <row r="76" spans="1:10" ht="75" customHeight="1">
      <c r="A76" s="7"/>
      <c r="B76" s="18"/>
      <c r="C76" s="9"/>
      <c r="D76" s="10"/>
      <c r="E76" s="10"/>
      <c r="F76" s="10"/>
      <c r="G76" s="10"/>
      <c r="H76" s="10"/>
      <c r="I76" s="12"/>
      <c r="J76" s="13"/>
    </row>
    <row r="77" spans="1:10" ht="75" customHeight="1">
      <c r="A77" s="7"/>
      <c r="B77" s="18"/>
      <c r="C77" s="9"/>
      <c r="D77" s="10"/>
      <c r="E77" s="10"/>
      <c r="F77" s="10"/>
      <c r="G77" s="10"/>
      <c r="H77" s="10"/>
      <c r="I77" s="12"/>
      <c r="J77" s="13"/>
    </row>
    <row r="78" spans="1:10" ht="75" customHeight="1">
      <c r="A78" s="7"/>
      <c r="B78" s="18"/>
      <c r="C78" s="9"/>
      <c r="D78" s="10"/>
      <c r="E78" s="10"/>
      <c r="F78" s="10"/>
      <c r="G78" s="10"/>
      <c r="H78" s="10"/>
      <c r="I78" s="12"/>
      <c r="J78" s="13"/>
    </row>
    <row r="79" spans="1:10" ht="75" customHeight="1">
      <c r="A79" s="7"/>
      <c r="B79" s="18"/>
      <c r="C79" s="9"/>
      <c r="D79" s="10"/>
      <c r="E79" s="10"/>
      <c r="F79" s="10"/>
      <c r="G79" s="10"/>
      <c r="H79" s="10"/>
      <c r="I79" s="12"/>
      <c r="J79" s="13"/>
    </row>
    <row r="80" spans="1:10" ht="75" customHeight="1">
      <c r="A80" s="7"/>
      <c r="B80" s="18"/>
      <c r="C80" s="9"/>
      <c r="D80" s="10"/>
      <c r="E80" s="10"/>
      <c r="F80" s="10"/>
      <c r="G80" s="10"/>
      <c r="H80" s="10"/>
      <c r="I80" s="12"/>
      <c r="J80" s="13"/>
    </row>
    <row r="81" spans="1:10" ht="75" customHeight="1">
      <c r="A81" s="7"/>
      <c r="B81" s="18"/>
      <c r="C81" s="9"/>
      <c r="D81" s="10"/>
      <c r="E81" s="10"/>
      <c r="F81" s="10"/>
      <c r="G81" s="10"/>
      <c r="H81" s="10"/>
      <c r="I81" s="12"/>
      <c r="J81" s="13"/>
    </row>
    <row r="82" spans="1:10" ht="75" customHeight="1">
      <c r="A82" s="7"/>
      <c r="B82" s="18"/>
      <c r="C82" s="9"/>
      <c r="D82" s="10"/>
      <c r="E82" s="10"/>
      <c r="F82" s="10"/>
      <c r="G82" s="10"/>
      <c r="H82" s="10"/>
      <c r="I82" s="12"/>
      <c r="J82" s="13"/>
    </row>
    <row r="83" spans="1:10" ht="75" customHeight="1">
      <c r="A83" s="7"/>
      <c r="B83" s="18"/>
      <c r="C83" s="9"/>
      <c r="D83" s="10"/>
      <c r="E83" s="10"/>
      <c r="F83" s="10"/>
      <c r="G83" s="10"/>
      <c r="H83" s="10"/>
      <c r="I83" s="12"/>
      <c r="J83" s="13"/>
    </row>
    <row r="84" spans="1:10" ht="75" customHeight="1">
      <c r="A84" s="7"/>
      <c r="B84" s="18"/>
      <c r="C84" s="9"/>
      <c r="D84" s="10"/>
      <c r="E84" s="10"/>
      <c r="F84" s="10"/>
      <c r="G84" s="10"/>
      <c r="H84" s="10"/>
      <c r="I84" s="12"/>
      <c r="J84" s="13"/>
    </row>
    <row r="85" spans="1:10" ht="75" customHeight="1">
      <c r="A85" s="7"/>
      <c r="B85" s="18"/>
      <c r="C85" s="9"/>
      <c r="D85" s="10"/>
      <c r="E85" s="10"/>
      <c r="F85" s="10"/>
      <c r="G85" s="10"/>
      <c r="H85" s="10"/>
      <c r="I85" s="12"/>
      <c r="J85" s="13"/>
    </row>
    <row r="86" spans="1:10" ht="75" customHeight="1">
      <c r="A86" s="7"/>
      <c r="B86" s="18"/>
      <c r="C86" s="9"/>
      <c r="D86" s="10"/>
      <c r="E86" s="10"/>
      <c r="F86" s="10"/>
      <c r="G86" s="10"/>
      <c r="H86" s="10"/>
      <c r="I86" s="12"/>
      <c r="J86" s="13"/>
    </row>
    <row r="87" spans="1:10" ht="75" customHeight="1">
      <c r="A87" s="7"/>
      <c r="B87" s="18"/>
      <c r="C87" s="9"/>
      <c r="D87" s="10"/>
      <c r="E87" s="10"/>
      <c r="F87" s="10"/>
      <c r="G87" s="10"/>
      <c r="H87" s="10"/>
      <c r="I87" s="12"/>
      <c r="J87" s="13"/>
    </row>
    <row r="88" spans="1:10" ht="75" customHeight="1">
      <c r="A88" s="7"/>
      <c r="B88" s="18"/>
      <c r="C88" s="9"/>
      <c r="D88" s="10"/>
      <c r="E88" s="10"/>
      <c r="F88" s="10"/>
      <c r="G88" s="10"/>
      <c r="H88" s="10"/>
      <c r="I88" s="12"/>
      <c r="J88" s="13"/>
    </row>
    <row r="89" spans="1:10" ht="75" customHeight="1">
      <c r="A89" s="7"/>
      <c r="B89" s="18"/>
      <c r="C89" s="9"/>
      <c r="D89" s="10"/>
      <c r="E89" s="10"/>
      <c r="F89" s="10"/>
      <c r="G89" s="10"/>
      <c r="H89" s="10"/>
      <c r="I89" s="12"/>
      <c r="J89" s="13"/>
    </row>
    <row r="90" spans="1:10" ht="75" customHeight="1">
      <c r="A90" s="7"/>
      <c r="B90" s="18"/>
      <c r="C90" s="9"/>
      <c r="D90" s="10"/>
      <c r="E90" s="10"/>
      <c r="F90" s="10"/>
      <c r="G90" s="10"/>
      <c r="H90" s="10"/>
      <c r="I90" s="12"/>
      <c r="J90" s="13"/>
    </row>
    <row r="91" spans="1:10" ht="75" customHeight="1">
      <c r="A91" s="7"/>
      <c r="B91" s="18"/>
      <c r="C91" s="9"/>
      <c r="D91" s="10"/>
      <c r="E91" s="10"/>
      <c r="F91" s="10"/>
      <c r="G91" s="10"/>
      <c r="H91" s="10"/>
      <c r="I91" s="12"/>
      <c r="J91" s="13"/>
    </row>
    <row r="92" spans="1:10" ht="75" customHeight="1">
      <c r="A92" s="7"/>
      <c r="B92" s="18"/>
      <c r="C92" s="9"/>
      <c r="D92" s="10"/>
      <c r="E92" s="10"/>
      <c r="F92" s="10"/>
      <c r="G92" s="10"/>
      <c r="H92" s="10"/>
      <c r="I92" s="12"/>
      <c r="J92" s="13"/>
    </row>
    <row r="93" spans="1:10" ht="75" customHeight="1">
      <c r="A93" s="7"/>
      <c r="B93" s="18"/>
      <c r="C93" s="9"/>
      <c r="D93" s="10"/>
      <c r="E93" s="10"/>
      <c r="F93" s="10"/>
      <c r="G93" s="10"/>
      <c r="H93" s="10"/>
      <c r="I93" s="12"/>
      <c r="J93" s="13"/>
    </row>
    <row r="94" spans="1:10" ht="75" customHeight="1">
      <c r="A94" s="7"/>
      <c r="B94" s="18"/>
      <c r="C94" s="9"/>
      <c r="D94" s="10"/>
      <c r="E94" s="10"/>
      <c r="F94" s="10"/>
      <c r="G94" s="10"/>
      <c r="H94" s="10"/>
      <c r="I94" s="12"/>
      <c r="J94" s="13"/>
    </row>
    <row r="95" spans="1:10" ht="75" customHeight="1">
      <c r="A95" s="7"/>
      <c r="B95" s="18"/>
      <c r="C95" s="9"/>
      <c r="D95" s="10"/>
      <c r="E95" s="10"/>
      <c r="F95" s="10"/>
      <c r="G95" s="10"/>
      <c r="H95" s="10"/>
      <c r="I95" s="12"/>
      <c r="J95" s="13"/>
    </row>
    <row r="96" spans="1:10" ht="75" customHeight="1">
      <c r="A96" s="7"/>
      <c r="B96" s="18"/>
      <c r="C96" s="9"/>
      <c r="D96" s="10"/>
      <c r="E96" s="10"/>
      <c r="F96" s="10"/>
      <c r="G96" s="10"/>
      <c r="H96" s="10"/>
      <c r="I96" s="12"/>
      <c r="J96" s="13"/>
    </row>
    <row r="97" spans="1:10" ht="75" customHeight="1">
      <c r="A97" s="7"/>
      <c r="B97" s="18"/>
      <c r="C97" s="9"/>
      <c r="D97" s="10"/>
      <c r="E97" s="10"/>
      <c r="F97" s="10"/>
      <c r="G97" s="10"/>
      <c r="H97" s="10"/>
      <c r="I97" s="12"/>
      <c r="J97" s="13"/>
    </row>
    <row r="98" spans="1:10" ht="75" customHeight="1">
      <c r="A98" s="7"/>
      <c r="B98" s="18"/>
      <c r="C98" s="9"/>
      <c r="D98" s="10"/>
      <c r="E98" s="10"/>
      <c r="F98" s="10"/>
      <c r="G98" s="10"/>
      <c r="H98" s="10"/>
      <c r="I98" s="12"/>
      <c r="J98" s="13"/>
    </row>
    <row r="99" spans="1:10" ht="75" customHeight="1">
      <c r="A99" s="7"/>
      <c r="B99" s="18"/>
      <c r="C99" s="9"/>
      <c r="D99" s="10"/>
      <c r="E99" s="10"/>
      <c r="F99" s="10"/>
      <c r="G99" s="10"/>
      <c r="H99" s="10"/>
      <c r="I99" s="12"/>
      <c r="J99" s="13"/>
    </row>
    <row r="100" spans="1:10" ht="75" customHeight="1">
      <c r="A100" s="7"/>
      <c r="B100" s="18"/>
      <c r="C100" s="9"/>
      <c r="D100" s="10"/>
      <c r="E100" s="10"/>
      <c r="F100" s="10"/>
      <c r="G100" s="10"/>
      <c r="H100" s="10"/>
      <c r="I100" s="12"/>
      <c r="J100" s="13"/>
    </row>
    <row r="101" spans="1:10" ht="75" customHeight="1">
      <c r="A101" s="7"/>
      <c r="B101" s="18"/>
      <c r="C101" s="9"/>
      <c r="D101" s="10"/>
      <c r="E101" s="10"/>
      <c r="F101" s="10"/>
      <c r="G101" s="10"/>
      <c r="H101" s="10"/>
      <c r="I101" s="12"/>
      <c r="J101" s="13"/>
    </row>
    <row r="102" spans="1:10" ht="75" customHeight="1">
      <c r="A102" s="7"/>
      <c r="B102" s="18"/>
      <c r="C102" s="9"/>
      <c r="D102" s="10"/>
      <c r="E102" s="10"/>
      <c r="F102" s="10"/>
      <c r="G102" s="10"/>
      <c r="H102" s="10"/>
      <c r="I102" s="12"/>
      <c r="J102" s="13"/>
    </row>
    <row r="103" spans="1:10" ht="75" customHeight="1">
      <c r="A103" s="7"/>
      <c r="B103" s="18"/>
      <c r="C103" s="9"/>
      <c r="D103" s="10"/>
      <c r="E103" s="10"/>
      <c r="F103" s="10"/>
      <c r="G103" s="10"/>
      <c r="H103" s="10"/>
      <c r="I103" s="12"/>
      <c r="J103" s="13"/>
    </row>
    <row r="104" spans="1:10" ht="75" customHeight="1">
      <c r="A104" s="7"/>
      <c r="B104" s="18"/>
      <c r="C104" s="9"/>
      <c r="D104" s="10"/>
      <c r="E104" s="10"/>
      <c r="F104" s="10"/>
      <c r="G104" s="10"/>
      <c r="H104" s="10"/>
      <c r="I104" s="12"/>
      <c r="J104" s="13"/>
    </row>
    <row r="105" spans="1:10" ht="75" customHeight="1">
      <c r="A105" s="7"/>
      <c r="B105" s="18"/>
      <c r="C105" s="9"/>
      <c r="D105" s="10"/>
      <c r="E105" s="10"/>
      <c r="F105" s="10"/>
      <c r="G105" s="10"/>
      <c r="H105" s="10"/>
      <c r="I105" s="12"/>
      <c r="J105" s="13"/>
    </row>
    <row r="106" spans="1:10" ht="75" customHeight="1">
      <c r="A106" s="7"/>
      <c r="B106" s="18"/>
      <c r="C106" s="9"/>
      <c r="D106" s="10"/>
      <c r="E106" s="10"/>
      <c r="F106" s="10"/>
      <c r="G106" s="10"/>
      <c r="H106" s="10"/>
      <c r="I106" s="12"/>
      <c r="J106" s="13"/>
    </row>
    <row r="107" spans="1:10" ht="75" customHeight="1">
      <c r="A107" s="7"/>
      <c r="B107" s="18"/>
      <c r="C107" s="9"/>
      <c r="D107" s="10"/>
      <c r="E107" s="10"/>
      <c r="F107" s="10"/>
      <c r="G107" s="10"/>
      <c r="H107" s="10"/>
      <c r="I107" s="12"/>
      <c r="J107" s="13"/>
    </row>
    <row r="108" spans="1:10" ht="75" customHeight="1">
      <c r="A108" s="7"/>
      <c r="B108" s="18"/>
      <c r="C108" s="9"/>
      <c r="D108" s="10"/>
      <c r="E108" s="10"/>
      <c r="F108" s="10"/>
      <c r="G108" s="10"/>
      <c r="H108" s="10"/>
      <c r="I108" s="12"/>
      <c r="J108" s="13"/>
    </row>
    <row r="109" spans="1:10" ht="75" customHeight="1">
      <c r="A109" s="7"/>
      <c r="B109" s="18"/>
      <c r="C109" s="9"/>
      <c r="D109" s="10"/>
      <c r="E109" s="10"/>
      <c r="F109" s="10"/>
      <c r="G109" s="10"/>
      <c r="H109" s="10"/>
      <c r="I109" s="12"/>
      <c r="J109" s="13"/>
    </row>
    <row r="110" spans="1:10" ht="75" customHeight="1">
      <c r="A110" s="7"/>
      <c r="B110" s="18"/>
      <c r="C110" s="9"/>
      <c r="D110" s="10"/>
      <c r="E110" s="10"/>
      <c r="F110" s="10"/>
      <c r="G110" s="10"/>
      <c r="H110" s="10"/>
      <c r="I110" s="12"/>
      <c r="J110" s="13"/>
    </row>
    <row r="111" spans="1:10" ht="75" customHeight="1">
      <c r="A111" s="7"/>
      <c r="B111" s="18"/>
      <c r="C111" s="9"/>
      <c r="D111" s="10"/>
      <c r="E111" s="10"/>
      <c r="F111" s="10"/>
      <c r="G111" s="10"/>
      <c r="H111" s="10"/>
      <c r="I111" s="12"/>
      <c r="J111" s="13"/>
    </row>
    <row r="112" spans="1:10" ht="75" customHeight="1">
      <c r="A112" s="7"/>
      <c r="B112" s="18"/>
      <c r="C112" s="9"/>
      <c r="D112" s="10"/>
      <c r="E112" s="10"/>
      <c r="F112" s="10"/>
      <c r="G112" s="10"/>
      <c r="H112" s="10"/>
      <c r="I112" s="12"/>
      <c r="J112" s="13"/>
    </row>
    <row r="113" spans="1:10" ht="75" customHeight="1">
      <c r="A113" s="7"/>
      <c r="B113" s="18"/>
      <c r="C113" s="9"/>
      <c r="D113" s="10"/>
      <c r="E113" s="10"/>
      <c r="F113" s="10"/>
      <c r="G113" s="10"/>
      <c r="H113" s="10"/>
      <c r="I113" s="12"/>
      <c r="J113" s="13"/>
    </row>
    <row r="114" spans="1:10" ht="75" customHeight="1">
      <c r="A114" s="7"/>
      <c r="B114" s="18"/>
      <c r="C114" s="9"/>
      <c r="D114" s="10"/>
      <c r="E114" s="10"/>
      <c r="F114" s="10"/>
      <c r="G114" s="10"/>
      <c r="H114" s="10"/>
      <c r="I114" s="12"/>
      <c r="J114" s="13"/>
    </row>
    <row r="115" spans="1:10" ht="75" customHeight="1">
      <c r="A115" s="7"/>
      <c r="B115" s="18"/>
      <c r="C115" s="9"/>
      <c r="D115" s="10"/>
      <c r="E115" s="10"/>
      <c r="F115" s="10"/>
      <c r="G115" s="10"/>
      <c r="H115" s="10"/>
      <c r="I115" s="12"/>
      <c r="J115" s="13"/>
    </row>
    <row r="116" spans="1:10" ht="75" customHeight="1">
      <c r="A116" s="7"/>
      <c r="B116" s="18"/>
      <c r="C116" s="9"/>
      <c r="D116" s="10"/>
      <c r="E116" s="10"/>
      <c r="F116" s="10"/>
      <c r="G116" s="10"/>
      <c r="H116" s="10"/>
      <c r="I116" s="12"/>
      <c r="J116" s="13"/>
    </row>
    <row r="117" spans="1:10" ht="75" customHeight="1">
      <c r="A117" s="7"/>
      <c r="B117" s="18"/>
      <c r="C117" s="9"/>
      <c r="D117" s="10"/>
      <c r="E117" s="10"/>
      <c r="F117" s="10"/>
      <c r="G117" s="10"/>
      <c r="H117" s="10"/>
      <c r="I117" s="12"/>
      <c r="J117" s="13"/>
    </row>
    <row r="118" spans="1:10" ht="75" customHeight="1">
      <c r="A118" s="7"/>
      <c r="B118" s="18"/>
      <c r="C118" s="9"/>
      <c r="D118" s="10"/>
      <c r="E118" s="10"/>
      <c r="F118" s="10"/>
      <c r="G118" s="10"/>
      <c r="H118" s="10"/>
      <c r="I118" s="12"/>
      <c r="J118" s="13"/>
    </row>
    <row r="119" spans="1:10" ht="75" customHeight="1">
      <c r="A119" s="7"/>
      <c r="B119" s="18"/>
      <c r="C119" s="9"/>
      <c r="D119" s="10"/>
      <c r="E119" s="10"/>
      <c r="F119" s="10"/>
      <c r="G119" s="10"/>
      <c r="H119" s="10"/>
      <c r="I119" s="12"/>
      <c r="J119" s="13"/>
    </row>
    <row r="120" spans="1:10" ht="75" customHeight="1">
      <c r="A120" s="7"/>
      <c r="B120" s="18"/>
      <c r="C120" s="9"/>
      <c r="D120" s="10"/>
      <c r="E120" s="10"/>
      <c r="F120" s="10"/>
      <c r="G120" s="10"/>
      <c r="H120" s="10"/>
      <c r="I120" s="12"/>
      <c r="J120" s="13"/>
    </row>
    <row r="121" spans="1:10" ht="75" customHeight="1">
      <c r="A121" s="7"/>
      <c r="B121" s="18"/>
      <c r="C121" s="9"/>
      <c r="D121" s="10"/>
      <c r="E121" s="10"/>
      <c r="F121" s="10"/>
      <c r="G121" s="10"/>
      <c r="H121" s="10"/>
      <c r="I121" s="12"/>
      <c r="J121" s="13"/>
    </row>
    <row r="122" spans="1:10" ht="75" customHeight="1">
      <c r="A122" s="7"/>
      <c r="B122" s="18"/>
      <c r="C122" s="9"/>
      <c r="D122" s="10"/>
      <c r="E122" s="10"/>
      <c r="F122" s="10"/>
      <c r="G122" s="10"/>
      <c r="H122" s="10"/>
      <c r="I122" s="12"/>
      <c r="J122" s="13"/>
    </row>
    <row r="123" spans="1:10" ht="75" customHeight="1">
      <c r="A123" s="7"/>
      <c r="B123" s="18"/>
      <c r="C123" s="9"/>
      <c r="D123" s="10"/>
      <c r="E123" s="10"/>
      <c r="F123" s="10"/>
      <c r="G123" s="10"/>
      <c r="H123" s="10"/>
      <c r="I123" s="12"/>
      <c r="J123" s="13"/>
    </row>
    <row r="124" spans="1:10" ht="75" customHeight="1">
      <c r="A124" s="7"/>
      <c r="B124" s="18"/>
      <c r="C124" s="9"/>
      <c r="D124" s="10"/>
      <c r="E124" s="10"/>
      <c r="F124" s="10"/>
      <c r="G124" s="10"/>
      <c r="H124" s="10"/>
      <c r="I124" s="12"/>
      <c r="J124" s="13"/>
    </row>
    <row r="125" spans="1:10" ht="75" customHeight="1">
      <c r="A125" s="7"/>
      <c r="B125" s="18"/>
      <c r="C125" s="9"/>
      <c r="D125" s="10"/>
      <c r="E125" s="10"/>
      <c r="F125" s="10"/>
      <c r="G125" s="10"/>
      <c r="H125" s="10"/>
      <c r="I125" s="12"/>
      <c r="J125" s="13"/>
    </row>
    <row r="126" spans="1:10" ht="75" customHeight="1">
      <c r="A126" s="7"/>
      <c r="B126" s="18"/>
      <c r="C126" s="9"/>
      <c r="D126" s="10"/>
      <c r="E126" s="10"/>
      <c r="F126" s="10"/>
      <c r="G126" s="10"/>
      <c r="H126" s="10"/>
      <c r="I126" s="12"/>
      <c r="J126" s="13"/>
    </row>
    <row r="127" spans="1:10" ht="75" customHeight="1">
      <c r="A127" s="7"/>
      <c r="B127" s="18"/>
      <c r="C127" s="9"/>
      <c r="D127" s="10"/>
      <c r="E127" s="10"/>
      <c r="F127" s="10"/>
      <c r="G127" s="10"/>
      <c r="H127" s="10"/>
      <c r="I127" s="12"/>
      <c r="J127" s="13"/>
    </row>
    <row r="128" spans="1:10" ht="75" customHeight="1">
      <c r="A128" s="7"/>
      <c r="B128" s="18"/>
      <c r="C128" s="9"/>
      <c r="D128" s="10"/>
      <c r="E128" s="10"/>
      <c r="F128" s="10"/>
      <c r="G128" s="10"/>
      <c r="H128" s="10"/>
      <c r="I128" s="12"/>
      <c r="J128" s="13"/>
    </row>
    <row r="129" spans="1:10" ht="75" customHeight="1">
      <c r="A129" s="7"/>
      <c r="B129" s="18"/>
      <c r="C129" s="9"/>
      <c r="D129" s="10"/>
      <c r="E129" s="10"/>
      <c r="F129" s="10"/>
      <c r="G129" s="10"/>
      <c r="H129" s="10"/>
      <c r="I129" s="12"/>
      <c r="J129" s="13"/>
    </row>
    <row r="130" spans="1:10" ht="75" customHeight="1">
      <c r="A130" s="7"/>
      <c r="B130" s="18"/>
      <c r="C130" s="9"/>
      <c r="D130" s="10"/>
      <c r="E130" s="10"/>
      <c r="F130" s="10"/>
      <c r="G130" s="10"/>
      <c r="H130" s="10"/>
      <c r="I130" s="12"/>
      <c r="J130" s="13"/>
    </row>
    <row r="131" spans="1:10" ht="75" customHeight="1">
      <c r="A131" s="7"/>
      <c r="B131" s="18"/>
      <c r="C131" s="9"/>
      <c r="D131" s="10"/>
      <c r="E131" s="10"/>
      <c r="F131" s="10"/>
      <c r="G131" s="10"/>
      <c r="H131" s="10"/>
      <c r="I131" s="12"/>
      <c r="J131" s="13"/>
    </row>
    <row r="132" spans="1:10" ht="75" customHeight="1">
      <c r="A132" s="7"/>
      <c r="B132" s="18"/>
      <c r="C132" s="9"/>
      <c r="D132" s="10"/>
      <c r="E132" s="10"/>
      <c r="F132" s="10"/>
      <c r="G132" s="10"/>
      <c r="H132" s="10"/>
      <c r="I132" s="12"/>
      <c r="J132" s="13"/>
    </row>
    <row r="133" spans="1:10" ht="75" customHeight="1">
      <c r="A133" s="7"/>
      <c r="B133" s="18"/>
      <c r="C133" s="9"/>
      <c r="D133" s="10"/>
      <c r="E133" s="10"/>
      <c r="F133" s="10"/>
      <c r="G133" s="10"/>
      <c r="H133" s="10"/>
      <c r="I133" s="12"/>
      <c r="J133" s="13"/>
    </row>
    <row r="134" spans="1:10" ht="75" customHeight="1">
      <c r="A134" s="7"/>
      <c r="B134" s="18"/>
      <c r="C134" s="9"/>
      <c r="D134" s="10"/>
      <c r="E134" s="10"/>
      <c r="F134" s="10"/>
      <c r="G134" s="10"/>
      <c r="H134" s="10"/>
      <c r="I134" s="12"/>
      <c r="J134" s="13"/>
    </row>
    <row r="135" spans="1:10" ht="75" customHeight="1">
      <c r="A135" s="7"/>
      <c r="B135" s="18"/>
      <c r="C135" s="9"/>
      <c r="D135" s="10"/>
      <c r="E135" s="10"/>
      <c r="F135" s="10"/>
      <c r="G135" s="10"/>
      <c r="H135" s="10"/>
      <c r="I135" s="12"/>
      <c r="J135" s="13"/>
    </row>
    <row r="136" spans="1:10" ht="75" customHeight="1">
      <c r="A136" s="7"/>
      <c r="B136" s="18"/>
      <c r="C136" s="9"/>
      <c r="D136" s="10"/>
      <c r="E136" s="10"/>
      <c r="F136" s="10"/>
      <c r="G136" s="10"/>
      <c r="H136" s="10"/>
      <c r="I136" s="12"/>
      <c r="J136" s="13"/>
    </row>
    <row r="137" spans="1:10" ht="75" customHeight="1">
      <c r="A137" s="7"/>
      <c r="B137" s="18"/>
      <c r="C137" s="9"/>
      <c r="D137" s="10"/>
      <c r="E137" s="10"/>
      <c r="F137" s="10"/>
      <c r="G137" s="10"/>
      <c r="H137" s="10"/>
      <c r="I137" s="12"/>
      <c r="J137" s="13"/>
    </row>
    <row r="138" spans="1:10" ht="75" customHeight="1">
      <c r="A138" s="7"/>
      <c r="B138" s="18"/>
      <c r="C138" s="9"/>
      <c r="D138" s="10"/>
      <c r="E138" s="10"/>
      <c r="F138" s="10"/>
      <c r="G138" s="10"/>
      <c r="H138" s="10"/>
      <c r="I138" s="12"/>
      <c r="J138" s="13"/>
    </row>
    <row r="139" spans="1:10" ht="75" customHeight="1">
      <c r="A139" s="7"/>
      <c r="B139" s="18"/>
      <c r="C139" s="9"/>
      <c r="D139" s="10"/>
      <c r="E139" s="10"/>
      <c r="F139" s="10"/>
      <c r="G139" s="10"/>
      <c r="H139" s="10"/>
      <c r="I139" s="12"/>
      <c r="J139" s="13"/>
    </row>
    <row r="140" spans="1:10" ht="75" customHeight="1">
      <c r="A140" s="7"/>
      <c r="B140" s="18"/>
      <c r="C140" s="9"/>
      <c r="D140" s="10"/>
      <c r="E140" s="10"/>
      <c r="F140" s="10"/>
      <c r="G140" s="10"/>
      <c r="H140" s="10"/>
      <c r="I140" s="12"/>
      <c r="J140" s="13"/>
    </row>
    <row r="141" spans="1:10" ht="75" customHeight="1">
      <c r="A141" s="7"/>
      <c r="B141" s="18"/>
      <c r="C141" s="9"/>
      <c r="D141" s="10"/>
      <c r="E141" s="10"/>
      <c r="F141" s="10"/>
      <c r="G141" s="10"/>
      <c r="H141" s="10"/>
      <c r="I141" s="12"/>
      <c r="J141" s="13"/>
    </row>
    <row r="142" spans="1:10" ht="75" customHeight="1">
      <c r="A142" s="7"/>
      <c r="B142" s="18"/>
      <c r="C142" s="9"/>
      <c r="D142" s="10"/>
      <c r="E142" s="10"/>
      <c r="F142" s="10"/>
      <c r="G142" s="10"/>
      <c r="H142" s="10"/>
      <c r="I142" s="12"/>
      <c r="J142" s="13"/>
    </row>
    <row r="143" spans="1:10" ht="75" customHeight="1">
      <c r="A143" s="7"/>
      <c r="B143" s="18"/>
      <c r="C143" s="9"/>
      <c r="D143" s="10"/>
      <c r="E143" s="10"/>
      <c r="F143" s="10"/>
      <c r="G143" s="10"/>
      <c r="H143" s="10"/>
      <c r="I143" s="12"/>
      <c r="J143" s="13"/>
    </row>
    <row r="144" spans="1:10" ht="75" customHeight="1">
      <c r="A144" s="7"/>
      <c r="B144" s="18"/>
      <c r="C144" s="9"/>
      <c r="D144" s="10"/>
      <c r="E144" s="10"/>
      <c r="F144" s="10"/>
      <c r="G144" s="10"/>
      <c r="H144" s="10"/>
      <c r="I144" s="12"/>
      <c r="J144" s="13"/>
    </row>
    <row r="145" spans="1:10" ht="75" customHeight="1">
      <c r="A145" s="7"/>
      <c r="B145" s="18"/>
      <c r="C145" s="9"/>
      <c r="D145" s="10"/>
      <c r="E145" s="10"/>
      <c r="F145" s="10"/>
      <c r="G145" s="10"/>
      <c r="H145" s="10"/>
      <c r="I145" s="12"/>
      <c r="J145" s="13"/>
    </row>
    <row r="146" spans="1:10" ht="75" customHeight="1">
      <c r="A146" s="7"/>
      <c r="B146" s="18"/>
      <c r="C146" s="9"/>
      <c r="D146" s="10"/>
      <c r="E146" s="10"/>
      <c r="F146" s="10"/>
      <c r="G146" s="10"/>
      <c r="H146" s="10"/>
      <c r="I146" s="12"/>
      <c r="J146" s="13"/>
    </row>
    <row r="147" spans="1:10" ht="75" customHeight="1">
      <c r="A147" s="7"/>
      <c r="B147" s="18"/>
      <c r="C147" s="9"/>
      <c r="D147" s="10"/>
      <c r="E147" s="10"/>
      <c r="F147" s="10"/>
      <c r="G147" s="10"/>
      <c r="H147" s="10"/>
      <c r="I147" s="12"/>
      <c r="J147" s="13"/>
    </row>
    <row r="148" spans="1:10" ht="75" customHeight="1">
      <c r="A148" s="7"/>
      <c r="B148" s="18"/>
      <c r="C148" s="9"/>
      <c r="D148" s="10"/>
      <c r="E148" s="10"/>
      <c r="F148" s="10"/>
      <c r="G148" s="10"/>
      <c r="H148" s="10"/>
      <c r="I148" s="12"/>
      <c r="J148" s="13"/>
    </row>
    <row r="149" spans="1:10" ht="75" customHeight="1">
      <c r="A149" s="7"/>
      <c r="B149" s="18"/>
      <c r="C149" s="9"/>
      <c r="D149" s="10"/>
      <c r="E149" s="10"/>
      <c r="F149" s="10"/>
      <c r="G149" s="10"/>
      <c r="H149" s="10"/>
      <c r="I149" s="12"/>
      <c r="J149" s="13"/>
    </row>
    <row r="150" spans="1:10" ht="75" customHeight="1">
      <c r="A150" s="7"/>
      <c r="B150" s="18"/>
      <c r="C150" s="9"/>
      <c r="D150" s="10"/>
      <c r="E150" s="10"/>
      <c r="F150" s="10"/>
      <c r="G150" s="10"/>
      <c r="H150" s="10"/>
      <c r="I150" s="12"/>
      <c r="J150" s="13"/>
    </row>
    <row r="151" spans="1:10" ht="75" customHeight="1">
      <c r="A151" s="7"/>
      <c r="B151" s="18"/>
      <c r="C151" s="9"/>
      <c r="D151" s="10"/>
      <c r="E151" s="10"/>
      <c r="F151" s="10"/>
      <c r="G151" s="10"/>
      <c r="H151" s="10"/>
      <c r="I151" s="12"/>
      <c r="J151" s="13"/>
    </row>
    <row r="152" spans="1:10" ht="75" customHeight="1">
      <c r="A152" s="7"/>
      <c r="B152" s="18"/>
      <c r="C152" s="9"/>
      <c r="D152" s="10"/>
      <c r="E152" s="10"/>
      <c r="F152" s="10"/>
      <c r="G152" s="10"/>
      <c r="H152" s="10"/>
      <c r="I152" s="12"/>
      <c r="J152" s="13"/>
    </row>
    <row r="153" spans="1:10" ht="75" customHeight="1">
      <c r="A153" s="7"/>
      <c r="B153" s="18"/>
      <c r="C153" s="9"/>
      <c r="D153" s="10"/>
      <c r="E153" s="10"/>
      <c r="F153" s="10"/>
      <c r="G153" s="10"/>
      <c r="H153" s="10"/>
      <c r="I153" s="12"/>
      <c r="J153" s="13"/>
    </row>
    <row r="154" spans="1:10" ht="75" customHeight="1">
      <c r="A154" s="7"/>
      <c r="B154" s="18"/>
      <c r="C154" s="9"/>
      <c r="D154" s="10"/>
      <c r="E154" s="10"/>
      <c r="F154" s="10"/>
      <c r="G154" s="10"/>
      <c r="H154" s="10"/>
      <c r="I154" s="12"/>
      <c r="J154" s="13"/>
    </row>
    <row r="155" spans="1:10" ht="75" customHeight="1">
      <c r="A155" s="7"/>
      <c r="B155" s="18"/>
      <c r="C155" s="9"/>
      <c r="D155" s="10"/>
      <c r="E155" s="10"/>
      <c r="F155" s="10"/>
      <c r="G155" s="10"/>
      <c r="H155" s="10"/>
      <c r="I155" s="12"/>
      <c r="J155" s="13"/>
    </row>
    <row r="156" spans="1:10" ht="75" customHeight="1">
      <c r="A156" s="7"/>
      <c r="B156" s="18"/>
      <c r="C156" s="9"/>
      <c r="D156" s="10"/>
      <c r="E156" s="10"/>
      <c r="F156" s="10"/>
      <c r="G156" s="10"/>
      <c r="H156" s="10"/>
      <c r="I156" s="12"/>
      <c r="J156" s="13"/>
    </row>
    <row r="157" spans="1:10" ht="75" customHeight="1">
      <c r="A157" s="7"/>
      <c r="B157" s="18"/>
      <c r="C157" s="9"/>
      <c r="D157" s="10"/>
      <c r="E157" s="10"/>
      <c r="F157" s="10"/>
      <c r="G157" s="10"/>
      <c r="H157" s="10"/>
      <c r="I157" s="12"/>
      <c r="J157" s="13"/>
    </row>
    <row r="158" spans="1:10" ht="75" customHeight="1">
      <c r="A158" s="7"/>
      <c r="B158" s="18"/>
      <c r="C158" s="9"/>
      <c r="D158" s="10"/>
      <c r="E158" s="10"/>
      <c r="F158" s="10"/>
      <c r="G158" s="10"/>
      <c r="H158" s="10"/>
      <c r="I158" s="12"/>
      <c r="J158" s="13"/>
    </row>
    <row r="159" spans="1:10" ht="75" customHeight="1">
      <c r="A159" s="7"/>
      <c r="B159" s="18"/>
      <c r="C159" s="9"/>
      <c r="D159" s="10"/>
      <c r="E159" s="10"/>
      <c r="F159" s="10"/>
      <c r="G159" s="10"/>
      <c r="H159" s="10"/>
      <c r="I159" s="12"/>
      <c r="J159" s="13"/>
    </row>
    <row r="160" spans="1:10" ht="75" customHeight="1">
      <c r="A160" s="7"/>
      <c r="B160" s="18"/>
      <c r="C160" s="9"/>
      <c r="D160" s="10"/>
      <c r="E160" s="10"/>
      <c r="F160" s="10"/>
      <c r="G160" s="10"/>
      <c r="H160" s="10"/>
      <c r="I160" s="12"/>
      <c r="J160" s="13"/>
    </row>
    <row r="161" spans="1:10" ht="75" customHeight="1">
      <c r="A161" s="7"/>
      <c r="B161" s="18"/>
      <c r="C161" s="9"/>
      <c r="D161" s="10"/>
      <c r="E161" s="10"/>
      <c r="F161" s="10"/>
      <c r="G161" s="10"/>
      <c r="H161" s="10"/>
      <c r="I161" s="12"/>
      <c r="J161" s="13"/>
    </row>
    <row r="162" spans="1:10" ht="75" customHeight="1">
      <c r="A162" s="7"/>
      <c r="B162" s="18"/>
      <c r="C162" s="9"/>
      <c r="D162" s="10"/>
      <c r="E162" s="10"/>
      <c r="F162" s="10"/>
      <c r="G162" s="10"/>
      <c r="H162" s="10"/>
      <c r="I162" s="12"/>
      <c r="J162" s="13"/>
    </row>
    <row r="163" spans="1:10" ht="75" customHeight="1">
      <c r="A163" s="7"/>
      <c r="B163" s="18"/>
      <c r="C163" s="9"/>
      <c r="D163" s="10"/>
      <c r="E163" s="10"/>
      <c r="F163" s="10"/>
      <c r="G163" s="10"/>
      <c r="H163" s="10"/>
      <c r="I163" s="12"/>
      <c r="J163" s="13"/>
    </row>
    <row r="164" spans="1:10" ht="75" customHeight="1">
      <c r="A164" s="7"/>
      <c r="B164" s="18"/>
      <c r="C164" s="9"/>
      <c r="D164" s="10"/>
      <c r="E164" s="10"/>
      <c r="F164" s="10"/>
      <c r="G164" s="10"/>
      <c r="H164" s="10"/>
      <c r="I164" s="12"/>
      <c r="J164" s="13"/>
    </row>
    <row r="165" spans="1:10" ht="75" customHeight="1">
      <c r="A165" s="7"/>
      <c r="B165" s="18"/>
      <c r="C165" s="9"/>
      <c r="D165" s="10"/>
      <c r="E165" s="10"/>
      <c r="F165" s="10"/>
      <c r="G165" s="10"/>
      <c r="H165" s="10"/>
      <c r="I165" s="12"/>
      <c r="J165" s="13"/>
    </row>
    <row r="166" spans="1:10" ht="75" customHeight="1">
      <c r="A166" s="7"/>
      <c r="B166" s="18"/>
      <c r="C166" s="9"/>
      <c r="D166" s="10"/>
      <c r="E166" s="10"/>
      <c r="F166" s="10"/>
      <c r="G166" s="10"/>
      <c r="H166" s="10"/>
      <c r="I166" s="12"/>
      <c r="J166" s="13"/>
    </row>
    <row r="167" spans="1:10" ht="75" customHeight="1">
      <c r="A167" s="7"/>
      <c r="B167" s="18"/>
      <c r="C167" s="9"/>
      <c r="D167" s="10"/>
      <c r="E167" s="10"/>
      <c r="F167" s="10"/>
      <c r="G167" s="10"/>
      <c r="H167" s="10"/>
      <c r="I167" s="12"/>
      <c r="J167" s="13"/>
    </row>
    <row r="168" spans="1:10" ht="75" customHeight="1">
      <c r="A168" s="7"/>
      <c r="B168" s="18"/>
      <c r="C168" s="9"/>
      <c r="D168" s="10"/>
      <c r="E168" s="10"/>
      <c r="F168" s="10"/>
      <c r="G168" s="10"/>
      <c r="H168" s="10"/>
      <c r="I168" s="12"/>
      <c r="J168" s="13"/>
    </row>
    <row r="169" spans="1:10" ht="75" customHeight="1">
      <c r="A169" s="7"/>
      <c r="B169" s="18"/>
      <c r="C169" s="9"/>
      <c r="D169" s="10"/>
      <c r="E169" s="10"/>
      <c r="F169" s="10"/>
      <c r="G169" s="10"/>
      <c r="H169" s="10"/>
      <c r="I169" s="12"/>
      <c r="J169" s="13"/>
    </row>
    <row r="170" spans="1:10" ht="75" customHeight="1">
      <c r="A170" s="7"/>
      <c r="B170" s="18"/>
      <c r="C170" s="9"/>
      <c r="D170" s="10"/>
      <c r="E170" s="10"/>
      <c r="F170" s="10"/>
      <c r="G170" s="10"/>
      <c r="H170" s="10"/>
      <c r="I170" s="12"/>
      <c r="J170" s="13"/>
    </row>
    <row r="171" spans="1:10" ht="75" customHeight="1">
      <c r="A171" s="7"/>
      <c r="B171" s="18"/>
      <c r="C171" s="9"/>
      <c r="D171" s="10"/>
      <c r="E171" s="10"/>
      <c r="F171" s="10"/>
      <c r="G171" s="10"/>
      <c r="H171" s="10"/>
      <c r="I171" s="12"/>
      <c r="J171" s="13"/>
    </row>
    <row r="172" spans="1:10" ht="75" customHeight="1">
      <c r="A172" s="7"/>
      <c r="B172" s="18"/>
      <c r="C172" s="9"/>
      <c r="D172" s="10"/>
      <c r="E172" s="10"/>
      <c r="F172" s="10"/>
      <c r="G172" s="10"/>
      <c r="H172" s="10"/>
      <c r="I172" s="12"/>
      <c r="J172" s="13"/>
    </row>
    <row r="173" spans="1:10" ht="75" customHeight="1">
      <c r="A173" s="7"/>
      <c r="B173" s="18"/>
      <c r="C173" s="9"/>
      <c r="D173" s="10"/>
      <c r="E173" s="10"/>
      <c r="F173" s="10"/>
      <c r="G173" s="10"/>
      <c r="H173" s="10"/>
      <c r="I173" s="12"/>
      <c r="J173" s="13"/>
    </row>
    <row r="174" spans="1:10" ht="75" customHeight="1">
      <c r="A174" s="7"/>
      <c r="B174" s="18"/>
      <c r="C174" s="9"/>
      <c r="D174" s="10"/>
      <c r="E174" s="10"/>
      <c r="F174" s="10"/>
      <c r="G174" s="10"/>
      <c r="H174" s="10"/>
      <c r="I174" s="12"/>
      <c r="J174" s="13"/>
    </row>
    <row r="175" spans="1:10" ht="75" customHeight="1">
      <c r="A175" s="7"/>
      <c r="B175" s="18"/>
      <c r="C175" s="9"/>
      <c r="D175" s="10"/>
      <c r="E175" s="10"/>
      <c r="F175" s="10"/>
      <c r="G175" s="10"/>
      <c r="H175" s="10"/>
      <c r="I175" s="12"/>
      <c r="J175" s="13"/>
    </row>
    <row r="176" spans="1:10" ht="75" customHeight="1">
      <c r="A176" s="7"/>
      <c r="B176" s="18"/>
      <c r="C176" s="9"/>
      <c r="D176" s="10"/>
      <c r="E176" s="10"/>
      <c r="F176" s="10"/>
      <c r="G176" s="10"/>
      <c r="H176" s="10"/>
      <c r="I176" s="12"/>
      <c r="J176" s="13"/>
    </row>
    <row r="177" spans="1:10" ht="75" customHeight="1">
      <c r="A177" s="7"/>
      <c r="B177" s="18"/>
      <c r="C177" s="9"/>
      <c r="D177" s="10"/>
      <c r="E177" s="10"/>
      <c r="F177" s="10"/>
      <c r="G177" s="10"/>
      <c r="H177" s="10"/>
      <c r="I177" s="12"/>
      <c r="J177" s="13"/>
    </row>
    <row r="178" spans="1:10" ht="75" customHeight="1">
      <c r="A178" s="7"/>
      <c r="B178" s="18"/>
      <c r="C178" s="9"/>
      <c r="D178" s="10"/>
      <c r="E178" s="10"/>
      <c r="F178" s="10"/>
      <c r="G178" s="10"/>
      <c r="H178" s="10"/>
      <c r="I178" s="12"/>
      <c r="J178" s="13"/>
    </row>
    <row r="179" spans="1:10" ht="75" customHeight="1">
      <c r="A179" s="7"/>
      <c r="B179" s="18"/>
      <c r="C179" s="9"/>
      <c r="D179" s="10"/>
      <c r="E179" s="10"/>
      <c r="F179" s="10"/>
      <c r="G179" s="10"/>
      <c r="H179" s="10"/>
      <c r="I179" s="12"/>
      <c r="J179" s="13"/>
    </row>
    <row r="180" spans="1:10" ht="75" customHeight="1">
      <c r="A180" s="7"/>
      <c r="B180" s="18"/>
      <c r="C180" s="9"/>
      <c r="D180" s="10"/>
      <c r="E180" s="10"/>
      <c r="F180" s="10"/>
      <c r="G180" s="10"/>
      <c r="H180" s="10"/>
      <c r="I180" s="12"/>
      <c r="J180" s="13"/>
    </row>
    <row r="181" spans="1:10" ht="75" customHeight="1">
      <c r="A181" s="7"/>
      <c r="B181" s="18"/>
      <c r="C181" s="9"/>
      <c r="D181" s="10"/>
      <c r="E181" s="10"/>
      <c r="F181" s="10"/>
      <c r="G181" s="10"/>
      <c r="H181" s="10"/>
      <c r="I181" s="12"/>
      <c r="J181" s="13"/>
    </row>
    <row r="182" spans="1:10" ht="75" customHeight="1">
      <c r="A182" s="7"/>
      <c r="B182" s="18"/>
      <c r="C182" s="9"/>
      <c r="D182" s="10"/>
      <c r="E182" s="10"/>
      <c r="F182" s="10"/>
      <c r="G182" s="10"/>
      <c r="H182" s="10"/>
      <c r="I182" s="12"/>
      <c r="J182" s="13"/>
    </row>
    <row r="183" spans="1:10" ht="75" customHeight="1">
      <c r="A183" s="7"/>
      <c r="B183" s="18"/>
      <c r="C183" s="9"/>
      <c r="D183" s="10"/>
      <c r="E183" s="10"/>
      <c r="F183" s="10"/>
      <c r="G183" s="10"/>
      <c r="H183" s="10"/>
      <c r="I183" s="12"/>
      <c r="J183" s="13"/>
    </row>
    <row r="184" spans="1:10" ht="75" customHeight="1">
      <c r="A184" s="7"/>
      <c r="B184" s="18"/>
      <c r="C184" s="9"/>
      <c r="D184" s="10"/>
      <c r="E184" s="10"/>
      <c r="F184" s="10"/>
      <c r="G184" s="10"/>
      <c r="H184" s="10"/>
      <c r="I184" s="12"/>
      <c r="J184" s="13"/>
    </row>
    <row r="185" spans="1:10" ht="75" customHeight="1">
      <c r="A185" s="7"/>
      <c r="B185" s="18"/>
      <c r="C185" s="9"/>
      <c r="D185" s="10"/>
      <c r="E185" s="10"/>
      <c r="F185" s="10"/>
      <c r="G185" s="10"/>
      <c r="H185" s="10"/>
      <c r="I185" s="12"/>
      <c r="J185" s="13"/>
    </row>
    <row r="186" spans="1:10" ht="75" customHeight="1">
      <c r="A186" s="7"/>
      <c r="B186" s="18"/>
      <c r="C186" s="9"/>
      <c r="D186" s="10"/>
      <c r="E186" s="10"/>
      <c r="F186" s="10"/>
      <c r="G186" s="10"/>
      <c r="H186" s="10"/>
      <c r="I186" s="12"/>
      <c r="J186" s="13"/>
    </row>
    <row r="187" spans="1:10" ht="75" customHeight="1">
      <c r="A187" s="7"/>
      <c r="B187" s="18"/>
      <c r="C187" s="9"/>
      <c r="D187" s="10"/>
      <c r="E187" s="10"/>
      <c r="F187" s="10"/>
      <c r="G187" s="10"/>
      <c r="H187" s="10"/>
      <c r="I187" s="12"/>
      <c r="J187" s="13"/>
    </row>
    <row r="188" spans="1:10" ht="75" customHeight="1">
      <c r="A188" s="7"/>
      <c r="B188" s="18"/>
      <c r="C188" s="9"/>
      <c r="D188" s="10"/>
      <c r="E188" s="10"/>
      <c r="F188" s="10"/>
      <c r="G188" s="10"/>
      <c r="H188" s="10"/>
      <c r="I188" s="12"/>
      <c r="J188" s="13"/>
    </row>
    <row r="189" spans="1:10" ht="75" customHeight="1">
      <c r="A189" s="7"/>
      <c r="B189" s="18"/>
      <c r="C189" s="9"/>
      <c r="D189" s="10"/>
      <c r="E189" s="10"/>
      <c r="F189" s="10"/>
      <c r="G189" s="10"/>
      <c r="H189" s="10"/>
      <c r="I189" s="12"/>
      <c r="J189" s="13"/>
    </row>
    <row r="190" spans="1:10" ht="75" customHeight="1">
      <c r="A190" s="7"/>
      <c r="B190" s="18"/>
      <c r="C190" s="9"/>
      <c r="D190" s="10"/>
      <c r="E190" s="10"/>
      <c r="F190" s="10"/>
      <c r="G190" s="10"/>
      <c r="H190" s="10"/>
      <c r="I190" s="12"/>
      <c r="J190" s="13"/>
    </row>
    <row r="191" spans="1:10" ht="75" customHeight="1">
      <c r="A191" s="7"/>
      <c r="B191" s="18"/>
      <c r="C191" s="9"/>
      <c r="D191" s="10"/>
      <c r="E191" s="10"/>
      <c r="F191" s="10"/>
      <c r="G191" s="10"/>
      <c r="H191" s="10"/>
      <c r="I191" s="12"/>
      <c r="J191" s="13"/>
    </row>
    <row r="192" spans="1:10" ht="75" customHeight="1">
      <c r="A192" s="7"/>
      <c r="B192" s="18"/>
      <c r="C192" s="9"/>
      <c r="D192" s="10"/>
      <c r="E192" s="10"/>
      <c r="F192" s="10"/>
      <c r="G192" s="10"/>
      <c r="H192" s="10"/>
      <c r="I192" s="12"/>
      <c r="J192" s="13"/>
    </row>
    <row r="193" spans="1:10" ht="75" customHeight="1">
      <c r="A193" s="7"/>
      <c r="B193" s="18"/>
      <c r="C193" s="9"/>
      <c r="D193" s="10"/>
      <c r="E193" s="10"/>
      <c r="F193" s="10"/>
      <c r="G193" s="10"/>
      <c r="H193" s="10"/>
      <c r="I193" s="12"/>
      <c r="J193" s="13"/>
    </row>
    <row r="194" spans="1:10" ht="75" customHeight="1">
      <c r="A194" s="7"/>
      <c r="B194" s="18"/>
      <c r="C194" s="9"/>
      <c r="D194" s="10"/>
      <c r="E194" s="10"/>
      <c r="F194" s="10"/>
      <c r="G194" s="10"/>
      <c r="H194" s="10"/>
      <c r="I194" s="12"/>
      <c r="J194" s="13"/>
    </row>
    <row r="195" spans="1:10" ht="75" customHeight="1">
      <c r="A195" s="7"/>
      <c r="B195" s="18"/>
      <c r="C195" s="9"/>
      <c r="D195" s="10"/>
      <c r="E195" s="10"/>
      <c r="F195" s="10"/>
      <c r="G195" s="10"/>
      <c r="H195" s="10"/>
      <c r="I195" s="12"/>
      <c r="J195" s="13"/>
    </row>
    <row r="196" spans="1:10" ht="75" customHeight="1">
      <c r="A196" s="7"/>
      <c r="B196" s="18"/>
      <c r="C196" s="9"/>
      <c r="D196" s="10"/>
      <c r="E196" s="10"/>
      <c r="F196" s="10"/>
      <c r="G196" s="10"/>
      <c r="H196" s="10"/>
      <c r="I196" s="12"/>
      <c r="J196" s="13"/>
    </row>
    <row r="197" spans="1:10" ht="75" customHeight="1">
      <c r="A197" s="7"/>
      <c r="B197" s="18"/>
      <c r="C197" s="9"/>
      <c r="D197" s="10"/>
      <c r="E197" s="10"/>
      <c r="F197" s="10"/>
      <c r="G197" s="10"/>
      <c r="H197" s="10"/>
      <c r="I197" s="12"/>
      <c r="J197" s="13"/>
    </row>
    <row r="198" spans="1:10" ht="75" customHeight="1">
      <c r="A198" s="7"/>
      <c r="B198" s="18"/>
      <c r="C198" s="9"/>
      <c r="D198" s="10"/>
      <c r="E198" s="10"/>
      <c r="F198" s="10"/>
      <c r="G198" s="10"/>
      <c r="H198" s="10"/>
      <c r="I198" s="12"/>
      <c r="J198" s="13"/>
    </row>
    <row r="199" spans="1:10" ht="75" customHeight="1">
      <c r="A199" s="7"/>
      <c r="B199" s="18"/>
      <c r="C199" s="9"/>
      <c r="D199" s="10"/>
      <c r="E199" s="10"/>
      <c r="F199" s="10"/>
      <c r="G199" s="10"/>
      <c r="H199" s="10"/>
      <c r="I199" s="12"/>
      <c r="J199" s="13"/>
    </row>
    <row r="200" spans="1:10" ht="75" customHeight="1">
      <c r="A200" s="7"/>
      <c r="B200" s="18"/>
      <c r="C200" s="9"/>
      <c r="D200" s="10"/>
      <c r="E200" s="10"/>
      <c r="F200" s="10"/>
      <c r="G200" s="10"/>
      <c r="H200" s="10"/>
      <c r="I200" s="12"/>
      <c r="J200" s="13"/>
    </row>
    <row r="201" spans="1:10" ht="75" customHeight="1">
      <c r="A201" s="7"/>
      <c r="B201" s="18"/>
      <c r="C201" s="9"/>
      <c r="D201" s="10"/>
      <c r="E201" s="10"/>
      <c r="F201" s="10"/>
      <c r="G201" s="10"/>
      <c r="H201" s="10"/>
      <c r="I201" s="12"/>
      <c r="J201" s="13"/>
    </row>
    <row r="202" spans="1:10" ht="75" customHeight="1">
      <c r="A202" s="7"/>
      <c r="B202" s="18"/>
      <c r="C202" s="9"/>
      <c r="D202" s="10"/>
      <c r="E202" s="10"/>
      <c r="F202" s="10"/>
      <c r="G202" s="10"/>
      <c r="H202" s="10"/>
      <c r="I202" s="12"/>
      <c r="J202" s="13"/>
    </row>
    <row r="203" spans="1:10" ht="75" customHeight="1">
      <c r="A203" s="7"/>
      <c r="B203" s="18"/>
      <c r="C203" s="9"/>
      <c r="D203" s="10"/>
      <c r="E203" s="10"/>
      <c r="F203" s="10"/>
      <c r="G203" s="10"/>
      <c r="H203" s="10"/>
      <c r="I203" s="12"/>
      <c r="J203" s="13"/>
    </row>
    <row r="204" spans="1:10" ht="75" customHeight="1">
      <c r="A204" s="7"/>
      <c r="B204" s="18"/>
      <c r="C204" s="9"/>
      <c r="D204" s="10"/>
      <c r="E204" s="10"/>
      <c r="F204" s="10"/>
      <c r="G204" s="10"/>
      <c r="H204" s="10"/>
      <c r="I204" s="12"/>
      <c r="J204" s="13"/>
    </row>
    <row r="205" spans="1:10" ht="75" customHeight="1">
      <c r="A205" s="7"/>
      <c r="B205" s="18"/>
      <c r="C205" s="9"/>
      <c r="D205" s="10"/>
      <c r="E205" s="10"/>
      <c r="F205" s="10"/>
      <c r="G205" s="10"/>
      <c r="H205" s="10"/>
      <c r="I205" s="12"/>
      <c r="J205" s="13"/>
    </row>
    <row r="206" spans="1:10" ht="75" customHeight="1">
      <c r="A206" s="7"/>
      <c r="B206" s="18"/>
      <c r="C206" s="9"/>
      <c r="D206" s="10"/>
      <c r="E206" s="10"/>
      <c r="F206" s="10"/>
      <c r="G206" s="10"/>
      <c r="H206" s="10"/>
      <c r="I206" s="12"/>
      <c r="J206" s="13"/>
    </row>
    <row r="207" spans="1:10" ht="75" customHeight="1">
      <c r="A207" s="7"/>
      <c r="B207" s="18"/>
      <c r="C207" s="9"/>
      <c r="D207" s="10"/>
      <c r="E207" s="10"/>
      <c r="F207" s="10"/>
      <c r="G207" s="10"/>
      <c r="H207" s="10"/>
      <c r="I207" s="12"/>
      <c r="J207" s="13"/>
    </row>
    <row r="208" spans="1:10" ht="75" customHeight="1">
      <c r="A208" s="7"/>
      <c r="B208" s="18"/>
      <c r="C208" s="9"/>
      <c r="D208" s="10"/>
      <c r="E208" s="10"/>
      <c r="F208" s="10"/>
      <c r="G208" s="10"/>
      <c r="H208" s="10"/>
      <c r="I208" s="12"/>
      <c r="J208" s="13"/>
    </row>
    <row r="209" spans="1:10" ht="75" customHeight="1">
      <c r="A209" s="7"/>
      <c r="B209" s="18"/>
      <c r="C209" s="9"/>
      <c r="D209" s="10"/>
      <c r="E209" s="10"/>
      <c r="F209" s="10"/>
      <c r="G209" s="10"/>
      <c r="H209" s="10"/>
      <c r="I209" s="12"/>
      <c r="J209" s="13"/>
    </row>
    <row r="210" spans="1:10" ht="75" customHeight="1">
      <c r="A210" s="7"/>
      <c r="B210" s="18"/>
      <c r="C210" s="9"/>
      <c r="D210" s="10"/>
      <c r="E210" s="10"/>
      <c r="F210" s="10"/>
      <c r="G210" s="10"/>
      <c r="H210" s="10"/>
      <c r="I210" s="12"/>
      <c r="J210" s="13"/>
    </row>
    <row r="211" spans="1:10" ht="75" customHeight="1">
      <c r="A211" s="7"/>
      <c r="B211" s="18"/>
      <c r="C211" s="9"/>
      <c r="D211" s="10"/>
      <c r="E211" s="10"/>
      <c r="F211" s="10"/>
      <c r="G211" s="10"/>
      <c r="H211" s="10"/>
      <c r="I211" s="12"/>
      <c r="J211" s="13"/>
    </row>
    <row r="212" spans="1:10" ht="75" customHeight="1">
      <c r="A212" s="7"/>
      <c r="B212" s="18"/>
      <c r="C212" s="9"/>
      <c r="D212" s="10"/>
      <c r="E212" s="10"/>
      <c r="F212" s="10"/>
      <c r="G212" s="10"/>
      <c r="H212" s="10"/>
      <c r="I212" s="12"/>
      <c r="J212" s="13"/>
    </row>
    <row r="213" spans="1:10" ht="75" customHeight="1">
      <c r="A213" s="7"/>
      <c r="B213" s="18"/>
      <c r="C213" s="9"/>
      <c r="D213" s="10"/>
      <c r="E213" s="10"/>
      <c r="F213" s="10"/>
      <c r="G213" s="10"/>
      <c r="H213" s="10"/>
      <c r="I213" s="12"/>
      <c r="J213" s="13"/>
    </row>
    <row r="214" spans="1:10" ht="75" customHeight="1">
      <c r="A214" s="7"/>
      <c r="B214" s="18"/>
      <c r="C214" s="9"/>
      <c r="D214" s="10"/>
      <c r="E214" s="10"/>
      <c r="F214" s="10"/>
      <c r="G214" s="10"/>
      <c r="H214" s="10"/>
      <c r="I214" s="12"/>
      <c r="J214" s="13"/>
    </row>
    <row r="215" spans="1:10" ht="75" customHeight="1">
      <c r="A215" s="7"/>
      <c r="B215" s="18"/>
      <c r="C215" s="9"/>
      <c r="D215" s="10"/>
      <c r="E215" s="10"/>
      <c r="F215" s="10"/>
      <c r="G215" s="10"/>
      <c r="H215" s="10"/>
      <c r="I215" s="12"/>
      <c r="J215" s="13"/>
    </row>
    <row r="216" spans="1:10" ht="75" customHeight="1">
      <c r="A216" s="7"/>
      <c r="B216" s="18"/>
      <c r="C216" s="9"/>
      <c r="D216" s="10"/>
      <c r="E216" s="10"/>
      <c r="F216" s="10"/>
      <c r="G216" s="10"/>
      <c r="H216" s="10"/>
      <c r="I216" s="12"/>
      <c r="J216" s="13"/>
    </row>
    <row r="217" spans="1:10" ht="75" customHeight="1">
      <c r="A217" s="7"/>
      <c r="B217" s="18"/>
      <c r="C217" s="9"/>
      <c r="D217" s="10"/>
      <c r="E217" s="10"/>
      <c r="F217" s="10"/>
      <c r="G217" s="10"/>
      <c r="H217" s="10"/>
      <c r="I217" s="12"/>
      <c r="J217" s="13"/>
    </row>
    <row r="218" spans="1:10" ht="75" customHeight="1">
      <c r="A218" s="7"/>
      <c r="B218" s="18"/>
      <c r="C218" s="9"/>
      <c r="D218" s="10"/>
      <c r="E218" s="10"/>
      <c r="F218" s="10"/>
      <c r="G218" s="10"/>
      <c r="H218" s="10"/>
      <c r="I218" s="12"/>
      <c r="J218" s="13"/>
    </row>
    <row r="219" spans="1:10" ht="75" customHeight="1">
      <c r="A219" s="7"/>
      <c r="B219" s="18"/>
      <c r="C219" s="9"/>
      <c r="D219" s="10"/>
      <c r="E219" s="10"/>
      <c r="F219" s="10"/>
      <c r="G219" s="10"/>
      <c r="H219" s="10"/>
      <c r="I219" s="12"/>
      <c r="J219" s="13"/>
    </row>
    <row r="220" spans="1:10" ht="75" customHeight="1">
      <c r="A220" s="7"/>
      <c r="B220" s="18"/>
      <c r="C220" s="9"/>
      <c r="D220" s="10"/>
      <c r="E220" s="10"/>
      <c r="F220" s="10"/>
      <c r="G220" s="10"/>
      <c r="H220" s="10"/>
      <c r="I220" s="12"/>
      <c r="J220" s="13"/>
    </row>
    <row r="221" spans="1:10" ht="75" customHeight="1">
      <c r="A221" s="7"/>
      <c r="B221" s="18"/>
      <c r="C221" s="9"/>
      <c r="D221" s="10"/>
      <c r="E221" s="10"/>
      <c r="F221" s="10"/>
      <c r="G221" s="10"/>
      <c r="H221" s="10"/>
      <c r="I221" s="12"/>
      <c r="J221" s="13"/>
    </row>
    <row r="222" spans="1:10" ht="75" customHeight="1">
      <c r="A222" s="7"/>
      <c r="B222" s="18"/>
      <c r="C222" s="9"/>
      <c r="D222" s="10"/>
      <c r="E222" s="10"/>
      <c r="F222" s="10"/>
      <c r="G222" s="10"/>
      <c r="H222" s="10"/>
      <c r="I222" s="12"/>
      <c r="J222" s="13"/>
    </row>
    <row r="223" spans="1:10" ht="75" customHeight="1">
      <c r="A223" s="7"/>
      <c r="B223" s="18"/>
      <c r="C223" s="9"/>
      <c r="D223" s="10"/>
      <c r="E223" s="10"/>
      <c r="F223" s="10"/>
      <c r="G223" s="10"/>
      <c r="H223" s="10"/>
      <c r="I223" s="12"/>
      <c r="J223" s="13"/>
    </row>
    <row r="224" spans="1:10" ht="75" customHeight="1">
      <c r="A224" s="7"/>
      <c r="B224" s="18"/>
      <c r="C224" s="9"/>
      <c r="D224" s="10"/>
      <c r="E224" s="10"/>
      <c r="F224" s="10"/>
      <c r="G224" s="10"/>
      <c r="H224" s="10"/>
      <c r="I224" s="12"/>
      <c r="J224" s="13"/>
    </row>
    <row r="225" spans="1:10" ht="75" customHeight="1">
      <c r="A225" s="7"/>
      <c r="B225" s="18"/>
      <c r="C225" s="9"/>
      <c r="D225" s="10"/>
      <c r="E225" s="10"/>
      <c r="F225" s="10"/>
      <c r="G225" s="10"/>
      <c r="H225" s="10"/>
      <c r="I225" s="12"/>
      <c r="J225" s="13"/>
    </row>
    <row r="226" spans="1:10" ht="75" customHeight="1">
      <c r="A226" s="7"/>
      <c r="B226" s="18"/>
      <c r="C226" s="9"/>
      <c r="D226" s="10"/>
      <c r="E226" s="10"/>
      <c r="F226" s="10"/>
      <c r="G226" s="10"/>
      <c r="H226" s="10"/>
      <c r="I226" s="12"/>
      <c r="J226" s="13"/>
    </row>
    <row r="227" spans="1:10" ht="75" customHeight="1">
      <c r="A227" s="7"/>
      <c r="B227" s="18"/>
      <c r="C227" s="9"/>
      <c r="D227" s="10"/>
      <c r="E227" s="10"/>
      <c r="F227" s="10"/>
      <c r="G227" s="10"/>
      <c r="H227" s="10"/>
      <c r="I227" s="12"/>
      <c r="J227" s="13"/>
    </row>
    <row r="228" spans="1:10" ht="75" customHeight="1">
      <c r="A228" s="7"/>
      <c r="B228" s="18"/>
      <c r="C228" s="9"/>
      <c r="D228" s="10"/>
      <c r="E228" s="10"/>
      <c r="F228" s="10"/>
      <c r="G228" s="10"/>
      <c r="H228" s="10"/>
      <c r="I228" s="12"/>
      <c r="J228" s="13"/>
    </row>
    <row r="229" spans="1:10" ht="75" customHeight="1">
      <c r="A229" s="7"/>
      <c r="B229" s="18"/>
      <c r="C229" s="9"/>
      <c r="D229" s="10"/>
      <c r="E229" s="10"/>
      <c r="F229" s="10"/>
      <c r="G229" s="10"/>
      <c r="H229" s="10"/>
      <c r="I229" s="12"/>
      <c r="J229" s="13"/>
    </row>
    <row r="230" spans="1:10" ht="75" customHeight="1">
      <c r="A230" s="7"/>
      <c r="B230" s="18"/>
      <c r="C230" s="9"/>
      <c r="D230" s="10"/>
      <c r="E230" s="10"/>
      <c r="F230" s="10"/>
      <c r="G230" s="10"/>
      <c r="H230" s="10"/>
      <c r="I230" s="12"/>
      <c r="J230" s="13"/>
    </row>
    <row r="231" spans="1:10" ht="75" customHeight="1">
      <c r="A231" s="7"/>
      <c r="B231" s="18"/>
      <c r="C231" s="9"/>
      <c r="D231" s="10"/>
      <c r="E231" s="10"/>
      <c r="F231" s="10"/>
      <c r="G231" s="10"/>
      <c r="H231" s="10"/>
      <c r="I231" s="12"/>
      <c r="J231" s="13"/>
    </row>
    <row r="232" spans="1:10" ht="75" customHeight="1">
      <c r="A232" s="7"/>
      <c r="B232" s="18"/>
      <c r="C232" s="9"/>
      <c r="D232" s="10"/>
      <c r="E232" s="10"/>
      <c r="F232" s="10"/>
      <c r="G232" s="10"/>
      <c r="H232" s="10"/>
      <c r="I232" s="12"/>
      <c r="J232" s="13"/>
    </row>
    <row r="233" spans="1:10" ht="75" customHeight="1">
      <c r="A233" s="7"/>
      <c r="B233" s="18"/>
      <c r="C233" s="9"/>
      <c r="D233" s="10"/>
      <c r="E233" s="10"/>
      <c r="F233" s="10"/>
      <c r="G233" s="10"/>
      <c r="H233" s="10"/>
      <c r="I233" s="12"/>
      <c r="J233" s="13"/>
    </row>
    <row r="234" spans="1:10" ht="75" customHeight="1">
      <c r="A234" s="7"/>
      <c r="B234" s="18"/>
      <c r="C234" s="9"/>
      <c r="D234" s="10"/>
      <c r="E234" s="10"/>
      <c r="F234" s="10"/>
      <c r="G234" s="10"/>
      <c r="H234" s="10"/>
      <c r="I234" s="12"/>
      <c r="J234" s="13"/>
    </row>
    <row r="235" spans="1:10" ht="75" customHeight="1">
      <c r="A235" s="7"/>
      <c r="B235" s="18"/>
      <c r="C235" s="9"/>
      <c r="D235" s="10"/>
      <c r="E235" s="10"/>
      <c r="F235" s="10"/>
      <c r="G235" s="10"/>
      <c r="H235" s="10"/>
      <c r="I235" s="12"/>
      <c r="J235" s="13"/>
    </row>
    <row r="236" spans="1:10" ht="75" customHeight="1">
      <c r="A236" s="7"/>
      <c r="B236" s="18"/>
      <c r="C236" s="9"/>
      <c r="D236" s="10"/>
      <c r="E236" s="10"/>
      <c r="F236" s="10"/>
      <c r="G236" s="10"/>
      <c r="H236" s="10"/>
      <c r="I236" s="12"/>
      <c r="J236" s="13"/>
    </row>
    <row r="237" spans="1:10" ht="75" customHeight="1">
      <c r="A237" s="7"/>
      <c r="B237" s="18"/>
      <c r="C237" s="9"/>
      <c r="D237" s="10"/>
      <c r="E237" s="10"/>
      <c r="F237" s="10"/>
      <c r="G237" s="10"/>
      <c r="H237" s="10"/>
      <c r="I237" s="12"/>
      <c r="J237" s="13"/>
    </row>
    <row r="238" spans="1:10" ht="75" customHeight="1">
      <c r="A238" s="7"/>
      <c r="B238" s="18"/>
      <c r="C238" s="9"/>
      <c r="D238" s="10"/>
      <c r="E238" s="10"/>
      <c r="F238" s="10"/>
      <c r="G238" s="10"/>
      <c r="H238" s="10"/>
      <c r="I238" s="12"/>
      <c r="J238" s="13"/>
    </row>
    <row r="239" spans="1:10" ht="75" customHeight="1">
      <c r="A239" s="7"/>
      <c r="B239" s="18"/>
      <c r="C239" s="9"/>
      <c r="D239" s="10"/>
      <c r="E239" s="10"/>
      <c r="F239" s="10"/>
      <c r="G239" s="10"/>
      <c r="H239" s="10"/>
      <c r="I239" s="12"/>
      <c r="J239" s="13"/>
    </row>
    <row r="240" spans="1:10" ht="75" customHeight="1">
      <c r="A240" s="7"/>
      <c r="B240" s="18"/>
      <c r="C240" s="9"/>
      <c r="D240" s="10"/>
      <c r="E240" s="10"/>
      <c r="F240" s="10"/>
      <c r="G240" s="10"/>
      <c r="H240" s="10"/>
      <c r="I240" s="12"/>
      <c r="J240" s="13"/>
    </row>
    <row r="241" spans="1:10" ht="75" customHeight="1">
      <c r="A241" s="7"/>
      <c r="B241" s="18"/>
      <c r="C241" s="9"/>
      <c r="D241" s="10"/>
      <c r="E241" s="10"/>
      <c r="F241" s="10"/>
      <c r="G241" s="10"/>
      <c r="H241" s="10"/>
      <c r="I241" s="12"/>
      <c r="J241" s="13"/>
    </row>
    <row r="242" spans="1:10" ht="75" customHeight="1">
      <c r="A242" s="7"/>
      <c r="B242" s="18"/>
      <c r="C242" s="9"/>
      <c r="D242" s="10"/>
      <c r="E242" s="10"/>
      <c r="F242" s="10"/>
      <c r="G242" s="10"/>
      <c r="H242" s="10"/>
      <c r="I242" s="12"/>
      <c r="J242" s="13"/>
    </row>
    <row r="243" spans="1:10" ht="75" customHeight="1">
      <c r="A243" s="7"/>
      <c r="B243" s="18"/>
      <c r="C243" s="9"/>
      <c r="D243" s="10"/>
      <c r="E243" s="10"/>
      <c r="F243" s="10"/>
      <c r="G243" s="10"/>
      <c r="H243" s="10"/>
      <c r="I243" s="12"/>
      <c r="J243" s="13"/>
    </row>
    <row r="244" spans="1:10" ht="75" customHeight="1">
      <c r="A244" s="7"/>
      <c r="B244" s="18"/>
      <c r="C244" s="9"/>
      <c r="D244" s="10"/>
      <c r="E244" s="10"/>
      <c r="F244" s="10"/>
      <c r="G244" s="10"/>
      <c r="H244" s="10"/>
      <c r="I244" s="12"/>
      <c r="J244" s="13"/>
    </row>
    <row r="245" spans="1:10" ht="75" customHeight="1">
      <c r="A245" s="7"/>
      <c r="B245" s="18"/>
      <c r="C245" s="9"/>
      <c r="D245" s="10"/>
      <c r="E245" s="10"/>
      <c r="F245" s="10"/>
      <c r="G245" s="10"/>
      <c r="H245" s="10"/>
      <c r="I245" s="12"/>
      <c r="J245" s="13"/>
    </row>
    <row r="246" spans="1:10" ht="75" customHeight="1">
      <c r="A246" s="7"/>
      <c r="B246" s="18"/>
      <c r="C246" s="9"/>
      <c r="D246" s="10"/>
      <c r="E246" s="10"/>
      <c r="F246" s="10"/>
      <c r="G246" s="10"/>
      <c r="H246" s="10"/>
      <c r="I246" s="12"/>
      <c r="J246" s="13"/>
    </row>
    <row r="247" spans="1:10" ht="75" customHeight="1">
      <c r="A247" s="7"/>
      <c r="B247" s="18"/>
      <c r="C247" s="9"/>
      <c r="D247" s="10"/>
      <c r="E247" s="10"/>
      <c r="F247" s="10"/>
      <c r="G247" s="10"/>
      <c r="H247" s="10"/>
      <c r="I247" s="12"/>
      <c r="J247" s="13"/>
    </row>
    <row r="248" spans="1:10" ht="75" customHeight="1">
      <c r="A248" s="7"/>
      <c r="B248" s="18"/>
      <c r="C248" s="9"/>
      <c r="D248" s="10"/>
      <c r="E248" s="10"/>
      <c r="F248" s="10"/>
      <c r="G248" s="10"/>
      <c r="H248" s="10"/>
      <c r="I248" s="12"/>
      <c r="J248" s="13"/>
    </row>
    <row r="249" spans="1:10" ht="75" customHeight="1">
      <c r="A249" s="7"/>
      <c r="B249" s="18"/>
      <c r="C249" s="9"/>
      <c r="D249" s="10"/>
      <c r="E249" s="10"/>
      <c r="F249" s="10"/>
      <c r="G249" s="10"/>
      <c r="H249" s="10"/>
      <c r="I249" s="12"/>
      <c r="J249" s="13"/>
    </row>
    <row r="250" spans="1:10" ht="75" customHeight="1">
      <c r="A250" s="7"/>
      <c r="B250" s="18"/>
      <c r="C250" s="9"/>
      <c r="D250" s="10"/>
      <c r="E250" s="10"/>
      <c r="F250" s="10"/>
      <c r="G250" s="10"/>
      <c r="H250" s="10"/>
      <c r="I250" s="12"/>
      <c r="J250" s="13"/>
    </row>
    <row r="251" spans="1:10" ht="75" customHeight="1">
      <c r="A251" s="7"/>
      <c r="B251" s="18"/>
      <c r="C251" s="9"/>
      <c r="D251" s="10"/>
      <c r="E251" s="10"/>
      <c r="F251" s="10"/>
      <c r="G251" s="10"/>
      <c r="H251" s="10"/>
      <c r="I251" s="12"/>
      <c r="J251" s="13"/>
    </row>
    <row r="252" spans="1:10" ht="75" customHeight="1">
      <c r="A252" s="7"/>
      <c r="B252" s="18"/>
      <c r="C252" s="9"/>
      <c r="D252" s="10"/>
      <c r="E252" s="10"/>
      <c r="F252" s="10"/>
      <c r="G252" s="10"/>
      <c r="H252" s="10"/>
      <c r="I252" s="12"/>
      <c r="J252" s="13"/>
    </row>
    <row r="253" spans="1:10" ht="75" customHeight="1">
      <c r="A253" s="7"/>
      <c r="B253" s="18"/>
      <c r="C253" s="9"/>
      <c r="D253" s="10"/>
      <c r="E253" s="10"/>
      <c r="F253" s="10"/>
      <c r="G253" s="10"/>
      <c r="H253" s="10"/>
      <c r="I253" s="12"/>
      <c r="J253" s="13"/>
    </row>
    <row r="254" spans="1:10" ht="75" customHeight="1">
      <c r="A254" s="7"/>
      <c r="B254" s="18"/>
      <c r="C254" s="9"/>
      <c r="D254" s="10"/>
      <c r="E254" s="10"/>
      <c r="F254" s="10"/>
      <c r="G254" s="10"/>
      <c r="H254" s="10"/>
      <c r="I254" s="12"/>
      <c r="J254" s="13"/>
    </row>
    <row r="255" spans="1:10" ht="75" customHeight="1">
      <c r="A255" s="7"/>
      <c r="B255" s="18"/>
      <c r="C255" s="9"/>
      <c r="D255" s="10"/>
      <c r="E255" s="10"/>
      <c r="F255" s="10"/>
      <c r="G255" s="10"/>
      <c r="H255" s="10"/>
      <c r="I255" s="12"/>
      <c r="J255" s="13"/>
    </row>
    <row r="256" spans="1:10" ht="75" customHeight="1">
      <c r="A256" s="7"/>
      <c r="B256" s="18"/>
      <c r="C256" s="9"/>
      <c r="D256" s="10"/>
      <c r="E256" s="10"/>
      <c r="F256" s="10"/>
      <c r="G256" s="10"/>
      <c r="H256" s="10"/>
      <c r="I256" s="12"/>
      <c r="J256" s="13"/>
    </row>
    <row r="257" spans="1:10" ht="75" customHeight="1">
      <c r="A257" s="7"/>
      <c r="B257" s="18"/>
      <c r="C257" s="9"/>
      <c r="D257" s="10"/>
      <c r="E257" s="10"/>
      <c r="F257" s="10"/>
      <c r="G257" s="10"/>
      <c r="H257" s="10"/>
      <c r="I257" s="12"/>
      <c r="J257" s="13"/>
    </row>
    <row r="258" spans="1:10" ht="75" customHeight="1">
      <c r="A258" s="7"/>
      <c r="B258" s="18"/>
      <c r="C258" s="9"/>
      <c r="D258" s="10"/>
      <c r="E258" s="10"/>
      <c r="F258" s="10"/>
      <c r="G258" s="10"/>
      <c r="H258" s="10"/>
      <c r="I258" s="12"/>
      <c r="J258" s="13"/>
    </row>
    <row r="259" spans="1:10" ht="75" customHeight="1">
      <c r="A259" s="7"/>
      <c r="B259" s="18"/>
      <c r="C259" s="9"/>
      <c r="D259" s="10"/>
      <c r="E259" s="10"/>
      <c r="F259" s="10"/>
      <c r="G259" s="10"/>
      <c r="H259" s="10"/>
      <c r="I259" s="12"/>
      <c r="J259" s="13"/>
    </row>
    <row r="260" spans="1:10" ht="75" customHeight="1">
      <c r="A260" s="7"/>
      <c r="B260" s="18"/>
      <c r="C260" s="9"/>
      <c r="D260" s="10"/>
      <c r="E260" s="10"/>
      <c r="F260" s="10"/>
      <c r="G260" s="10"/>
      <c r="H260" s="10"/>
      <c r="I260" s="12"/>
      <c r="J260" s="13"/>
    </row>
    <row r="261" spans="1:10" ht="75" customHeight="1">
      <c r="A261" s="7"/>
      <c r="B261" s="18"/>
      <c r="C261" s="9"/>
      <c r="D261" s="10"/>
      <c r="E261" s="10"/>
      <c r="F261" s="10"/>
      <c r="G261" s="10"/>
      <c r="H261" s="10"/>
      <c r="I261" s="12"/>
      <c r="J261" s="13"/>
    </row>
    <row r="262" spans="1:10" ht="75" customHeight="1">
      <c r="A262" s="7"/>
      <c r="B262" s="18"/>
      <c r="C262" s="9"/>
      <c r="D262" s="10"/>
      <c r="E262" s="10"/>
      <c r="F262" s="10"/>
      <c r="G262" s="10"/>
      <c r="H262" s="10"/>
      <c r="I262" s="12"/>
      <c r="J262" s="13"/>
    </row>
    <row r="263" spans="1:10" ht="75" customHeight="1">
      <c r="A263" s="7"/>
      <c r="B263" s="18"/>
      <c r="C263" s="9"/>
      <c r="D263" s="10"/>
      <c r="E263" s="10"/>
      <c r="F263" s="10"/>
      <c r="G263" s="10"/>
      <c r="H263" s="10"/>
      <c r="I263" s="12"/>
      <c r="J263" s="13"/>
    </row>
    <row r="264" spans="1:10" ht="75" customHeight="1">
      <c r="A264" s="7"/>
      <c r="B264" s="18"/>
      <c r="C264" s="9"/>
      <c r="D264" s="10"/>
      <c r="E264" s="10"/>
      <c r="F264" s="10"/>
      <c r="G264" s="10"/>
      <c r="H264" s="10"/>
      <c r="I264" s="12"/>
      <c r="J264" s="13"/>
    </row>
    <row r="265" spans="1:10" ht="75" customHeight="1">
      <c r="A265" s="7"/>
      <c r="B265" s="18"/>
      <c r="C265" s="9"/>
      <c r="D265" s="10"/>
      <c r="E265" s="10"/>
      <c r="F265" s="10"/>
      <c r="G265" s="10"/>
      <c r="H265" s="10"/>
      <c r="I265" s="12"/>
      <c r="J265" s="13"/>
    </row>
    <row r="266" spans="1:10" ht="75" customHeight="1">
      <c r="A266" s="7"/>
      <c r="B266" s="18"/>
      <c r="C266" s="9"/>
      <c r="D266" s="10"/>
      <c r="E266" s="10"/>
      <c r="F266" s="10"/>
      <c r="G266" s="10"/>
      <c r="H266" s="10"/>
      <c r="I266" s="12"/>
      <c r="J266" s="13"/>
    </row>
    <row r="267" spans="1:10" ht="75" customHeight="1">
      <c r="A267" s="7"/>
      <c r="B267" s="18"/>
      <c r="C267" s="9"/>
      <c r="D267" s="10"/>
      <c r="E267" s="10"/>
      <c r="F267" s="10"/>
      <c r="G267" s="10"/>
      <c r="H267" s="10"/>
      <c r="I267" s="12"/>
      <c r="J267" s="13"/>
    </row>
    <row r="268" spans="1:10" ht="75" customHeight="1">
      <c r="A268" s="7"/>
      <c r="B268" s="18"/>
      <c r="C268" s="9"/>
      <c r="D268" s="10"/>
      <c r="E268" s="10"/>
      <c r="F268" s="10"/>
      <c r="G268" s="10"/>
      <c r="H268" s="10"/>
      <c r="I268" s="12"/>
      <c r="J268" s="13"/>
    </row>
    <row r="269" spans="1:10" ht="75" customHeight="1">
      <c r="A269" s="7"/>
      <c r="B269" s="18"/>
      <c r="C269" s="9"/>
      <c r="D269" s="10"/>
      <c r="E269" s="10"/>
      <c r="F269" s="10"/>
      <c r="G269" s="10"/>
      <c r="H269" s="10"/>
      <c r="I269" s="12"/>
      <c r="J269" s="13"/>
    </row>
    <row r="270" spans="1:10" ht="75" customHeight="1">
      <c r="A270" s="7"/>
      <c r="B270" s="18"/>
      <c r="C270" s="9"/>
      <c r="D270" s="10"/>
      <c r="E270" s="10"/>
      <c r="F270" s="10"/>
      <c r="G270" s="10"/>
      <c r="H270" s="10"/>
      <c r="I270" s="12"/>
      <c r="J270" s="13"/>
    </row>
    <row r="271" spans="1:10" ht="75" customHeight="1">
      <c r="A271" s="7"/>
      <c r="B271" s="18"/>
      <c r="C271" s="9"/>
      <c r="D271" s="10"/>
      <c r="E271" s="10"/>
      <c r="F271" s="10"/>
      <c r="G271" s="10"/>
      <c r="H271" s="10"/>
      <c r="I271" s="12"/>
      <c r="J271" s="13"/>
    </row>
    <row r="272" spans="1:10" ht="75" customHeight="1">
      <c r="A272" s="7"/>
      <c r="B272" s="18"/>
      <c r="C272" s="9"/>
      <c r="D272" s="10"/>
      <c r="E272" s="10"/>
      <c r="F272" s="10"/>
      <c r="G272" s="10"/>
      <c r="H272" s="10"/>
      <c r="I272" s="12"/>
      <c r="J272" s="13"/>
    </row>
    <row r="273" spans="1:10" ht="75" customHeight="1">
      <c r="A273" s="7"/>
      <c r="B273" s="18"/>
      <c r="C273" s="9"/>
      <c r="D273" s="10"/>
      <c r="E273" s="10"/>
      <c r="F273" s="10"/>
      <c r="G273" s="10"/>
      <c r="H273" s="10"/>
      <c r="I273" s="12"/>
      <c r="J273" s="13"/>
    </row>
    <row r="274" spans="1:10" ht="75" customHeight="1">
      <c r="A274" s="7"/>
      <c r="B274" s="18"/>
      <c r="C274" s="9"/>
      <c r="D274" s="10"/>
      <c r="E274" s="10"/>
      <c r="F274" s="10"/>
      <c r="G274" s="10"/>
      <c r="H274" s="10"/>
      <c r="I274" s="12"/>
      <c r="J274" s="13"/>
    </row>
    <row r="275" spans="1:10" ht="75" customHeight="1">
      <c r="A275" s="7"/>
      <c r="B275" s="18"/>
      <c r="C275" s="9"/>
      <c r="D275" s="10"/>
      <c r="E275" s="10"/>
      <c r="F275" s="10"/>
      <c r="G275" s="10"/>
      <c r="H275" s="10"/>
      <c r="I275" s="12"/>
      <c r="J275" s="13"/>
    </row>
    <row r="276" spans="1:10" ht="75" customHeight="1">
      <c r="A276" s="7"/>
      <c r="B276" s="18"/>
      <c r="C276" s="9"/>
      <c r="D276" s="10"/>
      <c r="E276" s="10"/>
      <c r="F276" s="10"/>
      <c r="G276" s="10"/>
      <c r="H276" s="10"/>
      <c r="I276" s="12"/>
      <c r="J276" s="13"/>
    </row>
    <row r="277" spans="1:10" ht="75" customHeight="1">
      <c r="A277" s="7"/>
      <c r="B277" s="18"/>
      <c r="C277" s="9"/>
      <c r="D277" s="10"/>
      <c r="E277" s="10"/>
      <c r="F277" s="10"/>
      <c r="G277" s="10"/>
      <c r="H277" s="10"/>
      <c r="I277" s="12"/>
      <c r="J277" s="13"/>
    </row>
    <row r="278" spans="1:10" ht="75" customHeight="1">
      <c r="A278" s="7"/>
      <c r="B278" s="18"/>
      <c r="C278" s="9"/>
      <c r="D278" s="10"/>
      <c r="E278" s="10"/>
      <c r="F278" s="10"/>
      <c r="G278" s="10"/>
      <c r="H278" s="10"/>
      <c r="I278" s="12"/>
      <c r="J278" s="13"/>
    </row>
    <row r="279" spans="1:10" ht="75" customHeight="1">
      <c r="A279" s="7"/>
      <c r="B279" s="18"/>
      <c r="C279" s="9"/>
      <c r="D279" s="10"/>
      <c r="E279" s="10"/>
      <c r="F279" s="10"/>
      <c r="G279" s="10"/>
      <c r="H279" s="10"/>
      <c r="I279" s="12"/>
      <c r="J279" s="13"/>
    </row>
    <row r="280" spans="1:10" ht="75" customHeight="1">
      <c r="A280" s="7"/>
      <c r="B280" s="18"/>
      <c r="C280" s="9"/>
      <c r="D280" s="10"/>
      <c r="E280" s="10"/>
      <c r="F280" s="10"/>
      <c r="G280" s="10"/>
      <c r="H280" s="10"/>
      <c r="I280" s="12"/>
      <c r="J280" s="13"/>
    </row>
    <row r="281" spans="1:10" ht="75" customHeight="1">
      <c r="A281" s="7"/>
      <c r="B281" s="18"/>
      <c r="C281" s="9"/>
      <c r="D281" s="10"/>
      <c r="E281" s="10"/>
      <c r="F281" s="10"/>
      <c r="G281" s="10"/>
      <c r="H281" s="10"/>
      <c r="I281" s="12"/>
      <c r="J281" s="13"/>
    </row>
    <row r="282" spans="1:10" ht="75" customHeight="1">
      <c r="A282" s="7"/>
      <c r="B282" s="18"/>
      <c r="C282" s="9"/>
      <c r="D282" s="10"/>
      <c r="E282" s="10"/>
      <c r="F282" s="10"/>
      <c r="G282" s="10"/>
      <c r="H282" s="10"/>
      <c r="I282" s="12"/>
      <c r="J282" s="13"/>
    </row>
    <row r="283" spans="1:10" ht="75" customHeight="1">
      <c r="A283" s="7"/>
      <c r="B283" s="18"/>
      <c r="C283" s="9"/>
      <c r="D283" s="10"/>
      <c r="E283" s="10"/>
      <c r="F283" s="10"/>
      <c r="G283" s="10"/>
      <c r="H283" s="10"/>
      <c r="I283" s="12"/>
      <c r="J283" s="13"/>
    </row>
    <row r="284" spans="1:10" ht="75" customHeight="1">
      <c r="A284" s="7"/>
      <c r="B284" s="18"/>
      <c r="C284" s="9"/>
      <c r="D284" s="10"/>
      <c r="E284" s="10"/>
      <c r="F284" s="10"/>
      <c r="G284" s="10"/>
      <c r="H284" s="10"/>
      <c r="I284" s="12"/>
      <c r="J284" s="13"/>
    </row>
    <row r="285" spans="1:10" ht="75" customHeight="1">
      <c r="A285" s="7"/>
      <c r="B285" s="18"/>
      <c r="C285" s="9"/>
      <c r="D285" s="10"/>
      <c r="E285" s="10"/>
      <c r="F285" s="10"/>
      <c r="G285" s="10"/>
      <c r="H285" s="10"/>
      <c r="I285" s="12"/>
      <c r="J285" s="13"/>
    </row>
    <row r="286" spans="1:10" ht="75" customHeight="1">
      <c r="A286" s="7"/>
      <c r="B286" s="18"/>
      <c r="C286" s="9"/>
      <c r="D286" s="10"/>
      <c r="E286" s="10"/>
      <c r="F286" s="10"/>
      <c r="G286" s="10"/>
      <c r="H286" s="10"/>
      <c r="I286" s="12"/>
      <c r="J286" s="13"/>
    </row>
    <row r="287" spans="1:10" ht="75" customHeight="1">
      <c r="A287" s="7"/>
      <c r="B287" s="18"/>
      <c r="C287" s="9"/>
      <c r="D287" s="10"/>
      <c r="E287" s="10"/>
      <c r="F287" s="10"/>
      <c r="G287" s="10"/>
      <c r="H287" s="10"/>
      <c r="I287" s="12"/>
      <c r="J287" s="13"/>
    </row>
    <row r="288" spans="1:10" ht="75" customHeight="1">
      <c r="A288" s="7"/>
      <c r="B288" s="18"/>
      <c r="C288" s="9"/>
      <c r="D288" s="10"/>
      <c r="E288" s="10"/>
      <c r="F288" s="10"/>
      <c r="G288" s="10"/>
      <c r="H288" s="10"/>
      <c r="I288" s="12"/>
      <c r="J288" s="13"/>
    </row>
    <row r="289" spans="1:10" ht="75" customHeight="1">
      <c r="A289" s="7"/>
      <c r="B289" s="18"/>
      <c r="C289" s="9"/>
      <c r="D289" s="10"/>
      <c r="E289" s="10"/>
      <c r="F289" s="10"/>
      <c r="G289" s="10"/>
      <c r="H289" s="10"/>
      <c r="I289" s="12"/>
      <c r="J289" s="13"/>
    </row>
    <row r="290" spans="1:10" ht="75" customHeight="1">
      <c r="A290" s="7"/>
      <c r="B290" s="18"/>
      <c r="C290" s="9"/>
      <c r="D290" s="10"/>
      <c r="E290" s="10"/>
      <c r="F290" s="10"/>
      <c r="G290" s="10"/>
      <c r="H290" s="10"/>
      <c r="I290" s="12"/>
      <c r="J290" s="13"/>
    </row>
    <row r="291" spans="1:10" ht="75" customHeight="1">
      <c r="A291" s="7"/>
      <c r="B291" s="18"/>
      <c r="C291" s="9"/>
      <c r="D291" s="10"/>
      <c r="E291" s="10"/>
      <c r="F291" s="10"/>
      <c r="G291" s="10"/>
      <c r="H291" s="10"/>
      <c r="I291" s="12"/>
      <c r="J291" s="13"/>
    </row>
    <row r="292" spans="1:10" ht="75" customHeight="1">
      <c r="A292" s="7"/>
      <c r="B292" s="18"/>
      <c r="C292" s="9"/>
      <c r="D292" s="10"/>
      <c r="E292" s="10"/>
      <c r="F292" s="10"/>
      <c r="G292" s="10"/>
      <c r="H292" s="10"/>
      <c r="I292" s="12"/>
      <c r="J292" s="13"/>
    </row>
    <row r="293" spans="1:10" ht="75" customHeight="1">
      <c r="A293" s="7"/>
      <c r="B293" s="18"/>
      <c r="C293" s="9"/>
      <c r="D293" s="10"/>
      <c r="E293" s="10"/>
      <c r="F293" s="10"/>
      <c r="G293" s="10"/>
      <c r="H293" s="10"/>
      <c r="I293" s="12"/>
      <c r="J293" s="13"/>
    </row>
    <row r="294" spans="1:10" ht="75" customHeight="1">
      <c r="A294" s="7"/>
      <c r="B294" s="18"/>
      <c r="C294" s="9"/>
      <c r="D294" s="10"/>
      <c r="E294" s="10"/>
      <c r="F294" s="10"/>
      <c r="G294" s="10"/>
      <c r="H294" s="10"/>
      <c r="I294" s="12"/>
      <c r="J294" s="13"/>
    </row>
    <row r="295" spans="1:10" ht="75" customHeight="1">
      <c r="A295" s="7"/>
      <c r="B295" s="18"/>
      <c r="C295" s="9"/>
      <c r="D295" s="10"/>
      <c r="E295" s="10"/>
      <c r="F295" s="10"/>
      <c r="G295" s="10"/>
      <c r="H295" s="10"/>
      <c r="I295" s="12"/>
      <c r="J295" s="13"/>
    </row>
    <row r="296" spans="1:10" ht="75" customHeight="1">
      <c r="A296" s="7"/>
      <c r="B296" s="18"/>
      <c r="C296" s="9"/>
      <c r="D296" s="10"/>
      <c r="E296" s="10"/>
      <c r="F296" s="10"/>
      <c r="G296" s="10"/>
      <c r="H296" s="10"/>
      <c r="I296" s="12"/>
      <c r="J296" s="13"/>
    </row>
    <row r="297" spans="1:10" ht="75" customHeight="1">
      <c r="A297" s="7"/>
      <c r="B297" s="18"/>
      <c r="C297" s="9"/>
      <c r="D297" s="10"/>
      <c r="E297" s="10"/>
      <c r="F297" s="10"/>
      <c r="G297" s="10"/>
      <c r="H297" s="10"/>
      <c r="I297" s="12"/>
      <c r="J297" s="13"/>
    </row>
    <row r="298" spans="1:10" ht="75" customHeight="1">
      <c r="A298" s="7"/>
      <c r="B298" s="18"/>
      <c r="C298" s="9"/>
      <c r="D298" s="10"/>
      <c r="E298" s="10"/>
      <c r="F298" s="10"/>
      <c r="G298" s="10"/>
      <c r="H298" s="10"/>
      <c r="I298" s="12"/>
      <c r="J298" s="13"/>
    </row>
    <row r="299" spans="1:10" ht="75" customHeight="1">
      <c r="A299" s="7"/>
      <c r="B299" s="18"/>
      <c r="C299" s="9"/>
      <c r="D299" s="10"/>
      <c r="E299" s="10"/>
      <c r="F299" s="10"/>
      <c r="G299" s="10"/>
      <c r="H299" s="10"/>
      <c r="I299" s="12"/>
      <c r="J299" s="13"/>
    </row>
    <row r="300" spans="1:10" ht="75" customHeight="1">
      <c r="A300" s="7"/>
      <c r="B300" s="18"/>
      <c r="C300" s="9"/>
      <c r="D300" s="10"/>
      <c r="E300" s="10"/>
      <c r="F300" s="10"/>
      <c r="G300" s="10"/>
      <c r="H300" s="10"/>
      <c r="I300" s="12"/>
      <c r="J300" s="13"/>
    </row>
    <row r="301" spans="1:10" ht="75" customHeight="1">
      <c r="A301" s="7"/>
      <c r="B301" s="18"/>
      <c r="C301" s="9"/>
      <c r="D301" s="10"/>
      <c r="E301" s="10"/>
      <c r="F301" s="10"/>
      <c r="G301" s="10"/>
      <c r="H301" s="10"/>
      <c r="I301" s="12"/>
      <c r="J301" s="13"/>
    </row>
    <row r="302" spans="1:10" ht="75" customHeight="1">
      <c r="A302" s="7"/>
      <c r="B302" s="18"/>
      <c r="C302" s="9"/>
      <c r="D302" s="10"/>
      <c r="E302" s="10"/>
      <c r="F302" s="10"/>
      <c r="G302" s="10"/>
      <c r="H302" s="10"/>
      <c r="I302" s="12"/>
      <c r="J302" s="13"/>
    </row>
    <row r="303" spans="1:10" ht="75" customHeight="1">
      <c r="A303" s="7"/>
      <c r="B303" s="18"/>
      <c r="C303" s="9"/>
      <c r="D303" s="10"/>
      <c r="E303" s="10"/>
      <c r="F303" s="10"/>
      <c r="G303" s="10"/>
      <c r="H303" s="10"/>
      <c r="I303" s="12"/>
      <c r="J303" s="13"/>
    </row>
    <row r="304" spans="1:10" ht="75" customHeight="1">
      <c r="A304" s="7"/>
      <c r="B304" s="18"/>
      <c r="C304" s="9"/>
      <c r="D304" s="10"/>
      <c r="E304" s="10"/>
      <c r="F304" s="10"/>
      <c r="G304" s="10"/>
      <c r="H304" s="10"/>
      <c r="I304" s="12"/>
      <c r="J304" s="13"/>
    </row>
    <row r="305" spans="1:10" ht="75" customHeight="1">
      <c r="A305" s="7"/>
      <c r="B305" s="18"/>
      <c r="C305" s="9"/>
      <c r="D305" s="10"/>
      <c r="E305" s="10"/>
      <c r="F305" s="10"/>
      <c r="G305" s="10"/>
      <c r="H305" s="10"/>
      <c r="I305" s="12"/>
      <c r="J305" s="13"/>
    </row>
    <row r="306" spans="1:10" ht="75" customHeight="1">
      <c r="A306" s="7"/>
      <c r="B306" s="18"/>
      <c r="C306" s="9"/>
      <c r="D306" s="10"/>
      <c r="E306" s="10"/>
      <c r="F306" s="10"/>
      <c r="G306" s="10"/>
      <c r="H306" s="10"/>
      <c r="I306" s="12"/>
      <c r="J306" s="13"/>
    </row>
    <row r="307" spans="1:10" ht="75" customHeight="1">
      <c r="A307" s="7"/>
      <c r="B307" s="18"/>
      <c r="C307" s="9"/>
      <c r="D307" s="10"/>
      <c r="E307" s="10"/>
      <c r="F307" s="10"/>
      <c r="G307" s="10"/>
      <c r="H307" s="10"/>
      <c r="I307" s="12"/>
      <c r="J307" s="13"/>
    </row>
    <row r="308" spans="1:10" ht="75" customHeight="1">
      <c r="A308" s="7"/>
      <c r="B308" s="18"/>
      <c r="C308" s="9"/>
      <c r="D308" s="10"/>
      <c r="E308" s="10"/>
      <c r="F308" s="10"/>
      <c r="G308" s="10"/>
      <c r="H308" s="10"/>
      <c r="I308" s="12"/>
      <c r="J308" s="13"/>
    </row>
    <row r="309" spans="1:10" ht="75" customHeight="1">
      <c r="A309" s="7"/>
      <c r="B309" s="18"/>
      <c r="C309" s="9"/>
      <c r="D309" s="10"/>
      <c r="E309" s="10"/>
      <c r="F309" s="10"/>
      <c r="G309" s="10"/>
      <c r="H309" s="10"/>
      <c r="I309" s="12"/>
      <c r="J309" s="13"/>
    </row>
    <row r="310" spans="1:10" ht="75" customHeight="1">
      <c r="A310" s="7"/>
      <c r="B310" s="18"/>
      <c r="C310" s="9"/>
      <c r="D310" s="10"/>
      <c r="E310" s="10"/>
      <c r="F310" s="10"/>
      <c r="G310" s="10"/>
      <c r="H310" s="10"/>
      <c r="I310" s="12"/>
      <c r="J310" s="13"/>
    </row>
    <row r="311" spans="1:10" ht="75" customHeight="1">
      <c r="A311" s="7"/>
      <c r="B311" s="18"/>
      <c r="C311" s="9"/>
      <c r="D311" s="10"/>
      <c r="E311" s="10"/>
      <c r="F311" s="10"/>
      <c r="G311" s="10"/>
      <c r="H311" s="10"/>
      <c r="I311" s="12"/>
      <c r="J311" s="13"/>
    </row>
    <row r="312" spans="1:10" ht="75" customHeight="1">
      <c r="A312" s="7"/>
      <c r="B312" s="18"/>
      <c r="C312" s="9"/>
      <c r="D312" s="10"/>
      <c r="E312" s="10"/>
      <c r="F312" s="10"/>
      <c r="G312" s="10"/>
      <c r="H312" s="10"/>
      <c r="I312" s="12"/>
      <c r="J312" s="13"/>
    </row>
    <row r="313" spans="1:10" ht="75" customHeight="1">
      <c r="A313" s="7"/>
      <c r="B313" s="18"/>
      <c r="C313" s="9"/>
      <c r="D313" s="10"/>
      <c r="E313" s="10"/>
      <c r="F313" s="10"/>
      <c r="G313" s="10"/>
      <c r="H313" s="10"/>
      <c r="I313" s="12"/>
      <c r="J313" s="13"/>
    </row>
    <row r="314" spans="1:10" ht="75" customHeight="1">
      <c r="A314" s="7"/>
      <c r="B314" s="18"/>
      <c r="C314" s="9"/>
      <c r="D314" s="10"/>
      <c r="E314" s="10"/>
      <c r="F314" s="10"/>
      <c r="G314" s="10"/>
      <c r="H314" s="10"/>
      <c r="I314" s="12"/>
      <c r="J314" s="13"/>
    </row>
    <row r="315" spans="1:10" ht="75" customHeight="1">
      <c r="A315" s="7"/>
      <c r="B315" s="18"/>
      <c r="C315" s="9"/>
      <c r="D315" s="10"/>
      <c r="E315" s="10"/>
      <c r="F315" s="10"/>
      <c r="G315" s="10"/>
      <c r="H315" s="10"/>
      <c r="I315" s="12"/>
      <c r="J315" s="13"/>
    </row>
    <row r="316" spans="1:10" ht="75" customHeight="1">
      <c r="A316" s="7"/>
      <c r="B316" s="18"/>
      <c r="C316" s="9"/>
      <c r="D316" s="10"/>
      <c r="E316" s="10"/>
      <c r="F316" s="10"/>
      <c r="G316" s="10"/>
      <c r="H316" s="10"/>
      <c r="I316" s="12"/>
      <c r="J316" s="13"/>
    </row>
    <row r="317" spans="1:10" ht="75" customHeight="1">
      <c r="A317" s="7"/>
      <c r="B317" s="18"/>
      <c r="C317" s="9"/>
      <c r="D317" s="10"/>
      <c r="E317" s="10"/>
      <c r="F317" s="10"/>
      <c r="G317" s="10"/>
      <c r="H317" s="10"/>
      <c r="I317" s="12"/>
      <c r="J317" s="13"/>
    </row>
    <row r="318" spans="1:10" ht="75" customHeight="1">
      <c r="A318" s="7"/>
      <c r="B318" s="18"/>
      <c r="C318" s="9"/>
      <c r="D318" s="10"/>
      <c r="E318" s="10"/>
      <c r="F318" s="10"/>
      <c r="G318" s="10"/>
      <c r="H318" s="10"/>
      <c r="I318" s="12"/>
      <c r="J318" s="13"/>
    </row>
    <row r="319" spans="1:10" ht="75" customHeight="1">
      <c r="A319" s="7"/>
      <c r="B319" s="18"/>
      <c r="C319" s="9"/>
      <c r="D319" s="10"/>
      <c r="E319" s="10"/>
      <c r="F319" s="10"/>
      <c r="G319" s="10"/>
      <c r="H319" s="10"/>
      <c r="I319" s="12"/>
      <c r="J319" s="13"/>
    </row>
    <row r="320" spans="1:10" ht="75" customHeight="1">
      <c r="A320" s="7"/>
      <c r="B320" s="18"/>
      <c r="C320" s="9"/>
      <c r="D320" s="10"/>
      <c r="E320" s="10"/>
      <c r="F320" s="10"/>
      <c r="G320" s="10"/>
      <c r="H320" s="10"/>
      <c r="I320" s="12"/>
      <c r="J320" s="13"/>
    </row>
    <row r="321" spans="1:10" ht="75" customHeight="1">
      <c r="A321" s="7"/>
      <c r="B321" s="18"/>
      <c r="C321" s="9"/>
      <c r="D321" s="10"/>
      <c r="E321" s="10"/>
      <c r="F321" s="10"/>
      <c r="G321" s="10"/>
      <c r="H321" s="10"/>
      <c r="I321" s="12"/>
      <c r="J321" s="13"/>
    </row>
    <row r="322" spans="1:10" ht="75" customHeight="1">
      <c r="A322" s="7"/>
      <c r="B322" s="18"/>
      <c r="C322" s="9"/>
      <c r="D322" s="10"/>
      <c r="E322" s="10"/>
      <c r="F322" s="10"/>
      <c r="G322" s="10"/>
      <c r="H322" s="10"/>
      <c r="I322" s="12"/>
      <c r="J322" s="13"/>
    </row>
    <row r="323" spans="1:10" ht="75" customHeight="1">
      <c r="A323" s="7"/>
      <c r="B323" s="18"/>
      <c r="C323" s="9"/>
      <c r="D323" s="10"/>
      <c r="E323" s="10"/>
      <c r="F323" s="10"/>
      <c r="G323" s="10"/>
      <c r="H323" s="10"/>
      <c r="I323" s="12"/>
      <c r="J323" s="13"/>
    </row>
    <row r="324" spans="1:10" ht="75" customHeight="1">
      <c r="A324" s="7"/>
      <c r="B324" s="18"/>
      <c r="C324" s="9"/>
      <c r="D324" s="10"/>
      <c r="E324" s="10"/>
      <c r="F324" s="10"/>
      <c r="G324" s="10"/>
      <c r="H324" s="10"/>
      <c r="I324" s="12"/>
      <c r="J324" s="13"/>
    </row>
    <row r="325" spans="1:10" ht="75" customHeight="1">
      <c r="A325" s="7"/>
      <c r="B325" s="18"/>
      <c r="C325" s="9"/>
      <c r="D325" s="10"/>
      <c r="E325" s="10"/>
      <c r="F325" s="10"/>
      <c r="G325" s="10"/>
      <c r="H325" s="10"/>
      <c r="I325" s="12"/>
      <c r="J325" s="13"/>
    </row>
    <row r="326" spans="1:10" ht="75" customHeight="1">
      <c r="A326" s="7"/>
      <c r="B326" s="18"/>
      <c r="C326" s="9"/>
      <c r="D326" s="10"/>
      <c r="E326" s="10"/>
      <c r="F326" s="10"/>
      <c r="G326" s="10"/>
      <c r="H326" s="10"/>
      <c r="I326" s="12"/>
      <c r="J326" s="13"/>
    </row>
    <row r="327" spans="1:10" ht="75" customHeight="1">
      <c r="A327" s="7"/>
      <c r="B327" s="18"/>
      <c r="C327" s="9"/>
      <c r="D327" s="10"/>
      <c r="E327" s="10"/>
      <c r="F327" s="10"/>
      <c r="G327" s="10"/>
      <c r="H327" s="10"/>
      <c r="I327" s="12"/>
      <c r="J327" s="13"/>
    </row>
    <row r="328" spans="1:10" ht="75" customHeight="1">
      <c r="A328" s="7"/>
      <c r="B328" s="18"/>
      <c r="C328" s="9"/>
      <c r="D328" s="10"/>
      <c r="E328" s="10"/>
      <c r="F328" s="10"/>
      <c r="G328" s="10"/>
      <c r="H328" s="10"/>
      <c r="I328" s="12"/>
      <c r="J328" s="13"/>
    </row>
    <row r="329" spans="1:10" ht="75" customHeight="1">
      <c r="A329" s="7"/>
      <c r="B329" s="18"/>
      <c r="C329" s="9"/>
      <c r="D329" s="10"/>
      <c r="E329" s="10"/>
      <c r="F329" s="10"/>
      <c r="G329" s="10"/>
      <c r="H329" s="10"/>
      <c r="I329" s="12"/>
      <c r="J329" s="13"/>
    </row>
    <row r="330" spans="1:10" ht="75" customHeight="1">
      <c r="A330" s="7"/>
      <c r="B330" s="18"/>
      <c r="C330" s="9"/>
      <c r="D330" s="10"/>
      <c r="E330" s="10"/>
      <c r="F330" s="10"/>
      <c r="G330" s="10"/>
      <c r="H330" s="10"/>
      <c r="I330" s="12"/>
      <c r="J330" s="13"/>
    </row>
    <row r="331" spans="1:10" ht="75" customHeight="1">
      <c r="A331" s="7"/>
      <c r="B331" s="18"/>
      <c r="C331" s="9"/>
      <c r="D331" s="10"/>
      <c r="E331" s="10"/>
      <c r="F331" s="10"/>
      <c r="G331" s="10"/>
      <c r="H331" s="10"/>
      <c r="I331" s="12"/>
      <c r="J331" s="13"/>
    </row>
    <row r="332" spans="1:10" ht="75" customHeight="1">
      <c r="A332" s="7"/>
      <c r="B332" s="18"/>
      <c r="C332" s="9"/>
      <c r="D332" s="10"/>
      <c r="E332" s="10"/>
      <c r="F332" s="10"/>
      <c r="G332" s="10"/>
      <c r="H332" s="10"/>
      <c r="I332" s="12"/>
      <c r="J332" s="13"/>
    </row>
    <row r="333" spans="1:10" ht="75" customHeight="1">
      <c r="A333" s="7"/>
      <c r="B333" s="18"/>
      <c r="C333" s="9"/>
      <c r="D333" s="10"/>
      <c r="E333" s="10"/>
      <c r="F333" s="10"/>
      <c r="G333" s="10"/>
      <c r="H333" s="10"/>
      <c r="I333" s="12"/>
      <c r="J333" s="13"/>
    </row>
    <row r="334" spans="1:10" ht="75" customHeight="1">
      <c r="A334" s="7"/>
      <c r="B334" s="18"/>
      <c r="C334" s="9"/>
      <c r="D334" s="10"/>
      <c r="E334" s="10"/>
      <c r="F334" s="10"/>
      <c r="G334" s="10"/>
      <c r="H334" s="10"/>
      <c r="I334" s="12"/>
      <c r="J334" s="13"/>
    </row>
    <row r="335" spans="1:10" ht="75" customHeight="1">
      <c r="A335" s="7"/>
      <c r="B335" s="18"/>
      <c r="C335" s="9"/>
      <c r="D335" s="10"/>
      <c r="E335" s="10"/>
      <c r="F335" s="10"/>
      <c r="G335" s="10"/>
      <c r="H335" s="10"/>
      <c r="I335" s="12"/>
      <c r="J335" s="13"/>
    </row>
    <row r="336" spans="1:10" ht="75" customHeight="1">
      <c r="A336" s="7"/>
      <c r="B336" s="18"/>
      <c r="C336" s="9"/>
      <c r="D336" s="10"/>
      <c r="E336" s="10"/>
      <c r="F336" s="10"/>
      <c r="G336" s="10"/>
      <c r="H336" s="10"/>
      <c r="I336" s="12"/>
      <c r="J336" s="13"/>
    </row>
    <row r="337" spans="1:10" ht="75" customHeight="1">
      <c r="A337" s="7"/>
      <c r="B337" s="18"/>
      <c r="C337" s="9"/>
      <c r="D337" s="10"/>
      <c r="E337" s="10"/>
      <c r="F337" s="10"/>
      <c r="G337" s="10"/>
      <c r="H337" s="10"/>
      <c r="I337" s="12"/>
      <c r="J337" s="13"/>
    </row>
    <row r="338" spans="1:10" ht="75" customHeight="1">
      <c r="A338" s="7"/>
      <c r="B338" s="18"/>
      <c r="C338" s="9"/>
      <c r="D338" s="10"/>
      <c r="E338" s="10"/>
      <c r="F338" s="10"/>
      <c r="G338" s="10"/>
      <c r="H338" s="10"/>
      <c r="I338" s="12"/>
      <c r="J338" s="13"/>
    </row>
    <row r="339" spans="1:10" ht="75" customHeight="1">
      <c r="A339" s="7"/>
      <c r="B339" s="18"/>
      <c r="C339" s="9"/>
      <c r="D339" s="10"/>
      <c r="E339" s="10"/>
      <c r="F339" s="10"/>
      <c r="G339" s="10"/>
      <c r="H339" s="10"/>
      <c r="I339" s="12"/>
      <c r="J339" s="13"/>
    </row>
    <row r="340" spans="1:10" ht="75" customHeight="1">
      <c r="A340" s="7"/>
      <c r="B340" s="18"/>
      <c r="C340" s="9"/>
      <c r="D340" s="10"/>
      <c r="E340" s="10"/>
      <c r="F340" s="10"/>
      <c r="G340" s="10"/>
      <c r="H340" s="10"/>
      <c r="I340" s="12"/>
      <c r="J340" s="13"/>
    </row>
    <row r="341" spans="1:10" ht="75" customHeight="1">
      <c r="A341" s="7"/>
      <c r="B341" s="18"/>
      <c r="C341" s="9"/>
      <c r="D341" s="10"/>
      <c r="E341" s="10"/>
      <c r="F341" s="10"/>
      <c r="G341" s="10"/>
      <c r="H341" s="10"/>
      <c r="I341" s="12"/>
      <c r="J341" s="13"/>
    </row>
    <row r="342" spans="1:10" ht="75" customHeight="1">
      <c r="A342" s="7"/>
      <c r="B342" s="18"/>
      <c r="C342" s="9"/>
      <c r="D342" s="10"/>
      <c r="E342" s="10"/>
      <c r="F342" s="10"/>
      <c r="G342" s="10"/>
      <c r="H342" s="10"/>
      <c r="I342" s="12"/>
      <c r="J342" s="13"/>
    </row>
    <row r="343" spans="1:10" ht="75" customHeight="1">
      <c r="A343" s="7"/>
      <c r="B343" s="18"/>
      <c r="C343" s="9"/>
      <c r="D343" s="10"/>
      <c r="E343" s="10"/>
      <c r="F343" s="10"/>
      <c r="G343" s="10"/>
      <c r="H343" s="10"/>
      <c r="I343" s="12"/>
      <c r="J343" s="13"/>
    </row>
    <row r="344" spans="1:10" ht="75" customHeight="1">
      <c r="A344" s="7"/>
      <c r="B344" s="18"/>
      <c r="C344" s="9"/>
      <c r="D344" s="10"/>
      <c r="E344" s="10"/>
      <c r="F344" s="10"/>
      <c r="G344" s="10"/>
      <c r="H344" s="10"/>
      <c r="I344" s="12"/>
      <c r="J344" s="13"/>
    </row>
    <row r="345" spans="1:10" ht="75" customHeight="1">
      <c r="A345" s="7"/>
      <c r="B345" s="18"/>
      <c r="C345" s="9"/>
      <c r="D345" s="10"/>
      <c r="E345" s="10"/>
      <c r="F345" s="10"/>
      <c r="G345" s="10"/>
      <c r="H345" s="10"/>
      <c r="I345" s="12"/>
      <c r="J345" s="13"/>
    </row>
    <row r="346" spans="1:10" ht="75" customHeight="1">
      <c r="A346" s="7"/>
      <c r="B346" s="18"/>
      <c r="C346" s="9"/>
      <c r="D346" s="10"/>
      <c r="E346" s="10"/>
      <c r="F346" s="10"/>
      <c r="G346" s="10"/>
      <c r="H346" s="10"/>
      <c r="I346" s="12"/>
      <c r="J346" s="13"/>
    </row>
    <row r="347" spans="1:10" ht="75" customHeight="1">
      <c r="A347" s="7"/>
      <c r="B347" s="18"/>
      <c r="C347" s="9"/>
      <c r="D347" s="10"/>
      <c r="E347" s="10"/>
      <c r="F347" s="10"/>
      <c r="G347" s="10"/>
      <c r="H347" s="10"/>
      <c r="I347" s="12"/>
      <c r="J347" s="13"/>
    </row>
    <row r="348" spans="1:10" ht="75" customHeight="1">
      <c r="A348" s="7"/>
      <c r="B348" s="18"/>
      <c r="C348" s="9"/>
      <c r="D348" s="10"/>
      <c r="E348" s="10"/>
      <c r="F348" s="10"/>
      <c r="G348" s="10"/>
      <c r="H348" s="10"/>
      <c r="I348" s="12"/>
      <c r="J348" s="13"/>
    </row>
    <row r="349" spans="1:10" ht="75" customHeight="1">
      <c r="A349" s="7"/>
      <c r="B349" s="18"/>
      <c r="C349" s="9"/>
      <c r="D349" s="10"/>
      <c r="E349" s="10"/>
      <c r="F349" s="10"/>
      <c r="G349" s="10"/>
      <c r="H349" s="10"/>
      <c r="I349" s="12"/>
      <c r="J349" s="13"/>
    </row>
    <row r="350" spans="1:10" ht="75" customHeight="1">
      <c r="A350" s="7"/>
      <c r="B350" s="18"/>
      <c r="C350" s="9"/>
      <c r="D350" s="10"/>
      <c r="E350" s="10"/>
      <c r="F350" s="10"/>
      <c r="G350" s="10"/>
      <c r="H350" s="10"/>
      <c r="I350" s="12"/>
      <c r="J350" s="13"/>
    </row>
    <row r="351" spans="1:10" ht="75" customHeight="1">
      <c r="A351" s="7"/>
      <c r="B351" s="18"/>
      <c r="C351" s="9"/>
      <c r="D351" s="10"/>
      <c r="E351" s="10"/>
      <c r="F351" s="10"/>
      <c r="G351" s="10"/>
      <c r="H351" s="10"/>
      <c r="I351" s="12"/>
      <c r="J351" s="13"/>
    </row>
    <row r="352" spans="1:10" ht="75" customHeight="1">
      <c r="A352" s="7"/>
      <c r="B352" s="18"/>
      <c r="C352" s="9"/>
      <c r="D352" s="10"/>
      <c r="E352" s="10"/>
      <c r="F352" s="10"/>
      <c r="G352" s="10"/>
      <c r="H352" s="10"/>
      <c r="I352" s="12"/>
      <c r="J352" s="13"/>
    </row>
    <row r="353" spans="1:10" ht="75" customHeight="1">
      <c r="A353" s="7"/>
      <c r="B353" s="18"/>
      <c r="C353" s="9"/>
      <c r="D353" s="10"/>
      <c r="E353" s="10"/>
      <c r="F353" s="10"/>
      <c r="G353" s="10"/>
      <c r="H353" s="10"/>
      <c r="I353" s="12"/>
      <c r="J353" s="13"/>
    </row>
    <row r="354" spans="1:10" ht="75" customHeight="1">
      <c r="A354" s="7"/>
      <c r="B354" s="18"/>
      <c r="C354" s="9"/>
      <c r="D354" s="10"/>
      <c r="E354" s="10"/>
      <c r="F354" s="10"/>
      <c r="G354" s="10"/>
      <c r="H354" s="10"/>
      <c r="I354" s="12"/>
      <c r="J354" s="13"/>
    </row>
    <row r="355" spans="1:10" ht="75" customHeight="1">
      <c r="A355" s="7"/>
      <c r="B355" s="18"/>
      <c r="C355" s="9"/>
      <c r="D355" s="10"/>
      <c r="E355" s="10"/>
      <c r="F355" s="10"/>
      <c r="G355" s="10"/>
      <c r="H355" s="10"/>
      <c r="I355" s="12"/>
      <c r="J355" s="13"/>
    </row>
    <row r="356" spans="1:10" ht="75" customHeight="1">
      <c r="A356" s="7"/>
      <c r="B356" s="18"/>
      <c r="C356" s="9"/>
      <c r="D356" s="10"/>
      <c r="E356" s="10"/>
      <c r="F356" s="10"/>
      <c r="G356" s="10"/>
      <c r="H356" s="10"/>
      <c r="I356" s="12"/>
      <c r="J356" s="13"/>
    </row>
    <row r="357" spans="1:10" ht="75" customHeight="1">
      <c r="A357" s="7"/>
      <c r="B357" s="18"/>
      <c r="C357" s="9"/>
      <c r="D357" s="10"/>
      <c r="E357" s="10"/>
      <c r="F357" s="10"/>
      <c r="G357" s="10"/>
      <c r="H357" s="10"/>
      <c r="I357" s="12"/>
      <c r="J357" s="13"/>
    </row>
    <row r="358" spans="1:10" ht="75" customHeight="1">
      <c r="A358" s="7"/>
      <c r="B358" s="18"/>
      <c r="C358" s="9"/>
      <c r="D358" s="10"/>
      <c r="E358" s="10"/>
      <c r="F358" s="10"/>
      <c r="G358" s="10"/>
      <c r="H358" s="10"/>
      <c r="I358" s="12"/>
      <c r="J358" s="13"/>
    </row>
    <row r="359" spans="1:10" ht="75" customHeight="1">
      <c r="A359" s="7"/>
      <c r="B359" s="18"/>
      <c r="C359" s="9"/>
      <c r="D359" s="10"/>
      <c r="E359" s="10"/>
      <c r="F359" s="10"/>
      <c r="G359" s="10"/>
      <c r="H359" s="10"/>
      <c r="I359" s="12"/>
      <c r="J359" s="13"/>
    </row>
    <row r="360" spans="1:10" ht="75" customHeight="1">
      <c r="A360" s="7"/>
      <c r="B360" s="18"/>
      <c r="C360" s="9"/>
      <c r="D360" s="10"/>
      <c r="E360" s="10"/>
      <c r="F360" s="10"/>
      <c r="G360" s="10"/>
      <c r="H360" s="10"/>
      <c r="I360" s="12"/>
      <c r="J360" s="13"/>
    </row>
    <row r="361" spans="1:10" ht="75" customHeight="1">
      <c r="A361" s="7"/>
      <c r="B361" s="18"/>
      <c r="C361" s="9"/>
      <c r="D361" s="10"/>
      <c r="E361" s="10"/>
      <c r="F361" s="10"/>
      <c r="G361" s="10"/>
      <c r="H361" s="10"/>
      <c r="I361" s="12"/>
      <c r="J361" s="13"/>
    </row>
    <row r="362" spans="1:10" ht="75" customHeight="1">
      <c r="A362" s="7"/>
      <c r="B362" s="18"/>
      <c r="C362" s="9"/>
      <c r="D362" s="10"/>
      <c r="E362" s="10"/>
      <c r="F362" s="10"/>
      <c r="G362" s="10"/>
      <c r="H362" s="10"/>
      <c r="I362" s="12"/>
      <c r="J362" s="13"/>
    </row>
    <row r="363" spans="1:10" ht="75" customHeight="1">
      <c r="A363" s="7"/>
      <c r="B363" s="18"/>
      <c r="C363" s="9"/>
      <c r="D363" s="10"/>
      <c r="E363" s="10"/>
      <c r="F363" s="10"/>
      <c r="G363" s="10"/>
      <c r="H363" s="10"/>
      <c r="I363" s="12"/>
      <c r="J363" s="13"/>
    </row>
    <row r="364" spans="1:10" ht="75" customHeight="1">
      <c r="A364" s="7"/>
      <c r="B364" s="18"/>
      <c r="C364" s="9"/>
      <c r="D364" s="10"/>
      <c r="E364" s="10"/>
      <c r="F364" s="10"/>
      <c r="G364" s="10"/>
      <c r="H364" s="10"/>
      <c r="I364" s="12"/>
      <c r="J364" s="13"/>
    </row>
    <row r="365" spans="1:10" ht="75" customHeight="1">
      <c r="A365" s="7"/>
      <c r="B365" s="18"/>
      <c r="C365" s="9"/>
      <c r="D365" s="10"/>
      <c r="E365" s="10"/>
      <c r="F365" s="10"/>
      <c r="G365" s="10"/>
      <c r="H365" s="10"/>
      <c r="I365" s="12"/>
      <c r="J365" s="13"/>
    </row>
    <row r="366" spans="1:10" ht="75" customHeight="1">
      <c r="A366" s="7"/>
      <c r="B366" s="18"/>
      <c r="C366" s="9"/>
      <c r="D366" s="10"/>
      <c r="E366" s="10"/>
      <c r="F366" s="10"/>
      <c r="G366" s="10"/>
      <c r="H366" s="10"/>
      <c r="I366" s="12"/>
      <c r="J366" s="13"/>
    </row>
    <row r="367" spans="1:10" ht="75" customHeight="1">
      <c r="A367" s="7"/>
      <c r="B367" s="18"/>
      <c r="C367" s="9"/>
      <c r="D367" s="10"/>
      <c r="E367" s="10"/>
      <c r="F367" s="10"/>
      <c r="G367" s="10"/>
      <c r="H367" s="10"/>
      <c r="I367" s="12"/>
      <c r="J367" s="13"/>
    </row>
    <row r="368" spans="1:10" ht="75" customHeight="1">
      <c r="A368" s="7"/>
      <c r="B368" s="18"/>
      <c r="C368" s="9"/>
      <c r="D368" s="10"/>
      <c r="E368" s="10"/>
      <c r="F368" s="10"/>
      <c r="G368" s="10"/>
      <c r="H368" s="10"/>
      <c r="I368" s="12"/>
      <c r="J368" s="13"/>
    </row>
    <row r="369" spans="1:10" ht="75" customHeight="1">
      <c r="A369" s="7"/>
      <c r="B369" s="18"/>
      <c r="C369" s="9"/>
      <c r="D369" s="10"/>
      <c r="E369" s="10"/>
      <c r="F369" s="10"/>
      <c r="G369" s="10"/>
      <c r="H369" s="10"/>
      <c r="I369" s="12"/>
      <c r="J369" s="13"/>
    </row>
    <row r="370" spans="1:10" ht="75" customHeight="1">
      <c r="A370" s="7"/>
      <c r="B370" s="18"/>
      <c r="C370" s="9"/>
      <c r="D370" s="10"/>
      <c r="E370" s="10"/>
      <c r="F370" s="10"/>
      <c r="G370" s="10"/>
      <c r="H370" s="10"/>
      <c r="I370" s="12"/>
      <c r="J370" s="13"/>
    </row>
    <row r="371" spans="1:10" ht="75" customHeight="1">
      <c r="A371" s="7"/>
      <c r="B371" s="18"/>
      <c r="C371" s="9"/>
      <c r="D371" s="10"/>
      <c r="E371" s="10"/>
      <c r="F371" s="10"/>
      <c r="G371" s="10"/>
      <c r="H371" s="10"/>
      <c r="I371" s="12"/>
      <c r="J371" s="13"/>
    </row>
    <row r="372" spans="1:10" ht="75" customHeight="1">
      <c r="A372" s="7"/>
      <c r="B372" s="18"/>
      <c r="C372" s="9"/>
      <c r="D372" s="10"/>
      <c r="E372" s="10"/>
      <c r="F372" s="10"/>
      <c r="G372" s="10"/>
      <c r="H372" s="10"/>
      <c r="I372" s="12"/>
      <c r="J372" s="13"/>
    </row>
    <row r="373" spans="1:10" ht="75" customHeight="1">
      <c r="A373" s="7"/>
      <c r="B373" s="18"/>
      <c r="C373" s="9"/>
      <c r="D373" s="10"/>
      <c r="E373" s="10"/>
      <c r="F373" s="10"/>
      <c r="G373" s="10"/>
      <c r="H373" s="10"/>
      <c r="I373" s="12"/>
      <c r="J373" s="13"/>
    </row>
    <row r="374" spans="1:10" ht="75" customHeight="1">
      <c r="A374" s="7"/>
      <c r="B374" s="18"/>
      <c r="C374" s="9"/>
      <c r="D374" s="10"/>
      <c r="E374" s="10"/>
      <c r="F374" s="10"/>
      <c r="G374" s="10"/>
      <c r="H374" s="10"/>
      <c r="I374" s="12"/>
      <c r="J374" s="13"/>
    </row>
    <row r="375" spans="1:10" ht="75" customHeight="1">
      <c r="A375" s="7"/>
      <c r="B375" s="18"/>
      <c r="C375" s="9"/>
      <c r="D375" s="10"/>
      <c r="E375" s="10"/>
      <c r="F375" s="10"/>
      <c r="G375" s="10"/>
      <c r="H375" s="10"/>
      <c r="I375" s="12"/>
      <c r="J375" s="13"/>
    </row>
    <row r="376" spans="1:10" ht="75" customHeight="1">
      <c r="A376" s="7"/>
      <c r="B376" s="18"/>
      <c r="C376" s="9"/>
      <c r="D376" s="10"/>
      <c r="E376" s="10"/>
      <c r="F376" s="10"/>
      <c r="G376" s="10"/>
      <c r="H376" s="10"/>
      <c r="I376" s="12"/>
      <c r="J376" s="13"/>
    </row>
    <row r="377" spans="1:10" ht="75" customHeight="1">
      <c r="A377" s="7"/>
      <c r="B377" s="18"/>
      <c r="C377" s="9"/>
      <c r="D377" s="10"/>
      <c r="E377" s="10"/>
      <c r="F377" s="10"/>
      <c r="G377" s="10"/>
      <c r="H377" s="10"/>
      <c r="I377" s="12"/>
      <c r="J377" s="13"/>
    </row>
    <row r="378" spans="1:10" ht="75" customHeight="1">
      <c r="A378" s="7"/>
      <c r="B378" s="18"/>
      <c r="C378" s="9"/>
      <c r="D378" s="10"/>
      <c r="E378" s="10"/>
      <c r="F378" s="10"/>
      <c r="G378" s="10"/>
      <c r="H378" s="10"/>
      <c r="I378" s="12"/>
      <c r="J378" s="13"/>
    </row>
    <row r="379" spans="1:10" ht="75" customHeight="1">
      <c r="A379" s="7"/>
      <c r="B379" s="18"/>
      <c r="C379" s="9"/>
      <c r="D379" s="10"/>
      <c r="E379" s="10"/>
      <c r="F379" s="10"/>
      <c r="G379" s="10"/>
      <c r="H379" s="10"/>
      <c r="I379" s="12"/>
      <c r="J379" s="13"/>
    </row>
    <row r="380" spans="1:10" ht="75" customHeight="1">
      <c r="A380" s="7"/>
      <c r="B380" s="18"/>
      <c r="C380" s="9"/>
      <c r="D380" s="10"/>
      <c r="E380" s="10"/>
      <c r="F380" s="10"/>
      <c r="G380" s="10"/>
      <c r="H380" s="10"/>
      <c r="I380" s="12"/>
      <c r="J380" s="13"/>
    </row>
    <row r="381" spans="1:10" ht="75" customHeight="1">
      <c r="A381" s="7"/>
      <c r="B381" s="18"/>
      <c r="C381" s="9"/>
      <c r="D381" s="10"/>
      <c r="E381" s="10"/>
      <c r="F381" s="10"/>
      <c r="G381" s="10"/>
      <c r="H381" s="10"/>
      <c r="I381" s="12"/>
      <c r="J381" s="13"/>
    </row>
    <row r="382" spans="1:10" ht="75" customHeight="1">
      <c r="A382" s="7"/>
      <c r="B382" s="18"/>
      <c r="C382" s="9"/>
      <c r="D382" s="10"/>
      <c r="E382" s="10"/>
      <c r="F382" s="10"/>
      <c r="G382" s="10"/>
      <c r="H382" s="10"/>
      <c r="I382" s="12"/>
      <c r="J382" s="13"/>
    </row>
    <row r="383" spans="1:10" ht="75" customHeight="1">
      <c r="A383" s="7"/>
      <c r="B383" s="18"/>
      <c r="C383" s="9"/>
      <c r="D383" s="10"/>
      <c r="E383" s="10"/>
      <c r="F383" s="10"/>
      <c r="G383" s="10"/>
      <c r="H383" s="10"/>
      <c r="I383" s="12"/>
      <c r="J383" s="13"/>
    </row>
    <row r="384" spans="1:10" ht="75" customHeight="1">
      <c r="A384" s="7"/>
      <c r="B384" s="18"/>
      <c r="C384" s="9"/>
      <c r="D384" s="10"/>
      <c r="E384" s="10"/>
      <c r="F384" s="10"/>
      <c r="G384" s="10"/>
      <c r="H384" s="10"/>
      <c r="I384" s="12"/>
      <c r="J384" s="13"/>
    </row>
    <row r="385" spans="1:10" ht="75" customHeight="1">
      <c r="A385" s="7"/>
      <c r="B385" s="18"/>
      <c r="C385" s="9"/>
      <c r="D385" s="10"/>
      <c r="E385" s="10"/>
      <c r="F385" s="10"/>
      <c r="G385" s="10"/>
      <c r="H385" s="10"/>
      <c r="I385" s="12"/>
      <c r="J385" s="13"/>
    </row>
    <row r="386" spans="1:10" ht="75" customHeight="1">
      <c r="A386" s="7"/>
      <c r="B386" s="18"/>
      <c r="C386" s="9"/>
      <c r="D386" s="10"/>
      <c r="E386" s="10"/>
      <c r="F386" s="10"/>
      <c r="G386" s="10"/>
      <c r="H386" s="10"/>
      <c r="I386" s="12"/>
      <c r="J386" s="13"/>
    </row>
    <row r="387" spans="1:10" ht="75" customHeight="1">
      <c r="A387" s="7"/>
      <c r="B387" s="18"/>
      <c r="C387" s="9"/>
      <c r="D387" s="10"/>
      <c r="E387" s="10"/>
      <c r="F387" s="10"/>
      <c r="G387" s="10"/>
      <c r="H387" s="10"/>
      <c r="I387" s="12"/>
      <c r="J387" s="13"/>
    </row>
    <row r="388" spans="1:10" ht="75" customHeight="1">
      <c r="A388" s="7"/>
      <c r="B388" s="18"/>
      <c r="C388" s="9"/>
      <c r="D388" s="10"/>
      <c r="E388" s="10"/>
      <c r="F388" s="10"/>
      <c r="G388" s="10"/>
      <c r="H388" s="10"/>
      <c r="I388" s="12"/>
      <c r="J388" s="13"/>
    </row>
    <row r="389" spans="1:10" ht="75" customHeight="1">
      <c r="A389" s="7"/>
      <c r="B389" s="18"/>
      <c r="C389" s="9"/>
      <c r="D389" s="10"/>
      <c r="E389" s="10"/>
      <c r="F389" s="10"/>
      <c r="G389" s="10"/>
      <c r="H389" s="10"/>
      <c r="I389" s="12"/>
      <c r="J389" s="13"/>
    </row>
    <row r="390" spans="1:10" ht="75" customHeight="1">
      <c r="A390" s="7"/>
      <c r="B390" s="18"/>
      <c r="C390" s="9"/>
      <c r="D390" s="10"/>
      <c r="E390" s="10"/>
      <c r="F390" s="10"/>
      <c r="G390" s="10"/>
      <c r="H390" s="10"/>
      <c r="I390" s="12"/>
      <c r="J390" s="13"/>
    </row>
    <row r="391" spans="1:10" ht="75" customHeight="1">
      <c r="A391" s="7"/>
      <c r="B391" s="18"/>
      <c r="C391" s="9"/>
      <c r="D391" s="10"/>
      <c r="E391" s="10"/>
      <c r="F391" s="10"/>
      <c r="G391" s="10"/>
      <c r="H391" s="10"/>
      <c r="I391" s="12"/>
      <c r="J391" s="13"/>
    </row>
    <row r="392" spans="1:10" ht="75" customHeight="1">
      <c r="A392" s="7"/>
      <c r="B392" s="18"/>
      <c r="C392" s="9"/>
      <c r="D392" s="10"/>
      <c r="E392" s="10"/>
      <c r="F392" s="10"/>
      <c r="G392" s="10"/>
      <c r="H392" s="10"/>
      <c r="I392" s="12"/>
      <c r="J392" s="13"/>
    </row>
    <row r="393" spans="1:10" ht="75" customHeight="1">
      <c r="A393" s="7"/>
      <c r="B393" s="18"/>
      <c r="C393" s="9"/>
      <c r="D393" s="10"/>
      <c r="E393" s="10"/>
      <c r="F393" s="10"/>
      <c r="G393" s="10"/>
      <c r="H393" s="10"/>
      <c r="I393" s="12"/>
      <c r="J393" s="13"/>
    </row>
    <row r="394" spans="1:10" ht="75" customHeight="1">
      <c r="A394" s="7"/>
      <c r="B394" s="18"/>
      <c r="C394" s="9"/>
      <c r="D394" s="10"/>
      <c r="E394" s="10"/>
      <c r="F394" s="10"/>
      <c r="G394" s="10"/>
      <c r="H394" s="10"/>
      <c r="I394" s="12"/>
      <c r="J394" s="13"/>
    </row>
    <row r="395" spans="1:10" ht="75" customHeight="1">
      <c r="A395" s="7"/>
      <c r="B395" s="18"/>
      <c r="C395" s="9"/>
      <c r="D395" s="10"/>
      <c r="E395" s="10"/>
      <c r="F395" s="10"/>
      <c r="G395" s="10"/>
      <c r="H395" s="10"/>
      <c r="I395" s="12"/>
      <c r="J395" s="13"/>
    </row>
    <row r="396" spans="1:10" ht="75" customHeight="1">
      <c r="A396" s="7"/>
      <c r="B396" s="18"/>
      <c r="C396" s="9"/>
      <c r="D396" s="10"/>
      <c r="E396" s="10"/>
      <c r="F396" s="10"/>
      <c r="G396" s="10"/>
      <c r="H396" s="10"/>
      <c r="I396" s="12"/>
      <c r="J396" s="13"/>
    </row>
    <row r="397" spans="1:10" ht="75" customHeight="1">
      <c r="A397" s="7"/>
      <c r="B397" s="18"/>
      <c r="C397" s="9"/>
      <c r="D397" s="10"/>
      <c r="E397" s="10"/>
      <c r="F397" s="10"/>
      <c r="G397" s="10"/>
      <c r="H397" s="10"/>
      <c r="I397" s="12"/>
      <c r="J397" s="13"/>
    </row>
    <row r="398" spans="1:10" ht="75" customHeight="1">
      <c r="A398" s="7"/>
      <c r="B398" s="18"/>
      <c r="C398" s="9"/>
      <c r="D398" s="10"/>
      <c r="E398" s="10"/>
      <c r="F398" s="10"/>
      <c r="G398" s="10"/>
      <c r="H398" s="10"/>
      <c r="I398" s="12"/>
      <c r="J398" s="13"/>
    </row>
    <row r="399" spans="1:10" ht="75" customHeight="1">
      <c r="A399" s="7"/>
      <c r="B399" s="18"/>
      <c r="C399" s="9"/>
      <c r="D399" s="10"/>
      <c r="E399" s="10"/>
      <c r="F399" s="10"/>
      <c r="G399" s="10"/>
      <c r="H399" s="10"/>
      <c r="I399" s="12"/>
      <c r="J399" s="13"/>
    </row>
    <row r="400" spans="1:10" ht="75" customHeight="1">
      <c r="A400" s="7"/>
      <c r="B400" s="18"/>
      <c r="C400" s="9"/>
      <c r="D400" s="10"/>
      <c r="E400" s="10"/>
      <c r="F400" s="10"/>
      <c r="G400" s="10"/>
      <c r="H400" s="10"/>
      <c r="I400" s="12"/>
      <c r="J400" s="13"/>
    </row>
    <row r="401" spans="1:10" ht="75" customHeight="1">
      <c r="A401" s="7"/>
      <c r="B401" s="18"/>
      <c r="C401" s="9"/>
      <c r="D401" s="10"/>
      <c r="E401" s="10"/>
      <c r="F401" s="10"/>
      <c r="G401" s="10"/>
      <c r="H401" s="10"/>
      <c r="I401" s="12"/>
      <c r="J401" s="13"/>
    </row>
    <row r="402" spans="1:10" ht="75" customHeight="1">
      <c r="A402" s="7"/>
      <c r="B402" s="18"/>
      <c r="C402" s="9"/>
      <c r="D402" s="10"/>
      <c r="E402" s="10"/>
      <c r="F402" s="10"/>
      <c r="G402" s="10"/>
      <c r="H402" s="10"/>
      <c r="I402" s="12"/>
      <c r="J402" s="13"/>
    </row>
    <row r="403" spans="1:10" ht="75" customHeight="1">
      <c r="A403" s="7"/>
      <c r="B403" s="18"/>
      <c r="C403" s="9"/>
      <c r="D403" s="10"/>
      <c r="E403" s="10"/>
      <c r="F403" s="10"/>
      <c r="G403" s="10"/>
      <c r="H403" s="10"/>
      <c r="I403" s="12"/>
      <c r="J403" s="13"/>
    </row>
    <row r="404" spans="1:10" ht="75" customHeight="1">
      <c r="A404" s="7"/>
      <c r="B404" s="18"/>
      <c r="C404" s="9"/>
      <c r="D404" s="10"/>
      <c r="E404" s="10"/>
      <c r="F404" s="10"/>
      <c r="G404" s="10"/>
      <c r="H404" s="10"/>
      <c r="I404" s="12"/>
      <c r="J404" s="13"/>
    </row>
    <row r="405" spans="1:10" ht="75" customHeight="1">
      <c r="A405" s="7"/>
      <c r="B405" s="18"/>
      <c r="C405" s="9"/>
      <c r="D405" s="10"/>
      <c r="E405" s="10"/>
      <c r="F405" s="10"/>
      <c r="G405" s="10"/>
      <c r="H405" s="10"/>
      <c r="I405" s="12"/>
      <c r="J405" s="13"/>
    </row>
    <row r="406" spans="1:10" ht="75" customHeight="1">
      <c r="A406" s="7"/>
      <c r="B406" s="18"/>
      <c r="C406" s="9"/>
      <c r="D406" s="10"/>
      <c r="E406" s="10"/>
      <c r="F406" s="10"/>
      <c r="G406" s="10"/>
      <c r="H406" s="10"/>
      <c r="I406" s="12"/>
      <c r="J406" s="13"/>
    </row>
    <row r="407" spans="1:10" ht="75" customHeight="1">
      <c r="A407" s="7"/>
      <c r="B407" s="18"/>
      <c r="C407" s="9"/>
      <c r="D407" s="10"/>
      <c r="E407" s="10"/>
      <c r="F407" s="10"/>
      <c r="G407" s="10"/>
      <c r="H407" s="10"/>
      <c r="I407" s="12"/>
      <c r="J407" s="13"/>
    </row>
    <row r="408" spans="1:10" ht="75" customHeight="1">
      <c r="A408" s="7"/>
      <c r="B408" s="18"/>
      <c r="C408" s="9"/>
      <c r="D408" s="10"/>
      <c r="E408" s="10"/>
      <c r="F408" s="10"/>
      <c r="G408" s="10"/>
      <c r="H408" s="10"/>
      <c r="I408" s="12"/>
      <c r="J408" s="13"/>
    </row>
    <row r="409" spans="1:10" ht="75" customHeight="1">
      <c r="A409" s="7"/>
      <c r="B409" s="18"/>
      <c r="C409" s="9"/>
      <c r="D409" s="10"/>
      <c r="E409" s="10"/>
      <c r="F409" s="10"/>
      <c r="G409" s="10"/>
      <c r="H409" s="10"/>
      <c r="I409" s="12"/>
      <c r="J409" s="13"/>
    </row>
    <row r="410" spans="1:10" ht="75" customHeight="1">
      <c r="A410" s="7"/>
      <c r="B410" s="18"/>
      <c r="C410" s="9"/>
      <c r="D410" s="10"/>
      <c r="E410" s="10"/>
      <c r="F410" s="10"/>
      <c r="G410" s="10"/>
      <c r="H410" s="10"/>
      <c r="I410" s="12"/>
      <c r="J410" s="13"/>
    </row>
    <row r="411" spans="1:10" ht="75" customHeight="1">
      <c r="A411" s="7"/>
      <c r="B411" s="18"/>
      <c r="C411" s="9"/>
      <c r="D411" s="10"/>
      <c r="E411" s="10"/>
      <c r="F411" s="10"/>
      <c r="G411" s="10"/>
      <c r="H411" s="10"/>
      <c r="I411" s="12"/>
      <c r="J411" s="13"/>
    </row>
    <row r="412" spans="1:10" ht="75" customHeight="1">
      <c r="A412" s="7"/>
      <c r="B412" s="18"/>
      <c r="C412" s="9"/>
      <c r="D412" s="10"/>
      <c r="E412" s="10"/>
      <c r="F412" s="10"/>
      <c r="G412" s="10"/>
      <c r="H412" s="10"/>
      <c r="I412" s="12"/>
      <c r="J412" s="13"/>
    </row>
    <row r="413" spans="1:10" ht="75" customHeight="1">
      <c r="A413" s="7"/>
      <c r="B413" s="18"/>
      <c r="C413" s="9"/>
      <c r="D413" s="10"/>
      <c r="E413" s="10"/>
      <c r="F413" s="10"/>
      <c r="G413" s="10"/>
      <c r="H413" s="10"/>
      <c r="I413" s="12"/>
      <c r="J413" s="13"/>
    </row>
    <row r="414" spans="1:10" ht="75" customHeight="1">
      <c r="A414" s="7"/>
      <c r="B414" s="18"/>
      <c r="C414" s="9"/>
      <c r="D414" s="10"/>
      <c r="E414" s="10"/>
      <c r="F414" s="10"/>
      <c r="G414" s="10"/>
      <c r="H414" s="10"/>
      <c r="I414" s="12"/>
      <c r="J414" s="13"/>
    </row>
    <row r="415" spans="1:10" ht="75" customHeight="1">
      <c r="A415" s="7"/>
      <c r="B415" s="18"/>
      <c r="C415" s="9"/>
      <c r="D415" s="10"/>
      <c r="E415" s="10"/>
      <c r="F415" s="10"/>
      <c r="G415" s="10"/>
      <c r="H415" s="10"/>
      <c r="I415" s="12"/>
      <c r="J415" s="13"/>
    </row>
    <row r="416" spans="1:10" ht="75" customHeight="1">
      <c r="A416" s="7"/>
      <c r="B416" s="18"/>
      <c r="C416" s="9"/>
      <c r="D416" s="10"/>
      <c r="E416" s="10"/>
      <c r="F416" s="10"/>
      <c r="G416" s="10"/>
      <c r="H416" s="10"/>
      <c r="I416" s="12"/>
      <c r="J416" s="13"/>
    </row>
    <row r="417" spans="1:10" ht="75" customHeight="1">
      <c r="A417" s="7"/>
      <c r="B417" s="18"/>
      <c r="C417" s="9"/>
      <c r="D417" s="10"/>
      <c r="E417" s="10"/>
      <c r="F417" s="10"/>
      <c r="G417" s="10"/>
      <c r="H417" s="10"/>
      <c r="I417" s="12"/>
      <c r="J417" s="13"/>
    </row>
    <row r="418" spans="1:10" ht="75" customHeight="1">
      <c r="A418" s="7"/>
      <c r="B418" s="18"/>
      <c r="C418" s="9"/>
      <c r="D418" s="10"/>
      <c r="E418" s="10"/>
      <c r="F418" s="10"/>
      <c r="G418" s="10"/>
      <c r="H418" s="10"/>
      <c r="I418" s="12"/>
      <c r="J418" s="13"/>
    </row>
    <row r="419" spans="1:10" ht="75" customHeight="1">
      <c r="A419" s="7"/>
      <c r="B419" s="18"/>
      <c r="C419" s="9"/>
      <c r="D419" s="10"/>
      <c r="E419" s="10"/>
      <c r="F419" s="10"/>
      <c r="G419" s="10"/>
      <c r="H419" s="10"/>
      <c r="I419" s="12"/>
      <c r="J419" s="13"/>
    </row>
    <row r="420" spans="1:10" ht="75" customHeight="1">
      <c r="A420" s="7"/>
      <c r="B420" s="18"/>
      <c r="C420" s="9"/>
      <c r="D420" s="10"/>
      <c r="E420" s="10"/>
      <c r="F420" s="10"/>
      <c r="G420" s="10"/>
      <c r="H420" s="10"/>
      <c r="I420" s="12"/>
      <c r="J420" s="13"/>
    </row>
    <row r="421" spans="1:10" ht="75" customHeight="1">
      <c r="A421" s="7"/>
      <c r="B421" s="18"/>
      <c r="C421" s="9"/>
      <c r="D421" s="10"/>
      <c r="E421" s="10"/>
      <c r="F421" s="10"/>
      <c r="G421" s="10"/>
      <c r="H421" s="10"/>
      <c r="I421" s="12"/>
      <c r="J421" s="13"/>
    </row>
    <row r="422" spans="1:10" ht="75" customHeight="1">
      <c r="A422" s="7"/>
      <c r="B422" s="18"/>
      <c r="C422" s="9"/>
      <c r="D422" s="10"/>
      <c r="E422" s="10"/>
      <c r="F422" s="10"/>
      <c r="G422" s="10"/>
      <c r="H422" s="10"/>
      <c r="I422" s="12"/>
      <c r="J422" s="13"/>
    </row>
    <row r="423" spans="1:10" ht="75" customHeight="1">
      <c r="A423" s="7"/>
      <c r="B423" s="18"/>
      <c r="C423" s="9"/>
      <c r="D423" s="10"/>
      <c r="E423" s="10"/>
      <c r="F423" s="10"/>
      <c r="G423" s="10"/>
      <c r="H423" s="10"/>
      <c r="I423" s="12"/>
      <c r="J423" s="13"/>
    </row>
    <row r="424" spans="1:10" ht="75" customHeight="1">
      <c r="A424" s="7"/>
      <c r="B424" s="18"/>
      <c r="C424" s="9"/>
      <c r="D424" s="10"/>
      <c r="E424" s="10"/>
      <c r="F424" s="10"/>
      <c r="G424" s="10"/>
      <c r="H424" s="10"/>
      <c r="I424" s="12"/>
      <c r="J424" s="13"/>
    </row>
    <row r="425" spans="1:10" ht="75" customHeight="1">
      <c r="A425" s="7"/>
      <c r="B425" s="18"/>
      <c r="C425" s="9"/>
      <c r="D425" s="10"/>
      <c r="E425" s="10"/>
      <c r="F425" s="10"/>
      <c r="G425" s="10"/>
      <c r="H425" s="10"/>
      <c r="I425" s="12"/>
      <c r="J425" s="13"/>
    </row>
    <row r="426" spans="1:10" ht="75" customHeight="1">
      <c r="A426" s="7"/>
      <c r="B426" s="18"/>
      <c r="C426" s="9"/>
      <c r="D426" s="10"/>
      <c r="E426" s="10"/>
      <c r="F426" s="10"/>
      <c r="G426" s="10"/>
      <c r="H426" s="10"/>
      <c r="I426" s="12"/>
      <c r="J426" s="13"/>
    </row>
    <row r="427" spans="1:10" ht="75" customHeight="1">
      <c r="A427" s="7"/>
      <c r="B427" s="18"/>
      <c r="C427" s="9"/>
      <c r="D427" s="10"/>
      <c r="E427" s="10"/>
      <c r="F427" s="10"/>
      <c r="G427" s="10"/>
      <c r="H427" s="10"/>
      <c r="I427" s="12"/>
      <c r="J427" s="13"/>
    </row>
    <row r="428" spans="1:10" ht="75" customHeight="1">
      <c r="A428" s="7"/>
      <c r="B428" s="18"/>
      <c r="C428" s="9"/>
      <c r="D428" s="10"/>
      <c r="E428" s="10"/>
      <c r="F428" s="10"/>
      <c r="G428" s="10"/>
      <c r="H428" s="10"/>
      <c r="I428" s="12"/>
      <c r="J428" s="13"/>
    </row>
    <row r="429" spans="1:10" ht="75" customHeight="1">
      <c r="A429" s="7"/>
      <c r="B429" s="18"/>
      <c r="C429" s="9"/>
      <c r="D429" s="10"/>
      <c r="E429" s="10"/>
      <c r="F429" s="10"/>
      <c r="G429" s="10"/>
      <c r="H429" s="10"/>
      <c r="I429" s="12"/>
      <c r="J429" s="13"/>
    </row>
    <row r="430" spans="1:10" ht="75" customHeight="1">
      <c r="A430" s="7"/>
      <c r="B430" s="18"/>
      <c r="C430" s="9"/>
      <c r="D430" s="10"/>
      <c r="E430" s="10"/>
      <c r="F430" s="10"/>
      <c r="G430" s="10"/>
      <c r="H430" s="10"/>
      <c r="I430" s="12"/>
      <c r="J430" s="13"/>
    </row>
    <row r="431" spans="1:10" ht="75" customHeight="1">
      <c r="A431" s="7"/>
      <c r="B431" s="18"/>
      <c r="C431" s="9"/>
      <c r="D431" s="10"/>
      <c r="E431" s="10"/>
      <c r="F431" s="10"/>
      <c r="G431" s="10"/>
      <c r="H431" s="10"/>
      <c r="I431" s="12"/>
      <c r="J431" s="13"/>
    </row>
    <row r="432" spans="1:10" ht="75" customHeight="1">
      <c r="A432" s="7"/>
      <c r="B432" s="18"/>
      <c r="C432" s="9"/>
      <c r="D432" s="10"/>
      <c r="E432" s="10"/>
      <c r="F432" s="10"/>
      <c r="G432" s="10"/>
      <c r="H432" s="10"/>
      <c r="I432" s="12"/>
      <c r="J432" s="13"/>
    </row>
    <row r="433" spans="1:10" ht="75" customHeight="1">
      <c r="A433" s="7"/>
      <c r="B433" s="18"/>
      <c r="C433" s="9"/>
      <c r="D433" s="10"/>
      <c r="E433" s="10"/>
      <c r="F433" s="10"/>
      <c r="G433" s="10"/>
      <c r="H433" s="10"/>
      <c r="I433" s="12"/>
      <c r="J433" s="13"/>
    </row>
    <row r="434" spans="1:10" ht="75" customHeight="1">
      <c r="A434" s="7"/>
      <c r="B434" s="18"/>
      <c r="C434" s="9"/>
      <c r="D434" s="10"/>
      <c r="E434" s="10"/>
      <c r="F434" s="10"/>
      <c r="G434" s="10"/>
      <c r="H434" s="10"/>
      <c r="I434" s="12"/>
      <c r="J434" s="13"/>
    </row>
    <row r="435" spans="1:10" ht="75" customHeight="1">
      <c r="A435" s="7"/>
      <c r="B435" s="18"/>
      <c r="C435" s="9"/>
      <c r="D435" s="10"/>
      <c r="E435" s="10"/>
      <c r="F435" s="10"/>
      <c r="G435" s="10"/>
      <c r="H435" s="10"/>
      <c r="I435" s="12"/>
      <c r="J435" s="13"/>
    </row>
    <row r="436" spans="1:10" ht="75" customHeight="1">
      <c r="A436" s="7"/>
      <c r="B436" s="18"/>
      <c r="C436" s="9"/>
      <c r="D436" s="10"/>
      <c r="E436" s="10"/>
      <c r="F436" s="10"/>
      <c r="G436" s="10"/>
      <c r="H436" s="10"/>
      <c r="I436" s="12"/>
      <c r="J436" s="13"/>
    </row>
    <row r="437" spans="1:10" ht="75" customHeight="1">
      <c r="A437" s="7"/>
      <c r="B437" s="18"/>
      <c r="C437" s="9"/>
      <c r="D437" s="10"/>
      <c r="E437" s="10"/>
      <c r="F437" s="10"/>
      <c r="G437" s="10"/>
      <c r="H437" s="10"/>
      <c r="I437" s="12"/>
      <c r="J437" s="13"/>
    </row>
    <row r="438" spans="1:10" ht="75" customHeight="1">
      <c r="A438" s="7"/>
      <c r="B438" s="18"/>
      <c r="C438" s="9"/>
      <c r="D438" s="10"/>
      <c r="E438" s="10"/>
      <c r="F438" s="10"/>
      <c r="G438" s="10"/>
      <c r="H438" s="10"/>
      <c r="I438" s="12"/>
      <c r="J438" s="13"/>
    </row>
    <row r="439" spans="1:10" ht="75" customHeight="1">
      <c r="A439" s="7"/>
      <c r="B439" s="18"/>
      <c r="C439" s="9"/>
      <c r="D439" s="10"/>
      <c r="E439" s="10"/>
      <c r="F439" s="10"/>
      <c r="G439" s="10"/>
      <c r="H439" s="10"/>
      <c r="I439" s="12"/>
      <c r="J439" s="13"/>
    </row>
    <row r="440" spans="1:10" ht="75" customHeight="1">
      <c r="A440" s="7"/>
      <c r="B440" s="18"/>
      <c r="C440" s="9"/>
      <c r="D440" s="10"/>
      <c r="E440" s="10"/>
      <c r="F440" s="10"/>
      <c r="G440" s="10"/>
      <c r="H440" s="10"/>
      <c r="I440" s="12"/>
      <c r="J440" s="13"/>
    </row>
    <row r="441" spans="1:10" ht="75" customHeight="1">
      <c r="A441" s="7"/>
      <c r="B441" s="18"/>
      <c r="C441" s="9"/>
      <c r="D441" s="10"/>
      <c r="E441" s="10"/>
      <c r="F441" s="10"/>
      <c r="G441" s="10"/>
      <c r="H441" s="10"/>
      <c r="I441" s="12"/>
      <c r="J441" s="13"/>
    </row>
    <row r="442" spans="1:10" ht="75" customHeight="1">
      <c r="A442" s="7"/>
      <c r="B442" s="18"/>
      <c r="C442" s="9"/>
      <c r="D442" s="10"/>
      <c r="E442" s="10"/>
      <c r="F442" s="10"/>
      <c r="G442" s="10"/>
      <c r="H442" s="10"/>
      <c r="I442" s="12"/>
      <c r="J442" s="13"/>
    </row>
    <row r="443" spans="1:10" ht="75" customHeight="1">
      <c r="A443" s="7"/>
      <c r="B443" s="18"/>
      <c r="C443" s="9"/>
      <c r="D443" s="10"/>
      <c r="E443" s="10"/>
      <c r="F443" s="10"/>
      <c r="G443" s="10"/>
      <c r="H443" s="10"/>
      <c r="I443" s="12"/>
      <c r="J443" s="13"/>
    </row>
    <row r="444" spans="1:10" ht="75" customHeight="1">
      <c r="A444" s="7"/>
      <c r="B444" s="18"/>
      <c r="C444" s="9"/>
      <c r="D444" s="10"/>
      <c r="E444" s="10"/>
      <c r="F444" s="10"/>
      <c r="G444" s="10"/>
      <c r="H444" s="10"/>
      <c r="I444" s="12"/>
      <c r="J444" s="13"/>
    </row>
    <row r="445" spans="1:10" ht="75" customHeight="1">
      <c r="A445" s="7"/>
      <c r="B445" s="18"/>
      <c r="C445" s="9"/>
      <c r="D445" s="10"/>
      <c r="E445" s="10"/>
      <c r="F445" s="10"/>
      <c r="G445" s="10"/>
      <c r="H445" s="10"/>
      <c r="I445" s="12"/>
      <c r="J445" s="13"/>
    </row>
    <row r="446" spans="1:10" ht="75" customHeight="1">
      <c r="A446" s="7"/>
      <c r="B446" s="18"/>
      <c r="C446" s="9"/>
      <c r="D446" s="10"/>
      <c r="E446" s="10"/>
      <c r="F446" s="10"/>
      <c r="G446" s="10"/>
      <c r="H446" s="10"/>
      <c r="I446" s="12"/>
      <c r="J446" s="13"/>
    </row>
    <row r="447" spans="1:10" ht="75" customHeight="1">
      <c r="A447" s="7"/>
      <c r="B447" s="18"/>
      <c r="C447" s="9"/>
      <c r="D447" s="10"/>
      <c r="E447" s="10"/>
      <c r="F447" s="10"/>
      <c r="G447" s="10"/>
      <c r="H447" s="10"/>
      <c r="I447" s="12"/>
      <c r="J447" s="13"/>
    </row>
    <row r="448" spans="1:10" ht="75" customHeight="1">
      <c r="A448" s="7"/>
      <c r="B448" s="18"/>
      <c r="C448" s="9"/>
      <c r="D448" s="10"/>
      <c r="E448" s="10"/>
      <c r="F448" s="10"/>
      <c r="G448" s="10"/>
      <c r="H448" s="10"/>
      <c r="I448" s="12"/>
      <c r="J448" s="13"/>
    </row>
    <row r="449" spans="1:10" ht="75" customHeight="1">
      <c r="A449" s="7"/>
      <c r="B449" s="18"/>
      <c r="C449" s="9"/>
      <c r="D449" s="10"/>
      <c r="E449" s="10"/>
      <c r="F449" s="10"/>
      <c r="G449" s="10"/>
      <c r="H449" s="10"/>
      <c r="I449" s="12"/>
      <c r="J449" s="13"/>
    </row>
    <row r="450" spans="1:10" ht="75" customHeight="1">
      <c r="A450" s="7"/>
      <c r="B450" s="18"/>
      <c r="C450" s="9"/>
      <c r="D450" s="10"/>
      <c r="E450" s="10"/>
      <c r="F450" s="10"/>
      <c r="G450" s="10"/>
      <c r="H450" s="10"/>
      <c r="I450" s="12"/>
      <c r="J450" s="13"/>
    </row>
    <row r="451" spans="1:10" ht="75" customHeight="1">
      <c r="A451" s="7"/>
      <c r="B451" s="18"/>
      <c r="C451" s="9"/>
      <c r="D451" s="10"/>
      <c r="E451" s="10"/>
      <c r="F451" s="10"/>
      <c r="G451" s="10"/>
      <c r="H451" s="10"/>
      <c r="I451" s="12"/>
      <c r="J451" s="13"/>
    </row>
    <row r="452" spans="1:10" ht="75" customHeight="1">
      <c r="A452" s="7"/>
      <c r="B452" s="18"/>
      <c r="C452" s="9"/>
      <c r="D452" s="10"/>
      <c r="E452" s="10"/>
      <c r="F452" s="10"/>
      <c r="G452" s="10"/>
      <c r="H452" s="10"/>
      <c r="I452" s="12"/>
      <c r="J452" s="13"/>
    </row>
    <row r="453" spans="1:10" ht="75" customHeight="1">
      <c r="A453" s="7"/>
      <c r="B453" s="18"/>
      <c r="C453" s="9"/>
      <c r="D453" s="10"/>
      <c r="E453" s="10"/>
      <c r="F453" s="10"/>
      <c r="G453" s="10"/>
      <c r="H453" s="10"/>
      <c r="I453" s="12"/>
      <c r="J453" s="13"/>
    </row>
    <row r="454" spans="1:10" ht="75" customHeight="1">
      <c r="A454" s="7"/>
      <c r="B454" s="18"/>
      <c r="C454" s="9"/>
      <c r="D454" s="10"/>
      <c r="E454" s="10"/>
      <c r="F454" s="10"/>
      <c r="G454" s="10"/>
      <c r="H454" s="10"/>
      <c r="I454" s="12"/>
      <c r="J454" s="13"/>
    </row>
    <row r="455" spans="1:10" ht="75" customHeight="1">
      <c r="A455" s="7"/>
      <c r="B455" s="18"/>
      <c r="C455" s="9"/>
      <c r="D455" s="10"/>
      <c r="E455" s="10"/>
      <c r="F455" s="10"/>
      <c r="G455" s="10"/>
      <c r="H455" s="10"/>
      <c r="I455" s="12"/>
      <c r="J455" s="13"/>
    </row>
    <row r="456" spans="1:10" ht="75" customHeight="1">
      <c r="A456" s="7"/>
      <c r="B456" s="18"/>
      <c r="C456" s="9"/>
      <c r="D456" s="10"/>
      <c r="E456" s="10"/>
      <c r="F456" s="10"/>
      <c r="G456" s="10"/>
      <c r="H456" s="10"/>
      <c r="I456" s="12"/>
      <c r="J456" s="13"/>
    </row>
    <row r="457" spans="1:10" ht="75" customHeight="1">
      <c r="A457" s="7"/>
      <c r="B457" s="18"/>
      <c r="C457" s="9"/>
      <c r="D457" s="10"/>
      <c r="E457" s="10"/>
      <c r="F457" s="10"/>
      <c r="G457" s="10"/>
      <c r="H457" s="10"/>
      <c r="I457" s="12"/>
      <c r="J457" s="13"/>
    </row>
    <row r="458" spans="1:10" ht="75" customHeight="1">
      <c r="A458" s="7"/>
      <c r="B458" s="18"/>
      <c r="C458" s="9"/>
      <c r="D458" s="10"/>
      <c r="E458" s="10"/>
      <c r="F458" s="10"/>
      <c r="G458" s="10"/>
      <c r="H458" s="10"/>
      <c r="I458" s="12"/>
      <c r="J458" s="13"/>
    </row>
    <row r="459" spans="1:10" ht="75" customHeight="1">
      <c r="A459" s="7"/>
      <c r="B459" s="18"/>
      <c r="C459" s="9"/>
      <c r="D459" s="10"/>
      <c r="E459" s="10"/>
      <c r="F459" s="10"/>
      <c r="G459" s="10"/>
      <c r="H459" s="10"/>
      <c r="I459" s="12"/>
      <c r="J459" s="13"/>
    </row>
    <row r="460" spans="1:10" ht="75" customHeight="1">
      <c r="A460" s="7"/>
      <c r="B460" s="18"/>
      <c r="C460" s="9"/>
      <c r="D460" s="10"/>
      <c r="E460" s="10"/>
      <c r="F460" s="10"/>
      <c r="G460" s="10"/>
      <c r="H460" s="10"/>
      <c r="I460" s="12"/>
      <c r="J460" s="13"/>
    </row>
    <row r="461" spans="1:10" ht="75" customHeight="1">
      <c r="A461" s="7"/>
      <c r="B461" s="18"/>
      <c r="C461" s="9"/>
      <c r="D461" s="10"/>
      <c r="E461" s="10"/>
      <c r="F461" s="10"/>
      <c r="G461" s="10"/>
      <c r="H461" s="10"/>
      <c r="I461" s="12"/>
      <c r="J461" s="13"/>
    </row>
    <row r="462" spans="1:10" ht="75" customHeight="1">
      <c r="A462" s="7"/>
      <c r="B462" s="18"/>
      <c r="C462" s="9"/>
      <c r="D462" s="10"/>
      <c r="E462" s="10"/>
      <c r="F462" s="10"/>
      <c r="G462" s="10"/>
      <c r="H462" s="10"/>
      <c r="I462" s="12"/>
      <c r="J462" s="13"/>
    </row>
    <row r="463" spans="1:10" ht="75" customHeight="1">
      <c r="A463" s="7"/>
      <c r="B463" s="18"/>
      <c r="C463" s="9"/>
      <c r="D463" s="10"/>
      <c r="E463" s="10"/>
      <c r="F463" s="10"/>
      <c r="G463" s="10"/>
      <c r="H463" s="10"/>
      <c r="I463" s="12"/>
      <c r="J463" s="13"/>
    </row>
    <row r="464" spans="1:10" ht="75" customHeight="1">
      <c r="A464" s="7"/>
      <c r="B464" s="18"/>
      <c r="C464" s="9"/>
      <c r="D464" s="10"/>
      <c r="E464" s="10"/>
      <c r="F464" s="10"/>
      <c r="G464" s="10"/>
      <c r="H464" s="10"/>
      <c r="I464" s="12"/>
      <c r="J464" s="13"/>
    </row>
    <row r="465" spans="1:10" ht="75" customHeight="1">
      <c r="A465" s="7"/>
      <c r="B465" s="18"/>
      <c r="C465" s="9"/>
      <c r="D465" s="10"/>
      <c r="E465" s="10"/>
      <c r="F465" s="10"/>
      <c r="G465" s="10"/>
      <c r="H465" s="10"/>
      <c r="I465" s="12"/>
      <c r="J465" s="13"/>
    </row>
    <row r="466" spans="1:10" ht="75" customHeight="1">
      <c r="A466" s="7"/>
      <c r="B466" s="18"/>
      <c r="C466" s="9"/>
      <c r="D466" s="10"/>
      <c r="E466" s="10"/>
      <c r="F466" s="10"/>
      <c r="G466" s="10"/>
      <c r="H466" s="10"/>
      <c r="I466" s="12"/>
      <c r="J466" s="13"/>
    </row>
    <row r="467" spans="1:10" ht="75" customHeight="1">
      <c r="A467" s="7"/>
      <c r="B467" s="18"/>
      <c r="C467" s="9"/>
      <c r="D467" s="10"/>
      <c r="E467" s="10"/>
      <c r="F467" s="10"/>
      <c r="G467" s="10"/>
      <c r="H467" s="10"/>
      <c r="I467" s="12"/>
      <c r="J467" s="13"/>
    </row>
    <row r="468" spans="1:10" ht="75" customHeight="1">
      <c r="A468" s="7"/>
      <c r="B468" s="18"/>
      <c r="C468" s="9"/>
      <c r="D468" s="10"/>
      <c r="E468" s="10"/>
      <c r="F468" s="10"/>
      <c r="G468" s="10"/>
      <c r="H468" s="10"/>
      <c r="I468" s="12"/>
      <c r="J468" s="13"/>
    </row>
    <row r="469" spans="1:10" ht="75" customHeight="1">
      <c r="A469" s="7"/>
      <c r="B469" s="18"/>
      <c r="C469" s="9"/>
      <c r="D469" s="10"/>
      <c r="E469" s="10"/>
      <c r="F469" s="10"/>
      <c r="G469" s="10"/>
      <c r="H469" s="10"/>
      <c r="I469" s="12"/>
      <c r="J469" s="13"/>
    </row>
    <row r="470" spans="1:10" ht="75" customHeight="1">
      <c r="A470" s="7"/>
      <c r="B470" s="18"/>
      <c r="C470" s="9"/>
      <c r="D470" s="10"/>
      <c r="E470" s="10"/>
      <c r="F470" s="10"/>
      <c r="G470" s="10"/>
      <c r="H470" s="10"/>
      <c r="I470" s="12"/>
      <c r="J470" s="13"/>
    </row>
    <row r="471" spans="1:10" ht="75" customHeight="1">
      <c r="A471" s="7"/>
      <c r="B471" s="18"/>
      <c r="C471" s="9"/>
      <c r="D471" s="10"/>
      <c r="E471" s="10"/>
      <c r="F471" s="10"/>
      <c r="G471" s="10"/>
      <c r="H471" s="10"/>
      <c r="I471" s="12"/>
      <c r="J471" s="13"/>
    </row>
    <row r="472" spans="1:10" ht="75" customHeight="1">
      <c r="A472" s="7"/>
      <c r="B472" s="18"/>
      <c r="C472" s="9"/>
      <c r="D472" s="10"/>
      <c r="E472" s="10"/>
      <c r="F472" s="10"/>
      <c r="G472" s="10"/>
      <c r="H472" s="10"/>
      <c r="I472" s="12"/>
      <c r="J472" s="13"/>
    </row>
    <row r="473" spans="1:10" ht="75" customHeight="1">
      <c r="A473" s="7"/>
      <c r="B473" s="18"/>
      <c r="C473" s="9"/>
      <c r="D473" s="10"/>
      <c r="E473" s="10"/>
      <c r="F473" s="10"/>
      <c r="G473" s="10"/>
      <c r="H473" s="10"/>
      <c r="I473" s="12"/>
      <c r="J473" s="13"/>
    </row>
    <row r="474" spans="1:10" ht="75" customHeight="1">
      <c r="A474" s="7"/>
      <c r="B474" s="18"/>
      <c r="C474" s="9"/>
      <c r="D474" s="10"/>
      <c r="E474" s="10"/>
      <c r="F474" s="10"/>
      <c r="G474" s="10"/>
      <c r="H474" s="10"/>
      <c r="I474" s="12"/>
      <c r="J474" s="13"/>
    </row>
    <row r="475" spans="1:10" ht="75" customHeight="1">
      <c r="A475" s="7"/>
      <c r="B475" s="18"/>
      <c r="C475" s="9"/>
      <c r="D475" s="10"/>
      <c r="E475" s="10"/>
      <c r="F475" s="10"/>
      <c r="G475" s="10"/>
      <c r="H475" s="10"/>
      <c r="I475" s="12"/>
      <c r="J475" s="13"/>
    </row>
    <row r="476" spans="1:10" ht="75" customHeight="1">
      <c r="A476" s="7"/>
      <c r="B476" s="18"/>
      <c r="C476" s="9"/>
      <c r="D476" s="10"/>
      <c r="E476" s="10"/>
      <c r="F476" s="10"/>
      <c r="G476" s="10"/>
      <c r="H476" s="10"/>
      <c r="I476" s="12"/>
      <c r="J476" s="13"/>
    </row>
    <row r="477" spans="1:10" ht="75" customHeight="1">
      <c r="A477" s="7"/>
      <c r="B477" s="18"/>
      <c r="C477" s="9"/>
      <c r="D477" s="10"/>
      <c r="E477" s="10"/>
      <c r="F477" s="10"/>
      <c r="G477" s="10"/>
      <c r="H477" s="10"/>
      <c r="I477" s="12"/>
      <c r="J477" s="13"/>
    </row>
    <row r="478" spans="1:10" ht="75" customHeight="1">
      <c r="A478" s="7"/>
      <c r="B478" s="18"/>
      <c r="C478" s="9"/>
      <c r="D478" s="10"/>
      <c r="E478" s="10"/>
      <c r="F478" s="10"/>
      <c r="G478" s="10"/>
      <c r="H478" s="10"/>
      <c r="I478" s="12"/>
      <c r="J478" s="13"/>
    </row>
    <row r="479" spans="1:10" ht="75" customHeight="1">
      <c r="A479" s="7"/>
      <c r="B479" s="18"/>
      <c r="C479" s="9"/>
      <c r="D479" s="10"/>
      <c r="E479" s="10"/>
      <c r="F479" s="10"/>
      <c r="G479" s="10"/>
      <c r="H479" s="10"/>
      <c r="I479" s="12"/>
      <c r="J479" s="13"/>
    </row>
    <row r="480" spans="1:10" ht="75" customHeight="1">
      <c r="A480" s="7"/>
      <c r="B480" s="18"/>
      <c r="C480" s="9"/>
      <c r="D480" s="10"/>
      <c r="E480" s="10"/>
      <c r="F480" s="10"/>
      <c r="G480" s="10"/>
      <c r="H480" s="10"/>
      <c r="I480" s="12"/>
      <c r="J480" s="13"/>
    </row>
    <row r="481" spans="1:10" ht="75" customHeight="1">
      <c r="A481" s="7"/>
      <c r="B481" s="18"/>
      <c r="C481" s="9"/>
      <c r="D481" s="10"/>
      <c r="E481" s="10"/>
      <c r="F481" s="10"/>
      <c r="G481" s="10"/>
      <c r="H481" s="10"/>
      <c r="I481" s="12"/>
      <c r="J481" s="13"/>
    </row>
    <row r="482" spans="1:10" ht="75" customHeight="1">
      <c r="A482" s="7"/>
      <c r="B482" s="18"/>
      <c r="C482" s="9"/>
      <c r="D482" s="10"/>
      <c r="E482" s="10"/>
      <c r="F482" s="10"/>
      <c r="G482" s="10"/>
      <c r="H482" s="10"/>
      <c r="I482" s="12"/>
      <c r="J482" s="13"/>
    </row>
    <row r="483" spans="1:10" ht="75" customHeight="1">
      <c r="A483" s="7"/>
      <c r="B483" s="18"/>
      <c r="C483" s="9"/>
      <c r="D483" s="10"/>
      <c r="E483" s="10"/>
      <c r="F483" s="10"/>
      <c r="G483" s="10"/>
      <c r="H483" s="10"/>
      <c r="I483" s="12"/>
      <c r="J483" s="13"/>
    </row>
    <row r="484" spans="1:10" ht="75" customHeight="1">
      <c r="A484" s="7"/>
      <c r="B484" s="18"/>
      <c r="C484" s="9"/>
      <c r="D484" s="10"/>
      <c r="E484" s="10"/>
      <c r="F484" s="10"/>
      <c r="G484" s="10"/>
      <c r="H484" s="10"/>
      <c r="I484" s="12"/>
      <c r="J484" s="13"/>
    </row>
    <row r="485" spans="1:10" ht="75" customHeight="1">
      <c r="A485" s="7"/>
      <c r="B485" s="18"/>
      <c r="C485" s="9"/>
      <c r="D485" s="10"/>
      <c r="E485" s="10"/>
      <c r="F485" s="10"/>
      <c r="G485" s="10"/>
      <c r="H485" s="10"/>
      <c r="I485" s="12"/>
      <c r="J485" s="13"/>
    </row>
    <row r="486" spans="1:10" ht="75" customHeight="1">
      <c r="A486" s="7"/>
      <c r="B486" s="18"/>
      <c r="C486" s="9"/>
      <c r="D486" s="10"/>
      <c r="E486" s="10"/>
      <c r="F486" s="10"/>
      <c r="G486" s="10"/>
      <c r="H486" s="10"/>
      <c r="I486" s="12"/>
      <c r="J486" s="13"/>
    </row>
    <row r="487" spans="1:10" ht="75" customHeight="1">
      <c r="A487" s="7"/>
      <c r="B487" s="18"/>
      <c r="C487" s="9"/>
      <c r="D487" s="10"/>
      <c r="E487" s="10"/>
      <c r="F487" s="10"/>
      <c r="G487" s="10"/>
      <c r="H487" s="10"/>
      <c r="I487" s="12"/>
      <c r="J487" s="13"/>
    </row>
    <row r="488" spans="1:10" ht="75" customHeight="1">
      <c r="A488" s="7"/>
      <c r="B488" s="18"/>
      <c r="C488" s="9"/>
      <c r="D488" s="10"/>
      <c r="E488" s="10"/>
      <c r="F488" s="10"/>
      <c r="G488" s="10"/>
      <c r="H488" s="10"/>
      <c r="I488" s="12"/>
      <c r="J488" s="13"/>
    </row>
    <row r="489" spans="1:10" ht="75" customHeight="1">
      <c r="A489" s="7"/>
      <c r="B489" s="18"/>
      <c r="C489" s="9"/>
      <c r="D489" s="10"/>
      <c r="E489" s="10"/>
      <c r="F489" s="10"/>
      <c r="G489" s="10"/>
      <c r="H489" s="10"/>
      <c r="I489" s="12"/>
      <c r="J489" s="13"/>
    </row>
    <row r="490" spans="1:10" ht="75" customHeight="1">
      <c r="A490" s="7"/>
      <c r="B490" s="18"/>
      <c r="C490" s="9"/>
      <c r="D490" s="10"/>
      <c r="E490" s="10"/>
      <c r="F490" s="10"/>
      <c r="G490" s="10"/>
      <c r="H490" s="10"/>
      <c r="I490" s="12"/>
      <c r="J490" s="13"/>
    </row>
    <row r="491" spans="1:10" ht="75" customHeight="1">
      <c r="A491" s="7"/>
      <c r="B491" s="18"/>
      <c r="C491" s="9"/>
      <c r="D491" s="10"/>
      <c r="E491" s="10"/>
      <c r="F491" s="10"/>
      <c r="G491" s="10"/>
      <c r="H491" s="10"/>
      <c r="I491" s="12"/>
      <c r="J491" s="13"/>
    </row>
    <row r="492" spans="1:10" ht="75" customHeight="1">
      <c r="A492" s="7"/>
      <c r="B492" s="18"/>
      <c r="C492" s="9"/>
      <c r="D492" s="10"/>
      <c r="E492" s="10"/>
      <c r="F492" s="10"/>
      <c r="G492" s="10"/>
      <c r="H492" s="10"/>
      <c r="I492" s="12"/>
      <c r="J492" s="13"/>
    </row>
    <row r="493" spans="1:10" ht="75" customHeight="1">
      <c r="A493" s="7"/>
      <c r="B493" s="18"/>
      <c r="C493" s="9"/>
      <c r="D493" s="10"/>
      <c r="E493" s="10"/>
      <c r="F493" s="10"/>
      <c r="G493" s="10"/>
      <c r="H493" s="10"/>
      <c r="I493" s="12"/>
      <c r="J493" s="13"/>
    </row>
    <row r="494" spans="1:10" ht="75" customHeight="1">
      <c r="A494" s="7"/>
      <c r="B494" s="18"/>
      <c r="C494" s="9"/>
      <c r="D494" s="10"/>
      <c r="E494" s="10"/>
      <c r="F494" s="10"/>
      <c r="G494" s="10"/>
      <c r="H494" s="10"/>
      <c r="I494" s="12"/>
      <c r="J494" s="13"/>
    </row>
    <row r="495" spans="1:10" ht="75" customHeight="1">
      <c r="A495" s="7"/>
      <c r="B495" s="18"/>
      <c r="C495" s="9"/>
      <c r="D495" s="10"/>
      <c r="E495" s="10"/>
      <c r="F495" s="10"/>
      <c r="G495" s="10"/>
      <c r="H495" s="10"/>
      <c r="I495" s="12"/>
      <c r="J495" s="13"/>
    </row>
    <row r="496" spans="1:10" ht="75" customHeight="1">
      <c r="A496" s="7"/>
      <c r="B496" s="18"/>
      <c r="C496" s="9"/>
      <c r="D496" s="10"/>
      <c r="E496" s="10"/>
      <c r="F496" s="10"/>
      <c r="G496" s="10"/>
      <c r="H496" s="10"/>
      <c r="I496" s="12"/>
      <c r="J496" s="13"/>
    </row>
    <row r="497" spans="1:10" ht="75" customHeight="1">
      <c r="A497" s="7"/>
      <c r="B497" s="18"/>
      <c r="C497" s="9"/>
      <c r="D497" s="10"/>
      <c r="E497" s="10"/>
      <c r="F497" s="10"/>
      <c r="G497" s="10"/>
      <c r="H497" s="10"/>
      <c r="I497" s="12"/>
      <c r="J497" s="13"/>
    </row>
    <row r="498" spans="1:10" ht="75" customHeight="1">
      <c r="A498" s="7"/>
      <c r="B498" s="18"/>
      <c r="C498" s="9"/>
      <c r="D498" s="10"/>
      <c r="E498" s="10"/>
      <c r="F498" s="10"/>
      <c r="G498" s="10"/>
      <c r="H498" s="10"/>
      <c r="I498" s="12"/>
      <c r="J498" s="13"/>
    </row>
    <row r="499" spans="1:10" ht="75" customHeight="1">
      <c r="A499" s="7"/>
      <c r="B499" s="18"/>
      <c r="C499" s="9"/>
      <c r="D499" s="10"/>
      <c r="E499" s="10"/>
      <c r="F499" s="10"/>
      <c r="G499" s="10"/>
      <c r="H499" s="10"/>
      <c r="I499" s="12"/>
      <c r="J499" s="13"/>
    </row>
    <row r="500" spans="1:10" ht="75" customHeight="1">
      <c r="A500" s="7"/>
      <c r="B500" s="18"/>
      <c r="C500" s="9"/>
      <c r="D500" s="10"/>
      <c r="E500" s="10"/>
      <c r="F500" s="10"/>
      <c r="G500" s="10"/>
      <c r="H500" s="10"/>
      <c r="I500" s="12"/>
      <c r="J500" s="13"/>
    </row>
    <row r="501" spans="1:10" ht="75" customHeight="1">
      <c r="A501" s="7"/>
      <c r="B501" s="18"/>
      <c r="C501" s="9"/>
      <c r="D501" s="10"/>
      <c r="E501" s="10"/>
      <c r="F501" s="10"/>
      <c r="G501" s="10"/>
      <c r="H501" s="10"/>
      <c r="I501" s="12"/>
      <c r="J501" s="13"/>
    </row>
    <row r="502" spans="1:10" ht="75" customHeight="1">
      <c r="A502" s="7"/>
      <c r="B502" s="18"/>
      <c r="C502" s="9"/>
      <c r="D502" s="10"/>
      <c r="E502" s="10"/>
      <c r="F502" s="10"/>
      <c r="G502" s="10"/>
      <c r="H502" s="10"/>
      <c r="I502" s="12"/>
      <c r="J502" s="13"/>
    </row>
    <row r="503" spans="1:10" ht="75" customHeight="1">
      <c r="A503" s="7"/>
      <c r="B503" s="18"/>
      <c r="C503" s="9"/>
      <c r="D503" s="10"/>
      <c r="E503" s="10"/>
      <c r="F503" s="10"/>
      <c r="G503" s="10"/>
      <c r="H503" s="10"/>
      <c r="I503" s="12"/>
      <c r="J503" s="13"/>
    </row>
    <row r="504" spans="1:10" ht="75" customHeight="1">
      <c r="A504" s="7"/>
      <c r="B504" s="18"/>
      <c r="C504" s="9"/>
      <c r="D504" s="10"/>
      <c r="E504" s="10"/>
      <c r="F504" s="10"/>
      <c r="G504" s="10"/>
      <c r="H504" s="10"/>
      <c r="I504" s="12"/>
      <c r="J504" s="13"/>
    </row>
    <row r="505" spans="1:10" ht="75" customHeight="1">
      <c r="A505" s="7"/>
      <c r="B505" s="18"/>
      <c r="C505" s="9"/>
      <c r="D505" s="10"/>
      <c r="E505" s="10"/>
      <c r="F505" s="10"/>
      <c r="G505" s="10"/>
      <c r="H505" s="10"/>
      <c r="I505" s="12"/>
      <c r="J505" s="13"/>
    </row>
    <row r="506" spans="1:10" ht="75" customHeight="1">
      <c r="A506" s="7"/>
      <c r="B506" s="18"/>
      <c r="C506" s="9"/>
      <c r="D506" s="10"/>
      <c r="E506" s="10"/>
      <c r="F506" s="10"/>
      <c r="G506" s="10"/>
      <c r="H506" s="10"/>
      <c r="I506" s="12"/>
      <c r="J506" s="13"/>
    </row>
    <row r="507" spans="1:10" ht="75" customHeight="1">
      <c r="A507" s="7"/>
      <c r="B507" s="18"/>
      <c r="C507" s="9"/>
      <c r="D507" s="10"/>
      <c r="E507" s="10"/>
      <c r="F507" s="10"/>
      <c r="G507" s="10"/>
      <c r="H507" s="10"/>
      <c r="I507" s="12"/>
      <c r="J507" s="13"/>
    </row>
    <row r="508" spans="1:10" ht="75" customHeight="1">
      <c r="A508" s="7"/>
      <c r="B508" s="18"/>
      <c r="C508" s="9"/>
      <c r="D508" s="10"/>
      <c r="E508" s="10"/>
      <c r="F508" s="10"/>
      <c r="G508" s="10"/>
      <c r="H508" s="10"/>
      <c r="I508" s="12"/>
      <c r="J508" s="13"/>
    </row>
    <row r="509" spans="1:10" ht="75" customHeight="1">
      <c r="A509" s="7"/>
      <c r="B509" s="18"/>
      <c r="C509" s="9"/>
      <c r="D509" s="10"/>
      <c r="E509" s="10"/>
      <c r="F509" s="10"/>
      <c r="G509" s="10"/>
      <c r="H509" s="10"/>
      <c r="I509" s="12"/>
      <c r="J509" s="13"/>
    </row>
    <row r="510" spans="1:10" ht="75" customHeight="1">
      <c r="A510" s="7"/>
      <c r="B510" s="18"/>
      <c r="C510" s="9"/>
      <c r="D510" s="10"/>
      <c r="E510" s="10"/>
      <c r="F510" s="10"/>
      <c r="G510" s="10"/>
      <c r="H510" s="10"/>
      <c r="I510" s="12"/>
      <c r="J510" s="13"/>
    </row>
    <row r="511" spans="1:10" ht="75" customHeight="1">
      <c r="A511" s="7"/>
      <c r="B511" s="18"/>
      <c r="C511" s="9"/>
      <c r="D511" s="10"/>
      <c r="E511" s="10"/>
      <c r="F511" s="10"/>
      <c r="G511" s="10"/>
      <c r="H511" s="10"/>
      <c r="I511" s="12"/>
      <c r="J511" s="13"/>
    </row>
    <row r="512" spans="1:10" ht="75" customHeight="1">
      <c r="A512" s="7"/>
      <c r="B512" s="18"/>
      <c r="C512" s="9"/>
      <c r="D512" s="10"/>
      <c r="E512" s="10"/>
      <c r="F512" s="10"/>
      <c r="G512" s="10"/>
      <c r="H512" s="10"/>
      <c r="I512" s="12"/>
      <c r="J512" s="13"/>
    </row>
    <row r="513" spans="1:10" ht="75" customHeight="1">
      <c r="A513" s="7"/>
      <c r="B513" s="18"/>
      <c r="C513" s="9"/>
      <c r="D513" s="10"/>
      <c r="E513" s="10"/>
      <c r="F513" s="10"/>
      <c r="G513" s="10"/>
      <c r="H513" s="10"/>
      <c r="I513" s="12"/>
      <c r="J513" s="13"/>
    </row>
    <row r="514" spans="1:10" ht="75" customHeight="1">
      <c r="A514" s="7"/>
      <c r="B514" s="18"/>
      <c r="C514" s="9"/>
      <c r="D514" s="10"/>
      <c r="E514" s="10"/>
      <c r="F514" s="10"/>
      <c r="G514" s="10"/>
      <c r="H514" s="10"/>
      <c r="I514" s="12"/>
      <c r="J514" s="13"/>
    </row>
    <row r="515" spans="1:10" ht="75" customHeight="1">
      <c r="A515" s="7"/>
      <c r="B515" s="18"/>
      <c r="C515" s="9"/>
      <c r="D515" s="10"/>
      <c r="E515" s="10"/>
      <c r="F515" s="10"/>
      <c r="G515" s="10"/>
      <c r="H515" s="10"/>
      <c r="I515" s="12"/>
      <c r="J515" s="13"/>
    </row>
    <row r="516" spans="1:10" ht="75" customHeight="1">
      <c r="A516" s="7"/>
      <c r="B516" s="18"/>
      <c r="C516" s="9"/>
      <c r="D516" s="10"/>
      <c r="E516" s="10"/>
      <c r="F516" s="10"/>
      <c r="G516" s="10"/>
      <c r="H516" s="10"/>
      <c r="I516" s="12"/>
      <c r="J516" s="13"/>
    </row>
    <row r="517" spans="1:10" ht="75" customHeight="1">
      <c r="A517" s="7"/>
      <c r="B517" s="18"/>
      <c r="C517" s="9"/>
      <c r="D517" s="10"/>
      <c r="E517" s="10"/>
      <c r="F517" s="10"/>
      <c r="G517" s="10"/>
      <c r="H517" s="10"/>
      <c r="I517" s="12"/>
      <c r="J517" s="13"/>
    </row>
    <row r="518" spans="1:10" ht="75" customHeight="1">
      <c r="A518" s="7"/>
      <c r="B518" s="18"/>
      <c r="C518" s="9"/>
      <c r="D518" s="10"/>
      <c r="E518" s="10"/>
      <c r="F518" s="10"/>
      <c r="G518" s="10"/>
      <c r="H518" s="10"/>
      <c r="I518" s="12"/>
      <c r="J518" s="13"/>
    </row>
    <row r="519" spans="1:10" ht="75" customHeight="1">
      <c r="A519" s="7"/>
      <c r="B519" s="18"/>
      <c r="C519" s="9"/>
      <c r="D519" s="10"/>
      <c r="E519" s="10"/>
      <c r="F519" s="10"/>
      <c r="G519" s="10"/>
      <c r="H519" s="10"/>
      <c r="I519" s="12"/>
      <c r="J519" s="13"/>
    </row>
    <row r="520" spans="1:10" ht="75" customHeight="1">
      <c r="A520" s="7"/>
      <c r="B520" s="18"/>
      <c r="C520" s="9"/>
      <c r="D520" s="10"/>
      <c r="E520" s="10"/>
      <c r="F520" s="10"/>
      <c r="G520" s="10"/>
      <c r="H520" s="10"/>
      <c r="I520" s="12"/>
      <c r="J520" s="13"/>
    </row>
    <row r="521" spans="1:10" ht="75" customHeight="1">
      <c r="A521" s="7"/>
      <c r="B521" s="18"/>
      <c r="C521" s="9"/>
      <c r="D521" s="10"/>
      <c r="E521" s="10"/>
      <c r="F521" s="10"/>
      <c r="G521" s="10"/>
      <c r="H521" s="10"/>
      <c r="I521" s="12"/>
      <c r="J521" s="13"/>
    </row>
    <row r="522" spans="1:10" ht="75" customHeight="1">
      <c r="A522" s="7"/>
      <c r="B522" s="18"/>
      <c r="C522" s="9"/>
      <c r="D522" s="10"/>
      <c r="E522" s="10"/>
      <c r="F522" s="10"/>
      <c r="G522" s="10"/>
      <c r="H522" s="10"/>
      <c r="I522" s="12"/>
      <c r="J522" s="13"/>
    </row>
    <row r="523" spans="1:10" ht="75" customHeight="1">
      <c r="A523" s="7"/>
      <c r="B523" s="18"/>
      <c r="C523" s="9"/>
      <c r="D523" s="10"/>
      <c r="E523" s="10"/>
      <c r="F523" s="10"/>
      <c r="G523" s="10"/>
      <c r="H523" s="10"/>
      <c r="I523" s="12"/>
      <c r="J523" s="13"/>
    </row>
    <row r="524" spans="1:10" ht="75" customHeight="1">
      <c r="A524" s="7"/>
      <c r="B524" s="18"/>
      <c r="C524" s="9"/>
      <c r="D524" s="10"/>
      <c r="E524" s="10"/>
      <c r="F524" s="10"/>
      <c r="G524" s="10"/>
      <c r="H524" s="10"/>
      <c r="I524" s="12"/>
      <c r="J524" s="13"/>
    </row>
    <row r="525" spans="1:10" ht="75" customHeight="1">
      <c r="A525" s="7"/>
      <c r="B525" s="18"/>
      <c r="C525" s="9"/>
      <c r="D525" s="10"/>
      <c r="E525" s="10"/>
      <c r="F525" s="10"/>
      <c r="G525" s="10"/>
      <c r="H525" s="10"/>
      <c r="I525" s="12"/>
      <c r="J525" s="13"/>
    </row>
    <row r="526" spans="1:10" ht="75" customHeight="1">
      <c r="A526" s="7"/>
      <c r="B526" s="18"/>
      <c r="C526" s="9"/>
      <c r="D526" s="10"/>
      <c r="E526" s="10"/>
      <c r="F526" s="10"/>
      <c r="G526" s="10"/>
      <c r="H526" s="10"/>
      <c r="I526" s="12"/>
      <c r="J526" s="13"/>
    </row>
    <row r="527" spans="1:10" ht="75" customHeight="1">
      <c r="A527" s="7"/>
      <c r="B527" s="18"/>
      <c r="C527" s="9"/>
      <c r="D527" s="10"/>
      <c r="E527" s="10"/>
      <c r="F527" s="10"/>
      <c r="G527" s="10"/>
      <c r="H527" s="10"/>
      <c r="I527" s="12"/>
      <c r="J527" s="13"/>
    </row>
    <row r="528" spans="1:10" ht="75" customHeight="1">
      <c r="A528" s="7"/>
      <c r="B528" s="18"/>
      <c r="C528" s="9"/>
      <c r="D528" s="10"/>
      <c r="E528" s="10"/>
      <c r="F528" s="10"/>
      <c r="G528" s="10"/>
      <c r="H528" s="10"/>
      <c r="I528" s="12"/>
      <c r="J528" s="13"/>
    </row>
    <row r="529" spans="1:10" ht="75" customHeight="1">
      <c r="A529" s="7"/>
      <c r="B529" s="18"/>
      <c r="C529" s="9"/>
      <c r="D529" s="10"/>
      <c r="E529" s="10"/>
      <c r="F529" s="10"/>
      <c r="G529" s="10"/>
      <c r="H529" s="10"/>
      <c r="I529" s="12"/>
      <c r="J529" s="13"/>
    </row>
    <row r="530" spans="1:10" ht="75" customHeight="1">
      <c r="A530" s="7"/>
      <c r="B530" s="18"/>
      <c r="C530" s="9"/>
      <c r="D530" s="10"/>
      <c r="E530" s="10"/>
      <c r="F530" s="10"/>
      <c r="G530" s="10"/>
      <c r="H530" s="10"/>
      <c r="I530" s="12"/>
      <c r="J530" s="13"/>
    </row>
    <row r="531" spans="1:10" ht="75" customHeight="1">
      <c r="A531" s="7"/>
      <c r="B531" s="18"/>
      <c r="C531" s="9"/>
      <c r="D531" s="10"/>
      <c r="E531" s="10"/>
      <c r="F531" s="10"/>
      <c r="G531" s="10"/>
      <c r="H531" s="10"/>
      <c r="I531" s="12"/>
      <c r="J531" s="13"/>
    </row>
    <row r="532" spans="1:10" ht="75" customHeight="1">
      <c r="A532" s="7"/>
      <c r="B532" s="18"/>
      <c r="C532" s="9"/>
      <c r="D532" s="10"/>
      <c r="E532" s="10"/>
      <c r="F532" s="10"/>
      <c r="G532" s="10"/>
      <c r="H532" s="10"/>
      <c r="I532" s="12"/>
      <c r="J532" s="13"/>
    </row>
    <row r="533" spans="1:10" ht="75" customHeight="1">
      <c r="A533" s="7"/>
      <c r="B533" s="18"/>
      <c r="C533" s="9"/>
      <c r="D533" s="10"/>
      <c r="E533" s="10"/>
      <c r="F533" s="10"/>
      <c r="G533" s="10"/>
      <c r="H533" s="10"/>
      <c r="I533" s="12"/>
      <c r="J533" s="13"/>
    </row>
    <row r="534" spans="1:10" ht="75" customHeight="1">
      <c r="A534" s="7"/>
      <c r="B534" s="18"/>
      <c r="C534" s="9"/>
      <c r="D534" s="10"/>
      <c r="E534" s="10"/>
      <c r="F534" s="10"/>
      <c r="G534" s="10"/>
      <c r="H534" s="10"/>
      <c r="I534" s="12"/>
      <c r="J534" s="13"/>
    </row>
    <row r="535" spans="1:10" ht="75" customHeight="1">
      <c r="A535" s="7"/>
      <c r="B535" s="18"/>
      <c r="C535" s="9"/>
      <c r="D535" s="10"/>
      <c r="E535" s="10"/>
      <c r="F535" s="10"/>
      <c r="G535" s="10"/>
      <c r="H535" s="10"/>
      <c r="I535" s="12"/>
      <c r="J535" s="13"/>
    </row>
    <row r="536" spans="1:10" ht="75" customHeight="1">
      <c r="A536" s="7"/>
      <c r="B536" s="18"/>
      <c r="C536" s="9"/>
      <c r="D536" s="10"/>
      <c r="E536" s="10"/>
      <c r="F536" s="10"/>
      <c r="G536" s="10"/>
      <c r="H536" s="10"/>
      <c r="I536" s="12"/>
      <c r="J536" s="13"/>
    </row>
    <row r="537" spans="1:10" ht="75" customHeight="1">
      <c r="A537" s="7"/>
      <c r="B537" s="18"/>
      <c r="C537" s="9"/>
      <c r="D537" s="10"/>
      <c r="E537" s="10"/>
      <c r="F537" s="10"/>
      <c r="G537" s="10"/>
      <c r="H537" s="10"/>
      <c r="I537" s="12"/>
      <c r="J537" s="13"/>
    </row>
    <row r="538" spans="1:10" ht="75" customHeight="1">
      <c r="A538" s="7"/>
      <c r="B538" s="18"/>
      <c r="C538" s="9"/>
      <c r="D538" s="10"/>
      <c r="E538" s="10"/>
      <c r="F538" s="10"/>
      <c r="G538" s="10"/>
      <c r="H538" s="10"/>
      <c r="I538" s="12"/>
      <c r="J538" s="13"/>
    </row>
    <row r="539" spans="1:10" ht="75" customHeight="1">
      <c r="A539" s="7"/>
      <c r="B539" s="18"/>
      <c r="C539" s="9"/>
      <c r="D539" s="10"/>
      <c r="E539" s="10"/>
      <c r="F539" s="10"/>
      <c r="G539" s="10"/>
      <c r="H539" s="10"/>
      <c r="I539" s="12"/>
      <c r="J539" s="13"/>
    </row>
    <row r="540" spans="1:10" ht="75" customHeight="1">
      <c r="A540" s="7"/>
      <c r="B540" s="18"/>
      <c r="C540" s="9"/>
      <c r="D540" s="10"/>
      <c r="E540" s="10"/>
      <c r="F540" s="10"/>
      <c r="G540" s="10"/>
      <c r="H540" s="10"/>
      <c r="I540" s="12"/>
      <c r="J540" s="13"/>
    </row>
    <row r="541" spans="1:10" ht="75" customHeight="1">
      <c r="A541" s="7"/>
      <c r="B541" s="18"/>
      <c r="C541" s="9"/>
      <c r="D541" s="10"/>
      <c r="E541" s="10"/>
      <c r="F541" s="10"/>
      <c r="G541" s="10"/>
      <c r="H541" s="10"/>
      <c r="I541" s="12"/>
      <c r="J541" s="13"/>
    </row>
    <row r="542" spans="1:10" ht="75" customHeight="1">
      <c r="A542" s="7"/>
      <c r="B542" s="18"/>
      <c r="C542" s="9"/>
      <c r="D542" s="10"/>
      <c r="E542" s="10"/>
      <c r="F542" s="10"/>
      <c r="G542" s="10"/>
      <c r="H542" s="10"/>
      <c r="I542" s="12"/>
      <c r="J542" s="13"/>
    </row>
    <row r="543" spans="1:10" ht="75" customHeight="1">
      <c r="A543" s="7"/>
      <c r="B543" s="18"/>
      <c r="C543" s="9"/>
      <c r="D543" s="10"/>
      <c r="E543" s="10"/>
      <c r="F543" s="10"/>
      <c r="G543" s="10"/>
      <c r="H543" s="10"/>
      <c r="I543" s="12"/>
      <c r="J543" s="13"/>
    </row>
    <row r="544" spans="1:10" ht="75" customHeight="1">
      <c r="A544" s="7"/>
      <c r="B544" s="18"/>
      <c r="C544" s="9"/>
      <c r="D544" s="10"/>
      <c r="E544" s="10"/>
      <c r="F544" s="10"/>
      <c r="G544" s="10"/>
      <c r="H544" s="10"/>
      <c r="I544" s="12"/>
      <c r="J544" s="13"/>
    </row>
    <row r="545" spans="1:10" ht="75" customHeight="1">
      <c r="A545" s="7"/>
      <c r="B545" s="18"/>
      <c r="C545" s="9"/>
      <c r="D545" s="10"/>
      <c r="E545" s="10"/>
      <c r="F545" s="10"/>
      <c r="G545" s="10"/>
      <c r="H545" s="10"/>
      <c r="I545" s="12"/>
      <c r="J545" s="13"/>
    </row>
    <row r="546" spans="1:10" ht="75" customHeight="1">
      <c r="A546" s="7"/>
      <c r="B546" s="18"/>
      <c r="C546" s="9"/>
      <c r="D546" s="10"/>
      <c r="E546" s="10"/>
      <c r="F546" s="10"/>
      <c r="G546" s="10"/>
      <c r="H546" s="10"/>
      <c r="I546" s="12"/>
      <c r="J546" s="13"/>
    </row>
    <row r="547" spans="1:10" ht="75" customHeight="1">
      <c r="A547" s="7"/>
      <c r="B547" s="18"/>
      <c r="C547" s="9"/>
      <c r="D547" s="10"/>
      <c r="E547" s="10"/>
      <c r="F547" s="10"/>
      <c r="G547" s="10"/>
      <c r="H547" s="10"/>
      <c r="I547" s="12"/>
      <c r="J547" s="13"/>
    </row>
    <row r="548" spans="1:10" ht="75" customHeight="1">
      <c r="A548" s="7"/>
      <c r="B548" s="18"/>
      <c r="C548" s="9"/>
      <c r="D548" s="10"/>
      <c r="E548" s="10"/>
      <c r="F548" s="10"/>
      <c r="G548" s="10"/>
      <c r="H548" s="10"/>
      <c r="I548" s="12"/>
      <c r="J548" s="13"/>
    </row>
    <row r="549" spans="1:10" ht="75" customHeight="1">
      <c r="A549" s="7"/>
      <c r="B549" s="18"/>
      <c r="C549" s="9"/>
      <c r="D549" s="10"/>
      <c r="E549" s="10"/>
      <c r="F549" s="10"/>
      <c r="G549" s="10"/>
      <c r="H549" s="10"/>
      <c r="I549" s="12"/>
      <c r="J549" s="13"/>
    </row>
    <row r="550" spans="1:10" ht="75" customHeight="1">
      <c r="A550" s="7"/>
      <c r="B550" s="18"/>
      <c r="C550" s="9"/>
      <c r="D550" s="10"/>
      <c r="E550" s="10"/>
      <c r="F550" s="10"/>
      <c r="G550" s="10"/>
      <c r="H550" s="10"/>
      <c r="I550" s="12"/>
      <c r="J550" s="13"/>
    </row>
    <row r="551" spans="1:10" ht="75" customHeight="1">
      <c r="A551" s="7"/>
      <c r="B551" s="18"/>
      <c r="C551" s="9"/>
      <c r="D551" s="10"/>
      <c r="E551" s="10"/>
      <c r="F551" s="10"/>
      <c r="G551" s="10"/>
      <c r="H551" s="10"/>
      <c r="I551" s="12"/>
      <c r="J551" s="13"/>
    </row>
    <row r="552" spans="1:10" ht="75" customHeight="1">
      <c r="A552" s="7"/>
      <c r="B552" s="18"/>
      <c r="C552" s="9"/>
      <c r="D552" s="10"/>
      <c r="E552" s="10"/>
      <c r="F552" s="10"/>
      <c r="G552" s="10"/>
      <c r="H552" s="10"/>
      <c r="I552" s="12"/>
      <c r="J552" s="13"/>
    </row>
    <row r="553" spans="1:10" ht="75" customHeight="1">
      <c r="A553" s="7"/>
      <c r="B553" s="18"/>
      <c r="C553" s="9"/>
      <c r="D553" s="10"/>
      <c r="E553" s="10"/>
      <c r="F553" s="10"/>
      <c r="G553" s="10"/>
      <c r="H553" s="10"/>
      <c r="I553" s="12"/>
      <c r="J553" s="13"/>
    </row>
    <row r="554" spans="1:10" ht="75" customHeight="1">
      <c r="A554" s="7"/>
      <c r="B554" s="18"/>
      <c r="C554" s="9"/>
      <c r="D554" s="10"/>
      <c r="E554" s="10"/>
      <c r="F554" s="10"/>
      <c r="G554" s="10"/>
      <c r="H554" s="10"/>
      <c r="I554" s="12"/>
      <c r="J554" s="13"/>
    </row>
    <row r="555" spans="1:10" ht="75" customHeight="1">
      <c r="A555" s="7"/>
      <c r="B555" s="18"/>
      <c r="C555" s="9"/>
      <c r="D555" s="10"/>
      <c r="E555" s="10"/>
      <c r="F555" s="10"/>
      <c r="G555" s="10"/>
      <c r="H555" s="10"/>
      <c r="I555" s="12"/>
      <c r="J555" s="13"/>
    </row>
    <row r="556" spans="1:10" ht="75" customHeight="1">
      <c r="A556" s="7"/>
      <c r="B556" s="18"/>
      <c r="C556" s="9"/>
      <c r="D556" s="10"/>
      <c r="E556" s="10"/>
      <c r="F556" s="10"/>
      <c r="G556" s="10"/>
      <c r="H556" s="10"/>
      <c r="I556" s="12"/>
      <c r="J556" s="13"/>
    </row>
    <row r="557" spans="1:10" ht="75" customHeight="1">
      <c r="A557" s="7"/>
      <c r="B557" s="18"/>
      <c r="C557" s="9"/>
      <c r="D557" s="10"/>
      <c r="E557" s="10"/>
      <c r="F557" s="10"/>
      <c r="G557" s="10"/>
      <c r="H557" s="10"/>
      <c r="I557" s="12"/>
      <c r="J557" s="13"/>
    </row>
    <row r="558" spans="1:10" ht="75" customHeight="1">
      <c r="A558" s="7"/>
      <c r="B558" s="18"/>
      <c r="C558" s="9"/>
      <c r="D558" s="10"/>
      <c r="E558" s="10"/>
      <c r="F558" s="10"/>
      <c r="G558" s="10"/>
      <c r="H558" s="10"/>
      <c r="I558" s="12"/>
      <c r="J558" s="13"/>
    </row>
    <row r="559" spans="1:10" ht="75" customHeight="1">
      <c r="A559" s="7"/>
      <c r="B559" s="18"/>
      <c r="C559" s="9"/>
      <c r="D559" s="10"/>
      <c r="E559" s="10"/>
      <c r="F559" s="10"/>
      <c r="G559" s="10"/>
      <c r="H559" s="10"/>
      <c r="I559" s="12"/>
      <c r="J559" s="13"/>
    </row>
    <row r="560" spans="1:10" ht="75" customHeight="1">
      <c r="A560" s="7"/>
      <c r="B560" s="18"/>
      <c r="C560" s="9"/>
      <c r="D560" s="10"/>
      <c r="E560" s="10"/>
      <c r="F560" s="10"/>
      <c r="G560" s="10"/>
      <c r="H560" s="10"/>
      <c r="I560" s="12"/>
      <c r="J560" s="13"/>
    </row>
    <row r="561" spans="1:10" ht="75" customHeight="1">
      <c r="A561" s="7"/>
      <c r="B561" s="18"/>
      <c r="C561" s="9"/>
      <c r="D561" s="10"/>
      <c r="E561" s="10"/>
      <c r="F561" s="10"/>
      <c r="G561" s="10"/>
      <c r="H561" s="10"/>
      <c r="I561" s="12"/>
      <c r="J561" s="13"/>
    </row>
    <row r="562" spans="1:10" ht="75" customHeight="1">
      <c r="A562" s="7"/>
      <c r="B562" s="18"/>
      <c r="C562" s="9"/>
      <c r="D562" s="10"/>
      <c r="E562" s="10"/>
      <c r="F562" s="10"/>
      <c r="G562" s="10"/>
      <c r="H562" s="10"/>
      <c r="I562" s="12"/>
      <c r="J562" s="13"/>
    </row>
    <row r="563" spans="1:10" ht="75" customHeight="1">
      <c r="A563" s="7"/>
      <c r="B563" s="18"/>
      <c r="C563" s="9"/>
      <c r="D563" s="10"/>
      <c r="E563" s="10"/>
      <c r="F563" s="10"/>
      <c r="G563" s="10"/>
      <c r="H563" s="10"/>
      <c r="I563" s="12"/>
      <c r="J563" s="13"/>
    </row>
    <row r="564" spans="1:10" ht="75" customHeight="1">
      <c r="A564" s="7"/>
      <c r="B564" s="18"/>
      <c r="C564" s="9"/>
      <c r="D564" s="10"/>
      <c r="E564" s="10"/>
      <c r="F564" s="10"/>
      <c r="G564" s="10"/>
      <c r="H564" s="10"/>
      <c r="I564" s="12"/>
      <c r="J564" s="13"/>
    </row>
    <row r="565" spans="1:10" ht="75" customHeight="1">
      <c r="A565" s="7"/>
      <c r="B565" s="18"/>
      <c r="C565" s="9"/>
      <c r="D565" s="10"/>
      <c r="E565" s="10"/>
      <c r="F565" s="10"/>
      <c r="G565" s="10"/>
      <c r="H565" s="10"/>
      <c r="I565" s="12"/>
      <c r="J565" s="13"/>
    </row>
    <row r="566" spans="1:10" ht="75" customHeight="1">
      <c r="A566" s="7"/>
      <c r="B566" s="18"/>
      <c r="C566" s="9"/>
      <c r="D566" s="10"/>
      <c r="E566" s="10"/>
      <c r="F566" s="10"/>
      <c r="G566" s="10"/>
      <c r="H566" s="10"/>
      <c r="I566" s="12"/>
      <c r="J566" s="13"/>
    </row>
    <row r="567" spans="1:10" ht="75" customHeight="1">
      <c r="A567" s="7"/>
      <c r="B567" s="18"/>
      <c r="C567" s="9"/>
      <c r="D567" s="10"/>
      <c r="E567" s="10"/>
      <c r="F567" s="10"/>
      <c r="G567" s="10"/>
      <c r="H567" s="10"/>
      <c r="I567" s="12"/>
      <c r="J567" s="13"/>
    </row>
    <row r="568" spans="1:10" ht="75" customHeight="1">
      <c r="A568" s="7"/>
      <c r="B568" s="18"/>
      <c r="C568" s="9"/>
      <c r="D568" s="10"/>
      <c r="E568" s="10"/>
      <c r="F568" s="10"/>
      <c r="G568" s="10"/>
      <c r="H568" s="10"/>
      <c r="I568" s="12"/>
      <c r="J568" s="13"/>
    </row>
    <row r="569" spans="1:10" ht="75" customHeight="1">
      <c r="A569" s="7"/>
      <c r="B569" s="18"/>
      <c r="C569" s="9"/>
      <c r="D569" s="10"/>
      <c r="E569" s="10"/>
      <c r="F569" s="10"/>
      <c r="G569" s="10"/>
      <c r="H569" s="10"/>
      <c r="I569" s="12"/>
      <c r="J569" s="13"/>
    </row>
    <row r="570" spans="1:10" ht="75" customHeight="1">
      <c r="A570" s="7"/>
      <c r="B570" s="18"/>
      <c r="C570" s="9"/>
      <c r="D570" s="10"/>
      <c r="E570" s="10"/>
      <c r="F570" s="10"/>
      <c r="G570" s="10"/>
      <c r="H570" s="10"/>
      <c r="I570" s="12"/>
      <c r="J570" s="13"/>
    </row>
    <row r="571" spans="1:10" ht="75" customHeight="1">
      <c r="A571" s="7"/>
      <c r="B571" s="18"/>
      <c r="C571" s="9"/>
      <c r="D571" s="10"/>
      <c r="E571" s="10"/>
      <c r="F571" s="10"/>
      <c r="G571" s="10"/>
      <c r="H571" s="10"/>
      <c r="I571" s="12"/>
      <c r="J571" s="13"/>
    </row>
    <row r="572" spans="1:10" ht="75" customHeight="1">
      <c r="A572" s="7"/>
      <c r="B572" s="18"/>
      <c r="C572" s="9"/>
      <c r="D572" s="10"/>
      <c r="E572" s="10"/>
      <c r="F572" s="10"/>
      <c r="G572" s="10"/>
      <c r="H572" s="10"/>
      <c r="I572" s="12"/>
      <c r="J572" s="13"/>
    </row>
    <row r="573" spans="1:10" ht="75" customHeight="1">
      <c r="A573" s="7"/>
      <c r="B573" s="18"/>
      <c r="C573" s="9"/>
      <c r="D573" s="10"/>
      <c r="E573" s="10"/>
      <c r="F573" s="10"/>
      <c r="G573" s="10"/>
      <c r="H573" s="10"/>
      <c r="I573" s="12"/>
      <c r="J573" s="13"/>
    </row>
    <row r="574" spans="1:10" ht="75" customHeight="1">
      <c r="A574" s="7"/>
      <c r="B574" s="18"/>
      <c r="C574" s="9"/>
      <c r="D574" s="10"/>
      <c r="E574" s="10"/>
      <c r="F574" s="10"/>
      <c r="G574" s="10"/>
      <c r="H574" s="10"/>
      <c r="I574" s="12"/>
      <c r="J574" s="13"/>
    </row>
    <row r="575" spans="1:10" ht="75" customHeight="1">
      <c r="A575" s="7"/>
      <c r="B575" s="18"/>
      <c r="C575" s="9"/>
      <c r="D575" s="10"/>
      <c r="E575" s="10"/>
      <c r="F575" s="10"/>
      <c r="G575" s="10"/>
      <c r="H575" s="10"/>
      <c r="I575" s="12"/>
      <c r="J575" s="13"/>
    </row>
    <row r="576" spans="1:10" ht="75" customHeight="1">
      <c r="A576" s="7"/>
      <c r="B576" s="18"/>
      <c r="C576" s="9"/>
      <c r="D576" s="10"/>
      <c r="E576" s="10"/>
      <c r="F576" s="10"/>
      <c r="G576" s="10"/>
      <c r="H576" s="10"/>
      <c r="I576" s="12"/>
      <c r="J576" s="13"/>
    </row>
    <row r="577" spans="1:10" ht="75" customHeight="1">
      <c r="A577" s="7"/>
      <c r="B577" s="18"/>
      <c r="C577" s="9"/>
      <c r="D577" s="10"/>
      <c r="E577" s="10"/>
      <c r="F577" s="10"/>
      <c r="G577" s="10"/>
      <c r="H577" s="10"/>
      <c r="I577" s="12"/>
      <c r="J577" s="13"/>
    </row>
    <row r="578" spans="1:10" ht="75" customHeight="1">
      <c r="A578" s="7"/>
      <c r="B578" s="18"/>
      <c r="C578" s="9"/>
      <c r="D578" s="10"/>
      <c r="E578" s="10"/>
      <c r="F578" s="10"/>
      <c r="G578" s="10"/>
      <c r="H578" s="10"/>
      <c r="I578" s="12"/>
      <c r="J578" s="13"/>
    </row>
    <row r="579" spans="1:10" ht="75" customHeight="1">
      <c r="A579" s="7"/>
      <c r="B579" s="18"/>
      <c r="C579" s="9"/>
      <c r="D579" s="10"/>
      <c r="E579" s="10"/>
      <c r="F579" s="10"/>
      <c r="G579" s="10"/>
      <c r="H579" s="10"/>
      <c r="I579" s="12"/>
      <c r="J579" s="13"/>
    </row>
    <row r="580" spans="1:10" ht="75" customHeight="1">
      <c r="A580" s="7"/>
      <c r="B580" s="18"/>
      <c r="C580" s="9"/>
      <c r="D580" s="10"/>
      <c r="E580" s="10"/>
      <c r="F580" s="10"/>
      <c r="G580" s="10"/>
      <c r="H580" s="10"/>
      <c r="I580" s="12"/>
      <c r="J580" s="13"/>
    </row>
    <row r="581" spans="1:10" ht="75" customHeight="1">
      <c r="A581" s="7"/>
      <c r="B581" s="18"/>
      <c r="C581" s="9"/>
      <c r="D581" s="10"/>
      <c r="E581" s="10"/>
      <c r="F581" s="10"/>
      <c r="G581" s="10"/>
      <c r="H581" s="10"/>
      <c r="I581" s="12"/>
      <c r="J581" s="13"/>
    </row>
    <row r="582" spans="1:10" ht="75" customHeight="1">
      <c r="A582" s="7"/>
      <c r="B582" s="18"/>
      <c r="C582" s="9"/>
      <c r="D582" s="10"/>
      <c r="E582" s="10"/>
      <c r="F582" s="10"/>
      <c r="G582" s="10"/>
      <c r="H582" s="10"/>
      <c r="I582" s="12"/>
      <c r="J582" s="13"/>
    </row>
    <row r="583" spans="1:10" ht="75" customHeight="1">
      <c r="A583" s="7"/>
      <c r="B583" s="18"/>
      <c r="C583" s="9"/>
      <c r="D583" s="10"/>
      <c r="E583" s="10"/>
      <c r="F583" s="10"/>
      <c r="G583" s="10"/>
      <c r="H583" s="10"/>
      <c r="I583" s="12"/>
      <c r="J583" s="13"/>
    </row>
    <row r="584" spans="1:10" ht="75" customHeight="1">
      <c r="A584" s="7"/>
      <c r="B584" s="18"/>
      <c r="C584" s="9"/>
      <c r="D584" s="10"/>
      <c r="E584" s="10"/>
      <c r="F584" s="10"/>
      <c r="G584" s="10"/>
      <c r="H584" s="10"/>
      <c r="I584" s="12"/>
      <c r="J584" s="13"/>
    </row>
    <row r="585" spans="1:10" ht="75" customHeight="1">
      <c r="A585" s="7"/>
      <c r="B585" s="18"/>
      <c r="C585" s="9"/>
      <c r="D585" s="10"/>
      <c r="E585" s="10"/>
      <c r="F585" s="10"/>
      <c r="G585" s="10"/>
      <c r="H585" s="10"/>
      <c r="I585" s="12"/>
      <c r="J585" s="13"/>
    </row>
    <row r="586" spans="1:10" ht="75" customHeight="1">
      <c r="A586" s="7"/>
      <c r="B586" s="18"/>
      <c r="C586" s="9"/>
      <c r="D586" s="10"/>
      <c r="E586" s="10"/>
      <c r="F586" s="10"/>
      <c r="G586" s="10"/>
      <c r="H586" s="10"/>
      <c r="I586" s="12"/>
      <c r="J586" s="13"/>
    </row>
    <row r="587" spans="1:10" ht="75" customHeight="1">
      <c r="A587" s="7"/>
      <c r="B587" s="18"/>
      <c r="C587" s="9"/>
      <c r="D587" s="10"/>
      <c r="E587" s="10"/>
      <c r="F587" s="10"/>
      <c r="G587" s="10"/>
      <c r="H587" s="10"/>
      <c r="I587" s="12"/>
      <c r="J587" s="13"/>
    </row>
    <row r="588" spans="1:10" ht="75" customHeight="1">
      <c r="A588" s="7"/>
      <c r="B588" s="18"/>
      <c r="C588" s="9"/>
      <c r="D588" s="10"/>
      <c r="E588" s="10"/>
      <c r="F588" s="10"/>
      <c r="G588" s="10"/>
      <c r="H588" s="10"/>
      <c r="I588" s="12"/>
      <c r="J588" s="13"/>
    </row>
    <row r="589" spans="1:10" ht="75" customHeight="1">
      <c r="A589" s="7"/>
      <c r="B589" s="18"/>
      <c r="C589" s="9"/>
      <c r="D589" s="10"/>
      <c r="E589" s="10"/>
      <c r="F589" s="10"/>
      <c r="G589" s="10"/>
      <c r="H589" s="10"/>
      <c r="I589" s="12"/>
      <c r="J589" s="13"/>
    </row>
    <row r="590" spans="1:10" ht="75" customHeight="1">
      <c r="A590" s="7"/>
      <c r="B590" s="18"/>
      <c r="C590" s="9"/>
      <c r="D590" s="10"/>
      <c r="E590" s="10"/>
      <c r="F590" s="10"/>
      <c r="G590" s="10"/>
      <c r="H590" s="10"/>
      <c r="I590" s="12"/>
      <c r="J590" s="13"/>
    </row>
    <row r="591" spans="1:10" ht="75" customHeight="1">
      <c r="A591" s="7"/>
      <c r="B591" s="18"/>
      <c r="C591" s="9"/>
      <c r="D591" s="10"/>
      <c r="E591" s="10"/>
      <c r="F591" s="10"/>
      <c r="G591" s="10"/>
      <c r="H591" s="10"/>
      <c r="I591" s="12"/>
      <c r="J591" s="13"/>
    </row>
    <row r="592" spans="1:10" ht="75" customHeight="1">
      <c r="A592" s="7"/>
      <c r="B592" s="18"/>
      <c r="C592" s="9"/>
      <c r="D592" s="10"/>
      <c r="E592" s="10"/>
      <c r="F592" s="10"/>
      <c r="G592" s="10"/>
      <c r="H592" s="10"/>
      <c r="I592" s="12"/>
      <c r="J592" s="13"/>
    </row>
    <row r="593" spans="1:10" ht="75" customHeight="1">
      <c r="A593" s="7"/>
      <c r="B593" s="18"/>
      <c r="C593" s="9"/>
      <c r="D593" s="10"/>
      <c r="E593" s="10"/>
      <c r="F593" s="10"/>
      <c r="G593" s="10"/>
      <c r="H593" s="10"/>
      <c r="I593" s="12"/>
      <c r="J593" s="13"/>
    </row>
    <row r="594" spans="1:10" ht="75" customHeight="1">
      <c r="A594" s="7"/>
      <c r="B594" s="18"/>
      <c r="C594" s="9"/>
      <c r="D594" s="10"/>
      <c r="E594" s="10"/>
      <c r="F594" s="10"/>
      <c r="G594" s="10"/>
      <c r="H594" s="10"/>
      <c r="I594" s="12"/>
      <c r="J594" s="13"/>
    </row>
    <row r="595" spans="1:10" ht="75" customHeight="1">
      <c r="A595" s="7"/>
      <c r="B595" s="18"/>
      <c r="C595" s="9"/>
      <c r="D595" s="10"/>
      <c r="E595" s="10"/>
      <c r="F595" s="10"/>
      <c r="G595" s="10"/>
      <c r="H595" s="10"/>
      <c r="I595" s="12"/>
      <c r="J595" s="13"/>
    </row>
    <row r="596" spans="1:10" ht="75" customHeight="1">
      <c r="A596" s="7"/>
      <c r="B596" s="18"/>
      <c r="C596" s="9"/>
      <c r="D596" s="10"/>
      <c r="E596" s="10"/>
      <c r="F596" s="10"/>
      <c r="G596" s="10"/>
      <c r="H596" s="10"/>
      <c r="I596" s="12"/>
      <c r="J596" s="13"/>
    </row>
    <row r="597" spans="1:10" ht="75" customHeight="1">
      <c r="A597" s="7"/>
      <c r="B597" s="18"/>
      <c r="C597" s="9"/>
      <c r="D597" s="10"/>
      <c r="E597" s="10"/>
      <c r="F597" s="10"/>
      <c r="G597" s="10"/>
      <c r="H597" s="10"/>
      <c r="I597" s="12"/>
      <c r="J597" s="13"/>
    </row>
    <row r="598" spans="1:10" ht="75" customHeight="1">
      <c r="A598" s="7"/>
      <c r="B598" s="18"/>
      <c r="C598" s="9"/>
      <c r="D598" s="10"/>
      <c r="E598" s="10"/>
      <c r="F598" s="10"/>
      <c r="G598" s="10"/>
      <c r="H598" s="10"/>
      <c r="I598" s="12"/>
      <c r="J598" s="13"/>
    </row>
    <row r="599" spans="1:10" ht="75" customHeight="1">
      <c r="A599" s="7"/>
      <c r="B599" s="18"/>
      <c r="C599" s="9"/>
      <c r="D599" s="10"/>
      <c r="E599" s="10"/>
      <c r="F599" s="10"/>
      <c r="G599" s="10"/>
      <c r="H599" s="10"/>
      <c r="I599" s="12"/>
      <c r="J599" s="13"/>
    </row>
    <row r="600" spans="1:10" ht="75" customHeight="1">
      <c r="A600" s="7"/>
      <c r="B600" s="18"/>
      <c r="C600" s="9"/>
      <c r="D600" s="10"/>
      <c r="E600" s="10"/>
      <c r="F600" s="10"/>
      <c r="G600" s="10"/>
      <c r="H600" s="10"/>
      <c r="I600" s="12"/>
      <c r="J600" s="13"/>
    </row>
    <row r="601" spans="1:10" ht="75" customHeight="1">
      <c r="A601" s="7"/>
      <c r="B601" s="18"/>
      <c r="C601" s="9"/>
      <c r="D601" s="10"/>
      <c r="E601" s="10"/>
      <c r="F601" s="10"/>
      <c r="G601" s="10"/>
      <c r="H601" s="10"/>
      <c r="I601" s="12"/>
      <c r="J601" s="13"/>
    </row>
    <row r="602" spans="1:10" ht="75" customHeight="1">
      <c r="A602" s="7"/>
      <c r="B602" s="18"/>
      <c r="C602" s="9"/>
      <c r="D602" s="10"/>
      <c r="E602" s="10"/>
      <c r="F602" s="10"/>
      <c r="G602" s="10"/>
      <c r="H602" s="10"/>
      <c r="I602" s="12"/>
      <c r="J602" s="13"/>
    </row>
    <row r="603" spans="1:10" ht="75" customHeight="1">
      <c r="A603" s="7"/>
      <c r="B603" s="18"/>
      <c r="C603" s="9"/>
      <c r="D603" s="10"/>
      <c r="E603" s="10"/>
      <c r="F603" s="10"/>
      <c r="G603" s="10"/>
      <c r="H603" s="10"/>
      <c r="I603" s="12"/>
      <c r="J603" s="13"/>
    </row>
    <row r="604" spans="1:10" ht="75" customHeight="1">
      <c r="A604" s="7"/>
      <c r="B604" s="18"/>
      <c r="C604" s="9"/>
      <c r="D604" s="10"/>
      <c r="E604" s="10"/>
      <c r="F604" s="10"/>
      <c r="G604" s="10"/>
      <c r="H604" s="10"/>
      <c r="I604" s="12"/>
      <c r="J604" s="13"/>
    </row>
    <row r="605" spans="1:10" ht="75" customHeight="1">
      <c r="A605" s="7"/>
      <c r="B605" s="18"/>
      <c r="C605" s="9"/>
      <c r="D605" s="10"/>
      <c r="E605" s="10"/>
      <c r="F605" s="10"/>
      <c r="G605" s="10"/>
      <c r="H605" s="10"/>
      <c r="I605" s="12"/>
      <c r="J605" s="13"/>
    </row>
    <row r="606" spans="1:10" ht="75" customHeight="1">
      <c r="A606" s="7"/>
      <c r="B606" s="18"/>
      <c r="C606" s="9"/>
      <c r="D606" s="10"/>
      <c r="E606" s="10"/>
      <c r="F606" s="10"/>
      <c r="G606" s="10"/>
      <c r="H606" s="10"/>
      <c r="I606" s="12"/>
      <c r="J606" s="13"/>
    </row>
    <row r="607" spans="1:10" ht="75" customHeight="1">
      <c r="A607" s="7"/>
      <c r="B607" s="18"/>
      <c r="C607" s="9"/>
      <c r="D607" s="10"/>
      <c r="E607" s="10"/>
      <c r="F607" s="10"/>
      <c r="G607" s="10"/>
      <c r="H607" s="10"/>
      <c r="I607" s="12"/>
      <c r="J607" s="13"/>
    </row>
    <row r="608" spans="1:10" ht="75" customHeight="1">
      <c r="A608" s="7"/>
      <c r="B608" s="18"/>
      <c r="C608" s="9"/>
      <c r="D608" s="10"/>
      <c r="E608" s="10"/>
      <c r="F608" s="10"/>
      <c r="G608" s="10"/>
      <c r="H608" s="10"/>
      <c r="I608" s="12"/>
      <c r="J608" s="13"/>
    </row>
    <row r="609" spans="1:10" ht="75" customHeight="1">
      <c r="A609" s="7"/>
      <c r="B609" s="18"/>
      <c r="C609" s="9"/>
      <c r="D609" s="10"/>
      <c r="E609" s="10"/>
      <c r="F609" s="10"/>
      <c r="G609" s="10"/>
      <c r="H609" s="10"/>
      <c r="I609" s="12"/>
      <c r="J609" s="13"/>
    </row>
    <row r="610" spans="1:10" ht="75" customHeight="1">
      <c r="A610" s="7"/>
      <c r="B610" s="18"/>
      <c r="C610" s="9"/>
      <c r="D610" s="10"/>
      <c r="E610" s="10"/>
      <c r="F610" s="10"/>
      <c r="G610" s="10"/>
      <c r="H610" s="10"/>
      <c r="I610" s="12"/>
      <c r="J610" s="13"/>
    </row>
    <row r="611" spans="1:10" ht="75" customHeight="1">
      <c r="A611" s="7"/>
      <c r="B611" s="18"/>
      <c r="C611" s="9"/>
      <c r="D611" s="10"/>
      <c r="E611" s="10"/>
      <c r="F611" s="10"/>
      <c r="G611" s="10"/>
      <c r="H611" s="10"/>
      <c r="I611" s="12"/>
      <c r="J611" s="13"/>
    </row>
    <row r="612" spans="1:10" ht="75" customHeight="1">
      <c r="A612" s="7"/>
      <c r="B612" s="18"/>
      <c r="C612" s="9"/>
      <c r="D612" s="10"/>
      <c r="E612" s="10"/>
      <c r="F612" s="10"/>
      <c r="G612" s="10"/>
      <c r="H612" s="10"/>
      <c r="I612" s="12"/>
      <c r="J612" s="13"/>
    </row>
    <row r="613" spans="1:10" ht="75" customHeight="1">
      <c r="A613" s="7"/>
      <c r="B613" s="18"/>
      <c r="C613" s="9"/>
      <c r="D613" s="10"/>
      <c r="E613" s="10"/>
      <c r="F613" s="10"/>
      <c r="G613" s="10"/>
      <c r="H613" s="10"/>
      <c r="I613" s="12"/>
      <c r="J613" s="13"/>
    </row>
    <row r="614" spans="1:10" ht="75" customHeight="1">
      <c r="A614" s="7"/>
      <c r="B614" s="18"/>
      <c r="C614" s="9"/>
      <c r="D614" s="10"/>
      <c r="E614" s="10"/>
      <c r="F614" s="10"/>
      <c r="G614" s="10"/>
      <c r="H614" s="10"/>
      <c r="I614" s="12"/>
      <c r="J614" s="13"/>
    </row>
    <row r="615" spans="1:10" ht="75" customHeight="1">
      <c r="A615" s="7"/>
      <c r="B615" s="18"/>
      <c r="C615" s="9"/>
      <c r="D615" s="10"/>
      <c r="E615" s="10"/>
      <c r="F615" s="10"/>
      <c r="G615" s="10"/>
      <c r="H615" s="10"/>
      <c r="I615" s="12"/>
      <c r="J615" s="13"/>
    </row>
    <row r="616" spans="1:10" ht="75" customHeight="1">
      <c r="A616" s="7"/>
      <c r="B616" s="18"/>
      <c r="C616" s="9"/>
      <c r="D616" s="10"/>
      <c r="E616" s="10"/>
      <c r="F616" s="10"/>
      <c r="G616" s="10"/>
      <c r="H616" s="10"/>
      <c r="I616" s="12"/>
      <c r="J616" s="13"/>
    </row>
    <row r="617" spans="1:10" ht="75" customHeight="1">
      <c r="A617" s="7"/>
      <c r="B617" s="18"/>
      <c r="C617" s="9"/>
      <c r="D617" s="10"/>
      <c r="E617" s="10"/>
      <c r="F617" s="10"/>
      <c r="G617" s="10"/>
      <c r="H617" s="10"/>
      <c r="I617" s="12"/>
      <c r="J617" s="13"/>
    </row>
    <row r="618" spans="1:10" ht="75" customHeight="1">
      <c r="A618" s="7"/>
      <c r="B618" s="18"/>
      <c r="C618" s="9"/>
      <c r="D618" s="10"/>
      <c r="E618" s="10"/>
      <c r="F618" s="10"/>
      <c r="G618" s="10"/>
      <c r="H618" s="10"/>
      <c r="I618" s="12"/>
      <c r="J618" s="13"/>
    </row>
    <row r="619" spans="1:10" ht="75" customHeight="1">
      <c r="A619" s="7"/>
      <c r="B619" s="18"/>
      <c r="C619" s="9"/>
      <c r="D619" s="10"/>
      <c r="E619" s="10"/>
      <c r="F619" s="10"/>
      <c r="G619" s="10"/>
      <c r="H619" s="10"/>
      <c r="I619" s="12"/>
      <c r="J619" s="13"/>
    </row>
    <row r="620" spans="1:10" ht="75" customHeight="1">
      <c r="A620" s="7"/>
      <c r="B620" s="18"/>
      <c r="C620" s="9"/>
      <c r="D620" s="10"/>
      <c r="E620" s="10"/>
      <c r="F620" s="10"/>
      <c r="G620" s="10"/>
      <c r="H620" s="10"/>
      <c r="I620" s="12"/>
      <c r="J620" s="13"/>
    </row>
    <row r="621" spans="1:10" ht="75" customHeight="1">
      <c r="A621" s="7"/>
      <c r="B621" s="18"/>
      <c r="C621" s="9"/>
      <c r="D621" s="10"/>
      <c r="E621" s="10"/>
      <c r="F621" s="10"/>
      <c r="G621" s="10"/>
      <c r="H621" s="10"/>
      <c r="I621" s="12"/>
      <c r="J621" s="13"/>
    </row>
    <row r="622" spans="1:10" ht="75" customHeight="1">
      <c r="A622" s="7"/>
      <c r="B622" s="18"/>
      <c r="C622" s="9"/>
      <c r="D622" s="10"/>
      <c r="E622" s="10"/>
      <c r="F622" s="10"/>
      <c r="G622" s="10"/>
      <c r="H622" s="10"/>
      <c r="I622" s="12"/>
      <c r="J622" s="13"/>
    </row>
    <row r="623" spans="1:10" ht="75" customHeight="1">
      <c r="A623" s="7"/>
      <c r="B623" s="18"/>
      <c r="C623" s="9"/>
      <c r="D623" s="10"/>
      <c r="E623" s="10"/>
      <c r="F623" s="10"/>
      <c r="G623" s="10"/>
      <c r="H623" s="10"/>
      <c r="I623" s="12"/>
      <c r="J623" s="13"/>
    </row>
    <row r="624" spans="1:10" ht="75" customHeight="1">
      <c r="A624" s="7"/>
      <c r="B624" s="18"/>
      <c r="C624" s="9"/>
      <c r="D624" s="10"/>
      <c r="E624" s="10"/>
      <c r="F624" s="10"/>
      <c r="G624" s="10"/>
      <c r="H624" s="10"/>
      <c r="I624" s="12"/>
      <c r="J624" s="13"/>
    </row>
    <row r="625" spans="1:10" ht="75" customHeight="1">
      <c r="A625" s="7"/>
      <c r="B625" s="18"/>
      <c r="C625" s="9"/>
      <c r="D625" s="10"/>
      <c r="E625" s="10"/>
      <c r="F625" s="10"/>
      <c r="G625" s="10"/>
      <c r="H625" s="10"/>
      <c r="I625" s="12"/>
      <c r="J625" s="13"/>
    </row>
    <row r="626" spans="1:10" ht="75" customHeight="1">
      <c r="A626" s="7"/>
      <c r="B626" s="18"/>
      <c r="C626" s="9"/>
      <c r="D626" s="10"/>
      <c r="E626" s="10"/>
      <c r="F626" s="10"/>
      <c r="G626" s="10"/>
      <c r="H626" s="10"/>
      <c r="I626" s="12"/>
      <c r="J626" s="13"/>
    </row>
    <row r="627" spans="1:10" ht="75" customHeight="1">
      <c r="A627" s="7"/>
      <c r="B627" s="18"/>
      <c r="C627" s="9"/>
      <c r="D627" s="10"/>
      <c r="E627" s="10"/>
      <c r="F627" s="10"/>
      <c r="G627" s="10"/>
      <c r="H627" s="10"/>
      <c r="I627" s="12"/>
      <c r="J627" s="13"/>
    </row>
    <row r="628" spans="1:10" ht="75" customHeight="1">
      <c r="A628" s="7"/>
      <c r="B628" s="18"/>
      <c r="C628" s="9"/>
      <c r="D628" s="10"/>
      <c r="E628" s="10"/>
      <c r="F628" s="10"/>
      <c r="G628" s="10"/>
      <c r="H628" s="10"/>
      <c r="I628" s="12"/>
      <c r="J628" s="13"/>
    </row>
    <row r="629" spans="1:10" ht="75" customHeight="1">
      <c r="A629" s="7"/>
      <c r="B629" s="18"/>
      <c r="C629" s="9"/>
      <c r="D629" s="10"/>
      <c r="E629" s="10"/>
      <c r="F629" s="10"/>
      <c r="G629" s="10"/>
      <c r="H629" s="10"/>
      <c r="I629" s="12"/>
      <c r="J629" s="13"/>
    </row>
    <row r="630" spans="1:10" ht="75" customHeight="1">
      <c r="A630" s="7"/>
      <c r="B630" s="18"/>
      <c r="C630" s="9"/>
      <c r="D630" s="10"/>
      <c r="E630" s="10"/>
      <c r="F630" s="10"/>
      <c r="G630" s="10"/>
      <c r="H630" s="10"/>
      <c r="I630" s="12"/>
      <c r="J630" s="13"/>
    </row>
    <row r="631" spans="1:10" ht="75" customHeight="1">
      <c r="A631" s="7"/>
      <c r="B631" s="18"/>
      <c r="C631" s="9"/>
      <c r="D631" s="10"/>
      <c r="E631" s="10"/>
      <c r="F631" s="10"/>
      <c r="G631" s="10"/>
      <c r="H631" s="10"/>
      <c r="I631" s="12"/>
      <c r="J631" s="13"/>
    </row>
    <row r="632" spans="1:10" ht="75" customHeight="1">
      <c r="A632" s="7"/>
      <c r="B632" s="18"/>
      <c r="C632" s="9"/>
      <c r="D632" s="10"/>
      <c r="E632" s="10"/>
      <c r="F632" s="10"/>
      <c r="G632" s="10"/>
      <c r="H632" s="10"/>
      <c r="I632" s="12"/>
      <c r="J632" s="13"/>
    </row>
    <row r="633" spans="1:10" ht="75" customHeight="1">
      <c r="A633" s="7"/>
      <c r="B633" s="18"/>
      <c r="C633" s="9"/>
      <c r="D633" s="10"/>
      <c r="E633" s="10"/>
      <c r="F633" s="10"/>
      <c r="G633" s="10"/>
      <c r="H633" s="10"/>
      <c r="I633" s="12"/>
      <c r="J633" s="13"/>
    </row>
    <row r="634" spans="1:10" ht="75" customHeight="1">
      <c r="A634" s="7"/>
      <c r="B634" s="18"/>
      <c r="C634" s="9"/>
      <c r="D634" s="10"/>
      <c r="E634" s="10"/>
      <c r="F634" s="10"/>
      <c r="G634" s="10"/>
      <c r="H634" s="10"/>
      <c r="I634" s="12"/>
      <c r="J634" s="13"/>
    </row>
    <row r="635" spans="1:10" ht="75" customHeight="1">
      <c r="A635" s="7"/>
      <c r="B635" s="18"/>
      <c r="C635" s="9"/>
      <c r="D635" s="10"/>
      <c r="E635" s="10"/>
      <c r="F635" s="10"/>
      <c r="G635" s="10"/>
      <c r="H635" s="10"/>
      <c r="I635" s="12"/>
      <c r="J635" s="13"/>
    </row>
    <row r="636" spans="1:10" ht="75" customHeight="1">
      <c r="A636" s="7"/>
      <c r="B636" s="18"/>
      <c r="C636" s="9"/>
      <c r="D636" s="10"/>
      <c r="E636" s="10"/>
      <c r="F636" s="10"/>
      <c r="G636" s="10"/>
      <c r="H636" s="10"/>
      <c r="I636" s="12"/>
      <c r="J636" s="13"/>
    </row>
    <row r="637" spans="1:10" ht="75" customHeight="1">
      <c r="A637" s="7"/>
      <c r="B637" s="18"/>
      <c r="C637" s="9"/>
      <c r="D637" s="10"/>
      <c r="E637" s="10"/>
      <c r="F637" s="10"/>
      <c r="G637" s="10"/>
      <c r="H637" s="10"/>
      <c r="I637" s="12"/>
      <c r="J637" s="13"/>
    </row>
    <row r="638" spans="1:10" ht="75" customHeight="1">
      <c r="A638" s="7"/>
      <c r="B638" s="18"/>
      <c r="C638" s="9"/>
      <c r="D638" s="10"/>
      <c r="E638" s="10"/>
      <c r="F638" s="10"/>
      <c r="G638" s="10"/>
      <c r="H638" s="10"/>
      <c r="I638" s="12"/>
      <c r="J638" s="13"/>
    </row>
    <row r="639" spans="1:10" ht="75" customHeight="1">
      <c r="A639" s="7"/>
      <c r="B639" s="18"/>
      <c r="C639" s="9"/>
      <c r="D639" s="10"/>
      <c r="E639" s="10"/>
      <c r="F639" s="10"/>
      <c r="G639" s="10"/>
      <c r="H639" s="10"/>
      <c r="I639" s="12"/>
      <c r="J639" s="13"/>
    </row>
    <row r="640" spans="1:10" ht="75" customHeight="1">
      <c r="A640" s="7"/>
      <c r="B640" s="18"/>
      <c r="C640" s="9"/>
      <c r="D640" s="10"/>
      <c r="E640" s="10"/>
      <c r="F640" s="10"/>
      <c r="G640" s="10"/>
      <c r="H640" s="10"/>
      <c r="I640" s="12"/>
      <c r="J640" s="13"/>
    </row>
    <row r="641" spans="1:10" ht="75" customHeight="1">
      <c r="A641" s="7"/>
      <c r="B641" s="18"/>
      <c r="C641" s="9"/>
      <c r="D641" s="10"/>
      <c r="E641" s="10"/>
      <c r="F641" s="10"/>
      <c r="G641" s="10"/>
      <c r="H641" s="10"/>
      <c r="I641" s="12"/>
      <c r="J641" s="13"/>
    </row>
    <row r="642" spans="1:10" ht="75" customHeight="1">
      <c r="A642" s="7"/>
      <c r="B642" s="18"/>
      <c r="C642" s="9"/>
      <c r="D642" s="10"/>
      <c r="E642" s="10"/>
      <c r="F642" s="10"/>
      <c r="G642" s="10"/>
      <c r="H642" s="10"/>
      <c r="I642" s="12"/>
      <c r="J642" s="13"/>
    </row>
    <row r="643" spans="1:10" ht="75" customHeight="1">
      <c r="A643" s="7"/>
      <c r="B643" s="18"/>
      <c r="C643" s="9"/>
      <c r="D643" s="10"/>
      <c r="E643" s="10"/>
      <c r="F643" s="10"/>
      <c r="G643" s="10"/>
      <c r="H643" s="10"/>
      <c r="I643" s="12"/>
      <c r="J643" s="13"/>
    </row>
    <row r="644" spans="1:10" ht="75" customHeight="1">
      <c r="A644" s="7"/>
      <c r="B644" s="18"/>
      <c r="C644" s="9"/>
      <c r="D644" s="10"/>
      <c r="E644" s="10"/>
      <c r="F644" s="10"/>
      <c r="G644" s="10"/>
      <c r="H644" s="10"/>
      <c r="I644" s="12"/>
      <c r="J644" s="13"/>
    </row>
    <row r="645" spans="1:10" ht="75" customHeight="1">
      <c r="A645" s="7"/>
      <c r="B645" s="18"/>
      <c r="C645" s="9"/>
      <c r="D645" s="10"/>
      <c r="E645" s="10"/>
      <c r="F645" s="10"/>
      <c r="G645" s="10"/>
      <c r="H645" s="10"/>
      <c r="I645" s="12"/>
      <c r="J645" s="13"/>
    </row>
    <row r="646" spans="1:10" ht="75" customHeight="1">
      <c r="A646" s="7"/>
      <c r="B646" s="18"/>
      <c r="C646" s="9"/>
      <c r="D646" s="10"/>
      <c r="E646" s="10"/>
      <c r="F646" s="10"/>
      <c r="G646" s="10"/>
      <c r="H646" s="10"/>
      <c r="I646" s="12"/>
      <c r="J646" s="13"/>
    </row>
    <row r="647" spans="1:10" ht="75" customHeight="1">
      <c r="A647" s="7"/>
      <c r="B647" s="18"/>
      <c r="C647" s="9"/>
      <c r="D647" s="10"/>
      <c r="E647" s="10"/>
      <c r="F647" s="10"/>
      <c r="G647" s="10"/>
      <c r="H647" s="10"/>
      <c r="I647" s="12"/>
      <c r="J647" s="13"/>
    </row>
    <row r="648" spans="1:10" ht="75" customHeight="1">
      <c r="A648" s="7"/>
      <c r="B648" s="18"/>
      <c r="C648" s="9"/>
      <c r="D648" s="10"/>
      <c r="E648" s="10"/>
      <c r="F648" s="10"/>
      <c r="G648" s="10"/>
      <c r="H648" s="10"/>
      <c r="I648" s="12"/>
      <c r="J648" s="13"/>
    </row>
    <row r="649" spans="1:10" ht="75" customHeight="1">
      <c r="A649" s="7"/>
      <c r="B649" s="18"/>
      <c r="C649" s="9"/>
      <c r="D649" s="10"/>
      <c r="E649" s="10"/>
      <c r="F649" s="10"/>
      <c r="G649" s="10"/>
      <c r="H649" s="10"/>
      <c r="I649" s="12"/>
      <c r="J649" s="13"/>
    </row>
    <row r="650" spans="1:10" ht="75" customHeight="1">
      <c r="A650" s="7"/>
      <c r="B650" s="18"/>
      <c r="C650" s="9"/>
      <c r="D650" s="10"/>
      <c r="E650" s="10"/>
      <c r="F650" s="10"/>
      <c r="G650" s="10"/>
      <c r="H650" s="10"/>
      <c r="I650" s="12"/>
      <c r="J650" s="13"/>
    </row>
    <row r="651" spans="1:10" ht="75" customHeight="1">
      <c r="A651" s="7"/>
      <c r="B651" s="18"/>
      <c r="C651" s="9"/>
      <c r="D651" s="10"/>
      <c r="E651" s="10"/>
      <c r="F651" s="10"/>
      <c r="G651" s="10"/>
      <c r="H651" s="10"/>
      <c r="I651" s="12"/>
      <c r="J651" s="13"/>
    </row>
    <row r="652" spans="1:10" ht="75" customHeight="1">
      <c r="A652" s="7"/>
      <c r="B652" s="18"/>
      <c r="C652" s="9"/>
      <c r="D652" s="10"/>
      <c r="E652" s="10"/>
      <c r="F652" s="10"/>
      <c r="G652" s="10"/>
      <c r="H652" s="10"/>
      <c r="I652" s="12"/>
      <c r="J652" s="13"/>
    </row>
    <row r="653" spans="1:10" ht="75" customHeight="1">
      <c r="A653" s="7"/>
      <c r="B653" s="18"/>
      <c r="C653" s="9"/>
      <c r="D653" s="10"/>
      <c r="E653" s="10"/>
      <c r="F653" s="10"/>
      <c r="G653" s="10"/>
      <c r="H653" s="10"/>
      <c r="I653" s="12"/>
      <c r="J653" s="13"/>
    </row>
    <row r="654" spans="1:10" ht="75" customHeight="1">
      <c r="A654" s="7"/>
      <c r="B654" s="18"/>
      <c r="C654" s="9"/>
      <c r="D654" s="10"/>
      <c r="E654" s="10"/>
      <c r="F654" s="10"/>
      <c r="G654" s="10"/>
      <c r="H654" s="10"/>
      <c r="I654" s="12"/>
      <c r="J654" s="13"/>
    </row>
    <row r="655" spans="1:10" ht="75" customHeight="1">
      <c r="A655" s="7"/>
      <c r="B655" s="18"/>
      <c r="C655" s="9"/>
      <c r="D655" s="10"/>
      <c r="E655" s="10"/>
      <c r="F655" s="10"/>
      <c r="G655" s="10"/>
      <c r="H655" s="10"/>
      <c r="I655" s="12"/>
      <c r="J655" s="13"/>
    </row>
    <row r="656" spans="1:10" ht="75" customHeight="1">
      <c r="A656" s="7"/>
      <c r="B656" s="18"/>
      <c r="C656" s="9"/>
      <c r="D656" s="10"/>
      <c r="E656" s="10"/>
      <c r="F656" s="10"/>
      <c r="G656" s="10"/>
      <c r="H656" s="10"/>
      <c r="I656" s="12"/>
      <c r="J656" s="13"/>
    </row>
    <row r="657" spans="1:10" ht="75" customHeight="1">
      <c r="A657" s="7"/>
      <c r="B657" s="18"/>
      <c r="C657" s="9"/>
      <c r="D657" s="10"/>
      <c r="E657" s="10"/>
      <c r="F657" s="10"/>
      <c r="G657" s="10"/>
      <c r="H657" s="10"/>
      <c r="I657" s="12"/>
      <c r="J657" s="13"/>
    </row>
    <row r="658" spans="1:10" ht="75" customHeight="1">
      <c r="A658" s="7"/>
      <c r="B658" s="18"/>
      <c r="C658" s="9"/>
      <c r="D658" s="10"/>
      <c r="E658" s="10"/>
      <c r="F658" s="10"/>
      <c r="G658" s="10"/>
      <c r="H658" s="10"/>
      <c r="I658" s="12"/>
      <c r="J658" s="13"/>
    </row>
    <row r="659" spans="1:10" ht="75" customHeight="1">
      <c r="A659" s="7"/>
      <c r="B659" s="18"/>
      <c r="C659" s="9"/>
      <c r="D659" s="10"/>
      <c r="E659" s="10"/>
      <c r="F659" s="10"/>
      <c r="G659" s="10"/>
      <c r="H659" s="10"/>
      <c r="I659" s="12"/>
      <c r="J659" s="13"/>
    </row>
    <row r="660" spans="1:10" ht="75" customHeight="1">
      <c r="A660" s="7"/>
      <c r="B660" s="18"/>
      <c r="C660" s="9"/>
      <c r="D660" s="10"/>
      <c r="E660" s="10"/>
      <c r="F660" s="10"/>
      <c r="G660" s="10"/>
      <c r="H660" s="10"/>
      <c r="I660" s="12"/>
      <c r="J660" s="13"/>
    </row>
    <row r="661" spans="1:10" ht="75" customHeight="1">
      <c r="A661" s="7"/>
      <c r="B661" s="18"/>
      <c r="C661" s="9"/>
      <c r="D661" s="10"/>
      <c r="E661" s="10"/>
      <c r="F661" s="10"/>
      <c r="G661" s="10"/>
      <c r="H661" s="10"/>
      <c r="I661" s="12"/>
      <c r="J661" s="13"/>
    </row>
    <row r="662" spans="1:10" ht="75" customHeight="1">
      <c r="A662" s="7"/>
      <c r="B662" s="18"/>
      <c r="C662" s="9"/>
      <c r="D662" s="10"/>
      <c r="E662" s="10"/>
      <c r="F662" s="10"/>
      <c r="G662" s="10"/>
      <c r="H662" s="10"/>
      <c r="I662" s="12"/>
      <c r="J662" s="13"/>
    </row>
    <row r="663" spans="1:10" ht="75" customHeight="1">
      <c r="A663" s="7"/>
      <c r="B663" s="18"/>
      <c r="C663" s="9"/>
      <c r="D663" s="10"/>
      <c r="E663" s="10"/>
      <c r="F663" s="10"/>
      <c r="G663" s="10"/>
      <c r="H663" s="10"/>
      <c r="I663" s="12"/>
      <c r="J663" s="13"/>
    </row>
    <row r="664" spans="1:10" ht="75" customHeight="1">
      <c r="A664" s="7"/>
      <c r="B664" s="18"/>
      <c r="C664" s="9"/>
      <c r="D664" s="10"/>
      <c r="E664" s="10"/>
      <c r="F664" s="10"/>
      <c r="G664" s="10"/>
      <c r="H664" s="10"/>
      <c r="I664" s="12"/>
      <c r="J664" s="13"/>
    </row>
    <row r="665" spans="1:10" ht="75" customHeight="1">
      <c r="A665" s="7"/>
      <c r="B665" s="18"/>
      <c r="C665" s="9"/>
      <c r="D665" s="10"/>
      <c r="E665" s="10"/>
      <c r="F665" s="10"/>
      <c r="G665" s="10"/>
      <c r="H665" s="10"/>
      <c r="I665" s="12"/>
      <c r="J665" s="13"/>
    </row>
    <row r="666" spans="1:10" ht="75" customHeight="1">
      <c r="A666" s="7"/>
      <c r="B666" s="18"/>
      <c r="C666" s="9"/>
      <c r="D666" s="10"/>
      <c r="E666" s="10"/>
      <c r="F666" s="10"/>
      <c r="G666" s="10"/>
      <c r="H666" s="10"/>
      <c r="I666" s="12"/>
      <c r="J666" s="13"/>
    </row>
    <row r="667" spans="1:10" ht="75" customHeight="1">
      <c r="A667" s="7"/>
      <c r="B667" s="18"/>
      <c r="C667" s="9"/>
      <c r="D667" s="10"/>
      <c r="E667" s="10"/>
      <c r="F667" s="10"/>
      <c r="G667" s="10"/>
      <c r="H667" s="10"/>
      <c r="I667" s="12"/>
      <c r="J667" s="13"/>
    </row>
    <row r="668" spans="1:10" ht="75" customHeight="1">
      <c r="A668" s="7"/>
      <c r="B668" s="18"/>
      <c r="C668" s="9"/>
      <c r="D668" s="10"/>
      <c r="E668" s="10"/>
      <c r="F668" s="10"/>
      <c r="G668" s="10"/>
      <c r="H668" s="10"/>
      <c r="I668" s="12"/>
      <c r="J668" s="13"/>
    </row>
    <row r="669" spans="1:10" ht="75" customHeight="1">
      <c r="A669" s="7"/>
      <c r="B669" s="18"/>
      <c r="C669" s="9"/>
      <c r="D669" s="10"/>
      <c r="E669" s="10"/>
      <c r="F669" s="10"/>
      <c r="G669" s="10"/>
      <c r="H669" s="10"/>
      <c r="I669" s="12"/>
      <c r="J669" s="13"/>
    </row>
    <row r="670" spans="1:10" ht="75" customHeight="1">
      <c r="A670" s="7"/>
      <c r="B670" s="18"/>
      <c r="C670" s="9"/>
      <c r="D670" s="10"/>
      <c r="E670" s="10"/>
      <c r="F670" s="10"/>
      <c r="G670" s="10"/>
      <c r="H670" s="10"/>
      <c r="I670" s="12"/>
      <c r="J670" s="13"/>
    </row>
    <row r="671" spans="1:10" ht="75" customHeight="1">
      <c r="A671" s="7"/>
      <c r="B671" s="18"/>
      <c r="C671" s="9"/>
      <c r="D671" s="10"/>
      <c r="E671" s="10"/>
      <c r="F671" s="10"/>
      <c r="G671" s="10"/>
      <c r="H671" s="10"/>
      <c r="I671" s="12"/>
      <c r="J671" s="13"/>
    </row>
    <row r="672" spans="1:10" ht="75" customHeight="1">
      <c r="A672" s="7"/>
      <c r="B672" s="18"/>
      <c r="C672" s="9"/>
      <c r="D672" s="10"/>
      <c r="E672" s="10"/>
      <c r="F672" s="10"/>
      <c r="G672" s="10"/>
      <c r="H672" s="10"/>
      <c r="I672" s="12"/>
      <c r="J672" s="13"/>
    </row>
    <row r="673" spans="1:10" ht="75" customHeight="1">
      <c r="A673" s="7"/>
      <c r="B673" s="18"/>
      <c r="C673" s="9"/>
      <c r="D673" s="10"/>
      <c r="E673" s="10"/>
      <c r="F673" s="10"/>
      <c r="G673" s="10"/>
      <c r="H673" s="10"/>
      <c r="I673" s="12"/>
      <c r="J673" s="13"/>
    </row>
    <row r="674" spans="1:10" ht="75" customHeight="1">
      <c r="A674" s="7"/>
      <c r="B674" s="18"/>
      <c r="C674" s="9"/>
      <c r="D674" s="10"/>
      <c r="E674" s="10"/>
      <c r="F674" s="10"/>
      <c r="G674" s="10"/>
      <c r="H674" s="10"/>
      <c r="I674" s="12"/>
      <c r="J674" s="13"/>
    </row>
    <row r="675" spans="1:10" ht="75" customHeight="1">
      <c r="A675" s="7"/>
      <c r="B675" s="18"/>
      <c r="C675" s="9"/>
      <c r="D675" s="10"/>
      <c r="E675" s="10"/>
      <c r="F675" s="10"/>
      <c r="G675" s="10"/>
      <c r="H675" s="10"/>
      <c r="I675" s="12"/>
      <c r="J675" s="13"/>
    </row>
    <row r="676" spans="1:10" ht="75" customHeight="1">
      <c r="A676" s="7"/>
      <c r="B676" s="18"/>
      <c r="C676" s="9"/>
      <c r="D676" s="10"/>
      <c r="E676" s="10"/>
      <c r="F676" s="10"/>
      <c r="G676" s="10"/>
      <c r="H676" s="10"/>
      <c r="I676" s="12"/>
      <c r="J676" s="13"/>
    </row>
    <row r="677" spans="1:10" ht="75" customHeight="1">
      <c r="A677" s="7"/>
      <c r="B677" s="18"/>
      <c r="C677" s="9"/>
      <c r="D677" s="10"/>
      <c r="E677" s="10"/>
      <c r="F677" s="10"/>
      <c r="G677" s="10"/>
      <c r="H677" s="10"/>
      <c r="I677" s="12"/>
      <c r="J677" s="13"/>
    </row>
    <row r="678" spans="1:10" ht="75" customHeight="1">
      <c r="A678" s="7"/>
      <c r="B678" s="18"/>
      <c r="C678" s="9"/>
      <c r="D678" s="10"/>
      <c r="E678" s="10"/>
      <c r="F678" s="10"/>
      <c r="G678" s="10"/>
      <c r="H678" s="10"/>
      <c r="I678" s="12"/>
      <c r="J678" s="13"/>
    </row>
    <row r="679" spans="1:10" ht="75" customHeight="1">
      <c r="A679" s="7"/>
      <c r="B679" s="18"/>
      <c r="C679" s="9"/>
      <c r="D679" s="10"/>
      <c r="E679" s="10"/>
      <c r="F679" s="10"/>
      <c r="G679" s="10"/>
      <c r="H679" s="10"/>
      <c r="I679" s="12"/>
      <c r="J679" s="13"/>
    </row>
    <row r="680" spans="1:10" ht="75" customHeight="1">
      <c r="A680" s="7"/>
      <c r="B680" s="18"/>
      <c r="C680" s="9"/>
      <c r="D680" s="10"/>
      <c r="E680" s="10"/>
      <c r="F680" s="10"/>
      <c r="G680" s="10"/>
      <c r="H680" s="10"/>
      <c r="I680" s="12"/>
      <c r="J680" s="13"/>
    </row>
    <row r="681" spans="1:10" ht="75" customHeight="1">
      <c r="A681" s="7"/>
      <c r="B681" s="18"/>
      <c r="C681" s="9"/>
      <c r="D681" s="10"/>
      <c r="E681" s="10"/>
      <c r="F681" s="10"/>
      <c r="G681" s="10"/>
      <c r="H681" s="10"/>
      <c r="I681" s="12"/>
      <c r="J681" s="13"/>
    </row>
    <row r="682" spans="1:10" ht="75" customHeight="1">
      <c r="A682" s="7"/>
      <c r="B682" s="18"/>
      <c r="C682" s="9"/>
      <c r="D682" s="10"/>
      <c r="E682" s="10"/>
      <c r="F682" s="10"/>
      <c r="G682" s="10"/>
      <c r="H682" s="10"/>
      <c r="I682" s="12"/>
      <c r="J682" s="13"/>
    </row>
    <row r="683" spans="1:10" ht="75" customHeight="1">
      <c r="A683" s="7"/>
      <c r="B683" s="18"/>
      <c r="C683" s="9"/>
      <c r="D683" s="10"/>
      <c r="E683" s="10"/>
      <c r="F683" s="10"/>
      <c r="G683" s="10"/>
      <c r="H683" s="10"/>
      <c r="I683" s="12"/>
      <c r="J683" s="13"/>
    </row>
    <row r="684" spans="1:10" ht="75" customHeight="1">
      <c r="A684" s="7"/>
      <c r="B684" s="18"/>
      <c r="C684" s="9"/>
      <c r="D684" s="10"/>
      <c r="E684" s="10"/>
      <c r="F684" s="10"/>
      <c r="G684" s="10"/>
      <c r="H684" s="10"/>
      <c r="I684" s="12"/>
      <c r="J684" s="13"/>
    </row>
    <row r="685" spans="1:10" ht="75" customHeight="1">
      <c r="A685" s="7"/>
      <c r="B685" s="18"/>
      <c r="C685" s="9"/>
      <c r="D685" s="10"/>
      <c r="E685" s="10"/>
      <c r="F685" s="10"/>
      <c r="G685" s="10"/>
      <c r="H685" s="10"/>
      <c r="I685" s="12"/>
      <c r="J685" s="13"/>
    </row>
    <row r="686" spans="1:10" ht="75" customHeight="1">
      <c r="A686" s="7"/>
      <c r="B686" s="18"/>
      <c r="C686" s="9"/>
      <c r="D686" s="10"/>
      <c r="E686" s="10"/>
      <c r="F686" s="10"/>
      <c r="G686" s="10"/>
      <c r="H686" s="10"/>
      <c r="I686" s="12"/>
      <c r="J686" s="13"/>
    </row>
    <row r="687" spans="1:10" ht="75" customHeight="1">
      <c r="A687" s="7"/>
      <c r="B687" s="18"/>
      <c r="C687" s="9"/>
      <c r="D687" s="10"/>
      <c r="E687" s="10"/>
      <c r="F687" s="10"/>
      <c r="G687" s="10"/>
      <c r="H687" s="10"/>
      <c r="I687" s="12"/>
      <c r="J687" s="13"/>
    </row>
    <row r="688" spans="1:10" ht="75" customHeight="1">
      <c r="A688" s="7"/>
      <c r="B688" s="18"/>
      <c r="C688" s="9"/>
      <c r="D688" s="10"/>
      <c r="E688" s="10"/>
      <c r="F688" s="10"/>
      <c r="G688" s="10"/>
      <c r="H688" s="10"/>
      <c r="I688" s="12"/>
      <c r="J688" s="13"/>
    </row>
    <row r="689" spans="1:10" ht="75" customHeight="1">
      <c r="A689" s="7"/>
      <c r="B689" s="18"/>
      <c r="C689" s="9"/>
      <c r="D689" s="10"/>
      <c r="E689" s="10"/>
      <c r="F689" s="10"/>
      <c r="G689" s="10"/>
      <c r="H689" s="10"/>
      <c r="I689" s="12"/>
      <c r="J689" s="13"/>
    </row>
    <row r="690" spans="1:10" ht="75" customHeight="1">
      <c r="A690" s="7"/>
      <c r="B690" s="18"/>
      <c r="C690" s="9"/>
      <c r="D690" s="10"/>
      <c r="E690" s="10"/>
      <c r="F690" s="10"/>
      <c r="G690" s="10"/>
      <c r="H690" s="10"/>
      <c r="I690" s="12"/>
      <c r="J690" s="13"/>
    </row>
    <row r="691" spans="1:10" ht="75" customHeight="1">
      <c r="A691" s="7"/>
      <c r="B691" s="18"/>
      <c r="C691" s="9"/>
      <c r="D691" s="10"/>
      <c r="E691" s="10"/>
      <c r="F691" s="10"/>
      <c r="G691" s="10"/>
      <c r="H691" s="10"/>
      <c r="I691" s="12"/>
      <c r="J691" s="13"/>
    </row>
    <row r="692" spans="1:10" ht="75" customHeight="1">
      <c r="A692" s="7"/>
      <c r="B692" s="18"/>
      <c r="C692" s="9"/>
      <c r="D692" s="10"/>
      <c r="E692" s="10"/>
      <c r="F692" s="10"/>
      <c r="G692" s="10"/>
      <c r="H692" s="10"/>
      <c r="I692" s="12"/>
      <c r="J692" s="13"/>
    </row>
    <row r="693" spans="1:10" ht="75" customHeight="1">
      <c r="A693" s="7"/>
      <c r="B693" s="18"/>
      <c r="C693" s="9"/>
      <c r="D693" s="10"/>
      <c r="E693" s="10"/>
      <c r="F693" s="10"/>
      <c r="G693" s="10"/>
      <c r="H693" s="10"/>
      <c r="I693" s="12"/>
      <c r="J693" s="13"/>
    </row>
    <row r="694" spans="1:10" ht="75" customHeight="1">
      <c r="A694" s="7"/>
      <c r="B694" s="18"/>
      <c r="C694" s="9"/>
      <c r="D694" s="10"/>
      <c r="E694" s="10"/>
      <c r="F694" s="10"/>
      <c r="G694" s="10"/>
      <c r="H694" s="10"/>
      <c r="I694" s="12"/>
      <c r="J694" s="13"/>
    </row>
    <row r="695" spans="1:10" ht="75" customHeight="1">
      <c r="A695" s="7"/>
      <c r="B695" s="18"/>
      <c r="C695" s="9"/>
      <c r="D695" s="10"/>
      <c r="E695" s="10"/>
      <c r="F695" s="10"/>
      <c r="G695" s="10"/>
      <c r="H695" s="10"/>
      <c r="I695" s="12"/>
      <c r="J695" s="13"/>
    </row>
    <row r="696" spans="1:10" ht="75" customHeight="1">
      <c r="A696" s="7"/>
      <c r="B696" s="18"/>
      <c r="C696" s="9"/>
      <c r="D696" s="10"/>
      <c r="E696" s="10"/>
      <c r="F696" s="10"/>
      <c r="G696" s="10"/>
      <c r="H696" s="10"/>
      <c r="I696" s="12"/>
      <c r="J696" s="13"/>
    </row>
    <row r="697" spans="1:10" ht="75" customHeight="1">
      <c r="A697" s="7"/>
      <c r="B697" s="18"/>
      <c r="C697" s="9"/>
      <c r="D697" s="10"/>
      <c r="E697" s="10"/>
      <c r="F697" s="10"/>
      <c r="G697" s="10"/>
      <c r="H697" s="10"/>
      <c r="I697" s="12"/>
      <c r="J697" s="13"/>
    </row>
    <row r="698" spans="1:10" ht="75" customHeight="1">
      <c r="A698" s="7"/>
      <c r="B698" s="18"/>
      <c r="C698" s="9"/>
      <c r="D698" s="10"/>
      <c r="E698" s="10"/>
      <c r="F698" s="10"/>
      <c r="G698" s="10"/>
      <c r="H698" s="10"/>
      <c r="I698" s="12"/>
      <c r="J698" s="13"/>
    </row>
    <row r="699" spans="1:10" ht="75" customHeight="1">
      <c r="A699" s="7"/>
      <c r="B699" s="18"/>
      <c r="C699" s="9"/>
      <c r="D699" s="10"/>
      <c r="E699" s="10"/>
      <c r="F699" s="10"/>
      <c r="G699" s="10"/>
      <c r="H699" s="10"/>
      <c r="I699" s="12"/>
      <c r="J699" s="13"/>
    </row>
    <row r="700" spans="1:10" ht="75" customHeight="1">
      <c r="A700" s="7"/>
      <c r="B700" s="18"/>
      <c r="C700" s="9"/>
      <c r="D700" s="10"/>
      <c r="E700" s="10"/>
      <c r="F700" s="10"/>
      <c r="G700" s="10"/>
      <c r="H700" s="10"/>
      <c r="I700" s="12"/>
      <c r="J700" s="13"/>
    </row>
    <row r="701" spans="1:10" ht="75" customHeight="1">
      <c r="A701" s="7"/>
      <c r="B701" s="18"/>
      <c r="C701" s="9"/>
      <c r="D701" s="10"/>
      <c r="E701" s="10"/>
      <c r="F701" s="10"/>
      <c r="G701" s="10"/>
      <c r="H701" s="10"/>
      <c r="I701" s="12"/>
      <c r="J701" s="13"/>
    </row>
    <row r="702" spans="1:10" ht="75" customHeight="1">
      <c r="A702" s="7"/>
      <c r="B702" s="18"/>
      <c r="C702" s="9"/>
      <c r="D702" s="10"/>
      <c r="E702" s="10"/>
      <c r="F702" s="10"/>
      <c r="G702" s="10"/>
      <c r="H702" s="10"/>
      <c r="I702" s="12"/>
      <c r="J702" s="13"/>
    </row>
    <row r="703" spans="1:10" ht="75" customHeight="1">
      <c r="A703" s="7"/>
      <c r="B703" s="18"/>
      <c r="C703" s="9"/>
      <c r="D703" s="10"/>
      <c r="E703" s="10"/>
      <c r="F703" s="10"/>
      <c r="G703" s="10"/>
      <c r="H703" s="10"/>
      <c r="I703" s="12"/>
      <c r="J703" s="13"/>
    </row>
    <row r="704" spans="1:10" ht="75" customHeight="1">
      <c r="A704" s="7"/>
      <c r="B704" s="18"/>
      <c r="C704" s="9"/>
      <c r="D704" s="10"/>
      <c r="E704" s="10"/>
      <c r="F704" s="10"/>
      <c r="G704" s="10"/>
      <c r="H704" s="10"/>
      <c r="I704" s="12"/>
      <c r="J704" s="13"/>
    </row>
    <row r="705" spans="1:10" ht="75" customHeight="1">
      <c r="A705" s="7"/>
      <c r="B705" s="18"/>
      <c r="C705" s="9"/>
      <c r="D705" s="10"/>
      <c r="E705" s="10"/>
      <c r="F705" s="10"/>
      <c r="G705" s="10"/>
      <c r="H705" s="10"/>
      <c r="I705" s="12"/>
      <c r="J705" s="13"/>
    </row>
    <row r="706" spans="1:10" ht="75" customHeight="1">
      <c r="A706" s="7"/>
      <c r="B706" s="18"/>
      <c r="C706" s="9"/>
      <c r="D706" s="10"/>
      <c r="E706" s="10"/>
      <c r="F706" s="10"/>
      <c r="G706" s="10"/>
      <c r="H706" s="10"/>
      <c r="I706" s="12"/>
      <c r="J706" s="13"/>
    </row>
    <row r="707" spans="1:10" ht="75" customHeight="1">
      <c r="A707" s="7"/>
      <c r="B707" s="18"/>
      <c r="C707" s="9"/>
      <c r="D707" s="10"/>
      <c r="E707" s="10"/>
      <c r="F707" s="10"/>
      <c r="G707" s="10"/>
      <c r="H707" s="10"/>
      <c r="I707" s="12"/>
      <c r="J707" s="13"/>
    </row>
    <row r="708" spans="1:10" ht="75" customHeight="1">
      <c r="A708" s="7"/>
      <c r="B708" s="18"/>
      <c r="C708" s="9"/>
      <c r="D708" s="10"/>
      <c r="E708" s="10"/>
      <c r="F708" s="10"/>
      <c r="G708" s="10"/>
      <c r="H708" s="10"/>
      <c r="I708" s="12"/>
      <c r="J708" s="13"/>
    </row>
    <row r="709" spans="1:10" ht="75" customHeight="1">
      <c r="A709" s="7"/>
      <c r="B709" s="18"/>
      <c r="C709" s="9"/>
      <c r="D709" s="10"/>
      <c r="E709" s="10"/>
      <c r="F709" s="10"/>
      <c r="G709" s="10"/>
      <c r="H709" s="10"/>
      <c r="I709" s="12"/>
      <c r="J709" s="13"/>
    </row>
    <row r="710" spans="1:10" ht="75" customHeight="1">
      <c r="A710" s="7"/>
      <c r="B710" s="18"/>
      <c r="C710" s="9"/>
      <c r="D710" s="10"/>
      <c r="E710" s="10"/>
      <c r="F710" s="10"/>
      <c r="G710" s="10"/>
      <c r="H710" s="10"/>
      <c r="I710" s="12"/>
      <c r="J710" s="13"/>
    </row>
    <row r="711" spans="1:10" ht="75" customHeight="1">
      <c r="A711" s="7"/>
      <c r="B711" s="18"/>
      <c r="C711" s="9"/>
      <c r="D711" s="10"/>
      <c r="E711" s="10"/>
      <c r="F711" s="10"/>
      <c r="G711" s="10"/>
      <c r="H711" s="10"/>
      <c r="I711" s="12"/>
      <c r="J711" s="13"/>
    </row>
    <row r="712" spans="1:10" ht="75" customHeight="1">
      <c r="A712" s="7"/>
      <c r="B712" s="18"/>
      <c r="C712" s="9"/>
      <c r="D712" s="10"/>
      <c r="E712" s="10"/>
      <c r="F712" s="10"/>
      <c r="G712" s="10"/>
      <c r="H712" s="10"/>
      <c r="I712" s="12"/>
      <c r="J712" s="13"/>
    </row>
    <row r="713" spans="1:10" ht="75" customHeight="1">
      <c r="A713" s="7"/>
      <c r="B713" s="18"/>
      <c r="C713" s="9"/>
      <c r="D713" s="10"/>
      <c r="E713" s="10"/>
      <c r="F713" s="10"/>
      <c r="G713" s="10"/>
      <c r="H713" s="10"/>
      <c r="I713" s="12"/>
      <c r="J713" s="13"/>
    </row>
    <row r="714" spans="1:10" ht="75" customHeight="1">
      <c r="A714" s="7"/>
      <c r="B714" s="18"/>
      <c r="C714" s="9"/>
      <c r="D714" s="10"/>
      <c r="E714" s="10"/>
      <c r="F714" s="10"/>
      <c r="G714" s="10"/>
      <c r="H714" s="10"/>
      <c r="I714" s="12"/>
      <c r="J714" s="13"/>
    </row>
    <row r="715" spans="1:10" ht="75" customHeight="1">
      <c r="A715" s="7"/>
      <c r="B715" s="18"/>
      <c r="C715" s="9"/>
      <c r="D715" s="10"/>
      <c r="E715" s="10"/>
      <c r="F715" s="10"/>
      <c r="G715" s="10"/>
      <c r="H715" s="10"/>
      <c r="I715" s="12"/>
      <c r="J715" s="13"/>
    </row>
    <row r="716" spans="1:10" ht="75" customHeight="1">
      <c r="A716" s="7"/>
      <c r="B716" s="18"/>
      <c r="C716" s="9"/>
      <c r="D716" s="10"/>
      <c r="E716" s="10"/>
      <c r="F716" s="10"/>
      <c r="G716" s="10"/>
      <c r="H716" s="10"/>
      <c r="I716" s="12"/>
      <c r="J716" s="13"/>
    </row>
    <row r="717" spans="1:10" ht="75" customHeight="1">
      <c r="A717" s="7"/>
      <c r="B717" s="18"/>
      <c r="C717" s="9"/>
      <c r="D717" s="10"/>
      <c r="E717" s="10"/>
      <c r="F717" s="10"/>
      <c r="G717" s="10"/>
      <c r="H717" s="10"/>
      <c r="I717" s="12"/>
      <c r="J717" s="13"/>
    </row>
    <row r="718" spans="1:10" ht="75" customHeight="1">
      <c r="A718" s="7"/>
      <c r="B718" s="18"/>
      <c r="C718" s="9"/>
      <c r="D718" s="10"/>
      <c r="E718" s="10"/>
      <c r="F718" s="10"/>
      <c r="G718" s="10"/>
      <c r="H718" s="10"/>
      <c r="I718" s="12"/>
      <c r="J718" s="13"/>
    </row>
    <row r="719" spans="1:10" ht="75" customHeight="1">
      <c r="A719" s="7"/>
      <c r="B719" s="18"/>
      <c r="C719" s="9"/>
      <c r="D719" s="10"/>
      <c r="E719" s="10"/>
      <c r="F719" s="10"/>
      <c r="G719" s="10"/>
      <c r="H719" s="10"/>
      <c r="I719" s="12"/>
      <c r="J719" s="13"/>
    </row>
    <row r="720" spans="1:10" ht="75" customHeight="1">
      <c r="A720" s="7"/>
      <c r="B720" s="18"/>
      <c r="C720" s="9"/>
      <c r="D720" s="10"/>
      <c r="E720" s="10"/>
      <c r="F720" s="10"/>
      <c r="G720" s="10"/>
      <c r="H720" s="10"/>
      <c r="I720" s="12"/>
      <c r="J720" s="13"/>
    </row>
    <row r="721" spans="1:10" ht="75" customHeight="1">
      <c r="A721" s="7"/>
      <c r="B721" s="18"/>
      <c r="C721" s="9"/>
      <c r="D721" s="10"/>
      <c r="E721" s="10"/>
      <c r="F721" s="10"/>
      <c r="G721" s="10"/>
      <c r="H721" s="10"/>
      <c r="I721" s="12"/>
      <c r="J721" s="13"/>
    </row>
    <row r="722" spans="1:10" ht="75" customHeight="1">
      <c r="A722" s="7"/>
      <c r="B722" s="18"/>
      <c r="C722" s="9"/>
      <c r="D722" s="10"/>
      <c r="E722" s="10"/>
      <c r="F722" s="10"/>
      <c r="G722" s="10"/>
      <c r="H722" s="10"/>
      <c r="I722" s="12"/>
      <c r="J722" s="13"/>
    </row>
    <row r="723" spans="1:10" ht="75" customHeight="1">
      <c r="A723" s="7"/>
      <c r="B723" s="18"/>
      <c r="C723" s="9"/>
      <c r="D723" s="10"/>
      <c r="E723" s="10"/>
      <c r="F723" s="10"/>
      <c r="G723" s="10"/>
      <c r="H723" s="10"/>
      <c r="I723" s="12"/>
      <c r="J723" s="13"/>
    </row>
    <row r="724" spans="1:10" ht="75" customHeight="1">
      <c r="A724" s="7"/>
      <c r="B724" s="18"/>
      <c r="C724" s="9"/>
      <c r="D724" s="10"/>
      <c r="E724" s="10"/>
      <c r="F724" s="10"/>
      <c r="G724" s="10"/>
      <c r="H724" s="10"/>
      <c r="I724" s="12"/>
      <c r="J724" s="13"/>
    </row>
    <row r="725" spans="1:10" ht="75" customHeight="1">
      <c r="A725" s="7"/>
      <c r="B725" s="18"/>
      <c r="C725" s="9"/>
      <c r="D725" s="10"/>
      <c r="E725" s="10"/>
      <c r="F725" s="10"/>
      <c r="G725" s="10"/>
      <c r="H725" s="10"/>
      <c r="I725" s="12"/>
      <c r="J725" s="13"/>
    </row>
    <row r="726" spans="1:10" ht="75" customHeight="1">
      <c r="A726" s="7"/>
      <c r="B726" s="18"/>
      <c r="C726" s="9"/>
      <c r="D726" s="10"/>
      <c r="E726" s="10"/>
      <c r="F726" s="10"/>
      <c r="G726" s="10"/>
      <c r="H726" s="10"/>
      <c r="I726" s="12"/>
      <c r="J726" s="13"/>
    </row>
    <row r="727" spans="1:10" ht="75" customHeight="1">
      <c r="A727" s="7"/>
      <c r="B727" s="18"/>
      <c r="C727" s="9"/>
      <c r="D727" s="10"/>
      <c r="E727" s="10"/>
      <c r="F727" s="10"/>
      <c r="G727" s="10"/>
      <c r="H727" s="10"/>
      <c r="I727" s="12"/>
      <c r="J727" s="13"/>
    </row>
    <row r="728" spans="1:10" ht="75" customHeight="1">
      <c r="A728" s="7"/>
      <c r="B728" s="18"/>
      <c r="C728" s="9"/>
      <c r="D728" s="10"/>
      <c r="E728" s="10"/>
      <c r="F728" s="10"/>
      <c r="G728" s="10"/>
      <c r="H728" s="10"/>
      <c r="I728" s="12"/>
      <c r="J728" s="13"/>
    </row>
    <row r="729" spans="1:10" ht="75" customHeight="1">
      <c r="A729" s="7"/>
      <c r="B729" s="18"/>
      <c r="C729" s="9"/>
      <c r="D729" s="10"/>
      <c r="E729" s="10"/>
      <c r="F729" s="10"/>
      <c r="G729" s="10"/>
      <c r="H729" s="10"/>
      <c r="I729" s="12"/>
      <c r="J729" s="13"/>
    </row>
    <row r="730" spans="1:10" ht="75" customHeight="1">
      <c r="A730" s="7"/>
      <c r="B730" s="18"/>
      <c r="C730" s="9"/>
      <c r="D730" s="10"/>
      <c r="E730" s="10"/>
      <c r="F730" s="10"/>
      <c r="G730" s="10"/>
      <c r="H730" s="10"/>
      <c r="I730" s="12"/>
      <c r="J730" s="13"/>
    </row>
    <row r="731" spans="1:10" ht="75" customHeight="1">
      <c r="A731" s="7"/>
      <c r="B731" s="18"/>
      <c r="C731" s="9"/>
      <c r="D731" s="10"/>
      <c r="E731" s="10"/>
      <c r="F731" s="10"/>
      <c r="G731" s="10"/>
      <c r="H731" s="10"/>
      <c r="I731" s="12"/>
      <c r="J731" s="13"/>
    </row>
    <row r="732" spans="1:10" ht="75" customHeight="1">
      <c r="A732" s="7"/>
      <c r="B732" s="18"/>
      <c r="C732" s="9"/>
      <c r="D732" s="10"/>
      <c r="E732" s="10"/>
      <c r="F732" s="10"/>
      <c r="G732" s="10"/>
      <c r="H732" s="10"/>
      <c r="I732" s="12"/>
      <c r="J732" s="13"/>
    </row>
    <row r="733" spans="1:10" ht="75" customHeight="1">
      <c r="A733" s="7"/>
      <c r="B733" s="18"/>
      <c r="C733" s="9"/>
      <c r="D733" s="10"/>
      <c r="E733" s="10"/>
      <c r="F733" s="10"/>
      <c r="G733" s="10"/>
      <c r="H733" s="10"/>
      <c r="I733" s="12"/>
      <c r="J733" s="13"/>
    </row>
    <row r="734" spans="1:10" ht="75" customHeight="1">
      <c r="A734" s="7"/>
      <c r="B734" s="18"/>
      <c r="C734" s="9"/>
      <c r="D734" s="10"/>
      <c r="E734" s="10"/>
      <c r="F734" s="10"/>
      <c r="G734" s="10"/>
      <c r="H734" s="10"/>
      <c r="I734" s="12"/>
      <c r="J734" s="13"/>
    </row>
    <row r="735" spans="1:10" ht="75" customHeight="1">
      <c r="A735" s="7"/>
      <c r="B735" s="18"/>
      <c r="C735" s="9"/>
      <c r="D735" s="10"/>
      <c r="E735" s="10"/>
      <c r="F735" s="10"/>
      <c r="G735" s="10"/>
      <c r="H735" s="10"/>
      <c r="I735" s="12"/>
      <c r="J735" s="13"/>
    </row>
    <row r="736" spans="1:10" ht="75" customHeight="1">
      <c r="A736" s="7"/>
      <c r="B736" s="18"/>
      <c r="C736" s="9"/>
      <c r="D736" s="10"/>
      <c r="E736" s="10"/>
      <c r="F736" s="10"/>
      <c r="G736" s="10"/>
      <c r="H736" s="10"/>
      <c r="I736" s="12"/>
      <c r="J736" s="13"/>
    </row>
    <row r="737" spans="1:10" ht="75" customHeight="1">
      <c r="A737" s="7"/>
      <c r="B737" s="18"/>
      <c r="C737" s="9"/>
      <c r="D737" s="10"/>
      <c r="E737" s="10"/>
      <c r="F737" s="10"/>
      <c r="G737" s="10"/>
      <c r="H737" s="10"/>
      <c r="I737" s="12"/>
      <c r="J737" s="13"/>
    </row>
    <row r="738" spans="1:10" ht="75" customHeight="1">
      <c r="A738" s="7"/>
      <c r="B738" s="18"/>
      <c r="C738" s="9"/>
      <c r="D738" s="10"/>
      <c r="E738" s="10"/>
      <c r="F738" s="10"/>
      <c r="G738" s="10"/>
      <c r="H738" s="10"/>
      <c r="I738" s="12"/>
      <c r="J738" s="13"/>
    </row>
    <row r="739" spans="1:10" ht="75" customHeight="1">
      <c r="A739" s="7"/>
      <c r="B739" s="18"/>
      <c r="C739" s="9"/>
      <c r="D739" s="10"/>
      <c r="E739" s="10"/>
      <c r="F739" s="10"/>
      <c r="G739" s="10"/>
      <c r="H739" s="10"/>
      <c r="I739" s="12"/>
      <c r="J739" s="13"/>
    </row>
    <row r="740" spans="1:10" ht="75" customHeight="1">
      <c r="A740" s="7"/>
      <c r="B740" s="18"/>
      <c r="C740" s="9"/>
      <c r="D740" s="10"/>
      <c r="E740" s="10"/>
      <c r="F740" s="10"/>
      <c r="G740" s="10"/>
      <c r="H740" s="10"/>
      <c r="I740" s="12"/>
      <c r="J740" s="13"/>
    </row>
    <row r="741" spans="1:10" ht="75" customHeight="1">
      <c r="A741" s="7"/>
      <c r="B741" s="18"/>
      <c r="C741" s="9"/>
      <c r="D741" s="10"/>
      <c r="E741" s="10"/>
      <c r="F741" s="10"/>
      <c r="G741" s="10"/>
      <c r="H741" s="10"/>
      <c r="I741" s="12"/>
      <c r="J741" s="13"/>
    </row>
    <row r="742" spans="1:10" ht="75" customHeight="1">
      <c r="A742" s="7"/>
      <c r="B742" s="18"/>
      <c r="C742" s="9"/>
      <c r="D742" s="10"/>
      <c r="E742" s="10"/>
      <c r="F742" s="10"/>
      <c r="G742" s="10"/>
      <c r="H742" s="10"/>
      <c r="I742" s="12"/>
      <c r="J742" s="13"/>
    </row>
    <row r="743" spans="1:10" ht="75" customHeight="1">
      <c r="A743" s="7"/>
      <c r="B743" s="18"/>
      <c r="C743" s="9"/>
      <c r="D743" s="10"/>
      <c r="E743" s="10"/>
      <c r="F743" s="10"/>
      <c r="G743" s="10"/>
      <c r="H743" s="10"/>
      <c r="I743" s="12"/>
      <c r="J743" s="13"/>
    </row>
    <row r="744" spans="1:10" ht="75" customHeight="1">
      <c r="A744" s="7"/>
      <c r="B744" s="18"/>
      <c r="C744" s="9"/>
      <c r="D744" s="10"/>
      <c r="E744" s="10"/>
      <c r="F744" s="10"/>
      <c r="G744" s="10"/>
      <c r="H744" s="10"/>
      <c r="I744" s="12"/>
      <c r="J744" s="13"/>
    </row>
    <row r="745" spans="1:10" ht="75" customHeight="1">
      <c r="A745" s="7"/>
      <c r="B745" s="18"/>
      <c r="C745" s="9"/>
      <c r="D745" s="10"/>
      <c r="E745" s="10"/>
      <c r="F745" s="10"/>
      <c r="G745" s="10"/>
      <c r="H745" s="10"/>
      <c r="I745" s="12"/>
      <c r="J745" s="13"/>
    </row>
    <row r="746" spans="1:10" ht="75" customHeight="1">
      <c r="A746" s="7"/>
      <c r="B746" s="18"/>
      <c r="C746" s="9"/>
      <c r="D746" s="10"/>
      <c r="E746" s="10"/>
      <c r="F746" s="10"/>
      <c r="G746" s="10"/>
      <c r="H746" s="10"/>
      <c r="I746" s="12"/>
      <c r="J746" s="13"/>
    </row>
    <row r="747" spans="1:10" ht="75" customHeight="1">
      <c r="A747" s="7"/>
      <c r="B747" s="18"/>
      <c r="C747" s="9"/>
      <c r="D747" s="10"/>
      <c r="E747" s="10"/>
      <c r="F747" s="10"/>
      <c r="G747" s="10"/>
      <c r="H747" s="10"/>
      <c r="I747" s="12"/>
      <c r="J747" s="13"/>
    </row>
    <row r="748" spans="1:10" ht="75" customHeight="1">
      <c r="A748" s="7"/>
      <c r="B748" s="18"/>
      <c r="C748" s="9"/>
      <c r="D748" s="10"/>
      <c r="E748" s="10"/>
      <c r="F748" s="10"/>
      <c r="G748" s="10"/>
      <c r="H748" s="10"/>
      <c r="I748" s="12"/>
      <c r="J748" s="13"/>
    </row>
    <row r="749" spans="1:10" ht="75" customHeight="1">
      <c r="A749" s="7"/>
      <c r="B749" s="18"/>
      <c r="C749" s="9"/>
      <c r="D749" s="10"/>
      <c r="E749" s="10"/>
      <c r="F749" s="10"/>
      <c r="G749" s="10"/>
      <c r="H749" s="10"/>
      <c r="I749" s="12"/>
      <c r="J749" s="13"/>
    </row>
    <row r="750" spans="1:10" ht="75" customHeight="1">
      <c r="A750" s="7"/>
      <c r="B750" s="18"/>
      <c r="C750" s="9"/>
      <c r="D750" s="10"/>
      <c r="E750" s="10"/>
      <c r="F750" s="10"/>
      <c r="G750" s="10"/>
      <c r="H750" s="10"/>
      <c r="I750" s="12"/>
      <c r="J750" s="13"/>
    </row>
    <row r="751" spans="1:10" ht="75" customHeight="1">
      <c r="A751" s="7"/>
      <c r="B751" s="18"/>
      <c r="C751" s="9"/>
      <c r="D751" s="10"/>
      <c r="E751" s="10"/>
      <c r="F751" s="10"/>
      <c r="G751" s="10"/>
      <c r="H751" s="10"/>
      <c r="I751" s="12"/>
      <c r="J751" s="13"/>
    </row>
    <row r="752" spans="1:10" ht="75" customHeight="1">
      <c r="A752" s="7"/>
      <c r="B752" s="18"/>
      <c r="C752" s="9"/>
      <c r="D752" s="10"/>
      <c r="E752" s="10"/>
      <c r="F752" s="10"/>
      <c r="G752" s="10"/>
      <c r="H752" s="10"/>
      <c r="I752" s="12"/>
      <c r="J752" s="13"/>
    </row>
    <row r="753" spans="1:10" ht="75" customHeight="1">
      <c r="A753" s="7"/>
      <c r="B753" s="18"/>
      <c r="C753" s="9"/>
      <c r="D753" s="10"/>
      <c r="E753" s="10"/>
      <c r="F753" s="10"/>
      <c r="G753" s="10"/>
      <c r="H753" s="10"/>
      <c r="I753" s="12"/>
      <c r="J753" s="13"/>
    </row>
    <row r="754" spans="1:10" ht="75" customHeight="1">
      <c r="A754" s="7"/>
      <c r="B754" s="18"/>
      <c r="C754" s="9"/>
      <c r="D754" s="10"/>
      <c r="E754" s="10"/>
      <c r="F754" s="10"/>
      <c r="G754" s="10"/>
      <c r="H754" s="10"/>
      <c r="I754" s="12"/>
      <c r="J754" s="13"/>
    </row>
    <row r="755" spans="1:10" ht="75" customHeight="1">
      <c r="A755" s="7"/>
      <c r="B755" s="18"/>
      <c r="C755" s="9"/>
      <c r="D755" s="10"/>
      <c r="E755" s="10"/>
      <c r="F755" s="10"/>
      <c r="G755" s="10"/>
      <c r="H755" s="10"/>
      <c r="I755" s="12"/>
      <c r="J755" s="13"/>
    </row>
    <row r="756" spans="1:10" ht="75" customHeight="1">
      <c r="A756" s="7"/>
      <c r="B756" s="18"/>
      <c r="C756" s="9"/>
      <c r="D756" s="10"/>
      <c r="E756" s="10"/>
      <c r="F756" s="10"/>
      <c r="G756" s="10"/>
      <c r="H756" s="10"/>
      <c r="I756" s="12"/>
      <c r="J756" s="13"/>
    </row>
    <row r="757" spans="1:10" ht="75" customHeight="1">
      <c r="A757" s="7"/>
      <c r="B757" s="18"/>
      <c r="C757" s="9"/>
      <c r="D757" s="10"/>
      <c r="E757" s="10"/>
      <c r="F757" s="10"/>
      <c r="G757" s="10"/>
      <c r="H757" s="10"/>
      <c r="I757" s="12"/>
      <c r="J757" s="13"/>
    </row>
    <row r="758" spans="1:10" ht="75" customHeight="1">
      <c r="A758" s="7"/>
      <c r="B758" s="18"/>
      <c r="C758" s="9"/>
      <c r="D758" s="10"/>
      <c r="E758" s="10"/>
      <c r="F758" s="10"/>
      <c r="G758" s="10"/>
      <c r="H758" s="10"/>
      <c r="I758" s="12"/>
      <c r="J758" s="13"/>
    </row>
    <row r="759" spans="1:10" ht="75" customHeight="1">
      <c r="A759" s="7"/>
      <c r="B759" s="18"/>
      <c r="C759" s="9"/>
      <c r="D759" s="10"/>
      <c r="E759" s="10"/>
      <c r="F759" s="10"/>
      <c r="G759" s="10"/>
      <c r="H759" s="10"/>
      <c r="I759" s="12"/>
      <c r="J759" s="13"/>
    </row>
    <row r="760" spans="1:10" ht="75" customHeight="1">
      <c r="A760" s="7"/>
      <c r="B760" s="18"/>
      <c r="C760" s="9"/>
      <c r="D760" s="10"/>
      <c r="E760" s="10"/>
      <c r="F760" s="10"/>
      <c r="G760" s="10"/>
      <c r="H760" s="10"/>
      <c r="I760" s="12"/>
      <c r="J760" s="13"/>
    </row>
    <row r="761" spans="1:10" ht="75" customHeight="1">
      <c r="A761" s="7"/>
      <c r="B761" s="18"/>
      <c r="C761" s="9"/>
      <c r="D761" s="10"/>
      <c r="E761" s="10"/>
      <c r="F761" s="10"/>
      <c r="G761" s="10"/>
      <c r="H761" s="10"/>
      <c r="I761" s="12"/>
      <c r="J761" s="13"/>
    </row>
    <row r="762" spans="1:10" ht="75" customHeight="1">
      <c r="A762" s="7"/>
      <c r="B762" s="18"/>
      <c r="C762" s="9"/>
      <c r="D762" s="10"/>
      <c r="E762" s="10"/>
      <c r="F762" s="10"/>
      <c r="G762" s="10"/>
      <c r="H762" s="10"/>
      <c r="I762" s="12"/>
      <c r="J762" s="13"/>
    </row>
    <row r="763" spans="1:10" ht="75" customHeight="1">
      <c r="A763" s="7"/>
      <c r="B763" s="18"/>
      <c r="C763" s="9"/>
      <c r="D763" s="10"/>
      <c r="E763" s="10"/>
      <c r="F763" s="10"/>
      <c r="G763" s="10"/>
      <c r="H763" s="10"/>
      <c r="I763" s="12"/>
      <c r="J763" s="13"/>
    </row>
    <row r="764" spans="1:10" ht="75" customHeight="1">
      <c r="A764" s="7"/>
      <c r="B764" s="18"/>
      <c r="C764" s="9"/>
      <c r="D764" s="10"/>
      <c r="E764" s="10"/>
      <c r="F764" s="10"/>
      <c r="G764" s="10"/>
      <c r="H764" s="10"/>
      <c r="I764" s="12"/>
      <c r="J764" s="13"/>
    </row>
    <row r="765" spans="1:10" ht="75" customHeight="1">
      <c r="A765" s="7"/>
      <c r="B765" s="18"/>
      <c r="C765" s="9"/>
      <c r="D765" s="10"/>
      <c r="E765" s="10"/>
      <c r="F765" s="10"/>
      <c r="G765" s="10"/>
      <c r="H765" s="10"/>
      <c r="I765" s="12"/>
      <c r="J765" s="13"/>
    </row>
    <row r="766" spans="1:10" ht="75" customHeight="1">
      <c r="A766" s="7"/>
      <c r="B766" s="18"/>
      <c r="C766" s="9"/>
      <c r="D766" s="10"/>
      <c r="E766" s="10"/>
      <c r="F766" s="10"/>
      <c r="G766" s="10"/>
      <c r="H766" s="10"/>
      <c r="I766" s="12"/>
      <c r="J766" s="13"/>
    </row>
    <row r="767" spans="1:10" ht="75" customHeight="1">
      <c r="A767" s="7"/>
      <c r="B767" s="18"/>
      <c r="C767" s="9"/>
      <c r="D767" s="10"/>
      <c r="E767" s="10"/>
      <c r="F767" s="10"/>
      <c r="G767" s="10"/>
      <c r="H767" s="10"/>
      <c r="I767" s="12"/>
      <c r="J767" s="13"/>
    </row>
    <row r="768" spans="1:10" ht="75" customHeight="1">
      <c r="A768" s="7"/>
      <c r="B768" s="18"/>
      <c r="C768" s="9"/>
      <c r="D768" s="10"/>
      <c r="E768" s="10"/>
      <c r="F768" s="10"/>
      <c r="G768" s="10"/>
      <c r="H768" s="10"/>
      <c r="I768" s="12"/>
      <c r="J768" s="13"/>
    </row>
    <row r="769" spans="1:10" ht="75" customHeight="1">
      <c r="A769" s="7"/>
      <c r="B769" s="18"/>
      <c r="C769" s="9"/>
      <c r="D769" s="10"/>
      <c r="E769" s="10"/>
      <c r="F769" s="10"/>
      <c r="G769" s="10"/>
      <c r="H769" s="10"/>
      <c r="I769" s="12"/>
      <c r="J769" s="13"/>
    </row>
    <row r="770" spans="1:10" ht="75" customHeight="1">
      <c r="A770" s="7"/>
      <c r="B770" s="18"/>
      <c r="C770" s="9"/>
      <c r="D770" s="10"/>
      <c r="E770" s="10"/>
      <c r="F770" s="10"/>
      <c r="G770" s="10"/>
      <c r="H770" s="10"/>
      <c r="I770" s="12"/>
      <c r="J770" s="13"/>
    </row>
    <row r="771" spans="1:10" ht="75" customHeight="1">
      <c r="A771" s="7"/>
      <c r="B771" s="18"/>
      <c r="C771" s="9"/>
      <c r="D771" s="10"/>
      <c r="E771" s="10"/>
      <c r="F771" s="10"/>
      <c r="G771" s="10"/>
      <c r="H771" s="10"/>
      <c r="I771" s="12"/>
      <c r="J771" s="13"/>
    </row>
    <row r="772" spans="1:10" ht="75" customHeight="1">
      <c r="A772" s="7"/>
      <c r="B772" s="18"/>
      <c r="C772" s="9"/>
      <c r="D772" s="10"/>
      <c r="E772" s="10"/>
      <c r="F772" s="10"/>
      <c r="G772" s="10"/>
      <c r="H772" s="10"/>
      <c r="I772" s="12"/>
      <c r="J772" s="13"/>
    </row>
    <row r="773" spans="1:10" ht="75" customHeight="1">
      <c r="A773" s="7"/>
      <c r="B773" s="18"/>
      <c r="C773" s="9"/>
      <c r="D773" s="10"/>
      <c r="E773" s="10"/>
      <c r="F773" s="10"/>
      <c r="G773" s="10"/>
      <c r="H773" s="10"/>
      <c r="I773" s="12"/>
      <c r="J773" s="13"/>
    </row>
    <row r="774" spans="1:10" ht="75" customHeight="1">
      <c r="A774" s="7"/>
      <c r="B774" s="18"/>
      <c r="C774" s="9"/>
      <c r="D774" s="10"/>
      <c r="E774" s="10"/>
      <c r="F774" s="10"/>
      <c r="G774" s="10"/>
      <c r="H774" s="10"/>
      <c r="I774" s="12"/>
      <c r="J774" s="13"/>
    </row>
    <row r="775" spans="1:10" ht="75" customHeight="1">
      <c r="A775" s="7"/>
      <c r="B775" s="18"/>
      <c r="C775" s="9"/>
      <c r="D775" s="10"/>
      <c r="E775" s="10"/>
      <c r="F775" s="10"/>
      <c r="G775" s="10"/>
      <c r="H775" s="10"/>
      <c r="I775" s="12"/>
      <c r="J775" s="13"/>
    </row>
    <row r="776" spans="1:10" ht="75" customHeight="1">
      <c r="A776" s="7"/>
      <c r="B776" s="18"/>
      <c r="C776" s="9"/>
      <c r="D776" s="10"/>
      <c r="E776" s="10"/>
      <c r="F776" s="10"/>
      <c r="G776" s="10"/>
      <c r="H776" s="10"/>
      <c r="I776" s="12"/>
      <c r="J776" s="13"/>
    </row>
    <row r="777" spans="1:10" ht="75" customHeight="1">
      <c r="A777" s="7"/>
      <c r="B777" s="18"/>
      <c r="C777" s="9"/>
      <c r="D777" s="10"/>
      <c r="E777" s="10"/>
      <c r="F777" s="10"/>
      <c r="G777" s="10"/>
      <c r="H777" s="10"/>
      <c r="I777" s="12"/>
      <c r="J777" s="13"/>
    </row>
    <row r="778" spans="1:10" ht="75" customHeight="1">
      <c r="A778" s="7"/>
      <c r="B778" s="18"/>
      <c r="C778" s="9"/>
      <c r="D778" s="10"/>
      <c r="E778" s="10"/>
      <c r="F778" s="10"/>
      <c r="G778" s="10"/>
      <c r="H778" s="10"/>
      <c r="I778" s="12"/>
      <c r="J778" s="13"/>
    </row>
    <row r="779" spans="1:10" ht="75" customHeight="1">
      <c r="A779" s="7"/>
      <c r="B779" s="18"/>
      <c r="C779" s="9"/>
      <c r="D779" s="10"/>
      <c r="E779" s="10"/>
      <c r="F779" s="10"/>
      <c r="G779" s="10"/>
      <c r="H779" s="10"/>
      <c r="I779" s="12"/>
      <c r="J779" s="13"/>
    </row>
    <row r="780" spans="1:10" ht="75" customHeight="1">
      <c r="A780" s="7"/>
      <c r="B780" s="18"/>
      <c r="C780" s="9"/>
      <c r="D780" s="10"/>
      <c r="E780" s="10"/>
      <c r="F780" s="10"/>
      <c r="G780" s="10"/>
      <c r="H780" s="10"/>
      <c r="I780" s="12"/>
      <c r="J780" s="13"/>
    </row>
    <row r="781" spans="1:10" ht="75" customHeight="1">
      <c r="A781" s="7"/>
      <c r="B781" s="18"/>
      <c r="C781" s="9"/>
      <c r="D781" s="10"/>
      <c r="E781" s="10"/>
      <c r="F781" s="10"/>
      <c r="G781" s="10"/>
      <c r="H781" s="10"/>
      <c r="I781" s="12"/>
      <c r="J781" s="13"/>
    </row>
    <row r="782" spans="1:10" ht="75" customHeight="1">
      <c r="A782" s="7"/>
      <c r="B782" s="18"/>
      <c r="C782" s="9"/>
      <c r="D782" s="10"/>
      <c r="E782" s="10"/>
      <c r="F782" s="10"/>
      <c r="G782" s="10"/>
      <c r="H782" s="10"/>
      <c r="I782" s="12"/>
      <c r="J782" s="13"/>
    </row>
    <row r="783" spans="1:10" ht="75" customHeight="1">
      <c r="A783" s="7"/>
      <c r="B783" s="18"/>
      <c r="C783" s="9"/>
      <c r="D783" s="10"/>
      <c r="E783" s="10"/>
      <c r="F783" s="10"/>
      <c r="G783" s="10"/>
      <c r="H783" s="10"/>
      <c r="I783" s="12"/>
      <c r="J783" s="13"/>
    </row>
    <row r="784" spans="1:10" ht="75" customHeight="1">
      <c r="A784" s="7"/>
      <c r="B784" s="18"/>
      <c r="C784" s="9"/>
      <c r="D784" s="10"/>
      <c r="E784" s="10"/>
      <c r="F784" s="10"/>
      <c r="G784" s="10"/>
      <c r="H784" s="10"/>
      <c r="I784" s="12"/>
      <c r="J784" s="13"/>
    </row>
    <row r="785" spans="1:10" ht="75" customHeight="1">
      <c r="A785" s="7"/>
      <c r="B785" s="18"/>
      <c r="C785" s="9"/>
      <c r="D785" s="10"/>
      <c r="E785" s="10"/>
      <c r="F785" s="10"/>
      <c r="G785" s="10"/>
      <c r="H785" s="10"/>
      <c r="I785" s="12"/>
      <c r="J785" s="13"/>
    </row>
    <row r="786" spans="1:10" ht="75" customHeight="1">
      <c r="A786" s="7"/>
      <c r="B786" s="18"/>
      <c r="C786" s="9"/>
      <c r="D786" s="10"/>
      <c r="E786" s="10"/>
      <c r="F786" s="10"/>
      <c r="G786" s="10"/>
      <c r="H786" s="10"/>
      <c r="I786" s="12"/>
      <c r="J786" s="13"/>
    </row>
    <row r="787" spans="1:10" ht="75" customHeight="1">
      <c r="A787" s="7"/>
      <c r="B787" s="18"/>
      <c r="C787" s="9"/>
      <c r="D787" s="10"/>
      <c r="E787" s="10"/>
      <c r="F787" s="10"/>
      <c r="G787" s="10"/>
      <c r="H787" s="10"/>
      <c r="I787" s="12"/>
      <c r="J787" s="13"/>
    </row>
    <row r="788" spans="1:10" ht="75" customHeight="1">
      <c r="A788" s="7"/>
      <c r="B788" s="18"/>
      <c r="C788" s="9"/>
      <c r="D788" s="10"/>
      <c r="E788" s="10"/>
      <c r="F788" s="10"/>
      <c r="G788" s="10"/>
      <c r="H788" s="10"/>
      <c r="I788" s="12"/>
      <c r="J788" s="13"/>
    </row>
    <row r="789" spans="1:10" ht="75" customHeight="1">
      <c r="A789" s="7"/>
      <c r="B789" s="18"/>
      <c r="C789" s="9"/>
      <c r="D789" s="10"/>
      <c r="E789" s="10"/>
      <c r="F789" s="10"/>
      <c r="G789" s="10"/>
      <c r="H789" s="10"/>
      <c r="I789" s="12"/>
      <c r="J789" s="13"/>
    </row>
    <row r="790" spans="1:10" ht="75" customHeight="1">
      <c r="A790" s="7"/>
      <c r="B790" s="18"/>
      <c r="C790" s="9"/>
      <c r="D790" s="10"/>
      <c r="E790" s="10"/>
      <c r="F790" s="10"/>
      <c r="G790" s="10"/>
      <c r="H790" s="10"/>
      <c r="I790" s="12"/>
      <c r="J790" s="13"/>
    </row>
    <row r="791" spans="1:10" ht="75" customHeight="1">
      <c r="A791" s="7"/>
      <c r="B791" s="18"/>
      <c r="C791" s="9"/>
      <c r="D791" s="10"/>
      <c r="E791" s="10"/>
      <c r="F791" s="10"/>
      <c r="G791" s="10"/>
      <c r="H791" s="10"/>
      <c r="I791" s="12"/>
      <c r="J791" s="13"/>
    </row>
    <row r="792" spans="1:10" ht="75" customHeight="1">
      <c r="A792" s="7"/>
      <c r="B792" s="18"/>
      <c r="C792" s="9"/>
      <c r="D792" s="10"/>
      <c r="E792" s="10"/>
      <c r="F792" s="10"/>
      <c r="G792" s="10"/>
      <c r="H792" s="10"/>
      <c r="I792" s="12"/>
      <c r="J792" s="13"/>
    </row>
    <row r="793" spans="1:10" ht="75" customHeight="1">
      <c r="A793" s="7"/>
      <c r="B793" s="18"/>
      <c r="C793" s="9"/>
      <c r="D793" s="10"/>
      <c r="E793" s="10"/>
      <c r="F793" s="10"/>
      <c r="G793" s="10"/>
      <c r="H793" s="10"/>
      <c r="I793" s="12"/>
      <c r="J793" s="13"/>
    </row>
    <row r="794" spans="1:10" ht="75" customHeight="1">
      <c r="A794" s="7"/>
      <c r="B794" s="18"/>
      <c r="C794" s="9"/>
      <c r="D794" s="10"/>
      <c r="E794" s="10"/>
      <c r="F794" s="10"/>
      <c r="G794" s="10"/>
      <c r="H794" s="10"/>
      <c r="I794" s="12"/>
      <c r="J794" s="13"/>
    </row>
    <row r="795" spans="1:10" ht="75" customHeight="1">
      <c r="A795" s="7"/>
      <c r="B795" s="18"/>
      <c r="C795" s="9"/>
      <c r="D795" s="10"/>
      <c r="E795" s="10"/>
      <c r="F795" s="10"/>
      <c r="G795" s="10"/>
      <c r="H795" s="10"/>
      <c r="I795" s="12"/>
      <c r="J795" s="13"/>
    </row>
    <row r="796" spans="1:10" ht="75" customHeight="1">
      <c r="A796" s="7"/>
      <c r="B796" s="18"/>
      <c r="C796" s="9"/>
      <c r="D796" s="10"/>
      <c r="E796" s="10"/>
      <c r="F796" s="10"/>
      <c r="G796" s="10"/>
      <c r="H796" s="10"/>
      <c r="I796" s="12"/>
      <c r="J796" s="13"/>
    </row>
    <row r="797" spans="1:10" ht="75" customHeight="1">
      <c r="A797" s="7"/>
      <c r="B797" s="18"/>
      <c r="C797" s="9"/>
      <c r="D797" s="10"/>
      <c r="E797" s="10"/>
      <c r="F797" s="10"/>
      <c r="G797" s="10"/>
      <c r="H797" s="10"/>
      <c r="I797" s="12"/>
      <c r="J797" s="13"/>
    </row>
    <row r="798" spans="1:10" ht="75" customHeight="1">
      <c r="A798" s="7"/>
      <c r="B798" s="18"/>
      <c r="C798" s="9"/>
      <c r="D798" s="10"/>
      <c r="E798" s="10"/>
      <c r="F798" s="10"/>
      <c r="G798" s="10"/>
      <c r="H798" s="10"/>
      <c r="I798" s="12"/>
      <c r="J798" s="13"/>
    </row>
    <row r="799" spans="1:10" ht="75" customHeight="1">
      <c r="A799" s="7"/>
      <c r="B799" s="18"/>
      <c r="C799" s="9"/>
      <c r="D799" s="10"/>
      <c r="E799" s="10"/>
      <c r="F799" s="10"/>
      <c r="G799" s="10"/>
      <c r="H799" s="10"/>
      <c r="I799" s="12"/>
      <c r="J799" s="13"/>
    </row>
    <row r="800" spans="1:10" ht="75" customHeight="1">
      <c r="A800" s="7"/>
      <c r="B800" s="18"/>
      <c r="C800" s="9"/>
      <c r="D800" s="10"/>
      <c r="E800" s="10"/>
      <c r="F800" s="10"/>
      <c r="G800" s="10"/>
      <c r="H800" s="10"/>
      <c r="I800" s="12"/>
      <c r="J800" s="13"/>
    </row>
    <row r="801" spans="1:10" ht="75" customHeight="1">
      <c r="A801" s="7"/>
      <c r="B801" s="18"/>
      <c r="C801" s="9"/>
      <c r="D801" s="10"/>
      <c r="E801" s="10"/>
      <c r="F801" s="10"/>
      <c r="G801" s="10"/>
      <c r="H801" s="10"/>
      <c r="I801" s="12"/>
      <c r="J801" s="13"/>
    </row>
    <row r="802" spans="1:10" ht="75" customHeight="1">
      <c r="A802" s="7"/>
      <c r="B802" s="18"/>
      <c r="C802" s="9"/>
      <c r="D802" s="10"/>
      <c r="E802" s="10"/>
      <c r="F802" s="10"/>
      <c r="G802" s="10"/>
      <c r="H802" s="10"/>
      <c r="I802" s="12"/>
      <c r="J802" s="13"/>
    </row>
    <row r="803" spans="1:10" ht="75" customHeight="1">
      <c r="A803" s="7"/>
      <c r="B803" s="18"/>
      <c r="C803" s="9"/>
      <c r="D803" s="10"/>
      <c r="E803" s="10"/>
      <c r="F803" s="10"/>
      <c r="G803" s="10"/>
      <c r="H803" s="10"/>
      <c r="I803" s="12"/>
      <c r="J803" s="13"/>
    </row>
    <row r="804" spans="1:10" ht="75" customHeight="1">
      <c r="A804" s="7"/>
      <c r="B804" s="18"/>
      <c r="C804" s="9"/>
      <c r="D804" s="10"/>
      <c r="E804" s="10"/>
      <c r="F804" s="10"/>
      <c r="G804" s="10"/>
      <c r="H804" s="10"/>
      <c r="I804" s="12"/>
      <c r="J804" s="13"/>
    </row>
    <row r="805" spans="1:10" ht="75" customHeight="1">
      <c r="A805" s="7"/>
      <c r="B805" s="18"/>
      <c r="C805" s="9"/>
      <c r="D805" s="10"/>
      <c r="E805" s="10"/>
      <c r="F805" s="10"/>
      <c r="G805" s="10"/>
      <c r="H805" s="10"/>
      <c r="I805" s="12"/>
      <c r="J805" s="13"/>
    </row>
    <row r="806" spans="1:10" ht="75" customHeight="1">
      <c r="A806" s="7"/>
      <c r="B806" s="18"/>
      <c r="C806" s="9"/>
      <c r="D806" s="10"/>
      <c r="E806" s="10"/>
      <c r="F806" s="10"/>
      <c r="G806" s="10"/>
      <c r="H806" s="10"/>
      <c r="I806" s="12"/>
      <c r="J806" s="13"/>
    </row>
    <row r="807" spans="1:10" ht="75" customHeight="1">
      <c r="A807" s="7"/>
      <c r="B807" s="18"/>
      <c r="C807" s="9"/>
      <c r="D807" s="10"/>
      <c r="E807" s="10"/>
      <c r="F807" s="10"/>
      <c r="G807" s="10"/>
      <c r="H807" s="10"/>
      <c r="I807" s="12"/>
      <c r="J807" s="13"/>
    </row>
    <row r="808" spans="1:10" ht="75" customHeight="1">
      <c r="A808" s="7"/>
      <c r="B808" s="18"/>
      <c r="C808" s="9"/>
      <c r="D808" s="10"/>
      <c r="E808" s="10"/>
      <c r="F808" s="10"/>
      <c r="G808" s="10"/>
      <c r="H808" s="10"/>
      <c r="I808" s="12"/>
      <c r="J808" s="13"/>
    </row>
    <row r="809" spans="1:10" ht="75" customHeight="1">
      <c r="A809" s="7"/>
      <c r="B809" s="18"/>
      <c r="C809" s="9"/>
      <c r="D809" s="10"/>
      <c r="E809" s="10"/>
      <c r="F809" s="10"/>
      <c r="G809" s="10"/>
      <c r="H809" s="10"/>
      <c r="I809" s="12"/>
      <c r="J809" s="13"/>
    </row>
    <row r="810" spans="1:10" ht="75" customHeight="1">
      <c r="A810" s="7"/>
      <c r="B810" s="18"/>
      <c r="C810" s="9"/>
      <c r="D810" s="10"/>
      <c r="E810" s="10"/>
      <c r="F810" s="10"/>
      <c r="G810" s="10"/>
      <c r="H810" s="10"/>
      <c r="I810" s="12"/>
      <c r="J810" s="13"/>
    </row>
    <row r="811" spans="1:10" ht="75" customHeight="1">
      <c r="A811" s="7"/>
      <c r="B811" s="18"/>
      <c r="C811" s="9"/>
      <c r="D811" s="10"/>
      <c r="E811" s="10"/>
      <c r="F811" s="10"/>
      <c r="G811" s="10"/>
      <c r="H811" s="10"/>
      <c r="I811" s="12"/>
      <c r="J811" s="13"/>
    </row>
    <row r="812" spans="1:10" ht="75" customHeight="1">
      <c r="A812" s="7"/>
      <c r="B812" s="18"/>
      <c r="C812" s="9"/>
      <c r="D812" s="10"/>
      <c r="E812" s="10"/>
      <c r="F812" s="10"/>
      <c r="G812" s="10"/>
      <c r="H812" s="10"/>
      <c r="I812" s="12"/>
      <c r="J812" s="13"/>
    </row>
    <row r="813" spans="1:10" ht="75" customHeight="1">
      <c r="A813" s="7"/>
      <c r="B813" s="18"/>
      <c r="C813" s="9"/>
      <c r="D813" s="10"/>
      <c r="E813" s="10"/>
      <c r="F813" s="10"/>
      <c r="G813" s="10"/>
      <c r="H813" s="10"/>
      <c r="I813" s="12"/>
      <c r="J813" s="13"/>
    </row>
    <row r="814" spans="1:10" ht="75" customHeight="1">
      <c r="A814" s="7"/>
      <c r="B814" s="18"/>
      <c r="C814" s="9"/>
      <c r="D814" s="10"/>
      <c r="E814" s="10"/>
      <c r="F814" s="10"/>
      <c r="G814" s="10"/>
      <c r="H814" s="10"/>
      <c r="I814" s="12"/>
      <c r="J814" s="13"/>
    </row>
    <row r="815" spans="1:10" ht="75" customHeight="1">
      <c r="A815" s="7"/>
      <c r="B815" s="18"/>
      <c r="C815" s="9"/>
      <c r="D815" s="10"/>
      <c r="E815" s="10"/>
      <c r="F815" s="10"/>
      <c r="G815" s="10"/>
      <c r="H815" s="10"/>
      <c r="I815" s="12"/>
      <c r="J815" s="13"/>
    </row>
    <row r="816" spans="1:10" ht="75" customHeight="1">
      <c r="A816" s="7"/>
      <c r="B816" s="18"/>
      <c r="C816" s="9"/>
      <c r="D816" s="10"/>
      <c r="E816" s="10"/>
      <c r="F816" s="10"/>
      <c r="G816" s="10"/>
      <c r="H816" s="10"/>
      <c r="I816" s="12"/>
      <c r="J816" s="13"/>
    </row>
    <row r="817" spans="1:10" ht="75" customHeight="1">
      <c r="A817" s="7"/>
      <c r="B817" s="18"/>
      <c r="C817" s="9"/>
      <c r="D817" s="10"/>
      <c r="E817" s="10"/>
      <c r="F817" s="10"/>
      <c r="G817" s="10"/>
      <c r="H817" s="10"/>
      <c r="I817" s="12"/>
      <c r="J817" s="13"/>
    </row>
    <row r="818" spans="1:10" ht="75" customHeight="1">
      <c r="A818" s="7"/>
      <c r="B818" s="18"/>
      <c r="C818" s="9"/>
      <c r="D818" s="10"/>
      <c r="E818" s="10"/>
      <c r="F818" s="10"/>
      <c r="G818" s="10"/>
      <c r="H818" s="10"/>
      <c r="I818" s="12"/>
      <c r="J818" s="13"/>
    </row>
    <row r="819" spans="1:10" ht="75" customHeight="1">
      <c r="A819" s="7"/>
      <c r="B819" s="18"/>
      <c r="C819" s="9"/>
      <c r="D819" s="10"/>
      <c r="E819" s="10"/>
      <c r="F819" s="10"/>
      <c r="G819" s="10"/>
      <c r="H819" s="10"/>
      <c r="I819" s="12"/>
      <c r="J819" s="13"/>
    </row>
    <row r="820" spans="1:10" ht="75" customHeight="1">
      <c r="A820" s="7"/>
      <c r="B820" s="18"/>
      <c r="C820" s="9"/>
      <c r="D820" s="10"/>
      <c r="E820" s="10"/>
      <c r="F820" s="10"/>
      <c r="G820" s="10"/>
      <c r="H820" s="10"/>
      <c r="I820" s="12"/>
      <c r="J820" s="13"/>
    </row>
    <row r="821" spans="1:10" ht="75" customHeight="1">
      <c r="A821" s="7"/>
      <c r="B821" s="18"/>
      <c r="C821" s="9"/>
      <c r="D821" s="10"/>
      <c r="E821" s="10"/>
      <c r="F821" s="10"/>
      <c r="G821" s="10"/>
      <c r="H821" s="10"/>
      <c r="I821" s="12"/>
      <c r="J821" s="13"/>
    </row>
    <row r="822" spans="1:10" ht="75" customHeight="1">
      <c r="A822" s="7"/>
      <c r="B822" s="18"/>
      <c r="C822" s="9"/>
      <c r="D822" s="10"/>
      <c r="E822" s="10"/>
      <c r="F822" s="10"/>
      <c r="G822" s="10"/>
      <c r="H822" s="10"/>
      <c r="I822" s="12"/>
      <c r="J822" s="13"/>
    </row>
    <row r="823" spans="1:10" ht="75" customHeight="1">
      <c r="A823" s="7"/>
      <c r="B823" s="18"/>
      <c r="C823" s="9"/>
      <c r="D823" s="10"/>
      <c r="E823" s="10"/>
      <c r="F823" s="10"/>
      <c r="G823" s="10"/>
      <c r="H823" s="10"/>
      <c r="I823" s="12"/>
      <c r="J823" s="13"/>
    </row>
    <row r="824" spans="1:10" ht="75" customHeight="1">
      <c r="A824" s="7"/>
      <c r="B824" s="18"/>
      <c r="C824" s="9"/>
      <c r="D824" s="10"/>
      <c r="E824" s="10"/>
      <c r="F824" s="10"/>
      <c r="G824" s="10"/>
      <c r="H824" s="10"/>
      <c r="I824" s="12"/>
      <c r="J824" s="13"/>
    </row>
    <row r="825" spans="1:10" ht="75" customHeight="1">
      <c r="A825" s="7"/>
      <c r="B825" s="18"/>
      <c r="C825" s="9"/>
      <c r="D825" s="10"/>
      <c r="E825" s="10"/>
      <c r="F825" s="10"/>
      <c r="G825" s="10"/>
      <c r="H825" s="10"/>
      <c r="I825" s="12"/>
      <c r="J825" s="13"/>
    </row>
    <row r="826" spans="1:10" ht="75" customHeight="1">
      <c r="A826" s="7"/>
      <c r="B826" s="18"/>
      <c r="C826" s="9"/>
      <c r="D826" s="10"/>
      <c r="E826" s="10"/>
      <c r="F826" s="10"/>
      <c r="G826" s="10"/>
      <c r="H826" s="10"/>
      <c r="I826" s="12"/>
      <c r="J826" s="13"/>
    </row>
    <row r="827" spans="1:10" ht="75" customHeight="1">
      <c r="A827" s="7"/>
      <c r="B827" s="18"/>
      <c r="C827" s="9"/>
      <c r="D827" s="10"/>
      <c r="E827" s="10"/>
      <c r="F827" s="10"/>
      <c r="G827" s="10"/>
      <c r="H827" s="10"/>
      <c r="I827" s="12"/>
      <c r="J827" s="13"/>
    </row>
    <row r="828" spans="1:10" ht="75" customHeight="1">
      <c r="A828" s="7"/>
      <c r="B828" s="18"/>
      <c r="C828" s="9"/>
      <c r="D828" s="10"/>
      <c r="E828" s="10"/>
      <c r="F828" s="10"/>
      <c r="G828" s="10"/>
      <c r="H828" s="10"/>
      <c r="I828" s="12"/>
      <c r="J828" s="13"/>
    </row>
    <row r="829" spans="1:10" ht="75" customHeight="1">
      <c r="A829" s="7"/>
      <c r="B829" s="18"/>
      <c r="C829" s="9"/>
      <c r="D829" s="10"/>
      <c r="E829" s="10"/>
      <c r="F829" s="10"/>
      <c r="G829" s="10"/>
      <c r="H829" s="10"/>
      <c r="I829" s="12"/>
      <c r="J829" s="13"/>
    </row>
    <row r="830" spans="1:10" ht="75" customHeight="1">
      <c r="A830" s="7"/>
      <c r="B830" s="18"/>
      <c r="C830" s="9"/>
      <c r="D830" s="10"/>
      <c r="E830" s="10"/>
      <c r="F830" s="10"/>
      <c r="G830" s="10"/>
      <c r="H830" s="10"/>
      <c r="I830" s="12"/>
      <c r="J830" s="13"/>
    </row>
    <row r="831" spans="1:10" ht="75" customHeight="1">
      <c r="A831" s="7"/>
      <c r="B831" s="18"/>
      <c r="C831" s="9"/>
      <c r="D831" s="10"/>
      <c r="E831" s="10"/>
      <c r="F831" s="10"/>
      <c r="G831" s="10"/>
      <c r="H831" s="10"/>
      <c r="I831" s="12"/>
      <c r="J831" s="13"/>
    </row>
    <row r="832" spans="1:10" ht="75" customHeight="1">
      <c r="A832" s="7"/>
      <c r="B832" s="18"/>
      <c r="C832" s="9"/>
      <c r="D832" s="10"/>
      <c r="E832" s="10"/>
      <c r="F832" s="10"/>
      <c r="G832" s="10"/>
      <c r="H832" s="10"/>
      <c r="I832" s="12"/>
      <c r="J832" s="13"/>
    </row>
    <row r="833" spans="1:10" ht="75" customHeight="1">
      <c r="A833" s="7"/>
      <c r="B833" s="18"/>
      <c r="C833" s="9"/>
      <c r="D833" s="10"/>
      <c r="E833" s="10"/>
      <c r="F833" s="10"/>
      <c r="G833" s="10"/>
      <c r="H833" s="10"/>
      <c r="I833" s="12"/>
      <c r="J833" s="13"/>
    </row>
    <row r="834" spans="1:10" ht="75" customHeight="1">
      <c r="A834" s="7"/>
      <c r="B834" s="18"/>
      <c r="C834" s="9"/>
      <c r="D834" s="10"/>
      <c r="E834" s="10"/>
      <c r="F834" s="10"/>
      <c r="G834" s="10"/>
      <c r="H834" s="10"/>
      <c r="I834" s="12"/>
      <c r="J834" s="13"/>
    </row>
    <row r="835" spans="1:10" ht="75" customHeight="1">
      <c r="A835" s="7"/>
      <c r="B835" s="18"/>
      <c r="C835" s="9"/>
      <c r="D835" s="10"/>
      <c r="E835" s="10"/>
      <c r="F835" s="10"/>
      <c r="G835" s="10"/>
      <c r="H835" s="10"/>
      <c r="I835" s="12"/>
      <c r="J835" s="13"/>
    </row>
    <row r="836" spans="1:10" ht="75" customHeight="1">
      <c r="A836" s="7"/>
      <c r="B836" s="18"/>
      <c r="C836" s="9"/>
      <c r="D836" s="10"/>
      <c r="E836" s="10"/>
      <c r="F836" s="10"/>
      <c r="G836" s="10"/>
      <c r="H836" s="10"/>
      <c r="I836" s="12"/>
      <c r="J836" s="13"/>
    </row>
    <row r="837" spans="1:10" ht="75" customHeight="1">
      <c r="A837" s="7"/>
      <c r="B837" s="18"/>
      <c r="C837" s="9"/>
      <c r="D837" s="10"/>
      <c r="E837" s="10"/>
      <c r="F837" s="10"/>
      <c r="G837" s="10"/>
      <c r="H837" s="10"/>
      <c r="I837" s="12"/>
      <c r="J837" s="13"/>
    </row>
    <row r="838" spans="1:10" ht="75" customHeight="1">
      <c r="A838" s="7"/>
      <c r="B838" s="18"/>
      <c r="C838" s="9"/>
      <c r="D838" s="10"/>
      <c r="E838" s="10"/>
      <c r="F838" s="10"/>
      <c r="G838" s="10"/>
      <c r="H838" s="10"/>
      <c r="I838" s="12"/>
      <c r="J838" s="13"/>
    </row>
    <row r="839" spans="1:10" ht="75" customHeight="1">
      <c r="A839" s="7"/>
      <c r="B839" s="18"/>
      <c r="C839" s="9"/>
      <c r="D839" s="10"/>
      <c r="E839" s="10"/>
      <c r="F839" s="10"/>
      <c r="G839" s="10"/>
      <c r="H839" s="10"/>
      <c r="I839" s="12"/>
      <c r="J839" s="13"/>
    </row>
    <row r="840" spans="1:10" ht="75" customHeight="1">
      <c r="A840" s="7"/>
      <c r="B840" s="18"/>
      <c r="C840" s="9"/>
      <c r="D840" s="10"/>
      <c r="E840" s="10"/>
      <c r="F840" s="10"/>
      <c r="G840" s="10"/>
      <c r="H840" s="10"/>
      <c r="I840" s="12"/>
      <c r="J840" s="13"/>
    </row>
    <row r="841" spans="1:10" ht="75" customHeight="1">
      <c r="A841" s="7"/>
      <c r="B841" s="18"/>
      <c r="C841" s="9"/>
      <c r="D841" s="10"/>
      <c r="E841" s="10"/>
      <c r="F841" s="10"/>
      <c r="G841" s="10"/>
      <c r="H841" s="10"/>
      <c r="I841" s="12"/>
      <c r="J841" s="13"/>
    </row>
    <row r="842" spans="1:10" ht="75" customHeight="1">
      <c r="A842" s="7"/>
      <c r="B842" s="18"/>
      <c r="C842" s="9"/>
      <c r="D842" s="10"/>
      <c r="E842" s="10"/>
      <c r="F842" s="10"/>
      <c r="G842" s="10"/>
      <c r="H842" s="10"/>
      <c r="I842" s="12"/>
      <c r="J842" s="13"/>
    </row>
    <row r="843" spans="1:10" ht="75" customHeight="1">
      <c r="A843" s="7"/>
      <c r="B843" s="18"/>
      <c r="C843" s="9"/>
      <c r="D843" s="10"/>
      <c r="E843" s="10"/>
      <c r="F843" s="10"/>
      <c r="G843" s="10"/>
      <c r="H843" s="10"/>
      <c r="I843" s="12"/>
      <c r="J843" s="13"/>
    </row>
    <row r="844" spans="1:10" ht="75" customHeight="1">
      <c r="A844" s="7"/>
      <c r="B844" s="18"/>
      <c r="C844" s="9"/>
      <c r="D844" s="10"/>
      <c r="E844" s="10"/>
      <c r="F844" s="10"/>
      <c r="G844" s="10"/>
      <c r="H844" s="10"/>
      <c r="I844" s="12"/>
      <c r="J844" s="13"/>
    </row>
    <row r="845" spans="1:10" ht="75" customHeight="1">
      <c r="A845" s="7"/>
      <c r="B845" s="18"/>
      <c r="C845" s="9"/>
      <c r="D845" s="10"/>
      <c r="E845" s="10"/>
      <c r="F845" s="10"/>
      <c r="G845" s="10"/>
      <c r="H845" s="10"/>
      <c r="I845" s="12"/>
      <c r="J845" s="13"/>
    </row>
    <row r="846" spans="1:10" ht="75" customHeight="1">
      <c r="A846" s="7"/>
      <c r="B846" s="18"/>
      <c r="C846" s="9"/>
      <c r="D846" s="10"/>
      <c r="E846" s="10"/>
      <c r="F846" s="10"/>
      <c r="G846" s="10"/>
      <c r="H846" s="10"/>
      <c r="I846" s="12"/>
      <c r="J846" s="13"/>
    </row>
    <row r="847" spans="1:10" ht="75" customHeight="1">
      <c r="A847" s="7"/>
      <c r="B847" s="18"/>
      <c r="C847" s="9"/>
      <c r="D847" s="10"/>
      <c r="E847" s="10"/>
      <c r="F847" s="10"/>
      <c r="G847" s="10"/>
      <c r="H847" s="10"/>
      <c r="I847" s="12"/>
      <c r="J847" s="13"/>
    </row>
    <row r="848" spans="1:10" ht="75" customHeight="1">
      <c r="A848" s="7"/>
      <c r="B848" s="18"/>
      <c r="C848" s="9"/>
      <c r="D848" s="10"/>
      <c r="E848" s="10"/>
      <c r="F848" s="10"/>
      <c r="G848" s="10"/>
      <c r="H848" s="10"/>
      <c r="I848" s="12"/>
      <c r="J848" s="13"/>
    </row>
    <row r="849" spans="1:10" ht="75" customHeight="1">
      <c r="A849" s="7"/>
      <c r="B849" s="18"/>
      <c r="C849" s="9"/>
      <c r="D849" s="10"/>
      <c r="E849" s="10"/>
      <c r="F849" s="10"/>
      <c r="G849" s="10"/>
      <c r="H849" s="10"/>
      <c r="I849" s="12"/>
      <c r="J849" s="13"/>
    </row>
    <row r="850" spans="1:10" ht="75" customHeight="1">
      <c r="A850" s="7"/>
      <c r="B850" s="18"/>
      <c r="C850" s="9"/>
      <c r="D850" s="10"/>
      <c r="E850" s="10"/>
      <c r="F850" s="10"/>
      <c r="G850" s="10"/>
      <c r="H850" s="10"/>
      <c r="I850" s="12"/>
      <c r="J850" s="13"/>
    </row>
    <row r="851" spans="1:10" ht="75" customHeight="1">
      <c r="A851" s="7"/>
      <c r="B851" s="18"/>
      <c r="C851" s="9"/>
      <c r="D851" s="10"/>
      <c r="E851" s="10"/>
      <c r="F851" s="10"/>
      <c r="G851" s="10"/>
      <c r="H851" s="10"/>
      <c r="I851" s="12"/>
      <c r="J851" s="13"/>
    </row>
    <row r="852" spans="1:10" ht="75" customHeight="1">
      <c r="A852" s="7"/>
      <c r="B852" s="18"/>
      <c r="C852" s="9"/>
      <c r="D852" s="10"/>
      <c r="E852" s="10"/>
      <c r="F852" s="10"/>
      <c r="G852" s="10"/>
      <c r="H852" s="10"/>
      <c r="I852" s="12"/>
      <c r="J852" s="13"/>
    </row>
    <row r="853" spans="1:10" ht="75" customHeight="1">
      <c r="A853" s="7"/>
      <c r="B853" s="18"/>
      <c r="C853" s="9"/>
      <c r="D853" s="10"/>
      <c r="E853" s="10"/>
      <c r="F853" s="10"/>
      <c r="G853" s="10"/>
      <c r="H853" s="10"/>
      <c r="I853" s="12"/>
      <c r="J853" s="13"/>
    </row>
    <row r="854" spans="1:10" ht="75" customHeight="1">
      <c r="A854" s="7"/>
      <c r="B854" s="18"/>
      <c r="C854" s="9"/>
      <c r="D854" s="10"/>
      <c r="E854" s="10"/>
      <c r="F854" s="10"/>
      <c r="G854" s="10"/>
      <c r="H854" s="10"/>
      <c r="I854" s="12"/>
      <c r="J854" s="13"/>
    </row>
    <row r="855" spans="1:10" ht="75" customHeight="1">
      <c r="A855" s="7"/>
      <c r="B855" s="18"/>
      <c r="C855" s="9"/>
      <c r="D855" s="10"/>
      <c r="E855" s="10"/>
      <c r="F855" s="10"/>
      <c r="G855" s="10"/>
      <c r="H855" s="10"/>
      <c r="I855" s="12"/>
      <c r="J855" s="13"/>
    </row>
    <row r="856" spans="1:10" ht="75" customHeight="1">
      <c r="A856" s="7"/>
      <c r="B856" s="18"/>
      <c r="C856" s="9"/>
      <c r="D856" s="10"/>
      <c r="E856" s="10"/>
      <c r="F856" s="10"/>
      <c r="G856" s="10"/>
      <c r="H856" s="10"/>
      <c r="I856" s="12"/>
      <c r="J856" s="13"/>
    </row>
    <row r="857" spans="1:10" ht="75" customHeight="1">
      <c r="A857" s="7"/>
      <c r="B857" s="18"/>
      <c r="C857" s="9"/>
      <c r="D857" s="10"/>
      <c r="E857" s="10"/>
      <c r="F857" s="10"/>
      <c r="G857" s="10"/>
      <c r="H857" s="10"/>
      <c r="I857" s="12"/>
      <c r="J857" s="13"/>
    </row>
    <row r="858" spans="1:10" ht="75" customHeight="1">
      <c r="A858" s="7"/>
      <c r="B858" s="18"/>
      <c r="C858" s="9"/>
      <c r="D858" s="10"/>
      <c r="E858" s="10"/>
      <c r="F858" s="10"/>
      <c r="G858" s="10"/>
      <c r="H858" s="10"/>
      <c r="I858" s="12"/>
      <c r="J858" s="13"/>
    </row>
    <row r="859" spans="1:10" ht="75" customHeight="1">
      <c r="A859" s="7"/>
      <c r="B859" s="18"/>
      <c r="C859" s="9"/>
      <c r="D859" s="10"/>
      <c r="E859" s="10"/>
      <c r="F859" s="10"/>
      <c r="G859" s="10"/>
      <c r="H859" s="10"/>
      <c r="I859" s="12"/>
      <c r="J859" s="13"/>
    </row>
    <row r="860" spans="1:10" ht="75" customHeight="1">
      <c r="A860" s="7"/>
      <c r="B860" s="18"/>
      <c r="C860" s="9"/>
      <c r="D860" s="10"/>
      <c r="E860" s="10"/>
      <c r="F860" s="10"/>
      <c r="G860" s="10"/>
      <c r="H860" s="10"/>
      <c r="I860" s="12"/>
      <c r="J860" s="13"/>
    </row>
    <row r="861" spans="1:10" ht="75" customHeight="1">
      <c r="A861" s="7"/>
      <c r="B861" s="18"/>
      <c r="C861" s="9"/>
      <c r="D861" s="10"/>
      <c r="E861" s="10"/>
      <c r="F861" s="10"/>
      <c r="G861" s="10"/>
      <c r="H861" s="10"/>
      <c r="I861" s="12"/>
      <c r="J861" s="13"/>
    </row>
    <row r="862" spans="1:10" ht="75" customHeight="1">
      <c r="A862" s="7"/>
      <c r="B862" s="18"/>
      <c r="C862" s="9"/>
      <c r="D862" s="10"/>
      <c r="E862" s="10"/>
      <c r="F862" s="10"/>
      <c r="G862" s="10"/>
      <c r="H862" s="10"/>
      <c r="I862" s="12"/>
      <c r="J862" s="13"/>
    </row>
    <row r="863" spans="1:10" ht="75" customHeight="1">
      <c r="A863" s="7"/>
      <c r="B863" s="18"/>
      <c r="C863" s="9"/>
      <c r="D863" s="10"/>
      <c r="E863" s="10"/>
      <c r="F863" s="10"/>
      <c r="G863" s="10"/>
      <c r="H863" s="10"/>
      <c r="I863" s="12"/>
      <c r="J863" s="13"/>
    </row>
    <row r="864" spans="1:10" ht="75" customHeight="1">
      <c r="A864" s="7"/>
      <c r="B864" s="18"/>
      <c r="C864" s="9"/>
      <c r="D864" s="10"/>
      <c r="E864" s="10"/>
      <c r="F864" s="10"/>
      <c r="G864" s="10"/>
      <c r="H864" s="10"/>
      <c r="I864" s="12"/>
      <c r="J864" s="13"/>
    </row>
    <row r="865" spans="1:10" ht="75" customHeight="1">
      <c r="A865" s="7"/>
      <c r="B865" s="18"/>
      <c r="C865" s="9"/>
      <c r="D865" s="10"/>
      <c r="E865" s="10"/>
      <c r="F865" s="10"/>
      <c r="G865" s="10"/>
      <c r="H865" s="10"/>
      <c r="I865" s="12"/>
      <c r="J865" s="13"/>
    </row>
    <row r="866" spans="1:10" ht="75" customHeight="1">
      <c r="A866" s="7"/>
      <c r="B866" s="18"/>
      <c r="C866" s="9"/>
      <c r="D866" s="10"/>
      <c r="E866" s="10"/>
      <c r="F866" s="10"/>
      <c r="G866" s="10"/>
      <c r="H866" s="10"/>
      <c r="I866" s="12"/>
      <c r="J866" s="13"/>
    </row>
    <row r="867" spans="1:10" ht="75" customHeight="1">
      <c r="A867" s="7"/>
      <c r="B867" s="18"/>
      <c r="C867" s="9"/>
      <c r="D867" s="10"/>
      <c r="E867" s="10"/>
      <c r="F867" s="10"/>
      <c r="G867" s="10"/>
      <c r="H867" s="10"/>
      <c r="I867" s="12"/>
      <c r="J867" s="13"/>
    </row>
    <row r="868" spans="1:10" ht="75" customHeight="1">
      <c r="A868" s="7"/>
      <c r="B868" s="18"/>
      <c r="C868" s="9"/>
      <c r="D868" s="10"/>
      <c r="E868" s="10"/>
      <c r="F868" s="10"/>
      <c r="G868" s="10"/>
      <c r="H868" s="10"/>
      <c r="I868" s="12"/>
      <c r="J868" s="13"/>
    </row>
    <row r="869" spans="1:10" ht="75" customHeight="1">
      <c r="A869" s="7"/>
      <c r="B869" s="18"/>
      <c r="C869" s="9"/>
      <c r="D869" s="10"/>
      <c r="E869" s="10"/>
      <c r="F869" s="10"/>
      <c r="G869" s="10"/>
      <c r="H869" s="10"/>
      <c r="I869" s="12"/>
      <c r="J869" s="13"/>
    </row>
    <row r="870" spans="1:10" ht="75" customHeight="1">
      <c r="A870" s="7"/>
      <c r="B870" s="18"/>
      <c r="C870" s="9"/>
      <c r="D870" s="10"/>
      <c r="E870" s="10"/>
      <c r="F870" s="10"/>
      <c r="G870" s="10"/>
      <c r="H870" s="10"/>
      <c r="I870" s="12"/>
      <c r="J870" s="13"/>
    </row>
    <row r="871" spans="1:10" ht="75" customHeight="1">
      <c r="A871" s="7"/>
      <c r="B871" s="18"/>
      <c r="C871" s="9"/>
      <c r="D871" s="10"/>
      <c r="E871" s="10"/>
      <c r="F871" s="10"/>
      <c r="G871" s="10"/>
      <c r="H871" s="10"/>
      <c r="I871" s="12"/>
      <c r="J871" s="13"/>
    </row>
    <row r="872" spans="1:10" ht="75" customHeight="1">
      <c r="A872" s="7"/>
      <c r="B872" s="18"/>
      <c r="C872" s="9"/>
      <c r="D872" s="10"/>
      <c r="E872" s="10"/>
      <c r="F872" s="10"/>
      <c r="G872" s="10"/>
      <c r="H872" s="10"/>
      <c r="I872" s="12"/>
      <c r="J872" s="13"/>
    </row>
    <row r="873" spans="1:10" ht="75" customHeight="1">
      <c r="A873" s="7"/>
      <c r="B873" s="18"/>
      <c r="C873" s="9"/>
      <c r="D873" s="10"/>
      <c r="E873" s="10"/>
      <c r="F873" s="10"/>
      <c r="G873" s="10"/>
      <c r="H873" s="10"/>
      <c r="I873" s="12"/>
      <c r="J873" s="13"/>
    </row>
    <row r="874" spans="1:10" ht="75" customHeight="1">
      <c r="A874" s="7"/>
      <c r="B874" s="18"/>
      <c r="C874" s="9"/>
      <c r="D874" s="10"/>
      <c r="E874" s="10"/>
      <c r="F874" s="10"/>
      <c r="G874" s="10"/>
      <c r="H874" s="10"/>
      <c r="I874" s="12"/>
      <c r="J874" s="13"/>
    </row>
    <row r="875" spans="1:10" ht="75" customHeight="1">
      <c r="A875" s="7"/>
      <c r="B875" s="18"/>
      <c r="C875" s="9"/>
      <c r="D875" s="10"/>
      <c r="E875" s="10"/>
      <c r="F875" s="10"/>
      <c r="G875" s="10"/>
      <c r="H875" s="10"/>
      <c r="I875" s="12"/>
      <c r="J875" s="13"/>
    </row>
    <row r="876" spans="1:10" ht="75" customHeight="1">
      <c r="A876" s="7"/>
      <c r="B876" s="18"/>
      <c r="C876" s="9"/>
      <c r="D876" s="10"/>
      <c r="E876" s="10"/>
      <c r="F876" s="10"/>
      <c r="G876" s="10"/>
      <c r="H876" s="10"/>
      <c r="I876" s="12"/>
      <c r="J876" s="13"/>
    </row>
    <row r="877" spans="1:10" ht="75" customHeight="1">
      <c r="A877" s="7"/>
      <c r="B877" s="18"/>
      <c r="C877" s="9"/>
      <c r="D877" s="10"/>
      <c r="E877" s="10"/>
      <c r="F877" s="10"/>
      <c r="G877" s="10"/>
      <c r="H877" s="10"/>
      <c r="I877" s="12"/>
      <c r="J877" s="13"/>
    </row>
    <row r="878" spans="1:10" ht="75" customHeight="1">
      <c r="A878" s="7"/>
      <c r="B878" s="18"/>
      <c r="C878" s="9"/>
      <c r="D878" s="10"/>
      <c r="E878" s="10"/>
      <c r="F878" s="10"/>
      <c r="G878" s="10"/>
      <c r="H878" s="10"/>
      <c r="I878" s="12"/>
      <c r="J878" s="13"/>
    </row>
    <row r="879" spans="1:10" ht="75" customHeight="1">
      <c r="A879" s="7"/>
      <c r="B879" s="18"/>
      <c r="C879" s="9"/>
      <c r="D879" s="10"/>
      <c r="E879" s="10"/>
      <c r="F879" s="10"/>
      <c r="G879" s="10"/>
      <c r="H879" s="10"/>
      <c r="I879" s="12"/>
      <c r="J879" s="13"/>
    </row>
    <row r="880" spans="1:10" ht="75" customHeight="1">
      <c r="A880" s="7"/>
      <c r="B880" s="18"/>
      <c r="C880" s="9"/>
      <c r="D880" s="10"/>
      <c r="E880" s="10"/>
      <c r="F880" s="10"/>
      <c r="G880" s="10"/>
      <c r="H880" s="10"/>
      <c r="I880" s="12"/>
      <c r="J880" s="13"/>
    </row>
    <row r="881" spans="1:10" ht="75" customHeight="1">
      <c r="A881" s="7"/>
      <c r="B881" s="18"/>
      <c r="C881" s="9"/>
      <c r="D881" s="10"/>
      <c r="E881" s="10"/>
      <c r="F881" s="10"/>
      <c r="G881" s="10"/>
      <c r="H881" s="10"/>
      <c r="I881" s="12"/>
      <c r="J881" s="13"/>
    </row>
    <row r="882" spans="1:10" ht="75" customHeight="1">
      <c r="A882" s="7"/>
      <c r="B882" s="18"/>
      <c r="C882" s="9"/>
      <c r="D882" s="10"/>
      <c r="E882" s="10"/>
      <c r="F882" s="10"/>
      <c r="G882" s="10"/>
      <c r="H882" s="10"/>
      <c r="I882" s="12"/>
      <c r="J882" s="13"/>
    </row>
    <row r="883" spans="1:10" ht="75" customHeight="1">
      <c r="A883" s="7"/>
      <c r="B883" s="18"/>
      <c r="C883" s="9"/>
      <c r="D883" s="10"/>
      <c r="E883" s="10"/>
      <c r="F883" s="10"/>
      <c r="G883" s="10"/>
      <c r="H883" s="10"/>
      <c r="I883" s="12"/>
      <c r="J883" s="13"/>
    </row>
    <row r="884" spans="1:10" ht="75" customHeight="1">
      <c r="A884" s="7"/>
      <c r="B884" s="18"/>
      <c r="C884" s="9"/>
      <c r="D884" s="10"/>
      <c r="E884" s="10"/>
      <c r="F884" s="10"/>
      <c r="G884" s="10"/>
      <c r="H884" s="10"/>
      <c r="I884" s="12"/>
      <c r="J884" s="13"/>
    </row>
    <row r="885" spans="1:10" ht="75" customHeight="1">
      <c r="A885" s="7"/>
      <c r="B885" s="18"/>
      <c r="C885" s="9"/>
      <c r="D885" s="10"/>
      <c r="E885" s="10"/>
      <c r="F885" s="10"/>
      <c r="G885" s="10"/>
      <c r="H885" s="10"/>
      <c r="I885" s="12"/>
      <c r="J885" s="13"/>
    </row>
    <row r="886" spans="1:10" ht="75" customHeight="1">
      <c r="A886" s="7"/>
      <c r="B886" s="18"/>
      <c r="C886" s="9"/>
      <c r="D886" s="10"/>
      <c r="E886" s="10"/>
      <c r="F886" s="10"/>
      <c r="G886" s="10"/>
      <c r="H886" s="10"/>
      <c r="I886" s="12"/>
      <c r="J886" s="13"/>
    </row>
    <row r="887" spans="1:10" ht="75" customHeight="1">
      <c r="A887" s="7"/>
      <c r="B887" s="18"/>
      <c r="C887" s="9"/>
      <c r="D887" s="10"/>
      <c r="E887" s="10"/>
      <c r="F887" s="10"/>
      <c r="G887" s="10"/>
      <c r="H887" s="10"/>
      <c r="I887" s="12"/>
      <c r="J887" s="13"/>
    </row>
    <row r="888" spans="1:10" ht="75" customHeight="1">
      <c r="A888" s="7"/>
      <c r="B888" s="18"/>
      <c r="C888" s="9"/>
      <c r="D888" s="10"/>
      <c r="E888" s="10"/>
      <c r="F888" s="10"/>
      <c r="G888" s="10"/>
      <c r="H888" s="10"/>
      <c r="I888" s="12"/>
      <c r="J888" s="13"/>
    </row>
    <row r="889" spans="1:10" ht="75" customHeight="1">
      <c r="A889" s="7"/>
      <c r="B889" s="18"/>
      <c r="C889" s="9"/>
      <c r="D889" s="10"/>
      <c r="E889" s="10"/>
      <c r="F889" s="10"/>
      <c r="G889" s="10"/>
      <c r="H889" s="10"/>
      <c r="I889" s="12"/>
      <c r="J889" s="13"/>
    </row>
    <row r="890" spans="1:10" ht="75" customHeight="1">
      <c r="A890" s="7"/>
      <c r="B890" s="18"/>
      <c r="C890" s="9"/>
      <c r="D890" s="10"/>
      <c r="E890" s="10"/>
      <c r="F890" s="10"/>
      <c r="G890" s="10"/>
      <c r="H890" s="10"/>
      <c r="I890" s="12"/>
      <c r="J890" s="13"/>
    </row>
    <row r="891" spans="1:10" ht="75" customHeight="1">
      <c r="A891" s="7"/>
      <c r="B891" s="18"/>
      <c r="C891" s="9"/>
      <c r="D891" s="10"/>
      <c r="E891" s="10"/>
      <c r="F891" s="10"/>
      <c r="G891" s="10"/>
      <c r="H891" s="10"/>
      <c r="I891" s="12"/>
      <c r="J891" s="13"/>
    </row>
    <row r="892" spans="1:10" ht="75" customHeight="1">
      <c r="A892" s="7"/>
      <c r="B892" s="18"/>
      <c r="C892" s="9"/>
      <c r="D892" s="10"/>
      <c r="E892" s="10"/>
      <c r="F892" s="10"/>
      <c r="G892" s="10"/>
      <c r="H892" s="10"/>
      <c r="I892" s="12"/>
      <c r="J892" s="13"/>
    </row>
    <row r="893" spans="1:10" ht="75" customHeight="1">
      <c r="A893" s="7"/>
      <c r="B893" s="18"/>
      <c r="C893" s="9"/>
      <c r="D893" s="10"/>
      <c r="E893" s="10"/>
      <c r="F893" s="10"/>
      <c r="G893" s="10"/>
      <c r="H893" s="10"/>
      <c r="I893" s="12"/>
      <c r="J893" s="13"/>
    </row>
    <row r="894" spans="1:10" ht="75" customHeight="1">
      <c r="A894" s="7"/>
      <c r="B894" s="18"/>
      <c r="C894" s="9"/>
      <c r="D894" s="10"/>
      <c r="E894" s="10"/>
      <c r="F894" s="10"/>
      <c r="G894" s="10"/>
      <c r="H894" s="10"/>
      <c r="I894" s="12"/>
      <c r="J894" s="13"/>
    </row>
    <row r="895" spans="1:10" ht="75" customHeight="1">
      <c r="A895" s="7"/>
      <c r="B895" s="18"/>
      <c r="C895" s="9"/>
      <c r="D895" s="10"/>
      <c r="E895" s="10"/>
      <c r="F895" s="10"/>
      <c r="G895" s="10"/>
      <c r="H895" s="10"/>
      <c r="I895" s="12"/>
      <c r="J895" s="13"/>
    </row>
    <row r="896" spans="1:10" ht="75" customHeight="1">
      <c r="A896" s="7"/>
      <c r="B896" s="18"/>
      <c r="C896" s="9"/>
      <c r="D896" s="10"/>
      <c r="E896" s="10"/>
      <c r="F896" s="10"/>
      <c r="G896" s="10"/>
      <c r="H896" s="10"/>
      <c r="I896" s="12"/>
      <c r="J896" s="13"/>
    </row>
    <row r="897" spans="1:10" ht="75" customHeight="1">
      <c r="A897" s="7"/>
      <c r="B897" s="18"/>
      <c r="C897" s="9"/>
      <c r="D897" s="10"/>
      <c r="E897" s="10"/>
      <c r="F897" s="10"/>
      <c r="G897" s="10"/>
      <c r="H897" s="10"/>
      <c r="I897" s="12"/>
      <c r="J897" s="13"/>
    </row>
    <row r="898" spans="1:10" ht="75" customHeight="1">
      <c r="A898" s="7"/>
      <c r="B898" s="18"/>
      <c r="C898" s="9"/>
      <c r="D898" s="10"/>
      <c r="E898" s="10"/>
      <c r="F898" s="10"/>
      <c r="G898" s="10"/>
      <c r="H898" s="10"/>
      <c r="I898" s="12"/>
      <c r="J898" s="13"/>
    </row>
    <row r="899" spans="1:10" ht="75" customHeight="1">
      <c r="A899" s="7"/>
      <c r="B899" s="18"/>
      <c r="C899" s="9"/>
      <c r="D899" s="10"/>
      <c r="E899" s="10"/>
      <c r="F899" s="10"/>
      <c r="G899" s="10"/>
      <c r="H899" s="10"/>
      <c r="I899" s="12"/>
      <c r="J899" s="13"/>
    </row>
    <row r="900" spans="1:10" ht="75" customHeight="1">
      <c r="A900" s="7"/>
      <c r="B900" s="18"/>
      <c r="C900" s="9"/>
      <c r="D900" s="10"/>
      <c r="E900" s="10"/>
      <c r="F900" s="10"/>
      <c r="G900" s="10"/>
      <c r="H900" s="10"/>
      <c r="I900" s="12"/>
      <c r="J900" s="13"/>
    </row>
    <row r="901" spans="1:10" ht="75" customHeight="1">
      <c r="A901" s="7"/>
      <c r="B901" s="18"/>
      <c r="C901" s="9"/>
      <c r="D901" s="10"/>
      <c r="E901" s="10"/>
      <c r="F901" s="10"/>
      <c r="G901" s="10"/>
      <c r="H901" s="10"/>
      <c r="I901" s="12"/>
      <c r="J901" s="13"/>
    </row>
    <row r="902" spans="1:10" ht="75" customHeight="1">
      <c r="A902" s="7"/>
      <c r="B902" s="18"/>
      <c r="C902" s="9"/>
      <c r="D902" s="10"/>
      <c r="E902" s="10"/>
      <c r="F902" s="10"/>
      <c r="G902" s="10"/>
      <c r="H902" s="10"/>
      <c r="I902" s="12"/>
      <c r="J902" s="13"/>
    </row>
    <row r="903" spans="1:10" ht="75" customHeight="1">
      <c r="A903" s="7"/>
      <c r="B903" s="18"/>
      <c r="C903" s="9"/>
      <c r="D903" s="10"/>
      <c r="E903" s="10"/>
      <c r="F903" s="10"/>
      <c r="G903" s="10"/>
      <c r="H903" s="10"/>
      <c r="I903" s="12"/>
      <c r="J903" s="13"/>
    </row>
    <row r="904" spans="1:10" ht="75" customHeight="1">
      <c r="A904" s="7"/>
      <c r="B904" s="18"/>
      <c r="C904" s="9"/>
      <c r="D904" s="10"/>
      <c r="E904" s="10"/>
      <c r="F904" s="10"/>
      <c r="G904" s="10"/>
      <c r="H904" s="10"/>
      <c r="I904" s="12"/>
      <c r="J904" s="13"/>
    </row>
    <row r="905" spans="1:10" ht="75" customHeight="1">
      <c r="A905" s="7"/>
      <c r="B905" s="18"/>
      <c r="C905" s="9"/>
      <c r="D905" s="10"/>
      <c r="E905" s="10"/>
      <c r="F905" s="10"/>
      <c r="G905" s="10"/>
      <c r="H905" s="10"/>
      <c r="I905" s="12"/>
      <c r="J905" s="13"/>
    </row>
    <row r="906" spans="1:10" ht="75" customHeight="1">
      <c r="A906" s="7"/>
      <c r="B906" s="18"/>
      <c r="C906" s="9"/>
      <c r="D906" s="10"/>
      <c r="E906" s="10"/>
      <c r="F906" s="10"/>
      <c r="G906" s="10"/>
      <c r="H906" s="10"/>
      <c r="I906" s="12"/>
      <c r="J906" s="13"/>
    </row>
    <row r="907" spans="1:10" ht="75" customHeight="1">
      <c r="A907" s="7"/>
      <c r="B907" s="18"/>
      <c r="C907" s="9"/>
      <c r="D907" s="10"/>
      <c r="E907" s="10"/>
      <c r="F907" s="10"/>
      <c r="G907" s="10"/>
      <c r="H907" s="10"/>
      <c r="I907" s="12"/>
      <c r="J907" s="13"/>
    </row>
    <row r="908" spans="1:10" ht="75" customHeight="1">
      <c r="A908" s="7"/>
      <c r="B908" s="18"/>
      <c r="C908" s="9"/>
      <c r="D908" s="10"/>
      <c r="E908" s="10"/>
      <c r="F908" s="10"/>
      <c r="G908" s="10"/>
      <c r="H908" s="10"/>
      <c r="I908" s="12"/>
      <c r="J908" s="13"/>
    </row>
    <row r="909" spans="1:10" ht="75" customHeight="1">
      <c r="A909" s="7"/>
      <c r="B909" s="18"/>
      <c r="C909" s="9"/>
      <c r="D909" s="10"/>
      <c r="E909" s="10"/>
      <c r="F909" s="10"/>
      <c r="G909" s="10"/>
      <c r="H909" s="10"/>
      <c r="I909" s="12"/>
      <c r="J909" s="13"/>
    </row>
    <row r="910" spans="1:10" ht="75" customHeight="1">
      <c r="A910" s="7"/>
      <c r="B910" s="18"/>
      <c r="C910" s="9"/>
      <c r="D910" s="10"/>
      <c r="E910" s="10"/>
      <c r="F910" s="10"/>
      <c r="G910" s="10"/>
      <c r="H910" s="10"/>
      <c r="I910" s="12"/>
      <c r="J910" s="13"/>
    </row>
    <row r="911" spans="1:10" ht="75" customHeight="1">
      <c r="A911" s="7"/>
      <c r="B911" s="18"/>
      <c r="C911" s="9"/>
      <c r="D911" s="10"/>
      <c r="E911" s="10"/>
      <c r="F911" s="10"/>
      <c r="G911" s="10"/>
      <c r="H911" s="10"/>
      <c r="I911" s="12"/>
      <c r="J911" s="13"/>
    </row>
    <row r="912" spans="1:10" ht="75" customHeight="1">
      <c r="A912" s="7"/>
      <c r="B912" s="18"/>
      <c r="C912" s="9"/>
      <c r="D912" s="10"/>
      <c r="E912" s="10"/>
      <c r="F912" s="10"/>
      <c r="G912" s="10"/>
      <c r="H912" s="10"/>
      <c r="I912" s="12"/>
      <c r="J912" s="13"/>
    </row>
    <row r="913" spans="1:10" ht="75" customHeight="1">
      <c r="A913" s="7"/>
      <c r="B913" s="18"/>
      <c r="C913" s="9"/>
      <c r="D913" s="10"/>
      <c r="E913" s="10"/>
      <c r="F913" s="10"/>
      <c r="G913" s="10"/>
      <c r="H913" s="10"/>
      <c r="I913" s="12"/>
      <c r="J913" s="13"/>
    </row>
    <row r="914" spans="1:10" ht="75" customHeight="1">
      <c r="A914" s="7"/>
      <c r="B914" s="18"/>
      <c r="C914" s="9"/>
      <c r="D914" s="10"/>
      <c r="E914" s="10"/>
      <c r="F914" s="10"/>
      <c r="G914" s="10"/>
      <c r="H914" s="10"/>
      <c r="I914" s="12"/>
      <c r="J914" s="13"/>
    </row>
    <row r="915" spans="1:10" ht="75" customHeight="1">
      <c r="A915" s="7"/>
      <c r="B915" s="18"/>
      <c r="C915" s="9"/>
      <c r="D915" s="10"/>
      <c r="E915" s="10"/>
      <c r="F915" s="10"/>
      <c r="G915" s="10"/>
      <c r="H915" s="10"/>
      <c r="I915" s="12"/>
      <c r="J915" s="13"/>
    </row>
    <row r="916" spans="1:10" ht="75" customHeight="1">
      <c r="A916" s="7"/>
      <c r="B916" s="18"/>
      <c r="C916" s="9"/>
      <c r="D916" s="10"/>
      <c r="E916" s="10"/>
      <c r="F916" s="10"/>
      <c r="G916" s="10"/>
      <c r="H916" s="10"/>
      <c r="I916" s="12"/>
      <c r="J916" s="13"/>
    </row>
    <row r="917" spans="1:10" ht="75" customHeight="1">
      <c r="A917" s="7"/>
      <c r="B917" s="18"/>
      <c r="C917" s="9"/>
      <c r="D917" s="10"/>
      <c r="E917" s="10"/>
      <c r="F917" s="10"/>
      <c r="G917" s="10"/>
      <c r="H917" s="10"/>
      <c r="I917" s="12"/>
      <c r="J917" s="13"/>
    </row>
    <row r="918" spans="1:10" ht="75" customHeight="1">
      <c r="A918" s="7"/>
      <c r="B918" s="18"/>
      <c r="C918" s="9"/>
      <c r="D918" s="10"/>
      <c r="E918" s="10"/>
      <c r="F918" s="10"/>
      <c r="G918" s="10"/>
      <c r="H918" s="10"/>
      <c r="I918" s="12"/>
      <c r="J918" s="13"/>
    </row>
    <row r="919" spans="1:10" ht="75" customHeight="1">
      <c r="A919" s="7"/>
      <c r="B919" s="18"/>
      <c r="C919" s="9"/>
      <c r="D919" s="10"/>
      <c r="E919" s="10"/>
      <c r="F919" s="10"/>
      <c r="G919" s="10"/>
      <c r="H919" s="10"/>
      <c r="I919" s="12"/>
      <c r="J919" s="13"/>
    </row>
    <row r="920" spans="1:10" ht="75" customHeight="1">
      <c r="A920" s="7"/>
      <c r="B920" s="18"/>
      <c r="C920" s="9"/>
      <c r="D920" s="10"/>
      <c r="E920" s="10"/>
      <c r="F920" s="10"/>
      <c r="G920" s="10"/>
      <c r="H920" s="10"/>
      <c r="I920" s="12"/>
      <c r="J920" s="13"/>
    </row>
    <row r="921" spans="1:10" ht="75" customHeight="1">
      <c r="A921" s="7"/>
      <c r="B921" s="18"/>
      <c r="C921" s="9"/>
      <c r="D921" s="10"/>
      <c r="E921" s="10"/>
      <c r="F921" s="10"/>
      <c r="G921" s="10"/>
      <c r="H921" s="10"/>
      <c r="I921" s="12"/>
      <c r="J921" s="13"/>
    </row>
    <row r="922" spans="1:10" ht="75" customHeight="1">
      <c r="A922" s="7"/>
      <c r="B922" s="18"/>
      <c r="C922" s="9"/>
      <c r="D922" s="10"/>
      <c r="E922" s="10"/>
      <c r="F922" s="10"/>
      <c r="G922" s="10"/>
      <c r="H922" s="10"/>
      <c r="I922" s="12"/>
      <c r="J922" s="13"/>
    </row>
    <row r="923" spans="1:10" ht="75" customHeight="1">
      <c r="A923" s="7"/>
      <c r="B923" s="18"/>
      <c r="C923" s="9"/>
      <c r="D923" s="10"/>
      <c r="E923" s="10"/>
      <c r="F923" s="10"/>
      <c r="G923" s="10"/>
      <c r="H923" s="10"/>
      <c r="I923" s="12"/>
      <c r="J923" s="13"/>
    </row>
    <row r="924" spans="1:10" ht="75" customHeight="1">
      <c r="A924" s="7"/>
      <c r="B924" s="18"/>
      <c r="C924" s="9"/>
      <c r="D924" s="10"/>
      <c r="E924" s="10"/>
      <c r="F924" s="10"/>
      <c r="G924" s="10"/>
      <c r="H924" s="10"/>
      <c r="I924" s="12"/>
      <c r="J924" s="13"/>
    </row>
    <row r="925" spans="1:10" ht="75" customHeight="1">
      <c r="A925" s="7"/>
      <c r="B925" s="18"/>
      <c r="C925" s="9"/>
      <c r="D925" s="10"/>
      <c r="E925" s="10"/>
      <c r="F925" s="10"/>
      <c r="G925" s="10"/>
      <c r="H925" s="10"/>
      <c r="I925" s="12"/>
      <c r="J925" s="13"/>
    </row>
    <row r="926" spans="1:10" ht="75" customHeight="1">
      <c r="A926" s="7"/>
      <c r="B926" s="18"/>
      <c r="C926" s="9"/>
      <c r="D926" s="10"/>
      <c r="E926" s="10"/>
      <c r="F926" s="10"/>
      <c r="G926" s="10"/>
      <c r="H926" s="10"/>
      <c r="I926" s="12"/>
      <c r="J926" s="13"/>
    </row>
    <row r="927" spans="1:10" ht="75" customHeight="1">
      <c r="A927" s="7"/>
      <c r="B927" s="18"/>
      <c r="C927" s="9"/>
      <c r="D927" s="10"/>
      <c r="E927" s="10"/>
      <c r="F927" s="10"/>
      <c r="G927" s="10"/>
      <c r="H927" s="10"/>
      <c r="I927" s="12"/>
      <c r="J927" s="13"/>
    </row>
    <row r="928" spans="1:10" ht="75" customHeight="1">
      <c r="A928" s="7"/>
      <c r="B928" s="18"/>
      <c r="C928" s="9"/>
      <c r="D928" s="10"/>
      <c r="E928" s="10"/>
      <c r="F928" s="10"/>
      <c r="G928" s="10"/>
      <c r="H928" s="10"/>
      <c r="I928" s="12"/>
      <c r="J928" s="13"/>
    </row>
    <row r="929" spans="1:10" ht="75" customHeight="1">
      <c r="A929" s="7"/>
      <c r="B929" s="18"/>
      <c r="C929" s="9"/>
      <c r="D929" s="10"/>
      <c r="E929" s="10"/>
      <c r="F929" s="10"/>
      <c r="G929" s="10"/>
      <c r="H929" s="10"/>
      <c r="I929" s="12"/>
      <c r="J929" s="13"/>
    </row>
    <row r="930" spans="1:10" ht="75" customHeight="1">
      <c r="A930" s="7"/>
      <c r="B930" s="18"/>
      <c r="C930" s="9"/>
      <c r="D930" s="10"/>
      <c r="E930" s="10"/>
      <c r="F930" s="10"/>
      <c r="G930" s="10"/>
      <c r="H930" s="10"/>
      <c r="I930" s="12"/>
      <c r="J930" s="13"/>
    </row>
    <row r="931" spans="1:10" ht="75" customHeight="1">
      <c r="A931" s="7"/>
      <c r="B931" s="18"/>
      <c r="C931" s="9"/>
      <c r="D931" s="10"/>
      <c r="E931" s="10"/>
      <c r="F931" s="10"/>
      <c r="G931" s="10"/>
      <c r="H931" s="10"/>
      <c r="I931" s="12"/>
      <c r="J931" s="13"/>
    </row>
    <row r="932" spans="1:10" ht="75" customHeight="1">
      <c r="A932" s="7"/>
      <c r="B932" s="18"/>
      <c r="C932" s="9"/>
      <c r="D932" s="10"/>
      <c r="E932" s="10"/>
      <c r="F932" s="10"/>
      <c r="G932" s="10"/>
      <c r="H932" s="10"/>
      <c r="I932" s="12"/>
      <c r="J932" s="13"/>
    </row>
    <row r="933" spans="1:10" ht="75" customHeight="1">
      <c r="A933" s="7"/>
      <c r="B933" s="18"/>
      <c r="C933" s="9"/>
      <c r="D933" s="10"/>
      <c r="E933" s="10"/>
      <c r="F933" s="10"/>
      <c r="G933" s="10"/>
      <c r="H933" s="10"/>
      <c r="I933" s="12"/>
      <c r="J933" s="13"/>
    </row>
    <row r="934" spans="1:10" ht="75" customHeight="1">
      <c r="A934" s="7"/>
      <c r="B934" s="18"/>
      <c r="C934" s="9"/>
      <c r="D934" s="10"/>
      <c r="E934" s="10"/>
      <c r="F934" s="10"/>
      <c r="G934" s="10"/>
      <c r="H934" s="10"/>
      <c r="I934" s="12"/>
      <c r="J934" s="13"/>
    </row>
    <row r="935" spans="1:10" ht="75" customHeight="1">
      <c r="A935" s="7"/>
      <c r="B935" s="18"/>
      <c r="C935" s="9"/>
      <c r="D935" s="10"/>
      <c r="E935" s="10"/>
      <c r="F935" s="10"/>
      <c r="G935" s="10"/>
      <c r="H935" s="10"/>
      <c r="I935" s="12"/>
      <c r="J935" s="13"/>
    </row>
    <row r="936" spans="1:10" ht="75" customHeight="1">
      <c r="A936" s="7"/>
      <c r="B936" s="18"/>
      <c r="C936" s="9"/>
      <c r="D936" s="10"/>
      <c r="E936" s="10"/>
      <c r="F936" s="10"/>
      <c r="G936" s="10"/>
      <c r="H936" s="10"/>
      <c r="I936" s="12"/>
      <c r="J936" s="13"/>
    </row>
    <row r="937" spans="1:10" ht="75" customHeight="1">
      <c r="A937" s="7"/>
      <c r="B937" s="18"/>
      <c r="C937" s="9"/>
      <c r="D937" s="10"/>
      <c r="E937" s="10"/>
      <c r="F937" s="10"/>
      <c r="G937" s="10"/>
      <c r="H937" s="10"/>
      <c r="I937" s="12"/>
      <c r="J937" s="13"/>
    </row>
    <row r="938" spans="1:10" ht="75" customHeight="1">
      <c r="A938" s="7"/>
      <c r="B938" s="18"/>
      <c r="C938" s="9"/>
      <c r="D938" s="10"/>
      <c r="E938" s="10"/>
      <c r="F938" s="10"/>
      <c r="G938" s="10"/>
      <c r="H938" s="10"/>
      <c r="I938" s="12"/>
      <c r="J938" s="13"/>
    </row>
    <row r="939" spans="1:10" ht="75" customHeight="1">
      <c r="A939" s="7"/>
      <c r="B939" s="18"/>
      <c r="C939" s="9"/>
      <c r="D939" s="10"/>
      <c r="E939" s="10"/>
      <c r="F939" s="10"/>
      <c r="G939" s="10"/>
      <c r="H939" s="10"/>
      <c r="I939" s="12"/>
      <c r="J939" s="13"/>
    </row>
    <row r="940" spans="1:10" ht="75" customHeight="1">
      <c r="A940" s="7"/>
      <c r="B940" s="18"/>
      <c r="C940" s="9"/>
      <c r="D940" s="10"/>
      <c r="E940" s="10"/>
      <c r="F940" s="10"/>
      <c r="G940" s="10"/>
      <c r="H940" s="10"/>
      <c r="I940" s="12"/>
      <c r="J940" s="13"/>
    </row>
    <row r="941" spans="1:10" ht="75" customHeight="1">
      <c r="A941" s="7"/>
      <c r="B941" s="18"/>
      <c r="C941" s="9"/>
      <c r="D941" s="10"/>
      <c r="E941" s="10"/>
      <c r="F941" s="10"/>
      <c r="G941" s="10"/>
      <c r="H941" s="10"/>
      <c r="I941" s="12"/>
      <c r="J941" s="13"/>
    </row>
    <row r="942" spans="1:10" ht="75" customHeight="1">
      <c r="A942" s="7"/>
      <c r="B942" s="18"/>
      <c r="C942" s="9"/>
      <c r="D942" s="10"/>
      <c r="E942" s="10"/>
      <c r="F942" s="10"/>
      <c r="G942" s="10"/>
      <c r="H942" s="10"/>
      <c r="I942" s="12"/>
      <c r="J942" s="13"/>
    </row>
    <row r="943" spans="1:10" ht="75" customHeight="1">
      <c r="A943" s="7"/>
      <c r="B943" s="18"/>
      <c r="C943" s="9"/>
      <c r="D943" s="10"/>
      <c r="E943" s="10"/>
      <c r="F943" s="10"/>
      <c r="G943" s="10"/>
      <c r="H943" s="10"/>
      <c r="I943" s="12"/>
      <c r="J943" s="13"/>
    </row>
    <row r="944" spans="1:10" ht="75" customHeight="1">
      <c r="A944" s="7"/>
      <c r="B944" s="18"/>
      <c r="C944" s="9"/>
      <c r="D944" s="10"/>
      <c r="E944" s="10"/>
      <c r="F944" s="10"/>
      <c r="G944" s="10"/>
      <c r="H944" s="10"/>
      <c r="I944" s="12"/>
      <c r="J944" s="13"/>
    </row>
    <row r="945" spans="1:10" ht="75" customHeight="1">
      <c r="A945" s="7"/>
      <c r="B945" s="18"/>
      <c r="C945" s="9"/>
      <c r="D945" s="10"/>
      <c r="E945" s="10"/>
      <c r="F945" s="10"/>
      <c r="G945" s="10"/>
      <c r="H945" s="10"/>
      <c r="I945" s="12"/>
      <c r="J945" s="13"/>
    </row>
    <row r="946" spans="1:10" ht="75" customHeight="1">
      <c r="A946" s="7"/>
      <c r="B946" s="18"/>
      <c r="C946" s="9"/>
      <c r="D946" s="10"/>
      <c r="E946" s="10"/>
      <c r="F946" s="10"/>
      <c r="G946" s="10"/>
      <c r="H946" s="10"/>
      <c r="I946" s="12"/>
      <c r="J946" s="13"/>
    </row>
    <row r="947" spans="1:10" ht="75" customHeight="1">
      <c r="A947" s="7"/>
      <c r="B947" s="18"/>
      <c r="C947" s="9"/>
      <c r="D947" s="10"/>
      <c r="E947" s="10"/>
      <c r="F947" s="10"/>
      <c r="G947" s="10"/>
      <c r="H947" s="10"/>
      <c r="I947" s="12"/>
      <c r="J947" s="13"/>
    </row>
    <row r="948" spans="1:10" ht="75" customHeight="1">
      <c r="A948" s="7"/>
      <c r="B948" s="18"/>
      <c r="C948" s="9"/>
      <c r="D948" s="10"/>
      <c r="E948" s="10"/>
      <c r="F948" s="10"/>
      <c r="G948" s="10"/>
      <c r="H948" s="10"/>
      <c r="I948" s="12"/>
      <c r="J948" s="13"/>
    </row>
    <row r="949" spans="1:10" ht="75" customHeight="1">
      <c r="A949" s="7"/>
      <c r="B949" s="18"/>
      <c r="C949" s="9"/>
      <c r="D949" s="10"/>
      <c r="E949" s="10"/>
      <c r="F949" s="10"/>
      <c r="G949" s="10"/>
      <c r="H949" s="10"/>
      <c r="I949" s="12"/>
      <c r="J949" s="13"/>
    </row>
    <row r="950" spans="1:10" ht="75" customHeight="1">
      <c r="A950" s="7"/>
      <c r="B950" s="18"/>
      <c r="C950" s="9"/>
      <c r="D950" s="10"/>
      <c r="E950" s="10"/>
      <c r="F950" s="10"/>
      <c r="G950" s="10"/>
      <c r="H950" s="10"/>
      <c r="I950" s="12"/>
      <c r="J950" s="13"/>
    </row>
    <row r="951" spans="1:10" ht="75" customHeight="1">
      <c r="A951" s="7"/>
      <c r="B951" s="18"/>
      <c r="C951" s="9"/>
      <c r="D951" s="10"/>
      <c r="E951" s="10"/>
      <c r="F951" s="10"/>
      <c r="G951" s="10"/>
      <c r="H951" s="10"/>
      <c r="I951" s="12"/>
      <c r="J951" s="13"/>
    </row>
    <row r="952" spans="1:10" ht="75" customHeight="1">
      <c r="A952" s="7"/>
      <c r="B952" s="18"/>
      <c r="C952" s="9"/>
      <c r="D952" s="10"/>
      <c r="E952" s="10"/>
      <c r="F952" s="10"/>
      <c r="G952" s="10"/>
      <c r="H952" s="10"/>
      <c r="I952" s="12"/>
      <c r="J952" s="13"/>
    </row>
    <row r="953" spans="1:10" ht="75" customHeight="1">
      <c r="A953" s="7"/>
      <c r="B953" s="18"/>
      <c r="C953" s="9"/>
      <c r="D953" s="10"/>
      <c r="E953" s="10"/>
      <c r="F953" s="10"/>
      <c r="G953" s="10"/>
      <c r="H953" s="10"/>
      <c r="I953" s="12"/>
      <c r="J953" s="13"/>
    </row>
    <row r="954" spans="1:10" ht="75" customHeight="1">
      <c r="A954" s="7"/>
      <c r="B954" s="18"/>
      <c r="C954" s="9"/>
      <c r="D954" s="10"/>
      <c r="E954" s="10"/>
      <c r="F954" s="10"/>
      <c r="G954" s="10"/>
      <c r="H954" s="10"/>
      <c r="I954" s="12"/>
      <c r="J954" s="13"/>
    </row>
    <row r="955" spans="1:10" ht="75" customHeight="1">
      <c r="A955" s="7"/>
      <c r="B955" s="18"/>
      <c r="C955" s="9"/>
      <c r="D955" s="10"/>
      <c r="E955" s="10"/>
      <c r="F955" s="10"/>
      <c r="G955" s="10"/>
      <c r="H955" s="10"/>
      <c r="I955" s="12"/>
      <c r="J955" s="13"/>
    </row>
    <row r="956" spans="1:10" ht="75" customHeight="1">
      <c r="A956" s="7"/>
      <c r="B956" s="18"/>
      <c r="C956" s="9"/>
      <c r="D956" s="10"/>
      <c r="E956" s="10"/>
      <c r="F956" s="10"/>
      <c r="G956" s="10"/>
      <c r="H956" s="10"/>
      <c r="I956" s="12"/>
      <c r="J956" s="13"/>
    </row>
    <row r="957" spans="1:10" ht="75" customHeight="1">
      <c r="A957" s="7"/>
      <c r="B957" s="18"/>
      <c r="C957" s="9"/>
      <c r="D957" s="10"/>
      <c r="E957" s="10"/>
      <c r="F957" s="10"/>
      <c r="G957" s="10"/>
      <c r="H957" s="10"/>
      <c r="I957" s="12"/>
      <c r="J957" s="13"/>
    </row>
    <row r="958" spans="1:10" ht="75" customHeight="1">
      <c r="A958" s="7"/>
      <c r="B958" s="18"/>
      <c r="C958" s="9"/>
      <c r="D958" s="10"/>
      <c r="E958" s="10"/>
      <c r="F958" s="10"/>
      <c r="G958" s="10"/>
      <c r="H958" s="10"/>
      <c r="I958" s="12"/>
      <c r="J958" s="13"/>
    </row>
    <row r="959" spans="1:10" ht="75" customHeight="1">
      <c r="A959" s="7"/>
      <c r="B959" s="18"/>
      <c r="C959" s="9"/>
      <c r="D959" s="10"/>
      <c r="E959" s="10"/>
      <c r="F959" s="10"/>
      <c r="G959" s="10"/>
      <c r="H959" s="10"/>
      <c r="I959" s="12"/>
      <c r="J959" s="13"/>
    </row>
    <row r="960" spans="1:10" ht="75" customHeight="1">
      <c r="A960" s="7"/>
      <c r="B960" s="18"/>
      <c r="C960" s="9"/>
      <c r="D960" s="10"/>
      <c r="E960" s="10"/>
      <c r="F960" s="10"/>
      <c r="G960" s="10"/>
      <c r="H960" s="10"/>
      <c r="I960" s="12"/>
      <c r="J960" s="13"/>
    </row>
    <row r="961" spans="1:10" ht="75" customHeight="1">
      <c r="A961" s="7"/>
      <c r="B961" s="18"/>
      <c r="C961" s="9"/>
      <c r="D961" s="10"/>
      <c r="E961" s="10"/>
      <c r="F961" s="10"/>
      <c r="G961" s="10"/>
      <c r="H961" s="10"/>
      <c r="I961" s="12"/>
      <c r="J961" s="13"/>
    </row>
    <row r="962" spans="1:10" ht="75" customHeight="1">
      <c r="A962" s="7"/>
      <c r="B962" s="18"/>
      <c r="C962" s="9"/>
      <c r="D962" s="10"/>
      <c r="E962" s="10"/>
      <c r="F962" s="10"/>
      <c r="G962" s="10"/>
      <c r="H962" s="10"/>
      <c r="I962" s="12"/>
      <c r="J962" s="13"/>
    </row>
    <row r="963" spans="1:10" ht="75" customHeight="1">
      <c r="A963" s="7"/>
      <c r="B963" s="18"/>
      <c r="C963" s="9"/>
      <c r="D963" s="10"/>
      <c r="E963" s="10"/>
      <c r="F963" s="10"/>
      <c r="G963" s="10"/>
      <c r="H963" s="10"/>
      <c r="I963" s="12"/>
      <c r="J963" s="13"/>
    </row>
    <row r="964" spans="1:10" ht="75" customHeight="1">
      <c r="A964" s="7"/>
      <c r="B964" s="18"/>
      <c r="C964" s="9"/>
      <c r="D964" s="10"/>
      <c r="E964" s="10"/>
      <c r="F964" s="10"/>
      <c r="G964" s="10"/>
      <c r="H964" s="10"/>
      <c r="I964" s="12"/>
      <c r="J964" s="13"/>
    </row>
    <row r="965" spans="1:10" ht="75" customHeight="1">
      <c r="A965" s="7"/>
      <c r="B965" s="18"/>
      <c r="C965" s="9"/>
      <c r="D965" s="10"/>
      <c r="E965" s="10"/>
      <c r="F965" s="10"/>
      <c r="G965" s="10"/>
      <c r="H965" s="10"/>
      <c r="I965" s="12"/>
      <c r="J965" s="13"/>
    </row>
    <row r="966" spans="1:10" ht="75" customHeight="1">
      <c r="A966" s="7"/>
      <c r="B966" s="18"/>
      <c r="C966" s="9"/>
      <c r="D966" s="10"/>
      <c r="E966" s="10"/>
      <c r="F966" s="10"/>
      <c r="G966" s="10"/>
      <c r="H966" s="10"/>
      <c r="I966" s="12"/>
      <c r="J966" s="13"/>
    </row>
    <row r="967" spans="1:10" ht="75" customHeight="1">
      <c r="A967" s="7"/>
      <c r="B967" s="18"/>
      <c r="C967" s="9"/>
      <c r="D967" s="10"/>
      <c r="E967" s="10"/>
      <c r="F967" s="10"/>
      <c r="G967" s="10"/>
      <c r="H967" s="10"/>
      <c r="I967" s="12"/>
      <c r="J967" s="13"/>
    </row>
    <row r="968" spans="1:10" ht="75" customHeight="1">
      <c r="A968" s="7"/>
      <c r="B968" s="18"/>
      <c r="C968" s="9"/>
      <c r="D968" s="10"/>
      <c r="E968" s="10"/>
      <c r="F968" s="10"/>
      <c r="G968" s="10"/>
      <c r="H968" s="10"/>
      <c r="I968" s="12"/>
      <c r="J968" s="13"/>
    </row>
    <row r="969" spans="1:10" ht="75" customHeight="1">
      <c r="A969" s="7"/>
      <c r="B969" s="18"/>
      <c r="C969" s="9"/>
      <c r="D969" s="10"/>
      <c r="E969" s="10"/>
      <c r="F969" s="10"/>
      <c r="G969" s="10"/>
      <c r="H969" s="10"/>
      <c r="I969" s="12"/>
      <c r="J969" s="13"/>
    </row>
    <row r="970" spans="1:10" ht="75" customHeight="1">
      <c r="A970" s="7"/>
      <c r="B970" s="18"/>
      <c r="C970" s="9"/>
      <c r="D970" s="10"/>
      <c r="E970" s="10"/>
      <c r="F970" s="10"/>
      <c r="G970" s="10"/>
      <c r="H970" s="10"/>
      <c r="I970" s="12"/>
      <c r="J970" s="13"/>
    </row>
    <row r="971" spans="1:10" ht="75" customHeight="1">
      <c r="A971" s="7"/>
      <c r="B971" s="18"/>
      <c r="C971" s="9"/>
      <c r="D971" s="10"/>
      <c r="E971" s="10"/>
      <c r="F971" s="10"/>
      <c r="G971" s="10"/>
      <c r="H971" s="10"/>
      <c r="I971" s="12"/>
      <c r="J971" s="13"/>
    </row>
    <row r="972" spans="1:10" ht="75" customHeight="1">
      <c r="A972" s="7"/>
      <c r="B972" s="18"/>
      <c r="C972" s="9"/>
      <c r="D972" s="10"/>
      <c r="E972" s="10"/>
      <c r="F972" s="10"/>
      <c r="G972" s="10"/>
      <c r="H972" s="10"/>
      <c r="I972" s="12"/>
      <c r="J972" s="13"/>
    </row>
    <row r="973" spans="1:10" ht="75" customHeight="1">
      <c r="A973" s="7"/>
      <c r="B973" s="18"/>
      <c r="C973" s="9"/>
      <c r="D973" s="10"/>
      <c r="E973" s="10"/>
      <c r="F973" s="10"/>
      <c r="G973" s="10"/>
      <c r="H973" s="10"/>
      <c r="I973" s="12"/>
      <c r="J973" s="13"/>
    </row>
    <row r="974" spans="1:10" ht="75" customHeight="1">
      <c r="A974" s="7"/>
      <c r="B974" s="18"/>
      <c r="C974" s="9"/>
      <c r="D974" s="10"/>
      <c r="E974" s="10"/>
      <c r="F974" s="10"/>
      <c r="G974" s="10"/>
      <c r="H974" s="10"/>
      <c r="I974" s="12"/>
      <c r="J974" s="13"/>
    </row>
    <row r="975" spans="1:10" ht="75" customHeight="1">
      <c r="A975" s="7"/>
      <c r="B975" s="18"/>
      <c r="C975" s="9"/>
      <c r="D975" s="10"/>
      <c r="E975" s="10"/>
      <c r="F975" s="10"/>
      <c r="G975" s="10"/>
      <c r="H975" s="10"/>
      <c r="I975" s="12"/>
      <c r="J975" s="13"/>
    </row>
    <row r="976" spans="1:10" ht="75" customHeight="1">
      <c r="A976" s="7"/>
      <c r="B976" s="18"/>
      <c r="C976" s="9"/>
      <c r="D976" s="10"/>
      <c r="E976" s="10"/>
      <c r="F976" s="10"/>
      <c r="G976" s="10"/>
      <c r="H976" s="10"/>
      <c r="I976" s="12"/>
      <c r="J976" s="13"/>
    </row>
    <row r="977" spans="1:10" ht="75" customHeight="1">
      <c r="A977" s="7"/>
      <c r="B977" s="18"/>
      <c r="C977" s="9"/>
      <c r="D977" s="10"/>
      <c r="E977" s="10"/>
      <c r="F977" s="10"/>
      <c r="G977" s="10"/>
      <c r="H977" s="10"/>
      <c r="I977" s="12"/>
      <c r="J977" s="13"/>
    </row>
    <row r="978" spans="1:10" ht="75" customHeight="1">
      <c r="A978" s="7"/>
      <c r="B978" s="18"/>
      <c r="C978" s="9"/>
      <c r="D978" s="10"/>
      <c r="E978" s="10"/>
      <c r="F978" s="10"/>
      <c r="G978" s="10"/>
      <c r="H978" s="10"/>
      <c r="I978" s="12"/>
      <c r="J978" s="13"/>
    </row>
    <row r="979" spans="1:10" ht="75" customHeight="1">
      <c r="A979" s="7"/>
      <c r="B979" s="18"/>
      <c r="C979" s="9"/>
      <c r="D979" s="10"/>
      <c r="E979" s="10"/>
      <c r="F979" s="10"/>
      <c r="G979" s="10"/>
      <c r="H979" s="10"/>
      <c r="I979" s="12"/>
      <c r="J979" s="13"/>
    </row>
    <row r="980" spans="1:10" ht="75" customHeight="1">
      <c r="A980" s="7"/>
      <c r="B980" s="18"/>
      <c r="C980" s="9"/>
      <c r="D980" s="10"/>
      <c r="E980" s="10"/>
      <c r="F980" s="10"/>
      <c r="G980" s="10"/>
      <c r="H980" s="10"/>
      <c r="I980" s="12"/>
      <c r="J980" s="13"/>
    </row>
    <row r="981" spans="1:10" ht="75" customHeight="1">
      <c r="A981" s="7"/>
      <c r="B981" s="18"/>
      <c r="C981" s="9"/>
      <c r="D981" s="10"/>
      <c r="E981" s="10"/>
      <c r="F981" s="10"/>
      <c r="G981" s="10"/>
      <c r="H981" s="10"/>
      <c r="I981" s="12"/>
      <c r="J981" s="13"/>
    </row>
    <row r="982" spans="1:10" ht="75" customHeight="1">
      <c r="A982" s="7"/>
      <c r="B982" s="18"/>
      <c r="C982" s="9"/>
      <c r="D982" s="10"/>
      <c r="E982" s="10"/>
      <c r="F982" s="10"/>
      <c r="G982" s="10"/>
      <c r="H982" s="10"/>
      <c r="I982" s="12"/>
      <c r="J982" s="13"/>
    </row>
    <row r="983" spans="1:10" ht="75" customHeight="1">
      <c r="A983" s="7"/>
      <c r="B983" s="18"/>
      <c r="C983" s="9"/>
      <c r="D983" s="10"/>
      <c r="E983" s="10"/>
      <c r="F983" s="10"/>
      <c r="G983" s="10"/>
      <c r="H983" s="10"/>
      <c r="I983" s="12"/>
      <c r="J983" s="13"/>
    </row>
    <row r="984" spans="1:10" ht="75" customHeight="1">
      <c r="A984" s="7"/>
      <c r="B984" s="18"/>
      <c r="C984" s="9"/>
      <c r="D984" s="10"/>
      <c r="E984" s="10"/>
      <c r="F984" s="10"/>
      <c r="G984" s="10"/>
      <c r="H984" s="10"/>
      <c r="I984" s="12"/>
      <c r="J984" s="13"/>
    </row>
    <row r="985" spans="1:10" ht="75" customHeight="1">
      <c r="A985" s="7"/>
      <c r="B985" s="18"/>
      <c r="C985" s="9"/>
      <c r="D985" s="10"/>
      <c r="E985" s="10"/>
      <c r="F985" s="10"/>
      <c r="G985" s="10"/>
      <c r="H985" s="10"/>
      <c r="I985" s="12"/>
      <c r="J985" s="13"/>
    </row>
    <row r="986" spans="1:10" ht="75" customHeight="1">
      <c r="A986" s="7"/>
      <c r="B986" s="18"/>
      <c r="C986" s="9"/>
      <c r="D986" s="10"/>
      <c r="E986" s="10"/>
      <c r="F986" s="10"/>
      <c r="G986" s="10"/>
      <c r="H986" s="10"/>
      <c r="I986" s="12"/>
      <c r="J986" s="13"/>
    </row>
    <row r="987" spans="1:10" ht="75" customHeight="1">
      <c r="A987" s="7"/>
      <c r="B987" s="18"/>
      <c r="C987" s="9"/>
      <c r="D987" s="10"/>
      <c r="E987" s="10"/>
      <c r="F987" s="10"/>
      <c r="G987" s="10"/>
      <c r="H987" s="10"/>
      <c r="I987" s="12"/>
      <c r="J987" s="13"/>
    </row>
    <row r="988" spans="1:10" ht="75" customHeight="1">
      <c r="A988" s="7"/>
      <c r="B988" s="18"/>
      <c r="C988" s="9"/>
      <c r="D988" s="10"/>
      <c r="E988" s="10"/>
      <c r="F988" s="10"/>
      <c r="G988" s="10"/>
      <c r="H988" s="10"/>
      <c r="I988" s="12"/>
      <c r="J988" s="13"/>
    </row>
    <row r="989" spans="1:10" ht="75" customHeight="1">
      <c r="A989" s="7"/>
      <c r="B989" s="18"/>
      <c r="C989" s="9"/>
      <c r="D989" s="10"/>
      <c r="E989" s="10"/>
      <c r="F989" s="10"/>
      <c r="G989" s="10"/>
      <c r="H989" s="10"/>
      <c r="I989" s="12"/>
      <c r="J989" s="13"/>
    </row>
    <row r="990" spans="1:10" ht="75" customHeight="1">
      <c r="A990" s="7"/>
      <c r="B990" s="18"/>
      <c r="C990" s="9"/>
      <c r="D990" s="10"/>
      <c r="E990" s="10"/>
      <c r="F990" s="10"/>
      <c r="G990" s="10"/>
      <c r="H990" s="10"/>
      <c r="I990" s="12"/>
      <c r="J990" s="13"/>
    </row>
    <row r="991" spans="1:10" ht="75" customHeight="1">
      <c r="A991" s="7"/>
      <c r="B991" s="18"/>
      <c r="C991" s="9"/>
      <c r="D991" s="10"/>
      <c r="E991" s="10"/>
      <c r="F991" s="10"/>
      <c r="G991" s="10"/>
      <c r="H991" s="10"/>
      <c r="I991" s="12"/>
      <c r="J991" s="13"/>
    </row>
    <row r="992" spans="1:10" ht="75" customHeight="1">
      <c r="A992" s="7"/>
      <c r="B992" s="18"/>
      <c r="C992" s="9"/>
      <c r="D992" s="10"/>
      <c r="E992" s="10"/>
      <c r="F992" s="10"/>
      <c r="G992" s="10"/>
      <c r="H992" s="10"/>
      <c r="I992" s="12"/>
      <c r="J992" s="13"/>
    </row>
    <row r="993" spans="1:10" ht="75" customHeight="1">
      <c r="A993" s="7"/>
      <c r="B993" s="18"/>
      <c r="C993" s="9"/>
      <c r="D993" s="10"/>
      <c r="E993" s="10"/>
      <c r="F993" s="10"/>
      <c r="G993" s="10"/>
      <c r="H993" s="10"/>
      <c r="I993" s="12"/>
      <c r="J993" s="13"/>
    </row>
    <row r="994" spans="1:10" ht="75" customHeight="1">
      <c r="A994" s="7"/>
      <c r="B994" s="18"/>
      <c r="C994" s="9"/>
      <c r="D994" s="10"/>
      <c r="E994" s="10"/>
      <c r="F994" s="10"/>
      <c r="G994" s="10"/>
      <c r="H994" s="10"/>
      <c r="I994" s="12"/>
      <c r="J994" s="13"/>
    </row>
    <row r="995" spans="1:10" ht="75" customHeight="1">
      <c r="A995" s="7"/>
      <c r="B995" s="18"/>
      <c r="C995" s="9"/>
      <c r="D995" s="10"/>
      <c r="E995" s="10"/>
      <c r="F995" s="10"/>
      <c r="G995" s="10"/>
      <c r="H995" s="10"/>
      <c r="I995" s="12"/>
      <c r="J995" s="13"/>
    </row>
    <row r="996" spans="1:10" ht="75" customHeight="1">
      <c r="A996" s="7"/>
      <c r="B996" s="18"/>
      <c r="C996" s="9"/>
      <c r="D996" s="10"/>
      <c r="E996" s="10"/>
      <c r="F996" s="10"/>
      <c r="G996" s="10"/>
      <c r="H996" s="10"/>
      <c r="I996" s="12"/>
      <c r="J996" s="13"/>
    </row>
    <row r="997" spans="1:10" ht="75" customHeight="1">
      <c r="A997" s="7"/>
      <c r="B997" s="18"/>
      <c r="C997" s="9"/>
      <c r="D997" s="10"/>
      <c r="E997" s="10"/>
      <c r="F997" s="10"/>
      <c r="G997" s="10"/>
      <c r="H997" s="10"/>
      <c r="I997" s="12"/>
      <c r="J997" s="13"/>
    </row>
    <row r="998" spans="1:10" ht="75" customHeight="1">
      <c r="A998" s="7"/>
      <c r="B998" s="18"/>
      <c r="C998" s="9"/>
      <c r="D998" s="10"/>
      <c r="E998" s="10"/>
      <c r="F998" s="10"/>
      <c r="G998" s="10"/>
      <c r="H998" s="10"/>
      <c r="I998" s="12"/>
      <c r="J998" s="13"/>
    </row>
    <row r="999" spans="1:10" ht="75" customHeight="1">
      <c r="A999" s="7"/>
      <c r="B999" s="18"/>
      <c r="C999" s="9"/>
      <c r="D999" s="10"/>
      <c r="E999" s="10"/>
      <c r="F999" s="10"/>
      <c r="G999" s="10"/>
      <c r="H999" s="10"/>
      <c r="I999" s="12"/>
      <c r="J999" s="13"/>
    </row>
    <row r="1000" spans="1:10" ht="75" customHeight="1">
      <c r="A1000" s="7"/>
      <c r="B1000" s="18"/>
      <c r="C1000" s="9"/>
      <c r="D1000" s="10"/>
      <c r="E1000" s="10"/>
      <c r="F1000" s="10"/>
      <c r="G1000" s="10"/>
      <c r="H1000" s="10"/>
      <c r="I1000" s="12"/>
      <c r="J1000" s="13"/>
    </row>
  </sheetData>
  <customSheetViews>
    <customSheetView guid="{816D5D8C-D23B-4A0A-BDDA-A84BA4C05A2F}" filter="1" showAutoFilter="1">
      <pageMargins left="0.7" right="0.7" top="0.75" bottom="0.75" header="0.3" footer="0.3"/>
      <autoFilter ref="A1:J1000" xr:uid="{1B314250-1E7B-46AB-8A0C-9372E148C903}"/>
    </customSheetView>
    <customSheetView guid="{4FECA310-8B3B-49C3-9401-AF0C2EE4D6E8}" filter="1" showAutoFilter="1">
      <pageMargins left="0.7" right="0.7" top="0.75" bottom="0.75" header="0.3" footer="0.3"/>
      <autoFilter ref="A1:J1000" xr:uid="{D55129CC-3A96-4113-8EE8-34AB6763CC91}"/>
    </customSheetView>
    <customSheetView guid="{E2A63158-D685-4879-B0A3-F19573B03065}" filter="1" showAutoFilter="1">
      <pageMargins left="0.7" right="0.7" top="0.75" bottom="0.75" header="0.3" footer="0.3"/>
      <autoFilter ref="A1:J1000" xr:uid="{DAFB2079-0430-4A8D-951E-F57750C9551D}"/>
    </customSheetView>
  </customSheetViews>
  <conditionalFormatting sqref="A2:A1000">
    <cfRule type="expression" dxfId="6" priority="1">
      <formula>AND($A2&lt;&gt;"", TRIM($J2)="")</formula>
    </cfRule>
    <cfRule type="expression" dxfId="5" priority="2">
      <formula>INT($A2) &lt; TODAY()</formula>
    </cfRule>
    <cfRule type="expression" dxfId="4" priority="3">
      <formula>INT($A2) = TODAY()</formula>
    </cfRule>
  </conditionalFormatting>
  <conditionalFormatting sqref="I2:I1000">
    <cfRule type="cellIs" dxfId="3" priority="4" operator="equal">
      <formula>"منجز"</formula>
    </cfRule>
    <cfRule type="cellIs" dxfId="2" priority="5" operator="equal">
      <formula>"ملغي"</formula>
    </cfRule>
    <cfRule type="cellIs" dxfId="1" priority="6" operator="equal">
      <formula>"تابع للتربية"</formula>
    </cfRule>
    <cfRule type="cellIs" dxfId="0" priority="7" operator="equal">
      <formula>"مؤجل"</formula>
    </cfRule>
  </conditionalFormatting>
  <dataValidations count="1">
    <dataValidation type="custom" allowBlank="1" showDropDown="1" sqref="A2:A21 J2:J21" xr:uid="{00000000-0002-0000-0400-000000000000}">
      <formula1>OR(NOT(ISERROR(DATEVALUE(A2))), AND(ISNUMBER(A2), LEFT(CELL("format", A2))="D"))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437"/>
  <sheetViews>
    <sheetView workbookViewId="0">
      <pane ySplit="1" topLeftCell="A2" activePane="bottomLeft" state="frozen"/>
      <selection pane="bottomLeft" activeCell="B3" sqref="B3"/>
    </sheetView>
  </sheetViews>
  <sheetFormatPr defaultColWidth="12.5703125" defaultRowHeight="15.75" customHeight="1"/>
  <cols>
    <col min="1" max="1" width="18.85546875" customWidth="1"/>
    <col min="2" max="2" width="21.42578125" customWidth="1"/>
    <col min="3" max="12" width="18.85546875" customWidth="1"/>
    <col min="13" max="13" width="31.42578125" customWidth="1"/>
    <col min="14" max="14" width="140.5703125" customWidth="1"/>
    <col min="15" max="21" width="18.85546875" customWidth="1"/>
  </cols>
  <sheetData>
    <row r="1" spans="1:15" ht="22.5" customHeight="1">
      <c r="A1" s="21" t="s">
        <v>39</v>
      </c>
      <c r="B1" s="21" t="s">
        <v>40</v>
      </c>
      <c r="C1" s="21" t="s">
        <v>41</v>
      </c>
      <c r="D1" s="21" t="s">
        <v>42</v>
      </c>
      <c r="E1" s="21" t="s">
        <v>3</v>
      </c>
      <c r="F1" s="21" t="s">
        <v>4</v>
      </c>
      <c r="G1" s="21" t="s">
        <v>5</v>
      </c>
      <c r="H1" s="21" t="s">
        <v>43</v>
      </c>
      <c r="I1" s="21" t="s">
        <v>44</v>
      </c>
      <c r="J1" s="21" t="s">
        <v>45</v>
      </c>
      <c r="K1" s="21" t="s">
        <v>46</v>
      </c>
      <c r="L1" s="21" t="s">
        <v>47</v>
      </c>
      <c r="M1" s="21" t="s">
        <v>48</v>
      </c>
      <c r="N1" s="21" t="s">
        <v>49</v>
      </c>
      <c r="O1" s="21" t="s">
        <v>50</v>
      </c>
    </row>
    <row r="2" spans="1:15" ht="22.5" customHeight="1">
      <c r="A2" s="22">
        <v>46023.310584722218</v>
      </c>
      <c r="B2" s="23" t="s">
        <v>51</v>
      </c>
      <c r="C2" s="23"/>
      <c r="D2" s="23" t="s">
        <v>52</v>
      </c>
      <c r="E2" s="23" t="s">
        <v>53</v>
      </c>
      <c r="F2" s="23" t="s">
        <v>54</v>
      </c>
      <c r="G2" s="23" t="s">
        <v>55</v>
      </c>
      <c r="H2" s="23" t="s">
        <v>56</v>
      </c>
      <c r="I2" s="23" t="s">
        <v>56</v>
      </c>
      <c r="J2" s="23"/>
      <c r="K2" s="23"/>
      <c r="L2" s="23"/>
      <c r="M2" s="23"/>
      <c r="N2" s="23"/>
      <c r="O2" s="23"/>
    </row>
    <row r="3" spans="1:15" ht="22.5" customHeight="1">
      <c r="A3" s="22">
        <v>46054.498682939811</v>
      </c>
      <c r="B3" s="23" t="s">
        <v>57</v>
      </c>
      <c r="C3" s="23" t="s">
        <v>58</v>
      </c>
      <c r="D3" s="23" t="s">
        <v>59</v>
      </c>
      <c r="E3" s="23" t="s">
        <v>60</v>
      </c>
      <c r="F3" s="23" t="s">
        <v>61</v>
      </c>
      <c r="G3" s="23" t="s">
        <v>62</v>
      </c>
      <c r="H3" s="23" t="s">
        <v>63</v>
      </c>
    </row>
    <row r="4" spans="1:15" ht="22.5" customHeight="1">
      <c r="A4" s="22">
        <v>46055.428226446762</v>
      </c>
      <c r="B4" s="23" t="s">
        <v>64</v>
      </c>
      <c r="C4" s="23" t="s">
        <v>65</v>
      </c>
      <c r="J4" s="23" t="s">
        <v>66</v>
      </c>
      <c r="K4" s="23" t="s">
        <v>53</v>
      </c>
      <c r="L4" s="23" t="s">
        <v>67</v>
      </c>
      <c r="M4" s="23" t="s">
        <v>68</v>
      </c>
      <c r="N4" s="23" t="s">
        <v>69</v>
      </c>
    </row>
    <row r="5" spans="1:15" ht="22.5" customHeight="1">
      <c r="A5" s="22">
        <v>46055.429050185186</v>
      </c>
      <c r="B5" s="23" t="s">
        <v>64</v>
      </c>
      <c r="C5" s="23" t="s">
        <v>65</v>
      </c>
      <c r="J5" s="23" t="s">
        <v>66</v>
      </c>
      <c r="K5" s="23" t="s">
        <v>53</v>
      </c>
      <c r="L5" s="23" t="s">
        <v>67</v>
      </c>
      <c r="M5" s="23" t="s">
        <v>68</v>
      </c>
      <c r="N5" s="23" t="s">
        <v>70</v>
      </c>
    </row>
    <row r="6" spans="1:15" ht="22.5" customHeight="1">
      <c r="A6" s="22">
        <v>46055.431011111112</v>
      </c>
      <c r="B6" s="23" t="s">
        <v>64</v>
      </c>
      <c r="C6" s="23" t="s">
        <v>65</v>
      </c>
      <c r="J6" s="23" t="s">
        <v>66</v>
      </c>
      <c r="K6" s="23" t="s">
        <v>53</v>
      </c>
      <c r="L6" s="23" t="s">
        <v>71</v>
      </c>
      <c r="M6" s="23" t="s">
        <v>72</v>
      </c>
      <c r="N6" s="23" t="s">
        <v>73</v>
      </c>
    </row>
    <row r="7" spans="1:15" ht="22.5" customHeight="1">
      <c r="A7" s="22">
        <v>46055.431139780092</v>
      </c>
      <c r="B7" s="23" t="s">
        <v>57</v>
      </c>
      <c r="C7" s="23" t="s">
        <v>58</v>
      </c>
      <c r="D7" s="23" t="s">
        <v>59</v>
      </c>
      <c r="E7" s="23" t="s">
        <v>60</v>
      </c>
      <c r="F7" s="23" t="s">
        <v>74</v>
      </c>
      <c r="G7" s="23" t="s">
        <v>62</v>
      </c>
      <c r="H7" s="23" t="s">
        <v>75</v>
      </c>
    </row>
    <row r="8" spans="1:15" ht="22.5" customHeight="1">
      <c r="A8" s="22">
        <v>46055.494728877311</v>
      </c>
      <c r="B8" s="23" t="s">
        <v>76</v>
      </c>
      <c r="C8" s="23" t="s">
        <v>65</v>
      </c>
      <c r="J8" s="23" t="s">
        <v>77</v>
      </c>
      <c r="K8" s="23" t="s">
        <v>60</v>
      </c>
      <c r="L8" s="23" t="s">
        <v>67</v>
      </c>
      <c r="M8" s="23" t="s">
        <v>78</v>
      </c>
      <c r="N8" s="23" t="s">
        <v>79</v>
      </c>
    </row>
    <row r="9" spans="1:15" ht="22.5" customHeight="1">
      <c r="A9" s="22">
        <v>46055.508066099537</v>
      </c>
      <c r="B9" s="23" t="s">
        <v>57</v>
      </c>
      <c r="C9" s="23" t="s">
        <v>58</v>
      </c>
      <c r="D9" s="23" t="s">
        <v>59</v>
      </c>
      <c r="E9" s="23" t="s">
        <v>60</v>
      </c>
      <c r="F9" s="23" t="s">
        <v>80</v>
      </c>
      <c r="G9" s="23" t="s">
        <v>62</v>
      </c>
      <c r="H9" s="23" t="s">
        <v>81</v>
      </c>
    </row>
    <row r="10" spans="1:15" ht="22.5" customHeight="1">
      <c r="A10" s="22">
        <v>46055.521698287033</v>
      </c>
      <c r="B10" s="23" t="s">
        <v>57</v>
      </c>
      <c r="C10" s="23" t="s">
        <v>58</v>
      </c>
      <c r="D10" s="23" t="s">
        <v>59</v>
      </c>
      <c r="E10" s="23" t="s">
        <v>60</v>
      </c>
      <c r="F10" s="23" t="s">
        <v>82</v>
      </c>
      <c r="G10" s="23" t="s">
        <v>62</v>
      </c>
      <c r="H10" s="23" t="s">
        <v>83</v>
      </c>
    </row>
    <row r="11" spans="1:15" ht="22.5" customHeight="1">
      <c r="A11" s="22">
        <v>46055.544270219907</v>
      </c>
      <c r="B11" s="23" t="s">
        <v>64</v>
      </c>
      <c r="C11" s="23" t="s">
        <v>65</v>
      </c>
      <c r="J11" s="23" t="s">
        <v>66</v>
      </c>
      <c r="K11" s="23" t="s">
        <v>53</v>
      </c>
      <c r="L11" s="23" t="s">
        <v>84</v>
      </c>
      <c r="M11" s="23" t="s">
        <v>85</v>
      </c>
      <c r="N11" s="23" t="s">
        <v>86</v>
      </c>
    </row>
    <row r="12" spans="1:15" ht="22.5" customHeight="1">
      <c r="A12" s="22">
        <v>46055.592569398148</v>
      </c>
      <c r="B12" s="23" t="s">
        <v>64</v>
      </c>
      <c r="C12" s="23" t="s">
        <v>65</v>
      </c>
      <c r="J12" s="23" t="s">
        <v>66</v>
      </c>
      <c r="K12" s="23" t="s">
        <v>53</v>
      </c>
      <c r="L12" s="23" t="s">
        <v>67</v>
      </c>
      <c r="M12" s="23" t="s">
        <v>68</v>
      </c>
      <c r="N12" s="23" t="s">
        <v>87</v>
      </c>
    </row>
    <row r="13" spans="1:15" ht="22.5" customHeight="1">
      <c r="A13" s="22">
        <v>46056.343825300923</v>
      </c>
      <c r="B13" s="23" t="s">
        <v>88</v>
      </c>
      <c r="C13" s="23" t="s">
        <v>58</v>
      </c>
      <c r="D13" s="23" t="s">
        <v>59</v>
      </c>
      <c r="E13" s="23" t="s">
        <v>60</v>
      </c>
      <c r="F13" s="23" t="s">
        <v>89</v>
      </c>
      <c r="G13" s="23" t="s">
        <v>62</v>
      </c>
      <c r="H13" s="23" t="s">
        <v>90</v>
      </c>
    </row>
    <row r="14" spans="1:15" ht="22.5" customHeight="1">
      <c r="A14" s="22">
        <v>46056.344525729168</v>
      </c>
      <c r="B14" s="23" t="s">
        <v>88</v>
      </c>
      <c r="C14" s="23" t="s">
        <v>58</v>
      </c>
      <c r="D14" s="23" t="s">
        <v>59</v>
      </c>
      <c r="E14" s="23" t="s">
        <v>60</v>
      </c>
      <c r="F14" s="23" t="s">
        <v>89</v>
      </c>
      <c r="G14" s="23" t="s">
        <v>62</v>
      </c>
      <c r="H14" s="23" t="s">
        <v>91</v>
      </c>
    </row>
    <row r="15" spans="1:15" ht="22.5" customHeight="1">
      <c r="A15" s="22">
        <v>46056.433235289354</v>
      </c>
      <c r="B15" s="23" t="s">
        <v>64</v>
      </c>
      <c r="C15" s="23" t="s">
        <v>65</v>
      </c>
      <c r="J15" s="23" t="s">
        <v>66</v>
      </c>
      <c r="K15" s="23" t="s">
        <v>53</v>
      </c>
      <c r="L15" s="23" t="s">
        <v>67</v>
      </c>
      <c r="M15" s="23" t="s">
        <v>68</v>
      </c>
      <c r="N15" s="23" t="s">
        <v>92</v>
      </c>
    </row>
    <row r="16" spans="1:15" ht="22.5" customHeight="1">
      <c r="A16" s="22">
        <v>46056.434185370366</v>
      </c>
      <c r="B16" s="23" t="s">
        <v>64</v>
      </c>
      <c r="C16" s="23" t="s">
        <v>65</v>
      </c>
      <c r="J16" s="23" t="s">
        <v>66</v>
      </c>
      <c r="K16" s="23" t="s">
        <v>53</v>
      </c>
      <c r="L16" s="23" t="s">
        <v>67</v>
      </c>
      <c r="M16" s="23" t="s">
        <v>68</v>
      </c>
      <c r="N16" s="23" t="s">
        <v>93</v>
      </c>
    </row>
    <row r="17" spans="1:14" ht="22.5" customHeight="1">
      <c r="A17" s="22">
        <v>46056.435643217592</v>
      </c>
      <c r="B17" s="23" t="s">
        <v>64</v>
      </c>
      <c r="C17" s="23" t="s">
        <v>65</v>
      </c>
      <c r="J17" s="23" t="s">
        <v>66</v>
      </c>
      <c r="K17" s="23" t="s">
        <v>53</v>
      </c>
      <c r="L17" s="23" t="s">
        <v>84</v>
      </c>
      <c r="M17" s="23" t="s">
        <v>72</v>
      </c>
      <c r="N17" s="23" t="s">
        <v>94</v>
      </c>
    </row>
    <row r="18" spans="1:14" ht="22.5" customHeight="1">
      <c r="A18" s="22">
        <v>46056.465570474538</v>
      </c>
      <c r="B18" s="23" t="s">
        <v>88</v>
      </c>
      <c r="C18" s="23" t="s">
        <v>58</v>
      </c>
      <c r="D18" s="23" t="s">
        <v>59</v>
      </c>
      <c r="E18" s="23" t="s">
        <v>60</v>
      </c>
      <c r="F18" s="23" t="s">
        <v>89</v>
      </c>
      <c r="G18" s="23" t="s">
        <v>62</v>
      </c>
      <c r="H18" s="23" t="s">
        <v>95</v>
      </c>
    </row>
    <row r="19" spans="1:14" ht="22.5" customHeight="1">
      <c r="A19" s="22">
        <v>46056.531550810185</v>
      </c>
      <c r="B19" s="23" t="s">
        <v>96</v>
      </c>
      <c r="C19" s="23" t="s">
        <v>65</v>
      </c>
      <c r="J19" s="23" t="s">
        <v>97</v>
      </c>
      <c r="K19" s="23" t="s">
        <v>60</v>
      </c>
      <c r="L19" s="23" t="s">
        <v>67</v>
      </c>
      <c r="M19" s="23" t="s">
        <v>98</v>
      </c>
      <c r="N19" s="23" t="s">
        <v>99</v>
      </c>
    </row>
    <row r="20" spans="1:14" ht="22.5" customHeight="1">
      <c r="A20" s="22">
        <v>46056.577701226852</v>
      </c>
      <c r="B20" s="23" t="s">
        <v>64</v>
      </c>
      <c r="C20" s="23" t="s">
        <v>65</v>
      </c>
      <c r="J20" s="23" t="s">
        <v>100</v>
      </c>
      <c r="K20" s="23" t="s">
        <v>53</v>
      </c>
      <c r="L20" s="23" t="s">
        <v>67</v>
      </c>
      <c r="M20" s="23" t="s">
        <v>68</v>
      </c>
      <c r="N20" s="23" t="s">
        <v>101</v>
      </c>
    </row>
    <row r="21" spans="1:14" ht="22.5" customHeight="1">
      <c r="A21" s="22">
        <v>46056.578613923615</v>
      </c>
      <c r="B21" s="23" t="s">
        <v>64</v>
      </c>
      <c r="C21" s="23" t="s">
        <v>65</v>
      </c>
      <c r="J21" s="23" t="s">
        <v>100</v>
      </c>
      <c r="K21" s="23" t="s">
        <v>53</v>
      </c>
      <c r="L21" s="23" t="s">
        <v>67</v>
      </c>
      <c r="M21" s="23" t="s">
        <v>68</v>
      </c>
      <c r="N21" s="23" t="s">
        <v>102</v>
      </c>
    </row>
    <row r="22" spans="1:14" ht="22.5" customHeight="1">
      <c r="A22" s="22">
        <v>46057.447394444447</v>
      </c>
      <c r="B22" s="23" t="s">
        <v>64</v>
      </c>
      <c r="C22" s="23" t="s">
        <v>65</v>
      </c>
      <c r="J22" s="23" t="s">
        <v>66</v>
      </c>
      <c r="K22" s="23" t="s">
        <v>53</v>
      </c>
      <c r="L22" s="23" t="s">
        <v>84</v>
      </c>
      <c r="M22" s="23" t="s">
        <v>103</v>
      </c>
      <c r="N22" s="23" t="s">
        <v>104</v>
      </c>
    </row>
    <row r="23" spans="1:14" ht="22.5" customHeight="1">
      <c r="A23" s="22">
        <v>46057.448247233799</v>
      </c>
      <c r="B23" s="23" t="s">
        <v>64</v>
      </c>
      <c r="C23" s="23" t="s">
        <v>65</v>
      </c>
      <c r="J23" s="23" t="s">
        <v>66</v>
      </c>
      <c r="K23" s="23" t="s">
        <v>53</v>
      </c>
      <c r="L23" s="23" t="s">
        <v>105</v>
      </c>
      <c r="M23" s="23" t="s">
        <v>106</v>
      </c>
      <c r="N23" s="23" t="s">
        <v>107</v>
      </c>
    </row>
    <row r="24" spans="1:14" ht="22.5" customHeight="1">
      <c r="A24" s="22">
        <v>46057.620499386576</v>
      </c>
      <c r="B24" s="23" t="s">
        <v>64</v>
      </c>
      <c r="C24" s="23" t="s">
        <v>65</v>
      </c>
      <c r="J24" s="23" t="s">
        <v>66</v>
      </c>
      <c r="K24" s="23" t="s">
        <v>53</v>
      </c>
      <c r="L24" s="23" t="s">
        <v>67</v>
      </c>
      <c r="M24" s="23" t="s">
        <v>68</v>
      </c>
      <c r="N24" s="23" t="s">
        <v>108</v>
      </c>
    </row>
    <row r="25" spans="1:14" ht="22.5" customHeight="1">
      <c r="A25" s="22">
        <v>46057.621105428239</v>
      </c>
      <c r="B25" s="23" t="s">
        <v>64</v>
      </c>
      <c r="C25" s="23" t="s">
        <v>65</v>
      </c>
      <c r="J25" s="23" t="s">
        <v>66</v>
      </c>
      <c r="K25" s="23" t="s">
        <v>53</v>
      </c>
      <c r="L25" s="23" t="s">
        <v>67</v>
      </c>
      <c r="M25" s="23" t="s">
        <v>68</v>
      </c>
      <c r="N25" s="23" t="s">
        <v>109</v>
      </c>
    </row>
    <row r="26" spans="1:14" ht="22.5" customHeight="1">
      <c r="A26" s="22">
        <v>46058.374593171291</v>
      </c>
      <c r="B26" s="23" t="s">
        <v>110</v>
      </c>
      <c r="C26" s="23" t="s">
        <v>65</v>
      </c>
      <c r="J26" s="23" t="s">
        <v>111</v>
      </c>
      <c r="K26" s="23" t="s">
        <v>53</v>
      </c>
      <c r="L26" s="23" t="s">
        <v>67</v>
      </c>
      <c r="M26" s="23" t="s">
        <v>68</v>
      </c>
      <c r="N26" s="23" t="s">
        <v>112</v>
      </c>
    </row>
    <row r="27" spans="1:14" ht="22.5" customHeight="1">
      <c r="A27" s="22">
        <v>46058.375409687505</v>
      </c>
      <c r="B27" s="23" t="s">
        <v>110</v>
      </c>
      <c r="C27" s="23" t="s">
        <v>65</v>
      </c>
      <c r="J27" s="23" t="s">
        <v>111</v>
      </c>
      <c r="K27" s="23" t="s">
        <v>53</v>
      </c>
      <c r="L27" s="23" t="s">
        <v>67</v>
      </c>
      <c r="M27" s="23" t="s">
        <v>68</v>
      </c>
      <c r="N27" s="23" t="s">
        <v>113</v>
      </c>
    </row>
    <row r="28" spans="1:14" ht="22.5" customHeight="1">
      <c r="A28" s="22">
        <v>46058.377588298608</v>
      </c>
      <c r="B28" s="23" t="s">
        <v>110</v>
      </c>
      <c r="C28" s="23" t="s">
        <v>65</v>
      </c>
      <c r="J28" s="23" t="s">
        <v>114</v>
      </c>
      <c r="K28" s="23" t="s">
        <v>53</v>
      </c>
      <c r="L28" s="23" t="s">
        <v>67</v>
      </c>
      <c r="M28" s="23" t="s">
        <v>106</v>
      </c>
      <c r="N28" s="23" t="s">
        <v>115</v>
      </c>
    </row>
    <row r="29" spans="1:14" ht="22.5" customHeight="1">
      <c r="A29" s="22">
        <v>46058.379809791666</v>
      </c>
      <c r="B29" s="23" t="s">
        <v>110</v>
      </c>
      <c r="C29" s="23" t="s">
        <v>65</v>
      </c>
      <c r="J29" s="23" t="s">
        <v>116</v>
      </c>
      <c r="K29" s="23" t="s">
        <v>53</v>
      </c>
      <c r="L29" s="23" t="s">
        <v>67</v>
      </c>
      <c r="M29" s="23" t="s">
        <v>68</v>
      </c>
      <c r="N29" s="23" t="s">
        <v>117</v>
      </c>
    </row>
    <row r="30" spans="1:14" ht="22.5" customHeight="1">
      <c r="A30" s="22">
        <v>46058.563926886578</v>
      </c>
      <c r="B30" s="23" t="s">
        <v>118</v>
      </c>
      <c r="C30" s="23" t="s">
        <v>58</v>
      </c>
      <c r="D30" s="23" t="s">
        <v>59</v>
      </c>
      <c r="E30" s="23" t="s">
        <v>60</v>
      </c>
      <c r="F30" s="23" t="s">
        <v>119</v>
      </c>
      <c r="G30" s="23" t="s">
        <v>62</v>
      </c>
      <c r="H30" s="23" t="s">
        <v>120</v>
      </c>
    </row>
    <row r="31" spans="1:14" ht="22.5" customHeight="1">
      <c r="A31" s="22">
        <v>46058.564949583335</v>
      </c>
      <c r="B31" s="23" t="s">
        <v>118</v>
      </c>
      <c r="C31" s="23" t="s">
        <v>58</v>
      </c>
      <c r="D31" s="23" t="s">
        <v>59</v>
      </c>
      <c r="E31" s="23" t="s">
        <v>60</v>
      </c>
      <c r="F31" s="23" t="s">
        <v>119</v>
      </c>
      <c r="G31" s="23" t="s">
        <v>62</v>
      </c>
      <c r="H31" s="23" t="s">
        <v>121</v>
      </c>
    </row>
    <row r="32" spans="1:14" ht="22.5" customHeight="1">
      <c r="A32" s="22">
        <v>46058.565694074074</v>
      </c>
      <c r="B32" s="23" t="s">
        <v>118</v>
      </c>
      <c r="C32" s="23" t="s">
        <v>58</v>
      </c>
      <c r="D32" s="23" t="s">
        <v>59</v>
      </c>
      <c r="E32" s="23" t="s">
        <v>60</v>
      </c>
      <c r="F32" s="23" t="s">
        <v>122</v>
      </c>
      <c r="G32" s="23" t="s">
        <v>62</v>
      </c>
      <c r="H32" s="23" t="s">
        <v>123</v>
      </c>
    </row>
    <row r="33" spans="1:8" ht="22.5" customHeight="1">
      <c r="A33" s="22">
        <v>46058.566495833336</v>
      </c>
      <c r="B33" s="23" t="s">
        <v>118</v>
      </c>
      <c r="C33" s="23" t="s">
        <v>58</v>
      </c>
      <c r="D33" s="23" t="s">
        <v>59</v>
      </c>
      <c r="E33" s="23" t="s">
        <v>60</v>
      </c>
      <c r="F33" s="23" t="s">
        <v>119</v>
      </c>
      <c r="G33" s="23" t="s">
        <v>62</v>
      </c>
      <c r="H33" s="23" t="s">
        <v>124</v>
      </c>
    </row>
    <row r="34" spans="1:8" ht="22.5" customHeight="1">
      <c r="A34" s="22">
        <v>46058.567306747689</v>
      </c>
      <c r="B34" s="23" t="s">
        <v>118</v>
      </c>
      <c r="C34" s="23" t="s">
        <v>58</v>
      </c>
      <c r="D34" s="23" t="s">
        <v>59</v>
      </c>
      <c r="E34" s="23" t="s">
        <v>60</v>
      </c>
      <c r="F34" s="23" t="s">
        <v>119</v>
      </c>
      <c r="G34" s="23" t="s">
        <v>62</v>
      </c>
      <c r="H34" s="23" t="s">
        <v>125</v>
      </c>
    </row>
    <row r="35" spans="1:8" ht="22.5" customHeight="1">
      <c r="A35" s="22">
        <v>46058.567988032402</v>
      </c>
      <c r="B35" s="23" t="s">
        <v>118</v>
      </c>
      <c r="C35" s="23" t="s">
        <v>58</v>
      </c>
      <c r="D35" s="23" t="s">
        <v>59</v>
      </c>
      <c r="E35" s="23" t="s">
        <v>60</v>
      </c>
      <c r="F35" s="23" t="s">
        <v>126</v>
      </c>
      <c r="G35" s="23" t="s">
        <v>62</v>
      </c>
      <c r="H35" s="23" t="s">
        <v>127</v>
      </c>
    </row>
    <row r="36" spans="1:8" ht="22.5" customHeight="1">
      <c r="A36" s="22">
        <v>46058.569652210645</v>
      </c>
      <c r="B36" s="23" t="s">
        <v>118</v>
      </c>
      <c r="C36" s="23" t="s">
        <v>58</v>
      </c>
      <c r="D36" s="23" t="s">
        <v>128</v>
      </c>
      <c r="E36" s="23" t="s">
        <v>53</v>
      </c>
      <c r="F36" s="23" t="s">
        <v>89</v>
      </c>
      <c r="G36" s="23" t="s">
        <v>129</v>
      </c>
      <c r="H36" s="23" t="s">
        <v>130</v>
      </c>
    </row>
    <row r="37" spans="1:8" ht="22.5" customHeight="1">
      <c r="A37" s="22">
        <v>46058.570107962965</v>
      </c>
      <c r="B37" s="23" t="s">
        <v>118</v>
      </c>
      <c r="C37" s="23" t="s">
        <v>58</v>
      </c>
      <c r="D37" s="23" t="s">
        <v>128</v>
      </c>
      <c r="E37" s="23" t="s">
        <v>53</v>
      </c>
      <c r="F37" s="23" t="s">
        <v>131</v>
      </c>
      <c r="G37" s="23" t="s">
        <v>132</v>
      </c>
      <c r="H37" s="23" t="s">
        <v>130</v>
      </c>
    </row>
    <row r="38" spans="1:8" ht="22.5" customHeight="1">
      <c r="A38" s="22">
        <v>46058.570748194441</v>
      </c>
      <c r="B38" s="23" t="s">
        <v>118</v>
      </c>
      <c r="C38" s="23" t="s">
        <v>58</v>
      </c>
      <c r="D38" s="23" t="s">
        <v>128</v>
      </c>
      <c r="E38" s="23" t="s">
        <v>53</v>
      </c>
      <c r="F38" s="23" t="s">
        <v>131</v>
      </c>
      <c r="G38" s="23" t="s">
        <v>129</v>
      </c>
      <c r="H38" s="23" t="s">
        <v>133</v>
      </c>
    </row>
    <row r="39" spans="1:8" ht="22.5" customHeight="1">
      <c r="A39" s="22">
        <v>46058.571332569445</v>
      </c>
      <c r="B39" s="23" t="s">
        <v>118</v>
      </c>
      <c r="C39" s="23" t="s">
        <v>58</v>
      </c>
      <c r="D39" s="23" t="s">
        <v>128</v>
      </c>
      <c r="E39" s="23" t="s">
        <v>53</v>
      </c>
      <c r="F39" s="23" t="s">
        <v>89</v>
      </c>
      <c r="G39" s="23" t="s">
        <v>129</v>
      </c>
      <c r="H39" s="23" t="s">
        <v>134</v>
      </c>
    </row>
    <row r="40" spans="1:8" ht="22.5" customHeight="1">
      <c r="A40" s="22">
        <v>46058.573342731484</v>
      </c>
      <c r="B40" s="23" t="s">
        <v>118</v>
      </c>
      <c r="C40" s="23" t="s">
        <v>58</v>
      </c>
      <c r="D40" s="23" t="s">
        <v>114</v>
      </c>
      <c r="E40" s="23" t="s">
        <v>53</v>
      </c>
      <c r="F40" s="23" t="s">
        <v>135</v>
      </c>
      <c r="G40" s="23" t="s">
        <v>136</v>
      </c>
      <c r="H40" s="23" t="s">
        <v>137</v>
      </c>
    </row>
    <row r="41" spans="1:8" ht="22.5" customHeight="1">
      <c r="A41" s="22">
        <v>46058.574506238423</v>
      </c>
      <c r="B41" s="23" t="s">
        <v>118</v>
      </c>
      <c r="C41" s="23" t="s">
        <v>58</v>
      </c>
      <c r="D41" s="23" t="s">
        <v>114</v>
      </c>
      <c r="E41" s="23" t="s">
        <v>53</v>
      </c>
      <c r="F41" s="23" t="s">
        <v>131</v>
      </c>
      <c r="G41" s="23" t="s">
        <v>106</v>
      </c>
      <c r="H41" s="23" t="s">
        <v>138</v>
      </c>
    </row>
    <row r="42" spans="1:8" ht="22.5" customHeight="1">
      <c r="A42" s="22">
        <v>46058.575991412035</v>
      </c>
      <c r="B42" s="23" t="s">
        <v>118</v>
      </c>
      <c r="C42" s="23" t="s">
        <v>58</v>
      </c>
      <c r="D42" s="23" t="s">
        <v>114</v>
      </c>
      <c r="E42" s="23" t="s">
        <v>53</v>
      </c>
      <c r="F42" s="23" t="s">
        <v>131</v>
      </c>
      <c r="G42" s="23" t="s">
        <v>106</v>
      </c>
      <c r="H42" s="23" t="s">
        <v>139</v>
      </c>
    </row>
    <row r="43" spans="1:8" ht="22.5" customHeight="1">
      <c r="A43" s="22">
        <v>46058.576636620375</v>
      </c>
      <c r="B43" s="23" t="s">
        <v>118</v>
      </c>
      <c r="C43" s="23" t="s">
        <v>58</v>
      </c>
      <c r="D43" s="23" t="s">
        <v>114</v>
      </c>
      <c r="E43" s="23" t="s">
        <v>53</v>
      </c>
      <c r="F43" s="23" t="s">
        <v>89</v>
      </c>
      <c r="G43" s="23" t="s">
        <v>106</v>
      </c>
      <c r="H43" s="23" t="s">
        <v>139</v>
      </c>
    </row>
    <row r="44" spans="1:8" ht="22.5" customHeight="1">
      <c r="A44" s="22">
        <v>46058.58053762732</v>
      </c>
      <c r="B44" s="23" t="s">
        <v>118</v>
      </c>
      <c r="C44" s="23" t="s">
        <v>58</v>
      </c>
      <c r="D44" s="23" t="s">
        <v>114</v>
      </c>
      <c r="E44" s="23" t="s">
        <v>53</v>
      </c>
      <c r="F44" s="23" t="s">
        <v>131</v>
      </c>
      <c r="G44" s="23" t="s">
        <v>140</v>
      </c>
      <c r="H44" s="23" t="s">
        <v>141</v>
      </c>
    </row>
    <row r="45" spans="1:8" ht="22.5" customHeight="1">
      <c r="A45" s="22">
        <v>46058.580933032412</v>
      </c>
      <c r="B45" s="23" t="s">
        <v>118</v>
      </c>
      <c r="C45" s="23" t="s">
        <v>58</v>
      </c>
      <c r="D45" s="23" t="s">
        <v>114</v>
      </c>
      <c r="E45" s="23" t="s">
        <v>53</v>
      </c>
      <c r="F45" s="23" t="s">
        <v>89</v>
      </c>
      <c r="G45" s="23" t="s">
        <v>136</v>
      </c>
      <c r="H45" s="23" t="s">
        <v>141</v>
      </c>
    </row>
    <row r="46" spans="1:8" ht="22.5" customHeight="1">
      <c r="A46" s="22">
        <v>46058.58156259259</v>
      </c>
      <c r="B46" s="23" t="s">
        <v>118</v>
      </c>
      <c r="C46" s="23" t="s">
        <v>58</v>
      </c>
      <c r="D46" s="23" t="s">
        <v>114</v>
      </c>
      <c r="E46" s="23" t="s">
        <v>53</v>
      </c>
      <c r="F46" s="23" t="s">
        <v>135</v>
      </c>
      <c r="G46" s="23" t="s">
        <v>142</v>
      </c>
      <c r="H46" s="23" t="s">
        <v>143</v>
      </c>
    </row>
    <row r="47" spans="1:8" ht="22.5" customHeight="1">
      <c r="A47" s="22">
        <v>46058.582280243056</v>
      </c>
      <c r="B47" s="23" t="s">
        <v>118</v>
      </c>
      <c r="C47" s="23" t="s">
        <v>58</v>
      </c>
      <c r="D47" s="23" t="s">
        <v>114</v>
      </c>
      <c r="E47" s="23" t="s">
        <v>53</v>
      </c>
      <c r="F47" s="23" t="s">
        <v>89</v>
      </c>
      <c r="G47" s="23" t="s">
        <v>144</v>
      </c>
      <c r="H47" s="23" t="s">
        <v>145</v>
      </c>
    </row>
    <row r="48" spans="1:8" ht="22.5" customHeight="1">
      <c r="A48" s="22">
        <v>46058.583962777775</v>
      </c>
      <c r="B48" s="23" t="s">
        <v>118</v>
      </c>
      <c r="C48" s="23" t="s">
        <v>58</v>
      </c>
      <c r="D48" s="23" t="s">
        <v>114</v>
      </c>
      <c r="E48" s="23" t="s">
        <v>53</v>
      </c>
      <c r="F48" s="23" t="s">
        <v>89</v>
      </c>
      <c r="G48" s="23" t="s">
        <v>144</v>
      </c>
      <c r="H48" s="23" t="s">
        <v>146</v>
      </c>
    </row>
    <row r="49" spans="1:14" ht="22.5" customHeight="1">
      <c r="A49" s="22">
        <v>46058.586670358796</v>
      </c>
      <c r="B49" s="23" t="s">
        <v>118</v>
      </c>
      <c r="C49" s="23" t="s">
        <v>58</v>
      </c>
      <c r="D49" s="23" t="s">
        <v>114</v>
      </c>
      <c r="E49" s="23" t="s">
        <v>53</v>
      </c>
      <c r="F49" s="23" t="s">
        <v>80</v>
      </c>
      <c r="G49" s="23" t="s">
        <v>147</v>
      </c>
      <c r="H49" s="23" t="s">
        <v>148</v>
      </c>
    </row>
    <row r="50" spans="1:14" ht="22.5" customHeight="1">
      <c r="A50" s="22">
        <v>46058.58792578704</v>
      </c>
      <c r="B50" s="23" t="s">
        <v>118</v>
      </c>
      <c r="C50" s="23" t="s">
        <v>58</v>
      </c>
      <c r="D50" s="23" t="s">
        <v>114</v>
      </c>
      <c r="E50" s="23" t="s">
        <v>53</v>
      </c>
      <c r="F50" s="23" t="s">
        <v>149</v>
      </c>
      <c r="G50" s="23" t="s">
        <v>106</v>
      </c>
      <c r="H50" s="23" t="s">
        <v>138</v>
      </c>
    </row>
    <row r="51" spans="1:14" ht="22.5" customHeight="1">
      <c r="A51" s="22">
        <v>46058.593066319445</v>
      </c>
      <c r="B51" s="23" t="s">
        <v>118</v>
      </c>
      <c r="C51" s="23" t="s">
        <v>58</v>
      </c>
      <c r="D51" s="23" t="s">
        <v>114</v>
      </c>
      <c r="E51" s="23" t="s">
        <v>53</v>
      </c>
      <c r="F51" s="23" t="s">
        <v>89</v>
      </c>
      <c r="G51" s="23" t="s">
        <v>129</v>
      </c>
      <c r="H51" s="23" t="s">
        <v>150</v>
      </c>
    </row>
    <row r="52" spans="1:14" ht="22.5" customHeight="1">
      <c r="A52" s="22">
        <v>46058.594158009262</v>
      </c>
      <c r="B52" s="23" t="s">
        <v>118</v>
      </c>
      <c r="C52" s="23" t="s">
        <v>58</v>
      </c>
      <c r="D52" s="23" t="s">
        <v>114</v>
      </c>
      <c r="E52" s="23" t="s">
        <v>53</v>
      </c>
      <c r="F52" s="23" t="s">
        <v>61</v>
      </c>
      <c r="G52" s="23" t="s">
        <v>106</v>
      </c>
      <c r="H52" s="23" t="s">
        <v>151</v>
      </c>
    </row>
    <row r="53" spans="1:14" ht="22.5" customHeight="1">
      <c r="A53" s="22">
        <v>46058.594741504625</v>
      </c>
      <c r="B53" s="23" t="s">
        <v>118</v>
      </c>
      <c r="C53" s="23" t="s">
        <v>58</v>
      </c>
      <c r="D53" s="23" t="s">
        <v>114</v>
      </c>
      <c r="E53" s="23" t="s">
        <v>53</v>
      </c>
      <c r="F53" s="23" t="s">
        <v>61</v>
      </c>
      <c r="G53" s="23" t="s">
        <v>106</v>
      </c>
      <c r="H53" s="23" t="s">
        <v>152</v>
      </c>
    </row>
    <row r="54" spans="1:14" ht="22.5" customHeight="1">
      <c r="A54" s="22">
        <v>46058.595514351851</v>
      </c>
      <c r="B54" s="23" t="s">
        <v>118</v>
      </c>
      <c r="C54" s="23" t="s">
        <v>58</v>
      </c>
      <c r="D54" s="23" t="s">
        <v>114</v>
      </c>
      <c r="E54" s="23" t="s">
        <v>53</v>
      </c>
      <c r="F54" s="23" t="s">
        <v>153</v>
      </c>
      <c r="G54" s="23" t="s">
        <v>106</v>
      </c>
      <c r="H54" s="23" t="s">
        <v>138</v>
      </c>
    </row>
    <row r="55" spans="1:14" ht="22.5" customHeight="1">
      <c r="A55" s="22">
        <v>46058.596348692125</v>
      </c>
      <c r="B55" s="23" t="s">
        <v>118</v>
      </c>
      <c r="C55" s="23" t="s">
        <v>58</v>
      </c>
      <c r="D55" s="23" t="s">
        <v>114</v>
      </c>
      <c r="E55" s="23" t="s">
        <v>53</v>
      </c>
      <c r="F55" s="23" t="s">
        <v>154</v>
      </c>
      <c r="G55" s="23" t="s">
        <v>106</v>
      </c>
      <c r="H55" s="23" t="s">
        <v>155</v>
      </c>
    </row>
    <row r="56" spans="1:14" ht="22.5" customHeight="1">
      <c r="A56" s="22">
        <v>46058.598512627315</v>
      </c>
      <c r="B56" s="23" t="s">
        <v>118</v>
      </c>
      <c r="C56" s="23" t="s">
        <v>58</v>
      </c>
      <c r="D56" s="23" t="s">
        <v>114</v>
      </c>
      <c r="E56" s="23" t="s">
        <v>53</v>
      </c>
      <c r="F56" s="23" t="s">
        <v>61</v>
      </c>
      <c r="G56" s="23" t="s">
        <v>106</v>
      </c>
      <c r="H56" s="23" t="s">
        <v>156</v>
      </c>
    </row>
    <row r="57" spans="1:14" ht="22.5" customHeight="1">
      <c r="A57" s="22">
        <v>46058.59926368056</v>
      </c>
      <c r="B57" s="23" t="s">
        <v>118</v>
      </c>
      <c r="C57" s="23" t="s">
        <v>58</v>
      </c>
      <c r="D57" s="23" t="s">
        <v>114</v>
      </c>
      <c r="E57" s="23" t="s">
        <v>53</v>
      </c>
      <c r="F57" s="23" t="s">
        <v>89</v>
      </c>
      <c r="G57" s="23" t="s">
        <v>106</v>
      </c>
      <c r="H57" s="23" t="s">
        <v>138</v>
      </c>
    </row>
    <row r="58" spans="1:14" ht="22.5" customHeight="1">
      <c r="A58" s="22">
        <v>46058.60043810185</v>
      </c>
      <c r="B58" s="23" t="s">
        <v>118</v>
      </c>
      <c r="C58" s="23" t="s">
        <v>58</v>
      </c>
      <c r="D58" s="23" t="s">
        <v>114</v>
      </c>
      <c r="E58" s="23" t="s">
        <v>53</v>
      </c>
      <c r="F58" s="23" t="s">
        <v>157</v>
      </c>
      <c r="G58" s="23" t="s">
        <v>106</v>
      </c>
      <c r="H58" s="23" t="s">
        <v>158</v>
      </c>
    </row>
    <row r="59" spans="1:14" ht="22.5" customHeight="1">
      <c r="A59" s="22">
        <v>46060.387287175923</v>
      </c>
      <c r="B59" s="23" t="s">
        <v>96</v>
      </c>
      <c r="C59" s="23" t="s">
        <v>65</v>
      </c>
      <c r="J59" s="23" t="s">
        <v>97</v>
      </c>
      <c r="K59" s="23" t="s">
        <v>60</v>
      </c>
      <c r="L59" s="23" t="s">
        <v>159</v>
      </c>
      <c r="M59" s="23" t="s">
        <v>160</v>
      </c>
      <c r="N59" s="23" t="s">
        <v>161</v>
      </c>
    </row>
    <row r="60" spans="1:14" ht="22.5" customHeight="1">
      <c r="A60" s="22">
        <v>46060.399768622687</v>
      </c>
      <c r="B60" s="23" t="s">
        <v>57</v>
      </c>
      <c r="C60" s="23" t="s">
        <v>58</v>
      </c>
      <c r="D60" s="23" t="s">
        <v>59</v>
      </c>
      <c r="E60" s="23" t="s">
        <v>60</v>
      </c>
      <c r="F60" s="23" t="s">
        <v>61</v>
      </c>
      <c r="G60" s="23" t="s">
        <v>162</v>
      </c>
      <c r="H60" s="23" t="s">
        <v>163</v>
      </c>
    </row>
    <row r="61" spans="1:14" ht="22.5" customHeight="1">
      <c r="A61" s="22">
        <v>46060.418477905092</v>
      </c>
      <c r="B61" s="23" t="s">
        <v>64</v>
      </c>
      <c r="C61" s="23" t="s">
        <v>65</v>
      </c>
      <c r="J61" s="23" t="s">
        <v>164</v>
      </c>
      <c r="K61" s="23" t="s">
        <v>53</v>
      </c>
      <c r="L61" s="23" t="s">
        <v>84</v>
      </c>
      <c r="M61" s="23" t="s">
        <v>85</v>
      </c>
      <c r="N61" s="23" t="s">
        <v>165</v>
      </c>
    </row>
    <row r="62" spans="1:14" ht="22.5" customHeight="1">
      <c r="A62" s="22">
        <v>46060.437495335646</v>
      </c>
      <c r="B62" s="23" t="s">
        <v>64</v>
      </c>
      <c r="C62" s="23" t="s">
        <v>65</v>
      </c>
      <c r="J62" s="23" t="s">
        <v>128</v>
      </c>
      <c r="K62" s="23" t="s">
        <v>53</v>
      </c>
      <c r="L62" s="23" t="s">
        <v>166</v>
      </c>
      <c r="M62" s="23" t="s">
        <v>85</v>
      </c>
      <c r="N62" s="23" t="s">
        <v>167</v>
      </c>
    </row>
    <row r="63" spans="1:14" ht="22.5" customHeight="1">
      <c r="A63" s="22">
        <v>46060.439654571761</v>
      </c>
      <c r="B63" s="23" t="s">
        <v>64</v>
      </c>
      <c r="C63" s="23" t="s">
        <v>65</v>
      </c>
      <c r="J63" s="23" t="s">
        <v>128</v>
      </c>
      <c r="K63" s="23" t="s">
        <v>53</v>
      </c>
      <c r="L63" s="23" t="s">
        <v>105</v>
      </c>
      <c r="M63" s="23" t="s">
        <v>168</v>
      </c>
      <c r="N63" s="23" t="s">
        <v>169</v>
      </c>
    </row>
    <row r="64" spans="1:14" ht="22.5" customHeight="1">
      <c r="A64" s="22">
        <v>46060.44035164352</v>
      </c>
      <c r="B64" s="23" t="s">
        <v>64</v>
      </c>
      <c r="C64" s="23" t="s">
        <v>65</v>
      </c>
      <c r="J64" s="23" t="s">
        <v>128</v>
      </c>
      <c r="K64" s="23" t="s">
        <v>53</v>
      </c>
      <c r="L64" s="23" t="s">
        <v>67</v>
      </c>
      <c r="M64" s="23" t="s">
        <v>68</v>
      </c>
      <c r="N64" s="23" t="s">
        <v>170</v>
      </c>
    </row>
    <row r="65" spans="1:14" ht="22.5" customHeight="1">
      <c r="A65" s="22">
        <v>46060.441233738427</v>
      </c>
      <c r="B65" s="23" t="s">
        <v>64</v>
      </c>
      <c r="C65" s="23" t="s">
        <v>65</v>
      </c>
      <c r="J65" s="23" t="s">
        <v>128</v>
      </c>
      <c r="K65" s="23" t="s">
        <v>53</v>
      </c>
      <c r="L65" s="23" t="s">
        <v>67</v>
      </c>
      <c r="M65" s="23" t="s">
        <v>68</v>
      </c>
      <c r="N65" s="23" t="s">
        <v>171</v>
      </c>
    </row>
    <row r="66" spans="1:14" ht="22.5" customHeight="1">
      <c r="A66" s="22">
        <v>46060.442857835646</v>
      </c>
      <c r="B66" s="23" t="s">
        <v>64</v>
      </c>
      <c r="C66" s="23" t="s">
        <v>65</v>
      </c>
      <c r="J66" s="23" t="s">
        <v>128</v>
      </c>
      <c r="K66" s="23" t="s">
        <v>53</v>
      </c>
      <c r="L66" s="23" t="s">
        <v>172</v>
      </c>
      <c r="M66" s="23" t="s">
        <v>85</v>
      </c>
      <c r="N66" s="23" t="s">
        <v>173</v>
      </c>
    </row>
    <row r="67" spans="1:14" ht="22.5" customHeight="1">
      <c r="A67" s="22">
        <v>46060.512308113422</v>
      </c>
      <c r="B67" s="23" t="s">
        <v>64</v>
      </c>
      <c r="C67" s="23" t="s">
        <v>65</v>
      </c>
      <c r="J67" s="23" t="s">
        <v>128</v>
      </c>
      <c r="K67" s="23" t="s">
        <v>53</v>
      </c>
      <c r="L67" s="23" t="s">
        <v>105</v>
      </c>
      <c r="M67" s="23" t="s">
        <v>98</v>
      </c>
      <c r="N67" s="23" t="s">
        <v>174</v>
      </c>
    </row>
    <row r="68" spans="1:14" ht="22.5" customHeight="1">
      <c r="A68" s="22">
        <v>46060.51917511574</v>
      </c>
      <c r="B68" s="23" t="s">
        <v>57</v>
      </c>
      <c r="C68" s="23" t="s">
        <v>58</v>
      </c>
      <c r="D68" s="23" t="s">
        <v>59</v>
      </c>
      <c r="E68" s="23" t="s">
        <v>60</v>
      </c>
      <c r="F68" s="23" t="s">
        <v>131</v>
      </c>
      <c r="G68" s="23" t="s">
        <v>62</v>
      </c>
      <c r="H68" s="23" t="s">
        <v>175</v>
      </c>
    </row>
    <row r="69" spans="1:14" ht="22.5" customHeight="1">
      <c r="A69" s="22">
        <v>46060.519833587961</v>
      </c>
      <c r="B69" s="23" t="s">
        <v>57</v>
      </c>
      <c r="C69" s="23" t="s">
        <v>58</v>
      </c>
      <c r="D69" s="23" t="s">
        <v>59</v>
      </c>
      <c r="E69" s="23" t="s">
        <v>60</v>
      </c>
      <c r="F69" s="23" t="s">
        <v>131</v>
      </c>
      <c r="G69" s="23" t="s">
        <v>162</v>
      </c>
      <c r="H69" s="23" t="s">
        <v>176</v>
      </c>
    </row>
    <row r="70" spans="1:14" ht="22.5" customHeight="1">
      <c r="A70" s="22">
        <v>46060.520619722221</v>
      </c>
      <c r="B70" s="23" t="s">
        <v>57</v>
      </c>
      <c r="C70" s="23" t="s">
        <v>58</v>
      </c>
      <c r="D70" s="23" t="s">
        <v>59</v>
      </c>
      <c r="E70" s="23" t="s">
        <v>60</v>
      </c>
      <c r="F70" s="23" t="s">
        <v>131</v>
      </c>
      <c r="G70" s="23" t="s">
        <v>62</v>
      </c>
      <c r="H70" s="23" t="s">
        <v>177</v>
      </c>
    </row>
    <row r="71" spans="1:14" ht="22.5" customHeight="1">
      <c r="A71" s="22">
        <v>46060.52140957176</v>
      </c>
      <c r="B71" s="23" t="s">
        <v>57</v>
      </c>
      <c r="C71" s="23" t="s">
        <v>58</v>
      </c>
      <c r="D71" s="23" t="s">
        <v>59</v>
      </c>
      <c r="E71" s="23" t="s">
        <v>60</v>
      </c>
      <c r="F71" s="23" t="s">
        <v>131</v>
      </c>
      <c r="G71" s="23" t="s">
        <v>62</v>
      </c>
      <c r="H71" s="23" t="s">
        <v>178</v>
      </c>
    </row>
    <row r="72" spans="1:14" ht="22.5" customHeight="1">
      <c r="A72" s="22">
        <v>46060.522029687505</v>
      </c>
      <c r="B72" s="23" t="s">
        <v>57</v>
      </c>
      <c r="C72" s="23" t="s">
        <v>58</v>
      </c>
      <c r="D72" s="23" t="s">
        <v>59</v>
      </c>
      <c r="E72" s="23" t="s">
        <v>60</v>
      </c>
      <c r="F72" s="23" t="s">
        <v>131</v>
      </c>
      <c r="G72" s="23" t="s">
        <v>147</v>
      </c>
      <c r="H72" s="23" t="s">
        <v>179</v>
      </c>
    </row>
    <row r="73" spans="1:14" ht="22.5" customHeight="1">
      <c r="A73" s="22">
        <v>46060.52258527778</v>
      </c>
      <c r="B73" s="23" t="s">
        <v>57</v>
      </c>
      <c r="C73" s="23" t="s">
        <v>58</v>
      </c>
      <c r="D73" s="23" t="s">
        <v>59</v>
      </c>
      <c r="E73" s="23" t="s">
        <v>60</v>
      </c>
      <c r="F73" s="23" t="s">
        <v>74</v>
      </c>
      <c r="G73" s="23" t="s">
        <v>147</v>
      </c>
      <c r="H73" s="23" t="s">
        <v>180</v>
      </c>
    </row>
    <row r="74" spans="1:14" ht="22.5" customHeight="1">
      <c r="A74" s="22">
        <v>46061.307762835648</v>
      </c>
      <c r="B74" s="23" t="s">
        <v>181</v>
      </c>
      <c r="C74" s="23" t="s">
        <v>58</v>
      </c>
      <c r="D74" s="23" t="s">
        <v>116</v>
      </c>
      <c r="E74" s="23" t="s">
        <v>53</v>
      </c>
      <c r="F74" s="23" t="s">
        <v>182</v>
      </c>
      <c r="G74" s="23" t="s">
        <v>183</v>
      </c>
      <c r="H74" s="23" t="s">
        <v>184</v>
      </c>
    </row>
    <row r="75" spans="1:14" ht="22.5" customHeight="1">
      <c r="A75" s="22">
        <v>46061.308809409718</v>
      </c>
      <c r="B75" s="23" t="s">
        <v>181</v>
      </c>
      <c r="C75" s="23" t="s">
        <v>58</v>
      </c>
      <c r="D75" s="23" t="s">
        <v>116</v>
      </c>
      <c r="E75" s="23" t="s">
        <v>53</v>
      </c>
      <c r="F75" s="23" t="s">
        <v>185</v>
      </c>
      <c r="G75" s="23" t="s">
        <v>186</v>
      </c>
      <c r="H75" s="23" t="s">
        <v>187</v>
      </c>
    </row>
    <row r="76" spans="1:14" ht="22.5" customHeight="1">
      <c r="A76" s="22">
        <v>46061.309071041665</v>
      </c>
      <c r="B76" s="23" t="s">
        <v>181</v>
      </c>
      <c r="C76" s="23" t="s">
        <v>58</v>
      </c>
      <c r="D76" s="23" t="s">
        <v>116</v>
      </c>
      <c r="E76" s="23" t="s">
        <v>53</v>
      </c>
      <c r="F76" s="23" t="s">
        <v>185</v>
      </c>
      <c r="G76" s="23" t="s">
        <v>62</v>
      </c>
      <c r="H76" s="23" t="s">
        <v>188</v>
      </c>
    </row>
    <row r="77" spans="1:14" ht="22.5" customHeight="1">
      <c r="A77" s="22">
        <v>46061.309898576394</v>
      </c>
      <c r="B77" s="23" t="s">
        <v>181</v>
      </c>
      <c r="C77" s="23" t="s">
        <v>58</v>
      </c>
      <c r="D77" s="23" t="s">
        <v>116</v>
      </c>
      <c r="E77" s="23" t="s">
        <v>53</v>
      </c>
      <c r="F77" s="23" t="s">
        <v>154</v>
      </c>
      <c r="G77" s="23" t="s">
        <v>62</v>
      </c>
      <c r="H77" s="23" t="s">
        <v>189</v>
      </c>
    </row>
    <row r="78" spans="1:14" ht="22.5" customHeight="1">
      <c r="A78" s="22">
        <v>46061.310574131945</v>
      </c>
      <c r="B78" s="23" t="s">
        <v>181</v>
      </c>
      <c r="C78" s="23" t="s">
        <v>58</v>
      </c>
      <c r="D78" s="23" t="s">
        <v>116</v>
      </c>
      <c r="E78" s="23" t="s">
        <v>53</v>
      </c>
      <c r="F78" s="23" t="s">
        <v>153</v>
      </c>
      <c r="G78" s="23" t="s">
        <v>190</v>
      </c>
      <c r="H78" s="23" t="s">
        <v>191</v>
      </c>
    </row>
    <row r="79" spans="1:14" ht="22.5" customHeight="1">
      <c r="A79" s="22">
        <v>46061.313667499999</v>
      </c>
      <c r="B79" s="23" t="s">
        <v>181</v>
      </c>
      <c r="C79" s="23" t="s">
        <v>58</v>
      </c>
      <c r="D79" s="23" t="s">
        <v>116</v>
      </c>
      <c r="E79" s="23" t="s">
        <v>53</v>
      </c>
      <c r="F79" s="23" t="s">
        <v>89</v>
      </c>
      <c r="G79" s="23" t="s">
        <v>62</v>
      </c>
      <c r="H79" s="23" t="s">
        <v>192</v>
      </c>
    </row>
    <row r="80" spans="1:14" ht="22.5" customHeight="1">
      <c r="A80" s="22">
        <v>46061.314449803242</v>
      </c>
      <c r="B80" s="23" t="s">
        <v>181</v>
      </c>
      <c r="C80" s="23" t="s">
        <v>58</v>
      </c>
      <c r="D80" s="23" t="s">
        <v>116</v>
      </c>
      <c r="E80" s="23" t="s">
        <v>53</v>
      </c>
      <c r="F80" s="23" t="s">
        <v>74</v>
      </c>
      <c r="G80" s="23" t="s">
        <v>193</v>
      </c>
      <c r="H80" s="23" t="s">
        <v>194</v>
      </c>
    </row>
    <row r="81" spans="1:8" ht="22.5" customHeight="1">
      <c r="A81" s="22">
        <v>46061.315706238427</v>
      </c>
      <c r="B81" s="23" t="s">
        <v>181</v>
      </c>
      <c r="C81" s="23" t="s">
        <v>58</v>
      </c>
      <c r="D81" s="23" t="s">
        <v>116</v>
      </c>
      <c r="E81" s="23" t="s">
        <v>53</v>
      </c>
      <c r="F81" s="23" t="s">
        <v>74</v>
      </c>
      <c r="G81" s="23" t="s">
        <v>62</v>
      </c>
      <c r="H81" s="23" t="s">
        <v>195</v>
      </c>
    </row>
    <row r="82" spans="1:8" ht="22.5" customHeight="1">
      <c r="A82" s="22">
        <v>46061.316087129628</v>
      </c>
      <c r="B82" s="23" t="s">
        <v>181</v>
      </c>
      <c r="C82" s="23" t="s">
        <v>58</v>
      </c>
      <c r="D82" s="23" t="s">
        <v>116</v>
      </c>
      <c r="E82" s="23" t="s">
        <v>53</v>
      </c>
      <c r="F82" s="23" t="s">
        <v>196</v>
      </c>
      <c r="G82" s="23" t="s">
        <v>55</v>
      </c>
      <c r="H82" s="23" t="s">
        <v>197</v>
      </c>
    </row>
    <row r="83" spans="1:8" ht="22.5" customHeight="1">
      <c r="A83" s="22">
        <v>46061.31663494213</v>
      </c>
      <c r="B83" s="23" t="s">
        <v>181</v>
      </c>
      <c r="C83" s="23" t="s">
        <v>58</v>
      </c>
      <c r="D83" s="23" t="s">
        <v>116</v>
      </c>
      <c r="E83" s="23" t="s">
        <v>53</v>
      </c>
      <c r="F83" s="23" t="s">
        <v>89</v>
      </c>
      <c r="G83" s="23" t="s">
        <v>198</v>
      </c>
      <c r="H83" s="23" t="s">
        <v>199</v>
      </c>
    </row>
    <row r="84" spans="1:8" ht="22.5" customHeight="1">
      <c r="A84" s="22">
        <v>46061.317360451387</v>
      </c>
      <c r="B84" s="23" t="s">
        <v>181</v>
      </c>
      <c r="C84" s="23" t="s">
        <v>58</v>
      </c>
      <c r="D84" s="23" t="s">
        <v>116</v>
      </c>
      <c r="E84" s="23" t="s">
        <v>53</v>
      </c>
      <c r="F84" s="23" t="s">
        <v>131</v>
      </c>
      <c r="G84" s="23" t="s">
        <v>200</v>
      </c>
      <c r="H84" s="23" t="s">
        <v>201</v>
      </c>
    </row>
    <row r="85" spans="1:8" ht="22.5" customHeight="1">
      <c r="A85" s="22">
        <v>46061.319498263889</v>
      </c>
      <c r="B85" s="23" t="s">
        <v>181</v>
      </c>
      <c r="C85" s="23" t="s">
        <v>58</v>
      </c>
      <c r="D85" s="23" t="s">
        <v>116</v>
      </c>
      <c r="E85" s="23" t="s">
        <v>53</v>
      </c>
      <c r="F85" s="23" t="s">
        <v>135</v>
      </c>
      <c r="G85" s="23" t="s">
        <v>183</v>
      </c>
      <c r="H85" s="23" t="s">
        <v>202</v>
      </c>
    </row>
    <row r="86" spans="1:8" ht="22.5" customHeight="1">
      <c r="A86" s="22">
        <v>46061.319948715274</v>
      </c>
      <c r="B86" s="23" t="s">
        <v>181</v>
      </c>
      <c r="C86" s="23" t="s">
        <v>58</v>
      </c>
      <c r="D86" s="23" t="s">
        <v>116</v>
      </c>
      <c r="E86" s="23" t="s">
        <v>53</v>
      </c>
      <c r="F86" s="23" t="s">
        <v>153</v>
      </c>
      <c r="G86" s="23" t="s">
        <v>183</v>
      </c>
      <c r="H86" s="23" t="s">
        <v>203</v>
      </c>
    </row>
    <row r="87" spans="1:8" ht="22.5" customHeight="1">
      <c r="A87" s="22">
        <v>46061.320633726849</v>
      </c>
      <c r="B87" s="23" t="s">
        <v>181</v>
      </c>
      <c r="C87" s="23" t="s">
        <v>58</v>
      </c>
      <c r="D87" s="23" t="s">
        <v>116</v>
      </c>
      <c r="E87" s="23" t="s">
        <v>53</v>
      </c>
      <c r="F87" s="23" t="s">
        <v>149</v>
      </c>
      <c r="G87" s="23" t="s">
        <v>204</v>
      </c>
      <c r="H87" s="23" t="s">
        <v>205</v>
      </c>
    </row>
    <row r="88" spans="1:8" ht="22.5" customHeight="1">
      <c r="A88" s="22">
        <v>46061.321186284724</v>
      </c>
      <c r="B88" s="23" t="s">
        <v>181</v>
      </c>
      <c r="C88" s="23" t="s">
        <v>58</v>
      </c>
      <c r="D88" s="23" t="s">
        <v>116</v>
      </c>
      <c r="E88" s="23" t="s">
        <v>53</v>
      </c>
      <c r="F88" s="23" t="s">
        <v>206</v>
      </c>
      <c r="G88" s="23" t="s">
        <v>207</v>
      </c>
      <c r="H88" s="23" t="s">
        <v>208</v>
      </c>
    </row>
    <row r="89" spans="1:8" ht="22.5" customHeight="1">
      <c r="A89" s="22">
        <v>46061.321492523144</v>
      </c>
      <c r="B89" s="23" t="s">
        <v>181</v>
      </c>
      <c r="C89" s="23" t="s">
        <v>58</v>
      </c>
      <c r="D89" s="23" t="s">
        <v>116</v>
      </c>
      <c r="E89" s="23" t="s">
        <v>53</v>
      </c>
      <c r="F89" s="23" t="s">
        <v>209</v>
      </c>
      <c r="G89" s="23" t="s">
        <v>62</v>
      </c>
      <c r="H89" s="23" t="s">
        <v>210</v>
      </c>
    </row>
    <row r="90" spans="1:8" ht="22.5" customHeight="1">
      <c r="A90" s="22">
        <v>46061.322036134261</v>
      </c>
      <c r="B90" s="23" t="s">
        <v>181</v>
      </c>
      <c r="C90" s="23" t="s">
        <v>58</v>
      </c>
      <c r="D90" s="23" t="s">
        <v>116</v>
      </c>
      <c r="E90" s="23" t="s">
        <v>53</v>
      </c>
      <c r="F90" s="23" t="s">
        <v>74</v>
      </c>
      <c r="G90" s="23" t="s">
        <v>211</v>
      </c>
      <c r="H90" s="23" t="s">
        <v>212</v>
      </c>
    </row>
    <row r="91" spans="1:8" ht="22.5" customHeight="1">
      <c r="A91" s="22">
        <v>46061.322530844904</v>
      </c>
      <c r="B91" s="23" t="s">
        <v>181</v>
      </c>
      <c r="C91" s="23" t="s">
        <v>58</v>
      </c>
      <c r="D91" s="23" t="s">
        <v>116</v>
      </c>
      <c r="E91" s="23" t="s">
        <v>53</v>
      </c>
      <c r="F91" s="23" t="s">
        <v>213</v>
      </c>
      <c r="G91" s="23" t="s">
        <v>183</v>
      </c>
      <c r="H91" s="23" t="s">
        <v>214</v>
      </c>
    </row>
    <row r="92" spans="1:8" ht="22.5" customHeight="1">
      <c r="A92" s="22">
        <v>46061.323266562496</v>
      </c>
      <c r="B92" s="23" t="s">
        <v>181</v>
      </c>
      <c r="C92" s="23" t="s">
        <v>58</v>
      </c>
      <c r="D92" s="23" t="s">
        <v>116</v>
      </c>
      <c r="E92" s="23" t="s">
        <v>53</v>
      </c>
      <c r="F92" s="23" t="s">
        <v>154</v>
      </c>
      <c r="G92" s="23" t="s">
        <v>183</v>
      </c>
      <c r="H92" s="23" t="s">
        <v>215</v>
      </c>
    </row>
    <row r="93" spans="1:8" ht="22.5" customHeight="1">
      <c r="A93" s="22">
        <v>46061.323692847218</v>
      </c>
      <c r="B93" s="23" t="s">
        <v>181</v>
      </c>
      <c r="C93" s="23" t="s">
        <v>58</v>
      </c>
      <c r="D93" s="23" t="s">
        <v>116</v>
      </c>
      <c r="E93" s="23" t="s">
        <v>53</v>
      </c>
      <c r="F93" s="23" t="s">
        <v>154</v>
      </c>
      <c r="G93" s="23" t="s">
        <v>183</v>
      </c>
      <c r="H93" s="23" t="s">
        <v>216</v>
      </c>
    </row>
    <row r="94" spans="1:8" ht="22.5" customHeight="1">
      <c r="A94" s="22">
        <v>46061.32438283565</v>
      </c>
      <c r="B94" s="23" t="s">
        <v>181</v>
      </c>
      <c r="C94" s="23" t="s">
        <v>58</v>
      </c>
      <c r="D94" s="23" t="s">
        <v>116</v>
      </c>
      <c r="E94" s="23" t="s">
        <v>53</v>
      </c>
      <c r="F94" s="23" t="s">
        <v>149</v>
      </c>
      <c r="G94" s="23" t="s">
        <v>106</v>
      </c>
      <c r="H94" s="23" t="s">
        <v>217</v>
      </c>
    </row>
    <row r="95" spans="1:8" ht="22.5" customHeight="1">
      <c r="A95" s="22">
        <v>46061.324913159726</v>
      </c>
      <c r="B95" s="23" t="s">
        <v>181</v>
      </c>
      <c r="C95" s="23" t="s">
        <v>58</v>
      </c>
      <c r="D95" s="23" t="s">
        <v>116</v>
      </c>
      <c r="E95" s="23" t="s">
        <v>53</v>
      </c>
      <c r="F95" s="23" t="s">
        <v>135</v>
      </c>
      <c r="G95" s="23" t="s">
        <v>218</v>
      </c>
      <c r="H95" s="23" t="s">
        <v>219</v>
      </c>
    </row>
    <row r="96" spans="1:8" ht="22.5" customHeight="1">
      <c r="A96" s="22">
        <v>46061.325381215276</v>
      </c>
      <c r="B96" s="23" t="s">
        <v>181</v>
      </c>
      <c r="C96" s="23" t="s">
        <v>58</v>
      </c>
      <c r="D96" s="23" t="s">
        <v>116</v>
      </c>
      <c r="E96" s="23" t="s">
        <v>53</v>
      </c>
      <c r="F96" s="23" t="s">
        <v>61</v>
      </c>
      <c r="G96" s="23" t="s">
        <v>183</v>
      </c>
      <c r="H96" s="23" t="s">
        <v>220</v>
      </c>
    </row>
    <row r="97" spans="1:14" ht="22.5" customHeight="1">
      <c r="A97" s="22">
        <v>46061.325990162033</v>
      </c>
      <c r="B97" s="23" t="s">
        <v>181</v>
      </c>
      <c r="C97" s="23" t="s">
        <v>58</v>
      </c>
      <c r="D97" s="23" t="s">
        <v>116</v>
      </c>
      <c r="E97" s="23" t="s">
        <v>53</v>
      </c>
      <c r="F97" s="23" t="s">
        <v>206</v>
      </c>
      <c r="G97" s="23" t="s">
        <v>111</v>
      </c>
      <c r="H97" s="23" t="s">
        <v>221</v>
      </c>
    </row>
    <row r="98" spans="1:14" ht="22.5" customHeight="1">
      <c r="A98" s="22">
        <v>46061.331007685185</v>
      </c>
      <c r="B98" s="23" t="s">
        <v>88</v>
      </c>
      <c r="C98" s="23" t="s">
        <v>58</v>
      </c>
      <c r="D98" s="23" t="s">
        <v>59</v>
      </c>
      <c r="E98" s="23" t="s">
        <v>60</v>
      </c>
      <c r="F98" s="23" t="s">
        <v>222</v>
      </c>
      <c r="G98" s="23" t="s">
        <v>62</v>
      </c>
      <c r="H98" s="23" t="s">
        <v>223</v>
      </c>
    </row>
    <row r="99" spans="1:14" ht="22.5" customHeight="1">
      <c r="A99" s="22">
        <v>46061.469812187497</v>
      </c>
      <c r="B99" s="23" t="s">
        <v>64</v>
      </c>
      <c r="C99" s="23" t="s">
        <v>65</v>
      </c>
      <c r="J99" s="23" t="s">
        <v>66</v>
      </c>
      <c r="K99" s="23" t="s">
        <v>53</v>
      </c>
      <c r="L99" s="23" t="s">
        <v>84</v>
      </c>
      <c r="M99" s="23" t="s">
        <v>160</v>
      </c>
      <c r="N99" s="23" t="s">
        <v>224</v>
      </c>
    </row>
    <row r="100" spans="1:14" ht="22.5" customHeight="1">
      <c r="A100" s="22">
        <v>46061.617906273153</v>
      </c>
      <c r="B100" s="23" t="s">
        <v>64</v>
      </c>
      <c r="C100" s="23" t="s">
        <v>65</v>
      </c>
      <c r="J100" s="23" t="s">
        <v>66</v>
      </c>
      <c r="K100" s="23" t="s">
        <v>53</v>
      </c>
      <c r="L100" s="23" t="s">
        <v>67</v>
      </c>
      <c r="M100" s="23" t="s">
        <v>225</v>
      </c>
      <c r="N100" s="23" t="s">
        <v>226</v>
      </c>
    </row>
    <row r="101" spans="1:14" ht="22.5" customHeight="1">
      <c r="A101" s="22">
        <v>46061.703786828701</v>
      </c>
      <c r="B101" s="23" t="s">
        <v>64</v>
      </c>
      <c r="C101" s="23" t="s">
        <v>65</v>
      </c>
      <c r="J101" s="23" t="s">
        <v>66</v>
      </c>
      <c r="K101" s="23" t="s">
        <v>53</v>
      </c>
      <c r="L101" s="23" t="s">
        <v>105</v>
      </c>
      <c r="M101" s="23" t="s">
        <v>85</v>
      </c>
      <c r="N101" s="23" t="s">
        <v>227</v>
      </c>
    </row>
    <row r="102" spans="1:14" ht="22.5" customHeight="1">
      <c r="A102" s="22">
        <v>46062.504316886574</v>
      </c>
      <c r="B102" s="23" t="s">
        <v>57</v>
      </c>
      <c r="C102" s="23" t="s">
        <v>58</v>
      </c>
      <c r="D102" s="23" t="s">
        <v>59</v>
      </c>
      <c r="E102" s="23" t="s">
        <v>60</v>
      </c>
      <c r="F102" s="23" t="s">
        <v>89</v>
      </c>
      <c r="G102" s="23" t="s">
        <v>147</v>
      </c>
      <c r="H102" s="23" t="s">
        <v>228</v>
      </c>
    </row>
    <row r="103" spans="1:14" ht="22.5" customHeight="1">
      <c r="A103" s="22">
        <v>46062.504985358799</v>
      </c>
      <c r="B103" s="23" t="s">
        <v>57</v>
      </c>
      <c r="C103" s="23" t="s">
        <v>58</v>
      </c>
      <c r="D103" s="23" t="s">
        <v>59</v>
      </c>
      <c r="E103" s="23" t="s">
        <v>60</v>
      </c>
      <c r="F103" s="23" t="s">
        <v>61</v>
      </c>
      <c r="G103" s="23" t="s">
        <v>162</v>
      </c>
      <c r="H103" s="23" t="s">
        <v>229</v>
      </c>
    </row>
    <row r="104" spans="1:14" ht="22.5" customHeight="1">
      <c r="A104" s="22">
        <v>46062.611305983795</v>
      </c>
      <c r="B104" s="23" t="s">
        <v>64</v>
      </c>
      <c r="C104" s="23" t="s">
        <v>65</v>
      </c>
      <c r="J104" s="23" t="s">
        <v>66</v>
      </c>
      <c r="K104" s="23" t="s">
        <v>53</v>
      </c>
      <c r="L104" s="23" t="s">
        <v>67</v>
      </c>
      <c r="M104" s="23" t="s">
        <v>68</v>
      </c>
      <c r="N104" s="23" t="s">
        <v>230</v>
      </c>
    </row>
    <row r="105" spans="1:14" ht="22.5" customHeight="1">
      <c r="A105" s="22">
        <v>46062.612042696761</v>
      </c>
      <c r="B105" s="23" t="s">
        <v>64</v>
      </c>
      <c r="C105" s="23" t="s">
        <v>65</v>
      </c>
      <c r="J105" s="23" t="s">
        <v>66</v>
      </c>
      <c r="K105" s="23" t="s">
        <v>53</v>
      </c>
      <c r="L105" s="23" t="s">
        <v>84</v>
      </c>
      <c r="M105" s="23" t="s">
        <v>103</v>
      </c>
      <c r="N105" s="23" t="s">
        <v>231</v>
      </c>
    </row>
    <row r="106" spans="1:14" ht="22.5" customHeight="1">
      <c r="A106" s="22">
        <v>46062.612609236108</v>
      </c>
      <c r="B106" s="23" t="s">
        <v>64</v>
      </c>
      <c r="C106" s="23" t="s">
        <v>65</v>
      </c>
      <c r="J106" s="23" t="s">
        <v>66</v>
      </c>
      <c r="K106" s="23" t="s">
        <v>53</v>
      </c>
      <c r="L106" s="23" t="s">
        <v>172</v>
      </c>
      <c r="M106" s="23" t="s">
        <v>103</v>
      </c>
      <c r="N106" s="23" t="s">
        <v>232</v>
      </c>
    </row>
    <row r="107" spans="1:14" ht="22.5" customHeight="1">
      <c r="A107" s="22">
        <v>46062.613616261573</v>
      </c>
      <c r="B107" s="23" t="s">
        <v>64</v>
      </c>
      <c r="C107" s="23" t="s">
        <v>65</v>
      </c>
      <c r="J107" s="23" t="s">
        <v>66</v>
      </c>
      <c r="K107" s="23" t="s">
        <v>53</v>
      </c>
      <c r="L107" s="23" t="s">
        <v>172</v>
      </c>
      <c r="M107" s="23" t="s">
        <v>233</v>
      </c>
      <c r="N107" s="23" t="s">
        <v>234</v>
      </c>
    </row>
    <row r="108" spans="1:14" ht="22.5" customHeight="1">
      <c r="A108" s="22">
        <v>46063.590275891205</v>
      </c>
      <c r="B108" s="23" t="s">
        <v>64</v>
      </c>
      <c r="C108" s="23" t="s">
        <v>65</v>
      </c>
      <c r="J108" s="23" t="s">
        <v>66</v>
      </c>
      <c r="K108" s="23" t="s">
        <v>53</v>
      </c>
      <c r="L108" s="23" t="s">
        <v>67</v>
      </c>
      <c r="M108" s="23" t="s">
        <v>68</v>
      </c>
      <c r="N108" s="23" t="s">
        <v>230</v>
      </c>
    </row>
    <row r="109" spans="1:14" ht="22.5" customHeight="1">
      <c r="A109" s="22">
        <v>46063.68727490741</v>
      </c>
      <c r="B109" s="23" t="s">
        <v>64</v>
      </c>
      <c r="C109" s="23" t="s">
        <v>65</v>
      </c>
      <c r="J109" s="23" t="s">
        <v>66</v>
      </c>
      <c r="K109" s="23" t="s">
        <v>53</v>
      </c>
      <c r="L109" s="23" t="s">
        <v>84</v>
      </c>
      <c r="M109" s="23" t="s">
        <v>235</v>
      </c>
      <c r="N109" s="23" t="s">
        <v>236</v>
      </c>
    </row>
    <row r="110" spans="1:14" ht="22.5" customHeight="1">
      <c r="A110" s="22">
        <v>46063.689864004627</v>
      </c>
      <c r="B110" s="23" t="s">
        <v>64</v>
      </c>
      <c r="C110" s="23" t="s">
        <v>65</v>
      </c>
      <c r="J110" s="23" t="s">
        <v>66</v>
      </c>
      <c r="K110" s="23" t="s">
        <v>53</v>
      </c>
      <c r="L110" s="23" t="s">
        <v>67</v>
      </c>
      <c r="M110" s="23" t="s">
        <v>237</v>
      </c>
      <c r="N110" s="23" t="s">
        <v>238</v>
      </c>
    </row>
    <row r="111" spans="1:14" ht="22.5" customHeight="1">
      <c r="A111" s="22">
        <v>46063.694681817127</v>
      </c>
      <c r="B111" s="23" t="s">
        <v>88</v>
      </c>
      <c r="C111" s="23" t="s">
        <v>58</v>
      </c>
      <c r="D111" s="23" t="s">
        <v>59</v>
      </c>
      <c r="E111" s="23" t="s">
        <v>60</v>
      </c>
      <c r="F111" s="23" t="s">
        <v>154</v>
      </c>
      <c r="G111" s="23" t="s">
        <v>147</v>
      </c>
      <c r="H111" s="23" t="s">
        <v>239</v>
      </c>
    </row>
    <row r="112" spans="1:14" ht="22.5" customHeight="1">
      <c r="A112" s="22">
        <v>46063.69515673611</v>
      </c>
      <c r="B112" s="23" t="s">
        <v>88</v>
      </c>
      <c r="C112" s="23" t="s">
        <v>58</v>
      </c>
      <c r="D112" s="23" t="s">
        <v>59</v>
      </c>
      <c r="E112" s="23" t="s">
        <v>60</v>
      </c>
      <c r="F112" s="23" t="s">
        <v>154</v>
      </c>
      <c r="G112" s="23" t="s">
        <v>240</v>
      </c>
      <c r="H112" s="23" t="s">
        <v>241</v>
      </c>
    </row>
    <row r="113" spans="1:8" ht="22.5" customHeight="1">
      <c r="A113" s="22">
        <v>46063.695757280089</v>
      </c>
      <c r="B113" s="23" t="s">
        <v>88</v>
      </c>
      <c r="C113" s="23" t="s">
        <v>58</v>
      </c>
      <c r="D113" s="23" t="s">
        <v>59</v>
      </c>
      <c r="E113" s="23" t="s">
        <v>60</v>
      </c>
      <c r="F113" s="23" t="s">
        <v>154</v>
      </c>
      <c r="G113" s="23" t="s">
        <v>242</v>
      </c>
      <c r="H113" s="23" t="s">
        <v>243</v>
      </c>
    </row>
    <row r="114" spans="1:8" ht="22.5" customHeight="1">
      <c r="A114" s="22">
        <v>46064.354397615738</v>
      </c>
      <c r="B114" s="23" t="s">
        <v>57</v>
      </c>
      <c r="C114" s="23" t="s">
        <v>58</v>
      </c>
      <c r="D114" s="23" t="s">
        <v>59</v>
      </c>
      <c r="E114" s="23" t="s">
        <v>60</v>
      </c>
      <c r="F114" s="23" t="s">
        <v>149</v>
      </c>
      <c r="G114" s="23" t="s">
        <v>62</v>
      </c>
      <c r="H114" s="23" t="s">
        <v>244</v>
      </c>
    </row>
    <row r="115" spans="1:8" ht="22.5" customHeight="1">
      <c r="A115" s="22">
        <v>46064.414519571757</v>
      </c>
      <c r="B115" s="23" t="s">
        <v>57</v>
      </c>
      <c r="C115" s="23" t="s">
        <v>58</v>
      </c>
      <c r="D115" s="23" t="s">
        <v>59</v>
      </c>
      <c r="E115" s="23" t="s">
        <v>60</v>
      </c>
      <c r="F115" s="23" t="s">
        <v>153</v>
      </c>
      <c r="G115" s="23" t="s">
        <v>62</v>
      </c>
      <c r="H115" s="23" t="s">
        <v>245</v>
      </c>
    </row>
    <row r="116" spans="1:8" ht="22.5" customHeight="1">
      <c r="A116" s="22">
        <v>46064.414985925927</v>
      </c>
      <c r="B116" s="23" t="s">
        <v>57</v>
      </c>
      <c r="C116" s="23" t="s">
        <v>58</v>
      </c>
      <c r="D116" s="23" t="s">
        <v>59</v>
      </c>
      <c r="E116" s="23" t="s">
        <v>60</v>
      </c>
      <c r="F116" s="23" t="s">
        <v>153</v>
      </c>
      <c r="G116" s="23" t="s">
        <v>62</v>
      </c>
      <c r="H116" s="23" t="s">
        <v>246</v>
      </c>
    </row>
    <row r="117" spans="1:8" ht="22.5" customHeight="1">
      <c r="A117" s="22">
        <v>46064.415526724537</v>
      </c>
      <c r="B117" s="23" t="s">
        <v>57</v>
      </c>
      <c r="C117" s="23" t="s">
        <v>58</v>
      </c>
      <c r="D117" s="23" t="s">
        <v>59</v>
      </c>
      <c r="E117" s="23" t="s">
        <v>60</v>
      </c>
      <c r="F117" s="23" t="s">
        <v>153</v>
      </c>
      <c r="G117" s="23" t="s">
        <v>247</v>
      </c>
      <c r="H117" s="23" t="s">
        <v>248</v>
      </c>
    </row>
    <row r="118" spans="1:8" ht="22.5" customHeight="1">
      <c r="A118" s="22">
        <v>46064.416182291665</v>
      </c>
      <c r="B118" s="23" t="s">
        <v>57</v>
      </c>
      <c r="C118" s="23" t="s">
        <v>58</v>
      </c>
      <c r="D118" s="23" t="s">
        <v>59</v>
      </c>
      <c r="E118" s="23" t="s">
        <v>60</v>
      </c>
      <c r="F118" s="23" t="s">
        <v>153</v>
      </c>
      <c r="G118" s="23" t="s">
        <v>147</v>
      </c>
      <c r="H118" s="23" t="s">
        <v>249</v>
      </c>
    </row>
    <row r="119" spans="1:8" ht="22.5" customHeight="1">
      <c r="A119" s="22">
        <v>46064.417084467597</v>
      </c>
      <c r="B119" s="23" t="s">
        <v>57</v>
      </c>
      <c r="C119" s="23" t="s">
        <v>58</v>
      </c>
      <c r="D119" s="23" t="s">
        <v>59</v>
      </c>
      <c r="E119" s="23" t="s">
        <v>60</v>
      </c>
      <c r="F119" s="23" t="s">
        <v>153</v>
      </c>
      <c r="G119" s="23" t="s">
        <v>250</v>
      </c>
      <c r="H119" s="23" t="s">
        <v>251</v>
      </c>
    </row>
    <row r="120" spans="1:8" ht="22.5" customHeight="1">
      <c r="A120" s="22">
        <v>46064.417577638887</v>
      </c>
      <c r="B120" s="23" t="s">
        <v>57</v>
      </c>
      <c r="C120" s="23" t="s">
        <v>58</v>
      </c>
      <c r="D120" s="23" t="s">
        <v>59</v>
      </c>
      <c r="E120" s="23" t="s">
        <v>60</v>
      </c>
      <c r="F120" s="23" t="s">
        <v>153</v>
      </c>
      <c r="G120" s="23" t="s">
        <v>62</v>
      </c>
      <c r="H120" s="23" t="s">
        <v>252</v>
      </c>
    </row>
    <row r="121" spans="1:8" ht="22.5" customHeight="1">
      <c r="A121" s="22">
        <v>46064.41845834491</v>
      </c>
      <c r="B121" s="23" t="s">
        <v>57</v>
      </c>
      <c r="C121" s="23" t="s">
        <v>58</v>
      </c>
      <c r="D121" s="23" t="s">
        <v>59</v>
      </c>
      <c r="E121" s="23" t="s">
        <v>60</v>
      </c>
      <c r="F121" s="23" t="s">
        <v>153</v>
      </c>
      <c r="G121" s="23" t="s">
        <v>253</v>
      </c>
      <c r="H121" s="23" t="s">
        <v>254</v>
      </c>
    </row>
    <row r="122" spans="1:8" ht="22.5" customHeight="1">
      <c r="A122" s="22">
        <v>46064.419279386573</v>
      </c>
      <c r="B122" s="23" t="s">
        <v>57</v>
      </c>
      <c r="C122" s="23" t="s">
        <v>58</v>
      </c>
      <c r="D122" s="23" t="s">
        <v>59</v>
      </c>
      <c r="E122" s="23" t="s">
        <v>60</v>
      </c>
      <c r="F122" s="23" t="s">
        <v>135</v>
      </c>
      <c r="G122" s="23" t="s">
        <v>253</v>
      </c>
      <c r="H122" s="23" t="s">
        <v>255</v>
      </c>
    </row>
    <row r="123" spans="1:8" ht="22.5" customHeight="1">
      <c r="A123" s="22">
        <v>46064.462097523152</v>
      </c>
      <c r="B123" s="23" t="s">
        <v>57</v>
      </c>
      <c r="C123" s="23" t="s">
        <v>58</v>
      </c>
      <c r="D123" s="23" t="s">
        <v>59</v>
      </c>
      <c r="E123" s="23" t="s">
        <v>60</v>
      </c>
      <c r="F123" s="23" t="s">
        <v>74</v>
      </c>
      <c r="G123" s="23" t="s">
        <v>256</v>
      </c>
      <c r="H123" s="23" t="s">
        <v>257</v>
      </c>
    </row>
    <row r="124" spans="1:8" ht="22.5" customHeight="1">
      <c r="A124" s="22">
        <v>46064.56906465278</v>
      </c>
      <c r="B124" s="23" t="s">
        <v>118</v>
      </c>
      <c r="C124" s="23" t="s">
        <v>58</v>
      </c>
      <c r="D124" s="23" t="s">
        <v>59</v>
      </c>
      <c r="E124" s="23" t="s">
        <v>60</v>
      </c>
      <c r="F124" s="23" t="s">
        <v>74</v>
      </c>
      <c r="G124" s="23" t="s">
        <v>62</v>
      </c>
      <c r="H124" s="23" t="s">
        <v>258</v>
      </c>
    </row>
    <row r="125" spans="1:8" ht="22.5" customHeight="1">
      <c r="A125" s="22">
        <v>46064.56958520833</v>
      </c>
      <c r="B125" s="23" t="s">
        <v>118</v>
      </c>
      <c r="C125" s="23" t="s">
        <v>58</v>
      </c>
      <c r="D125" s="23" t="s">
        <v>59</v>
      </c>
      <c r="E125" s="23" t="s">
        <v>60</v>
      </c>
      <c r="F125" s="23" t="s">
        <v>74</v>
      </c>
      <c r="G125" s="23" t="s">
        <v>62</v>
      </c>
      <c r="H125" s="23" t="s">
        <v>259</v>
      </c>
    </row>
    <row r="126" spans="1:8" ht="22.5" customHeight="1">
      <c r="A126" s="22">
        <v>46064.570881574073</v>
      </c>
      <c r="B126" s="23" t="s">
        <v>118</v>
      </c>
      <c r="C126" s="23" t="s">
        <v>58</v>
      </c>
      <c r="D126" s="23" t="s">
        <v>59</v>
      </c>
      <c r="E126" s="23" t="s">
        <v>60</v>
      </c>
      <c r="F126" s="23" t="s">
        <v>74</v>
      </c>
      <c r="G126" s="23" t="s">
        <v>62</v>
      </c>
      <c r="H126" s="23" t="s">
        <v>260</v>
      </c>
    </row>
    <row r="127" spans="1:8" ht="22.5" customHeight="1">
      <c r="A127" s="22">
        <v>46064.571599039351</v>
      </c>
      <c r="B127" s="23" t="s">
        <v>118</v>
      </c>
      <c r="C127" s="23" t="s">
        <v>58</v>
      </c>
      <c r="D127" s="23" t="s">
        <v>128</v>
      </c>
      <c r="E127" s="23" t="s">
        <v>53</v>
      </c>
      <c r="F127" s="23" t="s">
        <v>131</v>
      </c>
      <c r="G127" s="23" t="s">
        <v>261</v>
      </c>
      <c r="H127" s="23" t="s">
        <v>262</v>
      </c>
    </row>
    <row r="128" spans="1:8" ht="22.5" customHeight="1">
      <c r="A128" s="22">
        <v>46064.575542511579</v>
      </c>
      <c r="B128" s="23" t="s">
        <v>118</v>
      </c>
      <c r="C128" s="23" t="s">
        <v>58</v>
      </c>
      <c r="D128" s="23" t="s">
        <v>128</v>
      </c>
      <c r="E128" s="23" t="s">
        <v>53</v>
      </c>
      <c r="F128" s="23" t="s">
        <v>149</v>
      </c>
      <c r="G128" s="23" t="s">
        <v>106</v>
      </c>
      <c r="H128" s="23" t="s">
        <v>263</v>
      </c>
    </row>
    <row r="129" spans="1:14" ht="22.5" customHeight="1">
      <c r="A129" s="22">
        <v>46064.576636504629</v>
      </c>
      <c r="B129" s="23" t="s">
        <v>118</v>
      </c>
      <c r="C129" s="23" t="s">
        <v>58</v>
      </c>
      <c r="D129" s="23" t="s">
        <v>128</v>
      </c>
      <c r="E129" s="23" t="s">
        <v>53</v>
      </c>
      <c r="F129" s="23" t="s">
        <v>131</v>
      </c>
      <c r="G129" s="23" t="s">
        <v>264</v>
      </c>
      <c r="H129" s="23" t="s">
        <v>265</v>
      </c>
    </row>
    <row r="130" spans="1:14" ht="22.5" customHeight="1">
      <c r="A130" s="22">
        <v>46064.57737506945</v>
      </c>
      <c r="B130" s="23" t="s">
        <v>118</v>
      </c>
      <c r="C130" s="23" t="s">
        <v>58</v>
      </c>
      <c r="D130" s="23" t="s">
        <v>128</v>
      </c>
      <c r="E130" s="23" t="s">
        <v>53</v>
      </c>
      <c r="F130" s="23" t="s">
        <v>135</v>
      </c>
      <c r="G130" s="23" t="s">
        <v>264</v>
      </c>
      <c r="H130" s="23" t="s">
        <v>266</v>
      </c>
    </row>
    <row r="131" spans="1:14" ht="22.5" customHeight="1">
      <c r="A131" s="22">
        <v>46064.598273194446</v>
      </c>
      <c r="B131" s="23" t="s">
        <v>64</v>
      </c>
      <c r="C131" s="23" t="s">
        <v>65</v>
      </c>
      <c r="J131" s="23" t="s">
        <v>66</v>
      </c>
      <c r="K131" s="23" t="s">
        <v>53</v>
      </c>
      <c r="L131" s="23" t="s">
        <v>172</v>
      </c>
      <c r="M131" s="23" t="s">
        <v>85</v>
      </c>
      <c r="N131" s="23" t="s">
        <v>267</v>
      </c>
    </row>
    <row r="132" spans="1:14" ht="22.5" customHeight="1">
      <c r="A132" s="22">
        <v>46064.599777951385</v>
      </c>
      <c r="B132" s="23" t="s">
        <v>64</v>
      </c>
      <c r="C132" s="23" t="s">
        <v>65</v>
      </c>
      <c r="J132" s="23" t="s">
        <v>66</v>
      </c>
      <c r="K132" s="23" t="s">
        <v>53</v>
      </c>
      <c r="L132" s="23" t="s">
        <v>84</v>
      </c>
      <c r="M132" s="23" t="s">
        <v>103</v>
      </c>
      <c r="N132" s="23" t="s">
        <v>268</v>
      </c>
    </row>
    <row r="133" spans="1:14" ht="22.5" customHeight="1">
      <c r="A133" s="22">
        <v>46064.60048710648</v>
      </c>
      <c r="B133" s="23" t="s">
        <v>64</v>
      </c>
      <c r="C133" s="23" t="s">
        <v>65</v>
      </c>
      <c r="J133" s="23" t="s">
        <v>66</v>
      </c>
      <c r="K133" s="23" t="s">
        <v>53</v>
      </c>
      <c r="L133" s="23" t="s">
        <v>67</v>
      </c>
      <c r="M133" s="23" t="s">
        <v>160</v>
      </c>
      <c r="N133" s="23" t="s">
        <v>269</v>
      </c>
    </row>
    <row r="134" spans="1:14" ht="22.5" customHeight="1">
      <c r="A134" s="22">
        <v>46064.601621006943</v>
      </c>
      <c r="B134" s="23" t="s">
        <v>64</v>
      </c>
      <c r="C134" s="23" t="s">
        <v>65</v>
      </c>
      <c r="J134" s="23" t="s">
        <v>66</v>
      </c>
      <c r="K134" s="23" t="s">
        <v>53</v>
      </c>
      <c r="L134" s="23" t="s">
        <v>84</v>
      </c>
      <c r="M134" s="23" t="s">
        <v>270</v>
      </c>
      <c r="N134" s="23" t="s">
        <v>271</v>
      </c>
    </row>
    <row r="135" spans="1:14" ht="22.5" customHeight="1">
      <c r="A135" s="22">
        <v>46064.602461875002</v>
      </c>
      <c r="B135" s="23" t="s">
        <v>64</v>
      </c>
      <c r="C135" s="23" t="s">
        <v>65</v>
      </c>
      <c r="J135" s="23" t="s">
        <v>66</v>
      </c>
      <c r="K135" s="23" t="s">
        <v>53</v>
      </c>
      <c r="L135" s="23" t="s">
        <v>105</v>
      </c>
      <c r="M135" s="23" t="s">
        <v>160</v>
      </c>
      <c r="N135" s="23" t="s">
        <v>272</v>
      </c>
    </row>
    <row r="136" spans="1:14" ht="22.5" customHeight="1">
      <c r="A136" s="22">
        <v>46065.5920815625</v>
      </c>
      <c r="B136" s="23" t="s">
        <v>64</v>
      </c>
      <c r="C136" s="23" t="s">
        <v>65</v>
      </c>
      <c r="J136" s="23" t="s">
        <v>66</v>
      </c>
      <c r="K136" s="23" t="s">
        <v>53</v>
      </c>
      <c r="L136" s="23" t="s">
        <v>172</v>
      </c>
      <c r="M136" s="23" t="s">
        <v>98</v>
      </c>
      <c r="N136" s="23" t="s">
        <v>273</v>
      </c>
    </row>
    <row r="137" spans="1:14" ht="22.5" customHeight="1">
      <c r="A137" s="22">
        <v>46065.592880567128</v>
      </c>
      <c r="B137" s="23" t="s">
        <v>64</v>
      </c>
      <c r="C137" s="23" t="s">
        <v>65</v>
      </c>
      <c r="J137" s="23" t="s">
        <v>66</v>
      </c>
      <c r="K137" s="23" t="s">
        <v>53</v>
      </c>
      <c r="L137" s="23" t="s">
        <v>172</v>
      </c>
      <c r="M137" s="23" t="s">
        <v>160</v>
      </c>
      <c r="N137" s="23" t="s">
        <v>274</v>
      </c>
    </row>
    <row r="138" spans="1:14" ht="22.5" customHeight="1">
      <c r="A138" s="22">
        <v>46065.594466446761</v>
      </c>
      <c r="B138" s="23" t="s">
        <v>64</v>
      </c>
      <c r="C138" s="23" t="s">
        <v>65</v>
      </c>
      <c r="J138" s="23" t="s">
        <v>66</v>
      </c>
      <c r="K138" s="23" t="s">
        <v>53</v>
      </c>
      <c r="L138" s="23" t="s">
        <v>67</v>
      </c>
      <c r="M138" s="23" t="s">
        <v>68</v>
      </c>
      <c r="N138" s="23" t="s">
        <v>230</v>
      </c>
    </row>
    <row r="139" spans="1:14" ht="22.5" customHeight="1">
      <c r="A139" s="22">
        <v>46067.336533634254</v>
      </c>
      <c r="B139" s="23" t="s">
        <v>88</v>
      </c>
      <c r="C139" s="23" t="s">
        <v>58</v>
      </c>
      <c r="D139" s="23" t="s">
        <v>59</v>
      </c>
      <c r="E139" s="23" t="s">
        <v>60</v>
      </c>
      <c r="F139" s="23" t="s">
        <v>131</v>
      </c>
      <c r="G139" s="23" t="s">
        <v>253</v>
      </c>
      <c r="H139" s="23" t="s">
        <v>275</v>
      </c>
    </row>
    <row r="140" spans="1:14" ht="22.5" customHeight="1">
      <c r="A140" s="22">
        <v>46067.402754537034</v>
      </c>
      <c r="B140" s="23" t="s">
        <v>57</v>
      </c>
      <c r="C140" s="23" t="s">
        <v>58</v>
      </c>
      <c r="D140" s="23" t="s">
        <v>59</v>
      </c>
      <c r="E140" s="23" t="s">
        <v>60</v>
      </c>
      <c r="F140" s="23" t="s">
        <v>276</v>
      </c>
      <c r="G140" s="23" t="s">
        <v>62</v>
      </c>
      <c r="H140" s="23" t="s">
        <v>277</v>
      </c>
    </row>
    <row r="141" spans="1:14" ht="22.5" customHeight="1">
      <c r="A141" s="22">
        <v>46067.448222083331</v>
      </c>
      <c r="B141" s="23" t="s">
        <v>118</v>
      </c>
      <c r="C141" s="23" t="s">
        <v>58</v>
      </c>
      <c r="D141" s="23" t="s">
        <v>128</v>
      </c>
      <c r="E141" s="23" t="s">
        <v>53</v>
      </c>
      <c r="F141" s="23" t="s">
        <v>89</v>
      </c>
      <c r="G141" s="23" t="s">
        <v>147</v>
      </c>
      <c r="H141" s="23" t="s">
        <v>278</v>
      </c>
    </row>
    <row r="142" spans="1:14" ht="22.5" customHeight="1">
      <c r="A142" s="22">
        <v>46067.451289502314</v>
      </c>
      <c r="B142" s="23" t="s">
        <v>118</v>
      </c>
      <c r="C142" s="23" t="s">
        <v>58</v>
      </c>
      <c r="D142" s="23" t="s">
        <v>128</v>
      </c>
      <c r="E142" s="23" t="s">
        <v>53</v>
      </c>
      <c r="F142" s="23" t="s">
        <v>89</v>
      </c>
      <c r="G142" s="23" t="s">
        <v>62</v>
      </c>
      <c r="H142" s="23" t="s">
        <v>279</v>
      </c>
    </row>
    <row r="143" spans="1:14" ht="22.5" customHeight="1">
      <c r="A143" s="22">
        <v>46067.452110011574</v>
      </c>
      <c r="B143" s="23" t="s">
        <v>118</v>
      </c>
      <c r="C143" s="23" t="s">
        <v>58</v>
      </c>
      <c r="D143" s="23" t="s">
        <v>128</v>
      </c>
      <c r="E143" s="23" t="s">
        <v>53</v>
      </c>
      <c r="F143" s="23" t="s">
        <v>89</v>
      </c>
      <c r="G143" s="23" t="s">
        <v>253</v>
      </c>
      <c r="H143" s="23" t="s">
        <v>280</v>
      </c>
    </row>
    <row r="144" spans="1:14" ht="22.5" customHeight="1">
      <c r="A144" s="22">
        <v>46067.45257893519</v>
      </c>
      <c r="B144" s="23" t="s">
        <v>118</v>
      </c>
      <c r="C144" s="23" t="s">
        <v>58</v>
      </c>
      <c r="D144" s="23" t="s">
        <v>128</v>
      </c>
      <c r="E144" s="23" t="s">
        <v>53</v>
      </c>
      <c r="F144" s="23" t="s">
        <v>89</v>
      </c>
      <c r="G144" s="23" t="s">
        <v>147</v>
      </c>
      <c r="H144" s="23" t="s">
        <v>281</v>
      </c>
    </row>
    <row r="145" spans="1:14" ht="22.5" customHeight="1">
      <c r="A145" s="22">
        <v>46067.453085000001</v>
      </c>
      <c r="B145" s="23" t="s">
        <v>118</v>
      </c>
      <c r="C145" s="23" t="s">
        <v>58</v>
      </c>
      <c r="D145" s="23" t="s">
        <v>128</v>
      </c>
      <c r="E145" s="23" t="s">
        <v>53</v>
      </c>
      <c r="F145" s="23" t="s">
        <v>89</v>
      </c>
      <c r="G145" s="23" t="s">
        <v>147</v>
      </c>
      <c r="H145" s="23" t="s">
        <v>282</v>
      </c>
    </row>
    <row r="146" spans="1:14" ht="22.5" customHeight="1">
      <c r="A146" s="22">
        <v>46067.45373765046</v>
      </c>
      <c r="B146" s="23" t="s">
        <v>118</v>
      </c>
      <c r="C146" s="23" t="s">
        <v>58</v>
      </c>
      <c r="D146" s="23" t="s">
        <v>128</v>
      </c>
      <c r="E146" s="23" t="s">
        <v>53</v>
      </c>
      <c r="F146" s="23" t="s">
        <v>135</v>
      </c>
      <c r="G146" s="23" t="s">
        <v>62</v>
      </c>
      <c r="H146" s="23" t="s">
        <v>283</v>
      </c>
    </row>
    <row r="147" spans="1:14" ht="22.5" customHeight="1">
      <c r="A147" s="22">
        <v>46067.454517152779</v>
      </c>
      <c r="B147" s="23" t="s">
        <v>118</v>
      </c>
      <c r="C147" s="23" t="s">
        <v>58</v>
      </c>
      <c r="D147" s="23" t="s">
        <v>128</v>
      </c>
      <c r="E147" s="23" t="s">
        <v>53</v>
      </c>
      <c r="F147" s="23" t="s">
        <v>135</v>
      </c>
      <c r="G147" s="23" t="s">
        <v>147</v>
      </c>
      <c r="H147" s="23" t="s">
        <v>284</v>
      </c>
    </row>
    <row r="148" spans="1:14" ht="22.5" customHeight="1">
      <c r="A148" s="22">
        <v>46067.455191932866</v>
      </c>
      <c r="B148" s="23" t="s">
        <v>118</v>
      </c>
      <c r="C148" s="23" t="s">
        <v>58</v>
      </c>
      <c r="D148" s="23" t="s">
        <v>59</v>
      </c>
      <c r="E148" s="23" t="s">
        <v>53</v>
      </c>
      <c r="F148" s="23" t="s">
        <v>135</v>
      </c>
      <c r="G148" s="23" t="s">
        <v>253</v>
      </c>
      <c r="H148" s="23" t="s">
        <v>285</v>
      </c>
    </row>
    <row r="149" spans="1:14" ht="22.5" customHeight="1">
      <c r="A149" s="22">
        <v>46067.456000636579</v>
      </c>
      <c r="B149" s="23" t="s">
        <v>118</v>
      </c>
      <c r="C149" s="23" t="s">
        <v>58</v>
      </c>
      <c r="D149" s="23" t="s">
        <v>128</v>
      </c>
      <c r="E149" s="23" t="s">
        <v>53</v>
      </c>
      <c r="F149" s="23" t="s">
        <v>74</v>
      </c>
      <c r="G149" s="23" t="s">
        <v>62</v>
      </c>
      <c r="H149" s="23" t="s">
        <v>286</v>
      </c>
    </row>
    <row r="150" spans="1:14" ht="22.5" customHeight="1">
      <c r="A150" s="22">
        <v>46067.456821342596</v>
      </c>
      <c r="B150" s="23" t="s">
        <v>118</v>
      </c>
      <c r="C150" s="23" t="s">
        <v>58</v>
      </c>
      <c r="D150" s="23" t="s">
        <v>128</v>
      </c>
      <c r="E150" s="23" t="s">
        <v>53</v>
      </c>
      <c r="F150" s="23" t="s">
        <v>74</v>
      </c>
      <c r="G150" s="23" t="s">
        <v>62</v>
      </c>
      <c r="H150" s="23" t="s">
        <v>287</v>
      </c>
    </row>
    <row r="151" spans="1:14" ht="22.5" customHeight="1">
      <c r="A151" s="22">
        <v>46067.457317511573</v>
      </c>
      <c r="B151" s="23" t="s">
        <v>118</v>
      </c>
      <c r="C151" s="23" t="s">
        <v>58</v>
      </c>
      <c r="D151" s="23" t="s">
        <v>128</v>
      </c>
      <c r="E151" s="23" t="s">
        <v>53</v>
      </c>
      <c r="F151" s="23" t="s">
        <v>61</v>
      </c>
      <c r="G151" s="23" t="s">
        <v>147</v>
      </c>
      <c r="H151" s="23" t="s">
        <v>287</v>
      </c>
    </row>
    <row r="152" spans="1:14" ht="22.5" customHeight="1">
      <c r="A152" s="22">
        <v>46067.457999444443</v>
      </c>
      <c r="B152" s="23" t="s">
        <v>118</v>
      </c>
      <c r="C152" s="23" t="s">
        <v>58</v>
      </c>
      <c r="D152" s="23" t="s">
        <v>128</v>
      </c>
      <c r="E152" s="23" t="s">
        <v>53</v>
      </c>
      <c r="F152" s="23" t="s">
        <v>119</v>
      </c>
      <c r="G152" s="23" t="s">
        <v>147</v>
      </c>
      <c r="H152" s="23" t="s">
        <v>288</v>
      </c>
    </row>
    <row r="153" spans="1:14" ht="22.5" customHeight="1">
      <c r="A153" s="22">
        <v>46067.458557743055</v>
      </c>
      <c r="B153" s="23" t="s">
        <v>118</v>
      </c>
      <c r="C153" s="23" t="s">
        <v>58</v>
      </c>
      <c r="D153" s="23" t="s">
        <v>128</v>
      </c>
      <c r="E153" s="23" t="s">
        <v>53</v>
      </c>
      <c r="F153" s="23" t="s">
        <v>153</v>
      </c>
      <c r="G153" s="23" t="s">
        <v>62</v>
      </c>
      <c r="H153" s="23" t="s">
        <v>289</v>
      </c>
    </row>
    <row r="154" spans="1:14" ht="22.5" customHeight="1">
      <c r="A154" s="22">
        <v>46067.45985569444</v>
      </c>
      <c r="B154" s="23" t="s">
        <v>118</v>
      </c>
      <c r="C154" s="23" t="s">
        <v>58</v>
      </c>
      <c r="D154" s="23" t="s">
        <v>128</v>
      </c>
      <c r="E154" s="23" t="s">
        <v>53</v>
      </c>
      <c r="F154" s="23" t="s">
        <v>153</v>
      </c>
      <c r="G154" s="23" t="s">
        <v>55</v>
      </c>
      <c r="H154" s="23" t="s">
        <v>290</v>
      </c>
    </row>
    <row r="155" spans="1:14" ht="22.5" customHeight="1">
      <c r="A155" s="22">
        <v>46067.46068856481</v>
      </c>
      <c r="B155" s="23" t="s">
        <v>118</v>
      </c>
      <c r="C155" s="23" t="s">
        <v>58</v>
      </c>
      <c r="D155" s="23" t="s">
        <v>128</v>
      </c>
      <c r="E155" s="23" t="s">
        <v>53</v>
      </c>
      <c r="F155" s="23" t="s">
        <v>153</v>
      </c>
      <c r="G155" s="23" t="s">
        <v>147</v>
      </c>
      <c r="H155" s="23" t="s">
        <v>291</v>
      </c>
    </row>
    <row r="156" spans="1:14" ht="22.5" customHeight="1">
      <c r="A156" s="22">
        <v>46067.462096979165</v>
      </c>
      <c r="B156" s="23" t="s">
        <v>118</v>
      </c>
      <c r="C156" s="23" t="s">
        <v>58</v>
      </c>
      <c r="D156" s="23" t="s">
        <v>128</v>
      </c>
      <c r="E156" s="23" t="s">
        <v>53</v>
      </c>
      <c r="F156" s="23" t="s">
        <v>149</v>
      </c>
      <c r="G156" s="23" t="s">
        <v>292</v>
      </c>
      <c r="H156" s="23" t="s">
        <v>293</v>
      </c>
    </row>
    <row r="157" spans="1:14" ht="22.5" customHeight="1">
      <c r="A157" s="22">
        <v>46067.462808333337</v>
      </c>
      <c r="B157" s="23" t="s">
        <v>118</v>
      </c>
      <c r="C157" s="23" t="s">
        <v>58</v>
      </c>
      <c r="D157" s="23" t="s">
        <v>128</v>
      </c>
      <c r="E157" s="23" t="s">
        <v>53</v>
      </c>
      <c r="F157" s="23" t="s">
        <v>149</v>
      </c>
      <c r="G157" s="23" t="s">
        <v>292</v>
      </c>
      <c r="H157" s="23" t="s">
        <v>294</v>
      </c>
    </row>
    <row r="158" spans="1:14" ht="22.5" customHeight="1">
      <c r="A158" s="22">
        <v>46067.463618912036</v>
      </c>
      <c r="B158" s="23" t="s">
        <v>118</v>
      </c>
      <c r="C158" s="23" t="s">
        <v>58</v>
      </c>
      <c r="D158" s="23" t="s">
        <v>128</v>
      </c>
      <c r="E158" s="23" t="s">
        <v>53</v>
      </c>
      <c r="F158" s="23" t="s">
        <v>149</v>
      </c>
      <c r="G158" s="23" t="s">
        <v>295</v>
      </c>
      <c r="H158" s="23" t="s">
        <v>296</v>
      </c>
    </row>
    <row r="159" spans="1:14" ht="22.5" customHeight="1">
      <c r="A159" s="22">
        <v>46067.590324988429</v>
      </c>
      <c r="B159" s="23" t="s">
        <v>64</v>
      </c>
      <c r="C159" s="23" t="s">
        <v>65</v>
      </c>
      <c r="J159" s="23" t="s">
        <v>66</v>
      </c>
      <c r="K159" s="23" t="s">
        <v>53</v>
      </c>
      <c r="L159" s="23" t="s">
        <v>67</v>
      </c>
      <c r="M159" s="23" t="s">
        <v>98</v>
      </c>
      <c r="N159" s="23" t="s">
        <v>297</v>
      </c>
    </row>
    <row r="160" spans="1:14" ht="22.5" customHeight="1">
      <c r="A160" s="22">
        <v>46067.590953171297</v>
      </c>
      <c r="B160" s="23" t="s">
        <v>64</v>
      </c>
      <c r="C160" s="23" t="s">
        <v>65</v>
      </c>
      <c r="J160" s="23" t="s">
        <v>66</v>
      </c>
      <c r="K160" s="23" t="s">
        <v>53</v>
      </c>
      <c r="L160" s="23" t="s">
        <v>84</v>
      </c>
      <c r="M160" s="23" t="s">
        <v>98</v>
      </c>
      <c r="N160" s="23" t="s">
        <v>298</v>
      </c>
    </row>
    <row r="161" spans="1:14" ht="22.5" customHeight="1">
      <c r="A161" s="22">
        <v>46067.591450462962</v>
      </c>
      <c r="B161" s="23" t="s">
        <v>64</v>
      </c>
      <c r="C161" s="23" t="s">
        <v>65</v>
      </c>
      <c r="J161" s="23" t="s">
        <v>66</v>
      </c>
      <c r="K161" s="23" t="s">
        <v>53</v>
      </c>
      <c r="L161" s="23" t="s">
        <v>105</v>
      </c>
      <c r="M161" s="23" t="s">
        <v>68</v>
      </c>
      <c r="N161" s="23" t="s">
        <v>299</v>
      </c>
    </row>
    <row r="162" spans="1:14" ht="22.5" customHeight="1">
      <c r="A162" s="22">
        <v>46067.592094108797</v>
      </c>
      <c r="B162" s="23" t="s">
        <v>64</v>
      </c>
      <c r="C162" s="23" t="s">
        <v>65</v>
      </c>
      <c r="J162" s="23" t="s">
        <v>66</v>
      </c>
      <c r="K162" s="23" t="s">
        <v>53</v>
      </c>
      <c r="L162" s="23" t="s">
        <v>84</v>
      </c>
      <c r="M162" s="23" t="s">
        <v>85</v>
      </c>
      <c r="N162" s="23" t="s">
        <v>300</v>
      </c>
    </row>
    <row r="163" spans="1:14" ht="22.5" customHeight="1">
      <c r="A163" s="22">
        <v>46067.597570243059</v>
      </c>
      <c r="B163" s="23" t="s">
        <v>64</v>
      </c>
      <c r="C163" s="23" t="s">
        <v>65</v>
      </c>
      <c r="J163" s="23" t="s">
        <v>66</v>
      </c>
      <c r="K163" s="23" t="s">
        <v>53</v>
      </c>
      <c r="L163" s="23" t="s">
        <v>84</v>
      </c>
      <c r="M163" s="23" t="s">
        <v>106</v>
      </c>
      <c r="N163" s="23" t="s">
        <v>301</v>
      </c>
    </row>
    <row r="164" spans="1:14" ht="22.5" customHeight="1">
      <c r="A164" s="22">
        <v>46067.598971921296</v>
      </c>
      <c r="B164" s="23" t="s">
        <v>64</v>
      </c>
      <c r="C164" s="23" t="s">
        <v>65</v>
      </c>
      <c r="J164" s="23" t="s">
        <v>66</v>
      </c>
      <c r="K164" s="23" t="s">
        <v>53</v>
      </c>
      <c r="L164" s="23" t="s">
        <v>84</v>
      </c>
      <c r="M164" s="23" t="s">
        <v>302</v>
      </c>
      <c r="N164" s="23" t="s">
        <v>303</v>
      </c>
    </row>
    <row r="165" spans="1:14" ht="22.5" customHeight="1">
      <c r="A165" s="22">
        <v>46067.600391898144</v>
      </c>
      <c r="B165" s="23" t="s">
        <v>64</v>
      </c>
      <c r="C165" s="23" t="s">
        <v>65</v>
      </c>
      <c r="J165" s="23" t="s">
        <v>66</v>
      </c>
      <c r="K165" s="23" t="s">
        <v>53</v>
      </c>
      <c r="L165" s="23" t="s">
        <v>71</v>
      </c>
      <c r="M165" s="23" t="s">
        <v>106</v>
      </c>
      <c r="N165" s="23" t="s">
        <v>304</v>
      </c>
    </row>
    <row r="166" spans="1:14" ht="22.5" customHeight="1">
      <c r="A166" s="22">
        <v>46068.312492766199</v>
      </c>
      <c r="B166" s="23" t="s">
        <v>88</v>
      </c>
      <c r="C166" s="23" t="s">
        <v>58</v>
      </c>
      <c r="D166" s="23" t="s">
        <v>59</v>
      </c>
      <c r="E166" s="23" t="s">
        <v>60</v>
      </c>
      <c r="F166" s="23" t="s">
        <v>61</v>
      </c>
      <c r="G166" s="23" t="s">
        <v>62</v>
      </c>
      <c r="H166" s="23" t="s">
        <v>305</v>
      </c>
    </row>
    <row r="167" spans="1:14" ht="22.5" customHeight="1">
      <c r="A167" s="22">
        <v>46068.367854097218</v>
      </c>
      <c r="B167" s="23" t="s">
        <v>76</v>
      </c>
      <c r="C167" s="23" t="s">
        <v>65</v>
      </c>
      <c r="J167" s="23" t="s">
        <v>306</v>
      </c>
      <c r="K167" s="23" t="s">
        <v>60</v>
      </c>
      <c r="L167" s="23" t="s">
        <v>172</v>
      </c>
      <c r="M167" s="23" t="s">
        <v>85</v>
      </c>
      <c r="N167" s="23" t="s">
        <v>307</v>
      </c>
    </row>
    <row r="168" spans="1:14" ht="22.5" customHeight="1">
      <c r="A168" s="22">
        <v>46068.383328530093</v>
      </c>
      <c r="B168" s="23" t="s">
        <v>57</v>
      </c>
      <c r="C168" s="23" t="s">
        <v>58</v>
      </c>
      <c r="D168" s="23" t="s">
        <v>59</v>
      </c>
      <c r="E168" s="23" t="s">
        <v>60</v>
      </c>
      <c r="F168" s="23" t="s">
        <v>149</v>
      </c>
      <c r="G168" s="23" t="s">
        <v>62</v>
      </c>
      <c r="H168" s="23" t="s">
        <v>308</v>
      </c>
    </row>
    <row r="169" spans="1:14" ht="22.5" customHeight="1">
      <c r="A169" s="22">
        <v>46068.446608750004</v>
      </c>
      <c r="B169" s="23" t="s">
        <v>76</v>
      </c>
      <c r="C169" s="23" t="s">
        <v>65</v>
      </c>
      <c r="J169" s="23" t="s">
        <v>306</v>
      </c>
      <c r="K169" s="23" t="s">
        <v>60</v>
      </c>
      <c r="L169" s="23" t="s">
        <v>172</v>
      </c>
      <c r="M169" s="23" t="s">
        <v>160</v>
      </c>
      <c r="N169" s="23" t="s">
        <v>309</v>
      </c>
    </row>
    <row r="170" spans="1:14" ht="22.5" customHeight="1">
      <c r="A170" s="22">
        <v>46068.472791979162</v>
      </c>
      <c r="B170" s="23" t="s">
        <v>181</v>
      </c>
      <c r="C170" s="23" t="s">
        <v>58</v>
      </c>
      <c r="D170" s="23" t="s">
        <v>116</v>
      </c>
      <c r="E170" s="23" t="s">
        <v>53</v>
      </c>
      <c r="F170" s="23" t="s">
        <v>131</v>
      </c>
      <c r="G170" s="23" t="s">
        <v>310</v>
      </c>
      <c r="H170" s="23" t="s">
        <v>311</v>
      </c>
    </row>
    <row r="171" spans="1:14" ht="22.5" customHeight="1">
      <c r="A171" s="22">
        <v>46068.473006805551</v>
      </c>
      <c r="B171" s="23" t="s">
        <v>57</v>
      </c>
      <c r="C171" s="23" t="s">
        <v>58</v>
      </c>
      <c r="D171" s="23" t="s">
        <v>59</v>
      </c>
      <c r="E171" s="23" t="s">
        <v>60</v>
      </c>
      <c r="F171" s="23" t="s">
        <v>149</v>
      </c>
      <c r="G171" s="23" t="s">
        <v>62</v>
      </c>
      <c r="H171" s="23" t="s">
        <v>312</v>
      </c>
    </row>
    <row r="172" spans="1:14" ht="22.5" customHeight="1">
      <c r="A172" s="22">
        <v>46068.473552858792</v>
      </c>
      <c r="B172" s="23" t="s">
        <v>181</v>
      </c>
      <c r="C172" s="23" t="s">
        <v>58</v>
      </c>
      <c r="D172" s="23" t="s">
        <v>116</v>
      </c>
      <c r="E172" s="23" t="s">
        <v>53</v>
      </c>
      <c r="F172" s="23" t="s">
        <v>313</v>
      </c>
      <c r="G172" s="23" t="s">
        <v>183</v>
      </c>
      <c r="H172" s="23" t="s">
        <v>314</v>
      </c>
    </row>
    <row r="173" spans="1:14" ht="22.5" customHeight="1">
      <c r="A173" s="22">
        <v>46068.473958460643</v>
      </c>
      <c r="B173" s="23" t="s">
        <v>181</v>
      </c>
      <c r="C173" s="23" t="s">
        <v>58</v>
      </c>
      <c r="D173" s="23" t="s">
        <v>116</v>
      </c>
      <c r="E173" s="23" t="s">
        <v>53</v>
      </c>
      <c r="F173" s="23" t="s">
        <v>315</v>
      </c>
      <c r="G173" s="23" t="s">
        <v>198</v>
      </c>
      <c r="H173" s="23" t="s">
        <v>316</v>
      </c>
    </row>
    <row r="174" spans="1:14" ht="22.5" customHeight="1">
      <c r="A174" s="22">
        <v>46068.474242870376</v>
      </c>
      <c r="B174" s="23" t="s">
        <v>181</v>
      </c>
      <c r="C174" s="23" t="s">
        <v>58</v>
      </c>
      <c r="D174" s="23" t="s">
        <v>116</v>
      </c>
      <c r="E174" s="23" t="s">
        <v>53</v>
      </c>
      <c r="F174" s="23" t="s">
        <v>209</v>
      </c>
      <c r="G174" s="23" t="s">
        <v>132</v>
      </c>
      <c r="H174" s="23" t="s">
        <v>317</v>
      </c>
    </row>
    <row r="175" spans="1:14" ht="22.5" customHeight="1">
      <c r="A175" s="22">
        <v>46068.474627997683</v>
      </c>
      <c r="B175" s="23" t="s">
        <v>181</v>
      </c>
      <c r="C175" s="23" t="s">
        <v>58</v>
      </c>
      <c r="D175" s="23" t="s">
        <v>116</v>
      </c>
      <c r="E175" s="23" t="s">
        <v>53</v>
      </c>
      <c r="F175" s="23" t="s">
        <v>149</v>
      </c>
      <c r="G175" s="23" t="s">
        <v>253</v>
      </c>
      <c r="H175" s="23" t="s">
        <v>318</v>
      </c>
    </row>
    <row r="176" spans="1:14" ht="22.5" customHeight="1">
      <c r="A176" s="22">
        <v>46068.47530416667</v>
      </c>
      <c r="B176" s="23" t="s">
        <v>181</v>
      </c>
      <c r="C176" s="23" t="s">
        <v>58</v>
      </c>
      <c r="D176" s="23" t="s">
        <v>116</v>
      </c>
      <c r="E176" s="23" t="s">
        <v>53</v>
      </c>
      <c r="F176" s="23" t="s">
        <v>319</v>
      </c>
      <c r="G176" s="23" t="s">
        <v>320</v>
      </c>
      <c r="H176" s="23" t="s">
        <v>321</v>
      </c>
    </row>
    <row r="177" spans="1:8" ht="22.5" customHeight="1">
      <c r="A177" s="22">
        <v>46068.475933645837</v>
      </c>
      <c r="B177" s="23" t="s">
        <v>181</v>
      </c>
      <c r="C177" s="23" t="s">
        <v>58</v>
      </c>
      <c r="D177" s="23" t="s">
        <v>116</v>
      </c>
      <c r="E177" s="23" t="s">
        <v>53</v>
      </c>
      <c r="F177" s="23" t="s">
        <v>74</v>
      </c>
      <c r="G177" s="23" t="s">
        <v>322</v>
      </c>
      <c r="H177" s="23" t="s">
        <v>323</v>
      </c>
    </row>
    <row r="178" spans="1:8" ht="22.5" customHeight="1">
      <c r="A178" s="22">
        <v>46068.476526956016</v>
      </c>
      <c r="B178" s="23" t="s">
        <v>181</v>
      </c>
      <c r="C178" s="23" t="s">
        <v>58</v>
      </c>
      <c r="D178" s="23" t="s">
        <v>116</v>
      </c>
      <c r="E178" s="23" t="s">
        <v>53</v>
      </c>
      <c r="F178" s="23" t="s">
        <v>149</v>
      </c>
      <c r="G178" s="23" t="s">
        <v>106</v>
      </c>
      <c r="H178" s="23" t="s">
        <v>324</v>
      </c>
    </row>
    <row r="179" spans="1:8" ht="22.5" customHeight="1">
      <c r="A179" s="22">
        <v>46068.476965081019</v>
      </c>
      <c r="B179" s="23" t="s">
        <v>181</v>
      </c>
      <c r="C179" s="23" t="s">
        <v>58</v>
      </c>
      <c r="D179" s="23" t="s">
        <v>116</v>
      </c>
      <c r="E179" s="23" t="s">
        <v>53</v>
      </c>
      <c r="F179" s="23" t="s">
        <v>74</v>
      </c>
      <c r="G179" s="23" t="s">
        <v>325</v>
      </c>
      <c r="H179" s="23" t="s">
        <v>326</v>
      </c>
    </row>
    <row r="180" spans="1:8" ht="22.5" customHeight="1">
      <c r="A180" s="22">
        <v>46068.47756569444</v>
      </c>
      <c r="B180" s="23" t="s">
        <v>181</v>
      </c>
      <c r="C180" s="23" t="s">
        <v>58</v>
      </c>
      <c r="D180" s="23" t="s">
        <v>116</v>
      </c>
      <c r="E180" s="23" t="s">
        <v>53</v>
      </c>
      <c r="F180" s="23" t="s">
        <v>149</v>
      </c>
      <c r="G180" s="23" t="s">
        <v>62</v>
      </c>
      <c r="H180" s="23" t="s">
        <v>327</v>
      </c>
    </row>
    <row r="181" spans="1:8" ht="22.5" customHeight="1">
      <c r="A181" s="22">
        <v>46068.478401597225</v>
      </c>
      <c r="B181" s="23" t="s">
        <v>181</v>
      </c>
      <c r="C181" s="23" t="s">
        <v>58</v>
      </c>
      <c r="D181" s="23" t="s">
        <v>116</v>
      </c>
      <c r="E181" s="23" t="s">
        <v>53</v>
      </c>
      <c r="F181" s="23" t="s">
        <v>131</v>
      </c>
      <c r="G181" s="23" t="s">
        <v>62</v>
      </c>
      <c r="H181" s="23" t="s">
        <v>328</v>
      </c>
    </row>
    <row r="182" spans="1:8" ht="22.5" customHeight="1">
      <c r="A182" s="22">
        <v>46068.478690752316</v>
      </c>
      <c r="B182" s="23" t="s">
        <v>181</v>
      </c>
      <c r="C182" s="23" t="s">
        <v>58</v>
      </c>
      <c r="D182" s="23" t="s">
        <v>116</v>
      </c>
      <c r="E182" s="23" t="s">
        <v>53</v>
      </c>
      <c r="F182" s="23" t="s">
        <v>209</v>
      </c>
      <c r="G182" s="23" t="s">
        <v>62</v>
      </c>
      <c r="H182" s="23" t="s">
        <v>329</v>
      </c>
    </row>
    <row r="183" spans="1:8" ht="22.5" customHeight="1">
      <c r="A183" s="22">
        <v>46068.479069988425</v>
      </c>
      <c r="B183" s="23" t="s">
        <v>181</v>
      </c>
      <c r="C183" s="23" t="s">
        <v>58</v>
      </c>
      <c r="D183" s="23" t="s">
        <v>116</v>
      </c>
      <c r="E183" s="23" t="s">
        <v>53</v>
      </c>
      <c r="F183" s="23" t="s">
        <v>135</v>
      </c>
      <c r="G183" s="23" t="s">
        <v>132</v>
      </c>
      <c r="H183" s="23" t="s">
        <v>330</v>
      </c>
    </row>
    <row r="184" spans="1:8" ht="22.5" customHeight="1">
      <c r="A184" s="22">
        <v>46068.480798807868</v>
      </c>
      <c r="B184" s="23" t="s">
        <v>181</v>
      </c>
      <c r="C184" s="23" t="s">
        <v>58</v>
      </c>
      <c r="D184" s="23" t="s">
        <v>116</v>
      </c>
      <c r="E184" s="23" t="s">
        <v>53</v>
      </c>
      <c r="F184" s="23" t="s">
        <v>149</v>
      </c>
      <c r="G184" s="23" t="s">
        <v>62</v>
      </c>
      <c r="H184" s="23" t="s">
        <v>331</v>
      </c>
    </row>
    <row r="185" spans="1:8" ht="22.5" customHeight="1">
      <c r="A185" s="22">
        <v>46068.481232951388</v>
      </c>
      <c r="B185" s="23" t="s">
        <v>181</v>
      </c>
      <c r="C185" s="23" t="s">
        <v>58</v>
      </c>
      <c r="D185" s="23" t="s">
        <v>116</v>
      </c>
      <c r="E185" s="23" t="s">
        <v>53</v>
      </c>
      <c r="F185" s="23" t="s">
        <v>153</v>
      </c>
      <c r="G185" s="23" t="s">
        <v>183</v>
      </c>
      <c r="H185" s="23" t="s">
        <v>332</v>
      </c>
    </row>
    <row r="186" spans="1:8" ht="22.5" customHeight="1">
      <c r="A186" s="22">
        <v>46068.481582395834</v>
      </c>
      <c r="B186" s="23" t="s">
        <v>181</v>
      </c>
      <c r="C186" s="23" t="s">
        <v>58</v>
      </c>
      <c r="D186" s="23" t="s">
        <v>116</v>
      </c>
      <c r="E186" s="23" t="s">
        <v>53</v>
      </c>
      <c r="F186" s="23" t="s">
        <v>333</v>
      </c>
      <c r="G186" s="23" t="s">
        <v>147</v>
      </c>
      <c r="H186" s="23" t="s">
        <v>334</v>
      </c>
    </row>
    <row r="187" spans="1:8" ht="22.5" customHeight="1">
      <c r="A187" s="22">
        <v>46068.481791296297</v>
      </c>
      <c r="B187" s="23" t="s">
        <v>181</v>
      </c>
      <c r="C187" s="23" t="s">
        <v>58</v>
      </c>
      <c r="D187" s="23" t="s">
        <v>116</v>
      </c>
      <c r="E187" s="23" t="s">
        <v>53</v>
      </c>
      <c r="F187" s="23" t="s">
        <v>74</v>
      </c>
      <c r="G187" s="23" t="s">
        <v>147</v>
      </c>
      <c r="H187" s="23" t="s">
        <v>335</v>
      </c>
    </row>
    <row r="188" spans="1:8" ht="22.5" customHeight="1">
      <c r="A188" s="22">
        <v>46068.482748124996</v>
      </c>
      <c r="B188" s="23" t="s">
        <v>181</v>
      </c>
      <c r="C188" s="23" t="s">
        <v>58</v>
      </c>
      <c r="D188" s="23" t="s">
        <v>116</v>
      </c>
      <c r="E188" s="23" t="s">
        <v>53</v>
      </c>
      <c r="F188" s="23" t="s">
        <v>154</v>
      </c>
      <c r="G188" s="23" t="s">
        <v>336</v>
      </c>
      <c r="H188" s="23" t="s">
        <v>337</v>
      </c>
    </row>
    <row r="189" spans="1:8" ht="22.5" customHeight="1">
      <c r="A189" s="22">
        <v>46068.483397673612</v>
      </c>
      <c r="B189" s="23" t="s">
        <v>181</v>
      </c>
      <c r="C189" s="23" t="s">
        <v>58</v>
      </c>
      <c r="D189" s="23" t="s">
        <v>116</v>
      </c>
      <c r="E189" s="23" t="s">
        <v>53</v>
      </c>
      <c r="F189" s="23" t="s">
        <v>74</v>
      </c>
      <c r="G189" s="23" t="s">
        <v>338</v>
      </c>
      <c r="H189" s="23" t="s">
        <v>339</v>
      </c>
    </row>
    <row r="190" spans="1:8" ht="22.5" customHeight="1">
      <c r="A190" s="22">
        <v>46068.48465726852</v>
      </c>
      <c r="B190" s="23" t="s">
        <v>181</v>
      </c>
      <c r="C190" s="23" t="s">
        <v>58</v>
      </c>
      <c r="D190" s="23" t="s">
        <v>116</v>
      </c>
      <c r="E190" s="23" t="s">
        <v>53</v>
      </c>
      <c r="F190" s="23" t="s">
        <v>149</v>
      </c>
      <c r="G190" s="23" t="s">
        <v>340</v>
      </c>
      <c r="H190" s="23" t="s">
        <v>341</v>
      </c>
    </row>
    <row r="191" spans="1:8" ht="22.5" customHeight="1">
      <c r="A191" s="22">
        <v>46068.486072141204</v>
      </c>
      <c r="B191" s="23" t="s">
        <v>181</v>
      </c>
      <c r="C191" s="23" t="s">
        <v>58</v>
      </c>
      <c r="D191" s="23" t="s">
        <v>116</v>
      </c>
      <c r="E191" s="23" t="s">
        <v>53</v>
      </c>
      <c r="F191" s="23" t="s">
        <v>153</v>
      </c>
      <c r="G191" s="23" t="s">
        <v>183</v>
      </c>
      <c r="H191" s="23" t="s">
        <v>342</v>
      </c>
    </row>
    <row r="192" spans="1:8" ht="22.5" customHeight="1">
      <c r="A192" s="22">
        <v>46068.489328900461</v>
      </c>
      <c r="B192" s="23" t="s">
        <v>181</v>
      </c>
      <c r="C192" s="23" t="s">
        <v>58</v>
      </c>
      <c r="D192" s="23" t="s">
        <v>116</v>
      </c>
      <c r="E192" s="23" t="s">
        <v>53</v>
      </c>
      <c r="F192" s="23" t="s">
        <v>149</v>
      </c>
      <c r="G192" s="23" t="s">
        <v>343</v>
      </c>
      <c r="H192" s="23" t="s">
        <v>344</v>
      </c>
    </row>
    <row r="193" spans="1:8" ht="22.5" customHeight="1">
      <c r="A193" s="22">
        <v>46068.497286759259</v>
      </c>
      <c r="B193" s="23" t="s">
        <v>181</v>
      </c>
      <c r="C193" s="23" t="s">
        <v>58</v>
      </c>
      <c r="D193" s="23" t="s">
        <v>116</v>
      </c>
      <c r="E193" s="23" t="s">
        <v>53</v>
      </c>
      <c r="F193" s="23" t="s">
        <v>149</v>
      </c>
      <c r="G193" s="23" t="s">
        <v>345</v>
      </c>
      <c r="H193" s="23" t="s">
        <v>346</v>
      </c>
    </row>
    <row r="194" spans="1:8" ht="22.5" customHeight="1">
      <c r="A194" s="22">
        <v>46068.497819305558</v>
      </c>
      <c r="B194" s="23" t="s">
        <v>181</v>
      </c>
      <c r="C194" s="23" t="s">
        <v>58</v>
      </c>
      <c r="D194" s="23" t="s">
        <v>116</v>
      </c>
      <c r="E194" s="23" t="s">
        <v>53</v>
      </c>
      <c r="F194" s="23" t="s">
        <v>153</v>
      </c>
      <c r="G194" s="23" t="s">
        <v>347</v>
      </c>
      <c r="H194" s="23" t="s">
        <v>348</v>
      </c>
    </row>
    <row r="195" spans="1:8" ht="22.5" customHeight="1">
      <c r="A195" s="22">
        <v>46068.499656504631</v>
      </c>
      <c r="B195" s="23" t="s">
        <v>181</v>
      </c>
      <c r="C195" s="23" t="s">
        <v>58</v>
      </c>
      <c r="D195" s="23" t="s">
        <v>116</v>
      </c>
      <c r="E195" s="23" t="s">
        <v>53</v>
      </c>
      <c r="F195" s="23" t="s">
        <v>61</v>
      </c>
      <c r="G195" s="23" t="s">
        <v>132</v>
      </c>
      <c r="H195" s="23" t="s">
        <v>349</v>
      </c>
    </row>
    <row r="196" spans="1:8" ht="22.5" customHeight="1">
      <c r="A196" s="22">
        <v>46068.500001736116</v>
      </c>
      <c r="B196" s="23" t="s">
        <v>181</v>
      </c>
      <c r="C196" s="23" t="s">
        <v>58</v>
      </c>
      <c r="D196" s="23" t="s">
        <v>116</v>
      </c>
      <c r="E196" s="23" t="s">
        <v>53</v>
      </c>
      <c r="F196" s="23" t="s">
        <v>153</v>
      </c>
      <c r="G196" s="23" t="s">
        <v>62</v>
      </c>
      <c r="H196" s="23" t="s">
        <v>350</v>
      </c>
    </row>
    <row r="197" spans="1:8" ht="22.5" customHeight="1">
      <c r="A197" s="22">
        <v>46068.500276458333</v>
      </c>
      <c r="B197" s="23" t="s">
        <v>181</v>
      </c>
      <c r="C197" s="23" t="s">
        <v>58</v>
      </c>
      <c r="D197" s="23" t="s">
        <v>116</v>
      </c>
      <c r="E197" s="23" t="s">
        <v>53</v>
      </c>
      <c r="F197" s="23" t="s">
        <v>61</v>
      </c>
      <c r="G197" s="23" t="s">
        <v>62</v>
      </c>
      <c r="H197" s="23" t="s">
        <v>351</v>
      </c>
    </row>
    <row r="198" spans="1:8" ht="22.5" customHeight="1">
      <c r="A198" s="22">
        <v>46068.500559236112</v>
      </c>
      <c r="B198" s="23" t="s">
        <v>181</v>
      </c>
      <c r="C198" s="23" t="s">
        <v>58</v>
      </c>
      <c r="D198" s="23" t="s">
        <v>116</v>
      </c>
      <c r="E198" s="23" t="s">
        <v>53</v>
      </c>
      <c r="F198" s="23" t="s">
        <v>153</v>
      </c>
      <c r="G198" s="23" t="s">
        <v>62</v>
      </c>
      <c r="H198" s="23" t="s">
        <v>352</v>
      </c>
    </row>
    <row r="199" spans="1:8" ht="22.5" customHeight="1">
      <c r="A199" s="22">
        <v>46068.500895069446</v>
      </c>
      <c r="B199" s="23" t="s">
        <v>181</v>
      </c>
      <c r="C199" s="23" t="s">
        <v>58</v>
      </c>
      <c r="D199" s="23" t="s">
        <v>116</v>
      </c>
      <c r="E199" s="23" t="s">
        <v>53</v>
      </c>
      <c r="F199" s="23" t="s">
        <v>89</v>
      </c>
      <c r="G199" s="23" t="s">
        <v>62</v>
      </c>
      <c r="H199" s="23" t="s">
        <v>353</v>
      </c>
    </row>
    <row r="200" spans="1:8" ht="22.5" customHeight="1">
      <c r="A200" s="22">
        <v>46068.501433923608</v>
      </c>
      <c r="B200" s="23" t="s">
        <v>181</v>
      </c>
      <c r="C200" s="23" t="s">
        <v>58</v>
      </c>
      <c r="D200" s="23" t="s">
        <v>116</v>
      </c>
      <c r="E200" s="23" t="s">
        <v>53</v>
      </c>
      <c r="F200" s="23" t="s">
        <v>61</v>
      </c>
      <c r="G200" s="23" t="s">
        <v>62</v>
      </c>
      <c r="H200" s="23" t="s">
        <v>354</v>
      </c>
    </row>
    <row r="201" spans="1:8" ht="22.5" customHeight="1">
      <c r="A201" s="22">
        <v>46068.501869085652</v>
      </c>
      <c r="B201" s="23" t="s">
        <v>181</v>
      </c>
      <c r="C201" s="23" t="s">
        <v>58</v>
      </c>
      <c r="D201" s="23" t="s">
        <v>116</v>
      </c>
      <c r="E201" s="23" t="s">
        <v>53</v>
      </c>
      <c r="F201" s="23" t="s">
        <v>74</v>
      </c>
      <c r="G201" s="23" t="s">
        <v>183</v>
      </c>
      <c r="H201" s="23" t="s">
        <v>355</v>
      </c>
    </row>
    <row r="202" spans="1:8" ht="22.5" customHeight="1">
      <c r="A202" s="22">
        <v>46068.502061631945</v>
      </c>
      <c r="B202" s="23" t="s">
        <v>181</v>
      </c>
      <c r="C202" s="23" t="s">
        <v>58</v>
      </c>
      <c r="D202" s="23" t="s">
        <v>116</v>
      </c>
      <c r="E202" s="23" t="s">
        <v>53</v>
      </c>
      <c r="F202" s="23" t="s">
        <v>149</v>
      </c>
      <c r="G202" s="23" t="s">
        <v>183</v>
      </c>
      <c r="H202" s="23" t="s">
        <v>355</v>
      </c>
    </row>
    <row r="203" spans="1:8" ht="22.5" customHeight="1">
      <c r="A203" s="22">
        <v>46068.502579780092</v>
      </c>
      <c r="B203" s="23" t="s">
        <v>181</v>
      </c>
      <c r="C203" s="23" t="s">
        <v>58</v>
      </c>
      <c r="D203" s="23" t="s">
        <v>116</v>
      </c>
      <c r="E203" s="23" t="s">
        <v>53</v>
      </c>
      <c r="F203" s="23" t="s">
        <v>154</v>
      </c>
      <c r="G203" s="23" t="s">
        <v>183</v>
      </c>
      <c r="H203" s="23" t="s">
        <v>355</v>
      </c>
    </row>
    <row r="204" spans="1:8" ht="22.5" customHeight="1">
      <c r="A204" s="22">
        <v>46068.502738634255</v>
      </c>
      <c r="B204" s="23" t="s">
        <v>181</v>
      </c>
      <c r="C204" s="23" t="s">
        <v>58</v>
      </c>
      <c r="D204" s="23" t="s">
        <v>116</v>
      </c>
      <c r="E204" s="23" t="s">
        <v>53</v>
      </c>
      <c r="F204" s="23" t="s">
        <v>131</v>
      </c>
      <c r="G204" s="23" t="s">
        <v>183</v>
      </c>
      <c r="H204" s="23" t="s">
        <v>355</v>
      </c>
    </row>
    <row r="205" spans="1:8" ht="22.5" customHeight="1">
      <c r="A205" s="22">
        <v>46068.503017453702</v>
      </c>
      <c r="B205" s="23" t="s">
        <v>181</v>
      </c>
      <c r="C205" s="23" t="s">
        <v>58</v>
      </c>
      <c r="D205" s="23" t="s">
        <v>116</v>
      </c>
      <c r="E205" s="23" t="s">
        <v>53</v>
      </c>
      <c r="F205" s="23" t="s">
        <v>89</v>
      </c>
      <c r="G205" s="23" t="s">
        <v>183</v>
      </c>
      <c r="H205" s="23" t="s">
        <v>355</v>
      </c>
    </row>
    <row r="206" spans="1:8" ht="22.5" customHeight="1">
      <c r="A206" s="22">
        <v>46068.503190185183</v>
      </c>
      <c r="B206" s="23" t="s">
        <v>181</v>
      </c>
      <c r="C206" s="23" t="s">
        <v>58</v>
      </c>
      <c r="D206" s="23" t="s">
        <v>116</v>
      </c>
      <c r="E206" s="23" t="s">
        <v>53</v>
      </c>
      <c r="F206" s="23" t="s">
        <v>135</v>
      </c>
      <c r="G206" s="23" t="s">
        <v>183</v>
      </c>
      <c r="H206" s="23" t="s">
        <v>355</v>
      </c>
    </row>
    <row r="207" spans="1:8" ht="22.5" customHeight="1">
      <c r="A207" s="22">
        <v>46068.503436307874</v>
      </c>
      <c r="B207" s="23" t="s">
        <v>181</v>
      </c>
      <c r="C207" s="23" t="s">
        <v>58</v>
      </c>
      <c r="D207" s="23" t="s">
        <v>116</v>
      </c>
      <c r="E207" s="23" t="s">
        <v>53</v>
      </c>
      <c r="F207" s="23" t="s">
        <v>153</v>
      </c>
      <c r="G207" s="23" t="s">
        <v>62</v>
      </c>
      <c r="H207" s="23" t="s">
        <v>355</v>
      </c>
    </row>
    <row r="208" spans="1:8" ht="22.5" customHeight="1">
      <c r="A208" s="22">
        <v>46068.504696840275</v>
      </c>
      <c r="B208" s="23" t="s">
        <v>181</v>
      </c>
      <c r="C208" s="23" t="s">
        <v>58</v>
      </c>
      <c r="D208" s="23" t="s">
        <v>116</v>
      </c>
      <c r="E208" s="23" t="s">
        <v>53</v>
      </c>
      <c r="F208" s="23" t="s">
        <v>61</v>
      </c>
      <c r="G208" s="23" t="s">
        <v>183</v>
      </c>
      <c r="H208" s="23" t="s">
        <v>355</v>
      </c>
    </row>
    <row r="209" spans="1:14" ht="22.5" customHeight="1">
      <c r="A209" s="22">
        <v>46068.504893229168</v>
      </c>
      <c r="B209" s="23" t="s">
        <v>181</v>
      </c>
      <c r="C209" s="23" t="s">
        <v>58</v>
      </c>
      <c r="D209" s="23" t="s">
        <v>116</v>
      </c>
      <c r="E209" s="23" t="s">
        <v>53</v>
      </c>
      <c r="F209" s="23" t="s">
        <v>80</v>
      </c>
      <c r="G209" s="23" t="s">
        <v>183</v>
      </c>
      <c r="H209" s="23" t="s">
        <v>355</v>
      </c>
    </row>
    <row r="210" spans="1:14" ht="22.5" customHeight="1">
      <c r="A210" s="22">
        <v>46068.50513795139</v>
      </c>
      <c r="B210" s="23" t="s">
        <v>181</v>
      </c>
      <c r="C210" s="23" t="s">
        <v>58</v>
      </c>
      <c r="D210" s="23" t="s">
        <v>116</v>
      </c>
      <c r="E210" s="23" t="s">
        <v>53</v>
      </c>
      <c r="F210" s="23" t="s">
        <v>222</v>
      </c>
      <c r="G210" s="23" t="s">
        <v>183</v>
      </c>
      <c r="H210" s="23" t="s">
        <v>355</v>
      </c>
    </row>
    <row r="211" spans="1:14" ht="22.5" customHeight="1">
      <c r="A211" s="22">
        <v>46068.505541261577</v>
      </c>
      <c r="B211" s="23" t="s">
        <v>181</v>
      </c>
      <c r="C211" s="23" t="s">
        <v>58</v>
      </c>
      <c r="D211" s="23" t="s">
        <v>116</v>
      </c>
      <c r="E211" s="23" t="s">
        <v>53</v>
      </c>
      <c r="F211" s="23" t="s">
        <v>153</v>
      </c>
      <c r="G211" s="23" t="s">
        <v>62</v>
      </c>
      <c r="H211" s="23" t="s">
        <v>353</v>
      </c>
    </row>
    <row r="212" spans="1:14" ht="22.5" customHeight="1">
      <c r="A212" s="22">
        <v>46068.515078738426</v>
      </c>
      <c r="B212" s="23" t="s">
        <v>76</v>
      </c>
      <c r="C212" s="23" t="s">
        <v>65</v>
      </c>
      <c r="J212" s="23" t="s">
        <v>306</v>
      </c>
      <c r="K212" s="23" t="s">
        <v>60</v>
      </c>
      <c r="L212" s="23" t="s">
        <v>172</v>
      </c>
      <c r="M212" s="23" t="s">
        <v>85</v>
      </c>
      <c r="N212" s="23" t="s">
        <v>356</v>
      </c>
    </row>
    <row r="213" spans="1:14" ht="22.5" customHeight="1">
      <c r="A213" s="22">
        <v>46068.517572662036</v>
      </c>
      <c r="B213" s="23" t="s">
        <v>76</v>
      </c>
      <c r="C213" s="23" t="s">
        <v>65</v>
      </c>
      <c r="J213" s="23" t="s">
        <v>306</v>
      </c>
      <c r="K213" s="23" t="s">
        <v>60</v>
      </c>
      <c r="L213" s="23" t="s">
        <v>357</v>
      </c>
      <c r="M213" s="23" t="s">
        <v>358</v>
      </c>
      <c r="N213" s="23" t="s">
        <v>359</v>
      </c>
    </row>
    <row r="214" spans="1:14" ht="22.5" customHeight="1">
      <c r="A214" s="22">
        <v>46068.534105393519</v>
      </c>
      <c r="B214" s="23" t="s">
        <v>57</v>
      </c>
      <c r="C214" s="23" t="s">
        <v>58</v>
      </c>
      <c r="D214" s="23" t="s">
        <v>59</v>
      </c>
      <c r="E214" s="23" t="s">
        <v>60</v>
      </c>
      <c r="F214" s="23" t="s">
        <v>80</v>
      </c>
      <c r="G214" s="23" t="s">
        <v>62</v>
      </c>
      <c r="H214" s="23" t="s">
        <v>360</v>
      </c>
    </row>
    <row r="215" spans="1:14" ht="22.5" customHeight="1">
      <c r="A215" s="22">
        <v>46068.687035601848</v>
      </c>
      <c r="B215" s="23" t="s">
        <v>64</v>
      </c>
      <c r="C215" s="23" t="s">
        <v>65</v>
      </c>
      <c r="J215" s="23" t="s">
        <v>66</v>
      </c>
      <c r="K215" s="23" t="s">
        <v>53</v>
      </c>
      <c r="L215" s="23" t="s">
        <v>172</v>
      </c>
      <c r="M215" s="23" t="s">
        <v>98</v>
      </c>
      <c r="N215" s="23" t="s">
        <v>361</v>
      </c>
    </row>
    <row r="216" spans="1:14" ht="22.5" customHeight="1">
      <c r="A216" s="22">
        <v>46068.687616689815</v>
      </c>
      <c r="B216" s="23" t="s">
        <v>64</v>
      </c>
      <c r="C216" s="23" t="s">
        <v>65</v>
      </c>
      <c r="J216" s="23" t="s">
        <v>66</v>
      </c>
      <c r="K216" s="23" t="s">
        <v>53</v>
      </c>
      <c r="L216" s="23" t="s">
        <v>172</v>
      </c>
      <c r="M216" s="23" t="s">
        <v>160</v>
      </c>
      <c r="N216" s="23" t="s">
        <v>362</v>
      </c>
    </row>
    <row r="217" spans="1:14" ht="22.5" customHeight="1">
      <c r="A217" s="22">
        <v>46068.68852679398</v>
      </c>
      <c r="B217" s="23" t="s">
        <v>64</v>
      </c>
      <c r="C217" s="23" t="s">
        <v>65</v>
      </c>
      <c r="J217" s="23" t="s">
        <v>66</v>
      </c>
      <c r="K217" s="23" t="s">
        <v>53</v>
      </c>
      <c r="L217" s="23" t="s">
        <v>71</v>
      </c>
      <c r="M217" s="23" t="s">
        <v>85</v>
      </c>
      <c r="N217" s="23" t="s">
        <v>363</v>
      </c>
    </row>
    <row r="218" spans="1:14" ht="22.5" customHeight="1">
      <c r="A218" s="22">
        <v>46068.689061793979</v>
      </c>
      <c r="B218" s="23" t="s">
        <v>64</v>
      </c>
      <c r="C218" s="23" t="s">
        <v>65</v>
      </c>
      <c r="J218" s="23" t="s">
        <v>66</v>
      </c>
      <c r="K218" s="23" t="s">
        <v>53</v>
      </c>
      <c r="L218" s="23" t="s">
        <v>364</v>
      </c>
      <c r="M218" s="23" t="s">
        <v>106</v>
      </c>
      <c r="N218" s="23" t="s">
        <v>365</v>
      </c>
    </row>
    <row r="219" spans="1:14" ht="22.5" customHeight="1">
      <c r="A219" s="22">
        <v>46068.69211797454</v>
      </c>
      <c r="B219" s="23" t="s">
        <v>64</v>
      </c>
      <c r="C219" s="23" t="s">
        <v>65</v>
      </c>
      <c r="J219" s="23" t="s">
        <v>66</v>
      </c>
      <c r="K219" s="23" t="s">
        <v>53</v>
      </c>
      <c r="L219" s="23" t="s">
        <v>67</v>
      </c>
      <c r="M219" s="23" t="s">
        <v>72</v>
      </c>
      <c r="N219" s="23" t="s">
        <v>366</v>
      </c>
    </row>
    <row r="220" spans="1:14" ht="22.5" customHeight="1">
      <c r="A220" s="22">
        <v>46068.693046793982</v>
      </c>
      <c r="B220" s="23" t="s">
        <v>64</v>
      </c>
      <c r="C220" s="23" t="s">
        <v>65</v>
      </c>
      <c r="J220" s="23" t="s">
        <v>66</v>
      </c>
      <c r="K220" s="23" t="s">
        <v>53</v>
      </c>
      <c r="L220" s="23" t="s">
        <v>84</v>
      </c>
      <c r="M220" s="23" t="s">
        <v>85</v>
      </c>
      <c r="N220" s="23" t="s">
        <v>367</v>
      </c>
    </row>
    <row r="221" spans="1:14" ht="22.5" customHeight="1">
      <c r="A221" s="22">
        <v>46068.693604537038</v>
      </c>
      <c r="B221" s="23" t="s">
        <v>64</v>
      </c>
      <c r="C221" s="23" t="s">
        <v>65</v>
      </c>
      <c r="J221" s="23" t="s">
        <v>66</v>
      </c>
      <c r="K221" s="23" t="s">
        <v>53</v>
      </c>
      <c r="L221" s="23" t="s">
        <v>368</v>
      </c>
      <c r="M221" s="23" t="s">
        <v>72</v>
      </c>
      <c r="N221" s="23" t="s">
        <v>369</v>
      </c>
    </row>
    <row r="222" spans="1:14" ht="22.5" customHeight="1">
      <c r="A222" s="22">
        <v>46068.694844733793</v>
      </c>
      <c r="B222" s="23" t="s">
        <v>64</v>
      </c>
      <c r="C222" s="23" t="s">
        <v>65</v>
      </c>
      <c r="J222" s="23" t="s">
        <v>66</v>
      </c>
      <c r="K222" s="23" t="s">
        <v>53</v>
      </c>
      <c r="L222" s="23" t="s">
        <v>67</v>
      </c>
      <c r="M222" s="23" t="s">
        <v>68</v>
      </c>
      <c r="N222" s="23" t="s">
        <v>370</v>
      </c>
    </row>
    <row r="223" spans="1:14" ht="22.5" customHeight="1">
      <c r="A223" s="22">
        <v>46069.311450300927</v>
      </c>
      <c r="B223" s="23" t="s">
        <v>118</v>
      </c>
      <c r="C223" s="23" t="s">
        <v>58</v>
      </c>
      <c r="D223" s="23" t="s">
        <v>371</v>
      </c>
      <c r="E223" s="23" t="s">
        <v>53</v>
      </c>
      <c r="F223" s="23" t="s">
        <v>74</v>
      </c>
      <c r="G223" s="23" t="s">
        <v>372</v>
      </c>
      <c r="H223" s="23" t="s">
        <v>373</v>
      </c>
    </row>
    <row r="224" spans="1:14" ht="22.5" customHeight="1">
      <c r="A224" s="22">
        <v>46069.311731180554</v>
      </c>
      <c r="B224" s="23" t="s">
        <v>118</v>
      </c>
      <c r="C224" s="23" t="s">
        <v>58</v>
      </c>
      <c r="D224" s="23" t="s">
        <v>371</v>
      </c>
      <c r="E224" s="23" t="s">
        <v>53</v>
      </c>
      <c r="F224" s="23" t="s">
        <v>74</v>
      </c>
      <c r="G224" s="23" t="s">
        <v>374</v>
      </c>
      <c r="H224" s="23" t="s">
        <v>373</v>
      </c>
    </row>
    <row r="225" spans="1:8" ht="22.5" customHeight="1">
      <c r="A225" s="22">
        <v>46069.312116099536</v>
      </c>
      <c r="B225" s="23" t="s">
        <v>118</v>
      </c>
      <c r="C225" s="23" t="s">
        <v>58</v>
      </c>
      <c r="D225" s="23" t="s">
        <v>371</v>
      </c>
      <c r="E225" s="23" t="s">
        <v>53</v>
      </c>
      <c r="F225" s="23" t="s">
        <v>149</v>
      </c>
      <c r="G225" s="23" t="s">
        <v>136</v>
      </c>
      <c r="H225" s="23" t="s">
        <v>373</v>
      </c>
    </row>
    <row r="226" spans="1:8" ht="22.5" customHeight="1">
      <c r="A226" s="22">
        <v>46069.312389016202</v>
      </c>
      <c r="B226" s="23" t="s">
        <v>118</v>
      </c>
      <c r="C226" s="23" t="s">
        <v>58</v>
      </c>
      <c r="D226" s="23" t="s">
        <v>371</v>
      </c>
      <c r="E226" s="23" t="s">
        <v>53</v>
      </c>
      <c r="F226" s="23" t="s">
        <v>154</v>
      </c>
      <c r="G226" s="23" t="s">
        <v>136</v>
      </c>
      <c r="H226" s="23" t="s">
        <v>373</v>
      </c>
    </row>
    <row r="227" spans="1:8" ht="22.5" customHeight="1">
      <c r="A227" s="22">
        <v>46069.313369074072</v>
      </c>
      <c r="B227" s="23" t="s">
        <v>118</v>
      </c>
      <c r="C227" s="23" t="s">
        <v>58</v>
      </c>
      <c r="D227" s="23" t="s">
        <v>371</v>
      </c>
      <c r="E227" s="23" t="s">
        <v>53</v>
      </c>
      <c r="F227" s="23" t="s">
        <v>131</v>
      </c>
      <c r="G227" s="23" t="s">
        <v>136</v>
      </c>
      <c r="H227" s="23" t="s">
        <v>373</v>
      </c>
    </row>
    <row r="228" spans="1:8" ht="22.5" customHeight="1">
      <c r="A228" s="22">
        <v>46069.313654502315</v>
      </c>
      <c r="B228" s="23" t="s">
        <v>118</v>
      </c>
      <c r="C228" s="23" t="s">
        <v>58</v>
      </c>
      <c r="D228" s="23" t="s">
        <v>371</v>
      </c>
      <c r="E228" s="23" t="s">
        <v>53</v>
      </c>
      <c r="F228" s="23" t="s">
        <v>89</v>
      </c>
      <c r="G228" s="23" t="s">
        <v>136</v>
      </c>
      <c r="H228" s="23" t="s">
        <v>373</v>
      </c>
    </row>
    <row r="229" spans="1:8" ht="22.5" customHeight="1">
      <c r="A229" s="22">
        <v>46069.317167303241</v>
      </c>
      <c r="B229" s="23" t="s">
        <v>118</v>
      </c>
      <c r="C229" s="23" t="s">
        <v>58</v>
      </c>
      <c r="D229" s="23" t="s">
        <v>371</v>
      </c>
      <c r="E229" s="23" t="s">
        <v>53</v>
      </c>
      <c r="F229" s="23" t="s">
        <v>135</v>
      </c>
      <c r="G229" s="23" t="s">
        <v>136</v>
      </c>
      <c r="H229" s="23" t="s">
        <v>373</v>
      </c>
    </row>
    <row r="230" spans="1:8" ht="22.5" customHeight="1">
      <c r="A230" s="22">
        <v>46069.318134016205</v>
      </c>
      <c r="B230" s="23" t="s">
        <v>118</v>
      </c>
      <c r="C230" s="23" t="s">
        <v>58</v>
      </c>
      <c r="D230" s="23" t="s">
        <v>371</v>
      </c>
      <c r="E230" s="23" t="s">
        <v>53</v>
      </c>
      <c r="F230" s="23" t="s">
        <v>153</v>
      </c>
      <c r="G230" s="23" t="s">
        <v>136</v>
      </c>
      <c r="H230" s="23" t="s">
        <v>373</v>
      </c>
    </row>
    <row r="231" spans="1:8" ht="22.5" customHeight="1">
      <c r="A231" s="22">
        <v>46069.318664976847</v>
      </c>
      <c r="B231" s="23" t="s">
        <v>118</v>
      </c>
      <c r="C231" s="23" t="s">
        <v>58</v>
      </c>
      <c r="D231" s="23" t="s">
        <v>371</v>
      </c>
      <c r="E231" s="23" t="s">
        <v>53</v>
      </c>
      <c r="F231" s="23" t="s">
        <v>61</v>
      </c>
      <c r="G231" s="23" t="s">
        <v>136</v>
      </c>
      <c r="H231" s="23" t="s">
        <v>373</v>
      </c>
    </row>
    <row r="232" spans="1:8" ht="22.5" customHeight="1">
      <c r="A232" s="22">
        <v>46069.318677743053</v>
      </c>
      <c r="B232" s="23" t="s">
        <v>88</v>
      </c>
      <c r="C232" s="23" t="s">
        <v>58</v>
      </c>
      <c r="D232" s="23" t="s">
        <v>59</v>
      </c>
      <c r="E232" s="23" t="s">
        <v>60</v>
      </c>
      <c r="F232" s="23" t="s">
        <v>131</v>
      </c>
      <c r="G232" s="23" t="s">
        <v>62</v>
      </c>
      <c r="H232" s="23" t="s">
        <v>275</v>
      </c>
    </row>
    <row r="233" spans="1:8" ht="22.5" customHeight="1">
      <c r="A233" s="22">
        <v>46069.319277546296</v>
      </c>
      <c r="B233" s="23" t="s">
        <v>118</v>
      </c>
      <c r="C233" s="23" t="s">
        <v>58</v>
      </c>
      <c r="D233" s="23" t="s">
        <v>371</v>
      </c>
      <c r="E233" s="23" t="s">
        <v>53</v>
      </c>
      <c r="F233" s="23" t="s">
        <v>80</v>
      </c>
      <c r="G233" s="23" t="s">
        <v>136</v>
      </c>
      <c r="H233" s="23" t="s">
        <v>373</v>
      </c>
    </row>
    <row r="234" spans="1:8" ht="22.5" customHeight="1">
      <c r="A234" s="22">
        <v>46069.319543379628</v>
      </c>
      <c r="B234" s="23" t="s">
        <v>118</v>
      </c>
      <c r="C234" s="23" t="s">
        <v>58</v>
      </c>
      <c r="D234" s="23" t="s">
        <v>371</v>
      </c>
      <c r="E234" s="23" t="s">
        <v>53</v>
      </c>
      <c r="F234" s="23" t="s">
        <v>375</v>
      </c>
      <c r="G234" s="23" t="s">
        <v>136</v>
      </c>
      <c r="H234" s="23" t="s">
        <v>373</v>
      </c>
    </row>
    <row r="235" spans="1:8" ht="22.5" customHeight="1">
      <c r="A235" s="22">
        <v>46069.320041099534</v>
      </c>
      <c r="B235" s="23" t="s">
        <v>118</v>
      </c>
      <c r="C235" s="23" t="s">
        <v>58</v>
      </c>
      <c r="D235" s="23" t="s">
        <v>376</v>
      </c>
      <c r="E235" s="23" t="s">
        <v>53</v>
      </c>
      <c r="F235" s="23" t="s">
        <v>149</v>
      </c>
      <c r="G235" s="23" t="s">
        <v>106</v>
      </c>
      <c r="H235" s="23" t="s">
        <v>377</v>
      </c>
    </row>
    <row r="236" spans="1:8" ht="22.5" customHeight="1">
      <c r="A236" s="22">
        <v>46069.320244027782</v>
      </c>
      <c r="B236" s="23" t="s">
        <v>118</v>
      </c>
      <c r="C236" s="23" t="s">
        <v>58</v>
      </c>
      <c r="D236" s="23" t="s">
        <v>371</v>
      </c>
      <c r="E236" s="23" t="s">
        <v>53</v>
      </c>
      <c r="F236" s="23" t="s">
        <v>154</v>
      </c>
      <c r="G236" s="23" t="s">
        <v>106</v>
      </c>
      <c r="H236" s="23" t="s">
        <v>377</v>
      </c>
    </row>
    <row r="237" spans="1:8" ht="22.5" customHeight="1">
      <c r="A237" s="22">
        <v>46069.320490520833</v>
      </c>
      <c r="B237" s="23" t="s">
        <v>118</v>
      </c>
      <c r="C237" s="23" t="s">
        <v>58</v>
      </c>
      <c r="D237" s="23" t="s">
        <v>376</v>
      </c>
      <c r="E237" s="23" t="s">
        <v>53</v>
      </c>
      <c r="F237" s="23" t="s">
        <v>131</v>
      </c>
      <c r="G237" s="23" t="s">
        <v>106</v>
      </c>
      <c r="H237" s="23" t="s">
        <v>377</v>
      </c>
    </row>
    <row r="238" spans="1:8" ht="22.5" customHeight="1">
      <c r="A238" s="22">
        <v>46069.320777939814</v>
      </c>
      <c r="B238" s="23" t="s">
        <v>118</v>
      </c>
      <c r="C238" s="23" t="s">
        <v>58</v>
      </c>
      <c r="D238" s="23" t="s">
        <v>376</v>
      </c>
      <c r="E238" s="23" t="s">
        <v>53</v>
      </c>
      <c r="F238" s="23" t="s">
        <v>89</v>
      </c>
      <c r="G238" s="23" t="s">
        <v>106</v>
      </c>
      <c r="H238" s="23" t="s">
        <v>377</v>
      </c>
    </row>
    <row r="239" spans="1:8" ht="22.5" customHeight="1">
      <c r="A239" s="22">
        <v>46069.320998807874</v>
      </c>
      <c r="B239" s="23" t="s">
        <v>118</v>
      </c>
      <c r="C239" s="23" t="s">
        <v>58</v>
      </c>
      <c r="D239" s="23" t="s">
        <v>376</v>
      </c>
      <c r="E239" s="23" t="s">
        <v>53</v>
      </c>
      <c r="F239" s="23" t="s">
        <v>135</v>
      </c>
      <c r="G239" s="23" t="s">
        <v>106</v>
      </c>
      <c r="H239" s="23" t="s">
        <v>377</v>
      </c>
    </row>
    <row r="240" spans="1:8" ht="22.5" customHeight="1">
      <c r="A240" s="22">
        <v>46069.321247685184</v>
      </c>
      <c r="B240" s="23" t="s">
        <v>118</v>
      </c>
      <c r="C240" s="23" t="s">
        <v>58</v>
      </c>
      <c r="D240" s="23" t="s">
        <v>376</v>
      </c>
      <c r="E240" s="23" t="s">
        <v>53</v>
      </c>
      <c r="F240" s="23" t="s">
        <v>153</v>
      </c>
      <c r="G240" s="23" t="s">
        <v>106</v>
      </c>
      <c r="H240" s="23" t="s">
        <v>377</v>
      </c>
    </row>
    <row r="241" spans="1:14" ht="22.5" customHeight="1">
      <c r="A241" s="22">
        <v>46069.322082245373</v>
      </c>
      <c r="B241" s="23" t="s">
        <v>118</v>
      </c>
      <c r="C241" s="23" t="s">
        <v>58</v>
      </c>
      <c r="D241" s="23" t="s">
        <v>376</v>
      </c>
      <c r="E241" s="23" t="s">
        <v>53</v>
      </c>
      <c r="F241" s="23" t="s">
        <v>61</v>
      </c>
      <c r="G241" s="23" t="s">
        <v>106</v>
      </c>
      <c r="H241" s="23" t="s">
        <v>377</v>
      </c>
    </row>
    <row r="242" spans="1:14" ht="22.5" customHeight="1">
      <c r="A242" s="22">
        <v>46069.322386064814</v>
      </c>
      <c r="B242" s="23" t="s">
        <v>118</v>
      </c>
      <c r="C242" s="23" t="s">
        <v>58</v>
      </c>
      <c r="D242" s="23" t="s">
        <v>376</v>
      </c>
      <c r="E242" s="23" t="s">
        <v>53</v>
      </c>
      <c r="F242" s="23" t="s">
        <v>80</v>
      </c>
      <c r="G242" s="23" t="s">
        <v>106</v>
      </c>
      <c r="H242" s="23" t="s">
        <v>377</v>
      </c>
    </row>
    <row r="243" spans="1:14" ht="22.5" customHeight="1">
      <c r="A243" s="22">
        <v>46069.322938981481</v>
      </c>
      <c r="B243" s="23" t="s">
        <v>118</v>
      </c>
      <c r="C243" s="23" t="s">
        <v>58</v>
      </c>
      <c r="D243" s="23" t="s">
        <v>376</v>
      </c>
      <c r="E243" s="23" t="s">
        <v>53</v>
      </c>
      <c r="F243" s="23" t="s">
        <v>375</v>
      </c>
      <c r="G243" s="23" t="s">
        <v>106</v>
      </c>
      <c r="H243" s="23" t="s">
        <v>377</v>
      </c>
    </row>
    <row r="244" spans="1:14" ht="22.5" customHeight="1">
      <c r="A244" s="22">
        <v>46069.596474513892</v>
      </c>
      <c r="B244" s="23" t="s">
        <v>64</v>
      </c>
      <c r="C244" s="23" t="s">
        <v>65</v>
      </c>
      <c r="J244" s="23" t="s">
        <v>66</v>
      </c>
      <c r="K244" s="23" t="s">
        <v>53</v>
      </c>
      <c r="L244" s="23" t="s">
        <v>105</v>
      </c>
      <c r="M244" s="23" t="s">
        <v>378</v>
      </c>
      <c r="N244" s="23" t="s">
        <v>379</v>
      </c>
    </row>
    <row r="245" spans="1:14" ht="22.5" customHeight="1">
      <c r="A245" s="22">
        <v>46069.597159409721</v>
      </c>
      <c r="B245" s="23" t="s">
        <v>64</v>
      </c>
      <c r="C245" s="23" t="s">
        <v>65</v>
      </c>
      <c r="J245" s="23" t="s">
        <v>66</v>
      </c>
      <c r="K245" s="23" t="s">
        <v>53</v>
      </c>
      <c r="L245" s="23" t="s">
        <v>67</v>
      </c>
      <c r="M245" s="23" t="s">
        <v>68</v>
      </c>
      <c r="N245" s="23" t="s">
        <v>380</v>
      </c>
    </row>
    <row r="246" spans="1:14" ht="22.5" customHeight="1">
      <c r="A246" s="22">
        <v>46069.598120347218</v>
      </c>
      <c r="B246" s="23" t="s">
        <v>64</v>
      </c>
      <c r="C246" s="23" t="s">
        <v>65</v>
      </c>
      <c r="J246" s="23" t="s">
        <v>66</v>
      </c>
      <c r="K246" s="23" t="s">
        <v>53</v>
      </c>
      <c r="L246" s="23" t="s">
        <v>67</v>
      </c>
      <c r="M246" s="23" t="s">
        <v>68</v>
      </c>
      <c r="N246" s="23" t="s">
        <v>381</v>
      </c>
    </row>
    <row r="247" spans="1:14" ht="22.5" customHeight="1">
      <c r="A247" s="22">
        <v>46069.60113476852</v>
      </c>
      <c r="B247" s="23" t="s">
        <v>64</v>
      </c>
      <c r="C247" s="23" t="s">
        <v>65</v>
      </c>
      <c r="J247" s="23" t="s">
        <v>66</v>
      </c>
      <c r="K247" s="23" t="s">
        <v>53</v>
      </c>
      <c r="L247" s="23" t="s">
        <v>368</v>
      </c>
      <c r="M247" s="23" t="s">
        <v>106</v>
      </c>
      <c r="N247" s="23" t="s">
        <v>382</v>
      </c>
    </row>
    <row r="248" spans="1:14" ht="22.5" customHeight="1">
      <c r="A248" s="22">
        <v>46069.661779606482</v>
      </c>
      <c r="B248" s="23" t="s">
        <v>64</v>
      </c>
      <c r="C248" s="23" t="s">
        <v>65</v>
      </c>
      <c r="J248" s="23" t="s">
        <v>66</v>
      </c>
      <c r="K248" s="23" t="s">
        <v>53</v>
      </c>
      <c r="L248" s="23" t="s">
        <v>364</v>
      </c>
      <c r="M248" s="23" t="s">
        <v>72</v>
      </c>
      <c r="N248" s="23" t="s">
        <v>383</v>
      </c>
    </row>
    <row r="249" spans="1:14" ht="22.5" customHeight="1">
      <c r="A249" s="22">
        <v>46070.340094340281</v>
      </c>
      <c r="B249" s="23" t="s">
        <v>88</v>
      </c>
      <c r="C249" s="23" t="s">
        <v>58</v>
      </c>
      <c r="D249" s="23" t="s">
        <v>59</v>
      </c>
      <c r="E249" s="23" t="s">
        <v>60</v>
      </c>
      <c r="F249" s="23" t="s">
        <v>61</v>
      </c>
      <c r="G249" s="23" t="s">
        <v>62</v>
      </c>
      <c r="H249" s="23" t="s">
        <v>384</v>
      </c>
    </row>
    <row r="250" spans="1:14" ht="22.5" customHeight="1">
      <c r="A250" s="22">
        <v>46070.444407789357</v>
      </c>
      <c r="B250" s="23" t="s">
        <v>88</v>
      </c>
      <c r="C250" s="23" t="s">
        <v>58</v>
      </c>
      <c r="D250" s="23" t="s">
        <v>59</v>
      </c>
      <c r="E250" s="23" t="s">
        <v>60</v>
      </c>
      <c r="F250" s="23" t="s">
        <v>74</v>
      </c>
      <c r="G250" s="23" t="s">
        <v>385</v>
      </c>
      <c r="H250" s="23" t="s">
        <v>386</v>
      </c>
    </row>
    <row r="251" spans="1:14" ht="22.5" customHeight="1">
      <c r="A251" s="22">
        <v>46070.489798518523</v>
      </c>
      <c r="B251" s="23" t="s">
        <v>57</v>
      </c>
      <c r="C251" s="23" t="s">
        <v>58</v>
      </c>
      <c r="D251" s="23" t="s">
        <v>59</v>
      </c>
      <c r="E251" s="23" t="s">
        <v>60</v>
      </c>
      <c r="F251" s="23" t="s">
        <v>153</v>
      </c>
      <c r="G251" s="23" t="s">
        <v>62</v>
      </c>
      <c r="H251" s="23" t="s">
        <v>387</v>
      </c>
    </row>
    <row r="252" spans="1:14" ht="22.5" customHeight="1">
      <c r="A252" s="22">
        <v>46070.544014004627</v>
      </c>
      <c r="B252" s="23" t="s">
        <v>76</v>
      </c>
      <c r="C252" s="23" t="s">
        <v>65</v>
      </c>
      <c r="J252" s="23" t="s">
        <v>306</v>
      </c>
      <c r="K252" s="23" t="s">
        <v>60</v>
      </c>
      <c r="L252" s="23" t="s">
        <v>172</v>
      </c>
      <c r="M252" s="23" t="s">
        <v>388</v>
      </c>
      <c r="N252" s="23" t="s">
        <v>389</v>
      </c>
    </row>
    <row r="253" spans="1:14" ht="22.5" customHeight="1">
      <c r="A253" s="22">
        <v>46071.32789940972</v>
      </c>
      <c r="B253" s="23" t="s">
        <v>88</v>
      </c>
      <c r="C253" s="23" t="s">
        <v>58</v>
      </c>
      <c r="D253" s="23" t="s">
        <v>59</v>
      </c>
      <c r="E253" s="23" t="s">
        <v>60</v>
      </c>
      <c r="F253" s="23" t="s">
        <v>61</v>
      </c>
      <c r="G253" s="23" t="s">
        <v>62</v>
      </c>
      <c r="H253" s="23" t="s">
        <v>390</v>
      </c>
    </row>
    <row r="254" spans="1:14" ht="22.5" customHeight="1">
      <c r="A254" s="22">
        <v>46071.352183344905</v>
      </c>
      <c r="B254" s="23" t="s">
        <v>118</v>
      </c>
      <c r="C254" s="23" t="s">
        <v>58</v>
      </c>
      <c r="D254" s="23" t="s">
        <v>111</v>
      </c>
      <c r="E254" s="23" t="s">
        <v>53</v>
      </c>
      <c r="F254" s="23" t="s">
        <v>89</v>
      </c>
      <c r="G254" s="23" t="s">
        <v>391</v>
      </c>
      <c r="H254" s="23" t="s">
        <v>392</v>
      </c>
    </row>
    <row r="255" spans="1:14" ht="22.5" customHeight="1">
      <c r="A255" s="22">
        <v>46071.354080034725</v>
      </c>
      <c r="B255" s="23" t="s">
        <v>118</v>
      </c>
      <c r="C255" s="23" t="s">
        <v>58</v>
      </c>
      <c r="D255" s="23" t="s">
        <v>111</v>
      </c>
      <c r="E255" s="23" t="s">
        <v>53</v>
      </c>
      <c r="F255" s="23" t="s">
        <v>131</v>
      </c>
      <c r="G255" s="23" t="s">
        <v>393</v>
      </c>
      <c r="H255" s="23" t="s">
        <v>394</v>
      </c>
    </row>
    <row r="256" spans="1:14" ht="22.5" customHeight="1">
      <c r="A256" s="22">
        <v>46071.382759629632</v>
      </c>
      <c r="B256" s="23" t="s">
        <v>88</v>
      </c>
      <c r="C256" s="23" t="s">
        <v>58</v>
      </c>
      <c r="D256" s="23" t="s">
        <v>59</v>
      </c>
      <c r="E256" s="23" t="s">
        <v>60</v>
      </c>
      <c r="F256" s="23" t="s">
        <v>61</v>
      </c>
      <c r="G256" s="23" t="s">
        <v>62</v>
      </c>
      <c r="H256" s="23" t="s">
        <v>395</v>
      </c>
    </row>
    <row r="257" spans="1:14" ht="22.5" customHeight="1">
      <c r="A257" s="22">
        <v>46071.390990717591</v>
      </c>
      <c r="B257" s="23" t="s">
        <v>88</v>
      </c>
      <c r="C257" s="23" t="s">
        <v>58</v>
      </c>
      <c r="D257" s="23" t="s">
        <v>59</v>
      </c>
      <c r="E257" s="23" t="s">
        <v>60</v>
      </c>
      <c r="F257" s="23" t="s">
        <v>149</v>
      </c>
      <c r="G257" s="23" t="s">
        <v>62</v>
      </c>
      <c r="H257" s="23" t="s">
        <v>396</v>
      </c>
    </row>
    <row r="258" spans="1:14" ht="22.5" customHeight="1">
      <c r="A258" s="22">
        <v>46071.410236805561</v>
      </c>
      <c r="B258" s="23" t="s">
        <v>88</v>
      </c>
      <c r="C258" s="23" t="s">
        <v>58</v>
      </c>
      <c r="D258" s="23" t="s">
        <v>59</v>
      </c>
      <c r="E258" s="23" t="s">
        <v>60</v>
      </c>
      <c r="F258" s="23" t="s">
        <v>154</v>
      </c>
      <c r="G258" s="23" t="s">
        <v>397</v>
      </c>
      <c r="H258" s="23" t="s">
        <v>398</v>
      </c>
    </row>
    <row r="259" spans="1:14" ht="22.5" customHeight="1">
      <c r="A259" s="22">
        <v>46071.414616724534</v>
      </c>
      <c r="B259" s="23" t="s">
        <v>57</v>
      </c>
      <c r="C259" s="23" t="s">
        <v>58</v>
      </c>
      <c r="D259" s="23" t="s">
        <v>59</v>
      </c>
      <c r="E259" s="23" t="s">
        <v>60</v>
      </c>
      <c r="F259" s="23" t="s">
        <v>89</v>
      </c>
      <c r="G259" s="23" t="s">
        <v>62</v>
      </c>
      <c r="H259" s="23" t="s">
        <v>399</v>
      </c>
    </row>
    <row r="260" spans="1:14" ht="22.5" customHeight="1">
      <c r="A260" s="22">
        <v>46071.431339305556</v>
      </c>
      <c r="B260" s="23" t="s">
        <v>57</v>
      </c>
      <c r="C260" s="23" t="s">
        <v>58</v>
      </c>
      <c r="D260" s="23" t="s">
        <v>59</v>
      </c>
      <c r="E260" s="23" t="s">
        <v>60</v>
      </c>
      <c r="F260" s="23" t="s">
        <v>89</v>
      </c>
      <c r="G260" s="23" t="s">
        <v>400</v>
      </c>
      <c r="H260" s="23" t="s">
        <v>401</v>
      </c>
    </row>
    <row r="261" spans="1:14" ht="22.5" customHeight="1">
      <c r="A261" s="22">
        <v>46071.496760844908</v>
      </c>
      <c r="B261" s="23" t="s">
        <v>88</v>
      </c>
      <c r="C261" s="23" t="s">
        <v>58</v>
      </c>
      <c r="D261" s="23" t="s">
        <v>59</v>
      </c>
      <c r="E261" s="23" t="s">
        <v>60</v>
      </c>
      <c r="F261" s="23" t="s">
        <v>80</v>
      </c>
      <c r="G261" s="23" t="s">
        <v>162</v>
      </c>
      <c r="H261" s="23" t="s">
        <v>402</v>
      </c>
    </row>
    <row r="262" spans="1:14" ht="22.5" customHeight="1">
      <c r="A262" s="22">
        <v>46071.544475381947</v>
      </c>
      <c r="B262" s="23" t="s">
        <v>76</v>
      </c>
      <c r="C262" s="23" t="s">
        <v>65</v>
      </c>
      <c r="J262" s="23" t="s">
        <v>306</v>
      </c>
      <c r="K262" s="23" t="s">
        <v>60</v>
      </c>
      <c r="L262" s="23" t="s">
        <v>105</v>
      </c>
      <c r="M262" s="23" t="s">
        <v>403</v>
      </c>
      <c r="N262" s="23" t="s">
        <v>404</v>
      </c>
    </row>
    <row r="263" spans="1:14" ht="22.5" customHeight="1">
      <c r="A263" s="22">
        <v>46072.367704537042</v>
      </c>
      <c r="B263" s="23" t="s">
        <v>57</v>
      </c>
      <c r="C263" s="23" t="s">
        <v>58</v>
      </c>
      <c r="D263" s="23" t="s">
        <v>59</v>
      </c>
      <c r="E263" s="23" t="s">
        <v>60</v>
      </c>
      <c r="F263" s="23" t="s">
        <v>89</v>
      </c>
      <c r="G263" s="23" t="s">
        <v>62</v>
      </c>
      <c r="H263" s="23" t="s">
        <v>405</v>
      </c>
    </row>
    <row r="264" spans="1:14" ht="22.5" customHeight="1">
      <c r="A264" s="22">
        <v>46072.368214745366</v>
      </c>
      <c r="B264" s="23" t="s">
        <v>57</v>
      </c>
      <c r="C264" s="23" t="s">
        <v>58</v>
      </c>
      <c r="D264" s="23" t="s">
        <v>59</v>
      </c>
      <c r="E264" s="23" t="s">
        <v>60</v>
      </c>
      <c r="F264" s="23" t="s">
        <v>89</v>
      </c>
      <c r="G264" s="23" t="s">
        <v>62</v>
      </c>
      <c r="H264" s="23" t="s">
        <v>406</v>
      </c>
    </row>
    <row r="265" spans="1:14" ht="22.5" customHeight="1">
      <c r="A265" s="22">
        <v>46072.368670659722</v>
      </c>
      <c r="B265" s="23" t="s">
        <v>57</v>
      </c>
      <c r="C265" s="23" t="s">
        <v>58</v>
      </c>
      <c r="D265" s="23" t="s">
        <v>59</v>
      </c>
      <c r="E265" s="23" t="s">
        <v>60</v>
      </c>
      <c r="F265" s="23" t="s">
        <v>89</v>
      </c>
      <c r="G265" s="23" t="s">
        <v>62</v>
      </c>
      <c r="H265" s="23" t="s">
        <v>407</v>
      </c>
    </row>
    <row r="266" spans="1:14" ht="22.5" customHeight="1">
      <c r="A266" s="22">
        <v>46072.369068159722</v>
      </c>
      <c r="B266" s="23" t="s">
        <v>57</v>
      </c>
      <c r="C266" s="23" t="s">
        <v>58</v>
      </c>
      <c r="D266" s="23" t="s">
        <v>59</v>
      </c>
      <c r="E266" s="23" t="s">
        <v>60</v>
      </c>
      <c r="F266" s="23" t="s">
        <v>131</v>
      </c>
      <c r="G266" s="23" t="s">
        <v>62</v>
      </c>
      <c r="H266" s="23" t="s">
        <v>408</v>
      </c>
    </row>
    <row r="267" spans="1:14" ht="22.5" customHeight="1">
      <c r="A267" s="22">
        <v>46072.373020868057</v>
      </c>
      <c r="B267" s="23" t="s">
        <v>57</v>
      </c>
      <c r="C267" s="23" t="s">
        <v>58</v>
      </c>
      <c r="D267" s="23" t="s">
        <v>59</v>
      </c>
      <c r="E267" s="23" t="s">
        <v>60</v>
      </c>
      <c r="F267" s="23" t="s">
        <v>80</v>
      </c>
      <c r="G267" s="23" t="s">
        <v>62</v>
      </c>
      <c r="H267" s="23" t="s">
        <v>245</v>
      </c>
    </row>
    <row r="268" spans="1:14" ht="22.5" customHeight="1">
      <c r="A268" s="22">
        <v>46072.381108009256</v>
      </c>
      <c r="B268" s="23" t="s">
        <v>57</v>
      </c>
      <c r="C268" s="23" t="s">
        <v>58</v>
      </c>
      <c r="D268" s="23" t="s">
        <v>59</v>
      </c>
      <c r="E268" s="23" t="s">
        <v>60</v>
      </c>
      <c r="F268" s="23" t="s">
        <v>153</v>
      </c>
      <c r="G268" s="23" t="s">
        <v>62</v>
      </c>
      <c r="H268" s="23" t="s">
        <v>409</v>
      </c>
    </row>
    <row r="269" spans="1:14" ht="22.5" customHeight="1">
      <c r="A269" s="22">
        <v>46072.390732824075</v>
      </c>
      <c r="B269" s="23" t="s">
        <v>57</v>
      </c>
      <c r="C269" s="23" t="s">
        <v>58</v>
      </c>
      <c r="D269" s="23" t="s">
        <v>59</v>
      </c>
      <c r="E269" s="23" t="s">
        <v>60</v>
      </c>
      <c r="F269" s="23" t="s">
        <v>149</v>
      </c>
      <c r="G269" s="23" t="s">
        <v>62</v>
      </c>
      <c r="H269" s="23" t="s">
        <v>410</v>
      </c>
    </row>
    <row r="270" spans="1:14" ht="22.5" customHeight="1">
      <c r="A270" s="22">
        <v>46072.442051018515</v>
      </c>
      <c r="B270" s="23" t="s">
        <v>57</v>
      </c>
      <c r="C270" s="23" t="s">
        <v>58</v>
      </c>
      <c r="D270" s="23" t="s">
        <v>59</v>
      </c>
      <c r="E270" s="23" t="s">
        <v>60</v>
      </c>
      <c r="F270" s="23" t="s">
        <v>149</v>
      </c>
      <c r="G270" s="23" t="s">
        <v>62</v>
      </c>
      <c r="H270" s="23" t="s">
        <v>411</v>
      </c>
    </row>
    <row r="271" spans="1:14" ht="22.5" customHeight="1">
      <c r="A271" s="22">
        <v>46072.517975555558</v>
      </c>
      <c r="B271" s="23" t="s">
        <v>118</v>
      </c>
      <c r="C271" s="23" t="s">
        <v>58</v>
      </c>
      <c r="D271" s="23" t="s">
        <v>59</v>
      </c>
      <c r="E271" s="23" t="s">
        <v>60</v>
      </c>
      <c r="F271" s="23" t="s">
        <v>89</v>
      </c>
      <c r="G271" s="23" t="s">
        <v>147</v>
      </c>
      <c r="H271" s="23" t="s">
        <v>412</v>
      </c>
    </row>
    <row r="272" spans="1:14" ht="22.5" customHeight="1">
      <c r="A272" s="22">
        <v>46072.518307384264</v>
      </c>
      <c r="B272" s="23" t="s">
        <v>118</v>
      </c>
      <c r="C272" s="23" t="s">
        <v>58</v>
      </c>
      <c r="D272" s="23" t="s">
        <v>59</v>
      </c>
      <c r="E272" s="23" t="s">
        <v>60</v>
      </c>
      <c r="F272" s="23" t="s">
        <v>89</v>
      </c>
      <c r="G272" s="23" t="s">
        <v>253</v>
      </c>
      <c r="H272" s="23" t="s">
        <v>413</v>
      </c>
    </row>
    <row r="273" spans="1:14" ht="22.5" customHeight="1">
      <c r="A273" s="22">
        <v>46072.519613020835</v>
      </c>
      <c r="B273" s="23" t="s">
        <v>118</v>
      </c>
      <c r="C273" s="23" t="s">
        <v>58</v>
      </c>
      <c r="D273" s="23" t="s">
        <v>59</v>
      </c>
      <c r="E273" s="23" t="s">
        <v>60</v>
      </c>
      <c r="F273" s="23" t="s">
        <v>153</v>
      </c>
      <c r="G273" s="23" t="s">
        <v>147</v>
      </c>
      <c r="H273" s="23" t="s">
        <v>414</v>
      </c>
    </row>
    <row r="274" spans="1:14" ht="22.5" customHeight="1">
      <c r="A274" s="22">
        <v>46072.530582245367</v>
      </c>
      <c r="B274" s="23" t="s">
        <v>76</v>
      </c>
      <c r="C274" s="23" t="s">
        <v>65</v>
      </c>
      <c r="J274" s="23" t="s">
        <v>306</v>
      </c>
      <c r="K274" s="23" t="s">
        <v>60</v>
      </c>
      <c r="L274" s="23" t="s">
        <v>172</v>
      </c>
      <c r="M274" s="23" t="s">
        <v>160</v>
      </c>
      <c r="N274" s="23" t="s">
        <v>415</v>
      </c>
    </row>
    <row r="275" spans="1:14" ht="22.5" customHeight="1">
      <c r="A275" s="22">
        <v>46072.532549826385</v>
      </c>
      <c r="B275" s="23" t="s">
        <v>76</v>
      </c>
      <c r="C275" s="23" t="s">
        <v>65</v>
      </c>
      <c r="J275" s="23" t="s">
        <v>306</v>
      </c>
      <c r="K275" s="23" t="s">
        <v>60</v>
      </c>
      <c r="L275" s="23" t="s">
        <v>84</v>
      </c>
      <c r="M275" s="23" t="s">
        <v>160</v>
      </c>
      <c r="N275" s="23" t="s">
        <v>416</v>
      </c>
    </row>
    <row r="276" spans="1:14" ht="22.5" customHeight="1">
      <c r="A276" s="22">
        <v>46072.534146134261</v>
      </c>
      <c r="B276" s="23" t="s">
        <v>76</v>
      </c>
      <c r="C276" s="23" t="s">
        <v>65</v>
      </c>
      <c r="J276" s="23" t="s">
        <v>417</v>
      </c>
      <c r="K276" s="23" t="s">
        <v>60</v>
      </c>
      <c r="L276" s="23" t="s">
        <v>84</v>
      </c>
      <c r="M276" s="23" t="s">
        <v>270</v>
      </c>
      <c r="N276" s="23" t="s">
        <v>418</v>
      </c>
    </row>
    <row r="277" spans="1:14" ht="22.5" customHeight="1">
      <c r="A277" s="22">
        <v>46074.368426631947</v>
      </c>
      <c r="B277" s="23" t="s">
        <v>57</v>
      </c>
      <c r="C277" s="23" t="s">
        <v>58</v>
      </c>
      <c r="D277" s="23" t="s">
        <v>59</v>
      </c>
      <c r="E277" s="23" t="s">
        <v>60</v>
      </c>
      <c r="F277" s="23" t="s">
        <v>74</v>
      </c>
      <c r="G277" s="23" t="s">
        <v>253</v>
      </c>
      <c r="H277" s="23" t="s">
        <v>419</v>
      </c>
    </row>
    <row r="278" spans="1:14" ht="22.5" customHeight="1">
      <c r="A278" s="22">
        <v>46074.3928771875</v>
      </c>
      <c r="B278" s="23" t="s">
        <v>96</v>
      </c>
      <c r="C278" s="23" t="s">
        <v>65</v>
      </c>
      <c r="J278" s="23" t="s">
        <v>97</v>
      </c>
      <c r="K278" s="23" t="s">
        <v>60</v>
      </c>
      <c r="L278" s="23" t="s">
        <v>172</v>
      </c>
      <c r="M278" s="23" t="s">
        <v>98</v>
      </c>
      <c r="N278" s="23" t="s">
        <v>420</v>
      </c>
    </row>
    <row r="279" spans="1:14" ht="22.5" customHeight="1">
      <c r="A279" s="22">
        <v>46074.394502337964</v>
      </c>
      <c r="B279" s="23" t="s">
        <v>96</v>
      </c>
      <c r="C279" s="23" t="s">
        <v>65</v>
      </c>
      <c r="J279" s="23" t="s">
        <v>97</v>
      </c>
      <c r="K279" s="23" t="s">
        <v>60</v>
      </c>
      <c r="L279" s="23" t="s">
        <v>84</v>
      </c>
      <c r="M279" s="23" t="s">
        <v>421</v>
      </c>
      <c r="N279" s="23" t="s">
        <v>422</v>
      </c>
    </row>
    <row r="280" spans="1:14" ht="22.5" customHeight="1">
      <c r="A280" s="22">
        <v>46074.404207777778</v>
      </c>
      <c r="B280" s="23" t="s">
        <v>57</v>
      </c>
      <c r="C280" s="23" t="s">
        <v>58</v>
      </c>
      <c r="D280" s="23" t="s">
        <v>59</v>
      </c>
      <c r="E280" s="23" t="s">
        <v>60</v>
      </c>
      <c r="F280" s="23" t="s">
        <v>82</v>
      </c>
      <c r="G280" s="23" t="s">
        <v>423</v>
      </c>
      <c r="H280" s="23" t="s">
        <v>424</v>
      </c>
    </row>
    <row r="281" spans="1:14" ht="22.5" customHeight="1">
      <c r="A281" s="22">
        <v>46074.568845775459</v>
      </c>
      <c r="B281" s="23" t="s">
        <v>64</v>
      </c>
      <c r="C281" s="23" t="s">
        <v>65</v>
      </c>
      <c r="J281" s="23" t="s">
        <v>66</v>
      </c>
      <c r="K281" s="23" t="s">
        <v>53</v>
      </c>
      <c r="L281" s="23" t="s">
        <v>105</v>
      </c>
      <c r="M281" s="23" t="s">
        <v>68</v>
      </c>
      <c r="N281" s="23" t="s">
        <v>425</v>
      </c>
    </row>
    <row r="282" spans="1:14" ht="22.5" customHeight="1">
      <c r="A282" s="22">
        <v>46074.569526030093</v>
      </c>
      <c r="B282" s="23" t="s">
        <v>64</v>
      </c>
      <c r="C282" s="23" t="s">
        <v>65</v>
      </c>
      <c r="J282" s="23" t="s">
        <v>66</v>
      </c>
      <c r="K282" s="23" t="s">
        <v>53</v>
      </c>
      <c r="L282" s="23" t="s">
        <v>84</v>
      </c>
      <c r="M282" s="23" t="s">
        <v>98</v>
      </c>
      <c r="N282" s="23" t="s">
        <v>426</v>
      </c>
    </row>
    <row r="283" spans="1:14" ht="22.5" customHeight="1">
      <c r="A283" s="22">
        <v>46074.570875983802</v>
      </c>
      <c r="B283" s="23" t="s">
        <v>64</v>
      </c>
      <c r="C283" s="23" t="s">
        <v>65</v>
      </c>
      <c r="J283" s="23" t="s">
        <v>66</v>
      </c>
      <c r="K283" s="23" t="s">
        <v>53</v>
      </c>
      <c r="L283" s="23" t="s">
        <v>67</v>
      </c>
      <c r="M283" s="23" t="s">
        <v>225</v>
      </c>
      <c r="N283" s="23" t="s">
        <v>427</v>
      </c>
    </row>
    <row r="284" spans="1:14" ht="22.5" customHeight="1">
      <c r="A284" s="22">
        <v>46074.57618261574</v>
      </c>
      <c r="B284" s="23" t="s">
        <v>64</v>
      </c>
      <c r="C284" s="23" t="s">
        <v>65</v>
      </c>
      <c r="J284" s="23" t="s">
        <v>66</v>
      </c>
      <c r="K284" s="23" t="s">
        <v>53</v>
      </c>
      <c r="L284" s="23" t="s">
        <v>84</v>
      </c>
      <c r="M284" s="23" t="s">
        <v>160</v>
      </c>
      <c r="N284" s="23" t="s">
        <v>428</v>
      </c>
    </row>
    <row r="285" spans="1:14" ht="22.5" customHeight="1">
      <c r="A285" s="22">
        <v>46074.577011562498</v>
      </c>
      <c r="B285" s="23" t="s">
        <v>64</v>
      </c>
      <c r="C285" s="23" t="s">
        <v>65</v>
      </c>
      <c r="J285" s="23" t="s">
        <v>66</v>
      </c>
      <c r="K285" s="23" t="s">
        <v>53</v>
      </c>
      <c r="L285" s="23" t="s">
        <v>84</v>
      </c>
      <c r="M285" s="23" t="s">
        <v>378</v>
      </c>
      <c r="N285" s="23" t="s">
        <v>429</v>
      </c>
    </row>
    <row r="286" spans="1:14" ht="22.5" customHeight="1">
      <c r="A286" s="22">
        <v>46074.579827199079</v>
      </c>
      <c r="B286" s="23" t="s">
        <v>64</v>
      </c>
      <c r="C286" s="23" t="s">
        <v>65</v>
      </c>
      <c r="J286" s="23" t="s">
        <v>66</v>
      </c>
      <c r="K286" s="23" t="s">
        <v>53</v>
      </c>
      <c r="L286" s="23" t="s">
        <v>67</v>
      </c>
      <c r="M286" s="23" t="s">
        <v>85</v>
      </c>
      <c r="N286" s="23" t="s">
        <v>430</v>
      </c>
    </row>
    <row r="287" spans="1:14" ht="22.5" customHeight="1">
      <c r="A287" s="22">
        <v>46074.58057056713</v>
      </c>
      <c r="B287" s="23" t="s">
        <v>57</v>
      </c>
      <c r="C287" s="23" t="s">
        <v>58</v>
      </c>
      <c r="D287" s="23" t="s">
        <v>59</v>
      </c>
      <c r="E287" s="23" t="s">
        <v>60</v>
      </c>
      <c r="F287" s="23" t="s">
        <v>431</v>
      </c>
      <c r="G287" s="23" t="s">
        <v>432</v>
      </c>
      <c r="H287" s="23" t="s">
        <v>433</v>
      </c>
    </row>
    <row r="288" spans="1:14" ht="22.5" customHeight="1">
      <c r="A288" s="22">
        <v>46074.580686817135</v>
      </c>
      <c r="B288" s="23" t="s">
        <v>64</v>
      </c>
      <c r="C288" s="23" t="s">
        <v>65</v>
      </c>
      <c r="J288" s="23" t="s">
        <v>66</v>
      </c>
      <c r="K288" s="23" t="s">
        <v>53</v>
      </c>
      <c r="L288" s="23" t="s">
        <v>84</v>
      </c>
      <c r="M288" s="23" t="s">
        <v>378</v>
      </c>
      <c r="N288" s="23" t="s">
        <v>434</v>
      </c>
    </row>
    <row r="289" spans="1:14" ht="22.5" customHeight="1">
      <c r="A289" s="22">
        <v>46075.332994687502</v>
      </c>
      <c r="B289" s="23" t="s">
        <v>88</v>
      </c>
      <c r="C289" s="23" t="s">
        <v>58</v>
      </c>
      <c r="D289" s="23" t="s">
        <v>59</v>
      </c>
      <c r="E289" s="23" t="s">
        <v>60</v>
      </c>
      <c r="F289" s="23" t="s">
        <v>61</v>
      </c>
      <c r="G289" s="23" t="s">
        <v>435</v>
      </c>
      <c r="H289" s="23" t="s">
        <v>436</v>
      </c>
    </row>
    <row r="290" spans="1:14" ht="22.5" customHeight="1">
      <c r="A290" s="22">
        <v>46075.377044201392</v>
      </c>
      <c r="B290" s="23" t="s">
        <v>57</v>
      </c>
      <c r="C290" s="23" t="s">
        <v>58</v>
      </c>
      <c r="D290" s="23" t="s">
        <v>59</v>
      </c>
      <c r="E290" s="23" t="s">
        <v>60</v>
      </c>
      <c r="F290" s="23" t="s">
        <v>153</v>
      </c>
      <c r="G290" s="23" t="s">
        <v>437</v>
      </c>
      <c r="H290" s="23" t="s">
        <v>438</v>
      </c>
    </row>
    <row r="291" spans="1:14" ht="22.5" customHeight="1">
      <c r="A291" s="22">
        <v>46075.399638194445</v>
      </c>
      <c r="B291" s="23" t="s">
        <v>57</v>
      </c>
      <c r="C291" s="23" t="s">
        <v>58</v>
      </c>
      <c r="D291" s="23" t="s">
        <v>59</v>
      </c>
      <c r="E291" s="23" t="s">
        <v>60</v>
      </c>
      <c r="F291" s="23" t="s">
        <v>149</v>
      </c>
      <c r="G291" s="23" t="s">
        <v>62</v>
      </c>
      <c r="H291" s="23" t="s">
        <v>439</v>
      </c>
    </row>
    <row r="292" spans="1:14" ht="22.5" customHeight="1">
      <c r="A292" s="22">
        <v>46075.399797835649</v>
      </c>
      <c r="B292" s="23" t="s">
        <v>76</v>
      </c>
      <c r="C292" s="23" t="s">
        <v>65</v>
      </c>
      <c r="J292" s="23" t="s">
        <v>306</v>
      </c>
      <c r="K292" s="23" t="s">
        <v>60</v>
      </c>
      <c r="L292" s="23" t="s">
        <v>105</v>
      </c>
      <c r="M292" s="23" t="s">
        <v>440</v>
      </c>
      <c r="N292" s="23" t="s">
        <v>441</v>
      </c>
    </row>
    <row r="293" spans="1:14" ht="22.5" customHeight="1">
      <c r="A293" s="22">
        <v>46075.414262488426</v>
      </c>
      <c r="B293" s="23" t="s">
        <v>57</v>
      </c>
      <c r="C293" s="23" t="s">
        <v>58</v>
      </c>
      <c r="D293" s="23" t="s">
        <v>59</v>
      </c>
      <c r="E293" s="23" t="s">
        <v>60</v>
      </c>
      <c r="F293" s="23" t="s">
        <v>131</v>
      </c>
      <c r="G293" s="23" t="s">
        <v>62</v>
      </c>
      <c r="H293" s="23" t="s">
        <v>223</v>
      </c>
    </row>
    <row r="294" spans="1:14" ht="22.5" customHeight="1">
      <c r="A294" s="22">
        <v>46075.458019328704</v>
      </c>
      <c r="B294" s="23" t="s">
        <v>57</v>
      </c>
      <c r="C294" s="23" t="s">
        <v>58</v>
      </c>
      <c r="D294" s="23" t="s">
        <v>59</v>
      </c>
      <c r="E294" s="23" t="s">
        <v>60</v>
      </c>
      <c r="F294" s="23" t="s">
        <v>82</v>
      </c>
      <c r="G294" s="23" t="s">
        <v>442</v>
      </c>
      <c r="H294" s="23" t="s">
        <v>443</v>
      </c>
    </row>
    <row r="295" spans="1:14" ht="22.5" customHeight="1">
      <c r="A295" s="22">
        <v>46075.565876643523</v>
      </c>
      <c r="B295" s="23" t="s">
        <v>57</v>
      </c>
      <c r="C295" s="23" t="s">
        <v>58</v>
      </c>
      <c r="D295" s="23" t="s">
        <v>59</v>
      </c>
      <c r="E295" s="23" t="s">
        <v>60</v>
      </c>
      <c r="F295" s="23" t="s">
        <v>444</v>
      </c>
      <c r="G295" s="23" t="s">
        <v>132</v>
      </c>
      <c r="H295" s="23" t="s">
        <v>445</v>
      </c>
    </row>
    <row r="296" spans="1:14" ht="22.5" customHeight="1">
      <c r="A296" s="22">
        <v>46076.30983106482</v>
      </c>
      <c r="B296" s="23" t="s">
        <v>88</v>
      </c>
      <c r="C296" s="23" t="s">
        <v>58</v>
      </c>
      <c r="D296" s="23" t="s">
        <v>59</v>
      </c>
      <c r="E296" s="23" t="s">
        <v>60</v>
      </c>
      <c r="F296" s="23" t="s">
        <v>61</v>
      </c>
      <c r="G296" s="23" t="s">
        <v>446</v>
      </c>
      <c r="H296" s="23" t="s">
        <v>447</v>
      </c>
    </row>
    <row r="297" spans="1:14" ht="22.5" customHeight="1">
      <c r="A297" s="22">
        <v>46076.362084560184</v>
      </c>
      <c r="B297" s="23" t="s">
        <v>57</v>
      </c>
      <c r="C297" s="23" t="s">
        <v>58</v>
      </c>
      <c r="D297" s="23" t="s">
        <v>59</v>
      </c>
      <c r="E297" s="23" t="s">
        <v>60</v>
      </c>
      <c r="F297" s="23" t="s">
        <v>154</v>
      </c>
      <c r="G297" s="23" t="s">
        <v>448</v>
      </c>
      <c r="H297" s="23" t="s">
        <v>449</v>
      </c>
    </row>
    <row r="298" spans="1:14" ht="22.5" customHeight="1">
      <c r="A298" s="22">
        <v>46076.420079965275</v>
      </c>
      <c r="B298" s="23" t="s">
        <v>64</v>
      </c>
      <c r="C298" s="23" t="s">
        <v>65</v>
      </c>
      <c r="J298" s="23" t="s">
        <v>66</v>
      </c>
      <c r="K298" s="23" t="s">
        <v>53</v>
      </c>
      <c r="L298" s="23" t="s">
        <v>84</v>
      </c>
      <c r="M298" s="23" t="s">
        <v>106</v>
      </c>
      <c r="N298" s="23" t="s">
        <v>450</v>
      </c>
    </row>
    <row r="299" spans="1:14" ht="22.5" customHeight="1">
      <c r="A299" s="22">
        <v>46076.42203613426</v>
      </c>
      <c r="B299" s="23" t="s">
        <v>64</v>
      </c>
      <c r="C299" s="23" t="s">
        <v>65</v>
      </c>
      <c r="J299" s="23" t="s">
        <v>66</v>
      </c>
      <c r="K299" s="23" t="s">
        <v>53</v>
      </c>
      <c r="L299" s="23" t="s">
        <v>84</v>
      </c>
      <c r="M299" s="23" t="s">
        <v>106</v>
      </c>
      <c r="N299" s="23" t="s">
        <v>451</v>
      </c>
    </row>
    <row r="300" spans="1:14" ht="22.5" customHeight="1">
      <c r="A300" s="22">
        <v>46076.423091921301</v>
      </c>
      <c r="B300" s="23" t="s">
        <v>64</v>
      </c>
      <c r="C300" s="23" t="s">
        <v>65</v>
      </c>
      <c r="J300" s="23" t="s">
        <v>66</v>
      </c>
      <c r="K300" s="23" t="s">
        <v>53</v>
      </c>
      <c r="L300" s="23" t="s">
        <v>67</v>
      </c>
      <c r="M300" s="23" t="s">
        <v>85</v>
      </c>
      <c r="N300" s="23" t="s">
        <v>452</v>
      </c>
    </row>
    <row r="301" spans="1:14" ht="22.5" customHeight="1">
      <c r="A301" s="22">
        <v>46076.426814444443</v>
      </c>
      <c r="B301" s="23" t="s">
        <v>64</v>
      </c>
      <c r="C301" s="23" t="s">
        <v>65</v>
      </c>
      <c r="J301" s="23" t="s">
        <v>66</v>
      </c>
      <c r="K301" s="23" t="s">
        <v>53</v>
      </c>
      <c r="L301" s="23" t="s">
        <v>67</v>
      </c>
      <c r="M301" s="23" t="s">
        <v>98</v>
      </c>
      <c r="N301" s="23" t="s">
        <v>453</v>
      </c>
    </row>
    <row r="302" spans="1:14" ht="22.5" customHeight="1">
      <c r="A302" s="22">
        <v>46076.470258819449</v>
      </c>
      <c r="B302" s="23" t="s">
        <v>57</v>
      </c>
      <c r="C302" s="23" t="s">
        <v>58</v>
      </c>
      <c r="D302" s="23" t="s">
        <v>59</v>
      </c>
      <c r="E302" s="23" t="s">
        <v>60</v>
      </c>
      <c r="F302" s="23" t="s">
        <v>149</v>
      </c>
      <c r="G302" s="23" t="s">
        <v>454</v>
      </c>
      <c r="H302" s="23" t="s">
        <v>455</v>
      </c>
    </row>
    <row r="303" spans="1:14" ht="22.5" customHeight="1">
      <c r="A303" s="22">
        <v>46077.306754224541</v>
      </c>
      <c r="B303" s="23" t="s">
        <v>88</v>
      </c>
      <c r="C303" s="23" t="s">
        <v>58</v>
      </c>
      <c r="D303" s="23" t="s">
        <v>59</v>
      </c>
      <c r="E303" s="23" t="s">
        <v>60</v>
      </c>
      <c r="F303" s="23" t="s">
        <v>456</v>
      </c>
      <c r="G303" s="23" t="s">
        <v>435</v>
      </c>
      <c r="H303" s="23" t="s">
        <v>457</v>
      </c>
    </row>
    <row r="304" spans="1:14" ht="22.5" customHeight="1">
      <c r="A304" s="22">
        <v>46077.318248043986</v>
      </c>
      <c r="B304" s="23" t="s">
        <v>88</v>
      </c>
      <c r="C304" s="23" t="s">
        <v>58</v>
      </c>
      <c r="D304" s="23" t="s">
        <v>59</v>
      </c>
      <c r="E304" s="23" t="s">
        <v>60</v>
      </c>
      <c r="F304" s="23" t="s">
        <v>61</v>
      </c>
      <c r="G304" s="23" t="s">
        <v>458</v>
      </c>
      <c r="H304" s="23" t="s">
        <v>459</v>
      </c>
    </row>
    <row r="305" spans="1:14" ht="22.5" customHeight="1">
      <c r="A305" s="22">
        <v>46077.394121122685</v>
      </c>
      <c r="B305" s="23" t="s">
        <v>88</v>
      </c>
      <c r="C305" s="23" t="s">
        <v>58</v>
      </c>
      <c r="D305" s="23" t="s">
        <v>59</v>
      </c>
      <c r="E305" s="23" t="s">
        <v>60</v>
      </c>
      <c r="F305" s="23" t="s">
        <v>154</v>
      </c>
      <c r="G305" s="23" t="s">
        <v>240</v>
      </c>
      <c r="H305" s="23" t="s">
        <v>460</v>
      </c>
    </row>
    <row r="306" spans="1:14" ht="22.5" customHeight="1">
      <c r="A306" s="22">
        <v>46077.491787939813</v>
      </c>
      <c r="B306" s="23" t="s">
        <v>57</v>
      </c>
      <c r="C306" s="23" t="s">
        <v>58</v>
      </c>
      <c r="D306" s="23" t="s">
        <v>59</v>
      </c>
      <c r="E306" s="23" t="s">
        <v>60</v>
      </c>
      <c r="F306" s="23" t="s">
        <v>61</v>
      </c>
      <c r="G306" s="23" t="s">
        <v>62</v>
      </c>
      <c r="H306" s="23" t="s">
        <v>461</v>
      </c>
    </row>
    <row r="307" spans="1:14" ht="22.5" customHeight="1">
      <c r="A307" s="22">
        <v>46077.493604884265</v>
      </c>
      <c r="B307" s="23" t="s">
        <v>57</v>
      </c>
      <c r="C307" s="23" t="s">
        <v>58</v>
      </c>
      <c r="D307" s="23" t="s">
        <v>59</v>
      </c>
      <c r="E307" s="23" t="s">
        <v>60</v>
      </c>
      <c r="F307" s="23" t="s">
        <v>80</v>
      </c>
      <c r="G307" s="23" t="s">
        <v>462</v>
      </c>
      <c r="H307" s="23" t="s">
        <v>463</v>
      </c>
    </row>
    <row r="308" spans="1:14" ht="22.5" customHeight="1">
      <c r="A308" s="22">
        <v>46077.494387175924</v>
      </c>
      <c r="B308" s="23" t="s">
        <v>57</v>
      </c>
      <c r="C308" s="23" t="s">
        <v>58</v>
      </c>
      <c r="D308" s="23" t="s">
        <v>59</v>
      </c>
      <c r="E308" s="23" t="s">
        <v>60</v>
      </c>
      <c r="F308" s="23" t="s">
        <v>80</v>
      </c>
      <c r="G308" s="23" t="s">
        <v>464</v>
      </c>
      <c r="H308" s="23" t="s">
        <v>465</v>
      </c>
    </row>
    <row r="309" spans="1:14" ht="22.5" customHeight="1">
      <c r="A309" s="22">
        <v>46077.495530127315</v>
      </c>
      <c r="B309" s="23" t="s">
        <v>57</v>
      </c>
      <c r="C309" s="23" t="s">
        <v>58</v>
      </c>
      <c r="D309" s="23" t="s">
        <v>59</v>
      </c>
      <c r="E309" s="23" t="s">
        <v>60</v>
      </c>
      <c r="F309" s="23" t="s">
        <v>80</v>
      </c>
      <c r="G309" s="23" t="s">
        <v>62</v>
      </c>
      <c r="H309" s="23" t="s">
        <v>466</v>
      </c>
    </row>
    <row r="310" spans="1:14" ht="22.5" customHeight="1">
      <c r="A310" s="22">
        <v>46077.502784259261</v>
      </c>
      <c r="B310" s="23" t="s">
        <v>57</v>
      </c>
      <c r="C310" s="23" t="s">
        <v>58</v>
      </c>
      <c r="D310" s="23" t="s">
        <v>59</v>
      </c>
      <c r="E310" s="23" t="s">
        <v>60</v>
      </c>
      <c r="F310" s="23" t="s">
        <v>153</v>
      </c>
      <c r="G310" s="23" t="s">
        <v>62</v>
      </c>
      <c r="H310" s="23" t="s">
        <v>467</v>
      </c>
    </row>
    <row r="311" spans="1:14" ht="22.5" customHeight="1">
      <c r="A311" s="22">
        <v>46077.503275798612</v>
      </c>
      <c r="B311" s="23" t="s">
        <v>57</v>
      </c>
      <c r="C311" s="23" t="s">
        <v>58</v>
      </c>
      <c r="D311" s="23" t="s">
        <v>59</v>
      </c>
      <c r="E311" s="23" t="s">
        <v>60</v>
      </c>
      <c r="F311" s="23" t="s">
        <v>153</v>
      </c>
      <c r="G311" s="23" t="s">
        <v>62</v>
      </c>
      <c r="H311" s="23" t="s">
        <v>468</v>
      </c>
    </row>
    <row r="312" spans="1:14" ht="22.5" customHeight="1">
      <c r="A312" s="22">
        <v>46077.503722789348</v>
      </c>
      <c r="B312" s="23" t="s">
        <v>57</v>
      </c>
      <c r="C312" s="23" t="s">
        <v>58</v>
      </c>
      <c r="D312" s="23" t="s">
        <v>59</v>
      </c>
      <c r="E312" s="23" t="s">
        <v>60</v>
      </c>
      <c r="F312" s="23" t="s">
        <v>153</v>
      </c>
      <c r="G312" s="23" t="s">
        <v>62</v>
      </c>
      <c r="H312" s="23" t="s">
        <v>469</v>
      </c>
    </row>
    <row r="313" spans="1:14" ht="22.5" customHeight="1">
      <c r="A313" s="22">
        <v>46077.504280162037</v>
      </c>
      <c r="B313" s="23" t="s">
        <v>57</v>
      </c>
      <c r="C313" s="23" t="s">
        <v>58</v>
      </c>
      <c r="D313" s="23" t="s">
        <v>59</v>
      </c>
      <c r="E313" s="23" t="s">
        <v>60</v>
      </c>
      <c r="F313" s="23" t="s">
        <v>149</v>
      </c>
      <c r="G313" s="23" t="s">
        <v>62</v>
      </c>
      <c r="H313" s="23" t="s">
        <v>470</v>
      </c>
    </row>
    <row r="314" spans="1:14" ht="22.5" customHeight="1">
      <c r="A314" s="22">
        <v>46077.546679988431</v>
      </c>
      <c r="B314" s="23" t="s">
        <v>64</v>
      </c>
      <c r="C314" s="23" t="s">
        <v>65</v>
      </c>
      <c r="J314" s="23" t="s">
        <v>66</v>
      </c>
      <c r="K314" s="23" t="s">
        <v>53</v>
      </c>
      <c r="L314" s="23" t="s">
        <v>172</v>
      </c>
      <c r="M314" s="23" t="s">
        <v>106</v>
      </c>
      <c r="N314" s="23" t="s">
        <v>471</v>
      </c>
    </row>
    <row r="315" spans="1:14" ht="22.5" customHeight="1">
      <c r="A315" s="22">
        <v>46077.550137627317</v>
      </c>
      <c r="B315" s="23" t="s">
        <v>64</v>
      </c>
      <c r="C315" s="23" t="s">
        <v>65</v>
      </c>
      <c r="J315" s="23" t="s">
        <v>66</v>
      </c>
      <c r="K315" s="23" t="s">
        <v>53</v>
      </c>
      <c r="L315" s="23" t="s">
        <v>172</v>
      </c>
      <c r="M315" s="23" t="s">
        <v>270</v>
      </c>
      <c r="N315" s="23" t="s">
        <v>472</v>
      </c>
    </row>
    <row r="316" spans="1:14" ht="22.5" customHeight="1">
      <c r="A316" s="22">
        <v>46077.550695462967</v>
      </c>
      <c r="B316" s="23" t="s">
        <v>64</v>
      </c>
      <c r="C316" s="23" t="s">
        <v>65</v>
      </c>
      <c r="J316" s="23" t="s">
        <v>66</v>
      </c>
      <c r="K316" s="23" t="s">
        <v>53</v>
      </c>
      <c r="L316" s="23" t="s">
        <v>84</v>
      </c>
      <c r="M316" s="23" t="s">
        <v>103</v>
      </c>
      <c r="N316" s="23" t="s">
        <v>473</v>
      </c>
    </row>
    <row r="317" spans="1:14" ht="22.5" customHeight="1">
      <c r="A317" s="22">
        <v>46077.551232129626</v>
      </c>
      <c r="B317" s="23" t="s">
        <v>64</v>
      </c>
      <c r="C317" s="23" t="s">
        <v>65</v>
      </c>
      <c r="J317" s="23" t="s">
        <v>66</v>
      </c>
      <c r="K317" s="23" t="s">
        <v>53</v>
      </c>
      <c r="L317" s="23" t="s">
        <v>84</v>
      </c>
      <c r="M317" s="23" t="s">
        <v>98</v>
      </c>
      <c r="N317" s="23" t="s">
        <v>474</v>
      </c>
    </row>
    <row r="318" spans="1:14" ht="22.5" customHeight="1">
      <c r="A318" s="22">
        <v>46077.552297731483</v>
      </c>
      <c r="B318" s="23" t="s">
        <v>64</v>
      </c>
      <c r="C318" s="23" t="s">
        <v>65</v>
      </c>
      <c r="J318" s="23" t="s">
        <v>66</v>
      </c>
      <c r="K318" s="23" t="s">
        <v>53</v>
      </c>
      <c r="L318" s="23" t="s">
        <v>105</v>
      </c>
      <c r="M318" s="23" t="s">
        <v>98</v>
      </c>
      <c r="N318" s="23" t="s">
        <v>475</v>
      </c>
    </row>
    <row r="319" spans="1:14" ht="22.5" customHeight="1">
      <c r="A319" s="22">
        <v>46077.554016608796</v>
      </c>
      <c r="B319" s="23" t="s">
        <v>64</v>
      </c>
      <c r="C319" s="23" t="s">
        <v>65</v>
      </c>
      <c r="J319" s="23" t="s">
        <v>66</v>
      </c>
      <c r="K319" s="23" t="s">
        <v>53</v>
      </c>
      <c r="L319" s="23" t="s">
        <v>105</v>
      </c>
      <c r="M319" s="23" t="s">
        <v>85</v>
      </c>
      <c r="N319" s="23" t="s">
        <v>476</v>
      </c>
    </row>
    <row r="320" spans="1:14" ht="22.5" customHeight="1">
      <c r="A320" s="22">
        <v>46077.555295659724</v>
      </c>
      <c r="B320" s="23" t="s">
        <v>64</v>
      </c>
      <c r="C320" s="23" t="s">
        <v>65</v>
      </c>
      <c r="J320" s="23" t="s">
        <v>66</v>
      </c>
      <c r="K320" s="23" t="s">
        <v>53</v>
      </c>
      <c r="L320" s="23" t="s">
        <v>477</v>
      </c>
      <c r="M320" s="23" t="s">
        <v>85</v>
      </c>
      <c r="N320" s="23" t="s">
        <v>478</v>
      </c>
    </row>
    <row r="321" spans="1:14" ht="22.5" customHeight="1">
      <c r="A321" s="22">
        <v>46078.34435428241</v>
      </c>
      <c r="B321" s="23" t="s">
        <v>76</v>
      </c>
      <c r="C321" s="23" t="s">
        <v>65</v>
      </c>
      <c r="J321" s="23" t="s">
        <v>479</v>
      </c>
      <c r="K321" s="23" t="s">
        <v>60</v>
      </c>
      <c r="L321" s="23" t="s">
        <v>84</v>
      </c>
      <c r="M321" s="23" t="s">
        <v>98</v>
      </c>
      <c r="N321" s="23" t="s">
        <v>480</v>
      </c>
    </row>
    <row r="322" spans="1:14" ht="22.5" customHeight="1">
      <c r="A322" s="22">
        <v>46078.35802190972</v>
      </c>
      <c r="B322" s="23" t="s">
        <v>118</v>
      </c>
      <c r="C322" s="23" t="s">
        <v>58</v>
      </c>
      <c r="D322" s="23" t="s">
        <v>59</v>
      </c>
      <c r="E322" s="23" t="s">
        <v>60</v>
      </c>
      <c r="F322" s="23" t="s">
        <v>74</v>
      </c>
      <c r="G322" s="23" t="s">
        <v>481</v>
      </c>
      <c r="H322" s="23" t="s">
        <v>482</v>
      </c>
    </row>
    <row r="323" spans="1:14" ht="22.5" customHeight="1">
      <c r="A323" s="22">
        <v>46078.366002210649</v>
      </c>
      <c r="B323" s="23" t="s">
        <v>118</v>
      </c>
      <c r="C323" s="23" t="s">
        <v>58</v>
      </c>
      <c r="D323" s="23" t="s">
        <v>59</v>
      </c>
      <c r="E323" s="23" t="s">
        <v>60</v>
      </c>
      <c r="F323" s="23" t="s">
        <v>74</v>
      </c>
      <c r="G323" s="23" t="s">
        <v>481</v>
      </c>
      <c r="H323" s="23" t="s">
        <v>483</v>
      </c>
    </row>
    <row r="324" spans="1:14" ht="22.5" customHeight="1">
      <c r="A324" s="22">
        <v>46078.367097812501</v>
      </c>
      <c r="B324" s="23" t="s">
        <v>118</v>
      </c>
      <c r="C324" s="23" t="s">
        <v>58</v>
      </c>
      <c r="D324" s="23" t="s">
        <v>59</v>
      </c>
      <c r="E324" s="23" t="s">
        <v>60</v>
      </c>
      <c r="F324" s="23" t="s">
        <v>74</v>
      </c>
      <c r="G324" s="23" t="s">
        <v>481</v>
      </c>
      <c r="H324" s="23" t="s">
        <v>484</v>
      </c>
    </row>
    <row r="325" spans="1:14" ht="22.5" customHeight="1">
      <c r="A325" s="22">
        <v>46078.3726303125</v>
      </c>
      <c r="B325" s="23" t="s">
        <v>118</v>
      </c>
      <c r="C325" s="23" t="s">
        <v>58</v>
      </c>
      <c r="D325" s="23" t="s">
        <v>59</v>
      </c>
      <c r="E325" s="23" t="s">
        <v>60</v>
      </c>
      <c r="F325" s="23" t="s">
        <v>154</v>
      </c>
      <c r="G325" s="23" t="s">
        <v>481</v>
      </c>
      <c r="H325" s="23" t="s">
        <v>485</v>
      </c>
    </row>
    <row r="326" spans="1:14" ht="22.5" customHeight="1">
      <c r="A326" s="22">
        <v>46078.373371157402</v>
      </c>
      <c r="B326" s="23" t="s">
        <v>118</v>
      </c>
      <c r="C326" s="23" t="s">
        <v>58</v>
      </c>
      <c r="D326" s="23" t="s">
        <v>59</v>
      </c>
      <c r="E326" s="23" t="s">
        <v>60</v>
      </c>
      <c r="F326" s="23" t="s">
        <v>154</v>
      </c>
      <c r="G326" s="23" t="s">
        <v>481</v>
      </c>
      <c r="H326" s="23" t="s">
        <v>486</v>
      </c>
    </row>
    <row r="327" spans="1:14" ht="22.5" customHeight="1">
      <c r="A327" s="22">
        <v>46078.374667094904</v>
      </c>
      <c r="B327" s="23" t="s">
        <v>118</v>
      </c>
      <c r="C327" s="23" t="s">
        <v>58</v>
      </c>
      <c r="D327" s="23" t="s">
        <v>59</v>
      </c>
      <c r="E327" s="23" t="s">
        <v>60</v>
      </c>
      <c r="F327" s="23" t="s">
        <v>154</v>
      </c>
      <c r="G327" s="23" t="s">
        <v>481</v>
      </c>
      <c r="H327" s="23" t="s">
        <v>296</v>
      </c>
    </row>
    <row r="328" spans="1:14" ht="22.5" customHeight="1">
      <c r="A328" s="22">
        <v>46078.395048356484</v>
      </c>
      <c r="B328" s="23" t="s">
        <v>487</v>
      </c>
      <c r="C328" s="23" t="s">
        <v>58</v>
      </c>
      <c r="D328" s="23" t="s">
        <v>371</v>
      </c>
      <c r="E328" s="23" t="s">
        <v>53</v>
      </c>
      <c r="F328" s="23" t="s">
        <v>74</v>
      </c>
      <c r="G328" s="23" t="s">
        <v>106</v>
      </c>
      <c r="H328" s="23" t="s">
        <v>488</v>
      </c>
    </row>
    <row r="329" spans="1:14" ht="22.5" customHeight="1">
      <c r="A329" s="22">
        <v>46078.395312581022</v>
      </c>
      <c r="B329" s="23" t="s">
        <v>487</v>
      </c>
      <c r="C329" s="23" t="s">
        <v>58</v>
      </c>
      <c r="D329" s="23" t="s">
        <v>371</v>
      </c>
      <c r="E329" s="23" t="s">
        <v>53</v>
      </c>
      <c r="F329" s="23" t="s">
        <v>149</v>
      </c>
      <c r="G329" s="23" t="s">
        <v>106</v>
      </c>
      <c r="H329" s="23" t="s">
        <v>488</v>
      </c>
    </row>
    <row r="330" spans="1:14" ht="22.5" customHeight="1">
      <c r="A330" s="22">
        <v>46078.395515578704</v>
      </c>
      <c r="B330" s="23" t="s">
        <v>487</v>
      </c>
      <c r="C330" s="23" t="s">
        <v>58</v>
      </c>
      <c r="D330" s="23" t="s">
        <v>371</v>
      </c>
      <c r="E330" s="23" t="s">
        <v>53</v>
      </c>
      <c r="F330" s="23" t="s">
        <v>154</v>
      </c>
      <c r="G330" s="23" t="s">
        <v>106</v>
      </c>
      <c r="H330" s="23" t="s">
        <v>488</v>
      </c>
    </row>
    <row r="331" spans="1:14" ht="22.5" customHeight="1">
      <c r="A331" s="22">
        <v>46078.395720011569</v>
      </c>
      <c r="B331" s="23" t="s">
        <v>487</v>
      </c>
      <c r="C331" s="23" t="s">
        <v>58</v>
      </c>
      <c r="D331" s="23" t="s">
        <v>371</v>
      </c>
      <c r="E331" s="23" t="s">
        <v>53</v>
      </c>
      <c r="F331" s="23" t="s">
        <v>131</v>
      </c>
      <c r="G331" s="23" t="s">
        <v>106</v>
      </c>
      <c r="H331" s="23" t="s">
        <v>488</v>
      </c>
    </row>
    <row r="332" spans="1:14" ht="22.5" customHeight="1">
      <c r="A332" s="22">
        <v>46078.395919282411</v>
      </c>
      <c r="B332" s="23" t="s">
        <v>487</v>
      </c>
      <c r="C332" s="23" t="s">
        <v>58</v>
      </c>
      <c r="D332" s="23" t="s">
        <v>371</v>
      </c>
      <c r="E332" s="23" t="s">
        <v>53</v>
      </c>
      <c r="F332" s="23" t="s">
        <v>89</v>
      </c>
      <c r="G332" s="23" t="s">
        <v>106</v>
      </c>
      <c r="H332" s="23" t="s">
        <v>488</v>
      </c>
    </row>
    <row r="333" spans="1:14" ht="22.5" customHeight="1">
      <c r="A333" s="22">
        <v>46078.396159594908</v>
      </c>
      <c r="B333" s="23" t="s">
        <v>487</v>
      </c>
      <c r="C333" s="23" t="s">
        <v>58</v>
      </c>
      <c r="D333" s="23" t="s">
        <v>371</v>
      </c>
      <c r="E333" s="23" t="s">
        <v>53</v>
      </c>
      <c r="F333" s="23" t="s">
        <v>135</v>
      </c>
      <c r="G333" s="23" t="s">
        <v>106</v>
      </c>
      <c r="H333" s="23" t="s">
        <v>488</v>
      </c>
    </row>
    <row r="334" spans="1:14" ht="22.5" customHeight="1">
      <c r="A334" s="22">
        <v>46078.396351759264</v>
      </c>
      <c r="B334" s="23" t="s">
        <v>487</v>
      </c>
      <c r="C334" s="23" t="s">
        <v>58</v>
      </c>
      <c r="D334" s="23" t="s">
        <v>371</v>
      </c>
      <c r="E334" s="23" t="s">
        <v>53</v>
      </c>
      <c r="F334" s="23" t="s">
        <v>153</v>
      </c>
      <c r="G334" s="23" t="s">
        <v>106</v>
      </c>
      <c r="H334" s="23" t="s">
        <v>488</v>
      </c>
    </row>
    <row r="335" spans="1:14" ht="22.5" customHeight="1">
      <c r="A335" s="22">
        <v>46078.396578206019</v>
      </c>
      <c r="B335" s="23" t="s">
        <v>487</v>
      </c>
      <c r="C335" s="23" t="s">
        <v>58</v>
      </c>
      <c r="D335" s="23" t="s">
        <v>371</v>
      </c>
      <c r="E335" s="23" t="s">
        <v>53</v>
      </c>
      <c r="F335" s="23" t="s">
        <v>61</v>
      </c>
      <c r="G335" s="23" t="s">
        <v>106</v>
      </c>
      <c r="H335" s="23" t="s">
        <v>488</v>
      </c>
    </row>
    <row r="336" spans="1:14" ht="22.5" customHeight="1">
      <c r="A336" s="22">
        <v>46078.396785405093</v>
      </c>
      <c r="B336" s="23" t="s">
        <v>487</v>
      </c>
      <c r="C336" s="23" t="s">
        <v>58</v>
      </c>
      <c r="D336" s="23" t="s">
        <v>371</v>
      </c>
      <c r="E336" s="23" t="s">
        <v>53</v>
      </c>
      <c r="F336" s="23" t="s">
        <v>80</v>
      </c>
      <c r="G336" s="23" t="s">
        <v>106</v>
      </c>
      <c r="H336" s="23" t="s">
        <v>488</v>
      </c>
    </row>
    <row r="337" spans="1:14" ht="22.5" customHeight="1">
      <c r="A337" s="22">
        <v>46078.397005752311</v>
      </c>
      <c r="B337" s="23" t="s">
        <v>487</v>
      </c>
      <c r="C337" s="23" t="s">
        <v>58</v>
      </c>
      <c r="D337" s="23" t="s">
        <v>371</v>
      </c>
      <c r="E337" s="23" t="s">
        <v>53</v>
      </c>
      <c r="F337" s="23" t="s">
        <v>375</v>
      </c>
      <c r="G337" s="23" t="s">
        <v>106</v>
      </c>
      <c r="H337" s="23" t="s">
        <v>488</v>
      </c>
    </row>
    <row r="338" spans="1:14" ht="22.5" customHeight="1">
      <c r="A338" s="22">
        <v>46078.397645243051</v>
      </c>
      <c r="B338" s="23" t="s">
        <v>487</v>
      </c>
      <c r="C338" s="23" t="s">
        <v>58</v>
      </c>
      <c r="D338" s="23" t="s">
        <v>371</v>
      </c>
      <c r="E338" s="23" t="s">
        <v>53</v>
      </c>
      <c r="F338" s="23" t="s">
        <v>74</v>
      </c>
      <c r="G338" s="23" t="s">
        <v>489</v>
      </c>
      <c r="H338" s="23" t="s">
        <v>490</v>
      </c>
    </row>
    <row r="339" spans="1:14" ht="22.5" customHeight="1">
      <c r="A339" s="22">
        <v>46078.397860208337</v>
      </c>
      <c r="B339" s="23" t="s">
        <v>487</v>
      </c>
      <c r="C339" s="23" t="s">
        <v>58</v>
      </c>
      <c r="D339" s="23" t="s">
        <v>371</v>
      </c>
      <c r="E339" s="23" t="s">
        <v>53</v>
      </c>
      <c r="F339" s="23" t="s">
        <v>149</v>
      </c>
      <c r="G339" s="23" t="s">
        <v>136</v>
      </c>
      <c r="H339" s="23" t="s">
        <v>490</v>
      </c>
    </row>
    <row r="340" spans="1:14" ht="22.5" customHeight="1">
      <c r="A340" s="22">
        <v>46078.398092708332</v>
      </c>
      <c r="B340" s="23" t="s">
        <v>487</v>
      </c>
      <c r="C340" s="23" t="s">
        <v>58</v>
      </c>
      <c r="D340" s="23" t="s">
        <v>371</v>
      </c>
      <c r="E340" s="23" t="s">
        <v>53</v>
      </c>
      <c r="F340" s="23" t="s">
        <v>154</v>
      </c>
      <c r="G340" s="23" t="s">
        <v>136</v>
      </c>
      <c r="H340" s="23" t="s">
        <v>490</v>
      </c>
    </row>
    <row r="341" spans="1:14" ht="22.5" customHeight="1">
      <c r="A341" s="22">
        <v>46078.398360335646</v>
      </c>
      <c r="B341" s="23" t="s">
        <v>487</v>
      </c>
      <c r="C341" s="23" t="s">
        <v>58</v>
      </c>
      <c r="D341" s="23" t="s">
        <v>371</v>
      </c>
      <c r="E341" s="23" t="s">
        <v>53</v>
      </c>
      <c r="F341" s="23" t="s">
        <v>131</v>
      </c>
      <c r="G341" s="23" t="s">
        <v>136</v>
      </c>
      <c r="H341" s="23" t="s">
        <v>490</v>
      </c>
    </row>
    <row r="342" spans="1:14" ht="22.5" customHeight="1">
      <c r="A342" s="22">
        <v>46078.398593055557</v>
      </c>
      <c r="B342" s="23" t="s">
        <v>487</v>
      </c>
      <c r="C342" s="23" t="s">
        <v>58</v>
      </c>
      <c r="D342" s="23" t="s">
        <v>371</v>
      </c>
      <c r="E342" s="23" t="s">
        <v>53</v>
      </c>
      <c r="F342" s="23" t="s">
        <v>89</v>
      </c>
      <c r="G342" s="23" t="s">
        <v>136</v>
      </c>
      <c r="H342" s="23" t="s">
        <v>490</v>
      </c>
    </row>
    <row r="343" spans="1:14" ht="22.5" customHeight="1">
      <c r="A343" s="22">
        <v>46078.398839097223</v>
      </c>
      <c r="B343" s="23" t="s">
        <v>487</v>
      </c>
      <c r="C343" s="23" t="s">
        <v>58</v>
      </c>
      <c r="D343" s="23" t="s">
        <v>371</v>
      </c>
      <c r="E343" s="23" t="s">
        <v>53</v>
      </c>
      <c r="F343" s="23" t="s">
        <v>135</v>
      </c>
      <c r="G343" s="23" t="s">
        <v>136</v>
      </c>
      <c r="H343" s="23" t="s">
        <v>490</v>
      </c>
    </row>
    <row r="344" spans="1:14" ht="22.5" customHeight="1">
      <c r="A344" s="22">
        <v>46078.39915769676</v>
      </c>
      <c r="B344" s="23" t="s">
        <v>487</v>
      </c>
      <c r="C344" s="23" t="s">
        <v>58</v>
      </c>
      <c r="D344" s="23" t="s">
        <v>371</v>
      </c>
      <c r="E344" s="23" t="s">
        <v>53</v>
      </c>
      <c r="F344" s="23" t="s">
        <v>153</v>
      </c>
      <c r="G344" s="23" t="s">
        <v>136</v>
      </c>
      <c r="H344" s="23" t="s">
        <v>490</v>
      </c>
    </row>
    <row r="345" spans="1:14" ht="22.5" customHeight="1">
      <c r="A345" s="22">
        <v>46078.399350717591</v>
      </c>
      <c r="B345" s="23" t="s">
        <v>487</v>
      </c>
      <c r="C345" s="23" t="s">
        <v>58</v>
      </c>
      <c r="D345" s="23" t="s">
        <v>371</v>
      </c>
      <c r="E345" s="23" t="s">
        <v>53</v>
      </c>
      <c r="F345" s="23" t="s">
        <v>61</v>
      </c>
      <c r="G345" s="23" t="s">
        <v>136</v>
      </c>
      <c r="H345" s="23" t="s">
        <v>490</v>
      </c>
    </row>
    <row r="346" spans="1:14" ht="22.5" customHeight="1">
      <c r="A346" s="22">
        <v>46078.399588506945</v>
      </c>
      <c r="B346" s="23" t="s">
        <v>487</v>
      </c>
      <c r="C346" s="23" t="s">
        <v>58</v>
      </c>
      <c r="D346" s="23" t="s">
        <v>371</v>
      </c>
      <c r="E346" s="23" t="s">
        <v>53</v>
      </c>
      <c r="F346" s="23" t="s">
        <v>80</v>
      </c>
      <c r="G346" s="23" t="s">
        <v>136</v>
      </c>
      <c r="H346" s="23" t="s">
        <v>490</v>
      </c>
    </row>
    <row r="347" spans="1:14" ht="22.5" customHeight="1">
      <c r="A347" s="22">
        <v>46078.399833715273</v>
      </c>
      <c r="B347" s="23" t="s">
        <v>487</v>
      </c>
      <c r="C347" s="23" t="s">
        <v>58</v>
      </c>
      <c r="D347" s="23" t="s">
        <v>371</v>
      </c>
      <c r="E347" s="23" t="s">
        <v>53</v>
      </c>
      <c r="F347" s="23" t="s">
        <v>375</v>
      </c>
      <c r="G347" s="23" t="s">
        <v>136</v>
      </c>
      <c r="H347" s="23" t="s">
        <v>490</v>
      </c>
    </row>
    <row r="348" spans="1:14" ht="22.5" customHeight="1">
      <c r="A348" s="22">
        <v>46078.400862418981</v>
      </c>
      <c r="B348" s="23" t="s">
        <v>487</v>
      </c>
      <c r="C348" s="23" t="s">
        <v>58</v>
      </c>
      <c r="D348" s="23" t="s">
        <v>371</v>
      </c>
      <c r="E348" s="23" t="s">
        <v>53</v>
      </c>
      <c r="F348" s="23" t="s">
        <v>149</v>
      </c>
      <c r="G348" s="23" t="s">
        <v>491</v>
      </c>
      <c r="H348" s="23" t="s">
        <v>492</v>
      </c>
    </row>
    <row r="349" spans="1:14" ht="22.5" customHeight="1">
      <c r="A349" s="22">
        <v>46078.401264826389</v>
      </c>
      <c r="B349" s="23" t="s">
        <v>487</v>
      </c>
      <c r="C349" s="23" t="s">
        <v>58</v>
      </c>
      <c r="D349" s="23" t="s">
        <v>371</v>
      </c>
      <c r="E349" s="23" t="s">
        <v>53</v>
      </c>
      <c r="F349" s="23" t="s">
        <v>149</v>
      </c>
      <c r="G349" s="23" t="s">
        <v>493</v>
      </c>
      <c r="H349" s="23" t="s">
        <v>492</v>
      </c>
    </row>
    <row r="350" spans="1:14" ht="22.5" customHeight="1">
      <c r="A350" s="22">
        <v>46078.401544097222</v>
      </c>
      <c r="B350" s="23" t="s">
        <v>487</v>
      </c>
      <c r="C350" s="23" t="s">
        <v>58</v>
      </c>
      <c r="D350" s="23" t="s">
        <v>371</v>
      </c>
      <c r="E350" s="23" t="s">
        <v>53</v>
      </c>
      <c r="F350" s="23" t="s">
        <v>154</v>
      </c>
      <c r="G350" s="23" t="s">
        <v>491</v>
      </c>
      <c r="H350" s="23" t="s">
        <v>492</v>
      </c>
    </row>
    <row r="351" spans="1:14" ht="22.5" customHeight="1">
      <c r="A351" s="22">
        <v>46078.401892141206</v>
      </c>
      <c r="B351" s="23" t="s">
        <v>487</v>
      </c>
      <c r="C351" s="23" t="s">
        <v>58</v>
      </c>
      <c r="D351" s="23" t="s">
        <v>371</v>
      </c>
      <c r="E351" s="23" t="s">
        <v>53</v>
      </c>
      <c r="F351" s="23" t="s">
        <v>154</v>
      </c>
      <c r="G351" s="23" t="s">
        <v>493</v>
      </c>
      <c r="H351" s="23" t="s">
        <v>492</v>
      </c>
    </row>
    <row r="352" spans="1:14" ht="22.5" customHeight="1">
      <c r="A352" s="22">
        <v>46078.545649675929</v>
      </c>
      <c r="B352" s="23" t="s">
        <v>64</v>
      </c>
      <c r="C352" s="23" t="s">
        <v>65</v>
      </c>
      <c r="J352" s="23" t="s">
        <v>66</v>
      </c>
      <c r="K352" s="23" t="s">
        <v>53</v>
      </c>
      <c r="L352" s="23" t="s">
        <v>67</v>
      </c>
      <c r="M352" s="23" t="s">
        <v>68</v>
      </c>
      <c r="N352" s="23" t="s">
        <v>494</v>
      </c>
    </row>
    <row r="353" spans="1:14" ht="22.5" customHeight="1">
      <c r="A353" s="22">
        <v>46079.332572407409</v>
      </c>
      <c r="B353" s="23" t="s">
        <v>88</v>
      </c>
      <c r="C353" s="23" t="s">
        <v>58</v>
      </c>
      <c r="D353" s="23" t="s">
        <v>59</v>
      </c>
      <c r="E353" s="23" t="s">
        <v>60</v>
      </c>
      <c r="F353" s="23" t="s">
        <v>149</v>
      </c>
      <c r="G353" s="23" t="s">
        <v>62</v>
      </c>
      <c r="H353" s="23" t="s">
        <v>495</v>
      </c>
    </row>
    <row r="354" spans="1:14" ht="22.5" customHeight="1">
      <c r="A354" s="22">
        <v>46079.335806041665</v>
      </c>
      <c r="B354" s="23" t="s">
        <v>88</v>
      </c>
      <c r="C354" s="23" t="s">
        <v>58</v>
      </c>
      <c r="D354" s="23" t="s">
        <v>59</v>
      </c>
      <c r="E354" s="23" t="s">
        <v>60</v>
      </c>
      <c r="F354" s="23" t="s">
        <v>61</v>
      </c>
      <c r="G354" s="23" t="s">
        <v>496</v>
      </c>
      <c r="H354" s="23" t="s">
        <v>497</v>
      </c>
    </row>
    <row r="355" spans="1:14" ht="22.5" customHeight="1">
      <c r="A355" s="22">
        <v>46079.372707812501</v>
      </c>
      <c r="B355" s="23" t="s">
        <v>57</v>
      </c>
      <c r="C355" s="23" t="s">
        <v>58</v>
      </c>
      <c r="D355" s="23" t="s">
        <v>59</v>
      </c>
      <c r="E355" s="23" t="s">
        <v>60</v>
      </c>
      <c r="F355" s="23" t="s">
        <v>154</v>
      </c>
      <c r="G355" s="23" t="s">
        <v>62</v>
      </c>
      <c r="H355" s="23" t="s">
        <v>498</v>
      </c>
    </row>
    <row r="356" spans="1:14" ht="22.5" customHeight="1">
      <c r="A356" s="22">
        <v>46079.373924270833</v>
      </c>
      <c r="B356" s="23" t="s">
        <v>57</v>
      </c>
      <c r="C356" s="23" t="s">
        <v>58</v>
      </c>
      <c r="D356" s="23" t="s">
        <v>59</v>
      </c>
      <c r="E356" s="23" t="s">
        <v>60</v>
      </c>
      <c r="F356" s="23" t="s">
        <v>61</v>
      </c>
      <c r="G356" s="23" t="s">
        <v>62</v>
      </c>
      <c r="H356" s="23" t="s">
        <v>499</v>
      </c>
    </row>
    <row r="357" spans="1:14" ht="22.5" customHeight="1">
      <c r="A357" s="22">
        <v>46079.385984432869</v>
      </c>
      <c r="B357" s="23" t="s">
        <v>96</v>
      </c>
      <c r="C357" s="23" t="s">
        <v>65</v>
      </c>
      <c r="J357" s="23" t="s">
        <v>97</v>
      </c>
      <c r="K357" s="23" t="s">
        <v>60</v>
      </c>
      <c r="L357" s="23" t="s">
        <v>67</v>
      </c>
      <c r="M357" s="23" t="s">
        <v>225</v>
      </c>
      <c r="N357" s="23" t="s">
        <v>500</v>
      </c>
    </row>
    <row r="358" spans="1:14" ht="22.5" customHeight="1">
      <c r="A358" s="22">
        <v>46079.475096145834</v>
      </c>
      <c r="B358" s="23" t="s">
        <v>64</v>
      </c>
      <c r="C358" s="23" t="s">
        <v>65</v>
      </c>
      <c r="J358" s="23" t="s">
        <v>66</v>
      </c>
      <c r="K358" s="23" t="s">
        <v>53</v>
      </c>
      <c r="L358" s="23" t="s">
        <v>105</v>
      </c>
      <c r="M358" s="23" t="s">
        <v>85</v>
      </c>
      <c r="N358" s="23" t="s">
        <v>501</v>
      </c>
    </row>
    <row r="359" spans="1:14" ht="22.5" customHeight="1">
      <c r="A359" s="22">
        <v>46079.476237175928</v>
      </c>
      <c r="B359" s="23" t="s">
        <v>64</v>
      </c>
      <c r="C359" s="23" t="s">
        <v>65</v>
      </c>
      <c r="J359" s="23" t="s">
        <v>66</v>
      </c>
      <c r="K359" s="23" t="s">
        <v>53</v>
      </c>
      <c r="L359" s="23" t="s">
        <v>84</v>
      </c>
      <c r="M359" s="23" t="s">
        <v>160</v>
      </c>
      <c r="N359" s="23" t="s">
        <v>502</v>
      </c>
    </row>
    <row r="360" spans="1:14" ht="22.5" customHeight="1">
      <c r="A360" s="22">
        <v>46079.47683049769</v>
      </c>
      <c r="B360" s="23" t="s">
        <v>64</v>
      </c>
      <c r="C360" s="23" t="s">
        <v>65</v>
      </c>
      <c r="J360" s="23" t="s">
        <v>66</v>
      </c>
      <c r="K360" s="23" t="s">
        <v>53</v>
      </c>
      <c r="L360" s="23" t="s">
        <v>84</v>
      </c>
      <c r="M360" s="23" t="s">
        <v>160</v>
      </c>
      <c r="N360" s="23" t="s">
        <v>503</v>
      </c>
    </row>
    <row r="361" spans="1:14" ht="22.5" customHeight="1">
      <c r="A361" s="22">
        <v>46079.477420011579</v>
      </c>
      <c r="B361" s="23" t="s">
        <v>64</v>
      </c>
      <c r="C361" s="23" t="s">
        <v>65</v>
      </c>
      <c r="J361" s="23" t="s">
        <v>66</v>
      </c>
      <c r="K361" s="23" t="s">
        <v>53</v>
      </c>
      <c r="L361" s="23" t="s">
        <v>84</v>
      </c>
      <c r="M361" s="23" t="s">
        <v>160</v>
      </c>
      <c r="N361" s="23" t="s">
        <v>504</v>
      </c>
    </row>
    <row r="362" spans="1:14" ht="22.5" customHeight="1">
      <c r="A362" s="22">
        <v>46079.47806173611</v>
      </c>
      <c r="B362" s="23" t="s">
        <v>64</v>
      </c>
      <c r="C362" s="23" t="s">
        <v>65</v>
      </c>
      <c r="J362" s="23" t="s">
        <v>66</v>
      </c>
      <c r="K362" s="23" t="s">
        <v>53</v>
      </c>
      <c r="L362" s="23" t="s">
        <v>84</v>
      </c>
      <c r="M362" s="23" t="s">
        <v>160</v>
      </c>
      <c r="N362" s="23" t="s">
        <v>505</v>
      </c>
    </row>
    <row r="363" spans="1:14" ht="22.5" customHeight="1">
      <c r="A363" s="22">
        <v>46079.478601435185</v>
      </c>
      <c r="B363" s="23" t="s">
        <v>64</v>
      </c>
      <c r="C363" s="23" t="s">
        <v>65</v>
      </c>
      <c r="J363" s="23" t="s">
        <v>66</v>
      </c>
      <c r="K363" s="23" t="s">
        <v>53</v>
      </c>
      <c r="L363" s="23" t="s">
        <v>84</v>
      </c>
      <c r="M363" s="23" t="s">
        <v>160</v>
      </c>
      <c r="N363" s="23" t="s">
        <v>506</v>
      </c>
    </row>
    <row r="364" spans="1:14" ht="22.5" customHeight="1">
      <c r="A364" s="22">
        <v>46079.479059641206</v>
      </c>
      <c r="B364" s="23" t="s">
        <v>64</v>
      </c>
      <c r="C364" s="23" t="s">
        <v>65</v>
      </c>
      <c r="J364" s="23" t="s">
        <v>66</v>
      </c>
      <c r="K364" s="23" t="s">
        <v>53</v>
      </c>
      <c r="L364" s="23" t="s">
        <v>84</v>
      </c>
      <c r="M364" s="23" t="s">
        <v>160</v>
      </c>
      <c r="N364" s="23" t="s">
        <v>507</v>
      </c>
    </row>
    <row r="365" spans="1:14" ht="22.5" customHeight="1">
      <c r="A365" s="22">
        <v>46081.37628246528</v>
      </c>
      <c r="B365" s="23" t="s">
        <v>181</v>
      </c>
      <c r="C365" s="23" t="s">
        <v>58</v>
      </c>
      <c r="D365" s="23" t="s">
        <v>116</v>
      </c>
      <c r="E365" s="23" t="s">
        <v>53</v>
      </c>
      <c r="F365" s="23" t="s">
        <v>74</v>
      </c>
      <c r="G365" s="23" t="s">
        <v>183</v>
      </c>
      <c r="H365" s="23" t="s">
        <v>508</v>
      </c>
    </row>
    <row r="366" spans="1:14" ht="22.5" customHeight="1">
      <c r="A366" s="22">
        <v>46081.376889606487</v>
      </c>
      <c r="B366" s="23" t="s">
        <v>181</v>
      </c>
      <c r="C366" s="23" t="s">
        <v>58</v>
      </c>
      <c r="D366" s="23" t="s">
        <v>116</v>
      </c>
      <c r="E366" s="23" t="s">
        <v>53</v>
      </c>
      <c r="F366" s="23" t="s">
        <v>509</v>
      </c>
      <c r="G366" s="23" t="s">
        <v>510</v>
      </c>
      <c r="H366" s="23" t="s">
        <v>511</v>
      </c>
    </row>
    <row r="367" spans="1:14" ht="22.5" customHeight="1">
      <c r="A367" s="22">
        <v>46081.378173599536</v>
      </c>
      <c r="B367" s="23" t="s">
        <v>118</v>
      </c>
      <c r="C367" s="23" t="s">
        <v>58</v>
      </c>
      <c r="D367" s="23" t="s">
        <v>59</v>
      </c>
      <c r="E367" s="23" t="s">
        <v>60</v>
      </c>
      <c r="F367" s="23" t="s">
        <v>512</v>
      </c>
      <c r="G367" s="23" t="s">
        <v>513</v>
      </c>
      <c r="H367" s="23" t="s">
        <v>293</v>
      </c>
    </row>
    <row r="368" spans="1:14" ht="22.5" customHeight="1">
      <c r="A368" s="22">
        <v>46081.378552766204</v>
      </c>
      <c r="B368" s="23" t="s">
        <v>181</v>
      </c>
      <c r="C368" s="23" t="s">
        <v>58</v>
      </c>
      <c r="D368" s="23" t="s">
        <v>116</v>
      </c>
      <c r="E368" s="23" t="s">
        <v>53</v>
      </c>
      <c r="F368" s="23" t="s">
        <v>183</v>
      </c>
      <c r="G368" s="23" t="s">
        <v>514</v>
      </c>
      <c r="H368" s="23" t="s">
        <v>515</v>
      </c>
    </row>
    <row r="369" spans="1:8" ht="22.5" customHeight="1">
      <c r="A369" s="22">
        <v>46081.378985162039</v>
      </c>
      <c r="B369" s="23" t="s">
        <v>181</v>
      </c>
      <c r="C369" s="23" t="s">
        <v>58</v>
      </c>
      <c r="D369" s="23" t="s">
        <v>116</v>
      </c>
      <c r="E369" s="23" t="s">
        <v>53</v>
      </c>
      <c r="F369" s="23" t="s">
        <v>154</v>
      </c>
      <c r="G369" s="23" t="s">
        <v>253</v>
      </c>
      <c r="H369" s="23" t="s">
        <v>516</v>
      </c>
    </row>
    <row r="370" spans="1:8" ht="22.5" customHeight="1">
      <c r="A370" s="22">
        <v>46081.379020370368</v>
      </c>
      <c r="B370" s="23" t="s">
        <v>118</v>
      </c>
      <c r="C370" s="23" t="s">
        <v>58</v>
      </c>
      <c r="D370" s="23" t="s">
        <v>59</v>
      </c>
      <c r="E370" s="23" t="s">
        <v>60</v>
      </c>
      <c r="F370" s="23" t="s">
        <v>517</v>
      </c>
      <c r="G370" s="23" t="s">
        <v>518</v>
      </c>
      <c r="H370" s="23" t="s">
        <v>519</v>
      </c>
    </row>
    <row r="371" spans="1:8" ht="22.5" customHeight="1">
      <c r="A371" s="22">
        <v>46081.379874039354</v>
      </c>
      <c r="B371" s="23" t="s">
        <v>118</v>
      </c>
      <c r="C371" s="23" t="s">
        <v>58</v>
      </c>
      <c r="D371" s="23" t="s">
        <v>59</v>
      </c>
      <c r="E371" s="23" t="s">
        <v>60</v>
      </c>
      <c r="F371" s="23" t="s">
        <v>517</v>
      </c>
      <c r="G371" s="23" t="s">
        <v>518</v>
      </c>
      <c r="H371" s="23" t="s">
        <v>296</v>
      </c>
    </row>
    <row r="372" spans="1:8" ht="22.5" customHeight="1">
      <c r="A372" s="22">
        <v>46081.380527407411</v>
      </c>
      <c r="B372" s="23" t="s">
        <v>181</v>
      </c>
      <c r="C372" s="23" t="s">
        <v>58</v>
      </c>
      <c r="D372" s="23" t="s">
        <v>116</v>
      </c>
      <c r="E372" s="23" t="s">
        <v>53</v>
      </c>
      <c r="F372" s="23" t="s">
        <v>183</v>
      </c>
      <c r="G372" s="23" t="s">
        <v>520</v>
      </c>
      <c r="H372" s="23" t="s">
        <v>521</v>
      </c>
    </row>
    <row r="373" spans="1:8" ht="22.5" customHeight="1">
      <c r="A373" s="22">
        <v>46081.381202164353</v>
      </c>
      <c r="B373" s="23" t="s">
        <v>181</v>
      </c>
      <c r="C373" s="23" t="s">
        <v>58</v>
      </c>
      <c r="D373" s="23" t="s">
        <v>116</v>
      </c>
      <c r="E373" s="23" t="s">
        <v>53</v>
      </c>
      <c r="F373" s="23" t="s">
        <v>183</v>
      </c>
      <c r="G373" s="23" t="s">
        <v>522</v>
      </c>
      <c r="H373" s="23" t="s">
        <v>523</v>
      </c>
    </row>
    <row r="374" spans="1:8" ht="22.5" customHeight="1">
      <c r="A374" s="22">
        <v>46081.381338530089</v>
      </c>
      <c r="B374" s="23" t="s">
        <v>118</v>
      </c>
      <c r="C374" s="23" t="s">
        <v>58</v>
      </c>
      <c r="D374" s="23" t="s">
        <v>111</v>
      </c>
      <c r="E374" s="23" t="s">
        <v>53</v>
      </c>
      <c r="F374" s="23" t="s">
        <v>119</v>
      </c>
      <c r="G374" s="23" t="s">
        <v>524</v>
      </c>
      <c r="H374" s="23" t="s">
        <v>288</v>
      </c>
    </row>
    <row r="375" spans="1:8" ht="22.5" customHeight="1">
      <c r="A375" s="22">
        <v>46081.381744641199</v>
      </c>
      <c r="B375" s="23" t="s">
        <v>181</v>
      </c>
      <c r="C375" s="23" t="s">
        <v>58</v>
      </c>
      <c r="D375" s="23" t="s">
        <v>116</v>
      </c>
      <c r="E375" s="23" t="s">
        <v>53</v>
      </c>
      <c r="F375" s="23" t="s">
        <v>131</v>
      </c>
      <c r="G375" s="23" t="s">
        <v>253</v>
      </c>
      <c r="H375" s="23" t="s">
        <v>525</v>
      </c>
    </row>
    <row r="376" spans="1:8" ht="22.5" customHeight="1">
      <c r="A376" s="22">
        <v>46081.382156226857</v>
      </c>
      <c r="B376" s="23" t="s">
        <v>181</v>
      </c>
      <c r="C376" s="23" t="s">
        <v>58</v>
      </c>
      <c r="D376" s="23" t="s">
        <v>116</v>
      </c>
      <c r="E376" s="23" t="s">
        <v>53</v>
      </c>
      <c r="F376" s="23" t="s">
        <v>135</v>
      </c>
      <c r="G376" s="23" t="s">
        <v>253</v>
      </c>
      <c r="H376" s="23" t="s">
        <v>525</v>
      </c>
    </row>
    <row r="377" spans="1:8" ht="22.5" customHeight="1">
      <c r="A377" s="22">
        <v>46081.382826319445</v>
      </c>
      <c r="B377" s="23" t="s">
        <v>181</v>
      </c>
      <c r="C377" s="23" t="s">
        <v>58</v>
      </c>
      <c r="D377" s="23" t="s">
        <v>116</v>
      </c>
      <c r="E377" s="23" t="s">
        <v>53</v>
      </c>
      <c r="F377" s="23" t="s">
        <v>153</v>
      </c>
      <c r="G377" s="23" t="s">
        <v>253</v>
      </c>
      <c r="H377" s="23" t="s">
        <v>525</v>
      </c>
    </row>
    <row r="378" spans="1:8" ht="22.5" customHeight="1">
      <c r="A378" s="22">
        <v>46081.383191840279</v>
      </c>
      <c r="B378" s="23" t="s">
        <v>181</v>
      </c>
      <c r="C378" s="23" t="s">
        <v>58</v>
      </c>
      <c r="D378" s="23" t="s">
        <v>116</v>
      </c>
      <c r="E378" s="23" t="s">
        <v>53</v>
      </c>
      <c r="F378" s="23" t="s">
        <v>74</v>
      </c>
      <c r="G378" s="23" t="s">
        <v>147</v>
      </c>
      <c r="H378" s="23" t="s">
        <v>526</v>
      </c>
    </row>
    <row r="379" spans="1:8" ht="22.5" customHeight="1">
      <c r="A379" s="22">
        <v>46081.383910208329</v>
      </c>
      <c r="B379" s="23" t="s">
        <v>181</v>
      </c>
      <c r="C379" s="23" t="s">
        <v>58</v>
      </c>
      <c r="D379" s="23" t="s">
        <v>116</v>
      </c>
      <c r="E379" s="23" t="s">
        <v>53</v>
      </c>
      <c r="F379" s="23" t="s">
        <v>206</v>
      </c>
      <c r="G379" s="23" t="s">
        <v>111</v>
      </c>
      <c r="H379" s="23" t="s">
        <v>527</v>
      </c>
    </row>
    <row r="380" spans="1:8" ht="22.5" customHeight="1">
      <c r="A380" s="22">
        <v>46081.385108622686</v>
      </c>
      <c r="B380" s="23" t="s">
        <v>181</v>
      </c>
      <c r="C380" s="23" t="s">
        <v>58</v>
      </c>
      <c r="D380" s="23" t="s">
        <v>116</v>
      </c>
      <c r="E380" s="23" t="s">
        <v>53</v>
      </c>
      <c r="F380" s="23" t="s">
        <v>74</v>
      </c>
      <c r="G380" s="23" t="s">
        <v>528</v>
      </c>
      <c r="H380" s="23" t="s">
        <v>529</v>
      </c>
    </row>
    <row r="381" spans="1:8" ht="22.5" customHeight="1">
      <c r="A381" s="22">
        <v>46081.385810196763</v>
      </c>
      <c r="B381" s="23" t="s">
        <v>181</v>
      </c>
      <c r="C381" s="23" t="s">
        <v>58</v>
      </c>
      <c r="D381" s="23" t="s">
        <v>116</v>
      </c>
      <c r="E381" s="23" t="s">
        <v>53</v>
      </c>
      <c r="F381" s="23" t="s">
        <v>80</v>
      </c>
      <c r="G381" s="23" t="s">
        <v>253</v>
      </c>
      <c r="H381" s="23" t="s">
        <v>530</v>
      </c>
    </row>
    <row r="382" spans="1:8" ht="22.5" customHeight="1">
      <c r="A382" s="22">
        <v>46081.387325150463</v>
      </c>
      <c r="B382" s="23" t="s">
        <v>181</v>
      </c>
      <c r="C382" s="23" t="s">
        <v>58</v>
      </c>
      <c r="D382" s="23" t="s">
        <v>116</v>
      </c>
      <c r="E382" s="23" t="s">
        <v>53</v>
      </c>
      <c r="F382" s="23" t="s">
        <v>89</v>
      </c>
      <c r="G382" s="23" t="s">
        <v>253</v>
      </c>
      <c r="H382" s="23" t="s">
        <v>525</v>
      </c>
    </row>
    <row r="383" spans="1:8" ht="22.5" customHeight="1">
      <c r="A383" s="22">
        <v>46081.387652303238</v>
      </c>
      <c r="B383" s="23" t="s">
        <v>181</v>
      </c>
      <c r="C383" s="23" t="s">
        <v>58</v>
      </c>
      <c r="D383" s="23" t="s">
        <v>116</v>
      </c>
      <c r="E383" s="23" t="s">
        <v>53</v>
      </c>
      <c r="F383" s="23" t="s">
        <v>61</v>
      </c>
      <c r="G383" s="23" t="s">
        <v>253</v>
      </c>
      <c r="H383" s="23" t="s">
        <v>525</v>
      </c>
    </row>
    <row r="384" spans="1:8" ht="22.5" customHeight="1">
      <c r="A384" s="22">
        <v>46081.387834907408</v>
      </c>
      <c r="B384" s="23" t="s">
        <v>181</v>
      </c>
      <c r="C384" s="23" t="s">
        <v>58</v>
      </c>
      <c r="D384" s="23" t="s">
        <v>116</v>
      </c>
      <c r="E384" s="23" t="s">
        <v>53</v>
      </c>
      <c r="F384" s="23" t="s">
        <v>80</v>
      </c>
      <c r="G384" s="23" t="s">
        <v>253</v>
      </c>
      <c r="H384" s="23" t="s">
        <v>525</v>
      </c>
    </row>
    <row r="385" spans="1:8" ht="22.5" customHeight="1">
      <c r="A385" s="22">
        <v>46081.388138113427</v>
      </c>
      <c r="B385" s="23" t="s">
        <v>181</v>
      </c>
      <c r="C385" s="23" t="s">
        <v>58</v>
      </c>
      <c r="D385" s="23" t="s">
        <v>116</v>
      </c>
      <c r="E385" s="23" t="s">
        <v>53</v>
      </c>
      <c r="F385" s="23" t="s">
        <v>222</v>
      </c>
      <c r="G385" s="23" t="s">
        <v>253</v>
      </c>
      <c r="H385" s="23" t="s">
        <v>525</v>
      </c>
    </row>
    <row r="386" spans="1:8" ht="22.5" customHeight="1">
      <c r="A386" s="22">
        <v>46081.388537222221</v>
      </c>
      <c r="B386" s="23" t="s">
        <v>181</v>
      </c>
      <c r="C386" s="23" t="s">
        <v>58</v>
      </c>
      <c r="D386" s="23" t="s">
        <v>116</v>
      </c>
      <c r="E386" s="23" t="s">
        <v>53</v>
      </c>
      <c r="F386" s="23" t="s">
        <v>131</v>
      </c>
      <c r="G386" s="23" t="s">
        <v>531</v>
      </c>
      <c r="H386" s="23" t="s">
        <v>532</v>
      </c>
    </row>
    <row r="387" spans="1:8" ht="22.5" customHeight="1">
      <c r="A387" s="22">
        <v>46081.388786678246</v>
      </c>
      <c r="B387" s="23" t="s">
        <v>181</v>
      </c>
      <c r="C387" s="23" t="s">
        <v>58</v>
      </c>
      <c r="D387" s="23" t="s">
        <v>116</v>
      </c>
      <c r="E387" s="23" t="s">
        <v>53</v>
      </c>
      <c r="F387" s="23" t="s">
        <v>89</v>
      </c>
      <c r="G387" s="23" t="s">
        <v>531</v>
      </c>
      <c r="H387" s="23" t="s">
        <v>532</v>
      </c>
    </row>
    <row r="388" spans="1:8" ht="22.5" customHeight="1">
      <c r="A388" s="22">
        <v>46081.389379236112</v>
      </c>
      <c r="B388" s="23" t="s">
        <v>181</v>
      </c>
      <c r="C388" s="23" t="s">
        <v>58</v>
      </c>
      <c r="D388" s="23" t="s">
        <v>116</v>
      </c>
      <c r="E388" s="23" t="s">
        <v>53</v>
      </c>
      <c r="F388" s="23" t="s">
        <v>206</v>
      </c>
      <c r="G388" s="23" t="s">
        <v>111</v>
      </c>
      <c r="H388" s="23" t="s">
        <v>533</v>
      </c>
    </row>
    <row r="389" spans="1:8" ht="22.5" customHeight="1">
      <c r="A389" s="22">
        <v>46081.38998305556</v>
      </c>
      <c r="B389" s="23" t="s">
        <v>181</v>
      </c>
      <c r="C389" s="23" t="s">
        <v>58</v>
      </c>
      <c r="D389" s="23" t="s">
        <v>116</v>
      </c>
      <c r="E389" s="23" t="s">
        <v>53</v>
      </c>
      <c r="F389" s="23" t="s">
        <v>80</v>
      </c>
      <c r="G389" s="23" t="s">
        <v>183</v>
      </c>
      <c r="H389" s="23" t="s">
        <v>534</v>
      </c>
    </row>
    <row r="390" spans="1:8" ht="22.5" customHeight="1">
      <c r="A390" s="22">
        <v>46081.390554675927</v>
      </c>
      <c r="B390" s="23" t="s">
        <v>181</v>
      </c>
      <c r="C390" s="23" t="s">
        <v>58</v>
      </c>
      <c r="D390" s="23" t="s">
        <v>116</v>
      </c>
      <c r="E390" s="23" t="s">
        <v>53</v>
      </c>
      <c r="F390" s="23" t="s">
        <v>535</v>
      </c>
      <c r="G390" s="23" t="s">
        <v>183</v>
      </c>
      <c r="H390" s="23" t="s">
        <v>536</v>
      </c>
    </row>
    <row r="391" spans="1:8" ht="22.5" customHeight="1">
      <c r="A391" s="22">
        <v>46081.390872407406</v>
      </c>
      <c r="B391" s="23" t="s">
        <v>181</v>
      </c>
      <c r="C391" s="23" t="s">
        <v>58</v>
      </c>
      <c r="D391" s="23" t="s">
        <v>116</v>
      </c>
      <c r="E391" s="23" t="s">
        <v>53</v>
      </c>
      <c r="F391" s="23" t="s">
        <v>222</v>
      </c>
      <c r="G391" s="23" t="s">
        <v>183</v>
      </c>
      <c r="H391" s="23" t="s">
        <v>534</v>
      </c>
    </row>
    <row r="392" spans="1:8" ht="22.5" customHeight="1">
      <c r="A392" s="22">
        <v>46081.391357800923</v>
      </c>
      <c r="B392" s="23" t="s">
        <v>181</v>
      </c>
      <c r="C392" s="23" t="s">
        <v>58</v>
      </c>
      <c r="D392" s="23" t="s">
        <v>116</v>
      </c>
      <c r="E392" s="23" t="s">
        <v>53</v>
      </c>
      <c r="F392" s="23" t="s">
        <v>131</v>
      </c>
      <c r="G392" s="23" t="s">
        <v>132</v>
      </c>
      <c r="H392" s="23" t="s">
        <v>537</v>
      </c>
    </row>
    <row r="393" spans="1:8" ht="22.5" customHeight="1">
      <c r="A393" s="22">
        <v>46081.391777847224</v>
      </c>
      <c r="B393" s="23" t="s">
        <v>181</v>
      </c>
      <c r="C393" s="23" t="s">
        <v>58</v>
      </c>
      <c r="D393" s="23" t="s">
        <v>116</v>
      </c>
      <c r="E393" s="23" t="s">
        <v>53</v>
      </c>
      <c r="F393" s="23" t="s">
        <v>80</v>
      </c>
      <c r="G393" s="23" t="s">
        <v>106</v>
      </c>
      <c r="H393" s="23" t="s">
        <v>538</v>
      </c>
    </row>
    <row r="394" spans="1:8" ht="22.5" customHeight="1">
      <c r="A394" s="22">
        <v>46081.392070462964</v>
      </c>
      <c r="B394" s="23" t="s">
        <v>181</v>
      </c>
      <c r="C394" s="23" t="s">
        <v>58</v>
      </c>
      <c r="D394" s="23" t="s">
        <v>116</v>
      </c>
      <c r="E394" s="23" t="s">
        <v>53</v>
      </c>
      <c r="F394" s="23" t="s">
        <v>89</v>
      </c>
      <c r="G394" s="23" t="s">
        <v>132</v>
      </c>
      <c r="H394" s="23" t="s">
        <v>539</v>
      </c>
    </row>
    <row r="395" spans="1:8" ht="22.5" customHeight="1">
      <c r="A395" s="22">
        <v>46081.392319594903</v>
      </c>
      <c r="B395" s="23" t="s">
        <v>181</v>
      </c>
      <c r="C395" s="23" t="s">
        <v>58</v>
      </c>
      <c r="D395" s="23" t="s">
        <v>116</v>
      </c>
      <c r="E395" s="23" t="s">
        <v>53</v>
      </c>
      <c r="F395" s="23" t="s">
        <v>135</v>
      </c>
      <c r="G395" s="23" t="s">
        <v>132</v>
      </c>
      <c r="H395" s="23" t="s">
        <v>540</v>
      </c>
    </row>
    <row r="396" spans="1:8" ht="22.5" customHeight="1">
      <c r="A396" s="22">
        <v>46081.392682395832</v>
      </c>
      <c r="B396" s="23" t="s">
        <v>181</v>
      </c>
      <c r="C396" s="23" t="s">
        <v>58</v>
      </c>
      <c r="D396" s="23" t="s">
        <v>116</v>
      </c>
      <c r="E396" s="23" t="s">
        <v>53</v>
      </c>
      <c r="F396" s="23" t="s">
        <v>82</v>
      </c>
      <c r="G396" s="23" t="s">
        <v>62</v>
      </c>
      <c r="H396" s="23" t="s">
        <v>541</v>
      </c>
    </row>
    <row r="397" spans="1:8" ht="22.5" customHeight="1">
      <c r="A397" s="22">
        <v>46081.393397511572</v>
      </c>
      <c r="B397" s="23" t="s">
        <v>181</v>
      </c>
      <c r="C397" s="23" t="s">
        <v>58</v>
      </c>
      <c r="D397" s="23" t="s">
        <v>116</v>
      </c>
      <c r="E397" s="23" t="s">
        <v>53</v>
      </c>
      <c r="F397" s="23" t="s">
        <v>135</v>
      </c>
      <c r="G397" s="23" t="s">
        <v>531</v>
      </c>
      <c r="H397" s="23" t="s">
        <v>542</v>
      </c>
    </row>
    <row r="398" spans="1:8" ht="22.5" customHeight="1">
      <c r="A398" s="22">
        <v>46081.393683171293</v>
      </c>
      <c r="B398" s="23" t="s">
        <v>181</v>
      </c>
      <c r="C398" s="23" t="s">
        <v>58</v>
      </c>
      <c r="D398" s="23" t="s">
        <v>116</v>
      </c>
      <c r="E398" s="23" t="s">
        <v>53</v>
      </c>
      <c r="F398" s="23" t="s">
        <v>153</v>
      </c>
      <c r="G398" s="23" t="s">
        <v>132</v>
      </c>
      <c r="H398" s="23" t="s">
        <v>543</v>
      </c>
    </row>
    <row r="399" spans="1:8" ht="22.5" customHeight="1">
      <c r="A399" s="22">
        <v>46081.394062789353</v>
      </c>
      <c r="B399" s="23" t="s">
        <v>181</v>
      </c>
      <c r="C399" s="23" t="s">
        <v>58</v>
      </c>
      <c r="D399" s="23" t="s">
        <v>116</v>
      </c>
      <c r="E399" s="23" t="s">
        <v>53</v>
      </c>
      <c r="F399" s="23" t="s">
        <v>153</v>
      </c>
      <c r="G399" s="23" t="s">
        <v>310</v>
      </c>
      <c r="H399" s="23" t="s">
        <v>544</v>
      </c>
    </row>
    <row r="400" spans="1:8" ht="22.5" customHeight="1">
      <c r="A400" s="22">
        <v>46081.394410486115</v>
      </c>
      <c r="B400" s="23" t="s">
        <v>181</v>
      </c>
      <c r="C400" s="23" t="s">
        <v>58</v>
      </c>
      <c r="D400" s="23" t="s">
        <v>116</v>
      </c>
      <c r="E400" s="23" t="s">
        <v>53</v>
      </c>
      <c r="F400" s="23" t="s">
        <v>153</v>
      </c>
      <c r="G400" s="23" t="s">
        <v>531</v>
      </c>
      <c r="H400" s="23" t="s">
        <v>545</v>
      </c>
    </row>
    <row r="401" spans="1:14" ht="22.5" customHeight="1">
      <c r="A401" s="22">
        <v>46081.394787800928</v>
      </c>
      <c r="B401" s="23" t="s">
        <v>181</v>
      </c>
      <c r="C401" s="23" t="s">
        <v>58</v>
      </c>
      <c r="D401" s="23" t="s">
        <v>116</v>
      </c>
      <c r="E401" s="23" t="s">
        <v>53</v>
      </c>
      <c r="F401" s="23" t="s">
        <v>154</v>
      </c>
      <c r="G401" s="23" t="s">
        <v>531</v>
      </c>
      <c r="H401" s="23" t="s">
        <v>545</v>
      </c>
    </row>
    <row r="402" spans="1:14" ht="22.5" customHeight="1">
      <c r="A402" s="22">
        <v>46081.395105682866</v>
      </c>
      <c r="B402" s="23" t="s">
        <v>181</v>
      </c>
      <c r="C402" s="23" t="s">
        <v>58</v>
      </c>
      <c r="D402" s="23" t="s">
        <v>116</v>
      </c>
      <c r="E402" s="23" t="s">
        <v>53</v>
      </c>
      <c r="F402" s="23" t="s">
        <v>149</v>
      </c>
      <c r="G402" s="23" t="s">
        <v>531</v>
      </c>
      <c r="H402" s="23" t="s">
        <v>545</v>
      </c>
    </row>
    <row r="403" spans="1:14" ht="22.5" customHeight="1">
      <c r="A403" s="22">
        <v>46081.395578715281</v>
      </c>
      <c r="B403" s="23" t="s">
        <v>181</v>
      </c>
      <c r="C403" s="23" t="s">
        <v>58</v>
      </c>
      <c r="D403" s="23" t="s">
        <v>116</v>
      </c>
      <c r="E403" s="23" t="s">
        <v>53</v>
      </c>
      <c r="F403" s="23" t="s">
        <v>222</v>
      </c>
      <c r="G403" s="23" t="s">
        <v>106</v>
      </c>
      <c r="H403" s="23" t="s">
        <v>538</v>
      </c>
    </row>
    <row r="404" spans="1:14" ht="22.5" customHeight="1">
      <c r="A404" s="22">
        <v>46081.395845509258</v>
      </c>
      <c r="B404" s="23" t="s">
        <v>181</v>
      </c>
      <c r="C404" s="23" t="s">
        <v>58</v>
      </c>
      <c r="D404" s="23" t="s">
        <v>116</v>
      </c>
      <c r="E404" s="23" t="s">
        <v>53</v>
      </c>
      <c r="F404" s="23" t="s">
        <v>61</v>
      </c>
      <c r="G404" s="23" t="s">
        <v>132</v>
      </c>
      <c r="H404" s="23" t="s">
        <v>546</v>
      </c>
    </row>
    <row r="405" spans="1:14" ht="22.5" customHeight="1">
      <c r="A405" s="22">
        <v>46081.401703368057</v>
      </c>
      <c r="B405" s="23" t="s">
        <v>57</v>
      </c>
      <c r="C405" s="23" t="s">
        <v>58</v>
      </c>
      <c r="D405" s="23" t="s">
        <v>59</v>
      </c>
      <c r="E405" s="23" t="s">
        <v>60</v>
      </c>
      <c r="F405" s="23" t="s">
        <v>149</v>
      </c>
      <c r="G405" s="23" t="s">
        <v>435</v>
      </c>
      <c r="H405" s="23" t="s">
        <v>547</v>
      </c>
    </row>
    <row r="406" spans="1:14" ht="22.5" customHeight="1">
      <c r="A406" s="22">
        <v>46081.402164583335</v>
      </c>
      <c r="B406" s="23" t="s">
        <v>57</v>
      </c>
      <c r="C406" s="23" t="s">
        <v>58</v>
      </c>
      <c r="D406" s="23" t="s">
        <v>59</v>
      </c>
      <c r="E406" s="23" t="s">
        <v>60</v>
      </c>
      <c r="F406" s="23" t="s">
        <v>149</v>
      </c>
      <c r="G406" s="23" t="s">
        <v>548</v>
      </c>
      <c r="H406" s="23" t="s">
        <v>549</v>
      </c>
    </row>
    <row r="407" spans="1:14" ht="22.5" customHeight="1">
      <c r="A407" s="22">
        <v>46081.402602615737</v>
      </c>
      <c r="B407" s="23" t="s">
        <v>57</v>
      </c>
      <c r="C407" s="23" t="s">
        <v>58</v>
      </c>
      <c r="D407" s="23" t="s">
        <v>59</v>
      </c>
      <c r="E407" s="23" t="s">
        <v>60</v>
      </c>
      <c r="F407" s="23" t="s">
        <v>149</v>
      </c>
      <c r="G407" s="23" t="s">
        <v>550</v>
      </c>
      <c r="H407" s="23" t="s">
        <v>467</v>
      </c>
    </row>
    <row r="408" spans="1:14" ht="22.5" customHeight="1">
      <c r="A408" s="22">
        <v>46081.403171296297</v>
      </c>
      <c r="B408" s="23" t="s">
        <v>57</v>
      </c>
      <c r="C408" s="23" t="s">
        <v>58</v>
      </c>
      <c r="D408" s="23" t="s">
        <v>59</v>
      </c>
      <c r="E408" s="23" t="s">
        <v>60</v>
      </c>
      <c r="F408" s="23" t="s">
        <v>154</v>
      </c>
      <c r="G408" s="23" t="s">
        <v>551</v>
      </c>
      <c r="H408" s="23" t="s">
        <v>552</v>
      </c>
    </row>
    <row r="409" spans="1:14" ht="22.5" customHeight="1">
      <c r="A409" s="22">
        <v>46081.56772806713</v>
      </c>
      <c r="B409" s="23" t="s">
        <v>64</v>
      </c>
      <c r="C409" s="23" t="s">
        <v>65</v>
      </c>
      <c r="J409" s="23" t="s">
        <v>66</v>
      </c>
      <c r="K409" s="23" t="s">
        <v>53</v>
      </c>
      <c r="L409" s="23" t="s">
        <v>67</v>
      </c>
      <c r="M409" s="23" t="s">
        <v>85</v>
      </c>
      <c r="N409" s="23" t="s">
        <v>553</v>
      </c>
    </row>
    <row r="410" spans="1:14" ht="22.5" customHeight="1">
      <c r="A410" s="22">
        <v>46081.572290891199</v>
      </c>
      <c r="B410" s="23" t="s">
        <v>64</v>
      </c>
      <c r="C410" s="23" t="s">
        <v>65</v>
      </c>
      <c r="J410" s="23" t="s">
        <v>66</v>
      </c>
      <c r="K410" s="23" t="s">
        <v>53</v>
      </c>
      <c r="L410" s="23" t="s">
        <v>84</v>
      </c>
      <c r="M410" s="23" t="s">
        <v>103</v>
      </c>
      <c r="N410" s="23" t="s">
        <v>554</v>
      </c>
    </row>
    <row r="411" spans="1:14" ht="22.5" customHeight="1">
      <c r="A411" s="22">
        <v>46081.574598831023</v>
      </c>
      <c r="B411" s="23" t="s">
        <v>64</v>
      </c>
      <c r="C411" s="23" t="s">
        <v>65</v>
      </c>
      <c r="J411" s="23" t="s">
        <v>66</v>
      </c>
      <c r="K411" s="23" t="s">
        <v>53</v>
      </c>
      <c r="L411" s="23" t="s">
        <v>84</v>
      </c>
      <c r="M411" s="23" t="s">
        <v>103</v>
      </c>
      <c r="N411" s="23" t="s">
        <v>555</v>
      </c>
    </row>
    <row r="412" spans="1:14" ht="22.5" customHeight="1">
      <c r="A412" s="22">
        <v>46081.577023344908</v>
      </c>
      <c r="B412" s="23" t="s">
        <v>64</v>
      </c>
      <c r="C412" s="23" t="s">
        <v>65</v>
      </c>
      <c r="J412" s="23" t="s">
        <v>66</v>
      </c>
      <c r="K412" s="23" t="s">
        <v>53</v>
      </c>
      <c r="L412" s="23" t="s">
        <v>67</v>
      </c>
      <c r="M412" s="23" t="s">
        <v>270</v>
      </c>
      <c r="N412" s="23" t="s">
        <v>556</v>
      </c>
    </row>
    <row r="413" spans="1:14" ht="22.5" customHeight="1">
      <c r="A413" s="22">
        <v>46081.596151990743</v>
      </c>
      <c r="B413" s="23" t="s">
        <v>64</v>
      </c>
      <c r="C413" s="23" t="s">
        <v>65</v>
      </c>
      <c r="J413" s="23" t="s">
        <v>66</v>
      </c>
      <c r="K413" s="23" t="s">
        <v>53</v>
      </c>
      <c r="L413" s="23" t="s">
        <v>67</v>
      </c>
      <c r="M413" s="23" t="s">
        <v>85</v>
      </c>
      <c r="N413" s="23" t="s">
        <v>557</v>
      </c>
    </row>
    <row r="414" spans="1:14" ht="22.5" customHeight="1">
      <c r="A414" s="22">
        <v>46081.836292361113</v>
      </c>
      <c r="B414" s="23" t="s">
        <v>487</v>
      </c>
      <c r="C414" s="23" t="s">
        <v>58</v>
      </c>
      <c r="D414" s="23" t="s">
        <v>376</v>
      </c>
      <c r="E414" s="23" t="s">
        <v>53</v>
      </c>
      <c r="F414" s="23" t="s">
        <v>558</v>
      </c>
      <c r="G414" s="23" t="s">
        <v>106</v>
      </c>
      <c r="H414" s="23" t="s">
        <v>559</v>
      </c>
    </row>
    <row r="415" spans="1:14" ht="22.5" customHeight="1">
      <c r="A415" s="22">
        <v>46081.836598275462</v>
      </c>
      <c r="B415" s="23" t="s">
        <v>487</v>
      </c>
      <c r="C415" s="23" t="s">
        <v>58</v>
      </c>
      <c r="D415" s="23" t="s">
        <v>376</v>
      </c>
      <c r="E415" s="23" t="s">
        <v>53</v>
      </c>
      <c r="F415" s="23" t="s">
        <v>560</v>
      </c>
      <c r="G415" s="23" t="s">
        <v>106</v>
      </c>
      <c r="H415" s="23" t="s">
        <v>561</v>
      </c>
    </row>
    <row r="416" spans="1:14" ht="22.5" customHeight="1">
      <c r="A416" s="22">
        <v>46081.841776168978</v>
      </c>
      <c r="B416" s="23" t="s">
        <v>487</v>
      </c>
      <c r="C416" s="23" t="s">
        <v>58</v>
      </c>
      <c r="D416" s="23" t="s">
        <v>371</v>
      </c>
      <c r="E416" s="23" t="s">
        <v>53</v>
      </c>
      <c r="F416" s="23" t="s">
        <v>61</v>
      </c>
      <c r="G416" s="23" t="s">
        <v>62</v>
      </c>
      <c r="H416" s="23" t="s">
        <v>562</v>
      </c>
    </row>
    <row r="417" spans="1:8" ht="22.5" customHeight="1">
      <c r="A417" s="22">
        <v>46081.84322998843</v>
      </c>
      <c r="B417" s="23" t="s">
        <v>487</v>
      </c>
      <c r="C417" s="23" t="s">
        <v>58</v>
      </c>
      <c r="D417" s="23" t="s">
        <v>376</v>
      </c>
      <c r="E417" s="23" t="s">
        <v>53</v>
      </c>
      <c r="F417" s="23" t="s">
        <v>80</v>
      </c>
      <c r="G417" s="23" t="s">
        <v>106</v>
      </c>
      <c r="H417" s="23" t="s">
        <v>563</v>
      </c>
    </row>
    <row r="418" spans="1:8" ht="22.5" customHeight="1">
      <c r="A418" s="22">
        <v>46081.843463518519</v>
      </c>
      <c r="B418" s="23" t="s">
        <v>487</v>
      </c>
      <c r="C418" s="23" t="s">
        <v>58</v>
      </c>
      <c r="D418" s="23" t="s">
        <v>376</v>
      </c>
      <c r="E418" s="23" t="s">
        <v>53</v>
      </c>
      <c r="F418" s="23" t="s">
        <v>375</v>
      </c>
      <c r="G418" s="23" t="s">
        <v>106</v>
      </c>
      <c r="H418" s="23" t="s">
        <v>564</v>
      </c>
    </row>
    <row r="419" spans="1:8" ht="22.5" customHeight="1">
      <c r="A419" s="22">
        <v>46081.844974050924</v>
      </c>
      <c r="B419" s="23" t="s">
        <v>487</v>
      </c>
      <c r="C419" s="23" t="s">
        <v>58</v>
      </c>
      <c r="D419" s="23" t="s">
        <v>371</v>
      </c>
      <c r="E419" s="23" t="s">
        <v>53</v>
      </c>
      <c r="F419" s="23" t="s">
        <v>74</v>
      </c>
      <c r="G419" s="23" t="s">
        <v>140</v>
      </c>
      <c r="H419" s="23" t="s">
        <v>565</v>
      </c>
    </row>
    <row r="420" spans="1:8" ht="22.5" customHeight="1">
      <c r="A420" s="22">
        <v>46081.845299560184</v>
      </c>
      <c r="B420" s="23" t="s">
        <v>487</v>
      </c>
      <c r="C420" s="23" t="s">
        <v>58</v>
      </c>
      <c r="D420" s="23" t="s">
        <v>371</v>
      </c>
      <c r="E420" s="23" t="s">
        <v>53</v>
      </c>
      <c r="F420" s="23" t="s">
        <v>74</v>
      </c>
      <c r="G420" s="23" t="s">
        <v>140</v>
      </c>
      <c r="H420" s="23" t="s">
        <v>566</v>
      </c>
    </row>
    <row r="421" spans="1:8" ht="22.5" customHeight="1">
      <c r="A421" s="22">
        <v>46081.846958865739</v>
      </c>
      <c r="B421" s="23" t="s">
        <v>487</v>
      </c>
      <c r="C421" s="23" t="s">
        <v>58</v>
      </c>
      <c r="D421" s="23" t="s">
        <v>371</v>
      </c>
      <c r="E421" s="23" t="s">
        <v>53</v>
      </c>
      <c r="F421" s="23" t="s">
        <v>80</v>
      </c>
      <c r="G421" s="23" t="s">
        <v>567</v>
      </c>
      <c r="H421" s="23" t="s">
        <v>568</v>
      </c>
    </row>
    <row r="422" spans="1:8" ht="22.5" customHeight="1">
      <c r="A422" s="22">
        <v>46081.847905000002</v>
      </c>
      <c r="B422" s="23" t="s">
        <v>487</v>
      </c>
      <c r="C422" s="23" t="s">
        <v>58</v>
      </c>
      <c r="D422" s="23" t="s">
        <v>371</v>
      </c>
      <c r="E422" s="23" t="s">
        <v>53</v>
      </c>
      <c r="F422" s="23" t="s">
        <v>375</v>
      </c>
      <c r="G422" s="23" t="s">
        <v>567</v>
      </c>
      <c r="H422" s="23" t="s">
        <v>569</v>
      </c>
    </row>
    <row r="423" spans="1:8" ht="22.5" customHeight="1">
      <c r="A423" s="22">
        <v>46081.852735844906</v>
      </c>
      <c r="B423" s="23" t="s">
        <v>487</v>
      </c>
      <c r="C423" s="23" t="s">
        <v>58</v>
      </c>
      <c r="D423" s="23" t="s">
        <v>376</v>
      </c>
      <c r="E423" s="23" t="s">
        <v>53</v>
      </c>
      <c r="F423" s="23" t="s">
        <v>149</v>
      </c>
      <c r="G423" s="23" t="s">
        <v>106</v>
      </c>
      <c r="H423" s="23" t="s">
        <v>570</v>
      </c>
    </row>
    <row r="424" spans="1:8" ht="22.5" customHeight="1">
      <c r="A424" s="22">
        <v>46081.854460381946</v>
      </c>
      <c r="B424" s="23" t="s">
        <v>487</v>
      </c>
      <c r="C424" s="23" t="s">
        <v>58</v>
      </c>
      <c r="D424" s="23" t="s">
        <v>376</v>
      </c>
      <c r="E424" s="23" t="s">
        <v>53</v>
      </c>
      <c r="F424" s="23" t="s">
        <v>74</v>
      </c>
      <c r="G424" s="23" t="s">
        <v>489</v>
      </c>
      <c r="H424" s="23" t="s">
        <v>571</v>
      </c>
    </row>
    <row r="425" spans="1:8" ht="22.5" customHeight="1">
      <c r="A425" s="22">
        <v>46081.854680914352</v>
      </c>
      <c r="B425" s="23" t="s">
        <v>487</v>
      </c>
      <c r="C425" s="23" t="s">
        <v>58</v>
      </c>
      <c r="D425" s="23" t="s">
        <v>376</v>
      </c>
      <c r="E425" s="23" t="s">
        <v>53</v>
      </c>
      <c r="F425" s="23" t="s">
        <v>149</v>
      </c>
      <c r="G425" s="23" t="s">
        <v>567</v>
      </c>
      <c r="H425" s="23" t="s">
        <v>572</v>
      </c>
    </row>
    <row r="426" spans="1:8" ht="22.5" customHeight="1">
      <c r="A426" s="22">
        <v>46081.85488240741</v>
      </c>
      <c r="B426" s="23" t="s">
        <v>487</v>
      </c>
      <c r="C426" s="23" t="s">
        <v>58</v>
      </c>
      <c r="D426" s="23" t="s">
        <v>376</v>
      </c>
      <c r="E426" s="23" t="s">
        <v>53</v>
      </c>
      <c r="F426" s="23" t="s">
        <v>154</v>
      </c>
      <c r="G426" s="23" t="s">
        <v>567</v>
      </c>
      <c r="H426" s="23" t="s">
        <v>572</v>
      </c>
    </row>
    <row r="427" spans="1:8" ht="22.5" customHeight="1">
      <c r="A427" s="22">
        <v>46081.855086342592</v>
      </c>
      <c r="B427" s="23" t="s">
        <v>487</v>
      </c>
      <c r="C427" s="23" t="s">
        <v>58</v>
      </c>
      <c r="D427" s="23" t="s">
        <v>376</v>
      </c>
      <c r="E427" s="23" t="s">
        <v>53</v>
      </c>
      <c r="F427" s="23" t="s">
        <v>131</v>
      </c>
      <c r="G427" s="23" t="s">
        <v>567</v>
      </c>
      <c r="H427" s="23" t="s">
        <v>572</v>
      </c>
    </row>
    <row r="428" spans="1:8" ht="22.5" customHeight="1">
      <c r="A428" s="22">
        <v>46081.85527940972</v>
      </c>
      <c r="B428" s="23" t="s">
        <v>487</v>
      </c>
      <c r="C428" s="23" t="s">
        <v>58</v>
      </c>
      <c r="D428" s="23" t="s">
        <v>376</v>
      </c>
      <c r="E428" s="23" t="s">
        <v>53</v>
      </c>
      <c r="F428" s="23" t="s">
        <v>89</v>
      </c>
      <c r="G428" s="23" t="s">
        <v>567</v>
      </c>
      <c r="H428" s="23" t="s">
        <v>572</v>
      </c>
    </row>
    <row r="429" spans="1:8" ht="22.5" customHeight="1">
      <c r="A429" s="22">
        <v>46081.85556019676</v>
      </c>
      <c r="B429" s="23" t="s">
        <v>487</v>
      </c>
      <c r="C429" s="23" t="s">
        <v>58</v>
      </c>
      <c r="D429" s="23" t="s">
        <v>376</v>
      </c>
      <c r="E429" s="23" t="s">
        <v>53</v>
      </c>
      <c r="F429" s="23" t="s">
        <v>135</v>
      </c>
      <c r="G429" s="23" t="s">
        <v>567</v>
      </c>
      <c r="H429" s="23" t="s">
        <v>572</v>
      </c>
    </row>
    <row r="430" spans="1:8" ht="22.5" customHeight="1">
      <c r="A430" s="22">
        <v>46081.855808402775</v>
      </c>
      <c r="B430" s="23" t="s">
        <v>487</v>
      </c>
      <c r="C430" s="23" t="s">
        <v>58</v>
      </c>
      <c r="D430" s="23" t="s">
        <v>376</v>
      </c>
      <c r="E430" s="23" t="s">
        <v>53</v>
      </c>
      <c r="F430" s="23" t="s">
        <v>153</v>
      </c>
      <c r="G430" s="23" t="s">
        <v>567</v>
      </c>
      <c r="H430" s="23" t="s">
        <v>572</v>
      </c>
    </row>
    <row r="431" spans="1:8" ht="22.5" customHeight="1">
      <c r="A431" s="22">
        <v>46081.856087488428</v>
      </c>
      <c r="B431" s="23" t="s">
        <v>487</v>
      </c>
      <c r="C431" s="23" t="s">
        <v>58</v>
      </c>
      <c r="D431" s="23" t="s">
        <v>376</v>
      </c>
      <c r="E431" s="23" t="s">
        <v>53</v>
      </c>
      <c r="F431" s="23" t="s">
        <v>61</v>
      </c>
      <c r="G431" s="23" t="s">
        <v>567</v>
      </c>
      <c r="H431" s="23" t="s">
        <v>572</v>
      </c>
    </row>
    <row r="432" spans="1:8" ht="22.5" customHeight="1">
      <c r="A432" s="22">
        <v>46081.856344189815</v>
      </c>
      <c r="B432" s="23" t="s">
        <v>487</v>
      </c>
      <c r="C432" s="23" t="s">
        <v>58</v>
      </c>
      <c r="D432" s="23" t="s">
        <v>376</v>
      </c>
      <c r="E432" s="23" t="s">
        <v>53</v>
      </c>
      <c r="F432" s="23" t="s">
        <v>80</v>
      </c>
      <c r="G432" s="23" t="s">
        <v>567</v>
      </c>
      <c r="H432" s="23" t="s">
        <v>572</v>
      </c>
    </row>
    <row r="433" spans="1:8" ht="22.5" customHeight="1">
      <c r="A433" s="22">
        <v>46081.856566597227</v>
      </c>
      <c r="B433" s="23" t="s">
        <v>487</v>
      </c>
      <c r="C433" s="23" t="s">
        <v>58</v>
      </c>
      <c r="D433" s="23" t="s">
        <v>376</v>
      </c>
      <c r="E433" s="23" t="s">
        <v>53</v>
      </c>
      <c r="F433" s="23" t="s">
        <v>375</v>
      </c>
      <c r="G433" s="23" t="s">
        <v>567</v>
      </c>
      <c r="H433" s="23" t="s">
        <v>572</v>
      </c>
    </row>
    <row r="434" spans="1:8" ht="22.5" customHeight="1">
      <c r="A434" s="22">
        <v>46082.278540150466</v>
      </c>
      <c r="B434" s="23" t="s">
        <v>573</v>
      </c>
      <c r="C434" s="23" t="s">
        <v>58</v>
      </c>
      <c r="D434" s="23" t="s">
        <v>116</v>
      </c>
      <c r="E434" s="23" t="s">
        <v>53</v>
      </c>
      <c r="F434" s="23" t="s">
        <v>206</v>
      </c>
      <c r="G434" s="23" t="s">
        <v>183</v>
      </c>
      <c r="H434" s="23" t="s">
        <v>574</v>
      </c>
    </row>
    <row r="435" spans="1:8" ht="22.5" customHeight="1">
      <c r="A435" s="22">
        <v>46082.2794109838</v>
      </c>
      <c r="B435" s="23" t="s">
        <v>573</v>
      </c>
      <c r="C435" s="23" t="s">
        <v>58</v>
      </c>
      <c r="D435" s="23" t="s">
        <v>116</v>
      </c>
      <c r="E435" s="23" t="s">
        <v>53</v>
      </c>
      <c r="F435" s="23" t="s">
        <v>74</v>
      </c>
      <c r="G435" s="23" t="s">
        <v>183</v>
      </c>
      <c r="H435" s="23" t="s">
        <v>575</v>
      </c>
    </row>
    <row r="436" spans="1:8" ht="22.5" customHeight="1">
      <c r="A436" s="22">
        <v>46082.280199097222</v>
      </c>
      <c r="B436" s="23" t="s">
        <v>573</v>
      </c>
      <c r="C436" s="23" t="s">
        <v>58</v>
      </c>
      <c r="D436" s="23" t="s">
        <v>116</v>
      </c>
      <c r="E436" s="23" t="s">
        <v>53</v>
      </c>
      <c r="F436" s="23" t="s">
        <v>74</v>
      </c>
      <c r="G436" s="23" t="s">
        <v>62</v>
      </c>
      <c r="H436" s="23" t="s">
        <v>576</v>
      </c>
    </row>
    <row r="437" spans="1:8" ht="22.5" customHeight="1">
      <c r="A437" s="22">
        <v>46082.280528368057</v>
      </c>
      <c r="B437" s="23" t="s">
        <v>573</v>
      </c>
      <c r="C437" s="23" t="s">
        <v>58</v>
      </c>
      <c r="D437" s="23" t="s">
        <v>116</v>
      </c>
      <c r="E437" s="23" t="s">
        <v>53</v>
      </c>
      <c r="F437" s="23" t="s">
        <v>135</v>
      </c>
      <c r="G437" s="23" t="s">
        <v>62</v>
      </c>
      <c r="H437" s="23" t="s">
        <v>577</v>
      </c>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B59B6"/>
    <outlinePr summaryBelow="0" summaryRight="0"/>
  </sheetPr>
  <dimension ref="A1:I999"/>
  <sheetViews>
    <sheetView showGridLines="0" workbookViewId="0">
      <pane ySplit="1" topLeftCell="A2" activePane="bottomLeft" state="frozen"/>
      <selection pane="bottomLeft" activeCell="B3" sqref="B3"/>
    </sheetView>
  </sheetViews>
  <sheetFormatPr defaultColWidth="12.5703125" defaultRowHeight="15.75" customHeight="1"/>
  <cols>
    <col min="1" max="1" width="19.42578125" customWidth="1"/>
    <col min="2" max="2" width="46.7109375" customWidth="1"/>
    <col min="3" max="3" width="18.5703125" customWidth="1"/>
    <col min="6" max="9" width="19.42578125" customWidth="1"/>
  </cols>
  <sheetData>
    <row r="1" spans="1:9" ht="22.5" customHeight="1">
      <c r="A1" s="24" t="s">
        <v>578</v>
      </c>
      <c r="B1" s="24" t="s">
        <v>579</v>
      </c>
      <c r="C1" s="25" t="s">
        <v>580</v>
      </c>
      <c r="D1" s="24" t="s">
        <v>581</v>
      </c>
      <c r="E1" s="24" t="s">
        <v>44</v>
      </c>
      <c r="F1" s="25" t="s">
        <v>582</v>
      </c>
      <c r="G1" s="26" t="s">
        <v>583</v>
      </c>
      <c r="H1" s="26" t="s">
        <v>584</v>
      </c>
      <c r="I1" s="26" t="s">
        <v>585</v>
      </c>
    </row>
    <row r="2" spans="1:9" ht="22.5" customHeight="1">
      <c r="A2" s="27" t="s">
        <v>586</v>
      </c>
      <c r="B2" s="28" t="s">
        <v>587</v>
      </c>
      <c r="C2" s="29" t="s">
        <v>588</v>
      </c>
      <c r="D2" s="30" t="s">
        <v>589</v>
      </c>
      <c r="E2" s="30"/>
      <c r="F2" s="30">
        <v>9647747440755</v>
      </c>
      <c r="G2" s="31" t="s">
        <v>590</v>
      </c>
      <c r="H2" s="30"/>
      <c r="I2" s="32" t="s">
        <v>15</v>
      </c>
    </row>
    <row r="3" spans="1:9" ht="22.5" customHeight="1">
      <c r="A3" s="33" t="s">
        <v>591</v>
      </c>
      <c r="B3" s="34" t="s">
        <v>592</v>
      </c>
      <c r="C3" s="29" t="s">
        <v>588</v>
      </c>
      <c r="D3" s="30" t="s">
        <v>589</v>
      </c>
      <c r="E3" s="30"/>
      <c r="F3" s="30">
        <v>9647804966740</v>
      </c>
      <c r="G3" s="31" t="s">
        <v>22</v>
      </c>
      <c r="H3" s="30"/>
      <c r="I3" s="32" t="s">
        <v>22</v>
      </c>
    </row>
    <row r="4" spans="1:9" ht="22.5" customHeight="1">
      <c r="A4" s="33" t="s">
        <v>593</v>
      </c>
      <c r="B4" s="34" t="s">
        <v>487</v>
      </c>
      <c r="C4" s="29" t="s">
        <v>588</v>
      </c>
      <c r="D4" s="30" t="s">
        <v>589</v>
      </c>
      <c r="E4" s="30"/>
      <c r="F4" s="30">
        <v>9647744774982</v>
      </c>
      <c r="G4" s="31" t="s">
        <v>22</v>
      </c>
      <c r="H4" s="30"/>
      <c r="I4" s="32" t="s">
        <v>21</v>
      </c>
    </row>
    <row r="5" spans="1:9" ht="22.5" customHeight="1">
      <c r="A5" s="27" t="s">
        <v>594</v>
      </c>
      <c r="B5" s="28" t="s">
        <v>587</v>
      </c>
      <c r="C5" s="29" t="s">
        <v>588</v>
      </c>
      <c r="D5" s="30" t="s">
        <v>589</v>
      </c>
      <c r="E5" s="30"/>
      <c r="F5" s="30">
        <v>9647830414470</v>
      </c>
      <c r="G5" s="31" t="s">
        <v>22</v>
      </c>
      <c r="H5" s="30"/>
      <c r="I5" s="32" t="s">
        <v>18</v>
      </c>
    </row>
    <row r="6" spans="1:9" ht="22.5" customHeight="1">
      <c r="A6" s="33" t="s">
        <v>595</v>
      </c>
      <c r="B6" s="34" t="s">
        <v>587</v>
      </c>
      <c r="C6" s="29" t="s">
        <v>588</v>
      </c>
      <c r="D6" s="30" t="s">
        <v>589</v>
      </c>
      <c r="E6" s="30"/>
      <c r="F6" s="30">
        <v>9647719830876</v>
      </c>
      <c r="G6" s="31" t="s">
        <v>22</v>
      </c>
      <c r="H6" s="30"/>
      <c r="I6" s="32" t="s">
        <v>590</v>
      </c>
    </row>
    <row r="7" spans="1:9" ht="22.5" customHeight="1">
      <c r="A7" s="33" t="s">
        <v>596</v>
      </c>
      <c r="B7" s="34" t="s">
        <v>597</v>
      </c>
      <c r="C7" s="29" t="s">
        <v>588</v>
      </c>
      <c r="D7" s="30" t="s">
        <v>589</v>
      </c>
      <c r="E7" s="30"/>
      <c r="F7" s="30">
        <v>9647713071204</v>
      </c>
      <c r="G7" s="31" t="s">
        <v>21</v>
      </c>
      <c r="H7" s="30"/>
      <c r="I7" s="32" t="s">
        <v>206</v>
      </c>
    </row>
    <row r="8" spans="1:9" ht="22.5" customHeight="1">
      <c r="A8" s="33" t="s">
        <v>598</v>
      </c>
      <c r="B8" s="34" t="s">
        <v>587</v>
      </c>
      <c r="C8" s="29" t="s">
        <v>588</v>
      </c>
      <c r="D8" s="30" t="s">
        <v>589</v>
      </c>
      <c r="E8" s="30"/>
      <c r="F8" s="30">
        <v>9647800031322</v>
      </c>
      <c r="G8" s="31" t="s">
        <v>21</v>
      </c>
      <c r="H8" s="30"/>
      <c r="I8" s="32" t="s">
        <v>599</v>
      </c>
    </row>
    <row r="9" spans="1:9" ht="22.5" customHeight="1">
      <c r="A9" s="33" t="s">
        <v>600</v>
      </c>
      <c r="B9" s="34" t="s">
        <v>587</v>
      </c>
      <c r="C9" s="29" t="s">
        <v>588</v>
      </c>
      <c r="D9" s="30" t="s">
        <v>589</v>
      </c>
      <c r="E9" s="30"/>
      <c r="F9" s="30">
        <v>9647719155809</v>
      </c>
      <c r="G9" s="31" t="s">
        <v>21</v>
      </c>
      <c r="H9" s="30"/>
      <c r="I9" s="32" t="s">
        <v>601</v>
      </c>
    </row>
    <row r="10" spans="1:9" ht="22.5" customHeight="1">
      <c r="A10" s="33" t="s">
        <v>602</v>
      </c>
      <c r="B10" s="34" t="s">
        <v>603</v>
      </c>
      <c r="C10" s="29" t="s">
        <v>588</v>
      </c>
      <c r="D10" s="30" t="s">
        <v>589</v>
      </c>
      <c r="E10" s="30"/>
      <c r="F10" s="30">
        <v>9647730888623</v>
      </c>
      <c r="G10" s="31" t="s">
        <v>15</v>
      </c>
      <c r="H10" s="30"/>
    </row>
    <row r="11" spans="1:9" ht="22.5" customHeight="1">
      <c r="A11" s="33" t="s">
        <v>604</v>
      </c>
      <c r="B11" s="34" t="s">
        <v>605</v>
      </c>
      <c r="C11" s="29" t="s">
        <v>588</v>
      </c>
      <c r="D11" s="30" t="s">
        <v>589</v>
      </c>
      <c r="E11" s="30"/>
      <c r="F11" s="30">
        <v>9647825475204</v>
      </c>
      <c r="G11" s="31" t="s">
        <v>15</v>
      </c>
      <c r="H11" s="30"/>
    </row>
    <row r="12" spans="1:9" ht="22.5" customHeight="1">
      <c r="A12" s="33" t="s">
        <v>606</v>
      </c>
      <c r="B12" s="35" t="s">
        <v>51</v>
      </c>
      <c r="C12" s="29" t="s">
        <v>588</v>
      </c>
      <c r="D12" s="30" t="s">
        <v>589</v>
      </c>
      <c r="E12" s="30"/>
      <c r="F12" s="30">
        <v>9647735559707</v>
      </c>
      <c r="G12" s="31" t="s">
        <v>15</v>
      </c>
      <c r="H12" s="30"/>
    </row>
    <row r="13" spans="1:9" ht="22.5" customHeight="1">
      <c r="A13" s="33" t="s">
        <v>607</v>
      </c>
      <c r="B13" s="34" t="s">
        <v>587</v>
      </c>
      <c r="C13" s="29" t="s">
        <v>588</v>
      </c>
      <c r="D13" s="30" t="s">
        <v>589</v>
      </c>
      <c r="E13" s="30"/>
      <c r="F13" s="30">
        <v>9647802331887</v>
      </c>
      <c r="G13" s="31" t="s">
        <v>15</v>
      </c>
      <c r="H13" s="30"/>
      <c r="I13" s="32"/>
    </row>
    <row r="14" spans="1:9" ht="22.5" customHeight="1">
      <c r="A14" s="27" t="s">
        <v>608</v>
      </c>
      <c r="B14" s="28" t="s">
        <v>587</v>
      </c>
      <c r="C14" s="29" t="s">
        <v>588</v>
      </c>
      <c r="D14" s="30" t="s">
        <v>589</v>
      </c>
      <c r="E14" s="30"/>
      <c r="F14" s="30">
        <v>9647817773219</v>
      </c>
      <c r="G14" s="31" t="s">
        <v>15</v>
      </c>
      <c r="H14" s="30"/>
    </row>
    <row r="15" spans="1:9" ht="22.5" customHeight="1">
      <c r="A15" s="27" t="s">
        <v>609</v>
      </c>
      <c r="B15" s="28" t="s">
        <v>587</v>
      </c>
      <c r="C15" s="29" t="s">
        <v>588</v>
      </c>
      <c r="D15" s="30" t="s">
        <v>589</v>
      </c>
      <c r="E15" s="30"/>
      <c r="F15" s="30">
        <v>9647700479006</v>
      </c>
      <c r="G15" s="31" t="s">
        <v>15</v>
      </c>
      <c r="H15" s="30"/>
    </row>
    <row r="16" spans="1:9" ht="22.5" customHeight="1">
      <c r="A16" s="33" t="s">
        <v>610</v>
      </c>
      <c r="B16" s="35" t="s">
        <v>118</v>
      </c>
      <c r="C16" s="29" t="s">
        <v>611</v>
      </c>
      <c r="D16" s="30" t="s">
        <v>589</v>
      </c>
      <c r="E16" s="30" t="s">
        <v>612</v>
      </c>
      <c r="F16" s="36" t="s">
        <v>613</v>
      </c>
      <c r="G16" s="31" t="s">
        <v>206</v>
      </c>
      <c r="H16" s="36"/>
    </row>
    <row r="17" spans="1:9" ht="22.5" customHeight="1">
      <c r="A17" s="27" t="s">
        <v>610</v>
      </c>
      <c r="B17" s="37" t="s">
        <v>118</v>
      </c>
      <c r="C17" s="29" t="s">
        <v>588</v>
      </c>
      <c r="D17" s="30" t="s">
        <v>589</v>
      </c>
      <c r="E17" s="30" t="s">
        <v>614</v>
      </c>
      <c r="F17" s="30">
        <v>9647760055149</v>
      </c>
      <c r="G17" s="31" t="s">
        <v>206</v>
      </c>
      <c r="H17" s="30"/>
    </row>
    <row r="18" spans="1:9" ht="22.5" customHeight="1">
      <c r="A18" s="33" t="s">
        <v>615</v>
      </c>
      <c r="B18" s="34" t="s">
        <v>616</v>
      </c>
      <c r="C18" s="29" t="s">
        <v>588</v>
      </c>
      <c r="D18" s="30" t="s">
        <v>589</v>
      </c>
      <c r="E18" s="30"/>
      <c r="F18" s="30"/>
      <c r="G18" s="31" t="s">
        <v>206</v>
      </c>
      <c r="H18" s="30"/>
      <c r="I18" s="32"/>
    </row>
    <row r="19" spans="1:9" ht="22.5" customHeight="1">
      <c r="A19" s="33" t="s">
        <v>617</v>
      </c>
      <c r="B19" s="34" t="s">
        <v>587</v>
      </c>
      <c r="C19" s="29" t="s">
        <v>588</v>
      </c>
      <c r="D19" s="30" t="s">
        <v>589</v>
      </c>
      <c r="E19" s="30"/>
      <c r="F19" s="30">
        <v>9647715317444</v>
      </c>
      <c r="G19" s="31" t="s">
        <v>15</v>
      </c>
      <c r="H19" s="30"/>
      <c r="I19" s="32"/>
    </row>
    <row r="20" spans="1:9" ht="22.5" customHeight="1">
      <c r="A20" s="33" t="s">
        <v>618</v>
      </c>
      <c r="B20" s="34" t="s">
        <v>619</v>
      </c>
      <c r="C20" s="29" t="s">
        <v>588</v>
      </c>
      <c r="D20" s="30" t="s">
        <v>589</v>
      </c>
      <c r="E20" s="30"/>
      <c r="F20" s="30"/>
      <c r="G20" s="31" t="s">
        <v>206</v>
      </c>
      <c r="H20" s="30"/>
      <c r="I20" s="32"/>
    </row>
    <row r="21" spans="1:9" ht="22.5" customHeight="1">
      <c r="A21" s="33" t="s">
        <v>620</v>
      </c>
      <c r="B21" s="34" t="s">
        <v>621</v>
      </c>
      <c r="C21" s="29" t="s">
        <v>588</v>
      </c>
      <c r="D21" s="30" t="s">
        <v>589</v>
      </c>
      <c r="E21" s="30"/>
      <c r="F21" s="30"/>
      <c r="G21" s="31" t="s">
        <v>206</v>
      </c>
      <c r="H21" s="30"/>
      <c r="I21" s="32"/>
    </row>
    <row r="22" spans="1:9" ht="22.5" customHeight="1">
      <c r="A22" s="33"/>
      <c r="B22" s="34"/>
      <c r="C22" s="29"/>
      <c r="D22" s="30"/>
      <c r="E22" s="30"/>
      <c r="F22" s="30"/>
      <c r="G22" s="31" t="s">
        <v>599</v>
      </c>
      <c r="H22" s="30"/>
      <c r="I22" s="32"/>
    </row>
    <row r="23" spans="1:9" ht="22.5" customHeight="1">
      <c r="A23" s="33" t="s">
        <v>622</v>
      </c>
      <c r="B23" s="34" t="s">
        <v>57</v>
      </c>
      <c r="C23" s="29" t="s">
        <v>588</v>
      </c>
      <c r="D23" s="30" t="s">
        <v>589</v>
      </c>
      <c r="E23" s="30"/>
      <c r="F23" s="30"/>
      <c r="G23" s="31" t="s">
        <v>599</v>
      </c>
      <c r="H23" s="30"/>
      <c r="I23" s="32"/>
    </row>
    <row r="24" spans="1:9" ht="22.5" customHeight="1">
      <c r="A24" s="33" t="s">
        <v>623</v>
      </c>
      <c r="B24" s="34" t="s">
        <v>624</v>
      </c>
      <c r="C24" s="29" t="s">
        <v>588</v>
      </c>
      <c r="D24" s="30" t="s">
        <v>589</v>
      </c>
      <c r="E24" s="30"/>
      <c r="F24" s="30"/>
      <c r="G24" s="31" t="s">
        <v>599</v>
      </c>
      <c r="H24" s="30"/>
      <c r="I24" s="32"/>
    </row>
    <row r="25" spans="1:9" ht="22.5" customHeight="1">
      <c r="A25" s="33" t="s">
        <v>625</v>
      </c>
      <c r="B25" s="34" t="s">
        <v>626</v>
      </c>
      <c r="C25" s="29" t="s">
        <v>588</v>
      </c>
      <c r="D25" s="30"/>
      <c r="E25" s="30"/>
      <c r="F25" s="30"/>
      <c r="G25" s="31" t="s">
        <v>599</v>
      </c>
      <c r="H25" s="30"/>
      <c r="I25" s="32"/>
    </row>
    <row r="26" spans="1:9" ht="22.5" customHeight="1">
      <c r="A26" s="27" t="s">
        <v>627</v>
      </c>
      <c r="B26" s="28" t="s">
        <v>587</v>
      </c>
      <c r="C26" s="29" t="s">
        <v>588</v>
      </c>
      <c r="D26" s="30" t="s">
        <v>589</v>
      </c>
      <c r="E26" s="30"/>
      <c r="F26" s="30">
        <v>9647825457007</v>
      </c>
      <c r="G26" s="31" t="s">
        <v>18</v>
      </c>
      <c r="H26" s="30"/>
      <c r="I26" s="32"/>
    </row>
    <row r="27" spans="1:9" ht="22.5" customHeight="1">
      <c r="A27" s="27" t="s">
        <v>628</v>
      </c>
      <c r="B27" s="28" t="s">
        <v>587</v>
      </c>
      <c r="C27" s="29" t="s">
        <v>588</v>
      </c>
      <c r="D27" s="30" t="s">
        <v>589</v>
      </c>
      <c r="E27" s="30"/>
      <c r="F27" s="30">
        <v>9647711625371</v>
      </c>
      <c r="G27" s="31" t="s">
        <v>18</v>
      </c>
      <c r="H27" s="30"/>
      <c r="I27" s="32"/>
    </row>
    <row r="28" spans="1:9" ht="22.5" customHeight="1">
      <c r="A28" s="27" t="s">
        <v>629</v>
      </c>
      <c r="B28" s="28" t="s">
        <v>587</v>
      </c>
      <c r="C28" s="29" t="s">
        <v>588</v>
      </c>
      <c r="D28" s="30" t="s">
        <v>589</v>
      </c>
      <c r="E28" s="30"/>
      <c r="F28" s="30">
        <v>9647709701094</v>
      </c>
      <c r="G28" s="31" t="s">
        <v>18</v>
      </c>
      <c r="H28" s="30"/>
      <c r="I28" s="32"/>
    </row>
    <row r="29" spans="1:9" ht="22.5" customHeight="1">
      <c r="A29" s="33" t="s">
        <v>606</v>
      </c>
      <c r="B29" s="35" t="s">
        <v>51</v>
      </c>
      <c r="C29" s="29" t="s">
        <v>588</v>
      </c>
      <c r="D29" s="30" t="s">
        <v>589</v>
      </c>
      <c r="E29" s="30"/>
      <c r="F29" s="30"/>
      <c r="G29" s="31" t="s">
        <v>601</v>
      </c>
      <c r="H29" s="30"/>
      <c r="I29" s="32"/>
    </row>
    <row r="30" spans="1:9" ht="22.5" customHeight="1">
      <c r="A30" s="27" t="s">
        <v>606</v>
      </c>
      <c r="B30" s="38" t="s">
        <v>51</v>
      </c>
      <c r="C30" s="29" t="s">
        <v>611</v>
      </c>
      <c r="D30" s="30"/>
      <c r="E30" s="30"/>
      <c r="F30" s="30"/>
      <c r="G30" s="31" t="s">
        <v>601</v>
      </c>
      <c r="H30" s="30"/>
      <c r="I30" s="32"/>
    </row>
    <row r="31" spans="1:9" ht="22.5" customHeight="1">
      <c r="A31" s="39" t="s">
        <v>630</v>
      </c>
      <c r="B31" s="40" t="s">
        <v>587</v>
      </c>
      <c r="C31" s="41" t="s">
        <v>588</v>
      </c>
      <c r="D31" s="32" t="s">
        <v>589</v>
      </c>
      <c r="E31" s="32"/>
      <c r="F31" s="32">
        <v>9647739138717</v>
      </c>
      <c r="G31" s="42" t="s">
        <v>15</v>
      </c>
      <c r="H31" s="32"/>
      <c r="I31" s="32"/>
    </row>
    <row r="32" spans="1:9" ht="22.5" customHeight="1">
      <c r="A32" s="39" t="s">
        <v>631</v>
      </c>
      <c r="B32" s="40" t="s">
        <v>632</v>
      </c>
      <c r="C32" s="41" t="s">
        <v>588</v>
      </c>
      <c r="D32" s="32" t="s">
        <v>589</v>
      </c>
      <c r="E32" s="32"/>
      <c r="F32" s="32">
        <v>9647826483209</v>
      </c>
      <c r="G32" s="42" t="s">
        <v>15</v>
      </c>
      <c r="H32" s="32"/>
      <c r="I32" s="32"/>
    </row>
    <row r="33" spans="1:9" ht="22.5" customHeight="1">
      <c r="A33" s="39"/>
      <c r="B33" s="40"/>
      <c r="C33" s="41"/>
      <c r="D33" s="32"/>
      <c r="E33" s="32"/>
      <c r="F33" s="32"/>
      <c r="G33" s="42"/>
      <c r="H33" s="32"/>
      <c r="I33" s="32"/>
    </row>
    <row r="34" spans="1:9" ht="22.5" customHeight="1">
      <c r="A34" s="39"/>
      <c r="B34" s="40"/>
      <c r="C34" s="41"/>
      <c r="D34" s="32"/>
      <c r="E34" s="32"/>
      <c r="F34" s="32"/>
      <c r="G34" s="42"/>
      <c r="H34" s="32"/>
      <c r="I34" s="32"/>
    </row>
    <row r="35" spans="1:9" ht="22.5" customHeight="1">
      <c r="A35" s="39"/>
      <c r="B35" s="40"/>
      <c r="C35" s="41"/>
      <c r="D35" s="32"/>
      <c r="E35" s="32"/>
      <c r="F35" s="32"/>
      <c r="G35" s="42"/>
      <c r="H35" s="32"/>
      <c r="I35" s="32"/>
    </row>
    <row r="36" spans="1:9" ht="22.5" customHeight="1">
      <c r="A36" s="39"/>
      <c r="B36" s="40"/>
      <c r="C36" s="41"/>
      <c r="D36" s="32"/>
      <c r="E36" s="32"/>
      <c r="F36" s="32"/>
      <c r="G36" s="42"/>
      <c r="H36" s="32"/>
      <c r="I36" s="32"/>
    </row>
    <row r="37" spans="1:9" ht="22.5" customHeight="1">
      <c r="A37" s="39"/>
      <c r="B37" s="40"/>
      <c r="C37" s="41"/>
      <c r="D37" s="32"/>
      <c r="E37" s="32"/>
      <c r="F37" s="32"/>
      <c r="G37" s="42"/>
      <c r="H37" s="32"/>
      <c r="I37" s="32"/>
    </row>
    <row r="38" spans="1:9" ht="22.5" customHeight="1">
      <c r="A38" s="39"/>
      <c r="B38" s="40"/>
      <c r="C38" s="41"/>
      <c r="D38" s="32"/>
      <c r="E38" s="32"/>
      <c r="F38" s="32"/>
      <c r="G38" s="42"/>
      <c r="H38" s="32"/>
      <c r="I38" s="32"/>
    </row>
    <row r="39" spans="1:9" ht="22.5" customHeight="1">
      <c r="A39" s="39"/>
      <c r="B39" s="40"/>
      <c r="C39" s="41"/>
      <c r="D39" s="32"/>
      <c r="E39" s="32"/>
      <c r="F39" s="32"/>
      <c r="G39" s="42"/>
      <c r="H39" s="32"/>
      <c r="I39" s="32"/>
    </row>
    <row r="40" spans="1:9" ht="22.5" customHeight="1">
      <c r="A40" s="39"/>
      <c r="B40" s="40"/>
      <c r="C40" s="41"/>
      <c r="D40" s="32"/>
      <c r="E40" s="32"/>
      <c r="F40" s="32"/>
      <c r="G40" s="42"/>
      <c r="H40" s="32"/>
      <c r="I40" s="32"/>
    </row>
    <row r="41" spans="1:9" ht="22.5" customHeight="1">
      <c r="A41" s="39"/>
      <c r="B41" s="40"/>
      <c r="C41" s="41"/>
      <c r="D41" s="32"/>
      <c r="E41" s="32"/>
      <c r="F41" s="32"/>
      <c r="G41" s="42"/>
      <c r="H41" s="32"/>
      <c r="I41" s="32"/>
    </row>
    <row r="42" spans="1:9" ht="22.5" customHeight="1">
      <c r="A42" s="39"/>
      <c r="B42" s="40"/>
      <c r="C42" s="41"/>
      <c r="D42" s="32"/>
      <c r="E42" s="32"/>
      <c r="F42" s="32"/>
      <c r="G42" s="42"/>
      <c r="H42" s="32"/>
      <c r="I42" s="32"/>
    </row>
    <row r="43" spans="1:9" ht="22.5" customHeight="1">
      <c r="A43" s="39"/>
      <c r="B43" s="40"/>
      <c r="C43" s="41"/>
      <c r="D43" s="32"/>
      <c r="E43" s="32"/>
      <c r="F43" s="32"/>
      <c r="G43" s="42"/>
      <c r="H43" s="32"/>
      <c r="I43" s="32"/>
    </row>
    <row r="44" spans="1:9" ht="22.5" customHeight="1">
      <c r="A44" s="39"/>
      <c r="B44" s="40"/>
      <c r="C44" s="41"/>
      <c r="D44" s="32"/>
      <c r="E44" s="32"/>
      <c r="F44" s="32"/>
      <c r="G44" s="42"/>
      <c r="H44" s="32"/>
      <c r="I44" s="32"/>
    </row>
    <row r="45" spans="1:9" ht="22.5" customHeight="1">
      <c r="A45" s="39"/>
      <c r="B45" s="40"/>
      <c r="C45" s="41"/>
      <c r="D45" s="32"/>
      <c r="E45" s="32"/>
      <c r="F45" s="32"/>
      <c r="G45" s="42"/>
      <c r="H45" s="32"/>
      <c r="I45" s="32"/>
    </row>
    <row r="46" spans="1:9" ht="22.5" customHeight="1">
      <c r="A46" s="39"/>
      <c r="B46" s="40"/>
      <c r="C46" s="41"/>
      <c r="D46" s="32"/>
      <c r="E46" s="32"/>
      <c r="F46" s="32"/>
      <c r="G46" s="42"/>
      <c r="H46" s="32"/>
      <c r="I46" s="32"/>
    </row>
    <row r="47" spans="1:9" ht="22.5" customHeight="1">
      <c r="A47" s="39"/>
      <c r="B47" s="40"/>
      <c r="C47" s="41"/>
      <c r="D47" s="32"/>
      <c r="E47" s="32"/>
      <c r="F47" s="32"/>
      <c r="G47" s="42"/>
      <c r="H47" s="32"/>
      <c r="I47" s="32"/>
    </row>
    <row r="48" spans="1:9" ht="22.5" customHeight="1">
      <c r="A48" s="39"/>
      <c r="B48" s="40"/>
      <c r="C48" s="41"/>
      <c r="D48" s="32"/>
      <c r="E48" s="32"/>
      <c r="F48" s="32"/>
      <c r="G48" s="42"/>
      <c r="H48" s="32"/>
      <c r="I48" s="32"/>
    </row>
    <row r="49" spans="1:9" ht="22.5" customHeight="1">
      <c r="A49" s="39"/>
      <c r="B49" s="40"/>
      <c r="C49" s="41"/>
      <c r="D49" s="32"/>
      <c r="E49" s="32"/>
      <c r="F49" s="32"/>
      <c r="G49" s="42"/>
      <c r="H49" s="32"/>
      <c r="I49" s="32"/>
    </row>
    <row r="50" spans="1:9" ht="22.5" customHeight="1">
      <c r="A50" s="39"/>
      <c r="B50" s="40"/>
      <c r="C50" s="41"/>
      <c r="D50" s="32"/>
      <c r="E50" s="32"/>
      <c r="F50" s="32"/>
      <c r="G50" s="42"/>
      <c r="H50" s="32"/>
      <c r="I50" s="32"/>
    </row>
    <row r="51" spans="1:9" ht="22.5" customHeight="1">
      <c r="A51" s="39"/>
      <c r="B51" s="40"/>
      <c r="C51" s="41"/>
      <c r="D51" s="32"/>
      <c r="E51" s="32"/>
      <c r="F51" s="32"/>
      <c r="G51" s="42"/>
      <c r="H51" s="32"/>
      <c r="I51" s="32"/>
    </row>
    <row r="52" spans="1:9" ht="22.5" customHeight="1">
      <c r="A52" s="39"/>
      <c r="B52" s="40"/>
      <c r="C52" s="41"/>
      <c r="D52" s="32"/>
      <c r="E52" s="32"/>
      <c r="F52" s="32"/>
      <c r="G52" s="42"/>
      <c r="H52" s="32"/>
      <c r="I52" s="32"/>
    </row>
    <row r="53" spans="1:9" ht="22.5" customHeight="1">
      <c r="A53" s="39"/>
      <c r="B53" s="40"/>
      <c r="C53" s="41"/>
      <c r="D53" s="32"/>
      <c r="E53" s="32"/>
      <c r="F53" s="32"/>
      <c r="G53" s="42"/>
      <c r="H53" s="32"/>
      <c r="I53" s="32"/>
    </row>
    <row r="54" spans="1:9" ht="22.5" customHeight="1">
      <c r="A54" s="39"/>
      <c r="B54" s="40"/>
      <c r="C54" s="41"/>
      <c r="D54" s="32"/>
      <c r="E54" s="32"/>
      <c r="F54" s="32"/>
      <c r="G54" s="42"/>
      <c r="H54" s="32"/>
      <c r="I54" s="32"/>
    </row>
    <row r="55" spans="1:9" ht="22.5" customHeight="1">
      <c r="A55" s="39"/>
      <c r="B55" s="40"/>
      <c r="C55" s="41"/>
      <c r="D55" s="32"/>
      <c r="E55" s="32"/>
      <c r="F55" s="32"/>
      <c r="G55" s="42"/>
      <c r="H55" s="32"/>
      <c r="I55" s="32"/>
    </row>
    <row r="56" spans="1:9" ht="22.5" customHeight="1">
      <c r="A56" s="39"/>
      <c r="B56" s="40"/>
      <c r="C56" s="41"/>
      <c r="D56" s="32"/>
      <c r="E56" s="32"/>
      <c r="F56" s="32"/>
      <c r="G56" s="42"/>
      <c r="H56" s="32"/>
      <c r="I56" s="32"/>
    </row>
    <row r="57" spans="1:9" ht="22.5" customHeight="1">
      <c r="A57" s="39"/>
      <c r="B57" s="40"/>
      <c r="C57" s="41"/>
      <c r="D57" s="32"/>
      <c r="E57" s="32"/>
      <c r="F57" s="32"/>
      <c r="G57" s="42"/>
      <c r="H57" s="32"/>
      <c r="I57" s="32"/>
    </row>
    <row r="58" spans="1:9" ht="22.5" customHeight="1">
      <c r="A58" s="39"/>
      <c r="B58" s="40"/>
      <c r="C58" s="41"/>
      <c r="D58" s="32"/>
      <c r="E58" s="32"/>
      <c r="F58" s="32"/>
      <c r="G58" s="42"/>
      <c r="H58" s="32"/>
      <c r="I58" s="32"/>
    </row>
    <row r="59" spans="1:9" ht="22.5" customHeight="1">
      <c r="A59" s="39"/>
      <c r="B59" s="40"/>
      <c r="C59" s="41"/>
      <c r="D59" s="32"/>
      <c r="E59" s="32"/>
      <c r="F59" s="32"/>
      <c r="G59" s="42"/>
      <c r="H59" s="32"/>
      <c r="I59" s="32"/>
    </row>
    <row r="60" spans="1:9" ht="22.5" customHeight="1">
      <c r="A60" s="39"/>
      <c r="B60" s="40"/>
      <c r="C60" s="41"/>
      <c r="D60" s="32"/>
      <c r="E60" s="32"/>
      <c r="F60" s="32"/>
      <c r="G60" s="42"/>
      <c r="H60" s="32"/>
      <c r="I60" s="32"/>
    </row>
    <row r="61" spans="1:9" ht="22.5" customHeight="1">
      <c r="A61" s="39"/>
      <c r="B61" s="40"/>
      <c r="C61" s="41"/>
      <c r="D61" s="32"/>
      <c r="E61" s="32"/>
      <c r="F61" s="32"/>
      <c r="G61" s="42"/>
      <c r="H61" s="32"/>
      <c r="I61" s="32"/>
    </row>
    <row r="62" spans="1:9" ht="22.5" customHeight="1">
      <c r="A62" s="39"/>
      <c r="B62" s="40"/>
      <c r="C62" s="41"/>
      <c r="D62" s="32"/>
      <c r="E62" s="32"/>
      <c r="F62" s="32"/>
      <c r="G62" s="42"/>
      <c r="H62" s="32"/>
      <c r="I62" s="32"/>
    </row>
    <row r="63" spans="1:9" ht="22.5" customHeight="1">
      <c r="A63" s="39"/>
      <c r="B63" s="40"/>
      <c r="C63" s="41"/>
      <c r="D63" s="32"/>
      <c r="E63" s="32"/>
      <c r="F63" s="32"/>
      <c r="G63" s="42"/>
      <c r="H63" s="32"/>
      <c r="I63" s="32"/>
    </row>
    <row r="64" spans="1:9" ht="22.5" customHeight="1">
      <c r="A64" s="39"/>
      <c r="B64" s="40"/>
      <c r="C64" s="41"/>
      <c r="D64" s="32"/>
      <c r="E64" s="32"/>
      <c r="F64" s="32"/>
      <c r="G64" s="42"/>
      <c r="H64" s="32"/>
      <c r="I64" s="32"/>
    </row>
    <row r="65" spans="1:9" ht="22.5" customHeight="1">
      <c r="A65" s="39"/>
      <c r="B65" s="40"/>
      <c r="C65" s="41"/>
      <c r="D65" s="32"/>
      <c r="E65" s="32"/>
      <c r="F65" s="32"/>
      <c r="G65" s="42"/>
      <c r="H65" s="32"/>
      <c r="I65" s="32"/>
    </row>
    <row r="66" spans="1:9" ht="22.5" customHeight="1">
      <c r="A66" s="39"/>
      <c r="B66" s="40"/>
      <c r="C66" s="41"/>
      <c r="D66" s="32"/>
      <c r="E66" s="32"/>
      <c r="F66" s="32"/>
      <c r="G66" s="42"/>
      <c r="H66" s="32"/>
      <c r="I66" s="32"/>
    </row>
    <row r="67" spans="1:9" ht="22.5" customHeight="1">
      <c r="A67" s="39"/>
      <c r="B67" s="40"/>
      <c r="C67" s="41"/>
      <c r="D67" s="32"/>
      <c r="E67" s="32"/>
      <c r="F67" s="32"/>
      <c r="G67" s="42"/>
      <c r="H67" s="32"/>
      <c r="I67" s="32"/>
    </row>
    <row r="68" spans="1:9" ht="22.5" customHeight="1">
      <c r="A68" s="39"/>
      <c r="B68" s="40"/>
      <c r="C68" s="41"/>
      <c r="D68" s="32"/>
      <c r="E68" s="32"/>
      <c r="F68" s="32"/>
      <c r="G68" s="42"/>
      <c r="H68" s="32"/>
      <c r="I68" s="32"/>
    </row>
    <row r="69" spans="1:9" ht="22.5" customHeight="1">
      <c r="A69" s="39"/>
      <c r="B69" s="40"/>
      <c r="C69" s="41"/>
      <c r="D69" s="32"/>
      <c r="E69" s="32"/>
      <c r="F69" s="32"/>
      <c r="G69" s="42"/>
      <c r="H69" s="32"/>
      <c r="I69" s="32"/>
    </row>
    <row r="70" spans="1:9" ht="22.5" customHeight="1">
      <c r="A70" s="39"/>
      <c r="B70" s="40"/>
      <c r="C70" s="41"/>
      <c r="D70" s="32"/>
      <c r="E70" s="32"/>
      <c r="F70" s="32"/>
      <c r="G70" s="42"/>
      <c r="H70" s="32"/>
      <c r="I70" s="32"/>
    </row>
    <row r="71" spans="1:9" ht="22.5" customHeight="1">
      <c r="A71" s="39"/>
      <c r="B71" s="40"/>
      <c r="C71" s="41"/>
      <c r="D71" s="32"/>
      <c r="E71" s="32"/>
      <c r="F71" s="32"/>
      <c r="G71" s="42"/>
      <c r="H71" s="32"/>
      <c r="I71" s="32"/>
    </row>
    <row r="72" spans="1:9" ht="22.5" customHeight="1">
      <c r="A72" s="39"/>
      <c r="B72" s="40"/>
      <c r="C72" s="41"/>
      <c r="D72" s="32"/>
      <c r="E72" s="32"/>
      <c r="F72" s="32"/>
      <c r="G72" s="42"/>
      <c r="H72" s="32"/>
      <c r="I72" s="32"/>
    </row>
    <row r="73" spans="1:9" ht="22.5" customHeight="1">
      <c r="A73" s="39"/>
      <c r="B73" s="40"/>
      <c r="C73" s="41"/>
      <c r="D73" s="32"/>
      <c r="E73" s="32"/>
      <c r="F73" s="32"/>
      <c r="G73" s="42"/>
      <c r="H73" s="32"/>
      <c r="I73" s="32"/>
    </row>
    <row r="74" spans="1:9" ht="22.5" customHeight="1">
      <c r="A74" s="39"/>
      <c r="B74" s="40"/>
      <c r="C74" s="41"/>
      <c r="D74" s="32"/>
      <c r="E74" s="32"/>
      <c r="F74" s="32"/>
      <c r="G74" s="42"/>
      <c r="H74" s="32"/>
      <c r="I74" s="32"/>
    </row>
    <row r="75" spans="1:9" ht="22.5" customHeight="1">
      <c r="A75" s="39"/>
      <c r="B75" s="40"/>
      <c r="C75" s="41"/>
      <c r="D75" s="32"/>
      <c r="E75" s="32"/>
      <c r="F75" s="32"/>
      <c r="G75" s="42"/>
      <c r="H75" s="32"/>
      <c r="I75" s="32"/>
    </row>
    <row r="76" spans="1:9" ht="22.5" customHeight="1">
      <c r="A76" s="39"/>
      <c r="B76" s="40"/>
      <c r="C76" s="41"/>
      <c r="D76" s="32"/>
      <c r="E76" s="32"/>
      <c r="F76" s="32"/>
      <c r="G76" s="42"/>
      <c r="H76" s="32"/>
      <c r="I76" s="32"/>
    </row>
    <row r="77" spans="1:9" ht="22.5" customHeight="1">
      <c r="A77" s="39"/>
      <c r="B77" s="40"/>
      <c r="C77" s="41"/>
      <c r="D77" s="32"/>
      <c r="E77" s="32"/>
      <c r="F77" s="32"/>
      <c r="G77" s="42"/>
      <c r="H77" s="32"/>
      <c r="I77" s="32"/>
    </row>
    <row r="78" spans="1:9" ht="22.5" customHeight="1">
      <c r="A78" s="39"/>
      <c r="B78" s="40"/>
      <c r="C78" s="41"/>
      <c r="D78" s="32"/>
      <c r="E78" s="32"/>
      <c r="F78" s="32"/>
      <c r="G78" s="42"/>
      <c r="H78" s="32"/>
      <c r="I78" s="32"/>
    </row>
    <row r="79" spans="1:9" ht="22.5" customHeight="1">
      <c r="A79" s="39"/>
      <c r="B79" s="40"/>
      <c r="C79" s="41"/>
      <c r="D79" s="32"/>
      <c r="E79" s="32"/>
      <c r="F79" s="32"/>
      <c r="G79" s="42"/>
      <c r="H79" s="32"/>
      <c r="I79" s="32"/>
    </row>
    <row r="80" spans="1:9" ht="22.5" customHeight="1">
      <c r="A80" s="39"/>
      <c r="B80" s="40"/>
      <c r="C80" s="41"/>
      <c r="D80" s="32"/>
      <c r="E80" s="32"/>
      <c r="F80" s="32"/>
      <c r="G80" s="42"/>
      <c r="H80" s="32"/>
      <c r="I80" s="32"/>
    </row>
    <row r="81" spans="1:9" ht="22.5" customHeight="1">
      <c r="A81" s="39"/>
      <c r="B81" s="40"/>
      <c r="C81" s="41"/>
      <c r="D81" s="32"/>
      <c r="E81" s="32"/>
      <c r="F81" s="32"/>
      <c r="G81" s="42"/>
      <c r="H81" s="32"/>
      <c r="I81" s="32"/>
    </row>
    <row r="82" spans="1:9" ht="22.5" customHeight="1">
      <c r="A82" s="39"/>
      <c r="B82" s="40"/>
      <c r="C82" s="41"/>
      <c r="D82" s="32"/>
      <c r="E82" s="32"/>
      <c r="F82" s="32"/>
      <c r="G82" s="42"/>
      <c r="H82" s="32"/>
      <c r="I82" s="32"/>
    </row>
    <row r="83" spans="1:9" ht="22.5" customHeight="1">
      <c r="A83" s="39"/>
      <c r="B83" s="40"/>
      <c r="C83" s="41"/>
      <c r="D83" s="32"/>
      <c r="E83" s="32"/>
      <c r="F83" s="32"/>
      <c r="G83" s="42"/>
      <c r="H83" s="32"/>
      <c r="I83" s="32"/>
    </row>
    <row r="84" spans="1:9" ht="22.5" customHeight="1">
      <c r="A84" s="39"/>
      <c r="B84" s="40"/>
      <c r="C84" s="41"/>
      <c r="D84" s="32"/>
      <c r="E84" s="32"/>
      <c r="F84" s="32"/>
      <c r="G84" s="42"/>
      <c r="H84" s="32"/>
      <c r="I84" s="32"/>
    </row>
    <row r="85" spans="1:9" ht="22.5" customHeight="1">
      <c r="A85" s="39"/>
      <c r="B85" s="40"/>
      <c r="C85" s="41"/>
      <c r="D85" s="32"/>
      <c r="E85" s="32"/>
      <c r="F85" s="32"/>
      <c r="G85" s="42"/>
      <c r="H85" s="32"/>
      <c r="I85" s="32"/>
    </row>
    <row r="86" spans="1:9" ht="22.5" customHeight="1">
      <c r="A86" s="39"/>
      <c r="B86" s="40"/>
      <c r="C86" s="41"/>
      <c r="D86" s="32"/>
      <c r="E86" s="32"/>
      <c r="F86" s="32"/>
      <c r="G86" s="42"/>
      <c r="H86" s="32"/>
      <c r="I86" s="32"/>
    </row>
    <row r="87" spans="1:9" ht="22.5" customHeight="1">
      <c r="A87" s="39"/>
      <c r="B87" s="40"/>
      <c r="C87" s="41"/>
      <c r="D87" s="32"/>
      <c r="E87" s="32"/>
      <c r="F87" s="32"/>
      <c r="G87" s="42"/>
      <c r="H87" s="32"/>
      <c r="I87" s="32"/>
    </row>
    <row r="88" spans="1:9" ht="22.5" customHeight="1">
      <c r="A88" s="39"/>
      <c r="B88" s="40"/>
      <c r="C88" s="41"/>
      <c r="D88" s="32"/>
      <c r="E88" s="32"/>
      <c r="F88" s="32"/>
      <c r="G88" s="42"/>
      <c r="H88" s="32"/>
      <c r="I88" s="32"/>
    </row>
    <row r="89" spans="1:9" ht="22.5" customHeight="1">
      <c r="A89" s="39"/>
      <c r="B89" s="40"/>
      <c r="C89" s="41"/>
      <c r="D89" s="32"/>
      <c r="E89" s="32"/>
      <c r="F89" s="32"/>
      <c r="G89" s="42"/>
      <c r="H89" s="32"/>
      <c r="I89" s="32"/>
    </row>
    <row r="90" spans="1:9" ht="22.5" customHeight="1">
      <c r="A90" s="39"/>
      <c r="B90" s="40"/>
      <c r="C90" s="41"/>
      <c r="D90" s="32"/>
      <c r="E90" s="32"/>
      <c r="F90" s="32"/>
      <c r="G90" s="42"/>
      <c r="H90" s="32"/>
      <c r="I90" s="32"/>
    </row>
    <row r="91" spans="1:9" ht="22.5" customHeight="1">
      <c r="A91" s="39"/>
      <c r="B91" s="40"/>
      <c r="C91" s="41"/>
      <c r="D91" s="32"/>
      <c r="E91" s="32"/>
      <c r="F91" s="32"/>
      <c r="G91" s="42"/>
      <c r="H91" s="32"/>
      <c r="I91" s="32"/>
    </row>
    <row r="92" spans="1:9" ht="22.5" customHeight="1">
      <c r="A92" s="39"/>
      <c r="B92" s="40"/>
      <c r="C92" s="41"/>
      <c r="D92" s="32"/>
      <c r="E92" s="32"/>
      <c r="F92" s="32"/>
      <c r="G92" s="42"/>
      <c r="H92" s="32"/>
      <c r="I92" s="32"/>
    </row>
    <row r="93" spans="1:9" ht="22.5" customHeight="1">
      <c r="A93" s="39"/>
      <c r="B93" s="40"/>
      <c r="C93" s="41"/>
      <c r="D93" s="32"/>
      <c r="E93" s="32"/>
      <c r="F93" s="32"/>
      <c r="G93" s="42"/>
      <c r="H93" s="32"/>
      <c r="I93" s="32"/>
    </row>
    <row r="94" spans="1:9" ht="22.5" customHeight="1">
      <c r="A94" s="39"/>
      <c r="B94" s="40"/>
      <c r="C94" s="41"/>
      <c r="D94" s="32"/>
      <c r="E94" s="32"/>
      <c r="F94" s="32"/>
      <c r="G94" s="42"/>
      <c r="H94" s="32"/>
      <c r="I94" s="32"/>
    </row>
    <row r="95" spans="1:9" ht="22.5" customHeight="1">
      <c r="A95" s="39"/>
      <c r="B95" s="40"/>
      <c r="C95" s="41"/>
      <c r="D95" s="32"/>
      <c r="E95" s="32"/>
      <c r="F95" s="32"/>
      <c r="G95" s="42"/>
      <c r="H95" s="32"/>
      <c r="I95" s="32"/>
    </row>
    <row r="96" spans="1:9" ht="22.5" customHeight="1">
      <c r="A96" s="39"/>
      <c r="B96" s="40"/>
      <c r="C96" s="41"/>
      <c r="D96" s="32"/>
      <c r="E96" s="32"/>
      <c r="F96" s="32"/>
      <c r="G96" s="42"/>
      <c r="H96" s="32"/>
      <c r="I96" s="32"/>
    </row>
    <row r="97" spans="1:9" ht="22.5" customHeight="1">
      <c r="A97" s="39"/>
      <c r="B97" s="40"/>
      <c r="C97" s="41"/>
      <c r="D97" s="32"/>
      <c r="E97" s="32"/>
      <c r="F97" s="32"/>
      <c r="G97" s="42"/>
      <c r="H97" s="32"/>
      <c r="I97" s="32"/>
    </row>
    <row r="98" spans="1:9" ht="22.5" customHeight="1">
      <c r="A98" s="39"/>
      <c r="B98" s="40"/>
      <c r="C98" s="41"/>
      <c r="D98" s="32"/>
      <c r="E98" s="32"/>
      <c r="F98" s="32"/>
      <c r="G98" s="42"/>
      <c r="H98" s="32"/>
      <c r="I98" s="32"/>
    </row>
    <row r="99" spans="1:9" ht="22.5" customHeight="1">
      <c r="A99" s="39"/>
      <c r="B99" s="40"/>
      <c r="C99" s="41"/>
      <c r="D99" s="32"/>
      <c r="E99" s="32"/>
      <c r="F99" s="32"/>
      <c r="G99" s="42"/>
      <c r="H99" s="32"/>
      <c r="I99" s="32"/>
    </row>
    <row r="100" spans="1:9" ht="22.5" customHeight="1">
      <c r="A100" s="39"/>
      <c r="B100" s="40"/>
      <c r="C100" s="41"/>
      <c r="D100" s="32"/>
      <c r="E100" s="32"/>
      <c r="F100" s="32"/>
      <c r="G100" s="42"/>
      <c r="H100" s="32"/>
      <c r="I100" s="32"/>
    </row>
    <row r="101" spans="1:9" ht="22.5" customHeight="1">
      <c r="A101" s="39"/>
      <c r="B101" s="40"/>
      <c r="C101" s="41"/>
      <c r="D101" s="32"/>
      <c r="E101" s="32"/>
      <c r="F101" s="32"/>
      <c r="G101" s="42"/>
      <c r="H101" s="32"/>
      <c r="I101" s="32"/>
    </row>
    <row r="102" spans="1:9" ht="22.5" customHeight="1">
      <c r="A102" s="39"/>
      <c r="B102" s="40"/>
      <c r="C102" s="41"/>
      <c r="D102" s="32"/>
      <c r="E102" s="32"/>
      <c r="F102" s="32"/>
      <c r="G102" s="42"/>
      <c r="H102" s="32"/>
      <c r="I102" s="32"/>
    </row>
    <row r="103" spans="1:9" ht="22.5" customHeight="1">
      <c r="A103" s="39"/>
      <c r="B103" s="40"/>
      <c r="C103" s="41"/>
      <c r="D103" s="32"/>
      <c r="E103" s="32"/>
      <c r="F103" s="32"/>
      <c r="G103" s="42"/>
      <c r="H103" s="32"/>
      <c r="I103" s="32"/>
    </row>
    <row r="104" spans="1:9" ht="22.5" customHeight="1">
      <c r="A104" s="39"/>
      <c r="B104" s="40"/>
      <c r="C104" s="41"/>
      <c r="D104" s="32"/>
      <c r="E104" s="32"/>
      <c r="F104" s="32"/>
      <c r="G104" s="42"/>
      <c r="H104" s="32"/>
      <c r="I104" s="32"/>
    </row>
    <row r="105" spans="1:9" ht="22.5" customHeight="1">
      <c r="A105" s="39"/>
      <c r="B105" s="40"/>
      <c r="C105" s="41"/>
      <c r="D105" s="32"/>
      <c r="E105" s="32"/>
      <c r="F105" s="32"/>
      <c r="G105" s="42"/>
      <c r="H105" s="32"/>
      <c r="I105" s="32"/>
    </row>
    <row r="106" spans="1:9" ht="22.5" customHeight="1">
      <c r="A106" s="39"/>
      <c r="B106" s="40"/>
      <c r="C106" s="41"/>
      <c r="D106" s="32"/>
      <c r="E106" s="32"/>
      <c r="F106" s="32"/>
      <c r="G106" s="42"/>
      <c r="H106" s="32"/>
      <c r="I106" s="32"/>
    </row>
    <row r="107" spans="1:9" ht="22.5" customHeight="1">
      <c r="A107" s="39"/>
      <c r="B107" s="40"/>
      <c r="C107" s="41"/>
      <c r="D107" s="32"/>
      <c r="E107" s="32"/>
      <c r="F107" s="32"/>
      <c r="G107" s="42"/>
      <c r="H107" s="32"/>
      <c r="I107" s="32"/>
    </row>
    <row r="108" spans="1:9" ht="22.5" customHeight="1">
      <c r="A108" s="39"/>
      <c r="B108" s="40"/>
      <c r="C108" s="41"/>
      <c r="D108" s="32"/>
      <c r="E108" s="32"/>
      <c r="F108" s="32"/>
      <c r="G108" s="42"/>
      <c r="H108" s="32"/>
      <c r="I108" s="32"/>
    </row>
    <row r="109" spans="1:9" ht="22.5" customHeight="1">
      <c r="A109" s="39"/>
      <c r="B109" s="40"/>
      <c r="C109" s="41"/>
      <c r="D109" s="32"/>
      <c r="E109" s="32"/>
      <c r="F109" s="32"/>
      <c r="G109" s="42"/>
      <c r="H109" s="32"/>
      <c r="I109" s="32"/>
    </row>
    <row r="110" spans="1:9" ht="22.5" customHeight="1">
      <c r="A110" s="39"/>
      <c r="B110" s="40"/>
      <c r="C110" s="41"/>
      <c r="D110" s="32"/>
      <c r="E110" s="32"/>
      <c r="F110" s="32"/>
      <c r="G110" s="42"/>
      <c r="H110" s="32"/>
      <c r="I110" s="32"/>
    </row>
    <row r="111" spans="1:9" ht="22.5" customHeight="1">
      <c r="A111" s="39"/>
      <c r="B111" s="40"/>
      <c r="C111" s="41"/>
      <c r="D111" s="32"/>
      <c r="E111" s="32"/>
      <c r="F111" s="32"/>
      <c r="G111" s="42"/>
      <c r="H111" s="32"/>
      <c r="I111" s="32"/>
    </row>
    <row r="112" spans="1:9" ht="22.5" customHeight="1">
      <c r="A112" s="39"/>
      <c r="B112" s="40"/>
      <c r="C112" s="41"/>
      <c r="D112" s="32"/>
      <c r="E112" s="32"/>
      <c r="F112" s="32"/>
      <c r="G112" s="42"/>
      <c r="H112" s="32"/>
      <c r="I112" s="32"/>
    </row>
    <row r="113" spans="1:9" ht="22.5" customHeight="1">
      <c r="A113" s="39"/>
      <c r="B113" s="40"/>
      <c r="C113" s="41"/>
      <c r="D113" s="32"/>
      <c r="E113" s="32"/>
      <c r="F113" s="32"/>
      <c r="G113" s="42"/>
      <c r="H113" s="32"/>
      <c r="I113" s="32"/>
    </row>
    <row r="114" spans="1:9" ht="22.5" customHeight="1">
      <c r="A114" s="39"/>
      <c r="B114" s="40"/>
      <c r="C114" s="41"/>
      <c r="D114" s="32"/>
      <c r="E114" s="32"/>
      <c r="F114" s="32"/>
      <c r="G114" s="42"/>
      <c r="H114" s="32"/>
      <c r="I114" s="32"/>
    </row>
    <row r="115" spans="1:9" ht="22.5" customHeight="1">
      <c r="A115" s="39"/>
      <c r="B115" s="40"/>
      <c r="C115" s="41"/>
      <c r="D115" s="32"/>
      <c r="E115" s="32"/>
      <c r="F115" s="32"/>
      <c r="G115" s="42"/>
      <c r="H115" s="32"/>
      <c r="I115" s="32"/>
    </row>
    <row r="116" spans="1:9" ht="22.5" customHeight="1">
      <c r="A116" s="39"/>
      <c r="B116" s="40"/>
      <c r="C116" s="41"/>
      <c r="D116" s="32"/>
      <c r="E116" s="32"/>
      <c r="F116" s="32"/>
      <c r="G116" s="42"/>
      <c r="H116" s="32"/>
      <c r="I116" s="32"/>
    </row>
    <row r="117" spans="1:9" ht="22.5" customHeight="1">
      <c r="A117" s="39"/>
      <c r="B117" s="40"/>
      <c r="C117" s="41"/>
      <c r="D117" s="32"/>
      <c r="E117" s="32"/>
      <c r="F117" s="32"/>
      <c r="G117" s="42"/>
      <c r="H117" s="32"/>
      <c r="I117" s="32"/>
    </row>
    <row r="118" spans="1:9" ht="22.5" customHeight="1">
      <c r="A118" s="39"/>
      <c r="B118" s="40"/>
      <c r="C118" s="41"/>
      <c r="D118" s="32"/>
      <c r="E118" s="32"/>
      <c r="F118" s="32"/>
      <c r="G118" s="42"/>
      <c r="H118" s="32"/>
      <c r="I118" s="32"/>
    </row>
    <row r="119" spans="1:9" ht="22.5" customHeight="1">
      <c r="A119" s="39"/>
      <c r="B119" s="40"/>
      <c r="C119" s="41"/>
      <c r="D119" s="32"/>
      <c r="E119" s="32"/>
      <c r="F119" s="32"/>
      <c r="G119" s="42"/>
      <c r="H119" s="32"/>
      <c r="I119" s="32"/>
    </row>
    <row r="120" spans="1:9" ht="22.5" customHeight="1">
      <c r="A120" s="39"/>
      <c r="B120" s="40"/>
      <c r="C120" s="41"/>
      <c r="D120" s="32"/>
      <c r="E120" s="32"/>
      <c r="F120" s="32"/>
      <c r="G120" s="42"/>
      <c r="H120" s="32"/>
      <c r="I120" s="32"/>
    </row>
    <row r="121" spans="1:9" ht="22.5" customHeight="1">
      <c r="A121" s="39"/>
      <c r="B121" s="40"/>
      <c r="C121" s="41"/>
      <c r="D121" s="32"/>
      <c r="E121" s="32"/>
      <c r="F121" s="32"/>
      <c r="G121" s="42"/>
      <c r="H121" s="32"/>
      <c r="I121" s="32"/>
    </row>
    <row r="122" spans="1:9" ht="22.5" customHeight="1">
      <c r="A122" s="39"/>
      <c r="B122" s="40"/>
      <c r="C122" s="41"/>
      <c r="D122" s="32"/>
      <c r="E122" s="32"/>
      <c r="F122" s="32"/>
      <c r="G122" s="42"/>
      <c r="H122" s="32"/>
      <c r="I122" s="32"/>
    </row>
    <row r="123" spans="1:9" ht="22.5" customHeight="1">
      <c r="A123" s="39"/>
      <c r="B123" s="40"/>
      <c r="C123" s="41"/>
      <c r="D123" s="32"/>
      <c r="E123" s="32"/>
      <c r="F123" s="32"/>
      <c r="G123" s="42"/>
      <c r="H123" s="32"/>
      <c r="I123" s="32"/>
    </row>
    <row r="124" spans="1:9" ht="22.5" customHeight="1">
      <c r="A124" s="39"/>
      <c r="B124" s="40"/>
      <c r="C124" s="41"/>
      <c r="D124" s="32"/>
      <c r="E124" s="32"/>
      <c r="F124" s="32"/>
      <c r="G124" s="42"/>
      <c r="H124" s="32"/>
      <c r="I124" s="32"/>
    </row>
    <row r="125" spans="1:9" ht="22.5" customHeight="1">
      <c r="A125" s="39"/>
      <c r="B125" s="40"/>
      <c r="C125" s="41"/>
      <c r="D125" s="32"/>
      <c r="E125" s="32"/>
      <c r="F125" s="32"/>
      <c r="G125" s="42"/>
      <c r="H125" s="32"/>
      <c r="I125" s="32"/>
    </row>
    <row r="126" spans="1:9" ht="22.5" customHeight="1">
      <c r="A126" s="39"/>
      <c r="B126" s="40"/>
      <c r="C126" s="41"/>
      <c r="D126" s="32"/>
      <c r="E126" s="32"/>
      <c r="F126" s="32"/>
      <c r="G126" s="42"/>
      <c r="H126" s="32"/>
      <c r="I126" s="32"/>
    </row>
    <row r="127" spans="1:9" ht="22.5" customHeight="1">
      <c r="A127" s="39"/>
      <c r="B127" s="40"/>
      <c r="C127" s="41"/>
      <c r="D127" s="32"/>
      <c r="E127" s="32"/>
      <c r="F127" s="32"/>
      <c r="G127" s="42"/>
      <c r="H127" s="32"/>
      <c r="I127" s="32"/>
    </row>
    <row r="128" spans="1:9" ht="22.5" customHeight="1">
      <c r="A128" s="39"/>
      <c r="B128" s="40"/>
      <c r="C128" s="41"/>
      <c r="D128" s="32"/>
      <c r="E128" s="32"/>
      <c r="F128" s="32"/>
      <c r="G128" s="42"/>
      <c r="H128" s="32"/>
      <c r="I128" s="32"/>
    </row>
    <row r="129" spans="1:9" ht="22.5" customHeight="1">
      <c r="A129" s="39"/>
      <c r="B129" s="40"/>
      <c r="C129" s="41"/>
      <c r="D129" s="32"/>
      <c r="E129" s="32"/>
      <c r="F129" s="32"/>
      <c r="G129" s="42"/>
      <c r="H129" s="32"/>
      <c r="I129" s="32"/>
    </row>
    <row r="130" spans="1:9" ht="22.5" customHeight="1">
      <c r="A130" s="39"/>
      <c r="B130" s="40"/>
      <c r="C130" s="41"/>
      <c r="D130" s="32"/>
      <c r="E130" s="32"/>
      <c r="F130" s="32"/>
      <c r="G130" s="42"/>
      <c r="H130" s="32"/>
      <c r="I130" s="32"/>
    </row>
    <row r="131" spans="1:9" ht="22.5" customHeight="1">
      <c r="A131" s="39"/>
      <c r="B131" s="40"/>
      <c r="C131" s="41"/>
      <c r="D131" s="32"/>
      <c r="E131" s="32"/>
      <c r="F131" s="32"/>
      <c r="G131" s="42"/>
      <c r="H131" s="32"/>
      <c r="I131" s="32"/>
    </row>
    <row r="132" spans="1:9" ht="22.5" customHeight="1">
      <c r="A132" s="39"/>
      <c r="B132" s="40"/>
      <c r="C132" s="41"/>
      <c r="D132" s="32"/>
      <c r="E132" s="32"/>
      <c r="F132" s="32"/>
      <c r="G132" s="42"/>
      <c r="H132" s="32"/>
      <c r="I132" s="32"/>
    </row>
    <row r="133" spans="1:9" ht="22.5" customHeight="1">
      <c r="A133" s="39"/>
      <c r="B133" s="40"/>
      <c r="C133" s="41"/>
      <c r="D133" s="32"/>
      <c r="E133" s="32"/>
      <c r="F133" s="32"/>
      <c r="G133" s="42"/>
      <c r="H133" s="32"/>
      <c r="I133" s="32"/>
    </row>
    <row r="134" spans="1:9" ht="22.5" customHeight="1">
      <c r="A134" s="39"/>
      <c r="B134" s="40"/>
      <c r="C134" s="41"/>
      <c r="D134" s="32"/>
      <c r="E134" s="32"/>
      <c r="F134" s="32"/>
      <c r="G134" s="42"/>
      <c r="H134" s="32"/>
      <c r="I134" s="32"/>
    </row>
    <row r="135" spans="1:9" ht="22.5" customHeight="1">
      <c r="A135" s="39"/>
      <c r="B135" s="40"/>
      <c r="C135" s="41"/>
      <c r="D135" s="32"/>
      <c r="E135" s="32"/>
      <c r="F135" s="32"/>
      <c r="G135" s="42"/>
      <c r="H135" s="32"/>
      <c r="I135" s="32"/>
    </row>
    <row r="136" spans="1:9" ht="22.5" customHeight="1">
      <c r="A136" s="39"/>
      <c r="B136" s="40"/>
      <c r="C136" s="41"/>
      <c r="D136" s="32"/>
      <c r="E136" s="32"/>
      <c r="F136" s="32"/>
      <c r="G136" s="42"/>
      <c r="H136" s="32"/>
      <c r="I136" s="32"/>
    </row>
    <row r="137" spans="1:9" ht="22.5" customHeight="1">
      <c r="A137" s="39"/>
      <c r="B137" s="40"/>
      <c r="C137" s="41"/>
      <c r="D137" s="32"/>
      <c r="E137" s="32"/>
      <c r="F137" s="32"/>
      <c r="G137" s="42"/>
      <c r="H137" s="32"/>
      <c r="I137" s="32"/>
    </row>
    <row r="138" spans="1:9" ht="22.5" customHeight="1">
      <c r="A138" s="39"/>
      <c r="B138" s="40"/>
      <c r="C138" s="41"/>
      <c r="D138" s="32"/>
      <c r="E138" s="32"/>
      <c r="F138" s="32"/>
      <c r="G138" s="42"/>
      <c r="H138" s="32"/>
      <c r="I138" s="32"/>
    </row>
    <row r="139" spans="1:9" ht="22.5" customHeight="1">
      <c r="A139" s="39"/>
      <c r="B139" s="40"/>
      <c r="C139" s="41"/>
      <c r="D139" s="32"/>
      <c r="E139" s="32"/>
      <c r="F139" s="32"/>
      <c r="G139" s="42"/>
      <c r="H139" s="32"/>
      <c r="I139" s="32"/>
    </row>
    <row r="140" spans="1:9" ht="22.5" customHeight="1">
      <c r="A140" s="39"/>
      <c r="B140" s="40"/>
      <c r="C140" s="41"/>
      <c r="D140" s="32"/>
      <c r="E140" s="32"/>
      <c r="F140" s="32"/>
      <c r="G140" s="42"/>
      <c r="H140" s="32"/>
      <c r="I140" s="32"/>
    </row>
    <row r="141" spans="1:9" ht="22.5" customHeight="1">
      <c r="A141" s="39"/>
      <c r="B141" s="40"/>
      <c r="C141" s="41"/>
      <c r="D141" s="32"/>
      <c r="E141" s="32"/>
      <c r="F141" s="32"/>
      <c r="G141" s="42"/>
      <c r="H141" s="32"/>
      <c r="I141" s="32"/>
    </row>
    <row r="142" spans="1:9" ht="22.5" customHeight="1">
      <c r="A142" s="39"/>
      <c r="B142" s="40"/>
      <c r="C142" s="41"/>
      <c r="D142" s="32"/>
      <c r="E142" s="32"/>
      <c r="F142" s="32"/>
      <c r="G142" s="42"/>
      <c r="H142" s="32"/>
      <c r="I142" s="32"/>
    </row>
    <row r="143" spans="1:9" ht="22.5" customHeight="1">
      <c r="A143" s="39"/>
      <c r="B143" s="40"/>
      <c r="C143" s="41"/>
      <c r="D143" s="32"/>
      <c r="E143" s="32"/>
      <c r="F143" s="32"/>
      <c r="G143" s="42"/>
      <c r="H143" s="32"/>
      <c r="I143" s="32"/>
    </row>
    <row r="144" spans="1:9" ht="22.5" customHeight="1">
      <c r="A144" s="39"/>
      <c r="B144" s="40"/>
      <c r="C144" s="41"/>
      <c r="D144" s="32"/>
      <c r="E144" s="32"/>
      <c r="F144" s="32"/>
      <c r="G144" s="42"/>
      <c r="H144" s="32"/>
      <c r="I144" s="32"/>
    </row>
    <row r="145" spans="1:9" ht="22.5" customHeight="1">
      <c r="A145" s="39"/>
      <c r="B145" s="40"/>
      <c r="C145" s="41"/>
      <c r="D145" s="32"/>
      <c r="E145" s="32"/>
      <c r="F145" s="32"/>
      <c r="G145" s="42"/>
      <c r="H145" s="32"/>
      <c r="I145" s="32"/>
    </row>
    <row r="146" spans="1:9" ht="22.5" customHeight="1">
      <c r="A146" s="39"/>
      <c r="B146" s="40"/>
      <c r="C146" s="41"/>
      <c r="D146" s="32"/>
      <c r="E146" s="32"/>
      <c r="F146" s="32"/>
      <c r="G146" s="42"/>
      <c r="H146" s="32"/>
      <c r="I146" s="32"/>
    </row>
    <row r="147" spans="1:9" ht="22.5" customHeight="1">
      <c r="A147" s="39"/>
      <c r="B147" s="40"/>
      <c r="C147" s="41"/>
      <c r="D147" s="32"/>
      <c r="E147" s="32"/>
      <c r="F147" s="32"/>
      <c r="G147" s="42"/>
      <c r="H147" s="32"/>
      <c r="I147" s="32"/>
    </row>
    <row r="148" spans="1:9" ht="22.5" customHeight="1">
      <c r="A148" s="39"/>
      <c r="B148" s="40"/>
      <c r="C148" s="41"/>
      <c r="D148" s="32"/>
      <c r="E148" s="32"/>
      <c r="F148" s="32"/>
      <c r="G148" s="42"/>
      <c r="H148" s="32"/>
      <c r="I148" s="32"/>
    </row>
    <row r="149" spans="1:9" ht="22.5" customHeight="1">
      <c r="A149" s="39"/>
      <c r="B149" s="40"/>
      <c r="C149" s="41"/>
      <c r="D149" s="32"/>
      <c r="E149" s="32"/>
      <c r="F149" s="32"/>
      <c r="G149" s="42"/>
      <c r="H149" s="32"/>
      <c r="I149" s="32"/>
    </row>
    <row r="150" spans="1:9" ht="22.5" customHeight="1">
      <c r="A150" s="39"/>
      <c r="B150" s="40"/>
      <c r="C150" s="41"/>
      <c r="D150" s="32"/>
      <c r="E150" s="32"/>
      <c r="F150" s="32"/>
      <c r="G150" s="42"/>
      <c r="H150" s="32"/>
      <c r="I150" s="32"/>
    </row>
    <row r="151" spans="1:9" ht="22.5" customHeight="1">
      <c r="A151" s="39"/>
      <c r="B151" s="40"/>
      <c r="C151" s="41"/>
      <c r="D151" s="32"/>
      <c r="E151" s="32"/>
      <c r="F151" s="32"/>
      <c r="G151" s="42"/>
      <c r="H151" s="32"/>
      <c r="I151" s="32"/>
    </row>
    <row r="152" spans="1:9" ht="22.5" customHeight="1">
      <c r="A152" s="39"/>
      <c r="B152" s="40"/>
      <c r="C152" s="41"/>
      <c r="D152" s="32"/>
      <c r="E152" s="32"/>
      <c r="F152" s="32"/>
      <c r="G152" s="42"/>
      <c r="H152" s="32"/>
      <c r="I152" s="32"/>
    </row>
    <row r="153" spans="1:9" ht="22.5" customHeight="1">
      <c r="A153" s="39"/>
      <c r="B153" s="40"/>
      <c r="C153" s="41"/>
      <c r="D153" s="32"/>
      <c r="E153" s="32"/>
      <c r="F153" s="32"/>
      <c r="G153" s="42"/>
      <c r="H153" s="32"/>
      <c r="I153" s="32"/>
    </row>
    <row r="154" spans="1:9" ht="22.5" customHeight="1">
      <c r="A154" s="39"/>
      <c r="B154" s="40"/>
      <c r="C154" s="41"/>
      <c r="D154" s="32"/>
      <c r="E154" s="32"/>
      <c r="F154" s="32"/>
      <c r="G154" s="42"/>
      <c r="H154" s="32"/>
      <c r="I154" s="32"/>
    </row>
    <row r="155" spans="1:9" ht="22.5" customHeight="1">
      <c r="A155" s="39"/>
      <c r="B155" s="40"/>
      <c r="C155" s="41"/>
      <c r="D155" s="32"/>
      <c r="E155" s="32"/>
      <c r="F155" s="32"/>
      <c r="G155" s="42"/>
      <c r="H155" s="32"/>
      <c r="I155" s="32"/>
    </row>
    <row r="156" spans="1:9" ht="22.5" customHeight="1">
      <c r="A156" s="39"/>
      <c r="B156" s="40"/>
      <c r="C156" s="41"/>
      <c r="D156" s="32"/>
      <c r="E156" s="32"/>
      <c r="F156" s="32"/>
      <c r="G156" s="42"/>
      <c r="H156" s="32"/>
      <c r="I156" s="32"/>
    </row>
    <row r="157" spans="1:9" ht="22.5" customHeight="1">
      <c r="A157" s="39"/>
      <c r="B157" s="40"/>
      <c r="C157" s="41"/>
      <c r="D157" s="32"/>
      <c r="E157" s="32"/>
      <c r="F157" s="32"/>
      <c r="G157" s="42"/>
      <c r="H157" s="32"/>
      <c r="I157" s="32"/>
    </row>
    <row r="158" spans="1:9" ht="22.5" customHeight="1">
      <c r="A158" s="39"/>
      <c r="B158" s="40"/>
      <c r="C158" s="41"/>
      <c r="D158" s="32"/>
      <c r="E158" s="32"/>
      <c r="F158" s="32"/>
      <c r="G158" s="42"/>
      <c r="H158" s="32"/>
      <c r="I158" s="32"/>
    </row>
    <row r="159" spans="1:9" ht="22.5" customHeight="1">
      <c r="A159" s="39"/>
      <c r="B159" s="40"/>
      <c r="C159" s="41"/>
      <c r="D159" s="32"/>
      <c r="E159" s="32"/>
      <c r="F159" s="32"/>
      <c r="G159" s="42"/>
      <c r="H159" s="32"/>
      <c r="I159" s="32"/>
    </row>
    <row r="160" spans="1:9" ht="22.5" customHeight="1">
      <c r="A160" s="39"/>
      <c r="B160" s="40"/>
      <c r="C160" s="41"/>
      <c r="D160" s="32"/>
      <c r="E160" s="32"/>
      <c r="F160" s="32"/>
      <c r="G160" s="42"/>
      <c r="H160" s="32"/>
      <c r="I160" s="32"/>
    </row>
    <row r="161" spans="1:9" ht="22.5" customHeight="1">
      <c r="A161" s="39"/>
      <c r="B161" s="40"/>
      <c r="C161" s="41"/>
      <c r="D161" s="32"/>
      <c r="E161" s="32"/>
      <c r="F161" s="32"/>
      <c r="G161" s="42"/>
      <c r="H161" s="32"/>
      <c r="I161" s="32"/>
    </row>
    <row r="162" spans="1:9" ht="22.5" customHeight="1">
      <c r="A162" s="39"/>
      <c r="B162" s="40"/>
      <c r="C162" s="41"/>
      <c r="D162" s="32"/>
      <c r="E162" s="32"/>
      <c r="F162" s="32"/>
      <c r="G162" s="42"/>
      <c r="H162" s="32"/>
      <c r="I162" s="32"/>
    </row>
    <row r="163" spans="1:9" ht="22.5" customHeight="1">
      <c r="A163" s="39"/>
      <c r="B163" s="40"/>
      <c r="C163" s="41"/>
      <c r="D163" s="32"/>
      <c r="E163" s="32"/>
      <c r="F163" s="32"/>
      <c r="G163" s="42"/>
      <c r="H163" s="32"/>
      <c r="I163" s="32"/>
    </row>
    <row r="164" spans="1:9" ht="22.5" customHeight="1">
      <c r="A164" s="39"/>
      <c r="B164" s="40"/>
      <c r="C164" s="41"/>
      <c r="D164" s="32"/>
      <c r="E164" s="32"/>
      <c r="F164" s="32"/>
      <c r="G164" s="42"/>
      <c r="H164" s="32"/>
      <c r="I164" s="32"/>
    </row>
    <row r="165" spans="1:9" ht="22.5" customHeight="1">
      <c r="A165" s="39"/>
      <c r="B165" s="40"/>
      <c r="C165" s="41"/>
      <c r="D165" s="32"/>
      <c r="E165" s="32"/>
      <c r="F165" s="32"/>
      <c r="G165" s="42"/>
      <c r="H165" s="32"/>
      <c r="I165" s="32"/>
    </row>
    <row r="166" spans="1:9" ht="22.5" customHeight="1">
      <c r="A166" s="39"/>
      <c r="B166" s="40"/>
      <c r="C166" s="41"/>
      <c r="D166" s="32"/>
      <c r="E166" s="32"/>
      <c r="F166" s="32"/>
      <c r="G166" s="42"/>
      <c r="H166" s="32"/>
      <c r="I166" s="32"/>
    </row>
    <row r="167" spans="1:9" ht="22.5" customHeight="1">
      <c r="A167" s="39"/>
      <c r="B167" s="40"/>
      <c r="C167" s="41"/>
      <c r="D167" s="32"/>
      <c r="E167" s="32"/>
      <c r="F167" s="32"/>
      <c r="G167" s="42"/>
      <c r="H167" s="32"/>
      <c r="I167" s="32"/>
    </row>
    <row r="168" spans="1:9" ht="22.5" customHeight="1">
      <c r="A168" s="39"/>
      <c r="B168" s="40"/>
      <c r="C168" s="41"/>
      <c r="D168" s="32"/>
      <c r="E168" s="32"/>
      <c r="F168" s="32"/>
      <c r="G168" s="42"/>
      <c r="H168" s="32"/>
      <c r="I168" s="32"/>
    </row>
    <row r="169" spans="1:9" ht="22.5" customHeight="1">
      <c r="A169" s="39"/>
      <c r="B169" s="40"/>
      <c r="C169" s="41"/>
      <c r="D169" s="32"/>
      <c r="E169" s="32"/>
      <c r="F169" s="32"/>
      <c r="G169" s="42"/>
      <c r="H169" s="32"/>
      <c r="I169" s="32"/>
    </row>
    <row r="170" spans="1:9" ht="22.5" customHeight="1">
      <c r="A170" s="39"/>
      <c r="B170" s="40"/>
      <c r="C170" s="41"/>
      <c r="D170" s="32"/>
      <c r="E170" s="32"/>
      <c r="F170" s="32"/>
      <c r="G170" s="42"/>
      <c r="H170" s="32"/>
      <c r="I170" s="32"/>
    </row>
    <row r="171" spans="1:9" ht="22.5" customHeight="1">
      <c r="A171" s="39"/>
      <c r="B171" s="40"/>
      <c r="C171" s="41"/>
      <c r="D171" s="32"/>
      <c r="E171" s="32"/>
      <c r="F171" s="32"/>
      <c r="G171" s="42"/>
      <c r="H171" s="32"/>
      <c r="I171" s="32"/>
    </row>
    <row r="172" spans="1:9" ht="22.5" customHeight="1">
      <c r="A172" s="39"/>
      <c r="B172" s="40"/>
      <c r="C172" s="41"/>
      <c r="D172" s="32"/>
      <c r="E172" s="32"/>
      <c r="F172" s="32"/>
      <c r="G172" s="42"/>
      <c r="H172" s="32"/>
      <c r="I172" s="32"/>
    </row>
    <row r="173" spans="1:9" ht="22.5" customHeight="1">
      <c r="A173" s="39"/>
      <c r="B173" s="40"/>
      <c r="C173" s="41"/>
      <c r="D173" s="32"/>
      <c r="E173" s="32"/>
      <c r="F173" s="32"/>
      <c r="G173" s="42"/>
      <c r="H173" s="32"/>
      <c r="I173" s="32"/>
    </row>
    <row r="174" spans="1:9" ht="22.5" customHeight="1">
      <c r="A174" s="39"/>
      <c r="B174" s="40"/>
      <c r="C174" s="41"/>
      <c r="D174" s="32"/>
      <c r="E174" s="32"/>
      <c r="F174" s="32"/>
      <c r="G174" s="42"/>
      <c r="H174" s="32"/>
      <c r="I174" s="32"/>
    </row>
    <row r="175" spans="1:9" ht="22.5" customHeight="1">
      <c r="A175" s="39"/>
      <c r="B175" s="40"/>
      <c r="C175" s="41"/>
      <c r="D175" s="32"/>
      <c r="E175" s="32"/>
      <c r="F175" s="32"/>
      <c r="G175" s="42"/>
      <c r="H175" s="32"/>
      <c r="I175" s="32"/>
    </row>
    <row r="176" spans="1:9" ht="22.5" customHeight="1">
      <c r="A176" s="39"/>
      <c r="B176" s="40"/>
      <c r="C176" s="41"/>
      <c r="D176" s="32"/>
      <c r="E176" s="32"/>
      <c r="F176" s="32"/>
      <c r="G176" s="42"/>
      <c r="H176" s="32"/>
      <c r="I176" s="32"/>
    </row>
    <row r="177" spans="1:9" ht="22.5" customHeight="1">
      <c r="A177" s="39"/>
      <c r="B177" s="40"/>
      <c r="C177" s="41"/>
      <c r="D177" s="32"/>
      <c r="E177" s="32"/>
      <c r="F177" s="32"/>
      <c r="G177" s="42"/>
      <c r="H177" s="32"/>
      <c r="I177" s="32"/>
    </row>
    <row r="178" spans="1:9" ht="22.5" customHeight="1">
      <c r="A178" s="39"/>
      <c r="B178" s="40"/>
      <c r="C178" s="41"/>
      <c r="D178" s="32"/>
      <c r="E178" s="32"/>
      <c r="F178" s="32"/>
      <c r="G178" s="42"/>
      <c r="H178" s="32"/>
      <c r="I178" s="32"/>
    </row>
    <row r="179" spans="1:9" ht="22.5" customHeight="1">
      <c r="A179" s="39"/>
      <c r="B179" s="40"/>
      <c r="C179" s="41"/>
      <c r="D179" s="32"/>
      <c r="E179" s="32"/>
      <c r="F179" s="32"/>
      <c r="G179" s="42"/>
      <c r="H179" s="32"/>
      <c r="I179" s="32"/>
    </row>
    <row r="180" spans="1:9" ht="22.5" customHeight="1">
      <c r="A180" s="39"/>
      <c r="B180" s="40"/>
      <c r="C180" s="41"/>
      <c r="D180" s="32"/>
      <c r="E180" s="32"/>
      <c r="F180" s="32"/>
      <c r="G180" s="42"/>
      <c r="H180" s="32"/>
      <c r="I180" s="32"/>
    </row>
    <row r="181" spans="1:9" ht="22.5" customHeight="1">
      <c r="A181" s="39"/>
      <c r="B181" s="40"/>
      <c r="C181" s="41"/>
      <c r="D181" s="32"/>
      <c r="E181" s="32"/>
      <c r="F181" s="32"/>
      <c r="G181" s="42"/>
      <c r="H181" s="32"/>
      <c r="I181" s="32"/>
    </row>
    <row r="182" spans="1:9" ht="22.5" customHeight="1">
      <c r="A182" s="39"/>
      <c r="B182" s="40"/>
      <c r="C182" s="41"/>
      <c r="D182" s="32"/>
      <c r="E182" s="32"/>
      <c r="F182" s="32"/>
      <c r="G182" s="42"/>
      <c r="H182" s="32"/>
      <c r="I182" s="32"/>
    </row>
    <row r="183" spans="1:9" ht="22.5" customHeight="1">
      <c r="A183" s="39"/>
      <c r="B183" s="40"/>
      <c r="C183" s="41"/>
      <c r="D183" s="32"/>
      <c r="E183" s="32"/>
      <c r="F183" s="32"/>
      <c r="G183" s="42"/>
      <c r="H183" s="32"/>
      <c r="I183" s="32"/>
    </row>
    <row r="184" spans="1:9" ht="22.5" customHeight="1">
      <c r="A184" s="39"/>
      <c r="B184" s="40"/>
      <c r="C184" s="41"/>
      <c r="D184" s="32"/>
      <c r="E184" s="32"/>
      <c r="F184" s="32"/>
      <c r="G184" s="42"/>
      <c r="H184" s="32"/>
      <c r="I184" s="32"/>
    </row>
    <row r="185" spans="1:9" ht="22.5" customHeight="1">
      <c r="A185" s="39"/>
      <c r="B185" s="40"/>
      <c r="C185" s="41"/>
      <c r="D185" s="32"/>
      <c r="E185" s="32"/>
      <c r="F185" s="32"/>
      <c r="G185" s="42"/>
      <c r="H185" s="32"/>
      <c r="I185" s="32"/>
    </row>
    <row r="186" spans="1:9" ht="22.5" customHeight="1">
      <c r="A186" s="39"/>
      <c r="B186" s="40"/>
      <c r="C186" s="41"/>
      <c r="D186" s="32"/>
      <c r="E186" s="32"/>
      <c r="F186" s="32"/>
      <c r="G186" s="42"/>
      <c r="H186" s="32"/>
      <c r="I186" s="32"/>
    </row>
    <row r="187" spans="1:9" ht="22.5" customHeight="1">
      <c r="A187" s="39"/>
      <c r="B187" s="40"/>
      <c r="C187" s="41"/>
      <c r="D187" s="32"/>
      <c r="E187" s="32"/>
      <c r="F187" s="32"/>
      <c r="G187" s="42"/>
      <c r="H187" s="32"/>
      <c r="I187" s="32"/>
    </row>
    <row r="188" spans="1:9" ht="22.5" customHeight="1">
      <c r="A188" s="39"/>
      <c r="B188" s="40"/>
      <c r="C188" s="41"/>
      <c r="D188" s="32"/>
      <c r="E188" s="32"/>
      <c r="F188" s="32"/>
      <c r="G188" s="42"/>
      <c r="H188" s="32"/>
      <c r="I188" s="32"/>
    </row>
    <row r="189" spans="1:9" ht="22.5" customHeight="1">
      <c r="A189" s="39"/>
      <c r="B189" s="40"/>
      <c r="C189" s="41"/>
      <c r="D189" s="32"/>
      <c r="E189" s="32"/>
      <c r="F189" s="32"/>
      <c r="G189" s="42"/>
      <c r="H189" s="32"/>
      <c r="I189" s="32"/>
    </row>
    <row r="190" spans="1:9" ht="22.5" customHeight="1">
      <c r="A190" s="39"/>
      <c r="B190" s="40"/>
      <c r="C190" s="41"/>
      <c r="D190" s="32"/>
      <c r="E190" s="32"/>
      <c r="F190" s="32"/>
      <c r="G190" s="42"/>
      <c r="H190" s="32"/>
      <c r="I190" s="32"/>
    </row>
    <row r="191" spans="1:9" ht="22.5" customHeight="1">
      <c r="A191" s="39"/>
      <c r="B191" s="40"/>
      <c r="C191" s="41"/>
      <c r="D191" s="32"/>
      <c r="E191" s="32"/>
      <c r="F191" s="32"/>
      <c r="G191" s="42"/>
      <c r="H191" s="32"/>
      <c r="I191" s="32"/>
    </row>
    <row r="192" spans="1:9" ht="22.5" customHeight="1">
      <c r="A192" s="39"/>
      <c r="B192" s="40"/>
      <c r="C192" s="41"/>
      <c r="D192" s="32"/>
      <c r="E192" s="32"/>
      <c r="F192" s="32"/>
      <c r="G192" s="42"/>
      <c r="H192" s="32"/>
      <c r="I192" s="32"/>
    </row>
    <row r="193" spans="1:9" ht="22.5" customHeight="1">
      <c r="A193" s="39"/>
      <c r="B193" s="40"/>
      <c r="C193" s="41"/>
      <c r="D193" s="32"/>
      <c r="E193" s="32"/>
      <c r="F193" s="32"/>
      <c r="G193" s="42"/>
      <c r="H193" s="32"/>
      <c r="I193" s="32"/>
    </row>
    <row r="194" spans="1:9" ht="22.5" customHeight="1">
      <c r="A194" s="39"/>
      <c r="B194" s="40"/>
      <c r="C194" s="41"/>
      <c r="D194" s="32"/>
      <c r="E194" s="32"/>
      <c r="F194" s="32"/>
      <c r="G194" s="42"/>
      <c r="H194" s="32"/>
      <c r="I194" s="32"/>
    </row>
    <row r="195" spans="1:9" ht="22.5" customHeight="1">
      <c r="A195" s="39"/>
      <c r="B195" s="40"/>
      <c r="C195" s="41"/>
      <c r="D195" s="32"/>
      <c r="E195" s="32"/>
      <c r="F195" s="32"/>
      <c r="G195" s="42"/>
      <c r="H195" s="32"/>
      <c r="I195" s="32"/>
    </row>
    <row r="196" spans="1:9" ht="22.5" customHeight="1">
      <c r="A196" s="39"/>
      <c r="B196" s="40"/>
      <c r="C196" s="41"/>
      <c r="D196" s="32"/>
      <c r="E196" s="32"/>
      <c r="F196" s="32"/>
      <c r="G196" s="42"/>
      <c r="H196" s="32"/>
      <c r="I196" s="32"/>
    </row>
    <row r="197" spans="1:9" ht="22.5" customHeight="1">
      <c r="A197" s="39"/>
      <c r="B197" s="40"/>
      <c r="C197" s="41"/>
      <c r="D197" s="32"/>
      <c r="E197" s="32"/>
      <c r="F197" s="32"/>
      <c r="G197" s="42"/>
      <c r="H197" s="32"/>
      <c r="I197" s="32"/>
    </row>
    <row r="198" spans="1:9" ht="22.5" customHeight="1">
      <c r="A198" s="39"/>
      <c r="B198" s="40"/>
      <c r="C198" s="41"/>
      <c r="D198" s="32"/>
      <c r="E198" s="32"/>
      <c r="F198" s="32"/>
      <c r="G198" s="42"/>
      <c r="H198" s="32"/>
      <c r="I198" s="32"/>
    </row>
    <row r="199" spans="1:9" ht="22.5" customHeight="1">
      <c r="A199" s="39"/>
      <c r="B199" s="40"/>
      <c r="C199" s="41"/>
      <c r="D199" s="32"/>
      <c r="E199" s="32"/>
      <c r="F199" s="32"/>
      <c r="G199" s="42"/>
      <c r="H199" s="32"/>
      <c r="I199" s="32"/>
    </row>
    <row r="200" spans="1:9" ht="22.5" customHeight="1">
      <c r="A200" s="39"/>
      <c r="B200" s="40"/>
      <c r="C200" s="41"/>
      <c r="D200" s="32"/>
      <c r="E200" s="32"/>
      <c r="F200" s="32"/>
      <c r="G200" s="42"/>
      <c r="H200" s="32"/>
      <c r="I200" s="32"/>
    </row>
    <row r="201" spans="1:9" ht="22.5" customHeight="1">
      <c r="A201" s="39"/>
      <c r="B201" s="40"/>
      <c r="C201" s="41"/>
      <c r="D201" s="32"/>
      <c r="E201" s="32"/>
      <c r="F201" s="32"/>
      <c r="G201" s="42"/>
      <c r="H201" s="32"/>
      <c r="I201" s="32"/>
    </row>
    <row r="202" spans="1:9" ht="22.5" customHeight="1">
      <c r="A202" s="39"/>
      <c r="B202" s="40"/>
      <c r="C202" s="41"/>
      <c r="D202" s="32"/>
      <c r="E202" s="32"/>
      <c r="F202" s="32"/>
      <c r="G202" s="42"/>
      <c r="H202" s="32"/>
      <c r="I202" s="32"/>
    </row>
    <row r="203" spans="1:9" ht="22.5" customHeight="1">
      <c r="A203" s="39"/>
      <c r="B203" s="40"/>
      <c r="C203" s="41"/>
      <c r="D203" s="32"/>
      <c r="E203" s="32"/>
      <c r="F203" s="32"/>
      <c r="G203" s="42"/>
      <c r="H203" s="32"/>
      <c r="I203" s="32"/>
    </row>
    <row r="204" spans="1:9" ht="22.5" customHeight="1">
      <c r="A204" s="39"/>
      <c r="B204" s="40"/>
      <c r="C204" s="41"/>
      <c r="D204" s="32"/>
      <c r="E204" s="32"/>
      <c r="F204" s="32"/>
      <c r="G204" s="42"/>
      <c r="H204" s="32"/>
      <c r="I204" s="32"/>
    </row>
    <row r="205" spans="1:9" ht="22.5" customHeight="1">
      <c r="A205" s="39"/>
      <c r="B205" s="40"/>
      <c r="C205" s="41"/>
      <c r="D205" s="32"/>
      <c r="E205" s="32"/>
      <c r="F205" s="32"/>
      <c r="G205" s="42"/>
      <c r="H205" s="32"/>
      <c r="I205" s="32"/>
    </row>
    <row r="206" spans="1:9" ht="22.5" customHeight="1">
      <c r="A206" s="39"/>
      <c r="B206" s="40"/>
      <c r="C206" s="41"/>
      <c r="D206" s="32"/>
      <c r="E206" s="32"/>
      <c r="F206" s="32"/>
      <c r="G206" s="42"/>
      <c r="H206" s="32"/>
      <c r="I206" s="32"/>
    </row>
    <row r="207" spans="1:9" ht="22.5" customHeight="1">
      <c r="A207" s="39"/>
      <c r="B207" s="40"/>
      <c r="C207" s="41"/>
      <c r="D207" s="32"/>
      <c r="E207" s="32"/>
      <c r="F207" s="32"/>
      <c r="G207" s="42"/>
      <c r="H207" s="32"/>
      <c r="I207" s="32"/>
    </row>
    <row r="208" spans="1:9" ht="22.5" customHeight="1">
      <c r="A208" s="39"/>
      <c r="B208" s="40"/>
      <c r="C208" s="41"/>
      <c r="D208" s="32"/>
      <c r="E208" s="32"/>
      <c r="F208" s="32"/>
      <c r="G208" s="42"/>
      <c r="H208" s="32"/>
      <c r="I208" s="32"/>
    </row>
    <row r="209" spans="1:9" ht="22.5" customHeight="1">
      <c r="A209" s="39"/>
      <c r="B209" s="40"/>
      <c r="C209" s="41"/>
      <c r="D209" s="32"/>
      <c r="E209" s="32"/>
      <c r="F209" s="32"/>
      <c r="G209" s="42"/>
      <c r="H209" s="32"/>
      <c r="I209" s="32"/>
    </row>
    <row r="210" spans="1:9" ht="22.5" customHeight="1">
      <c r="A210" s="39"/>
      <c r="B210" s="40"/>
      <c r="C210" s="41"/>
      <c r="D210" s="32"/>
      <c r="E210" s="32"/>
      <c r="F210" s="32"/>
      <c r="G210" s="42"/>
      <c r="H210" s="32"/>
      <c r="I210" s="32"/>
    </row>
    <row r="211" spans="1:9" ht="22.5" customHeight="1">
      <c r="A211" s="39"/>
      <c r="B211" s="40"/>
      <c r="C211" s="41"/>
      <c r="D211" s="32"/>
      <c r="E211" s="32"/>
      <c r="F211" s="32"/>
      <c r="G211" s="42"/>
      <c r="H211" s="32"/>
      <c r="I211" s="32"/>
    </row>
    <row r="212" spans="1:9" ht="22.5" customHeight="1">
      <c r="A212" s="39"/>
      <c r="B212" s="40"/>
      <c r="C212" s="41"/>
      <c r="D212" s="32"/>
      <c r="E212" s="32"/>
      <c r="F212" s="32"/>
      <c r="G212" s="42"/>
      <c r="H212" s="32"/>
      <c r="I212" s="32"/>
    </row>
    <row r="213" spans="1:9" ht="22.5" customHeight="1">
      <c r="A213" s="39"/>
      <c r="B213" s="40"/>
      <c r="C213" s="41"/>
      <c r="D213" s="32"/>
      <c r="E213" s="32"/>
      <c r="F213" s="32"/>
      <c r="G213" s="42"/>
      <c r="H213" s="32"/>
      <c r="I213" s="32"/>
    </row>
    <row r="214" spans="1:9" ht="22.5" customHeight="1">
      <c r="A214" s="39"/>
      <c r="B214" s="40"/>
      <c r="C214" s="41"/>
      <c r="D214" s="32"/>
      <c r="E214" s="32"/>
      <c r="F214" s="32"/>
      <c r="G214" s="42"/>
      <c r="H214" s="32"/>
      <c r="I214" s="32"/>
    </row>
    <row r="215" spans="1:9" ht="22.5" customHeight="1">
      <c r="A215" s="39"/>
      <c r="B215" s="40"/>
      <c r="C215" s="41"/>
      <c r="D215" s="32"/>
      <c r="E215" s="32"/>
      <c r="F215" s="32"/>
      <c r="G215" s="42"/>
      <c r="H215" s="32"/>
      <c r="I215" s="32"/>
    </row>
    <row r="216" spans="1:9" ht="22.5" customHeight="1">
      <c r="A216" s="39"/>
      <c r="B216" s="40"/>
      <c r="C216" s="41"/>
      <c r="D216" s="32"/>
      <c r="E216" s="32"/>
      <c r="F216" s="32"/>
      <c r="G216" s="42"/>
      <c r="H216" s="32"/>
      <c r="I216" s="32"/>
    </row>
    <row r="217" spans="1:9" ht="22.5" customHeight="1">
      <c r="A217" s="39"/>
      <c r="B217" s="40"/>
      <c r="C217" s="41"/>
      <c r="D217" s="32"/>
      <c r="E217" s="32"/>
      <c r="F217" s="32"/>
      <c r="G217" s="42"/>
      <c r="H217" s="32"/>
      <c r="I217" s="32"/>
    </row>
    <row r="218" spans="1:9" ht="22.5" customHeight="1">
      <c r="A218" s="39"/>
      <c r="B218" s="40"/>
      <c r="C218" s="41"/>
      <c r="D218" s="32"/>
      <c r="E218" s="32"/>
      <c r="F218" s="32"/>
      <c r="G218" s="42"/>
      <c r="H218" s="32"/>
      <c r="I218" s="32"/>
    </row>
    <row r="219" spans="1:9" ht="22.5" customHeight="1">
      <c r="A219" s="39"/>
      <c r="B219" s="40"/>
      <c r="C219" s="41"/>
      <c r="D219" s="32"/>
      <c r="E219" s="32"/>
      <c r="F219" s="32"/>
      <c r="G219" s="42"/>
      <c r="H219" s="32"/>
      <c r="I219" s="32"/>
    </row>
    <row r="220" spans="1:9" ht="22.5" customHeight="1">
      <c r="A220" s="39"/>
      <c r="B220" s="40"/>
      <c r="C220" s="41"/>
      <c r="D220" s="32"/>
      <c r="E220" s="32"/>
      <c r="F220" s="32"/>
      <c r="G220" s="42"/>
      <c r="H220" s="32"/>
      <c r="I220" s="32"/>
    </row>
    <row r="221" spans="1:9" ht="22.5" customHeight="1">
      <c r="A221" s="39"/>
      <c r="B221" s="40"/>
      <c r="C221" s="41"/>
      <c r="D221" s="32"/>
      <c r="E221" s="32"/>
      <c r="F221" s="32"/>
      <c r="G221" s="42"/>
      <c r="H221" s="32"/>
      <c r="I221" s="32"/>
    </row>
    <row r="222" spans="1:9" ht="22.5" customHeight="1">
      <c r="A222" s="39"/>
      <c r="B222" s="40"/>
      <c r="C222" s="41"/>
      <c r="D222" s="32"/>
      <c r="E222" s="32"/>
      <c r="F222" s="32"/>
      <c r="G222" s="42"/>
      <c r="H222" s="32"/>
      <c r="I222" s="32"/>
    </row>
    <row r="223" spans="1:9" ht="22.5" customHeight="1">
      <c r="A223" s="39"/>
      <c r="B223" s="40"/>
      <c r="C223" s="41"/>
      <c r="D223" s="32"/>
      <c r="E223" s="32"/>
      <c r="F223" s="32"/>
      <c r="G223" s="42"/>
      <c r="H223" s="32"/>
      <c r="I223" s="32"/>
    </row>
    <row r="224" spans="1:9" ht="22.5" customHeight="1">
      <c r="A224" s="39"/>
      <c r="B224" s="40"/>
      <c r="C224" s="41"/>
      <c r="D224" s="32"/>
      <c r="E224" s="32"/>
      <c r="F224" s="32"/>
      <c r="G224" s="42"/>
      <c r="H224" s="32"/>
      <c r="I224" s="32"/>
    </row>
    <row r="225" spans="1:9" ht="22.5" customHeight="1">
      <c r="A225" s="39"/>
      <c r="B225" s="40"/>
      <c r="C225" s="41"/>
      <c r="D225" s="32"/>
      <c r="E225" s="32"/>
      <c r="F225" s="32"/>
      <c r="G225" s="42"/>
      <c r="H225" s="32"/>
      <c r="I225" s="32"/>
    </row>
    <row r="226" spans="1:9" ht="22.5" customHeight="1">
      <c r="A226" s="39"/>
      <c r="B226" s="40"/>
      <c r="C226" s="41"/>
      <c r="D226" s="32"/>
      <c r="E226" s="32"/>
      <c r="F226" s="32"/>
      <c r="G226" s="42"/>
      <c r="H226" s="32"/>
      <c r="I226" s="32"/>
    </row>
    <row r="227" spans="1:9" ht="22.5" customHeight="1">
      <c r="A227" s="39"/>
      <c r="B227" s="40"/>
      <c r="C227" s="41"/>
      <c r="D227" s="32"/>
      <c r="E227" s="32"/>
      <c r="F227" s="32"/>
      <c r="G227" s="42"/>
      <c r="H227" s="32"/>
      <c r="I227" s="32"/>
    </row>
    <row r="228" spans="1:9" ht="22.5" customHeight="1">
      <c r="A228" s="39"/>
      <c r="B228" s="40"/>
      <c r="C228" s="41"/>
      <c r="D228" s="32"/>
      <c r="E228" s="32"/>
      <c r="F228" s="32"/>
      <c r="G228" s="42"/>
      <c r="H228" s="32"/>
      <c r="I228" s="32"/>
    </row>
    <row r="229" spans="1:9" ht="22.5" customHeight="1">
      <c r="A229" s="39"/>
      <c r="B229" s="40"/>
      <c r="C229" s="41"/>
      <c r="D229" s="32"/>
      <c r="E229" s="32"/>
      <c r="F229" s="32"/>
      <c r="G229" s="42"/>
      <c r="H229" s="32"/>
      <c r="I229" s="32"/>
    </row>
    <row r="230" spans="1:9" ht="22.5" customHeight="1">
      <c r="A230" s="39"/>
      <c r="B230" s="40"/>
      <c r="C230" s="41"/>
      <c r="D230" s="32"/>
      <c r="E230" s="32"/>
      <c r="F230" s="32"/>
      <c r="G230" s="42"/>
      <c r="H230" s="32"/>
      <c r="I230" s="32"/>
    </row>
    <row r="231" spans="1:9" ht="22.5" customHeight="1">
      <c r="A231" s="39"/>
      <c r="B231" s="40"/>
      <c r="C231" s="41"/>
      <c r="D231" s="32"/>
      <c r="E231" s="32"/>
      <c r="F231" s="32"/>
      <c r="G231" s="42"/>
      <c r="H231" s="32"/>
      <c r="I231" s="32"/>
    </row>
    <row r="232" spans="1:9" ht="22.5" customHeight="1">
      <c r="A232" s="39"/>
      <c r="B232" s="40"/>
      <c r="C232" s="41"/>
      <c r="D232" s="32"/>
      <c r="E232" s="32"/>
      <c r="F232" s="32"/>
      <c r="G232" s="42"/>
      <c r="H232" s="32"/>
      <c r="I232" s="32"/>
    </row>
    <row r="233" spans="1:9" ht="22.5" customHeight="1">
      <c r="A233" s="39"/>
      <c r="B233" s="40"/>
      <c r="C233" s="41"/>
      <c r="D233" s="32"/>
      <c r="E233" s="32"/>
      <c r="F233" s="32"/>
      <c r="G233" s="42"/>
      <c r="H233" s="32"/>
      <c r="I233" s="32"/>
    </row>
    <row r="234" spans="1:9" ht="22.5" customHeight="1">
      <c r="A234" s="39"/>
      <c r="B234" s="40"/>
      <c r="C234" s="41"/>
      <c r="D234" s="32"/>
      <c r="E234" s="32"/>
      <c r="F234" s="32"/>
      <c r="G234" s="42"/>
      <c r="H234" s="32"/>
      <c r="I234" s="32"/>
    </row>
    <row r="235" spans="1:9" ht="22.5" customHeight="1">
      <c r="A235" s="39"/>
      <c r="B235" s="40"/>
      <c r="C235" s="41"/>
      <c r="D235" s="32"/>
      <c r="E235" s="32"/>
      <c r="F235" s="32"/>
      <c r="G235" s="42"/>
      <c r="H235" s="32"/>
      <c r="I235" s="32"/>
    </row>
    <row r="236" spans="1:9" ht="22.5" customHeight="1">
      <c r="A236" s="39"/>
      <c r="B236" s="40"/>
      <c r="C236" s="41"/>
      <c r="D236" s="32"/>
      <c r="E236" s="32"/>
      <c r="F236" s="32"/>
      <c r="G236" s="42"/>
      <c r="H236" s="32"/>
      <c r="I236" s="32"/>
    </row>
    <row r="237" spans="1:9" ht="22.5" customHeight="1">
      <c r="A237" s="39"/>
      <c r="B237" s="40"/>
      <c r="C237" s="41"/>
      <c r="D237" s="32"/>
      <c r="E237" s="32"/>
      <c r="F237" s="32"/>
      <c r="G237" s="42"/>
      <c r="H237" s="32"/>
      <c r="I237" s="32"/>
    </row>
    <row r="238" spans="1:9" ht="22.5" customHeight="1">
      <c r="A238" s="39"/>
      <c r="B238" s="40"/>
      <c r="C238" s="41"/>
      <c r="D238" s="32"/>
      <c r="E238" s="32"/>
      <c r="F238" s="32"/>
      <c r="G238" s="42"/>
      <c r="H238" s="32"/>
      <c r="I238" s="32"/>
    </row>
    <row r="239" spans="1:9" ht="22.5" customHeight="1">
      <c r="A239" s="39"/>
      <c r="B239" s="40"/>
      <c r="C239" s="41"/>
      <c r="D239" s="32"/>
      <c r="E239" s="32"/>
      <c r="F239" s="32"/>
      <c r="G239" s="42"/>
      <c r="H239" s="32"/>
      <c r="I239" s="32"/>
    </row>
    <row r="240" spans="1:9" ht="22.5" customHeight="1">
      <c r="A240" s="39"/>
      <c r="B240" s="40"/>
      <c r="C240" s="41"/>
      <c r="D240" s="32"/>
      <c r="E240" s="32"/>
      <c r="F240" s="32"/>
      <c r="G240" s="42"/>
      <c r="H240" s="32"/>
      <c r="I240" s="32"/>
    </row>
    <row r="241" spans="1:9" ht="22.5" customHeight="1">
      <c r="A241" s="39"/>
      <c r="B241" s="40"/>
      <c r="C241" s="41"/>
      <c r="D241" s="32"/>
      <c r="E241" s="32"/>
      <c r="F241" s="32"/>
      <c r="G241" s="42"/>
      <c r="H241" s="32"/>
      <c r="I241" s="32"/>
    </row>
    <row r="242" spans="1:9" ht="22.5" customHeight="1">
      <c r="A242" s="39"/>
      <c r="B242" s="40"/>
      <c r="C242" s="41"/>
      <c r="D242" s="32"/>
      <c r="E242" s="32"/>
      <c r="F242" s="32"/>
      <c r="G242" s="42"/>
      <c r="H242" s="32"/>
      <c r="I242" s="32"/>
    </row>
    <row r="243" spans="1:9" ht="22.5" customHeight="1">
      <c r="A243" s="39"/>
      <c r="B243" s="40"/>
      <c r="C243" s="41"/>
      <c r="D243" s="32"/>
      <c r="E243" s="32"/>
      <c r="F243" s="32"/>
      <c r="G243" s="42"/>
      <c r="H243" s="32"/>
      <c r="I243" s="32"/>
    </row>
    <row r="244" spans="1:9" ht="22.5" customHeight="1">
      <c r="A244" s="39"/>
      <c r="B244" s="40"/>
      <c r="C244" s="41"/>
      <c r="D244" s="32"/>
      <c r="E244" s="32"/>
      <c r="F244" s="32"/>
      <c r="G244" s="42"/>
      <c r="H244" s="32"/>
      <c r="I244" s="32"/>
    </row>
    <row r="245" spans="1:9" ht="22.5" customHeight="1">
      <c r="A245" s="39"/>
      <c r="B245" s="40"/>
      <c r="C245" s="41"/>
      <c r="D245" s="32"/>
      <c r="E245" s="32"/>
      <c r="F245" s="32"/>
      <c r="G245" s="42"/>
      <c r="H245" s="32"/>
      <c r="I245" s="32"/>
    </row>
    <row r="246" spans="1:9" ht="22.5" customHeight="1">
      <c r="A246" s="39"/>
      <c r="B246" s="40"/>
      <c r="C246" s="41"/>
      <c r="D246" s="32"/>
      <c r="E246" s="32"/>
      <c r="F246" s="32"/>
      <c r="G246" s="42"/>
      <c r="H246" s="32"/>
      <c r="I246" s="32"/>
    </row>
    <row r="247" spans="1:9" ht="22.5" customHeight="1">
      <c r="A247" s="39"/>
      <c r="B247" s="40"/>
      <c r="C247" s="41"/>
      <c r="D247" s="32"/>
      <c r="E247" s="32"/>
      <c r="F247" s="32"/>
      <c r="G247" s="42"/>
      <c r="H247" s="32"/>
      <c r="I247" s="32"/>
    </row>
    <row r="248" spans="1:9" ht="22.5" customHeight="1">
      <c r="A248" s="39"/>
      <c r="B248" s="40"/>
      <c r="C248" s="41"/>
      <c r="D248" s="32"/>
      <c r="E248" s="32"/>
      <c r="F248" s="32"/>
      <c r="G248" s="42"/>
      <c r="H248" s="32"/>
      <c r="I248" s="32"/>
    </row>
    <row r="249" spans="1:9" ht="22.5" customHeight="1">
      <c r="A249" s="39"/>
      <c r="B249" s="40"/>
      <c r="C249" s="41"/>
      <c r="D249" s="32"/>
      <c r="E249" s="32"/>
      <c r="F249" s="32"/>
      <c r="G249" s="42"/>
      <c r="H249" s="32"/>
      <c r="I249" s="32"/>
    </row>
    <row r="250" spans="1:9" ht="22.5" customHeight="1">
      <c r="A250" s="39"/>
      <c r="B250" s="40"/>
      <c r="C250" s="41"/>
      <c r="D250" s="32"/>
      <c r="E250" s="32"/>
      <c r="F250" s="32"/>
      <c r="G250" s="42"/>
      <c r="H250" s="32"/>
      <c r="I250" s="32"/>
    </row>
    <row r="251" spans="1:9" ht="22.5" customHeight="1">
      <c r="A251" s="39"/>
      <c r="B251" s="40"/>
      <c r="C251" s="41"/>
      <c r="D251" s="32"/>
      <c r="E251" s="32"/>
      <c r="F251" s="32"/>
      <c r="G251" s="42"/>
      <c r="H251" s="32"/>
      <c r="I251" s="32"/>
    </row>
    <row r="252" spans="1:9" ht="22.5" customHeight="1">
      <c r="A252" s="39"/>
      <c r="B252" s="40"/>
      <c r="C252" s="41"/>
      <c r="D252" s="32"/>
      <c r="E252" s="32"/>
      <c r="F252" s="32"/>
      <c r="G252" s="42"/>
      <c r="H252" s="32"/>
      <c r="I252" s="32"/>
    </row>
    <row r="253" spans="1:9" ht="22.5" customHeight="1">
      <c r="A253" s="39"/>
      <c r="B253" s="40"/>
      <c r="C253" s="41"/>
      <c r="D253" s="32"/>
      <c r="E253" s="32"/>
      <c r="F253" s="32"/>
      <c r="G253" s="42"/>
      <c r="H253" s="32"/>
      <c r="I253" s="32"/>
    </row>
    <row r="254" spans="1:9" ht="22.5" customHeight="1">
      <c r="A254" s="39"/>
      <c r="B254" s="40"/>
      <c r="C254" s="41"/>
      <c r="D254" s="32"/>
      <c r="E254" s="32"/>
      <c r="F254" s="32"/>
      <c r="G254" s="42"/>
      <c r="H254" s="32"/>
      <c r="I254" s="32"/>
    </row>
    <row r="255" spans="1:9" ht="22.5" customHeight="1">
      <c r="A255" s="39"/>
      <c r="B255" s="40"/>
      <c r="C255" s="41"/>
      <c r="D255" s="32"/>
      <c r="E255" s="32"/>
      <c r="F255" s="32"/>
      <c r="G255" s="42"/>
      <c r="H255" s="32"/>
      <c r="I255" s="32"/>
    </row>
    <row r="256" spans="1:9" ht="22.5" customHeight="1">
      <c r="A256" s="39"/>
      <c r="B256" s="40"/>
      <c r="C256" s="41"/>
      <c r="D256" s="32"/>
      <c r="E256" s="32"/>
      <c r="F256" s="32"/>
      <c r="G256" s="42"/>
      <c r="H256" s="32"/>
      <c r="I256" s="32"/>
    </row>
    <row r="257" spans="1:9" ht="22.5" customHeight="1">
      <c r="A257" s="39"/>
      <c r="B257" s="40"/>
      <c r="C257" s="41"/>
      <c r="D257" s="32"/>
      <c r="E257" s="32"/>
      <c r="F257" s="32"/>
      <c r="G257" s="42"/>
      <c r="H257" s="32"/>
      <c r="I257" s="32"/>
    </row>
    <row r="258" spans="1:9" ht="22.5" customHeight="1">
      <c r="A258" s="39"/>
      <c r="B258" s="40"/>
      <c r="C258" s="41"/>
      <c r="D258" s="32"/>
      <c r="E258" s="32"/>
      <c r="F258" s="32"/>
      <c r="G258" s="42"/>
      <c r="H258" s="32"/>
      <c r="I258" s="32"/>
    </row>
    <row r="259" spans="1:9" ht="22.5" customHeight="1">
      <c r="A259" s="39"/>
      <c r="B259" s="40"/>
      <c r="C259" s="41"/>
      <c r="D259" s="32"/>
      <c r="E259" s="32"/>
      <c r="F259" s="32"/>
      <c r="G259" s="42"/>
      <c r="H259" s="32"/>
      <c r="I259" s="32"/>
    </row>
    <row r="260" spans="1:9" ht="22.5" customHeight="1">
      <c r="A260" s="39"/>
      <c r="B260" s="40"/>
      <c r="C260" s="41"/>
      <c r="D260" s="32"/>
      <c r="E260" s="32"/>
      <c r="F260" s="32"/>
      <c r="G260" s="42"/>
      <c r="H260" s="32"/>
      <c r="I260" s="32"/>
    </row>
    <row r="261" spans="1:9" ht="22.5" customHeight="1">
      <c r="A261" s="39"/>
      <c r="B261" s="40"/>
      <c r="C261" s="41"/>
      <c r="D261" s="32"/>
      <c r="E261" s="32"/>
      <c r="F261" s="32"/>
      <c r="G261" s="42"/>
      <c r="H261" s="32"/>
      <c r="I261" s="32"/>
    </row>
    <row r="262" spans="1:9" ht="22.5" customHeight="1">
      <c r="A262" s="39"/>
      <c r="B262" s="40"/>
      <c r="C262" s="41"/>
      <c r="D262" s="32"/>
      <c r="E262" s="32"/>
      <c r="F262" s="32"/>
      <c r="G262" s="42"/>
      <c r="H262" s="32"/>
      <c r="I262" s="32"/>
    </row>
    <row r="263" spans="1:9" ht="22.5" customHeight="1">
      <c r="A263" s="39"/>
      <c r="B263" s="40"/>
      <c r="C263" s="41"/>
      <c r="D263" s="32"/>
      <c r="E263" s="32"/>
      <c r="F263" s="32"/>
      <c r="G263" s="42"/>
      <c r="H263" s="32"/>
      <c r="I263" s="32"/>
    </row>
    <row r="264" spans="1:9" ht="22.5" customHeight="1">
      <c r="A264" s="39"/>
      <c r="B264" s="40"/>
      <c r="C264" s="41"/>
      <c r="D264" s="32"/>
      <c r="E264" s="32"/>
      <c r="F264" s="32"/>
      <c r="G264" s="42"/>
      <c r="H264" s="32"/>
      <c r="I264" s="32"/>
    </row>
    <row r="265" spans="1:9" ht="22.5" customHeight="1">
      <c r="A265" s="39"/>
      <c r="B265" s="40"/>
      <c r="C265" s="41"/>
      <c r="D265" s="32"/>
      <c r="E265" s="32"/>
      <c r="F265" s="32"/>
      <c r="G265" s="42"/>
      <c r="H265" s="32"/>
      <c r="I265" s="32"/>
    </row>
    <row r="266" spans="1:9" ht="22.5" customHeight="1">
      <c r="A266" s="39"/>
      <c r="B266" s="40"/>
      <c r="C266" s="41"/>
      <c r="D266" s="32"/>
      <c r="E266" s="32"/>
      <c r="F266" s="32"/>
      <c r="G266" s="42"/>
      <c r="H266" s="32"/>
      <c r="I266" s="32"/>
    </row>
    <row r="267" spans="1:9" ht="22.5" customHeight="1">
      <c r="A267" s="39"/>
      <c r="B267" s="40"/>
      <c r="C267" s="41"/>
      <c r="D267" s="32"/>
      <c r="E267" s="32"/>
      <c r="F267" s="32"/>
      <c r="G267" s="42"/>
      <c r="H267" s="32"/>
      <c r="I267" s="32"/>
    </row>
    <row r="268" spans="1:9" ht="22.5" customHeight="1">
      <c r="A268" s="39"/>
      <c r="B268" s="40"/>
      <c r="C268" s="41"/>
      <c r="D268" s="32"/>
      <c r="E268" s="32"/>
      <c r="F268" s="32"/>
      <c r="G268" s="42"/>
      <c r="H268" s="32"/>
      <c r="I268" s="32"/>
    </row>
    <row r="269" spans="1:9" ht="22.5" customHeight="1">
      <c r="A269" s="39"/>
      <c r="B269" s="40"/>
      <c r="C269" s="41"/>
      <c r="D269" s="32"/>
      <c r="E269" s="32"/>
      <c r="F269" s="32"/>
      <c r="G269" s="42"/>
      <c r="H269" s="32"/>
      <c r="I269" s="32"/>
    </row>
    <row r="270" spans="1:9" ht="22.5" customHeight="1">
      <c r="A270" s="39"/>
      <c r="B270" s="40"/>
      <c r="C270" s="41"/>
      <c r="D270" s="32"/>
      <c r="E270" s="32"/>
      <c r="F270" s="32"/>
      <c r="G270" s="42"/>
      <c r="H270" s="32"/>
      <c r="I270" s="32"/>
    </row>
    <row r="271" spans="1:9" ht="22.5" customHeight="1">
      <c r="A271" s="39"/>
      <c r="B271" s="40"/>
      <c r="C271" s="41"/>
      <c r="D271" s="32"/>
      <c r="E271" s="32"/>
      <c r="F271" s="32"/>
      <c r="G271" s="42"/>
      <c r="H271" s="32"/>
      <c r="I271" s="32"/>
    </row>
    <row r="272" spans="1:9" ht="22.5" customHeight="1">
      <c r="A272" s="39"/>
      <c r="B272" s="40"/>
      <c r="C272" s="41"/>
      <c r="D272" s="32"/>
      <c r="E272" s="32"/>
      <c r="F272" s="32"/>
      <c r="G272" s="42"/>
      <c r="H272" s="32"/>
      <c r="I272" s="32"/>
    </row>
    <row r="273" spans="1:9" ht="22.5" customHeight="1">
      <c r="A273" s="39"/>
      <c r="B273" s="40"/>
      <c r="C273" s="41"/>
      <c r="D273" s="32"/>
      <c r="E273" s="32"/>
      <c r="F273" s="32"/>
      <c r="G273" s="42"/>
      <c r="H273" s="32"/>
      <c r="I273" s="32"/>
    </row>
    <row r="274" spans="1:9" ht="22.5" customHeight="1">
      <c r="A274" s="39"/>
      <c r="B274" s="40"/>
      <c r="C274" s="41"/>
      <c r="D274" s="32"/>
      <c r="E274" s="32"/>
      <c r="F274" s="32"/>
      <c r="G274" s="42"/>
      <c r="H274" s="32"/>
      <c r="I274" s="32"/>
    </row>
    <row r="275" spans="1:9" ht="22.5" customHeight="1">
      <c r="A275" s="39"/>
      <c r="B275" s="40"/>
      <c r="C275" s="41"/>
      <c r="D275" s="32"/>
      <c r="E275" s="32"/>
      <c r="F275" s="32"/>
      <c r="G275" s="42"/>
      <c r="H275" s="32"/>
      <c r="I275" s="32"/>
    </row>
    <row r="276" spans="1:9" ht="22.5" customHeight="1">
      <c r="A276" s="39"/>
      <c r="B276" s="40"/>
      <c r="C276" s="41"/>
      <c r="D276" s="32"/>
      <c r="E276" s="32"/>
      <c r="F276" s="32"/>
      <c r="G276" s="42"/>
      <c r="H276" s="32"/>
      <c r="I276" s="32"/>
    </row>
    <row r="277" spans="1:9" ht="22.5" customHeight="1">
      <c r="A277" s="39"/>
      <c r="B277" s="40"/>
      <c r="C277" s="41"/>
      <c r="D277" s="32"/>
      <c r="E277" s="32"/>
      <c r="F277" s="32"/>
      <c r="G277" s="42"/>
      <c r="H277" s="32"/>
      <c r="I277" s="32"/>
    </row>
    <row r="278" spans="1:9" ht="22.5" customHeight="1">
      <c r="A278" s="39"/>
      <c r="B278" s="40"/>
      <c r="C278" s="41"/>
      <c r="D278" s="32"/>
      <c r="E278" s="32"/>
      <c r="F278" s="32"/>
      <c r="G278" s="42"/>
      <c r="H278" s="32"/>
      <c r="I278" s="32"/>
    </row>
    <row r="279" spans="1:9" ht="22.5" customHeight="1">
      <c r="A279" s="39"/>
      <c r="B279" s="40"/>
      <c r="C279" s="41"/>
      <c r="D279" s="32"/>
      <c r="E279" s="32"/>
      <c r="F279" s="32"/>
      <c r="G279" s="42"/>
      <c r="H279" s="32"/>
      <c r="I279" s="32"/>
    </row>
    <row r="280" spans="1:9" ht="22.5" customHeight="1">
      <c r="A280" s="39"/>
      <c r="B280" s="40"/>
      <c r="C280" s="41"/>
      <c r="D280" s="32"/>
      <c r="E280" s="32"/>
      <c r="F280" s="32"/>
      <c r="G280" s="42"/>
      <c r="H280" s="32"/>
      <c r="I280" s="32"/>
    </row>
    <row r="281" spans="1:9" ht="22.5" customHeight="1">
      <c r="A281" s="39"/>
      <c r="B281" s="40"/>
      <c r="C281" s="41"/>
      <c r="D281" s="32"/>
      <c r="E281" s="32"/>
      <c r="F281" s="32"/>
      <c r="G281" s="42"/>
      <c r="H281" s="32"/>
      <c r="I281" s="32"/>
    </row>
    <row r="282" spans="1:9" ht="22.5" customHeight="1">
      <c r="A282" s="39"/>
      <c r="B282" s="40"/>
      <c r="C282" s="41"/>
      <c r="D282" s="32"/>
      <c r="E282" s="32"/>
      <c r="F282" s="32"/>
      <c r="G282" s="42"/>
      <c r="H282" s="32"/>
      <c r="I282" s="32"/>
    </row>
    <row r="283" spans="1:9" ht="22.5" customHeight="1">
      <c r="A283" s="39"/>
      <c r="B283" s="40"/>
      <c r="C283" s="41"/>
      <c r="D283" s="32"/>
      <c r="E283" s="32"/>
      <c r="F283" s="32"/>
      <c r="G283" s="42"/>
      <c r="H283" s="32"/>
      <c r="I283" s="32"/>
    </row>
    <row r="284" spans="1:9" ht="22.5" customHeight="1">
      <c r="A284" s="39"/>
      <c r="B284" s="40"/>
      <c r="C284" s="41"/>
      <c r="D284" s="32"/>
      <c r="E284" s="32"/>
      <c r="F284" s="32"/>
      <c r="G284" s="42"/>
      <c r="H284" s="32"/>
      <c r="I284" s="32"/>
    </row>
    <row r="285" spans="1:9" ht="22.5" customHeight="1">
      <c r="A285" s="39"/>
      <c r="B285" s="40"/>
      <c r="C285" s="41"/>
      <c r="D285" s="32"/>
      <c r="E285" s="32"/>
      <c r="F285" s="32"/>
      <c r="G285" s="42"/>
      <c r="H285" s="32"/>
      <c r="I285" s="32"/>
    </row>
    <row r="286" spans="1:9" ht="22.5" customHeight="1">
      <c r="A286" s="39"/>
      <c r="B286" s="40"/>
      <c r="C286" s="41"/>
      <c r="D286" s="32"/>
      <c r="E286" s="32"/>
      <c r="F286" s="32"/>
      <c r="G286" s="42"/>
      <c r="H286" s="32"/>
      <c r="I286" s="32"/>
    </row>
    <row r="287" spans="1:9" ht="22.5" customHeight="1">
      <c r="A287" s="39"/>
      <c r="B287" s="40"/>
      <c r="C287" s="41"/>
      <c r="D287" s="32"/>
      <c r="E287" s="32"/>
      <c r="F287" s="32"/>
      <c r="G287" s="42"/>
      <c r="H287" s="32"/>
      <c r="I287" s="32"/>
    </row>
    <row r="288" spans="1:9" ht="22.5" customHeight="1">
      <c r="A288" s="39"/>
      <c r="B288" s="40"/>
      <c r="C288" s="41"/>
      <c r="D288" s="32"/>
      <c r="E288" s="32"/>
      <c r="F288" s="32"/>
      <c r="G288" s="42"/>
      <c r="H288" s="32"/>
      <c r="I288" s="32"/>
    </row>
    <row r="289" spans="1:9" ht="22.5" customHeight="1">
      <c r="A289" s="39"/>
      <c r="B289" s="40"/>
      <c r="C289" s="41"/>
      <c r="D289" s="32"/>
      <c r="E289" s="32"/>
      <c r="F289" s="32"/>
      <c r="G289" s="42"/>
      <c r="H289" s="32"/>
      <c r="I289" s="32"/>
    </row>
    <row r="290" spans="1:9" ht="22.5" customHeight="1">
      <c r="A290" s="39"/>
      <c r="B290" s="40"/>
      <c r="C290" s="41"/>
      <c r="D290" s="32"/>
      <c r="E290" s="32"/>
      <c r="F290" s="32"/>
      <c r="G290" s="42"/>
      <c r="H290" s="32"/>
      <c r="I290" s="32"/>
    </row>
    <row r="291" spans="1:9" ht="22.5" customHeight="1">
      <c r="A291" s="39"/>
      <c r="B291" s="40"/>
      <c r="C291" s="41"/>
      <c r="D291" s="32"/>
      <c r="E291" s="32"/>
      <c r="F291" s="32"/>
      <c r="G291" s="42"/>
      <c r="H291" s="32"/>
      <c r="I291" s="32"/>
    </row>
    <row r="292" spans="1:9" ht="22.5" customHeight="1">
      <c r="A292" s="39"/>
      <c r="B292" s="40"/>
      <c r="C292" s="41"/>
      <c r="D292" s="32"/>
      <c r="E292" s="32"/>
      <c r="F292" s="32"/>
      <c r="G292" s="42"/>
      <c r="H292" s="32"/>
      <c r="I292" s="32"/>
    </row>
    <row r="293" spans="1:9" ht="22.5" customHeight="1">
      <c r="A293" s="39"/>
      <c r="B293" s="40"/>
      <c r="C293" s="41"/>
      <c r="D293" s="32"/>
      <c r="E293" s="32"/>
      <c r="F293" s="32"/>
      <c r="G293" s="42"/>
      <c r="H293" s="32"/>
      <c r="I293" s="32"/>
    </row>
    <row r="294" spans="1:9" ht="22.5" customHeight="1">
      <c r="A294" s="39"/>
      <c r="B294" s="40"/>
      <c r="C294" s="41"/>
      <c r="D294" s="32"/>
      <c r="E294" s="32"/>
      <c r="F294" s="32"/>
      <c r="G294" s="42"/>
      <c r="H294" s="32"/>
      <c r="I294" s="32"/>
    </row>
    <row r="295" spans="1:9" ht="22.5" customHeight="1">
      <c r="A295" s="39"/>
      <c r="B295" s="40"/>
      <c r="C295" s="41"/>
      <c r="D295" s="32"/>
      <c r="E295" s="32"/>
      <c r="F295" s="32"/>
      <c r="G295" s="42"/>
      <c r="H295" s="32"/>
      <c r="I295" s="32"/>
    </row>
    <row r="296" spans="1:9" ht="22.5" customHeight="1">
      <c r="A296" s="39"/>
      <c r="B296" s="40"/>
      <c r="C296" s="41"/>
      <c r="D296" s="32"/>
      <c r="E296" s="32"/>
      <c r="F296" s="32"/>
      <c r="G296" s="42"/>
      <c r="H296" s="32"/>
      <c r="I296" s="32"/>
    </row>
    <row r="297" spans="1:9" ht="22.5" customHeight="1">
      <c r="A297" s="39"/>
      <c r="B297" s="40"/>
      <c r="C297" s="41"/>
      <c r="D297" s="32"/>
      <c r="E297" s="32"/>
      <c r="F297" s="32"/>
      <c r="G297" s="42"/>
      <c r="H297" s="32"/>
      <c r="I297" s="32"/>
    </row>
    <row r="298" spans="1:9" ht="22.5" customHeight="1">
      <c r="A298" s="39"/>
      <c r="B298" s="40"/>
      <c r="C298" s="41"/>
      <c r="D298" s="32"/>
      <c r="E298" s="32"/>
      <c r="F298" s="32"/>
      <c r="G298" s="42"/>
      <c r="H298" s="32"/>
      <c r="I298" s="32"/>
    </row>
    <row r="299" spans="1:9" ht="22.5" customHeight="1">
      <c r="A299" s="39"/>
      <c r="B299" s="40"/>
      <c r="C299" s="41"/>
      <c r="D299" s="32"/>
      <c r="E299" s="32"/>
      <c r="F299" s="32"/>
      <c r="G299" s="42"/>
      <c r="H299" s="32"/>
      <c r="I299" s="32"/>
    </row>
    <row r="300" spans="1:9" ht="22.5" customHeight="1">
      <c r="A300" s="39"/>
      <c r="B300" s="40"/>
      <c r="C300" s="41"/>
      <c r="D300" s="32"/>
      <c r="E300" s="32"/>
      <c r="F300" s="32"/>
      <c r="G300" s="42"/>
      <c r="H300" s="32"/>
      <c r="I300" s="32"/>
    </row>
    <row r="301" spans="1:9" ht="22.5" customHeight="1">
      <c r="A301" s="39"/>
      <c r="B301" s="40"/>
      <c r="C301" s="41"/>
      <c r="D301" s="32"/>
      <c r="E301" s="32"/>
      <c r="F301" s="32"/>
      <c r="G301" s="42"/>
      <c r="H301" s="32"/>
      <c r="I301" s="32"/>
    </row>
    <row r="302" spans="1:9" ht="22.5" customHeight="1">
      <c r="A302" s="39"/>
      <c r="B302" s="40"/>
      <c r="C302" s="41"/>
      <c r="D302" s="32"/>
      <c r="E302" s="32"/>
      <c r="F302" s="32"/>
      <c r="G302" s="42"/>
      <c r="H302" s="32"/>
      <c r="I302" s="32"/>
    </row>
    <row r="303" spans="1:9" ht="22.5" customHeight="1">
      <c r="A303" s="39"/>
      <c r="B303" s="40"/>
      <c r="C303" s="41"/>
      <c r="D303" s="32"/>
      <c r="E303" s="32"/>
      <c r="F303" s="32"/>
      <c r="G303" s="42"/>
      <c r="H303" s="32"/>
      <c r="I303" s="32"/>
    </row>
    <row r="304" spans="1:9" ht="22.5" customHeight="1">
      <c r="A304" s="39"/>
      <c r="B304" s="40"/>
      <c r="C304" s="41"/>
      <c r="D304" s="32"/>
      <c r="E304" s="32"/>
      <c r="F304" s="32"/>
      <c r="G304" s="42"/>
      <c r="H304" s="32"/>
      <c r="I304" s="32"/>
    </row>
    <row r="305" spans="1:9" ht="22.5" customHeight="1">
      <c r="A305" s="39"/>
      <c r="B305" s="40"/>
      <c r="C305" s="41"/>
      <c r="D305" s="32"/>
      <c r="E305" s="32"/>
      <c r="F305" s="32"/>
      <c r="G305" s="42"/>
      <c r="H305" s="32"/>
      <c r="I305" s="32"/>
    </row>
    <row r="306" spans="1:9" ht="22.5" customHeight="1">
      <c r="A306" s="39"/>
      <c r="B306" s="40"/>
      <c r="C306" s="41"/>
      <c r="D306" s="32"/>
      <c r="E306" s="32"/>
      <c r="F306" s="32"/>
      <c r="G306" s="42"/>
      <c r="H306" s="32"/>
      <c r="I306" s="32"/>
    </row>
    <row r="307" spans="1:9" ht="22.5" customHeight="1">
      <c r="A307" s="39"/>
      <c r="B307" s="40"/>
      <c r="C307" s="41"/>
      <c r="D307" s="32"/>
      <c r="E307" s="32"/>
      <c r="F307" s="32"/>
      <c r="G307" s="42"/>
      <c r="H307" s="32"/>
      <c r="I307" s="32"/>
    </row>
    <row r="308" spans="1:9" ht="22.5" customHeight="1">
      <c r="A308" s="39"/>
      <c r="B308" s="40"/>
      <c r="C308" s="41"/>
      <c r="D308" s="32"/>
      <c r="E308" s="32"/>
      <c r="F308" s="32"/>
      <c r="G308" s="42"/>
      <c r="H308" s="32"/>
      <c r="I308" s="32"/>
    </row>
    <row r="309" spans="1:9" ht="22.5" customHeight="1">
      <c r="A309" s="39"/>
      <c r="B309" s="40"/>
      <c r="C309" s="41"/>
      <c r="D309" s="32"/>
      <c r="E309" s="32"/>
      <c r="F309" s="32"/>
      <c r="G309" s="42"/>
      <c r="H309" s="32"/>
      <c r="I309" s="32"/>
    </row>
    <row r="310" spans="1:9" ht="22.5" customHeight="1">
      <c r="A310" s="39"/>
      <c r="B310" s="40"/>
      <c r="C310" s="41"/>
      <c r="D310" s="32"/>
      <c r="E310" s="32"/>
      <c r="F310" s="32"/>
      <c r="G310" s="42"/>
      <c r="H310" s="32"/>
      <c r="I310" s="32"/>
    </row>
    <row r="311" spans="1:9" ht="22.5" customHeight="1">
      <c r="A311" s="39"/>
      <c r="B311" s="40"/>
      <c r="C311" s="41"/>
      <c r="D311" s="32"/>
      <c r="E311" s="32"/>
      <c r="F311" s="32"/>
      <c r="G311" s="42"/>
      <c r="H311" s="32"/>
      <c r="I311" s="32"/>
    </row>
    <row r="312" spans="1:9" ht="22.5" customHeight="1">
      <c r="A312" s="39"/>
      <c r="B312" s="40"/>
      <c r="C312" s="41"/>
      <c r="D312" s="32"/>
      <c r="E312" s="32"/>
      <c r="F312" s="32"/>
      <c r="G312" s="42"/>
      <c r="H312" s="32"/>
      <c r="I312" s="32"/>
    </row>
    <row r="313" spans="1:9" ht="22.5" customHeight="1">
      <c r="A313" s="39"/>
      <c r="B313" s="40"/>
      <c r="C313" s="41"/>
      <c r="D313" s="32"/>
      <c r="E313" s="32"/>
      <c r="F313" s="32"/>
      <c r="G313" s="42"/>
      <c r="H313" s="32"/>
      <c r="I313" s="32"/>
    </row>
    <row r="314" spans="1:9" ht="22.5" customHeight="1">
      <c r="A314" s="39"/>
      <c r="B314" s="40"/>
      <c r="C314" s="41"/>
      <c r="D314" s="32"/>
      <c r="E314" s="32"/>
      <c r="F314" s="32"/>
      <c r="G314" s="42"/>
      <c r="H314" s="32"/>
      <c r="I314" s="32"/>
    </row>
    <row r="315" spans="1:9" ht="22.5" customHeight="1">
      <c r="A315" s="39"/>
      <c r="B315" s="40"/>
      <c r="C315" s="41"/>
      <c r="D315" s="32"/>
      <c r="E315" s="32"/>
      <c r="F315" s="32"/>
      <c r="G315" s="42"/>
      <c r="H315" s="32"/>
      <c r="I315" s="32"/>
    </row>
    <row r="316" spans="1:9" ht="22.5" customHeight="1">
      <c r="A316" s="39"/>
      <c r="B316" s="40"/>
      <c r="C316" s="41"/>
      <c r="D316" s="32"/>
      <c r="E316" s="32"/>
      <c r="F316" s="32"/>
      <c r="G316" s="42"/>
      <c r="H316" s="32"/>
      <c r="I316" s="32"/>
    </row>
    <row r="317" spans="1:9" ht="22.5" customHeight="1">
      <c r="A317" s="39"/>
      <c r="B317" s="40"/>
      <c r="C317" s="41"/>
      <c r="D317" s="32"/>
      <c r="E317" s="32"/>
      <c r="F317" s="32"/>
      <c r="G317" s="42"/>
      <c r="H317" s="32"/>
      <c r="I317" s="32"/>
    </row>
    <row r="318" spans="1:9" ht="22.5" customHeight="1">
      <c r="A318" s="39"/>
      <c r="B318" s="40"/>
      <c r="C318" s="41"/>
      <c r="D318" s="32"/>
      <c r="E318" s="32"/>
      <c r="F318" s="32"/>
      <c r="G318" s="42"/>
      <c r="H318" s="32"/>
      <c r="I318" s="32"/>
    </row>
    <row r="319" spans="1:9" ht="22.5" customHeight="1">
      <c r="A319" s="39"/>
      <c r="B319" s="40"/>
      <c r="C319" s="41"/>
      <c r="D319" s="32"/>
      <c r="E319" s="32"/>
      <c r="F319" s="32"/>
      <c r="G319" s="42"/>
      <c r="H319" s="32"/>
      <c r="I319" s="32"/>
    </row>
    <row r="320" spans="1:9" ht="22.5" customHeight="1">
      <c r="A320" s="39"/>
      <c r="B320" s="40"/>
      <c r="C320" s="41"/>
      <c r="D320" s="32"/>
      <c r="E320" s="32"/>
      <c r="F320" s="32"/>
      <c r="G320" s="42"/>
      <c r="H320" s="32"/>
      <c r="I320" s="32"/>
    </row>
    <row r="321" spans="1:9" ht="22.5" customHeight="1">
      <c r="A321" s="39"/>
      <c r="B321" s="40"/>
      <c r="C321" s="41"/>
      <c r="D321" s="32"/>
      <c r="E321" s="32"/>
      <c r="F321" s="32"/>
      <c r="G321" s="42"/>
      <c r="H321" s="32"/>
      <c r="I321" s="32"/>
    </row>
    <row r="322" spans="1:9" ht="22.5" customHeight="1">
      <c r="A322" s="39"/>
      <c r="B322" s="40"/>
      <c r="C322" s="41"/>
      <c r="D322" s="32"/>
      <c r="E322" s="32"/>
      <c r="F322" s="32"/>
      <c r="G322" s="42"/>
      <c r="H322" s="32"/>
      <c r="I322" s="32"/>
    </row>
    <row r="323" spans="1:9" ht="22.5" customHeight="1">
      <c r="A323" s="39"/>
      <c r="B323" s="40"/>
      <c r="C323" s="41"/>
      <c r="D323" s="32"/>
      <c r="E323" s="32"/>
      <c r="F323" s="32"/>
      <c r="G323" s="42"/>
      <c r="H323" s="32"/>
      <c r="I323" s="32"/>
    </row>
    <row r="324" spans="1:9" ht="22.5" customHeight="1">
      <c r="A324" s="39"/>
      <c r="B324" s="40"/>
      <c r="C324" s="41"/>
      <c r="D324" s="32"/>
      <c r="E324" s="32"/>
      <c r="F324" s="32"/>
      <c r="G324" s="42"/>
      <c r="H324" s="32"/>
      <c r="I324" s="32"/>
    </row>
    <row r="325" spans="1:9" ht="22.5" customHeight="1">
      <c r="A325" s="39"/>
      <c r="B325" s="40"/>
      <c r="C325" s="41"/>
      <c r="D325" s="32"/>
      <c r="E325" s="32"/>
      <c r="F325" s="32"/>
      <c r="G325" s="42"/>
      <c r="H325" s="32"/>
      <c r="I325" s="32"/>
    </row>
    <row r="326" spans="1:9" ht="22.5" customHeight="1">
      <c r="A326" s="39"/>
      <c r="B326" s="40"/>
      <c r="C326" s="41"/>
      <c r="D326" s="32"/>
      <c r="E326" s="32"/>
      <c r="F326" s="32"/>
      <c r="G326" s="42"/>
      <c r="H326" s="32"/>
      <c r="I326" s="32"/>
    </row>
    <row r="327" spans="1:9" ht="22.5" customHeight="1">
      <c r="A327" s="39"/>
      <c r="B327" s="40"/>
      <c r="C327" s="41"/>
      <c r="D327" s="32"/>
      <c r="E327" s="32"/>
      <c r="F327" s="32"/>
      <c r="G327" s="42"/>
      <c r="H327" s="32"/>
      <c r="I327" s="32"/>
    </row>
    <row r="328" spans="1:9" ht="22.5" customHeight="1">
      <c r="A328" s="39"/>
      <c r="B328" s="40"/>
      <c r="C328" s="41"/>
      <c r="D328" s="32"/>
      <c r="E328" s="32"/>
      <c r="F328" s="32"/>
      <c r="G328" s="42"/>
      <c r="H328" s="32"/>
      <c r="I328" s="32"/>
    </row>
    <row r="329" spans="1:9" ht="22.5" customHeight="1">
      <c r="A329" s="39"/>
      <c r="B329" s="40"/>
      <c r="C329" s="41"/>
      <c r="D329" s="32"/>
      <c r="E329" s="32"/>
      <c r="F329" s="32"/>
      <c r="G329" s="42"/>
      <c r="H329" s="32"/>
      <c r="I329" s="32"/>
    </row>
    <row r="330" spans="1:9" ht="22.5" customHeight="1">
      <c r="A330" s="39"/>
      <c r="B330" s="40"/>
      <c r="C330" s="41"/>
      <c r="D330" s="32"/>
      <c r="E330" s="32"/>
      <c r="F330" s="32"/>
      <c r="G330" s="42"/>
      <c r="H330" s="32"/>
      <c r="I330" s="32"/>
    </row>
    <row r="331" spans="1:9" ht="22.5" customHeight="1">
      <c r="A331" s="39"/>
      <c r="B331" s="40"/>
      <c r="C331" s="41"/>
      <c r="D331" s="32"/>
      <c r="E331" s="32"/>
      <c r="F331" s="32"/>
      <c r="G331" s="42"/>
      <c r="H331" s="32"/>
      <c r="I331" s="32"/>
    </row>
    <row r="332" spans="1:9" ht="22.5" customHeight="1">
      <c r="A332" s="39"/>
      <c r="B332" s="40"/>
      <c r="C332" s="41"/>
      <c r="D332" s="32"/>
      <c r="E332" s="32"/>
      <c r="F332" s="32"/>
      <c r="G332" s="42"/>
      <c r="H332" s="32"/>
      <c r="I332" s="32"/>
    </row>
    <row r="333" spans="1:9" ht="22.5" customHeight="1">
      <c r="A333" s="39"/>
      <c r="B333" s="40"/>
      <c r="C333" s="41"/>
      <c r="D333" s="32"/>
      <c r="E333" s="32"/>
      <c r="F333" s="32"/>
      <c r="G333" s="42"/>
      <c r="H333" s="32"/>
      <c r="I333" s="32"/>
    </row>
    <row r="334" spans="1:9" ht="22.5" customHeight="1">
      <c r="A334" s="39"/>
      <c r="B334" s="40"/>
      <c r="C334" s="41"/>
      <c r="D334" s="32"/>
      <c r="E334" s="32"/>
      <c r="F334" s="32"/>
      <c r="G334" s="42"/>
      <c r="H334" s="32"/>
      <c r="I334" s="32"/>
    </row>
    <row r="335" spans="1:9" ht="22.5" customHeight="1">
      <c r="A335" s="39"/>
      <c r="B335" s="40"/>
      <c r="C335" s="41"/>
      <c r="D335" s="32"/>
      <c r="E335" s="32"/>
      <c r="F335" s="32"/>
      <c r="G335" s="42"/>
      <c r="H335" s="32"/>
      <c r="I335" s="32"/>
    </row>
    <row r="336" spans="1:9" ht="22.5" customHeight="1">
      <c r="A336" s="39"/>
      <c r="B336" s="40"/>
      <c r="C336" s="41"/>
      <c r="D336" s="32"/>
      <c r="E336" s="32"/>
      <c r="F336" s="32"/>
      <c r="G336" s="42"/>
      <c r="H336" s="32"/>
      <c r="I336" s="32"/>
    </row>
    <row r="337" spans="1:9" ht="22.5" customHeight="1">
      <c r="A337" s="39"/>
      <c r="B337" s="40"/>
      <c r="C337" s="41"/>
      <c r="D337" s="32"/>
      <c r="E337" s="32"/>
      <c r="F337" s="32"/>
      <c r="G337" s="42"/>
      <c r="H337" s="32"/>
      <c r="I337" s="32"/>
    </row>
    <row r="338" spans="1:9" ht="22.5" customHeight="1">
      <c r="A338" s="39"/>
      <c r="B338" s="40"/>
      <c r="C338" s="41"/>
      <c r="D338" s="32"/>
      <c r="E338" s="32"/>
      <c r="F338" s="32"/>
      <c r="G338" s="42"/>
      <c r="H338" s="32"/>
      <c r="I338" s="32"/>
    </row>
    <row r="339" spans="1:9" ht="22.5" customHeight="1">
      <c r="A339" s="39"/>
      <c r="B339" s="40"/>
      <c r="C339" s="41"/>
      <c r="D339" s="32"/>
      <c r="E339" s="32"/>
      <c r="F339" s="32"/>
      <c r="G339" s="42"/>
      <c r="H339" s="32"/>
      <c r="I339" s="32"/>
    </row>
    <row r="340" spans="1:9" ht="22.5" customHeight="1">
      <c r="A340" s="39"/>
      <c r="B340" s="40"/>
      <c r="C340" s="41"/>
      <c r="D340" s="32"/>
      <c r="E340" s="32"/>
      <c r="F340" s="32"/>
      <c r="G340" s="42"/>
      <c r="H340" s="32"/>
      <c r="I340" s="32"/>
    </row>
    <row r="341" spans="1:9" ht="22.5" customHeight="1">
      <c r="A341" s="39"/>
      <c r="B341" s="40"/>
      <c r="C341" s="41"/>
      <c r="D341" s="32"/>
      <c r="E341" s="32"/>
      <c r="F341" s="32"/>
      <c r="G341" s="42"/>
      <c r="H341" s="32"/>
      <c r="I341" s="32"/>
    </row>
    <row r="342" spans="1:9" ht="22.5" customHeight="1">
      <c r="A342" s="39"/>
      <c r="B342" s="40"/>
      <c r="C342" s="41"/>
      <c r="D342" s="32"/>
      <c r="E342" s="32"/>
      <c r="F342" s="32"/>
      <c r="G342" s="42"/>
      <c r="H342" s="32"/>
      <c r="I342" s="32"/>
    </row>
    <row r="343" spans="1:9" ht="22.5" customHeight="1">
      <c r="A343" s="39"/>
      <c r="B343" s="40"/>
      <c r="C343" s="41"/>
      <c r="D343" s="32"/>
      <c r="E343" s="32"/>
      <c r="F343" s="32"/>
      <c r="G343" s="42"/>
      <c r="H343" s="32"/>
      <c r="I343" s="32"/>
    </row>
    <row r="344" spans="1:9" ht="22.5" customHeight="1">
      <c r="A344" s="39"/>
      <c r="B344" s="40"/>
      <c r="C344" s="41"/>
      <c r="D344" s="32"/>
      <c r="E344" s="32"/>
      <c r="F344" s="32"/>
      <c r="G344" s="42"/>
      <c r="H344" s="32"/>
      <c r="I344" s="32"/>
    </row>
    <row r="345" spans="1:9" ht="22.5" customHeight="1">
      <c r="A345" s="39"/>
      <c r="B345" s="40"/>
      <c r="C345" s="41"/>
      <c r="D345" s="32"/>
      <c r="E345" s="32"/>
      <c r="F345" s="32"/>
      <c r="G345" s="42"/>
      <c r="H345" s="32"/>
      <c r="I345" s="32"/>
    </row>
    <row r="346" spans="1:9" ht="22.5" customHeight="1">
      <c r="A346" s="39"/>
      <c r="B346" s="40"/>
      <c r="C346" s="41"/>
      <c r="D346" s="32"/>
      <c r="E346" s="32"/>
      <c r="F346" s="32"/>
      <c r="G346" s="42"/>
      <c r="H346" s="32"/>
      <c r="I346" s="32"/>
    </row>
    <row r="347" spans="1:9" ht="22.5" customHeight="1">
      <c r="A347" s="39"/>
      <c r="B347" s="40"/>
      <c r="C347" s="41"/>
      <c r="D347" s="32"/>
      <c r="E347" s="32"/>
      <c r="F347" s="32"/>
      <c r="G347" s="42"/>
      <c r="H347" s="32"/>
      <c r="I347" s="32"/>
    </row>
    <row r="348" spans="1:9" ht="22.5" customHeight="1">
      <c r="A348" s="39"/>
      <c r="B348" s="40"/>
      <c r="C348" s="41"/>
      <c r="D348" s="32"/>
      <c r="E348" s="32"/>
      <c r="F348" s="32"/>
      <c r="G348" s="42"/>
      <c r="H348" s="32"/>
      <c r="I348" s="32"/>
    </row>
    <row r="349" spans="1:9" ht="22.5" customHeight="1">
      <c r="A349" s="39"/>
      <c r="B349" s="40"/>
      <c r="C349" s="41"/>
      <c r="D349" s="32"/>
      <c r="E349" s="32"/>
      <c r="F349" s="32"/>
      <c r="G349" s="42"/>
      <c r="H349" s="32"/>
      <c r="I349" s="32"/>
    </row>
    <row r="350" spans="1:9" ht="22.5" customHeight="1">
      <c r="A350" s="39"/>
      <c r="B350" s="40"/>
      <c r="C350" s="41"/>
      <c r="D350" s="32"/>
      <c r="E350" s="32"/>
      <c r="F350" s="32"/>
      <c r="G350" s="42"/>
      <c r="H350" s="32"/>
      <c r="I350" s="32"/>
    </row>
    <row r="351" spans="1:9" ht="22.5" customHeight="1">
      <c r="A351" s="39"/>
      <c r="B351" s="40"/>
      <c r="C351" s="41"/>
      <c r="D351" s="32"/>
      <c r="E351" s="32"/>
      <c r="F351" s="32"/>
      <c r="G351" s="42"/>
      <c r="H351" s="32"/>
      <c r="I351" s="32"/>
    </row>
    <row r="352" spans="1:9" ht="22.5" customHeight="1">
      <c r="A352" s="39"/>
      <c r="B352" s="40"/>
      <c r="C352" s="41"/>
      <c r="D352" s="32"/>
      <c r="E352" s="32"/>
      <c r="F352" s="32"/>
      <c r="G352" s="42"/>
      <c r="H352" s="32"/>
      <c r="I352" s="32"/>
    </row>
    <row r="353" spans="1:9" ht="22.5" customHeight="1">
      <c r="A353" s="39"/>
      <c r="B353" s="40"/>
      <c r="C353" s="41"/>
      <c r="D353" s="32"/>
      <c r="E353" s="32"/>
      <c r="F353" s="32"/>
      <c r="G353" s="42"/>
      <c r="H353" s="32"/>
      <c r="I353" s="32"/>
    </row>
    <row r="354" spans="1:9" ht="22.5" customHeight="1">
      <c r="A354" s="39"/>
      <c r="B354" s="40"/>
      <c r="C354" s="41"/>
      <c r="D354" s="32"/>
      <c r="E354" s="32"/>
      <c r="F354" s="32"/>
      <c r="G354" s="42"/>
      <c r="H354" s="32"/>
      <c r="I354" s="32"/>
    </row>
    <row r="355" spans="1:9" ht="22.5" customHeight="1">
      <c r="A355" s="39"/>
      <c r="B355" s="40"/>
      <c r="C355" s="41"/>
      <c r="D355" s="32"/>
      <c r="E355" s="32"/>
      <c r="F355" s="32"/>
      <c r="G355" s="42"/>
      <c r="H355" s="32"/>
      <c r="I355" s="32"/>
    </row>
    <row r="356" spans="1:9" ht="22.5" customHeight="1">
      <c r="A356" s="39"/>
      <c r="B356" s="40"/>
      <c r="C356" s="41"/>
      <c r="D356" s="32"/>
      <c r="E356" s="32"/>
      <c r="F356" s="32"/>
      <c r="G356" s="42"/>
      <c r="H356" s="32"/>
      <c r="I356" s="32"/>
    </row>
    <row r="357" spans="1:9" ht="22.5" customHeight="1">
      <c r="A357" s="39"/>
      <c r="B357" s="40"/>
      <c r="C357" s="41"/>
      <c r="D357" s="32"/>
      <c r="E357" s="32"/>
      <c r="F357" s="32"/>
      <c r="G357" s="42"/>
      <c r="H357" s="32"/>
      <c r="I357" s="32"/>
    </row>
    <row r="358" spans="1:9" ht="22.5" customHeight="1">
      <c r="A358" s="39"/>
      <c r="B358" s="40"/>
      <c r="C358" s="41"/>
      <c r="D358" s="32"/>
      <c r="E358" s="32"/>
      <c r="F358" s="32"/>
      <c r="G358" s="42"/>
      <c r="H358" s="32"/>
      <c r="I358" s="32"/>
    </row>
    <row r="359" spans="1:9" ht="22.5" customHeight="1">
      <c r="A359" s="39"/>
      <c r="B359" s="40"/>
      <c r="C359" s="41"/>
      <c r="D359" s="32"/>
      <c r="E359" s="32"/>
      <c r="F359" s="32"/>
      <c r="G359" s="42"/>
      <c r="H359" s="32"/>
      <c r="I359" s="32"/>
    </row>
    <row r="360" spans="1:9" ht="22.5" customHeight="1">
      <c r="A360" s="39"/>
      <c r="B360" s="40"/>
      <c r="C360" s="41"/>
      <c r="D360" s="32"/>
      <c r="E360" s="32"/>
      <c r="F360" s="32"/>
      <c r="G360" s="42"/>
      <c r="H360" s="32"/>
      <c r="I360" s="32"/>
    </row>
    <row r="361" spans="1:9" ht="22.5" customHeight="1">
      <c r="A361" s="39"/>
      <c r="B361" s="40"/>
      <c r="C361" s="41"/>
      <c r="D361" s="32"/>
      <c r="E361" s="32"/>
      <c r="F361" s="32"/>
      <c r="G361" s="42"/>
      <c r="H361" s="32"/>
      <c r="I361" s="32"/>
    </row>
    <row r="362" spans="1:9" ht="22.5" customHeight="1">
      <c r="A362" s="39"/>
      <c r="B362" s="40"/>
      <c r="C362" s="41"/>
      <c r="D362" s="32"/>
      <c r="E362" s="32"/>
      <c r="F362" s="32"/>
      <c r="G362" s="42"/>
      <c r="H362" s="32"/>
      <c r="I362" s="32"/>
    </row>
    <row r="363" spans="1:9" ht="22.5" customHeight="1">
      <c r="A363" s="39"/>
      <c r="B363" s="40"/>
      <c r="C363" s="41"/>
      <c r="D363" s="32"/>
      <c r="E363" s="32"/>
      <c r="F363" s="32"/>
      <c r="G363" s="42"/>
      <c r="H363" s="32"/>
      <c r="I363" s="32"/>
    </row>
    <row r="364" spans="1:9" ht="22.5" customHeight="1">
      <c r="A364" s="39"/>
      <c r="B364" s="40"/>
      <c r="C364" s="41"/>
      <c r="D364" s="32"/>
      <c r="E364" s="32"/>
      <c r="F364" s="32"/>
      <c r="G364" s="42"/>
      <c r="H364" s="32"/>
      <c r="I364" s="32"/>
    </row>
    <row r="365" spans="1:9" ht="22.5" customHeight="1">
      <c r="A365" s="39"/>
      <c r="B365" s="40"/>
      <c r="C365" s="41"/>
      <c r="D365" s="32"/>
      <c r="E365" s="32"/>
      <c r="F365" s="32"/>
      <c r="G365" s="42"/>
      <c r="H365" s="32"/>
      <c r="I365" s="32"/>
    </row>
    <row r="366" spans="1:9" ht="22.5" customHeight="1">
      <c r="A366" s="39"/>
      <c r="B366" s="40"/>
      <c r="C366" s="41"/>
      <c r="D366" s="32"/>
      <c r="E366" s="32"/>
      <c r="F366" s="32"/>
      <c r="G366" s="42"/>
      <c r="H366" s="32"/>
      <c r="I366" s="32"/>
    </row>
    <row r="367" spans="1:9" ht="22.5" customHeight="1">
      <c r="A367" s="39"/>
      <c r="B367" s="40"/>
      <c r="C367" s="41"/>
      <c r="D367" s="32"/>
      <c r="E367" s="32"/>
      <c r="F367" s="32"/>
      <c r="G367" s="42"/>
      <c r="H367" s="32"/>
      <c r="I367" s="32"/>
    </row>
    <row r="368" spans="1:9" ht="22.5" customHeight="1">
      <c r="A368" s="39"/>
      <c r="B368" s="40"/>
      <c r="C368" s="41"/>
      <c r="D368" s="32"/>
      <c r="E368" s="32"/>
      <c r="F368" s="32"/>
      <c r="G368" s="42"/>
      <c r="H368" s="32"/>
      <c r="I368" s="32"/>
    </row>
    <row r="369" spans="1:9" ht="22.5" customHeight="1">
      <c r="A369" s="39"/>
      <c r="B369" s="40"/>
      <c r="C369" s="41"/>
      <c r="D369" s="32"/>
      <c r="E369" s="32"/>
      <c r="F369" s="32"/>
      <c r="G369" s="42"/>
      <c r="H369" s="32"/>
      <c r="I369" s="32"/>
    </row>
    <row r="370" spans="1:9" ht="22.5" customHeight="1">
      <c r="A370" s="39"/>
      <c r="B370" s="40"/>
      <c r="C370" s="41"/>
      <c r="D370" s="32"/>
      <c r="E370" s="32"/>
      <c r="F370" s="32"/>
      <c r="G370" s="42"/>
      <c r="H370" s="32"/>
      <c r="I370" s="32"/>
    </row>
    <row r="371" spans="1:9" ht="22.5" customHeight="1">
      <c r="A371" s="39"/>
      <c r="B371" s="40"/>
      <c r="C371" s="41"/>
      <c r="D371" s="32"/>
      <c r="E371" s="32"/>
      <c r="F371" s="32"/>
      <c r="G371" s="42"/>
      <c r="H371" s="32"/>
      <c r="I371" s="32"/>
    </row>
    <row r="372" spans="1:9" ht="22.5" customHeight="1">
      <c r="A372" s="39"/>
      <c r="B372" s="40"/>
      <c r="C372" s="41"/>
      <c r="D372" s="32"/>
      <c r="E372" s="32"/>
      <c r="F372" s="32"/>
      <c r="G372" s="42"/>
      <c r="H372" s="32"/>
      <c r="I372" s="32"/>
    </row>
    <row r="373" spans="1:9" ht="22.5" customHeight="1">
      <c r="A373" s="39"/>
      <c r="B373" s="40"/>
      <c r="C373" s="41"/>
      <c r="D373" s="32"/>
      <c r="E373" s="32"/>
      <c r="F373" s="32"/>
      <c r="G373" s="42"/>
      <c r="H373" s="32"/>
      <c r="I373" s="32"/>
    </row>
    <row r="374" spans="1:9" ht="22.5" customHeight="1">
      <c r="A374" s="39"/>
      <c r="B374" s="40"/>
      <c r="C374" s="41"/>
      <c r="D374" s="32"/>
      <c r="E374" s="32"/>
      <c r="F374" s="32"/>
      <c r="G374" s="42"/>
      <c r="H374" s="32"/>
      <c r="I374" s="32"/>
    </row>
    <row r="375" spans="1:9" ht="22.5" customHeight="1">
      <c r="A375" s="39"/>
      <c r="B375" s="40"/>
      <c r="C375" s="41"/>
      <c r="D375" s="32"/>
      <c r="E375" s="32"/>
      <c r="F375" s="32"/>
      <c r="G375" s="42"/>
      <c r="H375" s="32"/>
      <c r="I375" s="32"/>
    </row>
    <row r="376" spans="1:9" ht="22.5" customHeight="1">
      <c r="A376" s="39"/>
      <c r="B376" s="40"/>
      <c r="C376" s="41"/>
      <c r="D376" s="32"/>
      <c r="E376" s="32"/>
      <c r="F376" s="32"/>
      <c r="G376" s="42"/>
      <c r="H376" s="32"/>
      <c r="I376" s="32"/>
    </row>
    <row r="377" spans="1:9" ht="22.5" customHeight="1">
      <c r="A377" s="39"/>
      <c r="B377" s="40"/>
      <c r="C377" s="41"/>
      <c r="D377" s="32"/>
      <c r="E377" s="32"/>
      <c r="F377" s="32"/>
      <c r="G377" s="42"/>
      <c r="H377" s="32"/>
      <c r="I377" s="32"/>
    </row>
    <row r="378" spans="1:9" ht="22.5" customHeight="1">
      <c r="A378" s="39"/>
      <c r="B378" s="40"/>
      <c r="C378" s="41"/>
      <c r="D378" s="32"/>
      <c r="E378" s="32"/>
      <c r="F378" s="32"/>
      <c r="G378" s="42"/>
      <c r="H378" s="32"/>
      <c r="I378" s="32"/>
    </row>
    <row r="379" spans="1:9" ht="22.5" customHeight="1">
      <c r="A379" s="39"/>
      <c r="B379" s="40"/>
      <c r="C379" s="41"/>
      <c r="D379" s="32"/>
      <c r="E379" s="32"/>
      <c r="F379" s="32"/>
      <c r="G379" s="42"/>
      <c r="H379" s="32"/>
      <c r="I379" s="32"/>
    </row>
    <row r="380" spans="1:9" ht="22.5" customHeight="1">
      <c r="A380" s="39"/>
      <c r="B380" s="40"/>
      <c r="C380" s="41"/>
      <c r="D380" s="32"/>
      <c r="E380" s="32"/>
      <c r="F380" s="32"/>
      <c r="G380" s="42"/>
      <c r="H380" s="32"/>
      <c r="I380" s="32"/>
    </row>
    <row r="381" spans="1:9" ht="22.5" customHeight="1">
      <c r="A381" s="39"/>
      <c r="B381" s="40"/>
      <c r="C381" s="41"/>
      <c r="D381" s="32"/>
      <c r="E381" s="32"/>
      <c r="F381" s="32"/>
      <c r="G381" s="42"/>
      <c r="H381" s="32"/>
      <c r="I381" s="32"/>
    </row>
    <row r="382" spans="1:9" ht="22.5" customHeight="1">
      <c r="A382" s="39"/>
      <c r="B382" s="40"/>
      <c r="C382" s="41"/>
      <c r="D382" s="32"/>
      <c r="E382" s="32"/>
      <c r="F382" s="32"/>
      <c r="G382" s="42"/>
      <c r="H382" s="32"/>
      <c r="I382" s="32"/>
    </row>
    <row r="383" spans="1:9" ht="22.5" customHeight="1">
      <c r="A383" s="39"/>
      <c r="B383" s="40"/>
      <c r="C383" s="41"/>
      <c r="D383" s="32"/>
      <c r="E383" s="32"/>
      <c r="F383" s="32"/>
      <c r="G383" s="42"/>
      <c r="H383" s="32"/>
      <c r="I383" s="32"/>
    </row>
    <row r="384" spans="1:9" ht="22.5" customHeight="1">
      <c r="A384" s="39"/>
      <c r="B384" s="40"/>
      <c r="C384" s="41"/>
      <c r="D384" s="32"/>
      <c r="E384" s="32"/>
      <c r="F384" s="32"/>
      <c r="G384" s="42"/>
      <c r="H384" s="32"/>
      <c r="I384" s="32"/>
    </row>
    <row r="385" spans="1:9" ht="22.5" customHeight="1">
      <c r="A385" s="39"/>
      <c r="B385" s="40"/>
      <c r="C385" s="41"/>
      <c r="D385" s="32"/>
      <c r="E385" s="32"/>
      <c r="F385" s="32"/>
      <c r="G385" s="42"/>
      <c r="H385" s="32"/>
      <c r="I385" s="32"/>
    </row>
    <row r="386" spans="1:9" ht="22.5" customHeight="1">
      <c r="A386" s="39"/>
      <c r="B386" s="40"/>
      <c r="C386" s="41"/>
      <c r="D386" s="32"/>
      <c r="E386" s="32"/>
      <c r="F386" s="32"/>
      <c r="G386" s="42"/>
      <c r="H386" s="32"/>
      <c r="I386" s="32"/>
    </row>
    <row r="387" spans="1:9" ht="22.5" customHeight="1">
      <c r="A387" s="39"/>
      <c r="B387" s="40"/>
      <c r="C387" s="41"/>
      <c r="D387" s="32"/>
      <c r="E387" s="32"/>
      <c r="F387" s="32"/>
      <c r="G387" s="42"/>
      <c r="H387" s="32"/>
      <c r="I387" s="32"/>
    </row>
    <row r="388" spans="1:9" ht="22.5" customHeight="1">
      <c r="A388" s="39"/>
      <c r="B388" s="40"/>
      <c r="C388" s="41"/>
      <c r="D388" s="32"/>
      <c r="E388" s="32"/>
      <c r="F388" s="32"/>
      <c r="G388" s="42"/>
      <c r="H388" s="32"/>
      <c r="I388" s="32"/>
    </row>
    <row r="389" spans="1:9" ht="22.5" customHeight="1">
      <c r="A389" s="39"/>
      <c r="B389" s="40"/>
      <c r="C389" s="41"/>
      <c r="D389" s="32"/>
      <c r="E389" s="32"/>
      <c r="F389" s="32"/>
      <c r="G389" s="42"/>
      <c r="H389" s="32"/>
      <c r="I389" s="32"/>
    </row>
    <row r="390" spans="1:9" ht="22.5" customHeight="1">
      <c r="A390" s="39"/>
      <c r="B390" s="40"/>
      <c r="C390" s="41"/>
      <c r="D390" s="32"/>
      <c r="E390" s="32"/>
      <c r="F390" s="32"/>
      <c r="G390" s="42"/>
      <c r="H390" s="32"/>
      <c r="I390" s="32"/>
    </row>
    <row r="391" spans="1:9" ht="22.5" customHeight="1">
      <c r="A391" s="39"/>
      <c r="B391" s="40"/>
      <c r="C391" s="41"/>
      <c r="D391" s="32"/>
      <c r="E391" s="32"/>
      <c r="F391" s="32"/>
      <c r="G391" s="42"/>
      <c r="H391" s="32"/>
      <c r="I391" s="32"/>
    </row>
    <row r="392" spans="1:9" ht="22.5" customHeight="1">
      <c r="A392" s="39"/>
      <c r="B392" s="40"/>
      <c r="C392" s="41"/>
      <c r="D392" s="32"/>
      <c r="E392" s="32"/>
      <c r="F392" s="32"/>
      <c r="G392" s="42"/>
      <c r="H392" s="32"/>
      <c r="I392" s="32"/>
    </row>
    <row r="393" spans="1:9" ht="22.5" customHeight="1">
      <c r="A393" s="39"/>
      <c r="B393" s="40"/>
      <c r="C393" s="41"/>
      <c r="D393" s="32"/>
      <c r="E393" s="32"/>
      <c r="F393" s="32"/>
      <c r="G393" s="42"/>
      <c r="H393" s="32"/>
      <c r="I393" s="32"/>
    </row>
    <row r="394" spans="1:9" ht="22.5" customHeight="1">
      <c r="A394" s="39"/>
      <c r="B394" s="40"/>
      <c r="C394" s="41"/>
      <c r="D394" s="32"/>
      <c r="E394" s="32"/>
      <c r="F394" s="32"/>
      <c r="G394" s="42"/>
      <c r="H394" s="32"/>
      <c r="I394" s="32"/>
    </row>
    <row r="395" spans="1:9" ht="22.5" customHeight="1">
      <c r="A395" s="39"/>
      <c r="B395" s="40"/>
      <c r="C395" s="41"/>
      <c r="D395" s="32"/>
      <c r="E395" s="32"/>
      <c r="F395" s="32"/>
      <c r="G395" s="42"/>
      <c r="H395" s="32"/>
      <c r="I395" s="32"/>
    </row>
    <row r="396" spans="1:9" ht="22.5" customHeight="1">
      <c r="A396" s="39"/>
      <c r="B396" s="40"/>
      <c r="C396" s="41"/>
      <c r="D396" s="32"/>
      <c r="E396" s="32"/>
      <c r="F396" s="32"/>
      <c r="G396" s="42"/>
      <c r="H396" s="32"/>
      <c r="I396" s="32"/>
    </row>
    <row r="397" spans="1:9" ht="22.5" customHeight="1">
      <c r="A397" s="39"/>
      <c r="B397" s="40"/>
      <c r="C397" s="41"/>
      <c r="D397" s="32"/>
      <c r="E397" s="32"/>
      <c r="F397" s="32"/>
      <c r="G397" s="42"/>
      <c r="H397" s="32"/>
      <c r="I397" s="32"/>
    </row>
    <row r="398" spans="1:9" ht="22.5" customHeight="1">
      <c r="A398" s="39"/>
      <c r="B398" s="40"/>
      <c r="C398" s="41"/>
      <c r="D398" s="32"/>
      <c r="E398" s="32"/>
      <c r="F398" s="32"/>
      <c r="G398" s="42"/>
      <c r="H398" s="32"/>
      <c r="I398" s="32"/>
    </row>
    <row r="399" spans="1:9" ht="22.5" customHeight="1">
      <c r="A399" s="39"/>
      <c r="B399" s="40"/>
      <c r="C399" s="41"/>
      <c r="D399" s="32"/>
      <c r="E399" s="32"/>
      <c r="F399" s="32"/>
      <c r="G399" s="42"/>
      <c r="H399" s="32"/>
      <c r="I399" s="32"/>
    </row>
    <row r="400" spans="1:9" ht="22.5" customHeight="1">
      <c r="A400" s="39"/>
      <c r="B400" s="40"/>
      <c r="C400" s="41"/>
      <c r="D400" s="32"/>
      <c r="E400" s="32"/>
      <c r="F400" s="32"/>
      <c r="G400" s="42"/>
      <c r="H400" s="32"/>
      <c r="I400" s="32"/>
    </row>
    <row r="401" spans="1:9" ht="22.5" customHeight="1">
      <c r="A401" s="39"/>
      <c r="B401" s="40"/>
      <c r="C401" s="41"/>
      <c r="D401" s="32"/>
      <c r="E401" s="32"/>
      <c r="F401" s="32"/>
      <c r="G401" s="42"/>
      <c r="H401" s="32"/>
      <c r="I401" s="32"/>
    </row>
    <row r="402" spans="1:9" ht="22.5" customHeight="1">
      <c r="A402" s="39"/>
      <c r="B402" s="40"/>
      <c r="C402" s="41"/>
      <c r="D402" s="32"/>
      <c r="E402" s="32"/>
      <c r="F402" s="32"/>
      <c r="G402" s="42"/>
      <c r="H402" s="32"/>
      <c r="I402" s="32"/>
    </row>
    <row r="403" spans="1:9" ht="22.5" customHeight="1">
      <c r="A403" s="39"/>
      <c r="B403" s="40"/>
      <c r="C403" s="41"/>
      <c r="D403" s="32"/>
      <c r="E403" s="32"/>
      <c r="F403" s="32"/>
      <c r="G403" s="42"/>
      <c r="H403" s="32"/>
      <c r="I403" s="32"/>
    </row>
    <row r="404" spans="1:9" ht="22.5" customHeight="1">
      <c r="A404" s="39"/>
      <c r="B404" s="40"/>
      <c r="C404" s="41"/>
      <c r="D404" s="32"/>
      <c r="E404" s="32"/>
      <c r="F404" s="32"/>
      <c r="G404" s="42"/>
      <c r="H404" s="32"/>
      <c r="I404" s="32"/>
    </row>
    <row r="405" spans="1:9" ht="22.5" customHeight="1">
      <c r="A405" s="39"/>
      <c r="B405" s="40"/>
      <c r="C405" s="41"/>
      <c r="D405" s="32"/>
      <c r="E405" s="32"/>
      <c r="F405" s="32"/>
      <c r="G405" s="42"/>
      <c r="H405" s="32"/>
      <c r="I405" s="32"/>
    </row>
    <row r="406" spans="1:9" ht="22.5" customHeight="1">
      <c r="A406" s="39"/>
      <c r="B406" s="40"/>
      <c r="C406" s="41"/>
      <c r="D406" s="32"/>
      <c r="E406" s="32"/>
      <c r="F406" s="32"/>
      <c r="G406" s="42"/>
      <c r="H406" s="32"/>
      <c r="I406" s="32"/>
    </row>
    <row r="407" spans="1:9" ht="22.5" customHeight="1">
      <c r="A407" s="39"/>
      <c r="B407" s="40"/>
      <c r="C407" s="41"/>
      <c r="D407" s="32"/>
      <c r="E407" s="32"/>
      <c r="F407" s="32"/>
      <c r="G407" s="42"/>
      <c r="H407" s="32"/>
      <c r="I407" s="32"/>
    </row>
    <row r="408" spans="1:9" ht="22.5" customHeight="1">
      <c r="A408" s="39"/>
      <c r="B408" s="40"/>
      <c r="C408" s="41"/>
      <c r="D408" s="32"/>
      <c r="E408" s="32"/>
      <c r="F408" s="32"/>
      <c r="G408" s="42"/>
      <c r="H408" s="32"/>
      <c r="I408" s="32"/>
    </row>
    <row r="409" spans="1:9" ht="22.5" customHeight="1">
      <c r="A409" s="39"/>
      <c r="B409" s="40"/>
      <c r="C409" s="41"/>
      <c r="D409" s="32"/>
      <c r="E409" s="32"/>
      <c r="F409" s="32"/>
      <c r="G409" s="42"/>
      <c r="H409" s="32"/>
      <c r="I409" s="32"/>
    </row>
    <row r="410" spans="1:9" ht="22.5" customHeight="1">
      <c r="A410" s="39"/>
      <c r="B410" s="40"/>
      <c r="C410" s="41"/>
      <c r="D410" s="32"/>
      <c r="E410" s="32"/>
      <c r="F410" s="32"/>
      <c r="G410" s="42"/>
      <c r="H410" s="32"/>
      <c r="I410" s="32"/>
    </row>
    <row r="411" spans="1:9" ht="22.5" customHeight="1">
      <c r="A411" s="39"/>
      <c r="B411" s="40"/>
      <c r="C411" s="41"/>
      <c r="D411" s="32"/>
      <c r="E411" s="32"/>
      <c r="F411" s="32"/>
      <c r="G411" s="42"/>
      <c r="H411" s="32"/>
      <c r="I411" s="32"/>
    </row>
    <row r="412" spans="1:9" ht="22.5" customHeight="1">
      <c r="A412" s="39"/>
      <c r="B412" s="40"/>
      <c r="C412" s="41"/>
      <c r="D412" s="32"/>
      <c r="E412" s="32"/>
      <c r="F412" s="32"/>
      <c r="G412" s="42"/>
      <c r="H412" s="32"/>
      <c r="I412" s="32"/>
    </row>
    <row r="413" spans="1:9" ht="22.5" customHeight="1">
      <c r="A413" s="39"/>
      <c r="B413" s="40"/>
      <c r="C413" s="41"/>
      <c r="D413" s="32"/>
      <c r="E413" s="32"/>
      <c r="F413" s="32"/>
      <c r="G413" s="42"/>
      <c r="H413" s="32"/>
      <c r="I413" s="32"/>
    </row>
    <row r="414" spans="1:9" ht="22.5" customHeight="1">
      <c r="A414" s="39"/>
      <c r="B414" s="40"/>
      <c r="C414" s="41"/>
      <c r="D414" s="32"/>
      <c r="E414" s="32"/>
      <c r="F414" s="32"/>
      <c r="G414" s="42"/>
      <c r="H414" s="32"/>
      <c r="I414" s="32"/>
    </row>
    <row r="415" spans="1:9" ht="22.5" customHeight="1">
      <c r="A415" s="39"/>
      <c r="B415" s="40"/>
      <c r="C415" s="41"/>
      <c r="D415" s="32"/>
      <c r="E415" s="32"/>
      <c r="F415" s="32"/>
      <c r="G415" s="42"/>
      <c r="H415" s="32"/>
      <c r="I415" s="32"/>
    </row>
    <row r="416" spans="1:9" ht="22.5" customHeight="1">
      <c r="A416" s="39"/>
      <c r="B416" s="40"/>
      <c r="C416" s="41"/>
      <c r="D416" s="32"/>
      <c r="E416" s="32"/>
      <c r="F416" s="32"/>
      <c r="G416" s="42"/>
      <c r="H416" s="32"/>
      <c r="I416" s="32"/>
    </row>
    <row r="417" spans="1:9" ht="22.5" customHeight="1">
      <c r="A417" s="39"/>
      <c r="B417" s="40"/>
      <c r="C417" s="41"/>
      <c r="D417" s="32"/>
      <c r="E417" s="32"/>
      <c r="F417" s="32"/>
      <c r="G417" s="42"/>
      <c r="H417" s="32"/>
      <c r="I417" s="32"/>
    </row>
    <row r="418" spans="1:9" ht="22.5" customHeight="1">
      <c r="A418" s="39"/>
      <c r="B418" s="40"/>
      <c r="C418" s="41"/>
      <c r="D418" s="32"/>
      <c r="E418" s="32"/>
      <c r="F418" s="32"/>
      <c r="G418" s="42"/>
      <c r="H418" s="32"/>
      <c r="I418" s="32"/>
    </row>
    <row r="419" spans="1:9" ht="22.5" customHeight="1">
      <c r="A419" s="39"/>
      <c r="B419" s="40"/>
      <c r="C419" s="41"/>
      <c r="D419" s="32"/>
      <c r="E419" s="32"/>
      <c r="F419" s="32"/>
      <c r="G419" s="42"/>
      <c r="H419" s="32"/>
      <c r="I419" s="32"/>
    </row>
    <row r="420" spans="1:9" ht="22.5" customHeight="1">
      <c r="A420" s="39"/>
      <c r="B420" s="40"/>
      <c r="C420" s="41"/>
      <c r="D420" s="32"/>
      <c r="E420" s="32"/>
      <c r="F420" s="32"/>
      <c r="G420" s="42"/>
      <c r="H420" s="32"/>
      <c r="I420" s="32"/>
    </row>
    <row r="421" spans="1:9" ht="22.5" customHeight="1">
      <c r="A421" s="39"/>
      <c r="B421" s="40"/>
      <c r="C421" s="41"/>
      <c r="D421" s="32"/>
      <c r="E421" s="32"/>
      <c r="F421" s="32"/>
      <c r="G421" s="42"/>
      <c r="H421" s="32"/>
      <c r="I421" s="32"/>
    </row>
    <row r="422" spans="1:9" ht="22.5" customHeight="1">
      <c r="A422" s="39"/>
      <c r="B422" s="40"/>
      <c r="C422" s="41"/>
      <c r="D422" s="32"/>
      <c r="E422" s="32"/>
      <c r="F422" s="32"/>
      <c r="G422" s="42"/>
      <c r="H422" s="32"/>
      <c r="I422" s="32"/>
    </row>
    <row r="423" spans="1:9" ht="22.5" customHeight="1">
      <c r="A423" s="39"/>
      <c r="B423" s="40"/>
      <c r="C423" s="41"/>
      <c r="D423" s="32"/>
      <c r="E423" s="32"/>
      <c r="F423" s="32"/>
      <c r="G423" s="42"/>
      <c r="H423" s="32"/>
      <c r="I423" s="32"/>
    </row>
    <row r="424" spans="1:9" ht="22.5" customHeight="1">
      <c r="A424" s="39"/>
      <c r="B424" s="40"/>
      <c r="C424" s="41"/>
      <c r="D424" s="32"/>
      <c r="E424" s="32"/>
      <c r="F424" s="32"/>
      <c r="G424" s="42"/>
      <c r="H424" s="32"/>
      <c r="I424" s="32"/>
    </row>
    <row r="425" spans="1:9" ht="22.5" customHeight="1">
      <c r="A425" s="39"/>
      <c r="B425" s="40"/>
      <c r="C425" s="41"/>
      <c r="D425" s="32"/>
      <c r="E425" s="32"/>
      <c r="F425" s="32"/>
      <c r="G425" s="42"/>
      <c r="H425" s="32"/>
      <c r="I425" s="32"/>
    </row>
    <row r="426" spans="1:9" ht="22.5" customHeight="1">
      <c r="A426" s="39"/>
      <c r="B426" s="40"/>
      <c r="C426" s="41"/>
      <c r="D426" s="32"/>
      <c r="E426" s="32"/>
      <c r="F426" s="32"/>
      <c r="G426" s="42"/>
      <c r="H426" s="32"/>
      <c r="I426" s="32"/>
    </row>
    <row r="427" spans="1:9" ht="22.5" customHeight="1">
      <c r="A427" s="39"/>
      <c r="B427" s="40"/>
      <c r="C427" s="41"/>
      <c r="D427" s="32"/>
      <c r="E427" s="32"/>
      <c r="F427" s="32"/>
      <c r="G427" s="42"/>
      <c r="H427" s="32"/>
      <c r="I427" s="32"/>
    </row>
    <row r="428" spans="1:9" ht="22.5" customHeight="1">
      <c r="A428" s="39"/>
      <c r="B428" s="40"/>
      <c r="C428" s="41"/>
      <c r="D428" s="32"/>
      <c r="E428" s="32"/>
      <c r="F428" s="32"/>
      <c r="G428" s="42"/>
      <c r="H428" s="32"/>
      <c r="I428" s="32"/>
    </row>
    <row r="429" spans="1:9" ht="22.5" customHeight="1">
      <c r="A429" s="39"/>
      <c r="B429" s="40"/>
      <c r="C429" s="41"/>
      <c r="D429" s="32"/>
      <c r="E429" s="32"/>
      <c r="F429" s="32"/>
      <c r="G429" s="42"/>
      <c r="H429" s="32"/>
      <c r="I429" s="32"/>
    </row>
    <row r="430" spans="1:9" ht="22.5" customHeight="1">
      <c r="A430" s="39"/>
      <c r="B430" s="40"/>
      <c r="C430" s="41"/>
      <c r="D430" s="32"/>
      <c r="E430" s="32"/>
      <c r="F430" s="32"/>
      <c r="G430" s="42"/>
      <c r="H430" s="32"/>
      <c r="I430" s="32"/>
    </row>
    <row r="431" spans="1:9" ht="22.5" customHeight="1">
      <c r="A431" s="39"/>
      <c r="B431" s="40"/>
      <c r="C431" s="41"/>
      <c r="D431" s="32"/>
      <c r="E431" s="32"/>
      <c r="F431" s="32"/>
      <c r="G431" s="42"/>
      <c r="H431" s="32"/>
      <c r="I431" s="32"/>
    </row>
    <row r="432" spans="1:9" ht="22.5" customHeight="1">
      <c r="A432" s="39"/>
      <c r="B432" s="40"/>
      <c r="C432" s="41"/>
      <c r="D432" s="32"/>
      <c r="E432" s="32"/>
      <c r="F432" s="32"/>
      <c r="G432" s="42"/>
      <c r="H432" s="32"/>
      <c r="I432" s="32"/>
    </row>
    <row r="433" spans="1:9" ht="22.5" customHeight="1">
      <c r="A433" s="39"/>
      <c r="B433" s="40"/>
      <c r="C433" s="41"/>
      <c r="D433" s="32"/>
      <c r="E433" s="32"/>
      <c r="F433" s="32"/>
      <c r="G433" s="42"/>
      <c r="H433" s="32"/>
      <c r="I433" s="32"/>
    </row>
    <row r="434" spans="1:9" ht="22.5" customHeight="1">
      <c r="A434" s="39"/>
      <c r="B434" s="40"/>
      <c r="C434" s="41"/>
      <c r="D434" s="32"/>
      <c r="E434" s="32"/>
      <c r="F434" s="32"/>
      <c r="G434" s="42"/>
      <c r="H434" s="32"/>
      <c r="I434" s="32"/>
    </row>
    <row r="435" spans="1:9" ht="22.5" customHeight="1">
      <c r="A435" s="39"/>
      <c r="B435" s="40"/>
      <c r="C435" s="41"/>
      <c r="D435" s="32"/>
      <c r="E435" s="32"/>
      <c r="F435" s="32"/>
      <c r="G435" s="42"/>
      <c r="H435" s="32"/>
      <c r="I435" s="32"/>
    </row>
    <row r="436" spans="1:9" ht="22.5" customHeight="1">
      <c r="A436" s="39"/>
      <c r="B436" s="40"/>
      <c r="C436" s="41"/>
      <c r="D436" s="32"/>
      <c r="E436" s="32"/>
      <c r="F436" s="32"/>
      <c r="G436" s="42"/>
      <c r="H436" s="32"/>
      <c r="I436" s="32"/>
    </row>
    <row r="437" spans="1:9" ht="22.5" customHeight="1">
      <c r="A437" s="39"/>
      <c r="B437" s="40"/>
      <c r="C437" s="41"/>
      <c r="D437" s="32"/>
      <c r="E437" s="32"/>
      <c r="F437" s="32"/>
      <c r="G437" s="42"/>
      <c r="H437" s="32"/>
      <c r="I437" s="32"/>
    </row>
    <row r="438" spans="1:9" ht="22.5" customHeight="1">
      <c r="A438" s="39"/>
      <c r="B438" s="40"/>
      <c r="C438" s="41"/>
      <c r="D438" s="32"/>
      <c r="E438" s="32"/>
      <c r="F438" s="32"/>
      <c r="G438" s="42"/>
      <c r="H438" s="32"/>
      <c r="I438" s="32"/>
    </row>
    <row r="439" spans="1:9" ht="22.5" customHeight="1">
      <c r="A439" s="39"/>
      <c r="B439" s="40"/>
      <c r="C439" s="41"/>
      <c r="D439" s="32"/>
      <c r="E439" s="32"/>
      <c r="F439" s="32"/>
      <c r="G439" s="42"/>
      <c r="H439" s="32"/>
      <c r="I439" s="32"/>
    </row>
    <row r="440" spans="1:9" ht="22.5" customHeight="1">
      <c r="A440" s="39"/>
      <c r="B440" s="40"/>
      <c r="C440" s="41"/>
      <c r="D440" s="32"/>
      <c r="E440" s="32"/>
      <c r="F440" s="32"/>
      <c r="G440" s="42"/>
      <c r="H440" s="32"/>
      <c r="I440" s="32"/>
    </row>
    <row r="441" spans="1:9" ht="22.5" customHeight="1">
      <c r="A441" s="39"/>
      <c r="B441" s="40"/>
      <c r="C441" s="41"/>
      <c r="D441" s="32"/>
      <c r="E441" s="32"/>
      <c r="F441" s="32"/>
      <c r="G441" s="42"/>
      <c r="H441" s="32"/>
      <c r="I441" s="32"/>
    </row>
    <row r="442" spans="1:9" ht="22.5" customHeight="1">
      <c r="A442" s="39"/>
      <c r="B442" s="40"/>
      <c r="C442" s="41"/>
      <c r="D442" s="32"/>
      <c r="E442" s="32"/>
      <c r="F442" s="32"/>
      <c r="G442" s="42"/>
      <c r="H442" s="32"/>
      <c r="I442" s="32"/>
    </row>
    <row r="443" spans="1:9" ht="22.5" customHeight="1">
      <c r="A443" s="39"/>
      <c r="B443" s="40"/>
      <c r="C443" s="41"/>
      <c r="D443" s="32"/>
      <c r="E443" s="32"/>
      <c r="F443" s="32"/>
      <c r="G443" s="42"/>
      <c r="H443" s="32"/>
      <c r="I443" s="32"/>
    </row>
    <row r="444" spans="1:9" ht="22.5" customHeight="1">
      <c r="A444" s="39"/>
      <c r="B444" s="40"/>
      <c r="C444" s="41"/>
      <c r="D444" s="32"/>
      <c r="E444" s="32"/>
      <c r="F444" s="32"/>
      <c r="G444" s="42"/>
      <c r="H444" s="32"/>
      <c r="I444" s="32"/>
    </row>
    <row r="445" spans="1:9" ht="22.5" customHeight="1">
      <c r="A445" s="39"/>
      <c r="B445" s="40"/>
      <c r="C445" s="41"/>
      <c r="D445" s="32"/>
      <c r="E445" s="32"/>
      <c r="F445" s="32"/>
      <c r="G445" s="42"/>
      <c r="H445" s="32"/>
      <c r="I445" s="32"/>
    </row>
    <row r="446" spans="1:9" ht="22.5" customHeight="1">
      <c r="A446" s="39"/>
      <c r="B446" s="40"/>
      <c r="C446" s="41"/>
      <c r="D446" s="32"/>
      <c r="E446" s="32"/>
      <c r="F446" s="32"/>
      <c r="G446" s="42"/>
      <c r="H446" s="32"/>
      <c r="I446" s="32"/>
    </row>
    <row r="447" spans="1:9" ht="22.5" customHeight="1">
      <c r="A447" s="39"/>
      <c r="B447" s="40"/>
      <c r="C447" s="41"/>
      <c r="D447" s="32"/>
      <c r="E447" s="32"/>
      <c r="F447" s="32"/>
      <c r="G447" s="42"/>
      <c r="H447" s="32"/>
      <c r="I447" s="32"/>
    </row>
    <row r="448" spans="1:9" ht="22.5" customHeight="1">
      <c r="A448" s="39"/>
      <c r="B448" s="40"/>
      <c r="C448" s="41"/>
      <c r="D448" s="32"/>
      <c r="E448" s="32"/>
      <c r="F448" s="32"/>
      <c r="G448" s="42"/>
      <c r="H448" s="32"/>
      <c r="I448" s="32"/>
    </row>
    <row r="449" spans="1:9" ht="22.5" customHeight="1">
      <c r="A449" s="39"/>
      <c r="B449" s="40"/>
      <c r="C449" s="41"/>
      <c r="D449" s="32"/>
      <c r="E449" s="32"/>
      <c r="F449" s="32"/>
      <c r="G449" s="42"/>
      <c r="H449" s="32"/>
      <c r="I449" s="32"/>
    </row>
    <row r="450" spans="1:9" ht="22.5" customHeight="1">
      <c r="A450" s="39"/>
      <c r="B450" s="40"/>
      <c r="C450" s="41"/>
      <c r="D450" s="32"/>
      <c r="E450" s="32"/>
      <c r="F450" s="32"/>
      <c r="G450" s="42"/>
      <c r="H450" s="32"/>
      <c r="I450" s="32"/>
    </row>
    <row r="451" spans="1:9" ht="22.5" customHeight="1">
      <c r="A451" s="39"/>
      <c r="B451" s="40"/>
      <c r="C451" s="41"/>
      <c r="D451" s="32"/>
      <c r="E451" s="32"/>
      <c r="F451" s="32"/>
      <c r="G451" s="42"/>
      <c r="H451" s="32"/>
      <c r="I451" s="32"/>
    </row>
    <row r="452" spans="1:9" ht="22.5" customHeight="1">
      <c r="A452" s="39"/>
      <c r="B452" s="40"/>
      <c r="C452" s="41"/>
      <c r="D452" s="32"/>
      <c r="E452" s="32"/>
      <c r="F452" s="32"/>
      <c r="G452" s="42"/>
      <c r="H452" s="32"/>
      <c r="I452" s="32"/>
    </row>
    <row r="453" spans="1:9" ht="22.5" customHeight="1">
      <c r="A453" s="39"/>
      <c r="B453" s="40"/>
      <c r="C453" s="41"/>
      <c r="D453" s="32"/>
      <c r="E453" s="32"/>
      <c r="F453" s="32"/>
      <c r="G453" s="42"/>
      <c r="H453" s="32"/>
      <c r="I453" s="32"/>
    </row>
    <row r="454" spans="1:9" ht="22.5" customHeight="1">
      <c r="A454" s="39"/>
      <c r="B454" s="40"/>
      <c r="C454" s="41"/>
      <c r="D454" s="32"/>
      <c r="E454" s="32"/>
      <c r="F454" s="32"/>
      <c r="G454" s="42"/>
      <c r="H454" s="32"/>
      <c r="I454" s="32"/>
    </row>
    <row r="455" spans="1:9" ht="22.5" customHeight="1">
      <c r="A455" s="39"/>
      <c r="B455" s="40"/>
      <c r="C455" s="41"/>
      <c r="D455" s="32"/>
      <c r="E455" s="32"/>
      <c r="F455" s="32"/>
      <c r="G455" s="42"/>
      <c r="H455" s="32"/>
      <c r="I455" s="32"/>
    </row>
    <row r="456" spans="1:9" ht="22.5" customHeight="1">
      <c r="A456" s="39"/>
      <c r="B456" s="40"/>
      <c r="C456" s="41"/>
      <c r="D456" s="32"/>
      <c r="E456" s="32"/>
      <c r="F456" s="32"/>
      <c r="G456" s="42"/>
      <c r="H456" s="32"/>
      <c r="I456" s="32"/>
    </row>
    <row r="457" spans="1:9" ht="22.5" customHeight="1">
      <c r="A457" s="39"/>
      <c r="B457" s="40"/>
      <c r="C457" s="41"/>
      <c r="D457" s="32"/>
      <c r="E457" s="32"/>
      <c r="F457" s="32"/>
      <c r="G457" s="42"/>
      <c r="H457" s="32"/>
      <c r="I457" s="32"/>
    </row>
    <row r="458" spans="1:9" ht="22.5" customHeight="1">
      <c r="A458" s="39"/>
      <c r="B458" s="40"/>
      <c r="C458" s="41"/>
      <c r="D458" s="32"/>
      <c r="E458" s="32"/>
      <c r="F458" s="32"/>
      <c r="G458" s="42"/>
      <c r="H458" s="32"/>
      <c r="I458" s="32"/>
    </row>
    <row r="459" spans="1:9" ht="22.5" customHeight="1">
      <c r="A459" s="39"/>
      <c r="B459" s="40"/>
      <c r="C459" s="41"/>
      <c r="D459" s="32"/>
      <c r="E459" s="32"/>
      <c r="F459" s="32"/>
      <c r="G459" s="42"/>
      <c r="H459" s="32"/>
      <c r="I459" s="32"/>
    </row>
    <row r="460" spans="1:9" ht="22.5" customHeight="1">
      <c r="A460" s="39"/>
      <c r="B460" s="40"/>
      <c r="C460" s="41"/>
      <c r="D460" s="32"/>
      <c r="E460" s="32"/>
      <c r="F460" s="32"/>
      <c r="G460" s="42"/>
      <c r="H460" s="32"/>
      <c r="I460" s="32"/>
    </row>
    <row r="461" spans="1:9" ht="22.5" customHeight="1">
      <c r="A461" s="39"/>
      <c r="B461" s="40"/>
      <c r="C461" s="41"/>
      <c r="D461" s="32"/>
      <c r="E461" s="32"/>
      <c r="F461" s="32"/>
      <c r="G461" s="42"/>
      <c r="H461" s="32"/>
      <c r="I461" s="32"/>
    </row>
    <row r="462" spans="1:9" ht="22.5" customHeight="1">
      <c r="A462" s="39"/>
      <c r="B462" s="40"/>
      <c r="C462" s="41"/>
      <c r="D462" s="32"/>
      <c r="E462" s="32"/>
      <c r="F462" s="32"/>
      <c r="G462" s="42"/>
      <c r="H462" s="32"/>
      <c r="I462" s="32"/>
    </row>
    <row r="463" spans="1:9" ht="22.5" customHeight="1">
      <c r="A463" s="39"/>
      <c r="B463" s="40"/>
      <c r="C463" s="41"/>
      <c r="D463" s="32"/>
      <c r="E463" s="32"/>
      <c r="F463" s="32"/>
      <c r="G463" s="42"/>
      <c r="H463" s="32"/>
      <c r="I463" s="32"/>
    </row>
    <row r="464" spans="1:9" ht="22.5" customHeight="1">
      <c r="A464" s="39"/>
      <c r="B464" s="40"/>
      <c r="C464" s="41"/>
      <c r="D464" s="32"/>
      <c r="E464" s="32"/>
      <c r="F464" s="32"/>
      <c r="G464" s="42"/>
      <c r="H464" s="32"/>
      <c r="I464" s="32"/>
    </row>
    <row r="465" spans="1:9" ht="22.5" customHeight="1">
      <c r="A465" s="39"/>
      <c r="B465" s="40"/>
      <c r="C465" s="41"/>
      <c r="D465" s="32"/>
      <c r="E465" s="32"/>
      <c r="F465" s="32"/>
      <c r="G465" s="42"/>
      <c r="H465" s="32"/>
      <c r="I465" s="32"/>
    </row>
    <row r="466" spans="1:9" ht="22.5" customHeight="1">
      <c r="A466" s="39"/>
      <c r="B466" s="40"/>
      <c r="C466" s="41"/>
      <c r="D466" s="32"/>
      <c r="E466" s="32"/>
      <c r="F466" s="32"/>
      <c r="G466" s="42"/>
      <c r="H466" s="32"/>
      <c r="I466" s="32"/>
    </row>
    <row r="467" spans="1:9" ht="22.5" customHeight="1">
      <c r="A467" s="39"/>
      <c r="B467" s="40"/>
      <c r="C467" s="41"/>
      <c r="D467" s="32"/>
      <c r="E467" s="32"/>
      <c r="F467" s="32"/>
      <c r="G467" s="42"/>
      <c r="H467" s="32"/>
      <c r="I467" s="32"/>
    </row>
    <row r="468" spans="1:9" ht="22.5" customHeight="1">
      <c r="A468" s="39"/>
      <c r="B468" s="40"/>
      <c r="C468" s="41"/>
      <c r="D468" s="32"/>
      <c r="E468" s="32"/>
      <c r="F468" s="32"/>
      <c r="G468" s="42"/>
      <c r="H468" s="32"/>
      <c r="I468" s="32"/>
    </row>
    <row r="469" spans="1:9" ht="22.5" customHeight="1">
      <c r="A469" s="39"/>
      <c r="B469" s="40"/>
      <c r="C469" s="41"/>
      <c r="D469" s="32"/>
      <c r="E469" s="32"/>
      <c r="F469" s="32"/>
      <c r="G469" s="42"/>
      <c r="H469" s="32"/>
      <c r="I469" s="32"/>
    </row>
    <row r="470" spans="1:9" ht="22.5" customHeight="1">
      <c r="A470" s="39"/>
      <c r="B470" s="40"/>
      <c r="C470" s="41"/>
      <c r="D470" s="32"/>
      <c r="E470" s="32"/>
      <c r="F470" s="32"/>
      <c r="G470" s="42"/>
      <c r="H470" s="32"/>
      <c r="I470" s="32"/>
    </row>
    <row r="471" spans="1:9" ht="22.5" customHeight="1">
      <c r="A471" s="39"/>
      <c r="B471" s="40"/>
      <c r="C471" s="41"/>
      <c r="D471" s="32"/>
      <c r="E471" s="32"/>
      <c r="F471" s="32"/>
      <c r="G471" s="42"/>
      <c r="H471" s="32"/>
      <c r="I471" s="32"/>
    </row>
    <row r="472" spans="1:9" ht="22.5" customHeight="1">
      <c r="A472" s="39"/>
      <c r="B472" s="40"/>
      <c r="C472" s="41"/>
      <c r="D472" s="32"/>
      <c r="E472" s="32"/>
      <c r="F472" s="32"/>
      <c r="G472" s="42"/>
      <c r="H472" s="32"/>
      <c r="I472" s="32"/>
    </row>
    <row r="473" spans="1:9" ht="22.5" customHeight="1">
      <c r="A473" s="39"/>
      <c r="B473" s="40"/>
      <c r="C473" s="41"/>
      <c r="D473" s="32"/>
      <c r="E473" s="32"/>
      <c r="F473" s="32"/>
      <c r="G473" s="42"/>
      <c r="H473" s="32"/>
      <c r="I473" s="32"/>
    </row>
    <row r="474" spans="1:9" ht="22.5" customHeight="1">
      <c r="A474" s="39"/>
      <c r="B474" s="40"/>
      <c r="C474" s="41"/>
      <c r="D474" s="32"/>
      <c r="E474" s="32"/>
      <c r="F474" s="32"/>
      <c r="G474" s="42"/>
      <c r="H474" s="32"/>
      <c r="I474" s="32"/>
    </row>
    <row r="475" spans="1:9" ht="22.5" customHeight="1">
      <c r="A475" s="39"/>
      <c r="B475" s="40"/>
      <c r="C475" s="41"/>
      <c r="D475" s="32"/>
      <c r="E475" s="32"/>
      <c r="F475" s="32"/>
      <c r="G475" s="42"/>
      <c r="H475" s="32"/>
      <c r="I475" s="32"/>
    </row>
    <row r="476" spans="1:9" ht="22.5" customHeight="1">
      <c r="A476" s="39"/>
      <c r="B476" s="40"/>
      <c r="C476" s="41"/>
      <c r="D476" s="32"/>
      <c r="E476" s="32"/>
      <c r="F476" s="32"/>
      <c r="G476" s="42"/>
      <c r="H476" s="32"/>
      <c r="I476" s="32"/>
    </row>
    <row r="477" spans="1:9" ht="22.5" customHeight="1">
      <c r="A477" s="39"/>
      <c r="B477" s="40"/>
      <c r="C477" s="41"/>
      <c r="D477" s="32"/>
      <c r="E477" s="32"/>
      <c r="F477" s="32"/>
      <c r="G477" s="42"/>
      <c r="H477" s="32"/>
      <c r="I477" s="32"/>
    </row>
    <row r="478" spans="1:9" ht="22.5" customHeight="1">
      <c r="A478" s="39"/>
      <c r="B478" s="40"/>
      <c r="C478" s="41"/>
      <c r="D478" s="32"/>
      <c r="E478" s="32"/>
      <c r="F478" s="32"/>
      <c r="G478" s="42"/>
      <c r="H478" s="32"/>
      <c r="I478" s="32"/>
    </row>
    <row r="479" spans="1:9" ht="22.5" customHeight="1">
      <c r="A479" s="39"/>
      <c r="B479" s="40"/>
      <c r="C479" s="41"/>
      <c r="D479" s="32"/>
      <c r="E479" s="32"/>
      <c r="F479" s="32"/>
      <c r="G479" s="42"/>
      <c r="H479" s="32"/>
      <c r="I479" s="32"/>
    </row>
    <row r="480" spans="1:9" ht="22.5" customHeight="1">
      <c r="A480" s="39"/>
      <c r="B480" s="40"/>
      <c r="C480" s="41"/>
      <c r="D480" s="32"/>
      <c r="E480" s="32"/>
      <c r="F480" s="32"/>
      <c r="G480" s="42"/>
      <c r="H480" s="32"/>
      <c r="I480" s="32"/>
    </row>
    <row r="481" spans="1:9" ht="22.5" customHeight="1">
      <c r="A481" s="39"/>
      <c r="B481" s="40"/>
      <c r="C481" s="41"/>
      <c r="D481" s="32"/>
      <c r="E481" s="32"/>
      <c r="F481" s="32"/>
      <c r="G481" s="42"/>
      <c r="H481" s="32"/>
      <c r="I481" s="32"/>
    </row>
    <row r="482" spans="1:9" ht="22.5" customHeight="1">
      <c r="A482" s="39"/>
      <c r="B482" s="40"/>
      <c r="C482" s="41"/>
      <c r="D482" s="32"/>
      <c r="E482" s="32"/>
      <c r="F482" s="32"/>
      <c r="G482" s="42"/>
      <c r="H482" s="32"/>
      <c r="I482" s="32"/>
    </row>
    <row r="483" spans="1:9" ht="22.5" customHeight="1">
      <c r="A483" s="39"/>
      <c r="B483" s="40"/>
      <c r="C483" s="41"/>
      <c r="D483" s="32"/>
      <c r="E483" s="32"/>
      <c r="F483" s="32"/>
      <c r="G483" s="42"/>
      <c r="H483" s="32"/>
      <c r="I483" s="32"/>
    </row>
    <row r="484" spans="1:9" ht="22.5" customHeight="1">
      <c r="A484" s="39"/>
      <c r="B484" s="40"/>
      <c r="C484" s="41"/>
      <c r="D484" s="32"/>
      <c r="E484" s="32"/>
      <c r="F484" s="32"/>
      <c r="G484" s="42"/>
      <c r="H484" s="32"/>
      <c r="I484" s="32"/>
    </row>
    <row r="485" spans="1:9" ht="22.5" customHeight="1">
      <c r="A485" s="39"/>
      <c r="B485" s="40"/>
      <c r="C485" s="41"/>
      <c r="D485" s="32"/>
      <c r="E485" s="32"/>
      <c r="F485" s="32"/>
      <c r="G485" s="42"/>
      <c r="H485" s="32"/>
      <c r="I485" s="32"/>
    </row>
    <row r="486" spans="1:9" ht="22.5" customHeight="1">
      <c r="A486" s="39"/>
      <c r="B486" s="40"/>
      <c r="C486" s="41"/>
      <c r="D486" s="32"/>
      <c r="E486" s="32"/>
      <c r="F486" s="32"/>
      <c r="G486" s="42"/>
      <c r="H486" s="32"/>
      <c r="I486" s="32"/>
    </row>
    <row r="487" spans="1:9" ht="22.5" customHeight="1">
      <c r="A487" s="39"/>
      <c r="B487" s="40"/>
      <c r="C487" s="41"/>
      <c r="D487" s="32"/>
      <c r="E487" s="32"/>
      <c r="F487" s="32"/>
      <c r="G487" s="42"/>
      <c r="H487" s="32"/>
      <c r="I487" s="32"/>
    </row>
    <row r="488" spans="1:9" ht="22.5" customHeight="1">
      <c r="A488" s="39"/>
      <c r="B488" s="40"/>
      <c r="C488" s="41"/>
      <c r="D488" s="32"/>
      <c r="E488" s="32"/>
      <c r="F488" s="32"/>
      <c r="G488" s="42"/>
      <c r="H488" s="32"/>
      <c r="I488" s="32"/>
    </row>
    <row r="489" spans="1:9" ht="22.5" customHeight="1">
      <c r="A489" s="39"/>
      <c r="B489" s="40"/>
      <c r="C489" s="41"/>
      <c r="D489" s="32"/>
      <c r="E489" s="32"/>
      <c r="F489" s="32"/>
      <c r="G489" s="42"/>
      <c r="H489" s="32"/>
      <c r="I489" s="32"/>
    </row>
    <row r="490" spans="1:9" ht="22.5" customHeight="1">
      <c r="A490" s="39"/>
      <c r="B490" s="40"/>
      <c r="C490" s="41"/>
      <c r="D490" s="32"/>
      <c r="E490" s="32"/>
      <c r="F490" s="32"/>
      <c r="G490" s="42"/>
      <c r="H490" s="32"/>
      <c r="I490" s="32"/>
    </row>
    <row r="491" spans="1:9" ht="22.5" customHeight="1">
      <c r="A491" s="39"/>
      <c r="B491" s="40"/>
      <c r="C491" s="41"/>
      <c r="D491" s="32"/>
      <c r="E491" s="32"/>
      <c r="F491" s="32"/>
      <c r="G491" s="42"/>
      <c r="H491" s="32"/>
      <c r="I491" s="32"/>
    </row>
    <row r="492" spans="1:9" ht="22.5" customHeight="1">
      <c r="A492" s="39"/>
      <c r="B492" s="40"/>
      <c r="C492" s="41"/>
      <c r="D492" s="32"/>
      <c r="E492" s="32"/>
      <c r="F492" s="32"/>
      <c r="G492" s="42"/>
      <c r="H492" s="32"/>
      <c r="I492" s="32"/>
    </row>
    <row r="493" spans="1:9" ht="22.5" customHeight="1">
      <c r="A493" s="39"/>
      <c r="B493" s="40"/>
      <c r="C493" s="41"/>
      <c r="D493" s="32"/>
      <c r="E493" s="32"/>
      <c r="F493" s="32"/>
      <c r="G493" s="42"/>
      <c r="H493" s="32"/>
      <c r="I493" s="32"/>
    </row>
    <row r="494" spans="1:9" ht="22.5" customHeight="1">
      <c r="A494" s="39"/>
      <c r="B494" s="40"/>
      <c r="C494" s="41"/>
      <c r="D494" s="32"/>
      <c r="E494" s="32"/>
      <c r="F494" s="32"/>
      <c r="G494" s="42"/>
      <c r="H494" s="32"/>
      <c r="I494" s="32"/>
    </row>
    <row r="495" spans="1:9" ht="22.5" customHeight="1">
      <c r="A495" s="39"/>
      <c r="B495" s="40"/>
      <c r="C495" s="41"/>
      <c r="D495" s="32"/>
      <c r="E495" s="32"/>
      <c r="F495" s="32"/>
      <c r="G495" s="42"/>
      <c r="H495" s="32"/>
      <c r="I495" s="32"/>
    </row>
    <row r="496" spans="1:9" ht="22.5" customHeight="1">
      <c r="A496" s="39"/>
      <c r="B496" s="40"/>
      <c r="C496" s="41"/>
      <c r="D496" s="32"/>
      <c r="E496" s="32"/>
      <c r="F496" s="32"/>
      <c r="G496" s="42"/>
      <c r="H496" s="32"/>
      <c r="I496" s="32"/>
    </row>
    <row r="497" spans="1:9" ht="22.5" customHeight="1">
      <c r="A497" s="39"/>
      <c r="B497" s="40"/>
      <c r="C497" s="41"/>
      <c r="D497" s="32"/>
      <c r="E497" s="32"/>
      <c r="F497" s="32"/>
      <c r="G497" s="42"/>
      <c r="H497" s="32"/>
      <c r="I497" s="32"/>
    </row>
    <row r="498" spans="1:9" ht="22.5" customHeight="1">
      <c r="A498" s="39"/>
      <c r="B498" s="40"/>
      <c r="C498" s="41"/>
      <c r="D498" s="32"/>
      <c r="E498" s="32"/>
      <c r="F498" s="32"/>
      <c r="G498" s="42"/>
      <c r="H498" s="32"/>
      <c r="I498" s="32"/>
    </row>
    <row r="499" spans="1:9" ht="22.5" customHeight="1">
      <c r="A499" s="39"/>
      <c r="B499" s="40"/>
      <c r="C499" s="41"/>
      <c r="D499" s="32"/>
      <c r="E499" s="32"/>
      <c r="F499" s="32"/>
      <c r="G499" s="42"/>
      <c r="H499" s="32"/>
      <c r="I499" s="32"/>
    </row>
    <row r="500" spans="1:9" ht="22.5" customHeight="1">
      <c r="A500" s="39"/>
      <c r="B500" s="40"/>
      <c r="C500" s="41"/>
      <c r="D500" s="32"/>
      <c r="E500" s="32"/>
      <c r="F500" s="32"/>
      <c r="G500" s="42"/>
      <c r="H500" s="32"/>
      <c r="I500" s="32"/>
    </row>
    <row r="501" spans="1:9" ht="22.5" customHeight="1">
      <c r="A501" s="39"/>
      <c r="B501" s="40"/>
      <c r="C501" s="41"/>
      <c r="D501" s="32"/>
      <c r="E501" s="32"/>
      <c r="F501" s="32"/>
      <c r="G501" s="42"/>
      <c r="H501" s="32"/>
      <c r="I501" s="32"/>
    </row>
    <row r="502" spans="1:9" ht="22.5" customHeight="1">
      <c r="A502" s="39"/>
      <c r="B502" s="40"/>
      <c r="C502" s="41"/>
      <c r="D502" s="32"/>
      <c r="E502" s="32"/>
      <c r="F502" s="32"/>
      <c r="G502" s="42"/>
      <c r="H502" s="32"/>
      <c r="I502" s="32"/>
    </row>
    <row r="503" spans="1:9" ht="22.5" customHeight="1">
      <c r="A503" s="39"/>
      <c r="B503" s="40"/>
      <c r="C503" s="41"/>
      <c r="D503" s="32"/>
      <c r="E503" s="32"/>
      <c r="F503" s="32"/>
      <c r="G503" s="42"/>
      <c r="H503" s="32"/>
      <c r="I503" s="32"/>
    </row>
    <row r="504" spans="1:9" ht="22.5" customHeight="1">
      <c r="A504" s="39"/>
      <c r="B504" s="40"/>
      <c r="C504" s="41"/>
      <c r="D504" s="32"/>
      <c r="E504" s="32"/>
      <c r="F504" s="32"/>
      <c r="G504" s="42"/>
      <c r="H504" s="32"/>
      <c r="I504" s="32"/>
    </row>
    <row r="505" spans="1:9" ht="22.5" customHeight="1">
      <c r="A505" s="39"/>
      <c r="B505" s="40"/>
      <c r="C505" s="41"/>
      <c r="D505" s="32"/>
      <c r="E505" s="32"/>
      <c r="F505" s="32"/>
      <c r="G505" s="42"/>
      <c r="H505" s="32"/>
      <c r="I505" s="32"/>
    </row>
    <row r="506" spans="1:9" ht="22.5" customHeight="1">
      <c r="A506" s="39"/>
      <c r="B506" s="40"/>
      <c r="C506" s="41"/>
      <c r="D506" s="32"/>
      <c r="E506" s="32"/>
      <c r="F506" s="32"/>
      <c r="G506" s="42"/>
      <c r="H506" s="32"/>
      <c r="I506" s="32"/>
    </row>
    <row r="507" spans="1:9" ht="22.5" customHeight="1">
      <c r="A507" s="39"/>
      <c r="B507" s="40"/>
      <c r="C507" s="41"/>
      <c r="D507" s="32"/>
      <c r="E507" s="32"/>
      <c r="F507" s="32"/>
      <c r="G507" s="42"/>
      <c r="H507" s="32"/>
      <c r="I507" s="32"/>
    </row>
    <row r="508" spans="1:9" ht="22.5" customHeight="1">
      <c r="A508" s="39"/>
      <c r="B508" s="40"/>
      <c r="C508" s="41"/>
      <c r="D508" s="32"/>
      <c r="E508" s="32"/>
      <c r="F508" s="32"/>
      <c r="G508" s="42"/>
      <c r="H508" s="32"/>
      <c r="I508" s="32"/>
    </row>
    <row r="509" spans="1:9" ht="22.5" customHeight="1">
      <c r="A509" s="39"/>
      <c r="B509" s="40"/>
      <c r="C509" s="41"/>
      <c r="D509" s="32"/>
      <c r="E509" s="32"/>
      <c r="F509" s="32"/>
      <c r="G509" s="42"/>
      <c r="H509" s="32"/>
      <c r="I509" s="32"/>
    </row>
    <row r="510" spans="1:9" ht="22.5" customHeight="1">
      <c r="A510" s="39"/>
      <c r="B510" s="40"/>
      <c r="C510" s="41"/>
      <c r="D510" s="32"/>
      <c r="E510" s="32"/>
      <c r="F510" s="32"/>
      <c r="G510" s="42"/>
      <c r="H510" s="32"/>
      <c r="I510" s="32"/>
    </row>
    <row r="511" spans="1:9" ht="22.5" customHeight="1">
      <c r="A511" s="39"/>
      <c r="B511" s="40"/>
      <c r="C511" s="41"/>
      <c r="D511" s="32"/>
      <c r="E511" s="32"/>
      <c r="F511" s="32"/>
      <c r="G511" s="42"/>
      <c r="H511" s="32"/>
      <c r="I511" s="32"/>
    </row>
    <row r="512" spans="1:9" ht="22.5" customHeight="1">
      <c r="A512" s="39"/>
      <c r="B512" s="40"/>
      <c r="C512" s="41"/>
      <c r="D512" s="32"/>
      <c r="E512" s="32"/>
      <c r="F512" s="32"/>
      <c r="G512" s="42"/>
      <c r="H512" s="32"/>
      <c r="I512" s="32"/>
    </row>
    <row r="513" spans="1:9" ht="22.5" customHeight="1">
      <c r="A513" s="39"/>
      <c r="B513" s="40"/>
      <c r="C513" s="41"/>
      <c r="D513" s="32"/>
      <c r="E513" s="32"/>
      <c r="F513" s="32"/>
      <c r="G513" s="42"/>
      <c r="H513" s="32"/>
      <c r="I513" s="32"/>
    </row>
    <row r="514" spans="1:9" ht="22.5" customHeight="1">
      <c r="A514" s="39"/>
      <c r="B514" s="40"/>
      <c r="C514" s="41"/>
      <c r="D514" s="32"/>
      <c r="E514" s="32"/>
      <c r="F514" s="32"/>
      <c r="G514" s="42"/>
      <c r="H514" s="32"/>
      <c r="I514" s="32"/>
    </row>
    <row r="515" spans="1:9" ht="22.5" customHeight="1">
      <c r="A515" s="39"/>
      <c r="B515" s="40"/>
      <c r="C515" s="41"/>
      <c r="D515" s="32"/>
      <c r="E515" s="32"/>
      <c r="F515" s="32"/>
      <c r="G515" s="42"/>
      <c r="H515" s="32"/>
      <c r="I515" s="32"/>
    </row>
    <row r="516" spans="1:9" ht="22.5" customHeight="1">
      <c r="A516" s="39"/>
      <c r="B516" s="40"/>
      <c r="C516" s="41"/>
      <c r="D516" s="32"/>
      <c r="E516" s="32"/>
      <c r="F516" s="32"/>
      <c r="G516" s="42"/>
      <c r="H516" s="32"/>
      <c r="I516" s="32"/>
    </row>
    <row r="517" spans="1:9" ht="22.5" customHeight="1">
      <c r="A517" s="39"/>
      <c r="B517" s="40"/>
      <c r="C517" s="41"/>
      <c r="D517" s="32"/>
      <c r="E517" s="32"/>
      <c r="F517" s="32"/>
      <c r="G517" s="42"/>
      <c r="H517" s="32"/>
      <c r="I517" s="32"/>
    </row>
    <row r="518" spans="1:9" ht="22.5" customHeight="1">
      <c r="A518" s="39"/>
      <c r="B518" s="40"/>
      <c r="C518" s="41"/>
      <c r="D518" s="32"/>
      <c r="E518" s="32"/>
      <c r="F518" s="32"/>
      <c r="G518" s="42"/>
      <c r="H518" s="32"/>
      <c r="I518" s="32"/>
    </row>
    <row r="519" spans="1:9" ht="22.5" customHeight="1">
      <c r="A519" s="39"/>
      <c r="B519" s="40"/>
      <c r="C519" s="41"/>
      <c r="D519" s="32"/>
      <c r="E519" s="32"/>
      <c r="F519" s="32"/>
      <c r="G519" s="42"/>
      <c r="H519" s="32"/>
      <c r="I519" s="32"/>
    </row>
    <row r="520" spans="1:9" ht="22.5" customHeight="1">
      <c r="A520" s="39"/>
      <c r="B520" s="40"/>
      <c r="C520" s="41"/>
      <c r="D520" s="32"/>
      <c r="E520" s="32"/>
      <c r="F520" s="32"/>
      <c r="G520" s="42"/>
      <c r="H520" s="32"/>
      <c r="I520" s="32"/>
    </row>
    <row r="521" spans="1:9" ht="22.5" customHeight="1">
      <c r="A521" s="39"/>
      <c r="B521" s="40"/>
      <c r="C521" s="41"/>
      <c r="D521" s="32"/>
      <c r="E521" s="32"/>
      <c r="F521" s="32"/>
      <c r="G521" s="42"/>
      <c r="H521" s="32"/>
      <c r="I521" s="32"/>
    </row>
    <row r="522" spans="1:9" ht="22.5" customHeight="1">
      <c r="A522" s="39"/>
      <c r="B522" s="40"/>
      <c r="C522" s="41"/>
      <c r="D522" s="32"/>
      <c r="E522" s="32"/>
      <c r="F522" s="32"/>
      <c r="G522" s="42"/>
      <c r="H522" s="32"/>
      <c r="I522" s="32"/>
    </row>
    <row r="523" spans="1:9" ht="22.5" customHeight="1">
      <c r="A523" s="39"/>
      <c r="B523" s="40"/>
      <c r="C523" s="41"/>
      <c r="D523" s="32"/>
      <c r="E523" s="32"/>
      <c r="F523" s="32"/>
      <c r="G523" s="42"/>
      <c r="H523" s="32"/>
      <c r="I523" s="32"/>
    </row>
    <row r="524" spans="1:9" ht="22.5" customHeight="1">
      <c r="A524" s="39"/>
      <c r="B524" s="40"/>
      <c r="C524" s="41"/>
      <c r="D524" s="32"/>
      <c r="E524" s="32"/>
      <c r="F524" s="32"/>
      <c r="G524" s="42"/>
      <c r="H524" s="32"/>
      <c r="I524" s="32"/>
    </row>
    <row r="525" spans="1:9" ht="22.5" customHeight="1">
      <c r="A525" s="39"/>
      <c r="B525" s="40"/>
      <c r="C525" s="41"/>
      <c r="D525" s="32"/>
      <c r="E525" s="32"/>
      <c r="F525" s="32"/>
      <c r="G525" s="42"/>
      <c r="H525" s="32"/>
      <c r="I525" s="32"/>
    </row>
    <row r="526" spans="1:9" ht="22.5" customHeight="1">
      <c r="A526" s="39"/>
      <c r="B526" s="40"/>
      <c r="C526" s="41"/>
      <c r="D526" s="32"/>
      <c r="E526" s="32"/>
      <c r="F526" s="32"/>
      <c r="G526" s="42"/>
      <c r="H526" s="32"/>
      <c r="I526" s="32"/>
    </row>
    <row r="527" spans="1:9" ht="22.5" customHeight="1">
      <c r="A527" s="39"/>
      <c r="B527" s="40"/>
      <c r="C527" s="41"/>
      <c r="D527" s="32"/>
      <c r="E527" s="32"/>
      <c r="F527" s="32"/>
      <c r="G527" s="42"/>
      <c r="H527" s="32"/>
      <c r="I527" s="32"/>
    </row>
    <row r="528" spans="1:9" ht="22.5" customHeight="1">
      <c r="A528" s="39"/>
      <c r="B528" s="40"/>
      <c r="C528" s="41"/>
      <c r="D528" s="32"/>
      <c r="E528" s="32"/>
      <c r="F528" s="32"/>
      <c r="G528" s="42"/>
      <c r="H528" s="32"/>
      <c r="I528" s="32"/>
    </row>
    <row r="529" spans="1:9" ht="22.5" customHeight="1">
      <c r="A529" s="39"/>
      <c r="B529" s="40"/>
      <c r="C529" s="41"/>
      <c r="D529" s="32"/>
      <c r="E529" s="32"/>
      <c r="F529" s="32"/>
      <c r="G529" s="42"/>
      <c r="H529" s="32"/>
      <c r="I529" s="32"/>
    </row>
    <row r="530" spans="1:9" ht="22.5" customHeight="1">
      <c r="A530" s="39"/>
      <c r="B530" s="40"/>
      <c r="C530" s="41"/>
      <c r="D530" s="32"/>
      <c r="E530" s="32"/>
      <c r="F530" s="32"/>
      <c r="G530" s="42"/>
      <c r="H530" s="32"/>
      <c r="I530" s="32"/>
    </row>
    <row r="531" spans="1:9" ht="22.5" customHeight="1">
      <c r="A531" s="39"/>
      <c r="B531" s="40"/>
      <c r="C531" s="41"/>
      <c r="D531" s="32"/>
      <c r="E531" s="32"/>
      <c r="F531" s="32"/>
      <c r="G531" s="42"/>
      <c r="H531" s="32"/>
      <c r="I531" s="32"/>
    </row>
    <row r="532" spans="1:9" ht="22.5" customHeight="1">
      <c r="A532" s="39"/>
      <c r="B532" s="40"/>
      <c r="C532" s="41"/>
      <c r="D532" s="32"/>
      <c r="E532" s="32"/>
      <c r="F532" s="32"/>
      <c r="G532" s="42"/>
      <c r="H532" s="32"/>
      <c r="I532" s="32"/>
    </row>
    <row r="533" spans="1:9" ht="22.5" customHeight="1">
      <c r="A533" s="39"/>
      <c r="B533" s="40"/>
      <c r="C533" s="41"/>
      <c r="D533" s="32"/>
      <c r="E533" s="32"/>
      <c r="F533" s="32"/>
      <c r="G533" s="42"/>
      <c r="H533" s="32"/>
      <c r="I533" s="32"/>
    </row>
    <row r="534" spans="1:9" ht="22.5" customHeight="1">
      <c r="A534" s="39"/>
      <c r="B534" s="40"/>
      <c r="C534" s="41"/>
      <c r="D534" s="32"/>
      <c r="E534" s="32"/>
      <c r="F534" s="32"/>
      <c r="G534" s="42"/>
      <c r="H534" s="32"/>
      <c r="I534" s="32"/>
    </row>
    <row r="535" spans="1:9" ht="22.5" customHeight="1">
      <c r="A535" s="39"/>
      <c r="B535" s="40"/>
      <c r="C535" s="41"/>
      <c r="D535" s="32"/>
      <c r="E535" s="32"/>
      <c r="F535" s="32"/>
      <c r="G535" s="42"/>
      <c r="H535" s="32"/>
      <c r="I535" s="32"/>
    </row>
    <row r="536" spans="1:9" ht="22.5" customHeight="1">
      <c r="A536" s="39"/>
      <c r="B536" s="40"/>
      <c r="C536" s="41"/>
      <c r="D536" s="32"/>
      <c r="E536" s="32"/>
      <c r="F536" s="32"/>
      <c r="G536" s="42"/>
      <c r="H536" s="32"/>
      <c r="I536" s="32"/>
    </row>
    <row r="537" spans="1:9" ht="22.5" customHeight="1">
      <c r="A537" s="39"/>
      <c r="B537" s="40"/>
      <c r="C537" s="41"/>
      <c r="D537" s="32"/>
      <c r="E537" s="32"/>
      <c r="F537" s="32"/>
      <c r="G537" s="42"/>
      <c r="H537" s="32"/>
      <c r="I537" s="32"/>
    </row>
    <row r="538" spans="1:9" ht="22.5" customHeight="1">
      <c r="A538" s="39"/>
      <c r="B538" s="40"/>
      <c r="C538" s="41"/>
      <c r="D538" s="32"/>
      <c r="E538" s="32"/>
      <c r="F538" s="32"/>
      <c r="G538" s="42"/>
      <c r="H538" s="32"/>
      <c r="I538" s="32"/>
    </row>
    <row r="539" spans="1:9" ht="22.5" customHeight="1">
      <c r="A539" s="39"/>
      <c r="B539" s="40"/>
      <c r="C539" s="41"/>
      <c r="D539" s="32"/>
      <c r="E539" s="32"/>
      <c r="F539" s="32"/>
      <c r="G539" s="42"/>
      <c r="H539" s="32"/>
      <c r="I539" s="32"/>
    </row>
    <row r="540" spans="1:9" ht="22.5" customHeight="1">
      <c r="A540" s="39"/>
      <c r="B540" s="40"/>
      <c r="C540" s="41"/>
      <c r="D540" s="32"/>
      <c r="E540" s="32"/>
      <c r="F540" s="32"/>
      <c r="G540" s="42"/>
      <c r="H540" s="32"/>
      <c r="I540" s="32"/>
    </row>
    <row r="541" spans="1:9" ht="22.5" customHeight="1">
      <c r="A541" s="39"/>
      <c r="B541" s="40"/>
      <c r="C541" s="41"/>
      <c r="D541" s="32"/>
      <c r="E541" s="32"/>
      <c r="F541" s="32"/>
      <c r="G541" s="42"/>
      <c r="H541" s="32"/>
      <c r="I541" s="32"/>
    </row>
    <row r="542" spans="1:9" ht="22.5" customHeight="1">
      <c r="A542" s="39"/>
      <c r="B542" s="40"/>
      <c r="C542" s="41"/>
      <c r="D542" s="32"/>
      <c r="E542" s="32"/>
      <c r="F542" s="32"/>
      <c r="G542" s="42"/>
      <c r="H542" s="32"/>
      <c r="I542" s="32"/>
    </row>
    <row r="543" spans="1:9" ht="22.5" customHeight="1">
      <c r="A543" s="39"/>
      <c r="B543" s="40"/>
      <c r="C543" s="41"/>
      <c r="D543" s="32"/>
      <c r="E543" s="32"/>
      <c r="F543" s="32"/>
      <c r="G543" s="42"/>
      <c r="H543" s="32"/>
      <c r="I543" s="32"/>
    </row>
    <row r="544" spans="1:9" ht="22.5" customHeight="1">
      <c r="A544" s="39"/>
      <c r="B544" s="40"/>
      <c r="C544" s="41"/>
      <c r="D544" s="32"/>
      <c r="E544" s="32"/>
      <c r="F544" s="32"/>
      <c r="G544" s="42"/>
      <c r="H544" s="32"/>
      <c r="I544" s="32"/>
    </row>
    <row r="545" spans="1:9" ht="22.5" customHeight="1">
      <c r="A545" s="39"/>
      <c r="B545" s="40"/>
      <c r="C545" s="41"/>
      <c r="D545" s="32"/>
      <c r="E545" s="32"/>
      <c r="F545" s="32"/>
      <c r="G545" s="42"/>
      <c r="H545" s="32"/>
      <c r="I545" s="32"/>
    </row>
    <row r="546" spans="1:9" ht="22.5" customHeight="1">
      <c r="A546" s="39"/>
      <c r="B546" s="40"/>
      <c r="C546" s="41"/>
      <c r="D546" s="32"/>
      <c r="E546" s="32"/>
      <c r="F546" s="32"/>
      <c r="G546" s="42"/>
      <c r="H546" s="32"/>
      <c r="I546" s="32"/>
    </row>
    <row r="547" spans="1:9" ht="22.5" customHeight="1">
      <c r="A547" s="39"/>
      <c r="B547" s="40"/>
      <c r="C547" s="41"/>
      <c r="D547" s="32"/>
      <c r="E547" s="32"/>
      <c r="F547" s="32"/>
      <c r="G547" s="42"/>
      <c r="H547" s="32"/>
      <c r="I547" s="32"/>
    </row>
    <row r="548" spans="1:9" ht="22.5" customHeight="1">
      <c r="A548" s="39"/>
      <c r="B548" s="40"/>
      <c r="C548" s="41"/>
      <c r="D548" s="32"/>
      <c r="E548" s="32"/>
      <c r="F548" s="32"/>
      <c r="G548" s="42"/>
      <c r="H548" s="32"/>
      <c r="I548" s="32"/>
    </row>
    <row r="549" spans="1:9" ht="22.5" customHeight="1">
      <c r="A549" s="39"/>
      <c r="B549" s="40"/>
      <c r="C549" s="41"/>
      <c r="D549" s="32"/>
      <c r="E549" s="32"/>
      <c r="F549" s="32"/>
      <c r="G549" s="42"/>
      <c r="H549" s="32"/>
      <c r="I549" s="32"/>
    </row>
    <row r="550" spans="1:9" ht="22.5" customHeight="1">
      <c r="A550" s="39"/>
      <c r="B550" s="40"/>
      <c r="C550" s="41"/>
      <c r="D550" s="32"/>
      <c r="E550" s="32"/>
      <c r="F550" s="32"/>
      <c r="G550" s="42"/>
      <c r="H550" s="32"/>
      <c r="I550" s="32"/>
    </row>
    <row r="551" spans="1:9" ht="22.5" customHeight="1">
      <c r="A551" s="39"/>
      <c r="B551" s="40"/>
      <c r="C551" s="41"/>
      <c r="D551" s="32"/>
      <c r="E551" s="32"/>
      <c r="F551" s="32"/>
      <c r="G551" s="42"/>
      <c r="H551" s="32"/>
      <c r="I551" s="32"/>
    </row>
    <row r="552" spans="1:9" ht="22.5" customHeight="1">
      <c r="A552" s="39"/>
      <c r="B552" s="40"/>
      <c r="C552" s="41"/>
      <c r="D552" s="32"/>
      <c r="E552" s="32"/>
      <c r="F552" s="32"/>
      <c r="G552" s="42"/>
      <c r="H552" s="32"/>
      <c r="I552" s="32"/>
    </row>
    <row r="553" spans="1:9" ht="22.5" customHeight="1">
      <c r="A553" s="39"/>
      <c r="B553" s="40"/>
      <c r="C553" s="41"/>
      <c r="D553" s="32"/>
      <c r="E553" s="32"/>
      <c r="F553" s="32"/>
      <c r="G553" s="42"/>
      <c r="H553" s="32"/>
      <c r="I553" s="32"/>
    </row>
    <row r="554" spans="1:9" ht="22.5" customHeight="1">
      <c r="A554" s="39"/>
      <c r="B554" s="40"/>
      <c r="C554" s="41"/>
      <c r="D554" s="32"/>
      <c r="E554" s="32"/>
      <c r="F554" s="32"/>
      <c r="G554" s="42"/>
      <c r="H554" s="32"/>
      <c r="I554" s="32"/>
    </row>
    <row r="555" spans="1:9" ht="22.5" customHeight="1">
      <c r="A555" s="39"/>
      <c r="B555" s="40"/>
      <c r="C555" s="41"/>
      <c r="D555" s="32"/>
      <c r="E555" s="32"/>
      <c r="F555" s="32"/>
      <c r="G555" s="42"/>
      <c r="H555" s="32"/>
      <c r="I555" s="32"/>
    </row>
    <row r="556" spans="1:9" ht="22.5" customHeight="1">
      <c r="A556" s="39"/>
      <c r="B556" s="40"/>
      <c r="C556" s="41"/>
      <c r="D556" s="32"/>
      <c r="E556" s="32"/>
      <c r="F556" s="32"/>
      <c r="G556" s="42"/>
      <c r="H556" s="32"/>
      <c r="I556" s="32"/>
    </row>
    <row r="557" spans="1:9" ht="22.5" customHeight="1">
      <c r="A557" s="39"/>
      <c r="B557" s="40"/>
      <c r="C557" s="41"/>
      <c r="D557" s="32"/>
      <c r="E557" s="32"/>
      <c r="F557" s="32"/>
      <c r="G557" s="42"/>
      <c r="H557" s="32"/>
      <c r="I557" s="32"/>
    </row>
    <row r="558" spans="1:9" ht="22.5" customHeight="1">
      <c r="A558" s="39"/>
      <c r="B558" s="40"/>
      <c r="C558" s="41"/>
      <c r="D558" s="32"/>
      <c r="E558" s="32"/>
      <c r="F558" s="32"/>
      <c r="G558" s="42"/>
      <c r="H558" s="32"/>
      <c r="I558" s="32"/>
    </row>
    <row r="559" spans="1:9" ht="22.5" customHeight="1">
      <c r="A559" s="39"/>
      <c r="B559" s="40"/>
      <c r="C559" s="41"/>
      <c r="D559" s="32"/>
      <c r="E559" s="32"/>
      <c r="F559" s="32"/>
      <c r="G559" s="42"/>
      <c r="H559" s="32"/>
      <c r="I559" s="32"/>
    </row>
    <row r="560" spans="1:9" ht="22.5" customHeight="1">
      <c r="A560" s="39"/>
      <c r="B560" s="40"/>
      <c r="C560" s="41"/>
      <c r="D560" s="32"/>
      <c r="E560" s="32"/>
      <c r="F560" s="32"/>
      <c r="G560" s="42"/>
      <c r="H560" s="32"/>
      <c r="I560" s="32"/>
    </row>
    <row r="561" spans="1:9" ht="22.5" customHeight="1">
      <c r="A561" s="39"/>
      <c r="B561" s="40"/>
      <c r="C561" s="41"/>
      <c r="D561" s="32"/>
      <c r="E561" s="32"/>
      <c r="F561" s="32"/>
      <c r="G561" s="42"/>
      <c r="H561" s="32"/>
      <c r="I561" s="32"/>
    </row>
    <row r="562" spans="1:9" ht="22.5" customHeight="1">
      <c r="A562" s="39"/>
      <c r="B562" s="40"/>
      <c r="C562" s="41"/>
      <c r="D562" s="32"/>
      <c r="E562" s="32"/>
      <c r="F562" s="32"/>
      <c r="G562" s="42"/>
      <c r="H562" s="32"/>
      <c r="I562" s="32"/>
    </row>
    <row r="563" spans="1:9" ht="22.5" customHeight="1">
      <c r="A563" s="39"/>
      <c r="B563" s="40"/>
      <c r="C563" s="41"/>
      <c r="D563" s="32"/>
      <c r="E563" s="32"/>
      <c r="F563" s="32"/>
      <c r="G563" s="42"/>
      <c r="H563" s="32"/>
      <c r="I563" s="32"/>
    </row>
    <row r="564" spans="1:9" ht="22.5" customHeight="1">
      <c r="A564" s="39"/>
      <c r="B564" s="40"/>
      <c r="C564" s="41"/>
      <c r="D564" s="32"/>
      <c r="E564" s="32"/>
      <c r="F564" s="32"/>
      <c r="G564" s="42"/>
      <c r="H564" s="32"/>
      <c r="I564" s="32"/>
    </row>
    <row r="565" spans="1:9" ht="22.5" customHeight="1">
      <c r="A565" s="39"/>
      <c r="B565" s="40"/>
      <c r="C565" s="41"/>
      <c r="D565" s="32"/>
      <c r="E565" s="32"/>
      <c r="F565" s="32"/>
      <c r="G565" s="42"/>
      <c r="H565" s="32"/>
      <c r="I565" s="32"/>
    </row>
    <row r="566" spans="1:9" ht="22.5" customHeight="1">
      <c r="A566" s="39"/>
      <c r="B566" s="40"/>
      <c r="C566" s="41"/>
      <c r="D566" s="32"/>
      <c r="E566" s="32"/>
      <c r="F566" s="32"/>
      <c r="G566" s="42"/>
      <c r="H566" s="32"/>
      <c r="I566" s="32"/>
    </row>
    <row r="567" spans="1:9" ht="22.5" customHeight="1">
      <c r="A567" s="39"/>
      <c r="B567" s="40"/>
      <c r="C567" s="41"/>
      <c r="D567" s="32"/>
      <c r="E567" s="32"/>
      <c r="F567" s="32"/>
      <c r="G567" s="42"/>
      <c r="H567" s="32"/>
      <c r="I567" s="32"/>
    </row>
    <row r="568" spans="1:9" ht="22.5" customHeight="1">
      <c r="A568" s="39"/>
      <c r="B568" s="40"/>
      <c r="C568" s="41"/>
      <c r="D568" s="32"/>
      <c r="E568" s="32"/>
      <c r="F568" s="32"/>
      <c r="G568" s="42"/>
      <c r="H568" s="32"/>
      <c r="I568" s="32"/>
    </row>
    <row r="569" spans="1:9" ht="22.5" customHeight="1">
      <c r="A569" s="39"/>
      <c r="B569" s="40"/>
      <c r="C569" s="41"/>
      <c r="D569" s="32"/>
      <c r="E569" s="32"/>
      <c r="F569" s="32"/>
      <c r="G569" s="42"/>
      <c r="H569" s="32"/>
      <c r="I569" s="32"/>
    </row>
    <row r="570" spans="1:9" ht="22.5" customHeight="1">
      <c r="A570" s="39"/>
      <c r="B570" s="40"/>
      <c r="C570" s="41"/>
      <c r="D570" s="32"/>
      <c r="E570" s="32"/>
      <c r="F570" s="32"/>
      <c r="G570" s="42"/>
      <c r="H570" s="32"/>
      <c r="I570" s="32"/>
    </row>
    <row r="571" spans="1:9" ht="22.5" customHeight="1">
      <c r="A571" s="39"/>
      <c r="B571" s="40"/>
      <c r="C571" s="41"/>
      <c r="D571" s="32"/>
      <c r="E571" s="32"/>
      <c r="F571" s="32"/>
      <c r="G571" s="42"/>
      <c r="H571" s="32"/>
      <c r="I571" s="32"/>
    </row>
    <row r="572" spans="1:9" ht="22.5" customHeight="1">
      <c r="A572" s="39"/>
      <c r="B572" s="40"/>
      <c r="C572" s="41"/>
      <c r="D572" s="32"/>
      <c r="E572" s="32"/>
      <c r="F572" s="32"/>
      <c r="G572" s="42"/>
      <c r="H572" s="32"/>
      <c r="I572" s="32"/>
    </row>
    <row r="573" spans="1:9" ht="22.5" customHeight="1">
      <c r="A573" s="39"/>
      <c r="B573" s="40"/>
      <c r="C573" s="41"/>
      <c r="D573" s="32"/>
      <c r="E573" s="32"/>
      <c r="F573" s="32"/>
      <c r="G573" s="42"/>
      <c r="H573" s="32"/>
      <c r="I573" s="32"/>
    </row>
    <row r="574" spans="1:9" ht="22.5" customHeight="1">
      <c r="A574" s="39"/>
      <c r="B574" s="40"/>
      <c r="C574" s="41"/>
      <c r="D574" s="32"/>
      <c r="E574" s="32"/>
      <c r="F574" s="32"/>
      <c r="G574" s="42"/>
      <c r="H574" s="32"/>
      <c r="I574" s="32"/>
    </row>
    <row r="575" spans="1:9" ht="22.5" customHeight="1">
      <c r="A575" s="39"/>
      <c r="B575" s="40"/>
      <c r="C575" s="41"/>
      <c r="D575" s="32"/>
      <c r="E575" s="32"/>
      <c r="F575" s="32"/>
      <c r="G575" s="42"/>
      <c r="H575" s="32"/>
      <c r="I575" s="32"/>
    </row>
    <row r="576" spans="1:9" ht="22.5" customHeight="1">
      <c r="A576" s="39"/>
      <c r="B576" s="40"/>
      <c r="C576" s="41"/>
      <c r="D576" s="32"/>
      <c r="E576" s="32"/>
      <c r="F576" s="32"/>
      <c r="G576" s="42"/>
      <c r="H576" s="32"/>
      <c r="I576" s="32"/>
    </row>
    <row r="577" spans="1:9" ht="22.5" customHeight="1">
      <c r="A577" s="39"/>
      <c r="B577" s="40"/>
      <c r="C577" s="41"/>
      <c r="D577" s="32"/>
      <c r="E577" s="32"/>
      <c r="F577" s="32"/>
      <c r="G577" s="42"/>
      <c r="H577" s="32"/>
      <c r="I577" s="32"/>
    </row>
    <row r="578" spans="1:9" ht="22.5" customHeight="1">
      <c r="A578" s="39"/>
      <c r="B578" s="40"/>
      <c r="C578" s="41"/>
      <c r="D578" s="32"/>
      <c r="E578" s="32"/>
      <c r="F578" s="32"/>
      <c r="G578" s="42"/>
      <c r="H578" s="32"/>
      <c r="I578" s="32"/>
    </row>
    <row r="579" spans="1:9" ht="22.5" customHeight="1">
      <c r="A579" s="39"/>
      <c r="B579" s="40"/>
      <c r="C579" s="41"/>
      <c r="D579" s="32"/>
      <c r="E579" s="32"/>
      <c r="F579" s="32"/>
      <c r="G579" s="42"/>
      <c r="H579" s="32"/>
      <c r="I579" s="32"/>
    </row>
    <row r="580" spans="1:9" ht="22.5" customHeight="1">
      <c r="A580" s="39"/>
      <c r="B580" s="40"/>
      <c r="C580" s="41"/>
      <c r="D580" s="32"/>
      <c r="E580" s="32"/>
      <c r="F580" s="32"/>
      <c r="G580" s="42"/>
      <c r="H580" s="32"/>
      <c r="I580" s="32"/>
    </row>
    <row r="581" spans="1:9" ht="22.5" customHeight="1">
      <c r="A581" s="39"/>
      <c r="B581" s="40"/>
      <c r="C581" s="41"/>
      <c r="D581" s="32"/>
      <c r="E581" s="32"/>
      <c r="F581" s="32"/>
      <c r="G581" s="42"/>
      <c r="H581" s="32"/>
      <c r="I581" s="32"/>
    </row>
    <row r="582" spans="1:9" ht="22.5" customHeight="1">
      <c r="A582" s="39"/>
      <c r="B582" s="40"/>
      <c r="C582" s="41"/>
      <c r="D582" s="32"/>
      <c r="E582" s="32"/>
      <c r="F582" s="32"/>
      <c r="G582" s="42"/>
      <c r="H582" s="32"/>
      <c r="I582" s="32"/>
    </row>
    <row r="583" spans="1:9" ht="22.5" customHeight="1">
      <c r="A583" s="39"/>
      <c r="B583" s="40"/>
      <c r="C583" s="41"/>
      <c r="D583" s="32"/>
      <c r="E583" s="32"/>
      <c r="F583" s="32"/>
      <c r="G583" s="42"/>
      <c r="H583" s="32"/>
      <c r="I583" s="32"/>
    </row>
    <row r="584" spans="1:9" ht="22.5" customHeight="1">
      <c r="A584" s="39"/>
      <c r="B584" s="40"/>
      <c r="C584" s="41"/>
      <c r="D584" s="32"/>
      <c r="E584" s="32"/>
      <c r="F584" s="32"/>
      <c r="G584" s="42"/>
      <c r="H584" s="32"/>
      <c r="I584" s="32"/>
    </row>
    <row r="585" spans="1:9" ht="22.5" customHeight="1">
      <c r="A585" s="39"/>
      <c r="B585" s="40"/>
      <c r="C585" s="41"/>
      <c r="D585" s="32"/>
      <c r="E585" s="32"/>
      <c r="F585" s="32"/>
      <c r="G585" s="42"/>
      <c r="H585" s="32"/>
      <c r="I585" s="32"/>
    </row>
    <row r="586" spans="1:9" ht="22.5" customHeight="1">
      <c r="A586" s="39"/>
      <c r="B586" s="40"/>
      <c r="C586" s="41"/>
      <c r="D586" s="32"/>
      <c r="E586" s="32"/>
      <c r="F586" s="32"/>
      <c r="G586" s="42"/>
      <c r="H586" s="32"/>
      <c r="I586" s="32"/>
    </row>
    <row r="587" spans="1:9" ht="22.5" customHeight="1">
      <c r="A587" s="39"/>
      <c r="B587" s="40"/>
      <c r="C587" s="41"/>
      <c r="D587" s="32"/>
      <c r="E587" s="32"/>
      <c r="F587" s="32"/>
      <c r="G587" s="42"/>
      <c r="H587" s="32"/>
      <c r="I587" s="32"/>
    </row>
    <row r="588" spans="1:9" ht="22.5" customHeight="1">
      <c r="A588" s="39"/>
      <c r="B588" s="40"/>
      <c r="C588" s="41"/>
      <c r="D588" s="32"/>
      <c r="E588" s="32"/>
      <c r="F588" s="32"/>
      <c r="G588" s="42"/>
      <c r="H588" s="32"/>
      <c r="I588" s="32"/>
    </row>
    <row r="589" spans="1:9" ht="22.5" customHeight="1">
      <c r="A589" s="39"/>
      <c r="B589" s="40"/>
      <c r="C589" s="41"/>
      <c r="D589" s="32"/>
      <c r="E589" s="32"/>
      <c r="F589" s="32"/>
      <c r="G589" s="42"/>
      <c r="H589" s="32"/>
      <c r="I589" s="32"/>
    </row>
    <row r="590" spans="1:9" ht="22.5" customHeight="1">
      <c r="A590" s="39"/>
      <c r="B590" s="40"/>
      <c r="C590" s="41"/>
      <c r="D590" s="32"/>
      <c r="E590" s="32"/>
      <c r="F590" s="32"/>
      <c r="G590" s="42"/>
      <c r="H590" s="32"/>
      <c r="I590" s="32"/>
    </row>
    <row r="591" spans="1:9" ht="22.5" customHeight="1">
      <c r="A591" s="39"/>
      <c r="B591" s="40"/>
      <c r="C591" s="41"/>
      <c r="D591" s="32"/>
      <c r="E591" s="32"/>
      <c r="F591" s="32"/>
      <c r="G591" s="42"/>
      <c r="H591" s="32"/>
      <c r="I591" s="32"/>
    </row>
    <row r="592" spans="1:9" ht="22.5" customHeight="1">
      <c r="A592" s="39"/>
      <c r="B592" s="40"/>
      <c r="C592" s="41"/>
      <c r="D592" s="32"/>
      <c r="E592" s="32"/>
      <c r="F592" s="32"/>
      <c r="G592" s="42"/>
      <c r="H592" s="32"/>
      <c r="I592" s="32"/>
    </row>
    <row r="593" spans="1:9" ht="22.5" customHeight="1">
      <c r="A593" s="39"/>
      <c r="B593" s="40"/>
      <c r="C593" s="41"/>
      <c r="D593" s="32"/>
      <c r="E593" s="32"/>
      <c r="F593" s="32"/>
      <c r="G593" s="42"/>
      <c r="H593" s="32"/>
      <c r="I593" s="32"/>
    </row>
    <row r="594" spans="1:9" ht="22.5" customHeight="1">
      <c r="A594" s="39"/>
      <c r="B594" s="40"/>
      <c r="C594" s="41"/>
      <c r="D594" s="32"/>
      <c r="E594" s="32"/>
      <c r="F594" s="32"/>
      <c r="G594" s="42"/>
      <c r="H594" s="32"/>
      <c r="I594" s="32"/>
    </row>
    <row r="595" spans="1:9" ht="22.5" customHeight="1">
      <c r="A595" s="39"/>
      <c r="B595" s="40"/>
      <c r="C595" s="41"/>
      <c r="D595" s="32"/>
      <c r="E595" s="32"/>
      <c r="F595" s="32"/>
      <c r="G595" s="42"/>
      <c r="H595" s="32"/>
      <c r="I595" s="32"/>
    </row>
    <row r="596" spans="1:9" ht="22.5" customHeight="1">
      <c r="A596" s="39"/>
      <c r="B596" s="40"/>
      <c r="C596" s="41"/>
      <c r="D596" s="32"/>
      <c r="E596" s="32"/>
      <c r="F596" s="32"/>
      <c r="G596" s="42"/>
      <c r="H596" s="32"/>
      <c r="I596" s="32"/>
    </row>
    <row r="597" spans="1:9" ht="22.5" customHeight="1">
      <c r="A597" s="39"/>
      <c r="B597" s="40"/>
      <c r="C597" s="41"/>
      <c r="D597" s="32"/>
      <c r="E597" s="32"/>
      <c r="F597" s="32"/>
      <c r="G597" s="42"/>
      <c r="H597" s="32"/>
      <c r="I597" s="32"/>
    </row>
    <row r="598" spans="1:9" ht="22.5" customHeight="1">
      <c r="A598" s="39"/>
      <c r="B598" s="40"/>
      <c r="C598" s="41"/>
      <c r="D598" s="32"/>
      <c r="E598" s="32"/>
      <c r="F598" s="32"/>
      <c r="G598" s="42"/>
      <c r="H598" s="32"/>
      <c r="I598" s="32"/>
    </row>
    <row r="599" spans="1:9" ht="22.5" customHeight="1">
      <c r="A599" s="39"/>
      <c r="B599" s="40"/>
      <c r="C599" s="41"/>
      <c r="D599" s="32"/>
      <c r="E599" s="32"/>
      <c r="F599" s="32"/>
      <c r="G599" s="42"/>
      <c r="H599" s="32"/>
      <c r="I599" s="32"/>
    </row>
    <row r="600" spans="1:9" ht="22.5" customHeight="1">
      <c r="A600" s="39"/>
      <c r="B600" s="40"/>
      <c r="C600" s="41"/>
      <c r="D600" s="32"/>
      <c r="E600" s="32"/>
      <c r="F600" s="32"/>
      <c r="G600" s="42"/>
      <c r="H600" s="32"/>
      <c r="I600" s="32"/>
    </row>
    <row r="601" spans="1:9" ht="22.5" customHeight="1">
      <c r="A601" s="39"/>
      <c r="B601" s="40"/>
      <c r="C601" s="41"/>
      <c r="D601" s="32"/>
      <c r="E601" s="32"/>
      <c r="F601" s="32"/>
      <c r="G601" s="42"/>
      <c r="H601" s="32"/>
      <c r="I601" s="32"/>
    </row>
    <row r="602" spans="1:9" ht="22.5" customHeight="1">
      <c r="A602" s="39"/>
      <c r="B602" s="40"/>
      <c r="C602" s="41"/>
      <c r="D602" s="32"/>
      <c r="E602" s="32"/>
      <c r="F602" s="32"/>
      <c r="G602" s="42"/>
      <c r="H602" s="32"/>
      <c r="I602" s="32"/>
    </row>
    <row r="603" spans="1:9" ht="22.5" customHeight="1">
      <c r="A603" s="39"/>
      <c r="B603" s="40"/>
      <c r="C603" s="41"/>
      <c r="D603" s="32"/>
      <c r="E603" s="32"/>
      <c r="F603" s="32"/>
      <c r="G603" s="42"/>
      <c r="H603" s="32"/>
      <c r="I603" s="32"/>
    </row>
    <row r="604" spans="1:9" ht="22.5" customHeight="1">
      <c r="A604" s="39"/>
      <c r="B604" s="40"/>
      <c r="C604" s="41"/>
      <c r="D604" s="32"/>
      <c r="E604" s="32"/>
      <c r="F604" s="32"/>
      <c r="G604" s="42"/>
      <c r="H604" s="32"/>
      <c r="I604" s="32"/>
    </row>
    <row r="605" spans="1:9" ht="22.5" customHeight="1">
      <c r="A605" s="39"/>
      <c r="B605" s="40"/>
      <c r="C605" s="41"/>
      <c r="D605" s="32"/>
      <c r="E605" s="32"/>
      <c r="F605" s="32"/>
      <c r="G605" s="42"/>
      <c r="H605" s="32"/>
      <c r="I605" s="32"/>
    </row>
    <row r="606" spans="1:9" ht="22.5" customHeight="1">
      <c r="A606" s="39"/>
      <c r="B606" s="40"/>
      <c r="C606" s="41"/>
      <c r="D606" s="32"/>
      <c r="E606" s="32"/>
      <c r="F606" s="32"/>
      <c r="G606" s="42"/>
      <c r="H606" s="32"/>
      <c r="I606" s="32"/>
    </row>
    <row r="607" spans="1:9" ht="22.5" customHeight="1">
      <c r="A607" s="39"/>
      <c r="B607" s="40"/>
      <c r="C607" s="41"/>
      <c r="D607" s="32"/>
      <c r="E607" s="32"/>
      <c r="F607" s="32"/>
      <c r="G607" s="42"/>
      <c r="H607" s="32"/>
      <c r="I607" s="32"/>
    </row>
    <row r="608" spans="1:9" ht="22.5" customHeight="1">
      <c r="A608" s="39"/>
      <c r="B608" s="40"/>
      <c r="C608" s="41"/>
      <c r="D608" s="32"/>
      <c r="E608" s="32"/>
      <c r="F608" s="32"/>
      <c r="G608" s="42"/>
      <c r="H608" s="32"/>
      <c r="I608" s="32"/>
    </row>
    <row r="609" spans="1:9" ht="22.5" customHeight="1">
      <c r="A609" s="39"/>
      <c r="B609" s="40"/>
      <c r="C609" s="41"/>
      <c r="D609" s="32"/>
      <c r="E609" s="32"/>
      <c r="F609" s="32"/>
      <c r="G609" s="42"/>
      <c r="H609" s="32"/>
      <c r="I609" s="32"/>
    </row>
    <row r="610" spans="1:9" ht="22.5" customHeight="1">
      <c r="A610" s="39"/>
      <c r="B610" s="40"/>
      <c r="C610" s="41"/>
      <c r="D610" s="32"/>
      <c r="E610" s="32"/>
      <c r="F610" s="32"/>
      <c r="G610" s="42"/>
      <c r="H610" s="32"/>
      <c r="I610" s="32"/>
    </row>
    <row r="611" spans="1:9" ht="22.5" customHeight="1">
      <c r="A611" s="39"/>
      <c r="B611" s="40"/>
      <c r="C611" s="41"/>
      <c r="D611" s="32"/>
      <c r="E611" s="32"/>
      <c r="F611" s="32"/>
      <c r="G611" s="42"/>
      <c r="H611" s="32"/>
      <c r="I611" s="32"/>
    </row>
    <row r="612" spans="1:9" ht="22.5" customHeight="1">
      <c r="A612" s="39"/>
      <c r="B612" s="40"/>
      <c r="C612" s="41"/>
      <c r="D612" s="32"/>
      <c r="E612" s="32"/>
      <c r="F612" s="32"/>
      <c r="G612" s="42"/>
      <c r="H612" s="32"/>
      <c r="I612" s="32"/>
    </row>
    <row r="613" spans="1:9" ht="22.5" customHeight="1">
      <c r="A613" s="39"/>
      <c r="B613" s="40"/>
      <c r="C613" s="41"/>
      <c r="D613" s="32"/>
      <c r="E613" s="32"/>
      <c r="F613" s="32"/>
      <c r="G613" s="42"/>
      <c r="H613" s="32"/>
      <c r="I613" s="32"/>
    </row>
    <row r="614" spans="1:9" ht="22.5" customHeight="1">
      <c r="A614" s="39"/>
      <c r="B614" s="40"/>
      <c r="C614" s="41"/>
      <c r="D614" s="32"/>
      <c r="E614" s="32"/>
      <c r="F614" s="32"/>
      <c r="G614" s="42"/>
      <c r="H614" s="32"/>
      <c r="I614" s="32"/>
    </row>
    <row r="615" spans="1:9" ht="22.5" customHeight="1">
      <c r="A615" s="39"/>
      <c r="B615" s="40"/>
      <c r="C615" s="41"/>
      <c r="D615" s="32"/>
      <c r="E615" s="32"/>
      <c r="F615" s="32"/>
      <c r="G615" s="42"/>
      <c r="H615" s="32"/>
      <c r="I615" s="32"/>
    </row>
    <row r="616" spans="1:9" ht="22.5" customHeight="1">
      <c r="A616" s="39"/>
      <c r="B616" s="40"/>
      <c r="C616" s="41"/>
      <c r="D616" s="32"/>
      <c r="E616" s="32"/>
      <c r="F616" s="32"/>
      <c r="G616" s="42"/>
      <c r="H616" s="32"/>
      <c r="I616" s="32"/>
    </row>
    <row r="617" spans="1:9" ht="22.5" customHeight="1">
      <c r="A617" s="39"/>
      <c r="B617" s="40"/>
      <c r="C617" s="41"/>
      <c r="D617" s="32"/>
      <c r="E617" s="32"/>
      <c r="F617" s="32"/>
      <c r="G617" s="42"/>
      <c r="H617" s="32"/>
      <c r="I617" s="32"/>
    </row>
    <row r="618" spans="1:9" ht="22.5" customHeight="1">
      <c r="A618" s="39"/>
      <c r="B618" s="40"/>
      <c r="C618" s="41"/>
      <c r="D618" s="32"/>
      <c r="E618" s="32"/>
      <c r="F618" s="32"/>
      <c r="G618" s="42"/>
      <c r="H618" s="32"/>
      <c r="I618" s="32"/>
    </row>
    <row r="619" spans="1:9" ht="22.5" customHeight="1">
      <c r="A619" s="39"/>
      <c r="B619" s="40"/>
      <c r="C619" s="41"/>
      <c r="D619" s="32"/>
      <c r="E619" s="32"/>
      <c r="F619" s="32"/>
      <c r="G619" s="42"/>
      <c r="H619" s="32"/>
      <c r="I619" s="32"/>
    </row>
    <row r="620" spans="1:9" ht="22.5" customHeight="1">
      <c r="A620" s="39"/>
      <c r="B620" s="40"/>
      <c r="C620" s="41"/>
      <c r="D620" s="32"/>
      <c r="E620" s="32"/>
      <c r="F620" s="32"/>
      <c r="G620" s="42"/>
      <c r="H620" s="32"/>
      <c r="I620" s="32"/>
    </row>
    <row r="621" spans="1:9" ht="22.5" customHeight="1">
      <c r="A621" s="39"/>
      <c r="B621" s="40"/>
      <c r="C621" s="41"/>
      <c r="D621" s="32"/>
      <c r="E621" s="32"/>
      <c r="F621" s="32"/>
      <c r="G621" s="42"/>
      <c r="H621" s="32"/>
      <c r="I621" s="32"/>
    </row>
    <row r="622" spans="1:9" ht="22.5" customHeight="1">
      <c r="A622" s="39"/>
      <c r="B622" s="40"/>
      <c r="C622" s="41"/>
      <c r="D622" s="32"/>
      <c r="E622" s="32"/>
      <c r="F622" s="32"/>
      <c r="G622" s="42"/>
      <c r="H622" s="32"/>
      <c r="I622" s="32"/>
    </row>
    <row r="623" spans="1:9" ht="22.5" customHeight="1">
      <c r="A623" s="39"/>
      <c r="B623" s="40"/>
      <c r="C623" s="41"/>
      <c r="D623" s="32"/>
      <c r="E623" s="32"/>
      <c r="F623" s="32"/>
      <c r="G623" s="42"/>
      <c r="H623" s="32"/>
      <c r="I623" s="32"/>
    </row>
    <row r="624" spans="1:9" ht="22.5" customHeight="1">
      <c r="A624" s="39"/>
      <c r="B624" s="40"/>
      <c r="C624" s="41"/>
      <c r="D624" s="32"/>
      <c r="E624" s="32"/>
      <c r="F624" s="32"/>
      <c r="G624" s="42"/>
      <c r="H624" s="32"/>
      <c r="I624" s="32"/>
    </row>
    <row r="625" spans="1:9" ht="22.5" customHeight="1">
      <c r="A625" s="39"/>
      <c r="B625" s="40"/>
      <c r="C625" s="41"/>
      <c r="D625" s="32"/>
      <c r="E625" s="32"/>
      <c r="F625" s="32"/>
      <c r="G625" s="42"/>
      <c r="H625" s="32"/>
      <c r="I625" s="32"/>
    </row>
    <row r="626" spans="1:9" ht="22.5" customHeight="1">
      <c r="A626" s="39"/>
      <c r="B626" s="40"/>
      <c r="C626" s="41"/>
      <c r="D626" s="32"/>
      <c r="E626" s="32"/>
      <c r="F626" s="32"/>
      <c r="G626" s="42"/>
      <c r="H626" s="32"/>
      <c r="I626" s="32"/>
    </row>
    <row r="627" spans="1:9" ht="22.5" customHeight="1">
      <c r="A627" s="39"/>
      <c r="B627" s="40"/>
      <c r="C627" s="41"/>
      <c r="D627" s="32"/>
      <c r="E627" s="32"/>
      <c r="F627" s="32"/>
      <c r="G627" s="42"/>
      <c r="H627" s="32"/>
      <c r="I627" s="32"/>
    </row>
    <row r="628" spans="1:9" ht="22.5" customHeight="1">
      <c r="A628" s="39"/>
      <c r="B628" s="40"/>
      <c r="C628" s="41"/>
      <c r="D628" s="32"/>
      <c r="E628" s="32"/>
      <c r="F628" s="32"/>
      <c r="G628" s="42"/>
      <c r="H628" s="32"/>
      <c r="I628" s="32"/>
    </row>
    <row r="629" spans="1:9" ht="22.5" customHeight="1">
      <c r="A629" s="39"/>
      <c r="B629" s="40"/>
      <c r="C629" s="41"/>
      <c r="D629" s="32"/>
      <c r="E629" s="32"/>
      <c r="F629" s="32"/>
      <c r="G629" s="42"/>
      <c r="H629" s="32"/>
      <c r="I629" s="32"/>
    </row>
    <row r="630" spans="1:9" ht="22.5" customHeight="1">
      <c r="A630" s="39"/>
      <c r="B630" s="40"/>
      <c r="C630" s="41"/>
      <c r="D630" s="32"/>
      <c r="E630" s="32"/>
      <c r="F630" s="32"/>
      <c r="G630" s="42"/>
      <c r="H630" s="32"/>
      <c r="I630" s="32"/>
    </row>
    <row r="631" spans="1:9" ht="22.5" customHeight="1">
      <c r="A631" s="39"/>
      <c r="B631" s="40"/>
      <c r="C631" s="41"/>
      <c r="D631" s="32"/>
      <c r="E631" s="32"/>
      <c r="F631" s="32"/>
      <c r="G631" s="42"/>
      <c r="H631" s="32"/>
      <c r="I631" s="32"/>
    </row>
    <row r="632" spans="1:9" ht="22.5" customHeight="1">
      <c r="A632" s="39"/>
      <c r="B632" s="40"/>
      <c r="C632" s="41"/>
      <c r="D632" s="32"/>
      <c r="E632" s="32"/>
      <c r="F632" s="32"/>
      <c r="G632" s="42"/>
      <c r="H632" s="32"/>
      <c r="I632" s="32"/>
    </row>
    <row r="633" spans="1:9" ht="22.5" customHeight="1">
      <c r="A633" s="39"/>
      <c r="B633" s="40"/>
      <c r="C633" s="41"/>
      <c r="D633" s="32"/>
      <c r="E633" s="32"/>
      <c r="F633" s="32"/>
      <c r="G633" s="42"/>
      <c r="H633" s="32"/>
      <c r="I633" s="32"/>
    </row>
    <row r="634" spans="1:9" ht="22.5" customHeight="1">
      <c r="A634" s="39"/>
      <c r="B634" s="40"/>
      <c r="C634" s="41"/>
      <c r="D634" s="32"/>
      <c r="E634" s="32"/>
      <c r="F634" s="32"/>
      <c r="G634" s="42"/>
      <c r="H634" s="32"/>
      <c r="I634" s="32"/>
    </row>
    <row r="635" spans="1:9" ht="22.5" customHeight="1">
      <c r="A635" s="39"/>
      <c r="B635" s="40"/>
      <c r="C635" s="41"/>
      <c r="D635" s="32"/>
      <c r="E635" s="32"/>
      <c r="F635" s="32"/>
      <c r="G635" s="42"/>
      <c r="H635" s="32"/>
      <c r="I635" s="32"/>
    </row>
    <row r="636" spans="1:9" ht="22.5" customHeight="1">
      <c r="A636" s="39"/>
      <c r="B636" s="40"/>
      <c r="C636" s="41"/>
      <c r="D636" s="32"/>
      <c r="E636" s="32"/>
      <c r="F636" s="32"/>
      <c r="G636" s="42"/>
      <c r="H636" s="32"/>
      <c r="I636" s="32"/>
    </row>
    <row r="637" spans="1:9" ht="22.5" customHeight="1">
      <c r="A637" s="39"/>
      <c r="B637" s="40"/>
      <c r="C637" s="41"/>
      <c r="D637" s="32"/>
      <c r="E637" s="32"/>
      <c r="F637" s="32"/>
      <c r="G637" s="42"/>
      <c r="H637" s="32"/>
      <c r="I637" s="32"/>
    </row>
    <row r="638" spans="1:9" ht="22.5" customHeight="1">
      <c r="A638" s="39"/>
      <c r="B638" s="40"/>
      <c r="C638" s="41"/>
      <c r="D638" s="32"/>
      <c r="E638" s="32"/>
      <c r="F638" s="32"/>
      <c r="G638" s="42"/>
      <c r="H638" s="32"/>
      <c r="I638" s="32"/>
    </row>
    <row r="639" spans="1:9" ht="22.5" customHeight="1">
      <c r="A639" s="39"/>
      <c r="B639" s="40"/>
      <c r="C639" s="41"/>
      <c r="D639" s="32"/>
      <c r="E639" s="32"/>
      <c r="F639" s="32"/>
      <c r="G639" s="42"/>
      <c r="H639" s="32"/>
      <c r="I639" s="32"/>
    </row>
    <row r="640" spans="1:9" ht="22.5" customHeight="1">
      <c r="A640" s="39"/>
      <c r="B640" s="40"/>
      <c r="C640" s="41"/>
      <c r="D640" s="32"/>
      <c r="E640" s="32"/>
      <c r="F640" s="32"/>
      <c r="G640" s="42"/>
      <c r="H640" s="32"/>
      <c r="I640" s="32"/>
    </row>
    <row r="641" spans="1:9" ht="22.5" customHeight="1">
      <c r="A641" s="39"/>
      <c r="B641" s="40"/>
      <c r="C641" s="41"/>
      <c r="D641" s="32"/>
      <c r="E641" s="32"/>
      <c r="F641" s="32"/>
      <c r="G641" s="42"/>
      <c r="H641" s="32"/>
      <c r="I641" s="32"/>
    </row>
    <row r="642" spans="1:9" ht="22.5" customHeight="1">
      <c r="A642" s="39"/>
      <c r="B642" s="40"/>
      <c r="C642" s="41"/>
      <c r="D642" s="32"/>
      <c r="E642" s="32"/>
      <c r="F642" s="32"/>
      <c r="G642" s="42"/>
      <c r="H642" s="32"/>
      <c r="I642" s="32"/>
    </row>
    <row r="643" spans="1:9" ht="22.5" customHeight="1">
      <c r="A643" s="39"/>
      <c r="B643" s="40"/>
      <c r="C643" s="41"/>
      <c r="D643" s="32"/>
      <c r="E643" s="32"/>
      <c r="F643" s="32"/>
      <c r="G643" s="42"/>
      <c r="H643" s="32"/>
      <c r="I643" s="32"/>
    </row>
    <row r="644" spans="1:9" ht="22.5" customHeight="1">
      <c r="A644" s="39"/>
      <c r="B644" s="40"/>
      <c r="C644" s="41"/>
      <c r="D644" s="32"/>
      <c r="E644" s="32"/>
      <c r="F644" s="32"/>
      <c r="G644" s="42"/>
      <c r="H644" s="32"/>
      <c r="I644" s="32"/>
    </row>
    <row r="645" spans="1:9" ht="22.5" customHeight="1">
      <c r="A645" s="39"/>
      <c r="B645" s="40"/>
      <c r="C645" s="41"/>
      <c r="D645" s="32"/>
      <c r="E645" s="32"/>
      <c r="F645" s="32"/>
      <c r="G645" s="42"/>
      <c r="H645" s="32"/>
      <c r="I645" s="32"/>
    </row>
    <row r="646" spans="1:9" ht="22.5" customHeight="1">
      <c r="A646" s="39"/>
      <c r="B646" s="40"/>
      <c r="C646" s="41"/>
      <c r="D646" s="32"/>
      <c r="E646" s="32"/>
      <c r="F646" s="32"/>
      <c r="G646" s="42"/>
      <c r="H646" s="32"/>
      <c r="I646" s="32"/>
    </row>
    <row r="647" spans="1:9" ht="22.5" customHeight="1">
      <c r="A647" s="39"/>
      <c r="B647" s="40"/>
      <c r="C647" s="41"/>
      <c r="D647" s="32"/>
      <c r="E647" s="32"/>
      <c r="F647" s="32"/>
      <c r="G647" s="42"/>
      <c r="H647" s="32"/>
      <c r="I647" s="32"/>
    </row>
    <row r="648" spans="1:9" ht="22.5" customHeight="1">
      <c r="A648" s="39"/>
      <c r="B648" s="40"/>
      <c r="C648" s="41"/>
      <c r="D648" s="32"/>
      <c r="E648" s="32"/>
      <c r="F648" s="32"/>
      <c r="G648" s="42"/>
      <c r="H648" s="32"/>
      <c r="I648" s="32"/>
    </row>
    <row r="649" spans="1:9" ht="22.5" customHeight="1">
      <c r="A649" s="39"/>
      <c r="B649" s="40"/>
      <c r="C649" s="41"/>
      <c r="D649" s="32"/>
      <c r="E649" s="32"/>
      <c r="F649" s="32"/>
      <c r="G649" s="42"/>
      <c r="H649" s="32"/>
      <c r="I649" s="32"/>
    </row>
    <row r="650" spans="1:9" ht="22.5" customHeight="1">
      <c r="A650" s="39"/>
      <c r="B650" s="40"/>
      <c r="C650" s="41"/>
      <c r="D650" s="32"/>
      <c r="E650" s="32"/>
      <c r="F650" s="32"/>
      <c r="G650" s="42"/>
      <c r="H650" s="32"/>
      <c r="I650" s="32"/>
    </row>
    <row r="651" spans="1:9" ht="22.5" customHeight="1">
      <c r="A651" s="39"/>
      <c r="B651" s="40"/>
      <c r="C651" s="41"/>
      <c r="D651" s="32"/>
      <c r="E651" s="32"/>
      <c r="F651" s="32"/>
      <c r="G651" s="42"/>
      <c r="H651" s="32"/>
      <c r="I651" s="32"/>
    </row>
    <row r="652" spans="1:9" ht="22.5" customHeight="1">
      <c r="A652" s="39"/>
      <c r="B652" s="40"/>
      <c r="C652" s="41"/>
      <c r="D652" s="32"/>
      <c r="E652" s="32"/>
      <c r="F652" s="32"/>
      <c r="G652" s="42"/>
      <c r="H652" s="32"/>
      <c r="I652" s="32"/>
    </row>
    <row r="653" spans="1:9" ht="22.5" customHeight="1">
      <c r="A653" s="39"/>
      <c r="B653" s="40"/>
      <c r="C653" s="41"/>
      <c r="D653" s="32"/>
      <c r="E653" s="32"/>
      <c r="F653" s="32"/>
      <c r="G653" s="42"/>
      <c r="H653" s="32"/>
      <c r="I653" s="32"/>
    </row>
    <row r="654" spans="1:9" ht="22.5" customHeight="1">
      <c r="A654" s="39"/>
      <c r="B654" s="40"/>
      <c r="C654" s="41"/>
      <c r="D654" s="32"/>
      <c r="E654" s="32"/>
      <c r="F654" s="32"/>
      <c r="G654" s="42"/>
      <c r="H654" s="32"/>
      <c r="I654" s="32"/>
    </row>
    <row r="655" spans="1:9" ht="22.5" customHeight="1">
      <c r="A655" s="39"/>
      <c r="B655" s="40"/>
      <c r="C655" s="41"/>
      <c r="D655" s="32"/>
      <c r="E655" s="32"/>
      <c r="F655" s="32"/>
      <c r="G655" s="42"/>
      <c r="H655" s="32"/>
      <c r="I655" s="32"/>
    </row>
    <row r="656" spans="1:9" ht="22.5" customHeight="1">
      <c r="A656" s="39"/>
      <c r="B656" s="40"/>
      <c r="C656" s="41"/>
      <c r="D656" s="32"/>
      <c r="E656" s="32"/>
      <c r="F656" s="32"/>
      <c r="G656" s="42"/>
      <c r="H656" s="32"/>
      <c r="I656" s="32"/>
    </row>
    <row r="657" spans="1:9" ht="22.5" customHeight="1">
      <c r="A657" s="39"/>
      <c r="B657" s="40"/>
      <c r="C657" s="41"/>
      <c r="D657" s="32"/>
      <c r="E657" s="32"/>
      <c r="F657" s="32"/>
      <c r="G657" s="42"/>
      <c r="H657" s="32"/>
      <c r="I657" s="32"/>
    </row>
    <row r="658" spans="1:9" ht="22.5" customHeight="1">
      <c r="A658" s="39"/>
      <c r="B658" s="40"/>
      <c r="C658" s="41"/>
      <c r="D658" s="32"/>
      <c r="E658" s="32"/>
      <c r="F658" s="32"/>
      <c r="G658" s="42"/>
      <c r="H658" s="32"/>
      <c r="I658" s="32"/>
    </row>
    <row r="659" spans="1:9" ht="22.5" customHeight="1">
      <c r="A659" s="39"/>
      <c r="B659" s="40"/>
      <c r="C659" s="41"/>
      <c r="D659" s="32"/>
      <c r="E659" s="32"/>
      <c r="F659" s="32"/>
      <c r="G659" s="42"/>
      <c r="H659" s="32"/>
      <c r="I659" s="32"/>
    </row>
    <row r="660" spans="1:9" ht="22.5" customHeight="1">
      <c r="A660" s="39"/>
      <c r="B660" s="40"/>
      <c r="C660" s="41"/>
      <c r="D660" s="32"/>
      <c r="E660" s="32"/>
      <c r="F660" s="32"/>
      <c r="G660" s="42"/>
      <c r="H660" s="32"/>
      <c r="I660" s="32"/>
    </row>
    <row r="661" spans="1:9" ht="22.5" customHeight="1">
      <c r="A661" s="39"/>
      <c r="B661" s="40"/>
      <c r="C661" s="41"/>
      <c r="D661" s="32"/>
      <c r="E661" s="32"/>
      <c r="F661" s="32"/>
      <c r="G661" s="42"/>
      <c r="H661" s="32"/>
      <c r="I661" s="32"/>
    </row>
    <row r="662" spans="1:9" ht="22.5" customHeight="1">
      <c r="A662" s="39"/>
      <c r="B662" s="40"/>
      <c r="C662" s="41"/>
      <c r="D662" s="32"/>
      <c r="E662" s="32"/>
      <c r="F662" s="32"/>
      <c r="G662" s="42"/>
      <c r="H662" s="32"/>
      <c r="I662" s="32"/>
    </row>
    <row r="663" spans="1:9" ht="22.5" customHeight="1">
      <c r="A663" s="39"/>
      <c r="B663" s="40"/>
      <c r="C663" s="41"/>
      <c r="D663" s="32"/>
      <c r="E663" s="32"/>
      <c r="F663" s="32"/>
      <c r="G663" s="42"/>
      <c r="H663" s="32"/>
      <c r="I663" s="32"/>
    </row>
    <row r="664" spans="1:9" ht="22.5" customHeight="1">
      <c r="A664" s="39"/>
      <c r="B664" s="40"/>
      <c r="C664" s="41"/>
      <c r="D664" s="32"/>
      <c r="E664" s="32"/>
      <c r="F664" s="32"/>
      <c r="G664" s="42"/>
      <c r="H664" s="32"/>
      <c r="I664" s="32"/>
    </row>
    <row r="665" spans="1:9" ht="22.5" customHeight="1">
      <c r="A665" s="39"/>
      <c r="B665" s="40"/>
      <c r="C665" s="41"/>
      <c r="D665" s="32"/>
      <c r="E665" s="32"/>
      <c r="F665" s="32"/>
      <c r="G665" s="42"/>
      <c r="H665" s="32"/>
      <c r="I665" s="32"/>
    </row>
    <row r="666" spans="1:9" ht="22.5" customHeight="1">
      <c r="A666" s="39"/>
      <c r="B666" s="40"/>
      <c r="C666" s="41"/>
      <c r="D666" s="32"/>
      <c r="E666" s="32"/>
      <c r="F666" s="32"/>
      <c r="G666" s="42"/>
      <c r="H666" s="32"/>
      <c r="I666" s="32"/>
    </row>
    <row r="667" spans="1:9" ht="22.5" customHeight="1">
      <c r="A667" s="39"/>
      <c r="B667" s="40"/>
      <c r="C667" s="41"/>
      <c r="D667" s="32"/>
      <c r="E667" s="32"/>
      <c r="F667" s="32"/>
      <c r="G667" s="42"/>
      <c r="H667" s="32"/>
      <c r="I667" s="32"/>
    </row>
    <row r="668" spans="1:9" ht="22.5" customHeight="1">
      <c r="A668" s="39"/>
      <c r="B668" s="40"/>
      <c r="C668" s="41"/>
      <c r="D668" s="32"/>
      <c r="E668" s="32"/>
      <c r="F668" s="32"/>
      <c r="G668" s="42"/>
      <c r="H668" s="32"/>
      <c r="I668" s="32"/>
    </row>
    <row r="669" spans="1:9" ht="22.5" customHeight="1">
      <c r="A669" s="39"/>
      <c r="B669" s="40"/>
      <c r="C669" s="41"/>
      <c r="D669" s="32"/>
      <c r="E669" s="32"/>
      <c r="F669" s="32"/>
      <c r="G669" s="42"/>
      <c r="H669" s="32"/>
      <c r="I669" s="32"/>
    </row>
    <row r="670" spans="1:9" ht="22.5" customHeight="1">
      <c r="A670" s="39"/>
      <c r="B670" s="40"/>
      <c r="C670" s="41"/>
      <c r="D670" s="32"/>
      <c r="E670" s="32"/>
      <c r="F670" s="32"/>
      <c r="G670" s="42"/>
      <c r="H670" s="32"/>
      <c r="I670" s="32"/>
    </row>
    <row r="671" spans="1:9" ht="22.5" customHeight="1">
      <c r="A671" s="39"/>
      <c r="B671" s="40"/>
      <c r="C671" s="41"/>
      <c r="D671" s="32"/>
      <c r="E671" s="32"/>
      <c r="F671" s="32"/>
      <c r="G671" s="42"/>
      <c r="H671" s="32"/>
      <c r="I671" s="32"/>
    </row>
    <row r="672" spans="1:9" ht="22.5" customHeight="1">
      <c r="A672" s="39"/>
      <c r="B672" s="40"/>
      <c r="C672" s="41"/>
      <c r="D672" s="32"/>
      <c r="E672" s="32"/>
      <c r="F672" s="32"/>
      <c r="G672" s="42"/>
      <c r="H672" s="32"/>
      <c r="I672" s="32"/>
    </row>
    <row r="673" spans="1:9" ht="22.5" customHeight="1">
      <c r="A673" s="39"/>
      <c r="B673" s="40"/>
      <c r="C673" s="41"/>
      <c r="D673" s="32"/>
      <c r="E673" s="32"/>
      <c r="F673" s="32"/>
      <c r="G673" s="42"/>
      <c r="H673" s="32"/>
      <c r="I673" s="32"/>
    </row>
    <row r="674" spans="1:9" ht="22.5" customHeight="1">
      <c r="A674" s="39"/>
      <c r="B674" s="40"/>
      <c r="C674" s="41"/>
      <c r="D674" s="32"/>
      <c r="E674" s="32"/>
      <c r="F674" s="32"/>
      <c r="G674" s="42"/>
      <c r="H674" s="32"/>
      <c r="I674" s="32"/>
    </row>
    <row r="675" spans="1:9" ht="22.5" customHeight="1">
      <c r="A675" s="39"/>
      <c r="B675" s="40"/>
      <c r="C675" s="41"/>
      <c r="D675" s="32"/>
      <c r="E675" s="32"/>
      <c r="F675" s="32"/>
      <c r="G675" s="42"/>
      <c r="H675" s="32"/>
      <c r="I675" s="32"/>
    </row>
    <row r="676" spans="1:9" ht="22.5" customHeight="1">
      <c r="A676" s="39"/>
      <c r="B676" s="40"/>
      <c r="C676" s="41"/>
      <c r="D676" s="32"/>
      <c r="E676" s="32"/>
      <c r="F676" s="32"/>
      <c r="G676" s="42"/>
      <c r="H676" s="32"/>
      <c r="I676" s="32"/>
    </row>
    <row r="677" spans="1:9" ht="22.5" customHeight="1">
      <c r="A677" s="39"/>
      <c r="B677" s="40"/>
      <c r="C677" s="41"/>
      <c r="D677" s="32"/>
      <c r="E677" s="32"/>
      <c r="F677" s="32"/>
      <c r="G677" s="42"/>
      <c r="H677" s="32"/>
      <c r="I677" s="32"/>
    </row>
    <row r="678" spans="1:9" ht="22.5" customHeight="1">
      <c r="A678" s="39"/>
      <c r="B678" s="40"/>
      <c r="C678" s="41"/>
      <c r="D678" s="32"/>
      <c r="E678" s="32"/>
      <c r="F678" s="32"/>
      <c r="G678" s="42"/>
      <c r="H678" s="32"/>
      <c r="I678" s="32"/>
    </row>
    <row r="679" spans="1:9" ht="22.5" customHeight="1">
      <c r="A679" s="39"/>
      <c r="B679" s="40"/>
      <c r="C679" s="41"/>
      <c r="D679" s="32"/>
      <c r="E679" s="32"/>
      <c r="F679" s="32"/>
      <c r="G679" s="42"/>
      <c r="H679" s="32"/>
      <c r="I679" s="32"/>
    </row>
    <row r="680" spans="1:9" ht="22.5" customHeight="1">
      <c r="A680" s="39"/>
      <c r="B680" s="40"/>
      <c r="C680" s="41"/>
      <c r="D680" s="32"/>
      <c r="E680" s="32"/>
      <c r="F680" s="32"/>
      <c r="G680" s="42"/>
      <c r="H680" s="32"/>
      <c r="I680" s="32"/>
    </row>
    <row r="681" spans="1:9" ht="22.5" customHeight="1">
      <c r="A681" s="39"/>
      <c r="B681" s="40"/>
      <c r="C681" s="41"/>
      <c r="D681" s="32"/>
      <c r="E681" s="32"/>
      <c r="F681" s="32"/>
      <c r="G681" s="42"/>
      <c r="H681" s="32"/>
      <c r="I681" s="32"/>
    </row>
    <row r="682" spans="1:9" ht="22.5" customHeight="1">
      <c r="A682" s="39"/>
      <c r="B682" s="40"/>
      <c r="C682" s="41"/>
      <c r="D682" s="32"/>
      <c r="E682" s="32"/>
      <c r="F682" s="32"/>
      <c r="G682" s="42"/>
      <c r="H682" s="32"/>
      <c r="I682" s="32"/>
    </row>
    <row r="683" spans="1:9" ht="22.5" customHeight="1">
      <c r="A683" s="39"/>
      <c r="B683" s="40"/>
      <c r="C683" s="41"/>
      <c r="D683" s="32"/>
      <c r="E683" s="32"/>
      <c r="F683" s="32"/>
      <c r="G683" s="42"/>
      <c r="H683" s="32"/>
      <c r="I683" s="32"/>
    </row>
    <row r="684" spans="1:9" ht="22.5" customHeight="1">
      <c r="A684" s="39"/>
      <c r="B684" s="40"/>
      <c r="C684" s="41"/>
      <c r="D684" s="32"/>
      <c r="E684" s="32"/>
      <c r="F684" s="32"/>
      <c r="G684" s="42"/>
      <c r="H684" s="32"/>
      <c r="I684" s="32"/>
    </row>
    <row r="685" spans="1:9" ht="22.5" customHeight="1">
      <c r="A685" s="39"/>
      <c r="B685" s="40"/>
      <c r="C685" s="41"/>
      <c r="D685" s="32"/>
      <c r="E685" s="32"/>
      <c r="F685" s="32"/>
      <c r="G685" s="42"/>
      <c r="H685" s="32"/>
      <c r="I685" s="32"/>
    </row>
    <row r="686" spans="1:9" ht="22.5" customHeight="1">
      <c r="A686" s="39"/>
      <c r="B686" s="40"/>
      <c r="C686" s="41"/>
      <c r="D686" s="32"/>
      <c r="E686" s="32"/>
      <c r="F686" s="32"/>
      <c r="G686" s="42"/>
      <c r="H686" s="32"/>
      <c r="I686" s="32"/>
    </row>
    <row r="687" spans="1:9" ht="22.5" customHeight="1">
      <c r="A687" s="39"/>
      <c r="B687" s="40"/>
      <c r="C687" s="41"/>
      <c r="D687" s="32"/>
      <c r="E687" s="32"/>
      <c r="F687" s="32"/>
      <c r="G687" s="42"/>
      <c r="H687" s="32"/>
      <c r="I687" s="32"/>
    </row>
    <row r="688" spans="1:9" ht="22.5" customHeight="1">
      <c r="A688" s="39"/>
      <c r="B688" s="40"/>
      <c r="C688" s="41"/>
      <c r="D688" s="32"/>
      <c r="E688" s="32"/>
      <c r="F688" s="32"/>
      <c r="G688" s="42"/>
      <c r="H688" s="32"/>
      <c r="I688" s="32"/>
    </row>
    <row r="689" spans="1:9" ht="22.5" customHeight="1">
      <c r="A689" s="39"/>
      <c r="B689" s="40"/>
      <c r="C689" s="41"/>
      <c r="D689" s="32"/>
      <c r="E689" s="32"/>
      <c r="F689" s="32"/>
      <c r="G689" s="42"/>
      <c r="H689" s="32"/>
      <c r="I689" s="32"/>
    </row>
    <row r="690" spans="1:9" ht="22.5" customHeight="1">
      <c r="A690" s="39"/>
      <c r="B690" s="40"/>
      <c r="C690" s="41"/>
      <c r="D690" s="32"/>
      <c r="E690" s="32"/>
      <c r="F690" s="32"/>
      <c r="G690" s="42"/>
      <c r="H690" s="32"/>
      <c r="I690" s="32"/>
    </row>
    <row r="691" spans="1:9" ht="22.5" customHeight="1">
      <c r="A691" s="39"/>
      <c r="B691" s="40"/>
      <c r="C691" s="41"/>
      <c r="D691" s="32"/>
      <c r="E691" s="32"/>
      <c r="F691" s="32"/>
      <c r="G691" s="42"/>
      <c r="H691" s="32"/>
      <c r="I691" s="32"/>
    </row>
    <row r="692" spans="1:9" ht="22.5" customHeight="1">
      <c r="A692" s="39"/>
      <c r="B692" s="40"/>
      <c r="C692" s="41"/>
      <c r="D692" s="32"/>
      <c r="E692" s="32"/>
      <c r="F692" s="32"/>
      <c r="G692" s="42"/>
      <c r="H692" s="32"/>
      <c r="I692" s="32"/>
    </row>
    <row r="693" spans="1:9" ht="22.5" customHeight="1">
      <c r="A693" s="39"/>
      <c r="B693" s="40"/>
      <c r="C693" s="41"/>
      <c r="D693" s="32"/>
      <c r="E693" s="32"/>
      <c r="F693" s="32"/>
      <c r="G693" s="42"/>
      <c r="H693" s="32"/>
      <c r="I693" s="32"/>
    </row>
    <row r="694" spans="1:9" ht="22.5" customHeight="1">
      <c r="A694" s="39"/>
      <c r="B694" s="40"/>
      <c r="C694" s="41"/>
      <c r="D694" s="32"/>
      <c r="E694" s="32"/>
      <c r="F694" s="32"/>
      <c r="G694" s="42"/>
      <c r="H694" s="32"/>
      <c r="I694" s="32"/>
    </row>
    <row r="695" spans="1:9" ht="22.5" customHeight="1">
      <c r="A695" s="39"/>
      <c r="B695" s="40"/>
      <c r="C695" s="41"/>
      <c r="D695" s="32"/>
      <c r="E695" s="32"/>
      <c r="F695" s="32"/>
      <c r="G695" s="42"/>
      <c r="H695" s="32"/>
      <c r="I695" s="32"/>
    </row>
    <row r="696" spans="1:9" ht="22.5" customHeight="1">
      <c r="A696" s="39"/>
      <c r="B696" s="40"/>
      <c r="C696" s="41"/>
      <c r="D696" s="32"/>
      <c r="E696" s="32"/>
      <c r="F696" s="32"/>
      <c r="G696" s="42"/>
      <c r="H696" s="32"/>
      <c r="I696" s="32"/>
    </row>
    <row r="697" spans="1:9" ht="22.5" customHeight="1">
      <c r="A697" s="39"/>
      <c r="B697" s="40"/>
      <c r="C697" s="41"/>
      <c r="D697" s="32"/>
      <c r="E697" s="32"/>
      <c r="F697" s="32"/>
      <c r="G697" s="42"/>
      <c r="H697" s="32"/>
      <c r="I697" s="32"/>
    </row>
    <row r="698" spans="1:9" ht="22.5" customHeight="1">
      <c r="A698" s="39"/>
      <c r="B698" s="40"/>
      <c r="C698" s="41"/>
      <c r="D698" s="32"/>
      <c r="E698" s="32"/>
      <c r="F698" s="32"/>
      <c r="G698" s="42"/>
      <c r="H698" s="32"/>
      <c r="I698" s="32"/>
    </row>
    <row r="699" spans="1:9" ht="22.5" customHeight="1">
      <c r="A699" s="39"/>
      <c r="B699" s="40"/>
      <c r="C699" s="41"/>
      <c r="D699" s="32"/>
      <c r="E699" s="32"/>
      <c r="F699" s="32"/>
      <c r="G699" s="42"/>
      <c r="H699" s="32"/>
      <c r="I699" s="32"/>
    </row>
    <row r="700" spans="1:9" ht="22.5" customHeight="1">
      <c r="A700" s="39"/>
      <c r="B700" s="40"/>
      <c r="C700" s="41"/>
      <c r="D700" s="32"/>
      <c r="E700" s="32"/>
      <c r="F700" s="32"/>
      <c r="G700" s="42"/>
      <c r="H700" s="32"/>
      <c r="I700" s="32"/>
    </row>
    <row r="701" spans="1:9" ht="22.5" customHeight="1">
      <c r="A701" s="39"/>
      <c r="B701" s="40"/>
      <c r="C701" s="41"/>
      <c r="D701" s="32"/>
      <c r="E701" s="32"/>
      <c r="F701" s="32"/>
      <c r="G701" s="42"/>
      <c r="H701" s="32"/>
      <c r="I701" s="32"/>
    </row>
    <row r="702" spans="1:9" ht="22.5" customHeight="1">
      <c r="A702" s="39"/>
      <c r="B702" s="40"/>
      <c r="C702" s="41"/>
      <c r="D702" s="32"/>
      <c r="E702" s="32"/>
      <c r="F702" s="32"/>
      <c r="G702" s="42"/>
      <c r="H702" s="32"/>
      <c r="I702" s="32"/>
    </row>
    <row r="703" spans="1:9" ht="22.5" customHeight="1">
      <c r="A703" s="39"/>
      <c r="B703" s="40"/>
      <c r="C703" s="41"/>
      <c r="D703" s="32"/>
      <c r="E703" s="32"/>
      <c r="F703" s="32"/>
      <c r="G703" s="42"/>
      <c r="H703" s="32"/>
      <c r="I703" s="32"/>
    </row>
    <row r="704" spans="1:9" ht="22.5" customHeight="1">
      <c r="A704" s="39"/>
      <c r="B704" s="40"/>
      <c r="C704" s="41"/>
      <c r="D704" s="32"/>
      <c r="E704" s="32"/>
      <c r="F704" s="32"/>
      <c r="G704" s="42"/>
      <c r="H704" s="32"/>
      <c r="I704" s="32"/>
    </row>
    <row r="705" spans="1:9" ht="22.5" customHeight="1">
      <c r="A705" s="39"/>
      <c r="B705" s="40"/>
      <c r="C705" s="41"/>
      <c r="D705" s="32"/>
      <c r="E705" s="32"/>
      <c r="F705" s="32"/>
      <c r="G705" s="42"/>
      <c r="H705" s="32"/>
      <c r="I705" s="32"/>
    </row>
    <row r="706" spans="1:9" ht="22.5" customHeight="1">
      <c r="A706" s="39"/>
      <c r="B706" s="40"/>
      <c r="C706" s="41"/>
      <c r="D706" s="32"/>
      <c r="E706" s="32"/>
      <c r="F706" s="32"/>
      <c r="G706" s="42"/>
      <c r="H706" s="32"/>
      <c r="I706" s="32"/>
    </row>
    <row r="707" spans="1:9" ht="22.5" customHeight="1">
      <c r="A707" s="39"/>
      <c r="B707" s="40"/>
      <c r="C707" s="41"/>
      <c r="D707" s="32"/>
      <c r="E707" s="32"/>
      <c r="F707" s="32"/>
      <c r="G707" s="42"/>
      <c r="H707" s="32"/>
      <c r="I707" s="32"/>
    </row>
    <row r="708" spans="1:9" ht="22.5" customHeight="1">
      <c r="A708" s="39"/>
      <c r="B708" s="40"/>
      <c r="C708" s="41"/>
      <c r="D708" s="32"/>
      <c r="E708" s="32"/>
      <c r="F708" s="32"/>
      <c r="G708" s="42"/>
      <c r="H708" s="32"/>
      <c r="I708" s="32"/>
    </row>
    <row r="709" spans="1:9" ht="22.5" customHeight="1">
      <c r="A709" s="39"/>
      <c r="B709" s="40"/>
      <c r="C709" s="41"/>
      <c r="D709" s="32"/>
      <c r="E709" s="32"/>
      <c r="F709" s="32"/>
      <c r="G709" s="42"/>
      <c r="H709" s="32"/>
      <c r="I709" s="32"/>
    </row>
    <row r="710" spans="1:9" ht="22.5" customHeight="1">
      <c r="A710" s="39"/>
      <c r="B710" s="40"/>
      <c r="C710" s="41"/>
      <c r="D710" s="32"/>
      <c r="E710" s="32"/>
      <c r="F710" s="32"/>
      <c r="G710" s="42"/>
      <c r="H710" s="32"/>
      <c r="I710" s="32"/>
    </row>
    <row r="711" spans="1:9" ht="22.5" customHeight="1">
      <c r="A711" s="39"/>
      <c r="B711" s="40"/>
      <c r="C711" s="41"/>
      <c r="D711" s="32"/>
      <c r="E711" s="32"/>
      <c r="F711" s="32"/>
      <c r="G711" s="42"/>
      <c r="H711" s="32"/>
      <c r="I711" s="32"/>
    </row>
    <row r="712" spans="1:9" ht="22.5" customHeight="1">
      <c r="A712" s="39"/>
      <c r="B712" s="40"/>
      <c r="C712" s="41"/>
      <c r="D712" s="32"/>
      <c r="E712" s="32"/>
      <c r="F712" s="32"/>
      <c r="G712" s="42"/>
      <c r="H712" s="32"/>
      <c r="I712" s="32"/>
    </row>
    <row r="713" spans="1:9" ht="22.5" customHeight="1">
      <c r="A713" s="39"/>
      <c r="B713" s="40"/>
      <c r="C713" s="41"/>
      <c r="D713" s="32"/>
      <c r="E713" s="32"/>
      <c r="F713" s="32"/>
      <c r="G713" s="42"/>
      <c r="H713" s="32"/>
      <c r="I713" s="32"/>
    </row>
    <row r="714" spans="1:9" ht="22.5" customHeight="1">
      <c r="A714" s="39"/>
      <c r="B714" s="40"/>
      <c r="C714" s="41"/>
      <c r="D714" s="32"/>
      <c r="E714" s="32"/>
      <c r="F714" s="32"/>
      <c r="G714" s="42"/>
      <c r="H714" s="32"/>
      <c r="I714" s="32"/>
    </row>
    <row r="715" spans="1:9" ht="22.5" customHeight="1">
      <c r="A715" s="39"/>
      <c r="B715" s="40"/>
      <c r="C715" s="41"/>
      <c r="D715" s="32"/>
      <c r="E715" s="32"/>
      <c r="F715" s="32"/>
      <c r="G715" s="42"/>
      <c r="H715" s="32"/>
      <c r="I715" s="32"/>
    </row>
    <row r="716" spans="1:9" ht="22.5" customHeight="1">
      <c r="A716" s="39"/>
      <c r="B716" s="40"/>
      <c r="C716" s="41"/>
      <c r="D716" s="32"/>
      <c r="E716" s="32"/>
      <c r="F716" s="32"/>
      <c r="G716" s="42"/>
      <c r="H716" s="32"/>
      <c r="I716" s="32"/>
    </row>
    <row r="717" spans="1:9" ht="22.5" customHeight="1">
      <c r="A717" s="39"/>
      <c r="B717" s="40"/>
      <c r="C717" s="41"/>
      <c r="D717" s="32"/>
      <c r="E717" s="32"/>
      <c r="F717" s="32"/>
      <c r="G717" s="42"/>
      <c r="H717" s="32"/>
      <c r="I717" s="32"/>
    </row>
    <row r="718" spans="1:9" ht="22.5" customHeight="1">
      <c r="A718" s="39"/>
      <c r="B718" s="40"/>
      <c r="C718" s="41"/>
      <c r="D718" s="32"/>
      <c r="E718" s="32"/>
      <c r="F718" s="32"/>
      <c r="G718" s="42"/>
      <c r="H718" s="32"/>
      <c r="I718" s="32"/>
    </row>
    <row r="719" spans="1:9" ht="22.5" customHeight="1">
      <c r="A719" s="39"/>
      <c r="B719" s="40"/>
      <c r="C719" s="41"/>
      <c r="D719" s="32"/>
      <c r="E719" s="32"/>
      <c r="F719" s="32"/>
      <c r="G719" s="42"/>
      <c r="H719" s="32"/>
      <c r="I719" s="32"/>
    </row>
    <row r="720" spans="1:9" ht="22.5" customHeight="1">
      <c r="A720" s="39"/>
      <c r="B720" s="40"/>
      <c r="C720" s="41"/>
      <c r="D720" s="32"/>
      <c r="E720" s="32"/>
      <c r="F720" s="32"/>
      <c r="G720" s="42"/>
      <c r="H720" s="32"/>
      <c r="I720" s="32"/>
    </row>
    <row r="721" spans="1:9" ht="22.5" customHeight="1">
      <c r="A721" s="39"/>
      <c r="B721" s="40"/>
      <c r="C721" s="41"/>
      <c r="D721" s="32"/>
      <c r="E721" s="32"/>
      <c r="F721" s="32"/>
      <c r="G721" s="42"/>
      <c r="H721" s="32"/>
      <c r="I721" s="32"/>
    </row>
    <row r="722" spans="1:9" ht="22.5" customHeight="1">
      <c r="A722" s="39"/>
      <c r="B722" s="40"/>
      <c r="C722" s="41"/>
      <c r="D722" s="32"/>
      <c r="E722" s="32"/>
      <c r="F722" s="32"/>
      <c r="G722" s="42"/>
      <c r="H722" s="32"/>
      <c r="I722" s="32"/>
    </row>
    <row r="723" spans="1:9" ht="22.5" customHeight="1">
      <c r="A723" s="39"/>
      <c r="B723" s="40"/>
      <c r="C723" s="41"/>
      <c r="D723" s="32"/>
      <c r="E723" s="32"/>
      <c r="F723" s="32"/>
      <c r="G723" s="42"/>
      <c r="H723" s="32"/>
      <c r="I723" s="32"/>
    </row>
    <row r="724" spans="1:9" ht="22.5" customHeight="1">
      <c r="A724" s="39"/>
      <c r="B724" s="40"/>
      <c r="C724" s="41"/>
      <c r="D724" s="32"/>
      <c r="E724" s="32"/>
      <c r="F724" s="32"/>
      <c r="G724" s="42"/>
      <c r="H724" s="32"/>
      <c r="I724" s="32"/>
    </row>
    <row r="725" spans="1:9" ht="22.5" customHeight="1">
      <c r="A725" s="39"/>
      <c r="B725" s="40"/>
      <c r="C725" s="41"/>
      <c r="D725" s="32"/>
      <c r="E725" s="32"/>
      <c r="F725" s="32"/>
      <c r="G725" s="42"/>
      <c r="H725" s="32"/>
      <c r="I725" s="32"/>
    </row>
    <row r="726" spans="1:9" ht="22.5" customHeight="1">
      <c r="A726" s="39"/>
      <c r="B726" s="40"/>
      <c r="C726" s="41"/>
      <c r="D726" s="32"/>
      <c r="E726" s="32"/>
      <c r="F726" s="32"/>
      <c r="G726" s="42"/>
      <c r="H726" s="32"/>
      <c r="I726" s="32"/>
    </row>
    <row r="727" spans="1:9" ht="22.5" customHeight="1">
      <c r="A727" s="39"/>
      <c r="B727" s="40"/>
      <c r="C727" s="41"/>
      <c r="D727" s="32"/>
      <c r="E727" s="32"/>
      <c r="F727" s="32"/>
      <c r="G727" s="42"/>
      <c r="H727" s="32"/>
      <c r="I727" s="32"/>
    </row>
    <row r="728" spans="1:9" ht="22.5" customHeight="1">
      <c r="A728" s="39"/>
      <c r="B728" s="40"/>
      <c r="C728" s="41"/>
      <c r="D728" s="32"/>
      <c r="E728" s="32"/>
      <c r="F728" s="32"/>
      <c r="G728" s="42"/>
      <c r="H728" s="32"/>
      <c r="I728" s="32"/>
    </row>
    <row r="729" spans="1:9" ht="22.5" customHeight="1">
      <c r="A729" s="39"/>
      <c r="B729" s="40"/>
      <c r="C729" s="41"/>
      <c r="D729" s="32"/>
      <c r="E729" s="32"/>
      <c r="F729" s="32"/>
      <c r="G729" s="42"/>
      <c r="H729" s="32"/>
      <c r="I729" s="32"/>
    </row>
    <row r="730" spans="1:9" ht="22.5" customHeight="1">
      <c r="A730" s="39"/>
      <c r="B730" s="40"/>
      <c r="C730" s="41"/>
      <c r="D730" s="32"/>
      <c r="E730" s="32"/>
      <c r="F730" s="32"/>
      <c r="G730" s="42"/>
      <c r="H730" s="32"/>
      <c r="I730" s="32"/>
    </row>
    <row r="731" spans="1:9" ht="22.5" customHeight="1">
      <c r="A731" s="39"/>
      <c r="B731" s="40"/>
      <c r="C731" s="41"/>
      <c r="D731" s="32"/>
      <c r="E731" s="32"/>
      <c r="F731" s="32"/>
      <c r="G731" s="42"/>
      <c r="H731" s="32"/>
      <c r="I731" s="32"/>
    </row>
    <row r="732" spans="1:9" ht="22.5" customHeight="1">
      <c r="A732" s="39"/>
      <c r="B732" s="40"/>
      <c r="C732" s="41"/>
      <c r="D732" s="32"/>
      <c r="E732" s="32"/>
      <c r="F732" s="32"/>
      <c r="G732" s="42"/>
      <c r="H732" s="32"/>
      <c r="I732" s="32"/>
    </row>
    <row r="733" spans="1:9" ht="22.5" customHeight="1">
      <c r="A733" s="39"/>
      <c r="B733" s="40"/>
      <c r="C733" s="41"/>
      <c r="D733" s="32"/>
      <c r="E733" s="32"/>
      <c r="F733" s="32"/>
      <c r="G733" s="42"/>
      <c r="H733" s="32"/>
      <c r="I733" s="32"/>
    </row>
    <row r="734" spans="1:9" ht="22.5" customHeight="1">
      <c r="A734" s="39"/>
      <c r="B734" s="40"/>
      <c r="C734" s="41"/>
      <c r="D734" s="32"/>
      <c r="E734" s="32"/>
      <c r="F734" s="32"/>
      <c r="G734" s="42"/>
      <c r="H734" s="32"/>
      <c r="I734" s="32"/>
    </row>
    <row r="735" spans="1:9" ht="22.5" customHeight="1">
      <c r="A735" s="39"/>
      <c r="B735" s="40"/>
      <c r="C735" s="41"/>
      <c r="D735" s="32"/>
      <c r="E735" s="32"/>
      <c r="F735" s="32"/>
      <c r="G735" s="42"/>
      <c r="H735" s="32"/>
      <c r="I735" s="32"/>
    </row>
    <row r="736" spans="1:9" ht="22.5" customHeight="1">
      <c r="A736" s="39"/>
      <c r="B736" s="40"/>
      <c r="C736" s="41"/>
      <c r="D736" s="32"/>
      <c r="E736" s="32"/>
      <c r="F736" s="32"/>
      <c r="G736" s="42"/>
      <c r="H736" s="32"/>
      <c r="I736" s="32"/>
    </row>
    <row r="737" spans="1:9" ht="22.5" customHeight="1">
      <c r="A737" s="39"/>
      <c r="B737" s="40"/>
      <c r="C737" s="41"/>
      <c r="D737" s="32"/>
      <c r="E737" s="32"/>
      <c r="F737" s="32"/>
      <c r="G737" s="42"/>
      <c r="H737" s="32"/>
      <c r="I737" s="32"/>
    </row>
    <row r="738" spans="1:9" ht="22.5" customHeight="1">
      <c r="A738" s="39"/>
      <c r="B738" s="40"/>
      <c r="C738" s="41"/>
      <c r="D738" s="32"/>
      <c r="E738" s="32"/>
      <c r="F738" s="32"/>
      <c r="G738" s="42"/>
      <c r="H738" s="32"/>
      <c r="I738" s="32"/>
    </row>
    <row r="739" spans="1:9" ht="22.5" customHeight="1">
      <c r="A739" s="39"/>
      <c r="B739" s="40"/>
      <c r="C739" s="41"/>
      <c r="D739" s="32"/>
      <c r="E739" s="32"/>
      <c r="F739" s="32"/>
      <c r="G739" s="42"/>
      <c r="H739" s="32"/>
      <c r="I739" s="32"/>
    </row>
    <row r="740" spans="1:9" ht="22.5" customHeight="1">
      <c r="A740" s="39"/>
      <c r="B740" s="40"/>
      <c r="C740" s="41"/>
      <c r="D740" s="32"/>
      <c r="E740" s="32"/>
      <c r="F740" s="32"/>
      <c r="G740" s="42"/>
      <c r="H740" s="32"/>
      <c r="I740" s="32"/>
    </row>
    <row r="741" spans="1:9" ht="22.5" customHeight="1">
      <c r="A741" s="39"/>
      <c r="B741" s="40"/>
      <c r="C741" s="41"/>
      <c r="D741" s="32"/>
      <c r="E741" s="32"/>
      <c r="F741" s="32"/>
      <c r="G741" s="42"/>
      <c r="H741" s="32"/>
      <c r="I741" s="32"/>
    </row>
    <row r="742" spans="1:9" ht="22.5" customHeight="1">
      <c r="A742" s="39"/>
      <c r="B742" s="40"/>
      <c r="C742" s="41"/>
      <c r="D742" s="32"/>
      <c r="E742" s="32"/>
      <c r="F742" s="32"/>
      <c r="G742" s="42"/>
      <c r="H742" s="32"/>
      <c r="I742" s="32"/>
    </row>
    <row r="743" spans="1:9" ht="22.5" customHeight="1">
      <c r="A743" s="39"/>
      <c r="B743" s="40"/>
      <c r="C743" s="41"/>
      <c r="D743" s="32"/>
      <c r="E743" s="32"/>
      <c r="F743" s="32"/>
      <c r="G743" s="42"/>
      <c r="H743" s="32"/>
      <c r="I743" s="32"/>
    </row>
    <row r="744" spans="1:9" ht="22.5" customHeight="1">
      <c r="A744" s="39"/>
      <c r="B744" s="40"/>
      <c r="C744" s="41"/>
      <c r="D744" s="32"/>
      <c r="E744" s="32"/>
      <c r="F744" s="32"/>
      <c r="G744" s="42"/>
      <c r="H744" s="32"/>
      <c r="I744" s="32"/>
    </row>
    <row r="745" spans="1:9" ht="22.5" customHeight="1">
      <c r="A745" s="39"/>
      <c r="B745" s="40"/>
      <c r="C745" s="41"/>
      <c r="D745" s="32"/>
      <c r="E745" s="32"/>
      <c r="F745" s="32"/>
      <c r="G745" s="42"/>
      <c r="H745" s="32"/>
      <c r="I745" s="32"/>
    </row>
    <row r="746" spans="1:9" ht="22.5" customHeight="1">
      <c r="A746" s="39"/>
      <c r="B746" s="40"/>
      <c r="C746" s="41"/>
      <c r="D746" s="32"/>
      <c r="E746" s="32"/>
      <c r="F746" s="32"/>
      <c r="G746" s="42"/>
      <c r="H746" s="32"/>
      <c r="I746" s="32"/>
    </row>
    <row r="747" spans="1:9" ht="22.5" customHeight="1">
      <c r="A747" s="39"/>
      <c r="B747" s="40"/>
      <c r="C747" s="41"/>
      <c r="D747" s="32"/>
      <c r="E747" s="32"/>
      <c r="F747" s="32"/>
      <c r="G747" s="42"/>
      <c r="H747" s="32"/>
      <c r="I747" s="32"/>
    </row>
    <row r="748" spans="1:9" ht="22.5" customHeight="1">
      <c r="A748" s="39"/>
      <c r="B748" s="40"/>
      <c r="C748" s="41"/>
      <c r="D748" s="32"/>
      <c r="E748" s="32"/>
      <c r="F748" s="32"/>
      <c r="G748" s="42"/>
      <c r="H748" s="32"/>
      <c r="I748" s="32"/>
    </row>
    <row r="749" spans="1:9" ht="22.5" customHeight="1">
      <c r="A749" s="39"/>
      <c r="B749" s="40"/>
      <c r="C749" s="41"/>
      <c r="D749" s="32"/>
      <c r="E749" s="32"/>
      <c r="F749" s="32"/>
      <c r="G749" s="42"/>
      <c r="H749" s="32"/>
      <c r="I749" s="32"/>
    </row>
    <row r="750" spans="1:9" ht="22.5" customHeight="1">
      <c r="A750" s="39"/>
      <c r="B750" s="40"/>
      <c r="C750" s="41"/>
      <c r="D750" s="32"/>
      <c r="E750" s="32"/>
      <c r="F750" s="32"/>
      <c r="G750" s="42"/>
      <c r="H750" s="32"/>
      <c r="I750" s="32"/>
    </row>
    <row r="751" spans="1:9" ht="22.5" customHeight="1">
      <c r="A751" s="39"/>
      <c r="B751" s="40"/>
      <c r="C751" s="41"/>
      <c r="D751" s="32"/>
      <c r="E751" s="32"/>
      <c r="F751" s="32"/>
      <c r="G751" s="42"/>
      <c r="H751" s="32"/>
      <c r="I751" s="32"/>
    </row>
    <row r="752" spans="1:9" ht="22.5" customHeight="1">
      <c r="A752" s="39"/>
      <c r="B752" s="40"/>
      <c r="C752" s="41"/>
      <c r="D752" s="32"/>
      <c r="E752" s="32"/>
      <c r="F752" s="32"/>
      <c r="G752" s="42"/>
      <c r="H752" s="32"/>
      <c r="I752" s="32"/>
    </row>
    <row r="753" spans="1:9" ht="22.5" customHeight="1">
      <c r="A753" s="39"/>
      <c r="B753" s="40"/>
      <c r="C753" s="41"/>
      <c r="D753" s="32"/>
      <c r="E753" s="32"/>
      <c r="F753" s="32"/>
      <c r="G753" s="42"/>
      <c r="H753" s="32"/>
      <c r="I753" s="32"/>
    </row>
    <row r="754" spans="1:9" ht="22.5" customHeight="1">
      <c r="A754" s="39"/>
      <c r="B754" s="40"/>
      <c r="C754" s="41"/>
      <c r="D754" s="32"/>
      <c r="E754" s="32"/>
      <c r="F754" s="32"/>
      <c r="G754" s="42"/>
      <c r="H754" s="32"/>
      <c r="I754" s="32"/>
    </row>
    <row r="755" spans="1:9" ht="22.5" customHeight="1">
      <c r="A755" s="39"/>
      <c r="B755" s="40"/>
      <c r="C755" s="41"/>
      <c r="D755" s="32"/>
      <c r="E755" s="32"/>
      <c r="F755" s="32"/>
      <c r="G755" s="42"/>
      <c r="H755" s="32"/>
      <c r="I755" s="32"/>
    </row>
    <row r="756" spans="1:9" ht="22.5" customHeight="1">
      <c r="A756" s="39"/>
      <c r="B756" s="40"/>
      <c r="C756" s="41"/>
      <c r="D756" s="32"/>
      <c r="E756" s="32"/>
      <c r="F756" s="32"/>
      <c r="G756" s="42"/>
      <c r="H756" s="32"/>
      <c r="I756" s="32"/>
    </row>
    <row r="757" spans="1:9" ht="22.5" customHeight="1">
      <c r="A757" s="39"/>
      <c r="B757" s="40"/>
      <c r="C757" s="41"/>
      <c r="D757" s="32"/>
      <c r="E757" s="32"/>
      <c r="F757" s="32"/>
      <c r="G757" s="42"/>
      <c r="H757" s="32"/>
      <c r="I757" s="32"/>
    </row>
    <row r="758" spans="1:9" ht="22.5" customHeight="1">
      <c r="A758" s="39"/>
      <c r="B758" s="40"/>
      <c r="C758" s="41"/>
      <c r="D758" s="32"/>
      <c r="E758" s="32"/>
      <c r="F758" s="32"/>
      <c r="G758" s="42"/>
      <c r="H758" s="32"/>
      <c r="I758" s="32"/>
    </row>
    <row r="759" spans="1:9" ht="22.5" customHeight="1">
      <c r="A759" s="39"/>
      <c r="B759" s="40"/>
      <c r="C759" s="41"/>
      <c r="D759" s="32"/>
      <c r="E759" s="32"/>
      <c r="F759" s="32"/>
      <c r="G759" s="42"/>
      <c r="H759" s="32"/>
      <c r="I759" s="32"/>
    </row>
    <row r="760" spans="1:9" ht="22.5" customHeight="1">
      <c r="A760" s="39"/>
      <c r="B760" s="40"/>
      <c r="C760" s="41"/>
      <c r="D760" s="32"/>
      <c r="E760" s="32"/>
      <c r="F760" s="32"/>
      <c r="G760" s="42"/>
      <c r="H760" s="32"/>
      <c r="I760" s="32"/>
    </row>
    <row r="761" spans="1:9" ht="22.5" customHeight="1">
      <c r="A761" s="39"/>
      <c r="B761" s="40"/>
      <c r="C761" s="41"/>
      <c r="D761" s="32"/>
      <c r="E761" s="32"/>
      <c r="F761" s="32"/>
      <c r="G761" s="42"/>
      <c r="H761" s="32"/>
      <c r="I761" s="32"/>
    </row>
    <row r="762" spans="1:9" ht="22.5" customHeight="1">
      <c r="A762" s="39"/>
      <c r="B762" s="40"/>
      <c r="C762" s="41"/>
      <c r="D762" s="32"/>
      <c r="E762" s="32"/>
      <c r="F762" s="32"/>
      <c r="G762" s="42"/>
      <c r="H762" s="32"/>
      <c r="I762" s="32"/>
    </row>
    <row r="763" spans="1:9" ht="22.5" customHeight="1">
      <c r="A763" s="39"/>
      <c r="B763" s="40"/>
      <c r="C763" s="41"/>
      <c r="D763" s="32"/>
      <c r="E763" s="32"/>
      <c r="F763" s="32"/>
      <c r="G763" s="42"/>
      <c r="H763" s="32"/>
      <c r="I763" s="32"/>
    </row>
    <row r="764" spans="1:9" ht="22.5" customHeight="1">
      <c r="A764" s="39"/>
      <c r="B764" s="40"/>
      <c r="C764" s="41"/>
      <c r="D764" s="32"/>
      <c r="E764" s="32"/>
      <c r="F764" s="32"/>
      <c r="G764" s="42"/>
      <c r="H764" s="32"/>
      <c r="I764" s="32"/>
    </row>
    <row r="765" spans="1:9" ht="22.5" customHeight="1">
      <c r="A765" s="39"/>
      <c r="B765" s="40"/>
      <c r="C765" s="41"/>
      <c r="D765" s="32"/>
      <c r="E765" s="32"/>
      <c r="F765" s="32"/>
      <c r="G765" s="42"/>
      <c r="H765" s="32"/>
      <c r="I765" s="32"/>
    </row>
    <row r="766" spans="1:9" ht="22.5" customHeight="1">
      <c r="A766" s="39"/>
      <c r="B766" s="40"/>
      <c r="C766" s="41"/>
      <c r="D766" s="32"/>
      <c r="E766" s="32"/>
      <c r="F766" s="32"/>
      <c r="G766" s="42"/>
      <c r="H766" s="32"/>
      <c r="I766" s="32"/>
    </row>
    <row r="767" spans="1:9" ht="22.5" customHeight="1">
      <c r="A767" s="39"/>
      <c r="B767" s="40"/>
      <c r="C767" s="41"/>
      <c r="D767" s="32"/>
      <c r="E767" s="32"/>
      <c r="F767" s="32"/>
      <c r="G767" s="42"/>
      <c r="H767" s="32"/>
      <c r="I767" s="32"/>
    </row>
    <row r="768" spans="1:9" ht="22.5" customHeight="1">
      <c r="A768" s="39"/>
      <c r="B768" s="40"/>
      <c r="C768" s="41"/>
      <c r="D768" s="32"/>
      <c r="E768" s="32"/>
      <c r="F768" s="32"/>
      <c r="G768" s="42"/>
      <c r="H768" s="32"/>
      <c r="I768" s="32"/>
    </row>
    <row r="769" spans="1:9" ht="22.5" customHeight="1">
      <c r="A769" s="39"/>
      <c r="B769" s="40"/>
      <c r="C769" s="41"/>
      <c r="D769" s="32"/>
      <c r="E769" s="32"/>
      <c r="F769" s="32"/>
      <c r="G769" s="42"/>
      <c r="H769" s="32"/>
      <c r="I769" s="32"/>
    </row>
    <row r="770" spans="1:9" ht="22.5" customHeight="1">
      <c r="A770" s="39"/>
      <c r="B770" s="40"/>
      <c r="C770" s="41"/>
      <c r="D770" s="32"/>
      <c r="E770" s="32"/>
      <c r="F770" s="32"/>
      <c r="G770" s="42"/>
      <c r="H770" s="32"/>
      <c r="I770" s="32"/>
    </row>
    <row r="771" spans="1:9" ht="22.5" customHeight="1">
      <c r="A771" s="39"/>
      <c r="B771" s="40"/>
      <c r="C771" s="41"/>
      <c r="D771" s="32"/>
      <c r="E771" s="32"/>
      <c r="F771" s="32"/>
      <c r="G771" s="42"/>
      <c r="H771" s="32"/>
      <c r="I771" s="32"/>
    </row>
    <row r="772" spans="1:9" ht="22.5" customHeight="1">
      <c r="A772" s="39"/>
      <c r="B772" s="40"/>
      <c r="C772" s="41"/>
      <c r="D772" s="32"/>
      <c r="E772" s="32"/>
      <c r="F772" s="32"/>
      <c r="G772" s="42"/>
      <c r="H772" s="32"/>
      <c r="I772" s="32"/>
    </row>
    <row r="773" spans="1:9" ht="22.5" customHeight="1">
      <c r="A773" s="39"/>
      <c r="B773" s="40"/>
      <c r="C773" s="41"/>
      <c r="D773" s="32"/>
      <c r="E773" s="32"/>
      <c r="F773" s="32"/>
      <c r="G773" s="42"/>
      <c r="H773" s="32"/>
      <c r="I773" s="32"/>
    </row>
    <row r="774" spans="1:9" ht="22.5" customHeight="1">
      <c r="A774" s="39"/>
      <c r="B774" s="40"/>
      <c r="C774" s="41"/>
      <c r="D774" s="32"/>
      <c r="E774" s="32"/>
      <c r="F774" s="32"/>
      <c r="G774" s="42"/>
      <c r="H774" s="32"/>
      <c r="I774" s="32"/>
    </row>
    <row r="775" spans="1:9" ht="22.5" customHeight="1">
      <c r="A775" s="39"/>
      <c r="B775" s="40"/>
      <c r="C775" s="41"/>
      <c r="D775" s="32"/>
      <c r="E775" s="32"/>
      <c r="F775" s="32"/>
      <c r="G775" s="42"/>
      <c r="H775" s="32"/>
      <c r="I775" s="32"/>
    </row>
    <row r="776" spans="1:9" ht="22.5" customHeight="1">
      <c r="A776" s="39"/>
      <c r="B776" s="40"/>
      <c r="C776" s="41"/>
      <c r="D776" s="32"/>
      <c r="E776" s="32"/>
      <c r="F776" s="32"/>
      <c r="G776" s="42"/>
      <c r="H776" s="32"/>
      <c r="I776" s="32"/>
    </row>
    <row r="777" spans="1:9" ht="22.5" customHeight="1">
      <c r="A777" s="39"/>
      <c r="B777" s="40"/>
      <c r="C777" s="41"/>
      <c r="D777" s="32"/>
      <c r="E777" s="32"/>
      <c r="F777" s="32"/>
      <c r="G777" s="42"/>
      <c r="H777" s="32"/>
      <c r="I777" s="32"/>
    </row>
    <row r="778" spans="1:9" ht="22.5" customHeight="1">
      <c r="A778" s="39"/>
      <c r="B778" s="40"/>
      <c r="C778" s="41"/>
      <c r="D778" s="32"/>
      <c r="E778" s="32"/>
      <c r="F778" s="32"/>
      <c r="G778" s="42"/>
      <c r="H778" s="32"/>
      <c r="I778" s="32"/>
    </row>
    <row r="779" spans="1:9" ht="22.5" customHeight="1">
      <c r="A779" s="39"/>
      <c r="B779" s="40"/>
      <c r="C779" s="41"/>
      <c r="D779" s="32"/>
      <c r="E779" s="32"/>
      <c r="F779" s="32"/>
      <c r="G779" s="42"/>
      <c r="H779" s="32"/>
      <c r="I779" s="32"/>
    </row>
    <row r="780" spans="1:9" ht="22.5" customHeight="1">
      <c r="A780" s="39"/>
      <c r="B780" s="40"/>
      <c r="C780" s="41"/>
      <c r="D780" s="32"/>
      <c r="E780" s="32"/>
      <c r="F780" s="32"/>
      <c r="G780" s="42"/>
      <c r="H780" s="32"/>
      <c r="I780" s="32"/>
    </row>
    <row r="781" spans="1:9" ht="22.5" customHeight="1">
      <c r="A781" s="39"/>
      <c r="B781" s="40"/>
      <c r="C781" s="41"/>
      <c r="D781" s="32"/>
      <c r="E781" s="32"/>
      <c r="F781" s="32"/>
      <c r="G781" s="42"/>
      <c r="H781" s="32"/>
      <c r="I781" s="32"/>
    </row>
    <row r="782" spans="1:9" ht="22.5" customHeight="1">
      <c r="A782" s="39"/>
      <c r="B782" s="40"/>
      <c r="C782" s="41"/>
      <c r="D782" s="32"/>
      <c r="E782" s="32"/>
      <c r="F782" s="32"/>
      <c r="G782" s="42"/>
      <c r="H782" s="32"/>
      <c r="I782" s="32"/>
    </row>
    <row r="783" spans="1:9" ht="22.5" customHeight="1">
      <c r="A783" s="39"/>
      <c r="B783" s="40"/>
      <c r="C783" s="41"/>
      <c r="D783" s="32"/>
      <c r="E783" s="32"/>
      <c r="F783" s="32"/>
      <c r="G783" s="42"/>
      <c r="H783" s="32"/>
      <c r="I783" s="32"/>
    </row>
    <row r="784" spans="1:9" ht="22.5" customHeight="1">
      <c r="A784" s="39"/>
      <c r="B784" s="40"/>
      <c r="C784" s="41"/>
      <c r="D784" s="32"/>
      <c r="E784" s="32"/>
      <c r="F784" s="32"/>
      <c r="G784" s="42"/>
      <c r="H784" s="32"/>
      <c r="I784" s="32"/>
    </row>
    <row r="785" spans="1:9" ht="22.5" customHeight="1">
      <c r="A785" s="39"/>
      <c r="B785" s="40"/>
      <c r="C785" s="41"/>
      <c r="D785" s="32"/>
      <c r="E785" s="32"/>
      <c r="F785" s="32"/>
      <c r="G785" s="42"/>
      <c r="H785" s="32"/>
      <c r="I785" s="32"/>
    </row>
    <row r="786" spans="1:9" ht="22.5" customHeight="1">
      <c r="A786" s="39"/>
      <c r="B786" s="40"/>
      <c r="C786" s="41"/>
      <c r="D786" s="32"/>
      <c r="E786" s="32"/>
      <c r="F786" s="32"/>
      <c r="G786" s="42"/>
      <c r="H786" s="32"/>
      <c r="I786" s="32"/>
    </row>
    <row r="787" spans="1:9" ht="22.5" customHeight="1">
      <c r="A787" s="39"/>
      <c r="B787" s="40"/>
      <c r="C787" s="41"/>
      <c r="D787" s="32"/>
      <c r="E787" s="32"/>
      <c r="F787" s="32"/>
      <c r="G787" s="42"/>
      <c r="H787" s="32"/>
      <c r="I787" s="32"/>
    </row>
    <row r="788" spans="1:9" ht="22.5" customHeight="1">
      <c r="A788" s="39"/>
      <c r="B788" s="40"/>
      <c r="C788" s="41"/>
      <c r="D788" s="32"/>
      <c r="E788" s="32"/>
      <c r="F788" s="32"/>
      <c r="G788" s="42"/>
      <c r="H788" s="32"/>
      <c r="I788" s="32"/>
    </row>
    <row r="789" spans="1:9" ht="22.5" customHeight="1">
      <c r="A789" s="39"/>
      <c r="B789" s="40"/>
      <c r="C789" s="41"/>
      <c r="D789" s="32"/>
      <c r="E789" s="32"/>
      <c r="F789" s="32"/>
      <c r="G789" s="42"/>
      <c r="H789" s="32"/>
      <c r="I789" s="32"/>
    </row>
    <row r="790" spans="1:9" ht="22.5" customHeight="1">
      <c r="A790" s="39"/>
      <c r="B790" s="40"/>
      <c r="C790" s="41"/>
      <c r="D790" s="32"/>
      <c r="E790" s="32"/>
      <c r="F790" s="32"/>
      <c r="G790" s="42"/>
      <c r="H790" s="32"/>
      <c r="I790" s="32"/>
    </row>
    <row r="791" spans="1:9" ht="22.5" customHeight="1">
      <c r="A791" s="39"/>
      <c r="B791" s="40"/>
      <c r="C791" s="41"/>
      <c r="D791" s="32"/>
      <c r="E791" s="32"/>
      <c r="F791" s="32"/>
      <c r="G791" s="42"/>
      <c r="H791" s="32"/>
      <c r="I791" s="32"/>
    </row>
    <row r="792" spans="1:9" ht="22.5" customHeight="1">
      <c r="A792" s="39"/>
      <c r="B792" s="40"/>
      <c r="C792" s="41"/>
      <c r="D792" s="32"/>
      <c r="E792" s="32"/>
      <c r="F792" s="32"/>
      <c r="G792" s="42"/>
      <c r="H792" s="32"/>
      <c r="I792" s="32"/>
    </row>
    <row r="793" spans="1:9" ht="22.5" customHeight="1">
      <c r="A793" s="39"/>
      <c r="B793" s="40"/>
      <c r="C793" s="41"/>
      <c r="D793" s="32"/>
      <c r="E793" s="32"/>
      <c r="F793" s="32"/>
      <c r="G793" s="42"/>
      <c r="H793" s="32"/>
      <c r="I793" s="32"/>
    </row>
    <row r="794" spans="1:9" ht="22.5" customHeight="1">
      <c r="A794" s="39"/>
      <c r="B794" s="40"/>
      <c r="C794" s="41"/>
      <c r="D794" s="32"/>
      <c r="E794" s="32"/>
      <c r="F794" s="32"/>
      <c r="G794" s="42"/>
      <c r="H794" s="32"/>
      <c r="I794" s="32"/>
    </row>
    <row r="795" spans="1:9" ht="22.5" customHeight="1">
      <c r="A795" s="39"/>
      <c r="B795" s="40"/>
      <c r="C795" s="41"/>
      <c r="D795" s="32"/>
      <c r="E795" s="32"/>
      <c r="F795" s="32"/>
      <c r="G795" s="42"/>
      <c r="H795" s="32"/>
      <c r="I795" s="32"/>
    </row>
    <row r="796" spans="1:9" ht="22.5" customHeight="1">
      <c r="A796" s="39"/>
      <c r="B796" s="40"/>
      <c r="C796" s="41"/>
      <c r="D796" s="32"/>
      <c r="E796" s="32"/>
      <c r="F796" s="32"/>
      <c r="G796" s="42"/>
      <c r="H796" s="32"/>
      <c r="I796" s="32"/>
    </row>
    <row r="797" spans="1:9" ht="22.5" customHeight="1">
      <c r="A797" s="39"/>
      <c r="B797" s="40"/>
      <c r="C797" s="41"/>
      <c r="D797" s="32"/>
      <c r="E797" s="32"/>
      <c r="F797" s="32"/>
      <c r="G797" s="42"/>
      <c r="H797" s="32"/>
      <c r="I797" s="32"/>
    </row>
    <row r="798" spans="1:9" ht="22.5" customHeight="1">
      <c r="A798" s="39"/>
      <c r="B798" s="40"/>
      <c r="C798" s="41"/>
      <c r="D798" s="32"/>
      <c r="E798" s="32"/>
      <c r="F798" s="32"/>
      <c r="G798" s="42"/>
      <c r="H798" s="32"/>
      <c r="I798" s="32"/>
    </row>
    <row r="799" spans="1:9" ht="22.5" customHeight="1">
      <c r="A799" s="39"/>
      <c r="B799" s="40"/>
      <c r="C799" s="41"/>
      <c r="D799" s="32"/>
      <c r="E799" s="32"/>
      <c r="F799" s="32"/>
      <c r="G799" s="42"/>
      <c r="H799" s="32"/>
      <c r="I799" s="32"/>
    </row>
    <row r="800" spans="1:9" ht="22.5" customHeight="1">
      <c r="A800" s="39"/>
      <c r="B800" s="40"/>
      <c r="C800" s="41"/>
      <c r="D800" s="32"/>
      <c r="E800" s="32"/>
      <c r="F800" s="32"/>
      <c r="G800" s="42"/>
      <c r="H800" s="32"/>
      <c r="I800" s="32"/>
    </row>
    <row r="801" spans="1:9" ht="22.5" customHeight="1">
      <c r="A801" s="39"/>
      <c r="B801" s="40"/>
      <c r="C801" s="41"/>
      <c r="D801" s="32"/>
      <c r="E801" s="32"/>
      <c r="F801" s="32"/>
      <c r="G801" s="42"/>
      <c r="H801" s="32"/>
      <c r="I801" s="32"/>
    </row>
    <row r="802" spans="1:9" ht="22.5" customHeight="1">
      <c r="A802" s="39"/>
      <c r="B802" s="40"/>
      <c r="C802" s="41"/>
      <c r="D802" s="32"/>
      <c r="E802" s="32"/>
      <c r="F802" s="32"/>
      <c r="G802" s="42"/>
      <c r="H802" s="32"/>
      <c r="I802" s="32"/>
    </row>
    <row r="803" spans="1:9" ht="22.5" customHeight="1">
      <c r="A803" s="39"/>
      <c r="B803" s="40"/>
      <c r="C803" s="41"/>
      <c r="D803" s="32"/>
      <c r="E803" s="32"/>
      <c r="F803" s="32"/>
      <c r="G803" s="42"/>
      <c r="H803" s="32"/>
      <c r="I803" s="32"/>
    </row>
    <row r="804" spans="1:9" ht="22.5" customHeight="1">
      <c r="A804" s="39"/>
      <c r="B804" s="40"/>
      <c r="C804" s="41"/>
      <c r="D804" s="32"/>
      <c r="E804" s="32"/>
      <c r="F804" s="32"/>
      <c r="G804" s="42"/>
      <c r="H804" s="32"/>
      <c r="I804" s="32"/>
    </row>
    <row r="805" spans="1:9" ht="22.5" customHeight="1">
      <c r="A805" s="39"/>
      <c r="B805" s="40"/>
      <c r="C805" s="41"/>
      <c r="D805" s="32"/>
      <c r="E805" s="32"/>
      <c r="F805" s="32"/>
      <c r="G805" s="42"/>
      <c r="H805" s="32"/>
      <c r="I805" s="32"/>
    </row>
    <row r="806" spans="1:9" ht="22.5" customHeight="1">
      <c r="A806" s="39"/>
      <c r="B806" s="40"/>
      <c r="C806" s="41"/>
      <c r="D806" s="32"/>
      <c r="E806" s="32"/>
      <c r="F806" s="32"/>
      <c r="G806" s="42"/>
      <c r="H806" s="32"/>
      <c r="I806" s="32"/>
    </row>
    <row r="807" spans="1:9" ht="22.5" customHeight="1">
      <c r="A807" s="39"/>
      <c r="B807" s="40"/>
      <c r="C807" s="41"/>
      <c r="D807" s="32"/>
      <c r="E807" s="32"/>
      <c r="F807" s="32"/>
      <c r="G807" s="42"/>
      <c r="H807" s="32"/>
      <c r="I807" s="32"/>
    </row>
    <row r="808" spans="1:9" ht="22.5" customHeight="1">
      <c r="A808" s="39"/>
      <c r="B808" s="40"/>
      <c r="C808" s="41"/>
      <c r="D808" s="32"/>
      <c r="E808" s="32"/>
      <c r="F808" s="32"/>
      <c r="G808" s="42"/>
      <c r="H808" s="32"/>
      <c r="I808" s="32"/>
    </row>
    <row r="809" spans="1:9" ht="22.5" customHeight="1">
      <c r="A809" s="39"/>
      <c r="B809" s="40"/>
      <c r="C809" s="41"/>
      <c r="D809" s="32"/>
      <c r="E809" s="32"/>
      <c r="F809" s="32"/>
      <c r="G809" s="42"/>
      <c r="H809" s="32"/>
      <c r="I809" s="32"/>
    </row>
    <row r="810" spans="1:9" ht="22.5" customHeight="1">
      <c r="A810" s="39"/>
      <c r="B810" s="40"/>
      <c r="C810" s="41"/>
      <c r="D810" s="32"/>
      <c r="E810" s="32"/>
      <c r="F810" s="32"/>
      <c r="G810" s="42"/>
      <c r="H810" s="32"/>
      <c r="I810" s="32"/>
    </row>
    <row r="811" spans="1:9" ht="22.5" customHeight="1">
      <c r="A811" s="39"/>
      <c r="B811" s="40"/>
      <c r="C811" s="41"/>
      <c r="D811" s="32"/>
      <c r="E811" s="32"/>
      <c r="F811" s="32"/>
      <c r="G811" s="42"/>
      <c r="H811" s="32"/>
      <c r="I811" s="32"/>
    </row>
    <row r="812" spans="1:9" ht="22.5" customHeight="1">
      <c r="A812" s="39"/>
      <c r="B812" s="40"/>
      <c r="C812" s="41"/>
      <c r="D812" s="32"/>
      <c r="E812" s="32"/>
      <c r="F812" s="32"/>
      <c r="G812" s="42"/>
      <c r="H812" s="32"/>
      <c r="I812" s="32"/>
    </row>
    <row r="813" spans="1:9" ht="22.5" customHeight="1">
      <c r="A813" s="39"/>
      <c r="B813" s="40"/>
      <c r="C813" s="41"/>
      <c r="D813" s="32"/>
      <c r="E813" s="32"/>
      <c r="F813" s="32"/>
      <c r="G813" s="42"/>
      <c r="H813" s="32"/>
      <c r="I813" s="32"/>
    </row>
    <row r="814" spans="1:9" ht="22.5" customHeight="1">
      <c r="A814" s="39"/>
      <c r="B814" s="40"/>
      <c r="C814" s="41"/>
      <c r="D814" s="32"/>
      <c r="E814" s="32"/>
      <c r="F814" s="32"/>
      <c r="G814" s="42"/>
      <c r="H814" s="32"/>
      <c r="I814" s="32"/>
    </row>
    <row r="815" spans="1:9" ht="22.5" customHeight="1">
      <c r="A815" s="39"/>
      <c r="B815" s="40"/>
      <c r="C815" s="41"/>
      <c r="D815" s="32"/>
      <c r="E815" s="32"/>
      <c r="F815" s="32"/>
      <c r="G815" s="42"/>
      <c r="H815" s="32"/>
      <c r="I815" s="32"/>
    </row>
    <row r="816" spans="1:9" ht="22.5" customHeight="1">
      <c r="A816" s="39"/>
      <c r="B816" s="40"/>
      <c r="C816" s="41"/>
      <c r="D816" s="32"/>
      <c r="E816" s="32"/>
      <c r="F816" s="32"/>
      <c r="G816" s="42"/>
      <c r="H816" s="32"/>
      <c r="I816" s="32"/>
    </row>
    <row r="817" spans="1:9" ht="22.5" customHeight="1">
      <c r="A817" s="39"/>
      <c r="B817" s="40"/>
      <c r="C817" s="41"/>
      <c r="D817" s="32"/>
      <c r="E817" s="32"/>
      <c r="F817" s="32"/>
      <c r="G817" s="42"/>
      <c r="H817" s="32"/>
      <c r="I817" s="32"/>
    </row>
    <row r="818" spans="1:9" ht="22.5" customHeight="1">
      <c r="A818" s="39"/>
      <c r="B818" s="40"/>
      <c r="C818" s="41"/>
      <c r="D818" s="32"/>
      <c r="E818" s="32"/>
      <c r="F818" s="32"/>
      <c r="G818" s="42"/>
      <c r="H818" s="32"/>
      <c r="I818" s="32"/>
    </row>
    <row r="819" spans="1:9" ht="22.5" customHeight="1">
      <c r="A819" s="39"/>
      <c r="B819" s="40"/>
      <c r="C819" s="41"/>
      <c r="D819" s="32"/>
      <c r="E819" s="32"/>
      <c r="F819" s="32"/>
      <c r="G819" s="42"/>
      <c r="H819" s="32"/>
      <c r="I819" s="32"/>
    </row>
    <row r="820" spans="1:9" ht="22.5" customHeight="1">
      <c r="A820" s="39"/>
      <c r="B820" s="40"/>
      <c r="C820" s="41"/>
      <c r="D820" s="32"/>
      <c r="E820" s="32"/>
      <c r="F820" s="32"/>
      <c r="G820" s="42"/>
      <c r="H820" s="32"/>
      <c r="I820" s="32"/>
    </row>
    <row r="821" spans="1:9" ht="22.5" customHeight="1">
      <c r="A821" s="39"/>
      <c r="B821" s="40"/>
      <c r="C821" s="41"/>
      <c r="D821" s="32"/>
      <c r="E821" s="32"/>
      <c r="F821" s="32"/>
      <c r="G821" s="42"/>
      <c r="H821" s="32"/>
      <c r="I821" s="32"/>
    </row>
    <row r="822" spans="1:9" ht="22.5" customHeight="1">
      <c r="A822" s="39"/>
      <c r="B822" s="40"/>
      <c r="C822" s="41"/>
      <c r="D822" s="32"/>
      <c r="E822" s="32"/>
      <c r="F822" s="32"/>
      <c r="G822" s="42"/>
      <c r="H822" s="32"/>
      <c r="I822" s="32"/>
    </row>
    <row r="823" spans="1:9" ht="22.5" customHeight="1">
      <c r="A823" s="39"/>
      <c r="B823" s="40"/>
      <c r="C823" s="41"/>
      <c r="D823" s="32"/>
      <c r="E823" s="32"/>
      <c r="F823" s="32"/>
      <c r="G823" s="42"/>
      <c r="H823" s="32"/>
      <c r="I823" s="32"/>
    </row>
    <row r="824" spans="1:9" ht="22.5" customHeight="1">
      <c r="A824" s="39"/>
      <c r="B824" s="40"/>
      <c r="C824" s="41"/>
      <c r="D824" s="32"/>
      <c r="E824" s="32"/>
      <c r="F824" s="32"/>
      <c r="G824" s="42"/>
      <c r="H824" s="32"/>
      <c r="I824" s="32"/>
    </row>
    <row r="825" spans="1:9" ht="22.5" customHeight="1">
      <c r="A825" s="39"/>
      <c r="B825" s="40"/>
      <c r="C825" s="41"/>
      <c r="D825" s="32"/>
      <c r="E825" s="32"/>
      <c r="F825" s="32"/>
      <c r="G825" s="42"/>
      <c r="H825" s="32"/>
      <c r="I825" s="32"/>
    </row>
    <row r="826" spans="1:9" ht="22.5" customHeight="1">
      <c r="A826" s="39"/>
      <c r="B826" s="40"/>
      <c r="C826" s="41"/>
      <c r="D826" s="32"/>
      <c r="E826" s="32"/>
      <c r="F826" s="32"/>
      <c r="G826" s="42"/>
      <c r="H826" s="32"/>
      <c r="I826" s="32"/>
    </row>
    <row r="827" spans="1:9" ht="22.5" customHeight="1">
      <c r="A827" s="39"/>
      <c r="B827" s="40"/>
      <c r="C827" s="41"/>
      <c r="D827" s="32"/>
      <c r="E827" s="32"/>
      <c r="F827" s="32"/>
      <c r="G827" s="42"/>
      <c r="H827" s="32"/>
      <c r="I827" s="32"/>
    </row>
    <row r="828" spans="1:9" ht="22.5" customHeight="1">
      <c r="A828" s="39"/>
      <c r="B828" s="40"/>
      <c r="C828" s="41"/>
      <c r="D828" s="32"/>
      <c r="E828" s="32"/>
      <c r="F828" s="32"/>
      <c r="G828" s="42"/>
      <c r="H828" s="32"/>
      <c r="I828" s="32"/>
    </row>
    <row r="829" spans="1:9" ht="22.5" customHeight="1">
      <c r="A829" s="39"/>
      <c r="B829" s="40"/>
      <c r="C829" s="41"/>
      <c r="D829" s="32"/>
      <c r="E829" s="32"/>
      <c r="F829" s="32"/>
      <c r="G829" s="42"/>
      <c r="H829" s="32"/>
      <c r="I829" s="32"/>
    </row>
    <row r="830" spans="1:9" ht="22.5" customHeight="1">
      <c r="A830" s="39"/>
      <c r="B830" s="40"/>
      <c r="C830" s="41"/>
      <c r="D830" s="32"/>
      <c r="E830" s="32"/>
      <c r="F830" s="32"/>
      <c r="G830" s="42"/>
      <c r="H830" s="32"/>
      <c r="I830" s="32"/>
    </row>
    <row r="831" spans="1:9" ht="22.5" customHeight="1">
      <c r="A831" s="39"/>
      <c r="B831" s="40"/>
      <c r="C831" s="41"/>
      <c r="D831" s="32"/>
      <c r="E831" s="32"/>
      <c r="F831" s="32"/>
      <c r="G831" s="42"/>
      <c r="H831" s="32"/>
      <c r="I831" s="32"/>
    </row>
    <row r="832" spans="1:9" ht="22.5" customHeight="1">
      <c r="A832" s="39"/>
      <c r="B832" s="40"/>
      <c r="C832" s="41"/>
      <c r="D832" s="32"/>
      <c r="E832" s="32"/>
      <c r="F832" s="32"/>
      <c r="G832" s="42"/>
      <c r="H832" s="32"/>
      <c r="I832" s="32"/>
    </row>
    <row r="833" spans="1:9" ht="22.5" customHeight="1">
      <c r="A833" s="39"/>
      <c r="B833" s="40"/>
      <c r="C833" s="41"/>
      <c r="D833" s="32"/>
      <c r="E833" s="32"/>
      <c r="F833" s="32"/>
      <c r="G833" s="42"/>
      <c r="H833" s="32"/>
      <c r="I833" s="32"/>
    </row>
    <row r="834" spans="1:9" ht="22.5" customHeight="1">
      <c r="A834" s="39"/>
      <c r="B834" s="40"/>
      <c r="C834" s="41"/>
      <c r="D834" s="32"/>
      <c r="E834" s="32"/>
      <c r="F834" s="32"/>
      <c r="G834" s="42"/>
      <c r="H834" s="32"/>
      <c r="I834" s="32"/>
    </row>
    <row r="835" spans="1:9" ht="22.5" customHeight="1">
      <c r="A835" s="39"/>
      <c r="B835" s="40"/>
      <c r="C835" s="41"/>
      <c r="D835" s="32"/>
      <c r="E835" s="32"/>
      <c r="F835" s="32"/>
      <c r="G835" s="42"/>
      <c r="H835" s="32"/>
      <c r="I835" s="32"/>
    </row>
    <row r="836" spans="1:9" ht="22.5" customHeight="1">
      <c r="A836" s="39"/>
      <c r="B836" s="40"/>
      <c r="C836" s="41"/>
      <c r="D836" s="32"/>
      <c r="E836" s="32"/>
      <c r="F836" s="32"/>
      <c r="G836" s="42"/>
      <c r="H836" s="32"/>
      <c r="I836" s="32"/>
    </row>
    <row r="837" spans="1:9" ht="22.5" customHeight="1">
      <c r="A837" s="39"/>
      <c r="B837" s="40"/>
      <c r="C837" s="41"/>
      <c r="D837" s="32"/>
      <c r="E837" s="32"/>
      <c r="F837" s="32"/>
      <c r="G837" s="42"/>
      <c r="H837" s="32"/>
      <c r="I837" s="32"/>
    </row>
    <row r="838" spans="1:9" ht="22.5" customHeight="1">
      <c r="A838" s="39"/>
      <c r="B838" s="40"/>
      <c r="C838" s="41"/>
      <c r="D838" s="32"/>
      <c r="E838" s="32"/>
      <c r="F838" s="32"/>
      <c r="G838" s="42"/>
      <c r="H838" s="32"/>
      <c r="I838" s="32"/>
    </row>
    <row r="839" spans="1:9" ht="22.5" customHeight="1">
      <c r="A839" s="39"/>
      <c r="B839" s="40"/>
      <c r="C839" s="41"/>
      <c r="D839" s="32"/>
      <c r="E839" s="32"/>
      <c r="F839" s="32"/>
      <c r="G839" s="42"/>
      <c r="H839" s="32"/>
      <c r="I839" s="32"/>
    </row>
    <row r="840" spans="1:9" ht="22.5" customHeight="1">
      <c r="A840" s="39"/>
      <c r="B840" s="40"/>
      <c r="C840" s="41"/>
      <c r="D840" s="32"/>
      <c r="E840" s="32"/>
      <c r="F840" s="32"/>
      <c r="G840" s="42"/>
      <c r="H840" s="32"/>
      <c r="I840" s="32"/>
    </row>
    <row r="841" spans="1:9" ht="22.5" customHeight="1">
      <c r="A841" s="39"/>
      <c r="B841" s="40"/>
      <c r="C841" s="41"/>
      <c r="D841" s="32"/>
      <c r="E841" s="32"/>
      <c r="F841" s="32"/>
      <c r="G841" s="42"/>
      <c r="H841" s="32"/>
      <c r="I841" s="32"/>
    </row>
    <row r="842" spans="1:9" ht="22.5" customHeight="1">
      <c r="A842" s="39"/>
      <c r="B842" s="40"/>
      <c r="C842" s="41"/>
      <c r="D842" s="32"/>
      <c r="E842" s="32"/>
      <c r="F842" s="32"/>
      <c r="G842" s="42"/>
      <c r="H842" s="32"/>
      <c r="I842" s="32"/>
    </row>
    <row r="843" spans="1:9" ht="22.5" customHeight="1">
      <c r="A843" s="39"/>
      <c r="B843" s="40"/>
      <c r="C843" s="41"/>
      <c r="D843" s="32"/>
      <c r="E843" s="32"/>
      <c r="F843" s="32"/>
      <c r="G843" s="42"/>
      <c r="H843" s="32"/>
      <c r="I843" s="32"/>
    </row>
    <row r="844" spans="1:9" ht="22.5" customHeight="1">
      <c r="A844" s="39"/>
      <c r="B844" s="40"/>
      <c r="C844" s="41"/>
      <c r="D844" s="32"/>
      <c r="E844" s="32"/>
      <c r="F844" s="32"/>
      <c r="G844" s="42"/>
      <c r="H844" s="32"/>
      <c r="I844" s="32"/>
    </row>
    <row r="845" spans="1:9" ht="22.5" customHeight="1">
      <c r="A845" s="39"/>
      <c r="B845" s="40"/>
      <c r="C845" s="41"/>
      <c r="D845" s="32"/>
      <c r="E845" s="32"/>
      <c r="F845" s="32"/>
      <c r="G845" s="42"/>
      <c r="H845" s="32"/>
      <c r="I845" s="32"/>
    </row>
    <row r="846" spans="1:9" ht="22.5" customHeight="1">
      <c r="A846" s="39"/>
      <c r="B846" s="40"/>
      <c r="C846" s="41"/>
      <c r="D846" s="32"/>
      <c r="E846" s="32"/>
      <c r="F846" s="32"/>
      <c r="G846" s="42"/>
      <c r="H846" s="32"/>
      <c r="I846" s="32"/>
    </row>
    <row r="847" spans="1:9" ht="22.5" customHeight="1">
      <c r="A847" s="39"/>
      <c r="B847" s="40"/>
      <c r="C847" s="41"/>
      <c r="D847" s="32"/>
      <c r="E847" s="32"/>
      <c r="F847" s="32"/>
      <c r="G847" s="42"/>
      <c r="H847" s="32"/>
      <c r="I847" s="32"/>
    </row>
    <row r="848" spans="1:9" ht="22.5" customHeight="1">
      <c r="A848" s="39"/>
      <c r="B848" s="40"/>
      <c r="C848" s="41"/>
      <c r="D848" s="32"/>
      <c r="E848" s="32"/>
      <c r="F848" s="32"/>
      <c r="G848" s="42"/>
      <c r="H848" s="32"/>
      <c r="I848" s="32"/>
    </row>
    <row r="849" spans="1:9" ht="22.5" customHeight="1">
      <c r="A849" s="39"/>
      <c r="B849" s="40"/>
      <c r="C849" s="41"/>
      <c r="D849" s="32"/>
      <c r="E849" s="32"/>
      <c r="F849" s="32"/>
      <c r="G849" s="42"/>
      <c r="H849" s="32"/>
      <c r="I849" s="32"/>
    </row>
    <row r="850" spans="1:9" ht="22.5" customHeight="1">
      <c r="A850" s="39"/>
      <c r="B850" s="40"/>
      <c r="C850" s="41"/>
      <c r="D850" s="32"/>
      <c r="E850" s="32"/>
      <c r="F850" s="32"/>
      <c r="G850" s="42"/>
      <c r="H850" s="32"/>
      <c r="I850" s="32"/>
    </row>
    <row r="851" spans="1:9" ht="22.5" customHeight="1">
      <c r="A851" s="39"/>
      <c r="B851" s="40"/>
      <c r="C851" s="41"/>
      <c r="D851" s="32"/>
      <c r="E851" s="32"/>
      <c r="F851" s="32"/>
      <c r="G851" s="42"/>
      <c r="H851" s="32"/>
      <c r="I851" s="32"/>
    </row>
    <row r="852" spans="1:9" ht="22.5" customHeight="1">
      <c r="A852" s="39"/>
      <c r="B852" s="40"/>
      <c r="C852" s="41"/>
      <c r="D852" s="32"/>
      <c r="E852" s="32"/>
      <c r="F852" s="32"/>
      <c r="G852" s="42"/>
      <c r="H852" s="32"/>
      <c r="I852" s="32"/>
    </row>
    <row r="853" spans="1:9" ht="22.5" customHeight="1">
      <c r="A853" s="39"/>
      <c r="B853" s="40"/>
      <c r="C853" s="41"/>
      <c r="D853" s="32"/>
      <c r="E853" s="32"/>
      <c r="F853" s="32"/>
      <c r="G853" s="42"/>
      <c r="H853" s="32"/>
      <c r="I853" s="32"/>
    </row>
    <row r="854" spans="1:9" ht="22.5" customHeight="1">
      <c r="A854" s="39"/>
      <c r="B854" s="40"/>
      <c r="C854" s="41"/>
      <c r="D854" s="32"/>
      <c r="E854" s="32"/>
      <c r="F854" s="32"/>
      <c r="G854" s="42"/>
      <c r="H854" s="32"/>
      <c r="I854" s="32"/>
    </row>
    <row r="855" spans="1:9" ht="22.5" customHeight="1">
      <c r="A855" s="39"/>
      <c r="B855" s="40"/>
      <c r="C855" s="41"/>
      <c r="D855" s="32"/>
      <c r="E855" s="32"/>
      <c r="F855" s="32"/>
      <c r="G855" s="42"/>
      <c r="H855" s="32"/>
      <c r="I855" s="32"/>
    </row>
    <row r="856" spans="1:9" ht="22.5" customHeight="1">
      <c r="A856" s="39"/>
      <c r="B856" s="40"/>
      <c r="C856" s="41"/>
      <c r="D856" s="32"/>
      <c r="E856" s="32"/>
      <c r="F856" s="32"/>
      <c r="G856" s="42"/>
      <c r="H856" s="32"/>
      <c r="I856" s="32"/>
    </row>
    <row r="857" spans="1:9" ht="22.5" customHeight="1">
      <c r="A857" s="39"/>
      <c r="B857" s="40"/>
      <c r="C857" s="41"/>
      <c r="D857" s="32"/>
      <c r="E857" s="32"/>
      <c r="F857" s="32"/>
      <c r="G857" s="42"/>
      <c r="H857" s="32"/>
      <c r="I857" s="32"/>
    </row>
    <row r="858" spans="1:9" ht="22.5" customHeight="1">
      <c r="A858" s="39"/>
      <c r="B858" s="40"/>
      <c r="C858" s="41"/>
      <c r="D858" s="32"/>
      <c r="E858" s="32"/>
      <c r="F858" s="32"/>
      <c r="G858" s="42"/>
      <c r="H858" s="32"/>
      <c r="I858" s="32"/>
    </row>
    <row r="859" spans="1:9" ht="22.5" customHeight="1">
      <c r="A859" s="39"/>
      <c r="B859" s="40"/>
      <c r="C859" s="41"/>
      <c r="D859" s="32"/>
      <c r="E859" s="32"/>
      <c r="F859" s="32"/>
      <c r="G859" s="42"/>
      <c r="H859" s="32"/>
      <c r="I859" s="32"/>
    </row>
    <row r="860" spans="1:9" ht="22.5" customHeight="1">
      <c r="A860" s="39"/>
      <c r="B860" s="40"/>
      <c r="C860" s="41"/>
      <c r="D860" s="32"/>
      <c r="E860" s="32"/>
      <c r="F860" s="32"/>
      <c r="G860" s="42"/>
      <c r="H860" s="32"/>
      <c r="I860" s="32"/>
    </row>
    <row r="861" spans="1:9" ht="22.5" customHeight="1">
      <c r="A861" s="39"/>
      <c r="B861" s="40"/>
      <c r="C861" s="41"/>
      <c r="D861" s="32"/>
      <c r="E861" s="32"/>
      <c r="F861" s="32"/>
      <c r="G861" s="42"/>
      <c r="H861" s="32"/>
      <c r="I861" s="32"/>
    </row>
    <row r="862" spans="1:9" ht="22.5" customHeight="1">
      <c r="A862" s="39"/>
      <c r="B862" s="40"/>
      <c r="C862" s="41"/>
      <c r="D862" s="32"/>
      <c r="E862" s="32"/>
      <c r="F862" s="32"/>
      <c r="G862" s="42"/>
      <c r="H862" s="32"/>
      <c r="I862" s="32"/>
    </row>
    <row r="863" spans="1:9" ht="22.5" customHeight="1">
      <c r="A863" s="39"/>
      <c r="B863" s="40"/>
      <c r="C863" s="41"/>
      <c r="D863" s="32"/>
      <c r="E863" s="32"/>
      <c r="F863" s="32"/>
      <c r="G863" s="42"/>
      <c r="H863" s="32"/>
      <c r="I863" s="32"/>
    </row>
    <row r="864" spans="1:9" ht="22.5" customHeight="1">
      <c r="A864" s="39"/>
      <c r="B864" s="40"/>
      <c r="C864" s="41"/>
      <c r="D864" s="32"/>
      <c r="E864" s="32"/>
      <c r="F864" s="32"/>
      <c r="G864" s="42"/>
      <c r="H864" s="32"/>
      <c r="I864" s="32"/>
    </row>
    <row r="865" spans="1:9" ht="22.5" customHeight="1">
      <c r="A865" s="39"/>
      <c r="B865" s="40"/>
      <c r="C865" s="41"/>
      <c r="D865" s="32"/>
      <c r="E865" s="32"/>
      <c r="F865" s="32"/>
      <c r="G865" s="42"/>
      <c r="H865" s="32"/>
      <c r="I865" s="32"/>
    </row>
    <row r="866" spans="1:9" ht="22.5" customHeight="1">
      <c r="A866" s="39"/>
      <c r="B866" s="40"/>
      <c r="C866" s="41"/>
      <c r="D866" s="32"/>
      <c r="E866" s="32"/>
      <c r="F866" s="32"/>
      <c r="G866" s="42"/>
      <c r="H866" s="32"/>
      <c r="I866" s="32"/>
    </row>
    <row r="867" spans="1:9" ht="22.5" customHeight="1">
      <c r="A867" s="39"/>
      <c r="B867" s="40"/>
      <c r="C867" s="41"/>
      <c r="D867" s="32"/>
      <c r="E867" s="32"/>
      <c r="F867" s="32"/>
      <c r="G867" s="42"/>
      <c r="H867" s="32"/>
      <c r="I867" s="32"/>
    </row>
    <row r="868" spans="1:9" ht="22.5" customHeight="1">
      <c r="A868" s="39"/>
      <c r="B868" s="40"/>
      <c r="C868" s="41"/>
      <c r="D868" s="32"/>
      <c r="E868" s="32"/>
      <c r="F868" s="32"/>
      <c r="G868" s="42"/>
      <c r="H868" s="32"/>
      <c r="I868" s="32"/>
    </row>
    <row r="869" spans="1:9" ht="22.5" customHeight="1">
      <c r="A869" s="39"/>
      <c r="B869" s="40"/>
      <c r="C869" s="41"/>
      <c r="D869" s="32"/>
      <c r="E869" s="32"/>
      <c r="F869" s="32"/>
      <c r="G869" s="42"/>
      <c r="H869" s="32"/>
      <c r="I869" s="32"/>
    </row>
    <row r="870" spans="1:9" ht="22.5" customHeight="1">
      <c r="A870" s="39"/>
      <c r="B870" s="40"/>
      <c r="C870" s="41"/>
      <c r="D870" s="32"/>
      <c r="E870" s="32"/>
      <c r="F870" s="32"/>
      <c r="G870" s="42"/>
      <c r="H870" s="32"/>
      <c r="I870" s="32"/>
    </row>
    <row r="871" spans="1:9" ht="22.5" customHeight="1">
      <c r="A871" s="39"/>
      <c r="B871" s="40"/>
      <c r="C871" s="41"/>
      <c r="D871" s="32"/>
      <c r="E871" s="32"/>
      <c r="F871" s="32"/>
      <c r="G871" s="42"/>
      <c r="H871" s="32"/>
      <c r="I871" s="32"/>
    </row>
    <row r="872" spans="1:9" ht="22.5" customHeight="1">
      <c r="A872" s="39"/>
      <c r="B872" s="40"/>
      <c r="C872" s="41"/>
      <c r="D872" s="32"/>
      <c r="E872" s="32"/>
      <c r="F872" s="32"/>
      <c r="G872" s="42"/>
      <c r="H872" s="32"/>
      <c r="I872" s="32"/>
    </row>
    <row r="873" spans="1:9" ht="22.5" customHeight="1">
      <c r="A873" s="39"/>
      <c r="B873" s="40"/>
      <c r="C873" s="41"/>
      <c r="D873" s="32"/>
      <c r="E873" s="32"/>
      <c r="F873" s="32"/>
      <c r="G873" s="42"/>
      <c r="H873" s="32"/>
      <c r="I873" s="32"/>
    </row>
    <row r="874" spans="1:9" ht="22.5" customHeight="1">
      <c r="A874" s="39"/>
      <c r="B874" s="40"/>
      <c r="C874" s="41"/>
      <c r="D874" s="32"/>
      <c r="E874" s="32"/>
      <c r="F874" s="32"/>
      <c r="G874" s="42"/>
      <c r="H874" s="32"/>
      <c r="I874" s="32"/>
    </row>
    <row r="875" spans="1:9" ht="22.5" customHeight="1">
      <c r="A875" s="39"/>
      <c r="B875" s="40"/>
      <c r="C875" s="41"/>
      <c r="D875" s="32"/>
      <c r="E875" s="32"/>
      <c r="F875" s="32"/>
      <c r="G875" s="42"/>
      <c r="H875" s="32"/>
      <c r="I875" s="32"/>
    </row>
    <row r="876" spans="1:9" ht="22.5" customHeight="1">
      <c r="A876" s="39"/>
      <c r="B876" s="40"/>
      <c r="C876" s="41"/>
      <c r="D876" s="32"/>
      <c r="E876" s="32"/>
      <c r="F876" s="32"/>
      <c r="G876" s="42"/>
      <c r="H876" s="32"/>
      <c r="I876" s="32"/>
    </row>
    <row r="877" spans="1:9" ht="22.5" customHeight="1">
      <c r="A877" s="39"/>
      <c r="B877" s="40"/>
      <c r="C877" s="41"/>
      <c r="D877" s="32"/>
      <c r="E877" s="32"/>
      <c r="F877" s="32"/>
      <c r="G877" s="42"/>
      <c r="H877" s="32"/>
      <c r="I877" s="32"/>
    </row>
    <row r="878" spans="1:9" ht="22.5" customHeight="1">
      <c r="A878" s="39"/>
      <c r="B878" s="40"/>
      <c r="C878" s="41"/>
      <c r="D878" s="32"/>
      <c r="E878" s="32"/>
      <c r="F878" s="32"/>
      <c r="G878" s="42"/>
      <c r="H878" s="32"/>
      <c r="I878" s="32"/>
    </row>
    <row r="879" spans="1:9" ht="22.5" customHeight="1">
      <c r="A879" s="39"/>
      <c r="B879" s="40"/>
      <c r="C879" s="41"/>
      <c r="D879" s="32"/>
      <c r="E879" s="32"/>
      <c r="F879" s="32"/>
      <c r="G879" s="42"/>
      <c r="H879" s="32"/>
      <c r="I879" s="32"/>
    </row>
    <row r="880" spans="1:9" ht="22.5" customHeight="1">
      <c r="A880" s="39"/>
      <c r="B880" s="40"/>
      <c r="C880" s="41"/>
      <c r="D880" s="32"/>
      <c r="E880" s="32"/>
      <c r="F880" s="32"/>
      <c r="G880" s="42"/>
      <c r="H880" s="32"/>
      <c r="I880" s="32"/>
    </row>
    <row r="881" spans="1:9" ht="22.5" customHeight="1">
      <c r="A881" s="39"/>
      <c r="B881" s="40"/>
      <c r="C881" s="41"/>
      <c r="D881" s="32"/>
      <c r="E881" s="32"/>
      <c r="F881" s="32"/>
      <c r="G881" s="42"/>
      <c r="H881" s="32"/>
      <c r="I881" s="32"/>
    </row>
    <row r="882" spans="1:9" ht="22.5" customHeight="1">
      <c r="A882" s="39"/>
      <c r="B882" s="40"/>
      <c r="C882" s="41"/>
      <c r="D882" s="32"/>
      <c r="E882" s="32"/>
      <c r="F882" s="32"/>
      <c r="G882" s="42"/>
      <c r="H882" s="32"/>
      <c r="I882" s="32"/>
    </row>
    <row r="883" spans="1:9" ht="22.5" customHeight="1">
      <c r="A883" s="39"/>
      <c r="B883" s="40"/>
      <c r="C883" s="41"/>
      <c r="D883" s="32"/>
      <c r="E883" s="32"/>
      <c r="F883" s="32"/>
      <c r="G883" s="42"/>
      <c r="H883" s="32"/>
      <c r="I883" s="32"/>
    </row>
    <row r="884" spans="1:9" ht="22.5" customHeight="1">
      <c r="A884" s="39"/>
      <c r="B884" s="40"/>
      <c r="C884" s="41"/>
      <c r="D884" s="32"/>
      <c r="E884" s="32"/>
      <c r="F884" s="32"/>
      <c r="G884" s="42"/>
      <c r="H884" s="32"/>
      <c r="I884" s="32"/>
    </row>
    <row r="885" spans="1:9" ht="22.5" customHeight="1">
      <c r="A885" s="39"/>
      <c r="B885" s="40"/>
      <c r="C885" s="41"/>
      <c r="D885" s="32"/>
      <c r="E885" s="32"/>
      <c r="F885" s="32"/>
      <c r="G885" s="42"/>
      <c r="H885" s="32"/>
      <c r="I885" s="32"/>
    </row>
    <row r="886" spans="1:9" ht="22.5" customHeight="1">
      <c r="A886" s="39"/>
      <c r="B886" s="40"/>
      <c r="C886" s="41"/>
      <c r="D886" s="32"/>
      <c r="E886" s="32"/>
      <c r="F886" s="32"/>
      <c r="G886" s="42"/>
      <c r="H886" s="32"/>
      <c r="I886" s="32"/>
    </row>
    <row r="887" spans="1:9" ht="22.5" customHeight="1">
      <c r="A887" s="39"/>
      <c r="B887" s="40"/>
      <c r="C887" s="41"/>
      <c r="D887" s="32"/>
      <c r="E887" s="32"/>
      <c r="F887" s="32"/>
      <c r="G887" s="42"/>
      <c r="H887" s="32"/>
      <c r="I887" s="32"/>
    </row>
    <row r="888" spans="1:9" ht="22.5" customHeight="1">
      <c r="A888" s="39"/>
      <c r="B888" s="40"/>
      <c r="C888" s="41"/>
      <c r="D888" s="32"/>
      <c r="E888" s="32"/>
      <c r="F888" s="32"/>
      <c r="G888" s="42"/>
      <c r="H888" s="32"/>
      <c r="I888" s="32"/>
    </row>
    <row r="889" spans="1:9" ht="22.5" customHeight="1">
      <c r="A889" s="39"/>
      <c r="B889" s="40"/>
      <c r="C889" s="41"/>
      <c r="D889" s="32"/>
      <c r="E889" s="32"/>
      <c r="F889" s="32"/>
      <c r="G889" s="42"/>
      <c r="H889" s="32"/>
      <c r="I889" s="32"/>
    </row>
    <row r="890" spans="1:9" ht="22.5" customHeight="1">
      <c r="A890" s="39"/>
      <c r="B890" s="40"/>
      <c r="C890" s="41"/>
      <c r="D890" s="32"/>
      <c r="E890" s="32"/>
      <c r="F890" s="32"/>
      <c r="G890" s="42"/>
      <c r="H890" s="32"/>
      <c r="I890" s="32"/>
    </row>
    <row r="891" spans="1:9" ht="22.5" customHeight="1">
      <c r="A891" s="39"/>
      <c r="B891" s="40"/>
      <c r="C891" s="41"/>
      <c r="D891" s="32"/>
      <c r="E891" s="32"/>
      <c r="F891" s="32"/>
      <c r="G891" s="42"/>
      <c r="H891" s="32"/>
      <c r="I891" s="32"/>
    </row>
    <row r="892" spans="1:9" ht="22.5" customHeight="1">
      <c r="A892" s="39"/>
      <c r="B892" s="40"/>
      <c r="C892" s="41"/>
      <c r="D892" s="32"/>
      <c r="E892" s="32"/>
      <c r="F892" s="32"/>
      <c r="G892" s="42"/>
      <c r="H892" s="32"/>
      <c r="I892" s="32"/>
    </row>
    <row r="893" spans="1:9" ht="22.5" customHeight="1">
      <c r="A893" s="39"/>
      <c r="B893" s="40"/>
      <c r="C893" s="41"/>
      <c r="D893" s="32"/>
      <c r="E893" s="32"/>
      <c r="F893" s="32"/>
      <c r="G893" s="42"/>
      <c r="H893" s="32"/>
      <c r="I893" s="32"/>
    </row>
    <row r="894" spans="1:9" ht="22.5" customHeight="1">
      <c r="A894" s="39"/>
      <c r="B894" s="40"/>
      <c r="C894" s="41"/>
      <c r="D894" s="32"/>
      <c r="E894" s="32"/>
      <c r="F894" s="32"/>
      <c r="G894" s="42"/>
      <c r="H894" s="32"/>
      <c r="I894" s="32"/>
    </row>
    <row r="895" spans="1:9" ht="22.5" customHeight="1">
      <c r="A895" s="39"/>
      <c r="B895" s="40"/>
      <c r="C895" s="41"/>
      <c r="D895" s="32"/>
      <c r="E895" s="32"/>
      <c r="F895" s="32"/>
      <c r="G895" s="42"/>
      <c r="H895" s="32"/>
      <c r="I895" s="32"/>
    </row>
    <row r="896" spans="1:9" ht="22.5" customHeight="1">
      <c r="A896" s="39"/>
      <c r="B896" s="40"/>
      <c r="C896" s="41"/>
      <c r="D896" s="32"/>
      <c r="E896" s="32"/>
      <c r="F896" s="32"/>
      <c r="G896" s="42"/>
      <c r="H896" s="32"/>
      <c r="I896" s="32"/>
    </row>
    <row r="897" spans="1:9" ht="22.5" customHeight="1">
      <c r="A897" s="39"/>
      <c r="B897" s="40"/>
      <c r="C897" s="41"/>
      <c r="D897" s="32"/>
      <c r="E897" s="32"/>
      <c r="F897" s="32"/>
      <c r="G897" s="42"/>
      <c r="H897" s="32"/>
      <c r="I897" s="32"/>
    </row>
    <row r="898" spans="1:9" ht="22.5" customHeight="1">
      <c r="A898" s="39"/>
      <c r="B898" s="40"/>
      <c r="C898" s="41"/>
      <c r="D898" s="32"/>
      <c r="E898" s="32"/>
      <c r="F898" s="32"/>
      <c r="G898" s="42"/>
      <c r="H898" s="32"/>
      <c r="I898" s="32"/>
    </row>
    <row r="899" spans="1:9" ht="22.5" customHeight="1">
      <c r="A899" s="39"/>
      <c r="B899" s="40"/>
      <c r="C899" s="41"/>
      <c r="D899" s="32"/>
      <c r="E899" s="32"/>
      <c r="F899" s="32"/>
      <c r="G899" s="42"/>
      <c r="H899" s="32"/>
      <c r="I899" s="32"/>
    </row>
    <row r="900" spans="1:9" ht="22.5" customHeight="1">
      <c r="A900" s="39"/>
      <c r="B900" s="40"/>
      <c r="C900" s="41"/>
      <c r="D900" s="32"/>
      <c r="E900" s="32"/>
      <c r="F900" s="32"/>
      <c r="G900" s="42"/>
      <c r="H900" s="32"/>
      <c r="I900" s="32"/>
    </row>
    <row r="901" spans="1:9" ht="22.5" customHeight="1">
      <c r="A901" s="39"/>
      <c r="B901" s="40"/>
      <c r="C901" s="41"/>
      <c r="D901" s="32"/>
      <c r="E901" s="32"/>
      <c r="F901" s="32"/>
      <c r="G901" s="42"/>
      <c r="H901" s="32"/>
      <c r="I901" s="32"/>
    </row>
    <row r="902" spans="1:9" ht="22.5" customHeight="1">
      <c r="A902" s="39"/>
      <c r="B902" s="40"/>
      <c r="C902" s="41"/>
      <c r="D902" s="32"/>
      <c r="E902" s="32"/>
      <c r="F902" s="32"/>
      <c r="G902" s="42"/>
      <c r="H902" s="32"/>
      <c r="I902" s="32"/>
    </row>
    <row r="903" spans="1:9" ht="22.5" customHeight="1">
      <c r="A903" s="39"/>
      <c r="B903" s="40"/>
      <c r="C903" s="41"/>
      <c r="D903" s="32"/>
      <c r="E903" s="32"/>
      <c r="F903" s="32"/>
      <c r="G903" s="42"/>
      <c r="H903" s="32"/>
      <c r="I903" s="32"/>
    </row>
    <row r="904" spans="1:9" ht="22.5" customHeight="1">
      <c r="A904" s="39"/>
      <c r="B904" s="40"/>
      <c r="C904" s="41"/>
      <c r="D904" s="32"/>
      <c r="E904" s="32"/>
      <c r="F904" s="32"/>
      <c r="G904" s="42"/>
      <c r="H904" s="32"/>
      <c r="I904" s="32"/>
    </row>
    <row r="905" spans="1:9" ht="22.5" customHeight="1">
      <c r="A905" s="39"/>
      <c r="B905" s="40"/>
      <c r="C905" s="41"/>
      <c r="D905" s="32"/>
      <c r="E905" s="32"/>
      <c r="F905" s="32"/>
      <c r="G905" s="42"/>
      <c r="H905" s="32"/>
      <c r="I905" s="32"/>
    </row>
    <row r="906" spans="1:9" ht="22.5" customHeight="1">
      <c r="A906" s="39"/>
      <c r="B906" s="40"/>
      <c r="C906" s="41"/>
      <c r="D906" s="32"/>
      <c r="E906" s="32"/>
      <c r="F906" s="32"/>
      <c r="G906" s="42"/>
      <c r="H906" s="32"/>
      <c r="I906" s="32"/>
    </row>
    <row r="907" spans="1:9" ht="22.5" customHeight="1">
      <c r="A907" s="39"/>
      <c r="B907" s="40"/>
      <c r="C907" s="41"/>
      <c r="D907" s="32"/>
      <c r="E907" s="32"/>
      <c r="F907" s="32"/>
      <c r="G907" s="42"/>
      <c r="H907" s="32"/>
      <c r="I907" s="32"/>
    </row>
    <row r="908" spans="1:9" ht="22.5" customHeight="1">
      <c r="A908" s="39"/>
      <c r="B908" s="40"/>
      <c r="C908" s="41"/>
      <c r="D908" s="32"/>
      <c r="E908" s="32"/>
      <c r="F908" s="32"/>
      <c r="G908" s="42"/>
      <c r="H908" s="32"/>
      <c r="I908" s="32"/>
    </row>
    <row r="909" spans="1:9" ht="22.5" customHeight="1">
      <c r="A909" s="39"/>
      <c r="B909" s="40"/>
      <c r="C909" s="41"/>
      <c r="D909" s="32"/>
      <c r="E909" s="32"/>
      <c r="F909" s="32"/>
      <c r="G909" s="42"/>
      <c r="H909" s="32"/>
      <c r="I909" s="32"/>
    </row>
    <row r="910" spans="1:9" ht="22.5" customHeight="1">
      <c r="A910" s="39"/>
      <c r="B910" s="40"/>
      <c r="C910" s="41"/>
      <c r="D910" s="32"/>
      <c r="E910" s="32"/>
      <c r="F910" s="32"/>
      <c r="G910" s="42"/>
      <c r="H910" s="32"/>
      <c r="I910" s="32"/>
    </row>
    <row r="911" spans="1:9" ht="22.5" customHeight="1">
      <c r="A911" s="39"/>
      <c r="B911" s="40"/>
      <c r="C911" s="41"/>
      <c r="D911" s="32"/>
      <c r="E911" s="32"/>
      <c r="F911" s="32"/>
      <c r="G911" s="42"/>
      <c r="H911" s="32"/>
      <c r="I911" s="32"/>
    </row>
    <row r="912" spans="1:9" ht="22.5" customHeight="1">
      <c r="A912" s="39"/>
      <c r="B912" s="40"/>
      <c r="C912" s="41"/>
      <c r="D912" s="32"/>
      <c r="E912" s="32"/>
      <c r="F912" s="32"/>
      <c r="G912" s="42"/>
      <c r="H912" s="32"/>
      <c r="I912" s="32"/>
    </row>
    <row r="913" spans="1:9" ht="22.5" customHeight="1">
      <c r="A913" s="39"/>
      <c r="B913" s="40"/>
      <c r="C913" s="41"/>
      <c r="D913" s="32"/>
      <c r="E913" s="32"/>
      <c r="F913" s="32"/>
      <c r="G913" s="42"/>
      <c r="H913" s="32"/>
      <c r="I913" s="32"/>
    </row>
    <row r="914" spans="1:9" ht="22.5" customHeight="1">
      <c r="A914" s="39"/>
      <c r="B914" s="40"/>
      <c r="C914" s="41"/>
      <c r="D914" s="32"/>
      <c r="E914" s="32"/>
      <c r="F914" s="32"/>
      <c r="G914" s="42"/>
      <c r="H914" s="32"/>
      <c r="I914" s="32"/>
    </row>
    <row r="915" spans="1:9" ht="22.5" customHeight="1">
      <c r="A915" s="39"/>
      <c r="B915" s="40"/>
      <c r="C915" s="41"/>
      <c r="D915" s="32"/>
      <c r="E915" s="32"/>
      <c r="F915" s="32"/>
      <c r="G915" s="42"/>
      <c r="H915" s="32"/>
      <c r="I915" s="32"/>
    </row>
    <row r="916" spans="1:9" ht="22.5" customHeight="1">
      <c r="A916" s="39"/>
      <c r="B916" s="40"/>
      <c r="C916" s="41"/>
      <c r="D916" s="32"/>
      <c r="E916" s="32"/>
      <c r="F916" s="32"/>
      <c r="G916" s="42"/>
      <c r="H916" s="32"/>
      <c r="I916" s="32"/>
    </row>
    <row r="917" spans="1:9" ht="22.5" customHeight="1">
      <c r="A917" s="39"/>
      <c r="B917" s="40"/>
      <c r="C917" s="41"/>
      <c r="D917" s="32"/>
      <c r="E917" s="32"/>
      <c r="F917" s="32"/>
      <c r="G917" s="42"/>
      <c r="H917" s="32"/>
      <c r="I917" s="32"/>
    </row>
    <row r="918" spans="1:9" ht="22.5" customHeight="1">
      <c r="A918" s="39"/>
      <c r="B918" s="40"/>
      <c r="C918" s="41"/>
      <c r="D918" s="32"/>
      <c r="E918" s="32"/>
      <c r="F918" s="32"/>
      <c r="G918" s="42"/>
      <c r="H918" s="32"/>
      <c r="I918" s="32"/>
    </row>
    <row r="919" spans="1:9" ht="22.5" customHeight="1">
      <c r="A919" s="39"/>
      <c r="B919" s="40"/>
      <c r="C919" s="41"/>
      <c r="D919" s="32"/>
      <c r="E919" s="32"/>
      <c r="F919" s="32"/>
      <c r="G919" s="42"/>
      <c r="H919" s="32"/>
      <c r="I919" s="32"/>
    </row>
    <row r="920" spans="1:9" ht="22.5" customHeight="1">
      <c r="A920" s="39"/>
      <c r="B920" s="40"/>
      <c r="C920" s="41"/>
      <c r="D920" s="32"/>
      <c r="E920" s="32"/>
      <c r="F920" s="32"/>
      <c r="G920" s="42"/>
      <c r="H920" s="32"/>
      <c r="I920" s="32"/>
    </row>
    <row r="921" spans="1:9" ht="22.5" customHeight="1">
      <c r="A921" s="39"/>
      <c r="B921" s="40"/>
      <c r="C921" s="41"/>
      <c r="D921" s="32"/>
      <c r="E921" s="32"/>
      <c r="F921" s="32"/>
      <c r="G921" s="42"/>
      <c r="H921" s="32"/>
      <c r="I921" s="32"/>
    </row>
    <row r="922" spans="1:9" ht="22.5" customHeight="1">
      <c r="A922" s="39"/>
      <c r="B922" s="40"/>
      <c r="C922" s="41"/>
      <c r="D922" s="32"/>
      <c r="E922" s="32"/>
      <c r="F922" s="32"/>
      <c r="G922" s="42"/>
      <c r="H922" s="32"/>
      <c r="I922" s="32"/>
    </row>
    <row r="923" spans="1:9" ht="22.5" customHeight="1">
      <c r="A923" s="39"/>
      <c r="B923" s="40"/>
      <c r="C923" s="41"/>
      <c r="D923" s="32"/>
      <c r="E923" s="32"/>
      <c r="F923" s="32"/>
      <c r="G923" s="42"/>
      <c r="H923" s="32"/>
      <c r="I923" s="32"/>
    </row>
    <row r="924" spans="1:9" ht="22.5" customHeight="1">
      <c r="A924" s="39"/>
      <c r="B924" s="40"/>
      <c r="C924" s="41"/>
      <c r="D924" s="32"/>
      <c r="E924" s="32"/>
      <c r="F924" s="32"/>
      <c r="G924" s="42"/>
      <c r="H924" s="32"/>
      <c r="I924" s="32"/>
    </row>
    <row r="925" spans="1:9" ht="22.5" customHeight="1">
      <c r="A925" s="39"/>
      <c r="B925" s="40"/>
      <c r="C925" s="41"/>
      <c r="D925" s="32"/>
      <c r="E925" s="32"/>
      <c r="F925" s="32"/>
      <c r="G925" s="42"/>
      <c r="H925" s="32"/>
      <c r="I925" s="32"/>
    </row>
    <row r="926" spans="1:9" ht="22.5" customHeight="1">
      <c r="A926" s="39"/>
      <c r="B926" s="40"/>
      <c r="C926" s="41"/>
      <c r="D926" s="32"/>
      <c r="E926" s="32"/>
      <c r="F926" s="32"/>
      <c r="G926" s="42"/>
      <c r="H926" s="32"/>
      <c r="I926" s="32"/>
    </row>
    <row r="927" spans="1:9" ht="22.5" customHeight="1">
      <c r="A927" s="39"/>
      <c r="B927" s="40"/>
      <c r="C927" s="41"/>
      <c r="D927" s="32"/>
      <c r="E927" s="32"/>
      <c r="F927" s="32"/>
      <c r="G927" s="42"/>
      <c r="H927" s="32"/>
      <c r="I927" s="32"/>
    </row>
    <row r="928" spans="1:9" ht="22.5" customHeight="1">
      <c r="A928" s="39"/>
      <c r="B928" s="40"/>
      <c r="C928" s="41"/>
      <c r="D928" s="32"/>
      <c r="E928" s="32"/>
      <c r="F928" s="32"/>
      <c r="G928" s="42"/>
      <c r="H928" s="32"/>
      <c r="I928" s="32"/>
    </row>
    <row r="929" spans="1:9" ht="22.5" customHeight="1">
      <c r="A929" s="39"/>
      <c r="B929" s="40"/>
      <c r="C929" s="41"/>
      <c r="D929" s="32"/>
      <c r="E929" s="32"/>
      <c r="F929" s="32"/>
      <c r="G929" s="42"/>
      <c r="H929" s="32"/>
      <c r="I929" s="32"/>
    </row>
    <row r="930" spans="1:9" ht="22.5" customHeight="1">
      <c r="A930" s="39"/>
      <c r="B930" s="40"/>
      <c r="C930" s="41"/>
      <c r="D930" s="32"/>
      <c r="E930" s="32"/>
      <c r="F930" s="32"/>
      <c r="G930" s="42"/>
      <c r="H930" s="32"/>
      <c r="I930" s="32"/>
    </row>
    <row r="931" spans="1:9" ht="22.5" customHeight="1">
      <c r="A931" s="39"/>
      <c r="B931" s="40"/>
      <c r="C931" s="41"/>
      <c r="D931" s="32"/>
      <c r="E931" s="32"/>
      <c r="F931" s="32"/>
      <c r="G931" s="42"/>
      <c r="H931" s="32"/>
      <c r="I931" s="32"/>
    </row>
    <row r="932" spans="1:9" ht="22.5" customHeight="1">
      <c r="A932" s="39"/>
      <c r="B932" s="40"/>
      <c r="C932" s="41"/>
      <c r="D932" s="32"/>
      <c r="E932" s="32"/>
      <c r="F932" s="32"/>
      <c r="G932" s="42"/>
      <c r="H932" s="32"/>
      <c r="I932" s="32"/>
    </row>
    <row r="933" spans="1:9" ht="22.5" customHeight="1">
      <c r="A933" s="39"/>
      <c r="B933" s="40"/>
      <c r="C933" s="41"/>
      <c r="D933" s="32"/>
      <c r="E933" s="32"/>
      <c r="F933" s="32"/>
      <c r="G933" s="42"/>
      <c r="H933" s="32"/>
      <c r="I933" s="32"/>
    </row>
    <row r="934" spans="1:9" ht="22.5" customHeight="1">
      <c r="A934" s="39"/>
      <c r="B934" s="40"/>
      <c r="C934" s="41"/>
      <c r="D934" s="32"/>
      <c r="E934" s="32"/>
      <c r="F934" s="32"/>
      <c r="G934" s="42"/>
      <c r="H934" s="32"/>
      <c r="I934" s="32"/>
    </row>
    <row r="935" spans="1:9" ht="22.5" customHeight="1">
      <c r="A935" s="39"/>
      <c r="B935" s="40"/>
      <c r="C935" s="41"/>
      <c r="D935" s="32"/>
      <c r="E935" s="32"/>
      <c r="F935" s="32"/>
      <c r="G935" s="42"/>
      <c r="H935" s="32"/>
      <c r="I935" s="32"/>
    </row>
    <row r="936" spans="1:9" ht="22.5" customHeight="1">
      <c r="A936" s="39"/>
      <c r="B936" s="40"/>
      <c r="C936" s="41"/>
      <c r="D936" s="32"/>
      <c r="E936" s="32"/>
      <c r="F936" s="32"/>
      <c r="G936" s="42"/>
      <c r="H936" s="32"/>
      <c r="I936" s="32"/>
    </row>
    <row r="937" spans="1:9" ht="22.5" customHeight="1">
      <c r="A937" s="39"/>
      <c r="B937" s="40"/>
      <c r="C937" s="41"/>
      <c r="D937" s="32"/>
      <c r="E937" s="32"/>
      <c r="F937" s="32"/>
      <c r="G937" s="42"/>
      <c r="H937" s="32"/>
      <c r="I937" s="32"/>
    </row>
    <row r="938" spans="1:9" ht="22.5" customHeight="1">
      <c r="A938" s="39"/>
      <c r="B938" s="40"/>
      <c r="C938" s="41"/>
      <c r="D938" s="32"/>
      <c r="E938" s="32"/>
      <c r="F938" s="32"/>
      <c r="G938" s="42"/>
      <c r="H938" s="32"/>
      <c r="I938" s="32"/>
    </row>
    <row r="939" spans="1:9" ht="22.5" customHeight="1">
      <c r="A939" s="39"/>
      <c r="B939" s="40"/>
      <c r="C939" s="41"/>
      <c r="D939" s="32"/>
      <c r="E939" s="32"/>
      <c r="F939" s="32"/>
      <c r="G939" s="42"/>
      <c r="H939" s="32"/>
      <c r="I939" s="32"/>
    </row>
    <row r="940" spans="1:9" ht="22.5" customHeight="1">
      <c r="A940" s="39"/>
      <c r="B940" s="40"/>
      <c r="C940" s="41"/>
      <c r="D940" s="32"/>
      <c r="E940" s="32"/>
      <c r="F940" s="32"/>
      <c r="G940" s="42"/>
      <c r="H940" s="32"/>
      <c r="I940" s="32"/>
    </row>
    <row r="941" spans="1:9" ht="22.5" customHeight="1">
      <c r="A941" s="39"/>
      <c r="B941" s="40"/>
      <c r="C941" s="41"/>
      <c r="D941" s="32"/>
      <c r="E941" s="32"/>
      <c r="F941" s="32"/>
      <c r="G941" s="42"/>
      <c r="H941" s="32"/>
      <c r="I941" s="32"/>
    </row>
    <row r="942" spans="1:9" ht="22.5" customHeight="1">
      <c r="A942" s="39"/>
      <c r="B942" s="40"/>
      <c r="C942" s="41"/>
      <c r="D942" s="32"/>
      <c r="E942" s="32"/>
      <c r="F942" s="32"/>
      <c r="G942" s="42"/>
      <c r="H942" s="32"/>
      <c r="I942" s="32"/>
    </row>
    <row r="943" spans="1:9" ht="22.5" customHeight="1">
      <c r="A943" s="39"/>
      <c r="B943" s="40"/>
      <c r="C943" s="41"/>
      <c r="D943" s="32"/>
      <c r="E943" s="32"/>
      <c r="F943" s="32"/>
      <c r="G943" s="42"/>
      <c r="H943" s="32"/>
      <c r="I943" s="32"/>
    </row>
    <row r="944" spans="1:9" ht="22.5" customHeight="1">
      <c r="A944" s="39"/>
      <c r="B944" s="40"/>
      <c r="C944" s="41"/>
      <c r="D944" s="32"/>
      <c r="E944" s="32"/>
      <c r="F944" s="32"/>
      <c r="G944" s="42"/>
      <c r="H944" s="32"/>
      <c r="I944" s="32"/>
    </row>
    <row r="945" spans="1:9" ht="22.5" customHeight="1">
      <c r="A945" s="39"/>
      <c r="B945" s="40"/>
      <c r="C945" s="41"/>
      <c r="D945" s="32"/>
      <c r="E945" s="32"/>
      <c r="F945" s="32"/>
      <c r="G945" s="42"/>
      <c r="H945" s="32"/>
      <c r="I945" s="32"/>
    </row>
    <row r="946" spans="1:9" ht="22.5" customHeight="1">
      <c r="A946" s="39"/>
      <c r="B946" s="40"/>
      <c r="C946" s="41"/>
      <c r="D946" s="32"/>
      <c r="E946" s="32"/>
      <c r="F946" s="32"/>
      <c r="G946" s="42"/>
      <c r="H946" s="32"/>
      <c r="I946" s="32"/>
    </row>
    <row r="947" spans="1:9" ht="22.5" customHeight="1">
      <c r="A947" s="39"/>
      <c r="B947" s="40"/>
      <c r="C947" s="41"/>
      <c r="D947" s="32"/>
      <c r="E947" s="32"/>
      <c r="F947" s="32"/>
      <c r="G947" s="42"/>
      <c r="H947" s="32"/>
      <c r="I947" s="32"/>
    </row>
    <row r="948" spans="1:9" ht="22.5" customHeight="1">
      <c r="A948" s="39"/>
      <c r="B948" s="40"/>
      <c r="C948" s="41"/>
      <c r="D948" s="32"/>
      <c r="E948" s="32"/>
      <c r="F948" s="32"/>
      <c r="G948" s="42"/>
      <c r="H948" s="32"/>
      <c r="I948" s="32"/>
    </row>
    <row r="949" spans="1:9" ht="22.5" customHeight="1">
      <c r="A949" s="39"/>
      <c r="B949" s="40"/>
      <c r="C949" s="41"/>
      <c r="D949" s="32"/>
      <c r="E949" s="32"/>
      <c r="F949" s="32"/>
      <c r="G949" s="42"/>
      <c r="H949" s="32"/>
      <c r="I949" s="32"/>
    </row>
    <row r="950" spans="1:9" ht="22.5" customHeight="1">
      <c r="A950" s="39"/>
      <c r="B950" s="40"/>
      <c r="C950" s="41"/>
      <c r="D950" s="32"/>
      <c r="E950" s="32"/>
      <c r="F950" s="32"/>
      <c r="G950" s="42"/>
      <c r="H950" s="32"/>
      <c r="I950" s="32"/>
    </row>
    <row r="951" spans="1:9" ht="22.5" customHeight="1">
      <c r="A951" s="39"/>
      <c r="B951" s="40"/>
      <c r="C951" s="41"/>
      <c r="D951" s="32"/>
      <c r="E951" s="32"/>
      <c r="F951" s="32"/>
      <c r="G951" s="42"/>
      <c r="H951" s="32"/>
      <c r="I951" s="32"/>
    </row>
    <row r="952" spans="1:9" ht="22.5" customHeight="1">
      <c r="A952" s="39"/>
      <c r="B952" s="40"/>
      <c r="C952" s="41"/>
      <c r="D952" s="32"/>
      <c r="E952" s="32"/>
      <c r="F952" s="32"/>
      <c r="G952" s="42"/>
      <c r="H952" s="32"/>
      <c r="I952" s="32"/>
    </row>
    <row r="953" spans="1:9" ht="22.5" customHeight="1">
      <c r="A953" s="39"/>
      <c r="B953" s="40"/>
      <c r="C953" s="41"/>
      <c r="D953" s="32"/>
      <c r="E953" s="32"/>
      <c r="F953" s="32"/>
      <c r="G953" s="42"/>
      <c r="H953" s="32"/>
      <c r="I953" s="32"/>
    </row>
    <row r="954" spans="1:9" ht="22.5" customHeight="1">
      <c r="A954" s="39"/>
      <c r="B954" s="40"/>
      <c r="C954" s="41"/>
      <c r="D954" s="32"/>
      <c r="E954" s="32"/>
      <c r="F954" s="32"/>
      <c r="G954" s="42"/>
      <c r="H954" s="32"/>
      <c r="I954" s="32"/>
    </row>
    <row r="955" spans="1:9" ht="22.5" customHeight="1">
      <c r="A955" s="39"/>
      <c r="B955" s="40"/>
      <c r="C955" s="41"/>
      <c r="D955" s="32"/>
      <c r="E955" s="32"/>
      <c r="F955" s="32"/>
      <c r="G955" s="42"/>
      <c r="H955" s="32"/>
      <c r="I955" s="32"/>
    </row>
    <row r="956" spans="1:9" ht="22.5" customHeight="1">
      <c r="A956" s="39"/>
      <c r="B956" s="40"/>
      <c r="C956" s="41"/>
      <c r="D956" s="32"/>
      <c r="E956" s="32"/>
      <c r="F956" s="32"/>
      <c r="G956" s="42"/>
      <c r="H956" s="32"/>
      <c r="I956" s="32"/>
    </row>
    <row r="957" spans="1:9" ht="22.5" customHeight="1">
      <c r="A957" s="39"/>
      <c r="B957" s="40"/>
      <c r="C957" s="41"/>
      <c r="D957" s="32"/>
      <c r="E957" s="32"/>
      <c r="F957" s="32"/>
      <c r="G957" s="42"/>
      <c r="H957" s="32"/>
      <c r="I957" s="32"/>
    </row>
    <row r="958" spans="1:9" ht="22.5" customHeight="1">
      <c r="A958" s="39"/>
      <c r="B958" s="40"/>
      <c r="C958" s="41"/>
      <c r="D958" s="32"/>
      <c r="E958" s="32"/>
      <c r="F958" s="32"/>
      <c r="G958" s="42"/>
      <c r="H958" s="32"/>
      <c r="I958" s="32"/>
    </row>
    <row r="959" spans="1:9" ht="22.5" customHeight="1">
      <c r="A959" s="39"/>
      <c r="B959" s="40"/>
      <c r="C959" s="41"/>
      <c r="D959" s="32"/>
      <c r="E959" s="32"/>
      <c r="F959" s="32"/>
      <c r="G959" s="42"/>
      <c r="H959" s="32"/>
      <c r="I959" s="32"/>
    </row>
    <row r="960" spans="1:9" ht="22.5" customHeight="1">
      <c r="A960" s="39"/>
      <c r="B960" s="40"/>
      <c r="C960" s="41"/>
      <c r="D960" s="32"/>
      <c r="E960" s="32"/>
      <c r="F960" s="32"/>
      <c r="G960" s="42"/>
      <c r="H960" s="32"/>
      <c r="I960" s="32"/>
    </row>
    <row r="961" spans="1:9" ht="22.5" customHeight="1">
      <c r="A961" s="39"/>
      <c r="B961" s="40"/>
      <c r="C961" s="41"/>
      <c r="D961" s="32"/>
      <c r="E961" s="32"/>
      <c r="F961" s="32"/>
      <c r="G961" s="42"/>
      <c r="H961" s="32"/>
      <c r="I961" s="32"/>
    </row>
    <row r="962" spans="1:9" ht="22.5" customHeight="1">
      <c r="A962" s="39"/>
      <c r="B962" s="40"/>
      <c r="C962" s="41"/>
      <c r="D962" s="32"/>
      <c r="E962" s="32"/>
      <c r="F962" s="32"/>
      <c r="G962" s="42"/>
      <c r="H962" s="32"/>
      <c r="I962" s="32"/>
    </row>
    <row r="963" spans="1:9" ht="22.5" customHeight="1">
      <c r="A963" s="39"/>
      <c r="B963" s="40"/>
      <c r="C963" s="41"/>
      <c r="D963" s="32"/>
      <c r="E963" s="32"/>
      <c r="F963" s="32"/>
      <c r="G963" s="42"/>
      <c r="H963" s="32"/>
      <c r="I963" s="32"/>
    </row>
    <row r="964" spans="1:9" ht="22.5" customHeight="1">
      <c r="A964" s="39"/>
      <c r="B964" s="40"/>
      <c r="C964" s="41"/>
      <c r="D964" s="32"/>
      <c r="E964" s="32"/>
      <c r="F964" s="32"/>
      <c r="G964" s="42"/>
      <c r="H964" s="32"/>
      <c r="I964" s="32"/>
    </row>
    <row r="965" spans="1:9" ht="22.5" customHeight="1">
      <c r="A965" s="39"/>
      <c r="B965" s="40"/>
      <c r="C965" s="41"/>
      <c r="D965" s="32"/>
      <c r="E965" s="32"/>
      <c r="F965" s="32"/>
      <c r="G965" s="42"/>
      <c r="H965" s="32"/>
      <c r="I965" s="32"/>
    </row>
    <row r="966" spans="1:9" ht="22.5" customHeight="1">
      <c r="A966" s="39"/>
      <c r="B966" s="40"/>
      <c r="C966" s="41"/>
      <c r="D966" s="32"/>
      <c r="E966" s="32"/>
      <c r="F966" s="32"/>
      <c r="G966" s="42"/>
      <c r="H966" s="32"/>
      <c r="I966" s="32"/>
    </row>
    <row r="967" spans="1:9" ht="22.5" customHeight="1">
      <c r="A967" s="39"/>
      <c r="B967" s="40"/>
      <c r="C967" s="41"/>
      <c r="D967" s="32"/>
      <c r="E967" s="32"/>
      <c r="F967" s="32"/>
      <c r="G967" s="42"/>
      <c r="H967" s="32"/>
      <c r="I967" s="32"/>
    </row>
    <row r="968" spans="1:9" ht="22.5" customHeight="1">
      <c r="A968" s="39"/>
      <c r="B968" s="40"/>
      <c r="C968" s="41"/>
      <c r="D968" s="32"/>
      <c r="E968" s="32"/>
      <c r="F968" s="32"/>
      <c r="G968" s="42"/>
      <c r="H968" s="32"/>
      <c r="I968" s="32"/>
    </row>
    <row r="969" spans="1:9" ht="22.5" customHeight="1">
      <c r="A969" s="39"/>
      <c r="B969" s="40"/>
      <c r="C969" s="41"/>
      <c r="D969" s="32"/>
      <c r="E969" s="32"/>
      <c r="F969" s="32"/>
      <c r="G969" s="42"/>
      <c r="H969" s="32"/>
      <c r="I969" s="32"/>
    </row>
    <row r="970" spans="1:9" ht="22.5" customHeight="1">
      <c r="A970" s="39"/>
      <c r="B970" s="40"/>
      <c r="C970" s="41"/>
      <c r="D970" s="32"/>
      <c r="E970" s="32"/>
      <c r="F970" s="32"/>
      <c r="G970" s="42"/>
      <c r="H970" s="32"/>
      <c r="I970" s="32"/>
    </row>
    <row r="971" spans="1:9" ht="22.5" customHeight="1">
      <c r="A971" s="39"/>
      <c r="B971" s="40"/>
      <c r="C971" s="41"/>
      <c r="D971" s="32"/>
      <c r="E971" s="32"/>
      <c r="F971" s="32"/>
      <c r="G971" s="42"/>
      <c r="H971" s="32"/>
      <c r="I971" s="32"/>
    </row>
    <row r="972" spans="1:9" ht="22.5" customHeight="1">
      <c r="A972" s="39"/>
      <c r="B972" s="40"/>
      <c r="C972" s="41"/>
      <c r="D972" s="32"/>
      <c r="E972" s="32"/>
      <c r="F972" s="32"/>
      <c r="G972" s="42"/>
      <c r="H972" s="32"/>
      <c r="I972" s="32"/>
    </row>
    <row r="973" spans="1:9" ht="22.5" customHeight="1">
      <c r="A973" s="39"/>
      <c r="B973" s="40"/>
      <c r="C973" s="41"/>
      <c r="D973" s="32"/>
      <c r="E973" s="32"/>
      <c r="F973" s="32"/>
      <c r="G973" s="42"/>
      <c r="H973" s="32"/>
      <c r="I973" s="32"/>
    </row>
    <row r="974" spans="1:9" ht="22.5" customHeight="1">
      <c r="A974" s="39"/>
      <c r="B974" s="40"/>
      <c r="C974" s="41"/>
      <c r="D974" s="32"/>
      <c r="E974" s="32"/>
      <c r="F974" s="32"/>
      <c r="G974" s="42"/>
      <c r="H974" s="32"/>
      <c r="I974" s="32"/>
    </row>
    <row r="975" spans="1:9" ht="22.5" customHeight="1">
      <c r="A975" s="39"/>
      <c r="B975" s="40"/>
      <c r="C975" s="41"/>
      <c r="D975" s="32"/>
      <c r="E975" s="32"/>
      <c r="F975" s="32"/>
      <c r="G975" s="42"/>
      <c r="H975" s="32"/>
      <c r="I975" s="32"/>
    </row>
    <row r="976" spans="1:9" ht="22.5" customHeight="1">
      <c r="A976" s="39"/>
      <c r="B976" s="40"/>
      <c r="C976" s="41"/>
      <c r="D976" s="32"/>
      <c r="E976" s="32"/>
      <c r="F976" s="32"/>
      <c r="G976" s="42"/>
      <c r="H976" s="32"/>
      <c r="I976" s="32"/>
    </row>
    <row r="977" spans="1:9" ht="22.5" customHeight="1">
      <c r="A977" s="39"/>
      <c r="B977" s="40"/>
      <c r="C977" s="41"/>
      <c r="D977" s="32"/>
      <c r="E977" s="32"/>
      <c r="F977" s="32"/>
      <c r="G977" s="42"/>
      <c r="H977" s="32"/>
      <c r="I977" s="32"/>
    </row>
    <row r="978" spans="1:9" ht="22.5" customHeight="1">
      <c r="A978" s="39"/>
      <c r="B978" s="40"/>
      <c r="C978" s="41"/>
      <c r="D978" s="32"/>
      <c r="E978" s="32"/>
      <c r="F978" s="32"/>
      <c r="G978" s="42"/>
      <c r="H978" s="32"/>
      <c r="I978" s="32"/>
    </row>
    <row r="979" spans="1:9" ht="22.5" customHeight="1">
      <c r="A979" s="39"/>
      <c r="B979" s="40"/>
      <c r="C979" s="41"/>
      <c r="D979" s="32"/>
      <c r="E979" s="32"/>
      <c r="F979" s="32"/>
      <c r="G979" s="42"/>
      <c r="H979" s="32"/>
      <c r="I979" s="32"/>
    </row>
    <row r="980" spans="1:9" ht="22.5" customHeight="1">
      <c r="A980" s="39"/>
      <c r="B980" s="40"/>
      <c r="C980" s="41"/>
      <c r="D980" s="32"/>
      <c r="E980" s="32"/>
      <c r="F980" s="32"/>
      <c r="G980" s="42"/>
      <c r="H980" s="32"/>
      <c r="I980" s="32"/>
    </row>
    <row r="981" spans="1:9" ht="22.5" customHeight="1">
      <c r="A981" s="39"/>
      <c r="B981" s="40"/>
      <c r="C981" s="41"/>
      <c r="D981" s="32"/>
      <c r="E981" s="32"/>
      <c r="F981" s="32"/>
      <c r="G981" s="42"/>
      <c r="H981" s="32"/>
      <c r="I981" s="32"/>
    </row>
    <row r="982" spans="1:9" ht="22.5" customHeight="1">
      <c r="A982" s="39"/>
      <c r="B982" s="40"/>
      <c r="C982" s="41"/>
      <c r="D982" s="32"/>
      <c r="E982" s="32"/>
      <c r="F982" s="32"/>
      <c r="G982" s="42"/>
      <c r="H982" s="32"/>
      <c r="I982" s="32"/>
    </row>
    <row r="983" spans="1:9" ht="22.5" customHeight="1">
      <c r="A983" s="39"/>
      <c r="B983" s="40"/>
      <c r="C983" s="41"/>
      <c r="D983" s="32"/>
      <c r="E983" s="32"/>
      <c r="F983" s="32"/>
      <c r="G983" s="42"/>
      <c r="H983" s="32"/>
      <c r="I983" s="32"/>
    </row>
    <row r="984" spans="1:9" ht="22.5" customHeight="1">
      <c r="A984" s="39"/>
      <c r="B984" s="40"/>
      <c r="C984" s="41"/>
      <c r="D984" s="32"/>
      <c r="E984" s="32"/>
      <c r="F984" s="32"/>
      <c r="G984" s="42"/>
      <c r="H984" s="32"/>
      <c r="I984" s="32"/>
    </row>
    <row r="985" spans="1:9" ht="22.5" customHeight="1">
      <c r="A985" s="39"/>
      <c r="B985" s="40"/>
      <c r="C985" s="41"/>
      <c r="D985" s="32"/>
      <c r="E985" s="32"/>
      <c r="F985" s="32"/>
      <c r="G985" s="42"/>
      <c r="H985" s="32"/>
      <c r="I985" s="32"/>
    </row>
    <row r="986" spans="1:9" ht="22.5" customHeight="1">
      <c r="A986" s="39"/>
      <c r="B986" s="40"/>
      <c r="C986" s="41"/>
      <c r="D986" s="32"/>
      <c r="E986" s="32"/>
      <c r="F986" s="32"/>
      <c r="G986" s="42"/>
      <c r="H986" s="32"/>
      <c r="I986" s="32"/>
    </row>
    <row r="987" spans="1:9" ht="22.5" customHeight="1">
      <c r="A987" s="39"/>
      <c r="B987" s="40"/>
      <c r="C987" s="41"/>
      <c r="D987" s="32"/>
      <c r="E987" s="32"/>
      <c r="F987" s="32"/>
      <c r="G987" s="42"/>
      <c r="H987" s="32"/>
      <c r="I987" s="32"/>
    </row>
    <row r="988" spans="1:9" ht="22.5" customHeight="1">
      <c r="A988" s="39"/>
      <c r="B988" s="40"/>
      <c r="C988" s="41"/>
      <c r="D988" s="32"/>
      <c r="E988" s="32"/>
      <c r="F988" s="32"/>
      <c r="G988" s="42"/>
      <c r="H988" s="32"/>
      <c r="I988" s="32"/>
    </row>
    <row r="989" spans="1:9" ht="22.5" customHeight="1">
      <c r="A989" s="39"/>
      <c r="B989" s="40"/>
      <c r="C989" s="41"/>
      <c r="D989" s="32"/>
      <c r="E989" s="32"/>
      <c r="F989" s="32"/>
      <c r="G989" s="42"/>
      <c r="H989" s="32"/>
      <c r="I989" s="32"/>
    </row>
    <row r="990" spans="1:9" ht="22.5" customHeight="1">
      <c r="A990" s="39"/>
      <c r="B990" s="40"/>
      <c r="C990" s="41"/>
      <c r="D990" s="32"/>
      <c r="E990" s="32"/>
      <c r="F990" s="32"/>
      <c r="G990" s="42"/>
      <c r="H990" s="32"/>
      <c r="I990" s="32"/>
    </row>
    <row r="991" spans="1:9" ht="22.5" customHeight="1">
      <c r="A991" s="39"/>
      <c r="B991" s="40"/>
      <c r="C991" s="41"/>
      <c r="D991" s="32"/>
      <c r="E991" s="32"/>
      <c r="F991" s="32"/>
      <c r="G991" s="42"/>
      <c r="H991" s="32"/>
      <c r="I991" s="32"/>
    </row>
    <row r="992" spans="1:9" ht="22.5" customHeight="1">
      <c r="A992" s="39"/>
      <c r="B992" s="40"/>
      <c r="C992" s="41"/>
      <c r="D992" s="32"/>
      <c r="E992" s="32"/>
      <c r="F992" s="32"/>
      <c r="G992" s="42"/>
      <c r="H992" s="32"/>
      <c r="I992" s="32"/>
    </row>
    <row r="993" spans="1:9" ht="22.5" customHeight="1">
      <c r="A993" s="39"/>
      <c r="B993" s="40"/>
      <c r="C993" s="41"/>
      <c r="D993" s="32"/>
      <c r="E993" s="32"/>
      <c r="F993" s="32"/>
      <c r="G993" s="42"/>
      <c r="H993" s="32"/>
      <c r="I993" s="32"/>
    </row>
    <row r="994" spans="1:9" ht="22.5" customHeight="1">
      <c r="A994" s="39"/>
      <c r="B994" s="40"/>
      <c r="C994" s="41"/>
      <c r="D994" s="32"/>
      <c r="E994" s="32"/>
      <c r="F994" s="32"/>
      <c r="G994" s="42"/>
      <c r="H994" s="32"/>
      <c r="I994" s="32"/>
    </row>
    <row r="995" spans="1:9" ht="22.5" customHeight="1">
      <c r="A995" s="39"/>
      <c r="B995" s="40"/>
      <c r="C995" s="41"/>
      <c r="D995" s="32"/>
      <c r="E995" s="32"/>
      <c r="F995" s="32"/>
      <c r="G995" s="42"/>
      <c r="H995" s="32"/>
      <c r="I995" s="32"/>
    </row>
    <row r="996" spans="1:9" ht="22.5" customHeight="1">
      <c r="A996" s="39"/>
      <c r="B996" s="40"/>
      <c r="C996" s="41"/>
      <c r="D996" s="32"/>
      <c r="E996" s="32"/>
      <c r="F996" s="32"/>
      <c r="G996" s="42"/>
      <c r="H996" s="32"/>
      <c r="I996" s="32"/>
    </row>
    <row r="997" spans="1:9" ht="22.5" customHeight="1">
      <c r="A997" s="39"/>
      <c r="B997" s="40"/>
      <c r="C997" s="41"/>
      <c r="D997" s="32"/>
      <c r="E997" s="32"/>
      <c r="F997" s="32"/>
      <c r="G997" s="42"/>
      <c r="H997" s="32"/>
      <c r="I997" s="32"/>
    </row>
    <row r="998" spans="1:9" ht="22.5" customHeight="1">
      <c r="A998" s="39"/>
      <c r="B998" s="40"/>
      <c r="C998" s="41"/>
      <c r="D998" s="32"/>
      <c r="E998" s="32"/>
      <c r="F998" s="32"/>
      <c r="G998" s="42"/>
      <c r="H998" s="32"/>
      <c r="I998" s="32"/>
    </row>
    <row r="999" spans="1:9" ht="22.5" customHeight="1">
      <c r="A999" s="39"/>
      <c r="B999" s="40"/>
      <c r="C999" s="41"/>
      <c r="D999" s="32"/>
      <c r="E999" s="32"/>
      <c r="F999" s="32"/>
      <c r="G999" s="42"/>
      <c r="H999" s="32"/>
      <c r="I999" s="32"/>
    </row>
  </sheetData>
  <dataValidations count="2">
    <dataValidation type="list" allowBlank="1" sqref="C2:C999" xr:uid="{00000000-0002-0000-0600-000000000000}">
      <formula1>"رئيسي,فرعي"</formula1>
    </dataValidation>
    <dataValidation type="list" allowBlank="1" sqref="G2:G999" xr:uid="{00000000-0002-0000-0600-000001000000}">
      <formula1>#REF!</formula1>
    </dataValidation>
  </dataValidations>
  <hyperlinks>
    <hyperlink ref="B12" r:id="rId1" xr:uid="{00000000-0004-0000-0600-000000000000}"/>
    <hyperlink ref="B16" r:id="rId2" xr:uid="{00000000-0004-0000-0600-000001000000}"/>
    <hyperlink ref="B17" r:id="rId3" xr:uid="{00000000-0004-0000-0600-000002000000}"/>
    <hyperlink ref="B29" r:id="rId4" xr:uid="{00000000-0004-0000-0600-000003000000}"/>
    <hyperlink ref="B30" r:id="rId5" xr:uid="{00000000-0004-0000-0600-000004000000}"/>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البيانات</vt:lpstr>
      <vt:lpstr>الكهرباء</vt:lpstr>
      <vt:lpstr>المدني</vt:lpstr>
      <vt:lpstr>الميكانيك</vt:lpstr>
      <vt:lpstr>التبريد</vt:lpstr>
      <vt:lpstr>الطلبات</vt:lpstr>
      <vt:lpstr>الإعدادات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Maher</cp:lastModifiedBy>
  <dcterms:modified xsi:type="dcterms:W3CDTF">2026-03-01T04:25:47Z</dcterms:modified>
</cp:coreProperties>
</file>